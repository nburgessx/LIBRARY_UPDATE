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LIB\MLIBQ_DEV1\resource\examples\MLIBQ\Curve\"/>
    </mc:Choice>
  </mc:AlternateContent>
  <bookViews>
    <workbookView xWindow="0" yWindow="0" windowWidth="28800" windowHeight="13575" tabRatio="679" firstSheet="1" activeTab="5"/>
  </bookViews>
  <sheets>
    <sheet name="OIS - USDOIS" sheetId="1" r:id="rId1"/>
    <sheet name="SWAP - USD3ML" sheetId="2" r:id="rId2"/>
    <sheet name="BASIS - USD6ML" sheetId="3" r:id="rId3"/>
    <sheet name="JACOBIAN - OIS USDOIS" sheetId="4" r:id="rId4"/>
    <sheet name="JACOBIAN - SWAP USD3ML" sheetId="5" r:id="rId5"/>
    <sheet name="JACOBIAN - BASIS USD6ML" sheetId="6" r:id="rId6"/>
    <sheet name="PRICING" sheetId="7" r:id="rId7"/>
    <sheet name="RISK - SWAP USD3ML" sheetId="8" r:id="rId8"/>
  </sheets>
  <externalReferences>
    <externalReference r:id="rId9"/>
  </externalReferences>
  <definedNames>
    <definedName name="allowTradeUpdates">[1]Settings!$K$4</definedName>
    <definedName name="CurveCollection" localSheetId="0">'OIS - USDOIS'!$D$8</definedName>
    <definedName name="CurveCollection" localSheetId="1">'SWAP - USD3ML'!$D$9</definedName>
    <definedName name="enableCurveRepricing">[1]Settings!$M$4</definedName>
    <definedName name="enableGlobalCalibration">[1]Settings!$E$4</definedName>
    <definedName name="isUSD3MLLoaded">'[1]USD SWAP 3ML'!$U$32</definedName>
    <definedName name="Settings.COB">[1]Settings!$C$4</definedName>
    <definedName name="Settings.PulseFrequency">[1]Settings!$O$2</definedName>
  </definedNames>
  <calcPr calcId="162913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H5" i="8" l="1" a="1"/>
  <c r="FH5" i="8"/>
  <c r="FI5" i="8"/>
  <c r="FJ5" i="8"/>
  <c r="FK5" i="8"/>
  <c r="FL5" i="8"/>
  <c r="FH6" i="8"/>
  <c r="FI6" i="8"/>
  <c r="FJ6" i="8"/>
  <c r="FK6" i="8"/>
  <c r="FL6" i="8"/>
  <c r="FH7" i="8"/>
  <c r="FI7" i="8"/>
  <c r="FJ7" i="8"/>
  <c r="FK7" i="8"/>
  <c r="FL7" i="8"/>
  <c r="FH8" i="8"/>
  <c r="FI8" i="8"/>
  <c r="FJ8" i="8"/>
  <c r="FK8" i="8"/>
  <c r="FL8" i="8"/>
  <c r="FH9" i="8"/>
  <c r="FI9" i="8"/>
  <c r="FJ9" i="8"/>
  <c r="FK9" i="8"/>
  <c r="FL9" i="8"/>
  <c r="FH10" i="8"/>
  <c r="FI10" i="8"/>
  <c r="FJ10" i="8"/>
  <c r="FK10" i="8"/>
  <c r="FL10" i="8"/>
  <c r="FH11" i="8"/>
  <c r="FI11" i="8"/>
  <c r="FJ11" i="8"/>
  <c r="FK11" i="8"/>
  <c r="FL11" i="8"/>
  <c r="FH12" i="8"/>
  <c r="FI12" i="8"/>
  <c r="FJ12" i="8"/>
  <c r="FK12" i="8"/>
  <c r="FL12" i="8"/>
  <c r="FH13" i="8"/>
  <c r="FI13" i="8"/>
  <c r="FJ13" i="8"/>
  <c r="FK13" i="8"/>
  <c r="FL13" i="8"/>
  <c r="FH14" i="8"/>
  <c r="FI14" i="8"/>
  <c r="FJ14" i="8"/>
  <c r="FK14" i="8"/>
  <c r="FL14" i="8"/>
  <c r="FH15" i="8"/>
  <c r="FI15" i="8"/>
  <c r="FJ15" i="8"/>
  <c r="FK15" i="8"/>
  <c r="FL15" i="8"/>
  <c r="FH16" i="8"/>
  <c r="FI16" i="8"/>
  <c r="FJ16" i="8"/>
  <c r="FK16" i="8"/>
  <c r="FL16" i="8"/>
  <c r="FH17" i="8"/>
  <c r="FI17" i="8"/>
  <c r="FJ17" i="8"/>
  <c r="FK17" i="8"/>
  <c r="FL17" i="8"/>
  <c r="FH18" i="8"/>
  <c r="FI18" i="8"/>
  <c r="FJ18" i="8"/>
  <c r="FK18" i="8"/>
  <c r="FL18" i="8"/>
  <c r="FH19" i="8"/>
  <c r="FI19" i="8"/>
  <c r="FJ19" i="8"/>
  <c r="FK19" i="8"/>
  <c r="FL19" i="8"/>
  <c r="FH20" i="8"/>
  <c r="FI20" i="8"/>
  <c r="FJ20" i="8"/>
  <c r="FK20" i="8"/>
  <c r="FL20" i="8"/>
  <c r="FH21" i="8"/>
  <c r="FI21" i="8"/>
  <c r="FJ21" i="8"/>
  <c r="FK21" i="8"/>
  <c r="FL21" i="8"/>
  <c r="FH22" i="8"/>
  <c r="FI22" i="8"/>
  <c r="FJ22" i="8"/>
  <c r="FK22" i="8"/>
  <c r="FL22" i="8"/>
  <c r="FH23" i="8"/>
  <c r="FI23" i="8"/>
  <c r="FJ23" i="8"/>
  <c r="FK23" i="8"/>
  <c r="FL23" i="8"/>
  <c r="FH24" i="8"/>
  <c r="FI24" i="8"/>
  <c r="FJ24" i="8"/>
  <c r="FK24" i="8"/>
  <c r="FL24" i="8"/>
  <c r="FH25" i="8"/>
  <c r="FI25" i="8"/>
  <c r="FJ25" i="8"/>
  <c r="FK25" i="8"/>
  <c r="FL25" i="8"/>
  <c r="FH26" i="8"/>
  <c r="FI26" i="8"/>
  <c r="FJ26" i="8"/>
  <c r="FK26" i="8"/>
  <c r="FL26" i="8"/>
  <c r="FH27" i="8"/>
  <c r="FI27" i="8"/>
  <c r="FJ27" i="8"/>
  <c r="FK27" i="8"/>
  <c r="FL27" i="8"/>
  <c r="FH28" i="8"/>
  <c r="FI28" i="8"/>
  <c r="FJ28" i="8"/>
  <c r="FK28" i="8"/>
  <c r="FL28" i="8"/>
  <c r="FH29" i="8"/>
  <c r="FI29" i="8"/>
  <c r="FJ29" i="8"/>
  <c r="FK29" i="8"/>
  <c r="FL29" i="8"/>
  <c r="FH30" i="8"/>
  <c r="FI30" i="8"/>
  <c r="FJ30" i="8"/>
  <c r="FK30" i="8"/>
  <c r="FL30" i="8"/>
  <c r="FH31" i="8"/>
  <c r="FI31" i="8"/>
  <c r="FJ31" i="8"/>
  <c r="FK31" i="8"/>
  <c r="FL31" i="8"/>
  <c r="FH32" i="8"/>
  <c r="FI32" i="8"/>
  <c r="FJ32" i="8"/>
  <c r="FK32" i="8"/>
  <c r="FL32" i="8"/>
  <c r="FH33" i="8"/>
  <c r="FI33" i="8"/>
  <c r="FJ33" i="8"/>
  <c r="FK33" i="8"/>
  <c r="FL33" i="8"/>
  <c r="FH34" i="8"/>
  <c r="FI34" i="8"/>
  <c r="FJ34" i="8"/>
  <c r="FK34" i="8"/>
  <c r="FL34" i="8"/>
  <c r="FH35" i="8"/>
  <c r="FI35" i="8"/>
  <c r="FJ35" i="8"/>
  <c r="FK35" i="8"/>
  <c r="FL35" i="8"/>
  <c r="FH36" i="8"/>
  <c r="FI36" i="8"/>
  <c r="FJ36" i="8"/>
  <c r="FK36" i="8"/>
  <c r="FL36" i="8"/>
  <c r="FH37" i="8"/>
  <c r="FI37" i="8"/>
  <c r="FJ37" i="8"/>
  <c r="FK37" i="8"/>
  <c r="FL37" i="8"/>
  <c r="FH38" i="8"/>
  <c r="FI38" i="8"/>
  <c r="FJ38" i="8"/>
  <c r="FK38" i="8"/>
  <c r="FL38" i="8"/>
  <c r="FH39" i="8"/>
  <c r="FI39" i="8"/>
  <c r="FJ39" i="8"/>
  <c r="FK39" i="8"/>
  <c r="FL39" i="8"/>
  <c r="FH40" i="8"/>
  <c r="FI40" i="8"/>
  <c r="FJ40" i="8"/>
  <c r="FK40" i="8"/>
  <c r="FL40" i="8"/>
  <c r="FH41" i="8"/>
  <c r="FI41" i="8"/>
  <c r="FJ41" i="8"/>
  <c r="FK41" i="8"/>
  <c r="FL41" i="8"/>
  <c r="FH42" i="8"/>
  <c r="FI42" i="8"/>
  <c r="FJ42" i="8"/>
  <c r="FK42" i="8"/>
  <c r="FL42" i="8"/>
  <c r="FH43" i="8"/>
  <c r="FI43" i="8"/>
  <c r="FJ43" i="8"/>
  <c r="FK43" i="8"/>
  <c r="FL43" i="8"/>
  <c r="FH44" i="8"/>
  <c r="FI44" i="8"/>
  <c r="FJ44" i="8"/>
  <c r="FK44" i="8"/>
  <c r="FL44" i="8"/>
  <c r="FH45" i="8"/>
  <c r="FI45" i="8"/>
  <c r="FJ45" i="8"/>
  <c r="FK45" i="8"/>
  <c r="FL45" i="8"/>
  <c r="EE6" i="8"/>
  <c r="EF6" i="8"/>
  <c r="EG6" i="8"/>
  <c r="EH6" i="8"/>
  <c r="EI6" i="8"/>
  <c r="EJ6" i="8"/>
  <c r="EK6" i="8"/>
  <c r="EL6" i="8"/>
  <c r="EM6" i="8"/>
  <c r="EN6" i="8"/>
  <c r="EO6" i="8"/>
  <c r="EP6" i="8"/>
  <c r="EQ6" i="8"/>
  <c r="ER6" i="8"/>
  <c r="ES6" i="8"/>
  <c r="ET6" i="8"/>
  <c r="EU6" i="8"/>
  <c r="EV6" i="8"/>
  <c r="EW6" i="8"/>
  <c r="EX6" i="8"/>
  <c r="EY6" i="8"/>
  <c r="EZ6" i="8"/>
  <c r="FA6" i="8"/>
  <c r="FB6" i="8"/>
  <c r="EE7" i="8"/>
  <c r="EF7" i="8"/>
  <c r="EG7" i="8"/>
  <c r="EH7" i="8"/>
  <c r="EI7" i="8"/>
  <c r="EJ7" i="8"/>
  <c r="EK7" i="8"/>
  <c r="EL7" i="8"/>
  <c r="EM7" i="8"/>
  <c r="EN7" i="8"/>
  <c r="EO7" i="8"/>
  <c r="EP7" i="8"/>
  <c r="EQ7" i="8"/>
  <c r="ER7" i="8"/>
  <c r="ES7" i="8"/>
  <c r="ET7" i="8"/>
  <c r="EU7" i="8"/>
  <c r="EV7" i="8"/>
  <c r="EW7" i="8"/>
  <c r="EX7" i="8"/>
  <c r="EY7" i="8"/>
  <c r="EZ7" i="8"/>
  <c r="FA7" i="8"/>
  <c r="FB7" i="8"/>
  <c r="EE8" i="8"/>
  <c r="EF8" i="8"/>
  <c r="EG8" i="8"/>
  <c r="EH8" i="8"/>
  <c r="EI8" i="8"/>
  <c r="EJ8" i="8"/>
  <c r="EK8" i="8"/>
  <c r="EL8" i="8"/>
  <c r="EM8" i="8"/>
  <c r="EN8" i="8"/>
  <c r="EO8" i="8"/>
  <c r="EP8" i="8"/>
  <c r="EQ8" i="8"/>
  <c r="ER8" i="8"/>
  <c r="ES8" i="8"/>
  <c r="ET8" i="8"/>
  <c r="EU8" i="8"/>
  <c r="EV8" i="8"/>
  <c r="EW8" i="8"/>
  <c r="EX8" i="8"/>
  <c r="EY8" i="8"/>
  <c r="EZ8" i="8"/>
  <c r="FA8" i="8"/>
  <c r="FB8" i="8"/>
  <c r="EE9" i="8"/>
  <c r="EF9" i="8"/>
  <c r="EG9" i="8"/>
  <c r="EH9" i="8"/>
  <c r="EI9" i="8"/>
  <c r="EJ9" i="8"/>
  <c r="EK9" i="8"/>
  <c r="EL9" i="8"/>
  <c r="EM9" i="8"/>
  <c r="EN9" i="8"/>
  <c r="EO9" i="8"/>
  <c r="EP9" i="8"/>
  <c r="EQ9" i="8"/>
  <c r="ER9" i="8"/>
  <c r="ES9" i="8"/>
  <c r="ET9" i="8"/>
  <c r="EU9" i="8"/>
  <c r="EV9" i="8"/>
  <c r="EW9" i="8"/>
  <c r="EX9" i="8"/>
  <c r="EY9" i="8"/>
  <c r="EZ9" i="8"/>
  <c r="FA9" i="8"/>
  <c r="FB9" i="8"/>
  <c r="EE10" i="8"/>
  <c r="EF10" i="8"/>
  <c r="EG10" i="8"/>
  <c r="EH10" i="8"/>
  <c r="EI10" i="8"/>
  <c r="EJ10" i="8"/>
  <c r="EK10" i="8"/>
  <c r="EL10" i="8"/>
  <c r="EM10" i="8"/>
  <c r="EN10" i="8"/>
  <c r="EO10" i="8"/>
  <c r="EP10" i="8"/>
  <c r="EQ10" i="8"/>
  <c r="ER10" i="8"/>
  <c r="ES10" i="8"/>
  <c r="ET10" i="8"/>
  <c r="EU10" i="8"/>
  <c r="EV10" i="8"/>
  <c r="EW10" i="8"/>
  <c r="EX10" i="8"/>
  <c r="EY10" i="8"/>
  <c r="EZ10" i="8"/>
  <c r="FA10" i="8"/>
  <c r="FB10" i="8"/>
  <c r="EE11" i="8"/>
  <c r="EF11" i="8"/>
  <c r="EG11" i="8"/>
  <c r="EH11" i="8"/>
  <c r="EI11" i="8"/>
  <c r="EJ11" i="8"/>
  <c r="EK11" i="8"/>
  <c r="EL11" i="8"/>
  <c r="EM11" i="8"/>
  <c r="EN11" i="8"/>
  <c r="EO11" i="8"/>
  <c r="EP11" i="8"/>
  <c r="EQ11" i="8"/>
  <c r="ER11" i="8"/>
  <c r="ES11" i="8"/>
  <c r="ET11" i="8"/>
  <c r="EU11" i="8"/>
  <c r="EV11" i="8"/>
  <c r="EW11" i="8"/>
  <c r="EX11" i="8"/>
  <c r="EY11" i="8"/>
  <c r="EZ11" i="8"/>
  <c r="FA11" i="8"/>
  <c r="FB11" i="8"/>
  <c r="EE12" i="8"/>
  <c r="EF12" i="8"/>
  <c r="EG12" i="8"/>
  <c r="EH12" i="8"/>
  <c r="EI12" i="8"/>
  <c r="EJ12" i="8"/>
  <c r="EK12" i="8"/>
  <c r="EL12" i="8"/>
  <c r="EM12" i="8"/>
  <c r="EN12" i="8"/>
  <c r="EO12" i="8"/>
  <c r="EP12" i="8"/>
  <c r="EQ12" i="8"/>
  <c r="ER12" i="8"/>
  <c r="ES12" i="8"/>
  <c r="ET12" i="8"/>
  <c r="EU12" i="8"/>
  <c r="EV12" i="8"/>
  <c r="EW12" i="8"/>
  <c r="EX12" i="8"/>
  <c r="EY12" i="8"/>
  <c r="EZ12" i="8"/>
  <c r="FA12" i="8"/>
  <c r="FB12" i="8"/>
  <c r="EE13" i="8"/>
  <c r="EF13" i="8"/>
  <c r="EG13" i="8"/>
  <c r="EH13" i="8"/>
  <c r="EI13" i="8"/>
  <c r="EJ13" i="8"/>
  <c r="EK13" i="8"/>
  <c r="EL13" i="8"/>
  <c r="EM13" i="8"/>
  <c r="EN13" i="8"/>
  <c r="EO13" i="8"/>
  <c r="EP13" i="8"/>
  <c r="EQ13" i="8"/>
  <c r="ER13" i="8"/>
  <c r="ES13" i="8"/>
  <c r="ET13" i="8"/>
  <c r="EU13" i="8"/>
  <c r="EV13" i="8"/>
  <c r="EW13" i="8"/>
  <c r="EX13" i="8"/>
  <c r="EY13" i="8"/>
  <c r="EZ13" i="8"/>
  <c r="FA13" i="8"/>
  <c r="FB13" i="8"/>
  <c r="EE14" i="8"/>
  <c r="EF14" i="8"/>
  <c r="EG14" i="8"/>
  <c r="EH14" i="8"/>
  <c r="EI14" i="8"/>
  <c r="EJ14" i="8"/>
  <c r="EK14" i="8"/>
  <c r="EL14" i="8"/>
  <c r="EM14" i="8"/>
  <c r="EN14" i="8"/>
  <c r="EO14" i="8"/>
  <c r="EP14" i="8"/>
  <c r="EQ14" i="8"/>
  <c r="ER14" i="8"/>
  <c r="ES14" i="8"/>
  <c r="ET14" i="8"/>
  <c r="EU14" i="8"/>
  <c r="EV14" i="8"/>
  <c r="EW14" i="8"/>
  <c r="EX14" i="8"/>
  <c r="EY14" i="8"/>
  <c r="EZ14" i="8"/>
  <c r="FA14" i="8"/>
  <c r="FB14" i="8"/>
  <c r="EE15" i="8"/>
  <c r="EF15" i="8"/>
  <c r="EG15" i="8"/>
  <c r="EH15" i="8"/>
  <c r="EI15" i="8"/>
  <c r="EJ15" i="8"/>
  <c r="EK15" i="8"/>
  <c r="EL15" i="8"/>
  <c r="EM15" i="8"/>
  <c r="EN15" i="8"/>
  <c r="EO15" i="8"/>
  <c r="EP15" i="8"/>
  <c r="EQ15" i="8"/>
  <c r="ER15" i="8"/>
  <c r="ES15" i="8"/>
  <c r="ET15" i="8"/>
  <c r="EU15" i="8"/>
  <c r="EV15" i="8"/>
  <c r="EW15" i="8"/>
  <c r="EX15" i="8"/>
  <c r="EY15" i="8"/>
  <c r="EZ15" i="8"/>
  <c r="FA15" i="8"/>
  <c r="FB15" i="8"/>
  <c r="EE16" i="8"/>
  <c r="EF16" i="8"/>
  <c r="EG16" i="8"/>
  <c r="EH16" i="8"/>
  <c r="EI16" i="8"/>
  <c r="EJ16" i="8"/>
  <c r="EK16" i="8"/>
  <c r="EL16" i="8"/>
  <c r="EM16" i="8"/>
  <c r="EN16" i="8"/>
  <c r="EO16" i="8"/>
  <c r="EP16" i="8"/>
  <c r="EQ16" i="8"/>
  <c r="ER16" i="8"/>
  <c r="ES16" i="8"/>
  <c r="ET16" i="8"/>
  <c r="EU16" i="8"/>
  <c r="EV16" i="8"/>
  <c r="EW16" i="8"/>
  <c r="EX16" i="8"/>
  <c r="EY16" i="8"/>
  <c r="EZ16" i="8"/>
  <c r="FA16" i="8"/>
  <c r="FB16" i="8"/>
  <c r="EE17" i="8"/>
  <c r="EF17" i="8"/>
  <c r="EG17" i="8"/>
  <c r="EH17" i="8"/>
  <c r="EI17" i="8"/>
  <c r="EJ17" i="8"/>
  <c r="EK17" i="8"/>
  <c r="EL17" i="8"/>
  <c r="EM17" i="8"/>
  <c r="EN17" i="8"/>
  <c r="EO17" i="8"/>
  <c r="EP17" i="8"/>
  <c r="EQ17" i="8"/>
  <c r="ER17" i="8"/>
  <c r="ES17" i="8"/>
  <c r="ET17" i="8"/>
  <c r="EU17" i="8"/>
  <c r="EV17" i="8"/>
  <c r="EW17" i="8"/>
  <c r="EX17" i="8"/>
  <c r="EY17" i="8"/>
  <c r="EZ17" i="8"/>
  <c r="FA17" i="8"/>
  <c r="FB17" i="8"/>
  <c r="EE18" i="8"/>
  <c r="EF18" i="8"/>
  <c r="EG18" i="8"/>
  <c r="EH18" i="8"/>
  <c r="EI18" i="8"/>
  <c r="EJ18" i="8"/>
  <c r="EK18" i="8"/>
  <c r="EL18" i="8"/>
  <c r="EM18" i="8"/>
  <c r="EN18" i="8"/>
  <c r="EO18" i="8"/>
  <c r="EP18" i="8"/>
  <c r="EQ18" i="8"/>
  <c r="ER18" i="8"/>
  <c r="ES18" i="8"/>
  <c r="ET18" i="8"/>
  <c r="EU18" i="8"/>
  <c r="EV18" i="8"/>
  <c r="EW18" i="8"/>
  <c r="EX18" i="8"/>
  <c r="EY18" i="8"/>
  <c r="EZ18" i="8"/>
  <c r="FA18" i="8"/>
  <c r="FB18" i="8"/>
  <c r="EE19" i="8"/>
  <c r="EF19" i="8"/>
  <c r="EG19" i="8"/>
  <c r="EH19" i="8"/>
  <c r="EI19" i="8"/>
  <c r="EJ19" i="8"/>
  <c r="EK19" i="8"/>
  <c r="EL19" i="8"/>
  <c r="EM19" i="8"/>
  <c r="EN19" i="8"/>
  <c r="EO19" i="8"/>
  <c r="EP19" i="8"/>
  <c r="EQ19" i="8"/>
  <c r="ER19" i="8"/>
  <c r="ES19" i="8"/>
  <c r="ET19" i="8"/>
  <c r="EU19" i="8"/>
  <c r="EV19" i="8"/>
  <c r="EW19" i="8"/>
  <c r="EX19" i="8"/>
  <c r="EY19" i="8"/>
  <c r="EZ19" i="8"/>
  <c r="FA19" i="8"/>
  <c r="FB19" i="8"/>
  <c r="EE20" i="8"/>
  <c r="EF20" i="8"/>
  <c r="EG20" i="8"/>
  <c r="EH20" i="8"/>
  <c r="EI20" i="8"/>
  <c r="EJ20" i="8"/>
  <c r="EK20" i="8"/>
  <c r="EL20" i="8"/>
  <c r="EM20" i="8"/>
  <c r="EN20" i="8"/>
  <c r="EO20" i="8"/>
  <c r="EP20" i="8"/>
  <c r="EQ20" i="8"/>
  <c r="ER20" i="8"/>
  <c r="ES20" i="8"/>
  <c r="ET20" i="8"/>
  <c r="EU20" i="8"/>
  <c r="EV20" i="8"/>
  <c r="EW20" i="8"/>
  <c r="EX20" i="8"/>
  <c r="EY20" i="8"/>
  <c r="EZ20" i="8"/>
  <c r="FA20" i="8"/>
  <c r="FB20" i="8"/>
  <c r="EE21" i="8"/>
  <c r="EF21" i="8"/>
  <c r="EG21" i="8"/>
  <c r="EH21" i="8"/>
  <c r="EI21" i="8"/>
  <c r="EJ21" i="8"/>
  <c r="EK21" i="8"/>
  <c r="EL21" i="8"/>
  <c r="EM21" i="8"/>
  <c r="EN21" i="8"/>
  <c r="EO21" i="8"/>
  <c r="EP21" i="8"/>
  <c r="EQ21" i="8"/>
  <c r="ER21" i="8"/>
  <c r="ES21" i="8"/>
  <c r="ET21" i="8"/>
  <c r="EU21" i="8"/>
  <c r="EV21" i="8"/>
  <c r="EW21" i="8"/>
  <c r="EX21" i="8"/>
  <c r="EY21" i="8"/>
  <c r="EZ21" i="8"/>
  <c r="FA21" i="8"/>
  <c r="FB21" i="8"/>
  <c r="EE22" i="8"/>
  <c r="EF22" i="8"/>
  <c r="EG22" i="8"/>
  <c r="EH22" i="8"/>
  <c r="EI22" i="8"/>
  <c r="EJ22" i="8"/>
  <c r="EK22" i="8"/>
  <c r="EL22" i="8"/>
  <c r="EM22" i="8"/>
  <c r="EN22" i="8"/>
  <c r="EO22" i="8"/>
  <c r="EP22" i="8"/>
  <c r="EQ22" i="8"/>
  <c r="ER22" i="8"/>
  <c r="ES22" i="8"/>
  <c r="ET22" i="8"/>
  <c r="EU22" i="8"/>
  <c r="EV22" i="8"/>
  <c r="EW22" i="8"/>
  <c r="EX22" i="8"/>
  <c r="EY22" i="8"/>
  <c r="EZ22" i="8"/>
  <c r="FA22" i="8"/>
  <c r="FB22" i="8"/>
  <c r="EE23" i="8"/>
  <c r="EF23" i="8"/>
  <c r="EG23" i="8"/>
  <c r="EH23" i="8"/>
  <c r="EI23" i="8"/>
  <c r="EJ23" i="8"/>
  <c r="EK23" i="8"/>
  <c r="EL23" i="8"/>
  <c r="EM23" i="8"/>
  <c r="EN23" i="8"/>
  <c r="EO23" i="8"/>
  <c r="EP23" i="8"/>
  <c r="EQ23" i="8"/>
  <c r="ER23" i="8"/>
  <c r="ES23" i="8"/>
  <c r="ET23" i="8"/>
  <c r="EU23" i="8"/>
  <c r="EV23" i="8"/>
  <c r="EW23" i="8"/>
  <c r="EX23" i="8"/>
  <c r="EY23" i="8"/>
  <c r="EZ23" i="8"/>
  <c r="FA23" i="8"/>
  <c r="FB23" i="8"/>
  <c r="EE24" i="8"/>
  <c r="EF24" i="8"/>
  <c r="EG24" i="8"/>
  <c r="EH24" i="8"/>
  <c r="EI24" i="8"/>
  <c r="EJ24" i="8"/>
  <c r="EK24" i="8"/>
  <c r="EL24" i="8"/>
  <c r="EM24" i="8"/>
  <c r="EN24" i="8"/>
  <c r="EO24" i="8"/>
  <c r="EP24" i="8"/>
  <c r="EQ24" i="8"/>
  <c r="ER24" i="8"/>
  <c r="ES24" i="8"/>
  <c r="ET24" i="8"/>
  <c r="EU24" i="8"/>
  <c r="EV24" i="8"/>
  <c r="EW24" i="8"/>
  <c r="EX24" i="8"/>
  <c r="EY24" i="8"/>
  <c r="EZ24" i="8"/>
  <c r="FA24" i="8"/>
  <c r="FB24" i="8"/>
  <c r="EE25" i="8"/>
  <c r="EF25" i="8"/>
  <c r="EG25" i="8"/>
  <c r="EH25" i="8"/>
  <c r="EI25" i="8"/>
  <c r="EJ25" i="8"/>
  <c r="EK25" i="8"/>
  <c r="EL25" i="8"/>
  <c r="EM25" i="8"/>
  <c r="EN25" i="8"/>
  <c r="EO25" i="8"/>
  <c r="EP25" i="8"/>
  <c r="EQ25" i="8"/>
  <c r="ER25" i="8"/>
  <c r="ES25" i="8"/>
  <c r="ET25" i="8"/>
  <c r="EU25" i="8"/>
  <c r="EV25" i="8"/>
  <c r="EW25" i="8"/>
  <c r="EX25" i="8"/>
  <c r="EY25" i="8"/>
  <c r="EZ25" i="8"/>
  <c r="FA25" i="8"/>
  <c r="FB25" i="8"/>
  <c r="EE26" i="8"/>
  <c r="EF26" i="8"/>
  <c r="EG26" i="8"/>
  <c r="EH26" i="8"/>
  <c r="EI26" i="8"/>
  <c r="EJ26" i="8"/>
  <c r="EK26" i="8"/>
  <c r="EL26" i="8"/>
  <c r="EM26" i="8"/>
  <c r="EN26" i="8"/>
  <c r="EO26" i="8"/>
  <c r="EP26" i="8"/>
  <c r="EQ26" i="8"/>
  <c r="ER26" i="8"/>
  <c r="ES26" i="8"/>
  <c r="ET26" i="8"/>
  <c r="EU26" i="8"/>
  <c r="EV26" i="8"/>
  <c r="EW26" i="8"/>
  <c r="EX26" i="8"/>
  <c r="EY26" i="8"/>
  <c r="EZ26" i="8"/>
  <c r="FA26" i="8"/>
  <c r="FB26" i="8"/>
  <c r="EE27" i="8"/>
  <c r="EF27" i="8"/>
  <c r="EG27" i="8"/>
  <c r="EH27" i="8"/>
  <c r="EI27" i="8"/>
  <c r="EJ27" i="8"/>
  <c r="EK27" i="8"/>
  <c r="EL27" i="8"/>
  <c r="EM27" i="8"/>
  <c r="EN27" i="8"/>
  <c r="EO27" i="8"/>
  <c r="EP27" i="8"/>
  <c r="EQ27" i="8"/>
  <c r="ER27" i="8"/>
  <c r="ES27" i="8"/>
  <c r="ET27" i="8"/>
  <c r="EU27" i="8"/>
  <c r="EV27" i="8"/>
  <c r="EW27" i="8"/>
  <c r="EX27" i="8"/>
  <c r="EY27" i="8"/>
  <c r="EZ27" i="8"/>
  <c r="FA27" i="8"/>
  <c r="FB27" i="8"/>
  <c r="EE28" i="8"/>
  <c r="EF28" i="8"/>
  <c r="EG28" i="8"/>
  <c r="EH28" i="8"/>
  <c r="EI28" i="8"/>
  <c r="EJ28" i="8"/>
  <c r="EK28" i="8"/>
  <c r="EL28" i="8"/>
  <c r="EM28" i="8"/>
  <c r="EN28" i="8"/>
  <c r="EO28" i="8"/>
  <c r="EP28" i="8"/>
  <c r="EQ28" i="8"/>
  <c r="ER28" i="8"/>
  <c r="ES28" i="8"/>
  <c r="ET28" i="8"/>
  <c r="EU28" i="8"/>
  <c r="EV28" i="8"/>
  <c r="EW28" i="8"/>
  <c r="EX28" i="8"/>
  <c r="EY28" i="8"/>
  <c r="EZ28" i="8"/>
  <c r="FA28" i="8"/>
  <c r="FB28" i="8"/>
  <c r="EE29" i="8"/>
  <c r="EF29" i="8"/>
  <c r="EG29" i="8"/>
  <c r="EH29" i="8"/>
  <c r="EI29" i="8"/>
  <c r="EJ29" i="8"/>
  <c r="EK29" i="8"/>
  <c r="EL29" i="8"/>
  <c r="EM29" i="8"/>
  <c r="EN29" i="8"/>
  <c r="EO29" i="8"/>
  <c r="EP29" i="8"/>
  <c r="EQ29" i="8"/>
  <c r="ER29" i="8"/>
  <c r="ES29" i="8"/>
  <c r="ET29" i="8"/>
  <c r="EU29" i="8"/>
  <c r="EV29" i="8"/>
  <c r="EW29" i="8"/>
  <c r="EX29" i="8"/>
  <c r="EY29" i="8"/>
  <c r="EZ29" i="8"/>
  <c r="FA29" i="8"/>
  <c r="FB29" i="8"/>
  <c r="EE30" i="8"/>
  <c r="EF30" i="8"/>
  <c r="EG30" i="8"/>
  <c r="EH30" i="8"/>
  <c r="EI30" i="8"/>
  <c r="EJ30" i="8"/>
  <c r="EK30" i="8"/>
  <c r="EL30" i="8"/>
  <c r="EM30" i="8"/>
  <c r="EN30" i="8"/>
  <c r="EO30" i="8"/>
  <c r="EP30" i="8"/>
  <c r="EQ30" i="8"/>
  <c r="ER30" i="8"/>
  <c r="ES30" i="8"/>
  <c r="ET30" i="8"/>
  <c r="EU30" i="8"/>
  <c r="EV30" i="8"/>
  <c r="EW30" i="8"/>
  <c r="EX30" i="8"/>
  <c r="EY30" i="8"/>
  <c r="EZ30" i="8"/>
  <c r="FA30" i="8"/>
  <c r="FB30" i="8"/>
  <c r="EE31" i="8"/>
  <c r="EF31" i="8"/>
  <c r="EG31" i="8"/>
  <c r="EH31" i="8"/>
  <c r="EI31" i="8"/>
  <c r="EJ31" i="8"/>
  <c r="EK31" i="8"/>
  <c r="EL31" i="8"/>
  <c r="EM31" i="8"/>
  <c r="EN31" i="8"/>
  <c r="EO31" i="8"/>
  <c r="EP31" i="8"/>
  <c r="EQ31" i="8"/>
  <c r="ER31" i="8"/>
  <c r="ES31" i="8"/>
  <c r="ET31" i="8"/>
  <c r="EU31" i="8"/>
  <c r="EV31" i="8"/>
  <c r="EW31" i="8"/>
  <c r="EX31" i="8"/>
  <c r="EY31" i="8"/>
  <c r="EZ31" i="8"/>
  <c r="FA31" i="8"/>
  <c r="FB31" i="8"/>
  <c r="EE32" i="8"/>
  <c r="EF32" i="8"/>
  <c r="EG32" i="8"/>
  <c r="EH32" i="8"/>
  <c r="EI32" i="8"/>
  <c r="EJ32" i="8"/>
  <c r="EK32" i="8"/>
  <c r="EL32" i="8"/>
  <c r="EM32" i="8"/>
  <c r="EN32" i="8"/>
  <c r="EO32" i="8"/>
  <c r="EP32" i="8"/>
  <c r="EQ32" i="8"/>
  <c r="ER32" i="8"/>
  <c r="ES32" i="8"/>
  <c r="ET32" i="8"/>
  <c r="EU32" i="8"/>
  <c r="EV32" i="8"/>
  <c r="EW32" i="8"/>
  <c r="EX32" i="8"/>
  <c r="EY32" i="8"/>
  <c r="EZ32" i="8"/>
  <c r="FA32" i="8"/>
  <c r="FB32" i="8"/>
  <c r="EE33" i="8"/>
  <c r="EF33" i="8"/>
  <c r="EG33" i="8"/>
  <c r="EH33" i="8"/>
  <c r="EI33" i="8"/>
  <c r="EJ33" i="8"/>
  <c r="EK33" i="8"/>
  <c r="EL33" i="8"/>
  <c r="EM33" i="8"/>
  <c r="EN33" i="8"/>
  <c r="EO33" i="8"/>
  <c r="EP33" i="8"/>
  <c r="EQ33" i="8"/>
  <c r="ER33" i="8"/>
  <c r="ES33" i="8"/>
  <c r="ET33" i="8"/>
  <c r="EU33" i="8"/>
  <c r="EV33" i="8"/>
  <c r="EW33" i="8"/>
  <c r="EX33" i="8"/>
  <c r="EY33" i="8"/>
  <c r="EZ33" i="8"/>
  <c r="FA33" i="8"/>
  <c r="FB33" i="8"/>
  <c r="EE34" i="8"/>
  <c r="EF34" i="8"/>
  <c r="EG34" i="8"/>
  <c r="EH34" i="8"/>
  <c r="EI34" i="8"/>
  <c r="EJ34" i="8"/>
  <c r="EK34" i="8"/>
  <c r="EL34" i="8"/>
  <c r="EM34" i="8"/>
  <c r="EN34" i="8"/>
  <c r="EO34" i="8"/>
  <c r="EP34" i="8"/>
  <c r="EQ34" i="8"/>
  <c r="ER34" i="8"/>
  <c r="ES34" i="8"/>
  <c r="ET34" i="8"/>
  <c r="EU34" i="8"/>
  <c r="EV34" i="8"/>
  <c r="EW34" i="8"/>
  <c r="EX34" i="8"/>
  <c r="EY34" i="8"/>
  <c r="EZ34" i="8"/>
  <c r="FA34" i="8"/>
  <c r="FB34" i="8"/>
  <c r="EE35" i="8"/>
  <c r="EF35" i="8"/>
  <c r="EG35" i="8"/>
  <c r="EH35" i="8"/>
  <c r="EI35" i="8"/>
  <c r="EJ35" i="8"/>
  <c r="EK35" i="8"/>
  <c r="EL35" i="8"/>
  <c r="EM35" i="8"/>
  <c r="EN35" i="8"/>
  <c r="EO35" i="8"/>
  <c r="EP35" i="8"/>
  <c r="EQ35" i="8"/>
  <c r="ER35" i="8"/>
  <c r="ES35" i="8"/>
  <c r="ET35" i="8"/>
  <c r="EU35" i="8"/>
  <c r="EV35" i="8"/>
  <c r="EW35" i="8"/>
  <c r="EX35" i="8"/>
  <c r="EY35" i="8"/>
  <c r="EZ35" i="8"/>
  <c r="FA35" i="8"/>
  <c r="FB35" i="8"/>
  <c r="EE36" i="8"/>
  <c r="EF36" i="8"/>
  <c r="EG36" i="8"/>
  <c r="EH36" i="8"/>
  <c r="EI36" i="8"/>
  <c r="EJ36" i="8"/>
  <c r="EK36" i="8"/>
  <c r="EL36" i="8"/>
  <c r="EM36" i="8"/>
  <c r="EN36" i="8"/>
  <c r="EO36" i="8"/>
  <c r="EP36" i="8"/>
  <c r="EQ36" i="8"/>
  <c r="ER36" i="8"/>
  <c r="ES36" i="8"/>
  <c r="ET36" i="8"/>
  <c r="EU36" i="8"/>
  <c r="EV36" i="8"/>
  <c r="EW36" i="8"/>
  <c r="EX36" i="8"/>
  <c r="EY36" i="8"/>
  <c r="EZ36" i="8"/>
  <c r="FA36" i="8"/>
  <c r="FB36" i="8"/>
  <c r="EE37" i="8"/>
  <c r="EF37" i="8"/>
  <c r="EG37" i="8"/>
  <c r="EH37" i="8"/>
  <c r="EI37" i="8"/>
  <c r="EJ37" i="8"/>
  <c r="EK37" i="8"/>
  <c r="EL37" i="8"/>
  <c r="EM37" i="8"/>
  <c r="EN37" i="8"/>
  <c r="EO37" i="8"/>
  <c r="EP37" i="8"/>
  <c r="EQ37" i="8"/>
  <c r="ER37" i="8"/>
  <c r="ES37" i="8"/>
  <c r="ET37" i="8"/>
  <c r="EU37" i="8"/>
  <c r="EV37" i="8"/>
  <c r="EW37" i="8"/>
  <c r="EX37" i="8"/>
  <c r="EY37" i="8"/>
  <c r="EZ37" i="8"/>
  <c r="FA37" i="8"/>
  <c r="FB37" i="8"/>
  <c r="EE38" i="8"/>
  <c r="EF38" i="8"/>
  <c r="EG38" i="8"/>
  <c r="EH38" i="8"/>
  <c r="EI38" i="8"/>
  <c r="EJ38" i="8"/>
  <c r="EK38" i="8"/>
  <c r="EL38" i="8"/>
  <c r="EM38" i="8"/>
  <c r="EN38" i="8"/>
  <c r="EO38" i="8"/>
  <c r="EP38" i="8"/>
  <c r="EQ38" i="8"/>
  <c r="ER38" i="8"/>
  <c r="ES38" i="8"/>
  <c r="ET38" i="8"/>
  <c r="EU38" i="8"/>
  <c r="EV38" i="8"/>
  <c r="EW38" i="8"/>
  <c r="EX38" i="8"/>
  <c r="EY38" i="8"/>
  <c r="EZ38" i="8"/>
  <c r="FA38" i="8"/>
  <c r="FB38" i="8"/>
  <c r="EE39" i="8"/>
  <c r="EF39" i="8"/>
  <c r="EG39" i="8"/>
  <c r="EH39" i="8"/>
  <c r="EI39" i="8"/>
  <c r="EJ39" i="8"/>
  <c r="EK39" i="8"/>
  <c r="EL39" i="8"/>
  <c r="EM39" i="8"/>
  <c r="EN39" i="8"/>
  <c r="EO39" i="8"/>
  <c r="EP39" i="8"/>
  <c r="EQ39" i="8"/>
  <c r="ER39" i="8"/>
  <c r="ES39" i="8"/>
  <c r="ET39" i="8"/>
  <c r="EU39" i="8"/>
  <c r="EV39" i="8"/>
  <c r="EW39" i="8"/>
  <c r="EX39" i="8"/>
  <c r="EY39" i="8"/>
  <c r="EZ39" i="8"/>
  <c r="FA39" i="8"/>
  <c r="FB39" i="8"/>
  <c r="EE40" i="8"/>
  <c r="EF40" i="8"/>
  <c r="EG40" i="8"/>
  <c r="EH40" i="8"/>
  <c r="EI40" i="8"/>
  <c r="EJ40" i="8"/>
  <c r="EK40" i="8"/>
  <c r="EL40" i="8"/>
  <c r="EM40" i="8"/>
  <c r="EN40" i="8"/>
  <c r="EO40" i="8"/>
  <c r="EP40" i="8"/>
  <c r="EQ40" i="8"/>
  <c r="ER40" i="8"/>
  <c r="ES40" i="8"/>
  <c r="ET40" i="8"/>
  <c r="EU40" i="8"/>
  <c r="EV40" i="8"/>
  <c r="EW40" i="8"/>
  <c r="EX40" i="8"/>
  <c r="EY40" i="8"/>
  <c r="EZ40" i="8"/>
  <c r="FA40" i="8"/>
  <c r="FB40" i="8"/>
  <c r="EE41" i="8"/>
  <c r="EF41" i="8"/>
  <c r="EG41" i="8"/>
  <c r="EH41" i="8"/>
  <c r="EI41" i="8"/>
  <c r="EJ41" i="8"/>
  <c r="EK41" i="8"/>
  <c r="EL41" i="8"/>
  <c r="EM41" i="8"/>
  <c r="EN41" i="8"/>
  <c r="EO41" i="8"/>
  <c r="EP41" i="8"/>
  <c r="EQ41" i="8"/>
  <c r="ER41" i="8"/>
  <c r="ES41" i="8"/>
  <c r="ET41" i="8"/>
  <c r="EU41" i="8"/>
  <c r="EV41" i="8"/>
  <c r="EW41" i="8"/>
  <c r="EX41" i="8"/>
  <c r="EY41" i="8"/>
  <c r="EZ41" i="8"/>
  <c r="FA41" i="8"/>
  <c r="FB41" i="8"/>
  <c r="EE42" i="8"/>
  <c r="EF42" i="8"/>
  <c r="EG42" i="8"/>
  <c r="EH42" i="8"/>
  <c r="EI42" i="8"/>
  <c r="EJ42" i="8"/>
  <c r="EK42" i="8"/>
  <c r="EL42" i="8"/>
  <c r="EM42" i="8"/>
  <c r="EN42" i="8"/>
  <c r="EO42" i="8"/>
  <c r="EP42" i="8"/>
  <c r="EQ42" i="8"/>
  <c r="ER42" i="8"/>
  <c r="ES42" i="8"/>
  <c r="ET42" i="8"/>
  <c r="EU42" i="8"/>
  <c r="EV42" i="8"/>
  <c r="EW42" i="8"/>
  <c r="EX42" i="8"/>
  <c r="EY42" i="8"/>
  <c r="EZ42" i="8"/>
  <c r="FA42" i="8"/>
  <c r="FB42" i="8"/>
  <c r="EE43" i="8"/>
  <c r="EF43" i="8"/>
  <c r="EG43" i="8"/>
  <c r="EH43" i="8"/>
  <c r="EI43" i="8"/>
  <c r="EJ43" i="8"/>
  <c r="EK43" i="8"/>
  <c r="EL43" i="8"/>
  <c r="EM43" i="8"/>
  <c r="EN43" i="8"/>
  <c r="EO43" i="8"/>
  <c r="EP43" i="8"/>
  <c r="EQ43" i="8"/>
  <c r="ER43" i="8"/>
  <c r="ES43" i="8"/>
  <c r="ET43" i="8"/>
  <c r="EU43" i="8"/>
  <c r="EV43" i="8"/>
  <c r="EW43" i="8"/>
  <c r="EX43" i="8"/>
  <c r="EY43" i="8"/>
  <c r="EZ43" i="8"/>
  <c r="FA43" i="8"/>
  <c r="FB43" i="8"/>
  <c r="EE44" i="8"/>
  <c r="EF44" i="8"/>
  <c r="EG44" i="8"/>
  <c r="EH44" i="8"/>
  <c r="EI44" i="8"/>
  <c r="EJ44" i="8"/>
  <c r="EK44" i="8"/>
  <c r="EL44" i="8"/>
  <c r="EM44" i="8"/>
  <c r="EN44" i="8"/>
  <c r="EO44" i="8"/>
  <c r="EP44" i="8"/>
  <c r="EQ44" i="8"/>
  <c r="ER44" i="8"/>
  <c r="ES44" i="8"/>
  <c r="ET44" i="8"/>
  <c r="EU44" i="8"/>
  <c r="EV44" i="8"/>
  <c r="EW44" i="8"/>
  <c r="EX44" i="8"/>
  <c r="EY44" i="8"/>
  <c r="EZ44" i="8"/>
  <c r="FA44" i="8"/>
  <c r="FB44" i="8"/>
  <c r="EE45" i="8"/>
  <c r="EF45" i="8"/>
  <c r="EG45" i="8"/>
  <c r="EH45" i="8"/>
  <c r="EI45" i="8"/>
  <c r="EJ45" i="8"/>
  <c r="EK45" i="8"/>
  <c r="EL45" i="8"/>
  <c r="EM45" i="8"/>
  <c r="EN45" i="8"/>
  <c r="EO45" i="8"/>
  <c r="EP45" i="8"/>
  <c r="EQ45" i="8"/>
  <c r="ER45" i="8"/>
  <c r="ES45" i="8"/>
  <c r="ET45" i="8"/>
  <c r="EU45" i="8"/>
  <c r="EV45" i="8"/>
  <c r="EW45" i="8"/>
  <c r="EX45" i="8"/>
  <c r="EY45" i="8"/>
  <c r="EZ45" i="8"/>
  <c r="FA45" i="8"/>
  <c r="FB45" i="8"/>
  <c r="EE46" i="8"/>
  <c r="EF46" i="8"/>
  <c r="EG46" i="8"/>
  <c r="EH46" i="8"/>
  <c r="EI46" i="8"/>
  <c r="EJ46" i="8"/>
  <c r="EK46" i="8"/>
  <c r="EL46" i="8"/>
  <c r="EM46" i="8"/>
  <c r="EN46" i="8"/>
  <c r="EO46" i="8"/>
  <c r="EP46" i="8"/>
  <c r="EQ46" i="8"/>
  <c r="ER46" i="8"/>
  <c r="ES46" i="8"/>
  <c r="ET46" i="8"/>
  <c r="EU46" i="8"/>
  <c r="EV46" i="8"/>
  <c r="EW46" i="8"/>
  <c r="EX46" i="8"/>
  <c r="EY46" i="8"/>
  <c r="EZ46" i="8"/>
  <c r="FA46" i="8"/>
  <c r="FB46" i="8"/>
  <c r="EE47" i="8"/>
  <c r="EF47" i="8"/>
  <c r="EG47" i="8"/>
  <c r="EH47" i="8"/>
  <c r="EI47" i="8"/>
  <c r="EJ47" i="8"/>
  <c r="EK47" i="8"/>
  <c r="EL47" i="8"/>
  <c r="EM47" i="8"/>
  <c r="EN47" i="8"/>
  <c r="EO47" i="8"/>
  <c r="EP47" i="8"/>
  <c r="EQ47" i="8"/>
  <c r="ER47" i="8"/>
  <c r="ES47" i="8"/>
  <c r="ET47" i="8"/>
  <c r="EU47" i="8"/>
  <c r="EV47" i="8"/>
  <c r="EW47" i="8"/>
  <c r="EX47" i="8"/>
  <c r="EY47" i="8"/>
  <c r="EZ47" i="8"/>
  <c r="FA47" i="8"/>
  <c r="FB47" i="8"/>
  <c r="EE48" i="8"/>
  <c r="EF48" i="8"/>
  <c r="EG48" i="8"/>
  <c r="EH48" i="8"/>
  <c r="EI48" i="8"/>
  <c r="EJ48" i="8"/>
  <c r="EK48" i="8"/>
  <c r="EL48" i="8"/>
  <c r="EM48" i="8"/>
  <c r="EN48" i="8"/>
  <c r="EO48" i="8"/>
  <c r="EP48" i="8"/>
  <c r="EQ48" i="8"/>
  <c r="ER48" i="8"/>
  <c r="ES48" i="8"/>
  <c r="ET48" i="8"/>
  <c r="EU48" i="8"/>
  <c r="EV48" i="8"/>
  <c r="EW48" i="8"/>
  <c r="EX48" i="8"/>
  <c r="EY48" i="8"/>
  <c r="EZ48" i="8"/>
  <c r="FA48" i="8"/>
  <c r="FB48" i="8"/>
  <c r="EE49" i="8"/>
  <c r="EF49" i="8"/>
  <c r="EG49" i="8"/>
  <c r="EH49" i="8"/>
  <c r="EI49" i="8"/>
  <c r="EJ49" i="8"/>
  <c r="EK49" i="8"/>
  <c r="EL49" i="8"/>
  <c r="EM49" i="8"/>
  <c r="EN49" i="8"/>
  <c r="EO49" i="8"/>
  <c r="EP49" i="8"/>
  <c r="EQ49" i="8"/>
  <c r="ER49" i="8"/>
  <c r="ES49" i="8"/>
  <c r="ET49" i="8"/>
  <c r="EU49" i="8"/>
  <c r="EV49" i="8"/>
  <c r="EW49" i="8"/>
  <c r="EX49" i="8"/>
  <c r="EY49" i="8"/>
  <c r="EZ49" i="8"/>
  <c r="FA49" i="8"/>
  <c r="FB49" i="8"/>
  <c r="EE50" i="8"/>
  <c r="EF50" i="8"/>
  <c r="EG50" i="8"/>
  <c r="EH50" i="8"/>
  <c r="EI50" i="8"/>
  <c r="EJ50" i="8"/>
  <c r="EK50" i="8"/>
  <c r="EL50" i="8"/>
  <c r="EM50" i="8"/>
  <c r="EN50" i="8"/>
  <c r="EO50" i="8"/>
  <c r="EP50" i="8"/>
  <c r="EQ50" i="8"/>
  <c r="ER50" i="8"/>
  <c r="ES50" i="8"/>
  <c r="ET50" i="8"/>
  <c r="EU50" i="8"/>
  <c r="EV50" i="8"/>
  <c r="EW50" i="8"/>
  <c r="EX50" i="8"/>
  <c r="EY50" i="8"/>
  <c r="EZ50" i="8"/>
  <c r="FA50" i="8"/>
  <c r="FB50" i="8"/>
  <c r="EE51" i="8"/>
  <c r="EF51" i="8"/>
  <c r="EG51" i="8"/>
  <c r="EH51" i="8"/>
  <c r="EI51" i="8"/>
  <c r="EJ51" i="8"/>
  <c r="EK51" i="8"/>
  <c r="EL51" i="8"/>
  <c r="EM51" i="8"/>
  <c r="EN51" i="8"/>
  <c r="EO51" i="8"/>
  <c r="EP51" i="8"/>
  <c r="EQ51" i="8"/>
  <c r="ER51" i="8"/>
  <c r="ES51" i="8"/>
  <c r="ET51" i="8"/>
  <c r="EU51" i="8"/>
  <c r="EV51" i="8"/>
  <c r="EW51" i="8"/>
  <c r="EX51" i="8"/>
  <c r="EY51" i="8"/>
  <c r="EZ51" i="8"/>
  <c r="FA51" i="8"/>
  <c r="FB51" i="8"/>
  <c r="EE52" i="8"/>
  <c r="EF52" i="8"/>
  <c r="EG52" i="8"/>
  <c r="EH52" i="8"/>
  <c r="EI52" i="8"/>
  <c r="EJ52" i="8"/>
  <c r="EK52" i="8"/>
  <c r="EL52" i="8"/>
  <c r="EM52" i="8"/>
  <c r="EN52" i="8"/>
  <c r="EO52" i="8"/>
  <c r="EP52" i="8"/>
  <c r="EQ52" i="8"/>
  <c r="ER52" i="8"/>
  <c r="ES52" i="8"/>
  <c r="ET52" i="8"/>
  <c r="EU52" i="8"/>
  <c r="EV52" i="8"/>
  <c r="EW52" i="8"/>
  <c r="EX52" i="8"/>
  <c r="EY52" i="8"/>
  <c r="EZ52" i="8"/>
  <c r="FA52" i="8"/>
  <c r="FB52" i="8"/>
  <c r="EE53" i="8"/>
  <c r="EF53" i="8"/>
  <c r="EG53" i="8"/>
  <c r="EH53" i="8"/>
  <c r="EI53" i="8"/>
  <c r="EJ53" i="8"/>
  <c r="EK53" i="8"/>
  <c r="EL53" i="8"/>
  <c r="EM53" i="8"/>
  <c r="EN53" i="8"/>
  <c r="EO53" i="8"/>
  <c r="EP53" i="8"/>
  <c r="EQ53" i="8"/>
  <c r="ER53" i="8"/>
  <c r="ES53" i="8"/>
  <c r="ET53" i="8"/>
  <c r="EU53" i="8"/>
  <c r="EV53" i="8"/>
  <c r="EW53" i="8"/>
  <c r="EX53" i="8"/>
  <c r="EY53" i="8"/>
  <c r="EZ53" i="8"/>
  <c r="FA53" i="8"/>
  <c r="FB53" i="8"/>
  <c r="EE54" i="8"/>
  <c r="EF54" i="8"/>
  <c r="EG54" i="8"/>
  <c r="EH54" i="8"/>
  <c r="EI54" i="8"/>
  <c r="EJ54" i="8"/>
  <c r="EK54" i="8"/>
  <c r="EL54" i="8"/>
  <c r="EM54" i="8"/>
  <c r="EN54" i="8"/>
  <c r="EO54" i="8"/>
  <c r="EP54" i="8"/>
  <c r="EQ54" i="8"/>
  <c r="ER54" i="8"/>
  <c r="ES54" i="8"/>
  <c r="ET54" i="8"/>
  <c r="EU54" i="8"/>
  <c r="EV54" i="8"/>
  <c r="EW54" i="8"/>
  <c r="EX54" i="8"/>
  <c r="EY54" i="8"/>
  <c r="EZ54" i="8"/>
  <c r="FA54" i="8"/>
  <c r="FB54" i="8"/>
  <c r="EE55" i="8"/>
  <c r="EF55" i="8"/>
  <c r="EG55" i="8"/>
  <c r="EH55" i="8"/>
  <c r="EI55" i="8"/>
  <c r="EJ55" i="8"/>
  <c r="EK55" i="8"/>
  <c r="EL55" i="8"/>
  <c r="EM55" i="8"/>
  <c r="EN55" i="8"/>
  <c r="EO55" i="8"/>
  <c r="EP55" i="8"/>
  <c r="EQ55" i="8"/>
  <c r="ER55" i="8"/>
  <c r="ES55" i="8"/>
  <c r="ET55" i="8"/>
  <c r="EU55" i="8"/>
  <c r="EV55" i="8"/>
  <c r="EW55" i="8"/>
  <c r="EX55" i="8"/>
  <c r="EY55" i="8"/>
  <c r="EZ55" i="8"/>
  <c r="FA55" i="8"/>
  <c r="FB55" i="8"/>
  <c r="EE56" i="8"/>
  <c r="EF56" i="8"/>
  <c r="EG56" i="8"/>
  <c r="EH56" i="8"/>
  <c r="EI56" i="8"/>
  <c r="EJ56" i="8"/>
  <c r="EK56" i="8"/>
  <c r="EL56" i="8"/>
  <c r="EM56" i="8"/>
  <c r="EN56" i="8"/>
  <c r="EO56" i="8"/>
  <c r="EP56" i="8"/>
  <c r="EQ56" i="8"/>
  <c r="ER56" i="8"/>
  <c r="ES56" i="8"/>
  <c r="ET56" i="8"/>
  <c r="EU56" i="8"/>
  <c r="EV56" i="8"/>
  <c r="EW56" i="8"/>
  <c r="EX56" i="8"/>
  <c r="EY56" i="8"/>
  <c r="EZ56" i="8"/>
  <c r="FA56" i="8"/>
  <c r="FB56" i="8"/>
  <c r="EE57" i="8"/>
  <c r="EF57" i="8"/>
  <c r="EG57" i="8"/>
  <c r="EH57" i="8"/>
  <c r="EI57" i="8"/>
  <c r="EJ57" i="8"/>
  <c r="EK57" i="8"/>
  <c r="EL57" i="8"/>
  <c r="EM57" i="8"/>
  <c r="EN57" i="8"/>
  <c r="EO57" i="8"/>
  <c r="EP57" i="8"/>
  <c r="EQ57" i="8"/>
  <c r="ER57" i="8"/>
  <c r="ES57" i="8"/>
  <c r="ET57" i="8"/>
  <c r="EU57" i="8"/>
  <c r="EV57" i="8"/>
  <c r="EW57" i="8"/>
  <c r="EX57" i="8"/>
  <c r="EY57" i="8"/>
  <c r="EZ57" i="8"/>
  <c r="FA57" i="8"/>
  <c r="FB57" i="8"/>
  <c r="EE58" i="8"/>
  <c r="EF58" i="8"/>
  <c r="EG58" i="8"/>
  <c r="EH58" i="8"/>
  <c r="EI58" i="8"/>
  <c r="EJ58" i="8"/>
  <c r="EK58" i="8"/>
  <c r="EL58" i="8"/>
  <c r="EM58" i="8"/>
  <c r="EN58" i="8"/>
  <c r="EO58" i="8"/>
  <c r="EP58" i="8"/>
  <c r="EQ58" i="8"/>
  <c r="ER58" i="8"/>
  <c r="ES58" i="8"/>
  <c r="ET58" i="8"/>
  <c r="EU58" i="8"/>
  <c r="EV58" i="8"/>
  <c r="EW58" i="8"/>
  <c r="EX58" i="8"/>
  <c r="EY58" i="8"/>
  <c r="EZ58" i="8"/>
  <c r="FA58" i="8"/>
  <c r="FB58" i="8"/>
  <c r="EE59" i="8"/>
  <c r="EF59" i="8"/>
  <c r="EG59" i="8"/>
  <c r="EH59" i="8"/>
  <c r="EI59" i="8"/>
  <c r="EJ59" i="8"/>
  <c r="EK59" i="8"/>
  <c r="EL59" i="8"/>
  <c r="EM59" i="8"/>
  <c r="EN59" i="8"/>
  <c r="EO59" i="8"/>
  <c r="EP59" i="8"/>
  <c r="EQ59" i="8"/>
  <c r="ER59" i="8"/>
  <c r="ES59" i="8"/>
  <c r="ET59" i="8"/>
  <c r="EU59" i="8"/>
  <c r="EV59" i="8"/>
  <c r="EW59" i="8"/>
  <c r="EX59" i="8"/>
  <c r="EY59" i="8"/>
  <c r="EZ59" i="8"/>
  <c r="FA59" i="8"/>
  <c r="FB59" i="8"/>
  <c r="EE60" i="8"/>
  <c r="EF60" i="8"/>
  <c r="EG60" i="8"/>
  <c r="EH60" i="8"/>
  <c r="EI60" i="8"/>
  <c r="EJ60" i="8"/>
  <c r="EK60" i="8"/>
  <c r="EL60" i="8"/>
  <c r="EM60" i="8"/>
  <c r="EN60" i="8"/>
  <c r="EO60" i="8"/>
  <c r="EP60" i="8"/>
  <c r="EQ60" i="8"/>
  <c r="ER60" i="8"/>
  <c r="ES60" i="8"/>
  <c r="ET60" i="8"/>
  <c r="EU60" i="8"/>
  <c r="EV60" i="8"/>
  <c r="EW60" i="8"/>
  <c r="EX60" i="8"/>
  <c r="EY60" i="8"/>
  <c r="EZ60" i="8"/>
  <c r="FA60" i="8"/>
  <c r="FB60" i="8"/>
  <c r="EE61" i="8"/>
  <c r="EF61" i="8"/>
  <c r="EG61" i="8"/>
  <c r="EH61" i="8"/>
  <c r="EI61" i="8"/>
  <c r="EJ61" i="8"/>
  <c r="EK61" i="8"/>
  <c r="EL61" i="8"/>
  <c r="EM61" i="8"/>
  <c r="EN61" i="8"/>
  <c r="EO61" i="8"/>
  <c r="EP61" i="8"/>
  <c r="EQ61" i="8"/>
  <c r="ER61" i="8"/>
  <c r="ES61" i="8"/>
  <c r="ET61" i="8"/>
  <c r="EU61" i="8"/>
  <c r="EV61" i="8"/>
  <c r="EW61" i="8"/>
  <c r="EX61" i="8"/>
  <c r="EY61" i="8"/>
  <c r="EZ61" i="8"/>
  <c r="FA61" i="8"/>
  <c r="FB61" i="8"/>
  <c r="EE62" i="8"/>
  <c r="EF62" i="8"/>
  <c r="EG62" i="8"/>
  <c r="EH62" i="8"/>
  <c r="EI62" i="8"/>
  <c r="EJ62" i="8"/>
  <c r="EK62" i="8"/>
  <c r="EL62" i="8"/>
  <c r="EM62" i="8"/>
  <c r="EN62" i="8"/>
  <c r="EO62" i="8"/>
  <c r="EP62" i="8"/>
  <c r="EQ62" i="8"/>
  <c r="ER62" i="8"/>
  <c r="ES62" i="8"/>
  <c r="ET62" i="8"/>
  <c r="EU62" i="8"/>
  <c r="EV62" i="8"/>
  <c r="EW62" i="8"/>
  <c r="EX62" i="8"/>
  <c r="EY62" i="8"/>
  <c r="EZ62" i="8"/>
  <c r="FA62" i="8"/>
  <c r="FB62" i="8"/>
  <c r="EE63" i="8"/>
  <c r="EF63" i="8"/>
  <c r="EG63" i="8"/>
  <c r="EH63" i="8"/>
  <c r="EI63" i="8"/>
  <c r="EJ63" i="8"/>
  <c r="EK63" i="8"/>
  <c r="EL63" i="8"/>
  <c r="EM63" i="8"/>
  <c r="EN63" i="8"/>
  <c r="EO63" i="8"/>
  <c r="EP63" i="8"/>
  <c r="EQ63" i="8"/>
  <c r="ER63" i="8"/>
  <c r="ES63" i="8"/>
  <c r="ET63" i="8"/>
  <c r="EU63" i="8"/>
  <c r="EV63" i="8"/>
  <c r="EW63" i="8"/>
  <c r="EX63" i="8"/>
  <c r="EY63" i="8"/>
  <c r="EZ63" i="8"/>
  <c r="FA63" i="8"/>
  <c r="FB63" i="8"/>
  <c r="EE64" i="8"/>
  <c r="EF64" i="8"/>
  <c r="EG64" i="8"/>
  <c r="EH64" i="8"/>
  <c r="EI64" i="8"/>
  <c r="EJ64" i="8"/>
  <c r="EK64" i="8"/>
  <c r="EL64" i="8"/>
  <c r="EM64" i="8"/>
  <c r="EN64" i="8"/>
  <c r="EO64" i="8"/>
  <c r="EP64" i="8"/>
  <c r="EQ64" i="8"/>
  <c r="ER64" i="8"/>
  <c r="ES64" i="8"/>
  <c r="ET64" i="8"/>
  <c r="EU64" i="8"/>
  <c r="EV64" i="8"/>
  <c r="EW64" i="8"/>
  <c r="EX64" i="8"/>
  <c r="EY64" i="8"/>
  <c r="EZ64" i="8"/>
  <c r="FA64" i="8"/>
  <c r="FB64" i="8"/>
  <c r="EE65" i="8"/>
  <c r="EF65" i="8"/>
  <c r="EG65" i="8"/>
  <c r="EH65" i="8"/>
  <c r="EI65" i="8"/>
  <c r="EJ65" i="8"/>
  <c r="EK65" i="8"/>
  <c r="EL65" i="8"/>
  <c r="EM65" i="8"/>
  <c r="EN65" i="8"/>
  <c r="EO65" i="8"/>
  <c r="EP65" i="8"/>
  <c r="EQ65" i="8"/>
  <c r="ER65" i="8"/>
  <c r="ES65" i="8"/>
  <c r="ET65" i="8"/>
  <c r="EU65" i="8"/>
  <c r="EV65" i="8"/>
  <c r="EW65" i="8"/>
  <c r="EX65" i="8"/>
  <c r="EY65" i="8"/>
  <c r="EZ65" i="8"/>
  <c r="FA65" i="8"/>
  <c r="FB65" i="8"/>
  <c r="EE66" i="8"/>
  <c r="EF66" i="8"/>
  <c r="EG66" i="8"/>
  <c r="EH66" i="8"/>
  <c r="EI66" i="8"/>
  <c r="EJ66" i="8"/>
  <c r="EK66" i="8"/>
  <c r="EL66" i="8"/>
  <c r="EM66" i="8"/>
  <c r="EN66" i="8"/>
  <c r="EO66" i="8"/>
  <c r="EP66" i="8"/>
  <c r="EQ66" i="8"/>
  <c r="ER66" i="8"/>
  <c r="ES66" i="8"/>
  <c r="ET66" i="8"/>
  <c r="EU66" i="8"/>
  <c r="EV66" i="8"/>
  <c r="EW66" i="8"/>
  <c r="EX66" i="8"/>
  <c r="EY66" i="8"/>
  <c r="EZ66" i="8"/>
  <c r="FA66" i="8"/>
  <c r="FB66" i="8"/>
  <c r="EE67" i="8"/>
  <c r="EF67" i="8"/>
  <c r="EG67" i="8"/>
  <c r="EH67" i="8"/>
  <c r="EI67" i="8"/>
  <c r="EJ67" i="8"/>
  <c r="EK67" i="8"/>
  <c r="EL67" i="8"/>
  <c r="EM67" i="8"/>
  <c r="EN67" i="8"/>
  <c r="EO67" i="8"/>
  <c r="EP67" i="8"/>
  <c r="EQ67" i="8"/>
  <c r="ER67" i="8"/>
  <c r="ES67" i="8"/>
  <c r="ET67" i="8"/>
  <c r="EU67" i="8"/>
  <c r="EV67" i="8"/>
  <c r="EW67" i="8"/>
  <c r="EX67" i="8"/>
  <c r="EY67" i="8"/>
  <c r="EZ67" i="8"/>
  <c r="FA67" i="8"/>
  <c r="FB67" i="8"/>
  <c r="EE68" i="8"/>
  <c r="EF68" i="8"/>
  <c r="EG68" i="8"/>
  <c r="EH68" i="8"/>
  <c r="EI68" i="8"/>
  <c r="EJ68" i="8"/>
  <c r="EK68" i="8"/>
  <c r="EL68" i="8"/>
  <c r="EM68" i="8"/>
  <c r="EN68" i="8"/>
  <c r="EO68" i="8"/>
  <c r="EP68" i="8"/>
  <c r="EQ68" i="8"/>
  <c r="ER68" i="8"/>
  <c r="ES68" i="8"/>
  <c r="ET68" i="8"/>
  <c r="EU68" i="8"/>
  <c r="EV68" i="8"/>
  <c r="EW68" i="8"/>
  <c r="EX68" i="8"/>
  <c r="EY68" i="8"/>
  <c r="EZ68" i="8"/>
  <c r="FA68" i="8"/>
  <c r="FB68" i="8"/>
  <c r="EE69" i="8"/>
  <c r="EF69" i="8"/>
  <c r="EG69" i="8"/>
  <c r="EH69" i="8"/>
  <c r="EI69" i="8"/>
  <c r="EJ69" i="8"/>
  <c r="EK69" i="8"/>
  <c r="EL69" i="8"/>
  <c r="EM69" i="8"/>
  <c r="EN69" i="8"/>
  <c r="EO69" i="8"/>
  <c r="EP69" i="8"/>
  <c r="EQ69" i="8"/>
  <c r="ER69" i="8"/>
  <c r="ES69" i="8"/>
  <c r="ET69" i="8"/>
  <c r="EU69" i="8"/>
  <c r="EV69" i="8"/>
  <c r="EW69" i="8"/>
  <c r="EX69" i="8"/>
  <c r="EY69" i="8"/>
  <c r="EZ69" i="8"/>
  <c r="FA69" i="8"/>
  <c r="FB69" i="8"/>
  <c r="EE70" i="8"/>
  <c r="EF70" i="8"/>
  <c r="EG70" i="8"/>
  <c r="EH70" i="8"/>
  <c r="EI70" i="8"/>
  <c r="EJ70" i="8"/>
  <c r="EK70" i="8"/>
  <c r="EL70" i="8"/>
  <c r="EM70" i="8"/>
  <c r="EN70" i="8"/>
  <c r="EO70" i="8"/>
  <c r="EP70" i="8"/>
  <c r="EQ70" i="8"/>
  <c r="ER70" i="8"/>
  <c r="ES70" i="8"/>
  <c r="ET70" i="8"/>
  <c r="EU70" i="8"/>
  <c r="EV70" i="8"/>
  <c r="EW70" i="8"/>
  <c r="EX70" i="8"/>
  <c r="EY70" i="8"/>
  <c r="EZ70" i="8"/>
  <c r="FA70" i="8"/>
  <c r="FB70" i="8"/>
  <c r="EE71" i="8"/>
  <c r="EF71" i="8"/>
  <c r="EG71" i="8"/>
  <c r="EH71" i="8"/>
  <c r="EI71" i="8"/>
  <c r="EJ71" i="8"/>
  <c r="EK71" i="8"/>
  <c r="EL71" i="8"/>
  <c r="EM71" i="8"/>
  <c r="EN71" i="8"/>
  <c r="EO71" i="8"/>
  <c r="EP71" i="8"/>
  <c r="EQ71" i="8"/>
  <c r="ER71" i="8"/>
  <c r="ES71" i="8"/>
  <c r="ET71" i="8"/>
  <c r="EU71" i="8"/>
  <c r="EV71" i="8"/>
  <c r="EW71" i="8"/>
  <c r="EX71" i="8"/>
  <c r="EY71" i="8"/>
  <c r="EZ71" i="8"/>
  <c r="FA71" i="8"/>
  <c r="FB71" i="8"/>
  <c r="EE72" i="8"/>
  <c r="EF72" i="8"/>
  <c r="EG72" i="8"/>
  <c r="EH72" i="8"/>
  <c r="EI72" i="8"/>
  <c r="EJ72" i="8"/>
  <c r="EK72" i="8"/>
  <c r="EL72" i="8"/>
  <c r="EM72" i="8"/>
  <c r="EN72" i="8"/>
  <c r="EO72" i="8"/>
  <c r="EP72" i="8"/>
  <c r="EQ72" i="8"/>
  <c r="ER72" i="8"/>
  <c r="ES72" i="8"/>
  <c r="ET72" i="8"/>
  <c r="EU72" i="8"/>
  <c r="EV72" i="8"/>
  <c r="EW72" i="8"/>
  <c r="EX72" i="8"/>
  <c r="EY72" i="8"/>
  <c r="EZ72" i="8"/>
  <c r="FA72" i="8"/>
  <c r="FB72" i="8"/>
  <c r="EE73" i="8"/>
  <c r="EF73" i="8"/>
  <c r="EG73" i="8"/>
  <c r="EH73" i="8"/>
  <c r="EI73" i="8"/>
  <c r="EJ73" i="8"/>
  <c r="EK73" i="8"/>
  <c r="EL73" i="8"/>
  <c r="EM73" i="8"/>
  <c r="EN73" i="8"/>
  <c r="EO73" i="8"/>
  <c r="EP73" i="8"/>
  <c r="EQ73" i="8"/>
  <c r="ER73" i="8"/>
  <c r="ES73" i="8"/>
  <c r="ET73" i="8"/>
  <c r="EU73" i="8"/>
  <c r="EV73" i="8"/>
  <c r="EW73" i="8"/>
  <c r="EX73" i="8"/>
  <c r="EY73" i="8"/>
  <c r="EZ73" i="8"/>
  <c r="FA73" i="8"/>
  <c r="FB73" i="8"/>
  <c r="EE74" i="8"/>
  <c r="EF74" i="8"/>
  <c r="EG74" i="8"/>
  <c r="EH74" i="8"/>
  <c r="EI74" i="8"/>
  <c r="EJ74" i="8"/>
  <c r="EK74" i="8"/>
  <c r="EL74" i="8"/>
  <c r="EM74" i="8"/>
  <c r="EN74" i="8"/>
  <c r="EO74" i="8"/>
  <c r="EP74" i="8"/>
  <c r="EQ74" i="8"/>
  <c r="ER74" i="8"/>
  <c r="ES74" i="8"/>
  <c r="ET74" i="8"/>
  <c r="EU74" i="8"/>
  <c r="EV74" i="8"/>
  <c r="EW74" i="8"/>
  <c r="EX74" i="8"/>
  <c r="EY74" i="8"/>
  <c r="EZ74" i="8"/>
  <c r="FA74" i="8"/>
  <c r="FB74" i="8"/>
  <c r="EE75" i="8"/>
  <c r="EF75" i="8"/>
  <c r="EG75" i="8"/>
  <c r="EH75" i="8"/>
  <c r="EI75" i="8"/>
  <c r="EJ75" i="8"/>
  <c r="EK75" i="8"/>
  <c r="EL75" i="8"/>
  <c r="EM75" i="8"/>
  <c r="EN75" i="8"/>
  <c r="EO75" i="8"/>
  <c r="EP75" i="8"/>
  <c r="EQ75" i="8"/>
  <c r="ER75" i="8"/>
  <c r="ES75" i="8"/>
  <c r="ET75" i="8"/>
  <c r="EU75" i="8"/>
  <c r="EV75" i="8"/>
  <c r="EW75" i="8"/>
  <c r="EX75" i="8"/>
  <c r="EY75" i="8"/>
  <c r="EZ75" i="8"/>
  <c r="FA75" i="8"/>
  <c r="FB75" i="8"/>
  <c r="EE76" i="8"/>
  <c r="EF76" i="8"/>
  <c r="EG76" i="8"/>
  <c r="EH76" i="8"/>
  <c r="EI76" i="8"/>
  <c r="EJ76" i="8"/>
  <c r="EK76" i="8"/>
  <c r="EL76" i="8"/>
  <c r="EM76" i="8"/>
  <c r="EN76" i="8"/>
  <c r="EO76" i="8"/>
  <c r="EP76" i="8"/>
  <c r="EQ76" i="8"/>
  <c r="ER76" i="8"/>
  <c r="ES76" i="8"/>
  <c r="ET76" i="8"/>
  <c r="EU76" i="8"/>
  <c r="EV76" i="8"/>
  <c r="EW76" i="8"/>
  <c r="EX76" i="8"/>
  <c r="EY76" i="8"/>
  <c r="EZ76" i="8"/>
  <c r="FA76" i="8"/>
  <c r="FB76" i="8"/>
  <c r="EE77" i="8"/>
  <c r="EF77" i="8"/>
  <c r="EG77" i="8"/>
  <c r="EH77" i="8"/>
  <c r="EI77" i="8"/>
  <c r="EJ77" i="8"/>
  <c r="EK77" i="8"/>
  <c r="EL77" i="8"/>
  <c r="EM77" i="8"/>
  <c r="EN77" i="8"/>
  <c r="EO77" i="8"/>
  <c r="EP77" i="8"/>
  <c r="EQ77" i="8"/>
  <c r="ER77" i="8"/>
  <c r="ES77" i="8"/>
  <c r="ET77" i="8"/>
  <c r="EU77" i="8"/>
  <c r="EV77" i="8"/>
  <c r="EW77" i="8"/>
  <c r="EX77" i="8"/>
  <c r="EY77" i="8"/>
  <c r="EZ77" i="8"/>
  <c r="FA77" i="8"/>
  <c r="FB77" i="8"/>
  <c r="EE78" i="8"/>
  <c r="EF78" i="8"/>
  <c r="EG78" i="8"/>
  <c r="EH78" i="8"/>
  <c r="EI78" i="8"/>
  <c r="EJ78" i="8"/>
  <c r="EK78" i="8"/>
  <c r="EL78" i="8"/>
  <c r="EM78" i="8"/>
  <c r="EN78" i="8"/>
  <c r="EO78" i="8"/>
  <c r="EP78" i="8"/>
  <c r="EQ78" i="8"/>
  <c r="ER78" i="8"/>
  <c r="ES78" i="8"/>
  <c r="ET78" i="8"/>
  <c r="EU78" i="8"/>
  <c r="EV78" i="8"/>
  <c r="EW78" i="8"/>
  <c r="EX78" i="8"/>
  <c r="EY78" i="8"/>
  <c r="EZ78" i="8"/>
  <c r="FA78" i="8"/>
  <c r="FB78" i="8"/>
  <c r="EE79" i="8"/>
  <c r="EF79" i="8"/>
  <c r="EG79" i="8"/>
  <c r="EH79" i="8"/>
  <c r="EI79" i="8"/>
  <c r="EJ79" i="8"/>
  <c r="EK79" i="8"/>
  <c r="EL79" i="8"/>
  <c r="EM79" i="8"/>
  <c r="EN79" i="8"/>
  <c r="EO79" i="8"/>
  <c r="EP79" i="8"/>
  <c r="EQ79" i="8"/>
  <c r="ER79" i="8"/>
  <c r="ES79" i="8"/>
  <c r="ET79" i="8"/>
  <c r="EU79" i="8"/>
  <c r="EV79" i="8"/>
  <c r="EW79" i="8"/>
  <c r="EX79" i="8"/>
  <c r="EY79" i="8"/>
  <c r="EZ79" i="8"/>
  <c r="FA79" i="8"/>
  <c r="FB79" i="8"/>
  <c r="EE80" i="8"/>
  <c r="EF80" i="8"/>
  <c r="EG80" i="8"/>
  <c r="EH80" i="8"/>
  <c r="EI80" i="8"/>
  <c r="EJ80" i="8"/>
  <c r="EK80" i="8"/>
  <c r="EL80" i="8"/>
  <c r="EM80" i="8"/>
  <c r="EN80" i="8"/>
  <c r="EO80" i="8"/>
  <c r="EP80" i="8"/>
  <c r="EQ80" i="8"/>
  <c r="ER80" i="8"/>
  <c r="ES80" i="8"/>
  <c r="ET80" i="8"/>
  <c r="EU80" i="8"/>
  <c r="EV80" i="8"/>
  <c r="EW80" i="8"/>
  <c r="EX80" i="8"/>
  <c r="EY80" i="8"/>
  <c r="EZ80" i="8"/>
  <c r="FA80" i="8"/>
  <c r="FB80" i="8"/>
  <c r="EE81" i="8"/>
  <c r="EF81" i="8"/>
  <c r="EG81" i="8"/>
  <c r="EH81" i="8"/>
  <c r="EI81" i="8"/>
  <c r="EJ81" i="8"/>
  <c r="EK81" i="8"/>
  <c r="EL81" i="8"/>
  <c r="EM81" i="8"/>
  <c r="EN81" i="8"/>
  <c r="EO81" i="8"/>
  <c r="EP81" i="8"/>
  <c r="EQ81" i="8"/>
  <c r="ER81" i="8"/>
  <c r="ES81" i="8"/>
  <c r="ET81" i="8"/>
  <c r="EU81" i="8"/>
  <c r="EV81" i="8"/>
  <c r="EW81" i="8"/>
  <c r="EX81" i="8"/>
  <c r="EY81" i="8"/>
  <c r="EZ81" i="8"/>
  <c r="FA81" i="8"/>
  <c r="FB81" i="8"/>
  <c r="EE82" i="8"/>
  <c r="EF82" i="8"/>
  <c r="EG82" i="8"/>
  <c r="EH82" i="8"/>
  <c r="EI82" i="8"/>
  <c r="EJ82" i="8"/>
  <c r="EK82" i="8"/>
  <c r="EL82" i="8"/>
  <c r="EM82" i="8"/>
  <c r="EN82" i="8"/>
  <c r="EO82" i="8"/>
  <c r="EP82" i="8"/>
  <c r="EQ82" i="8"/>
  <c r="ER82" i="8"/>
  <c r="ES82" i="8"/>
  <c r="ET82" i="8"/>
  <c r="EU82" i="8"/>
  <c r="EV82" i="8"/>
  <c r="EW82" i="8"/>
  <c r="EX82" i="8"/>
  <c r="EY82" i="8"/>
  <c r="EZ82" i="8"/>
  <c r="FA82" i="8"/>
  <c r="FB82" i="8"/>
  <c r="EE83" i="8"/>
  <c r="EF83" i="8"/>
  <c r="EG83" i="8"/>
  <c r="EH83" i="8"/>
  <c r="EI83" i="8"/>
  <c r="EJ83" i="8"/>
  <c r="EK83" i="8"/>
  <c r="EL83" i="8"/>
  <c r="EM83" i="8"/>
  <c r="EN83" i="8"/>
  <c r="EO83" i="8"/>
  <c r="EP83" i="8"/>
  <c r="EQ83" i="8"/>
  <c r="ER83" i="8"/>
  <c r="ES83" i="8"/>
  <c r="ET83" i="8"/>
  <c r="EU83" i="8"/>
  <c r="EV83" i="8"/>
  <c r="EW83" i="8"/>
  <c r="EX83" i="8"/>
  <c r="EY83" i="8"/>
  <c r="EZ83" i="8"/>
  <c r="FA83" i="8"/>
  <c r="FB83" i="8"/>
  <c r="EE84" i="8"/>
  <c r="EF84" i="8"/>
  <c r="EG84" i="8"/>
  <c r="EH84" i="8"/>
  <c r="EI84" i="8"/>
  <c r="EJ84" i="8"/>
  <c r="EK84" i="8"/>
  <c r="EL84" i="8"/>
  <c r="EM84" i="8"/>
  <c r="EN84" i="8"/>
  <c r="EO84" i="8"/>
  <c r="EP84" i="8"/>
  <c r="EQ84" i="8"/>
  <c r="ER84" i="8"/>
  <c r="ES84" i="8"/>
  <c r="ET84" i="8"/>
  <c r="EU84" i="8"/>
  <c r="EV84" i="8"/>
  <c r="EW84" i="8"/>
  <c r="EX84" i="8"/>
  <c r="EY84" i="8"/>
  <c r="EZ84" i="8"/>
  <c r="FA84" i="8"/>
  <c r="FB84" i="8"/>
  <c r="EE85" i="8"/>
  <c r="EF85" i="8"/>
  <c r="EG85" i="8"/>
  <c r="EH85" i="8"/>
  <c r="EI85" i="8"/>
  <c r="EJ85" i="8"/>
  <c r="EK85" i="8"/>
  <c r="EL85" i="8"/>
  <c r="EM85" i="8"/>
  <c r="EN85" i="8"/>
  <c r="EO85" i="8"/>
  <c r="EP85" i="8"/>
  <c r="EQ85" i="8"/>
  <c r="ER85" i="8"/>
  <c r="ES85" i="8"/>
  <c r="ET85" i="8"/>
  <c r="EU85" i="8"/>
  <c r="EV85" i="8"/>
  <c r="EW85" i="8"/>
  <c r="EX85" i="8"/>
  <c r="EY85" i="8"/>
  <c r="EZ85" i="8"/>
  <c r="FA85" i="8"/>
  <c r="FB85" i="8"/>
  <c r="EE86" i="8"/>
  <c r="EF86" i="8"/>
  <c r="EG86" i="8"/>
  <c r="EH86" i="8"/>
  <c r="EI86" i="8"/>
  <c r="EJ86" i="8"/>
  <c r="EK86" i="8"/>
  <c r="EL86" i="8"/>
  <c r="EM86" i="8"/>
  <c r="EN86" i="8"/>
  <c r="EO86" i="8"/>
  <c r="EP86" i="8"/>
  <c r="EQ86" i="8"/>
  <c r="ER86" i="8"/>
  <c r="ES86" i="8"/>
  <c r="ET86" i="8"/>
  <c r="EU86" i="8"/>
  <c r="EV86" i="8"/>
  <c r="EW86" i="8"/>
  <c r="EX86" i="8"/>
  <c r="EY86" i="8"/>
  <c r="EZ86" i="8"/>
  <c r="FA86" i="8"/>
  <c r="FB86" i="8"/>
  <c r="EE87" i="8"/>
  <c r="EF87" i="8"/>
  <c r="EG87" i="8"/>
  <c r="EH87" i="8"/>
  <c r="EI87" i="8"/>
  <c r="EJ87" i="8"/>
  <c r="EK87" i="8"/>
  <c r="EL87" i="8"/>
  <c r="EM87" i="8"/>
  <c r="EN87" i="8"/>
  <c r="EO87" i="8"/>
  <c r="EP87" i="8"/>
  <c r="EQ87" i="8"/>
  <c r="ER87" i="8"/>
  <c r="ES87" i="8"/>
  <c r="ET87" i="8"/>
  <c r="EU87" i="8"/>
  <c r="EV87" i="8"/>
  <c r="EW87" i="8"/>
  <c r="EX87" i="8"/>
  <c r="EY87" i="8"/>
  <c r="EZ87" i="8"/>
  <c r="FA87" i="8"/>
  <c r="FB87" i="8"/>
  <c r="EE88" i="8"/>
  <c r="EF88" i="8"/>
  <c r="EG88" i="8"/>
  <c r="EH88" i="8"/>
  <c r="EI88" i="8"/>
  <c r="EJ88" i="8"/>
  <c r="EK88" i="8"/>
  <c r="EL88" i="8"/>
  <c r="EM88" i="8"/>
  <c r="EN88" i="8"/>
  <c r="EO88" i="8"/>
  <c r="EP88" i="8"/>
  <c r="EQ88" i="8"/>
  <c r="ER88" i="8"/>
  <c r="ES88" i="8"/>
  <c r="ET88" i="8"/>
  <c r="EU88" i="8"/>
  <c r="EV88" i="8"/>
  <c r="EW88" i="8"/>
  <c r="EX88" i="8"/>
  <c r="EY88" i="8"/>
  <c r="EZ88" i="8"/>
  <c r="FA88" i="8"/>
  <c r="FB88" i="8"/>
  <c r="EE89" i="8"/>
  <c r="EF89" i="8"/>
  <c r="EG89" i="8"/>
  <c r="EH89" i="8"/>
  <c r="EI89" i="8"/>
  <c r="EJ89" i="8"/>
  <c r="EK89" i="8"/>
  <c r="EL89" i="8"/>
  <c r="EM89" i="8"/>
  <c r="EN89" i="8"/>
  <c r="EO89" i="8"/>
  <c r="EP89" i="8"/>
  <c r="EQ89" i="8"/>
  <c r="ER89" i="8"/>
  <c r="ES89" i="8"/>
  <c r="ET89" i="8"/>
  <c r="EU89" i="8"/>
  <c r="EV89" i="8"/>
  <c r="EW89" i="8"/>
  <c r="EX89" i="8"/>
  <c r="EY89" i="8"/>
  <c r="EZ89" i="8"/>
  <c r="FA89" i="8"/>
  <c r="FB89" i="8"/>
  <c r="EE90" i="8"/>
  <c r="EF90" i="8"/>
  <c r="EG90" i="8"/>
  <c r="EH90" i="8"/>
  <c r="EI90" i="8"/>
  <c r="EJ90" i="8"/>
  <c r="EK90" i="8"/>
  <c r="EL90" i="8"/>
  <c r="EM90" i="8"/>
  <c r="EN90" i="8"/>
  <c r="EO90" i="8"/>
  <c r="EP90" i="8"/>
  <c r="EQ90" i="8"/>
  <c r="ER90" i="8"/>
  <c r="ES90" i="8"/>
  <c r="ET90" i="8"/>
  <c r="EU90" i="8"/>
  <c r="EV90" i="8"/>
  <c r="EW90" i="8"/>
  <c r="EX90" i="8"/>
  <c r="EY90" i="8"/>
  <c r="EZ90" i="8"/>
  <c r="FA90" i="8"/>
  <c r="FB90" i="8"/>
  <c r="EE91" i="8"/>
  <c r="EF91" i="8"/>
  <c r="EG91" i="8"/>
  <c r="EH91" i="8"/>
  <c r="EI91" i="8"/>
  <c r="EJ91" i="8"/>
  <c r="EK91" i="8"/>
  <c r="EL91" i="8"/>
  <c r="EM91" i="8"/>
  <c r="EN91" i="8"/>
  <c r="EO91" i="8"/>
  <c r="EP91" i="8"/>
  <c r="EQ91" i="8"/>
  <c r="ER91" i="8"/>
  <c r="ES91" i="8"/>
  <c r="ET91" i="8"/>
  <c r="EU91" i="8"/>
  <c r="EV91" i="8"/>
  <c r="EW91" i="8"/>
  <c r="EX91" i="8"/>
  <c r="EY91" i="8"/>
  <c r="EZ91" i="8"/>
  <c r="FA91" i="8"/>
  <c r="FB91" i="8"/>
  <c r="EE92" i="8"/>
  <c r="EF92" i="8"/>
  <c r="EG92" i="8"/>
  <c r="EH92" i="8"/>
  <c r="EI92" i="8"/>
  <c r="EJ92" i="8"/>
  <c r="EK92" i="8"/>
  <c r="EL92" i="8"/>
  <c r="EM92" i="8"/>
  <c r="EN92" i="8"/>
  <c r="EO92" i="8"/>
  <c r="EP92" i="8"/>
  <c r="EQ92" i="8"/>
  <c r="ER92" i="8"/>
  <c r="ES92" i="8"/>
  <c r="ET92" i="8"/>
  <c r="EU92" i="8"/>
  <c r="EV92" i="8"/>
  <c r="EW92" i="8"/>
  <c r="EX92" i="8"/>
  <c r="EY92" i="8"/>
  <c r="EZ92" i="8"/>
  <c r="FA92" i="8"/>
  <c r="FB92" i="8"/>
  <c r="EE93" i="8"/>
  <c r="EF93" i="8"/>
  <c r="EG93" i="8"/>
  <c r="EH93" i="8"/>
  <c r="EI93" i="8"/>
  <c r="EJ93" i="8"/>
  <c r="EK93" i="8"/>
  <c r="EL93" i="8"/>
  <c r="EM93" i="8"/>
  <c r="EN93" i="8"/>
  <c r="EO93" i="8"/>
  <c r="EP93" i="8"/>
  <c r="EQ93" i="8"/>
  <c r="ER93" i="8"/>
  <c r="ES93" i="8"/>
  <c r="ET93" i="8"/>
  <c r="EU93" i="8"/>
  <c r="EV93" i="8"/>
  <c r="EW93" i="8"/>
  <c r="EX93" i="8"/>
  <c r="EY93" i="8"/>
  <c r="EZ93" i="8"/>
  <c r="FA93" i="8"/>
  <c r="FB93" i="8"/>
  <c r="EE94" i="8"/>
  <c r="EF94" i="8"/>
  <c r="EG94" i="8"/>
  <c r="EH94" i="8"/>
  <c r="EI94" i="8"/>
  <c r="EJ94" i="8"/>
  <c r="EK94" i="8"/>
  <c r="EL94" i="8"/>
  <c r="EM94" i="8"/>
  <c r="EN94" i="8"/>
  <c r="EO94" i="8"/>
  <c r="EP94" i="8"/>
  <c r="EQ94" i="8"/>
  <c r="ER94" i="8"/>
  <c r="ES94" i="8"/>
  <c r="ET94" i="8"/>
  <c r="EU94" i="8"/>
  <c r="EV94" i="8"/>
  <c r="EW94" i="8"/>
  <c r="EX94" i="8"/>
  <c r="EY94" i="8"/>
  <c r="EZ94" i="8"/>
  <c r="FA94" i="8"/>
  <c r="FB94" i="8"/>
  <c r="EE95" i="8"/>
  <c r="EF95" i="8"/>
  <c r="EG95" i="8"/>
  <c r="EH95" i="8"/>
  <c r="EI95" i="8"/>
  <c r="EJ95" i="8"/>
  <c r="EK95" i="8"/>
  <c r="EL95" i="8"/>
  <c r="EM95" i="8"/>
  <c r="EN95" i="8"/>
  <c r="EO95" i="8"/>
  <c r="EP95" i="8"/>
  <c r="EQ95" i="8"/>
  <c r="ER95" i="8"/>
  <c r="ES95" i="8"/>
  <c r="ET95" i="8"/>
  <c r="EU95" i="8"/>
  <c r="EV95" i="8"/>
  <c r="EW95" i="8"/>
  <c r="EX95" i="8"/>
  <c r="EY95" i="8"/>
  <c r="EZ95" i="8"/>
  <c r="FA95" i="8"/>
  <c r="FB95" i="8"/>
  <c r="EE96" i="8"/>
  <c r="EF96" i="8"/>
  <c r="EG96" i="8"/>
  <c r="EH96" i="8"/>
  <c r="EI96" i="8"/>
  <c r="EJ96" i="8"/>
  <c r="EK96" i="8"/>
  <c r="EL96" i="8"/>
  <c r="EM96" i="8"/>
  <c r="EN96" i="8"/>
  <c r="EO96" i="8"/>
  <c r="EP96" i="8"/>
  <c r="EQ96" i="8"/>
  <c r="ER96" i="8"/>
  <c r="ES96" i="8"/>
  <c r="ET96" i="8"/>
  <c r="EU96" i="8"/>
  <c r="EV96" i="8"/>
  <c r="EW96" i="8"/>
  <c r="EX96" i="8"/>
  <c r="EY96" i="8"/>
  <c r="EZ96" i="8"/>
  <c r="FA96" i="8"/>
  <c r="FB96" i="8"/>
  <c r="EE97" i="8"/>
  <c r="EF97" i="8"/>
  <c r="EG97" i="8"/>
  <c r="EH97" i="8"/>
  <c r="EI97" i="8"/>
  <c r="EJ97" i="8"/>
  <c r="EK97" i="8"/>
  <c r="EL97" i="8"/>
  <c r="EM97" i="8"/>
  <c r="EN97" i="8"/>
  <c r="EO97" i="8"/>
  <c r="EP97" i="8"/>
  <c r="EQ97" i="8"/>
  <c r="ER97" i="8"/>
  <c r="ES97" i="8"/>
  <c r="ET97" i="8"/>
  <c r="EU97" i="8"/>
  <c r="EV97" i="8"/>
  <c r="EW97" i="8"/>
  <c r="EX97" i="8"/>
  <c r="EY97" i="8"/>
  <c r="EZ97" i="8"/>
  <c r="FA97" i="8"/>
  <c r="FB97" i="8"/>
  <c r="EE98" i="8"/>
  <c r="EF98" i="8"/>
  <c r="EG98" i="8"/>
  <c r="EH98" i="8"/>
  <c r="EI98" i="8"/>
  <c r="EJ98" i="8"/>
  <c r="EK98" i="8"/>
  <c r="EL98" i="8"/>
  <c r="EM98" i="8"/>
  <c r="EN98" i="8"/>
  <c r="EO98" i="8"/>
  <c r="EP98" i="8"/>
  <c r="EQ98" i="8"/>
  <c r="ER98" i="8"/>
  <c r="ES98" i="8"/>
  <c r="ET98" i="8"/>
  <c r="EU98" i="8"/>
  <c r="EV98" i="8"/>
  <c r="EW98" i="8"/>
  <c r="EX98" i="8"/>
  <c r="EY98" i="8"/>
  <c r="EZ98" i="8"/>
  <c r="FA98" i="8"/>
  <c r="FB98" i="8"/>
  <c r="EE99" i="8"/>
  <c r="EF99" i="8"/>
  <c r="EG99" i="8"/>
  <c r="EH99" i="8"/>
  <c r="EI99" i="8"/>
  <c r="EJ99" i="8"/>
  <c r="EK99" i="8"/>
  <c r="EL99" i="8"/>
  <c r="EM99" i="8"/>
  <c r="EN99" i="8"/>
  <c r="EO99" i="8"/>
  <c r="EP99" i="8"/>
  <c r="EQ99" i="8"/>
  <c r="ER99" i="8"/>
  <c r="ES99" i="8"/>
  <c r="ET99" i="8"/>
  <c r="EU99" i="8"/>
  <c r="EV99" i="8"/>
  <c r="EW99" i="8"/>
  <c r="EX99" i="8"/>
  <c r="EY99" i="8"/>
  <c r="EZ99" i="8"/>
  <c r="FA99" i="8"/>
  <c r="FB99" i="8"/>
  <c r="EE100" i="8"/>
  <c r="EF100" i="8"/>
  <c r="EG100" i="8"/>
  <c r="EH100" i="8"/>
  <c r="EI100" i="8"/>
  <c r="EJ100" i="8"/>
  <c r="EK100" i="8"/>
  <c r="EL100" i="8"/>
  <c r="EM100" i="8"/>
  <c r="EN100" i="8"/>
  <c r="EO100" i="8"/>
  <c r="EP100" i="8"/>
  <c r="EQ100" i="8"/>
  <c r="ER100" i="8"/>
  <c r="ES100" i="8"/>
  <c r="ET100" i="8"/>
  <c r="EU100" i="8"/>
  <c r="EV100" i="8"/>
  <c r="EW100" i="8"/>
  <c r="EX100" i="8"/>
  <c r="EY100" i="8"/>
  <c r="EZ100" i="8"/>
  <c r="FA100" i="8"/>
  <c r="FB100" i="8"/>
  <c r="EE101" i="8"/>
  <c r="EF101" i="8"/>
  <c r="EG101" i="8"/>
  <c r="EH101" i="8"/>
  <c r="EI101" i="8"/>
  <c r="EJ101" i="8"/>
  <c r="EK101" i="8"/>
  <c r="EL101" i="8"/>
  <c r="EM101" i="8"/>
  <c r="EN101" i="8"/>
  <c r="EO101" i="8"/>
  <c r="EP101" i="8"/>
  <c r="EQ101" i="8"/>
  <c r="ER101" i="8"/>
  <c r="ES101" i="8"/>
  <c r="ET101" i="8"/>
  <c r="EU101" i="8"/>
  <c r="EV101" i="8"/>
  <c r="EW101" i="8"/>
  <c r="EX101" i="8"/>
  <c r="EY101" i="8"/>
  <c r="EZ101" i="8"/>
  <c r="FA101" i="8"/>
  <c r="FB101" i="8"/>
  <c r="EE102" i="8"/>
  <c r="EF102" i="8"/>
  <c r="EG102" i="8"/>
  <c r="EH102" i="8"/>
  <c r="EI102" i="8"/>
  <c r="EJ102" i="8"/>
  <c r="EK102" i="8"/>
  <c r="EL102" i="8"/>
  <c r="EM102" i="8"/>
  <c r="EN102" i="8"/>
  <c r="EO102" i="8"/>
  <c r="EP102" i="8"/>
  <c r="EQ102" i="8"/>
  <c r="ER102" i="8"/>
  <c r="ES102" i="8"/>
  <c r="ET102" i="8"/>
  <c r="EU102" i="8"/>
  <c r="EV102" i="8"/>
  <c r="EW102" i="8"/>
  <c r="EX102" i="8"/>
  <c r="EY102" i="8"/>
  <c r="EZ102" i="8"/>
  <c r="FA102" i="8"/>
  <c r="FB102" i="8"/>
  <c r="EE103" i="8"/>
  <c r="EF103" i="8"/>
  <c r="EG103" i="8"/>
  <c r="EH103" i="8"/>
  <c r="EI103" i="8"/>
  <c r="EJ103" i="8"/>
  <c r="EK103" i="8"/>
  <c r="EL103" i="8"/>
  <c r="EM103" i="8"/>
  <c r="EN103" i="8"/>
  <c r="EO103" i="8"/>
  <c r="EP103" i="8"/>
  <c r="EQ103" i="8"/>
  <c r="ER103" i="8"/>
  <c r="ES103" i="8"/>
  <c r="ET103" i="8"/>
  <c r="EU103" i="8"/>
  <c r="EV103" i="8"/>
  <c r="EW103" i="8"/>
  <c r="EX103" i="8"/>
  <c r="EY103" i="8"/>
  <c r="EZ103" i="8"/>
  <c r="FA103" i="8"/>
  <c r="FB103" i="8"/>
  <c r="EE104" i="8"/>
  <c r="EF104" i="8"/>
  <c r="EG104" i="8"/>
  <c r="EH104" i="8"/>
  <c r="EI104" i="8"/>
  <c r="EJ104" i="8"/>
  <c r="EK104" i="8"/>
  <c r="EL104" i="8"/>
  <c r="EM104" i="8"/>
  <c r="EN104" i="8"/>
  <c r="EO104" i="8"/>
  <c r="EP104" i="8"/>
  <c r="EQ104" i="8"/>
  <c r="ER104" i="8"/>
  <c r="ES104" i="8"/>
  <c r="ET104" i="8"/>
  <c r="EU104" i="8"/>
  <c r="EV104" i="8"/>
  <c r="EW104" i="8"/>
  <c r="EX104" i="8"/>
  <c r="EY104" i="8"/>
  <c r="EZ104" i="8"/>
  <c r="FA104" i="8"/>
  <c r="FB104" i="8"/>
  <c r="EE105" i="8"/>
  <c r="EF105" i="8"/>
  <c r="EG105" i="8"/>
  <c r="EH105" i="8"/>
  <c r="EI105" i="8"/>
  <c r="EJ105" i="8"/>
  <c r="EK105" i="8"/>
  <c r="EL105" i="8"/>
  <c r="EM105" i="8"/>
  <c r="EN105" i="8"/>
  <c r="EO105" i="8"/>
  <c r="EP105" i="8"/>
  <c r="EQ105" i="8"/>
  <c r="ER105" i="8"/>
  <c r="ES105" i="8"/>
  <c r="ET105" i="8"/>
  <c r="EU105" i="8"/>
  <c r="EV105" i="8"/>
  <c r="EW105" i="8"/>
  <c r="EX105" i="8"/>
  <c r="EY105" i="8"/>
  <c r="EZ105" i="8"/>
  <c r="FA105" i="8"/>
  <c r="FB105" i="8"/>
  <c r="EE106" i="8"/>
  <c r="EF106" i="8"/>
  <c r="EG106" i="8"/>
  <c r="EH106" i="8"/>
  <c r="EI106" i="8"/>
  <c r="EJ106" i="8"/>
  <c r="EK106" i="8"/>
  <c r="EL106" i="8"/>
  <c r="EM106" i="8"/>
  <c r="EN106" i="8"/>
  <c r="EO106" i="8"/>
  <c r="EP106" i="8"/>
  <c r="EQ106" i="8"/>
  <c r="ER106" i="8"/>
  <c r="ES106" i="8"/>
  <c r="ET106" i="8"/>
  <c r="EU106" i="8"/>
  <c r="EV106" i="8"/>
  <c r="EW106" i="8"/>
  <c r="EX106" i="8"/>
  <c r="EY106" i="8"/>
  <c r="EZ106" i="8"/>
  <c r="FA106" i="8"/>
  <c r="FB106" i="8"/>
  <c r="EE107" i="8"/>
  <c r="EF107" i="8"/>
  <c r="EG107" i="8"/>
  <c r="EH107" i="8"/>
  <c r="EI107" i="8"/>
  <c r="EJ107" i="8"/>
  <c r="EK107" i="8"/>
  <c r="EL107" i="8"/>
  <c r="EM107" i="8"/>
  <c r="EN107" i="8"/>
  <c r="EO107" i="8"/>
  <c r="EP107" i="8"/>
  <c r="EQ107" i="8"/>
  <c r="ER107" i="8"/>
  <c r="ES107" i="8"/>
  <c r="ET107" i="8"/>
  <c r="EU107" i="8"/>
  <c r="EV107" i="8"/>
  <c r="EW107" i="8"/>
  <c r="EX107" i="8"/>
  <c r="EY107" i="8"/>
  <c r="EZ107" i="8"/>
  <c r="FA107" i="8"/>
  <c r="FB107" i="8"/>
  <c r="EE108" i="8"/>
  <c r="EF108" i="8"/>
  <c r="EG108" i="8"/>
  <c r="EH108" i="8"/>
  <c r="EI108" i="8"/>
  <c r="EJ108" i="8"/>
  <c r="EK108" i="8"/>
  <c r="EL108" i="8"/>
  <c r="EM108" i="8"/>
  <c r="EN108" i="8"/>
  <c r="EO108" i="8"/>
  <c r="EP108" i="8"/>
  <c r="EQ108" i="8"/>
  <c r="ER108" i="8"/>
  <c r="ES108" i="8"/>
  <c r="ET108" i="8"/>
  <c r="EU108" i="8"/>
  <c r="EV108" i="8"/>
  <c r="EW108" i="8"/>
  <c r="EX108" i="8"/>
  <c r="EY108" i="8"/>
  <c r="EZ108" i="8"/>
  <c r="FA108" i="8"/>
  <c r="FB108" i="8"/>
  <c r="EE109" i="8"/>
  <c r="EF109" i="8"/>
  <c r="EG109" i="8"/>
  <c r="EH109" i="8"/>
  <c r="EI109" i="8"/>
  <c r="EJ109" i="8"/>
  <c r="EK109" i="8"/>
  <c r="EL109" i="8"/>
  <c r="EM109" i="8"/>
  <c r="EN109" i="8"/>
  <c r="EO109" i="8"/>
  <c r="EP109" i="8"/>
  <c r="EQ109" i="8"/>
  <c r="ER109" i="8"/>
  <c r="ES109" i="8"/>
  <c r="ET109" i="8"/>
  <c r="EU109" i="8"/>
  <c r="EV109" i="8"/>
  <c r="EW109" i="8"/>
  <c r="EX109" i="8"/>
  <c r="EY109" i="8"/>
  <c r="EZ109" i="8"/>
  <c r="FA109" i="8"/>
  <c r="FB109" i="8"/>
  <c r="EE110" i="8"/>
  <c r="EF110" i="8"/>
  <c r="EG110" i="8"/>
  <c r="EH110" i="8"/>
  <c r="EI110" i="8"/>
  <c r="EJ110" i="8"/>
  <c r="EK110" i="8"/>
  <c r="EL110" i="8"/>
  <c r="EM110" i="8"/>
  <c r="EN110" i="8"/>
  <c r="EO110" i="8"/>
  <c r="EP110" i="8"/>
  <c r="EQ110" i="8"/>
  <c r="ER110" i="8"/>
  <c r="ES110" i="8"/>
  <c r="ET110" i="8"/>
  <c r="EU110" i="8"/>
  <c r="EV110" i="8"/>
  <c r="EW110" i="8"/>
  <c r="EX110" i="8"/>
  <c r="EY110" i="8"/>
  <c r="EZ110" i="8"/>
  <c r="FA110" i="8"/>
  <c r="FB110" i="8"/>
  <c r="EE111" i="8"/>
  <c r="EF111" i="8"/>
  <c r="EG111" i="8"/>
  <c r="EH111" i="8"/>
  <c r="EI111" i="8"/>
  <c r="EJ111" i="8"/>
  <c r="EK111" i="8"/>
  <c r="EL111" i="8"/>
  <c r="EM111" i="8"/>
  <c r="EN111" i="8"/>
  <c r="EO111" i="8"/>
  <c r="EP111" i="8"/>
  <c r="EQ111" i="8"/>
  <c r="ER111" i="8"/>
  <c r="ES111" i="8"/>
  <c r="ET111" i="8"/>
  <c r="EU111" i="8"/>
  <c r="EV111" i="8"/>
  <c r="EW111" i="8"/>
  <c r="EX111" i="8"/>
  <c r="EY111" i="8"/>
  <c r="EZ111" i="8"/>
  <c r="FA111" i="8"/>
  <c r="FB111" i="8"/>
  <c r="EE112" i="8"/>
  <c r="EF112" i="8"/>
  <c r="EG112" i="8"/>
  <c r="EH112" i="8"/>
  <c r="EI112" i="8"/>
  <c r="EJ112" i="8"/>
  <c r="EK112" i="8"/>
  <c r="EL112" i="8"/>
  <c r="EM112" i="8"/>
  <c r="EN112" i="8"/>
  <c r="EO112" i="8"/>
  <c r="EP112" i="8"/>
  <c r="EQ112" i="8"/>
  <c r="ER112" i="8"/>
  <c r="ES112" i="8"/>
  <c r="ET112" i="8"/>
  <c r="EU112" i="8"/>
  <c r="EV112" i="8"/>
  <c r="EW112" i="8"/>
  <c r="EX112" i="8"/>
  <c r="EY112" i="8"/>
  <c r="EZ112" i="8"/>
  <c r="FA112" i="8"/>
  <c r="FB112" i="8"/>
  <c r="EE113" i="8"/>
  <c r="EF113" i="8"/>
  <c r="EG113" i="8"/>
  <c r="EH113" i="8"/>
  <c r="EI113" i="8"/>
  <c r="EJ113" i="8"/>
  <c r="EK113" i="8"/>
  <c r="EL113" i="8"/>
  <c r="EM113" i="8"/>
  <c r="EN113" i="8"/>
  <c r="EO113" i="8"/>
  <c r="EP113" i="8"/>
  <c r="EQ113" i="8"/>
  <c r="ER113" i="8"/>
  <c r="ES113" i="8"/>
  <c r="ET113" i="8"/>
  <c r="EU113" i="8"/>
  <c r="EV113" i="8"/>
  <c r="EW113" i="8"/>
  <c r="EX113" i="8"/>
  <c r="EY113" i="8"/>
  <c r="EZ113" i="8"/>
  <c r="FA113" i="8"/>
  <c r="FB113" i="8"/>
  <c r="EE114" i="8"/>
  <c r="EF114" i="8"/>
  <c r="EG114" i="8"/>
  <c r="EH114" i="8"/>
  <c r="EI114" i="8"/>
  <c r="EJ114" i="8"/>
  <c r="EK114" i="8"/>
  <c r="EL114" i="8"/>
  <c r="EM114" i="8"/>
  <c r="EN114" i="8"/>
  <c r="EO114" i="8"/>
  <c r="EP114" i="8"/>
  <c r="EQ114" i="8"/>
  <c r="ER114" i="8"/>
  <c r="ES114" i="8"/>
  <c r="ET114" i="8"/>
  <c r="EU114" i="8"/>
  <c r="EV114" i="8"/>
  <c r="EW114" i="8"/>
  <c r="EX114" i="8"/>
  <c r="EY114" i="8"/>
  <c r="EZ114" i="8"/>
  <c r="FA114" i="8"/>
  <c r="FB114" i="8"/>
  <c r="EE115" i="8"/>
  <c r="EF115" i="8"/>
  <c r="EG115" i="8"/>
  <c r="EH115" i="8"/>
  <c r="EI115" i="8"/>
  <c r="EJ115" i="8"/>
  <c r="EK115" i="8"/>
  <c r="EL115" i="8"/>
  <c r="EM115" i="8"/>
  <c r="EN115" i="8"/>
  <c r="EO115" i="8"/>
  <c r="EP115" i="8"/>
  <c r="EQ115" i="8"/>
  <c r="ER115" i="8"/>
  <c r="ES115" i="8"/>
  <c r="ET115" i="8"/>
  <c r="EU115" i="8"/>
  <c r="EV115" i="8"/>
  <c r="EW115" i="8"/>
  <c r="EX115" i="8"/>
  <c r="EY115" i="8"/>
  <c r="EZ115" i="8"/>
  <c r="FA115" i="8"/>
  <c r="FB115" i="8"/>
  <c r="EE116" i="8"/>
  <c r="EF116" i="8"/>
  <c r="EG116" i="8"/>
  <c r="EH116" i="8"/>
  <c r="EI116" i="8"/>
  <c r="EJ116" i="8"/>
  <c r="EK116" i="8"/>
  <c r="EL116" i="8"/>
  <c r="EM116" i="8"/>
  <c r="EN116" i="8"/>
  <c r="EO116" i="8"/>
  <c r="EP116" i="8"/>
  <c r="EQ116" i="8"/>
  <c r="ER116" i="8"/>
  <c r="ES116" i="8"/>
  <c r="ET116" i="8"/>
  <c r="EU116" i="8"/>
  <c r="EV116" i="8"/>
  <c r="EW116" i="8"/>
  <c r="EX116" i="8"/>
  <c r="EY116" i="8"/>
  <c r="EZ116" i="8"/>
  <c r="FA116" i="8"/>
  <c r="FB116" i="8"/>
  <c r="EE117" i="8"/>
  <c r="EF117" i="8"/>
  <c r="EG117" i="8"/>
  <c r="EH117" i="8"/>
  <c r="EI117" i="8"/>
  <c r="EJ117" i="8"/>
  <c r="EK117" i="8"/>
  <c r="EL117" i="8"/>
  <c r="EM117" i="8"/>
  <c r="EN117" i="8"/>
  <c r="EO117" i="8"/>
  <c r="EP117" i="8"/>
  <c r="EQ117" i="8"/>
  <c r="ER117" i="8"/>
  <c r="ES117" i="8"/>
  <c r="ET117" i="8"/>
  <c r="EU117" i="8"/>
  <c r="EV117" i="8"/>
  <c r="EW117" i="8"/>
  <c r="EX117" i="8"/>
  <c r="EY117" i="8"/>
  <c r="EZ117" i="8"/>
  <c r="FA117" i="8"/>
  <c r="FB117" i="8"/>
  <c r="EE118" i="8"/>
  <c r="EF118" i="8"/>
  <c r="EG118" i="8"/>
  <c r="EH118" i="8"/>
  <c r="EI118" i="8"/>
  <c r="EJ118" i="8"/>
  <c r="EK118" i="8"/>
  <c r="EL118" i="8"/>
  <c r="EM118" i="8"/>
  <c r="EN118" i="8"/>
  <c r="EO118" i="8"/>
  <c r="EP118" i="8"/>
  <c r="EQ118" i="8"/>
  <c r="ER118" i="8"/>
  <c r="ES118" i="8"/>
  <c r="ET118" i="8"/>
  <c r="EU118" i="8"/>
  <c r="EV118" i="8"/>
  <c r="EW118" i="8"/>
  <c r="EX118" i="8"/>
  <c r="EY118" i="8"/>
  <c r="EZ118" i="8"/>
  <c r="FA118" i="8"/>
  <c r="FB118" i="8"/>
  <c r="EE119" i="8"/>
  <c r="EF119" i="8"/>
  <c r="EG119" i="8"/>
  <c r="EH119" i="8"/>
  <c r="EI119" i="8"/>
  <c r="EJ119" i="8"/>
  <c r="EK119" i="8"/>
  <c r="EL119" i="8"/>
  <c r="EM119" i="8"/>
  <c r="EN119" i="8"/>
  <c r="EO119" i="8"/>
  <c r="EP119" i="8"/>
  <c r="EQ119" i="8"/>
  <c r="ER119" i="8"/>
  <c r="ES119" i="8"/>
  <c r="ET119" i="8"/>
  <c r="EU119" i="8"/>
  <c r="EV119" i="8"/>
  <c r="EW119" i="8"/>
  <c r="EX119" i="8"/>
  <c r="EY119" i="8"/>
  <c r="EZ119" i="8"/>
  <c r="FA119" i="8"/>
  <c r="FB119" i="8"/>
  <c r="EE120" i="8"/>
  <c r="EF120" i="8"/>
  <c r="EG120" i="8"/>
  <c r="EH120" i="8"/>
  <c r="EI120" i="8"/>
  <c r="EJ120" i="8"/>
  <c r="EK120" i="8"/>
  <c r="EL120" i="8"/>
  <c r="EM120" i="8"/>
  <c r="EN120" i="8"/>
  <c r="EO120" i="8"/>
  <c r="EP120" i="8"/>
  <c r="EQ120" i="8"/>
  <c r="ER120" i="8"/>
  <c r="ES120" i="8"/>
  <c r="ET120" i="8"/>
  <c r="EU120" i="8"/>
  <c r="EV120" i="8"/>
  <c r="EW120" i="8"/>
  <c r="EX120" i="8"/>
  <c r="EY120" i="8"/>
  <c r="EZ120" i="8"/>
  <c r="FA120" i="8"/>
  <c r="FB120" i="8"/>
  <c r="EE121" i="8"/>
  <c r="EF121" i="8"/>
  <c r="EG121" i="8"/>
  <c r="EH121" i="8"/>
  <c r="EI121" i="8"/>
  <c r="EJ121" i="8"/>
  <c r="EK121" i="8"/>
  <c r="EL121" i="8"/>
  <c r="EM121" i="8"/>
  <c r="EN121" i="8"/>
  <c r="EO121" i="8"/>
  <c r="EP121" i="8"/>
  <c r="EQ121" i="8"/>
  <c r="ER121" i="8"/>
  <c r="ES121" i="8"/>
  <c r="ET121" i="8"/>
  <c r="EU121" i="8"/>
  <c r="EV121" i="8"/>
  <c r="EW121" i="8"/>
  <c r="EX121" i="8"/>
  <c r="EY121" i="8"/>
  <c r="EZ121" i="8"/>
  <c r="FA121" i="8"/>
  <c r="FB121" i="8"/>
  <c r="EE122" i="8"/>
  <c r="EF122" i="8"/>
  <c r="EG122" i="8"/>
  <c r="EH122" i="8"/>
  <c r="EI122" i="8"/>
  <c r="EJ122" i="8"/>
  <c r="EK122" i="8"/>
  <c r="EL122" i="8"/>
  <c r="EM122" i="8"/>
  <c r="EN122" i="8"/>
  <c r="EO122" i="8"/>
  <c r="EP122" i="8"/>
  <c r="EQ122" i="8"/>
  <c r="ER122" i="8"/>
  <c r="ES122" i="8"/>
  <c r="ET122" i="8"/>
  <c r="EU122" i="8"/>
  <c r="EV122" i="8"/>
  <c r="EW122" i="8"/>
  <c r="EX122" i="8"/>
  <c r="EY122" i="8"/>
  <c r="EZ122" i="8"/>
  <c r="FA122" i="8"/>
  <c r="FB122" i="8"/>
  <c r="EE123" i="8"/>
  <c r="EF123" i="8"/>
  <c r="EG123" i="8"/>
  <c r="EH123" i="8"/>
  <c r="EI123" i="8"/>
  <c r="EJ123" i="8"/>
  <c r="EK123" i="8"/>
  <c r="EL123" i="8"/>
  <c r="EM123" i="8"/>
  <c r="EN123" i="8"/>
  <c r="EO123" i="8"/>
  <c r="EP123" i="8"/>
  <c r="EQ123" i="8"/>
  <c r="ER123" i="8"/>
  <c r="ES123" i="8"/>
  <c r="ET123" i="8"/>
  <c r="EU123" i="8"/>
  <c r="EV123" i="8"/>
  <c r="EW123" i="8"/>
  <c r="EX123" i="8"/>
  <c r="EY123" i="8"/>
  <c r="EZ123" i="8"/>
  <c r="FA123" i="8"/>
  <c r="FB123" i="8"/>
  <c r="EE124" i="8"/>
  <c r="EF124" i="8"/>
  <c r="EG124" i="8"/>
  <c r="EH124" i="8"/>
  <c r="EI124" i="8"/>
  <c r="EJ124" i="8"/>
  <c r="EK124" i="8"/>
  <c r="EL124" i="8"/>
  <c r="EM124" i="8"/>
  <c r="EN124" i="8"/>
  <c r="EO124" i="8"/>
  <c r="EP124" i="8"/>
  <c r="EQ124" i="8"/>
  <c r="ER124" i="8"/>
  <c r="ES124" i="8"/>
  <c r="ET124" i="8"/>
  <c r="EU124" i="8"/>
  <c r="EV124" i="8"/>
  <c r="EW124" i="8"/>
  <c r="EX124" i="8"/>
  <c r="EY124" i="8"/>
  <c r="EZ124" i="8"/>
  <c r="FA124" i="8"/>
  <c r="FB124" i="8"/>
  <c r="EE125" i="8"/>
  <c r="EF125" i="8"/>
  <c r="EG125" i="8"/>
  <c r="EH125" i="8"/>
  <c r="EI125" i="8"/>
  <c r="EJ125" i="8"/>
  <c r="EK125" i="8"/>
  <c r="EL125" i="8"/>
  <c r="EM125" i="8"/>
  <c r="EN125" i="8"/>
  <c r="EO125" i="8"/>
  <c r="EP125" i="8"/>
  <c r="EQ125" i="8"/>
  <c r="ER125" i="8"/>
  <c r="ES125" i="8"/>
  <c r="ET125" i="8"/>
  <c r="EU125" i="8"/>
  <c r="EV125" i="8"/>
  <c r="EW125" i="8"/>
  <c r="EX125" i="8"/>
  <c r="EY125" i="8"/>
  <c r="EZ125" i="8"/>
  <c r="FA125" i="8"/>
  <c r="FB125" i="8"/>
  <c r="EE126" i="8"/>
  <c r="EF126" i="8"/>
  <c r="EG126" i="8"/>
  <c r="EH126" i="8"/>
  <c r="EI126" i="8"/>
  <c r="EJ126" i="8"/>
  <c r="EK126" i="8"/>
  <c r="EL126" i="8"/>
  <c r="EM126" i="8"/>
  <c r="EN126" i="8"/>
  <c r="EO126" i="8"/>
  <c r="EP126" i="8"/>
  <c r="EQ126" i="8"/>
  <c r="ER126" i="8"/>
  <c r="ES126" i="8"/>
  <c r="ET126" i="8"/>
  <c r="EU126" i="8"/>
  <c r="EV126" i="8"/>
  <c r="EW126" i="8"/>
  <c r="EX126" i="8"/>
  <c r="EY126" i="8"/>
  <c r="EZ126" i="8"/>
  <c r="FA126" i="8"/>
  <c r="FB126" i="8"/>
  <c r="EE127" i="8"/>
  <c r="EF127" i="8"/>
  <c r="EG127" i="8"/>
  <c r="EH127" i="8"/>
  <c r="EI127" i="8"/>
  <c r="EJ127" i="8"/>
  <c r="EK127" i="8"/>
  <c r="EL127" i="8"/>
  <c r="EM127" i="8"/>
  <c r="EN127" i="8"/>
  <c r="EO127" i="8"/>
  <c r="EP127" i="8"/>
  <c r="EQ127" i="8"/>
  <c r="ER127" i="8"/>
  <c r="ES127" i="8"/>
  <c r="ET127" i="8"/>
  <c r="EU127" i="8"/>
  <c r="EV127" i="8"/>
  <c r="EW127" i="8"/>
  <c r="EX127" i="8"/>
  <c r="EY127" i="8"/>
  <c r="EZ127" i="8"/>
  <c r="FA127" i="8"/>
  <c r="FB127" i="8"/>
  <c r="EE128" i="8"/>
  <c r="EF128" i="8"/>
  <c r="EG128" i="8"/>
  <c r="EH128" i="8"/>
  <c r="EI128" i="8"/>
  <c r="EJ128" i="8"/>
  <c r="EK128" i="8"/>
  <c r="EL128" i="8"/>
  <c r="EM128" i="8"/>
  <c r="EN128" i="8"/>
  <c r="EO128" i="8"/>
  <c r="EP128" i="8"/>
  <c r="EQ128" i="8"/>
  <c r="ER128" i="8"/>
  <c r="ES128" i="8"/>
  <c r="ET128" i="8"/>
  <c r="EU128" i="8"/>
  <c r="EV128" i="8"/>
  <c r="EW128" i="8"/>
  <c r="EX128" i="8"/>
  <c r="EY128" i="8"/>
  <c r="EZ128" i="8"/>
  <c r="FA128" i="8"/>
  <c r="FB128" i="8"/>
  <c r="EE129" i="8"/>
  <c r="EF129" i="8"/>
  <c r="EG129" i="8"/>
  <c r="EH129" i="8"/>
  <c r="EI129" i="8"/>
  <c r="EJ129" i="8"/>
  <c r="EK129" i="8"/>
  <c r="EL129" i="8"/>
  <c r="EM129" i="8"/>
  <c r="EN129" i="8"/>
  <c r="EO129" i="8"/>
  <c r="EP129" i="8"/>
  <c r="EQ129" i="8"/>
  <c r="ER129" i="8"/>
  <c r="ES129" i="8"/>
  <c r="ET129" i="8"/>
  <c r="EU129" i="8"/>
  <c r="EV129" i="8"/>
  <c r="EW129" i="8"/>
  <c r="EX129" i="8"/>
  <c r="EY129" i="8"/>
  <c r="EZ129" i="8"/>
  <c r="FA129" i="8"/>
  <c r="FB129" i="8"/>
  <c r="EE130" i="8"/>
  <c r="EF130" i="8"/>
  <c r="EG130" i="8"/>
  <c r="EH130" i="8"/>
  <c r="EI130" i="8"/>
  <c r="EJ130" i="8"/>
  <c r="EK130" i="8"/>
  <c r="EL130" i="8"/>
  <c r="EM130" i="8"/>
  <c r="EN130" i="8"/>
  <c r="EO130" i="8"/>
  <c r="EP130" i="8"/>
  <c r="EQ130" i="8"/>
  <c r="ER130" i="8"/>
  <c r="ES130" i="8"/>
  <c r="ET130" i="8"/>
  <c r="EU130" i="8"/>
  <c r="EV130" i="8"/>
  <c r="EW130" i="8"/>
  <c r="EX130" i="8"/>
  <c r="EY130" i="8"/>
  <c r="EZ130" i="8"/>
  <c r="FA130" i="8"/>
  <c r="FB130" i="8"/>
  <c r="EE131" i="8"/>
  <c r="EF131" i="8"/>
  <c r="EG131" i="8"/>
  <c r="EH131" i="8"/>
  <c r="EI131" i="8"/>
  <c r="EJ131" i="8"/>
  <c r="EK131" i="8"/>
  <c r="EL131" i="8"/>
  <c r="EM131" i="8"/>
  <c r="EN131" i="8"/>
  <c r="EO131" i="8"/>
  <c r="EP131" i="8"/>
  <c r="EQ131" i="8"/>
  <c r="ER131" i="8"/>
  <c r="ES131" i="8"/>
  <c r="ET131" i="8"/>
  <c r="EU131" i="8"/>
  <c r="EV131" i="8"/>
  <c r="EW131" i="8"/>
  <c r="EX131" i="8"/>
  <c r="EY131" i="8"/>
  <c r="EZ131" i="8"/>
  <c r="FA131" i="8"/>
  <c r="FB131" i="8"/>
  <c r="EE132" i="8"/>
  <c r="EF132" i="8"/>
  <c r="EG132" i="8"/>
  <c r="EH132" i="8"/>
  <c r="EI132" i="8"/>
  <c r="EJ132" i="8"/>
  <c r="EK132" i="8"/>
  <c r="EL132" i="8"/>
  <c r="EM132" i="8"/>
  <c r="EN132" i="8"/>
  <c r="EO132" i="8"/>
  <c r="EP132" i="8"/>
  <c r="EQ132" i="8"/>
  <c r="ER132" i="8"/>
  <c r="ES132" i="8"/>
  <c r="ET132" i="8"/>
  <c r="EU132" i="8"/>
  <c r="EV132" i="8"/>
  <c r="EW132" i="8"/>
  <c r="EX132" i="8"/>
  <c r="EY132" i="8"/>
  <c r="EZ132" i="8"/>
  <c r="FA132" i="8"/>
  <c r="FB132" i="8"/>
  <c r="EE133" i="8"/>
  <c r="EF133" i="8"/>
  <c r="EG133" i="8"/>
  <c r="EH133" i="8"/>
  <c r="EI133" i="8"/>
  <c r="EJ133" i="8"/>
  <c r="EK133" i="8"/>
  <c r="EL133" i="8"/>
  <c r="EM133" i="8"/>
  <c r="EN133" i="8"/>
  <c r="EO133" i="8"/>
  <c r="EP133" i="8"/>
  <c r="EQ133" i="8"/>
  <c r="ER133" i="8"/>
  <c r="ES133" i="8"/>
  <c r="ET133" i="8"/>
  <c r="EU133" i="8"/>
  <c r="EV133" i="8"/>
  <c r="EW133" i="8"/>
  <c r="EX133" i="8"/>
  <c r="EY133" i="8"/>
  <c r="EZ133" i="8"/>
  <c r="FA133" i="8"/>
  <c r="FB133" i="8"/>
  <c r="EE134" i="8"/>
  <c r="EF134" i="8"/>
  <c r="EG134" i="8"/>
  <c r="EH134" i="8"/>
  <c r="EI134" i="8"/>
  <c r="EJ134" i="8"/>
  <c r="EK134" i="8"/>
  <c r="EL134" i="8"/>
  <c r="EM134" i="8"/>
  <c r="EN134" i="8"/>
  <c r="EO134" i="8"/>
  <c r="EP134" i="8"/>
  <c r="EQ134" i="8"/>
  <c r="ER134" i="8"/>
  <c r="ES134" i="8"/>
  <c r="ET134" i="8"/>
  <c r="EU134" i="8"/>
  <c r="EV134" i="8"/>
  <c r="EW134" i="8"/>
  <c r="EX134" i="8"/>
  <c r="EY134" i="8"/>
  <c r="EZ134" i="8"/>
  <c r="FA134" i="8"/>
  <c r="FB134" i="8"/>
  <c r="EE135" i="8"/>
  <c r="EF135" i="8"/>
  <c r="EG135" i="8"/>
  <c r="EH135" i="8"/>
  <c r="EI135" i="8"/>
  <c r="EJ135" i="8"/>
  <c r="EK135" i="8"/>
  <c r="EL135" i="8"/>
  <c r="EM135" i="8"/>
  <c r="EN135" i="8"/>
  <c r="EO135" i="8"/>
  <c r="EP135" i="8"/>
  <c r="EQ135" i="8"/>
  <c r="ER135" i="8"/>
  <c r="ES135" i="8"/>
  <c r="ET135" i="8"/>
  <c r="EU135" i="8"/>
  <c r="EV135" i="8"/>
  <c r="EW135" i="8"/>
  <c r="EX135" i="8"/>
  <c r="EY135" i="8"/>
  <c r="EZ135" i="8"/>
  <c r="FA135" i="8"/>
  <c r="FB135" i="8"/>
  <c r="EE136" i="8"/>
  <c r="EF136" i="8"/>
  <c r="EG136" i="8"/>
  <c r="EH136" i="8"/>
  <c r="EI136" i="8"/>
  <c r="EJ136" i="8"/>
  <c r="EK136" i="8"/>
  <c r="EL136" i="8"/>
  <c r="EM136" i="8"/>
  <c r="EN136" i="8"/>
  <c r="EO136" i="8"/>
  <c r="EP136" i="8"/>
  <c r="EQ136" i="8"/>
  <c r="ER136" i="8"/>
  <c r="ES136" i="8"/>
  <c r="ET136" i="8"/>
  <c r="EU136" i="8"/>
  <c r="EV136" i="8"/>
  <c r="EW136" i="8"/>
  <c r="EX136" i="8"/>
  <c r="EY136" i="8"/>
  <c r="EZ136" i="8"/>
  <c r="FA136" i="8"/>
  <c r="FB136" i="8"/>
  <c r="ED6" i="8"/>
  <c r="ED7" i="8"/>
  <c r="ED8" i="8"/>
  <c r="ED9" i="8"/>
  <c r="ED10" i="8"/>
  <c r="ED11" i="8"/>
  <c r="ED12" i="8"/>
  <c r="ED13" i="8"/>
  <c r="ED14" i="8"/>
  <c r="ED15" i="8"/>
  <c r="ED16" i="8"/>
  <c r="ED17" i="8"/>
  <c r="ED18" i="8"/>
  <c r="ED19" i="8"/>
  <c r="ED20" i="8"/>
  <c r="ED21" i="8"/>
  <c r="ED22" i="8"/>
  <c r="ED23" i="8"/>
  <c r="ED24" i="8"/>
  <c r="ED25" i="8"/>
  <c r="ED26" i="8"/>
  <c r="ED27" i="8"/>
  <c r="ED28" i="8"/>
  <c r="ED29" i="8"/>
  <c r="ED30" i="8"/>
  <c r="ED31" i="8"/>
  <c r="ED32" i="8"/>
  <c r="ED33" i="8"/>
  <c r="ED34" i="8"/>
  <c r="ED35" i="8"/>
  <c r="ED36" i="8"/>
  <c r="ED37" i="8"/>
  <c r="ED38" i="8"/>
  <c r="ED39" i="8"/>
  <c r="ED40" i="8"/>
  <c r="ED41" i="8"/>
  <c r="ED42" i="8"/>
  <c r="ED43" i="8"/>
  <c r="ED44" i="8"/>
  <c r="ED45" i="8"/>
  <c r="ED46" i="8"/>
  <c r="ED47" i="8"/>
  <c r="ED48" i="8"/>
  <c r="ED49" i="8"/>
  <c r="ED50" i="8"/>
  <c r="ED51" i="8"/>
  <c r="ED52" i="8"/>
  <c r="ED53" i="8"/>
  <c r="ED54" i="8"/>
  <c r="ED55" i="8"/>
  <c r="ED56" i="8"/>
  <c r="ED57" i="8"/>
  <c r="ED58" i="8"/>
  <c r="ED59" i="8"/>
  <c r="ED60" i="8"/>
  <c r="ED61" i="8"/>
  <c r="ED62" i="8"/>
  <c r="ED63" i="8"/>
  <c r="ED64" i="8"/>
  <c r="ED65" i="8"/>
  <c r="ED66" i="8"/>
  <c r="ED67" i="8"/>
  <c r="ED68" i="8"/>
  <c r="ED69" i="8"/>
  <c r="ED70" i="8"/>
  <c r="ED71" i="8"/>
  <c r="ED72" i="8"/>
  <c r="ED73" i="8"/>
  <c r="ED74" i="8"/>
  <c r="ED75" i="8"/>
  <c r="ED76" i="8"/>
  <c r="ED77" i="8"/>
  <c r="ED78" i="8"/>
  <c r="ED79" i="8"/>
  <c r="ED80" i="8"/>
  <c r="ED81" i="8"/>
  <c r="ED82" i="8"/>
  <c r="ED83" i="8"/>
  <c r="ED84" i="8"/>
  <c r="ED85" i="8"/>
  <c r="ED86" i="8"/>
  <c r="ED87" i="8"/>
  <c r="ED88" i="8"/>
  <c r="ED89" i="8"/>
  <c r="ED90" i="8"/>
  <c r="ED91" i="8"/>
  <c r="ED92" i="8"/>
  <c r="ED93" i="8"/>
  <c r="ED94" i="8"/>
  <c r="ED95" i="8"/>
  <c r="ED96" i="8"/>
  <c r="ED97" i="8"/>
  <c r="ED98" i="8"/>
  <c r="ED99" i="8"/>
  <c r="ED100" i="8"/>
  <c r="ED101" i="8"/>
  <c r="ED102" i="8"/>
  <c r="ED103" i="8"/>
  <c r="ED104" i="8"/>
  <c r="ED105" i="8"/>
  <c r="ED106" i="8"/>
  <c r="ED107" i="8"/>
  <c r="ED108" i="8"/>
  <c r="ED109" i="8"/>
  <c r="ED110" i="8"/>
  <c r="ED111" i="8"/>
  <c r="ED112" i="8"/>
  <c r="ED113" i="8"/>
  <c r="ED114" i="8"/>
  <c r="ED115" i="8"/>
  <c r="ED116" i="8"/>
  <c r="ED117" i="8"/>
  <c r="ED118" i="8"/>
  <c r="ED119" i="8"/>
  <c r="ED120" i="8"/>
  <c r="ED121" i="8"/>
  <c r="ED122" i="8"/>
  <c r="ED123" i="8"/>
  <c r="ED124" i="8"/>
  <c r="ED125" i="8"/>
  <c r="ED126" i="8"/>
  <c r="ED127" i="8"/>
  <c r="ED128" i="8"/>
  <c r="ED129" i="8"/>
  <c r="ED130" i="8"/>
  <c r="ED131" i="8"/>
  <c r="ED132" i="8"/>
  <c r="ED133" i="8"/>
  <c r="ED134" i="8"/>
  <c r="ED135" i="8"/>
  <c r="ED13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BS6" i="8"/>
  <c r="BT6" i="8"/>
  <c r="BU6" i="8"/>
  <c r="BV6" i="8"/>
  <c r="BW6" i="8"/>
  <c r="BX6" i="8"/>
  <c r="BY6" i="8"/>
  <c r="BZ6" i="8"/>
  <c r="CA6" i="8"/>
  <c r="CB6" i="8"/>
  <c r="CC6" i="8"/>
  <c r="CD6" i="8"/>
  <c r="CE6" i="8"/>
  <c r="CF6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CA7" i="8"/>
  <c r="CB7" i="8"/>
  <c r="CC7" i="8"/>
  <c r="CD7" i="8"/>
  <c r="CE7" i="8"/>
  <c r="CF7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CA8" i="8"/>
  <c r="CB8" i="8"/>
  <c r="CC8" i="8"/>
  <c r="CD8" i="8"/>
  <c r="CE8" i="8"/>
  <c r="CF8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CE9" i="8"/>
  <c r="CF9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CA10" i="8"/>
  <c r="CB10" i="8"/>
  <c r="CC10" i="8"/>
  <c r="CD10" i="8"/>
  <c r="CE10" i="8"/>
  <c r="CF10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BR11" i="8"/>
  <c r="BS11" i="8"/>
  <c r="BT11" i="8"/>
  <c r="BU11" i="8"/>
  <c r="BV11" i="8"/>
  <c r="BW11" i="8"/>
  <c r="BX11" i="8"/>
  <c r="BY11" i="8"/>
  <c r="BZ11" i="8"/>
  <c r="CA11" i="8"/>
  <c r="CB11" i="8"/>
  <c r="CC11" i="8"/>
  <c r="CD11" i="8"/>
  <c r="CE11" i="8"/>
  <c r="CF11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L12" i="8"/>
  <c r="BM12" i="8"/>
  <c r="BN12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CA12" i="8"/>
  <c r="CB12" i="8"/>
  <c r="CC12" i="8"/>
  <c r="CD12" i="8"/>
  <c r="CE12" i="8"/>
  <c r="CF12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L13" i="8"/>
  <c r="BM13" i="8"/>
  <c r="BN13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CE13" i="8"/>
  <c r="CF13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L14" i="8"/>
  <c r="BM14" i="8"/>
  <c r="BN14" i="8"/>
  <c r="BO14" i="8"/>
  <c r="BP14" i="8"/>
  <c r="BQ14" i="8"/>
  <c r="BR14" i="8"/>
  <c r="BS14" i="8"/>
  <c r="BT14" i="8"/>
  <c r="BU14" i="8"/>
  <c r="BV14" i="8"/>
  <c r="BW14" i="8"/>
  <c r="BX14" i="8"/>
  <c r="BY14" i="8"/>
  <c r="BZ14" i="8"/>
  <c r="CA14" i="8"/>
  <c r="CB14" i="8"/>
  <c r="CC14" i="8"/>
  <c r="CD14" i="8"/>
  <c r="CE14" i="8"/>
  <c r="CF14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BK15" i="8"/>
  <c r="BL15" i="8"/>
  <c r="BM15" i="8"/>
  <c r="BN15" i="8"/>
  <c r="BO15" i="8"/>
  <c r="BP15" i="8"/>
  <c r="BQ15" i="8"/>
  <c r="BR15" i="8"/>
  <c r="BS15" i="8"/>
  <c r="BT15" i="8"/>
  <c r="BU15" i="8"/>
  <c r="BV15" i="8"/>
  <c r="BW15" i="8"/>
  <c r="BX15" i="8"/>
  <c r="BY15" i="8"/>
  <c r="BZ15" i="8"/>
  <c r="CA15" i="8"/>
  <c r="CB15" i="8"/>
  <c r="CC15" i="8"/>
  <c r="CD15" i="8"/>
  <c r="CE15" i="8"/>
  <c r="CF15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BK16" i="8"/>
  <c r="BL16" i="8"/>
  <c r="BM16" i="8"/>
  <c r="BN16" i="8"/>
  <c r="BO16" i="8"/>
  <c r="BP16" i="8"/>
  <c r="BQ16" i="8"/>
  <c r="BR16" i="8"/>
  <c r="BS16" i="8"/>
  <c r="BT16" i="8"/>
  <c r="BU16" i="8"/>
  <c r="BV16" i="8"/>
  <c r="BW16" i="8"/>
  <c r="BX16" i="8"/>
  <c r="BY16" i="8"/>
  <c r="BZ16" i="8"/>
  <c r="CA16" i="8"/>
  <c r="CB16" i="8"/>
  <c r="CC16" i="8"/>
  <c r="CD16" i="8"/>
  <c r="CE16" i="8"/>
  <c r="CF16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BQ17" i="8"/>
  <c r="BR17" i="8"/>
  <c r="BS17" i="8"/>
  <c r="BT17" i="8"/>
  <c r="BU17" i="8"/>
  <c r="BV17" i="8"/>
  <c r="BW17" i="8"/>
  <c r="BX17" i="8"/>
  <c r="BY17" i="8"/>
  <c r="BZ17" i="8"/>
  <c r="CA17" i="8"/>
  <c r="CB17" i="8"/>
  <c r="CC17" i="8"/>
  <c r="CD17" i="8"/>
  <c r="CE17" i="8"/>
  <c r="CF17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BQ18" i="8"/>
  <c r="BR18" i="8"/>
  <c r="BS18" i="8"/>
  <c r="BT18" i="8"/>
  <c r="BU18" i="8"/>
  <c r="BV18" i="8"/>
  <c r="BW18" i="8"/>
  <c r="BX18" i="8"/>
  <c r="BY18" i="8"/>
  <c r="BZ18" i="8"/>
  <c r="CA18" i="8"/>
  <c r="CB18" i="8"/>
  <c r="CC18" i="8"/>
  <c r="CD18" i="8"/>
  <c r="CE18" i="8"/>
  <c r="CF18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BJ19" i="8"/>
  <c r="BK19" i="8"/>
  <c r="BL19" i="8"/>
  <c r="BM19" i="8"/>
  <c r="BN19" i="8"/>
  <c r="BO19" i="8"/>
  <c r="BP19" i="8"/>
  <c r="BQ19" i="8"/>
  <c r="BR19" i="8"/>
  <c r="BS19" i="8"/>
  <c r="BT19" i="8"/>
  <c r="BU19" i="8"/>
  <c r="BV19" i="8"/>
  <c r="BW19" i="8"/>
  <c r="BX19" i="8"/>
  <c r="BY19" i="8"/>
  <c r="BZ19" i="8"/>
  <c r="CA19" i="8"/>
  <c r="CB19" i="8"/>
  <c r="CC19" i="8"/>
  <c r="CD19" i="8"/>
  <c r="CE19" i="8"/>
  <c r="CF19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CA20" i="8"/>
  <c r="CB20" i="8"/>
  <c r="CC20" i="8"/>
  <c r="CD20" i="8"/>
  <c r="CE20" i="8"/>
  <c r="CF20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BQ22" i="8"/>
  <c r="BR22" i="8"/>
  <c r="BS22" i="8"/>
  <c r="BT22" i="8"/>
  <c r="BU22" i="8"/>
  <c r="BV22" i="8"/>
  <c r="BW22" i="8"/>
  <c r="BX22" i="8"/>
  <c r="BY22" i="8"/>
  <c r="BZ22" i="8"/>
  <c r="CA22" i="8"/>
  <c r="CB22" i="8"/>
  <c r="CC22" i="8"/>
  <c r="CD22" i="8"/>
  <c r="CE22" i="8"/>
  <c r="CF22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BQ23" i="8"/>
  <c r="BR23" i="8"/>
  <c r="BS23" i="8"/>
  <c r="BT23" i="8"/>
  <c r="BU23" i="8"/>
  <c r="BV23" i="8"/>
  <c r="BW23" i="8"/>
  <c r="BX23" i="8"/>
  <c r="BY23" i="8"/>
  <c r="BZ23" i="8"/>
  <c r="CA23" i="8"/>
  <c r="CB23" i="8"/>
  <c r="CC23" i="8"/>
  <c r="CD23" i="8"/>
  <c r="CE23" i="8"/>
  <c r="CF23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BQ24" i="8"/>
  <c r="BR24" i="8"/>
  <c r="BS24" i="8"/>
  <c r="BT24" i="8"/>
  <c r="BU24" i="8"/>
  <c r="BV24" i="8"/>
  <c r="BW24" i="8"/>
  <c r="BX24" i="8"/>
  <c r="BY24" i="8"/>
  <c r="BZ24" i="8"/>
  <c r="CA24" i="8"/>
  <c r="CB24" i="8"/>
  <c r="CC24" i="8"/>
  <c r="CD24" i="8"/>
  <c r="CE24" i="8"/>
  <c r="CF24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CA25" i="8"/>
  <c r="CB25" i="8"/>
  <c r="CC25" i="8"/>
  <c r="CD25" i="8"/>
  <c r="CE25" i="8"/>
  <c r="CF25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BN26" i="8"/>
  <c r="BO26" i="8"/>
  <c r="BP26" i="8"/>
  <c r="BQ26" i="8"/>
  <c r="BR26" i="8"/>
  <c r="BS26" i="8"/>
  <c r="BT26" i="8"/>
  <c r="BU26" i="8"/>
  <c r="BV26" i="8"/>
  <c r="BW26" i="8"/>
  <c r="BX26" i="8"/>
  <c r="BY26" i="8"/>
  <c r="BZ26" i="8"/>
  <c r="CA26" i="8"/>
  <c r="CB26" i="8"/>
  <c r="CC26" i="8"/>
  <c r="CD26" i="8"/>
  <c r="CE26" i="8"/>
  <c r="CF26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L27" i="8"/>
  <c r="BM27" i="8"/>
  <c r="BN27" i="8"/>
  <c r="BO27" i="8"/>
  <c r="BP27" i="8"/>
  <c r="BQ27" i="8"/>
  <c r="BR27" i="8"/>
  <c r="BS27" i="8"/>
  <c r="BT27" i="8"/>
  <c r="BU27" i="8"/>
  <c r="BV27" i="8"/>
  <c r="BW27" i="8"/>
  <c r="BX27" i="8"/>
  <c r="BY27" i="8"/>
  <c r="BZ27" i="8"/>
  <c r="CA27" i="8"/>
  <c r="CB27" i="8"/>
  <c r="CC27" i="8"/>
  <c r="CD27" i="8"/>
  <c r="CE27" i="8"/>
  <c r="CF27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L28" i="8"/>
  <c r="BM28" i="8"/>
  <c r="BN28" i="8"/>
  <c r="BO28" i="8"/>
  <c r="BP28" i="8"/>
  <c r="BQ28" i="8"/>
  <c r="BR28" i="8"/>
  <c r="BS28" i="8"/>
  <c r="BT28" i="8"/>
  <c r="BU28" i="8"/>
  <c r="BV28" i="8"/>
  <c r="BW28" i="8"/>
  <c r="BX28" i="8"/>
  <c r="BY28" i="8"/>
  <c r="BZ28" i="8"/>
  <c r="CA28" i="8"/>
  <c r="CB28" i="8"/>
  <c r="CC28" i="8"/>
  <c r="CD28" i="8"/>
  <c r="CE28" i="8"/>
  <c r="CF28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BQ29" i="8"/>
  <c r="BR29" i="8"/>
  <c r="BS29" i="8"/>
  <c r="BT29" i="8"/>
  <c r="BU29" i="8"/>
  <c r="BV29" i="8"/>
  <c r="BW29" i="8"/>
  <c r="BX29" i="8"/>
  <c r="BY29" i="8"/>
  <c r="BZ29" i="8"/>
  <c r="CA29" i="8"/>
  <c r="CB29" i="8"/>
  <c r="CC29" i="8"/>
  <c r="CD29" i="8"/>
  <c r="CE29" i="8"/>
  <c r="CF29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N30" i="8"/>
  <c r="BO30" i="8"/>
  <c r="BP30" i="8"/>
  <c r="BQ30" i="8"/>
  <c r="BR30" i="8"/>
  <c r="BS30" i="8"/>
  <c r="BT30" i="8"/>
  <c r="BU30" i="8"/>
  <c r="BV30" i="8"/>
  <c r="BW30" i="8"/>
  <c r="BX30" i="8"/>
  <c r="BY30" i="8"/>
  <c r="BZ30" i="8"/>
  <c r="CA30" i="8"/>
  <c r="CB30" i="8"/>
  <c r="CC30" i="8"/>
  <c r="CD30" i="8"/>
  <c r="CE30" i="8"/>
  <c r="CF30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BQ31" i="8"/>
  <c r="BR31" i="8"/>
  <c r="BS31" i="8"/>
  <c r="BT31" i="8"/>
  <c r="BU31" i="8"/>
  <c r="BV31" i="8"/>
  <c r="BW31" i="8"/>
  <c r="BX31" i="8"/>
  <c r="BY31" i="8"/>
  <c r="BZ31" i="8"/>
  <c r="CA31" i="8"/>
  <c r="CB31" i="8"/>
  <c r="CC31" i="8"/>
  <c r="CD31" i="8"/>
  <c r="CE31" i="8"/>
  <c r="CF31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BK32" i="8"/>
  <c r="BL32" i="8"/>
  <c r="BM32" i="8"/>
  <c r="BN32" i="8"/>
  <c r="BO32" i="8"/>
  <c r="BP32" i="8"/>
  <c r="BQ32" i="8"/>
  <c r="BR32" i="8"/>
  <c r="BS32" i="8"/>
  <c r="BT32" i="8"/>
  <c r="BU32" i="8"/>
  <c r="BV32" i="8"/>
  <c r="BW32" i="8"/>
  <c r="BX32" i="8"/>
  <c r="BY32" i="8"/>
  <c r="BZ32" i="8"/>
  <c r="CA32" i="8"/>
  <c r="CB32" i="8"/>
  <c r="CC32" i="8"/>
  <c r="CD32" i="8"/>
  <c r="CE32" i="8"/>
  <c r="CF32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BJ33" i="8"/>
  <c r="BK33" i="8"/>
  <c r="BL33" i="8"/>
  <c r="BM33" i="8"/>
  <c r="BN33" i="8"/>
  <c r="BO33" i="8"/>
  <c r="BP33" i="8"/>
  <c r="BQ33" i="8"/>
  <c r="BR33" i="8"/>
  <c r="BS33" i="8"/>
  <c r="BT33" i="8"/>
  <c r="BU33" i="8"/>
  <c r="BV33" i="8"/>
  <c r="BW33" i="8"/>
  <c r="BX33" i="8"/>
  <c r="BY33" i="8"/>
  <c r="BZ33" i="8"/>
  <c r="CA33" i="8"/>
  <c r="CB33" i="8"/>
  <c r="CC33" i="8"/>
  <c r="CD33" i="8"/>
  <c r="CE33" i="8"/>
  <c r="CF33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BJ34" i="8"/>
  <c r="BK34" i="8"/>
  <c r="BL34" i="8"/>
  <c r="BM34" i="8"/>
  <c r="BN34" i="8"/>
  <c r="BO34" i="8"/>
  <c r="BP34" i="8"/>
  <c r="BQ34" i="8"/>
  <c r="BR34" i="8"/>
  <c r="BS34" i="8"/>
  <c r="BT34" i="8"/>
  <c r="BU34" i="8"/>
  <c r="BV34" i="8"/>
  <c r="BW34" i="8"/>
  <c r="BX34" i="8"/>
  <c r="BY34" i="8"/>
  <c r="BZ34" i="8"/>
  <c r="CA34" i="8"/>
  <c r="CB34" i="8"/>
  <c r="CC34" i="8"/>
  <c r="CD34" i="8"/>
  <c r="CE34" i="8"/>
  <c r="CF34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BJ37" i="8"/>
  <c r="BK37" i="8"/>
  <c r="BL37" i="8"/>
  <c r="BM37" i="8"/>
  <c r="BN37" i="8"/>
  <c r="BO37" i="8"/>
  <c r="BP37" i="8"/>
  <c r="BQ37" i="8"/>
  <c r="BR37" i="8"/>
  <c r="BS37" i="8"/>
  <c r="BT37" i="8"/>
  <c r="BU37" i="8"/>
  <c r="BV37" i="8"/>
  <c r="BW37" i="8"/>
  <c r="BX37" i="8"/>
  <c r="BY37" i="8"/>
  <c r="BZ37" i="8"/>
  <c r="CA37" i="8"/>
  <c r="CB37" i="8"/>
  <c r="CC37" i="8"/>
  <c r="CD37" i="8"/>
  <c r="CE37" i="8"/>
  <c r="CF37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BJ38" i="8"/>
  <c r="BK38" i="8"/>
  <c r="BL38" i="8"/>
  <c r="BM38" i="8"/>
  <c r="BN38" i="8"/>
  <c r="BO38" i="8"/>
  <c r="BP38" i="8"/>
  <c r="BQ38" i="8"/>
  <c r="BR38" i="8"/>
  <c r="BS38" i="8"/>
  <c r="BT38" i="8"/>
  <c r="BU38" i="8"/>
  <c r="BV38" i="8"/>
  <c r="BW38" i="8"/>
  <c r="BX38" i="8"/>
  <c r="BY38" i="8"/>
  <c r="BZ38" i="8"/>
  <c r="CA38" i="8"/>
  <c r="CB38" i="8"/>
  <c r="CC38" i="8"/>
  <c r="CD38" i="8"/>
  <c r="CE38" i="8"/>
  <c r="CF38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L39" i="8"/>
  <c r="BM39" i="8"/>
  <c r="BN39" i="8"/>
  <c r="BO39" i="8"/>
  <c r="BP39" i="8"/>
  <c r="BQ39" i="8"/>
  <c r="BR39" i="8"/>
  <c r="BS39" i="8"/>
  <c r="BT39" i="8"/>
  <c r="BU39" i="8"/>
  <c r="BV39" i="8"/>
  <c r="BW39" i="8"/>
  <c r="BX39" i="8"/>
  <c r="BY39" i="8"/>
  <c r="BZ39" i="8"/>
  <c r="CA39" i="8"/>
  <c r="CB39" i="8"/>
  <c r="CC39" i="8"/>
  <c r="CD39" i="8"/>
  <c r="CE39" i="8"/>
  <c r="CF39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BJ40" i="8"/>
  <c r="BK40" i="8"/>
  <c r="BL40" i="8"/>
  <c r="BM40" i="8"/>
  <c r="BN40" i="8"/>
  <c r="BO40" i="8"/>
  <c r="BP40" i="8"/>
  <c r="BQ40" i="8"/>
  <c r="BR40" i="8"/>
  <c r="BS40" i="8"/>
  <c r="BT40" i="8"/>
  <c r="BU40" i="8"/>
  <c r="BV40" i="8"/>
  <c r="BW40" i="8"/>
  <c r="BX40" i="8"/>
  <c r="BY40" i="8"/>
  <c r="BZ40" i="8"/>
  <c r="CA40" i="8"/>
  <c r="CB40" i="8"/>
  <c r="CC40" i="8"/>
  <c r="CD40" i="8"/>
  <c r="CE40" i="8"/>
  <c r="CF40" i="8"/>
  <c r="AS41" i="8"/>
  <c r="AT41" i="8"/>
  <c r="AU41" i="8"/>
  <c r="AV41" i="8"/>
  <c r="AW41" i="8"/>
  <c r="AX41" i="8"/>
  <c r="AY41" i="8"/>
  <c r="AZ41" i="8"/>
  <c r="BA41" i="8"/>
  <c r="BB41" i="8"/>
  <c r="BC41" i="8"/>
  <c r="BD41" i="8"/>
  <c r="BE41" i="8"/>
  <c r="BF41" i="8"/>
  <c r="BG41" i="8"/>
  <c r="BH41" i="8"/>
  <c r="BI41" i="8"/>
  <c r="BJ41" i="8"/>
  <c r="BK41" i="8"/>
  <c r="BL41" i="8"/>
  <c r="BM41" i="8"/>
  <c r="BN41" i="8"/>
  <c r="BO41" i="8"/>
  <c r="BP41" i="8"/>
  <c r="BQ41" i="8"/>
  <c r="BR41" i="8"/>
  <c r="BS41" i="8"/>
  <c r="BT41" i="8"/>
  <c r="BU41" i="8"/>
  <c r="BV41" i="8"/>
  <c r="BW41" i="8"/>
  <c r="BX41" i="8"/>
  <c r="BY41" i="8"/>
  <c r="BZ41" i="8"/>
  <c r="CA41" i="8"/>
  <c r="CB41" i="8"/>
  <c r="CC41" i="8"/>
  <c r="CD41" i="8"/>
  <c r="CE41" i="8"/>
  <c r="CF41" i="8"/>
  <c r="AS42" i="8"/>
  <c r="AT42" i="8"/>
  <c r="AU42" i="8"/>
  <c r="AV42" i="8"/>
  <c r="AW42" i="8"/>
  <c r="AX42" i="8"/>
  <c r="AY42" i="8"/>
  <c r="AZ42" i="8"/>
  <c r="BA42" i="8"/>
  <c r="BB42" i="8"/>
  <c r="BC42" i="8"/>
  <c r="BD42" i="8"/>
  <c r="BE42" i="8"/>
  <c r="BF42" i="8"/>
  <c r="BG42" i="8"/>
  <c r="BH42" i="8"/>
  <c r="BI42" i="8"/>
  <c r="BJ42" i="8"/>
  <c r="BK42" i="8"/>
  <c r="BL42" i="8"/>
  <c r="BM42" i="8"/>
  <c r="BN42" i="8"/>
  <c r="BO42" i="8"/>
  <c r="BP42" i="8"/>
  <c r="BQ42" i="8"/>
  <c r="BR42" i="8"/>
  <c r="BS42" i="8"/>
  <c r="BT42" i="8"/>
  <c r="BU42" i="8"/>
  <c r="BV42" i="8"/>
  <c r="BW42" i="8"/>
  <c r="BX42" i="8"/>
  <c r="BY42" i="8"/>
  <c r="BZ42" i="8"/>
  <c r="CA42" i="8"/>
  <c r="CB42" i="8"/>
  <c r="CC42" i="8"/>
  <c r="CD42" i="8"/>
  <c r="CE42" i="8"/>
  <c r="CF42" i="8"/>
  <c r="AS43" i="8"/>
  <c r="AT43" i="8"/>
  <c r="AU43" i="8"/>
  <c r="AV43" i="8"/>
  <c r="AW43" i="8"/>
  <c r="AX43" i="8"/>
  <c r="AY43" i="8"/>
  <c r="AZ43" i="8"/>
  <c r="BA43" i="8"/>
  <c r="BB43" i="8"/>
  <c r="BC43" i="8"/>
  <c r="BD43" i="8"/>
  <c r="BE43" i="8"/>
  <c r="BF43" i="8"/>
  <c r="BG43" i="8"/>
  <c r="BH43" i="8"/>
  <c r="BI43" i="8"/>
  <c r="BJ43" i="8"/>
  <c r="BK43" i="8"/>
  <c r="BL43" i="8"/>
  <c r="BM43" i="8"/>
  <c r="BN43" i="8"/>
  <c r="BO43" i="8"/>
  <c r="BP43" i="8"/>
  <c r="BQ43" i="8"/>
  <c r="BR43" i="8"/>
  <c r="BS43" i="8"/>
  <c r="BT43" i="8"/>
  <c r="BU43" i="8"/>
  <c r="BV43" i="8"/>
  <c r="BW43" i="8"/>
  <c r="BX43" i="8"/>
  <c r="BY43" i="8"/>
  <c r="BZ43" i="8"/>
  <c r="CA43" i="8"/>
  <c r="CB43" i="8"/>
  <c r="CC43" i="8"/>
  <c r="CD43" i="8"/>
  <c r="CE43" i="8"/>
  <c r="CF43" i="8"/>
  <c r="AS44" i="8"/>
  <c r="AT44" i="8"/>
  <c r="AU44" i="8"/>
  <c r="AV44" i="8"/>
  <c r="AW44" i="8"/>
  <c r="AX44" i="8"/>
  <c r="AY44" i="8"/>
  <c r="AZ44" i="8"/>
  <c r="BA44" i="8"/>
  <c r="BB44" i="8"/>
  <c r="BC44" i="8"/>
  <c r="BD44" i="8"/>
  <c r="BE44" i="8"/>
  <c r="BF44" i="8"/>
  <c r="BG44" i="8"/>
  <c r="BH44" i="8"/>
  <c r="BI44" i="8"/>
  <c r="BJ44" i="8"/>
  <c r="BK44" i="8"/>
  <c r="BL44" i="8"/>
  <c r="BM44" i="8"/>
  <c r="BN44" i="8"/>
  <c r="BO44" i="8"/>
  <c r="BP44" i="8"/>
  <c r="BQ44" i="8"/>
  <c r="BR44" i="8"/>
  <c r="BS44" i="8"/>
  <c r="BT44" i="8"/>
  <c r="BU44" i="8"/>
  <c r="BV44" i="8"/>
  <c r="BW44" i="8"/>
  <c r="BX44" i="8"/>
  <c r="BY44" i="8"/>
  <c r="BZ44" i="8"/>
  <c r="CA44" i="8"/>
  <c r="CB44" i="8"/>
  <c r="CC44" i="8"/>
  <c r="CD44" i="8"/>
  <c r="CE44" i="8"/>
  <c r="CF44" i="8"/>
  <c r="AS45" i="8"/>
  <c r="AT45" i="8"/>
  <c r="AU45" i="8"/>
  <c r="AV45" i="8"/>
  <c r="AW45" i="8"/>
  <c r="AX45" i="8"/>
  <c r="AY45" i="8"/>
  <c r="AZ45" i="8"/>
  <c r="BA45" i="8"/>
  <c r="BB45" i="8"/>
  <c r="BC45" i="8"/>
  <c r="BD45" i="8"/>
  <c r="BE45" i="8"/>
  <c r="BF45" i="8"/>
  <c r="BG45" i="8"/>
  <c r="BH45" i="8"/>
  <c r="BI45" i="8"/>
  <c r="BJ45" i="8"/>
  <c r="BK45" i="8"/>
  <c r="BL45" i="8"/>
  <c r="BM45" i="8"/>
  <c r="BN45" i="8"/>
  <c r="BO45" i="8"/>
  <c r="BP45" i="8"/>
  <c r="BQ45" i="8"/>
  <c r="BR45" i="8"/>
  <c r="BS45" i="8"/>
  <c r="BT45" i="8"/>
  <c r="BU45" i="8"/>
  <c r="BV45" i="8"/>
  <c r="BW45" i="8"/>
  <c r="BX45" i="8"/>
  <c r="BY45" i="8"/>
  <c r="BZ45" i="8"/>
  <c r="CA45" i="8"/>
  <c r="CB45" i="8"/>
  <c r="CC45" i="8"/>
  <c r="CD45" i="8"/>
  <c r="CE45" i="8"/>
  <c r="CF45" i="8"/>
  <c r="AS46" i="8"/>
  <c r="AT46" i="8"/>
  <c r="AU46" i="8"/>
  <c r="AV46" i="8"/>
  <c r="AW46" i="8"/>
  <c r="AX46" i="8"/>
  <c r="AY46" i="8"/>
  <c r="AZ46" i="8"/>
  <c r="BA46" i="8"/>
  <c r="BB46" i="8"/>
  <c r="BC46" i="8"/>
  <c r="BD46" i="8"/>
  <c r="BE46" i="8"/>
  <c r="BF46" i="8"/>
  <c r="BG46" i="8"/>
  <c r="BH46" i="8"/>
  <c r="BI46" i="8"/>
  <c r="BJ46" i="8"/>
  <c r="BK46" i="8"/>
  <c r="BL46" i="8"/>
  <c r="BM46" i="8"/>
  <c r="BN46" i="8"/>
  <c r="BO46" i="8"/>
  <c r="BP46" i="8"/>
  <c r="BQ46" i="8"/>
  <c r="BR46" i="8"/>
  <c r="BS46" i="8"/>
  <c r="BT46" i="8"/>
  <c r="BU46" i="8"/>
  <c r="BV46" i="8"/>
  <c r="BW46" i="8"/>
  <c r="BX46" i="8"/>
  <c r="BY46" i="8"/>
  <c r="BZ46" i="8"/>
  <c r="CA46" i="8"/>
  <c r="CB46" i="8"/>
  <c r="CC46" i="8"/>
  <c r="CD46" i="8"/>
  <c r="CE46" i="8"/>
  <c r="CF46" i="8"/>
  <c r="AS47" i="8"/>
  <c r="AT47" i="8"/>
  <c r="AU47" i="8"/>
  <c r="AV47" i="8"/>
  <c r="AW47" i="8"/>
  <c r="AX47" i="8"/>
  <c r="AY47" i="8"/>
  <c r="AZ47" i="8"/>
  <c r="BA47" i="8"/>
  <c r="BB47" i="8"/>
  <c r="BC47" i="8"/>
  <c r="BD47" i="8"/>
  <c r="BE47" i="8"/>
  <c r="BF47" i="8"/>
  <c r="BG47" i="8"/>
  <c r="BH47" i="8"/>
  <c r="BI47" i="8"/>
  <c r="BJ47" i="8"/>
  <c r="BK47" i="8"/>
  <c r="BL47" i="8"/>
  <c r="BM47" i="8"/>
  <c r="BN47" i="8"/>
  <c r="BO47" i="8"/>
  <c r="BP47" i="8"/>
  <c r="BQ47" i="8"/>
  <c r="BR47" i="8"/>
  <c r="BS47" i="8"/>
  <c r="BT47" i="8"/>
  <c r="BU47" i="8"/>
  <c r="BV47" i="8"/>
  <c r="BW47" i="8"/>
  <c r="BX47" i="8"/>
  <c r="BY47" i="8"/>
  <c r="BZ47" i="8"/>
  <c r="CA47" i="8"/>
  <c r="CB47" i="8"/>
  <c r="CC47" i="8"/>
  <c r="CD47" i="8"/>
  <c r="CE47" i="8"/>
  <c r="CF47" i="8"/>
  <c r="AS48" i="8"/>
  <c r="AT48" i="8"/>
  <c r="AU48" i="8"/>
  <c r="AV48" i="8"/>
  <c r="AW48" i="8"/>
  <c r="AX48" i="8"/>
  <c r="AY48" i="8"/>
  <c r="AZ48" i="8"/>
  <c r="BA48" i="8"/>
  <c r="BB48" i="8"/>
  <c r="BC48" i="8"/>
  <c r="BD48" i="8"/>
  <c r="BE48" i="8"/>
  <c r="BF48" i="8"/>
  <c r="BG48" i="8"/>
  <c r="BH48" i="8"/>
  <c r="BI48" i="8"/>
  <c r="BJ48" i="8"/>
  <c r="BK48" i="8"/>
  <c r="BL48" i="8"/>
  <c r="BM48" i="8"/>
  <c r="BN48" i="8"/>
  <c r="BO48" i="8"/>
  <c r="BP48" i="8"/>
  <c r="BQ48" i="8"/>
  <c r="BR48" i="8"/>
  <c r="BS48" i="8"/>
  <c r="BT48" i="8"/>
  <c r="BU48" i="8"/>
  <c r="BV48" i="8"/>
  <c r="BW48" i="8"/>
  <c r="BX48" i="8"/>
  <c r="BY48" i="8"/>
  <c r="BZ48" i="8"/>
  <c r="CA48" i="8"/>
  <c r="CB48" i="8"/>
  <c r="CC48" i="8"/>
  <c r="CD48" i="8"/>
  <c r="CE48" i="8"/>
  <c r="CF48" i="8"/>
  <c r="AS49" i="8"/>
  <c r="AT49" i="8"/>
  <c r="AU49" i="8"/>
  <c r="AV49" i="8"/>
  <c r="AW49" i="8"/>
  <c r="AX49" i="8"/>
  <c r="AY49" i="8"/>
  <c r="AZ49" i="8"/>
  <c r="BA49" i="8"/>
  <c r="BB49" i="8"/>
  <c r="BC49" i="8"/>
  <c r="BD49" i="8"/>
  <c r="BE49" i="8"/>
  <c r="BF49" i="8"/>
  <c r="BG49" i="8"/>
  <c r="BH49" i="8"/>
  <c r="BI49" i="8"/>
  <c r="BJ49" i="8"/>
  <c r="BK49" i="8"/>
  <c r="BL49" i="8"/>
  <c r="BM49" i="8"/>
  <c r="BN49" i="8"/>
  <c r="BO49" i="8"/>
  <c r="BP49" i="8"/>
  <c r="BQ49" i="8"/>
  <c r="BR49" i="8"/>
  <c r="BS49" i="8"/>
  <c r="BT49" i="8"/>
  <c r="BU49" i="8"/>
  <c r="BV49" i="8"/>
  <c r="BW49" i="8"/>
  <c r="BX49" i="8"/>
  <c r="BY49" i="8"/>
  <c r="BZ49" i="8"/>
  <c r="CA49" i="8"/>
  <c r="CB49" i="8"/>
  <c r="CC49" i="8"/>
  <c r="CD49" i="8"/>
  <c r="CE49" i="8"/>
  <c r="CF49" i="8"/>
  <c r="AS50" i="8"/>
  <c r="AT50" i="8"/>
  <c r="AU50" i="8"/>
  <c r="AV50" i="8"/>
  <c r="AW50" i="8"/>
  <c r="AX50" i="8"/>
  <c r="AY50" i="8"/>
  <c r="AZ50" i="8"/>
  <c r="BA50" i="8"/>
  <c r="BB50" i="8"/>
  <c r="BC50" i="8"/>
  <c r="BD50" i="8"/>
  <c r="BE50" i="8"/>
  <c r="BF50" i="8"/>
  <c r="BG50" i="8"/>
  <c r="BH50" i="8"/>
  <c r="BI50" i="8"/>
  <c r="BJ50" i="8"/>
  <c r="BK50" i="8"/>
  <c r="BL50" i="8"/>
  <c r="BM50" i="8"/>
  <c r="BN50" i="8"/>
  <c r="BO50" i="8"/>
  <c r="BP50" i="8"/>
  <c r="BQ50" i="8"/>
  <c r="BR50" i="8"/>
  <c r="BS50" i="8"/>
  <c r="BT50" i="8"/>
  <c r="BU50" i="8"/>
  <c r="BV50" i="8"/>
  <c r="BW50" i="8"/>
  <c r="BX50" i="8"/>
  <c r="BY50" i="8"/>
  <c r="BZ50" i="8"/>
  <c r="CA50" i="8"/>
  <c r="CB50" i="8"/>
  <c r="CC50" i="8"/>
  <c r="CD50" i="8"/>
  <c r="CE50" i="8"/>
  <c r="CF50" i="8"/>
  <c r="AS51" i="8"/>
  <c r="AT51" i="8"/>
  <c r="AU51" i="8"/>
  <c r="AV51" i="8"/>
  <c r="AW51" i="8"/>
  <c r="AX51" i="8"/>
  <c r="AY51" i="8"/>
  <c r="AZ51" i="8"/>
  <c r="BA51" i="8"/>
  <c r="BB51" i="8"/>
  <c r="BC51" i="8"/>
  <c r="BD51" i="8"/>
  <c r="BE51" i="8"/>
  <c r="BF51" i="8"/>
  <c r="BG51" i="8"/>
  <c r="BH51" i="8"/>
  <c r="BI51" i="8"/>
  <c r="BJ51" i="8"/>
  <c r="BK51" i="8"/>
  <c r="BL51" i="8"/>
  <c r="BM51" i="8"/>
  <c r="BN51" i="8"/>
  <c r="BO51" i="8"/>
  <c r="BP51" i="8"/>
  <c r="BQ51" i="8"/>
  <c r="BR51" i="8"/>
  <c r="BS51" i="8"/>
  <c r="BT51" i="8"/>
  <c r="BU51" i="8"/>
  <c r="BV51" i="8"/>
  <c r="BW51" i="8"/>
  <c r="BX51" i="8"/>
  <c r="BY51" i="8"/>
  <c r="BZ51" i="8"/>
  <c r="CA51" i="8"/>
  <c r="CB51" i="8"/>
  <c r="CC51" i="8"/>
  <c r="CD51" i="8"/>
  <c r="CE51" i="8"/>
  <c r="CF51" i="8"/>
  <c r="AS52" i="8"/>
  <c r="AT52" i="8"/>
  <c r="AU52" i="8"/>
  <c r="AV52" i="8"/>
  <c r="AW52" i="8"/>
  <c r="AX52" i="8"/>
  <c r="AY52" i="8"/>
  <c r="AZ52" i="8"/>
  <c r="BA52" i="8"/>
  <c r="BB52" i="8"/>
  <c r="BC52" i="8"/>
  <c r="BD52" i="8"/>
  <c r="BE52" i="8"/>
  <c r="BF52" i="8"/>
  <c r="BG52" i="8"/>
  <c r="BH52" i="8"/>
  <c r="BI52" i="8"/>
  <c r="BJ52" i="8"/>
  <c r="BK52" i="8"/>
  <c r="BL52" i="8"/>
  <c r="BM52" i="8"/>
  <c r="BN52" i="8"/>
  <c r="BO52" i="8"/>
  <c r="BP52" i="8"/>
  <c r="BQ52" i="8"/>
  <c r="BR52" i="8"/>
  <c r="BS52" i="8"/>
  <c r="BT52" i="8"/>
  <c r="BU52" i="8"/>
  <c r="BV52" i="8"/>
  <c r="BW52" i="8"/>
  <c r="BX52" i="8"/>
  <c r="BY52" i="8"/>
  <c r="BZ52" i="8"/>
  <c r="CA52" i="8"/>
  <c r="CB52" i="8"/>
  <c r="CC52" i="8"/>
  <c r="CD52" i="8"/>
  <c r="CE52" i="8"/>
  <c r="CF52" i="8"/>
  <c r="AS53" i="8"/>
  <c r="AT53" i="8"/>
  <c r="AU53" i="8"/>
  <c r="AV53" i="8"/>
  <c r="AW53" i="8"/>
  <c r="AX53" i="8"/>
  <c r="AY53" i="8"/>
  <c r="AZ53" i="8"/>
  <c r="BA53" i="8"/>
  <c r="BB53" i="8"/>
  <c r="BC53" i="8"/>
  <c r="BD53" i="8"/>
  <c r="BE53" i="8"/>
  <c r="BF53" i="8"/>
  <c r="BG53" i="8"/>
  <c r="BH53" i="8"/>
  <c r="BI53" i="8"/>
  <c r="BJ53" i="8"/>
  <c r="BK53" i="8"/>
  <c r="BL53" i="8"/>
  <c r="BM53" i="8"/>
  <c r="BN53" i="8"/>
  <c r="BO53" i="8"/>
  <c r="BP53" i="8"/>
  <c r="BQ53" i="8"/>
  <c r="BR53" i="8"/>
  <c r="BS53" i="8"/>
  <c r="BT53" i="8"/>
  <c r="BU53" i="8"/>
  <c r="BV53" i="8"/>
  <c r="BW53" i="8"/>
  <c r="BX53" i="8"/>
  <c r="BY53" i="8"/>
  <c r="BZ53" i="8"/>
  <c r="CA53" i="8"/>
  <c r="CB53" i="8"/>
  <c r="CC53" i="8"/>
  <c r="CD53" i="8"/>
  <c r="CE53" i="8"/>
  <c r="CF53" i="8"/>
  <c r="AS54" i="8"/>
  <c r="AT54" i="8"/>
  <c r="AU54" i="8"/>
  <c r="AV54" i="8"/>
  <c r="AW54" i="8"/>
  <c r="AX54" i="8"/>
  <c r="AY54" i="8"/>
  <c r="AZ54" i="8"/>
  <c r="BA54" i="8"/>
  <c r="BB54" i="8"/>
  <c r="BC54" i="8"/>
  <c r="BD54" i="8"/>
  <c r="BE54" i="8"/>
  <c r="BF54" i="8"/>
  <c r="BG54" i="8"/>
  <c r="BH54" i="8"/>
  <c r="BI54" i="8"/>
  <c r="BJ54" i="8"/>
  <c r="BK54" i="8"/>
  <c r="BL54" i="8"/>
  <c r="BM54" i="8"/>
  <c r="BN54" i="8"/>
  <c r="BO54" i="8"/>
  <c r="BP54" i="8"/>
  <c r="BQ54" i="8"/>
  <c r="BR54" i="8"/>
  <c r="BS54" i="8"/>
  <c r="BT54" i="8"/>
  <c r="BU54" i="8"/>
  <c r="BV54" i="8"/>
  <c r="BW54" i="8"/>
  <c r="BX54" i="8"/>
  <c r="BY54" i="8"/>
  <c r="BZ54" i="8"/>
  <c r="CA54" i="8"/>
  <c r="CB54" i="8"/>
  <c r="CC54" i="8"/>
  <c r="CD54" i="8"/>
  <c r="CE54" i="8"/>
  <c r="CF54" i="8"/>
  <c r="AS55" i="8"/>
  <c r="AT55" i="8"/>
  <c r="AU55" i="8"/>
  <c r="AV55" i="8"/>
  <c r="AW55" i="8"/>
  <c r="AX55" i="8"/>
  <c r="AY55" i="8"/>
  <c r="AZ55" i="8"/>
  <c r="BA55" i="8"/>
  <c r="BB55" i="8"/>
  <c r="BC55" i="8"/>
  <c r="BD55" i="8"/>
  <c r="BE55" i="8"/>
  <c r="BF55" i="8"/>
  <c r="BG55" i="8"/>
  <c r="BH55" i="8"/>
  <c r="BI55" i="8"/>
  <c r="BJ55" i="8"/>
  <c r="BK55" i="8"/>
  <c r="BL55" i="8"/>
  <c r="BM55" i="8"/>
  <c r="BN55" i="8"/>
  <c r="BO55" i="8"/>
  <c r="BP55" i="8"/>
  <c r="BQ55" i="8"/>
  <c r="BR55" i="8"/>
  <c r="BS55" i="8"/>
  <c r="BT55" i="8"/>
  <c r="BU55" i="8"/>
  <c r="BV55" i="8"/>
  <c r="BW55" i="8"/>
  <c r="BX55" i="8"/>
  <c r="BY55" i="8"/>
  <c r="BZ55" i="8"/>
  <c r="CA55" i="8"/>
  <c r="CB55" i="8"/>
  <c r="CC55" i="8"/>
  <c r="CD55" i="8"/>
  <c r="CE55" i="8"/>
  <c r="CF55" i="8"/>
  <c r="AS56" i="8"/>
  <c r="AT56" i="8"/>
  <c r="AU56" i="8"/>
  <c r="AV56" i="8"/>
  <c r="AW56" i="8"/>
  <c r="AX56" i="8"/>
  <c r="AY56" i="8"/>
  <c r="AZ56" i="8"/>
  <c r="BA56" i="8"/>
  <c r="BB56" i="8"/>
  <c r="BC56" i="8"/>
  <c r="BD56" i="8"/>
  <c r="BE56" i="8"/>
  <c r="BF56" i="8"/>
  <c r="BG56" i="8"/>
  <c r="BH56" i="8"/>
  <c r="BI56" i="8"/>
  <c r="BJ56" i="8"/>
  <c r="BK56" i="8"/>
  <c r="BL56" i="8"/>
  <c r="BM56" i="8"/>
  <c r="BN56" i="8"/>
  <c r="BO56" i="8"/>
  <c r="BP56" i="8"/>
  <c r="BQ56" i="8"/>
  <c r="BR56" i="8"/>
  <c r="BS56" i="8"/>
  <c r="BT56" i="8"/>
  <c r="BU56" i="8"/>
  <c r="BV56" i="8"/>
  <c r="BW56" i="8"/>
  <c r="BX56" i="8"/>
  <c r="BY56" i="8"/>
  <c r="BZ56" i="8"/>
  <c r="CA56" i="8"/>
  <c r="CB56" i="8"/>
  <c r="CC56" i="8"/>
  <c r="CD56" i="8"/>
  <c r="CE56" i="8"/>
  <c r="CF56" i="8"/>
  <c r="AS57" i="8"/>
  <c r="AT57" i="8"/>
  <c r="AU57" i="8"/>
  <c r="AV57" i="8"/>
  <c r="AW57" i="8"/>
  <c r="AX57" i="8"/>
  <c r="AY57" i="8"/>
  <c r="AZ57" i="8"/>
  <c r="BA57" i="8"/>
  <c r="BB57" i="8"/>
  <c r="BC57" i="8"/>
  <c r="BD57" i="8"/>
  <c r="BE57" i="8"/>
  <c r="BF57" i="8"/>
  <c r="BG57" i="8"/>
  <c r="BH57" i="8"/>
  <c r="BI57" i="8"/>
  <c r="BJ57" i="8"/>
  <c r="BK57" i="8"/>
  <c r="BL57" i="8"/>
  <c r="BM57" i="8"/>
  <c r="BN57" i="8"/>
  <c r="BO57" i="8"/>
  <c r="BP57" i="8"/>
  <c r="BQ57" i="8"/>
  <c r="BR57" i="8"/>
  <c r="BS57" i="8"/>
  <c r="BT57" i="8"/>
  <c r="BU57" i="8"/>
  <c r="BV57" i="8"/>
  <c r="BW57" i="8"/>
  <c r="BX57" i="8"/>
  <c r="BY57" i="8"/>
  <c r="BZ57" i="8"/>
  <c r="CA57" i="8"/>
  <c r="CB57" i="8"/>
  <c r="CC57" i="8"/>
  <c r="CD57" i="8"/>
  <c r="CE57" i="8"/>
  <c r="CF57" i="8"/>
  <c r="AS58" i="8"/>
  <c r="AT58" i="8"/>
  <c r="AU58" i="8"/>
  <c r="AV58" i="8"/>
  <c r="AW58" i="8"/>
  <c r="AX58" i="8"/>
  <c r="AY58" i="8"/>
  <c r="AZ58" i="8"/>
  <c r="BA58" i="8"/>
  <c r="BB58" i="8"/>
  <c r="BC58" i="8"/>
  <c r="BD58" i="8"/>
  <c r="BE58" i="8"/>
  <c r="BF58" i="8"/>
  <c r="BG58" i="8"/>
  <c r="BH58" i="8"/>
  <c r="BI58" i="8"/>
  <c r="BJ58" i="8"/>
  <c r="BK58" i="8"/>
  <c r="BL58" i="8"/>
  <c r="BM58" i="8"/>
  <c r="BN58" i="8"/>
  <c r="BO58" i="8"/>
  <c r="BP58" i="8"/>
  <c r="BQ58" i="8"/>
  <c r="BR58" i="8"/>
  <c r="BS58" i="8"/>
  <c r="BT58" i="8"/>
  <c r="BU58" i="8"/>
  <c r="BV58" i="8"/>
  <c r="BW58" i="8"/>
  <c r="BX58" i="8"/>
  <c r="BY58" i="8"/>
  <c r="BZ58" i="8"/>
  <c r="CA58" i="8"/>
  <c r="CB58" i="8"/>
  <c r="CC58" i="8"/>
  <c r="CD58" i="8"/>
  <c r="CE58" i="8"/>
  <c r="CF58" i="8"/>
  <c r="AS59" i="8"/>
  <c r="AT59" i="8"/>
  <c r="AU59" i="8"/>
  <c r="AV59" i="8"/>
  <c r="AW59" i="8"/>
  <c r="AX59" i="8"/>
  <c r="AY59" i="8"/>
  <c r="AZ59" i="8"/>
  <c r="BA59" i="8"/>
  <c r="BB59" i="8"/>
  <c r="BC59" i="8"/>
  <c r="BD59" i="8"/>
  <c r="BE59" i="8"/>
  <c r="BF59" i="8"/>
  <c r="BG59" i="8"/>
  <c r="BH59" i="8"/>
  <c r="BI59" i="8"/>
  <c r="BJ59" i="8"/>
  <c r="BK59" i="8"/>
  <c r="BL59" i="8"/>
  <c r="BM59" i="8"/>
  <c r="BN59" i="8"/>
  <c r="BO59" i="8"/>
  <c r="BP59" i="8"/>
  <c r="BQ59" i="8"/>
  <c r="BR59" i="8"/>
  <c r="BS59" i="8"/>
  <c r="BT59" i="8"/>
  <c r="BU59" i="8"/>
  <c r="BV59" i="8"/>
  <c r="BW59" i="8"/>
  <c r="BX59" i="8"/>
  <c r="BY59" i="8"/>
  <c r="BZ59" i="8"/>
  <c r="CA59" i="8"/>
  <c r="CB59" i="8"/>
  <c r="CC59" i="8"/>
  <c r="CD59" i="8"/>
  <c r="CE59" i="8"/>
  <c r="CF59" i="8"/>
  <c r="AS60" i="8"/>
  <c r="AT60" i="8"/>
  <c r="AU60" i="8"/>
  <c r="AV60" i="8"/>
  <c r="AW60" i="8"/>
  <c r="AX60" i="8"/>
  <c r="AY60" i="8"/>
  <c r="AZ60" i="8"/>
  <c r="BA60" i="8"/>
  <c r="BB60" i="8"/>
  <c r="BC60" i="8"/>
  <c r="BD60" i="8"/>
  <c r="BE60" i="8"/>
  <c r="BF60" i="8"/>
  <c r="BG60" i="8"/>
  <c r="BH60" i="8"/>
  <c r="BI60" i="8"/>
  <c r="BJ60" i="8"/>
  <c r="BK60" i="8"/>
  <c r="BL60" i="8"/>
  <c r="BM60" i="8"/>
  <c r="BN60" i="8"/>
  <c r="BO60" i="8"/>
  <c r="BP60" i="8"/>
  <c r="BQ60" i="8"/>
  <c r="BR60" i="8"/>
  <c r="BS60" i="8"/>
  <c r="BT60" i="8"/>
  <c r="BU60" i="8"/>
  <c r="BV60" i="8"/>
  <c r="BW60" i="8"/>
  <c r="BX60" i="8"/>
  <c r="BY60" i="8"/>
  <c r="BZ60" i="8"/>
  <c r="CA60" i="8"/>
  <c r="CB60" i="8"/>
  <c r="CC60" i="8"/>
  <c r="CD60" i="8"/>
  <c r="CE60" i="8"/>
  <c r="CF60" i="8"/>
  <c r="AS61" i="8"/>
  <c r="AT61" i="8"/>
  <c r="AU61" i="8"/>
  <c r="AV61" i="8"/>
  <c r="AW61" i="8"/>
  <c r="AX61" i="8"/>
  <c r="AY61" i="8"/>
  <c r="AZ61" i="8"/>
  <c r="BA61" i="8"/>
  <c r="BB61" i="8"/>
  <c r="BC61" i="8"/>
  <c r="BD61" i="8"/>
  <c r="BE61" i="8"/>
  <c r="BF61" i="8"/>
  <c r="BG61" i="8"/>
  <c r="BH61" i="8"/>
  <c r="BI61" i="8"/>
  <c r="BJ61" i="8"/>
  <c r="BK61" i="8"/>
  <c r="BL61" i="8"/>
  <c r="BM61" i="8"/>
  <c r="BN61" i="8"/>
  <c r="BO61" i="8"/>
  <c r="BP61" i="8"/>
  <c r="BQ61" i="8"/>
  <c r="BR61" i="8"/>
  <c r="BS61" i="8"/>
  <c r="BT61" i="8"/>
  <c r="BU61" i="8"/>
  <c r="BV61" i="8"/>
  <c r="BW61" i="8"/>
  <c r="BX61" i="8"/>
  <c r="BY61" i="8"/>
  <c r="BZ61" i="8"/>
  <c r="CA61" i="8"/>
  <c r="CB61" i="8"/>
  <c r="CC61" i="8"/>
  <c r="CD61" i="8"/>
  <c r="CE61" i="8"/>
  <c r="CF61" i="8"/>
  <c r="AS62" i="8"/>
  <c r="AT62" i="8"/>
  <c r="AU62" i="8"/>
  <c r="AV62" i="8"/>
  <c r="AW62" i="8"/>
  <c r="AX62" i="8"/>
  <c r="AY62" i="8"/>
  <c r="AZ62" i="8"/>
  <c r="BA62" i="8"/>
  <c r="BB62" i="8"/>
  <c r="BC62" i="8"/>
  <c r="BD62" i="8"/>
  <c r="BE62" i="8"/>
  <c r="BF62" i="8"/>
  <c r="BG62" i="8"/>
  <c r="BH62" i="8"/>
  <c r="BI62" i="8"/>
  <c r="BJ62" i="8"/>
  <c r="BK62" i="8"/>
  <c r="BL62" i="8"/>
  <c r="BM62" i="8"/>
  <c r="BN62" i="8"/>
  <c r="BO62" i="8"/>
  <c r="BP62" i="8"/>
  <c r="BQ62" i="8"/>
  <c r="BR62" i="8"/>
  <c r="BS62" i="8"/>
  <c r="BT62" i="8"/>
  <c r="BU62" i="8"/>
  <c r="BV62" i="8"/>
  <c r="BW62" i="8"/>
  <c r="BX62" i="8"/>
  <c r="BY62" i="8"/>
  <c r="BZ62" i="8"/>
  <c r="CA62" i="8"/>
  <c r="CB62" i="8"/>
  <c r="CC62" i="8"/>
  <c r="CD62" i="8"/>
  <c r="CE62" i="8"/>
  <c r="CF62" i="8"/>
  <c r="AS63" i="8"/>
  <c r="AT63" i="8"/>
  <c r="AU63" i="8"/>
  <c r="AV63" i="8"/>
  <c r="AW63" i="8"/>
  <c r="AX63" i="8"/>
  <c r="AY63" i="8"/>
  <c r="AZ63" i="8"/>
  <c r="BA63" i="8"/>
  <c r="BB63" i="8"/>
  <c r="BC63" i="8"/>
  <c r="BD63" i="8"/>
  <c r="BE63" i="8"/>
  <c r="BF63" i="8"/>
  <c r="BG63" i="8"/>
  <c r="BH63" i="8"/>
  <c r="BI63" i="8"/>
  <c r="BJ63" i="8"/>
  <c r="BK63" i="8"/>
  <c r="BL63" i="8"/>
  <c r="BM63" i="8"/>
  <c r="BN63" i="8"/>
  <c r="BO63" i="8"/>
  <c r="BP63" i="8"/>
  <c r="BQ63" i="8"/>
  <c r="BR63" i="8"/>
  <c r="BS63" i="8"/>
  <c r="BT63" i="8"/>
  <c r="BU63" i="8"/>
  <c r="BV63" i="8"/>
  <c r="BW63" i="8"/>
  <c r="BX63" i="8"/>
  <c r="BY63" i="8"/>
  <c r="BZ63" i="8"/>
  <c r="CA63" i="8"/>
  <c r="CB63" i="8"/>
  <c r="CC63" i="8"/>
  <c r="CD63" i="8"/>
  <c r="CE63" i="8"/>
  <c r="CF63" i="8"/>
  <c r="AS64" i="8"/>
  <c r="AT64" i="8"/>
  <c r="AU64" i="8"/>
  <c r="AV64" i="8"/>
  <c r="AW64" i="8"/>
  <c r="AX64" i="8"/>
  <c r="AY64" i="8"/>
  <c r="AZ64" i="8"/>
  <c r="BA64" i="8"/>
  <c r="BB64" i="8"/>
  <c r="BC64" i="8"/>
  <c r="BD64" i="8"/>
  <c r="BE64" i="8"/>
  <c r="BF64" i="8"/>
  <c r="BG64" i="8"/>
  <c r="BH64" i="8"/>
  <c r="BI64" i="8"/>
  <c r="BJ64" i="8"/>
  <c r="BK64" i="8"/>
  <c r="BL64" i="8"/>
  <c r="BM64" i="8"/>
  <c r="BN64" i="8"/>
  <c r="BO64" i="8"/>
  <c r="BP64" i="8"/>
  <c r="BQ64" i="8"/>
  <c r="BR64" i="8"/>
  <c r="BS64" i="8"/>
  <c r="BT64" i="8"/>
  <c r="BU64" i="8"/>
  <c r="BV64" i="8"/>
  <c r="BW64" i="8"/>
  <c r="BX64" i="8"/>
  <c r="BY64" i="8"/>
  <c r="BZ64" i="8"/>
  <c r="CA64" i="8"/>
  <c r="CB64" i="8"/>
  <c r="CC64" i="8"/>
  <c r="CD64" i="8"/>
  <c r="CE64" i="8"/>
  <c r="CF64" i="8"/>
  <c r="AS65" i="8"/>
  <c r="AT65" i="8"/>
  <c r="AU65" i="8"/>
  <c r="AV65" i="8"/>
  <c r="AW65" i="8"/>
  <c r="AX65" i="8"/>
  <c r="AY65" i="8"/>
  <c r="AZ65" i="8"/>
  <c r="BA65" i="8"/>
  <c r="BB65" i="8"/>
  <c r="BC65" i="8"/>
  <c r="BD65" i="8"/>
  <c r="BE65" i="8"/>
  <c r="BF65" i="8"/>
  <c r="BG65" i="8"/>
  <c r="BH65" i="8"/>
  <c r="BI65" i="8"/>
  <c r="BJ65" i="8"/>
  <c r="BK65" i="8"/>
  <c r="BL65" i="8"/>
  <c r="BM65" i="8"/>
  <c r="BN65" i="8"/>
  <c r="BO65" i="8"/>
  <c r="BP65" i="8"/>
  <c r="BQ65" i="8"/>
  <c r="BR65" i="8"/>
  <c r="BS65" i="8"/>
  <c r="BT65" i="8"/>
  <c r="BU65" i="8"/>
  <c r="BV65" i="8"/>
  <c r="BW65" i="8"/>
  <c r="BX65" i="8"/>
  <c r="BY65" i="8"/>
  <c r="BZ65" i="8"/>
  <c r="CA65" i="8"/>
  <c r="CB65" i="8"/>
  <c r="CC65" i="8"/>
  <c r="CD65" i="8"/>
  <c r="CE65" i="8"/>
  <c r="CF65" i="8"/>
  <c r="AS66" i="8"/>
  <c r="AT66" i="8"/>
  <c r="AU66" i="8"/>
  <c r="AV66" i="8"/>
  <c r="AW66" i="8"/>
  <c r="AX66" i="8"/>
  <c r="AY66" i="8"/>
  <c r="AZ66" i="8"/>
  <c r="BA66" i="8"/>
  <c r="BB66" i="8"/>
  <c r="BC66" i="8"/>
  <c r="BD66" i="8"/>
  <c r="BE66" i="8"/>
  <c r="BF66" i="8"/>
  <c r="BG66" i="8"/>
  <c r="BH66" i="8"/>
  <c r="BI66" i="8"/>
  <c r="BJ66" i="8"/>
  <c r="BK66" i="8"/>
  <c r="BL66" i="8"/>
  <c r="BM66" i="8"/>
  <c r="BN66" i="8"/>
  <c r="BO66" i="8"/>
  <c r="BP66" i="8"/>
  <c r="BQ66" i="8"/>
  <c r="BR66" i="8"/>
  <c r="BS66" i="8"/>
  <c r="BT66" i="8"/>
  <c r="BU66" i="8"/>
  <c r="BV66" i="8"/>
  <c r="BW66" i="8"/>
  <c r="BX66" i="8"/>
  <c r="BY66" i="8"/>
  <c r="BZ66" i="8"/>
  <c r="CA66" i="8"/>
  <c r="CB66" i="8"/>
  <c r="CC66" i="8"/>
  <c r="CD66" i="8"/>
  <c r="CE66" i="8"/>
  <c r="CF66" i="8"/>
  <c r="AS67" i="8"/>
  <c r="AT67" i="8"/>
  <c r="AU67" i="8"/>
  <c r="AV67" i="8"/>
  <c r="AW67" i="8"/>
  <c r="AX67" i="8"/>
  <c r="AY67" i="8"/>
  <c r="AZ67" i="8"/>
  <c r="BA67" i="8"/>
  <c r="BB67" i="8"/>
  <c r="BC67" i="8"/>
  <c r="BD67" i="8"/>
  <c r="BE67" i="8"/>
  <c r="BF67" i="8"/>
  <c r="BG67" i="8"/>
  <c r="BH67" i="8"/>
  <c r="BI67" i="8"/>
  <c r="BJ67" i="8"/>
  <c r="BK67" i="8"/>
  <c r="BL67" i="8"/>
  <c r="BM67" i="8"/>
  <c r="BN67" i="8"/>
  <c r="BO67" i="8"/>
  <c r="BP67" i="8"/>
  <c r="BQ67" i="8"/>
  <c r="BR67" i="8"/>
  <c r="BS67" i="8"/>
  <c r="BT67" i="8"/>
  <c r="BU67" i="8"/>
  <c r="BV67" i="8"/>
  <c r="BW67" i="8"/>
  <c r="BX67" i="8"/>
  <c r="BY67" i="8"/>
  <c r="BZ67" i="8"/>
  <c r="CA67" i="8"/>
  <c r="CB67" i="8"/>
  <c r="CC67" i="8"/>
  <c r="CD67" i="8"/>
  <c r="CE67" i="8"/>
  <c r="CF67" i="8"/>
  <c r="AS68" i="8"/>
  <c r="AT68" i="8"/>
  <c r="AU68" i="8"/>
  <c r="AV68" i="8"/>
  <c r="AW68" i="8"/>
  <c r="AX68" i="8"/>
  <c r="AY68" i="8"/>
  <c r="AZ68" i="8"/>
  <c r="BA68" i="8"/>
  <c r="BB68" i="8"/>
  <c r="BC68" i="8"/>
  <c r="BD68" i="8"/>
  <c r="BE68" i="8"/>
  <c r="BF68" i="8"/>
  <c r="BG68" i="8"/>
  <c r="BH68" i="8"/>
  <c r="BI68" i="8"/>
  <c r="BJ68" i="8"/>
  <c r="BK68" i="8"/>
  <c r="BL68" i="8"/>
  <c r="BM68" i="8"/>
  <c r="BN68" i="8"/>
  <c r="BO68" i="8"/>
  <c r="BP68" i="8"/>
  <c r="BQ68" i="8"/>
  <c r="BR68" i="8"/>
  <c r="BS68" i="8"/>
  <c r="BT68" i="8"/>
  <c r="BU68" i="8"/>
  <c r="BV68" i="8"/>
  <c r="BW68" i="8"/>
  <c r="BX68" i="8"/>
  <c r="BY68" i="8"/>
  <c r="BZ68" i="8"/>
  <c r="CA68" i="8"/>
  <c r="CB68" i="8"/>
  <c r="CC68" i="8"/>
  <c r="CD68" i="8"/>
  <c r="CE68" i="8"/>
  <c r="CF68" i="8"/>
  <c r="AS69" i="8"/>
  <c r="AT69" i="8"/>
  <c r="AU69" i="8"/>
  <c r="AV69" i="8"/>
  <c r="AW69" i="8"/>
  <c r="AX69" i="8"/>
  <c r="AY69" i="8"/>
  <c r="AZ69" i="8"/>
  <c r="BA69" i="8"/>
  <c r="BB69" i="8"/>
  <c r="BC69" i="8"/>
  <c r="BD69" i="8"/>
  <c r="BE69" i="8"/>
  <c r="BF69" i="8"/>
  <c r="BG69" i="8"/>
  <c r="BH69" i="8"/>
  <c r="BI69" i="8"/>
  <c r="BJ69" i="8"/>
  <c r="BK69" i="8"/>
  <c r="BL69" i="8"/>
  <c r="BM69" i="8"/>
  <c r="BN69" i="8"/>
  <c r="BO69" i="8"/>
  <c r="BP69" i="8"/>
  <c r="BQ69" i="8"/>
  <c r="BR69" i="8"/>
  <c r="BS69" i="8"/>
  <c r="BT69" i="8"/>
  <c r="BU69" i="8"/>
  <c r="BV69" i="8"/>
  <c r="BW69" i="8"/>
  <c r="BX69" i="8"/>
  <c r="BY69" i="8"/>
  <c r="BZ69" i="8"/>
  <c r="CA69" i="8"/>
  <c r="CB69" i="8"/>
  <c r="CC69" i="8"/>
  <c r="CD69" i="8"/>
  <c r="CE69" i="8"/>
  <c r="CF69" i="8"/>
  <c r="AS70" i="8"/>
  <c r="AT70" i="8"/>
  <c r="AU70" i="8"/>
  <c r="AV70" i="8"/>
  <c r="AW70" i="8"/>
  <c r="AX70" i="8"/>
  <c r="AY70" i="8"/>
  <c r="AZ70" i="8"/>
  <c r="BA70" i="8"/>
  <c r="BB70" i="8"/>
  <c r="BC70" i="8"/>
  <c r="BD70" i="8"/>
  <c r="BE70" i="8"/>
  <c r="BF70" i="8"/>
  <c r="BG70" i="8"/>
  <c r="BH70" i="8"/>
  <c r="BI70" i="8"/>
  <c r="BJ70" i="8"/>
  <c r="BK70" i="8"/>
  <c r="BL70" i="8"/>
  <c r="BM70" i="8"/>
  <c r="BN70" i="8"/>
  <c r="BO70" i="8"/>
  <c r="BP70" i="8"/>
  <c r="BQ70" i="8"/>
  <c r="BR70" i="8"/>
  <c r="BS70" i="8"/>
  <c r="BT70" i="8"/>
  <c r="BU70" i="8"/>
  <c r="BV70" i="8"/>
  <c r="BW70" i="8"/>
  <c r="BX70" i="8"/>
  <c r="BY70" i="8"/>
  <c r="BZ70" i="8"/>
  <c r="CA70" i="8"/>
  <c r="CB70" i="8"/>
  <c r="CC70" i="8"/>
  <c r="CD70" i="8"/>
  <c r="CE70" i="8"/>
  <c r="CF70" i="8"/>
  <c r="AS71" i="8"/>
  <c r="AT71" i="8"/>
  <c r="AU71" i="8"/>
  <c r="AV71" i="8"/>
  <c r="AW71" i="8"/>
  <c r="AX71" i="8"/>
  <c r="AY71" i="8"/>
  <c r="AZ71" i="8"/>
  <c r="BA71" i="8"/>
  <c r="BB71" i="8"/>
  <c r="BC71" i="8"/>
  <c r="BD71" i="8"/>
  <c r="BE71" i="8"/>
  <c r="BF71" i="8"/>
  <c r="BG71" i="8"/>
  <c r="BH71" i="8"/>
  <c r="BI71" i="8"/>
  <c r="BJ71" i="8"/>
  <c r="BK71" i="8"/>
  <c r="BL71" i="8"/>
  <c r="BM71" i="8"/>
  <c r="BN71" i="8"/>
  <c r="BO71" i="8"/>
  <c r="BP71" i="8"/>
  <c r="BQ71" i="8"/>
  <c r="BR71" i="8"/>
  <c r="BS71" i="8"/>
  <c r="BT71" i="8"/>
  <c r="BU71" i="8"/>
  <c r="BV71" i="8"/>
  <c r="BW71" i="8"/>
  <c r="BX71" i="8"/>
  <c r="BY71" i="8"/>
  <c r="BZ71" i="8"/>
  <c r="CA71" i="8"/>
  <c r="CB71" i="8"/>
  <c r="CC71" i="8"/>
  <c r="CD71" i="8"/>
  <c r="CE71" i="8"/>
  <c r="CF71" i="8"/>
  <c r="AS72" i="8"/>
  <c r="AT72" i="8"/>
  <c r="AU72" i="8"/>
  <c r="AV72" i="8"/>
  <c r="AW72" i="8"/>
  <c r="AX72" i="8"/>
  <c r="AY72" i="8"/>
  <c r="AZ72" i="8"/>
  <c r="BA72" i="8"/>
  <c r="BB72" i="8"/>
  <c r="BC72" i="8"/>
  <c r="BD72" i="8"/>
  <c r="BE72" i="8"/>
  <c r="BF72" i="8"/>
  <c r="BG72" i="8"/>
  <c r="BH72" i="8"/>
  <c r="BI72" i="8"/>
  <c r="BJ72" i="8"/>
  <c r="BK72" i="8"/>
  <c r="BL72" i="8"/>
  <c r="BM72" i="8"/>
  <c r="BN72" i="8"/>
  <c r="BO72" i="8"/>
  <c r="BP72" i="8"/>
  <c r="BQ72" i="8"/>
  <c r="BR72" i="8"/>
  <c r="BS72" i="8"/>
  <c r="BT72" i="8"/>
  <c r="BU72" i="8"/>
  <c r="BV72" i="8"/>
  <c r="BW72" i="8"/>
  <c r="BX72" i="8"/>
  <c r="BY72" i="8"/>
  <c r="BZ72" i="8"/>
  <c r="CA72" i="8"/>
  <c r="CB72" i="8"/>
  <c r="CC72" i="8"/>
  <c r="CD72" i="8"/>
  <c r="CE72" i="8"/>
  <c r="CF72" i="8"/>
  <c r="AS73" i="8"/>
  <c r="AT73" i="8"/>
  <c r="AU73" i="8"/>
  <c r="AV73" i="8"/>
  <c r="AW73" i="8"/>
  <c r="AX73" i="8"/>
  <c r="AY73" i="8"/>
  <c r="AZ73" i="8"/>
  <c r="BA73" i="8"/>
  <c r="BB73" i="8"/>
  <c r="BC73" i="8"/>
  <c r="BD73" i="8"/>
  <c r="BE73" i="8"/>
  <c r="BF73" i="8"/>
  <c r="BG73" i="8"/>
  <c r="BH73" i="8"/>
  <c r="BI73" i="8"/>
  <c r="BJ73" i="8"/>
  <c r="BK73" i="8"/>
  <c r="BL73" i="8"/>
  <c r="BM73" i="8"/>
  <c r="BN73" i="8"/>
  <c r="BO73" i="8"/>
  <c r="BP73" i="8"/>
  <c r="BQ73" i="8"/>
  <c r="BR73" i="8"/>
  <c r="BS73" i="8"/>
  <c r="BT73" i="8"/>
  <c r="BU73" i="8"/>
  <c r="BV73" i="8"/>
  <c r="BW73" i="8"/>
  <c r="BX73" i="8"/>
  <c r="BY73" i="8"/>
  <c r="BZ73" i="8"/>
  <c r="CA73" i="8"/>
  <c r="CB73" i="8"/>
  <c r="CC73" i="8"/>
  <c r="CD73" i="8"/>
  <c r="CE73" i="8"/>
  <c r="CF73" i="8"/>
  <c r="AS74" i="8"/>
  <c r="AT74" i="8"/>
  <c r="AU74" i="8"/>
  <c r="AV74" i="8"/>
  <c r="AW74" i="8"/>
  <c r="AX74" i="8"/>
  <c r="AY74" i="8"/>
  <c r="AZ74" i="8"/>
  <c r="BA74" i="8"/>
  <c r="BB74" i="8"/>
  <c r="BC74" i="8"/>
  <c r="BD74" i="8"/>
  <c r="BE74" i="8"/>
  <c r="BF74" i="8"/>
  <c r="BG74" i="8"/>
  <c r="BH74" i="8"/>
  <c r="BI74" i="8"/>
  <c r="BJ74" i="8"/>
  <c r="BK74" i="8"/>
  <c r="BL74" i="8"/>
  <c r="BM74" i="8"/>
  <c r="BN74" i="8"/>
  <c r="BO74" i="8"/>
  <c r="BP74" i="8"/>
  <c r="BQ74" i="8"/>
  <c r="BR74" i="8"/>
  <c r="BS74" i="8"/>
  <c r="BT74" i="8"/>
  <c r="BU74" i="8"/>
  <c r="BV74" i="8"/>
  <c r="BW74" i="8"/>
  <c r="BX74" i="8"/>
  <c r="BY74" i="8"/>
  <c r="BZ74" i="8"/>
  <c r="CA74" i="8"/>
  <c r="CB74" i="8"/>
  <c r="CC74" i="8"/>
  <c r="CD74" i="8"/>
  <c r="CE74" i="8"/>
  <c r="CF74" i="8"/>
  <c r="AS75" i="8"/>
  <c r="AT75" i="8"/>
  <c r="AU75" i="8"/>
  <c r="AV75" i="8"/>
  <c r="AW75" i="8"/>
  <c r="AX75" i="8"/>
  <c r="AY75" i="8"/>
  <c r="AZ75" i="8"/>
  <c r="BA75" i="8"/>
  <c r="BB75" i="8"/>
  <c r="BC75" i="8"/>
  <c r="BD75" i="8"/>
  <c r="BE75" i="8"/>
  <c r="BF75" i="8"/>
  <c r="BG75" i="8"/>
  <c r="BH75" i="8"/>
  <c r="BI75" i="8"/>
  <c r="BJ75" i="8"/>
  <c r="BK75" i="8"/>
  <c r="BL75" i="8"/>
  <c r="BM75" i="8"/>
  <c r="BN75" i="8"/>
  <c r="BO75" i="8"/>
  <c r="BP75" i="8"/>
  <c r="BQ75" i="8"/>
  <c r="BR75" i="8"/>
  <c r="BS75" i="8"/>
  <c r="BT75" i="8"/>
  <c r="BU75" i="8"/>
  <c r="BV75" i="8"/>
  <c r="BW75" i="8"/>
  <c r="BX75" i="8"/>
  <c r="BY75" i="8"/>
  <c r="BZ75" i="8"/>
  <c r="CA75" i="8"/>
  <c r="CB75" i="8"/>
  <c r="CC75" i="8"/>
  <c r="CD75" i="8"/>
  <c r="CE75" i="8"/>
  <c r="CF75" i="8"/>
  <c r="AS76" i="8"/>
  <c r="AT76" i="8"/>
  <c r="AU76" i="8"/>
  <c r="AV76" i="8"/>
  <c r="AW76" i="8"/>
  <c r="AX76" i="8"/>
  <c r="AY76" i="8"/>
  <c r="AZ76" i="8"/>
  <c r="BA76" i="8"/>
  <c r="BB76" i="8"/>
  <c r="BC76" i="8"/>
  <c r="BD76" i="8"/>
  <c r="BE76" i="8"/>
  <c r="BF76" i="8"/>
  <c r="BG76" i="8"/>
  <c r="BH76" i="8"/>
  <c r="BI76" i="8"/>
  <c r="BJ76" i="8"/>
  <c r="BK76" i="8"/>
  <c r="BL76" i="8"/>
  <c r="BM76" i="8"/>
  <c r="BN76" i="8"/>
  <c r="BO76" i="8"/>
  <c r="BP76" i="8"/>
  <c r="BQ76" i="8"/>
  <c r="BR76" i="8"/>
  <c r="BS76" i="8"/>
  <c r="BT76" i="8"/>
  <c r="BU76" i="8"/>
  <c r="BV76" i="8"/>
  <c r="BW76" i="8"/>
  <c r="BX76" i="8"/>
  <c r="BY76" i="8"/>
  <c r="BZ76" i="8"/>
  <c r="CA76" i="8"/>
  <c r="CB76" i="8"/>
  <c r="CC76" i="8"/>
  <c r="CD76" i="8"/>
  <c r="CE76" i="8"/>
  <c r="CF76" i="8"/>
  <c r="AS77" i="8"/>
  <c r="AT77" i="8"/>
  <c r="AU77" i="8"/>
  <c r="AV77" i="8"/>
  <c r="AW77" i="8"/>
  <c r="AX77" i="8"/>
  <c r="AY77" i="8"/>
  <c r="AZ77" i="8"/>
  <c r="BA77" i="8"/>
  <c r="BB77" i="8"/>
  <c r="BC77" i="8"/>
  <c r="BD77" i="8"/>
  <c r="BE77" i="8"/>
  <c r="BF77" i="8"/>
  <c r="BG77" i="8"/>
  <c r="BH77" i="8"/>
  <c r="BI77" i="8"/>
  <c r="BJ77" i="8"/>
  <c r="BK77" i="8"/>
  <c r="BL77" i="8"/>
  <c r="BM77" i="8"/>
  <c r="BN77" i="8"/>
  <c r="BO77" i="8"/>
  <c r="BP77" i="8"/>
  <c r="BQ77" i="8"/>
  <c r="BR77" i="8"/>
  <c r="BS77" i="8"/>
  <c r="BT77" i="8"/>
  <c r="BU77" i="8"/>
  <c r="BV77" i="8"/>
  <c r="BW77" i="8"/>
  <c r="BX77" i="8"/>
  <c r="BY77" i="8"/>
  <c r="BZ77" i="8"/>
  <c r="CA77" i="8"/>
  <c r="CB77" i="8"/>
  <c r="CC77" i="8"/>
  <c r="CD77" i="8"/>
  <c r="CE77" i="8"/>
  <c r="CF77" i="8"/>
  <c r="AS78" i="8"/>
  <c r="AT78" i="8"/>
  <c r="AU78" i="8"/>
  <c r="AV78" i="8"/>
  <c r="AW78" i="8"/>
  <c r="AX78" i="8"/>
  <c r="AY78" i="8"/>
  <c r="AZ78" i="8"/>
  <c r="BA78" i="8"/>
  <c r="BB78" i="8"/>
  <c r="BC78" i="8"/>
  <c r="BD78" i="8"/>
  <c r="BE78" i="8"/>
  <c r="BF78" i="8"/>
  <c r="BG78" i="8"/>
  <c r="BH78" i="8"/>
  <c r="BI78" i="8"/>
  <c r="BJ78" i="8"/>
  <c r="BK78" i="8"/>
  <c r="BL78" i="8"/>
  <c r="BM78" i="8"/>
  <c r="BN78" i="8"/>
  <c r="BO78" i="8"/>
  <c r="BP78" i="8"/>
  <c r="BQ78" i="8"/>
  <c r="BR78" i="8"/>
  <c r="BS78" i="8"/>
  <c r="BT78" i="8"/>
  <c r="BU78" i="8"/>
  <c r="BV78" i="8"/>
  <c r="BW78" i="8"/>
  <c r="BX78" i="8"/>
  <c r="BY78" i="8"/>
  <c r="BZ78" i="8"/>
  <c r="CA78" i="8"/>
  <c r="CB78" i="8"/>
  <c r="CC78" i="8"/>
  <c r="CD78" i="8"/>
  <c r="CE78" i="8"/>
  <c r="CF78" i="8"/>
  <c r="AS79" i="8"/>
  <c r="AT79" i="8"/>
  <c r="AU79" i="8"/>
  <c r="AV79" i="8"/>
  <c r="AW79" i="8"/>
  <c r="AX79" i="8"/>
  <c r="AY79" i="8"/>
  <c r="AZ79" i="8"/>
  <c r="BA79" i="8"/>
  <c r="BB79" i="8"/>
  <c r="BC79" i="8"/>
  <c r="BD79" i="8"/>
  <c r="BE79" i="8"/>
  <c r="BF79" i="8"/>
  <c r="BG79" i="8"/>
  <c r="BH79" i="8"/>
  <c r="BI79" i="8"/>
  <c r="BJ79" i="8"/>
  <c r="BK79" i="8"/>
  <c r="BL79" i="8"/>
  <c r="BM79" i="8"/>
  <c r="BN79" i="8"/>
  <c r="BO79" i="8"/>
  <c r="BP79" i="8"/>
  <c r="BQ79" i="8"/>
  <c r="BR79" i="8"/>
  <c r="BS79" i="8"/>
  <c r="BT79" i="8"/>
  <c r="BU79" i="8"/>
  <c r="BV79" i="8"/>
  <c r="BW79" i="8"/>
  <c r="BX79" i="8"/>
  <c r="BY79" i="8"/>
  <c r="BZ79" i="8"/>
  <c r="CA79" i="8"/>
  <c r="CB79" i="8"/>
  <c r="CC79" i="8"/>
  <c r="CD79" i="8"/>
  <c r="CE79" i="8"/>
  <c r="CF79" i="8"/>
  <c r="AS80" i="8"/>
  <c r="AT80" i="8"/>
  <c r="AU80" i="8"/>
  <c r="AV80" i="8"/>
  <c r="AW80" i="8"/>
  <c r="AX80" i="8"/>
  <c r="AY80" i="8"/>
  <c r="AZ80" i="8"/>
  <c r="BA80" i="8"/>
  <c r="BB80" i="8"/>
  <c r="BC80" i="8"/>
  <c r="BD80" i="8"/>
  <c r="BE80" i="8"/>
  <c r="BF80" i="8"/>
  <c r="BG80" i="8"/>
  <c r="BH80" i="8"/>
  <c r="BI80" i="8"/>
  <c r="BJ80" i="8"/>
  <c r="BK80" i="8"/>
  <c r="BL80" i="8"/>
  <c r="BM80" i="8"/>
  <c r="BN80" i="8"/>
  <c r="BO80" i="8"/>
  <c r="BP80" i="8"/>
  <c r="BQ80" i="8"/>
  <c r="BR80" i="8"/>
  <c r="BS80" i="8"/>
  <c r="BT80" i="8"/>
  <c r="BU80" i="8"/>
  <c r="BV80" i="8"/>
  <c r="BW80" i="8"/>
  <c r="BX80" i="8"/>
  <c r="BY80" i="8"/>
  <c r="BZ80" i="8"/>
  <c r="CA80" i="8"/>
  <c r="CB80" i="8"/>
  <c r="CC80" i="8"/>
  <c r="CD80" i="8"/>
  <c r="CE80" i="8"/>
  <c r="CF80" i="8"/>
  <c r="AS81" i="8"/>
  <c r="AT81" i="8"/>
  <c r="AU81" i="8"/>
  <c r="AV81" i="8"/>
  <c r="AW81" i="8"/>
  <c r="AX81" i="8"/>
  <c r="AY81" i="8"/>
  <c r="AZ81" i="8"/>
  <c r="BA81" i="8"/>
  <c r="BB81" i="8"/>
  <c r="BC81" i="8"/>
  <c r="BD81" i="8"/>
  <c r="BE81" i="8"/>
  <c r="BF81" i="8"/>
  <c r="BG81" i="8"/>
  <c r="BH81" i="8"/>
  <c r="BI81" i="8"/>
  <c r="BJ81" i="8"/>
  <c r="BK81" i="8"/>
  <c r="BL81" i="8"/>
  <c r="BM81" i="8"/>
  <c r="BN81" i="8"/>
  <c r="BO81" i="8"/>
  <c r="BP81" i="8"/>
  <c r="BQ81" i="8"/>
  <c r="BR81" i="8"/>
  <c r="BS81" i="8"/>
  <c r="BT81" i="8"/>
  <c r="BU81" i="8"/>
  <c r="BV81" i="8"/>
  <c r="BW81" i="8"/>
  <c r="BX81" i="8"/>
  <c r="BY81" i="8"/>
  <c r="BZ81" i="8"/>
  <c r="CA81" i="8"/>
  <c r="CB81" i="8"/>
  <c r="CC81" i="8"/>
  <c r="CD81" i="8"/>
  <c r="CE81" i="8"/>
  <c r="CF81" i="8"/>
  <c r="AS82" i="8"/>
  <c r="AT82" i="8"/>
  <c r="AU82" i="8"/>
  <c r="AV82" i="8"/>
  <c r="AW82" i="8"/>
  <c r="AX82" i="8"/>
  <c r="AY82" i="8"/>
  <c r="AZ82" i="8"/>
  <c r="BA82" i="8"/>
  <c r="BB82" i="8"/>
  <c r="BC82" i="8"/>
  <c r="BD82" i="8"/>
  <c r="BE82" i="8"/>
  <c r="BF82" i="8"/>
  <c r="BG82" i="8"/>
  <c r="BH82" i="8"/>
  <c r="BI82" i="8"/>
  <c r="BJ82" i="8"/>
  <c r="BK82" i="8"/>
  <c r="BL82" i="8"/>
  <c r="BM82" i="8"/>
  <c r="BN82" i="8"/>
  <c r="BO82" i="8"/>
  <c r="BP82" i="8"/>
  <c r="BQ82" i="8"/>
  <c r="BR82" i="8"/>
  <c r="BS82" i="8"/>
  <c r="BT82" i="8"/>
  <c r="BU82" i="8"/>
  <c r="BV82" i="8"/>
  <c r="BW82" i="8"/>
  <c r="BX82" i="8"/>
  <c r="BY82" i="8"/>
  <c r="BZ82" i="8"/>
  <c r="CA82" i="8"/>
  <c r="CB82" i="8"/>
  <c r="CC82" i="8"/>
  <c r="CD82" i="8"/>
  <c r="CE82" i="8"/>
  <c r="CF82" i="8"/>
  <c r="AS83" i="8"/>
  <c r="AT83" i="8"/>
  <c r="AU83" i="8"/>
  <c r="AV83" i="8"/>
  <c r="AW83" i="8"/>
  <c r="AX83" i="8"/>
  <c r="AY83" i="8"/>
  <c r="AZ83" i="8"/>
  <c r="BA83" i="8"/>
  <c r="BB83" i="8"/>
  <c r="BC83" i="8"/>
  <c r="BD83" i="8"/>
  <c r="BE83" i="8"/>
  <c r="BF83" i="8"/>
  <c r="BG83" i="8"/>
  <c r="BH83" i="8"/>
  <c r="BI83" i="8"/>
  <c r="BJ83" i="8"/>
  <c r="BK83" i="8"/>
  <c r="BL83" i="8"/>
  <c r="BM83" i="8"/>
  <c r="BN83" i="8"/>
  <c r="BO83" i="8"/>
  <c r="BP83" i="8"/>
  <c r="BQ83" i="8"/>
  <c r="BR83" i="8"/>
  <c r="BS83" i="8"/>
  <c r="BT83" i="8"/>
  <c r="BU83" i="8"/>
  <c r="BV83" i="8"/>
  <c r="BW83" i="8"/>
  <c r="BX83" i="8"/>
  <c r="BY83" i="8"/>
  <c r="BZ83" i="8"/>
  <c r="CA83" i="8"/>
  <c r="CB83" i="8"/>
  <c r="CC83" i="8"/>
  <c r="CD83" i="8"/>
  <c r="CE83" i="8"/>
  <c r="CF83" i="8"/>
  <c r="AS84" i="8"/>
  <c r="AT84" i="8"/>
  <c r="AU84" i="8"/>
  <c r="AV84" i="8"/>
  <c r="AW84" i="8"/>
  <c r="AX84" i="8"/>
  <c r="AY84" i="8"/>
  <c r="AZ84" i="8"/>
  <c r="BA84" i="8"/>
  <c r="BB84" i="8"/>
  <c r="BC84" i="8"/>
  <c r="BD84" i="8"/>
  <c r="BE84" i="8"/>
  <c r="BF84" i="8"/>
  <c r="BG84" i="8"/>
  <c r="BH84" i="8"/>
  <c r="BI84" i="8"/>
  <c r="BJ84" i="8"/>
  <c r="BK84" i="8"/>
  <c r="BL84" i="8"/>
  <c r="BM84" i="8"/>
  <c r="BN84" i="8"/>
  <c r="BO84" i="8"/>
  <c r="BP84" i="8"/>
  <c r="BQ84" i="8"/>
  <c r="BR84" i="8"/>
  <c r="BS84" i="8"/>
  <c r="BT84" i="8"/>
  <c r="BU84" i="8"/>
  <c r="BV84" i="8"/>
  <c r="BW84" i="8"/>
  <c r="BX84" i="8"/>
  <c r="BY84" i="8"/>
  <c r="BZ84" i="8"/>
  <c r="CA84" i="8"/>
  <c r="CB84" i="8"/>
  <c r="CC84" i="8"/>
  <c r="CD84" i="8"/>
  <c r="CE84" i="8"/>
  <c r="CF84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BQ85" i="8"/>
  <c r="BR85" i="8"/>
  <c r="BS85" i="8"/>
  <c r="BT85" i="8"/>
  <c r="BU85" i="8"/>
  <c r="BV85" i="8"/>
  <c r="BW85" i="8"/>
  <c r="BX85" i="8"/>
  <c r="BY85" i="8"/>
  <c r="BZ85" i="8"/>
  <c r="CA85" i="8"/>
  <c r="CB85" i="8"/>
  <c r="CC85" i="8"/>
  <c r="CD85" i="8"/>
  <c r="CE85" i="8"/>
  <c r="CF85" i="8"/>
  <c r="AS86" i="8"/>
  <c r="AT86" i="8"/>
  <c r="AU86" i="8"/>
  <c r="AV86" i="8"/>
  <c r="AW86" i="8"/>
  <c r="AX86" i="8"/>
  <c r="AY86" i="8"/>
  <c r="AZ86" i="8"/>
  <c r="BA86" i="8"/>
  <c r="BB86" i="8"/>
  <c r="BC86" i="8"/>
  <c r="BD86" i="8"/>
  <c r="BE86" i="8"/>
  <c r="BF86" i="8"/>
  <c r="BG86" i="8"/>
  <c r="BH86" i="8"/>
  <c r="BI86" i="8"/>
  <c r="BJ86" i="8"/>
  <c r="BK86" i="8"/>
  <c r="BL86" i="8"/>
  <c r="BM86" i="8"/>
  <c r="BN86" i="8"/>
  <c r="BO86" i="8"/>
  <c r="BP86" i="8"/>
  <c r="BQ86" i="8"/>
  <c r="BR86" i="8"/>
  <c r="BS86" i="8"/>
  <c r="BT86" i="8"/>
  <c r="BU86" i="8"/>
  <c r="BV86" i="8"/>
  <c r="BW86" i="8"/>
  <c r="BX86" i="8"/>
  <c r="BY86" i="8"/>
  <c r="BZ86" i="8"/>
  <c r="CA86" i="8"/>
  <c r="CB86" i="8"/>
  <c r="CC86" i="8"/>
  <c r="CD86" i="8"/>
  <c r="CE86" i="8"/>
  <c r="CF86" i="8"/>
  <c r="AS87" i="8"/>
  <c r="AT87" i="8"/>
  <c r="AU87" i="8"/>
  <c r="AV87" i="8"/>
  <c r="AW87" i="8"/>
  <c r="AX87" i="8"/>
  <c r="AY87" i="8"/>
  <c r="AZ87" i="8"/>
  <c r="BA87" i="8"/>
  <c r="BB87" i="8"/>
  <c r="BC87" i="8"/>
  <c r="BD87" i="8"/>
  <c r="BE87" i="8"/>
  <c r="BF87" i="8"/>
  <c r="BG87" i="8"/>
  <c r="BH87" i="8"/>
  <c r="BI87" i="8"/>
  <c r="BJ87" i="8"/>
  <c r="BK87" i="8"/>
  <c r="BL87" i="8"/>
  <c r="BM87" i="8"/>
  <c r="BN87" i="8"/>
  <c r="BO87" i="8"/>
  <c r="BP87" i="8"/>
  <c r="BQ87" i="8"/>
  <c r="BR87" i="8"/>
  <c r="BS87" i="8"/>
  <c r="BT87" i="8"/>
  <c r="BU87" i="8"/>
  <c r="BV87" i="8"/>
  <c r="BW87" i="8"/>
  <c r="BX87" i="8"/>
  <c r="BY87" i="8"/>
  <c r="BZ87" i="8"/>
  <c r="CA87" i="8"/>
  <c r="CB87" i="8"/>
  <c r="CC87" i="8"/>
  <c r="CD87" i="8"/>
  <c r="CE87" i="8"/>
  <c r="CF87" i="8"/>
  <c r="AS88" i="8"/>
  <c r="AT88" i="8"/>
  <c r="AU88" i="8"/>
  <c r="AV88" i="8"/>
  <c r="AW88" i="8"/>
  <c r="AX88" i="8"/>
  <c r="AY88" i="8"/>
  <c r="AZ88" i="8"/>
  <c r="BA88" i="8"/>
  <c r="BB88" i="8"/>
  <c r="BC88" i="8"/>
  <c r="BD88" i="8"/>
  <c r="BE88" i="8"/>
  <c r="BF88" i="8"/>
  <c r="BG88" i="8"/>
  <c r="BH88" i="8"/>
  <c r="BI88" i="8"/>
  <c r="BJ88" i="8"/>
  <c r="BK88" i="8"/>
  <c r="BL88" i="8"/>
  <c r="BM88" i="8"/>
  <c r="BN88" i="8"/>
  <c r="BO88" i="8"/>
  <c r="BP88" i="8"/>
  <c r="BQ88" i="8"/>
  <c r="BR88" i="8"/>
  <c r="BS88" i="8"/>
  <c r="BT88" i="8"/>
  <c r="BU88" i="8"/>
  <c r="BV88" i="8"/>
  <c r="BW88" i="8"/>
  <c r="BX88" i="8"/>
  <c r="BY88" i="8"/>
  <c r="BZ88" i="8"/>
  <c r="CA88" i="8"/>
  <c r="CB88" i="8"/>
  <c r="CC88" i="8"/>
  <c r="CD88" i="8"/>
  <c r="CE88" i="8"/>
  <c r="CF88" i="8"/>
  <c r="AS89" i="8"/>
  <c r="AT89" i="8"/>
  <c r="AU89" i="8"/>
  <c r="AV89" i="8"/>
  <c r="AW89" i="8"/>
  <c r="AX89" i="8"/>
  <c r="AY89" i="8"/>
  <c r="AZ89" i="8"/>
  <c r="BA89" i="8"/>
  <c r="BB89" i="8"/>
  <c r="BC89" i="8"/>
  <c r="BD89" i="8"/>
  <c r="BE89" i="8"/>
  <c r="BF89" i="8"/>
  <c r="BG89" i="8"/>
  <c r="BH89" i="8"/>
  <c r="BI89" i="8"/>
  <c r="BJ89" i="8"/>
  <c r="BK89" i="8"/>
  <c r="BL89" i="8"/>
  <c r="BM89" i="8"/>
  <c r="BN89" i="8"/>
  <c r="BO89" i="8"/>
  <c r="BP89" i="8"/>
  <c r="BQ89" i="8"/>
  <c r="BR89" i="8"/>
  <c r="BS89" i="8"/>
  <c r="BT89" i="8"/>
  <c r="BU89" i="8"/>
  <c r="BV89" i="8"/>
  <c r="BW89" i="8"/>
  <c r="BX89" i="8"/>
  <c r="BY89" i="8"/>
  <c r="BZ89" i="8"/>
  <c r="CA89" i="8"/>
  <c r="CB89" i="8"/>
  <c r="CC89" i="8"/>
  <c r="CD89" i="8"/>
  <c r="CE89" i="8"/>
  <c r="CF89" i="8"/>
  <c r="AS90" i="8"/>
  <c r="AT90" i="8"/>
  <c r="AU90" i="8"/>
  <c r="AV90" i="8"/>
  <c r="AW90" i="8"/>
  <c r="AX90" i="8"/>
  <c r="AY90" i="8"/>
  <c r="AZ90" i="8"/>
  <c r="BA90" i="8"/>
  <c r="BB90" i="8"/>
  <c r="BC90" i="8"/>
  <c r="BD90" i="8"/>
  <c r="BE90" i="8"/>
  <c r="BF90" i="8"/>
  <c r="BG90" i="8"/>
  <c r="BH90" i="8"/>
  <c r="BI90" i="8"/>
  <c r="BJ90" i="8"/>
  <c r="BK90" i="8"/>
  <c r="BL90" i="8"/>
  <c r="BM90" i="8"/>
  <c r="BN90" i="8"/>
  <c r="BO90" i="8"/>
  <c r="BP90" i="8"/>
  <c r="BQ90" i="8"/>
  <c r="BR90" i="8"/>
  <c r="BS90" i="8"/>
  <c r="BT90" i="8"/>
  <c r="BU90" i="8"/>
  <c r="BV90" i="8"/>
  <c r="BW90" i="8"/>
  <c r="BX90" i="8"/>
  <c r="BY90" i="8"/>
  <c r="BZ90" i="8"/>
  <c r="CA90" i="8"/>
  <c r="CB90" i="8"/>
  <c r="CC90" i="8"/>
  <c r="CD90" i="8"/>
  <c r="CE90" i="8"/>
  <c r="CF90" i="8"/>
  <c r="AS91" i="8"/>
  <c r="AT91" i="8"/>
  <c r="AU91" i="8"/>
  <c r="AV91" i="8"/>
  <c r="AW91" i="8"/>
  <c r="AX91" i="8"/>
  <c r="AY91" i="8"/>
  <c r="AZ91" i="8"/>
  <c r="BA91" i="8"/>
  <c r="BB91" i="8"/>
  <c r="BC91" i="8"/>
  <c r="BD91" i="8"/>
  <c r="BE91" i="8"/>
  <c r="BF91" i="8"/>
  <c r="BG91" i="8"/>
  <c r="BH91" i="8"/>
  <c r="BI91" i="8"/>
  <c r="BJ91" i="8"/>
  <c r="BK91" i="8"/>
  <c r="BL91" i="8"/>
  <c r="BM91" i="8"/>
  <c r="BN91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AS92" i="8"/>
  <c r="AT92" i="8"/>
  <c r="AU92" i="8"/>
  <c r="AV92" i="8"/>
  <c r="AW92" i="8"/>
  <c r="AX92" i="8"/>
  <c r="AY92" i="8"/>
  <c r="AZ92" i="8"/>
  <c r="BA92" i="8"/>
  <c r="BB92" i="8"/>
  <c r="BC92" i="8"/>
  <c r="BD92" i="8"/>
  <c r="BE92" i="8"/>
  <c r="BF92" i="8"/>
  <c r="BG92" i="8"/>
  <c r="BH92" i="8"/>
  <c r="BI92" i="8"/>
  <c r="BJ92" i="8"/>
  <c r="BK92" i="8"/>
  <c r="BL92" i="8"/>
  <c r="BM92" i="8"/>
  <c r="BN92" i="8"/>
  <c r="BO92" i="8"/>
  <c r="BP92" i="8"/>
  <c r="BQ92" i="8"/>
  <c r="BR92" i="8"/>
  <c r="BS92" i="8"/>
  <c r="BT92" i="8"/>
  <c r="BU92" i="8"/>
  <c r="BV92" i="8"/>
  <c r="BW92" i="8"/>
  <c r="BX92" i="8"/>
  <c r="BY92" i="8"/>
  <c r="BZ92" i="8"/>
  <c r="CA92" i="8"/>
  <c r="CB92" i="8"/>
  <c r="CC92" i="8"/>
  <c r="CD92" i="8"/>
  <c r="CE92" i="8"/>
  <c r="CF92" i="8"/>
  <c r="AS93" i="8"/>
  <c r="AT93" i="8"/>
  <c r="AU93" i="8"/>
  <c r="AV93" i="8"/>
  <c r="AW93" i="8"/>
  <c r="AX93" i="8"/>
  <c r="AY93" i="8"/>
  <c r="AZ93" i="8"/>
  <c r="BA93" i="8"/>
  <c r="BB93" i="8"/>
  <c r="BC93" i="8"/>
  <c r="BD93" i="8"/>
  <c r="BE93" i="8"/>
  <c r="BF93" i="8"/>
  <c r="BG93" i="8"/>
  <c r="BH93" i="8"/>
  <c r="BI93" i="8"/>
  <c r="BJ93" i="8"/>
  <c r="BK93" i="8"/>
  <c r="BL93" i="8"/>
  <c r="BM93" i="8"/>
  <c r="BN93" i="8"/>
  <c r="BO93" i="8"/>
  <c r="BP93" i="8"/>
  <c r="BQ93" i="8"/>
  <c r="BR93" i="8"/>
  <c r="BS93" i="8"/>
  <c r="BT93" i="8"/>
  <c r="BU93" i="8"/>
  <c r="BV93" i="8"/>
  <c r="BW93" i="8"/>
  <c r="BX93" i="8"/>
  <c r="BY93" i="8"/>
  <c r="BZ93" i="8"/>
  <c r="CA93" i="8"/>
  <c r="CB93" i="8"/>
  <c r="CC93" i="8"/>
  <c r="CD93" i="8"/>
  <c r="CE93" i="8"/>
  <c r="CF93" i="8"/>
  <c r="AS94" i="8"/>
  <c r="AT94" i="8"/>
  <c r="AU94" i="8"/>
  <c r="AV94" i="8"/>
  <c r="AW94" i="8"/>
  <c r="AX94" i="8"/>
  <c r="AY94" i="8"/>
  <c r="AZ94" i="8"/>
  <c r="BA94" i="8"/>
  <c r="BB94" i="8"/>
  <c r="BC94" i="8"/>
  <c r="BD94" i="8"/>
  <c r="BE94" i="8"/>
  <c r="BF94" i="8"/>
  <c r="BG94" i="8"/>
  <c r="BH94" i="8"/>
  <c r="BI94" i="8"/>
  <c r="BJ94" i="8"/>
  <c r="BK94" i="8"/>
  <c r="BL94" i="8"/>
  <c r="BM94" i="8"/>
  <c r="BN94" i="8"/>
  <c r="BO94" i="8"/>
  <c r="BP94" i="8"/>
  <c r="BQ94" i="8"/>
  <c r="BR94" i="8"/>
  <c r="BS94" i="8"/>
  <c r="BT94" i="8"/>
  <c r="BU94" i="8"/>
  <c r="BV94" i="8"/>
  <c r="BW94" i="8"/>
  <c r="BX94" i="8"/>
  <c r="BY94" i="8"/>
  <c r="BZ94" i="8"/>
  <c r="CA94" i="8"/>
  <c r="CB94" i="8"/>
  <c r="CC94" i="8"/>
  <c r="CD94" i="8"/>
  <c r="CE94" i="8"/>
  <c r="CF94" i="8"/>
  <c r="AS95" i="8"/>
  <c r="AT95" i="8"/>
  <c r="AU95" i="8"/>
  <c r="AV95" i="8"/>
  <c r="AW95" i="8"/>
  <c r="AX95" i="8"/>
  <c r="AY95" i="8"/>
  <c r="AZ95" i="8"/>
  <c r="BA95" i="8"/>
  <c r="BB95" i="8"/>
  <c r="BC95" i="8"/>
  <c r="BD95" i="8"/>
  <c r="BE95" i="8"/>
  <c r="BF95" i="8"/>
  <c r="BG95" i="8"/>
  <c r="BH95" i="8"/>
  <c r="BI95" i="8"/>
  <c r="BJ95" i="8"/>
  <c r="BK95" i="8"/>
  <c r="BL95" i="8"/>
  <c r="BM95" i="8"/>
  <c r="BN95" i="8"/>
  <c r="BO95" i="8"/>
  <c r="BP95" i="8"/>
  <c r="BQ95" i="8"/>
  <c r="BR95" i="8"/>
  <c r="BS95" i="8"/>
  <c r="BT95" i="8"/>
  <c r="BU95" i="8"/>
  <c r="BV95" i="8"/>
  <c r="BW95" i="8"/>
  <c r="BX95" i="8"/>
  <c r="BY95" i="8"/>
  <c r="BZ95" i="8"/>
  <c r="CA95" i="8"/>
  <c r="CB95" i="8"/>
  <c r="CC95" i="8"/>
  <c r="CD95" i="8"/>
  <c r="CE95" i="8"/>
  <c r="CF95" i="8"/>
  <c r="AS96" i="8"/>
  <c r="AT96" i="8"/>
  <c r="AU96" i="8"/>
  <c r="AV96" i="8"/>
  <c r="AW96" i="8"/>
  <c r="AX96" i="8"/>
  <c r="AY96" i="8"/>
  <c r="AZ96" i="8"/>
  <c r="BA96" i="8"/>
  <c r="BB96" i="8"/>
  <c r="BC96" i="8"/>
  <c r="BD96" i="8"/>
  <c r="BE96" i="8"/>
  <c r="BF96" i="8"/>
  <c r="BG96" i="8"/>
  <c r="BH96" i="8"/>
  <c r="BI96" i="8"/>
  <c r="BJ96" i="8"/>
  <c r="BK96" i="8"/>
  <c r="BL96" i="8"/>
  <c r="BM96" i="8"/>
  <c r="BN96" i="8"/>
  <c r="BO96" i="8"/>
  <c r="BP96" i="8"/>
  <c r="BQ96" i="8"/>
  <c r="BR96" i="8"/>
  <c r="BS96" i="8"/>
  <c r="BT96" i="8"/>
  <c r="BU96" i="8"/>
  <c r="BV96" i="8"/>
  <c r="BW96" i="8"/>
  <c r="BX96" i="8"/>
  <c r="BY96" i="8"/>
  <c r="BZ96" i="8"/>
  <c r="CA96" i="8"/>
  <c r="CB96" i="8"/>
  <c r="CC96" i="8"/>
  <c r="CD96" i="8"/>
  <c r="CE96" i="8"/>
  <c r="CF96" i="8"/>
  <c r="AS97" i="8"/>
  <c r="AT97" i="8"/>
  <c r="AU97" i="8"/>
  <c r="AV97" i="8"/>
  <c r="AW97" i="8"/>
  <c r="AX97" i="8"/>
  <c r="AY97" i="8"/>
  <c r="AZ97" i="8"/>
  <c r="BA97" i="8"/>
  <c r="BB97" i="8"/>
  <c r="BC97" i="8"/>
  <c r="BD97" i="8"/>
  <c r="BE97" i="8"/>
  <c r="BF97" i="8"/>
  <c r="BG97" i="8"/>
  <c r="BH97" i="8"/>
  <c r="BI97" i="8"/>
  <c r="BJ97" i="8"/>
  <c r="BK97" i="8"/>
  <c r="BL97" i="8"/>
  <c r="BM97" i="8"/>
  <c r="BN97" i="8"/>
  <c r="BO97" i="8"/>
  <c r="BP97" i="8"/>
  <c r="BQ97" i="8"/>
  <c r="BR97" i="8"/>
  <c r="BS97" i="8"/>
  <c r="BT97" i="8"/>
  <c r="BU97" i="8"/>
  <c r="BV97" i="8"/>
  <c r="BW97" i="8"/>
  <c r="BX97" i="8"/>
  <c r="BY97" i="8"/>
  <c r="BZ97" i="8"/>
  <c r="CA97" i="8"/>
  <c r="CB97" i="8"/>
  <c r="CC97" i="8"/>
  <c r="CD97" i="8"/>
  <c r="CE97" i="8"/>
  <c r="CF97" i="8"/>
  <c r="AS98" i="8"/>
  <c r="AT98" i="8"/>
  <c r="AU98" i="8"/>
  <c r="AV98" i="8"/>
  <c r="AW98" i="8"/>
  <c r="AX98" i="8"/>
  <c r="AY98" i="8"/>
  <c r="AZ98" i="8"/>
  <c r="BA98" i="8"/>
  <c r="BB98" i="8"/>
  <c r="BC98" i="8"/>
  <c r="BD98" i="8"/>
  <c r="BE98" i="8"/>
  <c r="BF98" i="8"/>
  <c r="BG98" i="8"/>
  <c r="BH98" i="8"/>
  <c r="BI98" i="8"/>
  <c r="BJ98" i="8"/>
  <c r="BK98" i="8"/>
  <c r="BL98" i="8"/>
  <c r="BM98" i="8"/>
  <c r="BN98" i="8"/>
  <c r="BO98" i="8"/>
  <c r="BP98" i="8"/>
  <c r="BQ98" i="8"/>
  <c r="BR98" i="8"/>
  <c r="BS98" i="8"/>
  <c r="BT98" i="8"/>
  <c r="BU98" i="8"/>
  <c r="BV98" i="8"/>
  <c r="BW98" i="8"/>
  <c r="BX98" i="8"/>
  <c r="BY98" i="8"/>
  <c r="BZ98" i="8"/>
  <c r="CA98" i="8"/>
  <c r="CB98" i="8"/>
  <c r="CC98" i="8"/>
  <c r="CD98" i="8"/>
  <c r="CE98" i="8"/>
  <c r="CF98" i="8"/>
  <c r="AS99" i="8"/>
  <c r="AT99" i="8"/>
  <c r="AU99" i="8"/>
  <c r="AV99" i="8"/>
  <c r="AW99" i="8"/>
  <c r="AX99" i="8"/>
  <c r="AY99" i="8"/>
  <c r="AZ99" i="8"/>
  <c r="BA99" i="8"/>
  <c r="BB99" i="8"/>
  <c r="BC99" i="8"/>
  <c r="BD99" i="8"/>
  <c r="BE99" i="8"/>
  <c r="BF99" i="8"/>
  <c r="BG99" i="8"/>
  <c r="BH99" i="8"/>
  <c r="BI99" i="8"/>
  <c r="BJ99" i="8"/>
  <c r="BK99" i="8"/>
  <c r="BL99" i="8"/>
  <c r="BM99" i="8"/>
  <c r="BN99" i="8"/>
  <c r="BO99" i="8"/>
  <c r="BP99" i="8"/>
  <c r="BQ99" i="8"/>
  <c r="BR99" i="8"/>
  <c r="BS99" i="8"/>
  <c r="BT99" i="8"/>
  <c r="BU99" i="8"/>
  <c r="BV99" i="8"/>
  <c r="BW99" i="8"/>
  <c r="BX99" i="8"/>
  <c r="BY99" i="8"/>
  <c r="BZ99" i="8"/>
  <c r="CA99" i="8"/>
  <c r="CB99" i="8"/>
  <c r="CC99" i="8"/>
  <c r="CD99" i="8"/>
  <c r="CE99" i="8"/>
  <c r="CF99" i="8"/>
  <c r="AS100" i="8"/>
  <c r="AT100" i="8"/>
  <c r="AU100" i="8"/>
  <c r="AV100" i="8"/>
  <c r="AW100" i="8"/>
  <c r="AX100" i="8"/>
  <c r="AY100" i="8"/>
  <c r="AZ100" i="8"/>
  <c r="BA100" i="8"/>
  <c r="BB100" i="8"/>
  <c r="BC100" i="8"/>
  <c r="BD100" i="8"/>
  <c r="BE100" i="8"/>
  <c r="BF100" i="8"/>
  <c r="BG100" i="8"/>
  <c r="BH100" i="8"/>
  <c r="BI100" i="8"/>
  <c r="BJ100" i="8"/>
  <c r="BK100" i="8"/>
  <c r="BL100" i="8"/>
  <c r="BM100" i="8"/>
  <c r="BN100" i="8"/>
  <c r="BO100" i="8"/>
  <c r="BP100" i="8"/>
  <c r="BQ100" i="8"/>
  <c r="BR100" i="8"/>
  <c r="BS100" i="8"/>
  <c r="BT100" i="8"/>
  <c r="BU100" i="8"/>
  <c r="BV100" i="8"/>
  <c r="BW100" i="8"/>
  <c r="BX100" i="8"/>
  <c r="BY100" i="8"/>
  <c r="BZ100" i="8"/>
  <c r="CA100" i="8"/>
  <c r="CB100" i="8"/>
  <c r="CC100" i="8"/>
  <c r="CD100" i="8"/>
  <c r="CE100" i="8"/>
  <c r="CF100" i="8"/>
  <c r="AS101" i="8"/>
  <c r="AT101" i="8"/>
  <c r="AU101" i="8"/>
  <c r="AV101" i="8"/>
  <c r="AW101" i="8"/>
  <c r="AX101" i="8"/>
  <c r="AY101" i="8"/>
  <c r="AZ101" i="8"/>
  <c r="BA101" i="8"/>
  <c r="BB101" i="8"/>
  <c r="BC101" i="8"/>
  <c r="BD101" i="8"/>
  <c r="BE101" i="8"/>
  <c r="BF101" i="8"/>
  <c r="BG101" i="8"/>
  <c r="BH101" i="8"/>
  <c r="BI101" i="8"/>
  <c r="BJ101" i="8"/>
  <c r="BK101" i="8"/>
  <c r="BL101" i="8"/>
  <c r="BM101" i="8"/>
  <c r="BN101" i="8"/>
  <c r="BO101" i="8"/>
  <c r="BP101" i="8"/>
  <c r="BQ101" i="8"/>
  <c r="BR101" i="8"/>
  <c r="BS101" i="8"/>
  <c r="BT101" i="8"/>
  <c r="BU101" i="8"/>
  <c r="BV101" i="8"/>
  <c r="BW101" i="8"/>
  <c r="BX101" i="8"/>
  <c r="BY101" i="8"/>
  <c r="BZ101" i="8"/>
  <c r="CA101" i="8"/>
  <c r="CB101" i="8"/>
  <c r="CC101" i="8"/>
  <c r="CD101" i="8"/>
  <c r="CE101" i="8"/>
  <c r="CF101" i="8"/>
  <c r="AS102" i="8"/>
  <c r="AT102" i="8"/>
  <c r="AU102" i="8"/>
  <c r="AV102" i="8"/>
  <c r="AW102" i="8"/>
  <c r="AX102" i="8"/>
  <c r="AY102" i="8"/>
  <c r="AZ102" i="8"/>
  <c r="BA102" i="8"/>
  <c r="BB102" i="8"/>
  <c r="BC102" i="8"/>
  <c r="BD102" i="8"/>
  <c r="BE102" i="8"/>
  <c r="BF102" i="8"/>
  <c r="BG102" i="8"/>
  <c r="BH102" i="8"/>
  <c r="BI102" i="8"/>
  <c r="BJ102" i="8"/>
  <c r="BK102" i="8"/>
  <c r="BL102" i="8"/>
  <c r="BM102" i="8"/>
  <c r="BN102" i="8"/>
  <c r="BO102" i="8"/>
  <c r="BP102" i="8"/>
  <c r="BQ102" i="8"/>
  <c r="BR102" i="8"/>
  <c r="BS102" i="8"/>
  <c r="BT102" i="8"/>
  <c r="BU102" i="8"/>
  <c r="BV102" i="8"/>
  <c r="BW102" i="8"/>
  <c r="BX102" i="8"/>
  <c r="BY102" i="8"/>
  <c r="BZ102" i="8"/>
  <c r="CA102" i="8"/>
  <c r="CB102" i="8"/>
  <c r="CC102" i="8"/>
  <c r="CD102" i="8"/>
  <c r="CE102" i="8"/>
  <c r="CF102" i="8"/>
  <c r="AS103" i="8"/>
  <c r="AT103" i="8"/>
  <c r="AU103" i="8"/>
  <c r="AV103" i="8"/>
  <c r="AW103" i="8"/>
  <c r="AX103" i="8"/>
  <c r="AY103" i="8"/>
  <c r="AZ103" i="8"/>
  <c r="BA103" i="8"/>
  <c r="BB103" i="8"/>
  <c r="BC103" i="8"/>
  <c r="BD103" i="8"/>
  <c r="BE103" i="8"/>
  <c r="BF103" i="8"/>
  <c r="BG103" i="8"/>
  <c r="BH103" i="8"/>
  <c r="BI103" i="8"/>
  <c r="BJ103" i="8"/>
  <c r="BK103" i="8"/>
  <c r="BL103" i="8"/>
  <c r="BM103" i="8"/>
  <c r="BN103" i="8"/>
  <c r="BO103" i="8"/>
  <c r="BP103" i="8"/>
  <c r="BQ103" i="8"/>
  <c r="BR103" i="8"/>
  <c r="BS103" i="8"/>
  <c r="BT103" i="8"/>
  <c r="BU103" i="8"/>
  <c r="BV103" i="8"/>
  <c r="BW103" i="8"/>
  <c r="BX103" i="8"/>
  <c r="BY103" i="8"/>
  <c r="BZ103" i="8"/>
  <c r="CA103" i="8"/>
  <c r="CB103" i="8"/>
  <c r="CC103" i="8"/>
  <c r="CD103" i="8"/>
  <c r="CE103" i="8"/>
  <c r="CF103" i="8"/>
  <c r="AS104" i="8"/>
  <c r="AT104" i="8"/>
  <c r="AU104" i="8"/>
  <c r="AV104" i="8"/>
  <c r="AW104" i="8"/>
  <c r="AX104" i="8"/>
  <c r="AY104" i="8"/>
  <c r="AZ104" i="8"/>
  <c r="BA104" i="8"/>
  <c r="BB104" i="8"/>
  <c r="BC104" i="8"/>
  <c r="BD104" i="8"/>
  <c r="BE104" i="8"/>
  <c r="BF104" i="8"/>
  <c r="BG104" i="8"/>
  <c r="BH104" i="8"/>
  <c r="BI104" i="8"/>
  <c r="BJ104" i="8"/>
  <c r="BK104" i="8"/>
  <c r="BL104" i="8"/>
  <c r="BM104" i="8"/>
  <c r="BN104" i="8"/>
  <c r="BO104" i="8"/>
  <c r="BP104" i="8"/>
  <c r="BQ104" i="8"/>
  <c r="BR104" i="8"/>
  <c r="BS104" i="8"/>
  <c r="BT104" i="8"/>
  <c r="BU104" i="8"/>
  <c r="BV104" i="8"/>
  <c r="BW104" i="8"/>
  <c r="BX104" i="8"/>
  <c r="BY104" i="8"/>
  <c r="BZ104" i="8"/>
  <c r="CA104" i="8"/>
  <c r="CB104" i="8"/>
  <c r="CC104" i="8"/>
  <c r="CD104" i="8"/>
  <c r="CE104" i="8"/>
  <c r="CF104" i="8"/>
  <c r="AS105" i="8"/>
  <c r="AT105" i="8"/>
  <c r="AU105" i="8"/>
  <c r="AV105" i="8"/>
  <c r="AW105" i="8"/>
  <c r="AX105" i="8"/>
  <c r="AY105" i="8"/>
  <c r="AZ105" i="8"/>
  <c r="BA105" i="8"/>
  <c r="BB105" i="8"/>
  <c r="BC105" i="8"/>
  <c r="BD105" i="8"/>
  <c r="BE105" i="8"/>
  <c r="BF105" i="8"/>
  <c r="BG105" i="8"/>
  <c r="BH105" i="8"/>
  <c r="BI105" i="8"/>
  <c r="BJ105" i="8"/>
  <c r="BK105" i="8"/>
  <c r="BL105" i="8"/>
  <c r="BM105" i="8"/>
  <c r="BN105" i="8"/>
  <c r="BO105" i="8"/>
  <c r="BP105" i="8"/>
  <c r="BQ105" i="8"/>
  <c r="BR105" i="8"/>
  <c r="BS105" i="8"/>
  <c r="BT105" i="8"/>
  <c r="BU105" i="8"/>
  <c r="BV105" i="8"/>
  <c r="BW105" i="8"/>
  <c r="BX105" i="8"/>
  <c r="BY105" i="8"/>
  <c r="BZ105" i="8"/>
  <c r="CA105" i="8"/>
  <c r="CB105" i="8"/>
  <c r="CC105" i="8"/>
  <c r="CD105" i="8"/>
  <c r="CE105" i="8"/>
  <c r="CF105" i="8"/>
  <c r="AS106" i="8"/>
  <c r="AT106" i="8"/>
  <c r="AU106" i="8"/>
  <c r="AV106" i="8"/>
  <c r="AW106" i="8"/>
  <c r="AX106" i="8"/>
  <c r="AY106" i="8"/>
  <c r="AZ106" i="8"/>
  <c r="BA106" i="8"/>
  <c r="BB106" i="8"/>
  <c r="BC106" i="8"/>
  <c r="BD106" i="8"/>
  <c r="BE106" i="8"/>
  <c r="BF106" i="8"/>
  <c r="BG106" i="8"/>
  <c r="BH106" i="8"/>
  <c r="BI106" i="8"/>
  <c r="BJ106" i="8"/>
  <c r="BK106" i="8"/>
  <c r="BL106" i="8"/>
  <c r="BM106" i="8"/>
  <c r="BN106" i="8"/>
  <c r="BO106" i="8"/>
  <c r="BP106" i="8"/>
  <c r="BQ106" i="8"/>
  <c r="BR106" i="8"/>
  <c r="BS106" i="8"/>
  <c r="BT106" i="8"/>
  <c r="BU106" i="8"/>
  <c r="BV106" i="8"/>
  <c r="BW106" i="8"/>
  <c r="BX106" i="8"/>
  <c r="BY106" i="8"/>
  <c r="BZ106" i="8"/>
  <c r="CA106" i="8"/>
  <c r="CB106" i="8"/>
  <c r="CC106" i="8"/>
  <c r="CD106" i="8"/>
  <c r="CE106" i="8"/>
  <c r="CF106" i="8"/>
  <c r="AS107" i="8"/>
  <c r="AT107" i="8"/>
  <c r="AU107" i="8"/>
  <c r="AV107" i="8"/>
  <c r="AW107" i="8"/>
  <c r="AX107" i="8"/>
  <c r="AY107" i="8"/>
  <c r="AZ107" i="8"/>
  <c r="BA107" i="8"/>
  <c r="BB107" i="8"/>
  <c r="BC107" i="8"/>
  <c r="BD107" i="8"/>
  <c r="BE107" i="8"/>
  <c r="BF107" i="8"/>
  <c r="BG107" i="8"/>
  <c r="BH107" i="8"/>
  <c r="BI107" i="8"/>
  <c r="BJ107" i="8"/>
  <c r="BK107" i="8"/>
  <c r="BL107" i="8"/>
  <c r="BM107" i="8"/>
  <c r="BN107" i="8"/>
  <c r="BO107" i="8"/>
  <c r="BP107" i="8"/>
  <c r="BQ107" i="8"/>
  <c r="BR107" i="8"/>
  <c r="BS107" i="8"/>
  <c r="BT107" i="8"/>
  <c r="BU107" i="8"/>
  <c r="BV107" i="8"/>
  <c r="BW107" i="8"/>
  <c r="BX107" i="8"/>
  <c r="BY107" i="8"/>
  <c r="BZ107" i="8"/>
  <c r="CA107" i="8"/>
  <c r="CB107" i="8"/>
  <c r="CC107" i="8"/>
  <c r="CD107" i="8"/>
  <c r="CE107" i="8"/>
  <c r="CF107" i="8"/>
  <c r="AS108" i="8"/>
  <c r="AT108" i="8"/>
  <c r="AU108" i="8"/>
  <c r="AV108" i="8"/>
  <c r="AW108" i="8"/>
  <c r="AX108" i="8"/>
  <c r="AY108" i="8"/>
  <c r="AZ108" i="8"/>
  <c r="BA108" i="8"/>
  <c r="BB108" i="8"/>
  <c r="BC108" i="8"/>
  <c r="BD108" i="8"/>
  <c r="BE108" i="8"/>
  <c r="BF108" i="8"/>
  <c r="BG108" i="8"/>
  <c r="BH108" i="8"/>
  <c r="BI108" i="8"/>
  <c r="BJ108" i="8"/>
  <c r="BK108" i="8"/>
  <c r="BL108" i="8"/>
  <c r="BM108" i="8"/>
  <c r="BN108" i="8"/>
  <c r="BO108" i="8"/>
  <c r="BP108" i="8"/>
  <c r="BQ108" i="8"/>
  <c r="BR108" i="8"/>
  <c r="BS108" i="8"/>
  <c r="BT108" i="8"/>
  <c r="BU108" i="8"/>
  <c r="BV108" i="8"/>
  <c r="BW108" i="8"/>
  <c r="BX108" i="8"/>
  <c r="BY108" i="8"/>
  <c r="BZ108" i="8"/>
  <c r="CA108" i="8"/>
  <c r="CB108" i="8"/>
  <c r="CC108" i="8"/>
  <c r="CD108" i="8"/>
  <c r="CE108" i="8"/>
  <c r="CF108" i="8"/>
  <c r="AS109" i="8"/>
  <c r="AT109" i="8"/>
  <c r="AU109" i="8"/>
  <c r="AV109" i="8"/>
  <c r="AW109" i="8"/>
  <c r="AX109" i="8"/>
  <c r="AY109" i="8"/>
  <c r="AZ109" i="8"/>
  <c r="BA109" i="8"/>
  <c r="BB109" i="8"/>
  <c r="BC109" i="8"/>
  <c r="BD109" i="8"/>
  <c r="BE109" i="8"/>
  <c r="BF109" i="8"/>
  <c r="BG109" i="8"/>
  <c r="BH109" i="8"/>
  <c r="BI109" i="8"/>
  <c r="BJ109" i="8"/>
  <c r="BK109" i="8"/>
  <c r="BL109" i="8"/>
  <c r="BM109" i="8"/>
  <c r="BN109" i="8"/>
  <c r="BO109" i="8"/>
  <c r="BP109" i="8"/>
  <c r="BQ109" i="8"/>
  <c r="BR109" i="8"/>
  <c r="BS109" i="8"/>
  <c r="BT109" i="8"/>
  <c r="BU109" i="8"/>
  <c r="BV109" i="8"/>
  <c r="BW109" i="8"/>
  <c r="BX109" i="8"/>
  <c r="BY109" i="8"/>
  <c r="BZ109" i="8"/>
  <c r="CA109" i="8"/>
  <c r="CB109" i="8"/>
  <c r="CC109" i="8"/>
  <c r="CD109" i="8"/>
  <c r="CE109" i="8"/>
  <c r="CF109" i="8"/>
  <c r="AS110" i="8"/>
  <c r="AT110" i="8"/>
  <c r="AU110" i="8"/>
  <c r="AV110" i="8"/>
  <c r="AW110" i="8"/>
  <c r="AX110" i="8"/>
  <c r="AY110" i="8"/>
  <c r="AZ110" i="8"/>
  <c r="BA110" i="8"/>
  <c r="BB110" i="8"/>
  <c r="BC110" i="8"/>
  <c r="BD110" i="8"/>
  <c r="BE110" i="8"/>
  <c r="BF110" i="8"/>
  <c r="BG110" i="8"/>
  <c r="BH110" i="8"/>
  <c r="BI110" i="8"/>
  <c r="BJ110" i="8"/>
  <c r="BK110" i="8"/>
  <c r="BL110" i="8"/>
  <c r="BM110" i="8"/>
  <c r="BN110" i="8"/>
  <c r="BO110" i="8"/>
  <c r="BP110" i="8"/>
  <c r="BQ110" i="8"/>
  <c r="BR110" i="8"/>
  <c r="BS110" i="8"/>
  <c r="BT110" i="8"/>
  <c r="BU110" i="8"/>
  <c r="BV110" i="8"/>
  <c r="BW110" i="8"/>
  <c r="BX110" i="8"/>
  <c r="BY110" i="8"/>
  <c r="BZ110" i="8"/>
  <c r="CA110" i="8"/>
  <c r="CB110" i="8"/>
  <c r="CC110" i="8"/>
  <c r="CD110" i="8"/>
  <c r="CE110" i="8"/>
  <c r="CF110" i="8"/>
  <c r="AS111" i="8"/>
  <c r="AT111" i="8"/>
  <c r="AU111" i="8"/>
  <c r="AV111" i="8"/>
  <c r="AW111" i="8"/>
  <c r="AX111" i="8"/>
  <c r="AY111" i="8"/>
  <c r="AZ111" i="8"/>
  <c r="BA111" i="8"/>
  <c r="BB111" i="8"/>
  <c r="BC111" i="8"/>
  <c r="BD111" i="8"/>
  <c r="BE111" i="8"/>
  <c r="BF111" i="8"/>
  <c r="BG111" i="8"/>
  <c r="BH111" i="8"/>
  <c r="BI111" i="8"/>
  <c r="BJ111" i="8"/>
  <c r="BK111" i="8"/>
  <c r="BL111" i="8"/>
  <c r="BM111" i="8"/>
  <c r="BN111" i="8"/>
  <c r="BO111" i="8"/>
  <c r="BP111" i="8"/>
  <c r="BQ111" i="8"/>
  <c r="BR111" i="8"/>
  <c r="BS111" i="8"/>
  <c r="BT111" i="8"/>
  <c r="BU111" i="8"/>
  <c r="BV111" i="8"/>
  <c r="BW111" i="8"/>
  <c r="BX111" i="8"/>
  <c r="BY111" i="8"/>
  <c r="BZ111" i="8"/>
  <c r="CA111" i="8"/>
  <c r="CB111" i="8"/>
  <c r="CC111" i="8"/>
  <c r="CD111" i="8"/>
  <c r="CE111" i="8"/>
  <c r="CF111" i="8"/>
  <c r="AS112" i="8"/>
  <c r="AT112" i="8"/>
  <c r="AU112" i="8"/>
  <c r="AV112" i="8"/>
  <c r="AW112" i="8"/>
  <c r="AX112" i="8"/>
  <c r="AY112" i="8"/>
  <c r="AZ112" i="8"/>
  <c r="BA112" i="8"/>
  <c r="BB112" i="8"/>
  <c r="BC112" i="8"/>
  <c r="BD112" i="8"/>
  <c r="BE112" i="8"/>
  <c r="BF112" i="8"/>
  <c r="BG112" i="8"/>
  <c r="BH112" i="8"/>
  <c r="BI112" i="8"/>
  <c r="BJ112" i="8"/>
  <c r="BK112" i="8"/>
  <c r="BL112" i="8"/>
  <c r="BM112" i="8"/>
  <c r="BN112" i="8"/>
  <c r="BO112" i="8"/>
  <c r="BP112" i="8"/>
  <c r="BQ112" i="8"/>
  <c r="BR112" i="8"/>
  <c r="BS112" i="8"/>
  <c r="BT112" i="8"/>
  <c r="BU112" i="8"/>
  <c r="BV112" i="8"/>
  <c r="BW112" i="8"/>
  <c r="BX112" i="8"/>
  <c r="BY112" i="8"/>
  <c r="BZ112" i="8"/>
  <c r="CA112" i="8"/>
  <c r="CB112" i="8"/>
  <c r="CC112" i="8"/>
  <c r="CD112" i="8"/>
  <c r="CE112" i="8"/>
  <c r="CF112" i="8"/>
  <c r="AS113" i="8"/>
  <c r="AT113" i="8"/>
  <c r="AU113" i="8"/>
  <c r="AV113" i="8"/>
  <c r="AW113" i="8"/>
  <c r="AX113" i="8"/>
  <c r="AY113" i="8"/>
  <c r="AZ113" i="8"/>
  <c r="BA113" i="8"/>
  <c r="BB113" i="8"/>
  <c r="BC113" i="8"/>
  <c r="BD113" i="8"/>
  <c r="BE113" i="8"/>
  <c r="BF113" i="8"/>
  <c r="BG113" i="8"/>
  <c r="BH113" i="8"/>
  <c r="BI113" i="8"/>
  <c r="BJ113" i="8"/>
  <c r="BK113" i="8"/>
  <c r="BL113" i="8"/>
  <c r="BM113" i="8"/>
  <c r="BN113" i="8"/>
  <c r="BO113" i="8"/>
  <c r="BP113" i="8"/>
  <c r="BQ113" i="8"/>
  <c r="BR113" i="8"/>
  <c r="BS113" i="8"/>
  <c r="BT113" i="8"/>
  <c r="BU113" i="8"/>
  <c r="BV113" i="8"/>
  <c r="BW113" i="8"/>
  <c r="BX113" i="8"/>
  <c r="BY113" i="8"/>
  <c r="BZ113" i="8"/>
  <c r="CA113" i="8"/>
  <c r="CB113" i="8"/>
  <c r="CC113" i="8"/>
  <c r="CD113" i="8"/>
  <c r="CE113" i="8"/>
  <c r="CF113" i="8"/>
  <c r="AS114" i="8"/>
  <c r="AT114" i="8"/>
  <c r="AU114" i="8"/>
  <c r="AV114" i="8"/>
  <c r="AW114" i="8"/>
  <c r="AX114" i="8"/>
  <c r="AY114" i="8"/>
  <c r="AZ114" i="8"/>
  <c r="BA114" i="8"/>
  <c r="BB114" i="8"/>
  <c r="BC114" i="8"/>
  <c r="BD114" i="8"/>
  <c r="BE114" i="8"/>
  <c r="BF114" i="8"/>
  <c r="BG114" i="8"/>
  <c r="BH114" i="8"/>
  <c r="BI114" i="8"/>
  <c r="BJ114" i="8"/>
  <c r="BK114" i="8"/>
  <c r="BL114" i="8"/>
  <c r="BM114" i="8"/>
  <c r="BN114" i="8"/>
  <c r="BO114" i="8"/>
  <c r="BP114" i="8"/>
  <c r="BQ114" i="8"/>
  <c r="BR114" i="8"/>
  <c r="BS114" i="8"/>
  <c r="BT114" i="8"/>
  <c r="BU114" i="8"/>
  <c r="BV114" i="8"/>
  <c r="BW114" i="8"/>
  <c r="BX114" i="8"/>
  <c r="BY114" i="8"/>
  <c r="BZ114" i="8"/>
  <c r="CA114" i="8"/>
  <c r="CB114" i="8"/>
  <c r="CC114" i="8"/>
  <c r="CD114" i="8"/>
  <c r="CE114" i="8"/>
  <c r="CF114" i="8"/>
  <c r="AS115" i="8"/>
  <c r="AT115" i="8"/>
  <c r="AU115" i="8"/>
  <c r="AV115" i="8"/>
  <c r="AW115" i="8"/>
  <c r="AX115" i="8"/>
  <c r="AY115" i="8"/>
  <c r="AZ115" i="8"/>
  <c r="BA115" i="8"/>
  <c r="BB115" i="8"/>
  <c r="BC115" i="8"/>
  <c r="BD115" i="8"/>
  <c r="BE115" i="8"/>
  <c r="BF115" i="8"/>
  <c r="BG115" i="8"/>
  <c r="BH115" i="8"/>
  <c r="BI115" i="8"/>
  <c r="BJ115" i="8"/>
  <c r="BK115" i="8"/>
  <c r="BL115" i="8"/>
  <c r="BM115" i="8"/>
  <c r="BN115" i="8"/>
  <c r="BO115" i="8"/>
  <c r="BP115" i="8"/>
  <c r="BQ115" i="8"/>
  <c r="BR115" i="8"/>
  <c r="BS115" i="8"/>
  <c r="BT115" i="8"/>
  <c r="BU115" i="8"/>
  <c r="BV115" i="8"/>
  <c r="BW115" i="8"/>
  <c r="BX115" i="8"/>
  <c r="BY115" i="8"/>
  <c r="BZ115" i="8"/>
  <c r="CA115" i="8"/>
  <c r="CB115" i="8"/>
  <c r="CC115" i="8"/>
  <c r="CD115" i="8"/>
  <c r="CE115" i="8"/>
  <c r="CF115" i="8"/>
  <c r="AS116" i="8"/>
  <c r="AT116" i="8"/>
  <c r="AU116" i="8"/>
  <c r="AV116" i="8"/>
  <c r="AW116" i="8"/>
  <c r="AX116" i="8"/>
  <c r="AY116" i="8"/>
  <c r="AZ116" i="8"/>
  <c r="BA116" i="8"/>
  <c r="BB116" i="8"/>
  <c r="BC116" i="8"/>
  <c r="BD116" i="8"/>
  <c r="BE116" i="8"/>
  <c r="BF116" i="8"/>
  <c r="BG116" i="8"/>
  <c r="BH116" i="8"/>
  <c r="BI116" i="8"/>
  <c r="BJ116" i="8"/>
  <c r="BK116" i="8"/>
  <c r="BL116" i="8"/>
  <c r="BM116" i="8"/>
  <c r="BN116" i="8"/>
  <c r="BO116" i="8"/>
  <c r="BP116" i="8"/>
  <c r="BQ116" i="8"/>
  <c r="BR116" i="8"/>
  <c r="BS116" i="8"/>
  <c r="BT116" i="8"/>
  <c r="BU116" i="8"/>
  <c r="BV116" i="8"/>
  <c r="BW116" i="8"/>
  <c r="BX116" i="8"/>
  <c r="BY116" i="8"/>
  <c r="BZ116" i="8"/>
  <c r="CA116" i="8"/>
  <c r="CB116" i="8"/>
  <c r="CC116" i="8"/>
  <c r="CD116" i="8"/>
  <c r="CE116" i="8"/>
  <c r="CF116" i="8"/>
  <c r="AS117" i="8"/>
  <c r="AT117" i="8"/>
  <c r="AU117" i="8"/>
  <c r="AV117" i="8"/>
  <c r="AW117" i="8"/>
  <c r="AX117" i="8"/>
  <c r="AY117" i="8"/>
  <c r="AZ117" i="8"/>
  <c r="BA117" i="8"/>
  <c r="BB117" i="8"/>
  <c r="BC117" i="8"/>
  <c r="BD117" i="8"/>
  <c r="BE117" i="8"/>
  <c r="BF117" i="8"/>
  <c r="BG117" i="8"/>
  <c r="BH117" i="8"/>
  <c r="BI117" i="8"/>
  <c r="BJ117" i="8"/>
  <c r="BK117" i="8"/>
  <c r="BL117" i="8"/>
  <c r="BM117" i="8"/>
  <c r="BN117" i="8"/>
  <c r="BO117" i="8"/>
  <c r="BP117" i="8"/>
  <c r="BQ117" i="8"/>
  <c r="BR117" i="8"/>
  <c r="BS117" i="8"/>
  <c r="BT117" i="8"/>
  <c r="BU117" i="8"/>
  <c r="BV117" i="8"/>
  <c r="BW117" i="8"/>
  <c r="BX117" i="8"/>
  <c r="BY117" i="8"/>
  <c r="BZ117" i="8"/>
  <c r="CA117" i="8"/>
  <c r="CB117" i="8"/>
  <c r="CC117" i="8"/>
  <c r="CD117" i="8"/>
  <c r="CE117" i="8"/>
  <c r="CF117" i="8"/>
  <c r="AS118" i="8"/>
  <c r="AT118" i="8"/>
  <c r="AU118" i="8"/>
  <c r="AV118" i="8"/>
  <c r="AW118" i="8"/>
  <c r="AX118" i="8"/>
  <c r="AY118" i="8"/>
  <c r="AZ118" i="8"/>
  <c r="BA118" i="8"/>
  <c r="BB118" i="8"/>
  <c r="BC118" i="8"/>
  <c r="BD118" i="8"/>
  <c r="BE118" i="8"/>
  <c r="BF118" i="8"/>
  <c r="BG118" i="8"/>
  <c r="BH118" i="8"/>
  <c r="BI118" i="8"/>
  <c r="BJ118" i="8"/>
  <c r="BK118" i="8"/>
  <c r="BL118" i="8"/>
  <c r="BM118" i="8"/>
  <c r="BN118" i="8"/>
  <c r="BO118" i="8"/>
  <c r="BP118" i="8"/>
  <c r="BQ118" i="8"/>
  <c r="BR118" i="8"/>
  <c r="BS118" i="8"/>
  <c r="BT118" i="8"/>
  <c r="BU118" i="8"/>
  <c r="BV118" i="8"/>
  <c r="BW118" i="8"/>
  <c r="BX118" i="8"/>
  <c r="BY118" i="8"/>
  <c r="BZ118" i="8"/>
  <c r="CA118" i="8"/>
  <c r="CB118" i="8"/>
  <c r="CC118" i="8"/>
  <c r="CD118" i="8"/>
  <c r="CE118" i="8"/>
  <c r="CF118" i="8"/>
  <c r="AS119" i="8"/>
  <c r="AT119" i="8"/>
  <c r="AU119" i="8"/>
  <c r="AV119" i="8"/>
  <c r="AW119" i="8"/>
  <c r="AX119" i="8"/>
  <c r="AY119" i="8"/>
  <c r="AZ119" i="8"/>
  <c r="BA119" i="8"/>
  <c r="BB119" i="8"/>
  <c r="BC119" i="8"/>
  <c r="BD119" i="8"/>
  <c r="BE119" i="8"/>
  <c r="BF119" i="8"/>
  <c r="BG119" i="8"/>
  <c r="BH119" i="8"/>
  <c r="BI119" i="8"/>
  <c r="BJ119" i="8"/>
  <c r="BK119" i="8"/>
  <c r="BL119" i="8"/>
  <c r="BM119" i="8"/>
  <c r="BN119" i="8"/>
  <c r="BO119" i="8"/>
  <c r="BP119" i="8"/>
  <c r="BQ119" i="8"/>
  <c r="BR119" i="8"/>
  <c r="BS119" i="8"/>
  <c r="BT119" i="8"/>
  <c r="BU119" i="8"/>
  <c r="BV119" i="8"/>
  <c r="BW119" i="8"/>
  <c r="BX119" i="8"/>
  <c r="BY119" i="8"/>
  <c r="BZ119" i="8"/>
  <c r="CA119" i="8"/>
  <c r="CB119" i="8"/>
  <c r="CC119" i="8"/>
  <c r="CD119" i="8"/>
  <c r="CE119" i="8"/>
  <c r="CF119" i="8"/>
  <c r="AS120" i="8"/>
  <c r="AT120" i="8"/>
  <c r="AU120" i="8"/>
  <c r="AV120" i="8"/>
  <c r="AW120" i="8"/>
  <c r="AX120" i="8"/>
  <c r="AY120" i="8"/>
  <c r="AZ120" i="8"/>
  <c r="BA120" i="8"/>
  <c r="BB120" i="8"/>
  <c r="BC120" i="8"/>
  <c r="BD120" i="8"/>
  <c r="BE120" i="8"/>
  <c r="BF120" i="8"/>
  <c r="BG120" i="8"/>
  <c r="BH120" i="8"/>
  <c r="BI120" i="8"/>
  <c r="BJ120" i="8"/>
  <c r="BK120" i="8"/>
  <c r="BL120" i="8"/>
  <c r="BM120" i="8"/>
  <c r="BN120" i="8"/>
  <c r="BO120" i="8"/>
  <c r="BP120" i="8"/>
  <c r="BQ120" i="8"/>
  <c r="BR120" i="8"/>
  <c r="BS120" i="8"/>
  <c r="BT120" i="8"/>
  <c r="BU120" i="8"/>
  <c r="BV120" i="8"/>
  <c r="BW120" i="8"/>
  <c r="BX120" i="8"/>
  <c r="BY120" i="8"/>
  <c r="BZ120" i="8"/>
  <c r="CA120" i="8"/>
  <c r="CB120" i="8"/>
  <c r="CC120" i="8"/>
  <c r="CD120" i="8"/>
  <c r="CE120" i="8"/>
  <c r="CF120" i="8"/>
  <c r="AS121" i="8"/>
  <c r="AT121" i="8"/>
  <c r="AU121" i="8"/>
  <c r="AV121" i="8"/>
  <c r="AW121" i="8"/>
  <c r="AX121" i="8"/>
  <c r="AY121" i="8"/>
  <c r="AZ121" i="8"/>
  <c r="BA121" i="8"/>
  <c r="BB121" i="8"/>
  <c r="BC121" i="8"/>
  <c r="BD121" i="8"/>
  <c r="BE121" i="8"/>
  <c r="BF121" i="8"/>
  <c r="BG121" i="8"/>
  <c r="BH121" i="8"/>
  <c r="BI121" i="8"/>
  <c r="BJ121" i="8"/>
  <c r="BK121" i="8"/>
  <c r="BL121" i="8"/>
  <c r="BM121" i="8"/>
  <c r="BN121" i="8"/>
  <c r="BO121" i="8"/>
  <c r="BP121" i="8"/>
  <c r="BQ121" i="8"/>
  <c r="BR121" i="8"/>
  <c r="BS121" i="8"/>
  <c r="BT121" i="8"/>
  <c r="BU121" i="8"/>
  <c r="BV121" i="8"/>
  <c r="BW121" i="8"/>
  <c r="BX121" i="8"/>
  <c r="BY121" i="8"/>
  <c r="BZ121" i="8"/>
  <c r="CA121" i="8"/>
  <c r="CB121" i="8"/>
  <c r="CC121" i="8"/>
  <c r="CD121" i="8"/>
  <c r="CE121" i="8"/>
  <c r="CF121" i="8"/>
  <c r="AS122" i="8"/>
  <c r="AT122" i="8"/>
  <c r="AU122" i="8"/>
  <c r="AV122" i="8"/>
  <c r="AW122" i="8"/>
  <c r="AX122" i="8"/>
  <c r="AY122" i="8"/>
  <c r="AZ122" i="8"/>
  <c r="BA122" i="8"/>
  <c r="BB122" i="8"/>
  <c r="BC122" i="8"/>
  <c r="BD122" i="8"/>
  <c r="BE122" i="8"/>
  <c r="BF122" i="8"/>
  <c r="BG122" i="8"/>
  <c r="BH122" i="8"/>
  <c r="BI122" i="8"/>
  <c r="BJ122" i="8"/>
  <c r="BK122" i="8"/>
  <c r="BL122" i="8"/>
  <c r="BM122" i="8"/>
  <c r="BN122" i="8"/>
  <c r="BO122" i="8"/>
  <c r="BP122" i="8"/>
  <c r="BQ122" i="8"/>
  <c r="BR122" i="8"/>
  <c r="BS122" i="8"/>
  <c r="BT122" i="8"/>
  <c r="BU122" i="8"/>
  <c r="BV122" i="8"/>
  <c r="BW122" i="8"/>
  <c r="BX122" i="8"/>
  <c r="BY122" i="8"/>
  <c r="BZ122" i="8"/>
  <c r="CA122" i="8"/>
  <c r="CB122" i="8"/>
  <c r="CC122" i="8"/>
  <c r="CD122" i="8"/>
  <c r="CE122" i="8"/>
  <c r="CF122" i="8"/>
  <c r="AS123" i="8"/>
  <c r="AT123" i="8"/>
  <c r="AU123" i="8"/>
  <c r="AV123" i="8"/>
  <c r="AW123" i="8"/>
  <c r="AX123" i="8"/>
  <c r="AY123" i="8"/>
  <c r="AZ123" i="8"/>
  <c r="BA123" i="8"/>
  <c r="BB123" i="8"/>
  <c r="BC123" i="8"/>
  <c r="BD123" i="8"/>
  <c r="BE123" i="8"/>
  <c r="BF123" i="8"/>
  <c r="BG123" i="8"/>
  <c r="BH123" i="8"/>
  <c r="BI123" i="8"/>
  <c r="BJ123" i="8"/>
  <c r="BK123" i="8"/>
  <c r="BL123" i="8"/>
  <c r="BM123" i="8"/>
  <c r="BN123" i="8"/>
  <c r="BO123" i="8"/>
  <c r="BP123" i="8"/>
  <c r="BQ123" i="8"/>
  <c r="BR123" i="8"/>
  <c r="BS123" i="8"/>
  <c r="BT123" i="8"/>
  <c r="BU123" i="8"/>
  <c r="BV123" i="8"/>
  <c r="BW123" i="8"/>
  <c r="BX123" i="8"/>
  <c r="BY123" i="8"/>
  <c r="BZ123" i="8"/>
  <c r="CA123" i="8"/>
  <c r="CB123" i="8"/>
  <c r="CC123" i="8"/>
  <c r="CD123" i="8"/>
  <c r="CE123" i="8"/>
  <c r="CF123" i="8"/>
  <c r="AS124" i="8"/>
  <c r="AT124" i="8"/>
  <c r="AU124" i="8"/>
  <c r="AV124" i="8"/>
  <c r="AW124" i="8"/>
  <c r="AX124" i="8"/>
  <c r="AY124" i="8"/>
  <c r="AZ124" i="8"/>
  <c r="BA124" i="8"/>
  <c r="BB124" i="8"/>
  <c r="BC124" i="8"/>
  <c r="BD124" i="8"/>
  <c r="BE124" i="8"/>
  <c r="BF124" i="8"/>
  <c r="BG124" i="8"/>
  <c r="BH124" i="8"/>
  <c r="BI124" i="8"/>
  <c r="BJ124" i="8"/>
  <c r="BK124" i="8"/>
  <c r="BL124" i="8"/>
  <c r="BM124" i="8"/>
  <c r="BN124" i="8"/>
  <c r="BO124" i="8"/>
  <c r="BP124" i="8"/>
  <c r="BQ124" i="8"/>
  <c r="BR124" i="8"/>
  <c r="BS124" i="8"/>
  <c r="BT124" i="8"/>
  <c r="BU124" i="8"/>
  <c r="BV124" i="8"/>
  <c r="BW124" i="8"/>
  <c r="BX124" i="8"/>
  <c r="BY124" i="8"/>
  <c r="BZ124" i="8"/>
  <c r="CA124" i="8"/>
  <c r="CB124" i="8"/>
  <c r="CC124" i="8"/>
  <c r="CD124" i="8"/>
  <c r="CE124" i="8"/>
  <c r="CF124" i="8"/>
  <c r="AS125" i="8"/>
  <c r="AT125" i="8"/>
  <c r="AU125" i="8"/>
  <c r="AV125" i="8"/>
  <c r="AW125" i="8"/>
  <c r="AX125" i="8"/>
  <c r="AY125" i="8"/>
  <c r="AZ125" i="8"/>
  <c r="BA125" i="8"/>
  <c r="BB125" i="8"/>
  <c r="BC125" i="8"/>
  <c r="BD125" i="8"/>
  <c r="BE125" i="8"/>
  <c r="BF125" i="8"/>
  <c r="BG125" i="8"/>
  <c r="BH125" i="8"/>
  <c r="BI125" i="8"/>
  <c r="BJ125" i="8"/>
  <c r="BK125" i="8"/>
  <c r="BL125" i="8"/>
  <c r="BM125" i="8"/>
  <c r="BN125" i="8"/>
  <c r="BO125" i="8"/>
  <c r="BP125" i="8"/>
  <c r="BQ125" i="8"/>
  <c r="BR125" i="8"/>
  <c r="BS125" i="8"/>
  <c r="BT125" i="8"/>
  <c r="BU125" i="8"/>
  <c r="BV125" i="8"/>
  <c r="BW125" i="8"/>
  <c r="BX125" i="8"/>
  <c r="BY125" i="8"/>
  <c r="BZ125" i="8"/>
  <c r="CA125" i="8"/>
  <c r="CB125" i="8"/>
  <c r="CC125" i="8"/>
  <c r="CD125" i="8"/>
  <c r="CE125" i="8"/>
  <c r="CF125" i="8"/>
  <c r="AS126" i="8"/>
  <c r="AT126" i="8"/>
  <c r="AU126" i="8"/>
  <c r="AV126" i="8"/>
  <c r="AW126" i="8"/>
  <c r="AX126" i="8"/>
  <c r="AY126" i="8"/>
  <c r="AZ126" i="8"/>
  <c r="BA126" i="8"/>
  <c r="BB126" i="8"/>
  <c r="BC126" i="8"/>
  <c r="BD126" i="8"/>
  <c r="BE126" i="8"/>
  <c r="BF126" i="8"/>
  <c r="BG126" i="8"/>
  <c r="BH126" i="8"/>
  <c r="BI126" i="8"/>
  <c r="BJ126" i="8"/>
  <c r="BK126" i="8"/>
  <c r="BL126" i="8"/>
  <c r="BM126" i="8"/>
  <c r="BN126" i="8"/>
  <c r="BO126" i="8"/>
  <c r="BP126" i="8"/>
  <c r="BQ126" i="8"/>
  <c r="BR126" i="8"/>
  <c r="BS126" i="8"/>
  <c r="BT126" i="8"/>
  <c r="BU126" i="8"/>
  <c r="BV126" i="8"/>
  <c r="BW126" i="8"/>
  <c r="BX126" i="8"/>
  <c r="BY126" i="8"/>
  <c r="BZ126" i="8"/>
  <c r="CA126" i="8"/>
  <c r="CB126" i="8"/>
  <c r="CC126" i="8"/>
  <c r="CD126" i="8"/>
  <c r="CE126" i="8"/>
  <c r="CF126" i="8"/>
  <c r="AS127" i="8"/>
  <c r="AT127" i="8"/>
  <c r="AU127" i="8"/>
  <c r="AV127" i="8"/>
  <c r="AW127" i="8"/>
  <c r="AX127" i="8"/>
  <c r="AY127" i="8"/>
  <c r="AZ127" i="8"/>
  <c r="BA127" i="8"/>
  <c r="BB127" i="8"/>
  <c r="BC127" i="8"/>
  <c r="BD127" i="8"/>
  <c r="BE127" i="8"/>
  <c r="BF127" i="8"/>
  <c r="BG127" i="8"/>
  <c r="BH127" i="8"/>
  <c r="BI127" i="8"/>
  <c r="BJ127" i="8"/>
  <c r="BK127" i="8"/>
  <c r="BL127" i="8"/>
  <c r="BM127" i="8"/>
  <c r="BN127" i="8"/>
  <c r="BO127" i="8"/>
  <c r="BP127" i="8"/>
  <c r="BQ127" i="8"/>
  <c r="BR127" i="8"/>
  <c r="BS127" i="8"/>
  <c r="BT127" i="8"/>
  <c r="BU127" i="8"/>
  <c r="BV127" i="8"/>
  <c r="BW127" i="8"/>
  <c r="BX127" i="8"/>
  <c r="BY127" i="8"/>
  <c r="BZ127" i="8"/>
  <c r="CA127" i="8"/>
  <c r="CB127" i="8"/>
  <c r="CC127" i="8"/>
  <c r="CD127" i="8"/>
  <c r="CE127" i="8"/>
  <c r="CF127" i="8"/>
  <c r="AS128" i="8"/>
  <c r="AT128" i="8"/>
  <c r="AU128" i="8"/>
  <c r="AV128" i="8"/>
  <c r="AW128" i="8"/>
  <c r="AX128" i="8"/>
  <c r="AY128" i="8"/>
  <c r="AZ128" i="8"/>
  <c r="BA128" i="8"/>
  <c r="BB128" i="8"/>
  <c r="BC128" i="8"/>
  <c r="BD128" i="8"/>
  <c r="BE128" i="8"/>
  <c r="BF128" i="8"/>
  <c r="BG128" i="8"/>
  <c r="BH128" i="8"/>
  <c r="BI128" i="8"/>
  <c r="BJ128" i="8"/>
  <c r="BK128" i="8"/>
  <c r="BL128" i="8"/>
  <c r="BM128" i="8"/>
  <c r="BN128" i="8"/>
  <c r="BO128" i="8"/>
  <c r="BP128" i="8"/>
  <c r="BQ128" i="8"/>
  <c r="BR128" i="8"/>
  <c r="BS128" i="8"/>
  <c r="BT128" i="8"/>
  <c r="BU128" i="8"/>
  <c r="BV128" i="8"/>
  <c r="BW128" i="8"/>
  <c r="BX128" i="8"/>
  <c r="BY128" i="8"/>
  <c r="BZ128" i="8"/>
  <c r="CA128" i="8"/>
  <c r="CB128" i="8"/>
  <c r="CC128" i="8"/>
  <c r="CD128" i="8"/>
  <c r="CE128" i="8"/>
  <c r="CF128" i="8"/>
  <c r="AS129" i="8"/>
  <c r="AT129" i="8"/>
  <c r="AU129" i="8"/>
  <c r="AV129" i="8"/>
  <c r="AW129" i="8"/>
  <c r="AX129" i="8"/>
  <c r="AY129" i="8"/>
  <c r="AZ129" i="8"/>
  <c r="BA129" i="8"/>
  <c r="BB129" i="8"/>
  <c r="BC129" i="8"/>
  <c r="BD129" i="8"/>
  <c r="BE129" i="8"/>
  <c r="BF129" i="8"/>
  <c r="BG129" i="8"/>
  <c r="BH129" i="8"/>
  <c r="BI129" i="8"/>
  <c r="BJ129" i="8"/>
  <c r="BK129" i="8"/>
  <c r="BL129" i="8"/>
  <c r="BM129" i="8"/>
  <c r="BN129" i="8"/>
  <c r="BO129" i="8"/>
  <c r="BP129" i="8"/>
  <c r="BQ129" i="8"/>
  <c r="BR129" i="8"/>
  <c r="BS129" i="8"/>
  <c r="BT129" i="8"/>
  <c r="BU129" i="8"/>
  <c r="BV129" i="8"/>
  <c r="BW129" i="8"/>
  <c r="BX129" i="8"/>
  <c r="BY129" i="8"/>
  <c r="BZ129" i="8"/>
  <c r="CA129" i="8"/>
  <c r="CB129" i="8"/>
  <c r="CC129" i="8"/>
  <c r="CD129" i="8"/>
  <c r="CE129" i="8"/>
  <c r="CF129" i="8"/>
  <c r="AS130" i="8"/>
  <c r="AT130" i="8"/>
  <c r="AU130" i="8"/>
  <c r="AV130" i="8"/>
  <c r="AW130" i="8"/>
  <c r="AX130" i="8"/>
  <c r="AY130" i="8"/>
  <c r="AZ130" i="8"/>
  <c r="BA130" i="8"/>
  <c r="BB130" i="8"/>
  <c r="BC130" i="8"/>
  <c r="BD130" i="8"/>
  <c r="BE130" i="8"/>
  <c r="BF130" i="8"/>
  <c r="BG130" i="8"/>
  <c r="BH130" i="8"/>
  <c r="BI130" i="8"/>
  <c r="BJ130" i="8"/>
  <c r="BK130" i="8"/>
  <c r="BL130" i="8"/>
  <c r="BM130" i="8"/>
  <c r="BN130" i="8"/>
  <c r="BO130" i="8"/>
  <c r="BP130" i="8"/>
  <c r="BQ130" i="8"/>
  <c r="BR130" i="8"/>
  <c r="BS130" i="8"/>
  <c r="BT130" i="8"/>
  <c r="BU130" i="8"/>
  <c r="BV130" i="8"/>
  <c r="BW130" i="8"/>
  <c r="BX130" i="8"/>
  <c r="BY130" i="8"/>
  <c r="BZ130" i="8"/>
  <c r="CA130" i="8"/>
  <c r="CB130" i="8"/>
  <c r="CC130" i="8"/>
  <c r="CD130" i="8"/>
  <c r="CE130" i="8"/>
  <c r="CF130" i="8"/>
  <c r="AS131" i="8"/>
  <c r="AT131" i="8"/>
  <c r="AU131" i="8"/>
  <c r="AV131" i="8"/>
  <c r="AW131" i="8"/>
  <c r="AX131" i="8"/>
  <c r="AY131" i="8"/>
  <c r="AZ131" i="8"/>
  <c r="BA131" i="8"/>
  <c r="BB131" i="8"/>
  <c r="BC131" i="8"/>
  <c r="BD131" i="8"/>
  <c r="BE131" i="8"/>
  <c r="BF131" i="8"/>
  <c r="BG131" i="8"/>
  <c r="BH131" i="8"/>
  <c r="BI131" i="8"/>
  <c r="BJ131" i="8"/>
  <c r="BK131" i="8"/>
  <c r="BL131" i="8"/>
  <c r="BM131" i="8"/>
  <c r="BN131" i="8"/>
  <c r="BO131" i="8"/>
  <c r="BP131" i="8"/>
  <c r="BQ131" i="8"/>
  <c r="BR131" i="8"/>
  <c r="BS131" i="8"/>
  <c r="BT131" i="8"/>
  <c r="BU131" i="8"/>
  <c r="BV131" i="8"/>
  <c r="BW131" i="8"/>
  <c r="BX131" i="8"/>
  <c r="BY131" i="8"/>
  <c r="BZ131" i="8"/>
  <c r="CA131" i="8"/>
  <c r="CB131" i="8"/>
  <c r="CC131" i="8"/>
  <c r="CD131" i="8"/>
  <c r="CE131" i="8"/>
  <c r="CF131" i="8"/>
  <c r="AS132" i="8"/>
  <c r="AT132" i="8"/>
  <c r="AU132" i="8"/>
  <c r="AV132" i="8"/>
  <c r="AW132" i="8"/>
  <c r="AX132" i="8"/>
  <c r="AY132" i="8"/>
  <c r="AZ132" i="8"/>
  <c r="BA132" i="8"/>
  <c r="BB132" i="8"/>
  <c r="BC132" i="8"/>
  <c r="BD132" i="8"/>
  <c r="BE132" i="8"/>
  <c r="BF132" i="8"/>
  <c r="BG132" i="8"/>
  <c r="BH132" i="8"/>
  <c r="BI132" i="8"/>
  <c r="BJ132" i="8"/>
  <c r="BK132" i="8"/>
  <c r="BL132" i="8"/>
  <c r="BM132" i="8"/>
  <c r="BN132" i="8"/>
  <c r="BO132" i="8"/>
  <c r="BP132" i="8"/>
  <c r="BQ132" i="8"/>
  <c r="BR132" i="8"/>
  <c r="BS132" i="8"/>
  <c r="BT132" i="8"/>
  <c r="BU132" i="8"/>
  <c r="BV132" i="8"/>
  <c r="BW132" i="8"/>
  <c r="BX132" i="8"/>
  <c r="BY132" i="8"/>
  <c r="BZ132" i="8"/>
  <c r="CA132" i="8"/>
  <c r="CB132" i="8"/>
  <c r="CC132" i="8"/>
  <c r="CD132" i="8"/>
  <c r="CE132" i="8"/>
  <c r="CF132" i="8"/>
  <c r="AS133" i="8"/>
  <c r="AT133" i="8"/>
  <c r="AU133" i="8"/>
  <c r="AV133" i="8"/>
  <c r="AW133" i="8"/>
  <c r="AX133" i="8"/>
  <c r="AY133" i="8"/>
  <c r="AZ133" i="8"/>
  <c r="BA133" i="8"/>
  <c r="BB133" i="8"/>
  <c r="BC133" i="8"/>
  <c r="BD133" i="8"/>
  <c r="BE133" i="8"/>
  <c r="BF133" i="8"/>
  <c r="BG133" i="8"/>
  <c r="BH133" i="8"/>
  <c r="BI133" i="8"/>
  <c r="BJ133" i="8"/>
  <c r="BK133" i="8"/>
  <c r="BL133" i="8"/>
  <c r="BM133" i="8"/>
  <c r="BN133" i="8"/>
  <c r="BO133" i="8"/>
  <c r="BP133" i="8"/>
  <c r="BQ133" i="8"/>
  <c r="BR133" i="8"/>
  <c r="BS133" i="8"/>
  <c r="BT133" i="8"/>
  <c r="BU133" i="8"/>
  <c r="BV133" i="8"/>
  <c r="BW133" i="8"/>
  <c r="BX133" i="8"/>
  <c r="BY133" i="8"/>
  <c r="BZ133" i="8"/>
  <c r="CA133" i="8"/>
  <c r="CB133" i="8"/>
  <c r="CC133" i="8"/>
  <c r="CD133" i="8"/>
  <c r="CE133" i="8"/>
  <c r="CF133" i="8"/>
  <c r="AS134" i="8"/>
  <c r="AT134" i="8"/>
  <c r="AU134" i="8"/>
  <c r="AV134" i="8"/>
  <c r="AW134" i="8"/>
  <c r="AX134" i="8"/>
  <c r="AY134" i="8"/>
  <c r="AZ134" i="8"/>
  <c r="BA134" i="8"/>
  <c r="BB134" i="8"/>
  <c r="BC134" i="8"/>
  <c r="BD134" i="8"/>
  <c r="BE134" i="8"/>
  <c r="BF134" i="8"/>
  <c r="BG134" i="8"/>
  <c r="BH134" i="8"/>
  <c r="BI134" i="8"/>
  <c r="BJ134" i="8"/>
  <c r="BK134" i="8"/>
  <c r="BL134" i="8"/>
  <c r="BM134" i="8"/>
  <c r="BN134" i="8"/>
  <c r="BO134" i="8"/>
  <c r="BP134" i="8"/>
  <c r="BQ134" i="8"/>
  <c r="BR134" i="8"/>
  <c r="BS134" i="8"/>
  <c r="BT134" i="8"/>
  <c r="BU134" i="8"/>
  <c r="BV134" i="8"/>
  <c r="BW134" i="8"/>
  <c r="BX134" i="8"/>
  <c r="BY134" i="8"/>
  <c r="BZ134" i="8"/>
  <c r="CA134" i="8"/>
  <c r="CB134" i="8"/>
  <c r="CC134" i="8"/>
  <c r="CD134" i="8"/>
  <c r="CE134" i="8"/>
  <c r="CF134" i="8"/>
  <c r="AS135" i="8"/>
  <c r="AT135" i="8"/>
  <c r="AU135" i="8"/>
  <c r="AV135" i="8"/>
  <c r="AW135" i="8"/>
  <c r="AX135" i="8"/>
  <c r="AY135" i="8"/>
  <c r="AZ135" i="8"/>
  <c r="BA135" i="8"/>
  <c r="BB135" i="8"/>
  <c r="BC135" i="8"/>
  <c r="BD135" i="8"/>
  <c r="BE135" i="8"/>
  <c r="BF135" i="8"/>
  <c r="BG135" i="8"/>
  <c r="BH135" i="8"/>
  <c r="BI135" i="8"/>
  <c r="BJ135" i="8"/>
  <c r="BK135" i="8"/>
  <c r="BL135" i="8"/>
  <c r="BM135" i="8"/>
  <c r="BN135" i="8"/>
  <c r="BO135" i="8"/>
  <c r="BP135" i="8"/>
  <c r="BQ135" i="8"/>
  <c r="BR135" i="8"/>
  <c r="BS135" i="8"/>
  <c r="BT135" i="8"/>
  <c r="BU135" i="8"/>
  <c r="BV135" i="8"/>
  <c r="BW135" i="8"/>
  <c r="BX135" i="8"/>
  <c r="BY135" i="8"/>
  <c r="BZ135" i="8"/>
  <c r="CA135" i="8"/>
  <c r="CB135" i="8"/>
  <c r="CC135" i="8"/>
  <c r="CD135" i="8"/>
  <c r="CE135" i="8"/>
  <c r="CF135" i="8"/>
  <c r="AS136" i="8"/>
  <c r="AT136" i="8"/>
  <c r="AU136" i="8"/>
  <c r="AV136" i="8"/>
  <c r="AW136" i="8"/>
  <c r="AX136" i="8"/>
  <c r="AY136" i="8"/>
  <c r="AZ136" i="8"/>
  <c r="BA136" i="8"/>
  <c r="BB136" i="8"/>
  <c r="BC136" i="8"/>
  <c r="BD136" i="8"/>
  <c r="BE136" i="8"/>
  <c r="BF136" i="8"/>
  <c r="BG136" i="8"/>
  <c r="BH136" i="8"/>
  <c r="BI136" i="8"/>
  <c r="BJ136" i="8"/>
  <c r="BK136" i="8"/>
  <c r="BL136" i="8"/>
  <c r="BM136" i="8"/>
  <c r="BN136" i="8"/>
  <c r="BO136" i="8"/>
  <c r="BP136" i="8"/>
  <c r="BQ136" i="8"/>
  <c r="BR136" i="8"/>
  <c r="BS136" i="8"/>
  <c r="BT136" i="8"/>
  <c r="BU136" i="8"/>
  <c r="BV136" i="8"/>
  <c r="BW136" i="8"/>
  <c r="BX136" i="8"/>
  <c r="BY136" i="8"/>
  <c r="BZ136" i="8"/>
  <c r="CA136" i="8"/>
  <c r="CB136" i="8"/>
  <c r="CC136" i="8"/>
  <c r="CD136" i="8"/>
  <c r="CE136" i="8"/>
  <c r="CF136" i="8"/>
  <c r="AR6" i="8"/>
  <c r="AR7" i="8"/>
  <c r="AR8" i="8"/>
  <c r="AR9" i="8"/>
  <c r="AR10" i="8"/>
  <c r="AR11" i="8"/>
  <c r="AR12" i="8"/>
  <c r="AR13" i="8"/>
  <c r="AR14" i="8"/>
  <c r="AR15" i="8"/>
  <c r="AR16" i="8"/>
  <c r="AR17" i="8"/>
  <c r="AR18" i="8"/>
  <c r="AR19" i="8"/>
  <c r="AR20" i="8"/>
  <c r="AR21" i="8"/>
  <c r="AR22" i="8"/>
  <c r="AR23" i="8"/>
  <c r="AR24" i="8"/>
  <c r="AR25" i="8"/>
  <c r="AR26" i="8"/>
  <c r="AR27" i="8"/>
  <c r="AR28" i="8"/>
  <c r="AR29" i="8"/>
  <c r="AR30" i="8"/>
  <c r="AR31" i="8"/>
  <c r="AR32" i="8"/>
  <c r="AR33" i="8"/>
  <c r="AR34" i="8"/>
  <c r="AR35" i="8"/>
  <c r="AR36" i="8"/>
  <c r="AR37" i="8"/>
  <c r="AR38" i="8"/>
  <c r="AR39" i="8"/>
  <c r="AR40" i="8"/>
  <c r="AR41" i="8"/>
  <c r="AR42" i="8"/>
  <c r="AR43" i="8"/>
  <c r="AR44" i="8"/>
  <c r="AR45" i="8"/>
  <c r="AR46" i="8"/>
  <c r="AR47" i="8"/>
  <c r="AR48" i="8"/>
  <c r="AR49" i="8"/>
  <c r="AR50" i="8"/>
  <c r="AR51" i="8"/>
  <c r="AR52" i="8"/>
  <c r="AR53" i="8"/>
  <c r="AR54" i="8"/>
  <c r="AR55" i="8"/>
  <c r="AR56" i="8"/>
  <c r="AR57" i="8"/>
  <c r="AR58" i="8"/>
  <c r="AR59" i="8"/>
  <c r="AR60" i="8"/>
  <c r="AR61" i="8"/>
  <c r="AR62" i="8"/>
  <c r="AR63" i="8"/>
  <c r="AR64" i="8"/>
  <c r="AR65" i="8"/>
  <c r="AR66" i="8"/>
  <c r="AR67" i="8"/>
  <c r="AR68" i="8"/>
  <c r="AR69" i="8"/>
  <c r="AR70" i="8"/>
  <c r="AR71" i="8"/>
  <c r="AR72" i="8"/>
  <c r="AR73" i="8"/>
  <c r="AR74" i="8"/>
  <c r="AR75" i="8"/>
  <c r="AR76" i="8"/>
  <c r="AR77" i="8"/>
  <c r="AR78" i="8"/>
  <c r="AR79" i="8"/>
  <c r="AR80" i="8"/>
  <c r="AR81" i="8"/>
  <c r="AR82" i="8"/>
  <c r="AR83" i="8"/>
  <c r="AR84" i="8"/>
  <c r="AR85" i="8"/>
  <c r="AR86" i="8"/>
  <c r="AR87" i="8"/>
  <c r="AR88" i="8"/>
  <c r="AR89" i="8"/>
  <c r="AR90" i="8"/>
  <c r="AR91" i="8"/>
  <c r="AR92" i="8"/>
  <c r="AR93" i="8"/>
  <c r="AR94" i="8"/>
  <c r="AR95" i="8"/>
  <c r="AR96" i="8"/>
  <c r="AR97" i="8"/>
  <c r="AR98" i="8"/>
  <c r="AR99" i="8"/>
  <c r="AR100" i="8"/>
  <c r="AR101" i="8"/>
  <c r="AR102" i="8"/>
  <c r="AR103" i="8"/>
  <c r="AR104" i="8"/>
  <c r="AR105" i="8"/>
  <c r="AR106" i="8"/>
  <c r="AR107" i="8"/>
  <c r="AR108" i="8"/>
  <c r="AR109" i="8"/>
  <c r="AR110" i="8"/>
  <c r="AR111" i="8"/>
  <c r="AR112" i="8"/>
  <c r="AR113" i="8"/>
  <c r="AR114" i="8"/>
  <c r="AR115" i="8"/>
  <c r="AR116" i="8"/>
  <c r="AR117" i="8"/>
  <c r="AR118" i="8"/>
  <c r="AR119" i="8"/>
  <c r="AR120" i="8"/>
  <c r="AR121" i="8"/>
  <c r="AR122" i="8"/>
  <c r="AR123" i="8"/>
  <c r="AR124" i="8"/>
  <c r="AR125" i="8"/>
  <c r="AR126" i="8"/>
  <c r="AR127" i="8"/>
  <c r="AR128" i="8"/>
  <c r="AR129" i="8"/>
  <c r="AR130" i="8"/>
  <c r="AR131" i="8"/>
  <c r="AR132" i="8"/>
  <c r="AR133" i="8"/>
  <c r="AR134" i="8"/>
  <c r="AR135" i="8"/>
  <c r="AR136" i="8"/>
  <c r="AP8" i="8"/>
  <c r="AK7" i="8" a="1"/>
  <c r="AL8" i="8"/>
  <c r="AM8" i="8"/>
  <c r="AP9" i="8"/>
  <c r="AL9" i="8"/>
  <c r="AM9" i="8"/>
  <c r="AP10" i="8"/>
  <c r="AL10" i="8"/>
  <c r="AM10" i="8"/>
  <c r="AP11" i="8"/>
  <c r="AL11" i="8"/>
  <c r="AM11" i="8"/>
  <c r="AP12" i="8"/>
  <c r="AL12" i="8"/>
  <c r="AM12" i="8"/>
  <c r="AP13" i="8"/>
  <c r="AL13" i="8"/>
  <c r="AM13" i="8"/>
  <c r="AP14" i="8"/>
  <c r="AL14" i="8"/>
  <c r="AM14" i="8"/>
  <c r="AP15" i="8"/>
  <c r="AL15" i="8"/>
  <c r="AM15" i="8"/>
  <c r="AP16" i="8"/>
  <c r="AL16" i="8"/>
  <c r="AM16" i="8"/>
  <c r="AP17" i="8"/>
  <c r="AL17" i="8"/>
  <c r="AM17" i="8"/>
  <c r="AP18" i="8"/>
  <c r="AL18" i="8"/>
  <c r="AM18" i="8"/>
  <c r="AP19" i="8"/>
  <c r="AL19" i="8"/>
  <c r="AM19" i="8"/>
  <c r="AP20" i="8"/>
  <c r="AL20" i="8"/>
  <c r="AM20" i="8"/>
  <c r="AP21" i="8"/>
  <c r="AL21" i="8"/>
  <c r="AM21" i="8"/>
  <c r="AP22" i="8"/>
  <c r="AL22" i="8"/>
  <c r="AM22" i="8"/>
  <c r="AP23" i="8"/>
  <c r="AL23" i="8"/>
  <c r="AM23" i="8"/>
  <c r="AP24" i="8"/>
  <c r="AL24" i="8"/>
  <c r="AM24" i="8"/>
  <c r="AP25" i="8"/>
  <c r="AL25" i="8"/>
  <c r="AM25" i="8"/>
  <c r="AP26" i="8"/>
  <c r="AL26" i="8"/>
  <c r="AM26" i="8"/>
  <c r="AP27" i="8"/>
  <c r="AL27" i="8"/>
  <c r="AM27" i="8"/>
  <c r="AP28" i="8"/>
  <c r="AL28" i="8"/>
  <c r="AM28" i="8"/>
  <c r="AP29" i="8"/>
  <c r="AL29" i="8"/>
  <c r="AM29" i="8"/>
  <c r="AP30" i="8"/>
  <c r="AL30" i="8"/>
  <c r="AM30" i="8"/>
  <c r="AP31" i="8"/>
  <c r="AL31" i="8"/>
  <c r="AM31" i="8"/>
  <c r="AP32" i="8"/>
  <c r="AL32" i="8"/>
  <c r="AM32" i="8"/>
  <c r="AP33" i="8"/>
  <c r="AL33" i="8"/>
  <c r="AM33" i="8"/>
  <c r="AP34" i="8"/>
  <c r="AL34" i="8"/>
  <c r="AM34" i="8"/>
  <c r="AP35" i="8"/>
  <c r="AL35" i="8"/>
  <c r="AM35" i="8"/>
  <c r="AP36" i="8"/>
  <c r="AL36" i="8"/>
  <c r="AM36" i="8"/>
  <c r="AP37" i="8"/>
  <c r="AL37" i="8"/>
  <c r="AM37" i="8"/>
  <c r="AP38" i="8"/>
  <c r="AL38" i="8"/>
  <c r="AM38" i="8"/>
  <c r="AP39" i="8"/>
  <c r="AL39" i="8"/>
  <c r="AM39" i="8"/>
  <c r="AP40" i="8"/>
  <c r="AL40" i="8"/>
  <c r="AM40" i="8"/>
  <c r="AP41" i="8"/>
  <c r="AL41" i="8"/>
  <c r="AM41" i="8"/>
  <c r="AP42" i="8"/>
  <c r="AL42" i="8"/>
  <c r="AM42" i="8"/>
  <c r="AP43" i="8"/>
  <c r="AL43" i="8"/>
  <c r="AM43" i="8"/>
  <c r="AP44" i="8"/>
  <c r="AL44" i="8"/>
  <c r="AM44" i="8"/>
  <c r="AP45" i="8"/>
  <c r="AL45" i="8"/>
  <c r="AM45" i="8"/>
  <c r="AP46" i="8"/>
  <c r="AL46" i="8"/>
  <c r="AM46" i="8"/>
  <c r="AP47" i="8"/>
  <c r="AL47" i="8"/>
  <c r="AM47" i="8"/>
  <c r="AP48" i="8"/>
  <c r="AL48" i="8"/>
  <c r="AM48" i="8"/>
  <c r="AP49" i="8"/>
  <c r="AL49" i="8"/>
  <c r="AM49" i="8"/>
  <c r="AP50" i="8"/>
  <c r="AL50" i="8"/>
  <c r="AM50" i="8"/>
  <c r="AP51" i="8"/>
  <c r="AL51" i="8"/>
  <c r="AM51" i="8"/>
  <c r="AP52" i="8"/>
  <c r="AL52" i="8"/>
  <c r="AM52" i="8"/>
  <c r="AP53" i="8"/>
  <c r="AL53" i="8"/>
  <c r="AM53" i="8"/>
  <c r="AP54" i="8"/>
  <c r="AL54" i="8"/>
  <c r="AM54" i="8"/>
  <c r="AP55" i="8"/>
  <c r="AL55" i="8"/>
  <c r="AM55" i="8"/>
  <c r="AP56" i="8"/>
  <c r="AL56" i="8"/>
  <c r="AM56" i="8"/>
  <c r="AP57" i="8"/>
  <c r="AL57" i="8"/>
  <c r="AM57" i="8"/>
  <c r="AP58" i="8"/>
  <c r="AL58" i="8"/>
  <c r="AM58" i="8"/>
  <c r="AP59" i="8"/>
  <c r="AL59" i="8"/>
  <c r="AM59" i="8"/>
  <c r="AP60" i="8"/>
  <c r="AL60" i="8"/>
  <c r="AM60" i="8"/>
  <c r="AP61" i="8"/>
  <c r="AL61" i="8"/>
  <c r="AM61" i="8"/>
  <c r="AP62" i="8"/>
  <c r="AL62" i="8"/>
  <c r="AM62" i="8"/>
  <c r="AP63" i="8"/>
  <c r="AL63" i="8"/>
  <c r="AM63" i="8"/>
  <c r="AP64" i="8"/>
  <c r="AL64" i="8"/>
  <c r="AM64" i="8"/>
  <c r="AP65" i="8"/>
  <c r="AL65" i="8"/>
  <c r="AM65" i="8"/>
  <c r="AP66" i="8"/>
  <c r="AL66" i="8"/>
  <c r="AM66" i="8"/>
  <c r="AP67" i="8"/>
  <c r="AL67" i="8"/>
  <c r="AM67" i="8"/>
  <c r="AP68" i="8"/>
  <c r="AL68" i="8"/>
  <c r="AM68" i="8"/>
  <c r="AP69" i="8"/>
  <c r="AL69" i="8"/>
  <c r="AM69" i="8"/>
  <c r="AP70" i="8"/>
  <c r="AL70" i="8"/>
  <c r="AM70" i="8"/>
  <c r="AP71" i="8"/>
  <c r="AL71" i="8"/>
  <c r="AM71" i="8"/>
  <c r="AP72" i="8"/>
  <c r="AL72" i="8"/>
  <c r="AM72" i="8"/>
  <c r="AP73" i="8"/>
  <c r="AL73" i="8"/>
  <c r="AM73" i="8"/>
  <c r="AP74" i="8"/>
  <c r="AL74" i="8"/>
  <c r="AM74" i="8"/>
  <c r="AP75" i="8"/>
  <c r="AL75" i="8"/>
  <c r="AM75" i="8"/>
  <c r="AP76" i="8"/>
  <c r="AL76" i="8"/>
  <c r="AM76" i="8"/>
  <c r="AP77" i="8"/>
  <c r="AL77" i="8"/>
  <c r="AM77" i="8"/>
  <c r="AP78" i="8"/>
  <c r="AL78" i="8"/>
  <c r="AM78" i="8"/>
  <c r="AP79" i="8"/>
  <c r="AL79" i="8"/>
  <c r="AM79" i="8"/>
  <c r="AP80" i="8"/>
  <c r="AL80" i="8"/>
  <c r="AM80" i="8"/>
  <c r="AP81" i="8"/>
  <c r="AL81" i="8"/>
  <c r="AM81" i="8"/>
  <c r="AP82" i="8"/>
  <c r="AL82" i="8"/>
  <c r="AM82" i="8"/>
  <c r="AP83" i="8"/>
  <c r="AL83" i="8"/>
  <c r="AM83" i="8"/>
  <c r="AP84" i="8"/>
  <c r="AL84" i="8"/>
  <c r="AM84" i="8"/>
  <c r="AP85" i="8"/>
  <c r="AL85" i="8"/>
  <c r="AM85" i="8"/>
  <c r="AP86" i="8"/>
  <c r="AL86" i="8"/>
  <c r="AM86" i="8"/>
  <c r="AP87" i="8"/>
  <c r="AL87" i="8"/>
  <c r="AM87" i="8"/>
  <c r="AP88" i="8"/>
  <c r="AL88" i="8"/>
  <c r="AM88" i="8"/>
  <c r="AP89" i="8"/>
  <c r="AL89" i="8"/>
  <c r="AM89" i="8"/>
  <c r="AP90" i="8"/>
  <c r="AL90" i="8"/>
  <c r="AM90" i="8"/>
  <c r="AP91" i="8"/>
  <c r="AL91" i="8"/>
  <c r="AM91" i="8"/>
  <c r="AP92" i="8"/>
  <c r="AL92" i="8"/>
  <c r="AM92" i="8"/>
  <c r="AP93" i="8"/>
  <c r="AL93" i="8"/>
  <c r="AM93" i="8"/>
  <c r="AP94" i="8"/>
  <c r="AL94" i="8"/>
  <c r="AM94" i="8"/>
  <c r="AP95" i="8"/>
  <c r="AL95" i="8"/>
  <c r="AM95" i="8"/>
  <c r="AP96" i="8"/>
  <c r="AL96" i="8"/>
  <c r="AM96" i="8"/>
  <c r="AP97" i="8"/>
  <c r="AL97" i="8"/>
  <c r="AM97" i="8"/>
  <c r="AP98" i="8"/>
  <c r="AL98" i="8"/>
  <c r="AM98" i="8"/>
  <c r="AP99" i="8"/>
  <c r="AL99" i="8"/>
  <c r="AM99" i="8"/>
  <c r="AP100" i="8"/>
  <c r="AL100" i="8"/>
  <c r="AM100" i="8"/>
  <c r="AP101" i="8"/>
  <c r="AL101" i="8"/>
  <c r="AM101" i="8"/>
  <c r="AP102" i="8"/>
  <c r="AL102" i="8"/>
  <c r="AM102" i="8"/>
  <c r="AP103" i="8"/>
  <c r="AL103" i="8"/>
  <c r="AM103" i="8"/>
  <c r="AP104" i="8"/>
  <c r="AL104" i="8"/>
  <c r="AM104" i="8"/>
  <c r="AP105" i="8"/>
  <c r="AL105" i="8"/>
  <c r="AM105" i="8"/>
  <c r="AP106" i="8"/>
  <c r="AL106" i="8"/>
  <c r="AM106" i="8"/>
  <c r="AP107" i="8"/>
  <c r="AL107" i="8"/>
  <c r="AM107" i="8"/>
  <c r="AP108" i="8"/>
  <c r="AL108" i="8"/>
  <c r="AM108" i="8"/>
  <c r="AP109" i="8"/>
  <c r="AL109" i="8"/>
  <c r="AM109" i="8"/>
  <c r="AP110" i="8"/>
  <c r="AL110" i="8"/>
  <c r="AM110" i="8"/>
  <c r="AP111" i="8"/>
  <c r="AL111" i="8"/>
  <c r="AM111" i="8"/>
  <c r="AP112" i="8"/>
  <c r="AL112" i="8"/>
  <c r="AM112" i="8"/>
  <c r="AP113" i="8"/>
  <c r="AL113" i="8"/>
  <c r="AM113" i="8"/>
  <c r="AP114" i="8"/>
  <c r="AL114" i="8"/>
  <c r="AM114" i="8"/>
  <c r="AP115" i="8"/>
  <c r="AL115" i="8"/>
  <c r="AM115" i="8"/>
  <c r="AP116" i="8"/>
  <c r="AL116" i="8"/>
  <c r="AM116" i="8"/>
  <c r="AP117" i="8"/>
  <c r="AL117" i="8"/>
  <c r="AM117" i="8"/>
  <c r="AP118" i="8"/>
  <c r="AL118" i="8"/>
  <c r="AM118" i="8"/>
  <c r="AP119" i="8"/>
  <c r="AL119" i="8"/>
  <c r="AM119" i="8"/>
  <c r="AP120" i="8"/>
  <c r="AL120" i="8"/>
  <c r="AM120" i="8"/>
  <c r="AP121" i="8"/>
  <c r="AL121" i="8"/>
  <c r="AM121" i="8"/>
  <c r="AP122" i="8"/>
  <c r="AL122" i="8"/>
  <c r="AM122" i="8"/>
  <c r="AP123" i="8"/>
  <c r="AL123" i="8"/>
  <c r="AM123" i="8"/>
  <c r="AP124" i="8"/>
  <c r="AL124" i="8"/>
  <c r="AM124" i="8"/>
  <c r="AP125" i="8"/>
  <c r="AL125" i="8"/>
  <c r="AM125" i="8"/>
  <c r="AP126" i="8"/>
  <c r="AL126" i="8"/>
  <c r="AM126" i="8"/>
  <c r="AP127" i="8"/>
  <c r="AL127" i="8"/>
  <c r="AM127" i="8"/>
  <c r="AP128" i="8"/>
  <c r="AL128" i="8"/>
  <c r="AM128" i="8"/>
  <c r="AP129" i="8"/>
  <c r="AL129" i="8"/>
  <c r="AM129" i="8"/>
  <c r="AP130" i="8"/>
  <c r="AL130" i="8"/>
  <c r="AM130" i="8"/>
  <c r="AP131" i="8"/>
  <c r="AL131" i="8"/>
  <c r="AM131" i="8"/>
  <c r="AP132" i="8"/>
  <c r="AL132" i="8"/>
  <c r="AM132" i="8"/>
  <c r="AP133" i="8"/>
  <c r="AL133" i="8"/>
  <c r="AM133" i="8"/>
  <c r="AP134" i="8"/>
  <c r="AL134" i="8"/>
  <c r="AM134" i="8"/>
  <c r="AP135" i="8"/>
  <c r="AL135" i="8"/>
  <c r="AM135" i="8"/>
  <c r="AP136" i="8"/>
  <c r="AL136" i="8"/>
  <c r="AM136" i="8"/>
  <c r="AP7" i="8"/>
  <c r="AL7" i="8"/>
  <c r="AM7" i="8"/>
  <c r="AK7" i="8"/>
  <c r="AK8" i="8"/>
  <c r="AK9" i="8"/>
  <c r="AK10" i="8"/>
  <c r="AK11" i="8"/>
  <c r="AK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5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36" i="8"/>
  <c r="AD7" i="8" a="1"/>
  <c r="AE8" i="8"/>
  <c r="CL8" i="8"/>
  <c r="CM8" i="8"/>
  <c r="CN8" i="8"/>
  <c r="CO8" i="8"/>
  <c r="CP8" i="8"/>
  <c r="CQ8" i="8"/>
  <c r="CR8" i="8"/>
  <c r="CS8" i="8"/>
  <c r="CT8" i="8"/>
  <c r="CU8" i="8"/>
  <c r="CV8" i="8"/>
  <c r="CW8" i="8"/>
  <c r="CX8" i="8"/>
  <c r="CY8" i="8"/>
  <c r="CZ8" i="8"/>
  <c r="DA8" i="8"/>
  <c r="DN8" i="8"/>
  <c r="DO8" i="8"/>
  <c r="DP8" i="8"/>
  <c r="DQ8" i="8"/>
  <c r="DR8" i="8"/>
  <c r="DS8" i="8"/>
  <c r="DT8" i="8"/>
  <c r="DU8" i="8"/>
  <c r="DV8" i="8"/>
  <c r="DW8" i="8"/>
  <c r="DX8" i="8"/>
  <c r="DY8" i="8"/>
  <c r="AB8" i="8"/>
  <c r="AF8" i="8"/>
  <c r="AE9" i="8"/>
  <c r="CL9" i="8"/>
  <c r="CM9" i="8"/>
  <c r="CN9" i="8"/>
  <c r="CO9" i="8"/>
  <c r="CP9" i="8"/>
  <c r="CQ9" i="8"/>
  <c r="CR9" i="8"/>
  <c r="CS9" i="8"/>
  <c r="CT9" i="8"/>
  <c r="CU9" i="8"/>
  <c r="CV9" i="8"/>
  <c r="CW9" i="8"/>
  <c r="CX9" i="8"/>
  <c r="CY9" i="8"/>
  <c r="CZ9" i="8"/>
  <c r="DA9" i="8"/>
  <c r="DN9" i="8"/>
  <c r="DO9" i="8"/>
  <c r="DP9" i="8"/>
  <c r="DQ9" i="8"/>
  <c r="DR9" i="8"/>
  <c r="DS9" i="8"/>
  <c r="DT9" i="8"/>
  <c r="DU9" i="8"/>
  <c r="DV9" i="8"/>
  <c r="DW9" i="8"/>
  <c r="DX9" i="8"/>
  <c r="DY9" i="8"/>
  <c r="AB9" i="8"/>
  <c r="AF9" i="8"/>
  <c r="AE10" i="8"/>
  <c r="CL10" i="8"/>
  <c r="CM10" i="8"/>
  <c r="CN10" i="8"/>
  <c r="CO10" i="8"/>
  <c r="CP10" i="8"/>
  <c r="CQ10" i="8"/>
  <c r="CR10" i="8"/>
  <c r="CS10" i="8"/>
  <c r="CT10" i="8"/>
  <c r="CU10" i="8"/>
  <c r="CV10" i="8"/>
  <c r="CW10" i="8"/>
  <c r="CX10" i="8"/>
  <c r="CY10" i="8"/>
  <c r="CZ10" i="8"/>
  <c r="DA10" i="8"/>
  <c r="DN10" i="8"/>
  <c r="DO10" i="8"/>
  <c r="DP10" i="8"/>
  <c r="DQ10" i="8"/>
  <c r="DR10" i="8"/>
  <c r="DS10" i="8"/>
  <c r="DT10" i="8"/>
  <c r="DU10" i="8"/>
  <c r="DV10" i="8"/>
  <c r="DW10" i="8"/>
  <c r="DX10" i="8"/>
  <c r="DY10" i="8"/>
  <c r="AB10" i="8"/>
  <c r="AF10" i="8"/>
  <c r="AE11" i="8"/>
  <c r="CL11" i="8"/>
  <c r="CM11" i="8"/>
  <c r="CN11" i="8"/>
  <c r="CO11" i="8"/>
  <c r="CP11" i="8"/>
  <c r="CQ11" i="8"/>
  <c r="CR11" i="8"/>
  <c r="CS11" i="8"/>
  <c r="CT11" i="8"/>
  <c r="CU11" i="8"/>
  <c r="CV11" i="8"/>
  <c r="CW11" i="8"/>
  <c r="CX11" i="8"/>
  <c r="CY11" i="8"/>
  <c r="CZ11" i="8"/>
  <c r="DA11" i="8"/>
  <c r="DN11" i="8"/>
  <c r="DO11" i="8"/>
  <c r="DP11" i="8"/>
  <c r="DQ11" i="8"/>
  <c r="DR11" i="8"/>
  <c r="DS11" i="8"/>
  <c r="DT11" i="8"/>
  <c r="DU11" i="8"/>
  <c r="DV11" i="8"/>
  <c r="DW11" i="8"/>
  <c r="DX11" i="8"/>
  <c r="DY11" i="8"/>
  <c r="AB11" i="8"/>
  <c r="AF11" i="8"/>
  <c r="AE12" i="8"/>
  <c r="CL12" i="8"/>
  <c r="CM12" i="8"/>
  <c r="CN12" i="8"/>
  <c r="CO12" i="8"/>
  <c r="CP12" i="8"/>
  <c r="CQ12" i="8"/>
  <c r="CR12" i="8"/>
  <c r="CS12" i="8"/>
  <c r="CT12" i="8"/>
  <c r="CU12" i="8"/>
  <c r="CV12" i="8"/>
  <c r="CW12" i="8"/>
  <c r="CX12" i="8"/>
  <c r="CY12" i="8"/>
  <c r="CZ12" i="8"/>
  <c r="DA12" i="8"/>
  <c r="DN12" i="8"/>
  <c r="DO12" i="8"/>
  <c r="DP12" i="8"/>
  <c r="DQ12" i="8"/>
  <c r="DR12" i="8"/>
  <c r="DS12" i="8"/>
  <c r="DT12" i="8"/>
  <c r="DU12" i="8"/>
  <c r="DV12" i="8"/>
  <c r="DW12" i="8"/>
  <c r="DX12" i="8"/>
  <c r="DY12" i="8"/>
  <c r="AB12" i="8"/>
  <c r="AF12" i="8"/>
  <c r="AE13" i="8"/>
  <c r="CL13" i="8"/>
  <c r="CM13" i="8"/>
  <c r="CN13" i="8"/>
  <c r="CO13" i="8"/>
  <c r="CP13" i="8"/>
  <c r="CQ13" i="8"/>
  <c r="CR13" i="8"/>
  <c r="CS13" i="8"/>
  <c r="CT13" i="8"/>
  <c r="CU13" i="8"/>
  <c r="CV13" i="8"/>
  <c r="CW13" i="8"/>
  <c r="CX13" i="8"/>
  <c r="CY13" i="8"/>
  <c r="CZ13" i="8"/>
  <c r="DA13" i="8"/>
  <c r="DN13" i="8"/>
  <c r="DO13" i="8"/>
  <c r="DP13" i="8"/>
  <c r="DQ13" i="8"/>
  <c r="DR13" i="8"/>
  <c r="DS13" i="8"/>
  <c r="DT13" i="8"/>
  <c r="DU13" i="8"/>
  <c r="DV13" i="8"/>
  <c r="DW13" i="8"/>
  <c r="DX13" i="8"/>
  <c r="DY13" i="8"/>
  <c r="AB13" i="8"/>
  <c r="AF13" i="8"/>
  <c r="AE14" i="8"/>
  <c r="CL14" i="8"/>
  <c r="CM14" i="8"/>
  <c r="CN14" i="8"/>
  <c r="CO14" i="8"/>
  <c r="CP14" i="8"/>
  <c r="CQ14" i="8"/>
  <c r="CR14" i="8"/>
  <c r="CS14" i="8"/>
  <c r="CT14" i="8"/>
  <c r="CU14" i="8"/>
  <c r="CV14" i="8"/>
  <c r="CW14" i="8"/>
  <c r="CX14" i="8"/>
  <c r="CY14" i="8"/>
  <c r="CZ14" i="8"/>
  <c r="DA14" i="8"/>
  <c r="DN14" i="8"/>
  <c r="DO14" i="8"/>
  <c r="DP14" i="8"/>
  <c r="DQ14" i="8"/>
  <c r="DR14" i="8"/>
  <c r="DS14" i="8"/>
  <c r="DT14" i="8"/>
  <c r="DU14" i="8"/>
  <c r="DV14" i="8"/>
  <c r="DW14" i="8"/>
  <c r="DX14" i="8"/>
  <c r="DY14" i="8"/>
  <c r="AB14" i="8"/>
  <c r="AF14" i="8"/>
  <c r="AE15" i="8"/>
  <c r="CL15" i="8"/>
  <c r="CM15" i="8"/>
  <c r="CN15" i="8"/>
  <c r="CO15" i="8"/>
  <c r="CP15" i="8"/>
  <c r="CQ15" i="8"/>
  <c r="CR15" i="8"/>
  <c r="CS15" i="8"/>
  <c r="CT15" i="8"/>
  <c r="CU15" i="8"/>
  <c r="CV15" i="8"/>
  <c r="CW15" i="8"/>
  <c r="CX15" i="8"/>
  <c r="CY15" i="8"/>
  <c r="CZ15" i="8"/>
  <c r="DA15" i="8"/>
  <c r="DN15" i="8"/>
  <c r="DO15" i="8"/>
  <c r="DP15" i="8"/>
  <c r="DQ15" i="8"/>
  <c r="DR15" i="8"/>
  <c r="DS15" i="8"/>
  <c r="DT15" i="8"/>
  <c r="DU15" i="8"/>
  <c r="DV15" i="8"/>
  <c r="DW15" i="8"/>
  <c r="DX15" i="8"/>
  <c r="DY15" i="8"/>
  <c r="AB15" i="8"/>
  <c r="AF15" i="8"/>
  <c r="AE16" i="8"/>
  <c r="CL16" i="8"/>
  <c r="CM16" i="8"/>
  <c r="CN16" i="8"/>
  <c r="CO16" i="8"/>
  <c r="CP16" i="8"/>
  <c r="CQ16" i="8"/>
  <c r="CR16" i="8"/>
  <c r="CS16" i="8"/>
  <c r="CT16" i="8"/>
  <c r="CU16" i="8"/>
  <c r="CV16" i="8"/>
  <c r="CW16" i="8"/>
  <c r="CX16" i="8"/>
  <c r="CY16" i="8"/>
  <c r="CZ16" i="8"/>
  <c r="DA16" i="8"/>
  <c r="DN16" i="8"/>
  <c r="DO16" i="8"/>
  <c r="DP16" i="8"/>
  <c r="DQ16" i="8"/>
  <c r="DR16" i="8"/>
  <c r="DS16" i="8"/>
  <c r="DT16" i="8"/>
  <c r="DU16" i="8"/>
  <c r="DV16" i="8"/>
  <c r="DW16" i="8"/>
  <c r="DX16" i="8"/>
  <c r="DY16" i="8"/>
  <c r="AB16" i="8"/>
  <c r="AF16" i="8"/>
  <c r="AE17" i="8"/>
  <c r="CL17" i="8"/>
  <c r="CM17" i="8"/>
  <c r="CN17" i="8"/>
  <c r="CO17" i="8"/>
  <c r="CP17" i="8"/>
  <c r="CQ17" i="8"/>
  <c r="CR17" i="8"/>
  <c r="CS17" i="8"/>
  <c r="CT17" i="8"/>
  <c r="CU17" i="8"/>
  <c r="CV17" i="8"/>
  <c r="CW17" i="8"/>
  <c r="CX17" i="8"/>
  <c r="CY17" i="8"/>
  <c r="CZ17" i="8"/>
  <c r="DA17" i="8"/>
  <c r="DN17" i="8"/>
  <c r="DO17" i="8"/>
  <c r="DP17" i="8"/>
  <c r="DQ17" i="8"/>
  <c r="DR17" i="8"/>
  <c r="DS17" i="8"/>
  <c r="DT17" i="8"/>
  <c r="DU17" i="8"/>
  <c r="DV17" i="8"/>
  <c r="DW17" i="8"/>
  <c r="DX17" i="8"/>
  <c r="DY17" i="8"/>
  <c r="AB17" i="8"/>
  <c r="AF17" i="8"/>
  <c r="AE18" i="8"/>
  <c r="CL18" i="8"/>
  <c r="CM18" i="8"/>
  <c r="CN18" i="8"/>
  <c r="CO18" i="8"/>
  <c r="CP18" i="8"/>
  <c r="CQ18" i="8"/>
  <c r="CR18" i="8"/>
  <c r="CS18" i="8"/>
  <c r="CT18" i="8"/>
  <c r="CU18" i="8"/>
  <c r="CV18" i="8"/>
  <c r="CW18" i="8"/>
  <c r="CX18" i="8"/>
  <c r="CY18" i="8"/>
  <c r="CZ18" i="8"/>
  <c r="DA18" i="8"/>
  <c r="DN18" i="8"/>
  <c r="DO18" i="8"/>
  <c r="DP18" i="8"/>
  <c r="DQ18" i="8"/>
  <c r="DR18" i="8"/>
  <c r="DS18" i="8"/>
  <c r="DT18" i="8"/>
  <c r="DU18" i="8"/>
  <c r="DV18" i="8"/>
  <c r="DW18" i="8"/>
  <c r="DX18" i="8"/>
  <c r="DY18" i="8"/>
  <c r="AB18" i="8"/>
  <c r="AF18" i="8"/>
  <c r="AE19" i="8"/>
  <c r="CL19" i="8"/>
  <c r="CM19" i="8"/>
  <c r="CN19" i="8"/>
  <c r="CO19" i="8"/>
  <c r="CP19" i="8"/>
  <c r="CQ19" i="8"/>
  <c r="CR19" i="8"/>
  <c r="CS19" i="8"/>
  <c r="CT19" i="8"/>
  <c r="CU19" i="8"/>
  <c r="CV19" i="8"/>
  <c r="CW19" i="8"/>
  <c r="CX19" i="8"/>
  <c r="CY19" i="8"/>
  <c r="CZ19" i="8"/>
  <c r="DA19" i="8"/>
  <c r="DN19" i="8"/>
  <c r="DO19" i="8"/>
  <c r="DP19" i="8"/>
  <c r="DQ19" i="8"/>
  <c r="DR19" i="8"/>
  <c r="DS19" i="8"/>
  <c r="DT19" i="8"/>
  <c r="DU19" i="8"/>
  <c r="DV19" i="8"/>
  <c r="DW19" i="8"/>
  <c r="DX19" i="8"/>
  <c r="DY19" i="8"/>
  <c r="AB19" i="8"/>
  <c r="AF19" i="8"/>
  <c r="AE20" i="8"/>
  <c r="CL20" i="8"/>
  <c r="CM20" i="8"/>
  <c r="CN20" i="8"/>
  <c r="CO20" i="8"/>
  <c r="CP20" i="8"/>
  <c r="CQ20" i="8"/>
  <c r="CR20" i="8"/>
  <c r="CS20" i="8"/>
  <c r="CT20" i="8"/>
  <c r="CU20" i="8"/>
  <c r="CV20" i="8"/>
  <c r="CW20" i="8"/>
  <c r="CX20" i="8"/>
  <c r="CY20" i="8"/>
  <c r="CZ20" i="8"/>
  <c r="DA20" i="8"/>
  <c r="DN20" i="8"/>
  <c r="DO20" i="8"/>
  <c r="DP20" i="8"/>
  <c r="DQ20" i="8"/>
  <c r="DR20" i="8"/>
  <c r="DS20" i="8"/>
  <c r="DT20" i="8"/>
  <c r="DU20" i="8"/>
  <c r="DV20" i="8"/>
  <c r="DW20" i="8"/>
  <c r="DX20" i="8"/>
  <c r="DY20" i="8"/>
  <c r="AB20" i="8"/>
  <c r="AF20" i="8"/>
  <c r="AE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N21" i="8"/>
  <c r="DO21" i="8"/>
  <c r="DP21" i="8"/>
  <c r="DQ21" i="8"/>
  <c r="DR21" i="8"/>
  <c r="DS21" i="8"/>
  <c r="DT21" i="8"/>
  <c r="DU21" i="8"/>
  <c r="DV21" i="8"/>
  <c r="DW21" i="8"/>
  <c r="DX21" i="8"/>
  <c r="DY21" i="8"/>
  <c r="AB21" i="8"/>
  <c r="AF21" i="8"/>
  <c r="AE22" i="8"/>
  <c r="CL22" i="8"/>
  <c r="CM22" i="8"/>
  <c r="CN22" i="8"/>
  <c r="CO22" i="8"/>
  <c r="CP22" i="8"/>
  <c r="CQ22" i="8"/>
  <c r="CR22" i="8"/>
  <c r="CS22" i="8"/>
  <c r="CT22" i="8"/>
  <c r="CU22" i="8"/>
  <c r="CV22" i="8"/>
  <c r="CW22" i="8"/>
  <c r="CX22" i="8"/>
  <c r="CY22" i="8"/>
  <c r="CZ22" i="8"/>
  <c r="DA22" i="8"/>
  <c r="DN22" i="8"/>
  <c r="DO22" i="8"/>
  <c r="DP22" i="8"/>
  <c r="DQ22" i="8"/>
  <c r="DR22" i="8"/>
  <c r="DS22" i="8"/>
  <c r="DT22" i="8"/>
  <c r="DU22" i="8"/>
  <c r="DV22" i="8"/>
  <c r="DW22" i="8"/>
  <c r="DX22" i="8"/>
  <c r="DY22" i="8"/>
  <c r="AB22" i="8"/>
  <c r="AF22" i="8"/>
  <c r="AE23" i="8"/>
  <c r="CL23" i="8"/>
  <c r="CM23" i="8"/>
  <c r="CN23" i="8"/>
  <c r="CO23" i="8"/>
  <c r="CP23" i="8"/>
  <c r="CQ23" i="8"/>
  <c r="CR23" i="8"/>
  <c r="CS23" i="8"/>
  <c r="CT23" i="8"/>
  <c r="CU23" i="8"/>
  <c r="CV23" i="8"/>
  <c r="CW23" i="8"/>
  <c r="CX23" i="8"/>
  <c r="CY23" i="8"/>
  <c r="CZ23" i="8"/>
  <c r="DA23" i="8"/>
  <c r="DN23" i="8"/>
  <c r="DO23" i="8"/>
  <c r="DP23" i="8"/>
  <c r="DQ23" i="8"/>
  <c r="DR23" i="8"/>
  <c r="DS23" i="8"/>
  <c r="DT23" i="8"/>
  <c r="DU23" i="8"/>
  <c r="DV23" i="8"/>
  <c r="DW23" i="8"/>
  <c r="DX23" i="8"/>
  <c r="DY23" i="8"/>
  <c r="AB23" i="8"/>
  <c r="AF23" i="8"/>
  <c r="AE24" i="8"/>
  <c r="CL24" i="8"/>
  <c r="CM24" i="8"/>
  <c r="CN24" i="8"/>
  <c r="CO24" i="8"/>
  <c r="CP24" i="8"/>
  <c r="CQ24" i="8"/>
  <c r="CR24" i="8"/>
  <c r="CS24" i="8"/>
  <c r="CT24" i="8"/>
  <c r="CU24" i="8"/>
  <c r="CV24" i="8"/>
  <c r="CW24" i="8"/>
  <c r="CX24" i="8"/>
  <c r="CY24" i="8"/>
  <c r="CZ24" i="8"/>
  <c r="DA24" i="8"/>
  <c r="DN24" i="8"/>
  <c r="DO24" i="8"/>
  <c r="DP24" i="8"/>
  <c r="DQ24" i="8"/>
  <c r="DR24" i="8"/>
  <c r="DS24" i="8"/>
  <c r="DT24" i="8"/>
  <c r="DU24" i="8"/>
  <c r="DV24" i="8"/>
  <c r="DW24" i="8"/>
  <c r="DX24" i="8"/>
  <c r="DY24" i="8"/>
  <c r="AB24" i="8"/>
  <c r="AF24" i="8"/>
  <c r="AE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N25" i="8"/>
  <c r="DO25" i="8"/>
  <c r="DP25" i="8"/>
  <c r="DQ25" i="8"/>
  <c r="DR25" i="8"/>
  <c r="DS25" i="8"/>
  <c r="DT25" i="8"/>
  <c r="DU25" i="8"/>
  <c r="DV25" i="8"/>
  <c r="DW25" i="8"/>
  <c r="DX25" i="8"/>
  <c r="DY25" i="8"/>
  <c r="AB25" i="8"/>
  <c r="AF25" i="8"/>
  <c r="AE26" i="8"/>
  <c r="CL26" i="8"/>
  <c r="CM26" i="8"/>
  <c r="CN26" i="8"/>
  <c r="CO26" i="8"/>
  <c r="CP26" i="8"/>
  <c r="CQ26" i="8"/>
  <c r="CR26" i="8"/>
  <c r="CS26" i="8"/>
  <c r="CT26" i="8"/>
  <c r="CU26" i="8"/>
  <c r="CV26" i="8"/>
  <c r="CW26" i="8"/>
  <c r="CX26" i="8"/>
  <c r="CY26" i="8"/>
  <c r="CZ26" i="8"/>
  <c r="DA26" i="8"/>
  <c r="DN26" i="8"/>
  <c r="DO26" i="8"/>
  <c r="DP26" i="8"/>
  <c r="DQ26" i="8"/>
  <c r="DR26" i="8"/>
  <c r="DS26" i="8"/>
  <c r="DT26" i="8"/>
  <c r="DU26" i="8"/>
  <c r="DV26" i="8"/>
  <c r="DW26" i="8"/>
  <c r="DX26" i="8"/>
  <c r="DY26" i="8"/>
  <c r="AB26" i="8"/>
  <c r="AF26" i="8"/>
  <c r="AE27" i="8"/>
  <c r="CL27" i="8"/>
  <c r="CM27" i="8"/>
  <c r="CN27" i="8"/>
  <c r="CO27" i="8"/>
  <c r="CP27" i="8"/>
  <c r="CQ27" i="8"/>
  <c r="CR27" i="8"/>
  <c r="CS27" i="8"/>
  <c r="CT27" i="8"/>
  <c r="CU27" i="8"/>
  <c r="CV27" i="8"/>
  <c r="CW27" i="8"/>
  <c r="CX27" i="8"/>
  <c r="CY27" i="8"/>
  <c r="CZ27" i="8"/>
  <c r="DA27" i="8"/>
  <c r="DN27" i="8"/>
  <c r="DO27" i="8"/>
  <c r="DP27" i="8"/>
  <c r="DQ27" i="8"/>
  <c r="DR27" i="8"/>
  <c r="DS27" i="8"/>
  <c r="DT27" i="8"/>
  <c r="DU27" i="8"/>
  <c r="DV27" i="8"/>
  <c r="DW27" i="8"/>
  <c r="DX27" i="8"/>
  <c r="DY27" i="8"/>
  <c r="AB27" i="8"/>
  <c r="AF27" i="8"/>
  <c r="AE28" i="8"/>
  <c r="CL28" i="8"/>
  <c r="CM28" i="8"/>
  <c r="CN28" i="8"/>
  <c r="CO28" i="8"/>
  <c r="CP28" i="8"/>
  <c r="CQ28" i="8"/>
  <c r="CR28" i="8"/>
  <c r="CS28" i="8"/>
  <c r="CT28" i="8"/>
  <c r="CU28" i="8"/>
  <c r="CV28" i="8"/>
  <c r="CW28" i="8"/>
  <c r="CX28" i="8"/>
  <c r="CY28" i="8"/>
  <c r="CZ28" i="8"/>
  <c r="DA28" i="8"/>
  <c r="DN28" i="8"/>
  <c r="DO28" i="8"/>
  <c r="DP28" i="8"/>
  <c r="DQ28" i="8"/>
  <c r="DR28" i="8"/>
  <c r="DS28" i="8"/>
  <c r="DT28" i="8"/>
  <c r="DU28" i="8"/>
  <c r="DV28" i="8"/>
  <c r="DW28" i="8"/>
  <c r="DX28" i="8"/>
  <c r="DY28" i="8"/>
  <c r="AB28" i="8"/>
  <c r="AF28" i="8"/>
  <c r="AE29" i="8"/>
  <c r="CL29" i="8"/>
  <c r="CM29" i="8"/>
  <c r="CN29" i="8"/>
  <c r="CO29" i="8"/>
  <c r="CP29" i="8"/>
  <c r="CQ29" i="8"/>
  <c r="CR29" i="8"/>
  <c r="CS29" i="8"/>
  <c r="CT29" i="8"/>
  <c r="CU29" i="8"/>
  <c r="CV29" i="8"/>
  <c r="CW29" i="8"/>
  <c r="CX29" i="8"/>
  <c r="CY29" i="8"/>
  <c r="CZ29" i="8"/>
  <c r="DA29" i="8"/>
  <c r="DN29" i="8"/>
  <c r="DO29" i="8"/>
  <c r="DP29" i="8"/>
  <c r="DQ29" i="8"/>
  <c r="DR29" i="8"/>
  <c r="DS29" i="8"/>
  <c r="DT29" i="8"/>
  <c r="DU29" i="8"/>
  <c r="DV29" i="8"/>
  <c r="DW29" i="8"/>
  <c r="DX29" i="8"/>
  <c r="DY29" i="8"/>
  <c r="AB29" i="8"/>
  <c r="AF29" i="8"/>
  <c r="AE30" i="8"/>
  <c r="CL30" i="8"/>
  <c r="CM30" i="8"/>
  <c r="CN30" i="8"/>
  <c r="CO30" i="8"/>
  <c r="CP30" i="8"/>
  <c r="CQ30" i="8"/>
  <c r="CR30" i="8"/>
  <c r="CS30" i="8"/>
  <c r="CT30" i="8"/>
  <c r="CU30" i="8"/>
  <c r="CV30" i="8"/>
  <c r="CW30" i="8"/>
  <c r="CX30" i="8"/>
  <c r="CY30" i="8"/>
  <c r="CZ30" i="8"/>
  <c r="DA30" i="8"/>
  <c r="DN30" i="8"/>
  <c r="DO30" i="8"/>
  <c r="DP30" i="8"/>
  <c r="DQ30" i="8"/>
  <c r="DR30" i="8"/>
  <c r="DS30" i="8"/>
  <c r="DT30" i="8"/>
  <c r="DU30" i="8"/>
  <c r="DV30" i="8"/>
  <c r="DW30" i="8"/>
  <c r="DX30" i="8"/>
  <c r="DY30" i="8"/>
  <c r="AB30" i="8"/>
  <c r="AF30" i="8"/>
  <c r="AE31" i="8"/>
  <c r="CL31" i="8"/>
  <c r="CM31" i="8"/>
  <c r="CN31" i="8"/>
  <c r="CO31" i="8"/>
  <c r="CP31" i="8"/>
  <c r="CQ31" i="8"/>
  <c r="CR31" i="8"/>
  <c r="CS31" i="8"/>
  <c r="CT31" i="8"/>
  <c r="CU31" i="8"/>
  <c r="CV31" i="8"/>
  <c r="CW31" i="8"/>
  <c r="CX31" i="8"/>
  <c r="CY31" i="8"/>
  <c r="CZ31" i="8"/>
  <c r="DA31" i="8"/>
  <c r="DN31" i="8"/>
  <c r="DO31" i="8"/>
  <c r="DP31" i="8"/>
  <c r="DQ31" i="8"/>
  <c r="DR31" i="8"/>
  <c r="DS31" i="8"/>
  <c r="DT31" i="8"/>
  <c r="DU31" i="8"/>
  <c r="DV31" i="8"/>
  <c r="DW31" i="8"/>
  <c r="DX31" i="8"/>
  <c r="DY31" i="8"/>
  <c r="AB31" i="8"/>
  <c r="AF31" i="8"/>
  <c r="AE32" i="8"/>
  <c r="CL32" i="8"/>
  <c r="CM32" i="8"/>
  <c r="CN32" i="8"/>
  <c r="CO32" i="8"/>
  <c r="CP32" i="8"/>
  <c r="CQ32" i="8"/>
  <c r="CR32" i="8"/>
  <c r="CS32" i="8"/>
  <c r="CT32" i="8"/>
  <c r="CU32" i="8"/>
  <c r="CV32" i="8"/>
  <c r="CW32" i="8"/>
  <c r="CX32" i="8"/>
  <c r="CY32" i="8"/>
  <c r="CZ32" i="8"/>
  <c r="DA32" i="8"/>
  <c r="DN32" i="8"/>
  <c r="DO32" i="8"/>
  <c r="DP32" i="8"/>
  <c r="DQ32" i="8"/>
  <c r="DR32" i="8"/>
  <c r="DS32" i="8"/>
  <c r="DT32" i="8"/>
  <c r="DU32" i="8"/>
  <c r="DV32" i="8"/>
  <c r="DW32" i="8"/>
  <c r="DX32" i="8"/>
  <c r="DY32" i="8"/>
  <c r="AB32" i="8"/>
  <c r="AF32" i="8"/>
  <c r="AE33" i="8"/>
  <c r="CL33" i="8"/>
  <c r="CM33" i="8"/>
  <c r="CN33" i="8"/>
  <c r="CO33" i="8"/>
  <c r="CP33" i="8"/>
  <c r="CQ33" i="8"/>
  <c r="CR33" i="8"/>
  <c r="CS33" i="8"/>
  <c r="CT33" i="8"/>
  <c r="CU33" i="8"/>
  <c r="CV33" i="8"/>
  <c r="CW33" i="8"/>
  <c r="CX33" i="8"/>
  <c r="CY33" i="8"/>
  <c r="CZ33" i="8"/>
  <c r="DA33" i="8"/>
  <c r="DN33" i="8"/>
  <c r="DO33" i="8"/>
  <c r="DP33" i="8"/>
  <c r="DQ33" i="8"/>
  <c r="DR33" i="8"/>
  <c r="DS33" i="8"/>
  <c r="DT33" i="8"/>
  <c r="DU33" i="8"/>
  <c r="DV33" i="8"/>
  <c r="DW33" i="8"/>
  <c r="DX33" i="8"/>
  <c r="DY33" i="8"/>
  <c r="AB33" i="8"/>
  <c r="AF33" i="8"/>
  <c r="AE34" i="8"/>
  <c r="CL34" i="8"/>
  <c r="CM34" i="8"/>
  <c r="CN34" i="8"/>
  <c r="CO34" i="8"/>
  <c r="CP34" i="8"/>
  <c r="CQ34" i="8"/>
  <c r="CR34" i="8"/>
  <c r="CS34" i="8"/>
  <c r="CT34" i="8"/>
  <c r="CU34" i="8"/>
  <c r="CV34" i="8"/>
  <c r="CW34" i="8"/>
  <c r="CX34" i="8"/>
  <c r="CY34" i="8"/>
  <c r="CZ34" i="8"/>
  <c r="DA34" i="8"/>
  <c r="DN34" i="8"/>
  <c r="DO34" i="8"/>
  <c r="DP34" i="8"/>
  <c r="DQ34" i="8"/>
  <c r="DR34" i="8"/>
  <c r="DS34" i="8"/>
  <c r="DT34" i="8"/>
  <c r="DU34" i="8"/>
  <c r="DV34" i="8"/>
  <c r="DW34" i="8"/>
  <c r="DX34" i="8"/>
  <c r="DY34" i="8"/>
  <c r="AB34" i="8"/>
  <c r="AF34" i="8"/>
  <c r="AE35" i="8"/>
  <c r="CL35" i="8"/>
  <c r="CM35" i="8"/>
  <c r="CN35" i="8"/>
  <c r="CO35" i="8"/>
  <c r="CP35" i="8"/>
  <c r="CQ35" i="8"/>
  <c r="CR35" i="8"/>
  <c r="CS35" i="8"/>
  <c r="CT35" i="8"/>
  <c r="CU35" i="8"/>
  <c r="CV35" i="8"/>
  <c r="CW35" i="8"/>
  <c r="CX35" i="8"/>
  <c r="CY35" i="8"/>
  <c r="CZ35" i="8"/>
  <c r="DA35" i="8"/>
  <c r="DN35" i="8"/>
  <c r="DO35" i="8"/>
  <c r="DP35" i="8"/>
  <c r="DQ35" i="8"/>
  <c r="DR35" i="8"/>
  <c r="DS35" i="8"/>
  <c r="DT35" i="8"/>
  <c r="DU35" i="8"/>
  <c r="DV35" i="8"/>
  <c r="DW35" i="8"/>
  <c r="DX35" i="8"/>
  <c r="DY35" i="8"/>
  <c r="AB35" i="8"/>
  <c r="AF35" i="8"/>
  <c r="AE36" i="8"/>
  <c r="CL36" i="8"/>
  <c r="CM36" i="8"/>
  <c r="CN36" i="8"/>
  <c r="CO36" i="8"/>
  <c r="CP36" i="8"/>
  <c r="CQ36" i="8"/>
  <c r="CR36" i="8"/>
  <c r="CS36" i="8"/>
  <c r="CT36" i="8"/>
  <c r="CU36" i="8"/>
  <c r="CV36" i="8"/>
  <c r="CW36" i="8"/>
  <c r="CX36" i="8"/>
  <c r="CY36" i="8"/>
  <c r="CZ36" i="8"/>
  <c r="DA36" i="8"/>
  <c r="DN36" i="8"/>
  <c r="DO36" i="8"/>
  <c r="DP36" i="8"/>
  <c r="DQ36" i="8"/>
  <c r="DR36" i="8"/>
  <c r="DS36" i="8"/>
  <c r="DT36" i="8"/>
  <c r="DU36" i="8"/>
  <c r="DV36" i="8"/>
  <c r="DW36" i="8"/>
  <c r="DX36" i="8"/>
  <c r="DY36" i="8"/>
  <c r="AB36" i="8"/>
  <c r="AF36" i="8"/>
  <c r="AE37" i="8"/>
  <c r="CL37" i="8"/>
  <c r="CM37" i="8"/>
  <c r="CN37" i="8"/>
  <c r="CO37" i="8"/>
  <c r="CP37" i="8"/>
  <c r="CQ37" i="8"/>
  <c r="CR37" i="8"/>
  <c r="CS37" i="8"/>
  <c r="CT37" i="8"/>
  <c r="CU37" i="8"/>
  <c r="CV37" i="8"/>
  <c r="CW37" i="8"/>
  <c r="CX37" i="8"/>
  <c r="CY37" i="8"/>
  <c r="CZ37" i="8"/>
  <c r="DA37" i="8"/>
  <c r="DN37" i="8"/>
  <c r="DO37" i="8"/>
  <c r="DP37" i="8"/>
  <c r="DQ37" i="8"/>
  <c r="DR37" i="8"/>
  <c r="DS37" i="8"/>
  <c r="DT37" i="8"/>
  <c r="DU37" i="8"/>
  <c r="DV37" i="8"/>
  <c r="DW37" i="8"/>
  <c r="DX37" i="8"/>
  <c r="DY37" i="8"/>
  <c r="AB37" i="8"/>
  <c r="AF37" i="8"/>
  <c r="AE38" i="8"/>
  <c r="CL38" i="8"/>
  <c r="CM38" i="8"/>
  <c r="CN38" i="8"/>
  <c r="CO38" i="8"/>
  <c r="CP38" i="8"/>
  <c r="CQ38" i="8"/>
  <c r="CR38" i="8"/>
  <c r="CS38" i="8"/>
  <c r="CT38" i="8"/>
  <c r="CU38" i="8"/>
  <c r="CV38" i="8"/>
  <c r="CW38" i="8"/>
  <c r="CX38" i="8"/>
  <c r="CY38" i="8"/>
  <c r="CZ38" i="8"/>
  <c r="DA38" i="8"/>
  <c r="DN38" i="8"/>
  <c r="DO38" i="8"/>
  <c r="DP38" i="8"/>
  <c r="DQ38" i="8"/>
  <c r="DR38" i="8"/>
  <c r="DS38" i="8"/>
  <c r="DT38" i="8"/>
  <c r="DU38" i="8"/>
  <c r="DV38" i="8"/>
  <c r="DW38" i="8"/>
  <c r="DX38" i="8"/>
  <c r="DY38" i="8"/>
  <c r="AB38" i="8"/>
  <c r="AF38" i="8"/>
  <c r="AE39" i="8"/>
  <c r="CL39" i="8"/>
  <c r="CM39" i="8"/>
  <c r="CN39" i="8"/>
  <c r="CO39" i="8"/>
  <c r="CP39" i="8"/>
  <c r="CQ39" i="8"/>
  <c r="CR39" i="8"/>
  <c r="CS39" i="8"/>
  <c r="CT39" i="8"/>
  <c r="CU39" i="8"/>
  <c r="CV39" i="8"/>
  <c r="CW39" i="8"/>
  <c r="CX39" i="8"/>
  <c r="CY39" i="8"/>
  <c r="CZ39" i="8"/>
  <c r="DA39" i="8"/>
  <c r="DN39" i="8"/>
  <c r="DO39" i="8"/>
  <c r="DP39" i="8"/>
  <c r="DQ39" i="8"/>
  <c r="DR39" i="8"/>
  <c r="DS39" i="8"/>
  <c r="DT39" i="8"/>
  <c r="DU39" i="8"/>
  <c r="DV39" i="8"/>
  <c r="DW39" i="8"/>
  <c r="DX39" i="8"/>
  <c r="DY39" i="8"/>
  <c r="AB39" i="8"/>
  <c r="AF39" i="8"/>
  <c r="AE40" i="8"/>
  <c r="CL40" i="8"/>
  <c r="CM40" i="8"/>
  <c r="CN40" i="8"/>
  <c r="CO40" i="8"/>
  <c r="CP40" i="8"/>
  <c r="CQ40" i="8"/>
  <c r="CR40" i="8"/>
  <c r="CS40" i="8"/>
  <c r="CT40" i="8"/>
  <c r="CU40" i="8"/>
  <c r="CV40" i="8"/>
  <c r="CW40" i="8"/>
  <c r="CX40" i="8"/>
  <c r="CY40" i="8"/>
  <c r="CZ40" i="8"/>
  <c r="DA40" i="8"/>
  <c r="DN40" i="8"/>
  <c r="DO40" i="8"/>
  <c r="DP40" i="8"/>
  <c r="DQ40" i="8"/>
  <c r="DR40" i="8"/>
  <c r="DS40" i="8"/>
  <c r="DT40" i="8"/>
  <c r="DU40" i="8"/>
  <c r="DV40" i="8"/>
  <c r="DW40" i="8"/>
  <c r="DX40" i="8"/>
  <c r="DY40" i="8"/>
  <c r="AB40" i="8"/>
  <c r="AF40" i="8"/>
  <c r="AE41" i="8"/>
  <c r="CL41" i="8"/>
  <c r="CM41" i="8"/>
  <c r="CN41" i="8"/>
  <c r="CO41" i="8"/>
  <c r="CP41" i="8"/>
  <c r="CQ41" i="8"/>
  <c r="CR41" i="8"/>
  <c r="CS41" i="8"/>
  <c r="CT41" i="8"/>
  <c r="CU41" i="8"/>
  <c r="CV41" i="8"/>
  <c r="CW41" i="8"/>
  <c r="CX41" i="8"/>
  <c r="CY41" i="8"/>
  <c r="CZ41" i="8"/>
  <c r="DA41" i="8"/>
  <c r="DN41" i="8"/>
  <c r="DO41" i="8"/>
  <c r="DP41" i="8"/>
  <c r="DQ41" i="8"/>
  <c r="DR41" i="8"/>
  <c r="DS41" i="8"/>
  <c r="DT41" i="8"/>
  <c r="DU41" i="8"/>
  <c r="DV41" i="8"/>
  <c r="DW41" i="8"/>
  <c r="DX41" i="8"/>
  <c r="DY41" i="8"/>
  <c r="AB41" i="8"/>
  <c r="AF41" i="8"/>
  <c r="AE42" i="8"/>
  <c r="CL42" i="8"/>
  <c r="CM42" i="8"/>
  <c r="CN42" i="8"/>
  <c r="CO42" i="8"/>
  <c r="CP42" i="8"/>
  <c r="CQ42" i="8"/>
  <c r="CR42" i="8"/>
  <c r="CS42" i="8"/>
  <c r="CT42" i="8"/>
  <c r="CU42" i="8"/>
  <c r="CV42" i="8"/>
  <c r="CW42" i="8"/>
  <c r="CX42" i="8"/>
  <c r="CY42" i="8"/>
  <c r="CZ42" i="8"/>
  <c r="DA42" i="8"/>
  <c r="DN42" i="8"/>
  <c r="DO42" i="8"/>
  <c r="DP42" i="8"/>
  <c r="DQ42" i="8"/>
  <c r="DR42" i="8"/>
  <c r="DS42" i="8"/>
  <c r="DT42" i="8"/>
  <c r="DU42" i="8"/>
  <c r="DV42" i="8"/>
  <c r="DW42" i="8"/>
  <c r="DX42" i="8"/>
  <c r="DY42" i="8"/>
  <c r="AB42" i="8"/>
  <c r="AF42" i="8"/>
  <c r="AE43" i="8"/>
  <c r="CL43" i="8"/>
  <c r="CM43" i="8"/>
  <c r="CN43" i="8"/>
  <c r="CO43" i="8"/>
  <c r="CP43" i="8"/>
  <c r="CQ43" i="8"/>
  <c r="CR43" i="8"/>
  <c r="CS43" i="8"/>
  <c r="CT43" i="8"/>
  <c r="CU43" i="8"/>
  <c r="CV43" i="8"/>
  <c r="CW43" i="8"/>
  <c r="CX43" i="8"/>
  <c r="CY43" i="8"/>
  <c r="CZ43" i="8"/>
  <c r="DA43" i="8"/>
  <c r="DN43" i="8"/>
  <c r="DO43" i="8"/>
  <c r="DP43" i="8"/>
  <c r="DQ43" i="8"/>
  <c r="DR43" i="8"/>
  <c r="DS43" i="8"/>
  <c r="DT43" i="8"/>
  <c r="DU43" i="8"/>
  <c r="DV43" i="8"/>
  <c r="DW43" i="8"/>
  <c r="DX43" i="8"/>
  <c r="DY43" i="8"/>
  <c r="AB43" i="8"/>
  <c r="AF43" i="8"/>
  <c r="AE44" i="8"/>
  <c r="CL44" i="8"/>
  <c r="CM44" i="8"/>
  <c r="CN44" i="8"/>
  <c r="CO44" i="8"/>
  <c r="CP44" i="8"/>
  <c r="CQ44" i="8"/>
  <c r="CR44" i="8"/>
  <c r="CS44" i="8"/>
  <c r="CT44" i="8"/>
  <c r="CU44" i="8"/>
  <c r="CV44" i="8"/>
  <c r="CW44" i="8"/>
  <c r="CX44" i="8"/>
  <c r="CY44" i="8"/>
  <c r="CZ44" i="8"/>
  <c r="DA44" i="8"/>
  <c r="DN44" i="8"/>
  <c r="DO44" i="8"/>
  <c r="DP44" i="8"/>
  <c r="DQ44" i="8"/>
  <c r="DR44" i="8"/>
  <c r="DS44" i="8"/>
  <c r="DT44" i="8"/>
  <c r="DU44" i="8"/>
  <c r="DV44" i="8"/>
  <c r="DW44" i="8"/>
  <c r="DX44" i="8"/>
  <c r="DY44" i="8"/>
  <c r="AB44" i="8"/>
  <c r="AF44" i="8"/>
  <c r="AE45" i="8"/>
  <c r="CL45" i="8"/>
  <c r="CM45" i="8"/>
  <c r="CN45" i="8"/>
  <c r="CO45" i="8"/>
  <c r="CP45" i="8"/>
  <c r="CQ45" i="8"/>
  <c r="CR45" i="8"/>
  <c r="CS45" i="8"/>
  <c r="CT45" i="8"/>
  <c r="CU45" i="8"/>
  <c r="CV45" i="8"/>
  <c r="CW45" i="8"/>
  <c r="CX45" i="8"/>
  <c r="CY45" i="8"/>
  <c r="CZ45" i="8"/>
  <c r="DA45" i="8"/>
  <c r="DN45" i="8"/>
  <c r="DO45" i="8"/>
  <c r="DP45" i="8"/>
  <c r="DQ45" i="8"/>
  <c r="DR45" i="8"/>
  <c r="DS45" i="8"/>
  <c r="DT45" i="8"/>
  <c r="DU45" i="8"/>
  <c r="DV45" i="8"/>
  <c r="DW45" i="8"/>
  <c r="DX45" i="8"/>
  <c r="DY45" i="8"/>
  <c r="AB45" i="8"/>
  <c r="AF45" i="8"/>
  <c r="AE46" i="8"/>
  <c r="CL46" i="8"/>
  <c r="CM46" i="8"/>
  <c r="CN46" i="8"/>
  <c r="CO46" i="8"/>
  <c r="CP46" i="8"/>
  <c r="CQ46" i="8"/>
  <c r="CR46" i="8"/>
  <c r="CS46" i="8"/>
  <c r="CT46" i="8"/>
  <c r="CU46" i="8"/>
  <c r="CV46" i="8"/>
  <c r="CW46" i="8"/>
  <c r="CX46" i="8"/>
  <c r="CY46" i="8"/>
  <c r="CZ46" i="8"/>
  <c r="DA46" i="8"/>
  <c r="DN46" i="8"/>
  <c r="DO46" i="8"/>
  <c r="DP46" i="8"/>
  <c r="DQ46" i="8"/>
  <c r="DR46" i="8"/>
  <c r="DS46" i="8"/>
  <c r="DT46" i="8"/>
  <c r="DU46" i="8"/>
  <c r="DV46" i="8"/>
  <c r="DW46" i="8"/>
  <c r="DX46" i="8"/>
  <c r="DY46" i="8"/>
  <c r="AB46" i="8"/>
  <c r="AF46" i="8"/>
  <c r="AE47" i="8"/>
  <c r="CL47" i="8"/>
  <c r="CM47" i="8"/>
  <c r="CN47" i="8"/>
  <c r="CO47" i="8"/>
  <c r="CP47" i="8"/>
  <c r="CQ47" i="8"/>
  <c r="CR47" i="8"/>
  <c r="CS47" i="8"/>
  <c r="CT47" i="8"/>
  <c r="CU47" i="8"/>
  <c r="CV47" i="8"/>
  <c r="CW47" i="8"/>
  <c r="CX47" i="8"/>
  <c r="CY47" i="8"/>
  <c r="CZ47" i="8"/>
  <c r="DA47" i="8"/>
  <c r="DN47" i="8"/>
  <c r="DO47" i="8"/>
  <c r="DP47" i="8"/>
  <c r="DQ47" i="8"/>
  <c r="DR47" i="8"/>
  <c r="DS47" i="8"/>
  <c r="DT47" i="8"/>
  <c r="DU47" i="8"/>
  <c r="DV47" i="8"/>
  <c r="DW47" i="8"/>
  <c r="DX47" i="8"/>
  <c r="DY47" i="8"/>
  <c r="AB47" i="8"/>
  <c r="AF47" i="8"/>
  <c r="AE48" i="8"/>
  <c r="CL48" i="8"/>
  <c r="CM48" i="8"/>
  <c r="CN48" i="8"/>
  <c r="CO48" i="8"/>
  <c r="CP48" i="8"/>
  <c r="CQ48" i="8"/>
  <c r="CR48" i="8"/>
  <c r="CS48" i="8"/>
  <c r="CT48" i="8"/>
  <c r="CU48" i="8"/>
  <c r="CV48" i="8"/>
  <c r="CW48" i="8"/>
  <c r="CX48" i="8"/>
  <c r="CY48" i="8"/>
  <c r="CZ48" i="8"/>
  <c r="DA48" i="8"/>
  <c r="DN48" i="8"/>
  <c r="DO48" i="8"/>
  <c r="DP48" i="8"/>
  <c r="DQ48" i="8"/>
  <c r="DR48" i="8"/>
  <c r="DS48" i="8"/>
  <c r="DT48" i="8"/>
  <c r="DU48" i="8"/>
  <c r="DV48" i="8"/>
  <c r="DW48" i="8"/>
  <c r="DX48" i="8"/>
  <c r="DY48" i="8"/>
  <c r="AB48" i="8"/>
  <c r="AF48" i="8"/>
  <c r="AE49" i="8"/>
  <c r="CL49" i="8"/>
  <c r="CM49" i="8"/>
  <c r="CN49" i="8"/>
  <c r="CO49" i="8"/>
  <c r="CP49" i="8"/>
  <c r="CQ49" i="8"/>
  <c r="CR49" i="8"/>
  <c r="CS49" i="8"/>
  <c r="CT49" i="8"/>
  <c r="CU49" i="8"/>
  <c r="CV49" i="8"/>
  <c r="CW49" i="8"/>
  <c r="CX49" i="8"/>
  <c r="CY49" i="8"/>
  <c r="CZ49" i="8"/>
  <c r="DA49" i="8"/>
  <c r="DN49" i="8"/>
  <c r="DO49" i="8"/>
  <c r="DP49" i="8"/>
  <c r="DQ49" i="8"/>
  <c r="DR49" i="8"/>
  <c r="DS49" i="8"/>
  <c r="DT49" i="8"/>
  <c r="DU49" i="8"/>
  <c r="DV49" i="8"/>
  <c r="DW49" i="8"/>
  <c r="DX49" i="8"/>
  <c r="DY49" i="8"/>
  <c r="AB49" i="8"/>
  <c r="AF49" i="8"/>
  <c r="AE50" i="8"/>
  <c r="CL50" i="8"/>
  <c r="CM50" i="8"/>
  <c r="CN50" i="8"/>
  <c r="CO50" i="8"/>
  <c r="CP50" i="8"/>
  <c r="CQ50" i="8"/>
  <c r="CR50" i="8"/>
  <c r="CS50" i="8"/>
  <c r="CT50" i="8"/>
  <c r="CU50" i="8"/>
  <c r="CV50" i="8"/>
  <c r="CW50" i="8"/>
  <c r="CX50" i="8"/>
  <c r="CY50" i="8"/>
  <c r="CZ50" i="8"/>
  <c r="DA50" i="8"/>
  <c r="DN50" i="8"/>
  <c r="DO50" i="8"/>
  <c r="DP50" i="8"/>
  <c r="DQ50" i="8"/>
  <c r="DR50" i="8"/>
  <c r="DS50" i="8"/>
  <c r="DT50" i="8"/>
  <c r="DU50" i="8"/>
  <c r="DV50" i="8"/>
  <c r="DW50" i="8"/>
  <c r="DX50" i="8"/>
  <c r="DY50" i="8"/>
  <c r="AB50" i="8"/>
  <c r="AF50" i="8"/>
  <c r="AE51" i="8"/>
  <c r="CL51" i="8"/>
  <c r="CM51" i="8"/>
  <c r="CN51" i="8"/>
  <c r="CO51" i="8"/>
  <c r="CP51" i="8"/>
  <c r="CQ51" i="8"/>
  <c r="CR51" i="8"/>
  <c r="CS51" i="8"/>
  <c r="CT51" i="8"/>
  <c r="CU51" i="8"/>
  <c r="CV51" i="8"/>
  <c r="CW51" i="8"/>
  <c r="CX51" i="8"/>
  <c r="CY51" i="8"/>
  <c r="CZ51" i="8"/>
  <c r="DA51" i="8"/>
  <c r="DN51" i="8"/>
  <c r="DO51" i="8"/>
  <c r="DP51" i="8"/>
  <c r="DQ51" i="8"/>
  <c r="DR51" i="8"/>
  <c r="DS51" i="8"/>
  <c r="DT51" i="8"/>
  <c r="DU51" i="8"/>
  <c r="DV51" i="8"/>
  <c r="DW51" i="8"/>
  <c r="DX51" i="8"/>
  <c r="DY51" i="8"/>
  <c r="AB51" i="8"/>
  <c r="AF51" i="8"/>
  <c r="AE52" i="8"/>
  <c r="CL52" i="8"/>
  <c r="CM52" i="8"/>
  <c r="CN52" i="8"/>
  <c r="CO52" i="8"/>
  <c r="CP52" i="8"/>
  <c r="CQ52" i="8"/>
  <c r="CR52" i="8"/>
  <c r="CS52" i="8"/>
  <c r="CT52" i="8"/>
  <c r="CU52" i="8"/>
  <c r="CV52" i="8"/>
  <c r="CW52" i="8"/>
  <c r="CX52" i="8"/>
  <c r="CY52" i="8"/>
  <c r="CZ52" i="8"/>
  <c r="DA52" i="8"/>
  <c r="DN52" i="8"/>
  <c r="DO52" i="8"/>
  <c r="DP52" i="8"/>
  <c r="DQ52" i="8"/>
  <c r="DR52" i="8"/>
  <c r="DS52" i="8"/>
  <c r="DT52" i="8"/>
  <c r="DU52" i="8"/>
  <c r="DV52" i="8"/>
  <c r="DW52" i="8"/>
  <c r="DX52" i="8"/>
  <c r="DY52" i="8"/>
  <c r="AB52" i="8"/>
  <c r="AF52" i="8"/>
  <c r="AE53" i="8"/>
  <c r="CL53" i="8"/>
  <c r="CM53" i="8"/>
  <c r="CN53" i="8"/>
  <c r="CO53" i="8"/>
  <c r="CP53" i="8"/>
  <c r="CQ53" i="8"/>
  <c r="CR53" i="8"/>
  <c r="CS53" i="8"/>
  <c r="CT53" i="8"/>
  <c r="CU53" i="8"/>
  <c r="CV53" i="8"/>
  <c r="CW53" i="8"/>
  <c r="CX53" i="8"/>
  <c r="CY53" i="8"/>
  <c r="CZ53" i="8"/>
  <c r="DA53" i="8"/>
  <c r="DN53" i="8"/>
  <c r="DO53" i="8"/>
  <c r="DP53" i="8"/>
  <c r="DQ53" i="8"/>
  <c r="DR53" i="8"/>
  <c r="DS53" i="8"/>
  <c r="DT53" i="8"/>
  <c r="DU53" i="8"/>
  <c r="DV53" i="8"/>
  <c r="DW53" i="8"/>
  <c r="DX53" i="8"/>
  <c r="DY53" i="8"/>
  <c r="AB53" i="8"/>
  <c r="AF53" i="8"/>
  <c r="AE54" i="8"/>
  <c r="CL54" i="8"/>
  <c r="CM54" i="8"/>
  <c r="CN54" i="8"/>
  <c r="CO54" i="8"/>
  <c r="CP54" i="8"/>
  <c r="CQ54" i="8"/>
  <c r="CR54" i="8"/>
  <c r="CS54" i="8"/>
  <c r="CT54" i="8"/>
  <c r="CU54" i="8"/>
  <c r="CV54" i="8"/>
  <c r="CW54" i="8"/>
  <c r="CX54" i="8"/>
  <c r="CY54" i="8"/>
  <c r="CZ54" i="8"/>
  <c r="DA54" i="8"/>
  <c r="DN54" i="8"/>
  <c r="DO54" i="8"/>
  <c r="DP54" i="8"/>
  <c r="DQ54" i="8"/>
  <c r="DR54" i="8"/>
  <c r="DS54" i="8"/>
  <c r="DT54" i="8"/>
  <c r="DU54" i="8"/>
  <c r="DV54" i="8"/>
  <c r="DW54" i="8"/>
  <c r="DX54" i="8"/>
  <c r="DY54" i="8"/>
  <c r="AB54" i="8"/>
  <c r="AF54" i="8"/>
  <c r="AE55" i="8"/>
  <c r="CL55" i="8"/>
  <c r="CM55" i="8"/>
  <c r="CN55" i="8"/>
  <c r="CO55" i="8"/>
  <c r="CP55" i="8"/>
  <c r="CQ55" i="8"/>
  <c r="CR55" i="8"/>
  <c r="CS55" i="8"/>
  <c r="CT55" i="8"/>
  <c r="CU55" i="8"/>
  <c r="CV55" i="8"/>
  <c r="CW55" i="8"/>
  <c r="CX55" i="8"/>
  <c r="CY55" i="8"/>
  <c r="CZ55" i="8"/>
  <c r="DA55" i="8"/>
  <c r="DN55" i="8"/>
  <c r="DO55" i="8"/>
  <c r="DP55" i="8"/>
  <c r="DQ55" i="8"/>
  <c r="DR55" i="8"/>
  <c r="DS55" i="8"/>
  <c r="DT55" i="8"/>
  <c r="DU55" i="8"/>
  <c r="DV55" i="8"/>
  <c r="DW55" i="8"/>
  <c r="DX55" i="8"/>
  <c r="DY55" i="8"/>
  <c r="AB55" i="8"/>
  <c r="AF55" i="8"/>
  <c r="AE56" i="8"/>
  <c r="CL56" i="8"/>
  <c r="CM56" i="8"/>
  <c r="CN56" i="8"/>
  <c r="CO56" i="8"/>
  <c r="CP56" i="8"/>
  <c r="CQ56" i="8"/>
  <c r="CR56" i="8"/>
  <c r="CS56" i="8"/>
  <c r="CT56" i="8"/>
  <c r="CU56" i="8"/>
  <c r="CV56" i="8"/>
  <c r="CW56" i="8"/>
  <c r="CX56" i="8"/>
  <c r="CY56" i="8"/>
  <c r="CZ56" i="8"/>
  <c r="DA56" i="8"/>
  <c r="DN56" i="8"/>
  <c r="DO56" i="8"/>
  <c r="DP56" i="8"/>
  <c r="DQ56" i="8"/>
  <c r="DR56" i="8"/>
  <c r="DS56" i="8"/>
  <c r="DT56" i="8"/>
  <c r="DU56" i="8"/>
  <c r="DV56" i="8"/>
  <c r="DW56" i="8"/>
  <c r="DX56" i="8"/>
  <c r="DY56" i="8"/>
  <c r="AB56" i="8"/>
  <c r="AF56" i="8"/>
  <c r="AE57" i="8"/>
  <c r="CL57" i="8"/>
  <c r="CM57" i="8"/>
  <c r="CN57" i="8"/>
  <c r="CO57" i="8"/>
  <c r="CP57" i="8"/>
  <c r="CQ57" i="8"/>
  <c r="CR57" i="8"/>
  <c r="CS57" i="8"/>
  <c r="CT57" i="8"/>
  <c r="CU57" i="8"/>
  <c r="CV57" i="8"/>
  <c r="CW57" i="8"/>
  <c r="CX57" i="8"/>
  <c r="CY57" i="8"/>
  <c r="CZ57" i="8"/>
  <c r="DA57" i="8"/>
  <c r="DN57" i="8"/>
  <c r="DO57" i="8"/>
  <c r="DP57" i="8"/>
  <c r="DQ57" i="8"/>
  <c r="DR57" i="8"/>
  <c r="DS57" i="8"/>
  <c r="DT57" i="8"/>
  <c r="DU57" i="8"/>
  <c r="DV57" i="8"/>
  <c r="DW57" i="8"/>
  <c r="DX57" i="8"/>
  <c r="DY57" i="8"/>
  <c r="AB57" i="8"/>
  <c r="AF57" i="8"/>
  <c r="AE58" i="8"/>
  <c r="CL58" i="8"/>
  <c r="CM58" i="8"/>
  <c r="CN58" i="8"/>
  <c r="CO58" i="8"/>
  <c r="CP58" i="8"/>
  <c r="CQ58" i="8"/>
  <c r="CR58" i="8"/>
  <c r="CS58" i="8"/>
  <c r="CT58" i="8"/>
  <c r="CU58" i="8"/>
  <c r="CV58" i="8"/>
  <c r="CW58" i="8"/>
  <c r="CX58" i="8"/>
  <c r="CY58" i="8"/>
  <c r="CZ58" i="8"/>
  <c r="DA58" i="8"/>
  <c r="DN58" i="8"/>
  <c r="DO58" i="8"/>
  <c r="DP58" i="8"/>
  <c r="DQ58" i="8"/>
  <c r="DR58" i="8"/>
  <c r="DS58" i="8"/>
  <c r="DT58" i="8"/>
  <c r="DU58" i="8"/>
  <c r="DV58" i="8"/>
  <c r="DW58" i="8"/>
  <c r="DX58" i="8"/>
  <c r="DY58" i="8"/>
  <c r="AB58" i="8"/>
  <c r="AF58" i="8"/>
  <c r="AE59" i="8"/>
  <c r="CL59" i="8"/>
  <c r="CM59" i="8"/>
  <c r="CN59" i="8"/>
  <c r="CO59" i="8"/>
  <c r="CP59" i="8"/>
  <c r="CQ59" i="8"/>
  <c r="CR59" i="8"/>
  <c r="CS59" i="8"/>
  <c r="CT59" i="8"/>
  <c r="CU59" i="8"/>
  <c r="CV59" i="8"/>
  <c r="CW59" i="8"/>
  <c r="CX59" i="8"/>
  <c r="CY59" i="8"/>
  <c r="CZ59" i="8"/>
  <c r="DA59" i="8"/>
  <c r="DN59" i="8"/>
  <c r="DO59" i="8"/>
  <c r="DP59" i="8"/>
  <c r="DQ59" i="8"/>
  <c r="DR59" i="8"/>
  <c r="DS59" i="8"/>
  <c r="DT59" i="8"/>
  <c r="DU59" i="8"/>
  <c r="DV59" i="8"/>
  <c r="DW59" i="8"/>
  <c r="DX59" i="8"/>
  <c r="DY59" i="8"/>
  <c r="AB59" i="8"/>
  <c r="AF59" i="8"/>
  <c r="AE60" i="8"/>
  <c r="CL60" i="8"/>
  <c r="CM60" i="8"/>
  <c r="CN60" i="8"/>
  <c r="CO60" i="8"/>
  <c r="CP60" i="8"/>
  <c r="CQ60" i="8"/>
  <c r="CR60" i="8"/>
  <c r="CS60" i="8"/>
  <c r="CT60" i="8"/>
  <c r="CU60" i="8"/>
  <c r="CV60" i="8"/>
  <c r="CW60" i="8"/>
  <c r="CX60" i="8"/>
  <c r="CY60" i="8"/>
  <c r="CZ60" i="8"/>
  <c r="DA60" i="8"/>
  <c r="DN60" i="8"/>
  <c r="DO60" i="8"/>
  <c r="DP60" i="8"/>
  <c r="DQ60" i="8"/>
  <c r="DR60" i="8"/>
  <c r="DS60" i="8"/>
  <c r="DT60" i="8"/>
  <c r="DU60" i="8"/>
  <c r="DV60" i="8"/>
  <c r="DW60" i="8"/>
  <c r="DX60" i="8"/>
  <c r="DY60" i="8"/>
  <c r="AB60" i="8"/>
  <c r="AF60" i="8"/>
  <c r="AE61" i="8"/>
  <c r="CL61" i="8"/>
  <c r="CM61" i="8"/>
  <c r="CN61" i="8"/>
  <c r="CO61" i="8"/>
  <c r="CP61" i="8"/>
  <c r="CQ61" i="8"/>
  <c r="CR61" i="8"/>
  <c r="CS61" i="8"/>
  <c r="CT61" i="8"/>
  <c r="CU61" i="8"/>
  <c r="CV61" i="8"/>
  <c r="CW61" i="8"/>
  <c r="CX61" i="8"/>
  <c r="CY61" i="8"/>
  <c r="CZ61" i="8"/>
  <c r="DA61" i="8"/>
  <c r="DN61" i="8"/>
  <c r="DO61" i="8"/>
  <c r="DP61" i="8"/>
  <c r="DQ61" i="8"/>
  <c r="DR61" i="8"/>
  <c r="DS61" i="8"/>
  <c r="DT61" i="8"/>
  <c r="DU61" i="8"/>
  <c r="DV61" i="8"/>
  <c r="DW61" i="8"/>
  <c r="DX61" i="8"/>
  <c r="DY61" i="8"/>
  <c r="AB61" i="8"/>
  <c r="AF61" i="8"/>
  <c r="AE62" i="8"/>
  <c r="CL62" i="8"/>
  <c r="CM62" i="8"/>
  <c r="CN62" i="8"/>
  <c r="CO62" i="8"/>
  <c r="CP62" i="8"/>
  <c r="CQ62" i="8"/>
  <c r="CR62" i="8"/>
  <c r="CS62" i="8"/>
  <c r="CT62" i="8"/>
  <c r="CU62" i="8"/>
  <c r="CV62" i="8"/>
  <c r="CW62" i="8"/>
  <c r="CX62" i="8"/>
  <c r="CY62" i="8"/>
  <c r="CZ62" i="8"/>
  <c r="DA62" i="8"/>
  <c r="DN62" i="8"/>
  <c r="DO62" i="8"/>
  <c r="DP62" i="8"/>
  <c r="DQ62" i="8"/>
  <c r="DR62" i="8"/>
  <c r="DS62" i="8"/>
  <c r="DT62" i="8"/>
  <c r="DU62" i="8"/>
  <c r="DV62" i="8"/>
  <c r="DW62" i="8"/>
  <c r="DX62" i="8"/>
  <c r="DY62" i="8"/>
  <c r="AB62" i="8"/>
  <c r="AF62" i="8"/>
  <c r="AE63" i="8"/>
  <c r="CL63" i="8"/>
  <c r="CM63" i="8"/>
  <c r="CN63" i="8"/>
  <c r="CO63" i="8"/>
  <c r="CP63" i="8"/>
  <c r="CQ63" i="8"/>
  <c r="CR63" i="8"/>
  <c r="CS63" i="8"/>
  <c r="CT63" i="8"/>
  <c r="CU63" i="8"/>
  <c r="CV63" i="8"/>
  <c r="CW63" i="8"/>
  <c r="CX63" i="8"/>
  <c r="CY63" i="8"/>
  <c r="CZ63" i="8"/>
  <c r="DA63" i="8"/>
  <c r="DN63" i="8"/>
  <c r="DO63" i="8"/>
  <c r="DP63" i="8"/>
  <c r="DQ63" i="8"/>
  <c r="DR63" i="8"/>
  <c r="DS63" i="8"/>
  <c r="DT63" i="8"/>
  <c r="DU63" i="8"/>
  <c r="DV63" i="8"/>
  <c r="DW63" i="8"/>
  <c r="DX63" i="8"/>
  <c r="DY63" i="8"/>
  <c r="AB63" i="8"/>
  <c r="AF63" i="8"/>
  <c r="AE64" i="8"/>
  <c r="CL64" i="8"/>
  <c r="CM64" i="8"/>
  <c r="CN64" i="8"/>
  <c r="CO64" i="8"/>
  <c r="CP64" i="8"/>
  <c r="CQ64" i="8"/>
  <c r="CR64" i="8"/>
  <c r="CS64" i="8"/>
  <c r="CT64" i="8"/>
  <c r="CU64" i="8"/>
  <c r="CV64" i="8"/>
  <c r="CW64" i="8"/>
  <c r="CX64" i="8"/>
  <c r="CY64" i="8"/>
  <c r="CZ64" i="8"/>
  <c r="DA64" i="8"/>
  <c r="DN64" i="8"/>
  <c r="DO64" i="8"/>
  <c r="DP64" i="8"/>
  <c r="DQ64" i="8"/>
  <c r="DR64" i="8"/>
  <c r="DS64" i="8"/>
  <c r="DT64" i="8"/>
  <c r="DU64" i="8"/>
  <c r="DV64" i="8"/>
  <c r="DW64" i="8"/>
  <c r="DX64" i="8"/>
  <c r="DY64" i="8"/>
  <c r="AB64" i="8"/>
  <c r="AF64" i="8"/>
  <c r="AE65" i="8"/>
  <c r="CL65" i="8"/>
  <c r="CM65" i="8"/>
  <c r="CN65" i="8"/>
  <c r="CO65" i="8"/>
  <c r="CP65" i="8"/>
  <c r="CQ65" i="8"/>
  <c r="CR65" i="8"/>
  <c r="CS65" i="8"/>
  <c r="CT65" i="8"/>
  <c r="CU65" i="8"/>
  <c r="CV65" i="8"/>
  <c r="CW65" i="8"/>
  <c r="CX65" i="8"/>
  <c r="CY65" i="8"/>
  <c r="CZ65" i="8"/>
  <c r="DA65" i="8"/>
  <c r="DN65" i="8"/>
  <c r="DO65" i="8"/>
  <c r="DP65" i="8"/>
  <c r="DQ65" i="8"/>
  <c r="DR65" i="8"/>
  <c r="DS65" i="8"/>
  <c r="DT65" i="8"/>
  <c r="DU65" i="8"/>
  <c r="DV65" i="8"/>
  <c r="DW65" i="8"/>
  <c r="DX65" i="8"/>
  <c r="DY65" i="8"/>
  <c r="AB65" i="8"/>
  <c r="AF65" i="8"/>
  <c r="AE66" i="8"/>
  <c r="CL66" i="8"/>
  <c r="CM66" i="8"/>
  <c r="CN66" i="8"/>
  <c r="CO66" i="8"/>
  <c r="CP66" i="8"/>
  <c r="CQ66" i="8"/>
  <c r="CR66" i="8"/>
  <c r="CS66" i="8"/>
  <c r="CT66" i="8"/>
  <c r="CU66" i="8"/>
  <c r="CV66" i="8"/>
  <c r="CW66" i="8"/>
  <c r="CX66" i="8"/>
  <c r="CY66" i="8"/>
  <c r="CZ66" i="8"/>
  <c r="DA66" i="8"/>
  <c r="DN66" i="8"/>
  <c r="DO66" i="8"/>
  <c r="DP66" i="8"/>
  <c r="DQ66" i="8"/>
  <c r="DR66" i="8"/>
  <c r="DS66" i="8"/>
  <c r="DT66" i="8"/>
  <c r="DU66" i="8"/>
  <c r="DV66" i="8"/>
  <c r="DW66" i="8"/>
  <c r="DX66" i="8"/>
  <c r="DY66" i="8"/>
  <c r="AB66" i="8"/>
  <c r="AF66" i="8"/>
  <c r="AE67" i="8"/>
  <c r="CL67" i="8"/>
  <c r="CM67" i="8"/>
  <c r="CN67" i="8"/>
  <c r="CO67" i="8"/>
  <c r="CP67" i="8"/>
  <c r="CQ67" i="8"/>
  <c r="CR67" i="8"/>
  <c r="CS67" i="8"/>
  <c r="CT67" i="8"/>
  <c r="CU67" i="8"/>
  <c r="CV67" i="8"/>
  <c r="CW67" i="8"/>
  <c r="CX67" i="8"/>
  <c r="CY67" i="8"/>
  <c r="CZ67" i="8"/>
  <c r="DA67" i="8"/>
  <c r="DN67" i="8"/>
  <c r="DO67" i="8"/>
  <c r="DP67" i="8"/>
  <c r="DQ67" i="8"/>
  <c r="DR67" i="8"/>
  <c r="DS67" i="8"/>
  <c r="DT67" i="8"/>
  <c r="DU67" i="8"/>
  <c r="DV67" i="8"/>
  <c r="DW67" i="8"/>
  <c r="DX67" i="8"/>
  <c r="DY67" i="8"/>
  <c r="AB67" i="8"/>
  <c r="AF67" i="8"/>
  <c r="AE68" i="8"/>
  <c r="CL68" i="8"/>
  <c r="CM68" i="8"/>
  <c r="CN68" i="8"/>
  <c r="CO68" i="8"/>
  <c r="CP68" i="8"/>
  <c r="CQ68" i="8"/>
  <c r="CR68" i="8"/>
  <c r="CS68" i="8"/>
  <c r="CT68" i="8"/>
  <c r="CU68" i="8"/>
  <c r="CV68" i="8"/>
  <c r="CW68" i="8"/>
  <c r="CX68" i="8"/>
  <c r="CY68" i="8"/>
  <c r="CZ68" i="8"/>
  <c r="DA68" i="8"/>
  <c r="DN68" i="8"/>
  <c r="DO68" i="8"/>
  <c r="DP68" i="8"/>
  <c r="DQ68" i="8"/>
  <c r="DR68" i="8"/>
  <c r="DS68" i="8"/>
  <c r="DT68" i="8"/>
  <c r="DU68" i="8"/>
  <c r="DV68" i="8"/>
  <c r="DW68" i="8"/>
  <c r="DX68" i="8"/>
  <c r="DY68" i="8"/>
  <c r="AB68" i="8"/>
  <c r="AF68" i="8"/>
  <c r="AE69" i="8"/>
  <c r="CL69" i="8"/>
  <c r="CM69" i="8"/>
  <c r="CN69" i="8"/>
  <c r="CO69" i="8"/>
  <c r="CP69" i="8"/>
  <c r="CQ69" i="8"/>
  <c r="CR69" i="8"/>
  <c r="CS69" i="8"/>
  <c r="CT69" i="8"/>
  <c r="CU69" i="8"/>
  <c r="CV69" i="8"/>
  <c r="CW69" i="8"/>
  <c r="CX69" i="8"/>
  <c r="CY69" i="8"/>
  <c r="CZ69" i="8"/>
  <c r="DA69" i="8"/>
  <c r="DN69" i="8"/>
  <c r="DO69" i="8"/>
  <c r="DP69" i="8"/>
  <c r="DQ69" i="8"/>
  <c r="DR69" i="8"/>
  <c r="DS69" i="8"/>
  <c r="DT69" i="8"/>
  <c r="DU69" i="8"/>
  <c r="DV69" i="8"/>
  <c r="DW69" i="8"/>
  <c r="DX69" i="8"/>
  <c r="DY69" i="8"/>
  <c r="AB69" i="8"/>
  <c r="AF69" i="8"/>
  <c r="AE70" i="8"/>
  <c r="CL70" i="8"/>
  <c r="CM70" i="8"/>
  <c r="CN70" i="8"/>
  <c r="CO70" i="8"/>
  <c r="CP70" i="8"/>
  <c r="CQ70" i="8"/>
  <c r="CR70" i="8"/>
  <c r="CS70" i="8"/>
  <c r="CT70" i="8"/>
  <c r="CU70" i="8"/>
  <c r="CV70" i="8"/>
  <c r="CW70" i="8"/>
  <c r="CX70" i="8"/>
  <c r="CY70" i="8"/>
  <c r="CZ70" i="8"/>
  <c r="DA70" i="8"/>
  <c r="DN70" i="8"/>
  <c r="DO70" i="8"/>
  <c r="DP70" i="8"/>
  <c r="DQ70" i="8"/>
  <c r="DR70" i="8"/>
  <c r="DS70" i="8"/>
  <c r="DT70" i="8"/>
  <c r="DU70" i="8"/>
  <c r="DV70" i="8"/>
  <c r="DW70" i="8"/>
  <c r="DX70" i="8"/>
  <c r="DY70" i="8"/>
  <c r="AB70" i="8"/>
  <c r="AF70" i="8"/>
  <c r="AE71" i="8"/>
  <c r="CL71" i="8"/>
  <c r="CM71" i="8"/>
  <c r="CN71" i="8"/>
  <c r="CO71" i="8"/>
  <c r="CP71" i="8"/>
  <c r="CQ71" i="8"/>
  <c r="CR71" i="8"/>
  <c r="CS71" i="8"/>
  <c r="CT71" i="8"/>
  <c r="CU71" i="8"/>
  <c r="CV71" i="8"/>
  <c r="CW71" i="8"/>
  <c r="CX71" i="8"/>
  <c r="CY71" i="8"/>
  <c r="CZ71" i="8"/>
  <c r="DA71" i="8"/>
  <c r="DN71" i="8"/>
  <c r="DO71" i="8"/>
  <c r="DP71" i="8"/>
  <c r="DQ71" i="8"/>
  <c r="DR71" i="8"/>
  <c r="DS71" i="8"/>
  <c r="DT71" i="8"/>
  <c r="DU71" i="8"/>
  <c r="DV71" i="8"/>
  <c r="DW71" i="8"/>
  <c r="DX71" i="8"/>
  <c r="DY71" i="8"/>
  <c r="AB71" i="8"/>
  <c r="AF71" i="8"/>
  <c r="AE72" i="8"/>
  <c r="CL72" i="8"/>
  <c r="CM72" i="8"/>
  <c r="CN72" i="8"/>
  <c r="CO72" i="8"/>
  <c r="CP72" i="8"/>
  <c r="CQ72" i="8"/>
  <c r="CR72" i="8"/>
  <c r="CS72" i="8"/>
  <c r="CT72" i="8"/>
  <c r="CU72" i="8"/>
  <c r="CV72" i="8"/>
  <c r="CW72" i="8"/>
  <c r="CX72" i="8"/>
  <c r="CY72" i="8"/>
  <c r="CZ72" i="8"/>
  <c r="DA72" i="8"/>
  <c r="DN72" i="8"/>
  <c r="DO72" i="8"/>
  <c r="DP72" i="8"/>
  <c r="DQ72" i="8"/>
  <c r="DR72" i="8"/>
  <c r="DS72" i="8"/>
  <c r="DT72" i="8"/>
  <c r="DU72" i="8"/>
  <c r="DV72" i="8"/>
  <c r="DW72" i="8"/>
  <c r="DX72" i="8"/>
  <c r="DY72" i="8"/>
  <c r="AB72" i="8"/>
  <c r="AF72" i="8"/>
  <c r="AE73" i="8"/>
  <c r="CL73" i="8"/>
  <c r="CM73" i="8"/>
  <c r="CN73" i="8"/>
  <c r="CO73" i="8"/>
  <c r="CP73" i="8"/>
  <c r="CQ73" i="8"/>
  <c r="CR73" i="8"/>
  <c r="CS73" i="8"/>
  <c r="CT73" i="8"/>
  <c r="CU73" i="8"/>
  <c r="CV73" i="8"/>
  <c r="CW73" i="8"/>
  <c r="CX73" i="8"/>
  <c r="CY73" i="8"/>
  <c r="CZ73" i="8"/>
  <c r="DA73" i="8"/>
  <c r="DN73" i="8"/>
  <c r="DO73" i="8"/>
  <c r="DP73" i="8"/>
  <c r="DQ73" i="8"/>
  <c r="DR73" i="8"/>
  <c r="DS73" i="8"/>
  <c r="DT73" i="8"/>
  <c r="DU73" i="8"/>
  <c r="DV73" i="8"/>
  <c r="DW73" i="8"/>
  <c r="DX73" i="8"/>
  <c r="DY73" i="8"/>
  <c r="AB73" i="8"/>
  <c r="AF73" i="8"/>
  <c r="AE74" i="8"/>
  <c r="CL74" i="8"/>
  <c r="CM74" i="8"/>
  <c r="CN74" i="8"/>
  <c r="CO74" i="8"/>
  <c r="CP74" i="8"/>
  <c r="CQ74" i="8"/>
  <c r="CR74" i="8"/>
  <c r="CS74" i="8"/>
  <c r="CT74" i="8"/>
  <c r="CU74" i="8"/>
  <c r="CV74" i="8"/>
  <c r="CW74" i="8"/>
  <c r="CX74" i="8"/>
  <c r="CY74" i="8"/>
  <c r="CZ74" i="8"/>
  <c r="DA74" i="8"/>
  <c r="DN74" i="8"/>
  <c r="DO74" i="8"/>
  <c r="DP74" i="8"/>
  <c r="DQ74" i="8"/>
  <c r="DR74" i="8"/>
  <c r="DS74" i="8"/>
  <c r="DT74" i="8"/>
  <c r="DU74" i="8"/>
  <c r="DV74" i="8"/>
  <c r="DW74" i="8"/>
  <c r="DX74" i="8"/>
  <c r="DY74" i="8"/>
  <c r="AB74" i="8"/>
  <c r="AF74" i="8"/>
  <c r="AE75" i="8"/>
  <c r="CL75" i="8"/>
  <c r="CM75" i="8"/>
  <c r="CN75" i="8"/>
  <c r="CO75" i="8"/>
  <c r="CP75" i="8"/>
  <c r="CQ75" i="8"/>
  <c r="CR75" i="8"/>
  <c r="CS75" i="8"/>
  <c r="CT75" i="8"/>
  <c r="CU75" i="8"/>
  <c r="CV75" i="8"/>
  <c r="CW75" i="8"/>
  <c r="CX75" i="8"/>
  <c r="CY75" i="8"/>
  <c r="CZ75" i="8"/>
  <c r="DA75" i="8"/>
  <c r="DN75" i="8"/>
  <c r="DO75" i="8"/>
  <c r="DP75" i="8"/>
  <c r="DQ75" i="8"/>
  <c r="DR75" i="8"/>
  <c r="DS75" i="8"/>
  <c r="DT75" i="8"/>
  <c r="DU75" i="8"/>
  <c r="DV75" i="8"/>
  <c r="DW75" i="8"/>
  <c r="DX75" i="8"/>
  <c r="DY75" i="8"/>
  <c r="AB75" i="8"/>
  <c r="AF75" i="8"/>
  <c r="AE76" i="8"/>
  <c r="CL76" i="8"/>
  <c r="CM76" i="8"/>
  <c r="CN76" i="8"/>
  <c r="CO76" i="8"/>
  <c r="CP76" i="8"/>
  <c r="CQ76" i="8"/>
  <c r="CR76" i="8"/>
  <c r="CS76" i="8"/>
  <c r="CT76" i="8"/>
  <c r="CU76" i="8"/>
  <c r="CV76" i="8"/>
  <c r="CW76" i="8"/>
  <c r="CX76" i="8"/>
  <c r="CY76" i="8"/>
  <c r="CZ76" i="8"/>
  <c r="DA76" i="8"/>
  <c r="DN76" i="8"/>
  <c r="DO76" i="8"/>
  <c r="DP76" i="8"/>
  <c r="DQ76" i="8"/>
  <c r="DR76" i="8"/>
  <c r="DS76" i="8"/>
  <c r="DT76" i="8"/>
  <c r="DU76" i="8"/>
  <c r="DV76" i="8"/>
  <c r="DW76" i="8"/>
  <c r="DX76" i="8"/>
  <c r="DY76" i="8"/>
  <c r="AB76" i="8"/>
  <c r="AF76" i="8"/>
  <c r="AE77" i="8"/>
  <c r="CL77" i="8"/>
  <c r="CM77" i="8"/>
  <c r="CN77" i="8"/>
  <c r="CO77" i="8"/>
  <c r="CP77" i="8"/>
  <c r="CQ77" i="8"/>
  <c r="CR77" i="8"/>
  <c r="CS77" i="8"/>
  <c r="CT77" i="8"/>
  <c r="CU77" i="8"/>
  <c r="CV77" i="8"/>
  <c r="CW77" i="8"/>
  <c r="CX77" i="8"/>
  <c r="CY77" i="8"/>
  <c r="CZ77" i="8"/>
  <c r="DA77" i="8"/>
  <c r="DN77" i="8"/>
  <c r="DO77" i="8"/>
  <c r="DP77" i="8"/>
  <c r="DQ77" i="8"/>
  <c r="DR77" i="8"/>
  <c r="DS77" i="8"/>
  <c r="DT77" i="8"/>
  <c r="DU77" i="8"/>
  <c r="DV77" i="8"/>
  <c r="DW77" i="8"/>
  <c r="DX77" i="8"/>
  <c r="DY77" i="8"/>
  <c r="AB77" i="8"/>
  <c r="AF77" i="8"/>
  <c r="AE78" i="8"/>
  <c r="CL78" i="8"/>
  <c r="CM78" i="8"/>
  <c r="CN78" i="8"/>
  <c r="CO78" i="8"/>
  <c r="CP78" i="8"/>
  <c r="CQ78" i="8"/>
  <c r="CR78" i="8"/>
  <c r="CS78" i="8"/>
  <c r="CT78" i="8"/>
  <c r="CU78" i="8"/>
  <c r="CV78" i="8"/>
  <c r="CW78" i="8"/>
  <c r="CX78" i="8"/>
  <c r="CY78" i="8"/>
  <c r="CZ78" i="8"/>
  <c r="DA78" i="8"/>
  <c r="DN78" i="8"/>
  <c r="DO78" i="8"/>
  <c r="DP78" i="8"/>
  <c r="DQ78" i="8"/>
  <c r="DR78" i="8"/>
  <c r="DS78" i="8"/>
  <c r="DT78" i="8"/>
  <c r="DU78" i="8"/>
  <c r="DV78" i="8"/>
  <c r="DW78" i="8"/>
  <c r="DX78" i="8"/>
  <c r="DY78" i="8"/>
  <c r="AB78" i="8"/>
  <c r="AF78" i="8"/>
  <c r="AE79" i="8"/>
  <c r="CL79" i="8"/>
  <c r="CM79" i="8"/>
  <c r="CN79" i="8"/>
  <c r="CO79" i="8"/>
  <c r="CP79" i="8"/>
  <c r="CQ79" i="8"/>
  <c r="CR79" i="8"/>
  <c r="CS79" i="8"/>
  <c r="CT79" i="8"/>
  <c r="CU79" i="8"/>
  <c r="CV79" i="8"/>
  <c r="CW79" i="8"/>
  <c r="CX79" i="8"/>
  <c r="CY79" i="8"/>
  <c r="CZ79" i="8"/>
  <c r="DA79" i="8"/>
  <c r="DN79" i="8"/>
  <c r="DO79" i="8"/>
  <c r="DP79" i="8"/>
  <c r="DQ79" i="8"/>
  <c r="DR79" i="8"/>
  <c r="DS79" i="8"/>
  <c r="DT79" i="8"/>
  <c r="DU79" i="8"/>
  <c r="DV79" i="8"/>
  <c r="DW79" i="8"/>
  <c r="DX79" i="8"/>
  <c r="DY79" i="8"/>
  <c r="AB79" i="8"/>
  <c r="AF79" i="8"/>
  <c r="AE80" i="8"/>
  <c r="CL80" i="8"/>
  <c r="CM80" i="8"/>
  <c r="CN80" i="8"/>
  <c r="CO80" i="8"/>
  <c r="CP80" i="8"/>
  <c r="CQ80" i="8"/>
  <c r="CR80" i="8"/>
  <c r="CS80" i="8"/>
  <c r="CT80" i="8"/>
  <c r="CU80" i="8"/>
  <c r="CV80" i="8"/>
  <c r="CW80" i="8"/>
  <c r="CX80" i="8"/>
  <c r="CY80" i="8"/>
  <c r="CZ80" i="8"/>
  <c r="DA80" i="8"/>
  <c r="DN80" i="8"/>
  <c r="DO80" i="8"/>
  <c r="DP80" i="8"/>
  <c r="DQ80" i="8"/>
  <c r="DR80" i="8"/>
  <c r="DS80" i="8"/>
  <c r="DT80" i="8"/>
  <c r="DU80" i="8"/>
  <c r="DV80" i="8"/>
  <c r="DW80" i="8"/>
  <c r="DX80" i="8"/>
  <c r="DY80" i="8"/>
  <c r="AB80" i="8"/>
  <c r="AF80" i="8"/>
  <c r="AE81" i="8"/>
  <c r="CL81" i="8"/>
  <c r="CM81" i="8"/>
  <c r="CN81" i="8"/>
  <c r="CO81" i="8"/>
  <c r="CP81" i="8"/>
  <c r="CQ81" i="8"/>
  <c r="CR81" i="8"/>
  <c r="CS81" i="8"/>
  <c r="CT81" i="8"/>
  <c r="CU81" i="8"/>
  <c r="CV81" i="8"/>
  <c r="CW81" i="8"/>
  <c r="CX81" i="8"/>
  <c r="CY81" i="8"/>
  <c r="CZ81" i="8"/>
  <c r="DA81" i="8"/>
  <c r="DN81" i="8"/>
  <c r="DO81" i="8"/>
  <c r="DP81" i="8"/>
  <c r="DQ81" i="8"/>
  <c r="DR81" i="8"/>
  <c r="DS81" i="8"/>
  <c r="DT81" i="8"/>
  <c r="DU81" i="8"/>
  <c r="DV81" i="8"/>
  <c r="DW81" i="8"/>
  <c r="DX81" i="8"/>
  <c r="DY81" i="8"/>
  <c r="AB81" i="8"/>
  <c r="AF81" i="8"/>
  <c r="AE82" i="8"/>
  <c r="CL82" i="8"/>
  <c r="CM82" i="8"/>
  <c r="CN82" i="8"/>
  <c r="CO82" i="8"/>
  <c r="CP82" i="8"/>
  <c r="CQ82" i="8"/>
  <c r="CR82" i="8"/>
  <c r="CS82" i="8"/>
  <c r="CT82" i="8"/>
  <c r="CU82" i="8"/>
  <c r="CV82" i="8"/>
  <c r="CW82" i="8"/>
  <c r="CX82" i="8"/>
  <c r="CY82" i="8"/>
  <c r="CZ82" i="8"/>
  <c r="DA82" i="8"/>
  <c r="DN82" i="8"/>
  <c r="DO82" i="8"/>
  <c r="DP82" i="8"/>
  <c r="DQ82" i="8"/>
  <c r="DR82" i="8"/>
  <c r="DS82" i="8"/>
  <c r="DT82" i="8"/>
  <c r="DU82" i="8"/>
  <c r="DV82" i="8"/>
  <c r="DW82" i="8"/>
  <c r="DX82" i="8"/>
  <c r="DY82" i="8"/>
  <c r="AB82" i="8"/>
  <c r="AF82" i="8"/>
  <c r="AE83" i="8"/>
  <c r="CL83" i="8"/>
  <c r="CM83" i="8"/>
  <c r="CN83" i="8"/>
  <c r="CO83" i="8"/>
  <c r="CP83" i="8"/>
  <c r="CQ83" i="8"/>
  <c r="CR83" i="8"/>
  <c r="CS83" i="8"/>
  <c r="CT83" i="8"/>
  <c r="CU83" i="8"/>
  <c r="CV83" i="8"/>
  <c r="CW83" i="8"/>
  <c r="CX83" i="8"/>
  <c r="CY83" i="8"/>
  <c r="CZ83" i="8"/>
  <c r="DA83" i="8"/>
  <c r="DN83" i="8"/>
  <c r="DO83" i="8"/>
  <c r="DP83" i="8"/>
  <c r="DQ83" i="8"/>
  <c r="DR83" i="8"/>
  <c r="DS83" i="8"/>
  <c r="DT83" i="8"/>
  <c r="DU83" i="8"/>
  <c r="DV83" i="8"/>
  <c r="DW83" i="8"/>
  <c r="DX83" i="8"/>
  <c r="DY83" i="8"/>
  <c r="AB83" i="8"/>
  <c r="AF83" i="8"/>
  <c r="AE84" i="8"/>
  <c r="CL84" i="8"/>
  <c r="CM84" i="8"/>
  <c r="CN84" i="8"/>
  <c r="CO84" i="8"/>
  <c r="CP84" i="8"/>
  <c r="CQ84" i="8"/>
  <c r="CR84" i="8"/>
  <c r="CS84" i="8"/>
  <c r="CT84" i="8"/>
  <c r="CU84" i="8"/>
  <c r="CV84" i="8"/>
  <c r="CW84" i="8"/>
  <c r="CX84" i="8"/>
  <c r="CY84" i="8"/>
  <c r="CZ84" i="8"/>
  <c r="DA84" i="8"/>
  <c r="DN84" i="8"/>
  <c r="DO84" i="8"/>
  <c r="DP84" i="8"/>
  <c r="DQ84" i="8"/>
  <c r="DR84" i="8"/>
  <c r="DS84" i="8"/>
  <c r="DT84" i="8"/>
  <c r="DU84" i="8"/>
  <c r="DV84" i="8"/>
  <c r="DW84" i="8"/>
  <c r="DX84" i="8"/>
  <c r="DY84" i="8"/>
  <c r="AB84" i="8"/>
  <c r="AF84" i="8"/>
  <c r="AE85" i="8"/>
  <c r="CL85" i="8"/>
  <c r="CM85" i="8"/>
  <c r="CN85" i="8"/>
  <c r="CO85" i="8"/>
  <c r="CP85" i="8"/>
  <c r="CQ85" i="8"/>
  <c r="CR85" i="8"/>
  <c r="CS85" i="8"/>
  <c r="CT85" i="8"/>
  <c r="CU85" i="8"/>
  <c r="CV85" i="8"/>
  <c r="CW85" i="8"/>
  <c r="CX85" i="8"/>
  <c r="CY85" i="8"/>
  <c r="CZ85" i="8"/>
  <c r="DA85" i="8"/>
  <c r="DN85" i="8"/>
  <c r="DO85" i="8"/>
  <c r="DP85" i="8"/>
  <c r="DQ85" i="8"/>
  <c r="DR85" i="8"/>
  <c r="DS85" i="8"/>
  <c r="DT85" i="8"/>
  <c r="DU85" i="8"/>
  <c r="DV85" i="8"/>
  <c r="DW85" i="8"/>
  <c r="DX85" i="8"/>
  <c r="DY85" i="8"/>
  <c r="AB85" i="8"/>
  <c r="AF85" i="8"/>
  <c r="AE86" i="8"/>
  <c r="CL86" i="8"/>
  <c r="CM86" i="8"/>
  <c r="CN86" i="8"/>
  <c r="CO86" i="8"/>
  <c r="CP86" i="8"/>
  <c r="CQ86" i="8"/>
  <c r="CR86" i="8"/>
  <c r="CS86" i="8"/>
  <c r="CT86" i="8"/>
  <c r="CU86" i="8"/>
  <c r="CV86" i="8"/>
  <c r="CW86" i="8"/>
  <c r="CX86" i="8"/>
  <c r="CY86" i="8"/>
  <c r="CZ86" i="8"/>
  <c r="DA86" i="8"/>
  <c r="DN86" i="8"/>
  <c r="DO86" i="8"/>
  <c r="DP86" i="8"/>
  <c r="DQ86" i="8"/>
  <c r="DR86" i="8"/>
  <c r="DS86" i="8"/>
  <c r="DT86" i="8"/>
  <c r="DU86" i="8"/>
  <c r="DV86" i="8"/>
  <c r="DW86" i="8"/>
  <c r="DX86" i="8"/>
  <c r="DY86" i="8"/>
  <c r="AB86" i="8"/>
  <c r="AF86" i="8"/>
  <c r="AE87" i="8"/>
  <c r="CL87" i="8"/>
  <c r="CM87" i="8"/>
  <c r="CN87" i="8"/>
  <c r="CO87" i="8"/>
  <c r="CP87" i="8"/>
  <c r="CQ87" i="8"/>
  <c r="CR87" i="8"/>
  <c r="CS87" i="8"/>
  <c r="CT87" i="8"/>
  <c r="CU87" i="8"/>
  <c r="CV87" i="8"/>
  <c r="CW87" i="8"/>
  <c r="CX87" i="8"/>
  <c r="CY87" i="8"/>
  <c r="CZ87" i="8"/>
  <c r="DA87" i="8"/>
  <c r="DN87" i="8"/>
  <c r="DO87" i="8"/>
  <c r="DP87" i="8"/>
  <c r="DQ87" i="8"/>
  <c r="DR87" i="8"/>
  <c r="DS87" i="8"/>
  <c r="DT87" i="8"/>
  <c r="DU87" i="8"/>
  <c r="DV87" i="8"/>
  <c r="DW87" i="8"/>
  <c r="DX87" i="8"/>
  <c r="DY87" i="8"/>
  <c r="AB87" i="8"/>
  <c r="AF87" i="8"/>
  <c r="AE88" i="8"/>
  <c r="CL88" i="8"/>
  <c r="CM88" i="8"/>
  <c r="CN88" i="8"/>
  <c r="CO88" i="8"/>
  <c r="CP88" i="8"/>
  <c r="CQ88" i="8"/>
  <c r="CR88" i="8"/>
  <c r="CS88" i="8"/>
  <c r="CT88" i="8"/>
  <c r="CU88" i="8"/>
  <c r="CV88" i="8"/>
  <c r="CW88" i="8"/>
  <c r="CX88" i="8"/>
  <c r="CY88" i="8"/>
  <c r="CZ88" i="8"/>
  <c r="DA88" i="8"/>
  <c r="DN88" i="8"/>
  <c r="DO88" i="8"/>
  <c r="DP88" i="8"/>
  <c r="DQ88" i="8"/>
  <c r="DR88" i="8"/>
  <c r="DS88" i="8"/>
  <c r="DT88" i="8"/>
  <c r="DU88" i="8"/>
  <c r="DV88" i="8"/>
  <c r="DW88" i="8"/>
  <c r="DX88" i="8"/>
  <c r="DY88" i="8"/>
  <c r="AB88" i="8"/>
  <c r="AF88" i="8"/>
  <c r="AE89" i="8"/>
  <c r="CL89" i="8"/>
  <c r="CM89" i="8"/>
  <c r="CN89" i="8"/>
  <c r="CO89" i="8"/>
  <c r="CP89" i="8"/>
  <c r="CQ89" i="8"/>
  <c r="CR89" i="8"/>
  <c r="CS89" i="8"/>
  <c r="CT89" i="8"/>
  <c r="CU89" i="8"/>
  <c r="CV89" i="8"/>
  <c r="CW89" i="8"/>
  <c r="CX89" i="8"/>
  <c r="CY89" i="8"/>
  <c r="CZ89" i="8"/>
  <c r="DA89" i="8"/>
  <c r="DN89" i="8"/>
  <c r="DO89" i="8"/>
  <c r="DP89" i="8"/>
  <c r="DQ89" i="8"/>
  <c r="DR89" i="8"/>
  <c r="DS89" i="8"/>
  <c r="DT89" i="8"/>
  <c r="DU89" i="8"/>
  <c r="DV89" i="8"/>
  <c r="DW89" i="8"/>
  <c r="DX89" i="8"/>
  <c r="DY89" i="8"/>
  <c r="AB89" i="8"/>
  <c r="AF89" i="8"/>
  <c r="AE90" i="8"/>
  <c r="CL90" i="8"/>
  <c r="CM90" i="8"/>
  <c r="CN90" i="8"/>
  <c r="CO90" i="8"/>
  <c r="CP90" i="8"/>
  <c r="CQ90" i="8"/>
  <c r="CR90" i="8"/>
  <c r="CS90" i="8"/>
  <c r="CT90" i="8"/>
  <c r="CU90" i="8"/>
  <c r="CV90" i="8"/>
  <c r="CW90" i="8"/>
  <c r="CX90" i="8"/>
  <c r="CY90" i="8"/>
  <c r="CZ90" i="8"/>
  <c r="DA90" i="8"/>
  <c r="DN90" i="8"/>
  <c r="DO90" i="8"/>
  <c r="DP90" i="8"/>
  <c r="DQ90" i="8"/>
  <c r="DR90" i="8"/>
  <c r="DS90" i="8"/>
  <c r="DT90" i="8"/>
  <c r="DU90" i="8"/>
  <c r="DV90" i="8"/>
  <c r="DW90" i="8"/>
  <c r="DX90" i="8"/>
  <c r="DY90" i="8"/>
  <c r="AB90" i="8"/>
  <c r="AF90" i="8"/>
  <c r="AE91" i="8"/>
  <c r="CL91" i="8"/>
  <c r="CM91" i="8"/>
  <c r="CN91" i="8"/>
  <c r="CO91" i="8"/>
  <c r="CP91" i="8"/>
  <c r="CQ91" i="8"/>
  <c r="CR91" i="8"/>
  <c r="CS91" i="8"/>
  <c r="CT91" i="8"/>
  <c r="CU91" i="8"/>
  <c r="CV91" i="8"/>
  <c r="CW91" i="8"/>
  <c r="CX91" i="8"/>
  <c r="CY91" i="8"/>
  <c r="CZ91" i="8"/>
  <c r="DA91" i="8"/>
  <c r="DN91" i="8"/>
  <c r="DO91" i="8"/>
  <c r="DP91" i="8"/>
  <c r="DQ91" i="8"/>
  <c r="DR91" i="8"/>
  <c r="DS91" i="8"/>
  <c r="DT91" i="8"/>
  <c r="DU91" i="8"/>
  <c r="DV91" i="8"/>
  <c r="DW91" i="8"/>
  <c r="DX91" i="8"/>
  <c r="DY91" i="8"/>
  <c r="AB91" i="8"/>
  <c r="AF91" i="8"/>
  <c r="AE92" i="8"/>
  <c r="CL92" i="8"/>
  <c r="CM92" i="8"/>
  <c r="CN92" i="8"/>
  <c r="CO92" i="8"/>
  <c r="CP92" i="8"/>
  <c r="CQ92" i="8"/>
  <c r="CR92" i="8"/>
  <c r="CS92" i="8"/>
  <c r="CT92" i="8"/>
  <c r="CU92" i="8"/>
  <c r="CV92" i="8"/>
  <c r="CW92" i="8"/>
  <c r="CX92" i="8"/>
  <c r="CY92" i="8"/>
  <c r="CZ92" i="8"/>
  <c r="DA92" i="8"/>
  <c r="DN92" i="8"/>
  <c r="DO92" i="8"/>
  <c r="DP92" i="8"/>
  <c r="DQ92" i="8"/>
  <c r="DR92" i="8"/>
  <c r="DS92" i="8"/>
  <c r="DT92" i="8"/>
  <c r="DU92" i="8"/>
  <c r="DV92" i="8"/>
  <c r="DW92" i="8"/>
  <c r="DX92" i="8"/>
  <c r="DY92" i="8"/>
  <c r="AB92" i="8"/>
  <c r="AF92" i="8"/>
  <c r="AE93" i="8"/>
  <c r="CL93" i="8"/>
  <c r="CM93" i="8"/>
  <c r="CN93" i="8"/>
  <c r="CO93" i="8"/>
  <c r="CP93" i="8"/>
  <c r="CQ93" i="8"/>
  <c r="CR93" i="8"/>
  <c r="CS93" i="8"/>
  <c r="CT93" i="8"/>
  <c r="CU93" i="8"/>
  <c r="CV93" i="8"/>
  <c r="CW93" i="8"/>
  <c r="CX93" i="8"/>
  <c r="CY93" i="8"/>
  <c r="CZ93" i="8"/>
  <c r="DA93" i="8"/>
  <c r="DN93" i="8"/>
  <c r="DO93" i="8"/>
  <c r="DP93" i="8"/>
  <c r="DQ93" i="8"/>
  <c r="DR93" i="8"/>
  <c r="DS93" i="8"/>
  <c r="DT93" i="8"/>
  <c r="DU93" i="8"/>
  <c r="DV93" i="8"/>
  <c r="DW93" i="8"/>
  <c r="DX93" i="8"/>
  <c r="DY93" i="8"/>
  <c r="AB93" i="8"/>
  <c r="AF93" i="8"/>
  <c r="AE94" i="8"/>
  <c r="CL94" i="8"/>
  <c r="CM94" i="8"/>
  <c r="CN94" i="8"/>
  <c r="CO94" i="8"/>
  <c r="CP94" i="8"/>
  <c r="CQ94" i="8"/>
  <c r="CR94" i="8"/>
  <c r="CS94" i="8"/>
  <c r="CT94" i="8"/>
  <c r="CU94" i="8"/>
  <c r="CV94" i="8"/>
  <c r="CW94" i="8"/>
  <c r="CX94" i="8"/>
  <c r="CY94" i="8"/>
  <c r="CZ94" i="8"/>
  <c r="DA94" i="8"/>
  <c r="DN94" i="8"/>
  <c r="DO94" i="8"/>
  <c r="DP94" i="8"/>
  <c r="DQ94" i="8"/>
  <c r="DR94" i="8"/>
  <c r="DS94" i="8"/>
  <c r="DT94" i="8"/>
  <c r="DU94" i="8"/>
  <c r="DV94" i="8"/>
  <c r="DW94" i="8"/>
  <c r="DX94" i="8"/>
  <c r="DY94" i="8"/>
  <c r="AB94" i="8"/>
  <c r="AF94" i="8"/>
  <c r="AE95" i="8"/>
  <c r="CL95" i="8"/>
  <c r="CM95" i="8"/>
  <c r="CN95" i="8"/>
  <c r="CO95" i="8"/>
  <c r="CP95" i="8"/>
  <c r="CQ95" i="8"/>
  <c r="CR95" i="8"/>
  <c r="CS95" i="8"/>
  <c r="CT95" i="8"/>
  <c r="CU95" i="8"/>
  <c r="CV95" i="8"/>
  <c r="CW95" i="8"/>
  <c r="CX95" i="8"/>
  <c r="CY95" i="8"/>
  <c r="CZ95" i="8"/>
  <c r="DA95" i="8"/>
  <c r="DN95" i="8"/>
  <c r="DO95" i="8"/>
  <c r="DP95" i="8"/>
  <c r="DQ95" i="8"/>
  <c r="DR95" i="8"/>
  <c r="DS95" i="8"/>
  <c r="DT95" i="8"/>
  <c r="DU95" i="8"/>
  <c r="DV95" i="8"/>
  <c r="DW95" i="8"/>
  <c r="DX95" i="8"/>
  <c r="DY95" i="8"/>
  <c r="AB95" i="8"/>
  <c r="AF95" i="8"/>
  <c r="AE96" i="8"/>
  <c r="CL96" i="8"/>
  <c r="CM96" i="8"/>
  <c r="CN96" i="8"/>
  <c r="CO96" i="8"/>
  <c r="CP96" i="8"/>
  <c r="CQ96" i="8"/>
  <c r="CR96" i="8"/>
  <c r="CS96" i="8"/>
  <c r="CT96" i="8"/>
  <c r="CU96" i="8"/>
  <c r="CV96" i="8"/>
  <c r="CW96" i="8"/>
  <c r="CX96" i="8"/>
  <c r="CY96" i="8"/>
  <c r="CZ96" i="8"/>
  <c r="DA96" i="8"/>
  <c r="DN96" i="8"/>
  <c r="DO96" i="8"/>
  <c r="DP96" i="8"/>
  <c r="DQ96" i="8"/>
  <c r="DR96" i="8"/>
  <c r="DS96" i="8"/>
  <c r="DT96" i="8"/>
  <c r="DU96" i="8"/>
  <c r="DV96" i="8"/>
  <c r="DW96" i="8"/>
  <c r="DX96" i="8"/>
  <c r="DY96" i="8"/>
  <c r="AB96" i="8"/>
  <c r="AF96" i="8"/>
  <c r="AE97" i="8"/>
  <c r="CL97" i="8"/>
  <c r="CM97" i="8"/>
  <c r="CN97" i="8"/>
  <c r="CO97" i="8"/>
  <c r="CP97" i="8"/>
  <c r="CQ97" i="8"/>
  <c r="CR97" i="8"/>
  <c r="CS97" i="8"/>
  <c r="CT97" i="8"/>
  <c r="CU97" i="8"/>
  <c r="CV97" i="8"/>
  <c r="CW97" i="8"/>
  <c r="CX97" i="8"/>
  <c r="CY97" i="8"/>
  <c r="CZ97" i="8"/>
  <c r="DA97" i="8"/>
  <c r="DN97" i="8"/>
  <c r="DO97" i="8"/>
  <c r="DP97" i="8"/>
  <c r="DQ97" i="8"/>
  <c r="DR97" i="8"/>
  <c r="DS97" i="8"/>
  <c r="DT97" i="8"/>
  <c r="DU97" i="8"/>
  <c r="DV97" i="8"/>
  <c r="DW97" i="8"/>
  <c r="DX97" i="8"/>
  <c r="DY97" i="8"/>
  <c r="AB97" i="8"/>
  <c r="AF97" i="8"/>
  <c r="AE98" i="8"/>
  <c r="CL98" i="8"/>
  <c r="CM98" i="8"/>
  <c r="CN98" i="8"/>
  <c r="CO98" i="8"/>
  <c r="CP98" i="8"/>
  <c r="CQ98" i="8"/>
  <c r="CR98" i="8"/>
  <c r="CS98" i="8"/>
  <c r="CT98" i="8"/>
  <c r="CU98" i="8"/>
  <c r="CV98" i="8"/>
  <c r="CW98" i="8"/>
  <c r="CX98" i="8"/>
  <c r="CY98" i="8"/>
  <c r="CZ98" i="8"/>
  <c r="DA98" i="8"/>
  <c r="DN98" i="8"/>
  <c r="DO98" i="8"/>
  <c r="DP98" i="8"/>
  <c r="DQ98" i="8"/>
  <c r="DR98" i="8"/>
  <c r="DS98" i="8"/>
  <c r="DT98" i="8"/>
  <c r="DU98" i="8"/>
  <c r="DV98" i="8"/>
  <c r="DW98" i="8"/>
  <c r="DX98" i="8"/>
  <c r="DY98" i="8"/>
  <c r="AB98" i="8"/>
  <c r="AF98" i="8"/>
  <c r="AE99" i="8"/>
  <c r="CL99" i="8"/>
  <c r="CM99" i="8"/>
  <c r="CN99" i="8"/>
  <c r="CO99" i="8"/>
  <c r="CP99" i="8"/>
  <c r="CQ99" i="8"/>
  <c r="CR99" i="8"/>
  <c r="CS99" i="8"/>
  <c r="CT99" i="8"/>
  <c r="CU99" i="8"/>
  <c r="CV99" i="8"/>
  <c r="CW99" i="8"/>
  <c r="CX99" i="8"/>
  <c r="CY99" i="8"/>
  <c r="CZ99" i="8"/>
  <c r="DA99" i="8"/>
  <c r="DN99" i="8"/>
  <c r="DO99" i="8"/>
  <c r="DP99" i="8"/>
  <c r="DQ99" i="8"/>
  <c r="DR99" i="8"/>
  <c r="DS99" i="8"/>
  <c r="DT99" i="8"/>
  <c r="DU99" i="8"/>
  <c r="DV99" i="8"/>
  <c r="DW99" i="8"/>
  <c r="DX99" i="8"/>
  <c r="DY99" i="8"/>
  <c r="AB99" i="8"/>
  <c r="AF99" i="8"/>
  <c r="AE100" i="8"/>
  <c r="CL100" i="8"/>
  <c r="CM100" i="8"/>
  <c r="CN100" i="8"/>
  <c r="CO100" i="8"/>
  <c r="CP100" i="8"/>
  <c r="CQ100" i="8"/>
  <c r="CR100" i="8"/>
  <c r="CS100" i="8"/>
  <c r="CT100" i="8"/>
  <c r="CU100" i="8"/>
  <c r="CV100" i="8"/>
  <c r="CW100" i="8"/>
  <c r="CX100" i="8"/>
  <c r="CY100" i="8"/>
  <c r="CZ100" i="8"/>
  <c r="DA100" i="8"/>
  <c r="DN100" i="8"/>
  <c r="DO100" i="8"/>
  <c r="DP100" i="8"/>
  <c r="DQ100" i="8"/>
  <c r="DR100" i="8"/>
  <c r="DS100" i="8"/>
  <c r="DT100" i="8"/>
  <c r="DU100" i="8"/>
  <c r="DV100" i="8"/>
  <c r="DW100" i="8"/>
  <c r="DX100" i="8"/>
  <c r="DY100" i="8"/>
  <c r="AB100" i="8"/>
  <c r="AF100" i="8"/>
  <c r="AE101" i="8"/>
  <c r="CL101" i="8"/>
  <c r="CM101" i="8"/>
  <c r="CN101" i="8"/>
  <c r="CO101" i="8"/>
  <c r="CP101" i="8"/>
  <c r="CQ101" i="8"/>
  <c r="CR101" i="8"/>
  <c r="CS101" i="8"/>
  <c r="CT101" i="8"/>
  <c r="CU101" i="8"/>
  <c r="CV101" i="8"/>
  <c r="CW101" i="8"/>
  <c r="CX101" i="8"/>
  <c r="CY101" i="8"/>
  <c r="CZ101" i="8"/>
  <c r="DA101" i="8"/>
  <c r="DN101" i="8"/>
  <c r="DO101" i="8"/>
  <c r="DP101" i="8"/>
  <c r="DQ101" i="8"/>
  <c r="DR101" i="8"/>
  <c r="DS101" i="8"/>
  <c r="DT101" i="8"/>
  <c r="DU101" i="8"/>
  <c r="DV101" i="8"/>
  <c r="DW101" i="8"/>
  <c r="DX101" i="8"/>
  <c r="DY101" i="8"/>
  <c r="AB101" i="8"/>
  <c r="AF101" i="8"/>
  <c r="AE102" i="8"/>
  <c r="CL102" i="8"/>
  <c r="CM102" i="8"/>
  <c r="CN102" i="8"/>
  <c r="CO102" i="8"/>
  <c r="CP102" i="8"/>
  <c r="CQ102" i="8"/>
  <c r="CR102" i="8"/>
  <c r="CS102" i="8"/>
  <c r="CT102" i="8"/>
  <c r="CU102" i="8"/>
  <c r="CV102" i="8"/>
  <c r="CW102" i="8"/>
  <c r="CX102" i="8"/>
  <c r="CY102" i="8"/>
  <c r="CZ102" i="8"/>
  <c r="DA102" i="8"/>
  <c r="DN102" i="8"/>
  <c r="DO102" i="8"/>
  <c r="DP102" i="8"/>
  <c r="DQ102" i="8"/>
  <c r="DR102" i="8"/>
  <c r="DS102" i="8"/>
  <c r="DT102" i="8"/>
  <c r="DU102" i="8"/>
  <c r="DV102" i="8"/>
  <c r="DW102" i="8"/>
  <c r="DX102" i="8"/>
  <c r="DY102" i="8"/>
  <c r="AB102" i="8"/>
  <c r="AF102" i="8"/>
  <c r="AE103" i="8"/>
  <c r="CL103" i="8"/>
  <c r="CM103" i="8"/>
  <c r="CN103" i="8"/>
  <c r="CO103" i="8"/>
  <c r="CP103" i="8"/>
  <c r="CQ103" i="8"/>
  <c r="CR103" i="8"/>
  <c r="CS103" i="8"/>
  <c r="CT103" i="8"/>
  <c r="CU103" i="8"/>
  <c r="CV103" i="8"/>
  <c r="CW103" i="8"/>
  <c r="CX103" i="8"/>
  <c r="CY103" i="8"/>
  <c r="CZ103" i="8"/>
  <c r="DA103" i="8"/>
  <c r="DN103" i="8"/>
  <c r="DO103" i="8"/>
  <c r="DP103" i="8"/>
  <c r="DQ103" i="8"/>
  <c r="DR103" i="8"/>
  <c r="DS103" i="8"/>
  <c r="DT103" i="8"/>
  <c r="DU103" i="8"/>
  <c r="DV103" i="8"/>
  <c r="DW103" i="8"/>
  <c r="DX103" i="8"/>
  <c r="DY103" i="8"/>
  <c r="AB103" i="8"/>
  <c r="AF103" i="8"/>
  <c r="AE104" i="8"/>
  <c r="CL104" i="8"/>
  <c r="CM104" i="8"/>
  <c r="CN104" i="8"/>
  <c r="CO104" i="8"/>
  <c r="CP104" i="8"/>
  <c r="CQ104" i="8"/>
  <c r="CR104" i="8"/>
  <c r="CS104" i="8"/>
  <c r="CT104" i="8"/>
  <c r="CU104" i="8"/>
  <c r="CV104" i="8"/>
  <c r="CW104" i="8"/>
  <c r="CX104" i="8"/>
  <c r="CY104" i="8"/>
  <c r="CZ104" i="8"/>
  <c r="DA104" i="8"/>
  <c r="DN104" i="8"/>
  <c r="DO104" i="8"/>
  <c r="DP104" i="8"/>
  <c r="DQ104" i="8"/>
  <c r="DR104" i="8"/>
  <c r="DS104" i="8"/>
  <c r="DT104" i="8"/>
  <c r="DU104" i="8"/>
  <c r="DV104" i="8"/>
  <c r="DW104" i="8"/>
  <c r="DX104" i="8"/>
  <c r="DY104" i="8"/>
  <c r="AB104" i="8"/>
  <c r="AF104" i="8"/>
  <c r="AE105" i="8"/>
  <c r="CL105" i="8"/>
  <c r="CM105" i="8"/>
  <c r="CN105" i="8"/>
  <c r="CO105" i="8"/>
  <c r="CP105" i="8"/>
  <c r="CQ105" i="8"/>
  <c r="CR105" i="8"/>
  <c r="CS105" i="8"/>
  <c r="CT105" i="8"/>
  <c r="CU105" i="8"/>
  <c r="CV105" i="8"/>
  <c r="CW105" i="8"/>
  <c r="CX105" i="8"/>
  <c r="CY105" i="8"/>
  <c r="CZ105" i="8"/>
  <c r="DA105" i="8"/>
  <c r="DN105" i="8"/>
  <c r="DO105" i="8"/>
  <c r="DP105" i="8"/>
  <c r="DQ105" i="8"/>
  <c r="DR105" i="8"/>
  <c r="DS105" i="8"/>
  <c r="DT105" i="8"/>
  <c r="DU105" i="8"/>
  <c r="DV105" i="8"/>
  <c r="DW105" i="8"/>
  <c r="DX105" i="8"/>
  <c r="DY105" i="8"/>
  <c r="AB105" i="8"/>
  <c r="AF105" i="8"/>
  <c r="AE106" i="8"/>
  <c r="CL106" i="8"/>
  <c r="CM106" i="8"/>
  <c r="CN106" i="8"/>
  <c r="CO106" i="8"/>
  <c r="CP106" i="8"/>
  <c r="CQ106" i="8"/>
  <c r="CR106" i="8"/>
  <c r="CS106" i="8"/>
  <c r="CT106" i="8"/>
  <c r="CU106" i="8"/>
  <c r="CV106" i="8"/>
  <c r="CW106" i="8"/>
  <c r="CX106" i="8"/>
  <c r="CY106" i="8"/>
  <c r="CZ106" i="8"/>
  <c r="DA106" i="8"/>
  <c r="DN106" i="8"/>
  <c r="DO106" i="8"/>
  <c r="DP106" i="8"/>
  <c r="DQ106" i="8"/>
  <c r="DR106" i="8"/>
  <c r="DS106" i="8"/>
  <c r="DT106" i="8"/>
  <c r="DU106" i="8"/>
  <c r="DV106" i="8"/>
  <c r="DW106" i="8"/>
  <c r="DX106" i="8"/>
  <c r="DY106" i="8"/>
  <c r="AB106" i="8"/>
  <c r="AF106" i="8"/>
  <c r="AE107" i="8"/>
  <c r="CL107" i="8"/>
  <c r="CM107" i="8"/>
  <c r="CN107" i="8"/>
  <c r="CO107" i="8"/>
  <c r="CP107" i="8"/>
  <c r="CQ107" i="8"/>
  <c r="CR107" i="8"/>
  <c r="CS107" i="8"/>
  <c r="CT107" i="8"/>
  <c r="CU107" i="8"/>
  <c r="CV107" i="8"/>
  <c r="CW107" i="8"/>
  <c r="CX107" i="8"/>
  <c r="CY107" i="8"/>
  <c r="CZ107" i="8"/>
  <c r="DA107" i="8"/>
  <c r="DN107" i="8"/>
  <c r="DO107" i="8"/>
  <c r="DP107" i="8"/>
  <c r="DQ107" i="8"/>
  <c r="DR107" i="8"/>
  <c r="DS107" i="8"/>
  <c r="DT107" i="8"/>
  <c r="DU107" i="8"/>
  <c r="DV107" i="8"/>
  <c r="DW107" i="8"/>
  <c r="DX107" i="8"/>
  <c r="DY107" i="8"/>
  <c r="AB107" i="8"/>
  <c r="AF107" i="8"/>
  <c r="AE108" i="8"/>
  <c r="CL108" i="8"/>
  <c r="CM108" i="8"/>
  <c r="CN108" i="8"/>
  <c r="CO108" i="8"/>
  <c r="CP108" i="8"/>
  <c r="CQ108" i="8"/>
  <c r="CR108" i="8"/>
  <c r="CS108" i="8"/>
  <c r="CT108" i="8"/>
  <c r="CU108" i="8"/>
  <c r="CV108" i="8"/>
  <c r="CW108" i="8"/>
  <c r="CX108" i="8"/>
  <c r="CY108" i="8"/>
  <c r="CZ108" i="8"/>
  <c r="DA108" i="8"/>
  <c r="DN108" i="8"/>
  <c r="DO108" i="8"/>
  <c r="DP108" i="8"/>
  <c r="DQ108" i="8"/>
  <c r="DR108" i="8"/>
  <c r="DS108" i="8"/>
  <c r="DT108" i="8"/>
  <c r="DU108" i="8"/>
  <c r="DV108" i="8"/>
  <c r="DW108" i="8"/>
  <c r="DX108" i="8"/>
  <c r="DY108" i="8"/>
  <c r="AB108" i="8"/>
  <c r="AF108" i="8"/>
  <c r="AE109" i="8"/>
  <c r="CL109" i="8"/>
  <c r="CM109" i="8"/>
  <c r="CN109" i="8"/>
  <c r="CO109" i="8"/>
  <c r="CP109" i="8"/>
  <c r="CQ109" i="8"/>
  <c r="CR109" i="8"/>
  <c r="CS109" i="8"/>
  <c r="CT109" i="8"/>
  <c r="CU109" i="8"/>
  <c r="CV109" i="8"/>
  <c r="CW109" i="8"/>
  <c r="CX109" i="8"/>
  <c r="CY109" i="8"/>
  <c r="CZ109" i="8"/>
  <c r="DA109" i="8"/>
  <c r="DN109" i="8"/>
  <c r="DO109" i="8"/>
  <c r="DP109" i="8"/>
  <c r="DQ109" i="8"/>
  <c r="DR109" i="8"/>
  <c r="DS109" i="8"/>
  <c r="DT109" i="8"/>
  <c r="DU109" i="8"/>
  <c r="DV109" i="8"/>
  <c r="DW109" i="8"/>
  <c r="DX109" i="8"/>
  <c r="DY109" i="8"/>
  <c r="AB109" i="8"/>
  <c r="AF109" i="8"/>
  <c r="AE110" i="8"/>
  <c r="CL110" i="8"/>
  <c r="CM110" i="8"/>
  <c r="CN110" i="8"/>
  <c r="CO110" i="8"/>
  <c r="CP110" i="8"/>
  <c r="CQ110" i="8"/>
  <c r="CR110" i="8"/>
  <c r="CS110" i="8"/>
  <c r="CT110" i="8"/>
  <c r="CU110" i="8"/>
  <c r="CV110" i="8"/>
  <c r="CW110" i="8"/>
  <c r="CX110" i="8"/>
  <c r="CY110" i="8"/>
  <c r="CZ110" i="8"/>
  <c r="DA110" i="8"/>
  <c r="DN110" i="8"/>
  <c r="DO110" i="8"/>
  <c r="DP110" i="8"/>
  <c r="DQ110" i="8"/>
  <c r="DR110" i="8"/>
  <c r="DS110" i="8"/>
  <c r="DT110" i="8"/>
  <c r="DU110" i="8"/>
  <c r="DV110" i="8"/>
  <c r="DW110" i="8"/>
  <c r="DX110" i="8"/>
  <c r="DY110" i="8"/>
  <c r="AB110" i="8"/>
  <c r="AF110" i="8"/>
  <c r="AE111" i="8"/>
  <c r="CL111" i="8"/>
  <c r="CM111" i="8"/>
  <c r="CN111" i="8"/>
  <c r="CO111" i="8"/>
  <c r="CP111" i="8"/>
  <c r="CQ111" i="8"/>
  <c r="CR111" i="8"/>
  <c r="CS111" i="8"/>
  <c r="CT111" i="8"/>
  <c r="CU111" i="8"/>
  <c r="CV111" i="8"/>
  <c r="CW111" i="8"/>
  <c r="CX111" i="8"/>
  <c r="CY111" i="8"/>
  <c r="CZ111" i="8"/>
  <c r="DA111" i="8"/>
  <c r="DN111" i="8"/>
  <c r="DO111" i="8"/>
  <c r="DP111" i="8"/>
  <c r="DQ111" i="8"/>
  <c r="DR111" i="8"/>
  <c r="DS111" i="8"/>
  <c r="DT111" i="8"/>
  <c r="DU111" i="8"/>
  <c r="DV111" i="8"/>
  <c r="DW111" i="8"/>
  <c r="DX111" i="8"/>
  <c r="DY111" i="8"/>
  <c r="AB111" i="8"/>
  <c r="AF111" i="8"/>
  <c r="AE112" i="8"/>
  <c r="CL112" i="8"/>
  <c r="CM112" i="8"/>
  <c r="CN112" i="8"/>
  <c r="CO112" i="8"/>
  <c r="CP112" i="8"/>
  <c r="CQ112" i="8"/>
  <c r="CR112" i="8"/>
  <c r="CS112" i="8"/>
  <c r="CT112" i="8"/>
  <c r="CU112" i="8"/>
  <c r="CV112" i="8"/>
  <c r="CW112" i="8"/>
  <c r="CX112" i="8"/>
  <c r="CY112" i="8"/>
  <c r="CZ112" i="8"/>
  <c r="DA112" i="8"/>
  <c r="DN112" i="8"/>
  <c r="DO112" i="8"/>
  <c r="DP112" i="8"/>
  <c r="DQ112" i="8"/>
  <c r="DR112" i="8"/>
  <c r="DS112" i="8"/>
  <c r="DT112" i="8"/>
  <c r="DU112" i="8"/>
  <c r="DV112" i="8"/>
  <c r="DW112" i="8"/>
  <c r="DX112" i="8"/>
  <c r="DY112" i="8"/>
  <c r="AB112" i="8"/>
  <c r="AF112" i="8"/>
  <c r="AE113" i="8"/>
  <c r="CL113" i="8"/>
  <c r="CM113" i="8"/>
  <c r="CN113" i="8"/>
  <c r="CO113" i="8"/>
  <c r="CP113" i="8"/>
  <c r="CQ113" i="8"/>
  <c r="CR113" i="8"/>
  <c r="CS113" i="8"/>
  <c r="CT113" i="8"/>
  <c r="CU113" i="8"/>
  <c r="CV113" i="8"/>
  <c r="CW113" i="8"/>
  <c r="CX113" i="8"/>
  <c r="CY113" i="8"/>
  <c r="CZ113" i="8"/>
  <c r="DA113" i="8"/>
  <c r="DN113" i="8"/>
  <c r="DO113" i="8"/>
  <c r="DP113" i="8"/>
  <c r="DQ113" i="8"/>
  <c r="DR113" i="8"/>
  <c r="DS113" i="8"/>
  <c r="DT113" i="8"/>
  <c r="DU113" i="8"/>
  <c r="DV113" i="8"/>
  <c r="DW113" i="8"/>
  <c r="DX113" i="8"/>
  <c r="DY113" i="8"/>
  <c r="AB113" i="8"/>
  <c r="AF113" i="8"/>
  <c r="AE114" i="8"/>
  <c r="CL114" i="8"/>
  <c r="CM114" i="8"/>
  <c r="CN114" i="8"/>
  <c r="CO114" i="8"/>
  <c r="CP114" i="8"/>
  <c r="CQ114" i="8"/>
  <c r="CR114" i="8"/>
  <c r="CS114" i="8"/>
  <c r="CT114" i="8"/>
  <c r="CU114" i="8"/>
  <c r="CV114" i="8"/>
  <c r="CW114" i="8"/>
  <c r="CX114" i="8"/>
  <c r="CY114" i="8"/>
  <c r="CZ114" i="8"/>
  <c r="DA114" i="8"/>
  <c r="DN114" i="8"/>
  <c r="DO114" i="8"/>
  <c r="DP114" i="8"/>
  <c r="DQ114" i="8"/>
  <c r="DR114" i="8"/>
  <c r="DS114" i="8"/>
  <c r="DT114" i="8"/>
  <c r="DU114" i="8"/>
  <c r="DV114" i="8"/>
  <c r="DW114" i="8"/>
  <c r="DX114" i="8"/>
  <c r="DY114" i="8"/>
  <c r="AB114" i="8"/>
  <c r="AF114" i="8"/>
  <c r="AE115" i="8"/>
  <c r="CL115" i="8"/>
  <c r="CM115" i="8"/>
  <c r="CN115" i="8"/>
  <c r="CO115" i="8"/>
  <c r="CP115" i="8"/>
  <c r="CQ115" i="8"/>
  <c r="CR115" i="8"/>
  <c r="CS115" i="8"/>
  <c r="CT115" i="8"/>
  <c r="CU115" i="8"/>
  <c r="CV115" i="8"/>
  <c r="CW115" i="8"/>
  <c r="CX115" i="8"/>
  <c r="CY115" i="8"/>
  <c r="CZ115" i="8"/>
  <c r="DA115" i="8"/>
  <c r="DN115" i="8"/>
  <c r="DO115" i="8"/>
  <c r="DP115" i="8"/>
  <c r="DQ115" i="8"/>
  <c r="DR115" i="8"/>
  <c r="DS115" i="8"/>
  <c r="DT115" i="8"/>
  <c r="DU115" i="8"/>
  <c r="DV115" i="8"/>
  <c r="DW115" i="8"/>
  <c r="DX115" i="8"/>
  <c r="DY115" i="8"/>
  <c r="AB115" i="8"/>
  <c r="AF115" i="8"/>
  <c r="AE116" i="8"/>
  <c r="CL116" i="8"/>
  <c r="CM116" i="8"/>
  <c r="CN116" i="8"/>
  <c r="CO116" i="8"/>
  <c r="CP116" i="8"/>
  <c r="CQ116" i="8"/>
  <c r="CR116" i="8"/>
  <c r="CS116" i="8"/>
  <c r="CT116" i="8"/>
  <c r="CU116" i="8"/>
  <c r="CV116" i="8"/>
  <c r="CW116" i="8"/>
  <c r="CX116" i="8"/>
  <c r="CY116" i="8"/>
  <c r="CZ116" i="8"/>
  <c r="DA116" i="8"/>
  <c r="DN116" i="8"/>
  <c r="DO116" i="8"/>
  <c r="DP116" i="8"/>
  <c r="DQ116" i="8"/>
  <c r="DR116" i="8"/>
  <c r="DS116" i="8"/>
  <c r="DT116" i="8"/>
  <c r="DU116" i="8"/>
  <c r="DV116" i="8"/>
  <c r="DW116" i="8"/>
  <c r="DX116" i="8"/>
  <c r="DY116" i="8"/>
  <c r="AB116" i="8"/>
  <c r="AF116" i="8"/>
  <c r="AE117" i="8"/>
  <c r="CL117" i="8"/>
  <c r="CM117" i="8"/>
  <c r="CN117" i="8"/>
  <c r="CO117" i="8"/>
  <c r="CP117" i="8"/>
  <c r="CQ117" i="8"/>
  <c r="CR117" i="8"/>
  <c r="CS117" i="8"/>
  <c r="CT117" i="8"/>
  <c r="CU117" i="8"/>
  <c r="CV117" i="8"/>
  <c r="CW117" i="8"/>
  <c r="CX117" i="8"/>
  <c r="CY117" i="8"/>
  <c r="CZ117" i="8"/>
  <c r="DA117" i="8"/>
  <c r="DN117" i="8"/>
  <c r="DO117" i="8"/>
  <c r="DP117" i="8"/>
  <c r="DQ117" i="8"/>
  <c r="DR117" i="8"/>
  <c r="DS117" i="8"/>
  <c r="DT117" i="8"/>
  <c r="DU117" i="8"/>
  <c r="DV117" i="8"/>
  <c r="DW117" i="8"/>
  <c r="DX117" i="8"/>
  <c r="DY117" i="8"/>
  <c r="AB117" i="8"/>
  <c r="AF117" i="8"/>
  <c r="AE118" i="8"/>
  <c r="CL118" i="8"/>
  <c r="CM118" i="8"/>
  <c r="CN118" i="8"/>
  <c r="CO118" i="8"/>
  <c r="CP118" i="8"/>
  <c r="CQ118" i="8"/>
  <c r="CR118" i="8"/>
  <c r="CS118" i="8"/>
  <c r="CT118" i="8"/>
  <c r="CU118" i="8"/>
  <c r="CV118" i="8"/>
  <c r="CW118" i="8"/>
  <c r="CX118" i="8"/>
  <c r="CY118" i="8"/>
  <c r="CZ118" i="8"/>
  <c r="DA118" i="8"/>
  <c r="DN118" i="8"/>
  <c r="DO118" i="8"/>
  <c r="DP118" i="8"/>
  <c r="DQ118" i="8"/>
  <c r="DR118" i="8"/>
  <c r="DS118" i="8"/>
  <c r="DT118" i="8"/>
  <c r="DU118" i="8"/>
  <c r="DV118" i="8"/>
  <c r="DW118" i="8"/>
  <c r="DX118" i="8"/>
  <c r="DY118" i="8"/>
  <c r="AB118" i="8"/>
  <c r="AF118" i="8"/>
  <c r="AE119" i="8"/>
  <c r="CL119" i="8"/>
  <c r="CM119" i="8"/>
  <c r="CN119" i="8"/>
  <c r="CO119" i="8"/>
  <c r="CP119" i="8"/>
  <c r="CQ119" i="8"/>
  <c r="CR119" i="8"/>
  <c r="CS119" i="8"/>
  <c r="CT119" i="8"/>
  <c r="CU119" i="8"/>
  <c r="CV119" i="8"/>
  <c r="CW119" i="8"/>
  <c r="CX119" i="8"/>
  <c r="CY119" i="8"/>
  <c r="CZ119" i="8"/>
  <c r="DA119" i="8"/>
  <c r="DN119" i="8"/>
  <c r="DO119" i="8"/>
  <c r="DP119" i="8"/>
  <c r="DQ119" i="8"/>
  <c r="DR119" i="8"/>
  <c r="DS119" i="8"/>
  <c r="DT119" i="8"/>
  <c r="DU119" i="8"/>
  <c r="DV119" i="8"/>
  <c r="DW119" i="8"/>
  <c r="DX119" i="8"/>
  <c r="DY119" i="8"/>
  <c r="AB119" i="8"/>
  <c r="AF119" i="8"/>
  <c r="AE120" i="8"/>
  <c r="CL120" i="8"/>
  <c r="CM120" i="8"/>
  <c r="CN120" i="8"/>
  <c r="CO120" i="8"/>
  <c r="CP120" i="8"/>
  <c r="CQ120" i="8"/>
  <c r="CR120" i="8"/>
  <c r="CS120" i="8"/>
  <c r="CT120" i="8"/>
  <c r="CU120" i="8"/>
  <c r="CV120" i="8"/>
  <c r="CW120" i="8"/>
  <c r="CX120" i="8"/>
  <c r="CY120" i="8"/>
  <c r="CZ120" i="8"/>
  <c r="DA120" i="8"/>
  <c r="DN120" i="8"/>
  <c r="DO120" i="8"/>
  <c r="DP120" i="8"/>
  <c r="DQ120" i="8"/>
  <c r="DR120" i="8"/>
  <c r="DS120" i="8"/>
  <c r="DT120" i="8"/>
  <c r="DU120" i="8"/>
  <c r="DV120" i="8"/>
  <c r="DW120" i="8"/>
  <c r="DX120" i="8"/>
  <c r="DY120" i="8"/>
  <c r="AB120" i="8"/>
  <c r="AF120" i="8"/>
  <c r="AE121" i="8"/>
  <c r="CL121" i="8"/>
  <c r="CM121" i="8"/>
  <c r="CN121" i="8"/>
  <c r="CO121" i="8"/>
  <c r="CP121" i="8"/>
  <c r="CQ121" i="8"/>
  <c r="CR121" i="8"/>
  <c r="CS121" i="8"/>
  <c r="CT121" i="8"/>
  <c r="CU121" i="8"/>
  <c r="CV121" i="8"/>
  <c r="CW121" i="8"/>
  <c r="CX121" i="8"/>
  <c r="CY121" i="8"/>
  <c r="CZ121" i="8"/>
  <c r="DA121" i="8"/>
  <c r="DN121" i="8"/>
  <c r="DO121" i="8"/>
  <c r="DP121" i="8"/>
  <c r="DQ121" i="8"/>
  <c r="DR121" i="8"/>
  <c r="DS121" i="8"/>
  <c r="DT121" i="8"/>
  <c r="DU121" i="8"/>
  <c r="DV121" i="8"/>
  <c r="DW121" i="8"/>
  <c r="DX121" i="8"/>
  <c r="DY121" i="8"/>
  <c r="AB121" i="8"/>
  <c r="AF121" i="8"/>
  <c r="AE122" i="8"/>
  <c r="CL122" i="8"/>
  <c r="CM122" i="8"/>
  <c r="CN122" i="8"/>
  <c r="CO122" i="8"/>
  <c r="CP122" i="8"/>
  <c r="CQ122" i="8"/>
  <c r="CR122" i="8"/>
  <c r="CS122" i="8"/>
  <c r="CT122" i="8"/>
  <c r="CU122" i="8"/>
  <c r="CV122" i="8"/>
  <c r="CW122" i="8"/>
  <c r="CX122" i="8"/>
  <c r="CY122" i="8"/>
  <c r="CZ122" i="8"/>
  <c r="DA122" i="8"/>
  <c r="DN122" i="8"/>
  <c r="DO122" i="8"/>
  <c r="DP122" i="8"/>
  <c r="DQ122" i="8"/>
  <c r="DR122" i="8"/>
  <c r="DS122" i="8"/>
  <c r="DT122" i="8"/>
  <c r="DU122" i="8"/>
  <c r="DV122" i="8"/>
  <c r="DW122" i="8"/>
  <c r="DX122" i="8"/>
  <c r="DY122" i="8"/>
  <c r="AB122" i="8"/>
  <c r="AF122" i="8"/>
  <c r="AE123" i="8"/>
  <c r="CL123" i="8"/>
  <c r="CM123" i="8"/>
  <c r="CN123" i="8"/>
  <c r="CO123" i="8"/>
  <c r="CP123" i="8"/>
  <c r="CQ123" i="8"/>
  <c r="CR123" i="8"/>
  <c r="CS123" i="8"/>
  <c r="CT123" i="8"/>
  <c r="CU123" i="8"/>
  <c r="CV123" i="8"/>
  <c r="CW123" i="8"/>
  <c r="CX123" i="8"/>
  <c r="CY123" i="8"/>
  <c r="CZ123" i="8"/>
  <c r="DA123" i="8"/>
  <c r="DN123" i="8"/>
  <c r="DO123" i="8"/>
  <c r="DP123" i="8"/>
  <c r="DQ123" i="8"/>
  <c r="DR123" i="8"/>
  <c r="DS123" i="8"/>
  <c r="DT123" i="8"/>
  <c r="DU123" i="8"/>
  <c r="DV123" i="8"/>
  <c r="DW123" i="8"/>
  <c r="DX123" i="8"/>
  <c r="DY123" i="8"/>
  <c r="AB123" i="8"/>
  <c r="AF123" i="8"/>
  <c r="AE124" i="8"/>
  <c r="CL124" i="8"/>
  <c r="CM124" i="8"/>
  <c r="CN124" i="8"/>
  <c r="CO124" i="8"/>
  <c r="CP124" i="8"/>
  <c r="CQ124" i="8"/>
  <c r="CR124" i="8"/>
  <c r="CS124" i="8"/>
  <c r="CT124" i="8"/>
  <c r="CU124" i="8"/>
  <c r="CV124" i="8"/>
  <c r="CW124" i="8"/>
  <c r="CX124" i="8"/>
  <c r="CY124" i="8"/>
  <c r="CZ124" i="8"/>
  <c r="DA124" i="8"/>
  <c r="DN124" i="8"/>
  <c r="DO124" i="8"/>
  <c r="DP124" i="8"/>
  <c r="DQ124" i="8"/>
  <c r="DR124" i="8"/>
  <c r="DS124" i="8"/>
  <c r="DT124" i="8"/>
  <c r="DU124" i="8"/>
  <c r="DV124" i="8"/>
  <c r="DW124" i="8"/>
  <c r="DX124" i="8"/>
  <c r="DY124" i="8"/>
  <c r="AB124" i="8"/>
  <c r="AF124" i="8"/>
  <c r="AE125" i="8"/>
  <c r="CL125" i="8"/>
  <c r="CM125" i="8"/>
  <c r="CN125" i="8"/>
  <c r="CO125" i="8"/>
  <c r="CP125" i="8"/>
  <c r="CQ125" i="8"/>
  <c r="CR125" i="8"/>
  <c r="CS125" i="8"/>
  <c r="CT125" i="8"/>
  <c r="CU125" i="8"/>
  <c r="CV125" i="8"/>
  <c r="CW125" i="8"/>
  <c r="CX125" i="8"/>
  <c r="CY125" i="8"/>
  <c r="CZ125" i="8"/>
  <c r="DA125" i="8"/>
  <c r="DN125" i="8"/>
  <c r="DO125" i="8"/>
  <c r="DP125" i="8"/>
  <c r="DQ125" i="8"/>
  <c r="DR125" i="8"/>
  <c r="DS125" i="8"/>
  <c r="DT125" i="8"/>
  <c r="DU125" i="8"/>
  <c r="DV125" i="8"/>
  <c r="DW125" i="8"/>
  <c r="DX125" i="8"/>
  <c r="DY125" i="8"/>
  <c r="AB125" i="8"/>
  <c r="AF125" i="8"/>
  <c r="AE126" i="8"/>
  <c r="CL126" i="8"/>
  <c r="CM126" i="8"/>
  <c r="CN126" i="8"/>
  <c r="CO126" i="8"/>
  <c r="CP126" i="8"/>
  <c r="CQ126" i="8"/>
  <c r="CR126" i="8"/>
  <c r="CS126" i="8"/>
  <c r="CT126" i="8"/>
  <c r="CU126" i="8"/>
  <c r="CV126" i="8"/>
  <c r="CW126" i="8"/>
  <c r="CX126" i="8"/>
  <c r="CY126" i="8"/>
  <c r="CZ126" i="8"/>
  <c r="DA126" i="8"/>
  <c r="DN126" i="8"/>
  <c r="DO126" i="8"/>
  <c r="DP126" i="8"/>
  <c r="DQ126" i="8"/>
  <c r="DR126" i="8"/>
  <c r="DS126" i="8"/>
  <c r="DT126" i="8"/>
  <c r="DU126" i="8"/>
  <c r="DV126" i="8"/>
  <c r="DW126" i="8"/>
  <c r="DX126" i="8"/>
  <c r="DY126" i="8"/>
  <c r="AB126" i="8"/>
  <c r="AF126" i="8"/>
  <c r="AE127" i="8"/>
  <c r="CL127" i="8"/>
  <c r="CM127" i="8"/>
  <c r="CN127" i="8"/>
  <c r="CO127" i="8"/>
  <c r="CP127" i="8"/>
  <c r="CQ127" i="8"/>
  <c r="CR127" i="8"/>
  <c r="CS127" i="8"/>
  <c r="CT127" i="8"/>
  <c r="CU127" i="8"/>
  <c r="CV127" i="8"/>
  <c r="CW127" i="8"/>
  <c r="CX127" i="8"/>
  <c r="CY127" i="8"/>
  <c r="CZ127" i="8"/>
  <c r="DA127" i="8"/>
  <c r="DN127" i="8"/>
  <c r="DO127" i="8"/>
  <c r="DP127" i="8"/>
  <c r="DQ127" i="8"/>
  <c r="DR127" i="8"/>
  <c r="DS127" i="8"/>
  <c r="DT127" i="8"/>
  <c r="DU127" i="8"/>
  <c r="DV127" i="8"/>
  <c r="DW127" i="8"/>
  <c r="DX127" i="8"/>
  <c r="DY127" i="8"/>
  <c r="AB127" i="8"/>
  <c r="AF127" i="8"/>
  <c r="AE128" i="8"/>
  <c r="CL128" i="8"/>
  <c r="CM128" i="8"/>
  <c r="CN128" i="8"/>
  <c r="CO128" i="8"/>
  <c r="CP128" i="8"/>
  <c r="CQ128" i="8"/>
  <c r="CR128" i="8"/>
  <c r="CS128" i="8"/>
  <c r="CT128" i="8"/>
  <c r="CU128" i="8"/>
  <c r="CV128" i="8"/>
  <c r="CW128" i="8"/>
  <c r="CX128" i="8"/>
  <c r="CY128" i="8"/>
  <c r="CZ128" i="8"/>
  <c r="DA128" i="8"/>
  <c r="DN128" i="8"/>
  <c r="DO128" i="8"/>
  <c r="DP128" i="8"/>
  <c r="DQ128" i="8"/>
  <c r="DR128" i="8"/>
  <c r="DS128" i="8"/>
  <c r="DT128" i="8"/>
  <c r="DU128" i="8"/>
  <c r="DV128" i="8"/>
  <c r="DW128" i="8"/>
  <c r="DX128" i="8"/>
  <c r="DY128" i="8"/>
  <c r="AB128" i="8"/>
  <c r="AF128" i="8"/>
  <c r="AE129" i="8"/>
  <c r="CL129" i="8"/>
  <c r="CM129" i="8"/>
  <c r="CN129" i="8"/>
  <c r="CO129" i="8"/>
  <c r="CP129" i="8"/>
  <c r="CQ129" i="8"/>
  <c r="CR129" i="8"/>
  <c r="CS129" i="8"/>
  <c r="CT129" i="8"/>
  <c r="CU129" i="8"/>
  <c r="CV129" i="8"/>
  <c r="CW129" i="8"/>
  <c r="CX129" i="8"/>
  <c r="CY129" i="8"/>
  <c r="CZ129" i="8"/>
  <c r="DA129" i="8"/>
  <c r="DN129" i="8"/>
  <c r="DO129" i="8"/>
  <c r="DP129" i="8"/>
  <c r="DQ129" i="8"/>
  <c r="DR129" i="8"/>
  <c r="DS129" i="8"/>
  <c r="DT129" i="8"/>
  <c r="DU129" i="8"/>
  <c r="DV129" i="8"/>
  <c r="DW129" i="8"/>
  <c r="DX129" i="8"/>
  <c r="DY129" i="8"/>
  <c r="AB129" i="8"/>
  <c r="AF129" i="8"/>
  <c r="AE130" i="8"/>
  <c r="CL130" i="8"/>
  <c r="CM130" i="8"/>
  <c r="CN130" i="8"/>
  <c r="CO130" i="8"/>
  <c r="CP130" i="8"/>
  <c r="CQ130" i="8"/>
  <c r="CR130" i="8"/>
  <c r="CS130" i="8"/>
  <c r="CT130" i="8"/>
  <c r="CU130" i="8"/>
  <c r="CV130" i="8"/>
  <c r="CW130" i="8"/>
  <c r="CX130" i="8"/>
  <c r="CY130" i="8"/>
  <c r="CZ130" i="8"/>
  <c r="DA130" i="8"/>
  <c r="DN130" i="8"/>
  <c r="DO130" i="8"/>
  <c r="DP130" i="8"/>
  <c r="DQ130" i="8"/>
  <c r="DR130" i="8"/>
  <c r="DS130" i="8"/>
  <c r="DT130" i="8"/>
  <c r="DU130" i="8"/>
  <c r="DV130" i="8"/>
  <c r="DW130" i="8"/>
  <c r="DX130" i="8"/>
  <c r="DY130" i="8"/>
  <c r="AB130" i="8"/>
  <c r="AF130" i="8"/>
  <c r="AE131" i="8"/>
  <c r="CL131" i="8"/>
  <c r="CM131" i="8"/>
  <c r="CN131" i="8"/>
  <c r="CO131" i="8"/>
  <c r="CP131" i="8"/>
  <c r="CQ131" i="8"/>
  <c r="CR131" i="8"/>
  <c r="CS131" i="8"/>
  <c r="CT131" i="8"/>
  <c r="CU131" i="8"/>
  <c r="CV131" i="8"/>
  <c r="CW131" i="8"/>
  <c r="CX131" i="8"/>
  <c r="CY131" i="8"/>
  <c r="CZ131" i="8"/>
  <c r="DA131" i="8"/>
  <c r="DN131" i="8"/>
  <c r="DO131" i="8"/>
  <c r="DP131" i="8"/>
  <c r="DQ131" i="8"/>
  <c r="DR131" i="8"/>
  <c r="DS131" i="8"/>
  <c r="DT131" i="8"/>
  <c r="DU131" i="8"/>
  <c r="DV131" i="8"/>
  <c r="DW131" i="8"/>
  <c r="DX131" i="8"/>
  <c r="DY131" i="8"/>
  <c r="AB131" i="8"/>
  <c r="AF131" i="8"/>
  <c r="AE132" i="8"/>
  <c r="CL132" i="8"/>
  <c r="CM132" i="8"/>
  <c r="CN132" i="8"/>
  <c r="CO132" i="8"/>
  <c r="CP132" i="8"/>
  <c r="CQ132" i="8"/>
  <c r="CR132" i="8"/>
  <c r="CS132" i="8"/>
  <c r="CT132" i="8"/>
  <c r="CU132" i="8"/>
  <c r="CV132" i="8"/>
  <c r="CW132" i="8"/>
  <c r="CX132" i="8"/>
  <c r="CY132" i="8"/>
  <c r="CZ132" i="8"/>
  <c r="DA132" i="8"/>
  <c r="DN132" i="8"/>
  <c r="DO132" i="8"/>
  <c r="DP132" i="8"/>
  <c r="DQ132" i="8"/>
  <c r="DR132" i="8"/>
  <c r="DS132" i="8"/>
  <c r="DT132" i="8"/>
  <c r="DU132" i="8"/>
  <c r="DV132" i="8"/>
  <c r="DW132" i="8"/>
  <c r="DX132" i="8"/>
  <c r="DY132" i="8"/>
  <c r="AB132" i="8"/>
  <c r="AF132" i="8"/>
  <c r="AE133" i="8"/>
  <c r="CL133" i="8"/>
  <c r="CM133" i="8"/>
  <c r="CN133" i="8"/>
  <c r="CO133" i="8"/>
  <c r="CP133" i="8"/>
  <c r="CQ133" i="8"/>
  <c r="CR133" i="8"/>
  <c r="CS133" i="8"/>
  <c r="CT133" i="8"/>
  <c r="CU133" i="8"/>
  <c r="CV133" i="8"/>
  <c r="CW133" i="8"/>
  <c r="CX133" i="8"/>
  <c r="CY133" i="8"/>
  <c r="CZ133" i="8"/>
  <c r="DA133" i="8"/>
  <c r="DN133" i="8"/>
  <c r="DO133" i="8"/>
  <c r="DP133" i="8"/>
  <c r="DQ133" i="8"/>
  <c r="DR133" i="8"/>
  <c r="DS133" i="8"/>
  <c r="DT133" i="8"/>
  <c r="DU133" i="8"/>
  <c r="DV133" i="8"/>
  <c r="DW133" i="8"/>
  <c r="DX133" i="8"/>
  <c r="DY133" i="8"/>
  <c r="AB133" i="8"/>
  <c r="AF133" i="8"/>
  <c r="AE134" i="8"/>
  <c r="CL134" i="8"/>
  <c r="CM134" i="8"/>
  <c r="CN134" i="8"/>
  <c r="CO134" i="8"/>
  <c r="CP134" i="8"/>
  <c r="CQ134" i="8"/>
  <c r="CR134" i="8"/>
  <c r="CS134" i="8"/>
  <c r="CT134" i="8"/>
  <c r="CU134" i="8"/>
  <c r="CV134" i="8"/>
  <c r="CW134" i="8"/>
  <c r="CX134" i="8"/>
  <c r="CY134" i="8"/>
  <c r="CZ134" i="8"/>
  <c r="DA134" i="8"/>
  <c r="DN134" i="8"/>
  <c r="DO134" i="8"/>
  <c r="DP134" i="8"/>
  <c r="DQ134" i="8"/>
  <c r="DR134" i="8"/>
  <c r="DS134" i="8"/>
  <c r="DT134" i="8"/>
  <c r="DU134" i="8"/>
  <c r="DV134" i="8"/>
  <c r="DW134" i="8"/>
  <c r="DX134" i="8"/>
  <c r="DY134" i="8"/>
  <c r="AB134" i="8"/>
  <c r="AF134" i="8"/>
  <c r="AE135" i="8"/>
  <c r="CL135" i="8"/>
  <c r="CM135" i="8"/>
  <c r="CN135" i="8"/>
  <c r="CO135" i="8"/>
  <c r="CP135" i="8"/>
  <c r="CQ135" i="8"/>
  <c r="CR135" i="8"/>
  <c r="CS135" i="8"/>
  <c r="CT135" i="8"/>
  <c r="CU135" i="8"/>
  <c r="CV135" i="8"/>
  <c r="CW135" i="8"/>
  <c r="CX135" i="8"/>
  <c r="CY135" i="8"/>
  <c r="CZ135" i="8"/>
  <c r="DA135" i="8"/>
  <c r="DN135" i="8"/>
  <c r="DO135" i="8"/>
  <c r="DP135" i="8"/>
  <c r="DQ135" i="8"/>
  <c r="DR135" i="8"/>
  <c r="DS135" i="8"/>
  <c r="DT135" i="8"/>
  <c r="DU135" i="8"/>
  <c r="DV135" i="8"/>
  <c r="DW135" i="8"/>
  <c r="DX135" i="8"/>
  <c r="DY135" i="8"/>
  <c r="AB135" i="8"/>
  <c r="AF135" i="8"/>
  <c r="AE136" i="8"/>
  <c r="CL136" i="8"/>
  <c r="CM136" i="8"/>
  <c r="CN136" i="8"/>
  <c r="CO136" i="8"/>
  <c r="CP136" i="8"/>
  <c r="CQ136" i="8"/>
  <c r="CR136" i="8"/>
  <c r="CS136" i="8"/>
  <c r="CT136" i="8"/>
  <c r="CU136" i="8"/>
  <c r="CV136" i="8"/>
  <c r="CW136" i="8"/>
  <c r="CX136" i="8"/>
  <c r="CY136" i="8"/>
  <c r="CZ136" i="8"/>
  <c r="DA136" i="8"/>
  <c r="DN136" i="8"/>
  <c r="DO136" i="8"/>
  <c r="DP136" i="8"/>
  <c r="DQ136" i="8"/>
  <c r="DR136" i="8"/>
  <c r="DS136" i="8"/>
  <c r="DT136" i="8"/>
  <c r="DU136" i="8"/>
  <c r="DV136" i="8"/>
  <c r="DW136" i="8"/>
  <c r="DX136" i="8"/>
  <c r="DY136" i="8"/>
  <c r="AB136" i="8"/>
  <c r="AF136" i="8"/>
  <c r="AE7" i="8"/>
  <c r="CL7" i="8"/>
  <c r="CM7" i="8"/>
  <c r="CN7" i="8"/>
  <c r="CO7" i="8"/>
  <c r="CP7" i="8"/>
  <c r="CQ7" i="8"/>
  <c r="CR7" i="8"/>
  <c r="CS7" i="8"/>
  <c r="CT7" i="8"/>
  <c r="CU7" i="8"/>
  <c r="CV7" i="8"/>
  <c r="CW7" i="8"/>
  <c r="CX7" i="8"/>
  <c r="CY7" i="8"/>
  <c r="CZ7" i="8"/>
  <c r="DA7" i="8"/>
  <c r="DN7" i="8"/>
  <c r="DO7" i="8"/>
  <c r="DP7" i="8"/>
  <c r="DQ7" i="8"/>
  <c r="DR7" i="8"/>
  <c r="DS7" i="8"/>
  <c r="DT7" i="8"/>
  <c r="DU7" i="8"/>
  <c r="DV7" i="8"/>
  <c r="DW7" i="8"/>
  <c r="DX7" i="8"/>
  <c r="DY7" i="8"/>
  <c r="AB7" i="8"/>
  <c r="AF7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CK139" i="8" a="1"/>
  <c r="CL139" i="8"/>
  <c r="CO139" i="8"/>
  <c r="CQ139" i="8"/>
  <c r="CL140" i="8"/>
  <c r="CO140" i="8"/>
  <c r="CQ140" i="8"/>
  <c r="CL141" i="8"/>
  <c r="CO141" i="8"/>
  <c r="CQ141" i="8"/>
  <c r="CL142" i="8"/>
  <c r="CO142" i="8"/>
  <c r="CQ142" i="8"/>
  <c r="CL143" i="8"/>
  <c r="CO143" i="8"/>
  <c r="CQ143" i="8"/>
  <c r="CL144" i="8"/>
  <c r="CO144" i="8"/>
  <c r="CQ144" i="8"/>
  <c r="CL145" i="8"/>
  <c r="CO145" i="8"/>
  <c r="CQ145" i="8"/>
  <c r="CL146" i="8"/>
  <c r="CO146" i="8"/>
  <c r="CQ146" i="8"/>
  <c r="CL147" i="8"/>
  <c r="CO147" i="8"/>
  <c r="CQ147" i="8"/>
  <c r="CL148" i="8"/>
  <c r="CO148" i="8"/>
  <c r="CQ148" i="8"/>
  <c r="CL149" i="8"/>
  <c r="CO149" i="8"/>
  <c r="CQ149" i="8"/>
  <c r="CL150" i="8"/>
  <c r="CO150" i="8"/>
  <c r="CQ150" i="8"/>
  <c r="CL151" i="8"/>
  <c r="CO151" i="8"/>
  <c r="CQ151" i="8"/>
  <c r="CL152" i="8"/>
  <c r="CO152" i="8"/>
  <c r="CQ152" i="8"/>
  <c r="CL153" i="8"/>
  <c r="CO153" i="8"/>
  <c r="CQ153" i="8"/>
  <c r="CL154" i="8"/>
  <c r="CO154" i="8"/>
  <c r="CQ154" i="8"/>
  <c r="CL155" i="8"/>
  <c r="CO155" i="8"/>
  <c r="CQ155" i="8"/>
  <c r="CL156" i="8"/>
  <c r="CO156" i="8"/>
  <c r="CQ156" i="8"/>
  <c r="CL157" i="8"/>
  <c r="CO157" i="8"/>
  <c r="CQ157" i="8"/>
  <c r="CL158" i="8"/>
  <c r="CO158" i="8"/>
  <c r="CQ158" i="8"/>
  <c r="CL159" i="8"/>
  <c r="CO159" i="8"/>
  <c r="CQ159" i="8"/>
  <c r="CL160" i="8"/>
  <c r="CO160" i="8"/>
  <c r="CQ160" i="8"/>
  <c r="CL161" i="8"/>
  <c r="CO161" i="8"/>
  <c r="CQ161" i="8"/>
  <c r="CL162" i="8"/>
  <c r="CO162" i="8"/>
  <c r="CQ162" i="8"/>
  <c r="CL163" i="8"/>
  <c r="CO163" i="8"/>
  <c r="CQ163" i="8"/>
  <c r="CL164" i="8"/>
  <c r="CO164" i="8"/>
  <c r="CQ164" i="8"/>
  <c r="CL165" i="8"/>
  <c r="CO165" i="8"/>
  <c r="CQ165" i="8"/>
  <c r="CL166" i="8"/>
  <c r="CO166" i="8"/>
  <c r="CQ166" i="8"/>
  <c r="CL167" i="8"/>
  <c r="CO167" i="8"/>
  <c r="CQ167" i="8"/>
  <c r="CL168" i="8"/>
  <c r="CO168" i="8"/>
  <c r="CQ168" i="8"/>
  <c r="CL169" i="8"/>
  <c r="CO169" i="8"/>
  <c r="CQ169" i="8"/>
  <c r="CL170" i="8"/>
  <c r="CO170" i="8"/>
  <c r="CQ170" i="8"/>
  <c r="CL171" i="8"/>
  <c r="CO171" i="8"/>
  <c r="CQ171" i="8"/>
  <c r="CL172" i="8"/>
  <c r="CO172" i="8"/>
  <c r="CQ172" i="8"/>
  <c r="CL173" i="8"/>
  <c r="CO173" i="8"/>
  <c r="CQ173" i="8"/>
  <c r="CL174" i="8"/>
  <c r="CO174" i="8"/>
  <c r="CQ174" i="8"/>
  <c r="CL175" i="8"/>
  <c r="CO175" i="8"/>
  <c r="CQ175" i="8"/>
  <c r="CL176" i="8"/>
  <c r="CO176" i="8"/>
  <c r="CQ176" i="8"/>
  <c r="CL177" i="8"/>
  <c r="CO177" i="8"/>
  <c r="CQ177" i="8"/>
  <c r="CL178" i="8"/>
  <c r="CO178" i="8"/>
  <c r="CQ178" i="8"/>
  <c r="CL179" i="8"/>
  <c r="CO179" i="8"/>
  <c r="CQ179" i="8"/>
  <c r="CL180" i="8"/>
  <c r="CO180" i="8"/>
  <c r="CQ180" i="8"/>
  <c r="CL181" i="8"/>
  <c r="CO181" i="8"/>
  <c r="CQ181" i="8"/>
  <c r="CL182" i="8"/>
  <c r="CO182" i="8"/>
  <c r="CQ182" i="8"/>
  <c r="CL183" i="8"/>
  <c r="CO183" i="8"/>
  <c r="CQ183" i="8"/>
  <c r="CL184" i="8"/>
  <c r="CO184" i="8"/>
  <c r="CQ184" i="8"/>
  <c r="CL185" i="8"/>
  <c r="CO185" i="8"/>
  <c r="CQ185" i="8"/>
  <c r="CL186" i="8"/>
  <c r="CO186" i="8"/>
  <c r="CQ186" i="8"/>
  <c r="CL187" i="8"/>
  <c r="CO187" i="8"/>
  <c r="CQ187" i="8"/>
  <c r="CL188" i="8"/>
  <c r="CO188" i="8"/>
  <c r="CQ188" i="8"/>
  <c r="CL189" i="8"/>
  <c r="CO189" i="8"/>
  <c r="CQ189" i="8"/>
  <c r="CL190" i="8"/>
  <c r="CO190" i="8"/>
  <c r="CQ190" i="8"/>
  <c r="CL191" i="8"/>
  <c r="CO191" i="8"/>
  <c r="CQ191" i="8"/>
  <c r="CL192" i="8"/>
  <c r="CO192" i="8"/>
  <c r="CQ192" i="8"/>
  <c r="CL193" i="8"/>
  <c r="CO193" i="8"/>
  <c r="CQ193" i="8"/>
  <c r="CL194" i="8"/>
  <c r="CO194" i="8"/>
  <c r="CQ194" i="8"/>
  <c r="CL195" i="8"/>
  <c r="CO195" i="8"/>
  <c r="CQ195" i="8"/>
  <c r="CL196" i="8"/>
  <c r="CO196" i="8"/>
  <c r="CQ196" i="8"/>
  <c r="CL197" i="8"/>
  <c r="CO197" i="8"/>
  <c r="CQ197" i="8"/>
  <c r="CL198" i="8"/>
  <c r="CO198" i="8"/>
  <c r="CQ198" i="8"/>
  <c r="CL199" i="8"/>
  <c r="CO199" i="8"/>
  <c r="CQ199" i="8"/>
  <c r="CL200" i="8"/>
  <c r="CO200" i="8"/>
  <c r="CQ200" i="8"/>
  <c r="CL201" i="8"/>
  <c r="CO201" i="8"/>
  <c r="CQ201" i="8"/>
  <c r="CL202" i="8"/>
  <c r="CO202" i="8"/>
  <c r="CQ202" i="8"/>
  <c r="CL203" i="8"/>
  <c r="CO203" i="8"/>
  <c r="CQ203" i="8"/>
  <c r="CL204" i="8"/>
  <c r="CO204" i="8"/>
  <c r="CQ204" i="8"/>
  <c r="CL205" i="8"/>
  <c r="CO205" i="8"/>
  <c r="CQ205" i="8"/>
  <c r="CL206" i="8"/>
  <c r="CO206" i="8"/>
  <c r="CQ206" i="8"/>
  <c r="CL207" i="8"/>
  <c r="CO207" i="8"/>
  <c r="CQ207" i="8"/>
  <c r="CL208" i="8"/>
  <c r="CO208" i="8"/>
  <c r="CQ208" i="8"/>
  <c r="CL209" i="8"/>
  <c r="CO209" i="8"/>
  <c r="CQ209" i="8"/>
  <c r="CL210" i="8"/>
  <c r="CO210" i="8"/>
  <c r="CQ210" i="8"/>
  <c r="CL211" i="8"/>
  <c r="CO211" i="8"/>
  <c r="CQ211" i="8"/>
  <c r="CL212" i="8"/>
  <c r="CO212" i="8"/>
  <c r="CQ212" i="8"/>
  <c r="CL213" i="8"/>
  <c r="CO213" i="8"/>
  <c r="CQ213" i="8"/>
  <c r="CL214" i="8"/>
  <c r="CO214" i="8"/>
  <c r="CQ214" i="8"/>
  <c r="CL215" i="8"/>
  <c r="CO215" i="8"/>
  <c r="CQ215" i="8"/>
  <c r="CL216" i="8"/>
  <c r="CO216" i="8"/>
  <c r="CQ216" i="8"/>
  <c r="CL217" i="8"/>
  <c r="CO217" i="8"/>
  <c r="CQ217" i="8"/>
  <c r="CL218" i="8"/>
  <c r="CO218" i="8"/>
  <c r="CQ218" i="8"/>
  <c r="CL219" i="8"/>
  <c r="CO219" i="8"/>
  <c r="CQ219" i="8"/>
  <c r="CL220" i="8"/>
  <c r="CO220" i="8"/>
  <c r="CQ220" i="8"/>
  <c r="CL221" i="8"/>
  <c r="CO221" i="8"/>
  <c r="CQ221" i="8"/>
  <c r="CL222" i="8"/>
  <c r="CO222" i="8"/>
  <c r="CQ222" i="8"/>
  <c r="CL223" i="8"/>
  <c r="CO223" i="8"/>
  <c r="CQ223" i="8"/>
  <c r="CL224" i="8"/>
  <c r="CO224" i="8"/>
  <c r="CQ224" i="8"/>
  <c r="CL225" i="8"/>
  <c r="CO225" i="8"/>
  <c r="CQ225" i="8"/>
  <c r="CL226" i="8"/>
  <c r="CO226" i="8"/>
  <c r="CQ226" i="8"/>
  <c r="CL227" i="8"/>
  <c r="CO227" i="8"/>
  <c r="CQ227" i="8"/>
  <c r="CL228" i="8"/>
  <c r="CO228" i="8"/>
  <c r="CQ228" i="8"/>
  <c r="CL229" i="8"/>
  <c r="CO229" i="8"/>
  <c r="CQ229" i="8"/>
  <c r="CL230" i="8"/>
  <c r="CO230" i="8"/>
  <c r="CQ230" i="8"/>
  <c r="CL231" i="8"/>
  <c r="CO231" i="8"/>
  <c r="CQ231" i="8"/>
  <c r="CL232" i="8"/>
  <c r="CO232" i="8"/>
  <c r="CQ232" i="8"/>
  <c r="CL233" i="8"/>
  <c r="CO233" i="8"/>
  <c r="CQ233" i="8"/>
  <c r="CL234" i="8"/>
  <c r="CO234" i="8"/>
  <c r="CQ234" i="8"/>
  <c r="CL235" i="8"/>
  <c r="CO235" i="8"/>
  <c r="CQ235" i="8"/>
  <c r="CL236" i="8"/>
  <c r="CO236" i="8"/>
  <c r="CQ236" i="8"/>
  <c r="CL237" i="8"/>
  <c r="CO237" i="8"/>
  <c r="CQ237" i="8"/>
  <c r="CL238" i="8"/>
  <c r="CO238" i="8"/>
  <c r="CQ238" i="8"/>
  <c r="CL239" i="8"/>
  <c r="CO239" i="8"/>
  <c r="CQ239" i="8"/>
  <c r="CL240" i="8"/>
  <c r="CO240" i="8"/>
  <c r="CQ240" i="8"/>
  <c r="CL241" i="8"/>
  <c r="CO241" i="8"/>
  <c r="CQ241" i="8"/>
  <c r="CL242" i="8"/>
  <c r="CO242" i="8"/>
  <c r="CQ242" i="8"/>
  <c r="CL243" i="8"/>
  <c r="CO243" i="8"/>
  <c r="CQ243" i="8"/>
  <c r="CL244" i="8"/>
  <c r="CO244" i="8"/>
  <c r="CQ244" i="8"/>
  <c r="CL245" i="8"/>
  <c r="CO245" i="8"/>
  <c r="CQ245" i="8"/>
  <c r="CL246" i="8"/>
  <c r="CO246" i="8"/>
  <c r="CQ246" i="8"/>
  <c r="CL247" i="8"/>
  <c r="CO247" i="8"/>
  <c r="CQ247" i="8"/>
  <c r="CL248" i="8"/>
  <c r="CO248" i="8"/>
  <c r="CQ248" i="8"/>
  <c r="CL249" i="8"/>
  <c r="CO249" i="8"/>
  <c r="CQ249" i="8"/>
  <c r="CL250" i="8"/>
  <c r="CO250" i="8"/>
  <c r="CQ250" i="8"/>
  <c r="CL251" i="8"/>
  <c r="CO251" i="8"/>
  <c r="CQ251" i="8"/>
  <c r="CL252" i="8"/>
  <c r="CO252" i="8"/>
  <c r="CQ252" i="8"/>
  <c r="CL253" i="8"/>
  <c r="CO253" i="8"/>
  <c r="CQ253" i="8"/>
  <c r="CL254" i="8"/>
  <c r="CO254" i="8"/>
  <c r="CQ254" i="8"/>
  <c r="CL255" i="8"/>
  <c r="CO255" i="8"/>
  <c r="CQ255" i="8"/>
  <c r="CL256" i="8"/>
  <c r="CO256" i="8"/>
  <c r="CQ256" i="8"/>
  <c r="CL257" i="8"/>
  <c r="CO257" i="8"/>
  <c r="CQ257" i="8"/>
  <c r="CL258" i="8"/>
  <c r="CO258" i="8"/>
  <c r="CQ258" i="8"/>
  <c r="CL259" i="8"/>
  <c r="CO259" i="8"/>
  <c r="CQ259" i="8"/>
  <c r="CL260" i="8"/>
  <c r="CO260" i="8"/>
  <c r="CQ260" i="8"/>
  <c r="CL261" i="8"/>
  <c r="CO261" i="8"/>
  <c r="CQ261" i="8"/>
  <c r="CL262" i="8"/>
  <c r="CO262" i="8"/>
  <c r="CQ262" i="8"/>
  <c r="CL263" i="8"/>
  <c r="CO263" i="8"/>
  <c r="CQ263" i="8"/>
  <c r="CL264" i="8"/>
  <c r="CO264" i="8"/>
  <c r="CQ264" i="8"/>
  <c r="CL265" i="8"/>
  <c r="CO265" i="8"/>
  <c r="CQ265" i="8"/>
  <c r="CL266" i="8"/>
  <c r="CO266" i="8"/>
  <c r="CQ266" i="8"/>
  <c r="CL267" i="8"/>
  <c r="CO267" i="8"/>
  <c r="CQ267" i="8"/>
  <c r="CL268" i="8"/>
  <c r="CO268" i="8"/>
  <c r="CQ268" i="8"/>
  <c r="CL269" i="8"/>
  <c r="CL270" i="8"/>
  <c r="CL271" i="8"/>
  <c r="CK139" i="8"/>
  <c r="CK7" i="8"/>
  <c r="CM139" i="8"/>
  <c r="CN139" i="8"/>
  <c r="CP139" i="8"/>
  <c r="CL272" i="8"/>
  <c r="CK140" i="8"/>
  <c r="CK8" i="8"/>
  <c r="CM140" i="8"/>
  <c r="CN140" i="8"/>
  <c r="CP140" i="8"/>
  <c r="CL273" i="8"/>
  <c r="CK141" i="8"/>
  <c r="CK9" i="8"/>
  <c r="CM141" i="8"/>
  <c r="CN141" i="8"/>
  <c r="CP141" i="8"/>
  <c r="CL274" i="8"/>
  <c r="CK142" i="8"/>
  <c r="CK10" i="8"/>
  <c r="CM142" i="8"/>
  <c r="CN142" i="8"/>
  <c r="CP142" i="8"/>
  <c r="CL275" i="8"/>
  <c r="CK143" i="8"/>
  <c r="CK11" i="8"/>
  <c r="CM143" i="8"/>
  <c r="CN143" i="8"/>
  <c r="CP143" i="8"/>
  <c r="CL276" i="8"/>
  <c r="CK144" i="8"/>
  <c r="CK12" i="8"/>
  <c r="CM144" i="8"/>
  <c r="CN144" i="8"/>
  <c r="CP144" i="8"/>
  <c r="CL277" i="8"/>
  <c r="CK145" i="8"/>
  <c r="CK13" i="8"/>
  <c r="CM145" i="8"/>
  <c r="CN145" i="8"/>
  <c r="CP145" i="8"/>
  <c r="CL278" i="8"/>
  <c r="CK146" i="8"/>
  <c r="CK14" i="8"/>
  <c r="CM146" i="8"/>
  <c r="CN146" i="8"/>
  <c r="CP146" i="8"/>
  <c r="CL279" i="8"/>
  <c r="CK147" i="8"/>
  <c r="CK15" i="8"/>
  <c r="CM147" i="8"/>
  <c r="CN147" i="8"/>
  <c r="CP147" i="8"/>
  <c r="CL280" i="8"/>
  <c r="CK148" i="8"/>
  <c r="CK16" i="8"/>
  <c r="CM148" i="8"/>
  <c r="CN148" i="8"/>
  <c r="CP148" i="8"/>
  <c r="CL281" i="8"/>
  <c r="CK149" i="8"/>
  <c r="CK17" i="8"/>
  <c r="CM149" i="8"/>
  <c r="CN149" i="8"/>
  <c r="CP149" i="8"/>
  <c r="CL282" i="8"/>
  <c r="CK150" i="8"/>
  <c r="CK18" i="8"/>
  <c r="CM150" i="8"/>
  <c r="CN150" i="8"/>
  <c r="CP150" i="8"/>
  <c r="CL283" i="8"/>
  <c r="CK151" i="8"/>
  <c r="CK19" i="8"/>
  <c r="CM151" i="8"/>
  <c r="CN151" i="8"/>
  <c r="CP151" i="8"/>
  <c r="CL284" i="8"/>
  <c r="CK152" i="8"/>
  <c r="CK20" i="8"/>
  <c r="CM152" i="8"/>
  <c r="CN152" i="8"/>
  <c r="CP152" i="8"/>
  <c r="CL285" i="8"/>
  <c r="CK153" i="8"/>
  <c r="CK21" i="8"/>
  <c r="CM153" i="8"/>
  <c r="CN153" i="8"/>
  <c r="CP153" i="8"/>
  <c r="CL286" i="8"/>
  <c r="CK154" i="8"/>
  <c r="CK22" i="8"/>
  <c r="CM154" i="8"/>
  <c r="CN154" i="8"/>
  <c r="CP154" i="8"/>
  <c r="CL287" i="8"/>
  <c r="CK155" i="8"/>
  <c r="CK23" i="8"/>
  <c r="CM155" i="8"/>
  <c r="CN155" i="8"/>
  <c r="CP155" i="8"/>
  <c r="CL288" i="8"/>
  <c r="CK156" i="8"/>
  <c r="CK24" i="8"/>
  <c r="CM156" i="8"/>
  <c r="CN156" i="8"/>
  <c r="CP156" i="8"/>
  <c r="CL289" i="8"/>
  <c r="CK157" i="8"/>
  <c r="CK25" i="8"/>
  <c r="CM157" i="8"/>
  <c r="CN157" i="8"/>
  <c r="CP157" i="8"/>
  <c r="CL290" i="8"/>
  <c r="CK158" i="8"/>
  <c r="CK26" i="8"/>
  <c r="CM158" i="8"/>
  <c r="CN158" i="8"/>
  <c r="CP158" i="8"/>
  <c r="CL291" i="8"/>
  <c r="CK159" i="8"/>
  <c r="CK27" i="8"/>
  <c r="CM159" i="8"/>
  <c r="CN159" i="8"/>
  <c r="CP159" i="8"/>
  <c r="CL292" i="8"/>
  <c r="CK160" i="8"/>
  <c r="CK28" i="8"/>
  <c r="CM160" i="8"/>
  <c r="CN160" i="8"/>
  <c r="CP160" i="8"/>
  <c r="CL293" i="8"/>
  <c r="CK161" i="8"/>
  <c r="CK29" i="8"/>
  <c r="CM161" i="8"/>
  <c r="CN161" i="8"/>
  <c r="CP161" i="8"/>
  <c r="CL294" i="8"/>
  <c r="CK162" i="8"/>
  <c r="CK30" i="8"/>
  <c r="CM162" i="8"/>
  <c r="CN162" i="8"/>
  <c r="CP162" i="8"/>
  <c r="CL295" i="8"/>
  <c r="CK163" i="8"/>
  <c r="CK31" i="8"/>
  <c r="CM163" i="8"/>
  <c r="CN163" i="8"/>
  <c r="CP163" i="8"/>
  <c r="CL296" i="8"/>
  <c r="CK164" i="8"/>
  <c r="CK32" i="8"/>
  <c r="CM164" i="8"/>
  <c r="CN164" i="8"/>
  <c r="CP164" i="8"/>
  <c r="CL297" i="8"/>
  <c r="CK165" i="8"/>
  <c r="CK33" i="8"/>
  <c r="CM165" i="8"/>
  <c r="CN165" i="8"/>
  <c r="CP165" i="8"/>
  <c r="CL298" i="8"/>
  <c r="CK166" i="8"/>
  <c r="CK34" i="8"/>
  <c r="CM166" i="8"/>
  <c r="CN166" i="8"/>
  <c r="CP166" i="8"/>
  <c r="CL299" i="8"/>
  <c r="CK167" i="8"/>
  <c r="CK35" i="8"/>
  <c r="CM167" i="8"/>
  <c r="CN167" i="8"/>
  <c r="CP167" i="8"/>
  <c r="CL300" i="8"/>
  <c r="CK168" i="8"/>
  <c r="CK36" i="8"/>
  <c r="CM168" i="8"/>
  <c r="CN168" i="8"/>
  <c r="CP168" i="8"/>
  <c r="CL301" i="8"/>
  <c r="CK169" i="8"/>
  <c r="CK37" i="8"/>
  <c r="CM169" i="8"/>
  <c r="CN169" i="8"/>
  <c r="CP169" i="8"/>
  <c r="CL302" i="8"/>
  <c r="CK170" i="8"/>
  <c r="CK38" i="8"/>
  <c r="CM170" i="8"/>
  <c r="CN170" i="8"/>
  <c r="CP170" i="8"/>
  <c r="CL303" i="8"/>
  <c r="CK171" i="8"/>
  <c r="CK39" i="8"/>
  <c r="CM171" i="8"/>
  <c r="CN171" i="8"/>
  <c r="CP171" i="8"/>
  <c r="CL304" i="8"/>
  <c r="CK172" i="8"/>
  <c r="CK40" i="8"/>
  <c r="CM172" i="8"/>
  <c r="CN172" i="8"/>
  <c r="CP172" i="8"/>
  <c r="CL305" i="8"/>
  <c r="CK173" i="8"/>
  <c r="CK41" i="8"/>
  <c r="CM173" i="8"/>
  <c r="CN173" i="8"/>
  <c r="CP173" i="8"/>
  <c r="CL306" i="8"/>
  <c r="CK174" i="8"/>
  <c r="CK42" i="8"/>
  <c r="CM174" i="8"/>
  <c r="CN174" i="8"/>
  <c r="CP174" i="8"/>
  <c r="CL307" i="8"/>
  <c r="CK175" i="8"/>
  <c r="CK43" i="8"/>
  <c r="CM175" i="8"/>
  <c r="CN175" i="8"/>
  <c r="CP175" i="8"/>
  <c r="CL308" i="8"/>
  <c r="CK176" i="8"/>
  <c r="CK44" i="8"/>
  <c r="CM176" i="8"/>
  <c r="CN176" i="8"/>
  <c r="CP176" i="8"/>
  <c r="CL309" i="8"/>
  <c r="CK177" i="8"/>
  <c r="CK45" i="8"/>
  <c r="CM177" i="8"/>
  <c r="CN177" i="8"/>
  <c r="CP177" i="8"/>
  <c r="CL310" i="8"/>
  <c r="CK178" i="8"/>
  <c r="CK46" i="8"/>
  <c r="CM178" i="8"/>
  <c r="CN178" i="8"/>
  <c r="CP178" i="8"/>
  <c r="CL311" i="8"/>
  <c r="CK179" i="8"/>
  <c r="CK47" i="8"/>
  <c r="CM179" i="8"/>
  <c r="CN179" i="8"/>
  <c r="CP179" i="8"/>
  <c r="CL312" i="8"/>
  <c r="CK180" i="8"/>
  <c r="CK48" i="8"/>
  <c r="CM180" i="8"/>
  <c r="CN180" i="8"/>
  <c r="CP180" i="8"/>
  <c r="CL313" i="8"/>
  <c r="CK181" i="8"/>
  <c r="CK49" i="8"/>
  <c r="CM181" i="8"/>
  <c r="CN181" i="8"/>
  <c r="CP181" i="8"/>
  <c r="CL314" i="8"/>
  <c r="CK182" i="8"/>
  <c r="CK50" i="8"/>
  <c r="CM182" i="8"/>
  <c r="CN182" i="8"/>
  <c r="CP182" i="8"/>
  <c r="CL315" i="8"/>
  <c r="CK183" i="8"/>
  <c r="CK51" i="8"/>
  <c r="CM183" i="8"/>
  <c r="CN183" i="8"/>
  <c r="CP183" i="8"/>
  <c r="CL316" i="8"/>
  <c r="CK184" i="8"/>
  <c r="CK52" i="8"/>
  <c r="CM184" i="8"/>
  <c r="CN184" i="8"/>
  <c r="CP184" i="8"/>
  <c r="CL317" i="8"/>
  <c r="CK185" i="8"/>
  <c r="CK53" i="8"/>
  <c r="CM185" i="8"/>
  <c r="CN185" i="8"/>
  <c r="CP185" i="8"/>
  <c r="CL318" i="8"/>
  <c r="CK186" i="8"/>
  <c r="CK54" i="8"/>
  <c r="CM186" i="8"/>
  <c r="CN186" i="8"/>
  <c r="CP186" i="8"/>
  <c r="CL319" i="8"/>
  <c r="CK187" i="8"/>
  <c r="CK55" i="8"/>
  <c r="CM187" i="8"/>
  <c r="CN187" i="8"/>
  <c r="CP187" i="8"/>
  <c r="CL320" i="8"/>
  <c r="CK188" i="8"/>
  <c r="CK56" i="8"/>
  <c r="CM188" i="8"/>
  <c r="CN188" i="8"/>
  <c r="CP188" i="8"/>
  <c r="CL321" i="8"/>
  <c r="CK189" i="8"/>
  <c r="CK57" i="8"/>
  <c r="CM189" i="8"/>
  <c r="CN189" i="8"/>
  <c r="CP189" i="8"/>
  <c r="CL322" i="8"/>
  <c r="CK190" i="8"/>
  <c r="CK58" i="8"/>
  <c r="CM190" i="8"/>
  <c r="CN190" i="8"/>
  <c r="CP190" i="8"/>
  <c r="CL323" i="8"/>
  <c r="CK191" i="8"/>
  <c r="CK59" i="8"/>
  <c r="CM191" i="8"/>
  <c r="CN191" i="8"/>
  <c r="CP191" i="8"/>
  <c r="CL324" i="8"/>
  <c r="CK192" i="8"/>
  <c r="CK60" i="8"/>
  <c r="CM192" i="8"/>
  <c r="CN192" i="8"/>
  <c r="CP192" i="8"/>
  <c r="CL325" i="8"/>
  <c r="CK193" i="8"/>
  <c r="CK61" i="8"/>
  <c r="CM193" i="8"/>
  <c r="CN193" i="8"/>
  <c r="CP193" i="8"/>
  <c r="CL326" i="8"/>
  <c r="CK194" i="8"/>
  <c r="CK62" i="8"/>
  <c r="CM194" i="8"/>
  <c r="CN194" i="8"/>
  <c r="CP194" i="8"/>
  <c r="CL327" i="8"/>
  <c r="CK195" i="8"/>
  <c r="CK63" i="8"/>
  <c r="CM195" i="8"/>
  <c r="CN195" i="8"/>
  <c r="CP195" i="8"/>
  <c r="CL328" i="8"/>
  <c r="CK196" i="8"/>
  <c r="CK64" i="8"/>
  <c r="CM196" i="8"/>
  <c r="CN196" i="8"/>
  <c r="CP196" i="8"/>
  <c r="CL329" i="8"/>
  <c r="CK197" i="8"/>
  <c r="CK65" i="8"/>
  <c r="CM197" i="8"/>
  <c r="CN197" i="8"/>
  <c r="CP197" i="8"/>
  <c r="CL330" i="8"/>
  <c r="CK198" i="8"/>
  <c r="CK66" i="8"/>
  <c r="CM198" i="8"/>
  <c r="CN198" i="8"/>
  <c r="CP198" i="8"/>
  <c r="CL331" i="8"/>
  <c r="CK199" i="8"/>
  <c r="CK67" i="8"/>
  <c r="CM199" i="8"/>
  <c r="CN199" i="8"/>
  <c r="CP199" i="8"/>
  <c r="CL332" i="8"/>
  <c r="CK200" i="8"/>
  <c r="CK68" i="8"/>
  <c r="CM200" i="8"/>
  <c r="CN200" i="8"/>
  <c r="CP200" i="8"/>
  <c r="CL333" i="8"/>
  <c r="CK201" i="8"/>
  <c r="CK69" i="8"/>
  <c r="CM201" i="8"/>
  <c r="CN201" i="8"/>
  <c r="CP201" i="8"/>
  <c r="CL334" i="8"/>
  <c r="CK202" i="8"/>
  <c r="CK70" i="8"/>
  <c r="CM202" i="8"/>
  <c r="CN202" i="8"/>
  <c r="CP202" i="8"/>
  <c r="CL335" i="8"/>
  <c r="CK203" i="8"/>
  <c r="CK71" i="8"/>
  <c r="CM203" i="8"/>
  <c r="CN203" i="8"/>
  <c r="CP203" i="8"/>
  <c r="CL336" i="8"/>
  <c r="CK204" i="8"/>
  <c r="CK72" i="8"/>
  <c r="CM204" i="8"/>
  <c r="CN204" i="8"/>
  <c r="CP204" i="8"/>
  <c r="CL337" i="8"/>
  <c r="CK205" i="8"/>
  <c r="CK73" i="8"/>
  <c r="CM205" i="8"/>
  <c r="CN205" i="8"/>
  <c r="CP205" i="8"/>
  <c r="CL338" i="8"/>
  <c r="CK206" i="8"/>
  <c r="CK74" i="8"/>
  <c r="CM206" i="8"/>
  <c r="CN206" i="8"/>
  <c r="CP206" i="8"/>
  <c r="CL339" i="8"/>
  <c r="CK207" i="8"/>
  <c r="CK75" i="8"/>
  <c r="CM207" i="8"/>
  <c r="CN207" i="8"/>
  <c r="CP207" i="8"/>
  <c r="CL340" i="8"/>
  <c r="CK208" i="8"/>
  <c r="CK76" i="8"/>
  <c r="CM208" i="8"/>
  <c r="CN208" i="8"/>
  <c r="CP208" i="8"/>
  <c r="CL341" i="8"/>
  <c r="CK209" i="8"/>
  <c r="CK77" i="8"/>
  <c r="CM209" i="8"/>
  <c r="CN209" i="8"/>
  <c r="CP209" i="8"/>
  <c r="CL342" i="8"/>
  <c r="CK210" i="8"/>
  <c r="CK78" i="8"/>
  <c r="CM210" i="8"/>
  <c r="CN210" i="8"/>
  <c r="CP210" i="8"/>
  <c r="CL343" i="8"/>
  <c r="CK211" i="8"/>
  <c r="CK79" i="8"/>
  <c r="CM211" i="8"/>
  <c r="CN211" i="8"/>
  <c r="CP211" i="8"/>
  <c r="CL344" i="8"/>
  <c r="CK212" i="8"/>
  <c r="CK80" i="8"/>
  <c r="CM212" i="8"/>
  <c r="CN212" i="8"/>
  <c r="CP212" i="8"/>
  <c r="CL345" i="8"/>
  <c r="CK213" i="8"/>
  <c r="CK81" i="8"/>
  <c r="CM213" i="8"/>
  <c r="CN213" i="8"/>
  <c r="CP213" i="8"/>
  <c r="CL346" i="8"/>
  <c r="CK214" i="8"/>
  <c r="CK82" i="8"/>
  <c r="CM214" i="8"/>
  <c r="CN214" i="8"/>
  <c r="CP214" i="8"/>
  <c r="CL347" i="8"/>
  <c r="CK215" i="8"/>
  <c r="CK83" i="8"/>
  <c r="CM215" i="8"/>
  <c r="CN215" i="8"/>
  <c r="CP215" i="8"/>
  <c r="CL348" i="8"/>
  <c r="CK216" i="8"/>
  <c r="CK84" i="8"/>
  <c r="CM216" i="8"/>
  <c r="CN216" i="8"/>
  <c r="CP216" i="8"/>
  <c r="CL349" i="8"/>
  <c r="CK217" i="8"/>
  <c r="CK85" i="8"/>
  <c r="CM217" i="8"/>
  <c r="CN217" i="8"/>
  <c r="CP217" i="8"/>
  <c r="CL350" i="8"/>
  <c r="CK218" i="8"/>
  <c r="CK86" i="8"/>
  <c r="CM218" i="8"/>
  <c r="CN218" i="8"/>
  <c r="CP218" i="8"/>
  <c r="CL351" i="8"/>
  <c r="CK219" i="8"/>
  <c r="CK87" i="8"/>
  <c r="CM219" i="8"/>
  <c r="CN219" i="8"/>
  <c r="CP219" i="8"/>
  <c r="CL352" i="8"/>
  <c r="CK220" i="8"/>
  <c r="CK88" i="8"/>
  <c r="CM220" i="8"/>
  <c r="CN220" i="8"/>
  <c r="CP220" i="8"/>
  <c r="CL353" i="8"/>
  <c r="CK221" i="8"/>
  <c r="CK89" i="8"/>
  <c r="CM221" i="8"/>
  <c r="CN221" i="8"/>
  <c r="CP221" i="8"/>
  <c r="CL354" i="8"/>
  <c r="CK222" i="8"/>
  <c r="CK90" i="8"/>
  <c r="CM222" i="8"/>
  <c r="CN222" i="8"/>
  <c r="CP222" i="8"/>
  <c r="CL355" i="8"/>
  <c r="CK223" i="8"/>
  <c r="CK91" i="8"/>
  <c r="CM223" i="8"/>
  <c r="CN223" i="8"/>
  <c r="CP223" i="8"/>
  <c r="CL356" i="8"/>
  <c r="CK224" i="8"/>
  <c r="CK92" i="8"/>
  <c r="CM224" i="8"/>
  <c r="CN224" i="8"/>
  <c r="CP224" i="8"/>
  <c r="CL357" i="8"/>
  <c r="CK225" i="8"/>
  <c r="CK93" i="8"/>
  <c r="CM225" i="8"/>
  <c r="CN225" i="8"/>
  <c r="CP225" i="8"/>
  <c r="CL358" i="8"/>
  <c r="CK226" i="8"/>
  <c r="CK94" i="8"/>
  <c r="CM226" i="8"/>
  <c r="CN226" i="8"/>
  <c r="CP226" i="8"/>
  <c r="CL359" i="8"/>
  <c r="CK227" i="8"/>
  <c r="CK95" i="8"/>
  <c r="CM227" i="8"/>
  <c r="CN227" i="8"/>
  <c r="CP227" i="8"/>
  <c r="CL360" i="8"/>
  <c r="CK228" i="8"/>
  <c r="CK96" i="8"/>
  <c r="CM228" i="8"/>
  <c r="CN228" i="8"/>
  <c r="CP228" i="8"/>
  <c r="CL361" i="8"/>
  <c r="CK229" i="8"/>
  <c r="CK97" i="8"/>
  <c r="CM229" i="8"/>
  <c r="CN229" i="8"/>
  <c r="CP229" i="8"/>
  <c r="CL362" i="8"/>
  <c r="CK230" i="8"/>
  <c r="CK98" i="8"/>
  <c r="CM230" i="8"/>
  <c r="CN230" i="8"/>
  <c r="CP230" i="8"/>
  <c r="CL363" i="8"/>
  <c r="CK231" i="8"/>
  <c r="CK99" i="8"/>
  <c r="CM231" i="8"/>
  <c r="CN231" i="8"/>
  <c r="CP231" i="8"/>
  <c r="CL364" i="8"/>
  <c r="CK232" i="8"/>
  <c r="CK100" i="8"/>
  <c r="CM232" i="8"/>
  <c r="CN232" i="8"/>
  <c r="CP232" i="8"/>
  <c r="CL365" i="8"/>
  <c r="CK233" i="8"/>
  <c r="CK101" i="8"/>
  <c r="CM233" i="8"/>
  <c r="CN233" i="8"/>
  <c r="CP233" i="8"/>
  <c r="CL366" i="8"/>
  <c r="CK234" i="8"/>
  <c r="CK102" i="8"/>
  <c r="CM234" i="8"/>
  <c r="CN234" i="8"/>
  <c r="CP234" i="8"/>
  <c r="CL367" i="8"/>
  <c r="CK235" i="8"/>
  <c r="CK103" i="8"/>
  <c r="CM235" i="8"/>
  <c r="CN235" i="8"/>
  <c r="CP235" i="8"/>
  <c r="CL368" i="8"/>
  <c r="CK236" i="8"/>
  <c r="CK104" i="8"/>
  <c r="CM236" i="8"/>
  <c r="CN236" i="8"/>
  <c r="CP236" i="8"/>
  <c r="CL369" i="8"/>
  <c r="CK237" i="8"/>
  <c r="CK105" i="8"/>
  <c r="CM237" i="8"/>
  <c r="CN237" i="8"/>
  <c r="CP237" i="8"/>
  <c r="CL370" i="8"/>
  <c r="CK238" i="8"/>
  <c r="CK106" i="8"/>
  <c r="CM238" i="8"/>
  <c r="CN238" i="8"/>
  <c r="CP238" i="8"/>
  <c r="CL371" i="8"/>
  <c r="CK239" i="8"/>
  <c r="CK107" i="8"/>
  <c r="CM239" i="8"/>
  <c r="CN239" i="8"/>
  <c r="CP239" i="8"/>
  <c r="CL372" i="8"/>
  <c r="CK240" i="8"/>
  <c r="CK108" i="8"/>
  <c r="CM240" i="8"/>
  <c r="CN240" i="8"/>
  <c r="CP240" i="8"/>
  <c r="CL373" i="8"/>
  <c r="CK241" i="8"/>
  <c r="CK109" i="8"/>
  <c r="CM241" i="8"/>
  <c r="CN241" i="8"/>
  <c r="CP241" i="8"/>
  <c r="CL374" i="8"/>
  <c r="CK242" i="8"/>
  <c r="CK110" i="8"/>
  <c r="CM242" i="8"/>
  <c r="CN242" i="8"/>
  <c r="CP242" i="8"/>
  <c r="CL375" i="8"/>
  <c r="CK243" i="8"/>
  <c r="CK111" i="8"/>
  <c r="CM243" i="8"/>
  <c r="CN243" i="8"/>
  <c r="CP243" i="8"/>
  <c r="CL376" i="8"/>
  <c r="CK244" i="8"/>
  <c r="CK112" i="8"/>
  <c r="CM244" i="8"/>
  <c r="CN244" i="8"/>
  <c r="CP244" i="8"/>
  <c r="CL377" i="8"/>
  <c r="CK245" i="8"/>
  <c r="CK113" i="8"/>
  <c r="CM245" i="8"/>
  <c r="CN245" i="8"/>
  <c r="CP245" i="8"/>
  <c r="CL378" i="8"/>
  <c r="CK246" i="8"/>
  <c r="CK114" i="8"/>
  <c r="CM246" i="8"/>
  <c r="CN246" i="8"/>
  <c r="CP246" i="8"/>
  <c r="CL379" i="8"/>
  <c r="CK247" i="8"/>
  <c r="CK115" i="8"/>
  <c r="CM247" i="8"/>
  <c r="CN247" i="8"/>
  <c r="CP247" i="8"/>
  <c r="CL380" i="8"/>
  <c r="CK248" i="8"/>
  <c r="CK116" i="8"/>
  <c r="CM248" i="8"/>
  <c r="CN248" i="8"/>
  <c r="CP248" i="8"/>
  <c r="CL381" i="8"/>
  <c r="CK249" i="8"/>
  <c r="CK117" i="8"/>
  <c r="CM249" i="8"/>
  <c r="CN249" i="8"/>
  <c r="CP249" i="8"/>
  <c r="CL382" i="8"/>
  <c r="CK250" i="8"/>
  <c r="CK118" i="8"/>
  <c r="CM250" i="8"/>
  <c r="CN250" i="8"/>
  <c r="CP250" i="8"/>
  <c r="CL383" i="8"/>
  <c r="CK251" i="8"/>
  <c r="CK119" i="8"/>
  <c r="CM251" i="8"/>
  <c r="CN251" i="8"/>
  <c r="CP251" i="8"/>
  <c r="CL384" i="8"/>
  <c r="CK252" i="8"/>
  <c r="CK120" i="8"/>
  <c r="CM252" i="8"/>
  <c r="CN252" i="8"/>
  <c r="CP252" i="8"/>
  <c r="CL385" i="8"/>
  <c r="CK253" i="8"/>
  <c r="CK121" i="8"/>
  <c r="CM253" i="8"/>
  <c r="CN253" i="8"/>
  <c r="CP253" i="8"/>
  <c r="CL386" i="8"/>
  <c r="CK254" i="8"/>
  <c r="CK122" i="8"/>
  <c r="CM254" i="8"/>
  <c r="CN254" i="8"/>
  <c r="CP254" i="8"/>
  <c r="CL387" i="8"/>
  <c r="CK255" i="8"/>
  <c r="CK123" i="8"/>
  <c r="CM255" i="8"/>
  <c r="CN255" i="8"/>
  <c r="CP255" i="8"/>
  <c r="CL388" i="8"/>
  <c r="CK256" i="8"/>
  <c r="CK124" i="8"/>
  <c r="CM256" i="8"/>
  <c r="CN256" i="8"/>
  <c r="CP256" i="8"/>
  <c r="CL389" i="8"/>
  <c r="CK257" i="8"/>
  <c r="CK125" i="8"/>
  <c r="CM257" i="8"/>
  <c r="CN257" i="8"/>
  <c r="CP257" i="8"/>
  <c r="CL390" i="8"/>
  <c r="CK258" i="8"/>
  <c r="CK126" i="8"/>
  <c r="CM258" i="8"/>
  <c r="CN258" i="8"/>
  <c r="CP258" i="8"/>
  <c r="CL391" i="8"/>
  <c r="CK259" i="8"/>
  <c r="CK127" i="8"/>
  <c r="CM259" i="8"/>
  <c r="CN259" i="8"/>
  <c r="CP259" i="8"/>
  <c r="CL392" i="8"/>
  <c r="CK260" i="8"/>
  <c r="CK128" i="8"/>
  <c r="CM260" i="8"/>
  <c r="CN260" i="8"/>
  <c r="CP260" i="8"/>
  <c r="CL393" i="8"/>
  <c r="CK261" i="8"/>
  <c r="CK129" i="8"/>
  <c r="CM261" i="8"/>
  <c r="CN261" i="8"/>
  <c r="CP261" i="8"/>
  <c r="CL394" i="8"/>
  <c r="CK262" i="8"/>
  <c r="CK130" i="8"/>
  <c r="CM262" i="8"/>
  <c r="CN262" i="8"/>
  <c r="CP262" i="8"/>
  <c r="CL395" i="8"/>
  <c r="CK263" i="8"/>
  <c r="CK131" i="8"/>
  <c r="CM263" i="8"/>
  <c r="CN263" i="8"/>
  <c r="CP263" i="8"/>
  <c r="CL396" i="8"/>
  <c r="CK264" i="8"/>
  <c r="CK132" i="8"/>
  <c r="CM264" i="8"/>
  <c r="CN264" i="8"/>
  <c r="CP264" i="8"/>
  <c r="CL397" i="8"/>
  <c r="CK265" i="8"/>
  <c r="CK133" i="8"/>
  <c r="CM265" i="8"/>
  <c r="CN265" i="8"/>
  <c r="CP265" i="8"/>
  <c r="CL398" i="8"/>
  <c r="CK266" i="8"/>
  <c r="CK134" i="8"/>
  <c r="CM266" i="8"/>
  <c r="CN266" i="8"/>
  <c r="CP266" i="8"/>
  <c r="CL399" i="8"/>
  <c r="CK267" i="8"/>
  <c r="CK135" i="8"/>
  <c r="CM267" i="8"/>
  <c r="CN267" i="8"/>
  <c r="CP267" i="8"/>
  <c r="CL400" i="8"/>
  <c r="CK268" i="8"/>
  <c r="CK136" i="8"/>
  <c r="CM268" i="8"/>
  <c r="CN268" i="8"/>
  <c r="CP268" i="8"/>
  <c r="CL401" i="8"/>
  <c r="CL402" i="8"/>
  <c r="CL403" i="8"/>
  <c r="CL404" i="8"/>
  <c r="CL405" i="8"/>
  <c r="CL406" i="8"/>
  <c r="CL407" i="8"/>
  <c r="CL408" i="8"/>
  <c r="CL409" i="8"/>
  <c r="CL410" i="8"/>
  <c r="CL411" i="8"/>
  <c r="CL412" i="8"/>
  <c r="CL413" i="8"/>
  <c r="CL414" i="8"/>
  <c r="CL415" i="8"/>
  <c r="CL416" i="8"/>
  <c r="CL417" i="8"/>
  <c r="CL418" i="8"/>
  <c r="CL419" i="8"/>
  <c r="CL420" i="8"/>
  <c r="CL421" i="8"/>
  <c r="CL422" i="8"/>
  <c r="CL423" i="8"/>
  <c r="CL424" i="8"/>
  <c r="CL425" i="8"/>
  <c r="CL426" i="8"/>
  <c r="CL427" i="8"/>
  <c r="CL428" i="8"/>
  <c r="CL429" i="8"/>
  <c r="CL430" i="8"/>
  <c r="CL431" i="8"/>
  <c r="CL432" i="8"/>
  <c r="CL433" i="8"/>
  <c r="CK269" i="8"/>
  <c r="CM269" i="8"/>
  <c r="CK270" i="8"/>
  <c r="CM270" i="8"/>
  <c r="CK271" i="8"/>
  <c r="CM271" i="8"/>
  <c r="CK272" i="8"/>
  <c r="CM272" i="8"/>
  <c r="CK273" i="8"/>
  <c r="CM273" i="8"/>
  <c r="CK274" i="8"/>
  <c r="CM274" i="8"/>
  <c r="CK275" i="8"/>
  <c r="CM275" i="8"/>
  <c r="CK276" i="8"/>
  <c r="CM276" i="8"/>
  <c r="CK277" i="8"/>
  <c r="CM277" i="8"/>
  <c r="CK278" i="8"/>
  <c r="CM278" i="8"/>
  <c r="CK279" i="8"/>
  <c r="CM279" i="8"/>
  <c r="CK280" i="8"/>
  <c r="CM280" i="8"/>
  <c r="CK281" i="8"/>
  <c r="CM281" i="8"/>
  <c r="CK282" i="8"/>
  <c r="CM282" i="8"/>
  <c r="CK283" i="8"/>
  <c r="CM283" i="8"/>
  <c r="CK284" i="8"/>
  <c r="CM284" i="8"/>
  <c r="CK285" i="8"/>
  <c r="CM285" i="8"/>
  <c r="CK286" i="8"/>
  <c r="CM286" i="8"/>
  <c r="CK287" i="8"/>
  <c r="CM287" i="8"/>
  <c r="CK288" i="8"/>
  <c r="CM288" i="8"/>
  <c r="CK289" i="8"/>
  <c r="CM289" i="8"/>
  <c r="CK290" i="8"/>
  <c r="CM290" i="8"/>
  <c r="CK291" i="8"/>
  <c r="CM291" i="8"/>
  <c r="CK292" i="8"/>
  <c r="CM292" i="8"/>
  <c r="CK293" i="8"/>
  <c r="CM293" i="8"/>
  <c r="CK294" i="8"/>
  <c r="CM294" i="8"/>
  <c r="CK295" i="8"/>
  <c r="CM295" i="8"/>
  <c r="CK296" i="8"/>
  <c r="CM296" i="8"/>
  <c r="CK297" i="8"/>
  <c r="CM297" i="8"/>
  <c r="CK298" i="8"/>
  <c r="CM298" i="8"/>
  <c r="CK299" i="8"/>
  <c r="CM299" i="8"/>
  <c r="CK300" i="8"/>
  <c r="CM300" i="8"/>
  <c r="CK301" i="8"/>
  <c r="CM301" i="8"/>
  <c r="CK302" i="8"/>
  <c r="CM302" i="8"/>
  <c r="CK303" i="8"/>
  <c r="CM303" i="8"/>
  <c r="CK304" i="8"/>
  <c r="CM304" i="8"/>
  <c r="CK305" i="8"/>
  <c r="CM305" i="8"/>
  <c r="CK306" i="8"/>
  <c r="CM306" i="8"/>
  <c r="CK307" i="8"/>
  <c r="CM307" i="8"/>
  <c r="CK308" i="8"/>
  <c r="CM308" i="8"/>
  <c r="CK309" i="8"/>
  <c r="CM309" i="8"/>
  <c r="CK310" i="8"/>
  <c r="CM310" i="8"/>
  <c r="CK311" i="8"/>
  <c r="CM311" i="8"/>
  <c r="CK312" i="8"/>
  <c r="CM312" i="8"/>
  <c r="CK313" i="8"/>
  <c r="CM313" i="8"/>
  <c r="CK314" i="8"/>
  <c r="CM314" i="8"/>
  <c r="CK315" i="8"/>
  <c r="CM315" i="8"/>
  <c r="CK316" i="8"/>
  <c r="CM316" i="8"/>
  <c r="CK317" i="8"/>
  <c r="CM317" i="8"/>
  <c r="CK318" i="8"/>
  <c r="CM318" i="8"/>
  <c r="CK319" i="8"/>
  <c r="CM319" i="8"/>
  <c r="CK320" i="8"/>
  <c r="CM320" i="8"/>
  <c r="CK321" i="8"/>
  <c r="CM321" i="8"/>
  <c r="CK322" i="8"/>
  <c r="CM322" i="8"/>
  <c r="CK323" i="8"/>
  <c r="CM323" i="8"/>
  <c r="CK324" i="8"/>
  <c r="CM324" i="8"/>
  <c r="CK325" i="8"/>
  <c r="CM325" i="8"/>
  <c r="CK326" i="8"/>
  <c r="CM326" i="8"/>
  <c r="CK327" i="8"/>
  <c r="CM327" i="8"/>
  <c r="CK328" i="8"/>
  <c r="CM328" i="8"/>
  <c r="CK329" i="8"/>
  <c r="CM329" i="8"/>
  <c r="CK330" i="8"/>
  <c r="CM330" i="8"/>
  <c r="CK331" i="8"/>
  <c r="CM331" i="8"/>
  <c r="CK332" i="8"/>
  <c r="CM332" i="8"/>
  <c r="CK333" i="8"/>
  <c r="CM333" i="8"/>
  <c r="CK334" i="8"/>
  <c r="CM334" i="8"/>
  <c r="CK335" i="8"/>
  <c r="CM335" i="8"/>
  <c r="CK336" i="8"/>
  <c r="CM336" i="8"/>
  <c r="CK337" i="8"/>
  <c r="CM337" i="8"/>
  <c r="CK338" i="8"/>
  <c r="CM338" i="8"/>
  <c r="CK339" i="8"/>
  <c r="CM339" i="8"/>
  <c r="CK340" i="8"/>
  <c r="CM340" i="8"/>
  <c r="CK341" i="8"/>
  <c r="CM341" i="8"/>
  <c r="CK342" i="8"/>
  <c r="CM342" i="8"/>
  <c r="CK343" i="8"/>
  <c r="CM343" i="8"/>
  <c r="CK344" i="8"/>
  <c r="CM344" i="8"/>
  <c r="CK345" i="8"/>
  <c r="CM345" i="8"/>
  <c r="CK346" i="8"/>
  <c r="CM346" i="8"/>
  <c r="CK347" i="8"/>
  <c r="CM347" i="8"/>
  <c r="CK348" i="8"/>
  <c r="CM348" i="8"/>
  <c r="CK349" i="8"/>
  <c r="CM349" i="8"/>
  <c r="CK350" i="8"/>
  <c r="CM350" i="8"/>
  <c r="CK351" i="8"/>
  <c r="CM351" i="8"/>
  <c r="CK352" i="8"/>
  <c r="CM352" i="8"/>
  <c r="CK353" i="8"/>
  <c r="CM353" i="8"/>
  <c r="CK354" i="8"/>
  <c r="CM354" i="8"/>
  <c r="CK355" i="8"/>
  <c r="CM355" i="8"/>
  <c r="CK356" i="8"/>
  <c r="CM356" i="8"/>
  <c r="CK357" i="8"/>
  <c r="CM357" i="8"/>
  <c r="CK358" i="8"/>
  <c r="CM358" i="8"/>
  <c r="CK359" i="8"/>
  <c r="CM359" i="8"/>
  <c r="CK360" i="8"/>
  <c r="CM360" i="8"/>
  <c r="CK361" i="8"/>
  <c r="CM361" i="8"/>
  <c r="CK362" i="8"/>
  <c r="CM362" i="8"/>
  <c r="CK363" i="8"/>
  <c r="CM363" i="8"/>
  <c r="CK364" i="8"/>
  <c r="CM364" i="8"/>
  <c r="CK365" i="8"/>
  <c r="CM365" i="8"/>
  <c r="CK366" i="8"/>
  <c r="CM366" i="8"/>
  <c r="CK367" i="8"/>
  <c r="CM367" i="8"/>
  <c r="CK368" i="8"/>
  <c r="CM368" i="8"/>
  <c r="CK369" i="8"/>
  <c r="CM369" i="8"/>
  <c r="CK370" i="8"/>
  <c r="CM370" i="8"/>
  <c r="CK371" i="8"/>
  <c r="CM371" i="8"/>
  <c r="CK372" i="8"/>
  <c r="CM372" i="8"/>
  <c r="CK373" i="8"/>
  <c r="CM373" i="8"/>
  <c r="CK374" i="8"/>
  <c r="CM374" i="8"/>
  <c r="CK375" i="8"/>
  <c r="CM375" i="8"/>
  <c r="CK376" i="8"/>
  <c r="CM376" i="8"/>
  <c r="CK377" i="8"/>
  <c r="CM377" i="8"/>
  <c r="CK378" i="8"/>
  <c r="CM378" i="8"/>
  <c r="CK379" i="8"/>
  <c r="CM379" i="8"/>
  <c r="CK380" i="8"/>
  <c r="CM380" i="8"/>
  <c r="CK381" i="8"/>
  <c r="CM381" i="8"/>
  <c r="CK382" i="8"/>
  <c r="CM382" i="8"/>
  <c r="CK383" i="8"/>
  <c r="CM383" i="8"/>
  <c r="CK384" i="8"/>
  <c r="CM384" i="8"/>
  <c r="CK385" i="8"/>
  <c r="CM385" i="8"/>
  <c r="CK386" i="8"/>
  <c r="CM386" i="8"/>
  <c r="CK387" i="8"/>
  <c r="CM387" i="8"/>
  <c r="CK388" i="8"/>
  <c r="CM388" i="8"/>
  <c r="CK389" i="8"/>
  <c r="CM389" i="8"/>
  <c r="CK390" i="8"/>
  <c r="CM390" i="8"/>
  <c r="CK391" i="8"/>
  <c r="CM391" i="8"/>
  <c r="CK392" i="8"/>
  <c r="CM392" i="8"/>
  <c r="CK393" i="8"/>
  <c r="CM393" i="8"/>
  <c r="CK394" i="8"/>
  <c r="CM394" i="8"/>
  <c r="CK395" i="8"/>
  <c r="CM395" i="8"/>
  <c r="CK396" i="8"/>
  <c r="CM396" i="8"/>
  <c r="CK397" i="8"/>
  <c r="CM397" i="8"/>
  <c r="CK398" i="8"/>
  <c r="CM398" i="8"/>
  <c r="CK399" i="8"/>
  <c r="CM399" i="8"/>
  <c r="CK400" i="8"/>
  <c r="CM400" i="8"/>
  <c r="CK401" i="8"/>
  <c r="CM401" i="8"/>
  <c r="CK402" i="8"/>
  <c r="CM402" i="8"/>
  <c r="CK403" i="8"/>
  <c r="CM403" i="8"/>
  <c r="CK404" i="8"/>
  <c r="CM404" i="8"/>
  <c r="CK405" i="8"/>
  <c r="CM405" i="8"/>
  <c r="CK406" i="8"/>
  <c r="CM406" i="8"/>
  <c r="CK407" i="8"/>
  <c r="CM407" i="8"/>
  <c r="CK408" i="8"/>
  <c r="CM408" i="8"/>
  <c r="CK409" i="8"/>
  <c r="CM409" i="8"/>
  <c r="CK410" i="8"/>
  <c r="CM410" i="8"/>
  <c r="CK411" i="8"/>
  <c r="CM411" i="8"/>
  <c r="CK412" i="8"/>
  <c r="CM412" i="8"/>
  <c r="CK413" i="8"/>
  <c r="CM413" i="8"/>
  <c r="CK414" i="8"/>
  <c r="CM414" i="8"/>
  <c r="CK415" i="8"/>
  <c r="CM415" i="8"/>
  <c r="CK416" i="8"/>
  <c r="CM416" i="8"/>
  <c r="CK417" i="8"/>
  <c r="CM417" i="8"/>
  <c r="CK418" i="8"/>
  <c r="CM418" i="8"/>
  <c r="CK419" i="8"/>
  <c r="CM419" i="8"/>
  <c r="CK420" i="8"/>
  <c r="CM420" i="8"/>
  <c r="CK421" i="8"/>
  <c r="CM421" i="8"/>
  <c r="CK422" i="8"/>
  <c r="CM422" i="8"/>
  <c r="CK423" i="8"/>
  <c r="CM423" i="8"/>
  <c r="CK424" i="8"/>
  <c r="CM424" i="8"/>
  <c r="CK425" i="8"/>
  <c r="CM425" i="8"/>
  <c r="CK426" i="8"/>
  <c r="CM426" i="8"/>
  <c r="CK427" i="8"/>
  <c r="CM427" i="8"/>
  <c r="CK428" i="8"/>
  <c r="CM428" i="8"/>
  <c r="CK429" i="8"/>
  <c r="CM429" i="8"/>
  <c r="CK430" i="8"/>
  <c r="CM430" i="8"/>
  <c r="CK431" i="8"/>
  <c r="CM431" i="8"/>
  <c r="CK432" i="8"/>
  <c r="CM432" i="8"/>
  <c r="CK433" i="8"/>
  <c r="CM433" i="8"/>
  <c r="D41" i="1"/>
  <c r="C31" i="1"/>
  <c r="D18" i="1"/>
  <c r="D13" i="1"/>
  <c r="D23" i="1" a="1"/>
  <c r="D23" i="1"/>
  <c r="D24" i="1"/>
  <c r="D25" i="1"/>
  <c r="D26" i="1"/>
  <c r="C6" i="8"/>
  <c r="C7" i="8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5" i="7"/>
  <c r="B6" i="7"/>
  <c r="B7" i="7"/>
  <c r="B8" i="7"/>
  <c r="B9" i="7"/>
  <c r="B10" i="7"/>
  <c r="B11" i="7"/>
  <c r="B12" i="7"/>
  <c r="B13" i="7"/>
  <c r="B14" i="7"/>
  <c r="G5" i="7"/>
  <c r="D5" i="7"/>
  <c r="G6" i="7"/>
  <c r="D6" i="7"/>
  <c r="G7" i="7"/>
  <c r="D7" i="7"/>
  <c r="G8" i="7"/>
  <c r="D8" i="7"/>
  <c r="G9" i="7"/>
  <c r="D9" i="7"/>
  <c r="G10" i="7"/>
  <c r="D10" i="7"/>
  <c r="G11" i="7"/>
  <c r="D11" i="7"/>
  <c r="G12" i="7"/>
  <c r="D12" i="7"/>
  <c r="G13" i="7"/>
  <c r="D13" i="7"/>
  <c r="G14" i="7"/>
  <c r="D14" i="7"/>
  <c r="G20" i="7"/>
  <c r="D20" i="7"/>
  <c r="G21" i="7"/>
  <c r="D21" i="7"/>
  <c r="G22" i="7"/>
  <c r="D22" i="7"/>
  <c r="G23" i="7"/>
  <c r="D23" i="7"/>
  <c r="G24" i="7"/>
  <c r="D24" i="7"/>
  <c r="G25" i="7"/>
  <c r="D25" i="7"/>
  <c r="G26" i="7"/>
  <c r="D26" i="7"/>
  <c r="G27" i="7"/>
  <c r="D27" i="7"/>
  <c r="G28" i="7"/>
  <c r="D28" i="7"/>
  <c r="G29" i="7"/>
  <c r="D29" i="7"/>
  <c r="G30" i="7"/>
  <c r="D30" i="7"/>
  <c r="G31" i="7"/>
  <c r="D31" i="7"/>
  <c r="G32" i="7"/>
  <c r="D32" i="7"/>
  <c r="G33" i="7"/>
  <c r="D33" i="7"/>
  <c r="G34" i="7"/>
  <c r="D34" i="7"/>
  <c r="EC22" i="8"/>
  <c r="EC23" i="8"/>
  <c r="EC24" i="8"/>
  <c r="EC25" i="8"/>
  <c r="EC26" i="8"/>
  <c r="EC34" i="8"/>
  <c r="EC35" i="8"/>
  <c r="EC36" i="8"/>
  <c r="EC37" i="8"/>
  <c r="EC38" i="8"/>
  <c r="FF20" i="8"/>
  <c r="F6" i="8" a="1"/>
  <c r="L20" i="8"/>
  <c r="J20" i="8"/>
  <c r="R20" i="8"/>
  <c r="V20" i="8"/>
  <c r="AI10" i="8"/>
  <c r="L21" i="8"/>
  <c r="J21" i="8"/>
  <c r="R21" i="8"/>
  <c r="V21" i="8"/>
  <c r="AI12" i="8"/>
  <c r="L22" i="8"/>
  <c r="J22" i="8"/>
  <c r="R22" i="8"/>
  <c r="V22" i="8"/>
  <c r="AI13" i="8"/>
  <c r="L23" i="8"/>
  <c r="J23" i="8"/>
  <c r="R23" i="8"/>
  <c r="V23" i="8"/>
  <c r="AI15" i="8"/>
  <c r="L24" i="8"/>
  <c r="J24" i="8"/>
  <c r="R24" i="8"/>
  <c r="V24" i="8"/>
  <c r="AI17" i="8"/>
  <c r="L25" i="8"/>
  <c r="J25" i="8"/>
  <c r="R25" i="8"/>
  <c r="V25" i="8"/>
  <c r="AI18" i="8"/>
  <c r="L26" i="8"/>
  <c r="J26" i="8"/>
  <c r="R26" i="8"/>
  <c r="V26" i="8"/>
  <c r="AI20" i="8"/>
  <c r="L27" i="8"/>
  <c r="J27" i="8"/>
  <c r="R27" i="8"/>
  <c r="V27" i="8"/>
  <c r="AI22" i="8"/>
  <c r="L28" i="8"/>
  <c r="J28" i="8"/>
  <c r="R28" i="8"/>
  <c r="V28" i="8"/>
  <c r="AI24" i="8"/>
  <c r="L29" i="8"/>
  <c r="J29" i="8"/>
  <c r="R29" i="8"/>
  <c r="V29" i="8"/>
  <c r="AI25" i="8"/>
  <c r="L30" i="8"/>
  <c r="J30" i="8"/>
  <c r="R30" i="8"/>
  <c r="V30" i="8"/>
  <c r="AI26" i="8"/>
  <c r="L31" i="8"/>
  <c r="J31" i="8"/>
  <c r="R31" i="8"/>
  <c r="V31" i="8"/>
  <c r="AI27" i="8"/>
  <c r="L32" i="8"/>
  <c r="J32" i="8"/>
  <c r="R32" i="8"/>
  <c r="V32" i="8"/>
  <c r="AI28" i="8"/>
  <c r="L33" i="8"/>
  <c r="J33" i="8"/>
  <c r="R33" i="8"/>
  <c r="V33" i="8"/>
  <c r="AI29" i="8"/>
  <c r="L34" i="8"/>
  <c r="J34" i="8"/>
  <c r="R34" i="8"/>
  <c r="V34" i="8"/>
  <c r="AI30" i="8"/>
  <c r="L35" i="8"/>
  <c r="J35" i="8"/>
  <c r="R35" i="8"/>
  <c r="V35" i="8"/>
  <c r="AI31" i="8"/>
  <c r="L36" i="8"/>
  <c r="J36" i="8"/>
  <c r="R36" i="8"/>
  <c r="V36" i="8"/>
  <c r="AI32" i="8"/>
  <c r="L37" i="8"/>
  <c r="J37" i="8"/>
  <c r="R37" i="8"/>
  <c r="V37" i="8"/>
  <c r="AI33" i="8"/>
  <c r="L38" i="8"/>
  <c r="J38" i="8"/>
  <c r="R38" i="8"/>
  <c r="V38" i="8"/>
  <c r="AI34" i="8"/>
  <c r="L39" i="8"/>
  <c r="J39" i="8"/>
  <c r="R39" i="8"/>
  <c r="V39" i="8"/>
  <c r="AI35" i="8"/>
  <c r="Q20" i="8"/>
  <c r="Y15" i="8"/>
  <c r="O8" i="8"/>
  <c r="Q21" i="8"/>
  <c r="Y18" i="8"/>
  <c r="Q22" i="8"/>
  <c r="Y19" i="8"/>
  <c r="O9" i="8"/>
  <c r="Q23" i="8"/>
  <c r="Y20" i="8"/>
  <c r="Q24" i="8"/>
  <c r="Y21" i="8"/>
  <c r="O10" i="8"/>
  <c r="Q25" i="8"/>
  <c r="Y22" i="8"/>
  <c r="Q26" i="8"/>
  <c r="Y23" i="8"/>
  <c r="O11" i="8"/>
  <c r="Q27" i="8"/>
  <c r="Y24" i="8"/>
  <c r="Q28" i="8"/>
  <c r="Y25" i="8"/>
  <c r="O12" i="8"/>
  <c r="Q29" i="8"/>
  <c r="Y26" i="8"/>
  <c r="Q30" i="8"/>
  <c r="Y27" i="8"/>
  <c r="O13" i="8"/>
  <c r="Q31" i="8"/>
  <c r="Y28" i="8"/>
  <c r="Q32" i="8"/>
  <c r="Y29" i="8"/>
  <c r="O14" i="8"/>
  <c r="Q33" i="8"/>
  <c r="Y30" i="8"/>
  <c r="Q34" i="8"/>
  <c r="Y31" i="8"/>
  <c r="O15" i="8"/>
  <c r="Q35" i="8"/>
  <c r="Y32" i="8"/>
  <c r="Q36" i="8"/>
  <c r="Y33" i="8"/>
  <c r="O16" i="8"/>
  <c r="Q37" i="8"/>
  <c r="Y34" i="8"/>
  <c r="Q38" i="8"/>
  <c r="Y35" i="8"/>
  <c r="O17" i="8"/>
  <c r="Q39" i="8"/>
  <c r="Y36" i="8"/>
  <c r="CL4" i="8" a="1"/>
  <c r="CL4" i="8"/>
  <c r="CM4" i="8"/>
  <c r="CN4" i="8"/>
  <c r="CO4" i="8"/>
  <c r="CP4" i="8"/>
  <c r="CQ4" i="8"/>
  <c r="CR4" i="8"/>
  <c r="CS4" i="8"/>
  <c r="CT4" i="8"/>
  <c r="CU4" i="8"/>
  <c r="CV4" i="8"/>
  <c r="CW4" i="8"/>
  <c r="CX4" i="8"/>
  <c r="CY4" i="8"/>
  <c r="CZ4" i="8"/>
  <c r="DA4" i="8"/>
  <c r="DB4" i="8"/>
  <c r="DC4" i="8"/>
  <c r="DD4" i="8"/>
  <c r="DE4" i="8"/>
  <c r="DF4" i="8"/>
  <c r="DG4" i="8"/>
  <c r="DH4" i="8"/>
  <c r="DI4" i="8"/>
  <c r="DJ4" i="8"/>
  <c r="DK4" i="8"/>
  <c r="DL4" i="8"/>
  <c r="DM4" i="8"/>
  <c r="DN4" i="8"/>
  <c r="DO4" i="8"/>
  <c r="DP4" i="8"/>
  <c r="DQ4" i="8"/>
  <c r="DR4" i="8"/>
  <c r="DS4" i="8"/>
  <c r="DT4" i="8"/>
  <c r="DU4" i="8"/>
  <c r="DV4" i="8"/>
  <c r="DW4" i="8"/>
  <c r="DX4" i="8"/>
  <c r="DY4" i="8"/>
  <c r="C28" i="8"/>
  <c r="C36" i="8"/>
  <c r="C32" i="8"/>
  <c r="C37" i="8"/>
  <c r="D49" i="2"/>
  <c r="C32" i="2"/>
  <c r="D18" i="2"/>
  <c r="D13" i="2"/>
  <c r="D24" i="2" a="1"/>
  <c r="D24" i="2"/>
  <c r="D25" i="2"/>
  <c r="D26" i="2"/>
  <c r="D27" i="2"/>
  <c r="C12" i="8"/>
  <c r="C16" i="8"/>
  <c r="C18" i="8"/>
  <c r="C13" i="8"/>
  <c r="C17" i="8"/>
  <c r="C19" i="8"/>
  <c r="AO7" i="8"/>
  <c r="K39" i="8"/>
  <c r="I39" i="8"/>
  <c r="K38" i="8"/>
  <c r="I38" i="8"/>
  <c r="K37" i="8"/>
  <c r="I37" i="8"/>
  <c r="K36" i="8"/>
  <c r="I36" i="8"/>
  <c r="K35" i="8"/>
  <c r="I35" i="8"/>
  <c r="K34" i="8"/>
  <c r="I34" i="8"/>
  <c r="K33" i="8"/>
  <c r="I33" i="8"/>
  <c r="K32" i="8"/>
  <c r="I32" i="8"/>
  <c r="K31" i="8"/>
  <c r="I31" i="8"/>
  <c r="K30" i="8"/>
  <c r="I30" i="8"/>
  <c r="K29" i="8"/>
  <c r="I29" i="8"/>
  <c r="K28" i="8"/>
  <c r="I28" i="8"/>
  <c r="K27" i="8"/>
  <c r="I27" i="8"/>
  <c r="K26" i="8"/>
  <c r="I26" i="8"/>
  <c r="K25" i="8"/>
  <c r="I25" i="8"/>
  <c r="K24" i="8"/>
  <c r="I24" i="8"/>
  <c r="K23" i="8"/>
  <c r="I23" i="8"/>
  <c r="K22" i="8"/>
  <c r="I22" i="8"/>
  <c r="K21" i="8"/>
  <c r="I21" i="8"/>
  <c r="K20" i="8"/>
  <c r="I20" i="8"/>
  <c r="K8" i="8"/>
  <c r="I8" i="8"/>
  <c r="P8" i="8"/>
  <c r="V8" i="8"/>
  <c r="K9" i="8"/>
  <c r="I9" i="8"/>
  <c r="P9" i="8"/>
  <c r="V9" i="8"/>
  <c r="K10" i="8"/>
  <c r="I10" i="8"/>
  <c r="P10" i="8"/>
  <c r="V10" i="8"/>
  <c r="K11" i="8"/>
  <c r="I11" i="8"/>
  <c r="P11" i="8"/>
  <c r="V11" i="8"/>
  <c r="K12" i="8"/>
  <c r="I12" i="8"/>
  <c r="P12" i="8"/>
  <c r="V12" i="8"/>
  <c r="K13" i="8"/>
  <c r="I13" i="8"/>
  <c r="P13" i="8"/>
  <c r="V13" i="8"/>
  <c r="K14" i="8"/>
  <c r="I14" i="8"/>
  <c r="P14" i="8"/>
  <c r="V14" i="8"/>
  <c r="K15" i="8"/>
  <c r="I15" i="8"/>
  <c r="P15" i="8"/>
  <c r="V15" i="8"/>
  <c r="K16" i="8"/>
  <c r="I16" i="8"/>
  <c r="P16" i="8"/>
  <c r="V16" i="8"/>
  <c r="K17" i="8"/>
  <c r="I17" i="8"/>
  <c r="P17" i="8"/>
  <c r="V17" i="8"/>
  <c r="AH7" i="8"/>
  <c r="AO8" i="8"/>
  <c r="AH8" i="8"/>
  <c r="AO9" i="8"/>
  <c r="AH9" i="8"/>
  <c r="AO10" i="8"/>
  <c r="AH10" i="8"/>
  <c r="AO11" i="8"/>
  <c r="AH11" i="8"/>
  <c r="AO12" i="8"/>
  <c r="AH12" i="8"/>
  <c r="AO13" i="8"/>
  <c r="AH13" i="8"/>
  <c r="AO14" i="8"/>
  <c r="AH14" i="8"/>
  <c r="AO15" i="8"/>
  <c r="AH15" i="8"/>
  <c r="AO16" i="8"/>
  <c r="AH16" i="8"/>
  <c r="AO17" i="8"/>
  <c r="AH17" i="8"/>
  <c r="AO18" i="8"/>
  <c r="AH18" i="8"/>
  <c r="AO19" i="8"/>
  <c r="AH19" i="8"/>
  <c r="AO20" i="8"/>
  <c r="AH20" i="8"/>
  <c r="AO21" i="8"/>
  <c r="AH21" i="8"/>
  <c r="AO22" i="8"/>
  <c r="AH22" i="8"/>
  <c r="AO23" i="8"/>
  <c r="AH23" i="8"/>
  <c r="AO24" i="8"/>
  <c r="AH24" i="8"/>
  <c r="AO25" i="8"/>
  <c r="AH25" i="8"/>
  <c r="AO26" i="8"/>
  <c r="AH26" i="8"/>
  <c r="AO27" i="8"/>
  <c r="AH27" i="8"/>
  <c r="AO28" i="8"/>
  <c r="AH28" i="8"/>
  <c r="AO29" i="8"/>
  <c r="AH29" i="8"/>
  <c r="AO30" i="8"/>
  <c r="AH30" i="8"/>
  <c r="AO31" i="8"/>
  <c r="AH31" i="8"/>
  <c r="AO32" i="8"/>
  <c r="AH32" i="8"/>
  <c r="AO33" i="8"/>
  <c r="AH33" i="8"/>
  <c r="AO34" i="8"/>
  <c r="AH34" i="8"/>
  <c r="AO35" i="8"/>
  <c r="AH35" i="8"/>
  <c r="AO36" i="8"/>
  <c r="AH36" i="8"/>
  <c r="AO37" i="8"/>
  <c r="AH37" i="8"/>
  <c r="AO38" i="8"/>
  <c r="AH38" i="8"/>
  <c r="AO39" i="8"/>
  <c r="AH39" i="8"/>
  <c r="AO40" i="8"/>
  <c r="AH40" i="8"/>
  <c r="AO41" i="8"/>
  <c r="AH41" i="8"/>
  <c r="AO42" i="8"/>
  <c r="AH42" i="8"/>
  <c r="AO43" i="8"/>
  <c r="AH43" i="8"/>
  <c r="AO44" i="8"/>
  <c r="AH44" i="8"/>
  <c r="AO45" i="8"/>
  <c r="AH45" i="8"/>
  <c r="AO46" i="8"/>
  <c r="AH46" i="8"/>
  <c r="AO47" i="8"/>
  <c r="AH47" i="8"/>
  <c r="AO48" i="8"/>
  <c r="AH48" i="8"/>
  <c r="AO49" i="8"/>
  <c r="AH49" i="8"/>
  <c r="AO50" i="8"/>
  <c r="AH50" i="8"/>
  <c r="AO51" i="8"/>
  <c r="AH51" i="8"/>
  <c r="AO52" i="8"/>
  <c r="AH52" i="8"/>
  <c r="AO53" i="8"/>
  <c r="AH53" i="8"/>
  <c r="AO54" i="8"/>
  <c r="AH54" i="8"/>
  <c r="AO55" i="8"/>
  <c r="AH55" i="8"/>
  <c r="AO56" i="8"/>
  <c r="AH56" i="8"/>
  <c r="AO57" i="8"/>
  <c r="AH57" i="8"/>
  <c r="AO58" i="8"/>
  <c r="AH58" i="8"/>
  <c r="AO59" i="8"/>
  <c r="AH59" i="8"/>
  <c r="AO60" i="8"/>
  <c r="AH60" i="8"/>
  <c r="AO61" i="8"/>
  <c r="AH61" i="8"/>
  <c r="AO62" i="8"/>
  <c r="AH62" i="8"/>
  <c r="AO63" i="8"/>
  <c r="AH63" i="8"/>
  <c r="AO64" i="8"/>
  <c r="AH64" i="8"/>
  <c r="AO65" i="8"/>
  <c r="AH65" i="8"/>
  <c r="AO66" i="8"/>
  <c r="AH66" i="8"/>
  <c r="AO67" i="8"/>
  <c r="AH67" i="8"/>
  <c r="AO68" i="8"/>
  <c r="AH68" i="8"/>
  <c r="AO69" i="8"/>
  <c r="AH69" i="8"/>
  <c r="AO70" i="8"/>
  <c r="AH70" i="8"/>
  <c r="AO71" i="8"/>
  <c r="AH71" i="8"/>
  <c r="AO72" i="8"/>
  <c r="AH72" i="8"/>
  <c r="AO73" i="8"/>
  <c r="AH73" i="8"/>
  <c r="AO74" i="8"/>
  <c r="AH74" i="8"/>
  <c r="AO75" i="8"/>
  <c r="AH75" i="8"/>
  <c r="AO76" i="8"/>
  <c r="AH76" i="8"/>
  <c r="AO77" i="8"/>
  <c r="AH77" i="8"/>
  <c r="AO78" i="8"/>
  <c r="AH78" i="8"/>
  <c r="AO79" i="8"/>
  <c r="AH79" i="8"/>
  <c r="AO80" i="8"/>
  <c r="AH80" i="8"/>
  <c r="AO81" i="8"/>
  <c r="AH81" i="8"/>
  <c r="AO82" i="8"/>
  <c r="AH82" i="8"/>
  <c r="AO83" i="8"/>
  <c r="AH83" i="8"/>
  <c r="AO84" i="8"/>
  <c r="AH84" i="8"/>
  <c r="AO85" i="8"/>
  <c r="AH85" i="8"/>
  <c r="AO86" i="8"/>
  <c r="AH86" i="8"/>
  <c r="AO87" i="8"/>
  <c r="AH87" i="8"/>
  <c r="AO88" i="8"/>
  <c r="AH88" i="8"/>
  <c r="AO89" i="8"/>
  <c r="AH89" i="8"/>
  <c r="AO90" i="8"/>
  <c r="AH90" i="8"/>
  <c r="AO91" i="8"/>
  <c r="AH91" i="8"/>
  <c r="AO92" i="8"/>
  <c r="AH92" i="8"/>
  <c r="AO93" i="8"/>
  <c r="AH93" i="8"/>
  <c r="AO94" i="8"/>
  <c r="AH94" i="8"/>
  <c r="AO95" i="8"/>
  <c r="AH95" i="8"/>
  <c r="AO96" i="8"/>
  <c r="AH96" i="8"/>
  <c r="AO97" i="8"/>
  <c r="AH97" i="8"/>
  <c r="AO98" i="8"/>
  <c r="AH98" i="8"/>
  <c r="AO99" i="8"/>
  <c r="AH99" i="8"/>
  <c r="AO100" i="8"/>
  <c r="AH100" i="8"/>
  <c r="AO101" i="8"/>
  <c r="AH101" i="8"/>
  <c r="AO102" i="8"/>
  <c r="AH102" i="8"/>
  <c r="AO103" i="8"/>
  <c r="AH103" i="8"/>
  <c r="AO104" i="8"/>
  <c r="AH104" i="8"/>
  <c r="AO105" i="8"/>
  <c r="AH105" i="8"/>
  <c r="AO106" i="8"/>
  <c r="AH106" i="8"/>
  <c r="AO107" i="8"/>
  <c r="AH107" i="8"/>
  <c r="AO108" i="8"/>
  <c r="AH108" i="8"/>
  <c r="AO109" i="8"/>
  <c r="AH109" i="8"/>
  <c r="AO110" i="8"/>
  <c r="AH110" i="8"/>
  <c r="AO111" i="8"/>
  <c r="AH111" i="8"/>
  <c r="AO112" i="8"/>
  <c r="AH112" i="8"/>
  <c r="AO113" i="8"/>
  <c r="AH113" i="8"/>
  <c r="AO114" i="8"/>
  <c r="AH114" i="8"/>
  <c r="AO115" i="8"/>
  <c r="AH115" i="8"/>
  <c r="AO116" i="8"/>
  <c r="AH116" i="8"/>
  <c r="AO117" i="8"/>
  <c r="AH117" i="8"/>
  <c r="AO118" i="8"/>
  <c r="AH118" i="8"/>
  <c r="AO119" i="8"/>
  <c r="AH119" i="8"/>
  <c r="AO120" i="8"/>
  <c r="AH120" i="8"/>
  <c r="AO121" i="8"/>
  <c r="AH121" i="8"/>
  <c r="AO122" i="8"/>
  <c r="AH122" i="8"/>
  <c r="AO123" i="8"/>
  <c r="AH123" i="8"/>
  <c r="AO124" i="8"/>
  <c r="AH124" i="8"/>
  <c r="AO125" i="8"/>
  <c r="AH125" i="8"/>
  <c r="AO126" i="8"/>
  <c r="AH126" i="8"/>
  <c r="AO127" i="8"/>
  <c r="AH127" i="8"/>
  <c r="AO128" i="8"/>
  <c r="AH128" i="8"/>
  <c r="AO129" i="8"/>
  <c r="AH129" i="8"/>
  <c r="AO130" i="8"/>
  <c r="AH130" i="8"/>
  <c r="AO131" i="8"/>
  <c r="AH131" i="8"/>
  <c r="AO132" i="8"/>
  <c r="AH132" i="8"/>
  <c r="AO133" i="8"/>
  <c r="AH133" i="8"/>
  <c r="AO134" i="8"/>
  <c r="AH134" i="8"/>
  <c r="AO135" i="8"/>
  <c r="AH135" i="8"/>
  <c r="AO136" i="8"/>
  <c r="AH136" i="8"/>
  <c r="C10" i="8"/>
  <c r="C23" i="8" a="1"/>
  <c r="C23" i="8"/>
  <c r="AA136" i="8"/>
  <c r="AA135" i="8"/>
  <c r="AA134" i="8"/>
  <c r="AA133" i="8"/>
  <c r="AA132" i="8"/>
  <c r="AA131" i="8"/>
  <c r="AA130" i="8"/>
  <c r="AA129" i="8"/>
  <c r="AA128" i="8"/>
  <c r="AA127" i="8"/>
  <c r="AA126" i="8"/>
  <c r="AA125" i="8"/>
  <c r="AA124" i="8"/>
  <c r="AA123" i="8"/>
  <c r="AA122" i="8"/>
  <c r="AA121" i="8"/>
  <c r="AA120" i="8"/>
  <c r="AA119" i="8"/>
  <c r="AA118" i="8"/>
  <c r="AA117" i="8"/>
  <c r="AA116" i="8"/>
  <c r="AA115" i="8"/>
  <c r="AA114" i="8"/>
  <c r="AA113" i="8"/>
  <c r="AA112" i="8"/>
  <c r="AA111" i="8"/>
  <c r="AA110" i="8"/>
  <c r="AA109" i="8"/>
  <c r="AA108" i="8"/>
  <c r="AA107" i="8"/>
  <c r="AA106" i="8"/>
  <c r="AA105" i="8"/>
  <c r="AA104" i="8"/>
  <c r="AA103" i="8"/>
  <c r="AA102" i="8"/>
  <c r="AA101" i="8"/>
  <c r="AA100" i="8"/>
  <c r="AA99" i="8"/>
  <c r="AA98" i="8"/>
  <c r="AA97" i="8"/>
  <c r="AA96" i="8"/>
  <c r="AA95" i="8"/>
  <c r="AA94" i="8"/>
  <c r="AA93" i="8"/>
  <c r="AA92" i="8"/>
  <c r="AA91" i="8"/>
  <c r="AA90" i="8"/>
  <c r="AA89" i="8"/>
  <c r="AA88" i="8"/>
  <c r="AA87" i="8"/>
  <c r="AA86" i="8"/>
  <c r="AA85" i="8"/>
  <c r="AA84" i="8"/>
  <c r="AA83" i="8"/>
  <c r="AA82" i="8"/>
  <c r="AA81" i="8"/>
  <c r="AA80" i="8"/>
  <c r="AA79" i="8"/>
  <c r="AA78" i="8"/>
  <c r="AA77" i="8"/>
  <c r="AA76" i="8"/>
  <c r="AA75" i="8"/>
  <c r="AA74" i="8"/>
  <c r="AA73" i="8"/>
  <c r="AA72" i="8"/>
  <c r="AA71" i="8"/>
  <c r="AA70" i="8"/>
  <c r="AA69" i="8"/>
  <c r="AA68" i="8"/>
  <c r="AA67" i="8"/>
  <c r="AA66" i="8"/>
  <c r="AA65" i="8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25" i="8"/>
  <c r="AA24" i="8"/>
  <c r="AA23" i="8"/>
  <c r="AA22" i="8"/>
  <c r="AA21" i="8"/>
  <c r="AA20" i="8"/>
  <c r="AA19" i="8"/>
  <c r="AA18" i="8"/>
  <c r="AA17" i="8"/>
  <c r="AA16" i="8"/>
  <c r="AA15" i="8"/>
  <c r="AA14" i="8"/>
  <c r="AA13" i="8"/>
  <c r="AA12" i="8"/>
  <c r="AA11" i="8"/>
  <c r="AA10" i="8"/>
  <c r="AA9" i="8"/>
  <c r="AA8" i="8"/>
  <c r="AA7" i="8"/>
  <c r="CL3" i="8"/>
  <c r="CK6" i="8"/>
  <c r="CL6" i="8"/>
  <c r="CM6" i="8"/>
  <c r="CN6" i="8"/>
  <c r="CO6" i="8"/>
  <c r="CP6" i="8"/>
  <c r="CQ6" i="8"/>
  <c r="CR6" i="8"/>
  <c r="CS6" i="8"/>
  <c r="CT6" i="8"/>
  <c r="CU6" i="8"/>
  <c r="CV6" i="8"/>
  <c r="CW6" i="8"/>
  <c r="CX6" i="8"/>
  <c r="CY6" i="8"/>
  <c r="CZ6" i="8"/>
  <c r="DA6" i="8"/>
  <c r="DB6" i="8"/>
  <c r="DC6" i="8"/>
  <c r="DD6" i="8"/>
  <c r="DE6" i="8"/>
  <c r="DF6" i="8"/>
  <c r="DG6" i="8"/>
  <c r="DH6" i="8"/>
  <c r="DI6" i="8"/>
  <c r="DJ6" i="8"/>
  <c r="DK6" i="8"/>
  <c r="DL6" i="8"/>
  <c r="DM6" i="8"/>
  <c r="DN6" i="8"/>
  <c r="DO6" i="8"/>
  <c r="DP6" i="8"/>
  <c r="DQ6" i="8"/>
  <c r="DR6" i="8"/>
  <c r="DS6" i="8"/>
  <c r="DT6" i="8"/>
  <c r="DU6" i="8"/>
  <c r="DV6" i="8"/>
  <c r="DW6" i="8"/>
  <c r="DX6" i="8"/>
  <c r="DY6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F8" i="8"/>
  <c r="G8" i="8"/>
  <c r="H8" i="8"/>
  <c r="J8" i="8"/>
  <c r="L8" i="8"/>
  <c r="M8" i="8"/>
  <c r="N8" i="8"/>
  <c r="Q8" i="8"/>
  <c r="R8" i="8"/>
  <c r="S8" i="8"/>
  <c r="T8" i="8"/>
  <c r="U8" i="8"/>
  <c r="F9" i="8"/>
  <c r="G9" i="8"/>
  <c r="H9" i="8"/>
  <c r="J9" i="8"/>
  <c r="L9" i="8"/>
  <c r="M9" i="8"/>
  <c r="N9" i="8"/>
  <c r="Q9" i="8"/>
  <c r="R9" i="8"/>
  <c r="S9" i="8"/>
  <c r="T9" i="8"/>
  <c r="U9" i="8"/>
  <c r="F10" i="8"/>
  <c r="G10" i="8"/>
  <c r="H10" i="8"/>
  <c r="J10" i="8"/>
  <c r="L10" i="8"/>
  <c r="M10" i="8"/>
  <c r="N10" i="8"/>
  <c r="Q10" i="8"/>
  <c r="R10" i="8"/>
  <c r="S10" i="8"/>
  <c r="T10" i="8"/>
  <c r="U10" i="8"/>
  <c r="F11" i="8"/>
  <c r="G11" i="8"/>
  <c r="H11" i="8"/>
  <c r="J11" i="8"/>
  <c r="L11" i="8"/>
  <c r="M11" i="8"/>
  <c r="N11" i="8"/>
  <c r="Q11" i="8"/>
  <c r="R11" i="8"/>
  <c r="S11" i="8"/>
  <c r="T11" i="8"/>
  <c r="U11" i="8"/>
  <c r="F12" i="8"/>
  <c r="G12" i="8"/>
  <c r="H12" i="8"/>
  <c r="J12" i="8"/>
  <c r="L12" i="8"/>
  <c r="M12" i="8"/>
  <c r="N12" i="8"/>
  <c r="Q12" i="8"/>
  <c r="R12" i="8"/>
  <c r="S12" i="8"/>
  <c r="T12" i="8"/>
  <c r="U12" i="8"/>
  <c r="F13" i="8"/>
  <c r="G13" i="8"/>
  <c r="H13" i="8"/>
  <c r="J13" i="8"/>
  <c r="L13" i="8"/>
  <c r="M13" i="8"/>
  <c r="N13" i="8"/>
  <c r="Q13" i="8"/>
  <c r="R13" i="8"/>
  <c r="S13" i="8"/>
  <c r="T13" i="8"/>
  <c r="U13" i="8"/>
  <c r="F14" i="8"/>
  <c r="G14" i="8"/>
  <c r="H14" i="8"/>
  <c r="J14" i="8"/>
  <c r="L14" i="8"/>
  <c r="M14" i="8"/>
  <c r="N14" i="8"/>
  <c r="Q14" i="8"/>
  <c r="R14" i="8"/>
  <c r="S14" i="8"/>
  <c r="T14" i="8"/>
  <c r="U14" i="8"/>
  <c r="F15" i="8"/>
  <c r="G15" i="8"/>
  <c r="H15" i="8"/>
  <c r="J15" i="8"/>
  <c r="L15" i="8"/>
  <c r="M15" i="8"/>
  <c r="N15" i="8"/>
  <c r="Q15" i="8"/>
  <c r="R15" i="8"/>
  <c r="S15" i="8"/>
  <c r="T15" i="8"/>
  <c r="U15" i="8"/>
  <c r="F16" i="8"/>
  <c r="G16" i="8"/>
  <c r="H16" i="8"/>
  <c r="J16" i="8"/>
  <c r="L16" i="8"/>
  <c r="M16" i="8"/>
  <c r="N16" i="8"/>
  <c r="Q16" i="8"/>
  <c r="R16" i="8"/>
  <c r="S16" i="8"/>
  <c r="T16" i="8"/>
  <c r="U16" i="8"/>
  <c r="F17" i="8"/>
  <c r="G17" i="8"/>
  <c r="H17" i="8"/>
  <c r="J17" i="8"/>
  <c r="L17" i="8"/>
  <c r="M17" i="8"/>
  <c r="N17" i="8"/>
  <c r="Q17" i="8"/>
  <c r="R17" i="8"/>
  <c r="S17" i="8"/>
  <c r="T17" i="8"/>
  <c r="U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F20" i="8"/>
  <c r="G20" i="8"/>
  <c r="H20" i="8"/>
  <c r="M20" i="8"/>
  <c r="N20" i="8"/>
  <c r="O20" i="8"/>
  <c r="P20" i="8"/>
  <c r="S20" i="8"/>
  <c r="T20" i="8"/>
  <c r="U20" i="8"/>
  <c r="F21" i="8"/>
  <c r="G21" i="8"/>
  <c r="H21" i="8"/>
  <c r="M21" i="8"/>
  <c r="N21" i="8"/>
  <c r="O21" i="8"/>
  <c r="P21" i="8"/>
  <c r="S21" i="8"/>
  <c r="T21" i="8"/>
  <c r="U21" i="8"/>
  <c r="F22" i="8"/>
  <c r="G22" i="8"/>
  <c r="H22" i="8"/>
  <c r="M22" i="8"/>
  <c r="N22" i="8"/>
  <c r="O22" i="8"/>
  <c r="P22" i="8"/>
  <c r="S22" i="8"/>
  <c r="T22" i="8"/>
  <c r="U22" i="8"/>
  <c r="F23" i="8"/>
  <c r="G23" i="8"/>
  <c r="H23" i="8"/>
  <c r="M23" i="8"/>
  <c r="N23" i="8"/>
  <c r="O23" i="8"/>
  <c r="P23" i="8"/>
  <c r="S23" i="8"/>
  <c r="T23" i="8"/>
  <c r="U23" i="8"/>
  <c r="F24" i="8"/>
  <c r="G24" i="8"/>
  <c r="H24" i="8"/>
  <c r="M24" i="8"/>
  <c r="N24" i="8"/>
  <c r="O24" i="8"/>
  <c r="P24" i="8"/>
  <c r="S24" i="8"/>
  <c r="T24" i="8"/>
  <c r="U24" i="8"/>
  <c r="F25" i="8"/>
  <c r="G25" i="8"/>
  <c r="H25" i="8"/>
  <c r="M25" i="8"/>
  <c r="N25" i="8"/>
  <c r="O25" i="8"/>
  <c r="P25" i="8"/>
  <c r="S25" i="8"/>
  <c r="T25" i="8"/>
  <c r="U25" i="8"/>
  <c r="F26" i="8"/>
  <c r="G26" i="8"/>
  <c r="H26" i="8"/>
  <c r="M26" i="8"/>
  <c r="N26" i="8"/>
  <c r="O26" i="8"/>
  <c r="P26" i="8"/>
  <c r="S26" i="8"/>
  <c r="T26" i="8"/>
  <c r="U26" i="8"/>
  <c r="F27" i="8"/>
  <c r="G27" i="8"/>
  <c r="H27" i="8"/>
  <c r="M27" i="8"/>
  <c r="N27" i="8"/>
  <c r="O27" i="8"/>
  <c r="P27" i="8"/>
  <c r="S27" i="8"/>
  <c r="T27" i="8"/>
  <c r="U27" i="8"/>
  <c r="F28" i="8"/>
  <c r="G28" i="8"/>
  <c r="H28" i="8"/>
  <c r="M28" i="8"/>
  <c r="N28" i="8"/>
  <c r="O28" i="8"/>
  <c r="P28" i="8"/>
  <c r="S28" i="8"/>
  <c r="T28" i="8"/>
  <c r="U28" i="8"/>
  <c r="F29" i="8"/>
  <c r="G29" i="8"/>
  <c r="H29" i="8"/>
  <c r="M29" i="8"/>
  <c r="N29" i="8"/>
  <c r="O29" i="8"/>
  <c r="P29" i="8"/>
  <c r="S29" i="8"/>
  <c r="T29" i="8"/>
  <c r="U29" i="8"/>
  <c r="F30" i="8"/>
  <c r="G30" i="8"/>
  <c r="H30" i="8"/>
  <c r="M30" i="8"/>
  <c r="N30" i="8"/>
  <c r="O30" i="8"/>
  <c r="P30" i="8"/>
  <c r="S30" i="8"/>
  <c r="T30" i="8"/>
  <c r="U30" i="8"/>
  <c r="F31" i="8"/>
  <c r="G31" i="8"/>
  <c r="H31" i="8"/>
  <c r="M31" i="8"/>
  <c r="N31" i="8"/>
  <c r="O31" i="8"/>
  <c r="P31" i="8"/>
  <c r="S31" i="8"/>
  <c r="T31" i="8"/>
  <c r="U31" i="8"/>
  <c r="F32" i="8"/>
  <c r="G32" i="8"/>
  <c r="H32" i="8"/>
  <c r="M32" i="8"/>
  <c r="N32" i="8"/>
  <c r="O32" i="8"/>
  <c r="P32" i="8"/>
  <c r="S32" i="8"/>
  <c r="T32" i="8"/>
  <c r="U32" i="8"/>
  <c r="F33" i="8"/>
  <c r="G33" i="8"/>
  <c r="H33" i="8"/>
  <c r="M33" i="8"/>
  <c r="N33" i="8"/>
  <c r="O33" i="8"/>
  <c r="P33" i="8"/>
  <c r="S33" i="8"/>
  <c r="T33" i="8"/>
  <c r="U33" i="8"/>
  <c r="F34" i="8"/>
  <c r="G34" i="8"/>
  <c r="H34" i="8"/>
  <c r="M34" i="8"/>
  <c r="N34" i="8"/>
  <c r="O34" i="8"/>
  <c r="P34" i="8"/>
  <c r="S34" i="8"/>
  <c r="T34" i="8"/>
  <c r="U34" i="8"/>
  <c r="F35" i="8"/>
  <c r="G35" i="8"/>
  <c r="H35" i="8"/>
  <c r="M35" i="8"/>
  <c r="N35" i="8"/>
  <c r="O35" i="8"/>
  <c r="P35" i="8"/>
  <c r="S35" i="8"/>
  <c r="T35" i="8"/>
  <c r="U35" i="8"/>
  <c r="F36" i="8"/>
  <c r="G36" i="8"/>
  <c r="H36" i="8"/>
  <c r="M36" i="8"/>
  <c r="N36" i="8"/>
  <c r="O36" i="8"/>
  <c r="P36" i="8"/>
  <c r="S36" i="8"/>
  <c r="T36" i="8"/>
  <c r="U36" i="8"/>
  <c r="F37" i="8"/>
  <c r="G37" i="8"/>
  <c r="H37" i="8"/>
  <c r="M37" i="8"/>
  <c r="N37" i="8"/>
  <c r="O37" i="8"/>
  <c r="P37" i="8"/>
  <c r="S37" i="8"/>
  <c r="T37" i="8"/>
  <c r="U37" i="8"/>
  <c r="F38" i="8"/>
  <c r="G38" i="8"/>
  <c r="H38" i="8"/>
  <c r="M38" i="8"/>
  <c r="N38" i="8"/>
  <c r="O38" i="8"/>
  <c r="P38" i="8"/>
  <c r="S38" i="8"/>
  <c r="T38" i="8"/>
  <c r="U38" i="8"/>
  <c r="F39" i="8"/>
  <c r="G39" i="8"/>
  <c r="H39" i="8"/>
  <c r="M39" i="8"/>
  <c r="N39" i="8"/>
  <c r="O39" i="8"/>
  <c r="P39" i="8"/>
  <c r="S39" i="8"/>
  <c r="T39" i="8"/>
  <c r="U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C11" i="8"/>
  <c r="N20" i="7"/>
  <c r="P20" i="7"/>
  <c r="S20" i="7"/>
  <c r="T20" i="7"/>
  <c r="N5" i="7"/>
  <c r="P5" i="7"/>
  <c r="S5" i="7"/>
  <c r="T5" i="7"/>
  <c r="N6" i="7"/>
  <c r="P6" i="7"/>
  <c r="S6" i="7"/>
  <c r="T6" i="7"/>
  <c r="N7" i="7"/>
  <c r="P7" i="7"/>
  <c r="S7" i="7"/>
  <c r="T7" i="7"/>
  <c r="N8" i="7"/>
  <c r="P8" i="7"/>
  <c r="S8" i="7"/>
  <c r="T8" i="7"/>
  <c r="N9" i="7"/>
  <c r="P9" i="7"/>
  <c r="S9" i="7"/>
  <c r="T9" i="7"/>
  <c r="N10" i="7"/>
  <c r="P10" i="7"/>
  <c r="S10" i="7"/>
  <c r="T10" i="7"/>
  <c r="N11" i="7"/>
  <c r="P11" i="7"/>
  <c r="S11" i="7"/>
  <c r="T11" i="7"/>
  <c r="N12" i="7"/>
  <c r="P12" i="7"/>
  <c r="S12" i="7"/>
  <c r="T12" i="7"/>
  <c r="N13" i="7"/>
  <c r="P13" i="7"/>
  <c r="S13" i="7"/>
  <c r="T13" i="7"/>
  <c r="N14" i="7"/>
  <c r="P14" i="7"/>
  <c r="S14" i="7"/>
  <c r="T14" i="7"/>
  <c r="N21" i="7"/>
  <c r="P21" i="7"/>
  <c r="S21" i="7"/>
  <c r="T21" i="7"/>
  <c r="N22" i="7"/>
  <c r="P22" i="7"/>
  <c r="S22" i="7"/>
  <c r="T22" i="7"/>
  <c r="N23" i="7"/>
  <c r="P23" i="7"/>
  <c r="S23" i="7"/>
  <c r="T23" i="7"/>
  <c r="N24" i="7"/>
  <c r="P24" i="7"/>
  <c r="S24" i="7"/>
  <c r="T24" i="7"/>
  <c r="N25" i="7"/>
  <c r="P25" i="7"/>
  <c r="S25" i="7"/>
  <c r="T25" i="7"/>
  <c r="N26" i="7"/>
  <c r="P26" i="7"/>
  <c r="S26" i="7"/>
  <c r="T26" i="7"/>
  <c r="N27" i="7"/>
  <c r="P27" i="7"/>
  <c r="S27" i="7"/>
  <c r="T27" i="7"/>
  <c r="N28" i="7"/>
  <c r="P28" i="7"/>
  <c r="S28" i="7"/>
  <c r="T28" i="7"/>
  <c r="N29" i="7"/>
  <c r="P29" i="7"/>
  <c r="S29" i="7"/>
  <c r="T29" i="7"/>
  <c r="N30" i="7"/>
  <c r="P30" i="7"/>
  <c r="S30" i="7"/>
  <c r="T30" i="7"/>
  <c r="N31" i="7"/>
  <c r="P31" i="7"/>
  <c r="S31" i="7"/>
  <c r="T31" i="7"/>
  <c r="N32" i="7"/>
  <c r="P32" i="7"/>
  <c r="S32" i="7"/>
  <c r="T32" i="7"/>
  <c r="N33" i="7"/>
  <c r="P33" i="7"/>
  <c r="S33" i="7"/>
  <c r="T33" i="7"/>
  <c r="N34" i="7"/>
  <c r="P34" i="7"/>
  <c r="S34" i="7"/>
  <c r="T34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5" i="7"/>
  <c r="R6" i="7"/>
  <c r="R7" i="7"/>
  <c r="R8" i="7"/>
  <c r="R9" i="7"/>
  <c r="R10" i="7"/>
  <c r="R11" i="7"/>
  <c r="R12" i="7"/>
  <c r="R13" i="7"/>
  <c r="R14" i="7"/>
  <c r="C4" i="6"/>
  <c r="C5" i="6"/>
  <c r="B7" i="6" a="1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B24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B25" i="6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B26" i="6"/>
  <c r="C26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B27" i="6"/>
  <c r="C27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B28" i="6"/>
  <c r="C28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B29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B30" i="6"/>
  <c r="C30" i="6"/>
  <c r="D30" i="6"/>
  <c r="E30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B31" i="6"/>
  <c r="C31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B3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B33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B35" i="6"/>
  <c r="C35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B36" i="6"/>
  <c r="C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B37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B39" i="6"/>
  <c r="C39" i="6"/>
  <c r="D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B40" i="6"/>
  <c r="C40" i="6"/>
  <c r="D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B41" i="6"/>
  <c r="C41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B42" i="6"/>
  <c r="C42" i="6"/>
  <c r="D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B43" i="6"/>
  <c r="C43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B44" i="6"/>
  <c r="C44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B4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Q45" i="6"/>
  <c r="R45" i="6"/>
  <c r="S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AJ45" i="6"/>
  <c r="AK45" i="6"/>
  <c r="AL45" i="6"/>
  <c r="AM45" i="6"/>
  <c r="AN45" i="6"/>
  <c r="AO45" i="6"/>
  <c r="AP45" i="6"/>
  <c r="AQ45" i="6"/>
  <c r="B46" i="6"/>
  <c r="C46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Q46" i="6"/>
  <c r="R46" i="6"/>
  <c r="S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AJ46" i="6"/>
  <c r="AK46" i="6"/>
  <c r="AL46" i="6"/>
  <c r="AM46" i="6"/>
  <c r="AN46" i="6"/>
  <c r="AO46" i="6"/>
  <c r="AP46" i="6"/>
  <c r="AQ46" i="6"/>
  <c r="B47" i="6"/>
  <c r="C47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B48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B49" i="6"/>
  <c r="C49" i="6"/>
  <c r="D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B50" i="6"/>
  <c r="C50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B51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B54" i="6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B55" i="6"/>
  <c r="C55" i="6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AJ55" i="6"/>
  <c r="AK55" i="6"/>
  <c r="AL55" i="6"/>
  <c r="AM55" i="6"/>
  <c r="AN55" i="6"/>
  <c r="AO55" i="6"/>
  <c r="AP55" i="6"/>
  <c r="AQ55" i="6"/>
  <c r="B56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Q56" i="6"/>
  <c r="R56" i="6"/>
  <c r="S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AJ56" i="6"/>
  <c r="AK56" i="6"/>
  <c r="AL56" i="6"/>
  <c r="AM56" i="6"/>
  <c r="AN56" i="6"/>
  <c r="AO56" i="6"/>
  <c r="AP56" i="6"/>
  <c r="AQ56" i="6"/>
  <c r="B57" i="6"/>
  <c r="C57" i="6"/>
  <c r="D57" i="6"/>
  <c r="E57" i="6"/>
  <c r="F57" i="6"/>
  <c r="G57" i="6"/>
  <c r="H57" i="6"/>
  <c r="I57" i="6"/>
  <c r="J57" i="6"/>
  <c r="K57" i="6"/>
  <c r="L57" i="6"/>
  <c r="M57" i="6"/>
  <c r="N57" i="6"/>
  <c r="O57" i="6"/>
  <c r="P57" i="6"/>
  <c r="Q57" i="6"/>
  <c r="R57" i="6"/>
  <c r="S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AJ57" i="6"/>
  <c r="AK57" i="6"/>
  <c r="AL57" i="6"/>
  <c r="AM57" i="6"/>
  <c r="AN57" i="6"/>
  <c r="AO57" i="6"/>
  <c r="AP57" i="6"/>
  <c r="AQ57" i="6"/>
  <c r="B58" i="6"/>
  <c r="C58" i="6"/>
  <c r="D58" i="6"/>
  <c r="E58" i="6"/>
  <c r="F58" i="6"/>
  <c r="G58" i="6"/>
  <c r="H58" i="6"/>
  <c r="I58" i="6"/>
  <c r="J58" i="6"/>
  <c r="K58" i="6"/>
  <c r="L58" i="6"/>
  <c r="M58" i="6"/>
  <c r="N58" i="6"/>
  <c r="O58" i="6"/>
  <c r="P58" i="6"/>
  <c r="Q58" i="6"/>
  <c r="R58" i="6"/>
  <c r="S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AJ58" i="6"/>
  <c r="AK58" i="6"/>
  <c r="AL58" i="6"/>
  <c r="AM58" i="6"/>
  <c r="AN58" i="6"/>
  <c r="AO58" i="6"/>
  <c r="AP58" i="6"/>
  <c r="AQ58" i="6"/>
  <c r="B59" i="6"/>
  <c r="C59" i="6"/>
  <c r="D59" i="6"/>
  <c r="E59" i="6"/>
  <c r="F59" i="6"/>
  <c r="G59" i="6"/>
  <c r="H59" i="6"/>
  <c r="I59" i="6"/>
  <c r="J59" i="6"/>
  <c r="K59" i="6"/>
  <c r="L59" i="6"/>
  <c r="M59" i="6"/>
  <c r="N59" i="6"/>
  <c r="O59" i="6"/>
  <c r="P59" i="6"/>
  <c r="Q59" i="6"/>
  <c r="R59" i="6"/>
  <c r="S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B60" i="6"/>
  <c r="C60" i="6"/>
  <c r="D60" i="6"/>
  <c r="E60" i="6"/>
  <c r="F60" i="6"/>
  <c r="G60" i="6"/>
  <c r="H60" i="6"/>
  <c r="I60" i="6"/>
  <c r="J60" i="6"/>
  <c r="K60" i="6"/>
  <c r="L60" i="6"/>
  <c r="M60" i="6"/>
  <c r="N60" i="6"/>
  <c r="O60" i="6"/>
  <c r="P60" i="6"/>
  <c r="Q60" i="6"/>
  <c r="R60" i="6"/>
  <c r="S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AJ60" i="6"/>
  <c r="AK60" i="6"/>
  <c r="AL60" i="6"/>
  <c r="AM60" i="6"/>
  <c r="AN60" i="6"/>
  <c r="AO60" i="6"/>
  <c r="AP60" i="6"/>
  <c r="AQ60" i="6"/>
  <c r="B61" i="6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Q61" i="6"/>
  <c r="R61" i="6"/>
  <c r="S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AJ61" i="6"/>
  <c r="AK61" i="6"/>
  <c r="AL61" i="6"/>
  <c r="AM61" i="6"/>
  <c r="AN61" i="6"/>
  <c r="AO61" i="6"/>
  <c r="AP61" i="6"/>
  <c r="AQ61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Q62" i="6"/>
  <c r="R62" i="6"/>
  <c r="S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AJ62" i="6"/>
  <c r="AK62" i="6"/>
  <c r="AL62" i="6"/>
  <c r="AM62" i="6"/>
  <c r="AN62" i="6"/>
  <c r="AO62" i="6"/>
  <c r="AP62" i="6"/>
  <c r="AQ62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Q63" i="6"/>
  <c r="R63" i="6"/>
  <c r="S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AJ63" i="6"/>
  <c r="AK63" i="6"/>
  <c r="AL63" i="6"/>
  <c r="AM63" i="6"/>
  <c r="AN63" i="6"/>
  <c r="AO63" i="6"/>
  <c r="AP63" i="6"/>
  <c r="AQ63" i="6"/>
  <c r="B64" i="6"/>
  <c r="C64" i="6"/>
  <c r="D64" i="6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AJ64" i="6"/>
  <c r="AK64" i="6"/>
  <c r="AL64" i="6"/>
  <c r="AM64" i="6"/>
  <c r="AN64" i="6"/>
  <c r="AO64" i="6"/>
  <c r="AP64" i="6"/>
  <c r="AQ64" i="6"/>
  <c r="B65" i="6"/>
  <c r="C65" i="6"/>
  <c r="D65" i="6"/>
  <c r="E65" i="6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AJ65" i="6"/>
  <c r="AK65" i="6"/>
  <c r="AL65" i="6"/>
  <c r="AM65" i="6"/>
  <c r="AN65" i="6"/>
  <c r="AO65" i="6"/>
  <c r="AP65" i="6"/>
  <c r="AQ65" i="6"/>
  <c r="B66" i="6"/>
  <c r="C66" i="6"/>
  <c r="D66" i="6"/>
  <c r="E66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AJ66" i="6"/>
  <c r="AK66" i="6"/>
  <c r="AL66" i="6"/>
  <c r="AM66" i="6"/>
  <c r="AN66" i="6"/>
  <c r="AO66" i="6"/>
  <c r="AP66" i="6"/>
  <c r="AQ66" i="6"/>
  <c r="B67" i="6"/>
  <c r="C67" i="6"/>
  <c r="D67" i="6"/>
  <c r="E67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AJ67" i="6"/>
  <c r="AK67" i="6"/>
  <c r="AL67" i="6"/>
  <c r="AM67" i="6"/>
  <c r="AN67" i="6"/>
  <c r="AO67" i="6"/>
  <c r="AP67" i="6"/>
  <c r="AQ67" i="6"/>
  <c r="B68" i="6"/>
  <c r="C68" i="6"/>
  <c r="D68" i="6"/>
  <c r="E68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AJ68" i="6"/>
  <c r="AK68" i="6"/>
  <c r="AL68" i="6"/>
  <c r="AM68" i="6"/>
  <c r="AN68" i="6"/>
  <c r="AO68" i="6"/>
  <c r="AP68" i="6"/>
  <c r="AQ68" i="6"/>
  <c r="B69" i="6"/>
  <c r="C6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B70" i="6"/>
  <c r="C70" i="6"/>
  <c r="D70" i="6"/>
  <c r="E70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AJ70" i="6"/>
  <c r="AK70" i="6"/>
  <c r="AL70" i="6"/>
  <c r="AM70" i="6"/>
  <c r="AN70" i="6"/>
  <c r="AO70" i="6"/>
  <c r="AP70" i="6"/>
  <c r="AQ70" i="6"/>
  <c r="B71" i="6"/>
  <c r="C71" i="6"/>
  <c r="D71" i="6"/>
  <c r="E71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B72" i="6"/>
  <c r="C72" i="6"/>
  <c r="D72" i="6"/>
  <c r="E72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AJ72" i="6"/>
  <c r="AK72" i="6"/>
  <c r="AL72" i="6"/>
  <c r="AM72" i="6"/>
  <c r="AN72" i="6"/>
  <c r="AO72" i="6"/>
  <c r="AP72" i="6"/>
  <c r="AQ72" i="6"/>
  <c r="B73" i="6"/>
  <c r="C73" i="6"/>
  <c r="D73" i="6"/>
  <c r="E73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AJ73" i="6"/>
  <c r="AK73" i="6"/>
  <c r="AL73" i="6"/>
  <c r="AM73" i="6"/>
  <c r="AN73" i="6"/>
  <c r="AO73" i="6"/>
  <c r="AP73" i="6"/>
  <c r="AQ73" i="6"/>
  <c r="B74" i="6"/>
  <c r="C74" i="6"/>
  <c r="D74" i="6"/>
  <c r="E74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AJ74" i="6"/>
  <c r="AK74" i="6"/>
  <c r="AL74" i="6"/>
  <c r="AM74" i="6"/>
  <c r="AN74" i="6"/>
  <c r="AO74" i="6"/>
  <c r="AP74" i="6"/>
  <c r="AQ74" i="6"/>
  <c r="B75" i="6"/>
  <c r="C75" i="6"/>
  <c r="D75" i="6"/>
  <c r="E75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AJ75" i="6"/>
  <c r="AK75" i="6"/>
  <c r="AL75" i="6"/>
  <c r="AM75" i="6"/>
  <c r="AN75" i="6"/>
  <c r="AO75" i="6"/>
  <c r="AP75" i="6"/>
  <c r="AQ75" i="6"/>
  <c r="B76" i="6"/>
  <c r="C76" i="6"/>
  <c r="D76" i="6"/>
  <c r="E76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AJ76" i="6"/>
  <c r="AK76" i="6"/>
  <c r="AL76" i="6"/>
  <c r="AM76" i="6"/>
  <c r="AN76" i="6"/>
  <c r="AO76" i="6"/>
  <c r="AP76" i="6"/>
  <c r="AQ76" i="6"/>
  <c r="B77" i="6"/>
  <c r="C77" i="6"/>
  <c r="D77" i="6"/>
  <c r="E77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AJ77" i="6"/>
  <c r="AK77" i="6"/>
  <c r="AL77" i="6"/>
  <c r="AM77" i="6"/>
  <c r="AN77" i="6"/>
  <c r="AO77" i="6"/>
  <c r="AP77" i="6"/>
  <c r="AQ77" i="6"/>
  <c r="B78" i="6"/>
  <c r="C78" i="6"/>
  <c r="D78" i="6"/>
  <c r="E78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AJ78" i="6"/>
  <c r="AK78" i="6"/>
  <c r="AL78" i="6"/>
  <c r="AM78" i="6"/>
  <c r="AN78" i="6"/>
  <c r="AO78" i="6"/>
  <c r="AP78" i="6"/>
  <c r="AQ78" i="6"/>
  <c r="B79" i="6"/>
  <c r="C7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B80" i="6"/>
  <c r="C80" i="6"/>
  <c r="D80" i="6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AJ80" i="6"/>
  <c r="AK80" i="6"/>
  <c r="AL80" i="6"/>
  <c r="AM80" i="6"/>
  <c r="AN80" i="6"/>
  <c r="AO80" i="6"/>
  <c r="AP80" i="6"/>
  <c r="AQ80" i="6"/>
  <c r="B81" i="6"/>
  <c r="C81" i="6"/>
  <c r="D81" i="6"/>
  <c r="E81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AJ81" i="6"/>
  <c r="AK81" i="6"/>
  <c r="AL81" i="6"/>
  <c r="AM81" i="6"/>
  <c r="AN81" i="6"/>
  <c r="AO81" i="6"/>
  <c r="AP81" i="6"/>
  <c r="AQ81" i="6"/>
  <c r="B82" i="6"/>
  <c r="C82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B83" i="6"/>
  <c r="C83" i="6"/>
  <c r="D83" i="6"/>
  <c r="E83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B84" i="6"/>
  <c r="C84" i="6"/>
  <c r="D84" i="6"/>
  <c r="E84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AJ84" i="6"/>
  <c r="AK84" i="6"/>
  <c r="AL84" i="6"/>
  <c r="AM84" i="6"/>
  <c r="AN84" i="6"/>
  <c r="AO84" i="6"/>
  <c r="AP84" i="6"/>
  <c r="AQ84" i="6"/>
  <c r="B85" i="6"/>
  <c r="C85" i="6"/>
  <c r="D85" i="6"/>
  <c r="E85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AJ85" i="6"/>
  <c r="AK85" i="6"/>
  <c r="AL85" i="6"/>
  <c r="AM85" i="6"/>
  <c r="AN85" i="6"/>
  <c r="AO85" i="6"/>
  <c r="AP85" i="6"/>
  <c r="AQ85" i="6"/>
  <c r="B86" i="6"/>
  <c r="C86" i="6"/>
  <c r="D86" i="6"/>
  <c r="E86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AJ86" i="6"/>
  <c r="AK86" i="6"/>
  <c r="AL86" i="6"/>
  <c r="AM86" i="6"/>
  <c r="AN86" i="6"/>
  <c r="AO86" i="6"/>
  <c r="AP86" i="6"/>
  <c r="AQ86" i="6"/>
  <c r="B87" i="6"/>
  <c r="C87" i="6"/>
  <c r="D87" i="6"/>
  <c r="E87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AJ87" i="6"/>
  <c r="AK87" i="6"/>
  <c r="AL87" i="6"/>
  <c r="AM87" i="6"/>
  <c r="AN87" i="6"/>
  <c r="AO87" i="6"/>
  <c r="AP87" i="6"/>
  <c r="AQ87" i="6"/>
  <c r="B88" i="6"/>
  <c r="C88" i="6"/>
  <c r="D88" i="6"/>
  <c r="E88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AJ88" i="6"/>
  <c r="AK88" i="6"/>
  <c r="AL88" i="6"/>
  <c r="AM88" i="6"/>
  <c r="AN88" i="6"/>
  <c r="AO88" i="6"/>
  <c r="AP88" i="6"/>
  <c r="AQ88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AJ89" i="6"/>
  <c r="AK89" i="6"/>
  <c r="AL89" i="6"/>
  <c r="AM89" i="6"/>
  <c r="AN89" i="6"/>
  <c r="AO89" i="6"/>
  <c r="AP89" i="6"/>
  <c r="AQ89" i="6"/>
  <c r="B90" i="6"/>
  <c r="C90" i="6"/>
  <c r="D90" i="6"/>
  <c r="E90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AJ90" i="6"/>
  <c r="AK90" i="6"/>
  <c r="AL90" i="6"/>
  <c r="AM90" i="6"/>
  <c r="AN90" i="6"/>
  <c r="AO90" i="6"/>
  <c r="AP90" i="6"/>
  <c r="AQ90" i="6"/>
  <c r="B91" i="6"/>
  <c r="C91" i="6"/>
  <c r="D91" i="6"/>
  <c r="E91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AJ91" i="6"/>
  <c r="AK91" i="6"/>
  <c r="AL91" i="6"/>
  <c r="AM91" i="6"/>
  <c r="AN91" i="6"/>
  <c r="AO91" i="6"/>
  <c r="AP91" i="6"/>
  <c r="AQ91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AJ92" i="6"/>
  <c r="AK92" i="6"/>
  <c r="AL92" i="6"/>
  <c r="AM92" i="6"/>
  <c r="AN92" i="6"/>
  <c r="AO92" i="6"/>
  <c r="AP92" i="6"/>
  <c r="AQ92" i="6"/>
  <c r="B93" i="6"/>
  <c r="C93" i="6"/>
  <c r="D93" i="6"/>
  <c r="E93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AJ93" i="6"/>
  <c r="AK93" i="6"/>
  <c r="AL93" i="6"/>
  <c r="AM93" i="6"/>
  <c r="AN93" i="6"/>
  <c r="AO93" i="6"/>
  <c r="AP93" i="6"/>
  <c r="AQ93" i="6"/>
  <c r="B94" i="6"/>
  <c r="C94" i="6"/>
  <c r="D94" i="6"/>
  <c r="E94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AJ94" i="6"/>
  <c r="AK94" i="6"/>
  <c r="AL94" i="6"/>
  <c r="AM94" i="6"/>
  <c r="AN94" i="6"/>
  <c r="AO94" i="6"/>
  <c r="AP94" i="6"/>
  <c r="AQ94" i="6"/>
  <c r="B95" i="6"/>
  <c r="C95" i="6"/>
  <c r="D95" i="6"/>
  <c r="E95" i="6"/>
  <c r="F95" i="6"/>
  <c r="G95" i="6"/>
  <c r="H95" i="6"/>
  <c r="I95" i="6"/>
  <c r="J95" i="6"/>
  <c r="K95" i="6"/>
  <c r="L95" i="6"/>
  <c r="M95" i="6"/>
  <c r="N95" i="6"/>
  <c r="O95" i="6"/>
  <c r="P95" i="6"/>
  <c r="Q95" i="6"/>
  <c r="R95" i="6"/>
  <c r="S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AJ95" i="6"/>
  <c r="AK95" i="6"/>
  <c r="AL95" i="6"/>
  <c r="AM95" i="6"/>
  <c r="AN95" i="6"/>
  <c r="AO95" i="6"/>
  <c r="AP95" i="6"/>
  <c r="AQ95" i="6"/>
  <c r="B96" i="6"/>
  <c r="C96" i="6"/>
  <c r="D96" i="6"/>
  <c r="E96" i="6"/>
  <c r="F96" i="6"/>
  <c r="G96" i="6"/>
  <c r="H96" i="6"/>
  <c r="I96" i="6"/>
  <c r="J96" i="6"/>
  <c r="K96" i="6"/>
  <c r="L96" i="6"/>
  <c r="M96" i="6"/>
  <c r="N96" i="6"/>
  <c r="O96" i="6"/>
  <c r="P96" i="6"/>
  <c r="Q96" i="6"/>
  <c r="R96" i="6"/>
  <c r="S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AJ96" i="6"/>
  <c r="AK96" i="6"/>
  <c r="AL96" i="6"/>
  <c r="AM96" i="6"/>
  <c r="AN96" i="6"/>
  <c r="AO96" i="6"/>
  <c r="AP96" i="6"/>
  <c r="AQ96" i="6"/>
  <c r="B97" i="6"/>
  <c r="C97" i="6"/>
  <c r="D97" i="6"/>
  <c r="E97" i="6"/>
  <c r="F97" i="6"/>
  <c r="G97" i="6"/>
  <c r="H97" i="6"/>
  <c r="I97" i="6"/>
  <c r="J97" i="6"/>
  <c r="K97" i="6"/>
  <c r="L97" i="6"/>
  <c r="M97" i="6"/>
  <c r="N97" i="6"/>
  <c r="O97" i="6"/>
  <c r="P97" i="6"/>
  <c r="Q97" i="6"/>
  <c r="R97" i="6"/>
  <c r="S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AJ97" i="6"/>
  <c r="AK97" i="6"/>
  <c r="AL97" i="6"/>
  <c r="AM97" i="6"/>
  <c r="AN97" i="6"/>
  <c r="AO97" i="6"/>
  <c r="AP97" i="6"/>
  <c r="AQ97" i="6"/>
  <c r="B98" i="6"/>
  <c r="C98" i="6"/>
  <c r="D98" i="6"/>
  <c r="E98" i="6"/>
  <c r="F98" i="6"/>
  <c r="G98" i="6"/>
  <c r="H98" i="6"/>
  <c r="I98" i="6"/>
  <c r="J98" i="6"/>
  <c r="K98" i="6"/>
  <c r="L98" i="6"/>
  <c r="M98" i="6"/>
  <c r="N98" i="6"/>
  <c r="O98" i="6"/>
  <c r="P98" i="6"/>
  <c r="Q98" i="6"/>
  <c r="R98" i="6"/>
  <c r="S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AJ98" i="6"/>
  <c r="AK98" i="6"/>
  <c r="AL98" i="6"/>
  <c r="AM98" i="6"/>
  <c r="AN98" i="6"/>
  <c r="AO98" i="6"/>
  <c r="AP98" i="6"/>
  <c r="AQ98" i="6"/>
  <c r="B99" i="6"/>
  <c r="C99" i="6"/>
  <c r="D99" i="6"/>
  <c r="E99" i="6"/>
  <c r="F99" i="6"/>
  <c r="G99" i="6"/>
  <c r="H99" i="6"/>
  <c r="I99" i="6"/>
  <c r="J99" i="6"/>
  <c r="K99" i="6"/>
  <c r="L99" i="6"/>
  <c r="M99" i="6"/>
  <c r="N99" i="6"/>
  <c r="O99" i="6"/>
  <c r="P99" i="6"/>
  <c r="Q99" i="6"/>
  <c r="R99" i="6"/>
  <c r="S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AJ99" i="6"/>
  <c r="AK99" i="6"/>
  <c r="AL99" i="6"/>
  <c r="AM99" i="6"/>
  <c r="AN99" i="6"/>
  <c r="AO99" i="6"/>
  <c r="AP99" i="6"/>
  <c r="AQ99" i="6"/>
  <c r="B100" i="6"/>
  <c r="C100" i="6"/>
  <c r="D100" i="6"/>
  <c r="E100" i="6"/>
  <c r="F100" i="6"/>
  <c r="G100" i="6"/>
  <c r="H100" i="6"/>
  <c r="I100" i="6"/>
  <c r="J100" i="6"/>
  <c r="K100" i="6"/>
  <c r="L100" i="6"/>
  <c r="M100" i="6"/>
  <c r="N100" i="6"/>
  <c r="O100" i="6"/>
  <c r="P100" i="6"/>
  <c r="Q100" i="6"/>
  <c r="R100" i="6"/>
  <c r="S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AJ100" i="6"/>
  <c r="AK100" i="6"/>
  <c r="AL100" i="6"/>
  <c r="AM100" i="6"/>
  <c r="AN100" i="6"/>
  <c r="AO100" i="6"/>
  <c r="AP100" i="6"/>
  <c r="AQ100" i="6"/>
  <c r="B101" i="6"/>
  <c r="C101" i="6"/>
  <c r="D101" i="6"/>
  <c r="E101" i="6"/>
  <c r="F101" i="6"/>
  <c r="G101" i="6"/>
  <c r="H101" i="6"/>
  <c r="I101" i="6"/>
  <c r="J101" i="6"/>
  <c r="K101" i="6"/>
  <c r="L101" i="6"/>
  <c r="M101" i="6"/>
  <c r="N101" i="6"/>
  <c r="O101" i="6"/>
  <c r="P101" i="6"/>
  <c r="Q101" i="6"/>
  <c r="R101" i="6"/>
  <c r="S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AJ101" i="6"/>
  <c r="AK101" i="6"/>
  <c r="AL101" i="6"/>
  <c r="AM101" i="6"/>
  <c r="AN101" i="6"/>
  <c r="AO101" i="6"/>
  <c r="AP101" i="6"/>
  <c r="AQ101" i="6"/>
  <c r="B102" i="6"/>
  <c r="C102" i="6"/>
  <c r="D102" i="6"/>
  <c r="E102" i="6"/>
  <c r="F102" i="6"/>
  <c r="G102" i="6"/>
  <c r="H102" i="6"/>
  <c r="I102" i="6"/>
  <c r="J102" i="6"/>
  <c r="K102" i="6"/>
  <c r="L102" i="6"/>
  <c r="M102" i="6"/>
  <c r="N102" i="6"/>
  <c r="O102" i="6"/>
  <c r="P102" i="6"/>
  <c r="Q102" i="6"/>
  <c r="R102" i="6"/>
  <c r="S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AJ102" i="6"/>
  <c r="AK102" i="6"/>
  <c r="AL102" i="6"/>
  <c r="AM102" i="6"/>
  <c r="AN102" i="6"/>
  <c r="AO102" i="6"/>
  <c r="AP102" i="6"/>
  <c r="AQ102" i="6"/>
  <c r="B103" i="6"/>
  <c r="C103" i="6"/>
  <c r="D103" i="6"/>
  <c r="E103" i="6"/>
  <c r="F103" i="6"/>
  <c r="G103" i="6"/>
  <c r="H103" i="6"/>
  <c r="I103" i="6"/>
  <c r="J103" i="6"/>
  <c r="K103" i="6"/>
  <c r="L103" i="6"/>
  <c r="M103" i="6"/>
  <c r="N103" i="6"/>
  <c r="O103" i="6"/>
  <c r="P103" i="6"/>
  <c r="Q103" i="6"/>
  <c r="R103" i="6"/>
  <c r="S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AJ103" i="6"/>
  <c r="AK103" i="6"/>
  <c r="AL103" i="6"/>
  <c r="AM103" i="6"/>
  <c r="AN103" i="6"/>
  <c r="AO103" i="6"/>
  <c r="AP103" i="6"/>
  <c r="AQ103" i="6"/>
  <c r="B104" i="6"/>
  <c r="C104" i="6"/>
  <c r="D104" i="6"/>
  <c r="E104" i="6"/>
  <c r="F104" i="6"/>
  <c r="G104" i="6"/>
  <c r="H104" i="6"/>
  <c r="I104" i="6"/>
  <c r="J104" i="6"/>
  <c r="K104" i="6"/>
  <c r="L104" i="6"/>
  <c r="M104" i="6"/>
  <c r="N104" i="6"/>
  <c r="O104" i="6"/>
  <c r="P104" i="6"/>
  <c r="Q104" i="6"/>
  <c r="R104" i="6"/>
  <c r="S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AJ104" i="6"/>
  <c r="AK104" i="6"/>
  <c r="AL104" i="6"/>
  <c r="AM104" i="6"/>
  <c r="AN104" i="6"/>
  <c r="AO104" i="6"/>
  <c r="AP104" i="6"/>
  <c r="AQ104" i="6"/>
  <c r="B105" i="6"/>
  <c r="C105" i="6"/>
  <c r="D105" i="6"/>
  <c r="E105" i="6"/>
  <c r="F105" i="6"/>
  <c r="G105" i="6"/>
  <c r="H105" i="6"/>
  <c r="I105" i="6"/>
  <c r="J105" i="6"/>
  <c r="K105" i="6"/>
  <c r="L105" i="6"/>
  <c r="M105" i="6"/>
  <c r="N105" i="6"/>
  <c r="O105" i="6"/>
  <c r="P105" i="6"/>
  <c r="Q105" i="6"/>
  <c r="R105" i="6"/>
  <c r="S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AJ105" i="6"/>
  <c r="AK105" i="6"/>
  <c r="AL105" i="6"/>
  <c r="AM105" i="6"/>
  <c r="AN105" i="6"/>
  <c r="AO105" i="6"/>
  <c r="AP105" i="6"/>
  <c r="AQ105" i="6"/>
  <c r="B106" i="6"/>
  <c r="C106" i="6"/>
  <c r="D106" i="6"/>
  <c r="E106" i="6"/>
  <c r="F106" i="6"/>
  <c r="G106" i="6"/>
  <c r="H106" i="6"/>
  <c r="I106" i="6"/>
  <c r="J106" i="6"/>
  <c r="K106" i="6"/>
  <c r="L106" i="6"/>
  <c r="M106" i="6"/>
  <c r="N106" i="6"/>
  <c r="O106" i="6"/>
  <c r="P106" i="6"/>
  <c r="Q106" i="6"/>
  <c r="R106" i="6"/>
  <c r="S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AJ106" i="6"/>
  <c r="AK106" i="6"/>
  <c r="AL106" i="6"/>
  <c r="AM106" i="6"/>
  <c r="AN106" i="6"/>
  <c r="AO106" i="6"/>
  <c r="AP106" i="6"/>
  <c r="AQ106" i="6"/>
  <c r="B107" i="6"/>
  <c r="C107" i="6"/>
  <c r="D107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AJ107" i="6"/>
  <c r="AK107" i="6"/>
  <c r="AL107" i="6"/>
  <c r="AM107" i="6"/>
  <c r="AN107" i="6"/>
  <c r="AO107" i="6"/>
  <c r="AP107" i="6"/>
  <c r="AQ107" i="6"/>
  <c r="B108" i="6"/>
  <c r="C108" i="6"/>
  <c r="D108" i="6"/>
  <c r="E108" i="6"/>
  <c r="F108" i="6"/>
  <c r="G108" i="6"/>
  <c r="H108" i="6"/>
  <c r="I108" i="6"/>
  <c r="J108" i="6"/>
  <c r="K108" i="6"/>
  <c r="L108" i="6"/>
  <c r="M108" i="6"/>
  <c r="N108" i="6"/>
  <c r="O108" i="6"/>
  <c r="P108" i="6"/>
  <c r="Q108" i="6"/>
  <c r="R108" i="6"/>
  <c r="S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AJ108" i="6"/>
  <c r="AK108" i="6"/>
  <c r="AL108" i="6"/>
  <c r="AM108" i="6"/>
  <c r="AN108" i="6"/>
  <c r="AO108" i="6"/>
  <c r="AP108" i="6"/>
  <c r="AQ108" i="6"/>
  <c r="B109" i="6"/>
  <c r="C109" i="6"/>
  <c r="D109" i="6"/>
  <c r="E109" i="6"/>
  <c r="F109" i="6"/>
  <c r="G109" i="6"/>
  <c r="H109" i="6"/>
  <c r="I109" i="6"/>
  <c r="J109" i="6"/>
  <c r="K109" i="6"/>
  <c r="L109" i="6"/>
  <c r="M109" i="6"/>
  <c r="N109" i="6"/>
  <c r="O109" i="6"/>
  <c r="P109" i="6"/>
  <c r="Q109" i="6"/>
  <c r="R109" i="6"/>
  <c r="S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AJ109" i="6"/>
  <c r="AK109" i="6"/>
  <c r="AL109" i="6"/>
  <c r="AM109" i="6"/>
  <c r="AN109" i="6"/>
  <c r="AO109" i="6"/>
  <c r="AP109" i="6"/>
  <c r="AQ109" i="6"/>
  <c r="B110" i="6"/>
  <c r="C110" i="6"/>
  <c r="D110" i="6"/>
  <c r="E110" i="6"/>
  <c r="F110" i="6"/>
  <c r="G110" i="6"/>
  <c r="H110" i="6"/>
  <c r="I110" i="6"/>
  <c r="J110" i="6"/>
  <c r="K110" i="6"/>
  <c r="L110" i="6"/>
  <c r="M110" i="6"/>
  <c r="N110" i="6"/>
  <c r="O110" i="6"/>
  <c r="P110" i="6"/>
  <c r="Q110" i="6"/>
  <c r="R110" i="6"/>
  <c r="S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AJ110" i="6"/>
  <c r="AK110" i="6"/>
  <c r="AL110" i="6"/>
  <c r="AM110" i="6"/>
  <c r="AN110" i="6"/>
  <c r="AO110" i="6"/>
  <c r="AP110" i="6"/>
  <c r="AQ110" i="6"/>
  <c r="B111" i="6"/>
  <c r="C111" i="6"/>
  <c r="D111" i="6"/>
  <c r="E111" i="6"/>
  <c r="F111" i="6"/>
  <c r="G111" i="6"/>
  <c r="H111" i="6"/>
  <c r="I111" i="6"/>
  <c r="J111" i="6"/>
  <c r="K111" i="6"/>
  <c r="L111" i="6"/>
  <c r="M111" i="6"/>
  <c r="N111" i="6"/>
  <c r="O111" i="6"/>
  <c r="P111" i="6"/>
  <c r="Q111" i="6"/>
  <c r="R111" i="6"/>
  <c r="S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AJ111" i="6"/>
  <c r="AK111" i="6"/>
  <c r="AL111" i="6"/>
  <c r="AM111" i="6"/>
  <c r="AN111" i="6"/>
  <c r="AO111" i="6"/>
  <c r="AP111" i="6"/>
  <c r="AQ111" i="6"/>
  <c r="B112" i="6"/>
  <c r="C112" i="6"/>
  <c r="D112" i="6"/>
  <c r="E112" i="6"/>
  <c r="F112" i="6"/>
  <c r="G112" i="6"/>
  <c r="H112" i="6"/>
  <c r="I112" i="6"/>
  <c r="J112" i="6"/>
  <c r="K112" i="6"/>
  <c r="L112" i="6"/>
  <c r="M112" i="6"/>
  <c r="N112" i="6"/>
  <c r="O112" i="6"/>
  <c r="P112" i="6"/>
  <c r="Q112" i="6"/>
  <c r="R112" i="6"/>
  <c r="S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AJ112" i="6"/>
  <c r="AK112" i="6"/>
  <c r="AL112" i="6"/>
  <c r="AM112" i="6"/>
  <c r="AN112" i="6"/>
  <c r="AO112" i="6"/>
  <c r="AP112" i="6"/>
  <c r="AQ112" i="6"/>
  <c r="B113" i="6"/>
  <c r="C113" i="6"/>
  <c r="D113" i="6"/>
  <c r="E113" i="6"/>
  <c r="F113" i="6"/>
  <c r="G113" i="6"/>
  <c r="H113" i="6"/>
  <c r="I113" i="6"/>
  <c r="J113" i="6"/>
  <c r="K113" i="6"/>
  <c r="L113" i="6"/>
  <c r="M113" i="6"/>
  <c r="N113" i="6"/>
  <c r="O113" i="6"/>
  <c r="P113" i="6"/>
  <c r="Q113" i="6"/>
  <c r="R113" i="6"/>
  <c r="S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AJ113" i="6"/>
  <c r="AK113" i="6"/>
  <c r="AL113" i="6"/>
  <c r="AM113" i="6"/>
  <c r="AN113" i="6"/>
  <c r="AO113" i="6"/>
  <c r="AP113" i="6"/>
  <c r="AQ113" i="6"/>
  <c r="B114" i="6"/>
  <c r="C114" i="6"/>
  <c r="D114" i="6"/>
  <c r="E114" i="6"/>
  <c r="F114" i="6"/>
  <c r="G114" i="6"/>
  <c r="H114" i="6"/>
  <c r="I114" i="6"/>
  <c r="J114" i="6"/>
  <c r="K114" i="6"/>
  <c r="L114" i="6"/>
  <c r="M114" i="6"/>
  <c r="N114" i="6"/>
  <c r="O114" i="6"/>
  <c r="P114" i="6"/>
  <c r="Q114" i="6"/>
  <c r="R114" i="6"/>
  <c r="S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AJ114" i="6"/>
  <c r="AK114" i="6"/>
  <c r="AL114" i="6"/>
  <c r="AM114" i="6"/>
  <c r="AN114" i="6"/>
  <c r="AO114" i="6"/>
  <c r="AP114" i="6"/>
  <c r="AQ114" i="6"/>
  <c r="B115" i="6"/>
  <c r="C115" i="6"/>
  <c r="D115" i="6"/>
  <c r="E115" i="6"/>
  <c r="F115" i="6"/>
  <c r="G115" i="6"/>
  <c r="H115" i="6"/>
  <c r="I115" i="6"/>
  <c r="J115" i="6"/>
  <c r="K115" i="6"/>
  <c r="L115" i="6"/>
  <c r="M115" i="6"/>
  <c r="N115" i="6"/>
  <c r="O115" i="6"/>
  <c r="P115" i="6"/>
  <c r="Q115" i="6"/>
  <c r="R115" i="6"/>
  <c r="S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AJ115" i="6"/>
  <c r="AK115" i="6"/>
  <c r="AL115" i="6"/>
  <c r="AM115" i="6"/>
  <c r="AN115" i="6"/>
  <c r="AO115" i="6"/>
  <c r="AP115" i="6"/>
  <c r="AQ115" i="6"/>
  <c r="B116" i="6"/>
  <c r="C116" i="6"/>
  <c r="D116" i="6"/>
  <c r="E116" i="6"/>
  <c r="F116" i="6"/>
  <c r="G116" i="6"/>
  <c r="H116" i="6"/>
  <c r="I116" i="6"/>
  <c r="J116" i="6"/>
  <c r="K116" i="6"/>
  <c r="L116" i="6"/>
  <c r="M116" i="6"/>
  <c r="N116" i="6"/>
  <c r="O116" i="6"/>
  <c r="P116" i="6"/>
  <c r="Q116" i="6"/>
  <c r="R116" i="6"/>
  <c r="S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AJ116" i="6"/>
  <c r="AK116" i="6"/>
  <c r="AL116" i="6"/>
  <c r="AM116" i="6"/>
  <c r="AN116" i="6"/>
  <c r="AO116" i="6"/>
  <c r="AP116" i="6"/>
  <c r="AQ116" i="6"/>
  <c r="B117" i="6"/>
  <c r="C117" i="6"/>
  <c r="D117" i="6"/>
  <c r="E117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R117" i="6"/>
  <c r="S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AJ117" i="6"/>
  <c r="AK117" i="6"/>
  <c r="AL117" i="6"/>
  <c r="AM117" i="6"/>
  <c r="AN117" i="6"/>
  <c r="AO117" i="6"/>
  <c r="AP117" i="6"/>
  <c r="AQ117" i="6"/>
  <c r="B118" i="6"/>
  <c r="C118" i="6"/>
  <c r="D118" i="6"/>
  <c r="E118" i="6"/>
  <c r="F118" i="6"/>
  <c r="G118" i="6"/>
  <c r="H118" i="6"/>
  <c r="I118" i="6"/>
  <c r="J118" i="6"/>
  <c r="K118" i="6"/>
  <c r="L118" i="6"/>
  <c r="M118" i="6"/>
  <c r="N118" i="6"/>
  <c r="O118" i="6"/>
  <c r="P118" i="6"/>
  <c r="Q118" i="6"/>
  <c r="R118" i="6"/>
  <c r="S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AJ118" i="6"/>
  <c r="AK118" i="6"/>
  <c r="AL118" i="6"/>
  <c r="AM118" i="6"/>
  <c r="AN118" i="6"/>
  <c r="AO118" i="6"/>
  <c r="AP118" i="6"/>
  <c r="AQ118" i="6"/>
  <c r="B119" i="6"/>
  <c r="C119" i="6"/>
  <c r="D119" i="6"/>
  <c r="E119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R119" i="6"/>
  <c r="S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AJ119" i="6"/>
  <c r="AK119" i="6"/>
  <c r="AL119" i="6"/>
  <c r="AM119" i="6"/>
  <c r="AN119" i="6"/>
  <c r="AO119" i="6"/>
  <c r="AP119" i="6"/>
  <c r="AQ119" i="6"/>
  <c r="B120" i="6"/>
  <c r="C120" i="6"/>
  <c r="D120" i="6"/>
  <c r="E120" i="6"/>
  <c r="F120" i="6"/>
  <c r="G120" i="6"/>
  <c r="H120" i="6"/>
  <c r="I120" i="6"/>
  <c r="J120" i="6"/>
  <c r="K120" i="6"/>
  <c r="L120" i="6"/>
  <c r="M120" i="6"/>
  <c r="N120" i="6"/>
  <c r="O120" i="6"/>
  <c r="P120" i="6"/>
  <c r="Q120" i="6"/>
  <c r="R120" i="6"/>
  <c r="S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B121" i="6"/>
  <c r="C121" i="6"/>
  <c r="D121" i="6"/>
  <c r="E121" i="6"/>
  <c r="F121" i="6"/>
  <c r="G121" i="6"/>
  <c r="H121" i="6"/>
  <c r="I121" i="6"/>
  <c r="J121" i="6"/>
  <c r="K121" i="6"/>
  <c r="L121" i="6"/>
  <c r="M121" i="6"/>
  <c r="N121" i="6"/>
  <c r="O121" i="6"/>
  <c r="P121" i="6"/>
  <c r="Q121" i="6"/>
  <c r="R121" i="6"/>
  <c r="S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AJ121" i="6"/>
  <c r="AK121" i="6"/>
  <c r="AL121" i="6"/>
  <c r="AM121" i="6"/>
  <c r="AN121" i="6"/>
  <c r="AO121" i="6"/>
  <c r="AP121" i="6"/>
  <c r="AQ121" i="6"/>
  <c r="B122" i="6"/>
  <c r="C122" i="6"/>
  <c r="D122" i="6"/>
  <c r="E122" i="6"/>
  <c r="F122" i="6"/>
  <c r="G122" i="6"/>
  <c r="H122" i="6"/>
  <c r="I122" i="6"/>
  <c r="J122" i="6"/>
  <c r="K122" i="6"/>
  <c r="L122" i="6"/>
  <c r="M122" i="6"/>
  <c r="N122" i="6"/>
  <c r="O122" i="6"/>
  <c r="P122" i="6"/>
  <c r="Q122" i="6"/>
  <c r="R122" i="6"/>
  <c r="S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B123" i="6"/>
  <c r="C123" i="6"/>
  <c r="D123" i="6"/>
  <c r="E123" i="6"/>
  <c r="F123" i="6"/>
  <c r="G123" i="6"/>
  <c r="H123" i="6"/>
  <c r="I123" i="6"/>
  <c r="J123" i="6"/>
  <c r="K123" i="6"/>
  <c r="L123" i="6"/>
  <c r="M123" i="6"/>
  <c r="N123" i="6"/>
  <c r="O123" i="6"/>
  <c r="P123" i="6"/>
  <c r="Q123" i="6"/>
  <c r="R123" i="6"/>
  <c r="S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AJ123" i="6"/>
  <c r="AK123" i="6"/>
  <c r="AL123" i="6"/>
  <c r="AM123" i="6"/>
  <c r="AN123" i="6"/>
  <c r="AO123" i="6"/>
  <c r="AP123" i="6"/>
  <c r="AQ123" i="6"/>
  <c r="B124" i="6"/>
  <c r="C124" i="6"/>
  <c r="D124" i="6"/>
  <c r="E124" i="6"/>
  <c r="F124" i="6"/>
  <c r="G124" i="6"/>
  <c r="H124" i="6"/>
  <c r="I124" i="6"/>
  <c r="J124" i="6"/>
  <c r="K124" i="6"/>
  <c r="L124" i="6"/>
  <c r="M124" i="6"/>
  <c r="N124" i="6"/>
  <c r="O124" i="6"/>
  <c r="P124" i="6"/>
  <c r="Q124" i="6"/>
  <c r="R124" i="6"/>
  <c r="S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AJ124" i="6"/>
  <c r="AK124" i="6"/>
  <c r="AL124" i="6"/>
  <c r="AM124" i="6"/>
  <c r="AN124" i="6"/>
  <c r="AO124" i="6"/>
  <c r="AP124" i="6"/>
  <c r="AQ124" i="6"/>
  <c r="B125" i="6"/>
  <c r="C125" i="6"/>
  <c r="D125" i="6"/>
  <c r="E125" i="6"/>
  <c r="F125" i="6"/>
  <c r="G125" i="6"/>
  <c r="H125" i="6"/>
  <c r="I125" i="6"/>
  <c r="J125" i="6"/>
  <c r="K125" i="6"/>
  <c r="L125" i="6"/>
  <c r="M125" i="6"/>
  <c r="N125" i="6"/>
  <c r="O125" i="6"/>
  <c r="P125" i="6"/>
  <c r="Q125" i="6"/>
  <c r="R125" i="6"/>
  <c r="S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AJ125" i="6"/>
  <c r="AK125" i="6"/>
  <c r="AL125" i="6"/>
  <c r="AM125" i="6"/>
  <c r="AN125" i="6"/>
  <c r="AO125" i="6"/>
  <c r="AP125" i="6"/>
  <c r="AQ125" i="6"/>
  <c r="B126" i="6"/>
  <c r="C126" i="6"/>
  <c r="D126" i="6"/>
  <c r="E126" i="6"/>
  <c r="F126" i="6"/>
  <c r="G126" i="6"/>
  <c r="H126" i="6"/>
  <c r="I126" i="6"/>
  <c r="J126" i="6"/>
  <c r="K126" i="6"/>
  <c r="L126" i="6"/>
  <c r="M126" i="6"/>
  <c r="N126" i="6"/>
  <c r="O126" i="6"/>
  <c r="P126" i="6"/>
  <c r="Q126" i="6"/>
  <c r="R126" i="6"/>
  <c r="S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AJ126" i="6"/>
  <c r="AK126" i="6"/>
  <c r="AL126" i="6"/>
  <c r="AM126" i="6"/>
  <c r="AN126" i="6"/>
  <c r="AO126" i="6"/>
  <c r="AP126" i="6"/>
  <c r="AQ126" i="6"/>
  <c r="B127" i="6"/>
  <c r="C127" i="6"/>
  <c r="D127" i="6"/>
  <c r="E127" i="6"/>
  <c r="F127" i="6"/>
  <c r="G127" i="6"/>
  <c r="H127" i="6"/>
  <c r="I127" i="6"/>
  <c r="J127" i="6"/>
  <c r="K127" i="6"/>
  <c r="L127" i="6"/>
  <c r="M127" i="6"/>
  <c r="N127" i="6"/>
  <c r="O127" i="6"/>
  <c r="P127" i="6"/>
  <c r="Q127" i="6"/>
  <c r="R127" i="6"/>
  <c r="S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AJ127" i="6"/>
  <c r="AK127" i="6"/>
  <c r="AL127" i="6"/>
  <c r="AM127" i="6"/>
  <c r="AN127" i="6"/>
  <c r="AO127" i="6"/>
  <c r="AP127" i="6"/>
  <c r="AQ127" i="6"/>
  <c r="B128" i="6"/>
  <c r="C128" i="6"/>
  <c r="D128" i="6"/>
  <c r="E128" i="6"/>
  <c r="F128" i="6"/>
  <c r="G128" i="6"/>
  <c r="H128" i="6"/>
  <c r="I128" i="6"/>
  <c r="J128" i="6"/>
  <c r="K128" i="6"/>
  <c r="L128" i="6"/>
  <c r="M128" i="6"/>
  <c r="N128" i="6"/>
  <c r="O128" i="6"/>
  <c r="P128" i="6"/>
  <c r="Q128" i="6"/>
  <c r="R128" i="6"/>
  <c r="S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AJ128" i="6"/>
  <c r="AK128" i="6"/>
  <c r="AL128" i="6"/>
  <c r="AM128" i="6"/>
  <c r="AN128" i="6"/>
  <c r="AO128" i="6"/>
  <c r="AP128" i="6"/>
  <c r="AQ128" i="6"/>
  <c r="B129" i="6"/>
  <c r="C129" i="6"/>
  <c r="D129" i="6"/>
  <c r="E129" i="6"/>
  <c r="F129" i="6"/>
  <c r="G129" i="6"/>
  <c r="H129" i="6"/>
  <c r="I129" i="6"/>
  <c r="J129" i="6"/>
  <c r="K129" i="6"/>
  <c r="L129" i="6"/>
  <c r="M129" i="6"/>
  <c r="N129" i="6"/>
  <c r="O129" i="6"/>
  <c r="P129" i="6"/>
  <c r="Q129" i="6"/>
  <c r="R129" i="6"/>
  <c r="S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AJ129" i="6"/>
  <c r="AK129" i="6"/>
  <c r="AL129" i="6"/>
  <c r="AM129" i="6"/>
  <c r="AN129" i="6"/>
  <c r="AO129" i="6"/>
  <c r="AP129" i="6"/>
  <c r="AQ129" i="6"/>
  <c r="B130" i="6"/>
  <c r="C130" i="6"/>
  <c r="D130" i="6"/>
  <c r="E130" i="6"/>
  <c r="F130" i="6"/>
  <c r="G130" i="6"/>
  <c r="H130" i="6"/>
  <c r="I130" i="6"/>
  <c r="J130" i="6"/>
  <c r="K130" i="6"/>
  <c r="L130" i="6"/>
  <c r="M130" i="6"/>
  <c r="N130" i="6"/>
  <c r="O130" i="6"/>
  <c r="P130" i="6"/>
  <c r="Q130" i="6"/>
  <c r="R130" i="6"/>
  <c r="S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AJ130" i="6"/>
  <c r="AK130" i="6"/>
  <c r="AL130" i="6"/>
  <c r="AM130" i="6"/>
  <c r="AN130" i="6"/>
  <c r="AO130" i="6"/>
  <c r="AP130" i="6"/>
  <c r="AQ130" i="6"/>
  <c r="B131" i="6"/>
  <c r="C131" i="6"/>
  <c r="D131" i="6"/>
  <c r="E131" i="6"/>
  <c r="F131" i="6"/>
  <c r="G131" i="6"/>
  <c r="H131" i="6"/>
  <c r="I131" i="6"/>
  <c r="J131" i="6"/>
  <c r="K131" i="6"/>
  <c r="L131" i="6"/>
  <c r="M131" i="6"/>
  <c r="N131" i="6"/>
  <c r="O131" i="6"/>
  <c r="P131" i="6"/>
  <c r="Q131" i="6"/>
  <c r="R131" i="6"/>
  <c r="S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AJ131" i="6"/>
  <c r="AK131" i="6"/>
  <c r="AL131" i="6"/>
  <c r="AM131" i="6"/>
  <c r="AN131" i="6"/>
  <c r="AO131" i="6"/>
  <c r="AP131" i="6"/>
  <c r="AQ131" i="6"/>
  <c r="B132" i="6"/>
  <c r="C132" i="6"/>
  <c r="D132" i="6"/>
  <c r="E132" i="6"/>
  <c r="F132" i="6"/>
  <c r="G132" i="6"/>
  <c r="H132" i="6"/>
  <c r="I132" i="6"/>
  <c r="J132" i="6"/>
  <c r="K132" i="6"/>
  <c r="L132" i="6"/>
  <c r="M132" i="6"/>
  <c r="N132" i="6"/>
  <c r="O132" i="6"/>
  <c r="P132" i="6"/>
  <c r="Q132" i="6"/>
  <c r="R132" i="6"/>
  <c r="S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AJ132" i="6"/>
  <c r="AK132" i="6"/>
  <c r="AL132" i="6"/>
  <c r="AM132" i="6"/>
  <c r="AN132" i="6"/>
  <c r="AO132" i="6"/>
  <c r="AP132" i="6"/>
  <c r="AQ132" i="6"/>
  <c r="B133" i="6"/>
  <c r="C133" i="6"/>
  <c r="D133" i="6"/>
  <c r="E133" i="6"/>
  <c r="F133" i="6"/>
  <c r="G133" i="6"/>
  <c r="H133" i="6"/>
  <c r="I133" i="6"/>
  <c r="J133" i="6"/>
  <c r="K133" i="6"/>
  <c r="L133" i="6"/>
  <c r="M133" i="6"/>
  <c r="N133" i="6"/>
  <c r="O133" i="6"/>
  <c r="P133" i="6"/>
  <c r="Q133" i="6"/>
  <c r="R133" i="6"/>
  <c r="S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B134" i="6"/>
  <c r="C134" i="6"/>
  <c r="D134" i="6"/>
  <c r="E134" i="6"/>
  <c r="F134" i="6"/>
  <c r="G134" i="6"/>
  <c r="H134" i="6"/>
  <c r="I134" i="6"/>
  <c r="J134" i="6"/>
  <c r="K134" i="6"/>
  <c r="L134" i="6"/>
  <c r="M134" i="6"/>
  <c r="N134" i="6"/>
  <c r="O134" i="6"/>
  <c r="P134" i="6"/>
  <c r="Q134" i="6"/>
  <c r="R134" i="6"/>
  <c r="S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AJ134" i="6"/>
  <c r="AK134" i="6"/>
  <c r="AL134" i="6"/>
  <c r="AM134" i="6"/>
  <c r="AN134" i="6"/>
  <c r="AO134" i="6"/>
  <c r="AP134" i="6"/>
  <c r="AQ134" i="6"/>
  <c r="B135" i="6"/>
  <c r="C135" i="6"/>
  <c r="D135" i="6"/>
  <c r="E135" i="6"/>
  <c r="F135" i="6"/>
  <c r="G135" i="6"/>
  <c r="H135" i="6"/>
  <c r="I135" i="6"/>
  <c r="J135" i="6"/>
  <c r="K135" i="6"/>
  <c r="L135" i="6"/>
  <c r="M135" i="6"/>
  <c r="N135" i="6"/>
  <c r="O135" i="6"/>
  <c r="P135" i="6"/>
  <c r="Q135" i="6"/>
  <c r="R135" i="6"/>
  <c r="S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AJ135" i="6"/>
  <c r="AK135" i="6"/>
  <c r="AL135" i="6"/>
  <c r="AM135" i="6"/>
  <c r="AN135" i="6"/>
  <c r="AO135" i="6"/>
  <c r="AP135" i="6"/>
  <c r="AQ135" i="6"/>
  <c r="B136" i="6"/>
  <c r="C136" i="6"/>
  <c r="D136" i="6"/>
  <c r="E136" i="6"/>
  <c r="F136" i="6"/>
  <c r="G136" i="6"/>
  <c r="H136" i="6"/>
  <c r="I136" i="6"/>
  <c r="J136" i="6"/>
  <c r="K136" i="6"/>
  <c r="L136" i="6"/>
  <c r="M136" i="6"/>
  <c r="N136" i="6"/>
  <c r="O136" i="6"/>
  <c r="P136" i="6"/>
  <c r="Q136" i="6"/>
  <c r="R136" i="6"/>
  <c r="S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AJ136" i="6"/>
  <c r="AK136" i="6"/>
  <c r="AL136" i="6"/>
  <c r="AM136" i="6"/>
  <c r="AN136" i="6"/>
  <c r="AO136" i="6"/>
  <c r="AP136" i="6"/>
  <c r="AQ136" i="6"/>
  <c r="B137" i="6"/>
  <c r="C137" i="6"/>
  <c r="D137" i="6"/>
  <c r="E137" i="6"/>
  <c r="F137" i="6"/>
  <c r="G137" i="6"/>
  <c r="H137" i="6"/>
  <c r="I137" i="6"/>
  <c r="J137" i="6"/>
  <c r="K137" i="6"/>
  <c r="L137" i="6"/>
  <c r="M137" i="6"/>
  <c r="N137" i="6"/>
  <c r="O137" i="6"/>
  <c r="P137" i="6"/>
  <c r="Q137" i="6"/>
  <c r="R137" i="6"/>
  <c r="S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AJ137" i="6"/>
  <c r="AK137" i="6"/>
  <c r="AL137" i="6"/>
  <c r="AM137" i="6"/>
  <c r="AN137" i="6"/>
  <c r="AO137" i="6"/>
  <c r="AP137" i="6"/>
  <c r="AQ137" i="6"/>
  <c r="B138" i="6"/>
  <c r="C138" i="6"/>
  <c r="D138" i="6"/>
  <c r="E138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R138" i="6"/>
  <c r="S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AJ138" i="6"/>
  <c r="AK138" i="6"/>
  <c r="AL138" i="6"/>
  <c r="AM138" i="6"/>
  <c r="AN138" i="6"/>
  <c r="AO138" i="6"/>
  <c r="AP138" i="6"/>
  <c r="AQ138" i="6"/>
  <c r="B139" i="6"/>
  <c r="C139" i="6"/>
  <c r="D139" i="6"/>
  <c r="E139" i="6"/>
  <c r="F139" i="6"/>
  <c r="G139" i="6"/>
  <c r="H139" i="6"/>
  <c r="I139" i="6"/>
  <c r="J139" i="6"/>
  <c r="K139" i="6"/>
  <c r="L139" i="6"/>
  <c r="M139" i="6"/>
  <c r="N139" i="6"/>
  <c r="O139" i="6"/>
  <c r="P139" i="6"/>
  <c r="Q139" i="6"/>
  <c r="R139" i="6"/>
  <c r="S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B140" i="6"/>
  <c r="C140" i="6"/>
  <c r="D140" i="6"/>
  <c r="E140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R140" i="6"/>
  <c r="S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AJ140" i="6"/>
  <c r="AK140" i="6"/>
  <c r="AL140" i="6"/>
  <c r="AM140" i="6"/>
  <c r="AN140" i="6"/>
  <c r="AO140" i="6"/>
  <c r="AP140" i="6"/>
  <c r="AQ140" i="6"/>
  <c r="B141" i="6"/>
  <c r="C141" i="6"/>
  <c r="D141" i="6"/>
  <c r="E141" i="6"/>
  <c r="F141" i="6"/>
  <c r="G141" i="6"/>
  <c r="H141" i="6"/>
  <c r="I141" i="6"/>
  <c r="J141" i="6"/>
  <c r="K141" i="6"/>
  <c r="L141" i="6"/>
  <c r="M141" i="6"/>
  <c r="N141" i="6"/>
  <c r="O141" i="6"/>
  <c r="P141" i="6"/>
  <c r="Q141" i="6"/>
  <c r="R141" i="6"/>
  <c r="S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AJ141" i="6"/>
  <c r="AK141" i="6"/>
  <c r="AL141" i="6"/>
  <c r="AM141" i="6"/>
  <c r="AN141" i="6"/>
  <c r="AO141" i="6"/>
  <c r="AP141" i="6"/>
  <c r="AQ141" i="6"/>
  <c r="B142" i="6"/>
  <c r="C142" i="6"/>
  <c r="D142" i="6"/>
  <c r="E142" i="6"/>
  <c r="F142" i="6"/>
  <c r="G142" i="6"/>
  <c r="H142" i="6"/>
  <c r="I142" i="6"/>
  <c r="J142" i="6"/>
  <c r="K142" i="6"/>
  <c r="L142" i="6"/>
  <c r="M142" i="6"/>
  <c r="N142" i="6"/>
  <c r="O142" i="6"/>
  <c r="P142" i="6"/>
  <c r="Q142" i="6"/>
  <c r="R142" i="6"/>
  <c r="S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AJ142" i="6"/>
  <c r="AK142" i="6"/>
  <c r="AL142" i="6"/>
  <c r="AM142" i="6"/>
  <c r="AN142" i="6"/>
  <c r="AO142" i="6"/>
  <c r="AP142" i="6"/>
  <c r="AQ142" i="6"/>
  <c r="B143" i="6"/>
  <c r="C143" i="6"/>
  <c r="D143" i="6"/>
  <c r="E143" i="6"/>
  <c r="F143" i="6"/>
  <c r="G143" i="6"/>
  <c r="H143" i="6"/>
  <c r="I143" i="6"/>
  <c r="J143" i="6"/>
  <c r="K143" i="6"/>
  <c r="L143" i="6"/>
  <c r="M143" i="6"/>
  <c r="N143" i="6"/>
  <c r="O143" i="6"/>
  <c r="P143" i="6"/>
  <c r="Q143" i="6"/>
  <c r="R143" i="6"/>
  <c r="S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AJ143" i="6"/>
  <c r="AK143" i="6"/>
  <c r="AL143" i="6"/>
  <c r="AM143" i="6"/>
  <c r="AN143" i="6"/>
  <c r="AO143" i="6"/>
  <c r="AP143" i="6"/>
  <c r="AQ143" i="6"/>
  <c r="B144" i="6"/>
  <c r="C144" i="6"/>
  <c r="D144" i="6"/>
  <c r="E144" i="6"/>
  <c r="F144" i="6"/>
  <c r="G144" i="6"/>
  <c r="H144" i="6"/>
  <c r="I144" i="6"/>
  <c r="J144" i="6"/>
  <c r="K144" i="6"/>
  <c r="L144" i="6"/>
  <c r="M144" i="6"/>
  <c r="N144" i="6"/>
  <c r="O144" i="6"/>
  <c r="P144" i="6"/>
  <c r="Q144" i="6"/>
  <c r="R144" i="6"/>
  <c r="S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AJ144" i="6"/>
  <c r="AK144" i="6"/>
  <c r="AL144" i="6"/>
  <c r="AM144" i="6"/>
  <c r="AN144" i="6"/>
  <c r="AO144" i="6"/>
  <c r="AP144" i="6"/>
  <c r="AQ144" i="6"/>
  <c r="B145" i="6"/>
  <c r="C145" i="6"/>
  <c r="D145" i="6"/>
  <c r="E145" i="6"/>
  <c r="F145" i="6"/>
  <c r="G145" i="6"/>
  <c r="H145" i="6"/>
  <c r="I145" i="6"/>
  <c r="J145" i="6"/>
  <c r="K145" i="6"/>
  <c r="L145" i="6"/>
  <c r="M145" i="6"/>
  <c r="N145" i="6"/>
  <c r="O145" i="6"/>
  <c r="P145" i="6"/>
  <c r="Q145" i="6"/>
  <c r="R145" i="6"/>
  <c r="S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AJ145" i="6"/>
  <c r="AK145" i="6"/>
  <c r="AL145" i="6"/>
  <c r="AM145" i="6"/>
  <c r="AN145" i="6"/>
  <c r="AO145" i="6"/>
  <c r="AP145" i="6"/>
  <c r="AQ145" i="6"/>
  <c r="B146" i="6"/>
  <c r="C146" i="6"/>
  <c r="D146" i="6"/>
  <c r="E146" i="6"/>
  <c r="F146" i="6"/>
  <c r="G146" i="6"/>
  <c r="H146" i="6"/>
  <c r="I146" i="6"/>
  <c r="J146" i="6"/>
  <c r="K146" i="6"/>
  <c r="L146" i="6"/>
  <c r="M146" i="6"/>
  <c r="N146" i="6"/>
  <c r="O146" i="6"/>
  <c r="P146" i="6"/>
  <c r="Q146" i="6"/>
  <c r="R146" i="6"/>
  <c r="S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AJ146" i="6"/>
  <c r="AK146" i="6"/>
  <c r="AL146" i="6"/>
  <c r="AM146" i="6"/>
  <c r="AN146" i="6"/>
  <c r="AO146" i="6"/>
  <c r="AP146" i="6"/>
  <c r="AQ146" i="6"/>
  <c r="B147" i="6"/>
  <c r="C147" i="6"/>
  <c r="D147" i="6"/>
  <c r="E147" i="6"/>
  <c r="F147" i="6"/>
  <c r="G147" i="6"/>
  <c r="H147" i="6"/>
  <c r="I147" i="6"/>
  <c r="J147" i="6"/>
  <c r="K147" i="6"/>
  <c r="L147" i="6"/>
  <c r="M147" i="6"/>
  <c r="N147" i="6"/>
  <c r="O147" i="6"/>
  <c r="P147" i="6"/>
  <c r="Q147" i="6"/>
  <c r="R147" i="6"/>
  <c r="S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AJ147" i="6"/>
  <c r="AK147" i="6"/>
  <c r="AL147" i="6"/>
  <c r="AM147" i="6"/>
  <c r="AN147" i="6"/>
  <c r="AO147" i="6"/>
  <c r="AP147" i="6"/>
  <c r="AQ147" i="6"/>
  <c r="B148" i="6"/>
  <c r="C148" i="6"/>
  <c r="D148" i="6"/>
  <c r="E148" i="6"/>
  <c r="F148" i="6"/>
  <c r="G148" i="6"/>
  <c r="H148" i="6"/>
  <c r="I148" i="6"/>
  <c r="J148" i="6"/>
  <c r="K148" i="6"/>
  <c r="L148" i="6"/>
  <c r="M148" i="6"/>
  <c r="N148" i="6"/>
  <c r="O148" i="6"/>
  <c r="P148" i="6"/>
  <c r="Q148" i="6"/>
  <c r="R148" i="6"/>
  <c r="S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AJ148" i="6"/>
  <c r="AK148" i="6"/>
  <c r="AL148" i="6"/>
  <c r="AM148" i="6"/>
  <c r="AN148" i="6"/>
  <c r="AO148" i="6"/>
  <c r="AP148" i="6"/>
  <c r="AQ148" i="6"/>
  <c r="B149" i="6"/>
  <c r="C149" i="6"/>
  <c r="D149" i="6"/>
  <c r="E149" i="6"/>
  <c r="F149" i="6"/>
  <c r="G149" i="6"/>
  <c r="H149" i="6"/>
  <c r="I149" i="6"/>
  <c r="J149" i="6"/>
  <c r="K149" i="6"/>
  <c r="L149" i="6"/>
  <c r="M149" i="6"/>
  <c r="N149" i="6"/>
  <c r="O149" i="6"/>
  <c r="P149" i="6"/>
  <c r="Q149" i="6"/>
  <c r="R149" i="6"/>
  <c r="S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AJ149" i="6"/>
  <c r="AK149" i="6"/>
  <c r="AL149" i="6"/>
  <c r="AM149" i="6"/>
  <c r="AN149" i="6"/>
  <c r="AO149" i="6"/>
  <c r="AP149" i="6"/>
  <c r="AQ149" i="6"/>
  <c r="B150" i="6"/>
  <c r="C150" i="6"/>
  <c r="D150" i="6"/>
  <c r="E150" i="6"/>
  <c r="F150" i="6"/>
  <c r="G150" i="6"/>
  <c r="H150" i="6"/>
  <c r="I150" i="6"/>
  <c r="J150" i="6"/>
  <c r="K150" i="6"/>
  <c r="L150" i="6"/>
  <c r="M150" i="6"/>
  <c r="N150" i="6"/>
  <c r="O150" i="6"/>
  <c r="P150" i="6"/>
  <c r="Q150" i="6"/>
  <c r="R150" i="6"/>
  <c r="S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AJ150" i="6"/>
  <c r="AK150" i="6"/>
  <c r="AL150" i="6"/>
  <c r="AM150" i="6"/>
  <c r="AN150" i="6"/>
  <c r="AO150" i="6"/>
  <c r="AP150" i="6"/>
  <c r="AQ150" i="6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Q151" i="6"/>
  <c r="R151" i="6"/>
  <c r="S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AJ151" i="6"/>
  <c r="AK151" i="6"/>
  <c r="AL151" i="6"/>
  <c r="AM151" i="6"/>
  <c r="AN151" i="6"/>
  <c r="AO151" i="6"/>
  <c r="AP151" i="6"/>
  <c r="AQ151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Q152" i="6"/>
  <c r="R152" i="6"/>
  <c r="S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AJ152" i="6"/>
  <c r="AK152" i="6"/>
  <c r="AL152" i="6"/>
  <c r="AM152" i="6"/>
  <c r="AN152" i="6"/>
  <c r="AO152" i="6"/>
  <c r="AP152" i="6"/>
  <c r="AQ152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Q153" i="6"/>
  <c r="R153" i="6"/>
  <c r="S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AJ153" i="6"/>
  <c r="AK153" i="6"/>
  <c r="AL153" i="6"/>
  <c r="AM153" i="6"/>
  <c r="AN153" i="6"/>
  <c r="AO153" i="6"/>
  <c r="AP153" i="6"/>
  <c r="AQ153" i="6"/>
  <c r="B154" i="6"/>
  <c r="C154" i="6"/>
  <c r="D154" i="6"/>
  <c r="E154" i="6"/>
  <c r="F154" i="6"/>
  <c r="G154" i="6"/>
  <c r="H154" i="6"/>
  <c r="I154" i="6"/>
  <c r="J154" i="6"/>
  <c r="K154" i="6"/>
  <c r="L154" i="6"/>
  <c r="M154" i="6"/>
  <c r="N154" i="6"/>
  <c r="O154" i="6"/>
  <c r="P154" i="6"/>
  <c r="Q154" i="6"/>
  <c r="R154" i="6"/>
  <c r="S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AJ154" i="6"/>
  <c r="AK154" i="6"/>
  <c r="AL154" i="6"/>
  <c r="AM154" i="6"/>
  <c r="AN154" i="6"/>
  <c r="AO154" i="6"/>
  <c r="AP154" i="6"/>
  <c r="AQ154" i="6"/>
  <c r="B155" i="6"/>
  <c r="C155" i="6"/>
  <c r="D155" i="6"/>
  <c r="E155" i="6"/>
  <c r="F155" i="6"/>
  <c r="G155" i="6"/>
  <c r="H155" i="6"/>
  <c r="I155" i="6"/>
  <c r="J155" i="6"/>
  <c r="K155" i="6"/>
  <c r="L155" i="6"/>
  <c r="M155" i="6"/>
  <c r="N155" i="6"/>
  <c r="O155" i="6"/>
  <c r="P155" i="6"/>
  <c r="Q155" i="6"/>
  <c r="R155" i="6"/>
  <c r="S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AJ155" i="6"/>
  <c r="AK155" i="6"/>
  <c r="AL155" i="6"/>
  <c r="AM155" i="6"/>
  <c r="AN155" i="6"/>
  <c r="AO155" i="6"/>
  <c r="AP155" i="6"/>
  <c r="AQ155" i="6"/>
  <c r="B156" i="6"/>
  <c r="C156" i="6"/>
  <c r="D156" i="6"/>
  <c r="E156" i="6"/>
  <c r="F156" i="6"/>
  <c r="G156" i="6"/>
  <c r="H156" i="6"/>
  <c r="I156" i="6"/>
  <c r="J156" i="6"/>
  <c r="K156" i="6"/>
  <c r="L156" i="6"/>
  <c r="M156" i="6"/>
  <c r="N156" i="6"/>
  <c r="O156" i="6"/>
  <c r="P156" i="6"/>
  <c r="Q156" i="6"/>
  <c r="R156" i="6"/>
  <c r="S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AJ156" i="6"/>
  <c r="AK156" i="6"/>
  <c r="AL156" i="6"/>
  <c r="AM156" i="6"/>
  <c r="AN156" i="6"/>
  <c r="AO156" i="6"/>
  <c r="AP156" i="6"/>
  <c r="AQ156" i="6"/>
  <c r="B157" i="6"/>
  <c r="C157" i="6"/>
  <c r="D157" i="6"/>
  <c r="E157" i="6"/>
  <c r="F157" i="6"/>
  <c r="G157" i="6"/>
  <c r="H157" i="6"/>
  <c r="I157" i="6"/>
  <c r="J157" i="6"/>
  <c r="K157" i="6"/>
  <c r="L157" i="6"/>
  <c r="M157" i="6"/>
  <c r="N157" i="6"/>
  <c r="O157" i="6"/>
  <c r="P157" i="6"/>
  <c r="Q157" i="6"/>
  <c r="R157" i="6"/>
  <c r="S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AJ157" i="6"/>
  <c r="AK157" i="6"/>
  <c r="AL157" i="6"/>
  <c r="AM157" i="6"/>
  <c r="AN157" i="6"/>
  <c r="AO157" i="6"/>
  <c r="AP157" i="6"/>
  <c r="AQ157" i="6"/>
  <c r="B158" i="6"/>
  <c r="C158" i="6"/>
  <c r="D158" i="6"/>
  <c r="E158" i="6"/>
  <c r="F158" i="6"/>
  <c r="G158" i="6"/>
  <c r="H158" i="6"/>
  <c r="I158" i="6"/>
  <c r="J158" i="6"/>
  <c r="K158" i="6"/>
  <c r="L158" i="6"/>
  <c r="M158" i="6"/>
  <c r="N158" i="6"/>
  <c r="O158" i="6"/>
  <c r="P158" i="6"/>
  <c r="Q158" i="6"/>
  <c r="R158" i="6"/>
  <c r="S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AJ158" i="6"/>
  <c r="AK158" i="6"/>
  <c r="AL158" i="6"/>
  <c r="AM158" i="6"/>
  <c r="AN158" i="6"/>
  <c r="AO158" i="6"/>
  <c r="AP158" i="6"/>
  <c r="AQ158" i="6"/>
  <c r="B159" i="6"/>
  <c r="C159" i="6"/>
  <c r="D159" i="6"/>
  <c r="E159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R159" i="6"/>
  <c r="S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AJ159" i="6"/>
  <c r="AK159" i="6"/>
  <c r="AL159" i="6"/>
  <c r="AM159" i="6"/>
  <c r="AN159" i="6"/>
  <c r="AO159" i="6"/>
  <c r="AP159" i="6"/>
  <c r="AQ159" i="6"/>
  <c r="B160" i="6"/>
  <c r="C160" i="6"/>
  <c r="D160" i="6"/>
  <c r="E160" i="6"/>
  <c r="F160" i="6"/>
  <c r="G160" i="6"/>
  <c r="H160" i="6"/>
  <c r="I160" i="6"/>
  <c r="J160" i="6"/>
  <c r="K160" i="6"/>
  <c r="L160" i="6"/>
  <c r="M160" i="6"/>
  <c r="N160" i="6"/>
  <c r="O160" i="6"/>
  <c r="P160" i="6"/>
  <c r="Q160" i="6"/>
  <c r="R160" i="6"/>
  <c r="S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AJ160" i="6"/>
  <c r="AK160" i="6"/>
  <c r="AL160" i="6"/>
  <c r="AM160" i="6"/>
  <c r="AN160" i="6"/>
  <c r="AO160" i="6"/>
  <c r="AP160" i="6"/>
  <c r="AQ160" i="6"/>
  <c r="B161" i="6"/>
  <c r="C161" i="6"/>
  <c r="D161" i="6"/>
  <c r="E161" i="6"/>
  <c r="F161" i="6"/>
  <c r="G161" i="6"/>
  <c r="H161" i="6"/>
  <c r="I161" i="6"/>
  <c r="J161" i="6"/>
  <c r="K161" i="6"/>
  <c r="L161" i="6"/>
  <c r="M161" i="6"/>
  <c r="N161" i="6"/>
  <c r="O161" i="6"/>
  <c r="P161" i="6"/>
  <c r="Q161" i="6"/>
  <c r="R161" i="6"/>
  <c r="S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AJ161" i="6"/>
  <c r="AK161" i="6"/>
  <c r="AL161" i="6"/>
  <c r="AM161" i="6"/>
  <c r="AN161" i="6"/>
  <c r="AO161" i="6"/>
  <c r="AP161" i="6"/>
  <c r="AQ161" i="6"/>
  <c r="B162" i="6"/>
  <c r="C162" i="6"/>
  <c r="D162" i="6"/>
  <c r="E162" i="6"/>
  <c r="F162" i="6"/>
  <c r="G162" i="6"/>
  <c r="H162" i="6"/>
  <c r="I162" i="6"/>
  <c r="J162" i="6"/>
  <c r="K162" i="6"/>
  <c r="L162" i="6"/>
  <c r="M162" i="6"/>
  <c r="N162" i="6"/>
  <c r="O162" i="6"/>
  <c r="P162" i="6"/>
  <c r="Q162" i="6"/>
  <c r="R162" i="6"/>
  <c r="S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AJ162" i="6"/>
  <c r="AK162" i="6"/>
  <c r="AL162" i="6"/>
  <c r="AM162" i="6"/>
  <c r="AN162" i="6"/>
  <c r="AO162" i="6"/>
  <c r="AP162" i="6"/>
  <c r="AQ162" i="6"/>
  <c r="B163" i="6"/>
  <c r="C163" i="6"/>
  <c r="D163" i="6"/>
  <c r="E163" i="6"/>
  <c r="F163" i="6"/>
  <c r="G163" i="6"/>
  <c r="H163" i="6"/>
  <c r="I163" i="6"/>
  <c r="J163" i="6"/>
  <c r="K163" i="6"/>
  <c r="L163" i="6"/>
  <c r="M163" i="6"/>
  <c r="N163" i="6"/>
  <c r="O163" i="6"/>
  <c r="P163" i="6"/>
  <c r="Q163" i="6"/>
  <c r="R163" i="6"/>
  <c r="S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AJ163" i="6"/>
  <c r="AK163" i="6"/>
  <c r="AL163" i="6"/>
  <c r="AM163" i="6"/>
  <c r="AN163" i="6"/>
  <c r="AO163" i="6"/>
  <c r="AP163" i="6"/>
  <c r="AQ163" i="6"/>
  <c r="B164" i="6"/>
  <c r="C164" i="6"/>
  <c r="D164" i="6"/>
  <c r="E164" i="6"/>
  <c r="F164" i="6"/>
  <c r="G164" i="6"/>
  <c r="H164" i="6"/>
  <c r="I164" i="6"/>
  <c r="J164" i="6"/>
  <c r="K164" i="6"/>
  <c r="L164" i="6"/>
  <c r="M164" i="6"/>
  <c r="N164" i="6"/>
  <c r="O164" i="6"/>
  <c r="P164" i="6"/>
  <c r="Q164" i="6"/>
  <c r="R164" i="6"/>
  <c r="S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AJ164" i="6"/>
  <c r="AK164" i="6"/>
  <c r="AL164" i="6"/>
  <c r="AM164" i="6"/>
  <c r="AN164" i="6"/>
  <c r="AO164" i="6"/>
  <c r="AP164" i="6"/>
  <c r="AQ164" i="6"/>
  <c r="B165" i="6"/>
  <c r="C165" i="6"/>
  <c r="D165" i="6"/>
  <c r="E165" i="6"/>
  <c r="F165" i="6"/>
  <c r="G165" i="6"/>
  <c r="H165" i="6"/>
  <c r="I165" i="6"/>
  <c r="J165" i="6"/>
  <c r="K165" i="6"/>
  <c r="L165" i="6"/>
  <c r="M165" i="6"/>
  <c r="N165" i="6"/>
  <c r="O165" i="6"/>
  <c r="P165" i="6"/>
  <c r="Q165" i="6"/>
  <c r="R165" i="6"/>
  <c r="S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AJ165" i="6"/>
  <c r="AK165" i="6"/>
  <c r="AL165" i="6"/>
  <c r="AM165" i="6"/>
  <c r="AN165" i="6"/>
  <c r="AO165" i="6"/>
  <c r="AP165" i="6"/>
  <c r="AQ165" i="6"/>
  <c r="B166" i="6"/>
  <c r="C166" i="6"/>
  <c r="D166" i="6"/>
  <c r="E166" i="6"/>
  <c r="F166" i="6"/>
  <c r="G166" i="6"/>
  <c r="H166" i="6"/>
  <c r="I166" i="6"/>
  <c r="J166" i="6"/>
  <c r="K166" i="6"/>
  <c r="L166" i="6"/>
  <c r="M166" i="6"/>
  <c r="N166" i="6"/>
  <c r="O166" i="6"/>
  <c r="P166" i="6"/>
  <c r="Q166" i="6"/>
  <c r="R166" i="6"/>
  <c r="S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AJ166" i="6"/>
  <c r="AK166" i="6"/>
  <c r="AL166" i="6"/>
  <c r="AM166" i="6"/>
  <c r="AN166" i="6"/>
  <c r="AO166" i="6"/>
  <c r="AP166" i="6"/>
  <c r="AQ166" i="6"/>
  <c r="B167" i="6"/>
  <c r="C167" i="6"/>
  <c r="D167" i="6"/>
  <c r="E167" i="6"/>
  <c r="F167" i="6"/>
  <c r="G167" i="6"/>
  <c r="H167" i="6"/>
  <c r="I167" i="6"/>
  <c r="J167" i="6"/>
  <c r="K167" i="6"/>
  <c r="L167" i="6"/>
  <c r="M167" i="6"/>
  <c r="N167" i="6"/>
  <c r="O167" i="6"/>
  <c r="P167" i="6"/>
  <c r="Q167" i="6"/>
  <c r="R167" i="6"/>
  <c r="S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AJ167" i="6"/>
  <c r="AK167" i="6"/>
  <c r="AL167" i="6"/>
  <c r="AM167" i="6"/>
  <c r="AN167" i="6"/>
  <c r="AO167" i="6"/>
  <c r="AP167" i="6"/>
  <c r="AQ167" i="6"/>
  <c r="B168" i="6"/>
  <c r="C168" i="6"/>
  <c r="D168" i="6"/>
  <c r="E168" i="6"/>
  <c r="F168" i="6"/>
  <c r="G168" i="6"/>
  <c r="H168" i="6"/>
  <c r="I168" i="6"/>
  <c r="J168" i="6"/>
  <c r="K168" i="6"/>
  <c r="L168" i="6"/>
  <c r="M168" i="6"/>
  <c r="N168" i="6"/>
  <c r="O168" i="6"/>
  <c r="P168" i="6"/>
  <c r="Q168" i="6"/>
  <c r="R168" i="6"/>
  <c r="S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AJ168" i="6"/>
  <c r="AK168" i="6"/>
  <c r="AL168" i="6"/>
  <c r="AM168" i="6"/>
  <c r="AN168" i="6"/>
  <c r="AO168" i="6"/>
  <c r="AP168" i="6"/>
  <c r="AQ168" i="6"/>
  <c r="B169" i="6"/>
  <c r="C169" i="6"/>
  <c r="D169" i="6"/>
  <c r="E169" i="6"/>
  <c r="F169" i="6"/>
  <c r="G169" i="6"/>
  <c r="H169" i="6"/>
  <c r="I169" i="6"/>
  <c r="J169" i="6"/>
  <c r="K169" i="6"/>
  <c r="L169" i="6"/>
  <c r="M169" i="6"/>
  <c r="N169" i="6"/>
  <c r="O169" i="6"/>
  <c r="P169" i="6"/>
  <c r="Q169" i="6"/>
  <c r="R169" i="6"/>
  <c r="S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AJ169" i="6"/>
  <c r="AK169" i="6"/>
  <c r="AL169" i="6"/>
  <c r="AM169" i="6"/>
  <c r="AN169" i="6"/>
  <c r="AO169" i="6"/>
  <c r="AP169" i="6"/>
  <c r="AQ169" i="6"/>
  <c r="B170" i="6"/>
  <c r="C170" i="6"/>
  <c r="D170" i="6"/>
  <c r="E170" i="6"/>
  <c r="F170" i="6"/>
  <c r="G170" i="6"/>
  <c r="H170" i="6"/>
  <c r="I170" i="6"/>
  <c r="J170" i="6"/>
  <c r="K170" i="6"/>
  <c r="L170" i="6"/>
  <c r="M170" i="6"/>
  <c r="N170" i="6"/>
  <c r="O170" i="6"/>
  <c r="P170" i="6"/>
  <c r="Q170" i="6"/>
  <c r="R170" i="6"/>
  <c r="S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AJ170" i="6"/>
  <c r="AK170" i="6"/>
  <c r="AL170" i="6"/>
  <c r="AM170" i="6"/>
  <c r="AN170" i="6"/>
  <c r="AO170" i="6"/>
  <c r="AP170" i="6"/>
  <c r="AQ170" i="6"/>
  <c r="B171" i="6"/>
  <c r="C171" i="6"/>
  <c r="D171" i="6"/>
  <c r="E171" i="6"/>
  <c r="F171" i="6"/>
  <c r="G171" i="6"/>
  <c r="H171" i="6"/>
  <c r="I171" i="6"/>
  <c r="J171" i="6"/>
  <c r="K171" i="6"/>
  <c r="L171" i="6"/>
  <c r="M171" i="6"/>
  <c r="N171" i="6"/>
  <c r="O171" i="6"/>
  <c r="P171" i="6"/>
  <c r="Q171" i="6"/>
  <c r="R171" i="6"/>
  <c r="S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AJ171" i="6"/>
  <c r="AK171" i="6"/>
  <c r="AL171" i="6"/>
  <c r="AM171" i="6"/>
  <c r="AN171" i="6"/>
  <c r="AO171" i="6"/>
  <c r="AP171" i="6"/>
  <c r="AQ171" i="6"/>
  <c r="B172" i="6"/>
  <c r="C172" i="6"/>
  <c r="D172" i="6"/>
  <c r="E172" i="6"/>
  <c r="F172" i="6"/>
  <c r="G172" i="6"/>
  <c r="H172" i="6"/>
  <c r="I172" i="6"/>
  <c r="J172" i="6"/>
  <c r="K172" i="6"/>
  <c r="L172" i="6"/>
  <c r="M172" i="6"/>
  <c r="N172" i="6"/>
  <c r="O172" i="6"/>
  <c r="P172" i="6"/>
  <c r="Q172" i="6"/>
  <c r="R172" i="6"/>
  <c r="S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AJ172" i="6"/>
  <c r="AK172" i="6"/>
  <c r="AL172" i="6"/>
  <c r="AM172" i="6"/>
  <c r="AN172" i="6"/>
  <c r="AO172" i="6"/>
  <c r="AP172" i="6"/>
  <c r="AQ172" i="6"/>
  <c r="B173" i="6"/>
  <c r="C173" i="6"/>
  <c r="D173" i="6"/>
  <c r="E173" i="6"/>
  <c r="F173" i="6"/>
  <c r="G173" i="6"/>
  <c r="H173" i="6"/>
  <c r="I173" i="6"/>
  <c r="J173" i="6"/>
  <c r="K173" i="6"/>
  <c r="L173" i="6"/>
  <c r="M173" i="6"/>
  <c r="N173" i="6"/>
  <c r="O173" i="6"/>
  <c r="P173" i="6"/>
  <c r="Q173" i="6"/>
  <c r="R173" i="6"/>
  <c r="S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AJ173" i="6"/>
  <c r="AK173" i="6"/>
  <c r="AL173" i="6"/>
  <c r="AM173" i="6"/>
  <c r="AN173" i="6"/>
  <c r="AO173" i="6"/>
  <c r="AP173" i="6"/>
  <c r="AQ173" i="6"/>
  <c r="B174" i="6"/>
  <c r="C174" i="6"/>
  <c r="D174" i="6"/>
  <c r="E174" i="6"/>
  <c r="F174" i="6"/>
  <c r="G174" i="6"/>
  <c r="H174" i="6"/>
  <c r="I174" i="6"/>
  <c r="J174" i="6"/>
  <c r="K174" i="6"/>
  <c r="L174" i="6"/>
  <c r="M174" i="6"/>
  <c r="N174" i="6"/>
  <c r="O174" i="6"/>
  <c r="P174" i="6"/>
  <c r="Q174" i="6"/>
  <c r="R174" i="6"/>
  <c r="S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AJ174" i="6"/>
  <c r="AK174" i="6"/>
  <c r="AL174" i="6"/>
  <c r="AM174" i="6"/>
  <c r="AN174" i="6"/>
  <c r="AO174" i="6"/>
  <c r="AP174" i="6"/>
  <c r="AQ174" i="6"/>
  <c r="B175" i="6"/>
  <c r="C175" i="6"/>
  <c r="D175" i="6"/>
  <c r="E175" i="6"/>
  <c r="F175" i="6"/>
  <c r="G175" i="6"/>
  <c r="H175" i="6"/>
  <c r="I175" i="6"/>
  <c r="J175" i="6"/>
  <c r="K175" i="6"/>
  <c r="L175" i="6"/>
  <c r="M175" i="6"/>
  <c r="N175" i="6"/>
  <c r="O175" i="6"/>
  <c r="P175" i="6"/>
  <c r="Q175" i="6"/>
  <c r="R175" i="6"/>
  <c r="S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AJ175" i="6"/>
  <c r="AK175" i="6"/>
  <c r="AL175" i="6"/>
  <c r="AM175" i="6"/>
  <c r="AN175" i="6"/>
  <c r="AO175" i="6"/>
  <c r="AP175" i="6"/>
  <c r="AQ175" i="6"/>
  <c r="B176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R176" i="6"/>
  <c r="S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AJ176" i="6"/>
  <c r="AK176" i="6"/>
  <c r="AL176" i="6"/>
  <c r="AM176" i="6"/>
  <c r="AN176" i="6"/>
  <c r="AO176" i="6"/>
  <c r="AP176" i="6"/>
  <c r="AQ176" i="6"/>
  <c r="B177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R177" i="6"/>
  <c r="S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AJ177" i="6"/>
  <c r="AK177" i="6"/>
  <c r="AL177" i="6"/>
  <c r="AM177" i="6"/>
  <c r="AN177" i="6"/>
  <c r="AO177" i="6"/>
  <c r="AP177" i="6"/>
  <c r="AQ177" i="6"/>
  <c r="B178" i="6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R178" i="6"/>
  <c r="S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AJ178" i="6"/>
  <c r="AK178" i="6"/>
  <c r="AL178" i="6"/>
  <c r="AM178" i="6"/>
  <c r="AN178" i="6"/>
  <c r="AO178" i="6"/>
  <c r="AP178" i="6"/>
  <c r="AQ178" i="6"/>
  <c r="B179" i="6"/>
  <c r="C179" i="6"/>
  <c r="D179" i="6"/>
  <c r="E179" i="6"/>
  <c r="F179" i="6"/>
  <c r="G179" i="6"/>
  <c r="H179" i="6"/>
  <c r="I179" i="6"/>
  <c r="J179" i="6"/>
  <c r="K179" i="6"/>
  <c r="L179" i="6"/>
  <c r="M179" i="6"/>
  <c r="N179" i="6"/>
  <c r="O179" i="6"/>
  <c r="P179" i="6"/>
  <c r="Q179" i="6"/>
  <c r="R179" i="6"/>
  <c r="S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AJ179" i="6"/>
  <c r="AK179" i="6"/>
  <c r="AL179" i="6"/>
  <c r="AM179" i="6"/>
  <c r="AN179" i="6"/>
  <c r="AO179" i="6"/>
  <c r="AP179" i="6"/>
  <c r="AQ179" i="6"/>
  <c r="B180" i="6"/>
  <c r="C180" i="6"/>
  <c r="D180" i="6"/>
  <c r="E180" i="6"/>
  <c r="F180" i="6"/>
  <c r="G180" i="6"/>
  <c r="H180" i="6"/>
  <c r="I180" i="6"/>
  <c r="J180" i="6"/>
  <c r="K180" i="6"/>
  <c r="L180" i="6"/>
  <c r="M180" i="6"/>
  <c r="N180" i="6"/>
  <c r="O180" i="6"/>
  <c r="P180" i="6"/>
  <c r="Q180" i="6"/>
  <c r="R180" i="6"/>
  <c r="S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B181" i="6"/>
  <c r="C181" i="6"/>
  <c r="D181" i="6"/>
  <c r="E181" i="6"/>
  <c r="F181" i="6"/>
  <c r="G181" i="6"/>
  <c r="H181" i="6"/>
  <c r="I181" i="6"/>
  <c r="J181" i="6"/>
  <c r="K181" i="6"/>
  <c r="L181" i="6"/>
  <c r="M181" i="6"/>
  <c r="N181" i="6"/>
  <c r="O181" i="6"/>
  <c r="P181" i="6"/>
  <c r="Q181" i="6"/>
  <c r="R181" i="6"/>
  <c r="S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AJ181" i="6"/>
  <c r="AK181" i="6"/>
  <c r="AL181" i="6"/>
  <c r="AM181" i="6"/>
  <c r="AN181" i="6"/>
  <c r="AO181" i="6"/>
  <c r="AP181" i="6"/>
  <c r="AQ181" i="6"/>
  <c r="B182" i="6"/>
  <c r="C182" i="6"/>
  <c r="D182" i="6"/>
  <c r="E182" i="6"/>
  <c r="F182" i="6"/>
  <c r="G182" i="6"/>
  <c r="H182" i="6"/>
  <c r="I182" i="6"/>
  <c r="J182" i="6"/>
  <c r="K182" i="6"/>
  <c r="L182" i="6"/>
  <c r="M182" i="6"/>
  <c r="N182" i="6"/>
  <c r="O182" i="6"/>
  <c r="P182" i="6"/>
  <c r="Q182" i="6"/>
  <c r="R182" i="6"/>
  <c r="S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AJ182" i="6"/>
  <c r="AK182" i="6"/>
  <c r="AL182" i="6"/>
  <c r="AM182" i="6"/>
  <c r="AN182" i="6"/>
  <c r="AO182" i="6"/>
  <c r="AP182" i="6"/>
  <c r="AQ182" i="6"/>
  <c r="B183" i="6"/>
  <c r="C183" i="6"/>
  <c r="D183" i="6"/>
  <c r="E183" i="6"/>
  <c r="F183" i="6"/>
  <c r="G183" i="6"/>
  <c r="H183" i="6"/>
  <c r="I183" i="6"/>
  <c r="J183" i="6"/>
  <c r="K183" i="6"/>
  <c r="L183" i="6"/>
  <c r="M183" i="6"/>
  <c r="N183" i="6"/>
  <c r="O183" i="6"/>
  <c r="P183" i="6"/>
  <c r="Q183" i="6"/>
  <c r="R183" i="6"/>
  <c r="S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AJ183" i="6"/>
  <c r="AK183" i="6"/>
  <c r="AL183" i="6"/>
  <c r="AM183" i="6"/>
  <c r="AN183" i="6"/>
  <c r="AO183" i="6"/>
  <c r="AP183" i="6"/>
  <c r="AQ183" i="6"/>
  <c r="B184" i="6"/>
  <c r="C184" i="6"/>
  <c r="D184" i="6"/>
  <c r="E184" i="6"/>
  <c r="F184" i="6"/>
  <c r="G184" i="6"/>
  <c r="H184" i="6"/>
  <c r="I184" i="6"/>
  <c r="J184" i="6"/>
  <c r="K184" i="6"/>
  <c r="L184" i="6"/>
  <c r="M184" i="6"/>
  <c r="N184" i="6"/>
  <c r="O184" i="6"/>
  <c r="P184" i="6"/>
  <c r="Q184" i="6"/>
  <c r="R184" i="6"/>
  <c r="S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AJ184" i="6"/>
  <c r="AK184" i="6"/>
  <c r="AL184" i="6"/>
  <c r="AM184" i="6"/>
  <c r="AN184" i="6"/>
  <c r="AO184" i="6"/>
  <c r="AP184" i="6"/>
  <c r="AQ184" i="6"/>
  <c r="B185" i="6"/>
  <c r="C185" i="6"/>
  <c r="D185" i="6"/>
  <c r="E185" i="6"/>
  <c r="F185" i="6"/>
  <c r="G185" i="6"/>
  <c r="H185" i="6"/>
  <c r="I185" i="6"/>
  <c r="J185" i="6"/>
  <c r="K185" i="6"/>
  <c r="L185" i="6"/>
  <c r="M185" i="6"/>
  <c r="N185" i="6"/>
  <c r="O185" i="6"/>
  <c r="P185" i="6"/>
  <c r="Q185" i="6"/>
  <c r="R185" i="6"/>
  <c r="S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AJ185" i="6"/>
  <c r="AK185" i="6"/>
  <c r="AL185" i="6"/>
  <c r="AM185" i="6"/>
  <c r="AN185" i="6"/>
  <c r="AO185" i="6"/>
  <c r="AP185" i="6"/>
  <c r="AQ185" i="6"/>
  <c r="B186" i="6"/>
  <c r="C186" i="6"/>
  <c r="D186" i="6"/>
  <c r="E186" i="6"/>
  <c r="F186" i="6"/>
  <c r="G186" i="6"/>
  <c r="H186" i="6"/>
  <c r="I186" i="6"/>
  <c r="J186" i="6"/>
  <c r="K186" i="6"/>
  <c r="L186" i="6"/>
  <c r="M186" i="6"/>
  <c r="N186" i="6"/>
  <c r="O186" i="6"/>
  <c r="P186" i="6"/>
  <c r="Q186" i="6"/>
  <c r="R186" i="6"/>
  <c r="S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AJ186" i="6"/>
  <c r="AK186" i="6"/>
  <c r="AL186" i="6"/>
  <c r="AM186" i="6"/>
  <c r="AN186" i="6"/>
  <c r="AO186" i="6"/>
  <c r="AP186" i="6"/>
  <c r="AQ186" i="6"/>
  <c r="B187" i="6"/>
  <c r="C187" i="6"/>
  <c r="D187" i="6"/>
  <c r="E187" i="6"/>
  <c r="F187" i="6"/>
  <c r="G187" i="6"/>
  <c r="H187" i="6"/>
  <c r="I187" i="6"/>
  <c r="J187" i="6"/>
  <c r="K187" i="6"/>
  <c r="L187" i="6"/>
  <c r="M187" i="6"/>
  <c r="N187" i="6"/>
  <c r="O187" i="6"/>
  <c r="P187" i="6"/>
  <c r="Q187" i="6"/>
  <c r="R187" i="6"/>
  <c r="S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AJ187" i="6"/>
  <c r="AK187" i="6"/>
  <c r="AL187" i="6"/>
  <c r="AM187" i="6"/>
  <c r="AN187" i="6"/>
  <c r="AO187" i="6"/>
  <c r="AP187" i="6"/>
  <c r="AQ187" i="6"/>
  <c r="B188" i="6"/>
  <c r="C188" i="6"/>
  <c r="D188" i="6"/>
  <c r="E188" i="6"/>
  <c r="F188" i="6"/>
  <c r="G188" i="6"/>
  <c r="H188" i="6"/>
  <c r="I188" i="6"/>
  <c r="J188" i="6"/>
  <c r="K188" i="6"/>
  <c r="L188" i="6"/>
  <c r="M188" i="6"/>
  <c r="N188" i="6"/>
  <c r="O188" i="6"/>
  <c r="P188" i="6"/>
  <c r="Q188" i="6"/>
  <c r="R188" i="6"/>
  <c r="S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AJ188" i="6"/>
  <c r="AK188" i="6"/>
  <c r="AL188" i="6"/>
  <c r="AM188" i="6"/>
  <c r="AN188" i="6"/>
  <c r="AO188" i="6"/>
  <c r="AP188" i="6"/>
  <c r="AQ188" i="6"/>
  <c r="B189" i="6"/>
  <c r="C189" i="6"/>
  <c r="D189" i="6"/>
  <c r="E189" i="6"/>
  <c r="F189" i="6"/>
  <c r="G189" i="6"/>
  <c r="H189" i="6"/>
  <c r="I189" i="6"/>
  <c r="J189" i="6"/>
  <c r="K189" i="6"/>
  <c r="L189" i="6"/>
  <c r="M189" i="6"/>
  <c r="N189" i="6"/>
  <c r="O189" i="6"/>
  <c r="P189" i="6"/>
  <c r="Q189" i="6"/>
  <c r="R189" i="6"/>
  <c r="S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AJ189" i="6"/>
  <c r="AK189" i="6"/>
  <c r="AL189" i="6"/>
  <c r="AM189" i="6"/>
  <c r="AN189" i="6"/>
  <c r="AO189" i="6"/>
  <c r="AP189" i="6"/>
  <c r="AQ189" i="6"/>
  <c r="B190" i="6"/>
  <c r="C190" i="6"/>
  <c r="D190" i="6"/>
  <c r="E190" i="6"/>
  <c r="F190" i="6"/>
  <c r="G190" i="6"/>
  <c r="H190" i="6"/>
  <c r="I190" i="6"/>
  <c r="J190" i="6"/>
  <c r="K190" i="6"/>
  <c r="L190" i="6"/>
  <c r="M190" i="6"/>
  <c r="N190" i="6"/>
  <c r="O190" i="6"/>
  <c r="P190" i="6"/>
  <c r="Q190" i="6"/>
  <c r="R190" i="6"/>
  <c r="S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AJ190" i="6"/>
  <c r="AK190" i="6"/>
  <c r="AL190" i="6"/>
  <c r="AM190" i="6"/>
  <c r="AN190" i="6"/>
  <c r="AO190" i="6"/>
  <c r="AP190" i="6"/>
  <c r="AQ190" i="6"/>
  <c r="B191" i="6"/>
  <c r="C191" i="6"/>
  <c r="D191" i="6"/>
  <c r="E191" i="6"/>
  <c r="F191" i="6"/>
  <c r="G191" i="6"/>
  <c r="H191" i="6"/>
  <c r="I191" i="6"/>
  <c r="J191" i="6"/>
  <c r="K191" i="6"/>
  <c r="L191" i="6"/>
  <c r="M191" i="6"/>
  <c r="N191" i="6"/>
  <c r="O191" i="6"/>
  <c r="P191" i="6"/>
  <c r="Q191" i="6"/>
  <c r="R191" i="6"/>
  <c r="S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AJ191" i="6"/>
  <c r="AK191" i="6"/>
  <c r="AL191" i="6"/>
  <c r="AM191" i="6"/>
  <c r="AN191" i="6"/>
  <c r="AO191" i="6"/>
  <c r="AP191" i="6"/>
  <c r="AQ191" i="6"/>
  <c r="B192" i="6"/>
  <c r="C192" i="6"/>
  <c r="D192" i="6"/>
  <c r="E192" i="6"/>
  <c r="F192" i="6"/>
  <c r="G192" i="6"/>
  <c r="H192" i="6"/>
  <c r="I192" i="6"/>
  <c r="J192" i="6"/>
  <c r="K192" i="6"/>
  <c r="L192" i="6"/>
  <c r="M192" i="6"/>
  <c r="N192" i="6"/>
  <c r="O192" i="6"/>
  <c r="P192" i="6"/>
  <c r="Q192" i="6"/>
  <c r="R192" i="6"/>
  <c r="S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AJ192" i="6"/>
  <c r="AK192" i="6"/>
  <c r="AL192" i="6"/>
  <c r="AM192" i="6"/>
  <c r="AN192" i="6"/>
  <c r="AO192" i="6"/>
  <c r="AP192" i="6"/>
  <c r="AQ192" i="6"/>
  <c r="B193" i="6"/>
  <c r="C193" i="6"/>
  <c r="D193" i="6"/>
  <c r="E193" i="6"/>
  <c r="F193" i="6"/>
  <c r="G193" i="6"/>
  <c r="H193" i="6"/>
  <c r="I193" i="6"/>
  <c r="J193" i="6"/>
  <c r="K193" i="6"/>
  <c r="L193" i="6"/>
  <c r="M193" i="6"/>
  <c r="N193" i="6"/>
  <c r="O193" i="6"/>
  <c r="P193" i="6"/>
  <c r="Q193" i="6"/>
  <c r="R193" i="6"/>
  <c r="S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AJ193" i="6"/>
  <c r="AK193" i="6"/>
  <c r="AL193" i="6"/>
  <c r="AM193" i="6"/>
  <c r="AN193" i="6"/>
  <c r="AO193" i="6"/>
  <c r="AP193" i="6"/>
  <c r="AQ193" i="6"/>
  <c r="B194" i="6"/>
  <c r="C194" i="6"/>
  <c r="D194" i="6"/>
  <c r="E194" i="6"/>
  <c r="F194" i="6"/>
  <c r="G194" i="6"/>
  <c r="H194" i="6"/>
  <c r="I194" i="6"/>
  <c r="J194" i="6"/>
  <c r="K194" i="6"/>
  <c r="L194" i="6"/>
  <c r="M194" i="6"/>
  <c r="N194" i="6"/>
  <c r="O194" i="6"/>
  <c r="P194" i="6"/>
  <c r="Q194" i="6"/>
  <c r="R194" i="6"/>
  <c r="S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B195" i="6"/>
  <c r="C195" i="6"/>
  <c r="D195" i="6"/>
  <c r="E195" i="6"/>
  <c r="F195" i="6"/>
  <c r="G195" i="6"/>
  <c r="H195" i="6"/>
  <c r="I195" i="6"/>
  <c r="J195" i="6"/>
  <c r="K195" i="6"/>
  <c r="L195" i="6"/>
  <c r="M195" i="6"/>
  <c r="N195" i="6"/>
  <c r="O195" i="6"/>
  <c r="P195" i="6"/>
  <c r="Q195" i="6"/>
  <c r="R195" i="6"/>
  <c r="S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AJ195" i="6"/>
  <c r="AK195" i="6"/>
  <c r="AL195" i="6"/>
  <c r="AM195" i="6"/>
  <c r="AN195" i="6"/>
  <c r="AO195" i="6"/>
  <c r="AP195" i="6"/>
  <c r="AQ195" i="6"/>
  <c r="B196" i="6"/>
  <c r="C196" i="6"/>
  <c r="D196" i="6"/>
  <c r="E196" i="6"/>
  <c r="F196" i="6"/>
  <c r="G196" i="6"/>
  <c r="H196" i="6"/>
  <c r="I196" i="6"/>
  <c r="J196" i="6"/>
  <c r="K196" i="6"/>
  <c r="L196" i="6"/>
  <c r="M196" i="6"/>
  <c r="N196" i="6"/>
  <c r="O196" i="6"/>
  <c r="P196" i="6"/>
  <c r="Q196" i="6"/>
  <c r="R196" i="6"/>
  <c r="S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AJ196" i="6"/>
  <c r="AK196" i="6"/>
  <c r="AL196" i="6"/>
  <c r="AM196" i="6"/>
  <c r="AN196" i="6"/>
  <c r="AO196" i="6"/>
  <c r="AP196" i="6"/>
  <c r="AQ196" i="6"/>
  <c r="B197" i="6"/>
  <c r="C197" i="6"/>
  <c r="D197" i="6"/>
  <c r="E197" i="6"/>
  <c r="F197" i="6"/>
  <c r="G197" i="6"/>
  <c r="H197" i="6"/>
  <c r="I197" i="6"/>
  <c r="J197" i="6"/>
  <c r="K197" i="6"/>
  <c r="L197" i="6"/>
  <c r="M197" i="6"/>
  <c r="N197" i="6"/>
  <c r="O197" i="6"/>
  <c r="P197" i="6"/>
  <c r="Q197" i="6"/>
  <c r="R197" i="6"/>
  <c r="S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AJ197" i="6"/>
  <c r="AK197" i="6"/>
  <c r="AL197" i="6"/>
  <c r="AM197" i="6"/>
  <c r="AN197" i="6"/>
  <c r="AO197" i="6"/>
  <c r="AP197" i="6"/>
  <c r="AQ197" i="6"/>
  <c r="B198" i="6"/>
  <c r="C198" i="6"/>
  <c r="D198" i="6"/>
  <c r="E198" i="6"/>
  <c r="F198" i="6"/>
  <c r="G198" i="6"/>
  <c r="H198" i="6"/>
  <c r="I198" i="6"/>
  <c r="J198" i="6"/>
  <c r="K198" i="6"/>
  <c r="L198" i="6"/>
  <c r="M198" i="6"/>
  <c r="N198" i="6"/>
  <c r="O198" i="6"/>
  <c r="P198" i="6"/>
  <c r="Q198" i="6"/>
  <c r="R198" i="6"/>
  <c r="S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AJ198" i="6"/>
  <c r="AK198" i="6"/>
  <c r="AL198" i="6"/>
  <c r="AM198" i="6"/>
  <c r="AN198" i="6"/>
  <c r="AO198" i="6"/>
  <c r="AP198" i="6"/>
  <c r="AQ198" i="6"/>
  <c r="B199" i="6"/>
  <c r="C199" i="6"/>
  <c r="D199" i="6"/>
  <c r="E199" i="6"/>
  <c r="F199" i="6"/>
  <c r="G199" i="6"/>
  <c r="H199" i="6"/>
  <c r="I199" i="6"/>
  <c r="J199" i="6"/>
  <c r="K199" i="6"/>
  <c r="L199" i="6"/>
  <c r="M199" i="6"/>
  <c r="N199" i="6"/>
  <c r="O199" i="6"/>
  <c r="P199" i="6"/>
  <c r="Q199" i="6"/>
  <c r="R199" i="6"/>
  <c r="S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AJ199" i="6"/>
  <c r="AK199" i="6"/>
  <c r="AL199" i="6"/>
  <c r="AM199" i="6"/>
  <c r="AN199" i="6"/>
  <c r="AO199" i="6"/>
  <c r="AP199" i="6"/>
  <c r="AQ199" i="6"/>
  <c r="B200" i="6"/>
  <c r="C200" i="6"/>
  <c r="D200" i="6"/>
  <c r="E200" i="6"/>
  <c r="F200" i="6"/>
  <c r="G200" i="6"/>
  <c r="H200" i="6"/>
  <c r="I200" i="6"/>
  <c r="J200" i="6"/>
  <c r="K200" i="6"/>
  <c r="L200" i="6"/>
  <c r="M200" i="6"/>
  <c r="N200" i="6"/>
  <c r="O200" i="6"/>
  <c r="P200" i="6"/>
  <c r="Q200" i="6"/>
  <c r="R200" i="6"/>
  <c r="S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AJ200" i="6"/>
  <c r="AK200" i="6"/>
  <c r="AL200" i="6"/>
  <c r="AM200" i="6"/>
  <c r="AN200" i="6"/>
  <c r="AO200" i="6"/>
  <c r="AP200" i="6"/>
  <c r="AQ200" i="6"/>
  <c r="B201" i="6"/>
  <c r="C201" i="6"/>
  <c r="D201" i="6"/>
  <c r="E201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R201" i="6"/>
  <c r="S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AJ201" i="6"/>
  <c r="AK201" i="6"/>
  <c r="AL201" i="6"/>
  <c r="AM201" i="6"/>
  <c r="AN201" i="6"/>
  <c r="AO201" i="6"/>
  <c r="AP201" i="6"/>
  <c r="AQ201" i="6"/>
  <c r="B202" i="6"/>
  <c r="C202" i="6"/>
  <c r="D202" i="6"/>
  <c r="E202" i="6"/>
  <c r="F202" i="6"/>
  <c r="G202" i="6"/>
  <c r="H202" i="6"/>
  <c r="I202" i="6"/>
  <c r="J202" i="6"/>
  <c r="K202" i="6"/>
  <c r="L202" i="6"/>
  <c r="M202" i="6"/>
  <c r="N202" i="6"/>
  <c r="O202" i="6"/>
  <c r="P202" i="6"/>
  <c r="Q202" i="6"/>
  <c r="R202" i="6"/>
  <c r="S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AJ202" i="6"/>
  <c r="AK202" i="6"/>
  <c r="AL202" i="6"/>
  <c r="AM202" i="6"/>
  <c r="AN202" i="6"/>
  <c r="AO202" i="6"/>
  <c r="AP202" i="6"/>
  <c r="AQ202" i="6"/>
  <c r="B203" i="6"/>
  <c r="C203" i="6"/>
  <c r="D203" i="6"/>
  <c r="E203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R203" i="6"/>
  <c r="S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AJ203" i="6"/>
  <c r="AK203" i="6"/>
  <c r="AL203" i="6"/>
  <c r="AM203" i="6"/>
  <c r="AN203" i="6"/>
  <c r="AO203" i="6"/>
  <c r="AP203" i="6"/>
  <c r="AQ203" i="6"/>
  <c r="B204" i="6"/>
  <c r="C204" i="6"/>
  <c r="D204" i="6"/>
  <c r="E204" i="6"/>
  <c r="F204" i="6"/>
  <c r="G204" i="6"/>
  <c r="H204" i="6"/>
  <c r="I204" i="6"/>
  <c r="J204" i="6"/>
  <c r="K204" i="6"/>
  <c r="L204" i="6"/>
  <c r="M204" i="6"/>
  <c r="N204" i="6"/>
  <c r="O204" i="6"/>
  <c r="P204" i="6"/>
  <c r="Q204" i="6"/>
  <c r="R204" i="6"/>
  <c r="S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AJ204" i="6"/>
  <c r="AK204" i="6"/>
  <c r="AL204" i="6"/>
  <c r="AM204" i="6"/>
  <c r="AN204" i="6"/>
  <c r="AO204" i="6"/>
  <c r="AP204" i="6"/>
  <c r="AQ204" i="6"/>
  <c r="B205" i="6"/>
  <c r="C205" i="6"/>
  <c r="D205" i="6"/>
  <c r="E205" i="6"/>
  <c r="F205" i="6"/>
  <c r="G205" i="6"/>
  <c r="H205" i="6"/>
  <c r="I205" i="6"/>
  <c r="J205" i="6"/>
  <c r="K205" i="6"/>
  <c r="L205" i="6"/>
  <c r="M205" i="6"/>
  <c r="N205" i="6"/>
  <c r="O205" i="6"/>
  <c r="P205" i="6"/>
  <c r="Q205" i="6"/>
  <c r="R205" i="6"/>
  <c r="S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AJ205" i="6"/>
  <c r="AK205" i="6"/>
  <c r="AL205" i="6"/>
  <c r="AM205" i="6"/>
  <c r="AN205" i="6"/>
  <c r="AO205" i="6"/>
  <c r="AP205" i="6"/>
  <c r="AQ205" i="6"/>
  <c r="B206" i="6"/>
  <c r="C206" i="6"/>
  <c r="D206" i="6"/>
  <c r="E206" i="6"/>
  <c r="F206" i="6"/>
  <c r="G206" i="6"/>
  <c r="H206" i="6"/>
  <c r="I206" i="6"/>
  <c r="J206" i="6"/>
  <c r="K206" i="6"/>
  <c r="L206" i="6"/>
  <c r="M206" i="6"/>
  <c r="N206" i="6"/>
  <c r="O206" i="6"/>
  <c r="P206" i="6"/>
  <c r="Q206" i="6"/>
  <c r="R206" i="6"/>
  <c r="S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AJ206" i="6"/>
  <c r="AK206" i="6"/>
  <c r="AL206" i="6"/>
  <c r="AM206" i="6"/>
  <c r="AN206" i="6"/>
  <c r="AO206" i="6"/>
  <c r="AP206" i="6"/>
  <c r="AQ206" i="6"/>
  <c r="B207" i="6"/>
  <c r="C207" i="6"/>
  <c r="D207" i="6"/>
  <c r="E207" i="6"/>
  <c r="F207" i="6"/>
  <c r="G207" i="6"/>
  <c r="H207" i="6"/>
  <c r="I207" i="6"/>
  <c r="J207" i="6"/>
  <c r="K207" i="6"/>
  <c r="L207" i="6"/>
  <c r="M207" i="6"/>
  <c r="N207" i="6"/>
  <c r="O207" i="6"/>
  <c r="P207" i="6"/>
  <c r="Q207" i="6"/>
  <c r="R207" i="6"/>
  <c r="S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AJ207" i="6"/>
  <c r="AK207" i="6"/>
  <c r="AL207" i="6"/>
  <c r="AM207" i="6"/>
  <c r="AN207" i="6"/>
  <c r="AO207" i="6"/>
  <c r="AP207" i="6"/>
  <c r="AQ207" i="6"/>
  <c r="B208" i="6"/>
  <c r="C208" i="6"/>
  <c r="D208" i="6"/>
  <c r="E208" i="6"/>
  <c r="F208" i="6"/>
  <c r="G208" i="6"/>
  <c r="H208" i="6"/>
  <c r="I208" i="6"/>
  <c r="J208" i="6"/>
  <c r="K208" i="6"/>
  <c r="L208" i="6"/>
  <c r="M208" i="6"/>
  <c r="N208" i="6"/>
  <c r="O208" i="6"/>
  <c r="P208" i="6"/>
  <c r="Q208" i="6"/>
  <c r="R208" i="6"/>
  <c r="S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B209" i="6"/>
  <c r="C209" i="6"/>
  <c r="D209" i="6"/>
  <c r="E209" i="6"/>
  <c r="F209" i="6"/>
  <c r="G209" i="6"/>
  <c r="H209" i="6"/>
  <c r="I209" i="6"/>
  <c r="J209" i="6"/>
  <c r="K209" i="6"/>
  <c r="L209" i="6"/>
  <c r="M209" i="6"/>
  <c r="N209" i="6"/>
  <c r="O209" i="6"/>
  <c r="P209" i="6"/>
  <c r="Q209" i="6"/>
  <c r="R209" i="6"/>
  <c r="S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AJ209" i="6"/>
  <c r="AK209" i="6"/>
  <c r="AL209" i="6"/>
  <c r="AM209" i="6"/>
  <c r="AN209" i="6"/>
  <c r="AO209" i="6"/>
  <c r="AP209" i="6"/>
  <c r="AQ209" i="6"/>
  <c r="B210" i="6"/>
  <c r="C210" i="6"/>
  <c r="D210" i="6"/>
  <c r="E210" i="6"/>
  <c r="F210" i="6"/>
  <c r="G210" i="6"/>
  <c r="H210" i="6"/>
  <c r="I210" i="6"/>
  <c r="J210" i="6"/>
  <c r="K210" i="6"/>
  <c r="L210" i="6"/>
  <c r="M210" i="6"/>
  <c r="N210" i="6"/>
  <c r="O210" i="6"/>
  <c r="P210" i="6"/>
  <c r="Q210" i="6"/>
  <c r="R210" i="6"/>
  <c r="S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AJ210" i="6"/>
  <c r="AK210" i="6"/>
  <c r="AL210" i="6"/>
  <c r="AM210" i="6"/>
  <c r="AN210" i="6"/>
  <c r="AO210" i="6"/>
  <c r="AP210" i="6"/>
  <c r="AQ210" i="6"/>
  <c r="B211" i="6"/>
  <c r="C211" i="6"/>
  <c r="D211" i="6"/>
  <c r="E211" i="6"/>
  <c r="F211" i="6"/>
  <c r="G211" i="6"/>
  <c r="H211" i="6"/>
  <c r="I211" i="6"/>
  <c r="J211" i="6"/>
  <c r="K211" i="6"/>
  <c r="L211" i="6"/>
  <c r="M211" i="6"/>
  <c r="N211" i="6"/>
  <c r="O211" i="6"/>
  <c r="P211" i="6"/>
  <c r="Q211" i="6"/>
  <c r="R211" i="6"/>
  <c r="S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AJ211" i="6"/>
  <c r="AK211" i="6"/>
  <c r="AL211" i="6"/>
  <c r="AM211" i="6"/>
  <c r="AN211" i="6"/>
  <c r="AO211" i="6"/>
  <c r="AP211" i="6"/>
  <c r="AQ211" i="6"/>
  <c r="B212" i="6"/>
  <c r="C212" i="6"/>
  <c r="D212" i="6"/>
  <c r="E212" i="6"/>
  <c r="F212" i="6"/>
  <c r="G212" i="6"/>
  <c r="H212" i="6"/>
  <c r="I212" i="6"/>
  <c r="J212" i="6"/>
  <c r="K212" i="6"/>
  <c r="L212" i="6"/>
  <c r="M212" i="6"/>
  <c r="N212" i="6"/>
  <c r="O212" i="6"/>
  <c r="P212" i="6"/>
  <c r="Q212" i="6"/>
  <c r="R212" i="6"/>
  <c r="S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AJ212" i="6"/>
  <c r="AK212" i="6"/>
  <c r="AL212" i="6"/>
  <c r="AM212" i="6"/>
  <c r="AN212" i="6"/>
  <c r="AO212" i="6"/>
  <c r="AP212" i="6"/>
  <c r="AQ212" i="6"/>
  <c r="B213" i="6"/>
  <c r="C213" i="6"/>
  <c r="D213" i="6"/>
  <c r="E213" i="6"/>
  <c r="F213" i="6"/>
  <c r="G213" i="6"/>
  <c r="H213" i="6"/>
  <c r="I213" i="6"/>
  <c r="J213" i="6"/>
  <c r="K213" i="6"/>
  <c r="L213" i="6"/>
  <c r="M213" i="6"/>
  <c r="N213" i="6"/>
  <c r="O213" i="6"/>
  <c r="P213" i="6"/>
  <c r="Q213" i="6"/>
  <c r="R213" i="6"/>
  <c r="S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AJ213" i="6"/>
  <c r="AK213" i="6"/>
  <c r="AL213" i="6"/>
  <c r="AM213" i="6"/>
  <c r="AN213" i="6"/>
  <c r="AO213" i="6"/>
  <c r="AP213" i="6"/>
  <c r="AQ213" i="6"/>
  <c r="B214" i="6"/>
  <c r="C214" i="6"/>
  <c r="D214" i="6"/>
  <c r="E214" i="6"/>
  <c r="F214" i="6"/>
  <c r="G214" i="6"/>
  <c r="H214" i="6"/>
  <c r="I214" i="6"/>
  <c r="J214" i="6"/>
  <c r="K214" i="6"/>
  <c r="L214" i="6"/>
  <c r="M214" i="6"/>
  <c r="N214" i="6"/>
  <c r="O214" i="6"/>
  <c r="P214" i="6"/>
  <c r="Q214" i="6"/>
  <c r="R214" i="6"/>
  <c r="S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AJ214" i="6"/>
  <c r="AK214" i="6"/>
  <c r="AL214" i="6"/>
  <c r="AM214" i="6"/>
  <c r="AN214" i="6"/>
  <c r="AO214" i="6"/>
  <c r="AP214" i="6"/>
  <c r="AQ214" i="6"/>
  <c r="B215" i="6"/>
  <c r="C215" i="6"/>
  <c r="D215" i="6"/>
  <c r="E215" i="6"/>
  <c r="F215" i="6"/>
  <c r="G215" i="6"/>
  <c r="H215" i="6"/>
  <c r="I215" i="6"/>
  <c r="J215" i="6"/>
  <c r="K215" i="6"/>
  <c r="L215" i="6"/>
  <c r="M215" i="6"/>
  <c r="N215" i="6"/>
  <c r="O215" i="6"/>
  <c r="P215" i="6"/>
  <c r="Q215" i="6"/>
  <c r="R215" i="6"/>
  <c r="S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AJ215" i="6"/>
  <c r="AK215" i="6"/>
  <c r="AL215" i="6"/>
  <c r="AM215" i="6"/>
  <c r="AN215" i="6"/>
  <c r="AO215" i="6"/>
  <c r="AP215" i="6"/>
  <c r="AQ215" i="6"/>
  <c r="B216" i="6"/>
  <c r="C216" i="6"/>
  <c r="D216" i="6"/>
  <c r="E216" i="6"/>
  <c r="F216" i="6"/>
  <c r="G216" i="6"/>
  <c r="H216" i="6"/>
  <c r="I216" i="6"/>
  <c r="J216" i="6"/>
  <c r="K216" i="6"/>
  <c r="L216" i="6"/>
  <c r="M216" i="6"/>
  <c r="N216" i="6"/>
  <c r="O216" i="6"/>
  <c r="P216" i="6"/>
  <c r="Q216" i="6"/>
  <c r="R216" i="6"/>
  <c r="S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AJ216" i="6"/>
  <c r="AK216" i="6"/>
  <c r="AL216" i="6"/>
  <c r="AM216" i="6"/>
  <c r="AN216" i="6"/>
  <c r="AO216" i="6"/>
  <c r="AP216" i="6"/>
  <c r="AQ216" i="6"/>
  <c r="B217" i="6"/>
  <c r="C217" i="6"/>
  <c r="D217" i="6"/>
  <c r="E217" i="6"/>
  <c r="F217" i="6"/>
  <c r="G217" i="6"/>
  <c r="H217" i="6"/>
  <c r="I217" i="6"/>
  <c r="J217" i="6"/>
  <c r="K217" i="6"/>
  <c r="L217" i="6"/>
  <c r="M217" i="6"/>
  <c r="N217" i="6"/>
  <c r="O217" i="6"/>
  <c r="P217" i="6"/>
  <c r="Q217" i="6"/>
  <c r="R217" i="6"/>
  <c r="S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AJ217" i="6"/>
  <c r="AK217" i="6"/>
  <c r="AL217" i="6"/>
  <c r="AM217" i="6"/>
  <c r="AN217" i="6"/>
  <c r="AO217" i="6"/>
  <c r="AP217" i="6"/>
  <c r="AQ217" i="6"/>
  <c r="B218" i="6"/>
  <c r="C218" i="6"/>
  <c r="D218" i="6"/>
  <c r="E218" i="6"/>
  <c r="F218" i="6"/>
  <c r="G218" i="6"/>
  <c r="H218" i="6"/>
  <c r="I218" i="6"/>
  <c r="J218" i="6"/>
  <c r="K218" i="6"/>
  <c r="L218" i="6"/>
  <c r="M218" i="6"/>
  <c r="N218" i="6"/>
  <c r="O218" i="6"/>
  <c r="P218" i="6"/>
  <c r="Q218" i="6"/>
  <c r="R218" i="6"/>
  <c r="S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AJ218" i="6"/>
  <c r="AK218" i="6"/>
  <c r="AL218" i="6"/>
  <c r="AM218" i="6"/>
  <c r="AN218" i="6"/>
  <c r="AO218" i="6"/>
  <c r="AP218" i="6"/>
  <c r="AQ218" i="6"/>
  <c r="B219" i="6"/>
  <c r="C219" i="6"/>
  <c r="D219" i="6"/>
  <c r="E219" i="6"/>
  <c r="F219" i="6"/>
  <c r="G219" i="6"/>
  <c r="H219" i="6"/>
  <c r="I219" i="6"/>
  <c r="J219" i="6"/>
  <c r="K219" i="6"/>
  <c r="L219" i="6"/>
  <c r="M219" i="6"/>
  <c r="N219" i="6"/>
  <c r="O219" i="6"/>
  <c r="P219" i="6"/>
  <c r="Q219" i="6"/>
  <c r="R219" i="6"/>
  <c r="S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AJ219" i="6"/>
  <c r="AK219" i="6"/>
  <c r="AL219" i="6"/>
  <c r="AM219" i="6"/>
  <c r="AN219" i="6"/>
  <c r="AO219" i="6"/>
  <c r="AP219" i="6"/>
  <c r="AQ219" i="6"/>
  <c r="B220" i="6"/>
  <c r="C220" i="6"/>
  <c r="D220" i="6"/>
  <c r="E220" i="6"/>
  <c r="F220" i="6"/>
  <c r="G220" i="6"/>
  <c r="H220" i="6"/>
  <c r="I220" i="6"/>
  <c r="J220" i="6"/>
  <c r="K220" i="6"/>
  <c r="L220" i="6"/>
  <c r="M220" i="6"/>
  <c r="N220" i="6"/>
  <c r="O220" i="6"/>
  <c r="P220" i="6"/>
  <c r="Q220" i="6"/>
  <c r="R220" i="6"/>
  <c r="S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AJ220" i="6"/>
  <c r="AK220" i="6"/>
  <c r="AL220" i="6"/>
  <c r="AM220" i="6"/>
  <c r="AN220" i="6"/>
  <c r="AO220" i="6"/>
  <c r="AP220" i="6"/>
  <c r="AQ220" i="6"/>
  <c r="B221" i="6"/>
  <c r="C221" i="6"/>
  <c r="D221" i="6"/>
  <c r="E221" i="6"/>
  <c r="F221" i="6"/>
  <c r="G221" i="6"/>
  <c r="H221" i="6"/>
  <c r="I221" i="6"/>
  <c r="J221" i="6"/>
  <c r="K221" i="6"/>
  <c r="L221" i="6"/>
  <c r="M221" i="6"/>
  <c r="N221" i="6"/>
  <c r="O221" i="6"/>
  <c r="P221" i="6"/>
  <c r="Q221" i="6"/>
  <c r="R221" i="6"/>
  <c r="S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AJ221" i="6"/>
  <c r="AK221" i="6"/>
  <c r="AL221" i="6"/>
  <c r="AM221" i="6"/>
  <c r="AN221" i="6"/>
  <c r="AO221" i="6"/>
  <c r="AP221" i="6"/>
  <c r="AQ221" i="6"/>
  <c r="B222" i="6"/>
  <c r="C222" i="6"/>
  <c r="D222" i="6"/>
  <c r="E222" i="6"/>
  <c r="F222" i="6"/>
  <c r="G222" i="6"/>
  <c r="H222" i="6"/>
  <c r="I222" i="6"/>
  <c r="J222" i="6"/>
  <c r="K222" i="6"/>
  <c r="L222" i="6"/>
  <c r="M222" i="6"/>
  <c r="N222" i="6"/>
  <c r="O222" i="6"/>
  <c r="P222" i="6"/>
  <c r="Q222" i="6"/>
  <c r="R222" i="6"/>
  <c r="S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AJ222" i="6"/>
  <c r="AK222" i="6"/>
  <c r="AL222" i="6"/>
  <c r="AM222" i="6"/>
  <c r="AN222" i="6"/>
  <c r="AO222" i="6"/>
  <c r="AP222" i="6"/>
  <c r="AQ222" i="6"/>
  <c r="B223" i="6"/>
  <c r="C223" i="6"/>
  <c r="D223" i="6"/>
  <c r="E223" i="6"/>
  <c r="F223" i="6"/>
  <c r="G223" i="6"/>
  <c r="H223" i="6"/>
  <c r="I223" i="6"/>
  <c r="J223" i="6"/>
  <c r="K223" i="6"/>
  <c r="L223" i="6"/>
  <c r="M223" i="6"/>
  <c r="N223" i="6"/>
  <c r="O223" i="6"/>
  <c r="P223" i="6"/>
  <c r="Q223" i="6"/>
  <c r="R223" i="6"/>
  <c r="S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B224" i="6"/>
  <c r="C224" i="6"/>
  <c r="D224" i="6"/>
  <c r="E224" i="6"/>
  <c r="F224" i="6"/>
  <c r="G224" i="6"/>
  <c r="H224" i="6"/>
  <c r="I224" i="6"/>
  <c r="J224" i="6"/>
  <c r="K224" i="6"/>
  <c r="L224" i="6"/>
  <c r="M224" i="6"/>
  <c r="N224" i="6"/>
  <c r="O224" i="6"/>
  <c r="P224" i="6"/>
  <c r="Q224" i="6"/>
  <c r="R224" i="6"/>
  <c r="S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AJ224" i="6"/>
  <c r="AK224" i="6"/>
  <c r="AL224" i="6"/>
  <c r="AM224" i="6"/>
  <c r="AN224" i="6"/>
  <c r="AO224" i="6"/>
  <c r="AP224" i="6"/>
  <c r="AQ224" i="6"/>
  <c r="B225" i="6"/>
  <c r="C225" i="6"/>
  <c r="D225" i="6"/>
  <c r="E225" i="6"/>
  <c r="F225" i="6"/>
  <c r="G225" i="6"/>
  <c r="H225" i="6"/>
  <c r="I225" i="6"/>
  <c r="J225" i="6"/>
  <c r="K225" i="6"/>
  <c r="L225" i="6"/>
  <c r="M225" i="6"/>
  <c r="N225" i="6"/>
  <c r="O225" i="6"/>
  <c r="P225" i="6"/>
  <c r="Q225" i="6"/>
  <c r="R225" i="6"/>
  <c r="S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AJ225" i="6"/>
  <c r="AK225" i="6"/>
  <c r="AL225" i="6"/>
  <c r="AM225" i="6"/>
  <c r="AN225" i="6"/>
  <c r="AO225" i="6"/>
  <c r="AP225" i="6"/>
  <c r="AQ225" i="6"/>
  <c r="B226" i="6"/>
  <c r="C226" i="6"/>
  <c r="D226" i="6"/>
  <c r="E226" i="6"/>
  <c r="F226" i="6"/>
  <c r="G226" i="6"/>
  <c r="H226" i="6"/>
  <c r="I226" i="6"/>
  <c r="J226" i="6"/>
  <c r="K226" i="6"/>
  <c r="L226" i="6"/>
  <c r="M226" i="6"/>
  <c r="N226" i="6"/>
  <c r="O226" i="6"/>
  <c r="P226" i="6"/>
  <c r="Q226" i="6"/>
  <c r="R226" i="6"/>
  <c r="S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AJ226" i="6"/>
  <c r="AK226" i="6"/>
  <c r="AL226" i="6"/>
  <c r="AM226" i="6"/>
  <c r="AN226" i="6"/>
  <c r="AO226" i="6"/>
  <c r="AP226" i="6"/>
  <c r="AQ226" i="6"/>
  <c r="B227" i="6"/>
  <c r="C227" i="6"/>
  <c r="D227" i="6"/>
  <c r="E227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R227" i="6"/>
  <c r="S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AJ227" i="6"/>
  <c r="AK227" i="6"/>
  <c r="AL227" i="6"/>
  <c r="AM227" i="6"/>
  <c r="AN227" i="6"/>
  <c r="AO227" i="6"/>
  <c r="AP227" i="6"/>
  <c r="AQ227" i="6"/>
  <c r="B228" i="6"/>
  <c r="C228" i="6"/>
  <c r="D228" i="6"/>
  <c r="E228" i="6"/>
  <c r="F228" i="6"/>
  <c r="G228" i="6"/>
  <c r="H228" i="6"/>
  <c r="I228" i="6"/>
  <c r="J228" i="6"/>
  <c r="K228" i="6"/>
  <c r="L228" i="6"/>
  <c r="M228" i="6"/>
  <c r="N228" i="6"/>
  <c r="O228" i="6"/>
  <c r="P228" i="6"/>
  <c r="Q228" i="6"/>
  <c r="R228" i="6"/>
  <c r="S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AJ228" i="6"/>
  <c r="AK228" i="6"/>
  <c r="AL228" i="6"/>
  <c r="AM228" i="6"/>
  <c r="AN228" i="6"/>
  <c r="AO228" i="6"/>
  <c r="AP228" i="6"/>
  <c r="AQ228" i="6"/>
  <c r="B229" i="6"/>
  <c r="C229" i="6"/>
  <c r="D229" i="6"/>
  <c r="E229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S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AJ229" i="6"/>
  <c r="AK229" i="6"/>
  <c r="AL229" i="6"/>
  <c r="AM229" i="6"/>
  <c r="AN229" i="6"/>
  <c r="AO229" i="6"/>
  <c r="AP229" i="6"/>
  <c r="AQ229" i="6"/>
  <c r="B230" i="6"/>
  <c r="C230" i="6"/>
  <c r="D230" i="6"/>
  <c r="E230" i="6"/>
  <c r="F230" i="6"/>
  <c r="G230" i="6"/>
  <c r="H230" i="6"/>
  <c r="I230" i="6"/>
  <c r="J230" i="6"/>
  <c r="K230" i="6"/>
  <c r="L230" i="6"/>
  <c r="M230" i="6"/>
  <c r="N230" i="6"/>
  <c r="O230" i="6"/>
  <c r="P230" i="6"/>
  <c r="Q230" i="6"/>
  <c r="R230" i="6"/>
  <c r="S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AJ230" i="6"/>
  <c r="AK230" i="6"/>
  <c r="AL230" i="6"/>
  <c r="AM230" i="6"/>
  <c r="AN230" i="6"/>
  <c r="AO230" i="6"/>
  <c r="AP230" i="6"/>
  <c r="AQ230" i="6"/>
  <c r="B231" i="6"/>
  <c r="C231" i="6"/>
  <c r="D231" i="6"/>
  <c r="E231" i="6"/>
  <c r="F231" i="6"/>
  <c r="G231" i="6"/>
  <c r="H231" i="6"/>
  <c r="I231" i="6"/>
  <c r="J231" i="6"/>
  <c r="K231" i="6"/>
  <c r="L231" i="6"/>
  <c r="M231" i="6"/>
  <c r="N231" i="6"/>
  <c r="O231" i="6"/>
  <c r="P231" i="6"/>
  <c r="Q231" i="6"/>
  <c r="R231" i="6"/>
  <c r="S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AJ231" i="6"/>
  <c r="AK231" i="6"/>
  <c r="AL231" i="6"/>
  <c r="AM231" i="6"/>
  <c r="AN231" i="6"/>
  <c r="AO231" i="6"/>
  <c r="AP231" i="6"/>
  <c r="AQ231" i="6"/>
  <c r="B232" i="6"/>
  <c r="C232" i="6"/>
  <c r="D232" i="6"/>
  <c r="E232" i="6"/>
  <c r="F232" i="6"/>
  <c r="G232" i="6"/>
  <c r="H232" i="6"/>
  <c r="I232" i="6"/>
  <c r="J232" i="6"/>
  <c r="K232" i="6"/>
  <c r="L232" i="6"/>
  <c r="M232" i="6"/>
  <c r="N232" i="6"/>
  <c r="O232" i="6"/>
  <c r="P232" i="6"/>
  <c r="Q232" i="6"/>
  <c r="R232" i="6"/>
  <c r="S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AJ232" i="6"/>
  <c r="AK232" i="6"/>
  <c r="AL232" i="6"/>
  <c r="AM232" i="6"/>
  <c r="AN232" i="6"/>
  <c r="AO232" i="6"/>
  <c r="AP232" i="6"/>
  <c r="AQ232" i="6"/>
  <c r="B233" i="6"/>
  <c r="C233" i="6"/>
  <c r="D233" i="6"/>
  <c r="E233" i="6"/>
  <c r="F233" i="6"/>
  <c r="G233" i="6"/>
  <c r="H233" i="6"/>
  <c r="I233" i="6"/>
  <c r="J233" i="6"/>
  <c r="K233" i="6"/>
  <c r="L233" i="6"/>
  <c r="M233" i="6"/>
  <c r="N233" i="6"/>
  <c r="O233" i="6"/>
  <c r="P233" i="6"/>
  <c r="Q233" i="6"/>
  <c r="R233" i="6"/>
  <c r="S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AJ233" i="6"/>
  <c r="AK233" i="6"/>
  <c r="AL233" i="6"/>
  <c r="AM233" i="6"/>
  <c r="AN233" i="6"/>
  <c r="AO233" i="6"/>
  <c r="AP233" i="6"/>
  <c r="AQ233" i="6"/>
  <c r="B234" i="6"/>
  <c r="C234" i="6"/>
  <c r="D234" i="6"/>
  <c r="E234" i="6"/>
  <c r="F234" i="6"/>
  <c r="G234" i="6"/>
  <c r="H234" i="6"/>
  <c r="I234" i="6"/>
  <c r="J234" i="6"/>
  <c r="K234" i="6"/>
  <c r="L234" i="6"/>
  <c r="M234" i="6"/>
  <c r="N234" i="6"/>
  <c r="O234" i="6"/>
  <c r="P234" i="6"/>
  <c r="Q234" i="6"/>
  <c r="R234" i="6"/>
  <c r="S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AJ234" i="6"/>
  <c r="AK234" i="6"/>
  <c r="AL234" i="6"/>
  <c r="AM234" i="6"/>
  <c r="AN234" i="6"/>
  <c r="AO234" i="6"/>
  <c r="AP234" i="6"/>
  <c r="AQ234" i="6"/>
  <c r="B235" i="6"/>
  <c r="C235" i="6"/>
  <c r="D235" i="6"/>
  <c r="E235" i="6"/>
  <c r="F235" i="6"/>
  <c r="G235" i="6"/>
  <c r="H235" i="6"/>
  <c r="I235" i="6"/>
  <c r="J235" i="6"/>
  <c r="K235" i="6"/>
  <c r="L235" i="6"/>
  <c r="M235" i="6"/>
  <c r="N235" i="6"/>
  <c r="O235" i="6"/>
  <c r="P235" i="6"/>
  <c r="Q235" i="6"/>
  <c r="R235" i="6"/>
  <c r="S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AJ235" i="6"/>
  <c r="AK235" i="6"/>
  <c r="AL235" i="6"/>
  <c r="AM235" i="6"/>
  <c r="AN235" i="6"/>
  <c r="AO235" i="6"/>
  <c r="AP235" i="6"/>
  <c r="AQ235" i="6"/>
  <c r="B236" i="6"/>
  <c r="C236" i="6"/>
  <c r="D236" i="6"/>
  <c r="E236" i="6"/>
  <c r="F236" i="6"/>
  <c r="G236" i="6"/>
  <c r="H236" i="6"/>
  <c r="I236" i="6"/>
  <c r="J236" i="6"/>
  <c r="K236" i="6"/>
  <c r="L236" i="6"/>
  <c r="M236" i="6"/>
  <c r="N236" i="6"/>
  <c r="O236" i="6"/>
  <c r="P236" i="6"/>
  <c r="Q236" i="6"/>
  <c r="R236" i="6"/>
  <c r="S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AJ236" i="6"/>
  <c r="AK236" i="6"/>
  <c r="AL236" i="6"/>
  <c r="AM236" i="6"/>
  <c r="AN236" i="6"/>
  <c r="AO236" i="6"/>
  <c r="AP236" i="6"/>
  <c r="AQ236" i="6"/>
  <c r="B237" i="6"/>
  <c r="C237" i="6"/>
  <c r="D237" i="6"/>
  <c r="E237" i="6"/>
  <c r="F237" i="6"/>
  <c r="G237" i="6"/>
  <c r="H237" i="6"/>
  <c r="I237" i="6"/>
  <c r="J237" i="6"/>
  <c r="K237" i="6"/>
  <c r="L237" i="6"/>
  <c r="M237" i="6"/>
  <c r="N237" i="6"/>
  <c r="O237" i="6"/>
  <c r="P237" i="6"/>
  <c r="Q237" i="6"/>
  <c r="R237" i="6"/>
  <c r="S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AJ237" i="6"/>
  <c r="AK237" i="6"/>
  <c r="AL237" i="6"/>
  <c r="AM237" i="6"/>
  <c r="AN237" i="6"/>
  <c r="AO237" i="6"/>
  <c r="AP237" i="6"/>
  <c r="AQ237" i="6"/>
  <c r="B238" i="6"/>
  <c r="C238" i="6"/>
  <c r="D238" i="6"/>
  <c r="E238" i="6"/>
  <c r="F238" i="6"/>
  <c r="G238" i="6"/>
  <c r="H238" i="6"/>
  <c r="I238" i="6"/>
  <c r="J238" i="6"/>
  <c r="K238" i="6"/>
  <c r="L238" i="6"/>
  <c r="M238" i="6"/>
  <c r="N238" i="6"/>
  <c r="O238" i="6"/>
  <c r="P238" i="6"/>
  <c r="Q238" i="6"/>
  <c r="R238" i="6"/>
  <c r="S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AJ238" i="6"/>
  <c r="AK238" i="6"/>
  <c r="AL238" i="6"/>
  <c r="AM238" i="6"/>
  <c r="AN238" i="6"/>
  <c r="AO238" i="6"/>
  <c r="AP238" i="6"/>
  <c r="AQ238" i="6"/>
  <c r="B239" i="6"/>
  <c r="C239" i="6"/>
  <c r="D239" i="6"/>
  <c r="E239" i="6"/>
  <c r="F239" i="6"/>
  <c r="G239" i="6"/>
  <c r="H239" i="6"/>
  <c r="I239" i="6"/>
  <c r="J239" i="6"/>
  <c r="K239" i="6"/>
  <c r="L239" i="6"/>
  <c r="M239" i="6"/>
  <c r="N239" i="6"/>
  <c r="O239" i="6"/>
  <c r="P239" i="6"/>
  <c r="Q239" i="6"/>
  <c r="R239" i="6"/>
  <c r="S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AJ239" i="6"/>
  <c r="AK239" i="6"/>
  <c r="AL239" i="6"/>
  <c r="AM239" i="6"/>
  <c r="AN239" i="6"/>
  <c r="AO239" i="6"/>
  <c r="AP239" i="6"/>
  <c r="AQ239" i="6"/>
  <c r="B240" i="6"/>
  <c r="C240" i="6"/>
  <c r="D240" i="6"/>
  <c r="E240" i="6"/>
  <c r="F240" i="6"/>
  <c r="G240" i="6"/>
  <c r="H240" i="6"/>
  <c r="I240" i="6"/>
  <c r="J240" i="6"/>
  <c r="K240" i="6"/>
  <c r="L240" i="6"/>
  <c r="M240" i="6"/>
  <c r="N240" i="6"/>
  <c r="O240" i="6"/>
  <c r="P240" i="6"/>
  <c r="Q240" i="6"/>
  <c r="R240" i="6"/>
  <c r="S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AJ240" i="6"/>
  <c r="AK240" i="6"/>
  <c r="AL240" i="6"/>
  <c r="AM240" i="6"/>
  <c r="AN240" i="6"/>
  <c r="AO240" i="6"/>
  <c r="AP240" i="6"/>
  <c r="AQ240" i="6"/>
  <c r="B241" i="6"/>
  <c r="C241" i="6"/>
  <c r="D241" i="6"/>
  <c r="E241" i="6"/>
  <c r="F241" i="6"/>
  <c r="G241" i="6"/>
  <c r="H241" i="6"/>
  <c r="I241" i="6"/>
  <c r="J241" i="6"/>
  <c r="K241" i="6"/>
  <c r="L241" i="6"/>
  <c r="M241" i="6"/>
  <c r="N241" i="6"/>
  <c r="O241" i="6"/>
  <c r="P241" i="6"/>
  <c r="Q241" i="6"/>
  <c r="R241" i="6"/>
  <c r="S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AJ241" i="6"/>
  <c r="AK241" i="6"/>
  <c r="AL241" i="6"/>
  <c r="AM241" i="6"/>
  <c r="AN241" i="6"/>
  <c r="AO241" i="6"/>
  <c r="AP241" i="6"/>
  <c r="AQ241" i="6"/>
  <c r="B242" i="6"/>
  <c r="C242" i="6"/>
  <c r="D242" i="6"/>
  <c r="E242" i="6"/>
  <c r="F242" i="6"/>
  <c r="G242" i="6"/>
  <c r="H242" i="6"/>
  <c r="I242" i="6"/>
  <c r="J242" i="6"/>
  <c r="K242" i="6"/>
  <c r="L242" i="6"/>
  <c r="M242" i="6"/>
  <c r="N242" i="6"/>
  <c r="O242" i="6"/>
  <c r="P242" i="6"/>
  <c r="Q242" i="6"/>
  <c r="R242" i="6"/>
  <c r="S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AJ242" i="6"/>
  <c r="AK242" i="6"/>
  <c r="AL242" i="6"/>
  <c r="AM242" i="6"/>
  <c r="AN242" i="6"/>
  <c r="AO242" i="6"/>
  <c r="AP242" i="6"/>
  <c r="AQ242" i="6"/>
  <c r="B243" i="6"/>
  <c r="C243" i="6"/>
  <c r="D243" i="6"/>
  <c r="E243" i="6"/>
  <c r="F243" i="6"/>
  <c r="G243" i="6"/>
  <c r="H243" i="6"/>
  <c r="I243" i="6"/>
  <c r="J243" i="6"/>
  <c r="K243" i="6"/>
  <c r="L243" i="6"/>
  <c r="M243" i="6"/>
  <c r="N243" i="6"/>
  <c r="O243" i="6"/>
  <c r="P243" i="6"/>
  <c r="Q243" i="6"/>
  <c r="R243" i="6"/>
  <c r="S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AJ243" i="6"/>
  <c r="AK243" i="6"/>
  <c r="AL243" i="6"/>
  <c r="AM243" i="6"/>
  <c r="AN243" i="6"/>
  <c r="AO243" i="6"/>
  <c r="AP243" i="6"/>
  <c r="AQ243" i="6"/>
  <c r="B244" i="6"/>
  <c r="C244" i="6"/>
  <c r="D244" i="6"/>
  <c r="E244" i="6"/>
  <c r="F244" i="6"/>
  <c r="G244" i="6"/>
  <c r="H244" i="6"/>
  <c r="I244" i="6"/>
  <c r="J244" i="6"/>
  <c r="K244" i="6"/>
  <c r="L244" i="6"/>
  <c r="M244" i="6"/>
  <c r="N244" i="6"/>
  <c r="O244" i="6"/>
  <c r="P244" i="6"/>
  <c r="Q244" i="6"/>
  <c r="R244" i="6"/>
  <c r="S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AJ244" i="6"/>
  <c r="AK244" i="6"/>
  <c r="AL244" i="6"/>
  <c r="AM244" i="6"/>
  <c r="AN244" i="6"/>
  <c r="AO244" i="6"/>
  <c r="AP244" i="6"/>
  <c r="AQ244" i="6"/>
  <c r="B245" i="6"/>
  <c r="C245" i="6"/>
  <c r="D245" i="6"/>
  <c r="E245" i="6"/>
  <c r="F245" i="6"/>
  <c r="G245" i="6"/>
  <c r="H245" i="6"/>
  <c r="I245" i="6"/>
  <c r="J245" i="6"/>
  <c r="K245" i="6"/>
  <c r="L245" i="6"/>
  <c r="M245" i="6"/>
  <c r="N245" i="6"/>
  <c r="O245" i="6"/>
  <c r="P245" i="6"/>
  <c r="Q245" i="6"/>
  <c r="R245" i="6"/>
  <c r="S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AJ245" i="6"/>
  <c r="AK245" i="6"/>
  <c r="AL245" i="6"/>
  <c r="AM245" i="6"/>
  <c r="AN245" i="6"/>
  <c r="AO245" i="6"/>
  <c r="AP245" i="6"/>
  <c r="AQ245" i="6"/>
  <c r="B246" i="6"/>
  <c r="C246" i="6"/>
  <c r="D246" i="6"/>
  <c r="E246" i="6"/>
  <c r="F246" i="6"/>
  <c r="G246" i="6"/>
  <c r="H246" i="6"/>
  <c r="I246" i="6"/>
  <c r="J246" i="6"/>
  <c r="K246" i="6"/>
  <c r="L246" i="6"/>
  <c r="M246" i="6"/>
  <c r="N246" i="6"/>
  <c r="O246" i="6"/>
  <c r="P246" i="6"/>
  <c r="Q246" i="6"/>
  <c r="R246" i="6"/>
  <c r="S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B247" i="6"/>
  <c r="C247" i="6"/>
  <c r="D247" i="6"/>
  <c r="E247" i="6"/>
  <c r="F247" i="6"/>
  <c r="G247" i="6"/>
  <c r="H247" i="6"/>
  <c r="I247" i="6"/>
  <c r="J247" i="6"/>
  <c r="K247" i="6"/>
  <c r="L247" i="6"/>
  <c r="M247" i="6"/>
  <c r="N247" i="6"/>
  <c r="O247" i="6"/>
  <c r="P247" i="6"/>
  <c r="Q247" i="6"/>
  <c r="R247" i="6"/>
  <c r="S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AJ247" i="6"/>
  <c r="AK247" i="6"/>
  <c r="AL247" i="6"/>
  <c r="AM247" i="6"/>
  <c r="AN247" i="6"/>
  <c r="AO247" i="6"/>
  <c r="AP247" i="6"/>
  <c r="AQ247" i="6"/>
  <c r="B248" i="6"/>
  <c r="C248" i="6"/>
  <c r="D248" i="6"/>
  <c r="E248" i="6"/>
  <c r="F248" i="6"/>
  <c r="G248" i="6"/>
  <c r="H248" i="6"/>
  <c r="I248" i="6"/>
  <c r="J248" i="6"/>
  <c r="K248" i="6"/>
  <c r="L248" i="6"/>
  <c r="M248" i="6"/>
  <c r="N248" i="6"/>
  <c r="O248" i="6"/>
  <c r="P248" i="6"/>
  <c r="Q248" i="6"/>
  <c r="R248" i="6"/>
  <c r="S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AJ248" i="6"/>
  <c r="AK248" i="6"/>
  <c r="AL248" i="6"/>
  <c r="AM248" i="6"/>
  <c r="AN248" i="6"/>
  <c r="AO248" i="6"/>
  <c r="AP248" i="6"/>
  <c r="AQ248" i="6"/>
  <c r="B249" i="6"/>
  <c r="C249" i="6"/>
  <c r="D249" i="6"/>
  <c r="E249" i="6"/>
  <c r="F249" i="6"/>
  <c r="G249" i="6"/>
  <c r="H249" i="6"/>
  <c r="I249" i="6"/>
  <c r="J249" i="6"/>
  <c r="K249" i="6"/>
  <c r="L249" i="6"/>
  <c r="M249" i="6"/>
  <c r="N249" i="6"/>
  <c r="O249" i="6"/>
  <c r="P249" i="6"/>
  <c r="Q249" i="6"/>
  <c r="R249" i="6"/>
  <c r="S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B250" i="6"/>
  <c r="C250" i="6"/>
  <c r="D250" i="6"/>
  <c r="E250" i="6"/>
  <c r="F250" i="6"/>
  <c r="G250" i="6"/>
  <c r="H250" i="6"/>
  <c r="I250" i="6"/>
  <c r="J250" i="6"/>
  <c r="K250" i="6"/>
  <c r="L250" i="6"/>
  <c r="M250" i="6"/>
  <c r="N250" i="6"/>
  <c r="O250" i="6"/>
  <c r="P250" i="6"/>
  <c r="Q250" i="6"/>
  <c r="R250" i="6"/>
  <c r="S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AJ250" i="6"/>
  <c r="AK250" i="6"/>
  <c r="AL250" i="6"/>
  <c r="AM250" i="6"/>
  <c r="AN250" i="6"/>
  <c r="AO250" i="6"/>
  <c r="AP250" i="6"/>
  <c r="AQ250" i="6"/>
  <c r="B251" i="6"/>
  <c r="C251" i="6"/>
  <c r="D251" i="6"/>
  <c r="E251" i="6"/>
  <c r="F251" i="6"/>
  <c r="G251" i="6"/>
  <c r="H251" i="6"/>
  <c r="I251" i="6"/>
  <c r="J251" i="6"/>
  <c r="K251" i="6"/>
  <c r="L251" i="6"/>
  <c r="M251" i="6"/>
  <c r="N251" i="6"/>
  <c r="O251" i="6"/>
  <c r="P251" i="6"/>
  <c r="Q251" i="6"/>
  <c r="R251" i="6"/>
  <c r="S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AJ251" i="6"/>
  <c r="AK251" i="6"/>
  <c r="AL251" i="6"/>
  <c r="AM251" i="6"/>
  <c r="AN251" i="6"/>
  <c r="AO251" i="6"/>
  <c r="AP251" i="6"/>
  <c r="AQ251" i="6"/>
  <c r="B252" i="6"/>
  <c r="C252" i="6"/>
  <c r="D252" i="6"/>
  <c r="E252" i="6"/>
  <c r="F252" i="6"/>
  <c r="G252" i="6"/>
  <c r="H252" i="6"/>
  <c r="I252" i="6"/>
  <c r="J252" i="6"/>
  <c r="K252" i="6"/>
  <c r="L252" i="6"/>
  <c r="M252" i="6"/>
  <c r="N252" i="6"/>
  <c r="O252" i="6"/>
  <c r="P252" i="6"/>
  <c r="Q252" i="6"/>
  <c r="R252" i="6"/>
  <c r="S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AJ252" i="6"/>
  <c r="AK252" i="6"/>
  <c r="AL252" i="6"/>
  <c r="AM252" i="6"/>
  <c r="AN252" i="6"/>
  <c r="AO252" i="6"/>
  <c r="AP252" i="6"/>
  <c r="AQ252" i="6"/>
  <c r="B253" i="6"/>
  <c r="C253" i="6"/>
  <c r="D253" i="6"/>
  <c r="E253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R253" i="6"/>
  <c r="S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AJ253" i="6"/>
  <c r="AK253" i="6"/>
  <c r="AL253" i="6"/>
  <c r="AM253" i="6"/>
  <c r="AN253" i="6"/>
  <c r="AO253" i="6"/>
  <c r="AP253" i="6"/>
  <c r="AQ253" i="6"/>
  <c r="B254" i="6"/>
  <c r="C254" i="6"/>
  <c r="D254" i="6"/>
  <c r="E254" i="6"/>
  <c r="F254" i="6"/>
  <c r="G254" i="6"/>
  <c r="H254" i="6"/>
  <c r="I254" i="6"/>
  <c r="J254" i="6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AK254" i="6"/>
  <c r="AL254" i="6"/>
  <c r="AM254" i="6"/>
  <c r="AN254" i="6"/>
  <c r="AO254" i="6"/>
  <c r="AP254" i="6"/>
  <c r="AQ254" i="6"/>
  <c r="B255" i="6"/>
  <c r="C255" i="6"/>
  <c r="D255" i="6"/>
  <c r="E255" i="6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AL255" i="6"/>
  <c r="AM255" i="6"/>
  <c r="AN255" i="6"/>
  <c r="AO255" i="6"/>
  <c r="AP255" i="6"/>
  <c r="AQ255" i="6"/>
  <c r="B256" i="6"/>
  <c r="C256" i="6"/>
  <c r="D256" i="6"/>
  <c r="E256" i="6"/>
  <c r="F256" i="6"/>
  <c r="G256" i="6"/>
  <c r="H256" i="6"/>
  <c r="I256" i="6"/>
  <c r="J256" i="6"/>
  <c r="K256" i="6"/>
  <c r="L256" i="6"/>
  <c r="M256" i="6"/>
  <c r="N256" i="6"/>
  <c r="O256" i="6"/>
  <c r="P256" i="6"/>
  <c r="Q256" i="6"/>
  <c r="R256" i="6"/>
  <c r="S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AJ256" i="6"/>
  <c r="AK256" i="6"/>
  <c r="AL256" i="6"/>
  <c r="AM256" i="6"/>
  <c r="AN256" i="6"/>
  <c r="AO256" i="6"/>
  <c r="AP256" i="6"/>
  <c r="AQ256" i="6"/>
  <c r="B257" i="6"/>
  <c r="C257" i="6"/>
  <c r="D257" i="6"/>
  <c r="E257" i="6"/>
  <c r="F257" i="6"/>
  <c r="G257" i="6"/>
  <c r="H257" i="6"/>
  <c r="I257" i="6"/>
  <c r="J257" i="6"/>
  <c r="K257" i="6"/>
  <c r="L257" i="6"/>
  <c r="M257" i="6"/>
  <c r="N257" i="6"/>
  <c r="O257" i="6"/>
  <c r="P257" i="6"/>
  <c r="Q257" i="6"/>
  <c r="R257" i="6"/>
  <c r="S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AJ257" i="6"/>
  <c r="AK257" i="6"/>
  <c r="AL257" i="6"/>
  <c r="AM257" i="6"/>
  <c r="AN257" i="6"/>
  <c r="AO257" i="6"/>
  <c r="AP257" i="6"/>
  <c r="AQ257" i="6"/>
  <c r="B258" i="6"/>
  <c r="C258" i="6"/>
  <c r="D258" i="6"/>
  <c r="E258" i="6"/>
  <c r="F258" i="6"/>
  <c r="G258" i="6"/>
  <c r="H258" i="6"/>
  <c r="I258" i="6"/>
  <c r="J258" i="6"/>
  <c r="K258" i="6"/>
  <c r="L258" i="6"/>
  <c r="M258" i="6"/>
  <c r="N258" i="6"/>
  <c r="O258" i="6"/>
  <c r="P258" i="6"/>
  <c r="Q258" i="6"/>
  <c r="R258" i="6"/>
  <c r="S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AJ258" i="6"/>
  <c r="AK258" i="6"/>
  <c r="AL258" i="6"/>
  <c r="AM258" i="6"/>
  <c r="AN258" i="6"/>
  <c r="AO258" i="6"/>
  <c r="AP258" i="6"/>
  <c r="AQ258" i="6"/>
  <c r="B259" i="6"/>
  <c r="C259" i="6"/>
  <c r="D259" i="6"/>
  <c r="E259" i="6"/>
  <c r="F259" i="6"/>
  <c r="G259" i="6"/>
  <c r="H259" i="6"/>
  <c r="I259" i="6"/>
  <c r="J259" i="6"/>
  <c r="K259" i="6"/>
  <c r="L259" i="6"/>
  <c r="M259" i="6"/>
  <c r="N259" i="6"/>
  <c r="O259" i="6"/>
  <c r="P259" i="6"/>
  <c r="Q259" i="6"/>
  <c r="R259" i="6"/>
  <c r="S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AJ259" i="6"/>
  <c r="AK259" i="6"/>
  <c r="AL259" i="6"/>
  <c r="AM259" i="6"/>
  <c r="AN259" i="6"/>
  <c r="AO259" i="6"/>
  <c r="AP259" i="6"/>
  <c r="AQ259" i="6"/>
  <c r="B260" i="6"/>
  <c r="C260" i="6"/>
  <c r="D260" i="6"/>
  <c r="E260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R260" i="6"/>
  <c r="S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AJ260" i="6"/>
  <c r="AK260" i="6"/>
  <c r="AL260" i="6"/>
  <c r="AM260" i="6"/>
  <c r="AN260" i="6"/>
  <c r="AO260" i="6"/>
  <c r="AP260" i="6"/>
  <c r="AQ260" i="6"/>
  <c r="B261" i="6"/>
  <c r="C261" i="6"/>
  <c r="D261" i="6"/>
  <c r="E261" i="6"/>
  <c r="F261" i="6"/>
  <c r="G261" i="6"/>
  <c r="H261" i="6"/>
  <c r="I261" i="6"/>
  <c r="J261" i="6"/>
  <c r="K261" i="6"/>
  <c r="L261" i="6"/>
  <c r="M261" i="6"/>
  <c r="N261" i="6"/>
  <c r="O261" i="6"/>
  <c r="P261" i="6"/>
  <c r="Q261" i="6"/>
  <c r="R261" i="6"/>
  <c r="S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AJ261" i="6"/>
  <c r="AK261" i="6"/>
  <c r="AL261" i="6"/>
  <c r="AM261" i="6"/>
  <c r="AN261" i="6"/>
  <c r="AO261" i="6"/>
  <c r="AP261" i="6"/>
  <c r="AQ261" i="6"/>
  <c r="B262" i="6"/>
  <c r="C262" i="6"/>
  <c r="D262" i="6"/>
  <c r="E262" i="6"/>
  <c r="F262" i="6"/>
  <c r="G262" i="6"/>
  <c r="H262" i="6"/>
  <c r="I262" i="6"/>
  <c r="J262" i="6"/>
  <c r="K262" i="6"/>
  <c r="L262" i="6"/>
  <c r="M262" i="6"/>
  <c r="N262" i="6"/>
  <c r="O262" i="6"/>
  <c r="P262" i="6"/>
  <c r="Q262" i="6"/>
  <c r="R262" i="6"/>
  <c r="S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AJ262" i="6"/>
  <c r="AK262" i="6"/>
  <c r="AL262" i="6"/>
  <c r="AM262" i="6"/>
  <c r="AN262" i="6"/>
  <c r="AO262" i="6"/>
  <c r="AP262" i="6"/>
  <c r="AQ262" i="6"/>
  <c r="B263" i="6"/>
  <c r="C263" i="6"/>
  <c r="D263" i="6"/>
  <c r="E263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R263" i="6"/>
  <c r="S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AJ263" i="6"/>
  <c r="AK263" i="6"/>
  <c r="AL263" i="6"/>
  <c r="AM263" i="6"/>
  <c r="AN263" i="6"/>
  <c r="AO263" i="6"/>
  <c r="AP263" i="6"/>
  <c r="AQ263" i="6"/>
  <c r="B264" i="6"/>
  <c r="C264" i="6"/>
  <c r="D264" i="6"/>
  <c r="E264" i="6"/>
  <c r="F264" i="6"/>
  <c r="G264" i="6"/>
  <c r="H264" i="6"/>
  <c r="I264" i="6"/>
  <c r="J264" i="6"/>
  <c r="K264" i="6"/>
  <c r="L264" i="6"/>
  <c r="M264" i="6"/>
  <c r="N264" i="6"/>
  <c r="O264" i="6"/>
  <c r="P264" i="6"/>
  <c r="Q264" i="6"/>
  <c r="R264" i="6"/>
  <c r="S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AJ264" i="6"/>
  <c r="AK264" i="6"/>
  <c r="AL264" i="6"/>
  <c r="AM264" i="6"/>
  <c r="AN264" i="6"/>
  <c r="AO264" i="6"/>
  <c r="AP264" i="6"/>
  <c r="AQ264" i="6"/>
  <c r="B265" i="6"/>
  <c r="C265" i="6"/>
  <c r="D265" i="6"/>
  <c r="E265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R265" i="6"/>
  <c r="S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AJ265" i="6"/>
  <c r="AK265" i="6"/>
  <c r="AL265" i="6"/>
  <c r="AM265" i="6"/>
  <c r="AN265" i="6"/>
  <c r="AO265" i="6"/>
  <c r="AP265" i="6"/>
  <c r="AQ265" i="6"/>
  <c r="B266" i="6"/>
  <c r="C266" i="6"/>
  <c r="D266" i="6"/>
  <c r="E266" i="6"/>
  <c r="F266" i="6"/>
  <c r="G266" i="6"/>
  <c r="H266" i="6"/>
  <c r="I266" i="6"/>
  <c r="J266" i="6"/>
  <c r="K266" i="6"/>
  <c r="L266" i="6"/>
  <c r="M266" i="6"/>
  <c r="N266" i="6"/>
  <c r="O266" i="6"/>
  <c r="P266" i="6"/>
  <c r="Q266" i="6"/>
  <c r="R266" i="6"/>
  <c r="S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AJ266" i="6"/>
  <c r="AK266" i="6"/>
  <c r="AL266" i="6"/>
  <c r="AM266" i="6"/>
  <c r="AN266" i="6"/>
  <c r="AO266" i="6"/>
  <c r="AP266" i="6"/>
  <c r="AQ266" i="6"/>
  <c r="B267" i="6"/>
  <c r="C267" i="6"/>
  <c r="D267" i="6"/>
  <c r="E267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R267" i="6"/>
  <c r="S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AJ267" i="6"/>
  <c r="AK267" i="6"/>
  <c r="AL267" i="6"/>
  <c r="AM267" i="6"/>
  <c r="AN267" i="6"/>
  <c r="AO267" i="6"/>
  <c r="AP267" i="6"/>
  <c r="AQ267" i="6"/>
  <c r="B268" i="6"/>
  <c r="C268" i="6"/>
  <c r="D268" i="6"/>
  <c r="E268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R268" i="6"/>
  <c r="S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AJ268" i="6"/>
  <c r="AK268" i="6"/>
  <c r="AL268" i="6"/>
  <c r="AM268" i="6"/>
  <c r="AN268" i="6"/>
  <c r="AO268" i="6"/>
  <c r="AP268" i="6"/>
  <c r="AQ268" i="6"/>
  <c r="B269" i="6"/>
  <c r="C269" i="6"/>
  <c r="D269" i="6"/>
  <c r="E269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R269" i="6"/>
  <c r="S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AJ269" i="6"/>
  <c r="AK269" i="6"/>
  <c r="AL269" i="6"/>
  <c r="AM269" i="6"/>
  <c r="AN269" i="6"/>
  <c r="AO269" i="6"/>
  <c r="AP269" i="6"/>
  <c r="AQ269" i="6"/>
  <c r="B270" i="6"/>
  <c r="C270" i="6"/>
  <c r="D270" i="6"/>
  <c r="E270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R270" i="6"/>
  <c r="S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AJ270" i="6"/>
  <c r="AK270" i="6"/>
  <c r="AL270" i="6"/>
  <c r="AM270" i="6"/>
  <c r="AN270" i="6"/>
  <c r="AO270" i="6"/>
  <c r="AP270" i="6"/>
  <c r="AQ270" i="6"/>
  <c r="B271" i="6"/>
  <c r="C271" i="6"/>
  <c r="D271" i="6"/>
  <c r="E271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R271" i="6"/>
  <c r="S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AJ271" i="6"/>
  <c r="AK271" i="6"/>
  <c r="AL271" i="6"/>
  <c r="AM271" i="6"/>
  <c r="AN271" i="6"/>
  <c r="AO271" i="6"/>
  <c r="AP271" i="6"/>
  <c r="AQ271" i="6"/>
  <c r="B272" i="6"/>
  <c r="C272" i="6"/>
  <c r="D272" i="6"/>
  <c r="E272" i="6"/>
  <c r="F272" i="6"/>
  <c r="G272" i="6"/>
  <c r="H272" i="6"/>
  <c r="I272" i="6"/>
  <c r="J272" i="6"/>
  <c r="K272" i="6"/>
  <c r="L272" i="6"/>
  <c r="M272" i="6"/>
  <c r="N272" i="6"/>
  <c r="O272" i="6"/>
  <c r="P272" i="6"/>
  <c r="Q272" i="6"/>
  <c r="R272" i="6"/>
  <c r="S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AJ272" i="6"/>
  <c r="AK272" i="6"/>
  <c r="AL272" i="6"/>
  <c r="AM272" i="6"/>
  <c r="AN272" i="6"/>
  <c r="AO272" i="6"/>
  <c r="AP272" i="6"/>
  <c r="AQ272" i="6"/>
  <c r="B273" i="6"/>
  <c r="C273" i="6"/>
  <c r="D273" i="6"/>
  <c r="E273" i="6"/>
  <c r="F273" i="6"/>
  <c r="G273" i="6"/>
  <c r="H273" i="6"/>
  <c r="I273" i="6"/>
  <c r="J273" i="6"/>
  <c r="K273" i="6"/>
  <c r="L273" i="6"/>
  <c r="M273" i="6"/>
  <c r="N273" i="6"/>
  <c r="O273" i="6"/>
  <c r="P273" i="6"/>
  <c r="Q273" i="6"/>
  <c r="R273" i="6"/>
  <c r="S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AJ273" i="6"/>
  <c r="AK273" i="6"/>
  <c r="AL273" i="6"/>
  <c r="AM273" i="6"/>
  <c r="AN273" i="6"/>
  <c r="AO273" i="6"/>
  <c r="AP273" i="6"/>
  <c r="AQ273" i="6"/>
  <c r="B274" i="6"/>
  <c r="C274" i="6"/>
  <c r="D274" i="6"/>
  <c r="E274" i="6"/>
  <c r="F274" i="6"/>
  <c r="G274" i="6"/>
  <c r="H274" i="6"/>
  <c r="I274" i="6"/>
  <c r="J274" i="6"/>
  <c r="K274" i="6"/>
  <c r="L274" i="6"/>
  <c r="M274" i="6"/>
  <c r="N274" i="6"/>
  <c r="O274" i="6"/>
  <c r="P274" i="6"/>
  <c r="Q274" i="6"/>
  <c r="R274" i="6"/>
  <c r="S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AJ274" i="6"/>
  <c r="AK274" i="6"/>
  <c r="AL274" i="6"/>
  <c r="AM274" i="6"/>
  <c r="AN274" i="6"/>
  <c r="AO274" i="6"/>
  <c r="AP274" i="6"/>
  <c r="AQ274" i="6"/>
  <c r="B275" i="6"/>
  <c r="C275" i="6"/>
  <c r="D275" i="6"/>
  <c r="E275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R275" i="6"/>
  <c r="S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B276" i="6"/>
  <c r="C276" i="6"/>
  <c r="D276" i="6"/>
  <c r="E276" i="6"/>
  <c r="F276" i="6"/>
  <c r="G276" i="6"/>
  <c r="H276" i="6"/>
  <c r="I276" i="6"/>
  <c r="J276" i="6"/>
  <c r="K276" i="6"/>
  <c r="L276" i="6"/>
  <c r="M276" i="6"/>
  <c r="N276" i="6"/>
  <c r="O276" i="6"/>
  <c r="P276" i="6"/>
  <c r="Q276" i="6"/>
  <c r="R276" i="6"/>
  <c r="S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AJ276" i="6"/>
  <c r="AK276" i="6"/>
  <c r="AL276" i="6"/>
  <c r="AM276" i="6"/>
  <c r="AN276" i="6"/>
  <c r="AO276" i="6"/>
  <c r="AP276" i="6"/>
  <c r="AQ276" i="6"/>
  <c r="B277" i="6"/>
  <c r="C277" i="6"/>
  <c r="D277" i="6"/>
  <c r="E277" i="6"/>
  <c r="F277" i="6"/>
  <c r="G277" i="6"/>
  <c r="H277" i="6"/>
  <c r="I277" i="6"/>
  <c r="J277" i="6"/>
  <c r="K277" i="6"/>
  <c r="L277" i="6"/>
  <c r="M277" i="6"/>
  <c r="N277" i="6"/>
  <c r="O277" i="6"/>
  <c r="P277" i="6"/>
  <c r="Q277" i="6"/>
  <c r="R277" i="6"/>
  <c r="S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AJ277" i="6"/>
  <c r="AK277" i="6"/>
  <c r="AL277" i="6"/>
  <c r="AM277" i="6"/>
  <c r="AN277" i="6"/>
  <c r="AO277" i="6"/>
  <c r="AP277" i="6"/>
  <c r="AQ277" i="6"/>
  <c r="B278" i="6"/>
  <c r="C278" i="6"/>
  <c r="D278" i="6"/>
  <c r="E278" i="6"/>
  <c r="F278" i="6"/>
  <c r="G278" i="6"/>
  <c r="H278" i="6"/>
  <c r="I278" i="6"/>
  <c r="J278" i="6"/>
  <c r="K278" i="6"/>
  <c r="L278" i="6"/>
  <c r="M278" i="6"/>
  <c r="N278" i="6"/>
  <c r="O278" i="6"/>
  <c r="P278" i="6"/>
  <c r="Q278" i="6"/>
  <c r="R278" i="6"/>
  <c r="S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AJ278" i="6"/>
  <c r="AK278" i="6"/>
  <c r="AL278" i="6"/>
  <c r="AM278" i="6"/>
  <c r="AN278" i="6"/>
  <c r="AO278" i="6"/>
  <c r="AP278" i="6"/>
  <c r="AQ278" i="6"/>
  <c r="B279" i="6"/>
  <c r="C279" i="6"/>
  <c r="D279" i="6"/>
  <c r="E279" i="6"/>
  <c r="F279" i="6"/>
  <c r="G279" i="6"/>
  <c r="H279" i="6"/>
  <c r="I279" i="6"/>
  <c r="J279" i="6"/>
  <c r="K279" i="6"/>
  <c r="L279" i="6"/>
  <c r="M279" i="6"/>
  <c r="N279" i="6"/>
  <c r="O279" i="6"/>
  <c r="P279" i="6"/>
  <c r="Q279" i="6"/>
  <c r="R279" i="6"/>
  <c r="S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AJ279" i="6"/>
  <c r="AK279" i="6"/>
  <c r="AL279" i="6"/>
  <c r="AM279" i="6"/>
  <c r="AN279" i="6"/>
  <c r="AO279" i="6"/>
  <c r="AP279" i="6"/>
  <c r="AQ279" i="6"/>
  <c r="B280" i="6"/>
  <c r="C280" i="6"/>
  <c r="D280" i="6"/>
  <c r="E280" i="6"/>
  <c r="F280" i="6"/>
  <c r="G280" i="6"/>
  <c r="H280" i="6"/>
  <c r="I280" i="6"/>
  <c r="J280" i="6"/>
  <c r="K280" i="6"/>
  <c r="L280" i="6"/>
  <c r="M280" i="6"/>
  <c r="N280" i="6"/>
  <c r="O280" i="6"/>
  <c r="P280" i="6"/>
  <c r="Q280" i="6"/>
  <c r="R280" i="6"/>
  <c r="S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AJ280" i="6"/>
  <c r="AK280" i="6"/>
  <c r="AL280" i="6"/>
  <c r="AM280" i="6"/>
  <c r="AN280" i="6"/>
  <c r="AO280" i="6"/>
  <c r="AP280" i="6"/>
  <c r="AQ280" i="6"/>
  <c r="B281" i="6"/>
  <c r="C281" i="6"/>
  <c r="D281" i="6"/>
  <c r="E281" i="6"/>
  <c r="F281" i="6"/>
  <c r="G281" i="6"/>
  <c r="H281" i="6"/>
  <c r="I281" i="6"/>
  <c r="J281" i="6"/>
  <c r="K281" i="6"/>
  <c r="L281" i="6"/>
  <c r="M281" i="6"/>
  <c r="N281" i="6"/>
  <c r="O281" i="6"/>
  <c r="P281" i="6"/>
  <c r="Q281" i="6"/>
  <c r="R281" i="6"/>
  <c r="S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AJ281" i="6"/>
  <c r="AK281" i="6"/>
  <c r="AL281" i="6"/>
  <c r="AM281" i="6"/>
  <c r="AN281" i="6"/>
  <c r="AO281" i="6"/>
  <c r="AP281" i="6"/>
  <c r="AQ281" i="6"/>
  <c r="B282" i="6"/>
  <c r="C282" i="6"/>
  <c r="D282" i="6"/>
  <c r="E282" i="6"/>
  <c r="F282" i="6"/>
  <c r="G282" i="6"/>
  <c r="H282" i="6"/>
  <c r="I282" i="6"/>
  <c r="J282" i="6"/>
  <c r="K282" i="6"/>
  <c r="L282" i="6"/>
  <c r="M282" i="6"/>
  <c r="N282" i="6"/>
  <c r="O282" i="6"/>
  <c r="P282" i="6"/>
  <c r="Q282" i="6"/>
  <c r="R282" i="6"/>
  <c r="S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AJ282" i="6"/>
  <c r="AK282" i="6"/>
  <c r="AL282" i="6"/>
  <c r="AM282" i="6"/>
  <c r="AN282" i="6"/>
  <c r="AO282" i="6"/>
  <c r="AP282" i="6"/>
  <c r="AQ282" i="6"/>
  <c r="B283" i="6"/>
  <c r="C283" i="6"/>
  <c r="D283" i="6"/>
  <c r="E283" i="6"/>
  <c r="F283" i="6"/>
  <c r="G283" i="6"/>
  <c r="H283" i="6"/>
  <c r="I283" i="6"/>
  <c r="J283" i="6"/>
  <c r="K283" i="6"/>
  <c r="L283" i="6"/>
  <c r="M283" i="6"/>
  <c r="N283" i="6"/>
  <c r="O283" i="6"/>
  <c r="P283" i="6"/>
  <c r="Q283" i="6"/>
  <c r="R283" i="6"/>
  <c r="S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AJ283" i="6"/>
  <c r="AK283" i="6"/>
  <c r="AL283" i="6"/>
  <c r="AM283" i="6"/>
  <c r="AN283" i="6"/>
  <c r="AO283" i="6"/>
  <c r="AP283" i="6"/>
  <c r="AQ283" i="6"/>
  <c r="B284" i="6"/>
  <c r="C284" i="6"/>
  <c r="D284" i="6"/>
  <c r="E284" i="6"/>
  <c r="F284" i="6"/>
  <c r="G284" i="6"/>
  <c r="H284" i="6"/>
  <c r="I284" i="6"/>
  <c r="J284" i="6"/>
  <c r="K284" i="6"/>
  <c r="L284" i="6"/>
  <c r="M284" i="6"/>
  <c r="N284" i="6"/>
  <c r="O284" i="6"/>
  <c r="P284" i="6"/>
  <c r="Q284" i="6"/>
  <c r="R284" i="6"/>
  <c r="S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AJ284" i="6"/>
  <c r="AK284" i="6"/>
  <c r="AL284" i="6"/>
  <c r="AM284" i="6"/>
  <c r="AN284" i="6"/>
  <c r="AO284" i="6"/>
  <c r="AP284" i="6"/>
  <c r="AQ284" i="6"/>
  <c r="B285" i="6"/>
  <c r="C285" i="6"/>
  <c r="D285" i="6"/>
  <c r="E285" i="6"/>
  <c r="F285" i="6"/>
  <c r="G285" i="6"/>
  <c r="H285" i="6"/>
  <c r="I285" i="6"/>
  <c r="J285" i="6"/>
  <c r="K285" i="6"/>
  <c r="L285" i="6"/>
  <c r="M285" i="6"/>
  <c r="N285" i="6"/>
  <c r="O285" i="6"/>
  <c r="P285" i="6"/>
  <c r="Q285" i="6"/>
  <c r="R285" i="6"/>
  <c r="S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AJ285" i="6"/>
  <c r="AK285" i="6"/>
  <c r="AL285" i="6"/>
  <c r="AM285" i="6"/>
  <c r="AN285" i="6"/>
  <c r="AO285" i="6"/>
  <c r="AP285" i="6"/>
  <c r="AQ285" i="6"/>
  <c r="B286" i="6"/>
  <c r="C286" i="6"/>
  <c r="D286" i="6"/>
  <c r="E286" i="6"/>
  <c r="F286" i="6"/>
  <c r="G286" i="6"/>
  <c r="H286" i="6"/>
  <c r="I286" i="6"/>
  <c r="J286" i="6"/>
  <c r="K286" i="6"/>
  <c r="L286" i="6"/>
  <c r="M286" i="6"/>
  <c r="N286" i="6"/>
  <c r="O286" i="6"/>
  <c r="P286" i="6"/>
  <c r="Q286" i="6"/>
  <c r="R286" i="6"/>
  <c r="S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AJ286" i="6"/>
  <c r="AK286" i="6"/>
  <c r="AL286" i="6"/>
  <c r="AM286" i="6"/>
  <c r="AN286" i="6"/>
  <c r="AO286" i="6"/>
  <c r="AP286" i="6"/>
  <c r="AQ286" i="6"/>
  <c r="B287" i="6"/>
  <c r="C287" i="6"/>
  <c r="D287" i="6"/>
  <c r="E287" i="6"/>
  <c r="F287" i="6"/>
  <c r="G287" i="6"/>
  <c r="H287" i="6"/>
  <c r="I287" i="6"/>
  <c r="J287" i="6"/>
  <c r="K287" i="6"/>
  <c r="L287" i="6"/>
  <c r="M287" i="6"/>
  <c r="N287" i="6"/>
  <c r="O287" i="6"/>
  <c r="P287" i="6"/>
  <c r="Q287" i="6"/>
  <c r="R287" i="6"/>
  <c r="S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AJ287" i="6"/>
  <c r="AK287" i="6"/>
  <c r="AL287" i="6"/>
  <c r="AM287" i="6"/>
  <c r="AN287" i="6"/>
  <c r="AO287" i="6"/>
  <c r="AP287" i="6"/>
  <c r="AQ287" i="6"/>
  <c r="B288" i="6"/>
  <c r="C288" i="6"/>
  <c r="D288" i="6"/>
  <c r="E288" i="6"/>
  <c r="F288" i="6"/>
  <c r="G288" i="6"/>
  <c r="H288" i="6"/>
  <c r="I288" i="6"/>
  <c r="J288" i="6"/>
  <c r="K288" i="6"/>
  <c r="L288" i="6"/>
  <c r="M288" i="6"/>
  <c r="N288" i="6"/>
  <c r="O288" i="6"/>
  <c r="P288" i="6"/>
  <c r="Q288" i="6"/>
  <c r="R288" i="6"/>
  <c r="S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AJ288" i="6"/>
  <c r="AK288" i="6"/>
  <c r="AL288" i="6"/>
  <c r="AM288" i="6"/>
  <c r="AN288" i="6"/>
  <c r="AO288" i="6"/>
  <c r="AP288" i="6"/>
  <c r="AQ288" i="6"/>
  <c r="B289" i="6"/>
  <c r="C289" i="6"/>
  <c r="D289" i="6"/>
  <c r="E289" i="6"/>
  <c r="F289" i="6"/>
  <c r="G289" i="6"/>
  <c r="H289" i="6"/>
  <c r="I289" i="6"/>
  <c r="J289" i="6"/>
  <c r="K289" i="6"/>
  <c r="L289" i="6"/>
  <c r="M289" i="6"/>
  <c r="N289" i="6"/>
  <c r="O289" i="6"/>
  <c r="P289" i="6"/>
  <c r="Q289" i="6"/>
  <c r="R289" i="6"/>
  <c r="S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AJ289" i="6"/>
  <c r="AK289" i="6"/>
  <c r="AL289" i="6"/>
  <c r="AM289" i="6"/>
  <c r="AN289" i="6"/>
  <c r="AO289" i="6"/>
  <c r="AP289" i="6"/>
  <c r="AQ289" i="6"/>
  <c r="B290" i="6"/>
  <c r="C290" i="6"/>
  <c r="D290" i="6"/>
  <c r="E290" i="6"/>
  <c r="F290" i="6"/>
  <c r="G290" i="6"/>
  <c r="H290" i="6"/>
  <c r="I290" i="6"/>
  <c r="J290" i="6"/>
  <c r="K290" i="6"/>
  <c r="L290" i="6"/>
  <c r="M290" i="6"/>
  <c r="N290" i="6"/>
  <c r="O290" i="6"/>
  <c r="P290" i="6"/>
  <c r="Q290" i="6"/>
  <c r="R290" i="6"/>
  <c r="S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AJ290" i="6"/>
  <c r="AK290" i="6"/>
  <c r="AL290" i="6"/>
  <c r="AM290" i="6"/>
  <c r="AN290" i="6"/>
  <c r="AO290" i="6"/>
  <c r="AP290" i="6"/>
  <c r="AQ290" i="6"/>
  <c r="B291" i="6"/>
  <c r="C291" i="6"/>
  <c r="D291" i="6"/>
  <c r="E291" i="6"/>
  <c r="F291" i="6"/>
  <c r="G291" i="6"/>
  <c r="H291" i="6"/>
  <c r="I291" i="6"/>
  <c r="J291" i="6"/>
  <c r="K291" i="6"/>
  <c r="L291" i="6"/>
  <c r="M291" i="6"/>
  <c r="N291" i="6"/>
  <c r="O291" i="6"/>
  <c r="P291" i="6"/>
  <c r="Q291" i="6"/>
  <c r="R291" i="6"/>
  <c r="S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AJ291" i="6"/>
  <c r="AK291" i="6"/>
  <c r="AL291" i="6"/>
  <c r="AM291" i="6"/>
  <c r="AN291" i="6"/>
  <c r="AO291" i="6"/>
  <c r="AP291" i="6"/>
  <c r="AQ291" i="6"/>
  <c r="B292" i="6"/>
  <c r="C292" i="6"/>
  <c r="D292" i="6"/>
  <c r="E292" i="6"/>
  <c r="F292" i="6"/>
  <c r="G292" i="6"/>
  <c r="H292" i="6"/>
  <c r="I292" i="6"/>
  <c r="J292" i="6"/>
  <c r="K292" i="6"/>
  <c r="L292" i="6"/>
  <c r="M292" i="6"/>
  <c r="N292" i="6"/>
  <c r="O292" i="6"/>
  <c r="P292" i="6"/>
  <c r="Q292" i="6"/>
  <c r="R292" i="6"/>
  <c r="S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AJ292" i="6"/>
  <c r="AK292" i="6"/>
  <c r="AL292" i="6"/>
  <c r="AM292" i="6"/>
  <c r="AN292" i="6"/>
  <c r="AO292" i="6"/>
  <c r="AP292" i="6"/>
  <c r="AQ292" i="6"/>
  <c r="B293" i="6"/>
  <c r="C293" i="6"/>
  <c r="D293" i="6"/>
  <c r="E293" i="6"/>
  <c r="F293" i="6"/>
  <c r="G293" i="6"/>
  <c r="H293" i="6"/>
  <c r="I293" i="6"/>
  <c r="J293" i="6"/>
  <c r="K293" i="6"/>
  <c r="L293" i="6"/>
  <c r="M293" i="6"/>
  <c r="N293" i="6"/>
  <c r="O293" i="6"/>
  <c r="P293" i="6"/>
  <c r="Q293" i="6"/>
  <c r="R293" i="6"/>
  <c r="S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AJ293" i="6"/>
  <c r="AK293" i="6"/>
  <c r="AL293" i="6"/>
  <c r="AM293" i="6"/>
  <c r="AN293" i="6"/>
  <c r="AO293" i="6"/>
  <c r="AP293" i="6"/>
  <c r="AQ293" i="6"/>
  <c r="B294" i="6"/>
  <c r="C294" i="6"/>
  <c r="D294" i="6"/>
  <c r="E294" i="6"/>
  <c r="F294" i="6"/>
  <c r="G294" i="6"/>
  <c r="H294" i="6"/>
  <c r="I294" i="6"/>
  <c r="J294" i="6"/>
  <c r="K294" i="6"/>
  <c r="L294" i="6"/>
  <c r="M294" i="6"/>
  <c r="N294" i="6"/>
  <c r="O294" i="6"/>
  <c r="P294" i="6"/>
  <c r="Q294" i="6"/>
  <c r="R294" i="6"/>
  <c r="S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AJ294" i="6"/>
  <c r="AK294" i="6"/>
  <c r="AL294" i="6"/>
  <c r="AM294" i="6"/>
  <c r="AN294" i="6"/>
  <c r="AO294" i="6"/>
  <c r="AP294" i="6"/>
  <c r="AQ294" i="6"/>
  <c r="B295" i="6"/>
  <c r="C295" i="6"/>
  <c r="D295" i="6"/>
  <c r="E295" i="6"/>
  <c r="F295" i="6"/>
  <c r="G295" i="6"/>
  <c r="H295" i="6"/>
  <c r="I295" i="6"/>
  <c r="J295" i="6"/>
  <c r="K295" i="6"/>
  <c r="L295" i="6"/>
  <c r="M295" i="6"/>
  <c r="N295" i="6"/>
  <c r="O295" i="6"/>
  <c r="P295" i="6"/>
  <c r="Q295" i="6"/>
  <c r="R295" i="6"/>
  <c r="S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AJ295" i="6"/>
  <c r="AK295" i="6"/>
  <c r="AL295" i="6"/>
  <c r="AM295" i="6"/>
  <c r="AN295" i="6"/>
  <c r="AO295" i="6"/>
  <c r="AP295" i="6"/>
  <c r="AQ295" i="6"/>
  <c r="B296" i="6"/>
  <c r="C296" i="6"/>
  <c r="D296" i="6"/>
  <c r="E296" i="6"/>
  <c r="F296" i="6"/>
  <c r="G296" i="6"/>
  <c r="H296" i="6"/>
  <c r="I296" i="6"/>
  <c r="J296" i="6"/>
  <c r="K296" i="6"/>
  <c r="L296" i="6"/>
  <c r="M296" i="6"/>
  <c r="N296" i="6"/>
  <c r="O296" i="6"/>
  <c r="P296" i="6"/>
  <c r="Q296" i="6"/>
  <c r="R296" i="6"/>
  <c r="S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AJ296" i="6"/>
  <c r="AK296" i="6"/>
  <c r="AL296" i="6"/>
  <c r="AM296" i="6"/>
  <c r="AN296" i="6"/>
  <c r="AO296" i="6"/>
  <c r="AP296" i="6"/>
  <c r="AQ296" i="6"/>
  <c r="B297" i="6"/>
  <c r="C297" i="6"/>
  <c r="D297" i="6"/>
  <c r="E297" i="6"/>
  <c r="F297" i="6"/>
  <c r="G297" i="6"/>
  <c r="H297" i="6"/>
  <c r="I297" i="6"/>
  <c r="J297" i="6"/>
  <c r="K297" i="6"/>
  <c r="L297" i="6"/>
  <c r="M297" i="6"/>
  <c r="N297" i="6"/>
  <c r="O297" i="6"/>
  <c r="P297" i="6"/>
  <c r="Q297" i="6"/>
  <c r="R297" i="6"/>
  <c r="S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AJ297" i="6"/>
  <c r="AK297" i="6"/>
  <c r="AL297" i="6"/>
  <c r="AM297" i="6"/>
  <c r="AN297" i="6"/>
  <c r="AO297" i="6"/>
  <c r="AP297" i="6"/>
  <c r="AQ297" i="6"/>
  <c r="B298" i="6"/>
  <c r="C298" i="6"/>
  <c r="D298" i="6"/>
  <c r="E298" i="6"/>
  <c r="F298" i="6"/>
  <c r="G298" i="6"/>
  <c r="H298" i="6"/>
  <c r="I298" i="6"/>
  <c r="J298" i="6"/>
  <c r="K298" i="6"/>
  <c r="L298" i="6"/>
  <c r="M298" i="6"/>
  <c r="N298" i="6"/>
  <c r="O298" i="6"/>
  <c r="P298" i="6"/>
  <c r="Q298" i="6"/>
  <c r="R298" i="6"/>
  <c r="S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AJ298" i="6"/>
  <c r="AK298" i="6"/>
  <c r="AL298" i="6"/>
  <c r="AM298" i="6"/>
  <c r="AN298" i="6"/>
  <c r="AO298" i="6"/>
  <c r="AP298" i="6"/>
  <c r="AQ298" i="6"/>
  <c r="B299" i="6"/>
  <c r="C299" i="6"/>
  <c r="D299" i="6"/>
  <c r="E299" i="6"/>
  <c r="F299" i="6"/>
  <c r="G299" i="6"/>
  <c r="H299" i="6"/>
  <c r="I299" i="6"/>
  <c r="J299" i="6"/>
  <c r="K299" i="6"/>
  <c r="L299" i="6"/>
  <c r="M299" i="6"/>
  <c r="N299" i="6"/>
  <c r="O299" i="6"/>
  <c r="P299" i="6"/>
  <c r="Q299" i="6"/>
  <c r="R299" i="6"/>
  <c r="S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AJ299" i="6"/>
  <c r="AK299" i="6"/>
  <c r="AL299" i="6"/>
  <c r="AM299" i="6"/>
  <c r="AN299" i="6"/>
  <c r="AO299" i="6"/>
  <c r="AP299" i="6"/>
  <c r="AQ299" i="6"/>
  <c r="B300" i="6"/>
  <c r="C300" i="6"/>
  <c r="D300" i="6"/>
  <c r="E300" i="6"/>
  <c r="F300" i="6"/>
  <c r="G300" i="6"/>
  <c r="H300" i="6"/>
  <c r="I300" i="6"/>
  <c r="J300" i="6"/>
  <c r="K300" i="6"/>
  <c r="L300" i="6"/>
  <c r="M300" i="6"/>
  <c r="N300" i="6"/>
  <c r="O300" i="6"/>
  <c r="P300" i="6"/>
  <c r="Q300" i="6"/>
  <c r="R300" i="6"/>
  <c r="S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AJ300" i="6"/>
  <c r="AK300" i="6"/>
  <c r="AL300" i="6"/>
  <c r="AM300" i="6"/>
  <c r="AN300" i="6"/>
  <c r="AO300" i="6"/>
  <c r="AP300" i="6"/>
  <c r="AQ300" i="6"/>
  <c r="B301" i="6"/>
  <c r="C301" i="6"/>
  <c r="D301" i="6"/>
  <c r="E301" i="6"/>
  <c r="F301" i="6"/>
  <c r="G301" i="6"/>
  <c r="H301" i="6"/>
  <c r="I301" i="6"/>
  <c r="J301" i="6"/>
  <c r="K301" i="6"/>
  <c r="L301" i="6"/>
  <c r="M301" i="6"/>
  <c r="N301" i="6"/>
  <c r="O301" i="6"/>
  <c r="P301" i="6"/>
  <c r="Q301" i="6"/>
  <c r="R301" i="6"/>
  <c r="S301" i="6"/>
  <c r="T301" i="6"/>
  <c r="U301" i="6"/>
  <c r="V301" i="6"/>
  <c r="W301" i="6"/>
  <c r="X301" i="6"/>
  <c r="Y301" i="6"/>
  <c r="Z301" i="6"/>
  <c r="AA301" i="6"/>
  <c r="AB301" i="6"/>
  <c r="AC301" i="6"/>
  <c r="AD301" i="6"/>
  <c r="AE301" i="6"/>
  <c r="AF301" i="6"/>
  <c r="AG301" i="6"/>
  <c r="AH301" i="6"/>
  <c r="AI301" i="6"/>
  <c r="AJ301" i="6"/>
  <c r="AK301" i="6"/>
  <c r="AL301" i="6"/>
  <c r="AM301" i="6"/>
  <c r="AN301" i="6"/>
  <c r="AO301" i="6"/>
  <c r="AP301" i="6"/>
  <c r="AQ301" i="6"/>
  <c r="B302" i="6"/>
  <c r="C302" i="6"/>
  <c r="D302" i="6"/>
  <c r="E302" i="6"/>
  <c r="F302" i="6"/>
  <c r="G302" i="6"/>
  <c r="H302" i="6"/>
  <c r="I302" i="6"/>
  <c r="J302" i="6"/>
  <c r="K302" i="6"/>
  <c r="L302" i="6"/>
  <c r="M302" i="6"/>
  <c r="N302" i="6"/>
  <c r="O302" i="6"/>
  <c r="P302" i="6"/>
  <c r="Q302" i="6"/>
  <c r="R302" i="6"/>
  <c r="S302" i="6"/>
  <c r="T302" i="6"/>
  <c r="U302" i="6"/>
  <c r="V302" i="6"/>
  <c r="W302" i="6"/>
  <c r="X302" i="6"/>
  <c r="Y302" i="6"/>
  <c r="Z302" i="6"/>
  <c r="AA302" i="6"/>
  <c r="AB302" i="6"/>
  <c r="AC302" i="6"/>
  <c r="AD302" i="6"/>
  <c r="AE302" i="6"/>
  <c r="AF302" i="6"/>
  <c r="AG302" i="6"/>
  <c r="AH302" i="6"/>
  <c r="AI302" i="6"/>
  <c r="AJ302" i="6"/>
  <c r="AK302" i="6"/>
  <c r="AL302" i="6"/>
  <c r="AM302" i="6"/>
  <c r="AN302" i="6"/>
  <c r="AO302" i="6"/>
  <c r="AP302" i="6"/>
  <c r="AQ302" i="6"/>
  <c r="B303" i="6"/>
  <c r="C303" i="6"/>
  <c r="D303" i="6"/>
  <c r="E303" i="6"/>
  <c r="F303" i="6"/>
  <c r="G303" i="6"/>
  <c r="H303" i="6"/>
  <c r="I303" i="6"/>
  <c r="J303" i="6"/>
  <c r="K303" i="6"/>
  <c r="L303" i="6"/>
  <c r="M303" i="6"/>
  <c r="N303" i="6"/>
  <c r="O303" i="6"/>
  <c r="P303" i="6"/>
  <c r="Q303" i="6"/>
  <c r="R303" i="6"/>
  <c r="S303" i="6"/>
  <c r="T303" i="6"/>
  <c r="U303" i="6"/>
  <c r="V303" i="6"/>
  <c r="W303" i="6"/>
  <c r="X303" i="6"/>
  <c r="Y303" i="6"/>
  <c r="Z303" i="6"/>
  <c r="AA303" i="6"/>
  <c r="AB303" i="6"/>
  <c r="AC303" i="6"/>
  <c r="AD303" i="6"/>
  <c r="AE303" i="6"/>
  <c r="AF303" i="6"/>
  <c r="AG303" i="6"/>
  <c r="AH303" i="6"/>
  <c r="AI303" i="6"/>
  <c r="AJ303" i="6"/>
  <c r="AK303" i="6"/>
  <c r="AL303" i="6"/>
  <c r="AM303" i="6"/>
  <c r="AN303" i="6"/>
  <c r="AO303" i="6"/>
  <c r="AP303" i="6"/>
  <c r="AQ303" i="6"/>
  <c r="B304" i="6"/>
  <c r="C304" i="6"/>
  <c r="D304" i="6"/>
  <c r="E304" i="6"/>
  <c r="F304" i="6"/>
  <c r="G304" i="6"/>
  <c r="H304" i="6"/>
  <c r="I304" i="6"/>
  <c r="J304" i="6"/>
  <c r="K304" i="6"/>
  <c r="L304" i="6"/>
  <c r="M304" i="6"/>
  <c r="N304" i="6"/>
  <c r="O304" i="6"/>
  <c r="P304" i="6"/>
  <c r="Q304" i="6"/>
  <c r="R304" i="6"/>
  <c r="S304" i="6"/>
  <c r="T304" i="6"/>
  <c r="U304" i="6"/>
  <c r="V304" i="6"/>
  <c r="W304" i="6"/>
  <c r="X304" i="6"/>
  <c r="Y304" i="6"/>
  <c r="Z304" i="6"/>
  <c r="AA304" i="6"/>
  <c r="AB304" i="6"/>
  <c r="AC304" i="6"/>
  <c r="AD304" i="6"/>
  <c r="AE304" i="6"/>
  <c r="AF304" i="6"/>
  <c r="AG304" i="6"/>
  <c r="AH304" i="6"/>
  <c r="AI304" i="6"/>
  <c r="AJ304" i="6"/>
  <c r="AK304" i="6"/>
  <c r="AL304" i="6"/>
  <c r="AM304" i="6"/>
  <c r="AN304" i="6"/>
  <c r="AO304" i="6"/>
  <c r="AP304" i="6"/>
  <c r="AQ304" i="6"/>
  <c r="B305" i="6"/>
  <c r="C305" i="6"/>
  <c r="D305" i="6"/>
  <c r="E305" i="6"/>
  <c r="F305" i="6"/>
  <c r="G305" i="6"/>
  <c r="H305" i="6"/>
  <c r="I305" i="6"/>
  <c r="J305" i="6"/>
  <c r="K305" i="6"/>
  <c r="L305" i="6"/>
  <c r="M305" i="6"/>
  <c r="N305" i="6"/>
  <c r="O305" i="6"/>
  <c r="P305" i="6"/>
  <c r="Q305" i="6"/>
  <c r="R305" i="6"/>
  <c r="S305" i="6"/>
  <c r="T305" i="6"/>
  <c r="U305" i="6"/>
  <c r="V305" i="6"/>
  <c r="W305" i="6"/>
  <c r="X305" i="6"/>
  <c r="Y305" i="6"/>
  <c r="Z305" i="6"/>
  <c r="AA305" i="6"/>
  <c r="AB305" i="6"/>
  <c r="AC305" i="6"/>
  <c r="AD305" i="6"/>
  <c r="AE305" i="6"/>
  <c r="AF305" i="6"/>
  <c r="AG305" i="6"/>
  <c r="AH305" i="6"/>
  <c r="AI305" i="6"/>
  <c r="AJ305" i="6"/>
  <c r="AK305" i="6"/>
  <c r="AL305" i="6"/>
  <c r="AM305" i="6"/>
  <c r="AN305" i="6"/>
  <c r="AO305" i="6"/>
  <c r="AP305" i="6"/>
  <c r="AQ305" i="6"/>
  <c r="B306" i="6"/>
  <c r="C306" i="6"/>
  <c r="D306" i="6"/>
  <c r="E306" i="6"/>
  <c r="F306" i="6"/>
  <c r="G306" i="6"/>
  <c r="H306" i="6"/>
  <c r="I306" i="6"/>
  <c r="J306" i="6"/>
  <c r="K306" i="6"/>
  <c r="L306" i="6"/>
  <c r="M306" i="6"/>
  <c r="N306" i="6"/>
  <c r="O306" i="6"/>
  <c r="P306" i="6"/>
  <c r="Q306" i="6"/>
  <c r="R306" i="6"/>
  <c r="S306" i="6"/>
  <c r="T306" i="6"/>
  <c r="U306" i="6"/>
  <c r="V306" i="6"/>
  <c r="W306" i="6"/>
  <c r="X306" i="6"/>
  <c r="Y306" i="6"/>
  <c r="Z306" i="6"/>
  <c r="AA306" i="6"/>
  <c r="AB306" i="6"/>
  <c r="AC306" i="6"/>
  <c r="AD306" i="6"/>
  <c r="AE306" i="6"/>
  <c r="AF306" i="6"/>
  <c r="AG306" i="6"/>
  <c r="AH306" i="6"/>
  <c r="AI306" i="6"/>
  <c r="AJ306" i="6"/>
  <c r="AK306" i="6"/>
  <c r="AL306" i="6"/>
  <c r="AM306" i="6"/>
  <c r="AN306" i="6"/>
  <c r="AO306" i="6"/>
  <c r="AP306" i="6"/>
  <c r="AQ306" i="6"/>
  <c r="B307" i="6"/>
  <c r="C307" i="6"/>
  <c r="D307" i="6"/>
  <c r="E307" i="6"/>
  <c r="F307" i="6"/>
  <c r="G307" i="6"/>
  <c r="H307" i="6"/>
  <c r="I307" i="6"/>
  <c r="J307" i="6"/>
  <c r="K307" i="6"/>
  <c r="L307" i="6"/>
  <c r="M307" i="6"/>
  <c r="N307" i="6"/>
  <c r="O307" i="6"/>
  <c r="P307" i="6"/>
  <c r="Q307" i="6"/>
  <c r="R307" i="6"/>
  <c r="S307" i="6"/>
  <c r="T307" i="6"/>
  <c r="U307" i="6"/>
  <c r="V307" i="6"/>
  <c r="W307" i="6"/>
  <c r="X307" i="6"/>
  <c r="Y307" i="6"/>
  <c r="Z307" i="6"/>
  <c r="AA307" i="6"/>
  <c r="AB307" i="6"/>
  <c r="AC307" i="6"/>
  <c r="AD307" i="6"/>
  <c r="AE307" i="6"/>
  <c r="AF307" i="6"/>
  <c r="AG307" i="6"/>
  <c r="AH307" i="6"/>
  <c r="AI307" i="6"/>
  <c r="AJ307" i="6"/>
  <c r="AK307" i="6"/>
  <c r="AL307" i="6"/>
  <c r="AM307" i="6"/>
  <c r="AN307" i="6"/>
  <c r="AO307" i="6"/>
  <c r="AP307" i="6"/>
  <c r="AQ307" i="6"/>
  <c r="B308" i="6"/>
  <c r="C308" i="6"/>
  <c r="D308" i="6"/>
  <c r="E308" i="6"/>
  <c r="F308" i="6"/>
  <c r="G308" i="6"/>
  <c r="H308" i="6"/>
  <c r="I308" i="6"/>
  <c r="J308" i="6"/>
  <c r="K308" i="6"/>
  <c r="L308" i="6"/>
  <c r="M308" i="6"/>
  <c r="N308" i="6"/>
  <c r="O308" i="6"/>
  <c r="P308" i="6"/>
  <c r="Q308" i="6"/>
  <c r="R308" i="6"/>
  <c r="S308" i="6"/>
  <c r="T308" i="6"/>
  <c r="U308" i="6"/>
  <c r="V308" i="6"/>
  <c r="W308" i="6"/>
  <c r="X308" i="6"/>
  <c r="Y308" i="6"/>
  <c r="Z308" i="6"/>
  <c r="AA308" i="6"/>
  <c r="AB308" i="6"/>
  <c r="AC308" i="6"/>
  <c r="AD308" i="6"/>
  <c r="AE308" i="6"/>
  <c r="AF308" i="6"/>
  <c r="AG308" i="6"/>
  <c r="AH308" i="6"/>
  <c r="AI308" i="6"/>
  <c r="AJ308" i="6"/>
  <c r="AK308" i="6"/>
  <c r="AL308" i="6"/>
  <c r="AM308" i="6"/>
  <c r="AN308" i="6"/>
  <c r="AO308" i="6"/>
  <c r="AP308" i="6"/>
  <c r="AQ308" i="6"/>
  <c r="B309" i="6"/>
  <c r="C309" i="6"/>
  <c r="D309" i="6"/>
  <c r="E309" i="6"/>
  <c r="F309" i="6"/>
  <c r="G309" i="6"/>
  <c r="H309" i="6"/>
  <c r="I309" i="6"/>
  <c r="J309" i="6"/>
  <c r="K309" i="6"/>
  <c r="L309" i="6"/>
  <c r="M309" i="6"/>
  <c r="N309" i="6"/>
  <c r="O309" i="6"/>
  <c r="P309" i="6"/>
  <c r="Q309" i="6"/>
  <c r="R309" i="6"/>
  <c r="S309" i="6"/>
  <c r="T309" i="6"/>
  <c r="U309" i="6"/>
  <c r="V309" i="6"/>
  <c r="W309" i="6"/>
  <c r="X309" i="6"/>
  <c r="Y309" i="6"/>
  <c r="Z309" i="6"/>
  <c r="AA309" i="6"/>
  <c r="AB309" i="6"/>
  <c r="AC309" i="6"/>
  <c r="AD309" i="6"/>
  <c r="AE309" i="6"/>
  <c r="AF309" i="6"/>
  <c r="AG309" i="6"/>
  <c r="AH309" i="6"/>
  <c r="AI309" i="6"/>
  <c r="AJ309" i="6"/>
  <c r="AK309" i="6"/>
  <c r="AL309" i="6"/>
  <c r="AM309" i="6"/>
  <c r="AN309" i="6"/>
  <c r="AO309" i="6"/>
  <c r="AP309" i="6"/>
  <c r="AQ309" i="6"/>
  <c r="B310" i="6"/>
  <c r="C310" i="6"/>
  <c r="D310" i="6"/>
  <c r="E310" i="6"/>
  <c r="F310" i="6"/>
  <c r="G310" i="6"/>
  <c r="H310" i="6"/>
  <c r="I310" i="6"/>
  <c r="J310" i="6"/>
  <c r="K310" i="6"/>
  <c r="L310" i="6"/>
  <c r="M310" i="6"/>
  <c r="N310" i="6"/>
  <c r="O310" i="6"/>
  <c r="P310" i="6"/>
  <c r="Q310" i="6"/>
  <c r="R310" i="6"/>
  <c r="S310" i="6"/>
  <c r="T310" i="6"/>
  <c r="U310" i="6"/>
  <c r="V310" i="6"/>
  <c r="W310" i="6"/>
  <c r="X310" i="6"/>
  <c r="Y310" i="6"/>
  <c r="Z310" i="6"/>
  <c r="AA310" i="6"/>
  <c r="AB310" i="6"/>
  <c r="AC310" i="6"/>
  <c r="AD310" i="6"/>
  <c r="AE310" i="6"/>
  <c r="AF310" i="6"/>
  <c r="AG310" i="6"/>
  <c r="AH310" i="6"/>
  <c r="AI310" i="6"/>
  <c r="AJ310" i="6"/>
  <c r="AK310" i="6"/>
  <c r="AL310" i="6"/>
  <c r="AM310" i="6"/>
  <c r="AN310" i="6"/>
  <c r="AO310" i="6"/>
  <c r="AP310" i="6"/>
  <c r="AQ310" i="6"/>
  <c r="B311" i="6"/>
  <c r="C311" i="6"/>
  <c r="D311" i="6"/>
  <c r="E311" i="6"/>
  <c r="F311" i="6"/>
  <c r="G311" i="6"/>
  <c r="H311" i="6"/>
  <c r="I311" i="6"/>
  <c r="J311" i="6"/>
  <c r="K311" i="6"/>
  <c r="L311" i="6"/>
  <c r="M311" i="6"/>
  <c r="N311" i="6"/>
  <c r="O311" i="6"/>
  <c r="P311" i="6"/>
  <c r="Q311" i="6"/>
  <c r="R311" i="6"/>
  <c r="S311" i="6"/>
  <c r="T311" i="6"/>
  <c r="U311" i="6"/>
  <c r="V311" i="6"/>
  <c r="W311" i="6"/>
  <c r="X311" i="6"/>
  <c r="Y311" i="6"/>
  <c r="Z311" i="6"/>
  <c r="AA311" i="6"/>
  <c r="AB311" i="6"/>
  <c r="AC311" i="6"/>
  <c r="AD311" i="6"/>
  <c r="AE311" i="6"/>
  <c r="AF311" i="6"/>
  <c r="AG311" i="6"/>
  <c r="AH311" i="6"/>
  <c r="AI311" i="6"/>
  <c r="AJ311" i="6"/>
  <c r="AK311" i="6"/>
  <c r="AL311" i="6"/>
  <c r="AM311" i="6"/>
  <c r="AN311" i="6"/>
  <c r="AO311" i="6"/>
  <c r="AP311" i="6"/>
  <c r="AQ311" i="6"/>
  <c r="B312" i="6"/>
  <c r="C312" i="6"/>
  <c r="D312" i="6"/>
  <c r="E312" i="6"/>
  <c r="F312" i="6"/>
  <c r="G312" i="6"/>
  <c r="H312" i="6"/>
  <c r="I312" i="6"/>
  <c r="J312" i="6"/>
  <c r="K312" i="6"/>
  <c r="L312" i="6"/>
  <c r="M312" i="6"/>
  <c r="N312" i="6"/>
  <c r="O312" i="6"/>
  <c r="P312" i="6"/>
  <c r="Q312" i="6"/>
  <c r="R312" i="6"/>
  <c r="S312" i="6"/>
  <c r="T312" i="6"/>
  <c r="U312" i="6"/>
  <c r="V312" i="6"/>
  <c r="W312" i="6"/>
  <c r="X312" i="6"/>
  <c r="Y312" i="6"/>
  <c r="Z312" i="6"/>
  <c r="AA312" i="6"/>
  <c r="AB312" i="6"/>
  <c r="AC312" i="6"/>
  <c r="AD312" i="6"/>
  <c r="AE312" i="6"/>
  <c r="AF312" i="6"/>
  <c r="AG312" i="6"/>
  <c r="AH312" i="6"/>
  <c r="AI312" i="6"/>
  <c r="AJ312" i="6"/>
  <c r="AK312" i="6"/>
  <c r="AL312" i="6"/>
  <c r="AM312" i="6"/>
  <c r="AN312" i="6"/>
  <c r="AO312" i="6"/>
  <c r="AP312" i="6"/>
  <c r="AQ312" i="6"/>
  <c r="B313" i="6"/>
  <c r="C313" i="6"/>
  <c r="D313" i="6"/>
  <c r="E313" i="6"/>
  <c r="F313" i="6"/>
  <c r="G313" i="6"/>
  <c r="H313" i="6"/>
  <c r="I313" i="6"/>
  <c r="J313" i="6"/>
  <c r="K313" i="6"/>
  <c r="L313" i="6"/>
  <c r="M313" i="6"/>
  <c r="N313" i="6"/>
  <c r="O313" i="6"/>
  <c r="P313" i="6"/>
  <c r="Q313" i="6"/>
  <c r="R313" i="6"/>
  <c r="S313" i="6"/>
  <c r="T313" i="6"/>
  <c r="U313" i="6"/>
  <c r="V313" i="6"/>
  <c r="W313" i="6"/>
  <c r="X313" i="6"/>
  <c r="Y313" i="6"/>
  <c r="Z313" i="6"/>
  <c r="AA313" i="6"/>
  <c r="AB313" i="6"/>
  <c r="AC313" i="6"/>
  <c r="AD313" i="6"/>
  <c r="AE313" i="6"/>
  <c r="AF313" i="6"/>
  <c r="AG313" i="6"/>
  <c r="AH313" i="6"/>
  <c r="AI313" i="6"/>
  <c r="AJ313" i="6"/>
  <c r="AK313" i="6"/>
  <c r="AL313" i="6"/>
  <c r="AM313" i="6"/>
  <c r="AN313" i="6"/>
  <c r="AO313" i="6"/>
  <c r="AP313" i="6"/>
  <c r="AQ313" i="6"/>
  <c r="B314" i="6"/>
  <c r="C314" i="6"/>
  <c r="D314" i="6"/>
  <c r="E314" i="6"/>
  <c r="F314" i="6"/>
  <c r="G314" i="6"/>
  <c r="H314" i="6"/>
  <c r="I314" i="6"/>
  <c r="J314" i="6"/>
  <c r="K314" i="6"/>
  <c r="L314" i="6"/>
  <c r="M314" i="6"/>
  <c r="N314" i="6"/>
  <c r="O314" i="6"/>
  <c r="P314" i="6"/>
  <c r="Q314" i="6"/>
  <c r="R314" i="6"/>
  <c r="S314" i="6"/>
  <c r="T314" i="6"/>
  <c r="U314" i="6"/>
  <c r="V314" i="6"/>
  <c r="W314" i="6"/>
  <c r="X314" i="6"/>
  <c r="Y314" i="6"/>
  <c r="Z314" i="6"/>
  <c r="AA314" i="6"/>
  <c r="AB314" i="6"/>
  <c r="AC314" i="6"/>
  <c r="AD314" i="6"/>
  <c r="AE314" i="6"/>
  <c r="AF314" i="6"/>
  <c r="AG314" i="6"/>
  <c r="AH314" i="6"/>
  <c r="AI314" i="6"/>
  <c r="AJ314" i="6"/>
  <c r="AK314" i="6"/>
  <c r="AL314" i="6"/>
  <c r="AM314" i="6"/>
  <c r="AN314" i="6"/>
  <c r="AO314" i="6"/>
  <c r="AP314" i="6"/>
  <c r="AQ314" i="6"/>
  <c r="B315" i="6"/>
  <c r="C315" i="6"/>
  <c r="D315" i="6"/>
  <c r="E315" i="6"/>
  <c r="F315" i="6"/>
  <c r="G315" i="6"/>
  <c r="H315" i="6"/>
  <c r="I315" i="6"/>
  <c r="J315" i="6"/>
  <c r="K315" i="6"/>
  <c r="L315" i="6"/>
  <c r="M315" i="6"/>
  <c r="N315" i="6"/>
  <c r="O315" i="6"/>
  <c r="P315" i="6"/>
  <c r="Q315" i="6"/>
  <c r="R315" i="6"/>
  <c r="S315" i="6"/>
  <c r="T315" i="6"/>
  <c r="U315" i="6"/>
  <c r="V315" i="6"/>
  <c r="W315" i="6"/>
  <c r="X315" i="6"/>
  <c r="Y315" i="6"/>
  <c r="Z315" i="6"/>
  <c r="AA315" i="6"/>
  <c r="AB315" i="6"/>
  <c r="AC315" i="6"/>
  <c r="AD315" i="6"/>
  <c r="AE315" i="6"/>
  <c r="AF315" i="6"/>
  <c r="AG315" i="6"/>
  <c r="AH315" i="6"/>
  <c r="AI315" i="6"/>
  <c r="AJ315" i="6"/>
  <c r="AK315" i="6"/>
  <c r="AL315" i="6"/>
  <c r="AM315" i="6"/>
  <c r="AN315" i="6"/>
  <c r="AO315" i="6"/>
  <c r="AP315" i="6"/>
  <c r="AQ315" i="6"/>
  <c r="B316" i="6"/>
  <c r="C316" i="6"/>
  <c r="D316" i="6"/>
  <c r="E316" i="6"/>
  <c r="F316" i="6"/>
  <c r="G316" i="6"/>
  <c r="H316" i="6"/>
  <c r="I316" i="6"/>
  <c r="J316" i="6"/>
  <c r="K316" i="6"/>
  <c r="L316" i="6"/>
  <c r="M316" i="6"/>
  <c r="N316" i="6"/>
  <c r="O316" i="6"/>
  <c r="P316" i="6"/>
  <c r="Q316" i="6"/>
  <c r="R316" i="6"/>
  <c r="S316" i="6"/>
  <c r="T316" i="6"/>
  <c r="U316" i="6"/>
  <c r="V316" i="6"/>
  <c r="W316" i="6"/>
  <c r="X316" i="6"/>
  <c r="Y316" i="6"/>
  <c r="Z316" i="6"/>
  <c r="AA316" i="6"/>
  <c r="AB316" i="6"/>
  <c r="AC316" i="6"/>
  <c r="AD316" i="6"/>
  <c r="AE316" i="6"/>
  <c r="AF316" i="6"/>
  <c r="AG316" i="6"/>
  <c r="AH316" i="6"/>
  <c r="AI316" i="6"/>
  <c r="AJ316" i="6"/>
  <c r="AK316" i="6"/>
  <c r="AL316" i="6"/>
  <c r="AM316" i="6"/>
  <c r="AN316" i="6"/>
  <c r="AO316" i="6"/>
  <c r="AP316" i="6"/>
  <c r="AQ316" i="6"/>
  <c r="B317" i="6"/>
  <c r="C317" i="6"/>
  <c r="D317" i="6"/>
  <c r="E317" i="6"/>
  <c r="F317" i="6"/>
  <c r="G317" i="6"/>
  <c r="H317" i="6"/>
  <c r="I317" i="6"/>
  <c r="J317" i="6"/>
  <c r="K317" i="6"/>
  <c r="L317" i="6"/>
  <c r="M317" i="6"/>
  <c r="N317" i="6"/>
  <c r="O317" i="6"/>
  <c r="P317" i="6"/>
  <c r="Q317" i="6"/>
  <c r="R317" i="6"/>
  <c r="S317" i="6"/>
  <c r="T317" i="6"/>
  <c r="U317" i="6"/>
  <c r="V317" i="6"/>
  <c r="W317" i="6"/>
  <c r="X317" i="6"/>
  <c r="Y317" i="6"/>
  <c r="Z317" i="6"/>
  <c r="AA317" i="6"/>
  <c r="AB317" i="6"/>
  <c r="AC317" i="6"/>
  <c r="AD317" i="6"/>
  <c r="AE317" i="6"/>
  <c r="AF317" i="6"/>
  <c r="AG317" i="6"/>
  <c r="AH317" i="6"/>
  <c r="AI317" i="6"/>
  <c r="AJ317" i="6"/>
  <c r="AK317" i="6"/>
  <c r="AL317" i="6"/>
  <c r="AM317" i="6"/>
  <c r="AN317" i="6"/>
  <c r="AO317" i="6"/>
  <c r="AP317" i="6"/>
  <c r="AQ317" i="6"/>
  <c r="B318" i="6"/>
  <c r="C318" i="6"/>
  <c r="D318" i="6"/>
  <c r="E318" i="6"/>
  <c r="F318" i="6"/>
  <c r="G318" i="6"/>
  <c r="H318" i="6"/>
  <c r="I318" i="6"/>
  <c r="J318" i="6"/>
  <c r="K318" i="6"/>
  <c r="L318" i="6"/>
  <c r="M318" i="6"/>
  <c r="N318" i="6"/>
  <c r="O318" i="6"/>
  <c r="P318" i="6"/>
  <c r="Q318" i="6"/>
  <c r="R318" i="6"/>
  <c r="S318" i="6"/>
  <c r="T318" i="6"/>
  <c r="U318" i="6"/>
  <c r="V318" i="6"/>
  <c r="W318" i="6"/>
  <c r="X318" i="6"/>
  <c r="Y318" i="6"/>
  <c r="Z318" i="6"/>
  <c r="AA318" i="6"/>
  <c r="AB318" i="6"/>
  <c r="AC318" i="6"/>
  <c r="AD318" i="6"/>
  <c r="AE318" i="6"/>
  <c r="AF318" i="6"/>
  <c r="AG318" i="6"/>
  <c r="AH318" i="6"/>
  <c r="AI318" i="6"/>
  <c r="AJ318" i="6"/>
  <c r="AK318" i="6"/>
  <c r="AL318" i="6"/>
  <c r="AM318" i="6"/>
  <c r="AN318" i="6"/>
  <c r="AO318" i="6"/>
  <c r="AP318" i="6"/>
  <c r="AQ318" i="6"/>
  <c r="B319" i="6"/>
  <c r="C319" i="6"/>
  <c r="D319" i="6"/>
  <c r="E319" i="6"/>
  <c r="F319" i="6"/>
  <c r="G319" i="6"/>
  <c r="H319" i="6"/>
  <c r="I319" i="6"/>
  <c r="J319" i="6"/>
  <c r="K319" i="6"/>
  <c r="L319" i="6"/>
  <c r="M319" i="6"/>
  <c r="N319" i="6"/>
  <c r="O319" i="6"/>
  <c r="P319" i="6"/>
  <c r="Q319" i="6"/>
  <c r="R319" i="6"/>
  <c r="S319" i="6"/>
  <c r="T319" i="6"/>
  <c r="U319" i="6"/>
  <c r="V319" i="6"/>
  <c r="W319" i="6"/>
  <c r="X319" i="6"/>
  <c r="Y319" i="6"/>
  <c r="Z319" i="6"/>
  <c r="AA319" i="6"/>
  <c r="AB319" i="6"/>
  <c r="AC319" i="6"/>
  <c r="AD319" i="6"/>
  <c r="AE319" i="6"/>
  <c r="AF319" i="6"/>
  <c r="AG319" i="6"/>
  <c r="AH319" i="6"/>
  <c r="AI319" i="6"/>
  <c r="AJ319" i="6"/>
  <c r="AK319" i="6"/>
  <c r="AL319" i="6"/>
  <c r="AM319" i="6"/>
  <c r="AN319" i="6"/>
  <c r="AO319" i="6"/>
  <c r="AP319" i="6"/>
  <c r="AQ319" i="6"/>
  <c r="B320" i="6"/>
  <c r="C320" i="6"/>
  <c r="D320" i="6"/>
  <c r="E320" i="6"/>
  <c r="F320" i="6"/>
  <c r="G320" i="6"/>
  <c r="H320" i="6"/>
  <c r="I320" i="6"/>
  <c r="J320" i="6"/>
  <c r="K320" i="6"/>
  <c r="L320" i="6"/>
  <c r="M320" i="6"/>
  <c r="N320" i="6"/>
  <c r="O320" i="6"/>
  <c r="P320" i="6"/>
  <c r="Q320" i="6"/>
  <c r="R320" i="6"/>
  <c r="S320" i="6"/>
  <c r="T320" i="6"/>
  <c r="U320" i="6"/>
  <c r="V320" i="6"/>
  <c r="W320" i="6"/>
  <c r="X320" i="6"/>
  <c r="Y320" i="6"/>
  <c r="Z320" i="6"/>
  <c r="AA320" i="6"/>
  <c r="AB320" i="6"/>
  <c r="AC320" i="6"/>
  <c r="AD320" i="6"/>
  <c r="AE320" i="6"/>
  <c r="AF320" i="6"/>
  <c r="AG320" i="6"/>
  <c r="AH320" i="6"/>
  <c r="AI320" i="6"/>
  <c r="AJ320" i="6"/>
  <c r="AK320" i="6"/>
  <c r="AL320" i="6"/>
  <c r="AM320" i="6"/>
  <c r="AN320" i="6"/>
  <c r="AO320" i="6"/>
  <c r="AP320" i="6"/>
  <c r="AQ320" i="6"/>
  <c r="B321" i="6"/>
  <c r="C321" i="6"/>
  <c r="D321" i="6"/>
  <c r="E321" i="6"/>
  <c r="F321" i="6"/>
  <c r="G321" i="6"/>
  <c r="H321" i="6"/>
  <c r="I321" i="6"/>
  <c r="J321" i="6"/>
  <c r="K321" i="6"/>
  <c r="L321" i="6"/>
  <c r="M321" i="6"/>
  <c r="N321" i="6"/>
  <c r="O321" i="6"/>
  <c r="P321" i="6"/>
  <c r="Q321" i="6"/>
  <c r="R321" i="6"/>
  <c r="S321" i="6"/>
  <c r="T321" i="6"/>
  <c r="U321" i="6"/>
  <c r="V321" i="6"/>
  <c r="W321" i="6"/>
  <c r="X321" i="6"/>
  <c r="Y321" i="6"/>
  <c r="Z321" i="6"/>
  <c r="AA321" i="6"/>
  <c r="AB321" i="6"/>
  <c r="AC321" i="6"/>
  <c r="AD321" i="6"/>
  <c r="AE321" i="6"/>
  <c r="AF321" i="6"/>
  <c r="AG321" i="6"/>
  <c r="AH321" i="6"/>
  <c r="AI321" i="6"/>
  <c r="AJ321" i="6"/>
  <c r="AK321" i="6"/>
  <c r="AL321" i="6"/>
  <c r="AM321" i="6"/>
  <c r="AN321" i="6"/>
  <c r="AO321" i="6"/>
  <c r="AP321" i="6"/>
  <c r="AQ321" i="6"/>
  <c r="B322" i="6"/>
  <c r="C322" i="6"/>
  <c r="D322" i="6"/>
  <c r="E322" i="6"/>
  <c r="F322" i="6"/>
  <c r="G322" i="6"/>
  <c r="H322" i="6"/>
  <c r="I322" i="6"/>
  <c r="J322" i="6"/>
  <c r="K322" i="6"/>
  <c r="L322" i="6"/>
  <c r="M322" i="6"/>
  <c r="N322" i="6"/>
  <c r="O322" i="6"/>
  <c r="P322" i="6"/>
  <c r="Q322" i="6"/>
  <c r="R322" i="6"/>
  <c r="S322" i="6"/>
  <c r="T322" i="6"/>
  <c r="U322" i="6"/>
  <c r="V322" i="6"/>
  <c r="W322" i="6"/>
  <c r="X322" i="6"/>
  <c r="Y322" i="6"/>
  <c r="Z322" i="6"/>
  <c r="AA322" i="6"/>
  <c r="AB322" i="6"/>
  <c r="AC322" i="6"/>
  <c r="AD322" i="6"/>
  <c r="AE322" i="6"/>
  <c r="AF322" i="6"/>
  <c r="AG322" i="6"/>
  <c r="AH322" i="6"/>
  <c r="AI322" i="6"/>
  <c r="AJ322" i="6"/>
  <c r="AK322" i="6"/>
  <c r="AL322" i="6"/>
  <c r="AM322" i="6"/>
  <c r="AN322" i="6"/>
  <c r="AO322" i="6"/>
  <c r="AP322" i="6"/>
  <c r="AQ322" i="6"/>
  <c r="B323" i="6"/>
  <c r="C323" i="6"/>
  <c r="D323" i="6"/>
  <c r="E323" i="6"/>
  <c r="F323" i="6"/>
  <c r="G323" i="6"/>
  <c r="H323" i="6"/>
  <c r="I323" i="6"/>
  <c r="J323" i="6"/>
  <c r="K323" i="6"/>
  <c r="L323" i="6"/>
  <c r="M323" i="6"/>
  <c r="N323" i="6"/>
  <c r="O323" i="6"/>
  <c r="P323" i="6"/>
  <c r="Q323" i="6"/>
  <c r="R323" i="6"/>
  <c r="S323" i="6"/>
  <c r="T323" i="6"/>
  <c r="U323" i="6"/>
  <c r="V323" i="6"/>
  <c r="W323" i="6"/>
  <c r="X323" i="6"/>
  <c r="Y323" i="6"/>
  <c r="Z323" i="6"/>
  <c r="AA323" i="6"/>
  <c r="AB323" i="6"/>
  <c r="AC323" i="6"/>
  <c r="AD323" i="6"/>
  <c r="AE323" i="6"/>
  <c r="AF323" i="6"/>
  <c r="AG323" i="6"/>
  <c r="AH323" i="6"/>
  <c r="AI323" i="6"/>
  <c r="AJ323" i="6"/>
  <c r="AK323" i="6"/>
  <c r="AL323" i="6"/>
  <c r="AM323" i="6"/>
  <c r="AN323" i="6"/>
  <c r="AO323" i="6"/>
  <c r="AP323" i="6"/>
  <c r="AQ323" i="6"/>
  <c r="B324" i="6"/>
  <c r="C324" i="6"/>
  <c r="D324" i="6"/>
  <c r="E324" i="6"/>
  <c r="F324" i="6"/>
  <c r="G324" i="6"/>
  <c r="H324" i="6"/>
  <c r="I324" i="6"/>
  <c r="J324" i="6"/>
  <c r="K324" i="6"/>
  <c r="L324" i="6"/>
  <c r="M324" i="6"/>
  <c r="N324" i="6"/>
  <c r="O324" i="6"/>
  <c r="P324" i="6"/>
  <c r="Q324" i="6"/>
  <c r="R324" i="6"/>
  <c r="S324" i="6"/>
  <c r="T324" i="6"/>
  <c r="U324" i="6"/>
  <c r="V324" i="6"/>
  <c r="W324" i="6"/>
  <c r="X324" i="6"/>
  <c r="Y324" i="6"/>
  <c r="Z324" i="6"/>
  <c r="AA324" i="6"/>
  <c r="AB324" i="6"/>
  <c r="AC324" i="6"/>
  <c r="AD324" i="6"/>
  <c r="AE324" i="6"/>
  <c r="AF324" i="6"/>
  <c r="AG324" i="6"/>
  <c r="AH324" i="6"/>
  <c r="AI324" i="6"/>
  <c r="AJ324" i="6"/>
  <c r="AK324" i="6"/>
  <c r="AL324" i="6"/>
  <c r="AM324" i="6"/>
  <c r="AN324" i="6"/>
  <c r="AO324" i="6"/>
  <c r="AP324" i="6"/>
  <c r="AQ324" i="6"/>
  <c r="B325" i="6"/>
  <c r="C325" i="6"/>
  <c r="D325" i="6"/>
  <c r="E325" i="6"/>
  <c r="F325" i="6"/>
  <c r="G325" i="6"/>
  <c r="H325" i="6"/>
  <c r="I325" i="6"/>
  <c r="J325" i="6"/>
  <c r="K325" i="6"/>
  <c r="L325" i="6"/>
  <c r="M325" i="6"/>
  <c r="N325" i="6"/>
  <c r="O325" i="6"/>
  <c r="P325" i="6"/>
  <c r="Q325" i="6"/>
  <c r="R325" i="6"/>
  <c r="S325" i="6"/>
  <c r="T325" i="6"/>
  <c r="U325" i="6"/>
  <c r="V325" i="6"/>
  <c r="W325" i="6"/>
  <c r="X325" i="6"/>
  <c r="Y325" i="6"/>
  <c r="Z325" i="6"/>
  <c r="AA325" i="6"/>
  <c r="AB325" i="6"/>
  <c r="AC325" i="6"/>
  <c r="AD325" i="6"/>
  <c r="AE325" i="6"/>
  <c r="AF325" i="6"/>
  <c r="AG325" i="6"/>
  <c r="AH325" i="6"/>
  <c r="AI325" i="6"/>
  <c r="AJ325" i="6"/>
  <c r="AK325" i="6"/>
  <c r="AL325" i="6"/>
  <c r="AM325" i="6"/>
  <c r="AN325" i="6"/>
  <c r="AO325" i="6"/>
  <c r="AP325" i="6"/>
  <c r="AQ325" i="6"/>
  <c r="B326" i="6"/>
  <c r="C326" i="6"/>
  <c r="D326" i="6"/>
  <c r="E326" i="6"/>
  <c r="F326" i="6"/>
  <c r="G326" i="6"/>
  <c r="H326" i="6"/>
  <c r="I326" i="6"/>
  <c r="J326" i="6"/>
  <c r="K326" i="6"/>
  <c r="L326" i="6"/>
  <c r="M326" i="6"/>
  <c r="N326" i="6"/>
  <c r="O326" i="6"/>
  <c r="P326" i="6"/>
  <c r="Q326" i="6"/>
  <c r="R326" i="6"/>
  <c r="S326" i="6"/>
  <c r="T326" i="6"/>
  <c r="U326" i="6"/>
  <c r="V326" i="6"/>
  <c r="W326" i="6"/>
  <c r="X326" i="6"/>
  <c r="Y326" i="6"/>
  <c r="Z326" i="6"/>
  <c r="AA326" i="6"/>
  <c r="AB326" i="6"/>
  <c r="AC326" i="6"/>
  <c r="AD326" i="6"/>
  <c r="AE326" i="6"/>
  <c r="AF326" i="6"/>
  <c r="AG326" i="6"/>
  <c r="AH326" i="6"/>
  <c r="AI326" i="6"/>
  <c r="AJ326" i="6"/>
  <c r="AK326" i="6"/>
  <c r="AL326" i="6"/>
  <c r="AM326" i="6"/>
  <c r="AN326" i="6"/>
  <c r="AO326" i="6"/>
  <c r="AP326" i="6"/>
  <c r="AQ326" i="6"/>
  <c r="B327" i="6"/>
  <c r="C327" i="6"/>
  <c r="D327" i="6"/>
  <c r="E327" i="6"/>
  <c r="F327" i="6"/>
  <c r="G327" i="6"/>
  <c r="H327" i="6"/>
  <c r="I327" i="6"/>
  <c r="J327" i="6"/>
  <c r="K327" i="6"/>
  <c r="L327" i="6"/>
  <c r="M327" i="6"/>
  <c r="N327" i="6"/>
  <c r="O327" i="6"/>
  <c r="P327" i="6"/>
  <c r="Q327" i="6"/>
  <c r="R327" i="6"/>
  <c r="S327" i="6"/>
  <c r="T327" i="6"/>
  <c r="U327" i="6"/>
  <c r="V327" i="6"/>
  <c r="W327" i="6"/>
  <c r="X327" i="6"/>
  <c r="Y327" i="6"/>
  <c r="Z327" i="6"/>
  <c r="AA327" i="6"/>
  <c r="AB327" i="6"/>
  <c r="AC327" i="6"/>
  <c r="AD327" i="6"/>
  <c r="AE327" i="6"/>
  <c r="AF327" i="6"/>
  <c r="AG327" i="6"/>
  <c r="AH327" i="6"/>
  <c r="AI327" i="6"/>
  <c r="AJ327" i="6"/>
  <c r="AK327" i="6"/>
  <c r="AL327" i="6"/>
  <c r="AM327" i="6"/>
  <c r="AN327" i="6"/>
  <c r="AO327" i="6"/>
  <c r="AP327" i="6"/>
  <c r="AQ327" i="6"/>
  <c r="B328" i="6"/>
  <c r="C328" i="6"/>
  <c r="D328" i="6"/>
  <c r="E328" i="6"/>
  <c r="F328" i="6"/>
  <c r="G328" i="6"/>
  <c r="H328" i="6"/>
  <c r="I328" i="6"/>
  <c r="J328" i="6"/>
  <c r="K328" i="6"/>
  <c r="L328" i="6"/>
  <c r="M328" i="6"/>
  <c r="N328" i="6"/>
  <c r="O328" i="6"/>
  <c r="P328" i="6"/>
  <c r="Q328" i="6"/>
  <c r="R328" i="6"/>
  <c r="S328" i="6"/>
  <c r="T328" i="6"/>
  <c r="U328" i="6"/>
  <c r="V328" i="6"/>
  <c r="W328" i="6"/>
  <c r="X328" i="6"/>
  <c r="Y328" i="6"/>
  <c r="Z328" i="6"/>
  <c r="AA328" i="6"/>
  <c r="AB328" i="6"/>
  <c r="AC328" i="6"/>
  <c r="AD328" i="6"/>
  <c r="AE328" i="6"/>
  <c r="AF328" i="6"/>
  <c r="AG328" i="6"/>
  <c r="AH328" i="6"/>
  <c r="AI328" i="6"/>
  <c r="AJ328" i="6"/>
  <c r="AK328" i="6"/>
  <c r="AL328" i="6"/>
  <c r="AM328" i="6"/>
  <c r="AN328" i="6"/>
  <c r="AO328" i="6"/>
  <c r="AP328" i="6"/>
  <c r="AQ328" i="6"/>
  <c r="B329" i="6"/>
  <c r="C329" i="6"/>
  <c r="D329" i="6"/>
  <c r="E329" i="6"/>
  <c r="F329" i="6"/>
  <c r="G329" i="6"/>
  <c r="H329" i="6"/>
  <c r="I329" i="6"/>
  <c r="J329" i="6"/>
  <c r="K329" i="6"/>
  <c r="L329" i="6"/>
  <c r="M329" i="6"/>
  <c r="N329" i="6"/>
  <c r="O329" i="6"/>
  <c r="P329" i="6"/>
  <c r="Q329" i="6"/>
  <c r="R329" i="6"/>
  <c r="S329" i="6"/>
  <c r="T329" i="6"/>
  <c r="U329" i="6"/>
  <c r="V329" i="6"/>
  <c r="W329" i="6"/>
  <c r="X329" i="6"/>
  <c r="Y329" i="6"/>
  <c r="Z329" i="6"/>
  <c r="AA329" i="6"/>
  <c r="AB329" i="6"/>
  <c r="AC329" i="6"/>
  <c r="AD329" i="6"/>
  <c r="AE329" i="6"/>
  <c r="AF329" i="6"/>
  <c r="AG329" i="6"/>
  <c r="AH329" i="6"/>
  <c r="AI329" i="6"/>
  <c r="AJ329" i="6"/>
  <c r="AK329" i="6"/>
  <c r="AL329" i="6"/>
  <c r="AM329" i="6"/>
  <c r="AN329" i="6"/>
  <c r="AO329" i="6"/>
  <c r="AP329" i="6"/>
  <c r="AQ329" i="6"/>
  <c r="B330" i="6"/>
  <c r="C330" i="6"/>
  <c r="D330" i="6"/>
  <c r="E330" i="6"/>
  <c r="F330" i="6"/>
  <c r="G330" i="6"/>
  <c r="H330" i="6"/>
  <c r="I330" i="6"/>
  <c r="J330" i="6"/>
  <c r="K330" i="6"/>
  <c r="L330" i="6"/>
  <c r="M330" i="6"/>
  <c r="N330" i="6"/>
  <c r="O330" i="6"/>
  <c r="P330" i="6"/>
  <c r="Q330" i="6"/>
  <c r="R330" i="6"/>
  <c r="S330" i="6"/>
  <c r="T330" i="6"/>
  <c r="U330" i="6"/>
  <c r="V330" i="6"/>
  <c r="W330" i="6"/>
  <c r="X330" i="6"/>
  <c r="Y330" i="6"/>
  <c r="Z330" i="6"/>
  <c r="AA330" i="6"/>
  <c r="AB330" i="6"/>
  <c r="AC330" i="6"/>
  <c r="AD330" i="6"/>
  <c r="AE330" i="6"/>
  <c r="AF330" i="6"/>
  <c r="AG330" i="6"/>
  <c r="AH330" i="6"/>
  <c r="AI330" i="6"/>
  <c r="AJ330" i="6"/>
  <c r="AK330" i="6"/>
  <c r="AL330" i="6"/>
  <c r="AM330" i="6"/>
  <c r="AN330" i="6"/>
  <c r="AO330" i="6"/>
  <c r="AP330" i="6"/>
  <c r="AQ330" i="6"/>
  <c r="B331" i="6"/>
  <c r="C331" i="6"/>
  <c r="D331" i="6"/>
  <c r="E331" i="6"/>
  <c r="F331" i="6"/>
  <c r="G331" i="6"/>
  <c r="H331" i="6"/>
  <c r="I331" i="6"/>
  <c r="J331" i="6"/>
  <c r="K331" i="6"/>
  <c r="L331" i="6"/>
  <c r="M331" i="6"/>
  <c r="N331" i="6"/>
  <c r="O331" i="6"/>
  <c r="P331" i="6"/>
  <c r="Q331" i="6"/>
  <c r="R331" i="6"/>
  <c r="S331" i="6"/>
  <c r="T331" i="6"/>
  <c r="U331" i="6"/>
  <c r="V331" i="6"/>
  <c r="W331" i="6"/>
  <c r="X331" i="6"/>
  <c r="Y331" i="6"/>
  <c r="Z331" i="6"/>
  <c r="AA331" i="6"/>
  <c r="AB331" i="6"/>
  <c r="AC331" i="6"/>
  <c r="AD331" i="6"/>
  <c r="AE331" i="6"/>
  <c r="AF331" i="6"/>
  <c r="AG331" i="6"/>
  <c r="AH331" i="6"/>
  <c r="AI331" i="6"/>
  <c r="AJ331" i="6"/>
  <c r="AK331" i="6"/>
  <c r="AL331" i="6"/>
  <c r="AM331" i="6"/>
  <c r="AN331" i="6"/>
  <c r="AO331" i="6"/>
  <c r="AP331" i="6"/>
  <c r="AQ331" i="6"/>
  <c r="B332" i="6"/>
  <c r="C332" i="6"/>
  <c r="D332" i="6"/>
  <c r="E332" i="6"/>
  <c r="F332" i="6"/>
  <c r="G332" i="6"/>
  <c r="H332" i="6"/>
  <c r="I332" i="6"/>
  <c r="J332" i="6"/>
  <c r="K332" i="6"/>
  <c r="L332" i="6"/>
  <c r="M332" i="6"/>
  <c r="N332" i="6"/>
  <c r="O332" i="6"/>
  <c r="P332" i="6"/>
  <c r="Q332" i="6"/>
  <c r="R332" i="6"/>
  <c r="S332" i="6"/>
  <c r="T332" i="6"/>
  <c r="U332" i="6"/>
  <c r="V332" i="6"/>
  <c r="W332" i="6"/>
  <c r="X332" i="6"/>
  <c r="Y332" i="6"/>
  <c r="Z332" i="6"/>
  <c r="AA332" i="6"/>
  <c r="AB332" i="6"/>
  <c r="AC332" i="6"/>
  <c r="AD332" i="6"/>
  <c r="AE332" i="6"/>
  <c r="AF332" i="6"/>
  <c r="AG332" i="6"/>
  <c r="AH332" i="6"/>
  <c r="AI332" i="6"/>
  <c r="AJ332" i="6"/>
  <c r="AK332" i="6"/>
  <c r="AL332" i="6"/>
  <c r="AM332" i="6"/>
  <c r="AN332" i="6"/>
  <c r="AO332" i="6"/>
  <c r="AP332" i="6"/>
  <c r="AQ332" i="6"/>
  <c r="B333" i="6"/>
  <c r="C333" i="6"/>
  <c r="D333" i="6"/>
  <c r="E333" i="6"/>
  <c r="F333" i="6"/>
  <c r="G333" i="6"/>
  <c r="H333" i="6"/>
  <c r="I333" i="6"/>
  <c r="J333" i="6"/>
  <c r="K333" i="6"/>
  <c r="L333" i="6"/>
  <c r="M333" i="6"/>
  <c r="N333" i="6"/>
  <c r="O333" i="6"/>
  <c r="P333" i="6"/>
  <c r="Q333" i="6"/>
  <c r="R333" i="6"/>
  <c r="S333" i="6"/>
  <c r="T333" i="6"/>
  <c r="U333" i="6"/>
  <c r="V333" i="6"/>
  <c r="W333" i="6"/>
  <c r="X333" i="6"/>
  <c r="Y333" i="6"/>
  <c r="Z333" i="6"/>
  <c r="AA333" i="6"/>
  <c r="AB333" i="6"/>
  <c r="AC333" i="6"/>
  <c r="AD333" i="6"/>
  <c r="AE333" i="6"/>
  <c r="AF333" i="6"/>
  <c r="AG333" i="6"/>
  <c r="AH333" i="6"/>
  <c r="AI333" i="6"/>
  <c r="AJ333" i="6"/>
  <c r="AK333" i="6"/>
  <c r="AL333" i="6"/>
  <c r="AM333" i="6"/>
  <c r="AN333" i="6"/>
  <c r="AO333" i="6"/>
  <c r="AP333" i="6"/>
  <c r="AQ333" i="6"/>
  <c r="B334" i="6"/>
  <c r="C334" i="6"/>
  <c r="D334" i="6"/>
  <c r="E334" i="6"/>
  <c r="F334" i="6"/>
  <c r="G334" i="6"/>
  <c r="H334" i="6"/>
  <c r="I334" i="6"/>
  <c r="J334" i="6"/>
  <c r="K334" i="6"/>
  <c r="L334" i="6"/>
  <c r="M334" i="6"/>
  <c r="N334" i="6"/>
  <c r="O334" i="6"/>
  <c r="P334" i="6"/>
  <c r="Q334" i="6"/>
  <c r="R334" i="6"/>
  <c r="S334" i="6"/>
  <c r="T334" i="6"/>
  <c r="U334" i="6"/>
  <c r="V334" i="6"/>
  <c r="W334" i="6"/>
  <c r="X334" i="6"/>
  <c r="Y334" i="6"/>
  <c r="Z334" i="6"/>
  <c r="AA334" i="6"/>
  <c r="AB334" i="6"/>
  <c r="AC334" i="6"/>
  <c r="AD334" i="6"/>
  <c r="AE334" i="6"/>
  <c r="AF334" i="6"/>
  <c r="AG334" i="6"/>
  <c r="AH334" i="6"/>
  <c r="AI334" i="6"/>
  <c r="AJ334" i="6"/>
  <c r="AK334" i="6"/>
  <c r="AL334" i="6"/>
  <c r="AM334" i="6"/>
  <c r="AN334" i="6"/>
  <c r="AO334" i="6"/>
  <c r="AP334" i="6"/>
  <c r="AQ334" i="6"/>
  <c r="B335" i="6"/>
  <c r="C335" i="6"/>
  <c r="D335" i="6"/>
  <c r="E335" i="6"/>
  <c r="F335" i="6"/>
  <c r="G335" i="6"/>
  <c r="H335" i="6"/>
  <c r="I335" i="6"/>
  <c r="J335" i="6"/>
  <c r="K335" i="6"/>
  <c r="L335" i="6"/>
  <c r="M335" i="6"/>
  <c r="N335" i="6"/>
  <c r="O335" i="6"/>
  <c r="P335" i="6"/>
  <c r="Q335" i="6"/>
  <c r="R335" i="6"/>
  <c r="S335" i="6"/>
  <c r="T335" i="6"/>
  <c r="U335" i="6"/>
  <c r="V335" i="6"/>
  <c r="W335" i="6"/>
  <c r="X335" i="6"/>
  <c r="Y335" i="6"/>
  <c r="Z335" i="6"/>
  <c r="AA335" i="6"/>
  <c r="AB335" i="6"/>
  <c r="AC335" i="6"/>
  <c r="AD335" i="6"/>
  <c r="AE335" i="6"/>
  <c r="AF335" i="6"/>
  <c r="AG335" i="6"/>
  <c r="AH335" i="6"/>
  <c r="AI335" i="6"/>
  <c r="AJ335" i="6"/>
  <c r="AK335" i="6"/>
  <c r="AL335" i="6"/>
  <c r="AM335" i="6"/>
  <c r="AN335" i="6"/>
  <c r="AO335" i="6"/>
  <c r="AP335" i="6"/>
  <c r="AQ335" i="6"/>
  <c r="B336" i="6"/>
  <c r="C336" i="6"/>
  <c r="D336" i="6"/>
  <c r="E336" i="6"/>
  <c r="F336" i="6"/>
  <c r="G336" i="6"/>
  <c r="H336" i="6"/>
  <c r="I336" i="6"/>
  <c r="J336" i="6"/>
  <c r="K336" i="6"/>
  <c r="L336" i="6"/>
  <c r="M336" i="6"/>
  <c r="N336" i="6"/>
  <c r="O336" i="6"/>
  <c r="P336" i="6"/>
  <c r="Q336" i="6"/>
  <c r="R336" i="6"/>
  <c r="S336" i="6"/>
  <c r="T336" i="6"/>
  <c r="U336" i="6"/>
  <c r="V336" i="6"/>
  <c r="W336" i="6"/>
  <c r="X336" i="6"/>
  <c r="Y336" i="6"/>
  <c r="Z336" i="6"/>
  <c r="AA336" i="6"/>
  <c r="AB336" i="6"/>
  <c r="AC336" i="6"/>
  <c r="AD336" i="6"/>
  <c r="AE336" i="6"/>
  <c r="AF336" i="6"/>
  <c r="AG336" i="6"/>
  <c r="AH336" i="6"/>
  <c r="AI336" i="6"/>
  <c r="AJ336" i="6"/>
  <c r="AK336" i="6"/>
  <c r="AL336" i="6"/>
  <c r="AM336" i="6"/>
  <c r="AN336" i="6"/>
  <c r="AO336" i="6"/>
  <c r="AP336" i="6"/>
  <c r="AQ336" i="6"/>
  <c r="B337" i="6"/>
  <c r="C337" i="6"/>
  <c r="D337" i="6"/>
  <c r="E337" i="6"/>
  <c r="F337" i="6"/>
  <c r="G337" i="6"/>
  <c r="H337" i="6"/>
  <c r="I337" i="6"/>
  <c r="J337" i="6"/>
  <c r="K337" i="6"/>
  <c r="L337" i="6"/>
  <c r="M337" i="6"/>
  <c r="N337" i="6"/>
  <c r="O337" i="6"/>
  <c r="P337" i="6"/>
  <c r="Q337" i="6"/>
  <c r="R337" i="6"/>
  <c r="S337" i="6"/>
  <c r="T337" i="6"/>
  <c r="U337" i="6"/>
  <c r="V337" i="6"/>
  <c r="W337" i="6"/>
  <c r="X337" i="6"/>
  <c r="Y337" i="6"/>
  <c r="Z337" i="6"/>
  <c r="AA337" i="6"/>
  <c r="AB337" i="6"/>
  <c r="AC337" i="6"/>
  <c r="AD337" i="6"/>
  <c r="AE337" i="6"/>
  <c r="AF337" i="6"/>
  <c r="AG337" i="6"/>
  <c r="AH337" i="6"/>
  <c r="AI337" i="6"/>
  <c r="AJ337" i="6"/>
  <c r="AK337" i="6"/>
  <c r="AL337" i="6"/>
  <c r="AM337" i="6"/>
  <c r="AN337" i="6"/>
  <c r="AO337" i="6"/>
  <c r="AP337" i="6"/>
  <c r="AQ337" i="6"/>
  <c r="B338" i="6"/>
  <c r="C338" i="6"/>
  <c r="D338" i="6"/>
  <c r="E338" i="6"/>
  <c r="F338" i="6"/>
  <c r="G338" i="6"/>
  <c r="H338" i="6"/>
  <c r="I338" i="6"/>
  <c r="J338" i="6"/>
  <c r="K338" i="6"/>
  <c r="L338" i="6"/>
  <c r="M338" i="6"/>
  <c r="N338" i="6"/>
  <c r="O338" i="6"/>
  <c r="P338" i="6"/>
  <c r="Q338" i="6"/>
  <c r="R338" i="6"/>
  <c r="S338" i="6"/>
  <c r="T338" i="6"/>
  <c r="U338" i="6"/>
  <c r="V338" i="6"/>
  <c r="W338" i="6"/>
  <c r="X338" i="6"/>
  <c r="Y338" i="6"/>
  <c r="Z338" i="6"/>
  <c r="AA338" i="6"/>
  <c r="AB338" i="6"/>
  <c r="AC338" i="6"/>
  <c r="AD338" i="6"/>
  <c r="AE338" i="6"/>
  <c r="AF338" i="6"/>
  <c r="AG338" i="6"/>
  <c r="AH338" i="6"/>
  <c r="AI338" i="6"/>
  <c r="AJ338" i="6"/>
  <c r="AK338" i="6"/>
  <c r="AL338" i="6"/>
  <c r="AM338" i="6"/>
  <c r="AN338" i="6"/>
  <c r="AO338" i="6"/>
  <c r="AP338" i="6"/>
  <c r="AQ338" i="6"/>
  <c r="B339" i="6"/>
  <c r="C339" i="6"/>
  <c r="D339" i="6"/>
  <c r="E339" i="6"/>
  <c r="F339" i="6"/>
  <c r="G339" i="6"/>
  <c r="H339" i="6"/>
  <c r="I339" i="6"/>
  <c r="J339" i="6"/>
  <c r="K339" i="6"/>
  <c r="L339" i="6"/>
  <c r="M339" i="6"/>
  <c r="N339" i="6"/>
  <c r="O339" i="6"/>
  <c r="P339" i="6"/>
  <c r="Q339" i="6"/>
  <c r="R339" i="6"/>
  <c r="S339" i="6"/>
  <c r="T339" i="6"/>
  <c r="U339" i="6"/>
  <c r="V339" i="6"/>
  <c r="W339" i="6"/>
  <c r="X339" i="6"/>
  <c r="Y339" i="6"/>
  <c r="Z339" i="6"/>
  <c r="AA339" i="6"/>
  <c r="AB339" i="6"/>
  <c r="AC339" i="6"/>
  <c r="AD339" i="6"/>
  <c r="AE339" i="6"/>
  <c r="AF339" i="6"/>
  <c r="AG339" i="6"/>
  <c r="AH339" i="6"/>
  <c r="AI339" i="6"/>
  <c r="AJ339" i="6"/>
  <c r="AK339" i="6"/>
  <c r="AL339" i="6"/>
  <c r="AM339" i="6"/>
  <c r="AN339" i="6"/>
  <c r="AO339" i="6"/>
  <c r="AP339" i="6"/>
  <c r="AQ339" i="6"/>
  <c r="B340" i="6"/>
  <c r="C340" i="6"/>
  <c r="D340" i="6"/>
  <c r="E340" i="6"/>
  <c r="F340" i="6"/>
  <c r="G340" i="6"/>
  <c r="H340" i="6"/>
  <c r="I340" i="6"/>
  <c r="J340" i="6"/>
  <c r="K340" i="6"/>
  <c r="L340" i="6"/>
  <c r="M340" i="6"/>
  <c r="N340" i="6"/>
  <c r="O340" i="6"/>
  <c r="P340" i="6"/>
  <c r="Q340" i="6"/>
  <c r="R340" i="6"/>
  <c r="S340" i="6"/>
  <c r="T340" i="6"/>
  <c r="U340" i="6"/>
  <c r="V340" i="6"/>
  <c r="W340" i="6"/>
  <c r="X340" i="6"/>
  <c r="Y340" i="6"/>
  <c r="Z340" i="6"/>
  <c r="AA340" i="6"/>
  <c r="AB340" i="6"/>
  <c r="AC340" i="6"/>
  <c r="AD340" i="6"/>
  <c r="AE340" i="6"/>
  <c r="AF340" i="6"/>
  <c r="AG340" i="6"/>
  <c r="AH340" i="6"/>
  <c r="AI340" i="6"/>
  <c r="AJ340" i="6"/>
  <c r="AK340" i="6"/>
  <c r="AL340" i="6"/>
  <c r="AM340" i="6"/>
  <c r="AN340" i="6"/>
  <c r="AO340" i="6"/>
  <c r="AP340" i="6"/>
  <c r="AQ340" i="6"/>
  <c r="B341" i="6"/>
  <c r="C341" i="6"/>
  <c r="D341" i="6"/>
  <c r="E341" i="6"/>
  <c r="F341" i="6"/>
  <c r="G341" i="6"/>
  <c r="H341" i="6"/>
  <c r="I341" i="6"/>
  <c r="J341" i="6"/>
  <c r="K341" i="6"/>
  <c r="L341" i="6"/>
  <c r="M341" i="6"/>
  <c r="N341" i="6"/>
  <c r="O341" i="6"/>
  <c r="P341" i="6"/>
  <c r="Q341" i="6"/>
  <c r="R341" i="6"/>
  <c r="S341" i="6"/>
  <c r="T341" i="6"/>
  <c r="U341" i="6"/>
  <c r="V341" i="6"/>
  <c r="W341" i="6"/>
  <c r="X341" i="6"/>
  <c r="Y341" i="6"/>
  <c r="Z341" i="6"/>
  <c r="AA341" i="6"/>
  <c r="AB341" i="6"/>
  <c r="AC341" i="6"/>
  <c r="AD341" i="6"/>
  <c r="AE341" i="6"/>
  <c r="AF341" i="6"/>
  <c r="AG341" i="6"/>
  <c r="AH341" i="6"/>
  <c r="AI341" i="6"/>
  <c r="AJ341" i="6"/>
  <c r="AK341" i="6"/>
  <c r="AL341" i="6"/>
  <c r="AM341" i="6"/>
  <c r="AN341" i="6"/>
  <c r="AO341" i="6"/>
  <c r="AP341" i="6"/>
  <c r="AQ341" i="6"/>
  <c r="B342" i="6"/>
  <c r="C342" i="6"/>
  <c r="D342" i="6"/>
  <c r="E342" i="6"/>
  <c r="F342" i="6"/>
  <c r="G342" i="6"/>
  <c r="H342" i="6"/>
  <c r="I342" i="6"/>
  <c r="J342" i="6"/>
  <c r="K342" i="6"/>
  <c r="L342" i="6"/>
  <c r="M342" i="6"/>
  <c r="N342" i="6"/>
  <c r="O342" i="6"/>
  <c r="P342" i="6"/>
  <c r="Q342" i="6"/>
  <c r="R342" i="6"/>
  <c r="S342" i="6"/>
  <c r="T342" i="6"/>
  <c r="U342" i="6"/>
  <c r="V342" i="6"/>
  <c r="W342" i="6"/>
  <c r="X342" i="6"/>
  <c r="Y342" i="6"/>
  <c r="Z342" i="6"/>
  <c r="AA342" i="6"/>
  <c r="AB342" i="6"/>
  <c r="AC342" i="6"/>
  <c r="AD342" i="6"/>
  <c r="AE342" i="6"/>
  <c r="AF342" i="6"/>
  <c r="AG342" i="6"/>
  <c r="AH342" i="6"/>
  <c r="AI342" i="6"/>
  <c r="AJ342" i="6"/>
  <c r="AK342" i="6"/>
  <c r="AL342" i="6"/>
  <c r="AM342" i="6"/>
  <c r="AN342" i="6"/>
  <c r="AO342" i="6"/>
  <c r="AP342" i="6"/>
  <c r="AQ342" i="6"/>
  <c r="B343" i="6"/>
  <c r="C343" i="6"/>
  <c r="D343" i="6"/>
  <c r="E343" i="6"/>
  <c r="F343" i="6"/>
  <c r="G343" i="6"/>
  <c r="H343" i="6"/>
  <c r="I343" i="6"/>
  <c r="J343" i="6"/>
  <c r="K343" i="6"/>
  <c r="L343" i="6"/>
  <c r="M343" i="6"/>
  <c r="N343" i="6"/>
  <c r="O343" i="6"/>
  <c r="P343" i="6"/>
  <c r="Q343" i="6"/>
  <c r="R343" i="6"/>
  <c r="S343" i="6"/>
  <c r="T343" i="6"/>
  <c r="U343" i="6"/>
  <c r="V343" i="6"/>
  <c r="W343" i="6"/>
  <c r="X343" i="6"/>
  <c r="Y343" i="6"/>
  <c r="Z343" i="6"/>
  <c r="AA343" i="6"/>
  <c r="AB343" i="6"/>
  <c r="AC343" i="6"/>
  <c r="AD343" i="6"/>
  <c r="AE343" i="6"/>
  <c r="AF343" i="6"/>
  <c r="AG343" i="6"/>
  <c r="AH343" i="6"/>
  <c r="AI343" i="6"/>
  <c r="AJ343" i="6"/>
  <c r="AK343" i="6"/>
  <c r="AL343" i="6"/>
  <c r="AM343" i="6"/>
  <c r="AN343" i="6"/>
  <c r="AO343" i="6"/>
  <c r="AP343" i="6"/>
  <c r="AQ343" i="6"/>
  <c r="B344" i="6"/>
  <c r="C344" i="6"/>
  <c r="D344" i="6"/>
  <c r="E344" i="6"/>
  <c r="F344" i="6"/>
  <c r="G344" i="6"/>
  <c r="H344" i="6"/>
  <c r="I344" i="6"/>
  <c r="J344" i="6"/>
  <c r="K344" i="6"/>
  <c r="L344" i="6"/>
  <c r="M344" i="6"/>
  <c r="N344" i="6"/>
  <c r="O344" i="6"/>
  <c r="P344" i="6"/>
  <c r="Q344" i="6"/>
  <c r="R344" i="6"/>
  <c r="S344" i="6"/>
  <c r="T344" i="6"/>
  <c r="U344" i="6"/>
  <c r="V344" i="6"/>
  <c r="W344" i="6"/>
  <c r="X344" i="6"/>
  <c r="Y344" i="6"/>
  <c r="Z344" i="6"/>
  <c r="AA344" i="6"/>
  <c r="AB344" i="6"/>
  <c r="AC344" i="6"/>
  <c r="AD344" i="6"/>
  <c r="AE344" i="6"/>
  <c r="AF344" i="6"/>
  <c r="AG344" i="6"/>
  <c r="AH344" i="6"/>
  <c r="AI344" i="6"/>
  <c r="AJ344" i="6"/>
  <c r="AK344" i="6"/>
  <c r="AL344" i="6"/>
  <c r="AM344" i="6"/>
  <c r="AN344" i="6"/>
  <c r="AO344" i="6"/>
  <c r="AP344" i="6"/>
  <c r="AQ344" i="6"/>
  <c r="B345" i="6"/>
  <c r="C345" i="6"/>
  <c r="D345" i="6"/>
  <c r="E345" i="6"/>
  <c r="F345" i="6"/>
  <c r="G345" i="6"/>
  <c r="H345" i="6"/>
  <c r="I345" i="6"/>
  <c r="J345" i="6"/>
  <c r="K345" i="6"/>
  <c r="L345" i="6"/>
  <c r="M345" i="6"/>
  <c r="N345" i="6"/>
  <c r="O345" i="6"/>
  <c r="P345" i="6"/>
  <c r="Q345" i="6"/>
  <c r="R345" i="6"/>
  <c r="S345" i="6"/>
  <c r="T345" i="6"/>
  <c r="U345" i="6"/>
  <c r="V345" i="6"/>
  <c r="W345" i="6"/>
  <c r="X345" i="6"/>
  <c r="Y345" i="6"/>
  <c r="Z345" i="6"/>
  <c r="AA345" i="6"/>
  <c r="AB345" i="6"/>
  <c r="AC345" i="6"/>
  <c r="AD345" i="6"/>
  <c r="AE345" i="6"/>
  <c r="AF345" i="6"/>
  <c r="AG345" i="6"/>
  <c r="AH345" i="6"/>
  <c r="AI345" i="6"/>
  <c r="AJ345" i="6"/>
  <c r="AK345" i="6"/>
  <c r="AL345" i="6"/>
  <c r="AM345" i="6"/>
  <c r="AN345" i="6"/>
  <c r="AO345" i="6"/>
  <c r="AP345" i="6"/>
  <c r="AQ345" i="6"/>
  <c r="B346" i="6"/>
  <c r="C346" i="6"/>
  <c r="D346" i="6"/>
  <c r="E346" i="6"/>
  <c r="F346" i="6"/>
  <c r="G346" i="6"/>
  <c r="H346" i="6"/>
  <c r="I346" i="6"/>
  <c r="J346" i="6"/>
  <c r="K346" i="6"/>
  <c r="L346" i="6"/>
  <c r="M346" i="6"/>
  <c r="N346" i="6"/>
  <c r="O346" i="6"/>
  <c r="P346" i="6"/>
  <c r="Q346" i="6"/>
  <c r="R346" i="6"/>
  <c r="S346" i="6"/>
  <c r="T346" i="6"/>
  <c r="U346" i="6"/>
  <c r="V346" i="6"/>
  <c r="W346" i="6"/>
  <c r="X346" i="6"/>
  <c r="Y346" i="6"/>
  <c r="Z346" i="6"/>
  <c r="AA346" i="6"/>
  <c r="AB346" i="6"/>
  <c r="AC346" i="6"/>
  <c r="AD346" i="6"/>
  <c r="AE346" i="6"/>
  <c r="AF346" i="6"/>
  <c r="AG346" i="6"/>
  <c r="AH346" i="6"/>
  <c r="AI346" i="6"/>
  <c r="AJ346" i="6"/>
  <c r="AK346" i="6"/>
  <c r="AL346" i="6"/>
  <c r="AM346" i="6"/>
  <c r="AN346" i="6"/>
  <c r="AO346" i="6"/>
  <c r="AP346" i="6"/>
  <c r="AQ346" i="6"/>
  <c r="B347" i="6"/>
  <c r="C347" i="6"/>
  <c r="D347" i="6"/>
  <c r="E347" i="6"/>
  <c r="F347" i="6"/>
  <c r="G347" i="6"/>
  <c r="H347" i="6"/>
  <c r="I347" i="6"/>
  <c r="J347" i="6"/>
  <c r="K347" i="6"/>
  <c r="L347" i="6"/>
  <c r="M347" i="6"/>
  <c r="N347" i="6"/>
  <c r="O347" i="6"/>
  <c r="P347" i="6"/>
  <c r="Q347" i="6"/>
  <c r="R347" i="6"/>
  <c r="S347" i="6"/>
  <c r="T347" i="6"/>
  <c r="U347" i="6"/>
  <c r="V347" i="6"/>
  <c r="W347" i="6"/>
  <c r="X347" i="6"/>
  <c r="Y347" i="6"/>
  <c r="Z347" i="6"/>
  <c r="AA347" i="6"/>
  <c r="AB347" i="6"/>
  <c r="AC347" i="6"/>
  <c r="AD347" i="6"/>
  <c r="AE347" i="6"/>
  <c r="AF347" i="6"/>
  <c r="AG347" i="6"/>
  <c r="AH347" i="6"/>
  <c r="AI347" i="6"/>
  <c r="AJ347" i="6"/>
  <c r="AK347" i="6"/>
  <c r="AL347" i="6"/>
  <c r="AM347" i="6"/>
  <c r="AN347" i="6"/>
  <c r="AO347" i="6"/>
  <c r="AP347" i="6"/>
  <c r="AQ347" i="6"/>
  <c r="B348" i="6"/>
  <c r="C348" i="6"/>
  <c r="D348" i="6"/>
  <c r="E348" i="6"/>
  <c r="F348" i="6"/>
  <c r="G348" i="6"/>
  <c r="H348" i="6"/>
  <c r="I348" i="6"/>
  <c r="J348" i="6"/>
  <c r="K348" i="6"/>
  <c r="L348" i="6"/>
  <c r="M348" i="6"/>
  <c r="N348" i="6"/>
  <c r="O348" i="6"/>
  <c r="P348" i="6"/>
  <c r="Q348" i="6"/>
  <c r="R348" i="6"/>
  <c r="S348" i="6"/>
  <c r="T348" i="6"/>
  <c r="U348" i="6"/>
  <c r="V348" i="6"/>
  <c r="W348" i="6"/>
  <c r="X348" i="6"/>
  <c r="Y348" i="6"/>
  <c r="Z348" i="6"/>
  <c r="AA348" i="6"/>
  <c r="AB348" i="6"/>
  <c r="AC348" i="6"/>
  <c r="AD348" i="6"/>
  <c r="AE348" i="6"/>
  <c r="AF348" i="6"/>
  <c r="AG348" i="6"/>
  <c r="AH348" i="6"/>
  <c r="AI348" i="6"/>
  <c r="AJ348" i="6"/>
  <c r="AK348" i="6"/>
  <c r="AL348" i="6"/>
  <c r="AM348" i="6"/>
  <c r="AN348" i="6"/>
  <c r="AO348" i="6"/>
  <c r="AP348" i="6"/>
  <c r="AQ348" i="6"/>
  <c r="B349" i="6"/>
  <c r="C349" i="6"/>
  <c r="D349" i="6"/>
  <c r="E349" i="6"/>
  <c r="F349" i="6"/>
  <c r="G349" i="6"/>
  <c r="H349" i="6"/>
  <c r="I349" i="6"/>
  <c r="J349" i="6"/>
  <c r="K349" i="6"/>
  <c r="L349" i="6"/>
  <c r="M349" i="6"/>
  <c r="N349" i="6"/>
  <c r="O349" i="6"/>
  <c r="P349" i="6"/>
  <c r="Q349" i="6"/>
  <c r="R349" i="6"/>
  <c r="S349" i="6"/>
  <c r="T349" i="6"/>
  <c r="U349" i="6"/>
  <c r="V349" i="6"/>
  <c r="W349" i="6"/>
  <c r="X349" i="6"/>
  <c r="Y349" i="6"/>
  <c r="Z349" i="6"/>
  <c r="AA349" i="6"/>
  <c r="AB349" i="6"/>
  <c r="AC349" i="6"/>
  <c r="AD349" i="6"/>
  <c r="AE349" i="6"/>
  <c r="AF349" i="6"/>
  <c r="AG349" i="6"/>
  <c r="AH349" i="6"/>
  <c r="AI349" i="6"/>
  <c r="AJ349" i="6"/>
  <c r="AK349" i="6"/>
  <c r="AL349" i="6"/>
  <c r="AM349" i="6"/>
  <c r="AN349" i="6"/>
  <c r="AO349" i="6"/>
  <c r="AP349" i="6"/>
  <c r="AQ349" i="6"/>
  <c r="B350" i="6"/>
  <c r="C350" i="6"/>
  <c r="D350" i="6"/>
  <c r="E350" i="6"/>
  <c r="F350" i="6"/>
  <c r="G350" i="6"/>
  <c r="H350" i="6"/>
  <c r="I350" i="6"/>
  <c r="J350" i="6"/>
  <c r="K350" i="6"/>
  <c r="L350" i="6"/>
  <c r="M350" i="6"/>
  <c r="N350" i="6"/>
  <c r="O350" i="6"/>
  <c r="P350" i="6"/>
  <c r="Q350" i="6"/>
  <c r="R350" i="6"/>
  <c r="S350" i="6"/>
  <c r="T350" i="6"/>
  <c r="U350" i="6"/>
  <c r="V350" i="6"/>
  <c r="W350" i="6"/>
  <c r="X350" i="6"/>
  <c r="Y350" i="6"/>
  <c r="Z350" i="6"/>
  <c r="AA350" i="6"/>
  <c r="AB350" i="6"/>
  <c r="AC350" i="6"/>
  <c r="AD350" i="6"/>
  <c r="AE350" i="6"/>
  <c r="AF350" i="6"/>
  <c r="AG350" i="6"/>
  <c r="AH350" i="6"/>
  <c r="AI350" i="6"/>
  <c r="AJ350" i="6"/>
  <c r="AK350" i="6"/>
  <c r="AL350" i="6"/>
  <c r="AM350" i="6"/>
  <c r="AN350" i="6"/>
  <c r="AO350" i="6"/>
  <c r="AP350" i="6"/>
  <c r="AQ350" i="6"/>
  <c r="B351" i="6"/>
  <c r="C351" i="6"/>
  <c r="D351" i="6"/>
  <c r="E351" i="6"/>
  <c r="F351" i="6"/>
  <c r="G351" i="6"/>
  <c r="H351" i="6"/>
  <c r="I351" i="6"/>
  <c r="J351" i="6"/>
  <c r="K351" i="6"/>
  <c r="L351" i="6"/>
  <c r="M351" i="6"/>
  <c r="N351" i="6"/>
  <c r="O351" i="6"/>
  <c r="P351" i="6"/>
  <c r="Q351" i="6"/>
  <c r="R351" i="6"/>
  <c r="S351" i="6"/>
  <c r="T351" i="6"/>
  <c r="U351" i="6"/>
  <c r="V351" i="6"/>
  <c r="W351" i="6"/>
  <c r="X351" i="6"/>
  <c r="Y351" i="6"/>
  <c r="Z351" i="6"/>
  <c r="AA351" i="6"/>
  <c r="AB351" i="6"/>
  <c r="AC351" i="6"/>
  <c r="AD351" i="6"/>
  <c r="AE351" i="6"/>
  <c r="AF351" i="6"/>
  <c r="AG351" i="6"/>
  <c r="AH351" i="6"/>
  <c r="AI351" i="6"/>
  <c r="AJ351" i="6"/>
  <c r="AK351" i="6"/>
  <c r="AL351" i="6"/>
  <c r="AM351" i="6"/>
  <c r="AN351" i="6"/>
  <c r="AO351" i="6"/>
  <c r="AP351" i="6"/>
  <c r="AQ351" i="6"/>
  <c r="B352" i="6"/>
  <c r="C352" i="6"/>
  <c r="D352" i="6"/>
  <c r="E352" i="6"/>
  <c r="F352" i="6"/>
  <c r="G352" i="6"/>
  <c r="H352" i="6"/>
  <c r="I352" i="6"/>
  <c r="J352" i="6"/>
  <c r="K352" i="6"/>
  <c r="L352" i="6"/>
  <c r="M352" i="6"/>
  <c r="N352" i="6"/>
  <c r="O352" i="6"/>
  <c r="P352" i="6"/>
  <c r="Q352" i="6"/>
  <c r="R352" i="6"/>
  <c r="S352" i="6"/>
  <c r="T352" i="6"/>
  <c r="U352" i="6"/>
  <c r="V352" i="6"/>
  <c r="W352" i="6"/>
  <c r="X352" i="6"/>
  <c r="Y352" i="6"/>
  <c r="Z352" i="6"/>
  <c r="AA352" i="6"/>
  <c r="AB352" i="6"/>
  <c r="AC352" i="6"/>
  <c r="AD352" i="6"/>
  <c r="AE352" i="6"/>
  <c r="AF352" i="6"/>
  <c r="AG352" i="6"/>
  <c r="AH352" i="6"/>
  <c r="AI352" i="6"/>
  <c r="AJ352" i="6"/>
  <c r="AK352" i="6"/>
  <c r="AL352" i="6"/>
  <c r="AM352" i="6"/>
  <c r="AN352" i="6"/>
  <c r="AO352" i="6"/>
  <c r="AP352" i="6"/>
  <c r="AQ352" i="6"/>
  <c r="B353" i="6"/>
  <c r="C353" i="6"/>
  <c r="D353" i="6"/>
  <c r="E353" i="6"/>
  <c r="F353" i="6"/>
  <c r="G353" i="6"/>
  <c r="H353" i="6"/>
  <c r="I353" i="6"/>
  <c r="J353" i="6"/>
  <c r="K353" i="6"/>
  <c r="L353" i="6"/>
  <c r="M353" i="6"/>
  <c r="N353" i="6"/>
  <c r="O353" i="6"/>
  <c r="P353" i="6"/>
  <c r="Q353" i="6"/>
  <c r="R353" i="6"/>
  <c r="S353" i="6"/>
  <c r="T353" i="6"/>
  <c r="U353" i="6"/>
  <c r="V353" i="6"/>
  <c r="W353" i="6"/>
  <c r="X353" i="6"/>
  <c r="Y353" i="6"/>
  <c r="Z353" i="6"/>
  <c r="AA353" i="6"/>
  <c r="AB353" i="6"/>
  <c r="AC353" i="6"/>
  <c r="AD353" i="6"/>
  <c r="AE353" i="6"/>
  <c r="AF353" i="6"/>
  <c r="AG353" i="6"/>
  <c r="AH353" i="6"/>
  <c r="AI353" i="6"/>
  <c r="AJ353" i="6"/>
  <c r="AK353" i="6"/>
  <c r="AL353" i="6"/>
  <c r="AM353" i="6"/>
  <c r="AN353" i="6"/>
  <c r="AO353" i="6"/>
  <c r="AP353" i="6"/>
  <c r="AQ353" i="6"/>
  <c r="B354" i="6"/>
  <c r="C354" i="6"/>
  <c r="D354" i="6"/>
  <c r="E354" i="6"/>
  <c r="F354" i="6"/>
  <c r="G354" i="6"/>
  <c r="H354" i="6"/>
  <c r="I354" i="6"/>
  <c r="J354" i="6"/>
  <c r="K354" i="6"/>
  <c r="L354" i="6"/>
  <c r="M354" i="6"/>
  <c r="N354" i="6"/>
  <c r="O354" i="6"/>
  <c r="P354" i="6"/>
  <c r="Q354" i="6"/>
  <c r="R354" i="6"/>
  <c r="S354" i="6"/>
  <c r="T354" i="6"/>
  <c r="U354" i="6"/>
  <c r="V354" i="6"/>
  <c r="W354" i="6"/>
  <c r="X354" i="6"/>
  <c r="Y354" i="6"/>
  <c r="Z354" i="6"/>
  <c r="AA354" i="6"/>
  <c r="AB354" i="6"/>
  <c r="AC354" i="6"/>
  <c r="AD354" i="6"/>
  <c r="AE354" i="6"/>
  <c r="AF354" i="6"/>
  <c r="AG354" i="6"/>
  <c r="AH354" i="6"/>
  <c r="AI354" i="6"/>
  <c r="AJ354" i="6"/>
  <c r="AK354" i="6"/>
  <c r="AL354" i="6"/>
  <c r="AM354" i="6"/>
  <c r="AN354" i="6"/>
  <c r="AO354" i="6"/>
  <c r="AP354" i="6"/>
  <c r="AQ354" i="6"/>
  <c r="B355" i="6"/>
  <c r="C355" i="6"/>
  <c r="D355" i="6"/>
  <c r="E355" i="6"/>
  <c r="F355" i="6"/>
  <c r="G355" i="6"/>
  <c r="H355" i="6"/>
  <c r="I355" i="6"/>
  <c r="J355" i="6"/>
  <c r="K355" i="6"/>
  <c r="L355" i="6"/>
  <c r="M355" i="6"/>
  <c r="N355" i="6"/>
  <c r="O355" i="6"/>
  <c r="P355" i="6"/>
  <c r="Q355" i="6"/>
  <c r="R355" i="6"/>
  <c r="S355" i="6"/>
  <c r="T355" i="6"/>
  <c r="U355" i="6"/>
  <c r="V355" i="6"/>
  <c r="W355" i="6"/>
  <c r="X355" i="6"/>
  <c r="Y355" i="6"/>
  <c r="Z355" i="6"/>
  <c r="AA355" i="6"/>
  <c r="AB355" i="6"/>
  <c r="AC355" i="6"/>
  <c r="AD355" i="6"/>
  <c r="AE355" i="6"/>
  <c r="AF355" i="6"/>
  <c r="AG355" i="6"/>
  <c r="AH355" i="6"/>
  <c r="AI355" i="6"/>
  <c r="AJ355" i="6"/>
  <c r="AK355" i="6"/>
  <c r="AL355" i="6"/>
  <c r="AM355" i="6"/>
  <c r="AN355" i="6"/>
  <c r="AO355" i="6"/>
  <c r="AP355" i="6"/>
  <c r="AQ355" i="6"/>
  <c r="B356" i="6"/>
  <c r="C356" i="6"/>
  <c r="D356" i="6"/>
  <c r="E356" i="6"/>
  <c r="F356" i="6"/>
  <c r="G356" i="6"/>
  <c r="H356" i="6"/>
  <c r="I356" i="6"/>
  <c r="J356" i="6"/>
  <c r="K356" i="6"/>
  <c r="L356" i="6"/>
  <c r="M356" i="6"/>
  <c r="N356" i="6"/>
  <c r="O356" i="6"/>
  <c r="P356" i="6"/>
  <c r="Q356" i="6"/>
  <c r="R356" i="6"/>
  <c r="S356" i="6"/>
  <c r="T356" i="6"/>
  <c r="U356" i="6"/>
  <c r="V356" i="6"/>
  <c r="W356" i="6"/>
  <c r="X356" i="6"/>
  <c r="Y356" i="6"/>
  <c r="Z356" i="6"/>
  <c r="AA356" i="6"/>
  <c r="AB356" i="6"/>
  <c r="AC356" i="6"/>
  <c r="AD356" i="6"/>
  <c r="AE356" i="6"/>
  <c r="AF356" i="6"/>
  <c r="AG356" i="6"/>
  <c r="AH356" i="6"/>
  <c r="AI356" i="6"/>
  <c r="AJ356" i="6"/>
  <c r="AK356" i="6"/>
  <c r="AL356" i="6"/>
  <c r="AM356" i="6"/>
  <c r="AN356" i="6"/>
  <c r="AO356" i="6"/>
  <c r="AP356" i="6"/>
  <c r="AQ356" i="6"/>
  <c r="B357" i="6"/>
  <c r="C357" i="6"/>
  <c r="D357" i="6"/>
  <c r="E357" i="6"/>
  <c r="F357" i="6"/>
  <c r="G357" i="6"/>
  <c r="H357" i="6"/>
  <c r="I357" i="6"/>
  <c r="J357" i="6"/>
  <c r="K357" i="6"/>
  <c r="L357" i="6"/>
  <c r="M357" i="6"/>
  <c r="N357" i="6"/>
  <c r="O357" i="6"/>
  <c r="P357" i="6"/>
  <c r="Q357" i="6"/>
  <c r="R357" i="6"/>
  <c r="S357" i="6"/>
  <c r="T357" i="6"/>
  <c r="U357" i="6"/>
  <c r="V357" i="6"/>
  <c r="W357" i="6"/>
  <c r="X357" i="6"/>
  <c r="Y357" i="6"/>
  <c r="Z357" i="6"/>
  <c r="AA357" i="6"/>
  <c r="AB357" i="6"/>
  <c r="AC357" i="6"/>
  <c r="AD357" i="6"/>
  <c r="AE357" i="6"/>
  <c r="AF357" i="6"/>
  <c r="AG357" i="6"/>
  <c r="AH357" i="6"/>
  <c r="AI357" i="6"/>
  <c r="AJ357" i="6"/>
  <c r="AK357" i="6"/>
  <c r="AL357" i="6"/>
  <c r="AM357" i="6"/>
  <c r="AN357" i="6"/>
  <c r="AO357" i="6"/>
  <c r="AP357" i="6"/>
  <c r="AQ357" i="6"/>
  <c r="B358" i="6"/>
  <c r="C358" i="6"/>
  <c r="D358" i="6"/>
  <c r="E358" i="6"/>
  <c r="F358" i="6"/>
  <c r="G358" i="6"/>
  <c r="H358" i="6"/>
  <c r="I358" i="6"/>
  <c r="J358" i="6"/>
  <c r="K358" i="6"/>
  <c r="L358" i="6"/>
  <c r="M358" i="6"/>
  <c r="N358" i="6"/>
  <c r="O358" i="6"/>
  <c r="P358" i="6"/>
  <c r="Q358" i="6"/>
  <c r="R358" i="6"/>
  <c r="S358" i="6"/>
  <c r="T358" i="6"/>
  <c r="U358" i="6"/>
  <c r="V358" i="6"/>
  <c r="W358" i="6"/>
  <c r="X358" i="6"/>
  <c r="Y358" i="6"/>
  <c r="Z358" i="6"/>
  <c r="AA358" i="6"/>
  <c r="AB358" i="6"/>
  <c r="AC358" i="6"/>
  <c r="AD358" i="6"/>
  <c r="AE358" i="6"/>
  <c r="AF358" i="6"/>
  <c r="AG358" i="6"/>
  <c r="AH358" i="6"/>
  <c r="AI358" i="6"/>
  <c r="AJ358" i="6"/>
  <c r="AK358" i="6"/>
  <c r="AL358" i="6"/>
  <c r="AM358" i="6"/>
  <c r="AN358" i="6"/>
  <c r="AO358" i="6"/>
  <c r="AP358" i="6"/>
  <c r="AQ358" i="6"/>
  <c r="B359" i="6"/>
  <c r="C359" i="6"/>
  <c r="D359" i="6"/>
  <c r="E359" i="6"/>
  <c r="F359" i="6"/>
  <c r="G359" i="6"/>
  <c r="H359" i="6"/>
  <c r="I359" i="6"/>
  <c r="J359" i="6"/>
  <c r="K359" i="6"/>
  <c r="L359" i="6"/>
  <c r="M359" i="6"/>
  <c r="N359" i="6"/>
  <c r="O359" i="6"/>
  <c r="P359" i="6"/>
  <c r="Q359" i="6"/>
  <c r="R359" i="6"/>
  <c r="S359" i="6"/>
  <c r="T359" i="6"/>
  <c r="U359" i="6"/>
  <c r="V359" i="6"/>
  <c r="W359" i="6"/>
  <c r="X359" i="6"/>
  <c r="Y359" i="6"/>
  <c r="Z359" i="6"/>
  <c r="AA359" i="6"/>
  <c r="AB359" i="6"/>
  <c r="AC359" i="6"/>
  <c r="AD359" i="6"/>
  <c r="AE359" i="6"/>
  <c r="AF359" i="6"/>
  <c r="AG359" i="6"/>
  <c r="AH359" i="6"/>
  <c r="AI359" i="6"/>
  <c r="AJ359" i="6"/>
  <c r="AK359" i="6"/>
  <c r="AL359" i="6"/>
  <c r="AM359" i="6"/>
  <c r="AN359" i="6"/>
  <c r="AO359" i="6"/>
  <c r="AP359" i="6"/>
  <c r="AQ359" i="6"/>
  <c r="B360" i="6"/>
  <c r="C360" i="6"/>
  <c r="D360" i="6"/>
  <c r="E360" i="6"/>
  <c r="F360" i="6"/>
  <c r="G360" i="6"/>
  <c r="H360" i="6"/>
  <c r="I360" i="6"/>
  <c r="J360" i="6"/>
  <c r="K360" i="6"/>
  <c r="L360" i="6"/>
  <c r="M360" i="6"/>
  <c r="N360" i="6"/>
  <c r="O360" i="6"/>
  <c r="P360" i="6"/>
  <c r="Q360" i="6"/>
  <c r="R360" i="6"/>
  <c r="S360" i="6"/>
  <c r="T360" i="6"/>
  <c r="U360" i="6"/>
  <c r="V360" i="6"/>
  <c r="W360" i="6"/>
  <c r="X360" i="6"/>
  <c r="Y360" i="6"/>
  <c r="Z360" i="6"/>
  <c r="AA360" i="6"/>
  <c r="AB360" i="6"/>
  <c r="AC360" i="6"/>
  <c r="AD360" i="6"/>
  <c r="AE360" i="6"/>
  <c r="AF360" i="6"/>
  <c r="AG360" i="6"/>
  <c r="AH360" i="6"/>
  <c r="AI360" i="6"/>
  <c r="AJ360" i="6"/>
  <c r="AK360" i="6"/>
  <c r="AL360" i="6"/>
  <c r="AM360" i="6"/>
  <c r="AN360" i="6"/>
  <c r="AO360" i="6"/>
  <c r="AP360" i="6"/>
  <c r="AQ360" i="6"/>
  <c r="B361" i="6"/>
  <c r="C361" i="6"/>
  <c r="D361" i="6"/>
  <c r="E361" i="6"/>
  <c r="F361" i="6"/>
  <c r="G361" i="6"/>
  <c r="H361" i="6"/>
  <c r="I361" i="6"/>
  <c r="J361" i="6"/>
  <c r="K361" i="6"/>
  <c r="L361" i="6"/>
  <c r="M361" i="6"/>
  <c r="N361" i="6"/>
  <c r="O361" i="6"/>
  <c r="P361" i="6"/>
  <c r="Q361" i="6"/>
  <c r="R361" i="6"/>
  <c r="S361" i="6"/>
  <c r="T361" i="6"/>
  <c r="U361" i="6"/>
  <c r="V361" i="6"/>
  <c r="W361" i="6"/>
  <c r="X361" i="6"/>
  <c r="Y361" i="6"/>
  <c r="Z361" i="6"/>
  <c r="AA361" i="6"/>
  <c r="AB361" i="6"/>
  <c r="AC361" i="6"/>
  <c r="AD361" i="6"/>
  <c r="AE361" i="6"/>
  <c r="AF361" i="6"/>
  <c r="AG361" i="6"/>
  <c r="AH361" i="6"/>
  <c r="AI361" i="6"/>
  <c r="AJ361" i="6"/>
  <c r="AK361" i="6"/>
  <c r="AL361" i="6"/>
  <c r="AM361" i="6"/>
  <c r="AN361" i="6"/>
  <c r="AO361" i="6"/>
  <c r="AP361" i="6"/>
  <c r="AQ361" i="6"/>
  <c r="B362" i="6"/>
  <c r="C362" i="6"/>
  <c r="D362" i="6"/>
  <c r="E362" i="6"/>
  <c r="F362" i="6"/>
  <c r="G362" i="6"/>
  <c r="H362" i="6"/>
  <c r="I362" i="6"/>
  <c r="J362" i="6"/>
  <c r="K362" i="6"/>
  <c r="L362" i="6"/>
  <c r="M362" i="6"/>
  <c r="N362" i="6"/>
  <c r="O362" i="6"/>
  <c r="P362" i="6"/>
  <c r="Q362" i="6"/>
  <c r="R362" i="6"/>
  <c r="S362" i="6"/>
  <c r="T362" i="6"/>
  <c r="U362" i="6"/>
  <c r="V362" i="6"/>
  <c r="W362" i="6"/>
  <c r="X362" i="6"/>
  <c r="Y362" i="6"/>
  <c r="Z362" i="6"/>
  <c r="AA362" i="6"/>
  <c r="AB362" i="6"/>
  <c r="AC362" i="6"/>
  <c r="AD362" i="6"/>
  <c r="AE362" i="6"/>
  <c r="AF362" i="6"/>
  <c r="AG362" i="6"/>
  <c r="AH362" i="6"/>
  <c r="AI362" i="6"/>
  <c r="AJ362" i="6"/>
  <c r="AK362" i="6"/>
  <c r="AL362" i="6"/>
  <c r="AM362" i="6"/>
  <c r="AN362" i="6"/>
  <c r="AO362" i="6"/>
  <c r="AP362" i="6"/>
  <c r="AQ362" i="6"/>
  <c r="B363" i="6"/>
  <c r="C363" i="6"/>
  <c r="D363" i="6"/>
  <c r="E363" i="6"/>
  <c r="F363" i="6"/>
  <c r="G363" i="6"/>
  <c r="H363" i="6"/>
  <c r="I363" i="6"/>
  <c r="J363" i="6"/>
  <c r="K363" i="6"/>
  <c r="L363" i="6"/>
  <c r="M363" i="6"/>
  <c r="N363" i="6"/>
  <c r="O363" i="6"/>
  <c r="P363" i="6"/>
  <c r="Q363" i="6"/>
  <c r="R363" i="6"/>
  <c r="S363" i="6"/>
  <c r="T363" i="6"/>
  <c r="U363" i="6"/>
  <c r="V363" i="6"/>
  <c r="W363" i="6"/>
  <c r="X363" i="6"/>
  <c r="Y363" i="6"/>
  <c r="Z363" i="6"/>
  <c r="AA363" i="6"/>
  <c r="AB363" i="6"/>
  <c r="AC363" i="6"/>
  <c r="AD363" i="6"/>
  <c r="AE363" i="6"/>
  <c r="AF363" i="6"/>
  <c r="AG363" i="6"/>
  <c r="AH363" i="6"/>
  <c r="AI363" i="6"/>
  <c r="AJ363" i="6"/>
  <c r="AK363" i="6"/>
  <c r="AL363" i="6"/>
  <c r="AM363" i="6"/>
  <c r="AN363" i="6"/>
  <c r="AO363" i="6"/>
  <c r="AP363" i="6"/>
  <c r="AQ363" i="6"/>
  <c r="B364" i="6"/>
  <c r="C364" i="6"/>
  <c r="D364" i="6"/>
  <c r="E364" i="6"/>
  <c r="F364" i="6"/>
  <c r="G364" i="6"/>
  <c r="H364" i="6"/>
  <c r="I364" i="6"/>
  <c r="J364" i="6"/>
  <c r="K364" i="6"/>
  <c r="L364" i="6"/>
  <c r="M364" i="6"/>
  <c r="N364" i="6"/>
  <c r="O364" i="6"/>
  <c r="P364" i="6"/>
  <c r="Q364" i="6"/>
  <c r="R364" i="6"/>
  <c r="S364" i="6"/>
  <c r="T364" i="6"/>
  <c r="U364" i="6"/>
  <c r="V364" i="6"/>
  <c r="W364" i="6"/>
  <c r="X364" i="6"/>
  <c r="Y364" i="6"/>
  <c r="Z364" i="6"/>
  <c r="AA364" i="6"/>
  <c r="AB364" i="6"/>
  <c r="AC364" i="6"/>
  <c r="AD364" i="6"/>
  <c r="AE364" i="6"/>
  <c r="AF364" i="6"/>
  <c r="AG364" i="6"/>
  <c r="AH364" i="6"/>
  <c r="AI364" i="6"/>
  <c r="AJ364" i="6"/>
  <c r="AK364" i="6"/>
  <c r="AL364" i="6"/>
  <c r="AM364" i="6"/>
  <c r="AN364" i="6"/>
  <c r="AO364" i="6"/>
  <c r="AP364" i="6"/>
  <c r="AQ364" i="6"/>
  <c r="B365" i="6"/>
  <c r="C365" i="6"/>
  <c r="D365" i="6"/>
  <c r="E365" i="6"/>
  <c r="F365" i="6"/>
  <c r="G365" i="6"/>
  <c r="H365" i="6"/>
  <c r="I365" i="6"/>
  <c r="J365" i="6"/>
  <c r="K365" i="6"/>
  <c r="L365" i="6"/>
  <c r="M365" i="6"/>
  <c r="N365" i="6"/>
  <c r="O365" i="6"/>
  <c r="P365" i="6"/>
  <c r="Q365" i="6"/>
  <c r="R365" i="6"/>
  <c r="S365" i="6"/>
  <c r="T365" i="6"/>
  <c r="U365" i="6"/>
  <c r="V365" i="6"/>
  <c r="W365" i="6"/>
  <c r="X365" i="6"/>
  <c r="Y365" i="6"/>
  <c r="Z365" i="6"/>
  <c r="AA365" i="6"/>
  <c r="AB365" i="6"/>
  <c r="AC365" i="6"/>
  <c r="AD365" i="6"/>
  <c r="AE365" i="6"/>
  <c r="AF365" i="6"/>
  <c r="AG365" i="6"/>
  <c r="AH365" i="6"/>
  <c r="AI365" i="6"/>
  <c r="AJ365" i="6"/>
  <c r="AK365" i="6"/>
  <c r="AL365" i="6"/>
  <c r="AM365" i="6"/>
  <c r="AN365" i="6"/>
  <c r="AO365" i="6"/>
  <c r="AP365" i="6"/>
  <c r="AQ365" i="6"/>
  <c r="B366" i="6"/>
  <c r="C366" i="6"/>
  <c r="D366" i="6"/>
  <c r="E366" i="6"/>
  <c r="F366" i="6"/>
  <c r="G366" i="6"/>
  <c r="H366" i="6"/>
  <c r="I366" i="6"/>
  <c r="J366" i="6"/>
  <c r="K366" i="6"/>
  <c r="L366" i="6"/>
  <c r="M366" i="6"/>
  <c r="N366" i="6"/>
  <c r="O366" i="6"/>
  <c r="P366" i="6"/>
  <c r="Q366" i="6"/>
  <c r="R366" i="6"/>
  <c r="S366" i="6"/>
  <c r="T366" i="6"/>
  <c r="U366" i="6"/>
  <c r="V366" i="6"/>
  <c r="W366" i="6"/>
  <c r="X366" i="6"/>
  <c r="Y366" i="6"/>
  <c r="Z366" i="6"/>
  <c r="AA366" i="6"/>
  <c r="AB366" i="6"/>
  <c r="AC366" i="6"/>
  <c r="AD366" i="6"/>
  <c r="AE366" i="6"/>
  <c r="AF366" i="6"/>
  <c r="AG366" i="6"/>
  <c r="AH366" i="6"/>
  <c r="AI366" i="6"/>
  <c r="AJ366" i="6"/>
  <c r="AK366" i="6"/>
  <c r="AL366" i="6"/>
  <c r="AM366" i="6"/>
  <c r="AN366" i="6"/>
  <c r="AO366" i="6"/>
  <c r="AP366" i="6"/>
  <c r="AQ366" i="6"/>
  <c r="B367" i="6"/>
  <c r="C367" i="6"/>
  <c r="D367" i="6"/>
  <c r="E367" i="6"/>
  <c r="F367" i="6"/>
  <c r="G367" i="6"/>
  <c r="H367" i="6"/>
  <c r="I367" i="6"/>
  <c r="J367" i="6"/>
  <c r="K367" i="6"/>
  <c r="L367" i="6"/>
  <c r="M367" i="6"/>
  <c r="N367" i="6"/>
  <c r="O367" i="6"/>
  <c r="P367" i="6"/>
  <c r="Q367" i="6"/>
  <c r="R367" i="6"/>
  <c r="S367" i="6"/>
  <c r="T367" i="6"/>
  <c r="U367" i="6"/>
  <c r="V367" i="6"/>
  <c r="W367" i="6"/>
  <c r="X367" i="6"/>
  <c r="Y367" i="6"/>
  <c r="Z367" i="6"/>
  <c r="AA367" i="6"/>
  <c r="AB367" i="6"/>
  <c r="AC367" i="6"/>
  <c r="AD367" i="6"/>
  <c r="AE367" i="6"/>
  <c r="AF367" i="6"/>
  <c r="AG367" i="6"/>
  <c r="AH367" i="6"/>
  <c r="AI367" i="6"/>
  <c r="AJ367" i="6"/>
  <c r="AK367" i="6"/>
  <c r="AL367" i="6"/>
  <c r="AM367" i="6"/>
  <c r="AN367" i="6"/>
  <c r="AO367" i="6"/>
  <c r="AP367" i="6"/>
  <c r="AQ367" i="6"/>
  <c r="B368" i="6"/>
  <c r="C368" i="6"/>
  <c r="D368" i="6"/>
  <c r="E368" i="6"/>
  <c r="F368" i="6"/>
  <c r="G368" i="6"/>
  <c r="H368" i="6"/>
  <c r="I368" i="6"/>
  <c r="J368" i="6"/>
  <c r="K368" i="6"/>
  <c r="L368" i="6"/>
  <c r="M368" i="6"/>
  <c r="N368" i="6"/>
  <c r="O368" i="6"/>
  <c r="P368" i="6"/>
  <c r="Q368" i="6"/>
  <c r="R368" i="6"/>
  <c r="S368" i="6"/>
  <c r="T368" i="6"/>
  <c r="U368" i="6"/>
  <c r="V368" i="6"/>
  <c r="W368" i="6"/>
  <c r="X368" i="6"/>
  <c r="Y368" i="6"/>
  <c r="Z368" i="6"/>
  <c r="AA368" i="6"/>
  <c r="AB368" i="6"/>
  <c r="AC368" i="6"/>
  <c r="AD368" i="6"/>
  <c r="AE368" i="6"/>
  <c r="AF368" i="6"/>
  <c r="AG368" i="6"/>
  <c r="AH368" i="6"/>
  <c r="AI368" i="6"/>
  <c r="AJ368" i="6"/>
  <c r="AK368" i="6"/>
  <c r="AL368" i="6"/>
  <c r="AM368" i="6"/>
  <c r="AN368" i="6"/>
  <c r="AO368" i="6"/>
  <c r="AP368" i="6"/>
  <c r="AQ368" i="6"/>
  <c r="B369" i="6"/>
  <c r="C369" i="6"/>
  <c r="D369" i="6"/>
  <c r="E369" i="6"/>
  <c r="F369" i="6"/>
  <c r="G369" i="6"/>
  <c r="H369" i="6"/>
  <c r="I369" i="6"/>
  <c r="J369" i="6"/>
  <c r="K369" i="6"/>
  <c r="L369" i="6"/>
  <c r="M369" i="6"/>
  <c r="N369" i="6"/>
  <c r="O369" i="6"/>
  <c r="P369" i="6"/>
  <c r="Q369" i="6"/>
  <c r="R369" i="6"/>
  <c r="S369" i="6"/>
  <c r="T369" i="6"/>
  <c r="U369" i="6"/>
  <c r="V369" i="6"/>
  <c r="W369" i="6"/>
  <c r="X369" i="6"/>
  <c r="Y369" i="6"/>
  <c r="Z369" i="6"/>
  <c r="AA369" i="6"/>
  <c r="AB369" i="6"/>
  <c r="AC369" i="6"/>
  <c r="AD369" i="6"/>
  <c r="AE369" i="6"/>
  <c r="AF369" i="6"/>
  <c r="AG369" i="6"/>
  <c r="AH369" i="6"/>
  <c r="AI369" i="6"/>
  <c r="AJ369" i="6"/>
  <c r="AK369" i="6"/>
  <c r="AL369" i="6"/>
  <c r="AM369" i="6"/>
  <c r="AN369" i="6"/>
  <c r="AO369" i="6"/>
  <c r="AP369" i="6"/>
  <c r="AQ369" i="6"/>
  <c r="B370" i="6"/>
  <c r="C370" i="6"/>
  <c r="D370" i="6"/>
  <c r="E370" i="6"/>
  <c r="F370" i="6"/>
  <c r="G370" i="6"/>
  <c r="H370" i="6"/>
  <c r="I370" i="6"/>
  <c r="J370" i="6"/>
  <c r="K370" i="6"/>
  <c r="L370" i="6"/>
  <c r="M370" i="6"/>
  <c r="N370" i="6"/>
  <c r="O370" i="6"/>
  <c r="P370" i="6"/>
  <c r="Q370" i="6"/>
  <c r="R370" i="6"/>
  <c r="S370" i="6"/>
  <c r="T370" i="6"/>
  <c r="U370" i="6"/>
  <c r="V370" i="6"/>
  <c r="W370" i="6"/>
  <c r="X370" i="6"/>
  <c r="Y370" i="6"/>
  <c r="Z370" i="6"/>
  <c r="AA370" i="6"/>
  <c r="AB370" i="6"/>
  <c r="AC370" i="6"/>
  <c r="AD370" i="6"/>
  <c r="AE370" i="6"/>
  <c r="AF370" i="6"/>
  <c r="AG370" i="6"/>
  <c r="AH370" i="6"/>
  <c r="AI370" i="6"/>
  <c r="AJ370" i="6"/>
  <c r="AK370" i="6"/>
  <c r="AL370" i="6"/>
  <c r="AM370" i="6"/>
  <c r="AN370" i="6"/>
  <c r="AO370" i="6"/>
  <c r="AP370" i="6"/>
  <c r="AQ370" i="6"/>
  <c r="B371" i="6"/>
  <c r="C371" i="6"/>
  <c r="D371" i="6"/>
  <c r="E371" i="6"/>
  <c r="F371" i="6"/>
  <c r="G371" i="6"/>
  <c r="H371" i="6"/>
  <c r="I371" i="6"/>
  <c r="J371" i="6"/>
  <c r="K371" i="6"/>
  <c r="L371" i="6"/>
  <c r="M371" i="6"/>
  <c r="N371" i="6"/>
  <c r="O371" i="6"/>
  <c r="P371" i="6"/>
  <c r="Q371" i="6"/>
  <c r="R371" i="6"/>
  <c r="S371" i="6"/>
  <c r="T371" i="6"/>
  <c r="U371" i="6"/>
  <c r="V371" i="6"/>
  <c r="W371" i="6"/>
  <c r="X371" i="6"/>
  <c r="Y371" i="6"/>
  <c r="Z371" i="6"/>
  <c r="AA371" i="6"/>
  <c r="AB371" i="6"/>
  <c r="AC371" i="6"/>
  <c r="AD371" i="6"/>
  <c r="AE371" i="6"/>
  <c r="AF371" i="6"/>
  <c r="AG371" i="6"/>
  <c r="AH371" i="6"/>
  <c r="AI371" i="6"/>
  <c r="AJ371" i="6"/>
  <c r="AK371" i="6"/>
  <c r="AL371" i="6"/>
  <c r="AM371" i="6"/>
  <c r="AN371" i="6"/>
  <c r="AO371" i="6"/>
  <c r="AP371" i="6"/>
  <c r="AQ371" i="6"/>
  <c r="B372" i="6"/>
  <c r="C372" i="6"/>
  <c r="D372" i="6"/>
  <c r="E372" i="6"/>
  <c r="F372" i="6"/>
  <c r="G372" i="6"/>
  <c r="H372" i="6"/>
  <c r="I372" i="6"/>
  <c r="J372" i="6"/>
  <c r="K372" i="6"/>
  <c r="L372" i="6"/>
  <c r="M372" i="6"/>
  <c r="N372" i="6"/>
  <c r="O372" i="6"/>
  <c r="P372" i="6"/>
  <c r="Q372" i="6"/>
  <c r="R372" i="6"/>
  <c r="S372" i="6"/>
  <c r="T372" i="6"/>
  <c r="U372" i="6"/>
  <c r="V372" i="6"/>
  <c r="W372" i="6"/>
  <c r="X372" i="6"/>
  <c r="Y372" i="6"/>
  <c r="Z372" i="6"/>
  <c r="AA372" i="6"/>
  <c r="AB372" i="6"/>
  <c r="AC372" i="6"/>
  <c r="AD372" i="6"/>
  <c r="AE372" i="6"/>
  <c r="AF372" i="6"/>
  <c r="AG372" i="6"/>
  <c r="AH372" i="6"/>
  <c r="AI372" i="6"/>
  <c r="AJ372" i="6"/>
  <c r="AK372" i="6"/>
  <c r="AL372" i="6"/>
  <c r="AM372" i="6"/>
  <c r="AN372" i="6"/>
  <c r="AO372" i="6"/>
  <c r="AP372" i="6"/>
  <c r="AQ372" i="6"/>
  <c r="B373" i="6"/>
  <c r="C373" i="6"/>
  <c r="D373" i="6"/>
  <c r="E373" i="6"/>
  <c r="F373" i="6"/>
  <c r="G373" i="6"/>
  <c r="H373" i="6"/>
  <c r="I373" i="6"/>
  <c r="J373" i="6"/>
  <c r="K373" i="6"/>
  <c r="L373" i="6"/>
  <c r="M373" i="6"/>
  <c r="N373" i="6"/>
  <c r="O373" i="6"/>
  <c r="P373" i="6"/>
  <c r="Q373" i="6"/>
  <c r="R373" i="6"/>
  <c r="S373" i="6"/>
  <c r="T373" i="6"/>
  <c r="U373" i="6"/>
  <c r="V373" i="6"/>
  <c r="W373" i="6"/>
  <c r="X373" i="6"/>
  <c r="Y373" i="6"/>
  <c r="Z373" i="6"/>
  <c r="AA373" i="6"/>
  <c r="AB373" i="6"/>
  <c r="AC373" i="6"/>
  <c r="AD373" i="6"/>
  <c r="AE373" i="6"/>
  <c r="AF373" i="6"/>
  <c r="AG373" i="6"/>
  <c r="AH373" i="6"/>
  <c r="AI373" i="6"/>
  <c r="AJ373" i="6"/>
  <c r="AK373" i="6"/>
  <c r="AL373" i="6"/>
  <c r="AM373" i="6"/>
  <c r="AN373" i="6"/>
  <c r="AO373" i="6"/>
  <c r="AP373" i="6"/>
  <c r="AQ373" i="6"/>
  <c r="B374" i="6"/>
  <c r="C374" i="6"/>
  <c r="D374" i="6"/>
  <c r="E374" i="6"/>
  <c r="F374" i="6"/>
  <c r="G374" i="6"/>
  <c r="H374" i="6"/>
  <c r="I374" i="6"/>
  <c r="J374" i="6"/>
  <c r="K374" i="6"/>
  <c r="L374" i="6"/>
  <c r="M374" i="6"/>
  <c r="N374" i="6"/>
  <c r="O374" i="6"/>
  <c r="P374" i="6"/>
  <c r="Q374" i="6"/>
  <c r="R374" i="6"/>
  <c r="S374" i="6"/>
  <c r="T374" i="6"/>
  <c r="U374" i="6"/>
  <c r="V374" i="6"/>
  <c r="W374" i="6"/>
  <c r="X374" i="6"/>
  <c r="Y374" i="6"/>
  <c r="Z374" i="6"/>
  <c r="AA374" i="6"/>
  <c r="AB374" i="6"/>
  <c r="AC374" i="6"/>
  <c r="AD374" i="6"/>
  <c r="AE374" i="6"/>
  <c r="AF374" i="6"/>
  <c r="AG374" i="6"/>
  <c r="AH374" i="6"/>
  <c r="AI374" i="6"/>
  <c r="AJ374" i="6"/>
  <c r="AK374" i="6"/>
  <c r="AL374" i="6"/>
  <c r="AM374" i="6"/>
  <c r="AN374" i="6"/>
  <c r="AO374" i="6"/>
  <c r="AP374" i="6"/>
  <c r="AQ374" i="6"/>
  <c r="B375" i="6"/>
  <c r="C375" i="6"/>
  <c r="D375" i="6"/>
  <c r="E375" i="6"/>
  <c r="F375" i="6"/>
  <c r="G375" i="6"/>
  <c r="H375" i="6"/>
  <c r="I375" i="6"/>
  <c r="J375" i="6"/>
  <c r="K375" i="6"/>
  <c r="L375" i="6"/>
  <c r="M375" i="6"/>
  <c r="N375" i="6"/>
  <c r="O375" i="6"/>
  <c r="P375" i="6"/>
  <c r="Q375" i="6"/>
  <c r="R375" i="6"/>
  <c r="S375" i="6"/>
  <c r="T375" i="6"/>
  <c r="U375" i="6"/>
  <c r="V375" i="6"/>
  <c r="W375" i="6"/>
  <c r="X375" i="6"/>
  <c r="Y375" i="6"/>
  <c r="Z375" i="6"/>
  <c r="AA375" i="6"/>
  <c r="AB375" i="6"/>
  <c r="AC375" i="6"/>
  <c r="AD375" i="6"/>
  <c r="AE375" i="6"/>
  <c r="AF375" i="6"/>
  <c r="AG375" i="6"/>
  <c r="AH375" i="6"/>
  <c r="AI375" i="6"/>
  <c r="AJ375" i="6"/>
  <c r="AK375" i="6"/>
  <c r="AL375" i="6"/>
  <c r="AM375" i="6"/>
  <c r="AN375" i="6"/>
  <c r="AO375" i="6"/>
  <c r="AP375" i="6"/>
  <c r="AQ375" i="6"/>
  <c r="B376" i="6"/>
  <c r="C376" i="6"/>
  <c r="D376" i="6"/>
  <c r="E376" i="6"/>
  <c r="F376" i="6"/>
  <c r="G376" i="6"/>
  <c r="H376" i="6"/>
  <c r="I376" i="6"/>
  <c r="J376" i="6"/>
  <c r="K376" i="6"/>
  <c r="L376" i="6"/>
  <c r="M376" i="6"/>
  <c r="N376" i="6"/>
  <c r="O376" i="6"/>
  <c r="P376" i="6"/>
  <c r="Q376" i="6"/>
  <c r="R376" i="6"/>
  <c r="S376" i="6"/>
  <c r="T376" i="6"/>
  <c r="U376" i="6"/>
  <c r="V376" i="6"/>
  <c r="W376" i="6"/>
  <c r="X376" i="6"/>
  <c r="Y376" i="6"/>
  <c r="Z376" i="6"/>
  <c r="AA376" i="6"/>
  <c r="AB376" i="6"/>
  <c r="AC376" i="6"/>
  <c r="AD376" i="6"/>
  <c r="AE376" i="6"/>
  <c r="AF376" i="6"/>
  <c r="AG376" i="6"/>
  <c r="AH376" i="6"/>
  <c r="AI376" i="6"/>
  <c r="AJ376" i="6"/>
  <c r="AK376" i="6"/>
  <c r="AL376" i="6"/>
  <c r="AM376" i="6"/>
  <c r="AN376" i="6"/>
  <c r="AO376" i="6"/>
  <c r="AP376" i="6"/>
  <c r="AQ376" i="6"/>
  <c r="B377" i="6"/>
  <c r="C377" i="6"/>
  <c r="D377" i="6"/>
  <c r="E377" i="6"/>
  <c r="F377" i="6"/>
  <c r="G377" i="6"/>
  <c r="H377" i="6"/>
  <c r="I377" i="6"/>
  <c r="J377" i="6"/>
  <c r="K377" i="6"/>
  <c r="L377" i="6"/>
  <c r="M377" i="6"/>
  <c r="N377" i="6"/>
  <c r="O377" i="6"/>
  <c r="P377" i="6"/>
  <c r="Q377" i="6"/>
  <c r="R377" i="6"/>
  <c r="S377" i="6"/>
  <c r="T377" i="6"/>
  <c r="U377" i="6"/>
  <c r="V377" i="6"/>
  <c r="W377" i="6"/>
  <c r="X377" i="6"/>
  <c r="Y377" i="6"/>
  <c r="Z377" i="6"/>
  <c r="AA377" i="6"/>
  <c r="AB377" i="6"/>
  <c r="AC377" i="6"/>
  <c r="AD377" i="6"/>
  <c r="AE377" i="6"/>
  <c r="AF377" i="6"/>
  <c r="AG377" i="6"/>
  <c r="AH377" i="6"/>
  <c r="AI377" i="6"/>
  <c r="AJ377" i="6"/>
  <c r="AK377" i="6"/>
  <c r="AL377" i="6"/>
  <c r="AM377" i="6"/>
  <c r="AN377" i="6"/>
  <c r="AO377" i="6"/>
  <c r="AP377" i="6"/>
  <c r="AQ377" i="6"/>
  <c r="B378" i="6"/>
  <c r="C378" i="6"/>
  <c r="D378" i="6"/>
  <c r="E378" i="6"/>
  <c r="F378" i="6"/>
  <c r="G378" i="6"/>
  <c r="H378" i="6"/>
  <c r="I378" i="6"/>
  <c r="J378" i="6"/>
  <c r="K378" i="6"/>
  <c r="L378" i="6"/>
  <c r="M378" i="6"/>
  <c r="N378" i="6"/>
  <c r="O378" i="6"/>
  <c r="P378" i="6"/>
  <c r="Q378" i="6"/>
  <c r="R378" i="6"/>
  <c r="S378" i="6"/>
  <c r="T378" i="6"/>
  <c r="U378" i="6"/>
  <c r="V378" i="6"/>
  <c r="W378" i="6"/>
  <c r="X378" i="6"/>
  <c r="Y378" i="6"/>
  <c r="Z378" i="6"/>
  <c r="AA378" i="6"/>
  <c r="AB378" i="6"/>
  <c r="AC378" i="6"/>
  <c r="AD378" i="6"/>
  <c r="AE378" i="6"/>
  <c r="AF378" i="6"/>
  <c r="AG378" i="6"/>
  <c r="AH378" i="6"/>
  <c r="AI378" i="6"/>
  <c r="AJ378" i="6"/>
  <c r="AK378" i="6"/>
  <c r="AL378" i="6"/>
  <c r="AM378" i="6"/>
  <c r="AN378" i="6"/>
  <c r="AO378" i="6"/>
  <c r="AP378" i="6"/>
  <c r="AQ378" i="6"/>
  <c r="B379" i="6"/>
  <c r="C379" i="6"/>
  <c r="D379" i="6"/>
  <c r="E379" i="6"/>
  <c r="F379" i="6"/>
  <c r="G379" i="6"/>
  <c r="H379" i="6"/>
  <c r="I379" i="6"/>
  <c r="J379" i="6"/>
  <c r="K379" i="6"/>
  <c r="L379" i="6"/>
  <c r="M379" i="6"/>
  <c r="N379" i="6"/>
  <c r="O379" i="6"/>
  <c r="P379" i="6"/>
  <c r="Q379" i="6"/>
  <c r="R379" i="6"/>
  <c r="S379" i="6"/>
  <c r="T379" i="6"/>
  <c r="U379" i="6"/>
  <c r="V379" i="6"/>
  <c r="W379" i="6"/>
  <c r="X379" i="6"/>
  <c r="Y379" i="6"/>
  <c r="Z379" i="6"/>
  <c r="AA379" i="6"/>
  <c r="AB379" i="6"/>
  <c r="AC379" i="6"/>
  <c r="AD379" i="6"/>
  <c r="AE379" i="6"/>
  <c r="AF379" i="6"/>
  <c r="AG379" i="6"/>
  <c r="AH379" i="6"/>
  <c r="AI379" i="6"/>
  <c r="AJ379" i="6"/>
  <c r="AK379" i="6"/>
  <c r="AL379" i="6"/>
  <c r="AM379" i="6"/>
  <c r="AN379" i="6"/>
  <c r="AO379" i="6"/>
  <c r="AP379" i="6"/>
  <c r="AQ379" i="6"/>
  <c r="B380" i="6"/>
  <c r="C380" i="6"/>
  <c r="D380" i="6"/>
  <c r="E380" i="6"/>
  <c r="F380" i="6"/>
  <c r="G380" i="6"/>
  <c r="H380" i="6"/>
  <c r="I380" i="6"/>
  <c r="J380" i="6"/>
  <c r="K380" i="6"/>
  <c r="L380" i="6"/>
  <c r="M380" i="6"/>
  <c r="N380" i="6"/>
  <c r="O380" i="6"/>
  <c r="P380" i="6"/>
  <c r="Q380" i="6"/>
  <c r="R380" i="6"/>
  <c r="S380" i="6"/>
  <c r="T380" i="6"/>
  <c r="U380" i="6"/>
  <c r="V380" i="6"/>
  <c r="W380" i="6"/>
  <c r="X380" i="6"/>
  <c r="Y380" i="6"/>
  <c r="Z380" i="6"/>
  <c r="AA380" i="6"/>
  <c r="AB380" i="6"/>
  <c r="AC380" i="6"/>
  <c r="AD380" i="6"/>
  <c r="AE380" i="6"/>
  <c r="AF380" i="6"/>
  <c r="AG380" i="6"/>
  <c r="AH380" i="6"/>
  <c r="AI380" i="6"/>
  <c r="AJ380" i="6"/>
  <c r="AK380" i="6"/>
  <c r="AL380" i="6"/>
  <c r="AM380" i="6"/>
  <c r="AN380" i="6"/>
  <c r="AO380" i="6"/>
  <c r="AP380" i="6"/>
  <c r="AQ380" i="6"/>
  <c r="B381" i="6"/>
  <c r="C381" i="6"/>
  <c r="D381" i="6"/>
  <c r="E381" i="6"/>
  <c r="F381" i="6"/>
  <c r="G381" i="6"/>
  <c r="H381" i="6"/>
  <c r="I381" i="6"/>
  <c r="J381" i="6"/>
  <c r="K381" i="6"/>
  <c r="L381" i="6"/>
  <c r="M381" i="6"/>
  <c r="N381" i="6"/>
  <c r="O381" i="6"/>
  <c r="P381" i="6"/>
  <c r="Q381" i="6"/>
  <c r="R381" i="6"/>
  <c r="S381" i="6"/>
  <c r="T381" i="6"/>
  <c r="U381" i="6"/>
  <c r="V381" i="6"/>
  <c r="W381" i="6"/>
  <c r="X381" i="6"/>
  <c r="Y381" i="6"/>
  <c r="Z381" i="6"/>
  <c r="AA381" i="6"/>
  <c r="AB381" i="6"/>
  <c r="AC381" i="6"/>
  <c r="AD381" i="6"/>
  <c r="AE381" i="6"/>
  <c r="AF381" i="6"/>
  <c r="AG381" i="6"/>
  <c r="AH381" i="6"/>
  <c r="AI381" i="6"/>
  <c r="AJ381" i="6"/>
  <c r="AK381" i="6"/>
  <c r="AL381" i="6"/>
  <c r="AM381" i="6"/>
  <c r="AN381" i="6"/>
  <c r="AO381" i="6"/>
  <c r="AP381" i="6"/>
  <c r="AQ381" i="6"/>
  <c r="B382" i="6"/>
  <c r="C382" i="6"/>
  <c r="D382" i="6"/>
  <c r="E382" i="6"/>
  <c r="F382" i="6"/>
  <c r="G382" i="6"/>
  <c r="H382" i="6"/>
  <c r="I382" i="6"/>
  <c r="J382" i="6"/>
  <c r="K382" i="6"/>
  <c r="L382" i="6"/>
  <c r="M382" i="6"/>
  <c r="N382" i="6"/>
  <c r="O382" i="6"/>
  <c r="P382" i="6"/>
  <c r="Q382" i="6"/>
  <c r="R382" i="6"/>
  <c r="S382" i="6"/>
  <c r="T382" i="6"/>
  <c r="U382" i="6"/>
  <c r="V382" i="6"/>
  <c r="W382" i="6"/>
  <c r="X382" i="6"/>
  <c r="Y382" i="6"/>
  <c r="Z382" i="6"/>
  <c r="AA382" i="6"/>
  <c r="AB382" i="6"/>
  <c r="AC382" i="6"/>
  <c r="AD382" i="6"/>
  <c r="AE382" i="6"/>
  <c r="AF382" i="6"/>
  <c r="AG382" i="6"/>
  <c r="AH382" i="6"/>
  <c r="AI382" i="6"/>
  <c r="AJ382" i="6"/>
  <c r="AK382" i="6"/>
  <c r="AL382" i="6"/>
  <c r="AM382" i="6"/>
  <c r="AN382" i="6"/>
  <c r="AO382" i="6"/>
  <c r="AP382" i="6"/>
  <c r="AQ382" i="6"/>
  <c r="B383" i="6"/>
  <c r="C383" i="6"/>
  <c r="D383" i="6"/>
  <c r="E383" i="6"/>
  <c r="F383" i="6"/>
  <c r="G383" i="6"/>
  <c r="H383" i="6"/>
  <c r="I383" i="6"/>
  <c r="J383" i="6"/>
  <c r="K383" i="6"/>
  <c r="L383" i="6"/>
  <c r="M383" i="6"/>
  <c r="N383" i="6"/>
  <c r="O383" i="6"/>
  <c r="P383" i="6"/>
  <c r="Q383" i="6"/>
  <c r="R383" i="6"/>
  <c r="S383" i="6"/>
  <c r="T383" i="6"/>
  <c r="U383" i="6"/>
  <c r="V383" i="6"/>
  <c r="W383" i="6"/>
  <c r="X383" i="6"/>
  <c r="Y383" i="6"/>
  <c r="Z383" i="6"/>
  <c r="AA383" i="6"/>
  <c r="AB383" i="6"/>
  <c r="AC383" i="6"/>
  <c r="AD383" i="6"/>
  <c r="AE383" i="6"/>
  <c r="AF383" i="6"/>
  <c r="AG383" i="6"/>
  <c r="AH383" i="6"/>
  <c r="AI383" i="6"/>
  <c r="AJ383" i="6"/>
  <c r="AK383" i="6"/>
  <c r="AL383" i="6"/>
  <c r="AM383" i="6"/>
  <c r="AN383" i="6"/>
  <c r="AO383" i="6"/>
  <c r="AP383" i="6"/>
  <c r="AQ383" i="6"/>
  <c r="B384" i="6"/>
  <c r="C384" i="6"/>
  <c r="D384" i="6"/>
  <c r="E384" i="6"/>
  <c r="F384" i="6"/>
  <c r="G384" i="6"/>
  <c r="H384" i="6"/>
  <c r="I384" i="6"/>
  <c r="J384" i="6"/>
  <c r="K384" i="6"/>
  <c r="L384" i="6"/>
  <c r="M384" i="6"/>
  <c r="N384" i="6"/>
  <c r="O384" i="6"/>
  <c r="P384" i="6"/>
  <c r="Q384" i="6"/>
  <c r="R384" i="6"/>
  <c r="S384" i="6"/>
  <c r="T384" i="6"/>
  <c r="U384" i="6"/>
  <c r="V384" i="6"/>
  <c r="W384" i="6"/>
  <c r="X384" i="6"/>
  <c r="Y384" i="6"/>
  <c r="Z384" i="6"/>
  <c r="AA384" i="6"/>
  <c r="AB384" i="6"/>
  <c r="AC384" i="6"/>
  <c r="AD384" i="6"/>
  <c r="AE384" i="6"/>
  <c r="AF384" i="6"/>
  <c r="AG384" i="6"/>
  <c r="AH384" i="6"/>
  <c r="AI384" i="6"/>
  <c r="AJ384" i="6"/>
  <c r="AK384" i="6"/>
  <c r="AL384" i="6"/>
  <c r="AM384" i="6"/>
  <c r="AN384" i="6"/>
  <c r="AO384" i="6"/>
  <c r="AP384" i="6"/>
  <c r="AQ384" i="6"/>
  <c r="B385" i="6"/>
  <c r="C385" i="6"/>
  <c r="D385" i="6"/>
  <c r="E385" i="6"/>
  <c r="F385" i="6"/>
  <c r="G385" i="6"/>
  <c r="H385" i="6"/>
  <c r="I385" i="6"/>
  <c r="J385" i="6"/>
  <c r="K385" i="6"/>
  <c r="L385" i="6"/>
  <c r="M385" i="6"/>
  <c r="N385" i="6"/>
  <c r="O385" i="6"/>
  <c r="P385" i="6"/>
  <c r="Q385" i="6"/>
  <c r="R385" i="6"/>
  <c r="S385" i="6"/>
  <c r="T385" i="6"/>
  <c r="U385" i="6"/>
  <c r="V385" i="6"/>
  <c r="W385" i="6"/>
  <c r="X385" i="6"/>
  <c r="Y385" i="6"/>
  <c r="Z385" i="6"/>
  <c r="AA385" i="6"/>
  <c r="AB385" i="6"/>
  <c r="AC385" i="6"/>
  <c r="AD385" i="6"/>
  <c r="AE385" i="6"/>
  <c r="AF385" i="6"/>
  <c r="AG385" i="6"/>
  <c r="AH385" i="6"/>
  <c r="AI385" i="6"/>
  <c r="AJ385" i="6"/>
  <c r="AK385" i="6"/>
  <c r="AL385" i="6"/>
  <c r="AM385" i="6"/>
  <c r="AN385" i="6"/>
  <c r="AO385" i="6"/>
  <c r="AP385" i="6"/>
  <c r="AQ385" i="6"/>
  <c r="B386" i="6"/>
  <c r="C386" i="6"/>
  <c r="D386" i="6"/>
  <c r="E386" i="6"/>
  <c r="F386" i="6"/>
  <c r="G386" i="6"/>
  <c r="H386" i="6"/>
  <c r="I386" i="6"/>
  <c r="J386" i="6"/>
  <c r="K386" i="6"/>
  <c r="L386" i="6"/>
  <c r="M386" i="6"/>
  <c r="N386" i="6"/>
  <c r="O386" i="6"/>
  <c r="P386" i="6"/>
  <c r="Q386" i="6"/>
  <c r="R386" i="6"/>
  <c r="S386" i="6"/>
  <c r="T386" i="6"/>
  <c r="U386" i="6"/>
  <c r="V386" i="6"/>
  <c r="W386" i="6"/>
  <c r="X386" i="6"/>
  <c r="Y386" i="6"/>
  <c r="Z386" i="6"/>
  <c r="AA386" i="6"/>
  <c r="AB386" i="6"/>
  <c r="AC386" i="6"/>
  <c r="AD386" i="6"/>
  <c r="AE386" i="6"/>
  <c r="AF386" i="6"/>
  <c r="AG386" i="6"/>
  <c r="AH386" i="6"/>
  <c r="AI386" i="6"/>
  <c r="AJ386" i="6"/>
  <c r="AK386" i="6"/>
  <c r="AL386" i="6"/>
  <c r="AM386" i="6"/>
  <c r="AN386" i="6"/>
  <c r="AO386" i="6"/>
  <c r="AP386" i="6"/>
  <c r="AQ386" i="6"/>
  <c r="B387" i="6"/>
  <c r="C387" i="6"/>
  <c r="D387" i="6"/>
  <c r="E387" i="6"/>
  <c r="F387" i="6"/>
  <c r="G387" i="6"/>
  <c r="H387" i="6"/>
  <c r="I387" i="6"/>
  <c r="J387" i="6"/>
  <c r="K387" i="6"/>
  <c r="L387" i="6"/>
  <c r="M387" i="6"/>
  <c r="N387" i="6"/>
  <c r="O387" i="6"/>
  <c r="P387" i="6"/>
  <c r="Q387" i="6"/>
  <c r="R387" i="6"/>
  <c r="S387" i="6"/>
  <c r="T387" i="6"/>
  <c r="U387" i="6"/>
  <c r="V387" i="6"/>
  <c r="W387" i="6"/>
  <c r="X387" i="6"/>
  <c r="Y387" i="6"/>
  <c r="Z387" i="6"/>
  <c r="AA387" i="6"/>
  <c r="AB387" i="6"/>
  <c r="AC387" i="6"/>
  <c r="AD387" i="6"/>
  <c r="AE387" i="6"/>
  <c r="AF387" i="6"/>
  <c r="AG387" i="6"/>
  <c r="AH387" i="6"/>
  <c r="AI387" i="6"/>
  <c r="AJ387" i="6"/>
  <c r="AK387" i="6"/>
  <c r="AL387" i="6"/>
  <c r="AM387" i="6"/>
  <c r="AN387" i="6"/>
  <c r="AO387" i="6"/>
  <c r="AP387" i="6"/>
  <c r="AQ387" i="6"/>
  <c r="B388" i="6"/>
  <c r="C388" i="6"/>
  <c r="D388" i="6"/>
  <c r="E388" i="6"/>
  <c r="F388" i="6"/>
  <c r="G388" i="6"/>
  <c r="H388" i="6"/>
  <c r="I388" i="6"/>
  <c r="J388" i="6"/>
  <c r="K388" i="6"/>
  <c r="L388" i="6"/>
  <c r="M388" i="6"/>
  <c r="N388" i="6"/>
  <c r="O388" i="6"/>
  <c r="P388" i="6"/>
  <c r="Q388" i="6"/>
  <c r="R388" i="6"/>
  <c r="S388" i="6"/>
  <c r="T388" i="6"/>
  <c r="U388" i="6"/>
  <c r="V388" i="6"/>
  <c r="W388" i="6"/>
  <c r="X388" i="6"/>
  <c r="Y388" i="6"/>
  <c r="Z388" i="6"/>
  <c r="AA388" i="6"/>
  <c r="AB388" i="6"/>
  <c r="AC388" i="6"/>
  <c r="AD388" i="6"/>
  <c r="AE388" i="6"/>
  <c r="AF388" i="6"/>
  <c r="AG388" i="6"/>
  <c r="AH388" i="6"/>
  <c r="AI388" i="6"/>
  <c r="AJ388" i="6"/>
  <c r="AK388" i="6"/>
  <c r="AL388" i="6"/>
  <c r="AM388" i="6"/>
  <c r="AN388" i="6"/>
  <c r="AO388" i="6"/>
  <c r="AP388" i="6"/>
  <c r="AQ388" i="6"/>
  <c r="B389" i="6"/>
  <c r="C389" i="6"/>
  <c r="D389" i="6"/>
  <c r="E389" i="6"/>
  <c r="F389" i="6"/>
  <c r="G389" i="6"/>
  <c r="H389" i="6"/>
  <c r="I389" i="6"/>
  <c r="J389" i="6"/>
  <c r="K389" i="6"/>
  <c r="L389" i="6"/>
  <c r="M389" i="6"/>
  <c r="N389" i="6"/>
  <c r="O389" i="6"/>
  <c r="P389" i="6"/>
  <c r="Q389" i="6"/>
  <c r="R389" i="6"/>
  <c r="S389" i="6"/>
  <c r="T389" i="6"/>
  <c r="U389" i="6"/>
  <c r="V389" i="6"/>
  <c r="W389" i="6"/>
  <c r="X389" i="6"/>
  <c r="Y389" i="6"/>
  <c r="Z389" i="6"/>
  <c r="AA389" i="6"/>
  <c r="AB389" i="6"/>
  <c r="AC389" i="6"/>
  <c r="AD389" i="6"/>
  <c r="AE389" i="6"/>
  <c r="AF389" i="6"/>
  <c r="AG389" i="6"/>
  <c r="AH389" i="6"/>
  <c r="AI389" i="6"/>
  <c r="AJ389" i="6"/>
  <c r="AK389" i="6"/>
  <c r="AL389" i="6"/>
  <c r="AM389" i="6"/>
  <c r="AN389" i="6"/>
  <c r="AO389" i="6"/>
  <c r="AP389" i="6"/>
  <c r="AQ389" i="6"/>
  <c r="B390" i="6"/>
  <c r="C390" i="6"/>
  <c r="D390" i="6"/>
  <c r="E390" i="6"/>
  <c r="F390" i="6"/>
  <c r="G390" i="6"/>
  <c r="H390" i="6"/>
  <c r="I390" i="6"/>
  <c r="J390" i="6"/>
  <c r="K390" i="6"/>
  <c r="L390" i="6"/>
  <c r="M390" i="6"/>
  <c r="N390" i="6"/>
  <c r="O390" i="6"/>
  <c r="P390" i="6"/>
  <c r="Q390" i="6"/>
  <c r="R390" i="6"/>
  <c r="S390" i="6"/>
  <c r="T390" i="6"/>
  <c r="U390" i="6"/>
  <c r="V390" i="6"/>
  <c r="W390" i="6"/>
  <c r="X390" i="6"/>
  <c r="Y390" i="6"/>
  <c r="Z390" i="6"/>
  <c r="AA390" i="6"/>
  <c r="AB390" i="6"/>
  <c r="AC390" i="6"/>
  <c r="AD390" i="6"/>
  <c r="AE390" i="6"/>
  <c r="AF390" i="6"/>
  <c r="AG390" i="6"/>
  <c r="AH390" i="6"/>
  <c r="AI390" i="6"/>
  <c r="AJ390" i="6"/>
  <c r="AK390" i="6"/>
  <c r="AL390" i="6"/>
  <c r="AM390" i="6"/>
  <c r="AN390" i="6"/>
  <c r="AO390" i="6"/>
  <c r="AP390" i="6"/>
  <c r="AQ390" i="6"/>
  <c r="B391" i="6"/>
  <c r="C391" i="6"/>
  <c r="D391" i="6"/>
  <c r="E391" i="6"/>
  <c r="F391" i="6"/>
  <c r="G391" i="6"/>
  <c r="H391" i="6"/>
  <c r="I391" i="6"/>
  <c r="J391" i="6"/>
  <c r="K391" i="6"/>
  <c r="L391" i="6"/>
  <c r="M391" i="6"/>
  <c r="N391" i="6"/>
  <c r="O391" i="6"/>
  <c r="P391" i="6"/>
  <c r="Q391" i="6"/>
  <c r="R391" i="6"/>
  <c r="S391" i="6"/>
  <c r="T391" i="6"/>
  <c r="U391" i="6"/>
  <c r="V391" i="6"/>
  <c r="W391" i="6"/>
  <c r="X391" i="6"/>
  <c r="Y391" i="6"/>
  <c r="Z391" i="6"/>
  <c r="AA391" i="6"/>
  <c r="AB391" i="6"/>
  <c r="AC391" i="6"/>
  <c r="AD391" i="6"/>
  <c r="AE391" i="6"/>
  <c r="AF391" i="6"/>
  <c r="AG391" i="6"/>
  <c r="AH391" i="6"/>
  <c r="AI391" i="6"/>
  <c r="AJ391" i="6"/>
  <c r="AK391" i="6"/>
  <c r="AL391" i="6"/>
  <c r="AM391" i="6"/>
  <c r="AN391" i="6"/>
  <c r="AO391" i="6"/>
  <c r="AP391" i="6"/>
  <c r="AQ391" i="6"/>
  <c r="B392" i="6"/>
  <c r="C392" i="6"/>
  <c r="D392" i="6"/>
  <c r="E392" i="6"/>
  <c r="F392" i="6"/>
  <c r="G392" i="6"/>
  <c r="H392" i="6"/>
  <c r="I392" i="6"/>
  <c r="J392" i="6"/>
  <c r="K392" i="6"/>
  <c r="L392" i="6"/>
  <c r="M392" i="6"/>
  <c r="N392" i="6"/>
  <c r="O392" i="6"/>
  <c r="P392" i="6"/>
  <c r="Q392" i="6"/>
  <c r="R392" i="6"/>
  <c r="S392" i="6"/>
  <c r="T392" i="6"/>
  <c r="U392" i="6"/>
  <c r="V392" i="6"/>
  <c r="W392" i="6"/>
  <c r="X392" i="6"/>
  <c r="Y392" i="6"/>
  <c r="Z392" i="6"/>
  <c r="AA392" i="6"/>
  <c r="AB392" i="6"/>
  <c r="AC392" i="6"/>
  <c r="AD392" i="6"/>
  <c r="AE392" i="6"/>
  <c r="AF392" i="6"/>
  <c r="AG392" i="6"/>
  <c r="AH392" i="6"/>
  <c r="AI392" i="6"/>
  <c r="AJ392" i="6"/>
  <c r="AK392" i="6"/>
  <c r="AL392" i="6"/>
  <c r="AM392" i="6"/>
  <c r="AN392" i="6"/>
  <c r="AO392" i="6"/>
  <c r="AP392" i="6"/>
  <c r="AQ392" i="6"/>
  <c r="B393" i="6"/>
  <c r="C393" i="6"/>
  <c r="D393" i="6"/>
  <c r="E393" i="6"/>
  <c r="F393" i="6"/>
  <c r="G393" i="6"/>
  <c r="H393" i="6"/>
  <c r="I393" i="6"/>
  <c r="J393" i="6"/>
  <c r="K393" i="6"/>
  <c r="L393" i="6"/>
  <c r="M393" i="6"/>
  <c r="N393" i="6"/>
  <c r="O393" i="6"/>
  <c r="P393" i="6"/>
  <c r="Q393" i="6"/>
  <c r="R393" i="6"/>
  <c r="S393" i="6"/>
  <c r="T393" i="6"/>
  <c r="U393" i="6"/>
  <c r="V393" i="6"/>
  <c r="W393" i="6"/>
  <c r="X393" i="6"/>
  <c r="Y393" i="6"/>
  <c r="Z393" i="6"/>
  <c r="AA393" i="6"/>
  <c r="AB393" i="6"/>
  <c r="AC393" i="6"/>
  <c r="AD393" i="6"/>
  <c r="AE393" i="6"/>
  <c r="AF393" i="6"/>
  <c r="AG393" i="6"/>
  <c r="AH393" i="6"/>
  <c r="AI393" i="6"/>
  <c r="AJ393" i="6"/>
  <c r="AK393" i="6"/>
  <c r="AL393" i="6"/>
  <c r="AM393" i="6"/>
  <c r="AN393" i="6"/>
  <c r="AO393" i="6"/>
  <c r="AP393" i="6"/>
  <c r="AQ393" i="6"/>
  <c r="B394" i="6"/>
  <c r="C394" i="6"/>
  <c r="D394" i="6"/>
  <c r="E394" i="6"/>
  <c r="F394" i="6"/>
  <c r="G394" i="6"/>
  <c r="H394" i="6"/>
  <c r="I394" i="6"/>
  <c r="J394" i="6"/>
  <c r="K394" i="6"/>
  <c r="L394" i="6"/>
  <c r="M394" i="6"/>
  <c r="N394" i="6"/>
  <c r="O394" i="6"/>
  <c r="P394" i="6"/>
  <c r="Q394" i="6"/>
  <c r="R394" i="6"/>
  <c r="S394" i="6"/>
  <c r="T394" i="6"/>
  <c r="U394" i="6"/>
  <c r="V394" i="6"/>
  <c r="W394" i="6"/>
  <c r="X394" i="6"/>
  <c r="Y394" i="6"/>
  <c r="Z394" i="6"/>
  <c r="AA394" i="6"/>
  <c r="AB394" i="6"/>
  <c r="AC394" i="6"/>
  <c r="AD394" i="6"/>
  <c r="AE394" i="6"/>
  <c r="AF394" i="6"/>
  <c r="AG394" i="6"/>
  <c r="AH394" i="6"/>
  <c r="AI394" i="6"/>
  <c r="AJ394" i="6"/>
  <c r="AK394" i="6"/>
  <c r="AL394" i="6"/>
  <c r="AM394" i="6"/>
  <c r="AN394" i="6"/>
  <c r="AO394" i="6"/>
  <c r="AP394" i="6"/>
  <c r="AQ394" i="6"/>
  <c r="B395" i="6"/>
  <c r="C395" i="6"/>
  <c r="D395" i="6"/>
  <c r="E395" i="6"/>
  <c r="F395" i="6"/>
  <c r="G395" i="6"/>
  <c r="H395" i="6"/>
  <c r="I395" i="6"/>
  <c r="J395" i="6"/>
  <c r="K395" i="6"/>
  <c r="L395" i="6"/>
  <c r="M395" i="6"/>
  <c r="N395" i="6"/>
  <c r="O395" i="6"/>
  <c r="P395" i="6"/>
  <c r="Q395" i="6"/>
  <c r="R395" i="6"/>
  <c r="S395" i="6"/>
  <c r="T395" i="6"/>
  <c r="U395" i="6"/>
  <c r="V395" i="6"/>
  <c r="W395" i="6"/>
  <c r="X395" i="6"/>
  <c r="Y395" i="6"/>
  <c r="Z395" i="6"/>
  <c r="AA395" i="6"/>
  <c r="AB395" i="6"/>
  <c r="AC395" i="6"/>
  <c r="AD395" i="6"/>
  <c r="AE395" i="6"/>
  <c r="AF395" i="6"/>
  <c r="AG395" i="6"/>
  <c r="AH395" i="6"/>
  <c r="AI395" i="6"/>
  <c r="AJ395" i="6"/>
  <c r="AK395" i="6"/>
  <c r="AL395" i="6"/>
  <c r="AM395" i="6"/>
  <c r="AN395" i="6"/>
  <c r="AO395" i="6"/>
  <c r="AP395" i="6"/>
  <c r="AQ395" i="6"/>
  <c r="B396" i="6"/>
  <c r="C396" i="6"/>
  <c r="D396" i="6"/>
  <c r="E396" i="6"/>
  <c r="F396" i="6"/>
  <c r="G396" i="6"/>
  <c r="H396" i="6"/>
  <c r="I396" i="6"/>
  <c r="J396" i="6"/>
  <c r="K396" i="6"/>
  <c r="L396" i="6"/>
  <c r="M396" i="6"/>
  <c r="N396" i="6"/>
  <c r="O396" i="6"/>
  <c r="P396" i="6"/>
  <c r="Q396" i="6"/>
  <c r="R396" i="6"/>
  <c r="S396" i="6"/>
  <c r="T396" i="6"/>
  <c r="U396" i="6"/>
  <c r="V396" i="6"/>
  <c r="W396" i="6"/>
  <c r="X396" i="6"/>
  <c r="Y396" i="6"/>
  <c r="Z396" i="6"/>
  <c r="AA396" i="6"/>
  <c r="AB396" i="6"/>
  <c r="AC396" i="6"/>
  <c r="AD396" i="6"/>
  <c r="AE396" i="6"/>
  <c r="AF396" i="6"/>
  <c r="AG396" i="6"/>
  <c r="AH396" i="6"/>
  <c r="AI396" i="6"/>
  <c r="AJ396" i="6"/>
  <c r="AK396" i="6"/>
  <c r="AL396" i="6"/>
  <c r="AM396" i="6"/>
  <c r="AN396" i="6"/>
  <c r="AO396" i="6"/>
  <c r="AP396" i="6"/>
  <c r="AQ396" i="6"/>
  <c r="B397" i="6"/>
  <c r="C397" i="6"/>
  <c r="D397" i="6"/>
  <c r="E397" i="6"/>
  <c r="F397" i="6"/>
  <c r="G397" i="6"/>
  <c r="H397" i="6"/>
  <c r="I397" i="6"/>
  <c r="J397" i="6"/>
  <c r="K397" i="6"/>
  <c r="L397" i="6"/>
  <c r="M397" i="6"/>
  <c r="N397" i="6"/>
  <c r="O397" i="6"/>
  <c r="P397" i="6"/>
  <c r="Q397" i="6"/>
  <c r="R397" i="6"/>
  <c r="S397" i="6"/>
  <c r="T397" i="6"/>
  <c r="U397" i="6"/>
  <c r="V397" i="6"/>
  <c r="W397" i="6"/>
  <c r="X397" i="6"/>
  <c r="Y397" i="6"/>
  <c r="Z397" i="6"/>
  <c r="AA397" i="6"/>
  <c r="AB397" i="6"/>
  <c r="AC397" i="6"/>
  <c r="AD397" i="6"/>
  <c r="AE397" i="6"/>
  <c r="AF397" i="6"/>
  <c r="AG397" i="6"/>
  <c r="AH397" i="6"/>
  <c r="AI397" i="6"/>
  <c r="AJ397" i="6"/>
  <c r="AK397" i="6"/>
  <c r="AL397" i="6"/>
  <c r="AM397" i="6"/>
  <c r="AN397" i="6"/>
  <c r="AO397" i="6"/>
  <c r="AP397" i="6"/>
  <c r="AQ397" i="6"/>
  <c r="B398" i="6"/>
  <c r="C398" i="6"/>
  <c r="D398" i="6"/>
  <c r="E398" i="6"/>
  <c r="F398" i="6"/>
  <c r="G398" i="6"/>
  <c r="H398" i="6"/>
  <c r="I398" i="6"/>
  <c r="J398" i="6"/>
  <c r="K398" i="6"/>
  <c r="L398" i="6"/>
  <c r="M398" i="6"/>
  <c r="N398" i="6"/>
  <c r="O398" i="6"/>
  <c r="P398" i="6"/>
  <c r="Q398" i="6"/>
  <c r="R398" i="6"/>
  <c r="S398" i="6"/>
  <c r="T398" i="6"/>
  <c r="U398" i="6"/>
  <c r="V398" i="6"/>
  <c r="W398" i="6"/>
  <c r="X398" i="6"/>
  <c r="Y398" i="6"/>
  <c r="Z398" i="6"/>
  <c r="AA398" i="6"/>
  <c r="AB398" i="6"/>
  <c r="AC398" i="6"/>
  <c r="AD398" i="6"/>
  <c r="AE398" i="6"/>
  <c r="AF398" i="6"/>
  <c r="AG398" i="6"/>
  <c r="AH398" i="6"/>
  <c r="AI398" i="6"/>
  <c r="AJ398" i="6"/>
  <c r="AK398" i="6"/>
  <c r="AL398" i="6"/>
  <c r="AM398" i="6"/>
  <c r="AN398" i="6"/>
  <c r="AO398" i="6"/>
  <c r="AP398" i="6"/>
  <c r="AQ398" i="6"/>
  <c r="B399" i="6"/>
  <c r="C399" i="6"/>
  <c r="D399" i="6"/>
  <c r="E399" i="6"/>
  <c r="F399" i="6"/>
  <c r="G399" i="6"/>
  <c r="H399" i="6"/>
  <c r="I399" i="6"/>
  <c r="J399" i="6"/>
  <c r="K399" i="6"/>
  <c r="L399" i="6"/>
  <c r="M399" i="6"/>
  <c r="N399" i="6"/>
  <c r="O399" i="6"/>
  <c r="P399" i="6"/>
  <c r="Q399" i="6"/>
  <c r="R399" i="6"/>
  <c r="S399" i="6"/>
  <c r="T399" i="6"/>
  <c r="U399" i="6"/>
  <c r="V399" i="6"/>
  <c r="W399" i="6"/>
  <c r="X399" i="6"/>
  <c r="Y399" i="6"/>
  <c r="Z399" i="6"/>
  <c r="AA399" i="6"/>
  <c r="AB399" i="6"/>
  <c r="AC399" i="6"/>
  <c r="AD399" i="6"/>
  <c r="AE399" i="6"/>
  <c r="AF399" i="6"/>
  <c r="AG399" i="6"/>
  <c r="AH399" i="6"/>
  <c r="AI399" i="6"/>
  <c r="AJ399" i="6"/>
  <c r="AK399" i="6"/>
  <c r="AL399" i="6"/>
  <c r="AM399" i="6"/>
  <c r="AN399" i="6"/>
  <c r="AO399" i="6"/>
  <c r="AP399" i="6"/>
  <c r="AQ399" i="6"/>
  <c r="C4" i="5"/>
  <c r="C5" i="5"/>
  <c r="B7" i="5" a="1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AQ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AH85" i="5"/>
  <c r="AI85" i="5"/>
  <c r="AJ85" i="5"/>
  <c r="AK85" i="5"/>
  <c r="AL85" i="5"/>
  <c r="AM85" i="5"/>
  <c r="AN85" i="5"/>
  <c r="AO85" i="5"/>
  <c r="AP85" i="5"/>
  <c r="AQ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AH86" i="5"/>
  <c r="AI86" i="5"/>
  <c r="AJ86" i="5"/>
  <c r="AK86" i="5"/>
  <c r="AL86" i="5"/>
  <c r="AM86" i="5"/>
  <c r="AN86" i="5"/>
  <c r="AO86" i="5"/>
  <c r="AP86" i="5"/>
  <c r="AQ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AQ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AQ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AQ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AQ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AQ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AH92" i="5"/>
  <c r="AI92" i="5"/>
  <c r="AJ92" i="5"/>
  <c r="AK92" i="5"/>
  <c r="AL92" i="5"/>
  <c r="AM92" i="5"/>
  <c r="AN92" i="5"/>
  <c r="AO92" i="5"/>
  <c r="AP92" i="5"/>
  <c r="AQ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AH93" i="5"/>
  <c r="AI93" i="5"/>
  <c r="AJ93" i="5"/>
  <c r="AK93" i="5"/>
  <c r="AL93" i="5"/>
  <c r="AM93" i="5"/>
  <c r="AN93" i="5"/>
  <c r="AO93" i="5"/>
  <c r="AP93" i="5"/>
  <c r="AQ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AH94" i="5"/>
  <c r="AI94" i="5"/>
  <c r="AJ94" i="5"/>
  <c r="AK94" i="5"/>
  <c r="AL94" i="5"/>
  <c r="AM94" i="5"/>
  <c r="AN94" i="5"/>
  <c r="AO94" i="5"/>
  <c r="AP94" i="5"/>
  <c r="AQ94" i="5"/>
  <c r="B95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AH95" i="5"/>
  <c r="AI95" i="5"/>
  <c r="AJ95" i="5"/>
  <c r="AK95" i="5"/>
  <c r="AL95" i="5"/>
  <c r="AM95" i="5"/>
  <c r="AN95" i="5"/>
  <c r="AO95" i="5"/>
  <c r="AP95" i="5"/>
  <c r="AQ95" i="5"/>
  <c r="B96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AH96" i="5"/>
  <c r="AI96" i="5"/>
  <c r="AJ96" i="5"/>
  <c r="AK96" i="5"/>
  <c r="AL96" i="5"/>
  <c r="AM96" i="5"/>
  <c r="AN96" i="5"/>
  <c r="AO96" i="5"/>
  <c r="AP96" i="5"/>
  <c r="AQ96" i="5"/>
  <c r="B97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AH97" i="5"/>
  <c r="AI97" i="5"/>
  <c r="AJ97" i="5"/>
  <c r="AK97" i="5"/>
  <c r="AL97" i="5"/>
  <c r="AM97" i="5"/>
  <c r="AN97" i="5"/>
  <c r="AO97" i="5"/>
  <c r="AP97" i="5"/>
  <c r="AQ97" i="5"/>
  <c r="B98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AH98" i="5"/>
  <c r="AI98" i="5"/>
  <c r="AJ98" i="5"/>
  <c r="AK98" i="5"/>
  <c r="AL98" i="5"/>
  <c r="AM98" i="5"/>
  <c r="AN98" i="5"/>
  <c r="AO98" i="5"/>
  <c r="AP98" i="5"/>
  <c r="AQ98" i="5"/>
  <c r="B99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AH99" i="5"/>
  <c r="AI99" i="5"/>
  <c r="AJ99" i="5"/>
  <c r="AK99" i="5"/>
  <c r="AL99" i="5"/>
  <c r="AM99" i="5"/>
  <c r="AN99" i="5"/>
  <c r="AO99" i="5"/>
  <c r="AP99" i="5"/>
  <c r="AQ99" i="5"/>
  <c r="B100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AH100" i="5"/>
  <c r="AI100" i="5"/>
  <c r="AJ100" i="5"/>
  <c r="AK100" i="5"/>
  <c r="AL100" i="5"/>
  <c r="AM100" i="5"/>
  <c r="AN100" i="5"/>
  <c r="AO100" i="5"/>
  <c r="AP100" i="5"/>
  <c r="AQ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AQ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AQ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B104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AQ104" i="5"/>
  <c r="B105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AQ105" i="5"/>
  <c r="B106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AL106" i="5"/>
  <c r="AM106" i="5"/>
  <c r="AN106" i="5"/>
  <c r="AO106" i="5"/>
  <c r="AP106" i="5"/>
  <c r="AQ106" i="5"/>
  <c r="B107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AK107" i="5"/>
  <c r="AL107" i="5"/>
  <c r="AM107" i="5"/>
  <c r="AN107" i="5"/>
  <c r="AO107" i="5"/>
  <c r="AP107" i="5"/>
  <c r="AQ107" i="5"/>
  <c r="B108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AQ108" i="5"/>
  <c r="B109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AH109" i="5"/>
  <c r="AI109" i="5"/>
  <c r="AJ109" i="5"/>
  <c r="AK109" i="5"/>
  <c r="AL109" i="5"/>
  <c r="AM109" i="5"/>
  <c r="AN109" i="5"/>
  <c r="AO109" i="5"/>
  <c r="AP109" i="5"/>
  <c r="AQ109" i="5"/>
  <c r="B110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AH110" i="5"/>
  <c r="AI110" i="5"/>
  <c r="AJ110" i="5"/>
  <c r="AK110" i="5"/>
  <c r="AL110" i="5"/>
  <c r="AM110" i="5"/>
  <c r="AN110" i="5"/>
  <c r="AO110" i="5"/>
  <c r="AP110" i="5"/>
  <c r="AQ110" i="5"/>
  <c r="B111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AH111" i="5"/>
  <c r="AI111" i="5"/>
  <c r="AJ111" i="5"/>
  <c r="AK111" i="5"/>
  <c r="AL111" i="5"/>
  <c r="AM111" i="5"/>
  <c r="AN111" i="5"/>
  <c r="AO111" i="5"/>
  <c r="AP111" i="5"/>
  <c r="AQ111" i="5"/>
  <c r="B112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AH112" i="5"/>
  <c r="AI112" i="5"/>
  <c r="AJ112" i="5"/>
  <c r="AK112" i="5"/>
  <c r="AL112" i="5"/>
  <c r="AM112" i="5"/>
  <c r="AN112" i="5"/>
  <c r="AO112" i="5"/>
  <c r="AP112" i="5"/>
  <c r="AQ112" i="5"/>
  <c r="B113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AH113" i="5"/>
  <c r="AI113" i="5"/>
  <c r="AJ113" i="5"/>
  <c r="AK113" i="5"/>
  <c r="AL113" i="5"/>
  <c r="AM113" i="5"/>
  <c r="AN113" i="5"/>
  <c r="AO113" i="5"/>
  <c r="AP113" i="5"/>
  <c r="AQ113" i="5"/>
  <c r="B114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AH114" i="5"/>
  <c r="AI114" i="5"/>
  <c r="AJ114" i="5"/>
  <c r="AK114" i="5"/>
  <c r="AL114" i="5"/>
  <c r="AM114" i="5"/>
  <c r="AN114" i="5"/>
  <c r="AO114" i="5"/>
  <c r="AP114" i="5"/>
  <c r="AQ114" i="5"/>
  <c r="B115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AH115" i="5"/>
  <c r="AI115" i="5"/>
  <c r="AJ115" i="5"/>
  <c r="AK115" i="5"/>
  <c r="AL115" i="5"/>
  <c r="AM115" i="5"/>
  <c r="AN115" i="5"/>
  <c r="AO115" i="5"/>
  <c r="AP115" i="5"/>
  <c r="AQ115" i="5"/>
  <c r="B116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AH116" i="5"/>
  <c r="AI116" i="5"/>
  <c r="AJ116" i="5"/>
  <c r="AK116" i="5"/>
  <c r="AL116" i="5"/>
  <c r="AM116" i="5"/>
  <c r="AN116" i="5"/>
  <c r="AO116" i="5"/>
  <c r="AP116" i="5"/>
  <c r="AQ116" i="5"/>
  <c r="B117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AH117" i="5"/>
  <c r="AI117" i="5"/>
  <c r="AJ117" i="5"/>
  <c r="AK117" i="5"/>
  <c r="AL117" i="5"/>
  <c r="AM117" i="5"/>
  <c r="AN117" i="5"/>
  <c r="AO117" i="5"/>
  <c r="AP117" i="5"/>
  <c r="AQ117" i="5"/>
  <c r="B118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AQ118" i="5"/>
  <c r="B119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AH119" i="5"/>
  <c r="AI119" i="5"/>
  <c r="AJ119" i="5"/>
  <c r="AK119" i="5"/>
  <c r="AL119" i="5"/>
  <c r="AM119" i="5"/>
  <c r="AN119" i="5"/>
  <c r="AO119" i="5"/>
  <c r="AP119" i="5"/>
  <c r="AQ119" i="5"/>
  <c r="B120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AH120" i="5"/>
  <c r="AI120" i="5"/>
  <c r="AJ120" i="5"/>
  <c r="AK120" i="5"/>
  <c r="AL120" i="5"/>
  <c r="AM120" i="5"/>
  <c r="AN120" i="5"/>
  <c r="AO120" i="5"/>
  <c r="AP120" i="5"/>
  <c r="AQ120" i="5"/>
  <c r="B121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AH121" i="5"/>
  <c r="AI121" i="5"/>
  <c r="AJ121" i="5"/>
  <c r="AK121" i="5"/>
  <c r="AL121" i="5"/>
  <c r="AM121" i="5"/>
  <c r="AN121" i="5"/>
  <c r="AO121" i="5"/>
  <c r="AP121" i="5"/>
  <c r="AQ121" i="5"/>
  <c r="B122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AH122" i="5"/>
  <c r="AI122" i="5"/>
  <c r="AJ122" i="5"/>
  <c r="AK122" i="5"/>
  <c r="AL122" i="5"/>
  <c r="AM122" i="5"/>
  <c r="AN122" i="5"/>
  <c r="AO122" i="5"/>
  <c r="AP122" i="5"/>
  <c r="AQ122" i="5"/>
  <c r="B123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AH123" i="5"/>
  <c r="AI123" i="5"/>
  <c r="AJ123" i="5"/>
  <c r="AK123" i="5"/>
  <c r="AL123" i="5"/>
  <c r="AM123" i="5"/>
  <c r="AN123" i="5"/>
  <c r="AO123" i="5"/>
  <c r="AP123" i="5"/>
  <c r="AQ123" i="5"/>
  <c r="B124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AH124" i="5"/>
  <c r="AI124" i="5"/>
  <c r="AJ124" i="5"/>
  <c r="AK124" i="5"/>
  <c r="AL124" i="5"/>
  <c r="AM124" i="5"/>
  <c r="AN124" i="5"/>
  <c r="AO124" i="5"/>
  <c r="AP124" i="5"/>
  <c r="AQ124" i="5"/>
  <c r="B125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AH125" i="5"/>
  <c r="AI125" i="5"/>
  <c r="AJ125" i="5"/>
  <c r="AK125" i="5"/>
  <c r="AL125" i="5"/>
  <c r="AM125" i="5"/>
  <c r="AN125" i="5"/>
  <c r="AO125" i="5"/>
  <c r="AP125" i="5"/>
  <c r="AQ125" i="5"/>
  <c r="B126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AH126" i="5"/>
  <c r="AI126" i="5"/>
  <c r="AJ126" i="5"/>
  <c r="AK126" i="5"/>
  <c r="AL126" i="5"/>
  <c r="AM126" i="5"/>
  <c r="AN126" i="5"/>
  <c r="AO126" i="5"/>
  <c r="AP126" i="5"/>
  <c r="AQ126" i="5"/>
  <c r="B127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AH127" i="5"/>
  <c r="AI127" i="5"/>
  <c r="AJ127" i="5"/>
  <c r="AK127" i="5"/>
  <c r="AL127" i="5"/>
  <c r="AM127" i="5"/>
  <c r="AN127" i="5"/>
  <c r="AO127" i="5"/>
  <c r="AP127" i="5"/>
  <c r="AQ127" i="5"/>
  <c r="B128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AH128" i="5"/>
  <c r="AI128" i="5"/>
  <c r="AJ128" i="5"/>
  <c r="AK128" i="5"/>
  <c r="AL128" i="5"/>
  <c r="AM128" i="5"/>
  <c r="AN128" i="5"/>
  <c r="AO128" i="5"/>
  <c r="AP128" i="5"/>
  <c r="AQ128" i="5"/>
  <c r="B129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AH129" i="5"/>
  <c r="AI129" i="5"/>
  <c r="AJ129" i="5"/>
  <c r="AK129" i="5"/>
  <c r="AL129" i="5"/>
  <c r="AM129" i="5"/>
  <c r="AN129" i="5"/>
  <c r="AO129" i="5"/>
  <c r="AP129" i="5"/>
  <c r="AQ129" i="5"/>
  <c r="B130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AH130" i="5"/>
  <c r="AI130" i="5"/>
  <c r="AJ130" i="5"/>
  <c r="AK130" i="5"/>
  <c r="AL130" i="5"/>
  <c r="AM130" i="5"/>
  <c r="AN130" i="5"/>
  <c r="AO130" i="5"/>
  <c r="AP130" i="5"/>
  <c r="AQ130" i="5"/>
  <c r="B131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AH131" i="5"/>
  <c r="AI131" i="5"/>
  <c r="AJ131" i="5"/>
  <c r="AK131" i="5"/>
  <c r="AL131" i="5"/>
  <c r="AM131" i="5"/>
  <c r="AN131" i="5"/>
  <c r="AO131" i="5"/>
  <c r="AP131" i="5"/>
  <c r="AQ131" i="5"/>
  <c r="B132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AH132" i="5"/>
  <c r="AI132" i="5"/>
  <c r="AJ132" i="5"/>
  <c r="AK132" i="5"/>
  <c r="AL132" i="5"/>
  <c r="AM132" i="5"/>
  <c r="AN132" i="5"/>
  <c r="AO132" i="5"/>
  <c r="AP132" i="5"/>
  <c r="AQ132" i="5"/>
  <c r="B133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AH133" i="5"/>
  <c r="AI133" i="5"/>
  <c r="AJ133" i="5"/>
  <c r="AK133" i="5"/>
  <c r="AL133" i="5"/>
  <c r="AM133" i="5"/>
  <c r="AN133" i="5"/>
  <c r="AO133" i="5"/>
  <c r="AP133" i="5"/>
  <c r="AQ133" i="5"/>
  <c r="B134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AH134" i="5"/>
  <c r="AI134" i="5"/>
  <c r="AJ134" i="5"/>
  <c r="AK134" i="5"/>
  <c r="AL134" i="5"/>
  <c r="AM134" i="5"/>
  <c r="AN134" i="5"/>
  <c r="AO134" i="5"/>
  <c r="AP134" i="5"/>
  <c r="AQ134" i="5"/>
  <c r="B135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AH135" i="5"/>
  <c r="AI135" i="5"/>
  <c r="AJ135" i="5"/>
  <c r="AK135" i="5"/>
  <c r="AL135" i="5"/>
  <c r="AM135" i="5"/>
  <c r="AN135" i="5"/>
  <c r="AO135" i="5"/>
  <c r="AP135" i="5"/>
  <c r="AQ135" i="5"/>
  <c r="B136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AH136" i="5"/>
  <c r="AI136" i="5"/>
  <c r="AJ136" i="5"/>
  <c r="AK136" i="5"/>
  <c r="AL136" i="5"/>
  <c r="AM136" i="5"/>
  <c r="AN136" i="5"/>
  <c r="AO136" i="5"/>
  <c r="AP136" i="5"/>
  <c r="AQ136" i="5"/>
  <c r="B137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AH137" i="5"/>
  <c r="AI137" i="5"/>
  <c r="AJ137" i="5"/>
  <c r="AK137" i="5"/>
  <c r="AL137" i="5"/>
  <c r="AM137" i="5"/>
  <c r="AN137" i="5"/>
  <c r="AO137" i="5"/>
  <c r="AP137" i="5"/>
  <c r="AQ137" i="5"/>
  <c r="B138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AH138" i="5"/>
  <c r="AI138" i="5"/>
  <c r="AJ138" i="5"/>
  <c r="AK138" i="5"/>
  <c r="AL138" i="5"/>
  <c r="AM138" i="5"/>
  <c r="AN138" i="5"/>
  <c r="AO138" i="5"/>
  <c r="AP138" i="5"/>
  <c r="AQ138" i="5"/>
  <c r="B139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AH139" i="5"/>
  <c r="AI139" i="5"/>
  <c r="AJ139" i="5"/>
  <c r="AK139" i="5"/>
  <c r="AL139" i="5"/>
  <c r="AM139" i="5"/>
  <c r="AN139" i="5"/>
  <c r="AO139" i="5"/>
  <c r="AP139" i="5"/>
  <c r="AQ139" i="5"/>
  <c r="B140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AH140" i="5"/>
  <c r="AI140" i="5"/>
  <c r="AJ140" i="5"/>
  <c r="AK140" i="5"/>
  <c r="AL140" i="5"/>
  <c r="AM140" i="5"/>
  <c r="AN140" i="5"/>
  <c r="AO140" i="5"/>
  <c r="AP140" i="5"/>
  <c r="AQ140" i="5"/>
  <c r="B141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AH141" i="5"/>
  <c r="AI141" i="5"/>
  <c r="AJ141" i="5"/>
  <c r="AK141" i="5"/>
  <c r="AL141" i="5"/>
  <c r="AM141" i="5"/>
  <c r="AN141" i="5"/>
  <c r="AO141" i="5"/>
  <c r="AP141" i="5"/>
  <c r="AQ141" i="5"/>
  <c r="B142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AH142" i="5"/>
  <c r="AI142" i="5"/>
  <c r="AJ142" i="5"/>
  <c r="AK142" i="5"/>
  <c r="AL142" i="5"/>
  <c r="AM142" i="5"/>
  <c r="AN142" i="5"/>
  <c r="AO142" i="5"/>
  <c r="AP142" i="5"/>
  <c r="AQ142" i="5"/>
  <c r="B143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AH143" i="5"/>
  <c r="AI143" i="5"/>
  <c r="AJ143" i="5"/>
  <c r="AK143" i="5"/>
  <c r="AL143" i="5"/>
  <c r="AM143" i="5"/>
  <c r="AN143" i="5"/>
  <c r="AO143" i="5"/>
  <c r="AP143" i="5"/>
  <c r="AQ143" i="5"/>
  <c r="B144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AH144" i="5"/>
  <c r="AI144" i="5"/>
  <c r="AJ144" i="5"/>
  <c r="AK144" i="5"/>
  <c r="AL144" i="5"/>
  <c r="AM144" i="5"/>
  <c r="AN144" i="5"/>
  <c r="AO144" i="5"/>
  <c r="AP144" i="5"/>
  <c r="AQ144" i="5"/>
  <c r="B145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AH145" i="5"/>
  <c r="AI145" i="5"/>
  <c r="AJ145" i="5"/>
  <c r="AK145" i="5"/>
  <c r="AL145" i="5"/>
  <c r="AM145" i="5"/>
  <c r="AN145" i="5"/>
  <c r="AO145" i="5"/>
  <c r="AP145" i="5"/>
  <c r="AQ145" i="5"/>
  <c r="B146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AH146" i="5"/>
  <c r="AI146" i="5"/>
  <c r="AJ146" i="5"/>
  <c r="AK146" i="5"/>
  <c r="AL146" i="5"/>
  <c r="AM146" i="5"/>
  <c r="AN146" i="5"/>
  <c r="AO146" i="5"/>
  <c r="AP146" i="5"/>
  <c r="AQ146" i="5"/>
  <c r="B147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AH147" i="5"/>
  <c r="AI147" i="5"/>
  <c r="AJ147" i="5"/>
  <c r="AK147" i="5"/>
  <c r="AL147" i="5"/>
  <c r="AM147" i="5"/>
  <c r="AN147" i="5"/>
  <c r="AO147" i="5"/>
  <c r="AP147" i="5"/>
  <c r="AQ147" i="5"/>
  <c r="B148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AH148" i="5"/>
  <c r="AI148" i="5"/>
  <c r="AJ148" i="5"/>
  <c r="AK148" i="5"/>
  <c r="AL148" i="5"/>
  <c r="AM148" i="5"/>
  <c r="AN148" i="5"/>
  <c r="AO148" i="5"/>
  <c r="AP148" i="5"/>
  <c r="AQ148" i="5"/>
  <c r="B149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AH149" i="5"/>
  <c r="AI149" i="5"/>
  <c r="AJ149" i="5"/>
  <c r="AK149" i="5"/>
  <c r="AL149" i="5"/>
  <c r="AM149" i="5"/>
  <c r="AN149" i="5"/>
  <c r="AO149" i="5"/>
  <c r="AP149" i="5"/>
  <c r="AQ149" i="5"/>
  <c r="B150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AH150" i="5"/>
  <c r="AI150" i="5"/>
  <c r="AJ150" i="5"/>
  <c r="AK150" i="5"/>
  <c r="AL150" i="5"/>
  <c r="AM150" i="5"/>
  <c r="AN150" i="5"/>
  <c r="AO150" i="5"/>
  <c r="AP150" i="5"/>
  <c r="AQ150" i="5"/>
  <c r="B151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AH151" i="5"/>
  <c r="AI151" i="5"/>
  <c r="AJ151" i="5"/>
  <c r="AK151" i="5"/>
  <c r="AL151" i="5"/>
  <c r="AM151" i="5"/>
  <c r="AN151" i="5"/>
  <c r="AO151" i="5"/>
  <c r="AP151" i="5"/>
  <c r="AQ151" i="5"/>
  <c r="B152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AH152" i="5"/>
  <c r="AI152" i="5"/>
  <c r="AJ152" i="5"/>
  <c r="AK152" i="5"/>
  <c r="AL152" i="5"/>
  <c r="AM152" i="5"/>
  <c r="AN152" i="5"/>
  <c r="AO152" i="5"/>
  <c r="AP152" i="5"/>
  <c r="AQ152" i="5"/>
  <c r="B153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AH153" i="5"/>
  <c r="AI153" i="5"/>
  <c r="AJ153" i="5"/>
  <c r="AK153" i="5"/>
  <c r="AL153" i="5"/>
  <c r="AM153" i="5"/>
  <c r="AN153" i="5"/>
  <c r="AO153" i="5"/>
  <c r="AP153" i="5"/>
  <c r="AQ153" i="5"/>
  <c r="B154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AH154" i="5"/>
  <c r="AI154" i="5"/>
  <c r="AJ154" i="5"/>
  <c r="AK154" i="5"/>
  <c r="AL154" i="5"/>
  <c r="AM154" i="5"/>
  <c r="AN154" i="5"/>
  <c r="AO154" i="5"/>
  <c r="AP154" i="5"/>
  <c r="AQ154" i="5"/>
  <c r="B155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AH155" i="5"/>
  <c r="AI155" i="5"/>
  <c r="AJ155" i="5"/>
  <c r="AK155" i="5"/>
  <c r="AL155" i="5"/>
  <c r="AM155" i="5"/>
  <c r="AN155" i="5"/>
  <c r="AO155" i="5"/>
  <c r="AP155" i="5"/>
  <c r="AQ155" i="5"/>
  <c r="B156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AH156" i="5"/>
  <c r="AI156" i="5"/>
  <c r="AJ156" i="5"/>
  <c r="AK156" i="5"/>
  <c r="AL156" i="5"/>
  <c r="AM156" i="5"/>
  <c r="AN156" i="5"/>
  <c r="AO156" i="5"/>
  <c r="AP156" i="5"/>
  <c r="AQ156" i="5"/>
  <c r="B157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AH157" i="5"/>
  <c r="AI157" i="5"/>
  <c r="AJ157" i="5"/>
  <c r="AK157" i="5"/>
  <c r="AL157" i="5"/>
  <c r="AM157" i="5"/>
  <c r="AN157" i="5"/>
  <c r="AO157" i="5"/>
  <c r="AP157" i="5"/>
  <c r="AQ157" i="5"/>
  <c r="B158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AH158" i="5"/>
  <c r="AI158" i="5"/>
  <c r="AJ158" i="5"/>
  <c r="AK158" i="5"/>
  <c r="AL158" i="5"/>
  <c r="AM158" i="5"/>
  <c r="AN158" i="5"/>
  <c r="AO158" i="5"/>
  <c r="AP158" i="5"/>
  <c r="AQ158" i="5"/>
  <c r="B159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AH159" i="5"/>
  <c r="AI159" i="5"/>
  <c r="AJ159" i="5"/>
  <c r="AK159" i="5"/>
  <c r="AL159" i="5"/>
  <c r="AM159" i="5"/>
  <c r="AN159" i="5"/>
  <c r="AO159" i="5"/>
  <c r="AP159" i="5"/>
  <c r="AQ159" i="5"/>
  <c r="B160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AH160" i="5"/>
  <c r="AI160" i="5"/>
  <c r="AJ160" i="5"/>
  <c r="AK160" i="5"/>
  <c r="AL160" i="5"/>
  <c r="AM160" i="5"/>
  <c r="AN160" i="5"/>
  <c r="AO160" i="5"/>
  <c r="AP160" i="5"/>
  <c r="AQ160" i="5"/>
  <c r="B161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AH161" i="5"/>
  <c r="AI161" i="5"/>
  <c r="AJ161" i="5"/>
  <c r="AK161" i="5"/>
  <c r="AL161" i="5"/>
  <c r="AM161" i="5"/>
  <c r="AN161" i="5"/>
  <c r="AO161" i="5"/>
  <c r="AP161" i="5"/>
  <c r="AQ161" i="5"/>
  <c r="B162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AH162" i="5"/>
  <c r="AI162" i="5"/>
  <c r="AJ162" i="5"/>
  <c r="AK162" i="5"/>
  <c r="AL162" i="5"/>
  <c r="AM162" i="5"/>
  <c r="AN162" i="5"/>
  <c r="AO162" i="5"/>
  <c r="AP162" i="5"/>
  <c r="AQ162" i="5"/>
  <c r="B163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AH163" i="5"/>
  <c r="AI163" i="5"/>
  <c r="AJ163" i="5"/>
  <c r="AK163" i="5"/>
  <c r="AL163" i="5"/>
  <c r="AM163" i="5"/>
  <c r="AN163" i="5"/>
  <c r="AO163" i="5"/>
  <c r="AP163" i="5"/>
  <c r="AQ163" i="5"/>
  <c r="B164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AH164" i="5"/>
  <c r="AI164" i="5"/>
  <c r="AJ164" i="5"/>
  <c r="AK164" i="5"/>
  <c r="AL164" i="5"/>
  <c r="AM164" i="5"/>
  <c r="AN164" i="5"/>
  <c r="AO164" i="5"/>
  <c r="AP164" i="5"/>
  <c r="AQ164" i="5"/>
  <c r="B165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AH165" i="5"/>
  <c r="AI165" i="5"/>
  <c r="AJ165" i="5"/>
  <c r="AK165" i="5"/>
  <c r="AL165" i="5"/>
  <c r="AM165" i="5"/>
  <c r="AN165" i="5"/>
  <c r="AO165" i="5"/>
  <c r="AP165" i="5"/>
  <c r="AQ165" i="5"/>
  <c r="B166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AH166" i="5"/>
  <c r="AI166" i="5"/>
  <c r="AJ166" i="5"/>
  <c r="AK166" i="5"/>
  <c r="AL166" i="5"/>
  <c r="AM166" i="5"/>
  <c r="AN166" i="5"/>
  <c r="AO166" i="5"/>
  <c r="AP166" i="5"/>
  <c r="AQ166" i="5"/>
  <c r="B167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AH167" i="5"/>
  <c r="AI167" i="5"/>
  <c r="AJ167" i="5"/>
  <c r="AK167" i="5"/>
  <c r="AL167" i="5"/>
  <c r="AM167" i="5"/>
  <c r="AN167" i="5"/>
  <c r="AO167" i="5"/>
  <c r="AP167" i="5"/>
  <c r="AQ167" i="5"/>
  <c r="B168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AH168" i="5"/>
  <c r="AI168" i="5"/>
  <c r="AJ168" i="5"/>
  <c r="AK168" i="5"/>
  <c r="AL168" i="5"/>
  <c r="AM168" i="5"/>
  <c r="AN168" i="5"/>
  <c r="AO168" i="5"/>
  <c r="AP168" i="5"/>
  <c r="AQ168" i="5"/>
  <c r="B169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AH169" i="5"/>
  <c r="AI169" i="5"/>
  <c r="AJ169" i="5"/>
  <c r="AK169" i="5"/>
  <c r="AL169" i="5"/>
  <c r="AM169" i="5"/>
  <c r="AN169" i="5"/>
  <c r="AO169" i="5"/>
  <c r="AP169" i="5"/>
  <c r="AQ169" i="5"/>
  <c r="B170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AH170" i="5"/>
  <c r="AI170" i="5"/>
  <c r="AJ170" i="5"/>
  <c r="AK170" i="5"/>
  <c r="AL170" i="5"/>
  <c r="AM170" i="5"/>
  <c r="AN170" i="5"/>
  <c r="AO170" i="5"/>
  <c r="AP170" i="5"/>
  <c r="AQ170" i="5"/>
  <c r="B171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AH171" i="5"/>
  <c r="AI171" i="5"/>
  <c r="AJ171" i="5"/>
  <c r="AK171" i="5"/>
  <c r="AL171" i="5"/>
  <c r="AM171" i="5"/>
  <c r="AN171" i="5"/>
  <c r="AO171" i="5"/>
  <c r="AP171" i="5"/>
  <c r="AQ171" i="5"/>
  <c r="B172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AH172" i="5"/>
  <c r="AI172" i="5"/>
  <c r="AJ172" i="5"/>
  <c r="AK172" i="5"/>
  <c r="AL172" i="5"/>
  <c r="AM172" i="5"/>
  <c r="AN172" i="5"/>
  <c r="AO172" i="5"/>
  <c r="AP172" i="5"/>
  <c r="AQ172" i="5"/>
  <c r="B173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AH173" i="5"/>
  <c r="AI173" i="5"/>
  <c r="AJ173" i="5"/>
  <c r="AK173" i="5"/>
  <c r="AL173" i="5"/>
  <c r="AM173" i="5"/>
  <c r="AN173" i="5"/>
  <c r="AO173" i="5"/>
  <c r="AP173" i="5"/>
  <c r="AQ173" i="5"/>
  <c r="B174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AH174" i="5"/>
  <c r="AI174" i="5"/>
  <c r="AJ174" i="5"/>
  <c r="AK174" i="5"/>
  <c r="AL174" i="5"/>
  <c r="AM174" i="5"/>
  <c r="AN174" i="5"/>
  <c r="AO174" i="5"/>
  <c r="AP174" i="5"/>
  <c r="AQ174" i="5"/>
  <c r="B175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AH175" i="5"/>
  <c r="AI175" i="5"/>
  <c r="AJ175" i="5"/>
  <c r="AK175" i="5"/>
  <c r="AL175" i="5"/>
  <c r="AM175" i="5"/>
  <c r="AN175" i="5"/>
  <c r="AO175" i="5"/>
  <c r="AP175" i="5"/>
  <c r="AQ175" i="5"/>
  <c r="B176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AH176" i="5"/>
  <c r="AI176" i="5"/>
  <c r="AJ176" i="5"/>
  <c r="AK176" i="5"/>
  <c r="AL176" i="5"/>
  <c r="AM176" i="5"/>
  <c r="AN176" i="5"/>
  <c r="AO176" i="5"/>
  <c r="AP176" i="5"/>
  <c r="AQ176" i="5"/>
  <c r="B177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AH177" i="5"/>
  <c r="AI177" i="5"/>
  <c r="AJ177" i="5"/>
  <c r="AK177" i="5"/>
  <c r="AL177" i="5"/>
  <c r="AM177" i="5"/>
  <c r="AN177" i="5"/>
  <c r="AO177" i="5"/>
  <c r="AP177" i="5"/>
  <c r="AQ177" i="5"/>
  <c r="B178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AH178" i="5"/>
  <c r="AI178" i="5"/>
  <c r="AJ178" i="5"/>
  <c r="AK178" i="5"/>
  <c r="AL178" i="5"/>
  <c r="AM178" i="5"/>
  <c r="AN178" i="5"/>
  <c r="AO178" i="5"/>
  <c r="AP178" i="5"/>
  <c r="AQ178" i="5"/>
  <c r="B179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AH179" i="5"/>
  <c r="AI179" i="5"/>
  <c r="AJ179" i="5"/>
  <c r="AK179" i="5"/>
  <c r="AL179" i="5"/>
  <c r="AM179" i="5"/>
  <c r="AN179" i="5"/>
  <c r="AO179" i="5"/>
  <c r="AP179" i="5"/>
  <c r="AQ179" i="5"/>
  <c r="B180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AH180" i="5"/>
  <c r="AI180" i="5"/>
  <c r="AJ180" i="5"/>
  <c r="AK180" i="5"/>
  <c r="AL180" i="5"/>
  <c r="AM180" i="5"/>
  <c r="AN180" i="5"/>
  <c r="AO180" i="5"/>
  <c r="AP180" i="5"/>
  <c r="AQ180" i="5"/>
  <c r="B181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AH181" i="5"/>
  <c r="AI181" i="5"/>
  <c r="AJ181" i="5"/>
  <c r="AK181" i="5"/>
  <c r="AL181" i="5"/>
  <c r="AM181" i="5"/>
  <c r="AN181" i="5"/>
  <c r="AO181" i="5"/>
  <c r="AP181" i="5"/>
  <c r="AQ181" i="5"/>
  <c r="B182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AH182" i="5"/>
  <c r="AI182" i="5"/>
  <c r="AJ182" i="5"/>
  <c r="AK182" i="5"/>
  <c r="AL182" i="5"/>
  <c r="AM182" i="5"/>
  <c r="AN182" i="5"/>
  <c r="AO182" i="5"/>
  <c r="AP182" i="5"/>
  <c r="AQ182" i="5"/>
  <c r="B183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AH183" i="5"/>
  <c r="AI183" i="5"/>
  <c r="AJ183" i="5"/>
  <c r="AK183" i="5"/>
  <c r="AL183" i="5"/>
  <c r="AM183" i="5"/>
  <c r="AN183" i="5"/>
  <c r="AO183" i="5"/>
  <c r="AP183" i="5"/>
  <c r="AQ183" i="5"/>
  <c r="B184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AH184" i="5"/>
  <c r="AI184" i="5"/>
  <c r="AJ184" i="5"/>
  <c r="AK184" i="5"/>
  <c r="AL184" i="5"/>
  <c r="AM184" i="5"/>
  <c r="AN184" i="5"/>
  <c r="AO184" i="5"/>
  <c r="AP184" i="5"/>
  <c r="AQ184" i="5"/>
  <c r="B185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AH185" i="5"/>
  <c r="AI185" i="5"/>
  <c r="AJ185" i="5"/>
  <c r="AK185" i="5"/>
  <c r="AL185" i="5"/>
  <c r="AM185" i="5"/>
  <c r="AN185" i="5"/>
  <c r="AO185" i="5"/>
  <c r="AP185" i="5"/>
  <c r="AQ185" i="5"/>
  <c r="B186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AH186" i="5"/>
  <c r="AI186" i="5"/>
  <c r="AJ186" i="5"/>
  <c r="AK186" i="5"/>
  <c r="AL186" i="5"/>
  <c r="AM186" i="5"/>
  <c r="AN186" i="5"/>
  <c r="AO186" i="5"/>
  <c r="AP186" i="5"/>
  <c r="AQ186" i="5"/>
  <c r="B187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AH187" i="5"/>
  <c r="AI187" i="5"/>
  <c r="AJ187" i="5"/>
  <c r="AK187" i="5"/>
  <c r="AL187" i="5"/>
  <c r="AM187" i="5"/>
  <c r="AN187" i="5"/>
  <c r="AO187" i="5"/>
  <c r="AP187" i="5"/>
  <c r="AQ187" i="5"/>
  <c r="B188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AH188" i="5"/>
  <c r="AI188" i="5"/>
  <c r="AJ188" i="5"/>
  <c r="AK188" i="5"/>
  <c r="AL188" i="5"/>
  <c r="AM188" i="5"/>
  <c r="AN188" i="5"/>
  <c r="AO188" i="5"/>
  <c r="AP188" i="5"/>
  <c r="AQ188" i="5"/>
  <c r="B189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AH189" i="5"/>
  <c r="AI189" i="5"/>
  <c r="AJ189" i="5"/>
  <c r="AK189" i="5"/>
  <c r="AL189" i="5"/>
  <c r="AM189" i="5"/>
  <c r="AN189" i="5"/>
  <c r="AO189" i="5"/>
  <c r="AP189" i="5"/>
  <c r="AQ189" i="5"/>
  <c r="B190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AH190" i="5"/>
  <c r="AI190" i="5"/>
  <c r="AJ190" i="5"/>
  <c r="AK190" i="5"/>
  <c r="AL190" i="5"/>
  <c r="AM190" i="5"/>
  <c r="AN190" i="5"/>
  <c r="AO190" i="5"/>
  <c r="AP190" i="5"/>
  <c r="AQ190" i="5"/>
  <c r="B191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AH191" i="5"/>
  <c r="AI191" i="5"/>
  <c r="AJ191" i="5"/>
  <c r="AK191" i="5"/>
  <c r="AL191" i="5"/>
  <c r="AM191" i="5"/>
  <c r="AN191" i="5"/>
  <c r="AO191" i="5"/>
  <c r="AP191" i="5"/>
  <c r="AQ191" i="5"/>
  <c r="B192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AH192" i="5"/>
  <c r="AI192" i="5"/>
  <c r="AJ192" i="5"/>
  <c r="AK192" i="5"/>
  <c r="AL192" i="5"/>
  <c r="AM192" i="5"/>
  <c r="AN192" i="5"/>
  <c r="AO192" i="5"/>
  <c r="AP192" i="5"/>
  <c r="AQ192" i="5"/>
  <c r="B193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AH193" i="5"/>
  <c r="AI193" i="5"/>
  <c r="AJ193" i="5"/>
  <c r="AK193" i="5"/>
  <c r="AL193" i="5"/>
  <c r="AM193" i="5"/>
  <c r="AN193" i="5"/>
  <c r="AO193" i="5"/>
  <c r="AP193" i="5"/>
  <c r="AQ193" i="5"/>
  <c r="B194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AH194" i="5"/>
  <c r="AI194" i="5"/>
  <c r="AJ194" i="5"/>
  <c r="AK194" i="5"/>
  <c r="AL194" i="5"/>
  <c r="AM194" i="5"/>
  <c r="AN194" i="5"/>
  <c r="AO194" i="5"/>
  <c r="AP194" i="5"/>
  <c r="AQ194" i="5"/>
  <c r="B195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AH195" i="5"/>
  <c r="AI195" i="5"/>
  <c r="AJ195" i="5"/>
  <c r="AK195" i="5"/>
  <c r="AL195" i="5"/>
  <c r="AM195" i="5"/>
  <c r="AN195" i="5"/>
  <c r="AO195" i="5"/>
  <c r="AP195" i="5"/>
  <c r="AQ195" i="5"/>
  <c r="B196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AH196" i="5"/>
  <c r="AI196" i="5"/>
  <c r="AJ196" i="5"/>
  <c r="AK196" i="5"/>
  <c r="AL196" i="5"/>
  <c r="AM196" i="5"/>
  <c r="AN196" i="5"/>
  <c r="AO196" i="5"/>
  <c r="AP196" i="5"/>
  <c r="AQ196" i="5"/>
  <c r="B197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AH197" i="5"/>
  <c r="AI197" i="5"/>
  <c r="AJ197" i="5"/>
  <c r="AK197" i="5"/>
  <c r="AL197" i="5"/>
  <c r="AM197" i="5"/>
  <c r="AN197" i="5"/>
  <c r="AO197" i="5"/>
  <c r="AP197" i="5"/>
  <c r="AQ197" i="5"/>
  <c r="B198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AH198" i="5"/>
  <c r="AI198" i="5"/>
  <c r="AJ198" i="5"/>
  <c r="AK198" i="5"/>
  <c r="AL198" i="5"/>
  <c r="AM198" i="5"/>
  <c r="AN198" i="5"/>
  <c r="AO198" i="5"/>
  <c r="AP198" i="5"/>
  <c r="AQ198" i="5"/>
  <c r="B199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AH199" i="5"/>
  <c r="AI199" i="5"/>
  <c r="AJ199" i="5"/>
  <c r="AK199" i="5"/>
  <c r="AL199" i="5"/>
  <c r="AM199" i="5"/>
  <c r="AN199" i="5"/>
  <c r="AO199" i="5"/>
  <c r="AP199" i="5"/>
  <c r="AQ199" i="5"/>
  <c r="B200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AH200" i="5"/>
  <c r="AI200" i="5"/>
  <c r="AJ200" i="5"/>
  <c r="AK200" i="5"/>
  <c r="AL200" i="5"/>
  <c r="AM200" i="5"/>
  <c r="AN200" i="5"/>
  <c r="AO200" i="5"/>
  <c r="AP200" i="5"/>
  <c r="AQ200" i="5"/>
  <c r="B201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AH201" i="5"/>
  <c r="AI201" i="5"/>
  <c r="AJ201" i="5"/>
  <c r="AK201" i="5"/>
  <c r="AL201" i="5"/>
  <c r="AM201" i="5"/>
  <c r="AN201" i="5"/>
  <c r="AO201" i="5"/>
  <c r="AP201" i="5"/>
  <c r="AQ201" i="5"/>
  <c r="B202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AH202" i="5"/>
  <c r="AI202" i="5"/>
  <c r="AJ202" i="5"/>
  <c r="AK202" i="5"/>
  <c r="AL202" i="5"/>
  <c r="AM202" i="5"/>
  <c r="AN202" i="5"/>
  <c r="AO202" i="5"/>
  <c r="AP202" i="5"/>
  <c r="AQ202" i="5"/>
  <c r="B203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AH203" i="5"/>
  <c r="AI203" i="5"/>
  <c r="AJ203" i="5"/>
  <c r="AK203" i="5"/>
  <c r="AL203" i="5"/>
  <c r="AM203" i="5"/>
  <c r="AN203" i="5"/>
  <c r="AO203" i="5"/>
  <c r="AP203" i="5"/>
  <c r="AQ203" i="5"/>
  <c r="B204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AH204" i="5"/>
  <c r="AI204" i="5"/>
  <c r="AJ204" i="5"/>
  <c r="AK204" i="5"/>
  <c r="AL204" i="5"/>
  <c r="AM204" i="5"/>
  <c r="AN204" i="5"/>
  <c r="AO204" i="5"/>
  <c r="AP204" i="5"/>
  <c r="AQ204" i="5"/>
  <c r="B205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AH205" i="5"/>
  <c r="AI205" i="5"/>
  <c r="AJ205" i="5"/>
  <c r="AK205" i="5"/>
  <c r="AL205" i="5"/>
  <c r="AM205" i="5"/>
  <c r="AN205" i="5"/>
  <c r="AO205" i="5"/>
  <c r="AP205" i="5"/>
  <c r="AQ205" i="5"/>
  <c r="B206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AH206" i="5"/>
  <c r="AI206" i="5"/>
  <c r="AJ206" i="5"/>
  <c r="AK206" i="5"/>
  <c r="AL206" i="5"/>
  <c r="AM206" i="5"/>
  <c r="AN206" i="5"/>
  <c r="AO206" i="5"/>
  <c r="AP206" i="5"/>
  <c r="AQ206" i="5"/>
  <c r="B207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AH207" i="5"/>
  <c r="AI207" i="5"/>
  <c r="AJ207" i="5"/>
  <c r="AK207" i="5"/>
  <c r="AL207" i="5"/>
  <c r="AM207" i="5"/>
  <c r="AN207" i="5"/>
  <c r="AO207" i="5"/>
  <c r="AP207" i="5"/>
  <c r="AQ207" i="5"/>
  <c r="B208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AH208" i="5"/>
  <c r="AI208" i="5"/>
  <c r="AJ208" i="5"/>
  <c r="AK208" i="5"/>
  <c r="AL208" i="5"/>
  <c r="AM208" i="5"/>
  <c r="AN208" i="5"/>
  <c r="AO208" i="5"/>
  <c r="AP208" i="5"/>
  <c r="AQ208" i="5"/>
  <c r="B209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AH209" i="5"/>
  <c r="AI209" i="5"/>
  <c r="AJ209" i="5"/>
  <c r="AK209" i="5"/>
  <c r="AL209" i="5"/>
  <c r="AM209" i="5"/>
  <c r="AN209" i="5"/>
  <c r="AO209" i="5"/>
  <c r="AP209" i="5"/>
  <c r="AQ209" i="5"/>
  <c r="B210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AH210" i="5"/>
  <c r="AI210" i="5"/>
  <c r="AJ210" i="5"/>
  <c r="AK210" i="5"/>
  <c r="AL210" i="5"/>
  <c r="AM210" i="5"/>
  <c r="AN210" i="5"/>
  <c r="AO210" i="5"/>
  <c r="AP210" i="5"/>
  <c r="AQ210" i="5"/>
  <c r="B211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AH211" i="5"/>
  <c r="AI211" i="5"/>
  <c r="AJ211" i="5"/>
  <c r="AK211" i="5"/>
  <c r="AL211" i="5"/>
  <c r="AM211" i="5"/>
  <c r="AN211" i="5"/>
  <c r="AO211" i="5"/>
  <c r="AP211" i="5"/>
  <c r="AQ211" i="5"/>
  <c r="B212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AH212" i="5"/>
  <c r="AI212" i="5"/>
  <c r="AJ212" i="5"/>
  <c r="AK212" i="5"/>
  <c r="AL212" i="5"/>
  <c r="AM212" i="5"/>
  <c r="AN212" i="5"/>
  <c r="AO212" i="5"/>
  <c r="AP212" i="5"/>
  <c r="AQ212" i="5"/>
  <c r="B213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AH213" i="5"/>
  <c r="AI213" i="5"/>
  <c r="AJ213" i="5"/>
  <c r="AK213" i="5"/>
  <c r="AL213" i="5"/>
  <c r="AM213" i="5"/>
  <c r="AN213" i="5"/>
  <c r="AO213" i="5"/>
  <c r="AP213" i="5"/>
  <c r="AQ213" i="5"/>
  <c r="B214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AH214" i="5"/>
  <c r="AI214" i="5"/>
  <c r="AJ214" i="5"/>
  <c r="AK214" i="5"/>
  <c r="AL214" i="5"/>
  <c r="AM214" i="5"/>
  <c r="AN214" i="5"/>
  <c r="AO214" i="5"/>
  <c r="AP214" i="5"/>
  <c r="AQ214" i="5"/>
  <c r="B215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AH215" i="5"/>
  <c r="AI215" i="5"/>
  <c r="AJ215" i="5"/>
  <c r="AK215" i="5"/>
  <c r="AL215" i="5"/>
  <c r="AM215" i="5"/>
  <c r="AN215" i="5"/>
  <c r="AO215" i="5"/>
  <c r="AP215" i="5"/>
  <c r="AQ215" i="5"/>
  <c r="B216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AH216" i="5"/>
  <c r="AI216" i="5"/>
  <c r="AJ216" i="5"/>
  <c r="AK216" i="5"/>
  <c r="AL216" i="5"/>
  <c r="AM216" i="5"/>
  <c r="AN216" i="5"/>
  <c r="AO216" i="5"/>
  <c r="AP216" i="5"/>
  <c r="AQ216" i="5"/>
  <c r="B217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AH217" i="5"/>
  <c r="AI217" i="5"/>
  <c r="AJ217" i="5"/>
  <c r="AK217" i="5"/>
  <c r="AL217" i="5"/>
  <c r="AM217" i="5"/>
  <c r="AN217" i="5"/>
  <c r="AO217" i="5"/>
  <c r="AP217" i="5"/>
  <c r="AQ217" i="5"/>
  <c r="B218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AH218" i="5"/>
  <c r="AI218" i="5"/>
  <c r="AJ218" i="5"/>
  <c r="AK218" i="5"/>
  <c r="AL218" i="5"/>
  <c r="AM218" i="5"/>
  <c r="AN218" i="5"/>
  <c r="AO218" i="5"/>
  <c r="AP218" i="5"/>
  <c r="AQ218" i="5"/>
  <c r="B219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AH219" i="5"/>
  <c r="AI219" i="5"/>
  <c r="AJ219" i="5"/>
  <c r="AK219" i="5"/>
  <c r="AL219" i="5"/>
  <c r="AM219" i="5"/>
  <c r="AN219" i="5"/>
  <c r="AO219" i="5"/>
  <c r="AP219" i="5"/>
  <c r="AQ219" i="5"/>
  <c r="B220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AH220" i="5"/>
  <c r="AI220" i="5"/>
  <c r="AJ220" i="5"/>
  <c r="AK220" i="5"/>
  <c r="AL220" i="5"/>
  <c r="AM220" i="5"/>
  <c r="AN220" i="5"/>
  <c r="AO220" i="5"/>
  <c r="AP220" i="5"/>
  <c r="AQ220" i="5"/>
  <c r="B221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AH221" i="5"/>
  <c r="AI221" i="5"/>
  <c r="AJ221" i="5"/>
  <c r="AK221" i="5"/>
  <c r="AL221" i="5"/>
  <c r="AM221" i="5"/>
  <c r="AN221" i="5"/>
  <c r="AO221" i="5"/>
  <c r="AP221" i="5"/>
  <c r="AQ221" i="5"/>
  <c r="B222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AH222" i="5"/>
  <c r="AI222" i="5"/>
  <c r="AJ222" i="5"/>
  <c r="AK222" i="5"/>
  <c r="AL222" i="5"/>
  <c r="AM222" i="5"/>
  <c r="AN222" i="5"/>
  <c r="AO222" i="5"/>
  <c r="AP222" i="5"/>
  <c r="AQ222" i="5"/>
  <c r="B223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AH223" i="5"/>
  <c r="AI223" i="5"/>
  <c r="AJ223" i="5"/>
  <c r="AK223" i="5"/>
  <c r="AL223" i="5"/>
  <c r="AM223" i="5"/>
  <c r="AN223" i="5"/>
  <c r="AO223" i="5"/>
  <c r="AP223" i="5"/>
  <c r="AQ223" i="5"/>
  <c r="B224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AH224" i="5"/>
  <c r="AI224" i="5"/>
  <c r="AJ224" i="5"/>
  <c r="AK224" i="5"/>
  <c r="AL224" i="5"/>
  <c r="AM224" i="5"/>
  <c r="AN224" i="5"/>
  <c r="AO224" i="5"/>
  <c r="AP224" i="5"/>
  <c r="AQ224" i="5"/>
  <c r="B225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AH225" i="5"/>
  <c r="AI225" i="5"/>
  <c r="AJ225" i="5"/>
  <c r="AK225" i="5"/>
  <c r="AL225" i="5"/>
  <c r="AM225" i="5"/>
  <c r="AN225" i="5"/>
  <c r="AO225" i="5"/>
  <c r="AP225" i="5"/>
  <c r="AQ225" i="5"/>
  <c r="B226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AH226" i="5"/>
  <c r="AI226" i="5"/>
  <c r="AJ226" i="5"/>
  <c r="AK226" i="5"/>
  <c r="AL226" i="5"/>
  <c r="AM226" i="5"/>
  <c r="AN226" i="5"/>
  <c r="AO226" i="5"/>
  <c r="AP226" i="5"/>
  <c r="AQ226" i="5"/>
  <c r="B227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AH227" i="5"/>
  <c r="AI227" i="5"/>
  <c r="AJ227" i="5"/>
  <c r="AK227" i="5"/>
  <c r="AL227" i="5"/>
  <c r="AM227" i="5"/>
  <c r="AN227" i="5"/>
  <c r="AO227" i="5"/>
  <c r="AP227" i="5"/>
  <c r="AQ227" i="5"/>
  <c r="B228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AH228" i="5"/>
  <c r="AI228" i="5"/>
  <c r="AJ228" i="5"/>
  <c r="AK228" i="5"/>
  <c r="AL228" i="5"/>
  <c r="AM228" i="5"/>
  <c r="AN228" i="5"/>
  <c r="AO228" i="5"/>
  <c r="AP228" i="5"/>
  <c r="AQ228" i="5"/>
  <c r="B229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AH229" i="5"/>
  <c r="AI229" i="5"/>
  <c r="AJ229" i="5"/>
  <c r="AK229" i="5"/>
  <c r="AL229" i="5"/>
  <c r="AM229" i="5"/>
  <c r="AN229" i="5"/>
  <c r="AO229" i="5"/>
  <c r="AP229" i="5"/>
  <c r="AQ229" i="5"/>
  <c r="B230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AH230" i="5"/>
  <c r="AI230" i="5"/>
  <c r="AJ230" i="5"/>
  <c r="AK230" i="5"/>
  <c r="AL230" i="5"/>
  <c r="AM230" i="5"/>
  <c r="AN230" i="5"/>
  <c r="AO230" i="5"/>
  <c r="AP230" i="5"/>
  <c r="AQ230" i="5"/>
  <c r="B231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AH231" i="5"/>
  <c r="AI231" i="5"/>
  <c r="AJ231" i="5"/>
  <c r="AK231" i="5"/>
  <c r="AL231" i="5"/>
  <c r="AM231" i="5"/>
  <c r="AN231" i="5"/>
  <c r="AO231" i="5"/>
  <c r="AP231" i="5"/>
  <c r="AQ231" i="5"/>
  <c r="B232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AH232" i="5"/>
  <c r="AI232" i="5"/>
  <c r="AJ232" i="5"/>
  <c r="AK232" i="5"/>
  <c r="AL232" i="5"/>
  <c r="AM232" i="5"/>
  <c r="AN232" i="5"/>
  <c r="AO232" i="5"/>
  <c r="AP232" i="5"/>
  <c r="AQ232" i="5"/>
  <c r="B233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AH233" i="5"/>
  <c r="AI233" i="5"/>
  <c r="AJ233" i="5"/>
  <c r="AK233" i="5"/>
  <c r="AL233" i="5"/>
  <c r="AM233" i="5"/>
  <c r="AN233" i="5"/>
  <c r="AO233" i="5"/>
  <c r="AP233" i="5"/>
  <c r="AQ233" i="5"/>
  <c r="B234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AH234" i="5"/>
  <c r="AI234" i="5"/>
  <c r="AJ234" i="5"/>
  <c r="AK234" i="5"/>
  <c r="AL234" i="5"/>
  <c r="AM234" i="5"/>
  <c r="AN234" i="5"/>
  <c r="AO234" i="5"/>
  <c r="AP234" i="5"/>
  <c r="AQ234" i="5"/>
  <c r="B235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AH235" i="5"/>
  <c r="AI235" i="5"/>
  <c r="AJ235" i="5"/>
  <c r="AK235" i="5"/>
  <c r="AL235" i="5"/>
  <c r="AM235" i="5"/>
  <c r="AN235" i="5"/>
  <c r="AO235" i="5"/>
  <c r="AP235" i="5"/>
  <c r="AQ235" i="5"/>
  <c r="B236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AH236" i="5"/>
  <c r="AI236" i="5"/>
  <c r="AJ236" i="5"/>
  <c r="AK236" i="5"/>
  <c r="AL236" i="5"/>
  <c r="AM236" i="5"/>
  <c r="AN236" i="5"/>
  <c r="AO236" i="5"/>
  <c r="AP236" i="5"/>
  <c r="AQ236" i="5"/>
  <c r="B237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AH237" i="5"/>
  <c r="AI237" i="5"/>
  <c r="AJ237" i="5"/>
  <c r="AK237" i="5"/>
  <c r="AL237" i="5"/>
  <c r="AM237" i="5"/>
  <c r="AN237" i="5"/>
  <c r="AO237" i="5"/>
  <c r="AP237" i="5"/>
  <c r="AQ237" i="5"/>
  <c r="B238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AH238" i="5"/>
  <c r="AI238" i="5"/>
  <c r="AJ238" i="5"/>
  <c r="AK238" i="5"/>
  <c r="AL238" i="5"/>
  <c r="AM238" i="5"/>
  <c r="AN238" i="5"/>
  <c r="AO238" i="5"/>
  <c r="AP238" i="5"/>
  <c r="AQ238" i="5"/>
  <c r="B239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AH239" i="5"/>
  <c r="AI239" i="5"/>
  <c r="AJ239" i="5"/>
  <c r="AK239" i="5"/>
  <c r="AL239" i="5"/>
  <c r="AM239" i="5"/>
  <c r="AN239" i="5"/>
  <c r="AO239" i="5"/>
  <c r="AP239" i="5"/>
  <c r="AQ239" i="5"/>
  <c r="B240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AG240" i="5"/>
  <c r="AH240" i="5"/>
  <c r="AI240" i="5"/>
  <c r="AJ240" i="5"/>
  <c r="AK240" i="5"/>
  <c r="AL240" i="5"/>
  <c r="AM240" i="5"/>
  <c r="AN240" i="5"/>
  <c r="AO240" i="5"/>
  <c r="AP240" i="5"/>
  <c r="AQ240" i="5"/>
  <c r="B241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AG241" i="5"/>
  <c r="AH241" i="5"/>
  <c r="AI241" i="5"/>
  <c r="AJ241" i="5"/>
  <c r="AK241" i="5"/>
  <c r="AL241" i="5"/>
  <c r="AM241" i="5"/>
  <c r="AN241" i="5"/>
  <c r="AO241" i="5"/>
  <c r="AP241" i="5"/>
  <c r="AQ241" i="5"/>
  <c r="B242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AG242" i="5"/>
  <c r="AH242" i="5"/>
  <c r="AI242" i="5"/>
  <c r="AJ242" i="5"/>
  <c r="AK242" i="5"/>
  <c r="AL242" i="5"/>
  <c r="AM242" i="5"/>
  <c r="AN242" i="5"/>
  <c r="AO242" i="5"/>
  <c r="AP242" i="5"/>
  <c r="AQ242" i="5"/>
  <c r="B243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AG243" i="5"/>
  <c r="AH243" i="5"/>
  <c r="AI243" i="5"/>
  <c r="AJ243" i="5"/>
  <c r="AK243" i="5"/>
  <c r="AL243" i="5"/>
  <c r="AM243" i="5"/>
  <c r="AN243" i="5"/>
  <c r="AO243" i="5"/>
  <c r="AP243" i="5"/>
  <c r="AQ243" i="5"/>
  <c r="B244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AG244" i="5"/>
  <c r="AH244" i="5"/>
  <c r="AI244" i="5"/>
  <c r="AJ244" i="5"/>
  <c r="AK244" i="5"/>
  <c r="AL244" i="5"/>
  <c r="AM244" i="5"/>
  <c r="AN244" i="5"/>
  <c r="AO244" i="5"/>
  <c r="AP244" i="5"/>
  <c r="AQ244" i="5"/>
  <c r="B245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AG245" i="5"/>
  <c r="AH245" i="5"/>
  <c r="AI245" i="5"/>
  <c r="AJ245" i="5"/>
  <c r="AK245" i="5"/>
  <c r="AL245" i="5"/>
  <c r="AM245" i="5"/>
  <c r="AN245" i="5"/>
  <c r="AO245" i="5"/>
  <c r="AP245" i="5"/>
  <c r="AQ245" i="5"/>
  <c r="B246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AG246" i="5"/>
  <c r="AH246" i="5"/>
  <c r="AI246" i="5"/>
  <c r="AJ246" i="5"/>
  <c r="AK246" i="5"/>
  <c r="AL246" i="5"/>
  <c r="AM246" i="5"/>
  <c r="AN246" i="5"/>
  <c r="AO246" i="5"/>
  <c r="AP246" i="5"/>
  <c r="AQ246" i="5"/>
  <c r="B247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AG247" i="5"/>
  <c r="AH247" i="5"/>
  <c r="AI247" i="5"/>
  <c r="AJ247" i="5"/>
  <c r="AK247" i="5"/>
  <c r="AL247" i="5"/>
  <c r="AM247" i="5"/>
  <c r="AN247" i="5"/>
  <c r="AO247" i="5"/>
  <c r="AP247" i="5"/>
  <c r="AQ247" i="5"/>
  <c r="B248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AG248" i="5"/>
  <c r="AH248" i="5"/>
  <c r="AI248" i="5"/>
  <c r="AJ248" i="5"/>
  <c r="AK248" i="5"/>
  <c r="AL248" i="5"/>
  <c r="AM248" i="5"/>
  <c r="AN248" i="5"/>
  <c r="AO248" i="5"/>
  <c r="AP248" i="5"/>
  <c r="AQ248" i="5"/>
  <c r="B249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AG249" i="5"/>
  <c r="AH249" i="5"/>
  <c r="AI249" i="5"/>
  <c r="AJ249" i="5"/>
  <c r="AK249" i="5"/>
  <c r="AL249" i="5"/>
  <c r="AM249" i="5"/>
  <c r="AN249" i="5"/>
  <c r="AO249" i="5"/>
  <c r="AP249" i="5"/>
  <c r="AQ249" i="5"/>
  <c r="B250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AG250" i="5"/>
  <c r="AH250" i="5"/>
  <c r="AI250" i="5"/>
  <c r="AJ250" i="5"/>
  <c r="AK250" i="5"/>
  <c r="AL250" i="5"/>
  <c r="AM250" i="5"/>
  <c r="AN250" i="5"/>
  <c r="AO250" i="5"/>
  <c r="AP250" i="5"/>
  <c r="AQ250" i="5"/>
  <c r="B251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AG251" i="5"/>
  <c r="AH251" i="5"/>
  <c r="AI251" i="5"/>
  <c r="AJ251" i="5"/>
  <c r="AK251" i="5"/>
  <c r="AL251" i="5"/>
  <c r="AM251" i="5"/>
  <c r="AN251" i="5"/>
  <c r="AO251" i="5"/>
  <c r="AP251" i="5"/>
  <c r="AQ251" i="5"/>
  <c r="B252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AG252" i="5"/>
  <c r="AH252" i="5"/>
  <c r="AI252" i="5"/>
  <c r="AJ252" i="5"/>
  <c r="AK252" i="5"/>
  <c r="AL252" i="5"/>
  <c r="AM252" i="5"/>
  <c r="AN252" i="5"/>
  <c r="AO252" i="5"/>
  <c r="AP252" i="5"/>
  <c r="AQ252" i="5"/>
  <c r="B253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AG253" i="5"/>
  <c r="AH253" i="5"/>
  <c r="AI253" i="5"/>
  <c r="AJ253" i="5"/>
  <c r="AK253" i="5"/>
  <c r="AL253" i="5"/>
  <c r="AM253" i="5"/>
  <c r="AN253" i="5"/>
  <c r="AO253" i="5"/>
  <c r="AP253" i="5"/>
  <c r="AQ253" i="5"/>
  <c r="B254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AG254" i="5"/>
  <c r="AH254" i="5"/>
  <c r="AI254" i="5"/>
  <c r="AJ254" i="5"/>
  <c r="AK254" i="5"/>
  <c r="AL254" i="5"/>
  <c r="AM254" i="5"/>
  <c r="AN254" i="5"/>
  <c r="AO254" i="5"/>
  <c r="AP254" i="5"/>
  <c r="AQ254" i="5"/>
  <c r="B255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AG255" i="5"/>
  <c r="AH255" i="5"/>
  <c r="AI255" i="5"/>
  <c r="AJ255" i="5"/>
  <c r="AK255" i="5"/>
  <c r="AL255" i="5"/>
  <c r="AM255" i="5"/>
  <c r="AN255" i="5"/>
  <c r="AO255" i="5"/>
  <c r="AP255" i="5"/>
  <c r="AQ255" i="5"/>
  <c r="B256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AG256" i="5"/>
  <c r="AH256" i="5"/>
  <c r="AI256" i="5"/>
  <c r="AJ256" i="5"/>
  <c r="AK256" i="5"/>
  <c r="AL256" i="5"/>
  <c r="AM256" i="5"/>
  <c r="AN256" i="5"/>
  <c r="AO256" i="5"/>
  <c r="AP256" i="5"/>
  <c r="AQ256" i="5"/>
  <c r="B257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AG257" i="5"/>
  <c r="AH257" i="5"/>
  <c r="AI257" i="5"/>
  <c r="AJ257" i="5"/>
  <c r="AK257" i="5"/>
  <c r="AL257" i="5"/>
  <c r="AM257" i="5"/>
  <c r="AN257" i="5"/>
  <c r="AO257" i="5"/>
  <c r="AP257" i="5"/>
  <c r="AQ257" i="5"/>
  <c r="B258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AG258" i="5"/>
  <c r="AH258" i="5"/>
  <c r="AI258" i="5"/>
  <c r="AJ258" i="5"/>
  <c r="AK258" i="5"/>
  <c r="AL258" i="5"/>
  <c r="AM258" i="5"/>
  <c r="AN258" i="5"/>
  <c r="AO258" i="5"/>
  <c r="AP258" i="5"/>
  <c r="AQ258" i="5"/>
  <c r="B259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AG259" i="5"/>
  <c r="AH259" i="5"/>
  <c r="AI259" i="5"/>
  <c r="AJ259" i="5"/>
  <c r="AK259" i="5"/>
  <c r="AL259" i="5"/>
  <c r="AM259" i="5"/>
  <c r="AN259" i="5"/>
  <c r="AO259" i="5"/>
  <c r="AP259" i="5"/>
  <c r="AQ259" i="5"/>
  <c r="B260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AG260" i="5"/>
  <c r="AH260" i="5"/>
  <c r="AI260" i="5"/>
  <c r="AJ260" i="5"/>
  <c r="AK260" i="5"/>
  <c r="AL260" i="5"/>
  <c r="AM260" i="5"/>
  <c r="AN260" i="5"/>
  <c r="AO260" i="5"/>
  <c r="AP260" i="5"/>
  <c r="AQ260" i="5"/>
  <c r="B261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AG261" i="5"/>
  <c r="AH261" i="5"/>
  <c r="AI261" i="5"/>
  <c r="AJ261" i="5"/>
  <c r="AK261" i="5"/>
  <c r="AL261" i="5"/>
  <c r="AM261" i="5"/>
  <c r="AN261" i="5"/>
  <c r="AO261" i="5"/>
  <c r="AP261" i="5"/>
  <c r="AQ261" i="5"/>
  <c r="B262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AG262" i="5"/>
  <c r="AH262" i="5"/>
  <c r="AI262" i="5"/>
  <c r="AJ262" i="5"/>
  <c r="AK262" i="5"/>
  <c r="AL262" i="5"/>
  <c r="AM262" i="5"/>
  <c r="AN262" i="5"/>
  <c r="AO262" i="5"/>
  <c r="AP262" i="5"/>
  <c r="AQ262" i="5"/>
  <c r="B263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AG263" i="5"/>
  <c r="AH263" i="5"/>
  <c r="AI263" i="5"/>
  <c r="AJ263" i="5"/>
  <c r="AK263" i="5"/>
  <c r="AL263" i="5"/>
  <c r="AM263" i="5"/>
  <c r="AN263" i="5"/>
  <c r="AO263" i="5"/>
  <c r="AP263" i="5"/>
  <c r="AQ263" i="5"/>
  <c r="B264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AG264" i="5"/>
  <c r="AH264" i="5"/>
  <c r="AI264" i="5"/>
  <c r="AJ264" i="5"/>
  <c r="AK264" i="5"/>
  <c r="AL264" i="5"/>
  <c r="AM264" i="5"/>
  <c r="AN264" i="5"/>
  <c r="AO264" i="5"/>
  <c r="AP264" i="5"/>
  <c r="AQ264" i="5"/>
  <c r="B265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AG265" i="5"/>
  <c r="AH265" i="5"/>
  <c r="AI265" i="5"/>
  <c r="AJ265" i="5"/>
  <c r="AK265" i="5"/>
  <c r="AL265" i="5"/>
  <c r="AM265" i="5"/>
  <c r="AN265" i="5"/>
  <c r="AO265" i="5"/>
  <c r="AP265" i="5"/>
  <c r="AQ265" i="5"/>
  <c r="B266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AG266" i="5"/>
  <c r="AH266" i="5"/>
  <c r="AI266" i="5"/>
  <c r="AJ266" i="5"/>
  <c r="AK266" i="5"/>
  <c r="AL266" i="5"/>
  <c r="AM266" i="5"/>
  <c r="AN266" i="5"/>
  <c r="AO266" i="5"/>
  <c r="AP266" i="5"/>
  <c r="AQ266" i="5"/>
  <c r="B267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AG267" i="5"/>
  <c r="AH267" i="5"/>
  <c r="AI267" i="5"/>
  <c r="AJ267" i="5"/>
  <c r="AK267" i="5"/>
  <c r="AL267" i="5"/>
  <c r="AM267" i="5"/>
  <c r="AN267" i="5"/>
  <c r="AO267" i="5"/>
  <c r="AP267" i="5"/>
  <c r="AQ267" i="5"/>
  <c r="B268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AG268" i="5"/>
  <c r="AH268" i="5"/>
  <c r="AI268" i="5"/>
  <c r="AJ268" i="5"/>
  <c r="AK268" i="5"/>
  <c r="AL268" i="5"/>
  <c r="AM268" i="5"/>
  <c r="AN268" i="5"/>
  <c r="AO268" i="5"/>
  <c r="AP268" i="5"/>
  <c r="AQ268" i="5"/>
  <c r="B269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AG269" i="5"/>
  <c r="AH269" i="5"/>
  <c r="AI269" i="5"/>
  <c r="AJ269" i="5"/>
  <c r="AK269" i="5"/>
  <c r="AL269" i="5"/>
  <c r="AM269" i="5"/>
  <c r="AN269" i="5"/>
  <c r="AO269" i="5"/>
  <c r="AP269" i="5"/>
  <c r="AQ269" i="5"/>
  <c r="B270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AG270" i="5"/>
  <c r="AH270" i="5"/>
  <c r="AI270" i="5"/>
  <c r="AJ270" i="5"/>
  <c r="AK270" i="5"/>
  <c r="AL270" i="5"/>
  <c r="AM270" i="5"/>
  <c r="AN270" i="5"/>
  <c r="AO270" i="5"/>
  <c r="AP270" i="5"/>
  <c r="AQ270" i="5"/>
  <c r="B271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AG271" i="5"/>
  <c r="AH271" i="5"/>
  <c r="AI271" i="5"/>
  <c r="AJ271" i="5"/>
  <c r="AK271" i="5"/>
  <c r="AL271" i="5"/>
  <c r="AM271" i="5"/>
  <c r="AN271" i="5"/>
  <c r="AO271" i="5"/>
  <c r="AP271" i="5"/>
  <c r="AQ271" i="5"/>
  <c r="B272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AG272" i="5"/>
  <c r="AH272" i="5"/>
  <c r="AI272" i="5"/>
  <c r="AJ272" i="5"/>
  <c r="AK272" i="5"/>
  <c r="AL272" i="5"/>
  <c r="AM272" i="5"/>
  <c r="AN272" i="5"/>
  <c r="AO272" i="5"/>
  <c r="AP272" i="5"/>
  <c r="AQ272" i="5"/>
  <c r="B273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AG273" i="5"/>
  <c r="AH273" i="5"/>
  <c r="AI273" i="5"/>
  <c r="AJ273" i="5"/>
  <c r="AK273" i="5"/>
  <c r="AL273" i="5"/>
  <c r="AM273" i="5"/>
  <c r="AN273" i="5"/>
  <c r="AO273" i="5"/>
  <c r="AP273" i="5"/>
  <c r="AQ273" i="5"/>
  <c r="B274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AG274" i="5"/>
  <c r="AH274" i="5"/>
  <c r="AI274" i="5"/>
  <c r="AJ274" i="5"/>
  <c r="AK274" i="5"/>
  <c r="AL274" i="5"/>
  <c r="AM274" i="5"/>
  <c r="AN274" i="5"/>
  <c r="AO274" i="5"/>
  <c r="AP274" i="5"/>
  <c r="AQ274" i="5"/>
  <c r="B275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AG275" i="5"/>
  <c r="AH275" i="5"/>
  <c r="AI275" i="5"/>
  <c r="AJ275" i="5"/>
  <c r="AK275" i="5"/>
  <c r="AL275" i="5"/>
  <c r="AM275" i="5"/>
  <c r="AN275" i="5"/>
  <c r="AO275" i="5"/>
  <c r="AP275" i="5"/>
  <c r="AQ275" i="5"/>
  <c r="B276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AG276" i="5"/>
  <c r="AH276" i="5"/>
  <c r="AI276" i="5"/>
  <c r="AJ276" i="5"/>
  <c r="AK276" i="5"/>
  <c r="AL276" i="5"/>
  <c r="AM276" i="5"/>
  <c r="AN276" i="5"/>
  <c r="AO276" i="5"/>
  <c r="AP276" i="5"/>
  <c r="AQ276" i="5"/>
  <c r="B277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AG277" i="5"/>
  <c r="AH277" i="5"/>
  <c r="AI277" i="5"/>
  <c r="AJ277" i="5"/>
  <c r="AK277" i="5"/>
  <c r="AL277" i="5"/>
  <c r="AM277" i="5"/>
  <c r="AN277" i="5"/>
  <c r="AO277" i="5"/>
  <c r="AP277" i="5"/>
  <c r="AQ277" i="5"/>
  <c r="B278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AG278" i="5"/>
  <c r="AH278" i="5"/>
  <c r="AI278" i="5"/>
  <c r="AJ278" i="5"/>
  <c r="AK278" i="5"/>
  <c r="AL278" i="5"/>
  <c r="AM278" i="5"/>
  <c r="AN278" i="5"/>
  <c r="AO278" i="5"/>
  <c r="AP278" i="5"/>
  <c r="AQ278" i="5"/>
  <c r="B279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AG279" i="5"/>
  <c r="AH279" i="5"/>
  <c r="AI279" i="5"/>
  <c r="AJ279" i="5"/>
  <c r="AK279" i="5"/>
  <c r="AL279" i="5"/>
  <c r="AM279" i="5"/>
  <c r="AN279" i="5"/>
  <c r="AO279" i="5"/>
  <c r="AP279" i="5"/>
  <c r="AQ279" i="5"/>
  <c r="B280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AG280" i="5"/>
  <c r="AH280" i="5"/>
  <c r="AI280" i="5"/>
  <c r="AJ280" i="5"/>
  <c r="AK280" i="5"/>
  <c r="AL280" i="5"/>
  <c r="AM280" i="5"/>
  <c r="AN280" i="5"/>
  <c r="AO280" i="5"/>
  <c r="AP280" i="5"/>
  <c r="AQ280" i="5"/>
  <c r="B281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AG281" i="5"/>
  <c r="AH281" i="5"/>
  <c r="AI281" i="5"/>
  <c r="AJ281" i="5"/>
  <c r="AK281" i="5"/>
  <c r="AL281" i="5"/>
  <c r="AM281" i="5"/>
  <c r="AN281" i="5"/>
  <c r="AO281" i="5"/>
  <c r="AP281" i="5"/>
  <c r="AQ281" i="5"/>
  <c r="B282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AG282" i="5"/>
  <c r="AH282" i="5"/>
  <c r="AI282" i="5"/>
  <c r="AJ282" i="5"/>
  <c r="AK282" i="5"/>
  <c r="AL282" i="5"/>
  <c r="AM282" i="5"/>
  <c r="AN282" i="5"/>
  <c r="AO282" i="5"/>
  <c r="AP282" i="5"/>
  <c r="AQ282" i="5"/>
  <c r="B283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AG283" i="5"/>
  <c r="AH283" i="5"/>
  <c r="AI283" i="5"/>
  <c r="AJ283" i="5"/>
  <c r="AK283" i="5"/>
  <c r="AL283" i="5"/>
  <c r="AM283" i="5"/>
  <c r="AN283" i="5"/>
  <c r="AO283" i="5"/>
  <c r="AP283" i="5"/>
  <c r="AQ283" i="5"/>
  <c r="B284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AG284" i="5"/>
  <c r="AH284" i="5"/>
  <c r="AI284" i="5"/>
  <c r="AJ284" i="5"/>
  <c r="AK284" i="5"/>
  <c r="AL284" i="5"/>
  <c r="AM284" i="5"/>
  <c r="AN284" i="5"/>
  <c r="AO284" i="5"/>
  <c r="AP284" i="5"/>
  <c r="AQ284" i="5"/>
  <c r="B285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AG285" i="5"/>
  <c r="AH285" i="5"/>
  <c r="AI285" i="5"/>
  <c r="AJ285" i="5"/>
  <c r="AK285" i="5"/>
  <c r="AL285" i="5"/>
  <c r="AM285" i="5"/>
  <c r="AN285" i="5"/>
  <c r="AO285" i="5"/>
  <c r="AP285" i="5"/>
  <c r="AQ285" i="5"/>
  <c r="B286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AG286" i="5"/>
  <c r="AH286" i="5"/>
  <c r="AI286" i="5"/>
  <c r="AJ286" i="5"/>
  <c r="AK286" i="5"/>
  <c r="AL286" i="5"/>
  <c r="AM286" i="5"/>
  <c r="AN286" i="5"/>
  <c r="AO286" i="5"/>
  <c r="AP286" i="5"/>
  <c r="AQ286" i="5"/>
  <c r="B287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AG287" i="5"/>
  <c r="AH287" i="5"/>
  <c r="AI287" i="5"/>
  <c r="AJ287" i="5"/>
  <c r="AK287" i="5"/>
  <c r="AL287" i="5"/>
  <c r="AM287" i="5"/>
  <c r="AN287" i="5"/>
  <c r="AO287" i="5"/>
  <c r="AP287" i="5"/>
  <c r="AQ287" i="5"/>
  <c r="B288" i="5"/>
  <c r="C288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AG288" i="5"/>
  <c r="AH288" i="5"/>
  <c r="AI288" i="5"/>
  <c r="AJ288" i="5"/>
  <c r="AK288" i="5"/>
  <c r="AL288" i="5"/>
  <c r="AM288" i="5"/>
  <c r="AN288" i="5"/>
  <c r="AO288" i="5"/>
  <c r="AP288" i="5"/>
  <c r="AQ288" i="5"/>
  <c r="B289" i="5"/>
  <c r="C289" i="5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AG289" i="5"/>
  <c r="AH289" i="5"/>
  <c r="AI289" i="5"/>
  <c r="AJ289" i="5"/>
  <c r="AK289" i="5"/>
  <c r="AL289" i="5"/>
  <c r="AM289" i="5"/>
  <c r="AN289" i="5"/>
  <c r="AO289" i="5"/>
  <c r="AP289" i="5"/>
  <c r="AQ289" i="5"/>
  <c r="B290" i="5"/>
  <c r="C290" i="5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AG290" i="5"/>
  <c r="AH290" i="5"/>
  <c r="AI290" i="5"/>
  <c r="AJ290" i="5"/>
  <c r="AK290" i="5"/>
  <c r="AL290" i="5"/>
  <c r="AM290" i="5"/>
  <c r="AN290" i="5"/>
  <c r="AO290" i="5"/>
  <c r="AP290" i="5"/>
  <c r="AQ290" i="5"/>
  <c r="B291" i="5"/>
  <c r="C291" i="5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AG291" i="5"/>
  <c r="AH291" i="5"/>
  <c r="AI291" i="5"/>
  <c r="AJ291" i="5"/>
  <c r="AK291" i="5"/>
  <c r="AL291" i="5"/>
  <c r="AM291" i="5"/>
  <c r="AN291" i="5"/>
  <c r="AO291" i="5"/>
  <c r="AP291" i="5"/>
  <c r="AQ291" i="5"/>
  <c r="B292" i="5"/>
  <c r="C292" i="5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AG292" i="5"/>
  <c r="AH292" i="5"/>
  <c r="AI292" i="5"/>
  <c r="AJ292" i="5"/>
  <c r="AK292" i="5"/>
  <c r="AL292" i="5"/>
  <c r="AM292" i="5"/>
  <c r="AN292" i="5"/>
  <c r="AO292" i="5"/>
  <c r="AP292" i="5"/>
  <c r="AQ292" i="5"/>
  <c r="B293" i="5"/>
  <c r="C293" i="5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AG293" i="5"/>
  <c r="AH293" i="5"/>
  <c r="AI293" i="5"/>
  <c r="AJ293" i="5"/>
  <c r="AK293" i="5"/>
  <c r="AL293" i="5"/>
  <c r="AM293" i="5"/>
  <c r="AN293" i="5"/>
  <c r="AO293" i="5"/>
  <c r="AP293" i="5"/>
  <c r="AQ293" i="5"/>
  <c r="B294" i="5"/>
  <c r="C294" i="5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AG294" i="5"/>
  <c r="AH294" i="5"/>
  <c r="AI294" i="5"/>
  <c r="AJ294" i="5"/>
  <c r="AK294" i="5"/>
  <c r="AL294" i="5"/>
  <c r="AM294" i="5"/>
  <c r="AN294" i="5"/>
  <c r="AO294" i="5"/>
  <c r="AP294" i="5"/>
  <c r="AQ294" i="5"/>
  <c r="B295" i="5"/>
  <c r="C295" i="5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AG295" i="5"/>
  <c r="AH295" i="5"/>
  <c r="AI295" i="5"/>
  <c r="AJ295" i="5"/>
  <c r="AK295" i="5"/>
  <c r="AL295" i="5"/>
  <c r="AM295" i="5"/>
  <c r="AN295" i="5"/>
  <c r="AO295" i="5"/>
  <c r="AP295" i="5"/>
  <c r="AQ295" i="5"/>
  <c r="B296" i="5"/>
  <c r="C296" i="5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AG296" i="5"/>
  <c r="AH296" i="5"/>
  <c r="AI296" i="5"/>
  <c r="AJ296" i="5"/>
  <c r="AK296" i="5"/>
  <c r="AL296" i="5"/>
  <c r="AM296" i="5"/>
  <c r="AN296" i="5"/>
  <c r="AO296" i="5"/>
  <c r="AP296" i="5"/>
  <c r="AQ296" i="5"/>
  <c r="B297" i="5"/>
  <c r="C297" i="5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AG297" i="5"/>
  <c r="AH297" i="5"/>
  <c r="AI297" i="5"/>
  <c r="AJ297" i="5"/>
  <c r="AK297" i="5"/>
  <c r="AL297" i="5"/>
  <c r="AM297" i="5"/>
  <c r="AN297" i="5"/>
  <c r="AO297" i="5"/>
  <c r="AP297" i="5"/>
  <c r="AQ297" i="5"/>
  <c r="B298" i="5"/>
  <c r="C298" i="5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AG298" i="5"/>
  <c r="AH298" i="5"/>
  <c r="AI298" i="5"/>
  <c r="AJ298" i="5"/>
  <c r="AK298" i="5"/>
  <c r="AL298" i="5"/>
  <c r="AM298" i="5"/>
  <c r="AN298" i="5"/>
  <c r="AO298" i="5"/>
  <c r="AP298" i="5"/>
  <c r="AQ298" i="5"/>
  <c r="B299" i="5"/>
  <c r="C299" i="5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AG299" i="5"/>
  <c r="AH299" i="5"/>
  <c r="AI299" i="5"/>
  <c r="AJ299" i="5"/>
  <c r="AK299" i="5"/>
  <c r="AL299" i="5"/>
  <c r="AM299" i="5"/>
  <c r="AN299" i="5"/>
  <c r="AO299" i="5"/>
  <c r="AP299" i="5"/>
  <c r="AQ299" i="5"/>
  <c r="B300" i="5"/>
  <c r="C300" i="5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G300" i="5"/>
  <c r="AH300" i="5"/>
  <c r="AI300" i="5"/>
  <c r="AJ300" i="5"/>
  <c r="AK300" i="5"/>
  <c r="AL300" i="5"/>
  <c r="AM300" i="5"/>
  <c r="AN300" i="5"/>
  <c r="AO300" i="5"/>
  <c r="AP300" i="5"/>
  <c r="AQ300" i="5"/>
  <c r="B301" i="5"/>
  <c r="C301" i="5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V301" i="5"/>
  <c r="W301" i="5"/>
  <c r="X301" i="5"/>
  <c r="Y301" i="5"/>
  <c r="Z301" i="5"/>
  <c r="AA301" i="5"/>
  <c r="AB301" i="5"/>
  <c r="AC301" i="5"/>
  <c r="AD301" i="5"/>
  <c r="AE301" i="5"/>
  <c r="AF301" i="5"/>
  <c r="AG301" i="5"/>
  <c r="AH301" i="5"/>
  <c r="AI301" i="5"/>
  <c r="AJ301" i="5"/>
  <c r="AK301" i="5"/>
  <c r="AL301" i="5"/>
  <c r="AM301" i="5"/>
  <c r="AN301" i="5"/>
  <c r="AO301" i="5"/>
  <c r="AP301" i="5"/>
  <c r="AQ301" i="5"/>
  <c r="B302" i="5"/>
  <c r="C302" i="5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V302" i="5"/>
  <c r="W302" i="5"/>
  <c r="X302" i="5"/>
  <c r="Y302" i="5"/>
  <c r="Z302" i="5"/>
  <c r="AA302" i="5"/>
  <c r="AB302" i="5"/>
  <c r="AC302" i="5"/>
  <c r="AD302" i="5"/>
  <c r="AE302" i="5"/>
  <c r="AF302" i="5"/>
  <c r="AG302" i="5"/>
  <c r="AH302" i="5"/>
  <c r="AI302" i="5"/>
  <c r="AJ302" i="5"/>
  <c r="AK302" i="5"/>
  <c r="AL302" i="5"/>
  <c r="AM302" i="5"/>
  <c r="AN302" i="5"/>
  <c r="AO302" i="5"/>
  <c r="AP302" i="5"/>
  <c r="AQ302" i="5"/>
  <c r="B303" i="5"/>
  <c r="C303" i="5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V303" i="5"/>
  <c r="W303" i="5"/>
  <c r="X303" i="5"/>
  <c r="Y303" i="5"/>
  <c r="Z303" i="5"/>
  <c r="AA303" i="5"/>
  <c r="AB303" i="5"/>
  <c r="AC303" i="5"/>
  <c r="AD303" i="5"/>
  <c r="AE303" i="5"/>
  <c r="AF303" i="5"/>
  <c r="AG303" i="5"/>
  <c r="AH303" i="5"/>
  <c r="AI303" i="5"/>
  <c r="AJ303" i="5"/>
  <c r="AK303" i="5"/>
  <c r="AL303" i="5"/>
  <c r="AM303" i="5"/>
  <c r="AN303" i="5"/>
  <c r="AO303" i="5"/>
  <c r="AP303" i="5"/>
  <c r="AQ303" i="5"/>
  <c r="B304" i="5"/>
  <c r="C304" i="5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V304" i="5"/>
  <c r="W304" i="5"/>
  <c r="X304" i="5"/>
  <c r="Y304" i="5"/>
  <c r="Z304" i="5"/>
  <c r="AA304" i="5"/>
  <c r="AB304" i="5"/>
  <c r="AC304" i="5"/>
  <c r="AD304" i="5"/>
  <c r="AE304" i="5"/>
  <c r="AF304" i="5"/>
  <c r="AG304" i="5"/>
  <c r="AH304" i="5"/>
  <c r="AI304" i="5"/>
  <c r="AJ304" i="5"/>
  <c r="AK304" i="5"/>
  <c r="AL304" i="5"/>
  <c r="AM304" i="5"/>
  <c r="AN304" i="5"/>
  <c r="AO304" i="5"/>
  <c r="AP304" i="5"/>
  <c r="AQ304" i="5"/>
  <c r="B305" i="5"/>
  <c r="C305" i="5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V305" i="5"/>
  <c r="W305" i="5"/>
  <c r="X305" i="5"/>
  <c r="Y305" i="5"/>
  <c r="Z305" i="5"/>
  <c r="AA305" i="5"/>
  <c r="AB305" i="5"/>
  <c r="AC305" i="5"/>
  <c r="AD305" i="5"/>
  <c r="AE305" i="5"/>
  <c r="AF305" i="5"/>
  <c r="AG305" i="5"/>
  <c r="AH305" i="5"/>
  <c r="AI305" i="5"/>
  <c r="AJ305" i="5"/>
  <c r="AK305" i="5"/>
  <c r="AL305" i="5"/>
  <c r="AM305" i="5"/>
  <c r="AN305" i="5"/>
  <c r="AO305" i="5"/>
  <c r="AP305" i="5"/>
  <c r="AQ305" i="5"/>
  <c r="B306" i="5"/>
  <c r="C306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V306" i="5"/>
  <c r="W306" i="5"/>
  <c r="X306" i="5"/>
  <c r="Y306" i="5"/>
  <c r="Z306" i="5"/>
  <c r="AA306" i="5"/>
  <c r="AB306" i="5"/>
  <c r="AC306" i="5"/>
  <c r="AD306" i="5"/>
  <c r="AE306" i="5"/>
  <c r="AF306" i="5"/>
  <c r="AG306" i="5"/>
  <c r="AH306" i="5"/>
  <c r="AI306" i="5"/>
  <c r="AJ306" i="5"/>
  <c r="AK306" i="5"/>
  <c r="AL306" i="5"/>
  <c r="AM306" i="5"/>
  <c r="AN306" i="5"/>
  <c r="AO306" i="5"/>
  <c r="AP306" i="5"/>
  <c r="AQ306" i="5"/>
  <c r="B307" i="5"/>
  <c r="C307" i="5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V307" i="5"/>
  <c r="W307" i="5"/>
  <c r="X307" i="5"/>
  <c r="Y307" i="5"/>
  <c r="Z307" i="5"/>
  <c r="AA307" i="5"/>
  <c r="AB307" i="5"/>
  <c r="AC307" i="5"/>
  <c r="AD307" i="5"/>
  <c r="AE307" i="5"/>
  <c r="AF307" i="5"/>
  <c r="AG307" i="5"/>
  <c r="AH307" i="5"/>
  <c r="AI307" i="5"/>
  <c r="AJ307" i="5"/>
  <c r="AK307" i="5"/>
  <c r="AL307" i="5"/>
  <c r="AM307" i="5"/>
  <c r="AN307" i="5"/>
  <c r="AO307" i="5"/>
  <c r="AP307" i="5"/>
  <c r="AQ307" i="5"/>
  <c r="B308" i="5"/>
  <c r="C308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AC308" i="5"/>
  <c r="AD308" i="5"/>
  <c r="AE308" i="5"/>
  <c r="AF308" i="5"/>
  <c r="AG308" i="5"/>
  <c r="AH308" i="5"/>
  <c r="AI308" i="5"/>
  <c r="AJ308" i="5"/>
  <c r="AK308" i="5"/>
  <c r="AL308" i="5"/>
  <c r="AM308" i="5"/>
  <c r="AN308" i="5"/>
  <c r="AO308" i="5"/>
  <c r="AP308" i="5"/>
  <c r="AQ308" i="5"/>
  <c r="B309" i="5"/>
  <c r="C309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AC309" i="5"/>
  <c r="AD309" i="5"/>
  <c r="AE309" i="5"/>
  <c r="AF309" i="5"/>
  <c r="AG309" i="5"/>
  <c r="AH309" i="5"/>
  <c r="AI309" i="5"/>
  <c r="AJ309" i="5"/>
  <c r="AK309" i="5"/>
  <c r="AL309" i="5"/>
  <c r="AM309" i="5"/>
  <c r="AN309" i="5"/>
  <c r="AO309" i="5"/>
  <c r="AP309" i="5"/>
  <c r="AQ309" i="5"/>
  <c r="B310" i="5"/>
  <c r="C310" i="5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AF310" i="5"/>
  <c r="AG310" i="5"/>
  <c r="AH310" i="5"/>
  <c r="AI310" i="5"/>
  <c r="AJ310" i="5"/>
  <c r="AK310" i="5"/>
  <c r="AL310" i="5"/>
  <c r="AM310" i="5"/>
  <c r="AN310" i="5"/>
  <c r="AO310" i="5"/>
  <c r="AP310" i="5"/>
  <c r="AQ310" i="5"/>
  <c r="B311" i="5"/>
  <c r="C311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AC311" i="5"/>
  <c r="AD311" i="5"/>
  <c r="AE311" i="5"/>
  <c r="AF311" i="5"/>
  <c r="AG311" i="5"/>
  <c r="AH311" i="5"/>
  <c r="AI311" i="5"/>
  <c r="AJ311" i="5"/>
  <c r="AK311" i="5"/>
  <c r="AL311" i="5"/>
  <c r="AM311" i="5"/>
  <c r="AN311" i="5"/>
  <c r="AO311" i="5"/>
  <c r="AP311" i="5"/>
  <c r="AQ311" i="5"/>
  <c r="B312" i="5"/>
  <c r="C312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V312" i="5"/>
  <c r="W312" i="5"/>
  <c r="X312" i="5"/>
  <c r="Y312" i="5"/>
  <c r="Z312" i="5"/>
  <c r="AA312" i="5"/>
  <c r="AB312" i="5"/>
  <c r="AC312" i="5"/>
  <c r="AD312" i="5"/>
  <c r="AE312" i="5"/>
  <c r="AF312" i="5"/>
  <c r="AG312" i="5"/>
  <c r="AH312" i="5"/>
  <c r="AI312" i="5"/>
  <c r="AJ312" i="5"/>
  <c r="AK312" i="5"/>
  <c r="AL312" i="5"/>
  <c r="AM312" i="5"/>
  <c r="AN312" i="5"/>
  <c r="AO312" i="5"/>
  <c r="AP312" i="5"/>
  <c r="AQ312" i="5"/>
  <c r="B313" i="5"/>
  <c r="C313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AC313" i="5"/>
  <c r="AD313" i="5"/>
  <c r="AE313" i="5"/>
  <c r="AF313" i="5"/>
  <c r="AG313" i="5"/>
  <c r="AH313" i="5"/>
  <c r="AI313" i="5"/>
  <c r="AJ313" i="5"/>
  <c r="AK313" i="5"/>
  <c r="AL313" i="5"/>
  <c r="AM313" i="5"/>
  <c r="AN313" i="5"/>
  <c r="AO313" i="5"/>
  <c r="AP313" i="5"/>
  <c r="AQ313" i="5"/>
  <c r="B314" i="5"/>
  <c r="C314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AC314" i="5"/>
  <c r="AD314" i="5"/>
  <c r="AE314" i="5"/>
  <c r="AF314" i="5"/>
  <c r="AG314" i="5"/>
  <c r="AH314" i="5"/>
  <c r="AI314" i="5"/>
  <c r="AJ314" i="5"/>
  <c r="AK314" i="5"/>
  <c r="AL314" i="5"/>
  <c r="AM314" i="5"/>
  <c r="AN314" i="5"/>
  <c r="AO314" i="5"/>
  <c r="AP314" i="5"/>
  <c r="AQ314" i="5"/>
  <c r="B315" i="5"/>
  <c r="C315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AC315" i="5"/>
  <c r="AD315" i="5"/>
  <c r="AE315" i="5"/>
  <c r="AF315" i="5"/>
  <c r="AG315" i="5"/>
  <c r="AH315" i="5"/>
  <c r="AI315" i="5"/>
  <c r="AJ315" i="5"/>
  <c r="AK315" i="5"/>
  <c r="AL315" i="5"/>
  <c r="AM315" i="5"/>
  <c r="AN315" i="5"/>
  <c r="AO315" i="5"/>
  <c r="AP315" i="5"/>
  <c r="AQ315" i="5"/>
  <c r="B316" i="5"/>
  <c r="C316" i="5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V316" i="5"/>
  <c r="W316" i="5"/>
  <c r="X316" i="5"/>
  <c r="Y316" i="5"/>
  <c r="Z316" i="5"/>
  <c r="AA316" i="5"/>
  <c r="AB316" i="5"/>
  <c r="AC316" i="5"/>
  <c r="AD316" i="5"/>
  <c r="AE316" i="5"/>
  <c r="AF316" i="5"/>
  <c r="AG316" i="5"/>
  <c r="AH316" i="5"/>
  <c r="AI316" i="5"/>
  <c r="AJ316" i="5"/>
  <c r="AK316" i="5"/>
  <c r="AL316" i="5"/>
  <c r="AM316" i="5"/>
  <c r="AN316" i="5"/>
  <c r="AO316" i="5"/>
  <c r="AP316" i="5"/>
  <c r="AQ316" i="5"/>
  <c r="B317" i="5"/>
  <c r="C317" i="5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V317" i="5"/>
  <c r="W317" i="5"/>
  <c r="X317" i="5"/>
  <c r="Y317" i="5"/>
  <c r="Z317" i="5"/>
  <c r="AA317" i="5"/>
  <c r="AB317" i="5"/>
  <c r="AC317" i="5"/>
  <c r="AD317" i="5"/>
  <c r="AE317" i="5"/>
  <c r="AF317" i="5"/>
  <c r="AG317" i="5"/>
  <c r="AH317" i="5"/>
  <c r="AI317" i="5"/>
  <c r="AJ317" i="5"/>
  <c r="AK317" i="5"/>
  <c r="AL317" i="5"/>
  <c r="AM317" i="5"/>
  <c r="AN317" i="5"/>
  <c r="AO317" i="5"/>
  <c r="AP317" i="5"/>
  <c r="AQ317" i="5"/>
  <c r="B318" i="5"/>
  <c r="C318" i="5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V318" i="5"/>
  <c r="W318" i="5"/>
  <c r="X318" i="5"/>
  <c r="Y318" i="5"/>
  <c r="Z318" i="5"/>
  <c r="AA318" i="5"/>
  <c r="AB318" i="5"/>
  <c r="AC318" i="5"/>
  <c r="AD318" i="5"/>
  <c r="AE318" i="5"/>
  <c r="AF318" i="5"/>
  <c r="AG318" i="5"/>
  <c r="AH318" i="5"/>
  <c r="AI318" i="5"/>
  <c r="AJ318" i="5"/>
  <c r="AK318" i="5"/>
  <c r="AL318" i="5"/>
  <c r="AM318" i="5"/>
  <c r="AN318" i="5"/>
  <c r="AO318" i="5"/>
  <c r="AP318" i="5"/>
  <c r="AQ318" i="5"/>
  <c r="B319" i="5"/>
  <c r="C319" i="5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V319" i="5"/>
  <c r="W319" i="5"/>
  <c r="X319" i="5"/>
  <c r="Y319" i="5"/>
  <c r="Z319" i="5"/>
  <c r="AA319" i="5"/>
  <c r="AB319" i="5"/>
  <c r="AC319" i="5"/>
  <c r="AD319" i="5"/>
  <c r="AE319" i="5"/>
  <c r="AF319" i="5"/>
  <c r="AG319" i="5"/>
  <c r="AH319" i="5"/>
  <c r="AI319" i="5"/>
  <c r="AJ319" i="5"/>
  <c r="AK319" i="5"/>
  <c r="AL319" i="5"/>
  <c r="AM319" i="5"/>
  <c r="AN319" i="5"/>
  <c r="AO319" i="5"/>
  <c r="AP319" i="5"/>
  <c r="AQ319" i="5"/>
  <c r="B320" i="5"/>
  <c r="C320" i="5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V320" i="5"/>
  <c r="W320" i="5"/>
  <c r="X320" i="5"/>
  <c r="Y320" i="5"/>
  <c r="Z320" i="5"/>
  <c r="AA320" i="5"/>
  <c r="AB320" i="5"/>
  <c r="AC320" i="5"/>
  <c r="AD320" i="5"/>
  <c r="AE320" i="5"/>
  <c r="AF320" i="5"/>
  <c r="AG320" i="5"/>
  <c r="AH320" i="5"/>
  <c r="AI320" i="5"/>
  <c r="AJ320" i="5"/>
  <c r="AK320" i="5"/>
  <c r="AL320" i="5"/>
  <c r="AM320" i="5"/>
  <c r="AN320" i="5"/>
  <c r="AO320" i="5"/>
  <c r="AP320" i="5"/>
  <c r="AQ320" i="5"/>
  <c r="B321" i="5"/>
  <c r="C321" i="5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V321" i="5"/>
  <c r="W321" i="5"/>
  <c r="X321" i="5"/>
  <c r="Y321" i="5"/>
  <c r="Z321" i="5"/>
  <c r="AA321" i="5"/>
  <c r="AB321" i="5"/>
  <c r="AC321" i="5"/>
  <c r="AD321" i="5"/>
  <c r="AE321" i="5"/>
  <c r="AF321" i="5"/>
  <c r="AG321" i="5"/>
  <c r="AH321" i="5"/>
  <c r="AI321" i="5"/>
  <c r="AJ321" i="5"/>
  <c r="AK321" i="5"/>
  <c r="AL321" i="5"/>
  <c r="AM321" i="5"/>
  <c r="AN321" i="5"/>
  <c r="AO321" i="5"/>
  <c r="AP321" i="5"/>
  <c r="AQ321" i="5"/>
  <c r="B322" i="5"/>
  <c r="C322" i="5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V322" i="5"/>
  <c r="W322" i="5"/>
  <c r="X322" i="5"/>
  <c r="Y322" i="5"/>
  <c r="Z322" i="5"/>
  <c r="AA322" i="5"/>
  <c r="AB322" i="5"/>
  <c r="AC322" i="5"/>
  <c r="AD322" i="5"/>
  <c r="AE322" i="5"/>
  <c r="AF322" i="5"/>
  <c r="AG322" i="5"/>
  <c r="AH322" i="5"/>
  <c r="AI322" i="5"/>
  <c r="AJ322" i="5"/>
  <c r="AK322" i="5"/>
  <c r="AL322" i="5"/>
  <c r="AM322" i="5"/>
  <c r="AN322" i="5"/>
  <c r="AO322" i="5"/>
  <c r="AP322" i="5"/>
  <c r="AQ322" i="5"/>
  <c r="B323" i="5"/>
  <c r="C323" i="5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V323" i="5"/>
  <c r="W323" i="5"/>
  <c r="X323" i="5"/>
  <c r="Y323" i="5"/>
  <c r="Z323" i="5"/>
  <c r="AA323" i="5"/>
  <c r="AB323" i="5"/>
  <c r="AC323" i="5"/>
  <c r="AD323" i="5"/>
  <c r="AE323" i="5"/>
  <c r="AF323" i="5"/>
  <c r="AG323" i="5"/>
  <c r="AH323" i="5"/>
  <c r="AI323" i="5"/>
  <c r="AJ323" i="5"/>
  <c r="AK323" i="5"/>
  <c r="AL323" i="5"/>
  <c r="AM323" i="5"/>
  <c r="AN323" i="5"/>
  <c r="AO323" i="5"/>
  <c r="AP323" i="5"/>
  <c r="AQ323" i="5"/>
  <c r="B324" i="5"/>
  <c r="C324" i="5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X324" i="5"/>
  <c r="Y324" i="5"/>
  <c r="Z324" i="5"/>
  <c r="AA324" i="5"/>
  <c r="AB324" i="5"/>
  <c r="AC324" i="5"/>
  <c r="AD324" i="5"/>
  <c r="AE324" i="5"/>
  <c r="AF324" i="5"/>
  <c r="AG324" i="5"/>
  <c r="AH324" i="5"/>
  <c r="AI324" i="5"/>
  <c r="AJ324" i="5"/>
  <c r="AK324" i="5"/>
  <c r="AL324" i="5"/>
  <c r="AM324" i="5"/>
  <c r="AN324" i="5"/>
  <c r="AO324" i="5"/>
  <c r="AP324" i="5"/>
  <c r="AQ324" i="5"/>
  <c r="B325" i="5"/>
  <c r="C325" i="5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T325" i="5"/>
  <c r="U325" i="5"/>
  <c r="V325" i="5"/>
  <c r="W325" i="5"/>
  <c r="X325" i="5"/>
  <c r="Y325" i="5"/>
  <c r="Z325" i="5"/>
  <c r="AA325" i="5"/>
  <c r="AB325" i="5"/>
  <c r="AC325" i="5"/>
  <c r="AD325" i="5"/>
  <c r="AE325" i="5"/>
  <c r="AF325" i="5"/>
  <c r="AG325" i="5"/>
  <c r="AH325" i="5"/>
  <c r="AI325" i="5"/>
  <c r="AJ325" i="5"/>
  <c r="AK325" i="5"/>
  <c r="AL325" i="5"/>
  <c r="AM325" i="5"/>
  <c r="AN325" i="5"/>
  <c r="AO325" i="5"/>
  <c r="AP325" i="5"/>
  <c r="AQ325" i="5"/>
  <c r="B326" i="5"/>
  <c r="C326" i="5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V326" i="5"/>
  <c r="W326" i="5"/>
  <c r="X326" i="5"/>
  <c r="Y326" i="5"/>
  <c r="Z326" i="5"/>
  <c r="AA326" i="5"/>
  <c r="AB326" i="5"/>
  <c r="AC326" i="5"/>
  <c r="AD326" i="5"/>
  <c r="AE326" i="5"/>
  <c r="AF326" i="5"/>
  <c r="AG326" i="5"/>
  <c r="AH326" i="5"/>
  <c r="AI326" i="5"/>
  <c r="AJ326" i="5"/>
  <c r="AK326" i="5"/>
  <c r="AL326" i="5"/>
  <c r="AM326" i="5"/>
  <c r="AN326" i="5"/>
  <c r="AO326" i="5"/>
  <c r="AP326" i="5"/>
  <c r="AQ326" i="5"/>
  <c r="B327" i="5"/>
  <c r="C327" i="5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V327" i="5"/>
  <c r="W327" i="5"/>
  <c r="X327" i="5"/>
  <c r="Y327" i="5"/>
  <c r="Z327" i="5"/>
  <c r="AA327" i="5"/>
  <c r="AB327" i="5"/>
  <c r="AC327" i="5"/>
  <c r="AD327" i="5"/>
  <c r="AE327" i="5"/>
  <c r="AF327" i="5"/>
  <c r="AG327" i="5"/>
  <c r="AH327" i="5"/>
  <c r="AI327" i="5"/>
  <c r="AJ327" i="5"/>
  <c r="AK327" i="5"/>
  <c r="AL327" i="5"/>
  <c r="AM327" i="5"/>
  <c r="AN327" i="5"/>
  <c r="AO327" i="5"/>
  <c r="AP327" i="5"/>
  <c r="AQ327" i="5"/>
  <c r="B328" i="5"/>
  <c r="C328" i="5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V328" i="5"/>
  <c r="W328" i="5"/>
  <c r="X328" i="5"/>
  <c r="Y328" i="5"/>
  <c r="Z328" i="5"/>
  <c r="AA328" i="5"/>
  <c r="AB328" i="5"/>
  <c r="AC328" i="5"/>
  <c r="AD328" i="5"/>
  <c r="AE328" i="5"/>
  <c r="AF328" i="5"/>
  <c r="AG328" i="5"/>
  <c r="AH328" i="5"/>
  <c r="AI328" i="5"/>
  <c r="AJ328" i="5"/>
  <c r="AK328" i="5"/>
  <c r="AL328" i="5"/>
  <c r="AM328" i="5"/>
  <c r="AN328" i="5"/>
  <c r="AO328" i="5"/>
  <c r="AP328" i="5"/>
  <c r="AQ328" i="5"/>
  <c r="B329" i="5"/>
  <c r="C329" i="5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V329" i="5"/>
  <c r="W329" i="5"/>
  <c r="X329" i="5"/>
  <c r="Y329" i="5"/>
  <c r="Z329" i="5"/>
  <c r="AA329" i="5"/>
  <c r="AB329" i="5"/>
  <c r="AC329" i="5"/>
  <c r="AD329" i="5"/>
  <c r="AE329" i="5"/>
  <c r="AF329" i="5"/>
  <c r="AG329" i="5"/>
  <c r="AH329" i="5"/>
  <c r="AI329" i="5"/>
  <c r="AJ329" i="5"/>
  <c r="AK329" i="5"/>
  <c r="AL329" i="5"/>
  <c r="AM329" i="5"/>
  <c r="AN329" i="5"/>
  <c r="AO329" i="5"/>
  <c r="AP329" i="5"/>
  <c r="AQ329" i="5"/>
  <c r="B330" i="5"/>
  <c r="C330" i="5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V330" i="5"/>
  <c r="W330" i="5"/>
  <c r="X330" i="5"/>
  <c r="Y330" i="5"/>
  <c r="Z330" i="5"/>
  <c r="AA330" i="5"/>
  <c r="AB330" i="5"/>
  <c r="AC330" i="5"/>
  <c r="AD330" i="5"/>
  <c r="AE330" i="5"/>
  <c r="AF330" i="5"/>
  <c r="AG330" i="5"/>
  <c r="AH330" i="5"/>
  <c r="AI330" i="5"/>
  <c r="AJ330" i="5"/>
  <c r="AK330" i="5"/>
  <c r="AL330" i="5"/>
  <c r="AM330" i="5"/>
  <c r="AN330" i="5"/>
  <c r="AO330" i="5"/>
  <c r="AP330" i="5"/>
  <c r="AQ330" i="5"/>
  <c r="B331" i="5"/>
  <c r="C331" i="5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V331" i="5"/>
  <c r="W331" i="5"/>
  <c r="X331" i="5"/>
  <c r="Y331" i="5"/>
  <c r="Z331" i="5"/>
  <c r="AA331" i="5"/>
  <c r="AB331" i="5"/>
  <c r="AC331" i="5"/>
  <c r="AD331" i="5"/>
  <c r="AE331" i="5"/>
  <c r="AF331" i="5"/>
  <c r="AG331" i="5"/>
  <c r="AH331" i="5"/>
  <c r="AI331" i="5"/>
  <c r="AJ331" i="5"/>
  <c r="AK331" i="5"/>
  <c r="AL331" i="5"/>
  <c r="AM331" i="5"/>
  <c r="AN331" i="5"/>
  <c r="AO331" i="5"/>
  <c r="AP331" i="5"/>
  <c r="AQ331" i="5"/>
  <c r="B332" i="5"/>
  <c r="C332" i="5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T332" i="5"/>
  <c r="U332" i="5"/>
  <c r="V332" i="5"/>
  <c r="W332" i="5"/>
  <c r="X332" i="5"/>
  <c r="Y332" i="5"/>
  <c r="Z332" i="5"/>
  <c r="AA332" i="5"/>
  <c r="AB332" i="5"/>
  <c r="AC332" i="5"/>
  <c r="AD332" i="5"/>
  <c r="AE332" i="5"/>
  <c r="AF332" i="5"/>
  <c r="AG332" i="5"/>
  <c r="AH332" i="5"/>
  <c r="AI332" i="5"/>
  <c r="AJ332" i="5"/>
  <c r="AK332" i="5"/>
  <c r="AL332" i="5"/>
  <c r="AM332" i="5"/>
  <c r="AN332" i="5"/>
  <c r="AO332" i="5"/>
  <c r="AP332" i="5"/>
  <c r="AQ332" i="5"/>
  <c r="B333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R333" i="5"/>
  <c r="S333" i="5"/>
  <c r="T333" i="5"/>
  <c r="U333" i="5"/>
  <c r="V333" i="5"/>
  <c r="W333" i="5"/>
  <c r="X333" i="5"/>
  <c r="Y333" i="5"/>
  <c r="Z333" i="5"/>
  <c r="AA333" i="5"/>
  <c r="AB333" i="5"/>
  <c r="AC333" i="5"/>
  <c r="AD333" i="5"/>
  <c r="AE333" i="5"/>
  <c r="AF333" i="5"/>
  <c r="AG333" i="5"/>
  <c r="AH333" i="5"/>
  <c r="AI333" i="5"/>
  <c r="AJ333" i="5"/>
  <c r="AK333" i="5"/>
  <c r="AL333" i="5"/>
  <c r="AM333" i="5"/>
  <c r="AN333" i="5"/>
  <c r="AO333" i="5"/>
  <c r="AP333" i="5"/>
  <c r="AQ333" i="5"/>
  <c r="B334" i="5"/>
  <c r="C334" i="5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R334" i="5"/>
  <c r="S334" i="5"/>
  <c r="T334" i="5"/>
  <c r="U334" i="5"/>
  <c r="V334" i="5"/>
  <c r="W334" i="5"/>
  <c r="X334" i="5"/>
  <c r="Y334" i="5"/>
  <c r="Z334" i="5"/>
  <c r="AA334" i="5"/>
  <c r="AB334" i="5"/>
  <c r="AC334" i="5"/>
  <c r="AD334" i="5"/>
  <c r="AE334" i="5"/>
  <c r="AF334" i="5"/>
  <c r="AG334" i="5"/>
  <c r="AH334" i="5"/>
  <c r="AI334" i="5"/>
  <c r="AJ334" i="5"/>
  <c r="AK334" i="5"/>
  <c r="AL334" i="5"/>
  <c r="AM334" i="5"/>
  <c r="AN334" i="5"/>
  <c r="AO334" i="5"/>
  <c r="AP334" i="5"/>
  <c r="AQ334" i="5"/>
  <c r="B335" i="5"/>
  <c r="C335" i="5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R335" i="5"/>
  <c r="S335" i="5"/>
  <c r="T335" i="5"/>
  <c r="U335" i="5"/>
  <c r="V335" i="5"/>
  <c r="W335" i="5"/>
  <c r="X335" i="5"/>
  <c r="Y335" i="5"/>
  <c r="Z335" i="5"/>
  <c r="AA335" i="5"/>
  <c r="AB335" i="5"/>
  <c r="AC335" i="5"/>
  <c r="AD335" i="5"/>
  <c r="AE335" i="5"/>
  <c r="AF335" i="5"/>
  <c r="AG335" i="5"/>
  <c r="AH335" i="5"/>
  <c r="AI335" i="5"/>
  <c r="AJ335" i="5"/>
  <c r="AK335" i="5"/>
  <c r="AL335" i="5"/>
  <c r="AM335" i="5"/>
  <c r="AN335" i="5"/>
  <c r="AO335" i="5"/>
  <c r="AP335" i="5"/>
  <c r="AQ335" i="5"/>
  <c r="B336" i="5"/>
  <c r="C336" i="5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T336" i="5"/>
  <c r="U336" i="5"/>
  <c r="V336" i="5"/>
  <c r="W336" i="5"/>
  <c r="X336" i="5"/>
  <c r="Y336" i="5"/>
  <c r="Z336" i="5"/>
  <c r="AA336" i="5"/>
  <c r="AB336" i="5"/>
  <c r="AC336" i="5"/>
  <c r="AD336" i="5"/>
  <c r="AE336" i="5"/>
  <c r="AF336" i="5"/>
  <c r="AG336" i="5"/>
  <c r="AH336" i="5"/>
  <c r="AI336" i="5"/>
  <c r="AJ336" i="5"/>
  <c r="AK336" i="5"/>
  <c r="AL336" i="5"/>
  <c r="AM336" i="5"/>
  <c r="AN336" i="5"/>
  <c r="AO336" i="5"/>
  <c r="AP336" i="5"/>
  <c r="AQ336" i="5"/>
  <c r="B337" i="5"/>
  <c r="C337" i="5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T337" i="5"/>
  <c r="U337" i="5"/>
  <c r="V337" i="5"/>
  <c r="W337" i="5"/>
  <c r="X337" i="5"/>
  <c r="Y337" i="5"/>
  <c r="Z337" i="5"/>
  <c r="AA337" i="5"/>
  <c r="AB337" i="5"/>
  <c r="AC337" i="5"/>
  <c r="AD337" i="5"/>
  <c r="AE337" i="5"/>
  <c r="AF337" i="5"/>
  <c r="AG337" i="5"/>
  <c r="AH337" i="5"/>
  <c r="AI337" i="5"/>
  <c r="AJ337" i="5"/>
  <c r="AK337" i="5"/>
  <c r="AL337" i="5"/>
  <c r="AM337" i="5"/>
  <c r="AN337" i="5"/>
  <c r="AO337" i="5"/>
  <c r="AP337" i="5"/>
  <c r="AQ337" i="5"/>
  <c r="B338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T338" i="5"/>
  <c r="U338" i="5"/>
  <c r="V338" i="5"/>
  <c r="W338" i="5"/>
  <c r="X338" i="5"/>
  <c r="Y338" i="5"/>
  <c r="Z338" i="5"/>
  <c r="AA338" i="5"/>
  <c r="AB338" i="5"/>
  <c r="AC338" i="5"/>
  <c r="AD338" i="5"/>
  <c r="AE338" i="5"/>
  <c r="AF338" i="5"/>
  <c r="AG338" i="5"/>
  <c r="AH338" i="5"/>
  <c r="AI338" i="5"/>
  <c r="AJ338" i="5"/>
  <c r="AK338" i="5"/>
  <c r="AL338" i="5"/>
  <c r="AM338" i="5"/>
  <c r="AN338" i="5"/>
  <c r="AO338" i="5"/>
  <c r="AP338" i="5"/>
  <c r="AQ338" i="5"/>
  <c r="B339" i="5"/>
  <c r="C339" i="5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T339" i="5"/>
  <c r="U339" i="5"/>
  <c r="V339" i="5"/>
  <c r="W339" i="5"/>
  <c r="X339" i="5"/>
  <c r="Y339" i="5"/>
  <c r="Z339" i="5"/>
  <c r="AA339" i="5"/>
  <c r="AB339" i="5"/>
  <c r="AC339" i="5"/>
  <c r="AD339" i="5"/>
  <c r="AE339" i="5"/>
  <c r="AF339" i="5"/>
  <c r="AG339" i="5"/>
  <c r="AH339" i="5"/>
  <c r="AI339" i="5"/>
  <c r="AJ339" i="5"/>
  <c r="AK339" i="5"/>
  <c r="AL339" i="5"/>
  <c r="AM339" i="5"/>
  <c r="AN339" i="5"/>
  <c r="AO339" i="5"/>
  <c r="AP339" i="5"/>
  <c r="AQ339" i="5"/>
  <c r="B340" i="5"/>
  <c r="C340" i="5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T340" i="5"/>
  <c r="U340" i="5"/>
  <c r="V340" i="5"/>
  <c r="W340" i="5"/>
  <c r="X340" i="5"/>
  <c r="Y340" i="5"/>
  <c r="Z340" i="5"/>
  <c r="AA340" i="5"/>
  <c r="AB340" i="5"/>
  <c r="AC340" i="5"/>
  <c r="AD340" i="5"/>
  <c r="AE340" i="5"/>
  <c r="AF340" i="5"/>
  <c r="AG340" i="5"/>
  <c r="AH340" i="5"/>
  <c r="AI340" i="5"/>
  <c r="AJ340" i="5"/>
  <c r="AK340" i="5"/>
  <c r="AL340" i="5"/>
  <c r="AM340" i="5"/>
  <c r="AN340" i="5"/>
  <c r="AO340" i="5"/>
  <c r="AP340" i="5"/>
  <c r="AQ340" i="5"/>
  <c r="B341" i="5"/>
  <c r="C341" i="5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T341" i="5"/>
  <c r="U341" i="5"/>
  <c r="V341" i="5"/>
  <c r="W341" i="5"/>
  <c r="X341" i="5"/>
  <c r="Y341" i="5"/>
  <c r="Z341" i="5"/>
  <c r="AA341" i="5"/>
  <c r="AB341" i="5"/>
  <c r="AC341" i="5"/>
  <c r="AD341" i="5"/>
  <c r="AE341" i="5"/>
  <c r="AF341" i="5"/>
  <c r="AG341" i="5"/>
  <c r="AH341" i="5"/>
  <c r="AI341" i="5"/>
  <c r="AJ341" i="5"/>
  <c r="AK341" i="5"/>
  <c r="AL341" i="5"/>
  <c r="AM341" i="5"/>
  <c r="AN341" i="5"/>
  <c r="AO341" i="5"/>
  <c r="AP341" i="5"/>
  <c r="AQ341" i="5"/>
  <c r="B342" i="5"/>
  <c r="C342" i="5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T342" i="5"/>
  <c r="U342" i="5"/>
  <c r="V342" i="5"/>
  <c r="W342" i="5"/>
  <c r="X342" i="5"/>
  <c r="Y342" i="5"/>
  <c r="Z342" i="5"/>
  <c r="AA342" i="5"/>
  <c r="AB342" i="5"/>
  <c r="AC342" i="5"/>
  <c r="AD342" i="5"/>
  <c r="AE342" i="5"/>
  <c r="AF342" i="5"/>
  <c r="AG342" i="5"/>
  <c r="AH342" i="5"/>
  <c r="AI342" i="5"/>
  <c r="AJ342" i="5"/>
  <c r="AK342" i="5"/>
  <c r="AL342" i="5"/>
  <c r="AM342" i="5"/>
  <c r="AN342" i="5"/>
  <c r="AO342" i="5"/>
  <c r="AP342" i="5"/>
  <c r="AQ342" i="5"/>
  <c r="B343" i="5"/>
  <c r="C343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T343" i="5"/>
  <c r="U343" i="5"/>
  <c r="V343" i="5"/>
  <c r="W343" i="5"/>
  <c r="X343" i="5"/>
  <c r="Y343" i="5"/>
  <c r="Z343" i="5"/>
  <c r="AA343" i="5"/>
  <c r="AB343" i="5"/>
  <c r="AC343" i="5"/>
  <c r="AD343" i="5"/>
  <c r="AE343" i="5"/>
  <c r="AF343" i="5"/>
  <c r="AG343" i="5"/>
  <c r="AH343" i="5"/>
  <c r="AI343" i="5"/>
  <c r="AJ343" i="5"/>
  <c r="AK343" i="5"/>
  <c r="AL343" i="5"/>
  <c r="AM343" i="5"/>
  <c r="AN343" i="5"/>
  <c r="AO343" i="5"/>
  <c r="AP343" i="5"/>
  <c r="AQ343" i="5"/>
  <c r="B344" i="5"/>
  <c r="C344" i="5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T344" i="5"/>
  <c r="U344" i="5"/>
  <c r="V344" i="5"/>
  <c r="W344" i="5"/>
  <c r="X344" i="5"/>
  <c r="Y344" i="5"/>
  <c r="Z344" i="5"/>
  <c r="AA344" i="5"/>
  <c r="AB344" i="5"/>
  <c r="AC344" i="5"/>
  <c r="AD344" i="5"/>
  <c r="AE344" i="5"/>
  <c r="AF344" i="5"/>
  <c r="AG344" i="5"/>
  <c r="AH344" i="5"/>
  <c r="AI344" i="5"/>
  <c r="AJ344" i="5"/>
  <c r="AK344" i="5"/>
  <c r="AL344" i="5"/>
  <c r="AM344" i="5"/>
  <c r="AN344" i="5"/>
  <c r="AO344" i="5"/>
  <c r="AP344" i="5"/>
  <c r="AQ344" i="5"/>
  <c r="B345" i="5"/>
  <c r="C345" i="5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T345" i="5"/>
  <c r="U345" i="5"/>
  <c r="V345" i="5"/>
  <c r="W345" i="5"/>
  <c r="X345" i="5"/>
  <c r="Y345" i="5"/>
  <c r="Z345" i="5"/>
  <c r="AA345" i="5"/>
  <c r="AB345" i="5"/>
  <c r="AC345" i="5"/>
  <c r="AD345" i="5"/>
  <c r="AE345" i="5"/>
  <c r="AF345" i="5"/>
  <c r="AG345" i="5"/>
  <c r="AH345" i="5"/>
  <c r="AI345" i="5"/>
  <c r="AJ345" i="5"/>
  <c r="AK345" i="5"/>
  <c r="AL345" i="5"/>
  <c r="AM345" i="5"/>
  <c r="AN345" i="5"/>
  <c r="AO345" i="5"/>
  <c r="AP345" i="5"/>
  <c r="AQ345" i="5"/>
  <c r="B346" i="5"/>
  <c r="C346" i="5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T346" i="5"/>
  <c r="U346" i="5"/>
  <c r="V346" i="5"/>
  <c r="W346" i="5"/>
  <c r="X346" i="5"/>
  <c r="Y346" i="5"/>
  <c r="Z346" i="5"/>
  <c r="AA346" i="5"/>
  <c r="AB346" i="5"/>
  <c r="AC346" i="5"/>
  <c r="AD346" i="5"/>
  <c r="AE346" i="5"/>
  <c r="AF346" i="5"/>
  <c r="AG346" i="5"/>
  <c r="AH346" i="5"/>
  <c r="AI346" i="5"/>
  <c r="AJ346" i="5"/>
  <c r="AK346" i="5"/>
  <c r="AL346" i="5"/>
  <c r="AM346" i="5"/>
  <c r="AN346" i="5"/>
  <c r="AO346" i="5"/>
  <c r="AP346" i="5"/>
  <c r="AQ346" i="5"/>
  <c r="B347" i="5"/>
  <c r="C347" i="5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T347" i="5"/>
  <c r="U347" i="5"/>
  <c r="V347" i="5"/>
  <c r="W347" i="5"/>
  <c r="X347" i="5"/>
  <c r="Y347" i="5"/>
  <c r="Z347" i="5"/>
  <c r="AA347" i="5"/>
  <c r="AB347" i="5"/>
  <c r="AC347" i="5"/>
  <c r="AD347" i="5"/>
  <c r="AE347" i="5"/>
  <c r="AF347" i="5"/>
  <c r="AG347" i="5"/>
  <c r="AH347" i="5"/>
  <c r="AI347" i="5"/>
  <c r="AJ347" i="5"/>
  <c r="AK347" i="5"/>
  <c r="AL347" i="5"/>
  <c r="AM347" i="5"/>
  <c r="AN347" i="5"/>
  <c r="AO347" i="5"/>
  <c r="AP347" i="5"/>
  <c r="AQ347" i="5"/>
  <c r="B348" i="5"/>
  <c r="C348" i="5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T348" i="5"/>
  <c r="U348" i="5"/>
  <c r="V348" i="5"/>
  <c r="W348" i="5"/>
  <c r="X348" i="5"/>
  <c r="Y348" i="5"/>
  <c r="Z348" i="5"/>
  <c r="AA348" i="5"/>
  <c r="AB348" i="5"/>
  <c r="AC348" i="5"/>
  <c r="AD348" i="5"/>
  <c r="AE348" i="5"/>
  <c r="AF348" i="5"/>
  <c r="AG348" i="5"/>
  <c r="AH348" i="5"/>
  <c r="AI348" i="5"/>
  <c r="AJ348" i="5"/>
  <c r="AK348" i="5"/>
  <c r="AL348" i="5"/>
  <c r="AM348" i="5"/>
  <c r="AN348" i="5"/>
  <c r="AO348" i="5"/>
  <c r="AP348" i="5"/>
  <c r="AQ348" i="5"/>
  <c r="B349" i="5"/>
  <c r="C349" i="5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T349" i="5"/>
  <c r="U349" i="5"/>
  <c r="V349" i="5"/>
  <c r="W349" i="5"/>
  <c r="X349" i="5"/>
  <c r="Y349" i="5"/>
  <c r="Z349" i="5"/>
  <c r="AA349" i="5"/>
  <c r="AB349" i="5"/>
  <c r="AC349" i="5"/>
  <c r="AD349" i="5"/>
  <c r="AE349" i="5"/>
  <c r="AF349" i="5"/>
  <c r="AG349" i="5"/>
  <c r="AH349" i="5"/>
  <c r="AI349" i="5"/>
  <c r="AJ349" i="5"/>
  <c r="AK349" i="5"/>
  <c r="AL349" i="5"/>
  <c r="AM349" i="5"/>
  <c r="AN349" i="5"/>
  <c r="AO349" i="5"/>
  <c r="AP349" i="5"/>
  <c r="AQ349" i="5"/>
  <c r="B350" i="5"/>
  <c r="C350" i="5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T350" i="5"/>
  <c r="U350" i="5"/>
  <c r="V350" i="5"/>
  <c r="W350" i="5"/>
  <c r="X350" i="5"/>
  <c r="Y350" i="5"/>
  <c r="Z350" i="5"/>
  <c r="AA350" i="5"/>
  <c r="AB350" i="5"/>
  <c r="AC350" i="5"/>
  <c r="AD350" i="5"/>
  <c r="AE350" i="5"/>
  <c r="AF350" i="5"/>
  <c r="AG350" i="5"/>
  <c r="AH350" i="5"/>
  <c r="AI350" i="5"/>
  <c r="AJ350" i="5"/>
  <c r="AK350" i="5"/>
  <c r="AL350" i="5"/>
  <c r="AM350" i="5"/>
  <c r="AN350" i="5"/>
  <c r="AO350" i="5"/>
  <c r="AP350" i="5"/>
  <c r="AQ350" i="5"/>
  <c r="B351" i="5"/>
  <c r="C351" i="5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T351" i="5"/>
  <c r="U351" i="5"/>
  <c r="V351" i="5"/>
  <c r="W351" i="5"/>
  <c r="X351" i="5"/>
  <c r="Y351" i="5"/>
  <c r="Z351" i="5"/>
  <c r="AA351" i="5"/>
  <c r="AB351" i="5"/>
  <c r="AC351" i="5"/>
  <c r="AD351" i="5"/>
  <c r="AE351" i="5"/>
  <c r="AF351" i="5"/>
  <c r="AG351" i="5"/>
  <c r="AH351" i="5"/>
  <c r="AI351" i="5"/>
  <c r="AJ351" i="5"/>
  <c r="AK351" i="5"/>
  <c r="AL351" i="5"/>
  <c r="AM351" i="5"/>
  <c r="AN351" i="5"/>
  <c r="AO351" i="5"/>
  <c r="AP351" i="5"/>
  <c r="AQ351" i="5"/>
  <c r="B352" i="5"/>
  <c r="C352" i="5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T352" i="5"/>
  <c r="U352" i="5"/>
  <c r="V352" i="5"/>
  <c r="W352" i="5"/>
  <c r="X352" i="5"/>
  <c r="Y352" i="5"/>
  <c r="Z352" i="5"/>
  <c r="AA352" i="5"/>
  <c r="AB352" i="5"/>
  <c r="AC352" i="5"/>
  <c r="AD352" i="5"/>
  <c r="AE352" i="5"/>
  <c r="AF352" i="5"/>
  <c r="AG352" i="5"/>
  <c r="AH352" i="5"/>
  <c r="AI352" i="5"/>
  <c r="AJ352" i="5"/>
  <c r="AK352" i="5"/>
  <c r="AL352" i="5"/>
  <c r="AM352" i="5"/>
  <c r="AN352" i="5"/>
  <c r="AO352" i="5"/>
  <c r="AP352" i="5"/>
  <c r="AQ352" i="5"/>
  <c r="B353" i="5"/>
  <c r="C353" i="5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AC353" i="5"/>
  <c r="AD353" i="5"/>
  <c r="AE353" i="5"/>
  <c r="AF353" i="5"/>
  <c r="AG353" i="5"/>
  <c r="AH353" i="5"/>
  <c r="AI353" i="5"/>
  <c r="AJ353" i="5"/>
  <c r="AK353" i="5"/>
  <c r="AL353" i="5"/>
  <c r="AM353" i="5"/>
  <c r="AN353" i="5"/>
  <c r="AO353" i="5"/>
  <c r="AP353" i="5"/>
  <c r="AQ353" i="5"/>
  <c r="B354" i="5"/>
  <c r="C354" i="5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T354" i="5"/>
  <c r="U354" i="5"/>
  <c r="V354" i="5"/>
  <c r="W354" i="5"/>
  <c r="X354" i="5"/>
  <c r="Y354" i="5"/>
  <c r="Z354" i="5"/>
  <c r="AA354" i="5"/>
  <c r="AB354" i="5"/>
  <c r="AC354" i="5"/>
  <c r="AD354" i="5"/>
  <c r="AE354" i="5"/>
  <c r="AF354" i="5"/>
  <c r="AG354" i="5"/>
  <c r="AH354" i="5"/>
  <c r="AI354" i="5"/>
  <c r="AJ354" i="5"/>
  <c r="AK354" i="5"/>
  <c r="AL354" i="5"/>
  <c r="AM354" i="5"/>
  <c r="AN354" i="5"/>
  <c r="AO354" i="5"/>
  <c r="AP354" i="5"/>
  <c r="AQ354" i="5"/>
  <c r="B355" i="5"/>
  <c r="C355" i="5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T355" i="5"/>
  <c r="U355" i="5"/>
  <c r="V355" i="5"/>
  <c r="W355" i="5"/>
  <c r="X355" i="5"/>
  <c r="Y355" i="5"/>
  <c r="Z355" i="5"/>
  <c r="AA355" i="5"/>
  <c r="AB355" i="5"/>
  <c r="AC355" i="5"/>
  <c r="AD355" i="5"/>
  <c r="AE355" i="5"/>
  <c r="AF355" i="5"/>
  <c r="AG355" i="5"/>
  <c r="AH355" i="5"/>
  <c r="AI355" i="5"/>
  <c r="AJ355" i="5"/>
  <c r="AK355" i="5"/>
  <c r="AL355" i="5"/>
  <c r="AM355" i="5"/>
  <c r="AN355" i="5"/>
  <c r="AO355" i="5"/>
  <c r="AP355" i="5"/>
  <c r="AQ355" i="5"/>
  <c r="B356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T356" i="5"/>
  <c r="U356" i="5"/>
  <c r="V356" i="5"/>
  <c r="W356" i="5"/>
  <c r="X356" i="5"/>
  <c r="Y356" i="5"/>
  <c r="Z356" i="5"/>
  <c r="AA356" i="5"/>
  <c r="AB356" i="5"/>
  <c r="AC356" i="5"/>
  <c r="AD356" i="5"/>
  <c r="AE356" i="5"/>
  <c r="AF356" i="5"/>
  <c r="AG356" i="5"/>
  <c r="AH356" i="5"/>
  <c r="AI356" i="5"/>
  <c r="AJ356" i="5"/>
  <c r="AK356" i="5"/>
  <c r="AL356" i="5"/>
  <c r="AM356" i="5"/>
  <c r="AN356" i="5"/>
  <c r="AO356" i="5"/>
  <c r="AP356" i="5"/>
  <c r="AQ356" i="5"/>
  <c r="B357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T357" i="5"/>
  <c r="U357" i="5"/>
  <c r="V357" i="5"/>
  <c r="W357" i="5"/>
  <c r="X357" i="5"/>
  <c r="Y357" i="5"/>
  <c r="Z357" i="5"/>
  <c r="AA357" i="5"/>
  <c r="AB357" i="5"/>
  <c r="AC357" i="5"/>
  <c r="AD357" i="5"/>
  <c r="AE357" i="5"/>
  <c r="AF357" i="5"/>
  <c r="AG357" i="5"/>
  <c r="AH357" i="5"/>
  <c r="AI357" i="5"/>
  <c r="AJ357" i="5"/>
  <c r="AK357" i="5"/>
  <c r="AL357" i="5"/>
  <c r="AM357" i="5"/>
  <c r="AN357" i="5"/>
  <c r="AO357" i="5"/>
  <c r="AP357" i="5"/>
  <c r="AQ357" i="5"/>
  <c r="B358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T358" i="5"/>
  <c r="U358" i="5"/>
  <c r="V358" i="5"/>
  <c r="W358" i="5"/>
  <c r="X358" i="5"/>
  <c r="Y358" i="5"/>
  <c r="Z358" i="5"/>
  <c r="AA358" i="5"/>
  <c r="AB358" i="5"/>
  <c r="AC358" i="5"/>
  <c r="AD358" i="5"/>
  <c r="AE358" i="5"/>
  <c r="AF358" i="5"/>
  <c r="AG358" i="5"/>
  <c r="AH358" i="5"/>
  <c r="AI358" i="5"/>
  <c r="AJ358" i="5"/>
  <c r="AK358" i="5"/>
  <c r="AL358" i="5"/>
  <c r="AM358" i="5"/>
  <c r="AN358" i="5"/>
  <c r="AO358" i="5"/>
  <c r="AP358" i="5"/>
  <c r="AQ358" i="5"/>
  <c r="B359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T359" i="5"/>
  <c r="U359" i="5"/>
  <c r="V359" i="5"/>
  <c r="W359" i="5"/>
  <c r="X359" i="5"/>
  <c r="Y359" i="5"/>
  <c r="Z359" i="5"/>
  <c r="AA359" i="5"/>
  <c r="AB359" i="5"/>
  <c r="AC359" i="5"/>
  <c r="AD359" i="5"/>
  <c r="AE359" i="5"/>
  <c r="AF359" i="5"/>
  <c r="AG359" i="5"/>
  <c r="AH359" i="5"/>
  <c r="AI359" i="5"/>
  <c r="AJ359" i="5"/>
  <c r="AK359" i="5"/>
  <c r="AL359" i="5"/>
  <c r="AM359" i="5"/>
  <c r="AN359" i="5"/>
  <c r="AO359" i="5"/>
  <c r="AP359" i="5"/>
  <c r="AQ359" i="5"/>
  <c r="B360" i="5"/>
  <c r="C360" i="5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V360" i="5"/>
  <c r="W360" i="5"/>
  <c r="X360" i="5"/>
  <c r="Y360" i="5"/>
  <c r="Z360" i="5"/>
  <c r="AA360" i="5"/>
  <c r="AB360" i="5"/>
  <c r="AC360" i="5"/>
  <c r="AD360" i="5"/>
  <c r="AE360" i="5"/>
  <c r="AF360" i="5"/>
  <c r="AG360" i="5"/>
  <c r="AH360" i="5"/>
  <c r="AI360" i="5"/>
  <c r="AJ360" i="5"/>
  <c r="AK360" i="5"/>
  <c r="AL360" i="5"/>
  <c r="AM360" i="5"/>
  <c r="AN360" i="5"/>
  <c r="AO360" i="5"/>
  <c r="AP360" i="5"/>
  <c r="AQ360" i="5"/>
  <c r="B361" i="5"/>
  <c r="C361" i="5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T361" i="5"/>
  <c r="U361" i="5"/>
  <c r="V361" i="5"/>
  <c r="W361" i="5"/>
  <c r="X361" i="5"/>
  <c r="Y361" i="5"/>
  <c r="Z361" i="5"/>
  <c r="AA361" i="5"/>
  <c r="AB361" i="5"/>
  <c r="AC361" i="5"/>
  <c r="AD361" i="5"/>
  <c r="AE361" i="5"/>
  <c r="AF361" i="5"/>
  <c r="AG361" i="5"/>
  <c r="AH361" i="5"/>
  <c r="AI361" i="5"/>
  <c r="AJ361" i="5"/>
  <c r="AK361" i="5"/>
  <c r="AL361" i="5"/>
  <c r="AM361" i="5"/>
  <c r="AN361" i="5"/>
  <c r="AO361" i="5"/>
  <c r="AP361" i="5"/>
  <c r="AQ361" i="5"/>
  <c r="B362" i="5"/>
  <c r="C362" i="5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T362" i="5"/>
  <c r="U362" i="5"/>
  <c r="V362" i="5"/>
  <c r="W362" i="5"/>
  <c r="X362" i="5"/>
  <c r="Y362" i="5"/>
  <c r="Z362" i="5"/>
  <c r="AA362" i="5"/>
  <c r="AB362" i="5"/>
  <c r="AC362" i="5"/>
  <c r="AD362" i="5"/>
  <c r="AE362" i="5"/>
  <c r="AF362" i="5"/>
  <c r="AG362" i="5"/>
  <c r="AH362" i="5"/>
  <c r="AI362" i="5"/>
  <c r="AJ362" i="5"/>
  <c r="AK362" i="5"/>
  <c r="AL362" i="5"/>
  <c r="AM362" i="5"/>
  <c r="AN362" i="5"/>
  <c r="AO362" i="5"/>
  <c r="AP362" i="5"/>
  <c r="AQ362" i="5"/>
  <c r="B363" i="5"/>
  <c r="C363" i="5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V363" i="5"/>
  <c r="W363" i="5"/>
  <c r="X363" i="5"/>
  <c r="Y363" i="5"/>
  <c r="Z363" i="5"/>
  <c r="AA363" i="5"/>
  <c r="AB363" i="5"/>
  <c r="AC363" i="5"/>
  <c r="AD363" i="5"/>
  <c r="AE363" i="5"/>
  <c r="AF363" i="5"/>
  <c r="AG363" i="5"/>
  <c r="AH363" i="5"/>
  <c r="AI363" i="5"/>
  <c r="AJ363" i="5"/>
  <c r="AK363" i="5"/>
  <c r="AL363" i="5"/>
  <c r="AM363" i="5"/>
  <c r="AN363" i="5"/>
  <c r="AO363" i="5"/>
  <c r="AP363" i="5"/>
  <c r="AQ363" i="5"/>
  <c r="B364" i="5"/>
  <c r="C364" i="5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T364" i="5"/>
  <c r="U364" i="5"/>
  <c r="V364" i="5"/>
  <c r="W364" i="5"/>
  <c r="X364" i="5"/>
  <c r="Y364" i="5"/>
  <c r="Z364" i="5"/>
  <c r="AA364" i="5"/>
  <c r="AB364" i="5"/>
  <c r="AC364" i="5"/>
  <c r="AD364" i="5"/>
  <c r="AE364" i="5"/>
  <c r="AF364" i="5"/>
  <c r="AG364" i="5"/>
  <c r="AH364" i="5"/>
  <c r="AI364" i="5"/>
  <c r="AJ364" i="5"/>
  <c r="AK364" i="5"/>
  <c r="AL364" i="5"/>
  <c r="AM364" i="5"/>
  <c r="AN364" i="5"/>
  <c r="AO364" i="5"/>
  <c r="AP364" i="5"/>
  <c r="AQ364" i="5"/>
  <c r="B365" i="5"/>
  <c r="C365" i="5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T365" i="5"/>
  <c r="U365" i="5"/>
  <c r="V365" i="5"/>
  <c r="W365" i="5"/>
  <c r="X365" i="5"/>
  <c r="Y365" i="5"/>
  <c r="Z365" i="5"/>
  <c r="AA365" i="5"/>
  <c r="AB365" i="5"/>
  <c r="AC365" i="5"/>
  <c r="AD365" i="5"/>
  <c r="AE365" i="5"/>
  <c r="AF365" i="5"/>
  <c r="AG365" i="5"/>
  <c r="AH365" i="5"/>
  <c r="AI365" i="5"/>
  <c r="AJ365" i="5"/>
  <c r="AK365" i="5"/>
  <c r="AL365" i="5"/>
  <c r="AM365" i="5"/>
  <c r="AN365" i="5"/>
  <c r="AO365" i="5"/>
  <c r="AP365" i="5"/>
  <c r="AQ365" i="5"/>
  <c r="B366" i="5"/>
  <c r="C366" i="5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T366" i="5"/>
  <c r="U366" i="5"/>
  <c r="V366" i="5"/>
  <c r="W366" i="5"/>
  <c r="X366" i="5"/>
  <c r="Y366" i="5"/>
  <c r="Z366" i="5"/>
  <c r="AA366" i="5"/>
  <c r="AB366" i="5"/>
  <c r="AC366" i="5"/>
  <c r="AD366" i="5"/>
  <c r="AE366" i="5"/>
  <c r="AF366" i="5"/>
  <c r="AG366" i="5"/>
  <c r="AH366" i="5"/>
  <c r="AI366" i="5"/>
  <c r="AJ366" i="5"/>
  <c r="AK366" i="5"/>
  <c r="AL366" i="5"/>
  <c r="AM366" i="5"/>
  <c r="AN366" i="5"/>
  <c r="AO366" i="5"/>
  <c r="AP366" i="5"/>
  <c r="AQ366" i="5"/>
  <c r="B367" i="5"/>
  <c r="C367" i="5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T367" i="5"/>
  <c r="U367" i="5"/>
  <c r="V367" i="5"/>
  <c r="W367" i="5"/>
  <c r="X367" i="5"/>
  <c r="Y367" i="5"/>
  <c r="Z367" i="5"/>
  <c r="AA367" i="5"/>
  <c r="AB367" i="5"/>
  <c r="AC367" i="5"/>
  <c r="AD367" i="5"/>
  <c r="AE367" i="5"/>
  <c r="AF367" i="5"/>
  <c r="AG367" i="5"/>
  <c r="AH367" i="5"/>
  <c r="AI367" i="5"/>
  <c r="AJ367" i="5"/>
  <c r="AK367" i="5"/>
  <c r="AL367" i="5"/>
  <c r="AM367" i="5"/>
  <c r="AN367" i="5"/>
  <c r="AO367" i="5"/>
  <c r="AP367" i="5"/>
  <c r="AQ367" i="5"/>
  <c r="B368" i="5"/>
  <c r="C368" i="5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R368" i="5"/>
  <c r="S368" i="5"/>
  <c r="T368" i="5"/>
  <c r="U368" i="5"/>
  <c r="V368" i="5"/>
  <c r="W368" i="5"/>
  <c r="X368" i="5"/>
  <c r="Y368" i="5"/>
  <c r="Z368" i="5"/>
  <c r="AA368" i="5"/>
  <c r="AB368" i="5"/>
  <c r="AC368" i="5"/>
  <c r="AD368" i="5"/>
  <c r="AE368" i="5"/>
  <c r="AF368" i="5"/>
  <c r="AG368" i="5"/>
  <c r="AH368" i="5"/>
  <c r="AI368" i="5"/>
  <c r="AJ368" i="5"/>
  <c r="AK368" i="5"/>
  <c r="AL368" i="5"/>
  <c r="AM368" i="5"/>
  <c r="AN368" i="5"/>
  <c r="AO368" i="5"/>
  <c r="AP368" i="5"/>
  <c r="AQ368" i="5"/>
  <c r="B369" i="5"/>
  <c r="C369" i="5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V369" i="5"/>
  <c r="W369" i="5"/>
  <c r="X369" i="5"/>
  <c r="Y369" i="5"/>
  <c r="Z369" i="5"/>
  <c r="AA369" i="5"/>
  <c r="AB369" i="5"/>
  <c r="AC369" i="5"/>
  <c r="AD369" i="5"/>
  <c r="AE369" i="5"/>
  <c r="AF369" i="5"/>
  <c r="AG369" i="5"/>
  <c r="AH369" i="5"/>
  <c r="AI369" i="5"/>
  <c r="AJ369" i="5"/>
  <c r="AK369" i="5"/>
  <c r="AL369" i="5"/>
  <c r="AM369" i="5"/>
  <c r="AN369" i="5"/>
  <c r="AO369" i="5"/>
  <c r="AP369" i="5"/>
  <c r="AQ369" i="5"/>
  <c r="B370" i="5"/>
  <c r="C370" i="5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V370" i="5"/>
  <c r="W370" i="5"/>
  <c r="X370" i="5"/>
  <c r="Y370" i="5"/>
  <c r="Z370" i="5"/>
  <c r="AA370" i="5"/>
  <c r="AB370" i="5"/>
  <c r="AC370" i="5"/>
  <c r="AD370" i="5"/>
  <c r="AE370" i="5"/>
  <c r="AF370" i="5"/>
  <c r="AG370" i="5"/>
  <c r="AH370" i="5"/>
  <c r="AI370" i="5"/>
  <c r="AJ370" i="5"/>
  <c r="AK370" i="5"/>
  <c r="AL370" i="5"/>
  <c r="AM370" i="5"/>
  <c r="AN370" i="5"/>
  <c r="AO370" i="5"/>
  <c r="AP370" i="5"/>
  <c r="AQ370" i="5"/>
  <c r="B371" i="5"/>
  <c r="C371" i="5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V371" i="5"/>
  <c r="W371" i="5"/>
  <c r="X371" i="5"/>
  <c r="Y371" i="5"/>
  <c r="Z371" i="5"/>
  <c r="AA371" i="5"/>
  <c r="AB371" i="5"/>
  <c r="AC371" i="5"/>
  <c r="AD371" i="5"/>
  <c r="AE371" i="5"/>
  <c r="AF371" i="5"/>
  <c r="AG371" i="5"/>
  <c r="AH371" i="5"/>
  <c r="AI371" i="5"/>
  <c r="AJ371" i="5"/>
  <c r="AK371" i="5"/>
  <c r="AL371" i="5"/>
  <c r="AM371" i="5"/>
  <c r="AN371" i="5"/>
  <c r="AO371" i="5"/>
  <c r="AP371" i="5"/>
  <c r="AQ371" i="5"/>
  <c r="B372" i="5"/>
  <c r="C372" i="5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V372" i="5"/>
  <c r="W372" i="5"/>
  <c r="X372" i="5"/>
  <c r="Y372" i="5"/>
  <c r="Z372" i="5"/>
  <c r="AA372" i="5"/>
  <c r="AB372" i="5"/>
  <c r="AC372" i="5"/>
  <c r="AD372" i="5"/>
  <c r="AE372" i="5"/>
  <c r="AF372" i="5"/>
  <c r="AG372" i="5"/>
  <c r="AH372" i="5"/>
  <c r="AI372" i="5"/>
  <c r="AJ372" i="5"/>
  <c r="AK372" i="5"/>
  <c r="AL372" i="5"/>
  <c r="AM372" i="5"/>
  <c r="AN372" i="5"/>
  <c r="AO372" i="5"/>
  <c r="AP372" i="5"/>
  <c r="AQ372" i="5"/>
  <c r="B373" i="5"/>
  <c r="C373" i="5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V373" i="5"/>
  <c r="W373" i="5"/>
  <c r="X373" i="5"/>
  <c r="Y373" i="5"/>
  <c r="Z373" i="5"/>
  <c r="AA373" i="5"/>
  <c r="AB373" i="5"/>
  <c r="AC373" i="5"/>
  <c r="AD373" i="5"/>
  <c r="AE373" i="5"/>
  <c r="AF373" i="5"/>
  <c r="AG373" i="5"/>
  <c r="AH373" i="5"/>
  <c r="AI373" i="5"/>
  <c r="AJ373" i="5"/>
  <c r="AK373" i="5"/>
  <c r="AL373" i="5"/>
  <c r="AM373" i="5"/>
  <c r="AN373" i="5"/>
  <c r="AO373" i="5"/>
  <c r="AP373" i="5"/>
  <c r="AQ373" i="5"/>
  <c r="B374" i="5"/>
  <c r="C374" i="5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V374" i="5"/>
  <c r="W374" i="5"/>
  <c r="X374" i="5"/>
  <c r="Y374" i="5"/>
  <c r="Z374" i="5"/>
  <c r="AA374" i="5"/>
  <c r="AB374" i="5"/>
  <c r="AC374" i="5"/>
  <c r="AD374" i="5"/>
  <c r="AE374" i="5"/>
  <c r="AF374" i="5"/>
  <c r="AG374" i="5"/>
  <c r="AH374" i="5"/>
  <c r="AI374" i="5"/>
  <c r="AJ374" i="5"/>
  <c r="AK374" i="5"/>
  <c r="AL374" i="5"/>
  <c r="AM374" i="5"/>
  <c r="AN374" i="5"/>
  <c r="AO374" i="5"/>
  <c r="AP374" i="5"/>
  <c r="AQ374" i="5"/>
  <c r="B375" i="5"/>
  <c r="C375" i="5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V375" i="5"/>
  <c r="W375" i="5"/>
  <c r="X375" i="5"/>
  <c r="Y375" i="5"/>
  <c r="Z375" i="5"/>
  <c r="AA375" i="5"/>
  <c r="AB375" i="5"/>
  <c r="AC375" i="5"/>
  <c r="AD375" i="5"/>
  <c r="AE375" i="5"/>
  <c r="AF375" i="5"/>
  <c r="AG375" i="5"/>
  <c r="AH375" i="5"/>
  <c r="AI375" i="5"/>
  <c r="AJ375" i="5"/>
  <c r="AK375" i="5"/>
  <c r="AL375" i="5"/>
  <c r="AM375" i="5"/>
  <c r="AN375" i="5"/>
  <c r="AO375" i="5"/>
  <c r="AP375" i="5"/>
  <c r="AQ375" i="5"/>
  <c r="B376" i="5"/>
  <c r="C376" i="5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V376" i="5"/>
  <c r="W376" i="5"/>
  <c r="X376" i="5"/>
  <c r="Y376" i="5"/>
  <c r="Z376" i="5"/>
  <c r="AA376" i="5"/>
  <c r="AB376" i="5"/>
  <c r="AC376" i="5"/>
  <c r="AD376" i="5"/>
  <c r="AE376" i="5"/>
  <c r="AF376" i="5"/>
  <c r="AG376" i="5"/>
  <c r="AH376" i="5"/>
  <c r="AI376" i="5"/>
  <c r="AJ376" i="5"/>
  <c r="AK376" i="5"/>
  <c r="AL376" i="5"/>
  <c r="AM376" i="5"/>
  <c r="AN376" i="5"/>
  <c r="AO376" i="5"/>
  <c r="AP376" i="5"/>
  <c r="AQ376" i="5"/>
  <c r="B377" i="5"/>
  <c r="C377" i="5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V377" i="5"/>
  <c r="W377" i="5"/>
  <c r="X377" i="5"/>
  <c r="Y377" i="5"/>
  <c r="Z377" i="5"/>
  <c r="AA377" i="5"/>
  <c r="AB377" i="5"/>
  <c r="AC377" i="5"/>
  <c r="AD377" i="5"/>
  <c r="AE377" i="5"/>
  <c r="AF377" i="5"/>
  <c r="AG377" i="5"/>
  <c r="AH377" i="5"/>
  <c r="AI377" i="5"/>
  <c r="AJ377" i="5"/>
  <c r="AK377" i="5"/>
  <c r="AL377" i="5"/>
  <c r="AM377" i="5"/>
  <c r="AN377" i="5"/>
  <c r="AO377" i="5"/>
  <c r="AP377" i="5"/>
  <c r="AQ377" i="5"/>
  <c r="B378" i="5"/>
  <c r="C378" i="5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X378" i="5"/>
  <c r="Y378" i="5"/>
  <c r="Z378" i="5"/>
  <c r="AA378" i="5"/>
  <c r="AB378" i="5"/>
  <c r="AC378" i="5"/>
  <c r="AD378" i="5"/>
  <c r="AE378" i="5"/>
  <c r="AF378" i="5"/>
  <c r="AG378" i="5"/>
  <c r="AH378" i="5"/>
  <c r="AI378" i="5"/>
  <c r="AJ378" i="5"/>
  <c r="AK378" i="5"/>
  <c r="AL378" i="5"/>
  <c r="AM378" i="5"/>
  <c r="AN378" i="5"/>
  <c r="AO378" i="5"/>
  <c r="AP378" i="5"/>
  <c r="AQ378" i="5"/>
  <c r="B379" i="5"/>
  <c r="C379" i="5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V379" i="5"/>
  <c r="W379" i="5"/>
  <c r="X379" i="5"/>
  <c r="Y379" i="5"/>
  <c r="Z379" i="5"/>
  <c r="AA379" i="5"/>
  <c r="AB379" i="5"/>
  <c r="AC379" i="5"/>
  <c r="AD379" i="5"/>
  <c r="AE379" i="5"/>
  <c r="AF379" i="5"/>
  <c r="AG379" i="5"/>
  <c r="AH379" i="5"/>
  <c r="AI379" i="5"/>
  <c r="AJ379" i="5"/>
  <c r="AK379" i="5"/>
  <c r="AL379" i="5"/>
  <c r="AM379" i="5"/>
  <c r="AN379" i="5"/>
  <c r="AO379" i="5"/>
  <c r="AP379" i="5"/>
  <c r="AQ379" i="5"/>
  <c r="B380" i="5"/>
  <c r="C380" i="5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V380" i="5"/>
  <c r="W380" i="5"/>
  <c r="X380" i="5"/>
  <c r="Y380" i="5"/>
  <c r="Z380" i="5"/>
  <c r="AA380" i="5"/>
  <c r="AB380" i="5"/>
  <c r="AC380" i="5"/>
  <c r="AD380" i="5"/>
  <c r="AE380" i="5"/>
  <c r="AF380" i="5"/>
  <c r="AG380" i="5"/>
  <c r="AH380" i="5"/>
  <c r="AI380" i="5"/>
  <c r="AJ380" i="5"/>
  <c r="AK380" i="5"/>
  <c r="AL380" i="5"/>
  <c r="AM380" i="5"/>
  <c r="AN380" i="5"/>
  <c r="AO380" i="5"/>
  <c r="AP380" i="5"/>
  <c r="AQ380" i="5"/>
  <c r="B381" i="5"/>
  <c r="C381" i="5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V381" i="5"/>
  <c r="W381" i="5"/>
  <c r="X381" i="5"/>
  <c r="Y381" i="5"/>
  <c r="Z381" i="5"/>
  <c r="AA381" i="5"/>
  <c r="AB381" i="5"/>
  <c r="AC381" i="5"/>
  <c r="AD381" i="5"/>
  <c r="AE381" i="5"/>
  <c r="AF381" i="5"/>
  <c r="AG381" i="5"/>
  <c r="AH381" i="5"/>
  <c r="AI381" i="5"/>
  <c r="AJ381" i="5"/>
  <c r="AK381" i="5"/>
  <c r="AL381" i="5"/>
  <c r="AM381" i="5"/>
  <c r="AN381" i="5"/>
  <c r="AO381" i="5"/>
  <c r="AP381" i="5"/>
  <c r="AQ381" i="5"/>
  <c r="B382" i="5"/>
  <c r="C382" i="5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V382" i="5"/>
  <c r="W382" i="5"/>
  <c r="X382" i="5"/>
  <c r="Y382" i="5"/>
  <c r="Z382" i="5"/>
  <c r="AA382" i="5"/>
  <c r="AB382" i="5"/>
  <c r="AC382" i="5"/>
  <c r="AD382" i="5"/>
  <c r="AE382" i="5"/>
  <c r="AF382" i="5"/>
  <c r="AG382" i="5"/>
  <c r="AH382" i="5"/>
  <c r="AI382" i="5"/>
  <c r="AJ382" i="5"/>
  <c r="AK382" i="5"/>
  <c r="AL382" i="5"/>
  <c r="AM382" i="5"/>
  <c r="AN382" i="5"/>
  <c r="AO382" i="5"/>
  <c r="AP382" i="5"/>
  <c r="AQ382" i="5"/>
  <c r="B383" i="5"/>
  <c r="C383" i="5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X383" i="5"/>
  <c r="Y383" i="5"/>
  <c r="Z383" i="5"/>
  <c r="AA383" i="5"/>
  <c r="AB383" i="5"/>
  <c r="AC383" i="5"/>
  <c r="AD383" i="5"/>
  <c r="AE383" i="5"/>
  <c r="AF383" i="5"/>
  <c r="AG383" i="5"/>
  <c r="AH383" i="5"/>
  <c r="AI383" i="5"/>
  <c r="AJ383" i="5"/>
  <c r="AK383" i="5"/>
  <c r="AL383" i="5"/>
  <c r="AM383" i="5"/>
  <c r="AN383" i="5"/>
  <c r="AO383" i="5"/>
  <c r="AP383" i="5"/>
  <c r="AQ383" i="5"/>
  <c r="B384" i="5"/>
  <c r="C384" i="5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X384" i="5"/>
  <c r="Y384" i="5"/>
  <c r="Z384" i="5"/>
  <c r="AA384" i="5"/>
  <c r="AB384" i="5"/>
  <c r="AC384" i="5"/>
  <c r="AD384" i="5"/>
  <c r="AE384" i="5"/>
  <c r="AF384" i="5"/>
  <c r="AG384" i="5"/>
  <c r="AH384" i="5"/>
  <c r="AI384" i="5"/>
  <c r="AJ384" i="5"/>
  <c r="AK384" i="5"/>
  <c r="AL384" i="5"/>
  <c r="AM384" i="5"/>
  <c r="AN384" i="5"/>
  <c r="AO384" i="5"/>
  <c r="AP384" i="5"/>
  <c r="AQ384" i="5"/>
  <c r="B385" i="5"/>
  <c r="C385" i="5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X385" i="5"/>
  <c r="Y385" i="5"/>
  <c r="Z385" i="5"/>
  <c r="AA385" i="5"/>
  <c r="AB385" i="5"/>
  <c r="AC385" i="5"/>
  <c r="AD385" i="5"/>
  <c r="AE385" i="5"/>
  <c r="AF385" i="5"/>
  <c r="AG385" i="5"/>
  <c r="AH385" i="5"/>
  <c r="AI385" i="5"/>
  <c r="AJ385" i="5"/>
  <c r="AK385" i="5"/>
  <c r="AL385" i="5"/>
  <c r="AM385" i="5"/>
  <c r="AN385" i="5"/>
  <c r="AO385" i="5"/>
  <c r="AP385" i="5"/>
  <c r="AQ385" i="5"/>
  <c r="B386" i="5"/>
  <c r="C386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X386" i="5"/>
  <c r="Y386" i="5"/>
  <c r="Z386" i="5"/>
  <c r="AA386" i="5"/>
  <c r="AB386" i="5"/>
  <c r="AC386" i="5"/>
  <c r="AD386" i="5"/>
  <c r="AE386" i="5"/>
  <c r="AF386" i="5"/>
  <c r="AG386" i="5"/>
  <c r="AH386" i="5"/>
  <c r="AI386" i="5"/>
  <c r="AJ386" i="5"/>
  <c r="AK386" i="5"/>
  <c r="AL386" i="5"/>
  <c r="AM386" i="5"/>
  <c r="AN386" i="5"/>
  <c r="AO386" i="5"/>
  <c r="AP386" i="5"/>
  <c r="AQ386" i="5"/>
  <c r="B387" i="5"/>
  <c r="C387" i="5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X387" i="5"/>
  <c r="Y387" i="5"/>
  <c r="Z387" i="5"/>
  <c r="AA387" i="5"/>
  <c r="AB387" i="5"/>
  <c r="AC387" i="5"/>
  <c r="AD387" i="5"/>
  <c r="AE387" i="5"/>
  <c r="AF387" i="5"/>
  <c r="AG387" i="5"/>
  <c r="AH387" i="5"/>
  <c r="AI387" i="5"/>
  <c r="AJ387" i="5"/>
  <c r="AK387" i="5"/>
  <c r="AL387" i="5"/>
  <c r="AM387" i="5"/>
  <c r="AN387" i="5"/>
  <c r="AO387" i="5"/>
  <c r="AP387" i="5"/>
  <c r="AQ387" i="5"/>
  <c r="B388" i="5"/>
  <c r="C388" i="5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X388" i="5"/>
  <c r="Y388" i="5"/>
  <c r="Z388" i="5"/>
  <c r="AA388" i="5"/>
  <c r="AB388" i="5"/>
  <c r="AC388" i="5"/>
  <c r="AD388" i="5"/>
  <c r="AE388" i="5"/>
  <c r="AF388" i="5"/>
  <c r="AG388" i="5"/>
  <c r="AH388" i="5"/>
  <c r="AI388" i="5"/>
  <c r="AJ388" i="5"/>
  <c r="AK388" i="5"/>
  <c r="AL388" i="5"/>
  <c r="AM388" i="5"/>
  <c r="AN388" i="5"/>
  <c r="AO388" i="5"/>
  <c r="AP388" i="5"/>
  <c r="AQ388" i="5"/>
  <c r="B389" i="5"/>
  <c r="C389" i="5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X389" i="5"/>
  <c r="Y389" i="5"/>
  <c r="Z389" i="5"/>
  <c r="AA389" i="5"/>
  <c r="AB389" i="5"/>
  <c r="AC389" i="5"/>
  <c r="AD389" i="5"/>
  <c r="AE389" i="5"/>
  <c r="AF389" i="5"/>
  <c r="AG389" i="5"/>
  <c r="AH389" i="5"/>
  <c r="AI389" i="5"/>
  <c r="AJ389" i="5"/>
  <c r="AK389" i="5"/>
  <c r="AL389" i="5"/>
  <c r="AM389" i="5"/>
  <c r="AN389" i="5"/>
  <c r="AO389" i="5"/>
  <c r="AP389" i="5"/>
  <c r="AQ389" i="5"/>
  <c r="B390" i="5"/>
  <c r="C390" i="5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X390" i="5"/>
  <c r="Y390" i="5"/>
  <c r="Z390" i="5"/>
  <c r="AA390" i="5"/>
  <c r="AB390" i="5"/>
  <c r="AC390" i="5"/>
  <c r="AD390" i="5"/>
  <c r="AE390" i="5"/>
  <c r="AF390" i="5"/>
  <c r="AG390" i="5"/>
  <c r="AH390" i="5"/>
  <c r="AI390" i="5"/>
  <c r="AJ390" i="5"/>
  <c r="AK390" i="5"/>
  <c r="AL390" i="5"/>
  <c r="AM390" i="5"/>
  <c r="AN390" i="5"/>
  <c r="AO390" i="5"/>
  <c r="AP390" i="5"/>
  <c r="AQ390" i="5"/>
  <c r="B391" i="5"/>
  <c r="C391" i="5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X391" i="5"/>
  <c r="Y391" i="5"/>
  <c r="Z391" i="5"/>
  <c r="AA391" i="5"/>
  <c r="AB391" i="5"/>
  <c r="AC391" i="5"/>
  <c r="AD391" i="5"/>
  <c r="AE391" i="5"/>
  <c r="AF391" i="5"/>
  <c r="AG391" i="5"/>
  <c r="AH391" i="5"/>
  <c r="AI391" i="5"/>
  <c r="AJ391" i="5"/>
  <c r="AK391" i="5"/>
  <c r="AL391" i="5"/>
  <c r="AM391" i="5"/>
  <c r="AN391" i="5"/>
  <c r="AO391" i="5"/>
  <c r="AP391" i="5"/>
  <c r="AQ391" i="5"/>
  <c r="B392" i="5"/>
  <c r="C392" i="5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V392" i="5"/>
  <c r="W392" i="5"/>
  <c r="X392" i="5"/>
  <c r="Y392" i="5"/>
  <c r="Z392" i="5"/>
  <c r="AA392" i="5"/>
  <c r="AB392" i="5"/>
  <c r="AC392" i="5"/>
  <c r="AD392" i="5"/>
  <c r="AE392" i="5"/>
  <c r="AF392" i="5"/>
  <c r="AG392" i="5"/>
  <c r="AH392" i="5"/>
  <c r="AI392" i="5"/>
  <c r="AJ392" i="5"/>
  <c r="AK392" i="5"/>
  <c r="AL392" i="5"/>
  <c r="AM392" i="5"/>
  <c r="AN392" i="5"/>
  <c r="AO392" i="5"/>
  <c r="AP392" i="5"/>
  <c r="AQ392" i="5"/>
  <c r="B393" i="5"/>
  <c r="C393" i="5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V393" i="5"/>
  <c r="W393" i="5"/>
  <c r="X393" i="5"/>
  <c r="Y393" i="5"/>
  <c r="Z393" i="5"/>
  <c r="AA393" i="5"/>
  <c r="AB393" i="5"/>
  <c r="AC393" i="5"/>
  <c r="AD393" i="5"/>
  <c r="AE393" i="5"/>
  <c r="AF393" i="5"/>
  <c r="AG393" i="5"/>
  <c r="AH393" i="5"/>
  <c r="AI393" i="5"/>
  <c r="AJ393" i="5"/>
  <c r="AK393" i="5"/>
  <c r="AL393" i="5"/>
  <c r="AM393" i="5"/>
  <c r="AN393" i="5"/>
  <c r="AO393" i="5"/>
  <c r="AP393" i="5"/>
  <c r="AQ393" i="5"/>
  <c r="B394" i="5"/>
  <c r="C394" i="5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V394" i="5"/>
  <c r="W394" i="5"/>
  <c r="X394" i="5"/>
  <c r="Y394" i="5"/>
  <c r="Z394" i="5"/>
  <c r="AA394" i="5"/>
  <c r="AB394" i="5"/>
  <c r="AC394" i="5"/>
  <c r="AD394" i="5"/>
  <c r="AE394" i="5"/>
  <c r="AF394" i="5"/>
  <c r="AG394" i="5"/>
  <c r="AH394" i="5"/>
  <c r="AI394" i="5"/>
  <c r="AJ394" i="5"/>
  <c r="AK394" i="5"/>
  <c r="AL394" i="5"/>
  <c r="AM394" i="5"/>
  <c r="AN394" i="5"/>
  <c r="AO394" i="5"/>
  <c r="AP394" i="5"/>
  <c r="AQ394" i="5"/>
  <c r="B395" i="5"/>
  <c r="C395" i="5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V395" i="5"/>
  <c r="W395" i="5"/>
  <c r="X395" i="5"/>
  <c r="Y395" i="5"/>
  <c r="Z395" i="5"/>
  <c r="AA395" i="5"/>
  <c r="AB395" i="5"/>
  <c r="AC395" i="5"/>
  <c r="AD395" i="5"/>
  <c r="AE395" i="5"/>
  <c r="AF395" i="5"/>
  <c r="AG395" i="5"/>
  <c r="AH395" i="5"/>
  <c r="AI395" i="5"/>
  <c r="AJ395" i="5"/>
  <c r="AK395" i="5"/>
  <c r="AL395" i="5"/>
  <c r="AM395" i="5"/>
  <c r="AN395" i="5"/>
  <c r="AO395" i="5"/>
  <c r="AP395" i="5"/>
  <c r="AQ395" i="5"/>
  <c r="B396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X396" i="5"/>
  <c r="Y396" i="5"/>
  <c r="Z396" i="5"/>
  <c r="AA396" i="5"/>
  <c r="AB396" i="5"/>
  <c r="AC396" i="5"/>
  <c r="AD396" i="5"/>
  <c r="AE396" i="5"/>
  <c r="AF396" i="5"/>
  <c r="AG396" i="5"/>
  <c r="AH396" i="5"/>
  <c r="AI396" i="5"/>
  <c r="AJ396" i="5"/>
  <c r="AK396" i="5"/>
  <c r="AL396" i="5"/>
  <c r="AM396" i="5"/>
  <c r="AN396" i="5"/>
  <c r="AO396" i="5"/>
  <c r="AP396" i="5"/>
  <c r="AQ396" i="5"/>
  <c r="B397" i="5"/>
  <c r="C397" i="5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V397" i="5"/>
  <c r="W397" i="5"/>
  <c r="X397" i="5"/>
  <c r="Y397" i="5"/>
  <c r="Z397" i="5"/>
  <c r="AA397" i="5"/>
  <c r="AB397" i="5"/>
  <c r="AC397" i="5"/>
  <c r="AD397" i="5"/>
  <c r="AE397" i="5"/>
  <c r="AF397" i="5"/>
  <c r="AG397" i="5"/>
  <c r="AH397" i="5"/>
  <c r="AI397" i="5"/>
  <c r="AJ397" i="5"/>
  <c r="AK397" i="5"/>
  <c r="AL397" i="5"/>
  <c r="AM397" i="5"/>
  <c r="AN397" i="5"/>
  <c r="AO397" i="5"/>
  <c r="AP397" i="5"/>
  <c r="AQ397" i="5"/>
  <c r="B398" i="5"/>
  <c r="C398" i="5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X398" i="5"/>
  <c r="Y398" i="5"/>
  <c r="Z398" i="5"/>
  <c r="AA398" i="5"/>
  <c r="AB398" i="5"/>
  <c r="AC398" i="5"/>
  <c r="AD398" i="5"/>
  <c r="AE398" i="5"/>
  <c r="AF398" i="5"/>
  <c r="AG398" i="5"/>
  <c r="AH398" i="5"/>
  <c r="AI398" i="5"/>
  <c r="AJ398" i="5"/>
  <c r="AK398" i="5"/>
  <c r="AL398" i="5"/>
  <c r="AM398" i="5"/>
  <c r="AN398" i="5"/>
  <c r="AO398" i="5"/>
  <c r="AP398" i="5"/>
  <c r="AQ398" i="5"/>
  <c r="B399" i="5"/>
  <c r="C399" i="5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X399" i="5"/>
  <c r="Y399" i="5"/>
  <c r="Z399" i="5"/>
  <c r="AA399" i="5"/>
  <c r="AB399" i="5"/>
  <c r="AC399" i="5"/>
  <c r="AD399" i="5"/>
  <c r="AE399" i="5"/>
  <c r="AF399" i="5"/>
  <c r="AG399" i="5"/>
  <c r="AH399" i="5"/>
  <c r="AI399" i="5"/>
  <c r="AJ399" i="5"/>
  <c r="AK399" i="5"/>
  <c r="AL399" i="5"/>
  <c r="AM399" i="5"/>
  <c r="AN399" i="5"/>
  <c r="AO399" i="5"/>
  <c r="AP399" i="5"/>
  <c r="AQ399" i="5"/>
  <c r="C5" i="4"/>
  <c r="B7" i="4" a="1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AF70" i="4"/>
  <c r="AG70" i="4"/>
  <c r="AH70" i="4"/>
  <c r="AI70" i="4"/>
  <c r="AJ70" i="4"/>
  <c r="AK70" i="4"/>
  <c r="AL70" i="4"/>
  <c r="AM70" i="4"/>
  <c r="AN70" i="4"/>
  <c r="AO70" i="4"/>
  <c r="AP70" i="4"/>
  <c r="AQ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AI73" i="4"/>
  <c r="AJ73" i="4"/>
  <c r="AK73" i="4"/>
  <c r="AL73" i="4"/>
  <c r="AM73" i="4"/>
  <c r="AN73" i="4"/>
  <c r="AO73" i="4"/>
  <c r="AP73" i="4"/>
  <c r="AQ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AF74" i="4"/>
  <c r="AG74" i="4"/>
  <c r="AH74" i="4"/>
  <c r="AI74" i="4"/>
  <c r="AJ74" i="4"/>
  <c r="AK74" i="4"/>
  <c r="AL74" i="4"/>
  <c r="AM74" i="4"/>
  <c r="AN74" i="4"/>
  <c r="AO74" i="4"/>
  <c r="AP74" i="4"/>
  <c r="AQ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AK75" i="4"/>
  <c r="AL75" i="4"/>
  <c r="AM75" i="4"/>
  <c r="AN75" i="4"/>
  <c r="AO75" i="4"/>
  <c r="AP75" i="4"/>
  <c r="AQ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AF78" i="4"/>
  <c r="AG78" i="4"/>
  <c r="AH78" i="4"/>
  <c r="AI78" i="4"/>
  <c r="AJ78" i="4"/>
  <c r="AK78" i="4"/>
  <c r="AL78" i="4"/>
  <c r="AM78" i="4"/>
  <c r="AN78" i="4"/>
  <c r="AO78" i="4"/>
  <c r="AP78" i="4"/>
  <c r="AQ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AF79" i="4"/>
  <c r="AG79" i="4"/>
  <c r="AH79" i="4"/>
  <c r="AI79" i="4"/>
  <c r="AJ79" i="4"/>
  <c r="AK79" i="4"/>
  <c r="AL79" i="4"/>
  <c r="AM79" i="4"/>
  <c r="AN79" i="4"/>
  <c r="AO79" i="4"/>
  <c r="AP79" i="4"/>
  <c r="AQ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AF80" i="4"/>
  <c r="AG80" i="4"/>
  <c r="AH80" i="4"/>
  <c r="AI80" i="4"/>
  <c r="AJ80" i="4"/>
  <c r="AK80" i="4"/>
  <c r="AL80" i="4"/>
  <c r="AM80" i="4"/>
  <c r="AN80" i="4"/>
  <c r="AO80" i="4"/>
  <c r="AP80" i="4"/>
  <c r="AQ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AG81" i="4"/>
  <c r="AH81" i="4"/>
  <c r="AI81" i="4"/>
  <c r="AJ81" i="4"/>
  <c r="AK81" i="4"/>
  <c r="AL81" i="4"/>
  <c r="AM81" i="4"/>
  <c r="AN81" i="4"/>
  <c r="AO81" i="4"/>
  <c r="AP81" i="4"/>
  <c r="AQ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AH82" i="4"/>
  <c r="AI82" i="4"/>
  <c r="AJ82" i="4"/>
  <c r="AK82" i="4"/>
  <c r="AL82" i="4"/>
  <c r="AM82" i="4"/>
  <c r="AN82" i="4"/>
  <c r="AO82" i="4"/>
  <c r="AP82" i="4"/>
  <c r="AQ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AH83" i="4"/>
  <c r="AI83" i="4"/>
  <c r="AJ83" i="4"/>
  <c r="AK83" i="4"/>
  <c r="AL83" i="4"/>
  <c r="AM83" i="4"/>
  <c r="AN83" i="4"/>
  <c r="AO83" i="4"/>
  <c r="AP83" i="4"/>
  <c r="AQ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AH84" i="4"/>
  <c r="AI84" i="4"/>
  <c r="AJ84" i="4"/>
  <c r="AK84" i="4"/>
  <c r="AL84" i="4"/>
  <c r="AM84" i="4"/>
  <c r="AN84" i="4"/>
  <c r="AO84" i="4"/>
  <c r="AP84" i="4"/>
  <c r="AQ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AH85" i="4"/>
  <c r="AI85" i="4"/>
  <c r="AJ85" i="4"/>
  <c r="AK85" i="4"/>
  <c r="AL85" i="4"/>
  <c r="AM85" i="4"/>
  <c r="AN85" i="4"/>
  <c r="AO85" i="4"/>
  <c r="AP85" i="4"/>
  <c r="AQ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AH86" i="4"/>
  <c r="AI86" i="4"/>
  <c r="AJ86" i="4"/>
  <c r="AK86" i="4"/>
  <c r="AL86" i="4"/>
  <c r="AM86" i="4"/>
  <c r="AN86" i="4"/>
  <c r="AO86" i="4"/>
  <c r="AP86" i="4"/>
  <c r="AQ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AH87" i="4"/>
  <c r="AI87" i="4"/>
  <c r="AJ87" i="4"/>
  <c r="AK87" i="4"/>
  <c r="AL87" i="4"/>
  <c r="AM87" i="4"/>
  <c r="AN87" i="4"/>
  <c r="AO87" i="4"/>
  <c r="AP87" i="4"/>
  <c r="AQ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AH88" i="4"/>
  <c r="AI88" i="4"/>
  <c r="AJ88" i="4"/>
  <c r="AK88" i="4"/>
  <c r="AL88" i="4"/>
  <c r="AM88" i="4"/>
  <c r="AN88" i="4"/>
  <c r="AO88" i="4"/>
  <c r="AP88" i="4"/>
  <c r="AQ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AH105" i="4"/>
  <c r="AI105" i="4"/>
  <c r="AJ105" i="4"/>
  <c r="AK105" i="4"/>
  <c r="AL105" i="4"/>
  <c r="AM105" i="4"/>
  <c r="AN105" i="4"/>
  <c r="AO105" i="4"/>
  <c r="AP105" i="4"/>
  <c r="AQ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AF139" i="4"/>
  <c r="AG139" i="4"/>
  <c r="AH139" i="4"/>
  <c r="AI139" i="4"/>
  <c r="AJ139" i="4"/>
  <c r="AK139" i="4"/>
  <c r="AL139" i="4"/>
  <c r="AM139" i="4"/>
  <c r="AN139" i="4"/>
  <c r="AO139" i="4"/>
  <c r="AP139" i="4"/>
  <c r="AQ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AF142" i="4"/>
  <c r="AG142" i="4"/>
  <c r="AH142" i="4"/>
  <c r="AI142" i="4"/>
  <c r="AJ142" i="4"/>
  <c r="AK142" i="4"/>
  <c r="AL142" i="4"/>
  <c r="AM142" i="4"/>
  <c r="AN142" i="4"/>
  <c r="AO142" i="4"/>
  <c r="AP142" i="4"/>
  <c r="AQ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AF143" i="4"/>
  <c r="AG143" i="4"/>
  <c r="AH143" i="4"/>
  <c r="AI143" i="4"/>
  <c r="AJ143" i="4"/>
  <c r="AK143" i="4"/>
  <c r="AL143" i="4"/>
  <c r="AM143" i="4"/>
  <c r="AN143" i="4"/>
  <c r="AO143" i="4"/>
  <c r="AP143" i="4"/>
  <c r="AQ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AJ144" i="4"/>
  <c r="AK144" i="4"/>
  <c r="AL144" i="4"/>
  <c r="AM144" i="4"/>
  <c r="AN144" i="4"/>
  <c r="AO144" i="4"/>
  <c r="AP144" i="4"/>
  <c r="AQ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AF145" i="4"/>
  <c r="AG145" i="4"/>
  <c r="AH145" i="4"/>
  <c r="AI145" i="4"/>
  <c r="AJ145" i="4"/>
  <c r="AK145" i="4"/>
  <c r="AL145" i="4"/>
  <c r="AM145" i="4"/>
  <c r="AN145" i="4"/>
  <c r="AO145" i="4"/>
  <c r="AP145" i="4"/>
  <c r="AQ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AF146" i="4"/>
  <c r="AG146" i="4"/>
  <c r="AH146" i="4"/>
  <c r="AI146" i="4"/>
  <c r="AJ146" i="4"/>
  <c r="AK146" i="4"/>
  <c r="AL146" i="4"/>
  <c r="AM146" i="4"/>
  <c r="AN146" i="4"/>
  <c r="AO146" i="4"/>
  <c r="AP146" i="4"/>
  <c r="AQ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AF147" i="4"/>
  <c r="AG147" i="4"/>
  <c r="AH147" i="4"/>
  <c r="AI147" i="4"/>
  <c r="AJ147" i="4"/>
  <c r="AK147" i="4"/>
  <c r="AL147" i="4"/>
  <c r="AM147" i="4"/>
  <c r="AN147" i="4"/>
  <c r="AO147" i="4"/>
  <c r="AP147" i="4"/>
  <c r="AQ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AJ148" i="4"/>
  <c r="AK148" i="4"/>
  <c r="AL148" i="4"/>
  <c r="AM148" i="4"/>
  <c r="AN148" i="4"/>
  <c r="AO148" i="4"/>
  <c r="AP148" i="4"/>
  <c r="AQ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AF149" i="4"/>
  <c r="AG149" i="4"/>
  <c r="AH149" i="4"/>
  <c r="AI149" i="4"/>
  <c r="AJ149" i="4"/>
  <c r="AK149" i="4"/>
  <c r="AL149" i="4"/>
  <c r="AM149" i="4"/>
  <c r="AN149" i="4"/>
  <c r="AO149" i="4"/>
  <c r="AP149" i="4"/>
  <c r="AQ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AF150" i="4"/>
  <c r="AG150" i="4"/>
  <c r="AH150" i="4"/>
  <c r="AI150" i="4"/>
  <c r="AJ150" i="4"/>
  <c r="AK150" i="4"/>
  <c r="AL150" i="4"/>
  <c r="AM150" i="4"/>
  <c r="AN150" i="4"/>
  <c r="AO150" i="4"/>
  <c r="AP150" i="4"/>
  <c r="AQ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AF151" i="4"/>
  <c r="AG151" i="4"/>
  <c r="AH151" i="4"/>
  <c r="AI151" i="4"/>
  <c r="AJ151" i="4"/>
  <c r="AK151" i="4"/>
  <c r="AL151" i="4"/>
  <c r="AM151" i="4"/>
  <c r="AN151" i="4"/>
  <c r="AO151" i="4"/>
  <c r="AP151" i="4"/>
  <c r="AQ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AJ152" i="4"/>
  <c r="AK152" i="4"/>
  <c r="AL152" i="4"/>
  <c r="AM152" i="4"/>
  <c r="AN152" i="4"/>
  <c r="AO152" i="4"/>
  <c r="AP152" i="4"/>
  <c r="AQ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AF154" i="4"/>
  <c r="AG154" i="4"/>
  <c r="AH154" i="4"/>
  <c r="AI154" i="4"/>
  <c r="AJ154" i="4"/>
  <c r="AK154" i="4"/>
  <c r="AL154" i="4"/>
  <c r="AM154" i="4"/>
  <c r="AN154" i="4"/>
  <c r="AO154" i="4"/>
  <c r="AP154" i="4"/>
  <c r="AQ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F155" i="4"/>
  <c r="AG155" i="4"/>
  <c r="AH155" i="4"/>
  <c r="AI155" i="4"/>
  <c r="AJ155" i="4"/>
  <c r="AK155" i="4"/>
  <c r="AL155" i="4"/>
  <c r="AM155" i="4"/>
  <c r="AN155" i="4"/>
  <c r="AO155" i="4"/>
  <c r="AP155" i="4"/>
  <c r="AQ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J156" i="4"/>
  <c r="AK156" i="4"/>
  <c r="AL156" i="4"/>
  <c r="AM156" i="4"/>
  <c r="AN156" i="4"/>
  <c r="AO156" i="4"/>
  <c r="AP156" i="4"/>
  <c r="AQ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AF158" i="4"/>
  <c r="AG158" i="4"/>
  <c r="AH158" i="4"/>
  <c r="AI158" i="4"/>
  <c r="AJ158" i="4"/>
  <c r="AK158" i="4"/>
  <c r="AL158" i="4"/>
  <c r="AM158" i="4"/>
  <c r="AN158" i="4"/>
  <c r="AO158" i="4"/>
  <c r="AP158" i="4"/>
  <c r="AQ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AF159" i="4"/>
  <c r="AG159" i="4"/>
  <c r="AH159" i="4"/>
  <c r="AI159" i="4"/>
  <c r="AJ159" i="4"/>
  <c r="AK159" i="4"/>
  <c r="AL159" i="4"/>
  <c r="AM159" i="4"/>
  <c r="AN159" i="4"/>
  <c r="AO159" i="4"/>
  <c r="AP159" i="4"/>
  <c r="AQ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AF171" i="4"/>
  <c r="AG171" i="4"/>
  <c r="AH171" i="4"/>
  <c r="AI171" i="4"/>
  <c r="AJ171" i="4"/>
  <c r="AK171" i="4"/>
  <c r="AL171" i="4"/>
  <c r="AM171" i="4"/>
  <c r="AN171" i="4"/>
  <c r="AO171" i="4"/>
  <c r="AP171" i="4"/>
  <c r="AQ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AJ172" i="4"/>
  <c r="AK172" i="4"/>
  <c r="AL172" i="4"/>
  <c r="AM172" i="4"/>
  <c r="AN172" i="4"/>
  <c r="AO172" i="4"/>
  <c r="AP172" i="4"/>
  <c r="AQ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AF174" i="4"/>
  <c r="AG174" i="4"/>
  <c r="AH174" i="4"/>
  <c r="AI174" i="4"/>
  <c r="AJ174" i="4"/>
  <c r="AK174" i="4"/>
  <c r="AL174" i="4"/>
  <c r="AM174" i="4"/>
  <c r="AN174" i="4"/>
  <c r="AO174" i="4"/>
  <c r="AP174" i="4"/>
  <c r="AQ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AF175" i="4"/>
  <c r="AG175" i="4"/>
  <c r="AH175" i="4"/>
  <c r="AI175" i="4"/>
  <c r="AJ175" i="4"/>
  <c r="AK175" i="4"/>
  <c r="AL175" i="4"/>
  <c r="AM175" i="4"/>
  <c r="AN175" i="4"/>
  <c r="AO175" i="4"/>
  <c r="AP175" i="4"/>
  <c r="AQ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AJ176" i="4"/>
  <c r="AK176" i="4"/>
  <c r="AL176" i="4"/>
  <c r="AM176" i="4"/>
  <c r="AN176" i="4"/>
  <c r="AO176" i="4"/>
  <c r="AP176" i="4"/>
  <c r="AQ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AF177" i="4"/>
  <c r="AG177" i="4"/>
  <c r="AH177" i="4"/>
  <c r="AI177" i="4"/>
  <c r="AJ177" i="4"/>
  <c r="AK177" i="4"/>
  <c r="AL177" i="4"/>
  <c r="AM177" i="4"/>
  <c r="AN177" i="4"/>
  <c r="AO177" i="4"/>
  <c r="AP177" i="4"/>
  <c r="AQ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AF178" i="4"/>
  <c r="AG178" i="4"/>
  <c r="AH178" i="4"/>
  <c r="AI178" i="4"/>
  <c r="AJ178" i="4"/>
  <c r="AK178" i="4"/>
  <c r="AL178" i="4"/>
  <c r="AM178" i="4"/>
  <c r="AN178" i="4"/>
  <c r="AO178" i="4"/>
  <c r="AP178" i="4"/>
  <c r="AQ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AF179" i="4"/>
  <c r="AG179" i="4"/>
  <c r="AH179" i="4"/>
  <c r="AI179" i="4"/>
  <c r="AJ179" i="4"/>
  <c r="AK179" i="4"/>
  <c r="AL179" i="4"/>
  <c r="AM179" i="4"/>
  <c r="AN179" i="4"/>
  <c r="AO179" i="4"/>
  <c r="AP179" i="4"/>
  <c r="AQ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AJ180" i="4"/>
  <c r="AK180" i="4"/>
  <c r="AL180" i="4"/>
  <c r="AM180" i="4"/>
  <c r="AN180" i="4"/>
  <c r="AO180" i="4"/>
  <c r="AP180" i="4"/>
  <c r="AQ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AF181" i="4"/>
  <c r="AG181" i="4"/>
  <c r="AH181" i="4"/>
  <c r="AI181" i="4"/>
  <c r="AJ181" i="4"/>
  <c r="AK181" i="4"/>
  <c r="AL181" i="4"/>
  <c r="AM181" i="4"/>
  <c r="AN181" i="4"/>
  <c r="AO181" i="4"/>
  <c r="AP181" i="4"/>
  <c r="AQ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L182" i="4"/>
  <c r="AM182" i="4"/>
  <c r="AN182" i="4"/>
  <c r="AO182" i="4"/>
  <c r="AP182" i="4"/>
  <c r="AQ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O183" i="4"/>
  <c r="AP183" i="4"/>
  <c r="AQ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N185" i="4"/>
  <c r="AO185" i="4"/>
  <c r="AP185" i="4"/>
  <c r="AQ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AJ188" i="4"/>
  <c r="AK188" i="4"/>
  <c r="AL188" i="4"/>
  <c r="AM188" i="4"/>
  <c r="AN188" i="4"/>
  <c r="AO188" i="4"/>
  <c r="AP188" i="4"/>
  <c r="AQ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AJ192" i="4"/>
  <c r="AK192" i="4"/>
  <c r="AL192" i="4"/>
  <c r="AM192" i="4"/>
  <c r="AN192" i="4"/>
  <c r="AO192" i="4"/>
  <c r="AP192" i="4"/>
  <c r="AQ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AF193" i="4"/>
  <c r="AG193" i="4"/>
  <c r="AH193" i="4"/>
  <c r="AI193" i="4"/>
  <c r="AJ193" i="4"/>
  <c r="AK193" i="4"/>
  <c r="AL193" i="4"/>
  <c r="AM193" i="4"/>
  <c r="AN193" i="4"/>
  <c r="AO193" i="4"/>
  <c r="AP193" i="4"/>
  <c r="AQ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AF194" i="4"/>
  <c r="AG194" i="4"/>
  <c r="AH194" i="4"/>
  <c r="AI194" i="4"/>
  <c r="AJ194" i="4"/>
  <c r="AK194" i="4"/>
  <c r="AL194" i="4"/>
  <c r="AM194" i="4"/>
  <c r="AN194" i="4"/>
  <c r="AO194" i="4"/>
  <c r="AP194" i="4"/>
  <c r="AQ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AF195" i="4"/>
  <c r="AG195" i="4"/>
  <c r="AH195" i="4"/>
  <c r="AI195" i="4"/>
  <c r="AJ195" i="4"/>
  <c r="AK195" i="4"/>
  <c r="AL195" i="4"/>
  <c r="AM195" i="4"/>
  <c r="AN195" i="4"/>
  <c r="AO195" i="4"/>
  <c r="AP195" i="4"/>
  <c r="AQ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AJ196" i="4"/>
  <c r="AK196" i="4"/>
  <c r="AL196" i="4"/>
  <c r="AM196" i="4"/>
  <c r="AN196" i="4"/>
  <c r="AO196" i="4"/>
  <c r="AP196" i="4"/>
  <c r="AQ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AJ277" i="4"/>
  <c r="AK277" i="4"/>
  <c r="AL277" i="4"/>
  <c r="AM277" i="4"/>
  <c r="AN277" i="4"/>
  <c r="AO277" i="4"/>
  <c r="AP277" i="4"/>
  <c r="AQ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AJ278" i="4"/>
  <c r="AK278" i="4"/>
  <c r="AL278" i="4"/>
  <c r="AM278" i="4"/>
  <c r="AN278" i="4"/>
  <c r="AO278" i="4"/>
  <c r="AP278" i="4"/>
  <c r="AQ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AJ280" i="4"/>
  <c r="AK280" i="4"/>
  <c r="AL280" i="4"/>
  <c r="AM280" i="4"/>
  <c r="AN280" i="4"/>
  <c r="AO280" i="4"/>
  <c r="AP280" i="4"/>
  <c r="AQ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AJ281" i="4"/>
  <c r="AK281" i="4"/>
  <c r="AL281" i="4"/>
  <c r="AM281" i="4"/>
  <c r="AN281" i="4"/>
  <c r="AO281" i="4"/>
  <c r="AP281" i="4"/>
  <c r="AQ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AJ283" i="4"/>
  <c r="AK283" i="4"/>
  <c r="AL283" i="4"/>
  <c r="AM283" i="4"/>
  <c r="AN283" i="4"/>
  <c r="AO283" i="4"/>
  <c r="AP283" i="4"/>
  <c r="AQ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AJ284" i="4"/>
  <c r="AK284" i="4"/>
  <c r="AL284" i="4"/>
  <c r="AM284" i="4"/>
  <c r="AN284" i="4"/>
  <c r="AO284" i="4"/>
  <c r="AP284" i="4"/>
  <c r="AQ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AJ286" i="4"/>
  <c r="AK286" i="4"/>
  <c r="AL286" i="4"/>
  <c r="AM286" i="4"/>
  <c r="AN286" i="4"/>
  <c r="AO286" i="4"/>
  <c r="AP286" i="4"/>
  <c r="AQ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AJ287" i="4"/>
  <c r="AK287" i="4"/>
  <c r="AL287" i="4"/>
  <c r="AM287" i="4"/>
  <c r="AN287" i="4"/>
  <c r="AO287" i="4"/>
  <c r="AP287" i="4"/>
  <c r="AQ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AJ289" i="4"/>
  <c r="AK289" i="4"/>
  <c r="AL289" i="4"/>
  <c r="AM289" i="4"/>
  <c r="AN289" i="4"/>
  <c r="AO289" i="4"/>
  <c r="AP289" i="4"/>
  <c r="AQ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AJ290" i="4"/>
  <c r="AK290" i="4"/>
  <c r="AL290" i="4"/>
  <c r="AM290" i="4"/>
  <c r="AN290" i="4"/>
  <c r="AO290" i="4"/>
  <c r="AP290" i="4"/>
  <c r="AQ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M292" i="4"/>
  <c r="AN292" i="4"/>
  <c r="AO292" i="4"/>
  <c r="AP292" i="4"/>
  <c r="AQ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L293" i="4"/>
  <c r="AM293" i="4"/>
  <c r="AN293" i="4"/>
  <c r="AO293" i="4"/>
  <c r="AP293" i="4"/>
  <c r="AQ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AJ296" i="4"/>
  <c r="AK296" i="4"/>
  <c r="AL296" i="4"/>
  <c r="AM296" i="4"/>
  <c r="AN296" i="4"/>
  <c r="AO296" i="4"/>
  <c r="AP296" i="4"/>
  <c r="AQ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AP299" i="4"/>
  <c r="AQ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AP301" i="4"/>
  <c r="AQ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G302" i="4"/>
  <c r="AH302" i="4"/>
  <c r="AI302" i="4"/>
  <c r="AJ302" i="4"/>
  <c r="AK302" i="4"/>
  <c r="AL302" i="4"/>
  <c r="AM302" i="4"/>
  <c r="AN302" i="4"/>
  <c r="AO302" i="4"/>
  <c r="AP302" i="4"/>
  <c r="AQ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AP303" i="4"/>
  <c r="AQ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AP304" i="4"/>
  <c r="AQ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AF305" i="4"/>
  <c r="AG305" i="4"/>
  <c r="AH305" i="4"/>
  <c r="AI305" i="4"/>
  <c r="AJ305" i="4"/>
  <c r="AK305" i="4"/>
  <c r="AL305" i="4"/>
  <c r="AM305" i="4"/>
  <c r="AN305" i="4"/>
  <c r="AO305" i="4"/>
  <c r="AP305" i="4"/>
  <c r="AQ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AF306" i="4"/>
  <c r="AG306" i="4"/>
  <c r="AH306" i="4"/>
  <c r="AI306" i="4"/>
  <c r="AJ306" i="4"/>
  <c r="AK306" i="4"/>
  <c r="AL306" i="4"/>
  <c r="AM306" i="4"/>
  <c r="AN306" i="4"/>
  <c r="AO306" i="4"/>
  <c r="AP306" i="4"/>
  <c r="AQ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AF307" i="4"/>
  <c r="AG307" i="4"/>
  <c r="AH307" i="4"/>
  <c r="AI307" i="4"/>
  <c r="AJ307" i="4"/>
  <c r="AK307" i="4"/>
  <c r="AL307" i="4"/>
  <c r="AM307" i="4"/>
  <c r="AN307" i="4"/>
  <c r="AO307" i="4"/>
  <c r="AP307" i="4"/>
  <c r="AQ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AF308" i="4"/>
  <c r="AG308" i="4"/>
  <c r="AH308" i="4"/>
  <c r="AI308" i="4"/>
  <c r="AJ308" i="4"/>
  <c r="AK308" i="4"/>
  <c r="AL308" i="4"/>
  <c r="AM308" i="4"/>
  <c r="AN308" i="4"/>
  <c r="AO308" i="4"/>
  <c r="AP308" i="4"/>
  <c r="AQ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AF309" i="4"/>
  <c r="AG309" i="4"/>
  <c r="AH309" i="4"/>
  <c r="AI309" i="4"/>
  <c r="AJ309" i="4"/>
  <c r="AK309" i="4"/>
  <c r="AL309" i="4"/>
  <c r="AM309" i="4"/>
  <c r="AN309" i="4"/>
  <c r="AO309" i="4"/>
  <c r="AP309" i="4"/>
  <c r="AQ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AF310" i="4"/>
  <c r="AG310" i="4"/>
  <c r="AH310" i="4"/>
  <c r="AI310" i="4"/>
  <c r="AJ310" i="4"/>
  <c r="AK310" i="4"/>
  <c r="AL310" i="4"/>
  <c r="AM310" i="4"/>
  <c r="AN310" i="4"/>
  <c r="AO310" i="4"/>
  <c r="AP310" i="4"/>
  <c r="AQ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AF311" i="4"/>
  <c r="AG311" i="4"/>
  <c r="AH311" i="4"/>
  <c r="AI311" i="4"/>
  <c r="AJ311" i="4"/>
  <c r="AK311" i="4"/>
  <c r="AL311" i="4"/>
  <c r="AM311" i="4"/>
  <c r="AN311" i="4"/>
  <c r="AO311" i="4"/>
  <c r="AP311" i="4"/>
  <c r="AQ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AF312" i="4"/>
  <c r="AG312" i="4"/>
  <c r="AH312" i="4"/>
  <c r="AI312" i="4"/>
  <c r="AJ312" i="4"/>
  <c r="AK312" i="4"/>
  <c r="AL312" i="4"/>
  <c r="AM312" i="4"/>
  <c r="AN312" i="4"/>
  <c r="AO312" i="4"/>
  <c r="AP312" i="4"/>
  <c r="AQ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AF313" i="4"/>
  <c r="AG313" i="4"/>
  <c r="AH313" i="4"/>
  <c r="AI313" i="4"/>
  <c r="AJ313" i="4"/>
  <c r="AK313" i="4"/>
  <c r="AL313" i="4"/>
  <c r="AM313" i="4"/>
  <c r="AN313" i="4"/>
  <c r="AO313" i="4"/>
  <c r="AP313" i="4"/>
  <c r="AQ313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AF314" i="4"/>
  <c r="AG314" i="4"/>
  <c r="AH314" i="4"/>
  <c r="AI314" i="4"/>
  <c r="AJ314" i="4"/>
  <c r="AK314" i="4"/>
  <c r="AL314" i="4"/>
  <c r="AM314" i="4"/>
  <c r="AN314" i="4"/>
  <c r="AO314" i="4"/>
  <c r="AP314" i="4"/>
  <c r="AQ314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AF315" i="4"/>
  <c r="AG315" i="4"/>
  <c r="AH315" i="4"/>
  <c r="AI315" i="4"/>
  <c r="AJ315" i="4"/>
  <c r="AK315" i="4"/>
  <c r="AL315" i="4"/>
  <c r="AM315" i="4"/>
  <c r="AN315" i="4"/>
  <c r="AO315" i="4"/>
  <c r="AP315" i="4"/>
  <c r="AQ315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AF316" i="4"/>
  <c r="AG316" i="4"/>
  <c r="AH316" i="4"/>
  <c r="AI316" i="4"/>
  <c r="AJ316" i="4"/>
  <c r="AK316" i="4"/>
  <c r="AL316" i="4"/>
  <c r="AM316" i="4"/>
  <c r="AN316" i="4"/>
  <c r="AO316" i="4"/>
  <c r="AP316" i="4"/>
  <c r="AQ316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AF317" i="4"/>
  <c r="AG317" i="4"/>
  <c r="AH317" i="4"/>
  <c r="AI317" i="4"/>
  <c r="AJ317" i="4"/>
  <c r="AK317" i="4"/>
  <c r="AL317" i="4"/>
  <c r="AM317" i="4"/>
  <c r="AN317" i="4"/>
  <c r="AO317" i="4"/>
  <c r="AP317" i="4"/>
  <c r="AQ317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AF318" i="4"/>
  <c r="AG318" i="4"/>
  <c r="AH318" i="4"/>
  <c r="AI318" i="4"/>
  <c r="AJ318" i="4"/>
  <c r="AK318" i="4"/>
  <c r="AL318" i="4"/>
  <c r="AM318" i="4"/>
  <c r="AN318" i="4"/>
  <c r="AO318" i="4"/>
  <c r="AP318" i="4"/>
  <c r="AQ318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AF319" i="4"/>
  <c r="AG319" i="4"/>
  <c r="AH319" i="4"/>
  <c r="AI319" i="4"/>
  <c r="AJ319" i="4"/>
  <c r="AK319" i="4"/>
  <c r="AL319" i="4"/>
  <c r="AM319" i="4"/>
  <c r="AN319" i="4"/>
  <c r="AO319" i="4"/>
  <c r="AP319" i="4"/>
  <c r="AQ319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AF320" i="4"/>
  <c r="AG320" i="4"/>
  <c r="AH320" i="4"/>
  <c r="AI320" i="4"/>
  <c r="AJ320" i="4"/>
  <c r="AK320" i="4"/>
  <c r="AL320" i="4"/>
  <c r="AM320" i="4"/>
  <c r="AN320" i="4"/>
  <c r="AO320" i="4"/>
  <c r="AP320" i="4"/>
  <c r="AQ320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AF321" i="4"/>
  <c r="AG321" i="4"/>
  <c r="AH321" i="4"/>
  <c r="AI321" i="4"/>
  <c r="AJ321" i="4"/>
  <c r="AK321" i="4"/>
  <c r="AL321" i="4"/>
  <c r="AM321" i="4"/>
  <c r="AN321" i="4"/>
  <c r="AO321" i="4"/>
  <c r="AP321" i="4"/>
  <c r="AQ321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U322" i="4"/>
  <c r="V322" i="4"/>
  <c r="W322" i="4"/>
  <c r="X322" i="4"/>
  <c r="Y322" i="4"/>
  <c r="Z322" i="4"/>
  <c r="AA322" i="4"/>
  <c r="AB322" i="4"/>
  <c r="AC322" i="4"/>
  <c r="AD322" i="4"/>
  <c r="AE322" i="4"/>
  <c r="AF322" i="4"/>
  <c r="AG322" i="4"/>
  <c r="AH322" i="4"/>
  <c r="AI322" i="4"/>
  <c r="AJ322" i="4"/>
  <c r="AK322" i="4"/>
  <c r="AL322" i="4"/>
  <c r="AM322" i="4"/>
  <c r="AN322" i="4"/>
  <c r="AO322" i="4"/>
  <c r="AP322" i="4"/>
  <c r="AQ322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AA323" i="4"/>
  <c r="AB323" i="4"/>
  <c r="AC323" i="4"/>
  <c r="AD323" i="4"/>
  <c r="AE323" i="4"/>
  <c r="AF323" i="4"/>
  <c r="AG323" i="4"/>
  <c r="AH323" i="4"/>
  <c r="AI323" i="4"/>
  <c r="AJ323" i="4"/>
  <c r="AK323" i="4"/>
  <c r="AL323" i="4"/>
  <c r="AM323" i="4"/>
  <c r="AN323" i="4"/>
  <c r="AO323" i="4"/>
  <c r="AP323" i="4"/>
  <c r="AQ323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AF324" i="4"/>
  <c r="AG324" i="4"/>
  <c r="AH324" i="4"/>
  <c r="AI324" i="4"/>
  <c r="AJ324" i="4"/>
  <c r="AK324" i="4"/>
  <c r="AL324" i="4"/>
  <c r="AM324" i="4"/>
  <c r="AN324" i="4"/>
  <c r="AO324" i="4"/>
  <c r="AP324" i="4"/>
  <c r="AQ324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AF325" i="4"/>
  <c r="AG325" i="4"/>
  <c r="AH325" i="4"/>
  <c r="AI325" i="4"/>
  <c r="AJ325" i="4"/>
  <c r="AK325" i="4"/>
  <c r="AL325" i="4"/>
  <c r="AM325" i="4"/>
  <c r="AN325" i="4"/>
  <c r="AO325" i="4"/>
  <c r="AP325" i="4"/>
  <c r="AQ325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AA326" i="4"/>
  <c r="AB326" i="4"/>
  <c r="AC326" i="4"/>
  <c r="AD326" i="4"/>
  <c r="AE326" i="4"/>
  <c r="AF326" i="4"/>
  <c r="AG326" i="4"/>
  <c r="AH326" i="4"/>
  <c r="AI326" i="4"/>
  <c r="AJ326" i="4"/>
  <c r="AK326" i="4"/>
  <c r="AL326" i="4"/>
  <c r="AM326" i="4"/>
  <c r="AN326" i="4"/>
  <c r="AO326" i="4"/>
  <c r="AP326" i="4"/>
  <c r="AQ326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AF327" i="4"/>
  <c r="AG327" i="4"/>
  <c r="AH327" i="4"/>
  <c r="AI327" i="4"/>
  <c r="AJ327" i="4"/>
  <c r="AK327" i="4"/>
  <c r="AL327" i="4"/>
  <c r="AM327" i="4"/>
  <c r="AN327" i="4"/>
  <c r="AO327" i="4"/>
  <c r="AP327" i="4"/>
  <c r="AQ327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AF328" i="4"/>
  <c r="AG328" i="4"/>
  <c r="AH328" i="4"/>
  <c r="AI328" i="4"/>
  <c r="AJ328" i="4"/>
  <c r="AK328" i="4"/>
  <c r="AL328" i="4"/>
  <c r="AM328" i="4"/>
  <c r="AN328" i="4"/>
  <c r="AO328" i="4"/>
  <c r="AP328" i="4"/>
  <c r="AQ328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AA329" i="4"/>
  <c r="AB329" i="4"/>
  <c r="AC329" i="4"/>
  <c r="AD329" i="4"/>
  <c r="AE329" i="4"/>
  <c r="AF329" i="4"/>
  <c r="AG329" i="4"/>
  <c r="AH329" i="4"/>
  <c r="AI329" i="4"/>
  <c r="AJ329" i="4"/>
  <c r="AK329" i="4"/>
  <c r="AL329" i="4"/>
  <c r="AM329" i="4"/>
  <c r="AN329" i="4"/>
  <c r="AO329" i="4"/>
  <c r="AP329" i="4"/>
  <c r="AQ329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AF330" i="4"/>
  <c r="AG330" i="4"/>
  <c r="AH330" i="4"/>
  <c r="AI330" i="4"/>
  <c r="AJ330" i="4"/>
  <c r="AK330" i="4"/>
  <c r="AL330" i="4"/>
  <c r="AM330" i="4"/>
  <c r="AN330" i="4"/>
  <c r="AO330" i="4"/>
  <c r="AP330" i="4"/>
  <c r="AQ330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AF331" i="4"/>
  <c r="AG331" i="4"/>
  <c r="AH331" i="4"/>
  <c r="AI331" i="4"/>
  <c r="AJ331" i="4"/>
  <c r="AK331" i="4"/>
  <c r="AL331" i="4"/>
  <c r="AM331" i="4"/>
  <c r="AN331" i="4"/>
  <c r="AO331" i="4"/>
  <c r="AP331" i="4"/>
  <c r="AQ331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AF332" i="4"/>
  <c r="AG332" i="4"/>
  <c r="AH332" i="4"/>
  <c r="AI332" i="4"/>
  <c r="AJ332" i="4"/>
  <c r="AK332" i="4"/>
  <c r="AL332" i="4"/>
  <c r="AM332" i="4"/>
  <c r="AN332" i="4"/>
  <c r="AO332" i="4"/>
  <c r="AP332" i="4"/>
  <c r="AQ332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AF333" i="4"/>
  <c r="AG333" i="4"/>
  <c r="AH333" i="4"/>
  <c r="AI333" i="4"/>
  <c r="AJ333" i="4"/>
  <c r="AK333" i="4"/>
  <c r="AL333" i="4"/>
  <c r="AM333" i="4"/>
  <c r="AN333" i="4"/>
  <c r="AO333" i="4"/>
  <c r="AP333" i="4"/>
  <c r="AQ333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AF334" i="4"/>
  <c r="AG334" i="4"/>
  <c r="AH334" i="4"/>
  <c r="AI334" i="4"/>
  <c r="AJ334" i="4"/>
  <c r="AK334" i="4"/>
  <c r="AL334" i="4"/>
  <c r="AM334" i="4"/>
  <c r="AN334" i="4"/>
  <c r="AO334" i="4"/>
  <c r="AP334" i="4"/>
  <c r="AQ334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AF335" i="4"/>
  <c r="AG335" i="4"/>
  <c r="AH335" i="4"/>
  <c r="AI335" i="4"/>
  <c r="AJ335" i="4"/>
  <c r="AK335" i="4"/>
  <c r="AL335" i="4"/>
  <c r="AM335" i="4"/>
  <c r="AN335" i="4"/>
  <c r="AO335" i="4"/>
  <c r="AP335" i="4"/>
  <c r="AQ335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AF336" i="4"/>
  <c r="AG336" i="4"/>
  <c r="AH336" i="4"/>
  <c r="AI336" i="4"/>
  <c r="AJ336" i="4"/>
  <c r="AK336" i="4"/>
  <c r="AL336" i="4"/>
  <c r="AM336" i="4"/>
  <c r="AN336" i="4"/>
  <c r="AO336" i="4"/>
  <c r="AP336" i="4"/>
  <c r="AQ336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AF337" i="4"/>
  <c r="AG337" i="4"/>
  <c r="AH337" i="4"/>
  <c r="AI337" i="4"/>
  <c r="AJ337" i="4"/>
  <c r="AK337" i="4"/>
  <c r="AL337" i="4"/>
  <c r="AM337" i="4"/>
  <c r="AN337" i="4"/>
  <c r="AO337" i="4"/>
  <c r="AP337" i="4"/>
  <c r="AQ337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AF338" i="4"/>
  <c r="AG338" i="4"/>
  <c r="AH338" i="4"/>
  <c r="AI338" i="4"/>
  <c r="AJ338" i="4"/>
  <c r="AK338" i="4"/>
  <c r="AL338" i="4"/>
  <c r="AM338" i="4"/>
  <c r="AN338" i="4"/>
  <c r="AO338" i="4"/>
  <c r="AP338" i="4"/>
  <c r="AQ338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AF339" i="4"/>
  <c r="AG339" i="4"/>
  <c r="AH339" i="4"/>
  <c r="AI339" i="4"/>
  <c r="AJ339" i="4"/>
  <c r="AK339" i="4"/>
  <c r="AL339" i="4"/>
  <c r="AM339" i="4"/>
  <c r="AN339" i="4"/>
  <c r="AO339" i="4"/>
  <c r="AP339" i="4"/>
  <c r="AQ339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AF340" i="4"/>
  <c r="AG340" i="4"/>
  <c r="AH340" i="4"/>
  <c r="AI340" i="4"/>
  <c r="AJ340" i="4"/>
  <c r="AK340" i="4"/>
  <c r="AL340" i="4"/>
  <c r="AM340" i="4"/>
  <c r="AN340" i="4"/>
  <c r="AO340" i="4"/>
  <c r="AP340" i="4"/>
  <c r="AQ340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AF341" i="4"/>
  <c r="AG341" i="4"/>
  <c r="AH341" i="4"/>
  <c r="AI341" i="4"/>
  <c r="AJ341" i="4"/>
  <c r="AK341" i="4"/>
  <c r="AL341" i="4"/>
  <c r="AM341" i="4"/>
  <c r="AN341" i="4"/>
  <c r="AO341" i="4"/>
  <c r="AP341" i="4"/>
  <c r="AQ341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AF342" i="4"/>
  <c r="AG342" i="4"/>
  <c r="AH342" i="4"/>
  <c r="AI342" i="4"/>
  <c r="AJ342" i="4"/>
  <c r="AK342" i="4"/>
  <c r="AL342" i="4"/>
  <c r="AM342" i="4"/>
  <c r="AN342" i="4"/>
  <c r="AO342" i="4"/>
  <c r="AP342" i="4"/>
  <c r="AQ342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AF343" i="4"/>
  <c r="AG343" i="4"/>
  <c r="AH343" i="4"/>
  <c r="AI343" i="4"/>
  <c r="AJ343" i="4"/>
  <c r="AK343" i="4"/>
  <c r="AL343" i="4"/>
  <c r="AM343" i="4"/>
  <c r="AN343" i="4"/>
  <c r="AO343" i="4"/>
  <c r="AP343" i="4"/>
  <c r="AQ343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AF344" i="4"/>
  <c r="AG344" i="4"/>
  <c r="AH344" i="4"/>
  <c r="AI344" i="4"/>
  <c r="AJ344" i="4"/>
  <c r="AK344" i="4"/>
  <c r="AL344" i="4"/>
  <c r="AM344" i="4"/>
  <c r="AN344" i="4"/>
  <c r="AO344" i="4"/>
  <c r="AP344" i="4"/>
  <c r="AQ344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AF345" i="4"/>
  <c r="AG345" i="4"/>
  <c r="AH345" i="4"/>
  <c r="AI345" i="4"/>
  <c r="AJ345" i="4"/>
  <c r="AK345" i="4"/>
  <c r="AL345" i="4"/>
  <c r="AM345" i="4"/>
  <c r="AN345" i="4"/>
  <c r="AO345" i="4"/>
  <c r="AP345" i="4"/>
  <c r="AQ345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AF346" i="4"/>
  <c r="AG346" i="4"/>
  <c r="AH346" i="4"/>
  <c r="AI346" i="4"/>
  <c r="AJ346" i="4"/>
  <c r="AK346" i="4"/>
  <c r="AL346" i="4"/>
  <c r="AM346" i="4"/>
  <c r="AN346" i="4"/>
  <c r="AO346" i="4"/>
  <c r="AP346" i="4"/>
  <c r="AQ346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AF347" i="4"/>
  <c r="AG347" i="4"/>
  <c r="AH347" i="4"/>
  <c r="AI347" i="4"/>
  <c r="AJ347" i="4"/>
  <c r="AK347" i="4"/>
  <c r="AL347" i="4"/>
  <c r="AM347" i="4"/>
  <c r="AN347" i="4"/>
  <c r="AO347" i="4"/>
  <c r="AP347" i="4"/>
  <c r="AQ347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AF348" i="4"/>
  <c r="AG348" i="4"/>
  <c r="AH348" i="4"/>
  <c r="AI348" i="4"/>
  <c r="AJ348" i="4"/>
  <c r="AK348" i="4"/>
  <c r="AL348" i="4"/>
  <c r="AM348" i="4"/>
  <c r="AN348" i="4"/>
  <c r="AO348" i="4"/>
  <c r="AP348" i="4"/>
  <c r="AQ348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AF349" i="4"/>
  <c r="AG349" i="4"/>
  <c r="AH349" i="4"/>
  <c r="AI349" i="4"/>
  <c r="AJ349" i="4"/>
  <c r="AK349" i="4"/>
  <c r="AL349" i="4"/>
  <c r="AM349" i="4"/>
  <c r="AN349" i="4"/>
  <c r="AO349" i="4"/>
  <c r="AP349" i="4"/>
  <c r="AQ349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AF350" i="4"/>
  <c r="AG350" i="4"/>
  <c r="AH350" i="4"/>
  <c r="AI350" i="4"/>
  <c r="AJ350" i="4"/>
  <c r="AK350" i="4"/>
  <c r="AL350" i="4"/>
  <c r="AM350" i="4"/>
  <c r="AN350" i="4"/>
  <c r="AO350" i="4"/>
  <c r="AP350" i="4"/>
  <c r="AQ350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AF351" i="4"/>
  <c r="AG351" i="4"/>
  <c r="AH351" i="4"/>
  <c r="AI351" i="4"/>
  <c r="AJ351" i="4"/>
  <c r="AK351" i="4"/>
  <c r="AL351" i="4"/>
  <c r="AM351" i="4"/>
  <c r="AN351" i="4"/>
  <c r="AO351" i="4"/>
  <c r="AP351" i="4"/>
  <c r="AQ351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AF352" i="4"/>
  <c r="AG352" i="4"/>
  <c r="AH352" i="4"/>
  <c r="AI352" i="4"/>
  <c r="AJ352" i="4"/>
  <c r="AK352" i="4"/>
  <c r="AL352" i="4"/>
  <c r="AM352" i="4"/>
  <c r="AN352" i="4"/>
  <c r="AO352" i="4"/>
  <c r="AP352" i="4"/>
  <c r="AQ352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AF353" i="4"/>
  <c r="AG353" i="4"/>
  <c r="AH353" i="4"/>
  <c r="AI353" i="4"/>
  <c r="AJ353" i="4"/>
  <c r="AK353" i="4"/>
  <c r="AL353" i="4"/>
  <c r="AM353" i="4"/>
  <c r="AN353" i="4"/>
  <c r="AO353" i="4"/>
  <c r="AP353" i="4"/>
  <c r="AQ353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AF354" i="4"/>
  <c r="AG354" i="4"/>
  <c r="AH354" i="4"/>
  <c r="AI354" i="4"/>
  <c r="AJ354" i="4"/>
  <c r="AK354" i="4"/>
  <c r="AL354" i="4"/>
  <c r="AM354" i="4"/>
  <c r="AN354" i="4"/>
  <c r="AO354" i="4"/>
  <c r="AP354" i="4"/>
  <c r="AQ354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AF355" i="4"/>
  <c r="AG355" i="4"/>
  <c r="AH355" i="4"/>
  <c r="AI355" i="4"/>
  <c r="AJ355" i="4"/>
  <c r="AK355" i="4"/>
  <c r="AL355" i="4"/>
  <c r="AM355" i="4"/>
  <c r="AN355" i="4"/>
  <c r="AO355" i="4"/>
  <c r="AP355" i="4"/>
  <c r="AQ355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AF356" i="4"/>
  <c r="AG356" i="4"/>
  <c r="AH356" i="4"/>
  <c r="AI356" i="4"/>
  <c r="AJ356" i="4"/>
  <c r="AK356" i="4"/>
  <c r="AL356" i="4"/>
  <c r="AM356" i="4"/>
  <c r="AN356" i="4"/>
  <c r="AO356" i="4"/>
  <c r="AP356" i="4"/>
  <c r="AQ356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AF357" i="4"/>
  <c r="AG357" i="4"/>
  <c r="AH357" i="4"/>
  <c r="AI357" i="4"/>
  <c r="AJ357" i="4"/>
  <c r="AK357" i="4"/>
  <c r="AL357" i="4"/>
  <c r="AM357" i="4"/>
  <c r="AN357" i="4"/>
  <c r="AO357" i="4"/>
  <c r="AP357" i="4"/>
  <c r="AQ357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AF358" i="4"/>
  <c r="AG358" i="4"/>
  <c r="AH358" i="4"/>
  <c r="AI358" i="4"/>
  <c r="AJ358" i="4"/>
  <c r="AK358" i="4"/>
  <c r="AL358" i="4"/>
  <c r="AM358" i="4"/>
  <c r="AN358" i="4"/>
  <c r="AO358" i="4"/>
  <c r="AP358" i="4"/>
  <c r="AQ358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AF359" i="4"/>
  <c r="AG359" i="4"/>
  <c r="AH359" i="4"/>
  <c r="AI359" i="4"/>
  <c r="AJ359" i="4"/>
  <c r="AK359" i="4"/>
  <c r="AL359" i="4"/>
  <c r="AM359" i="4"/>
  <c r="AN359" i="4"/>
  <c r="AO359" i="4"/>
  <c r="AP359" i="4"/>
  <c r="AQ359" i="4"/>
  <c r="B360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AF360" i="4"/>
  <c r="AG360" i="4"/>
  <c r="AH360" i="4"/>
  <c r="AI360" i="4"/>
  <c r="AJ360" i="4"/>
  <c r="AK360" i="4"/>
  <c r="AL360" i="4"/>
  <c r="AM360" i="4"/>
  <c r="AN360" i="4"/>
  <c r="AO360" i="4"/>
  <c r="AP360" i="4"/>
  <c r="AQ360" i="4"/>
  <c r="B361" i="4"/>
  <c r="C361" i="4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AF361" i="4"/>
  <c r="AG361" i="4"/>
  <c r="AH361" i="4"/>
  <c r="AI361" i="4"/>
  <c r="AJ361" i="4"/>
  <c r="AK361" i="4"/>
  <c r="AL361" i="4"/>
  <c r="AM361" i="4"/>
  <c r="AN361" i="4"/>
  <c r="AO361" i="4"/>
  <c r="AP361" i="4"/>
  <c r="AQ361" i="4"/>
  <c r="B362" i="4"/>
  <c r="C362" i="4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AF362" i="4"/>
  <c r="AG362" i="4"/>
  <c r="AH362" i="4"/>
  <c r="AI362" i="4"/>
  <c r="AJ362" i="4"/>
  <c r="AK362" i="4"/>
  <c r="AL362" i="4"/>
  <c r="AM362" i="4"/>
  <c r="AN362" i="4"/>
  <c r="AO362" i="4"/>
  <c r="AP362" i="4"/>
  <c r="AQ362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AF363" i="4"/>
  <c r="AG363" i="4"/>
  <c r="AH363" i="4"/>
  <c r="AI363" i="4"/>
  <c r="AJ363" i="4"/>
  <c r="AK363" i="4"/>
  <c r="AL363" i="4"/>
  <c r="AM363" i="4"/>
  <c r="AN363" i="4"/>
  <c r="AO363" i="4"/>
  <c r="AP363" i="4"/>
  <c r="AQ363" i="4"/>
  <c r="B364" i="4"/>
  <c r="C364" i="4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AF364" i="4"/>
  <c r="AG364" i="4"/>
  <c r="AH364" i="4"/>
  <c r="AI364" i="4"/>
  <c r="AJ364" i="4"/>
  <c r="AK364" i="4"/>
  <c r="AL364" i="4"/>
  <c r="AM364" i="4"/>
  <c r="AN364" i="4"/>
  <c r="AO364" i="4"/>
  <c r="AP364" i="4"/>
  <c r="AQ364" i="4"/>
  <c r="B365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AF365" i="4"/>
  <c r="AG365" i="4"/>
  <c r="AH365" i="4"/>
  <c r="AI365" i="4"/>
  <c r="AJ365" i="4"/>
  <c r="AK365" i="4"/>
  <c r="AL365" i="4"/>
  <c r="AM365" i="4"/>
  <c r="AN365" i="4"/>
  <c r="AO365" i="4"/>
  <c r="AP365" i="4"/>
  <c r="AQ365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AF366" i="4"/>
  <c r="AG366" i="4"/>
  <c r="AH366" i="4"/>
  <c r="AI366" i="4"/>
  <c r="AJ366" i="4"/>
  <c r="AK366" i="4"/>
  <c r="AL366" i="4"/>
  <c r="AM366" i="4"/>
  <c r="AN366" i="4"/>
  <c r="AO366" i="4"/>
  <c r="AP366" i="4"/>
  <c r="AQ366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AF367" i="4"/>
  <c r="AG367" i="4"/>
  <c r="AH367" i="4"/>
  <c r="AI367" i="4"/>
  <c r="AJ367" i="4"/>
  <c r="AK367" i="4"/>
  <c r="AL367" i="4"/>
  <c r="AM367" i="4"/>
  <c r="AN367" i="4"/>
  <c r="AO367" i="4"/>
  <c r="AP367" i="4"/>
  <c r="AQ367" i="4"/>
  <c r="B368" i="4"/>
  <c r="C368" i="4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AF368" i="4"/>
  <c r="AG368" i="4"/>
  <c r="AH368" i="4"/>
  <c r="AI368" i="4"/>
  <c r="AJ368" i="4"/>
  <c r="AK368" i="4"/>
  <c r="AL368" i="4"/>
  <c r="AM368" i="4"/>
  <c r="AN368" i="4"/>
  <c r="AO368" i="4"/>
  <c r="AP368" i="4"/>
  <c r="AQ368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AF369" i="4"/>
  <c r="AG369" i="4"/>
  <c r="AH369" i="4"/>
  <c r="AI369" i="4"/>
  <c r="AJ369" i="4"/>
  <c r="AK369" i="4"/>
  <c r="AL369" i="4"/>
  <c r="AM369" i="4"/>
  <c r="AN369" i="4"/>
  <c r="AO369" i="4"/>
  <c r="AP369" i="4"/>
  <c r="AQ369" i="4"/>
  <c r="B370" i="4"/>
  <c r="C370" i="4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AF370" i="4"/>
  <c r="AG370" i="4"/>
  <c r="AH370" i="4"/>
  <c r="AI370" i="4"/>
  <c r="AJ370" i="4"/>
  <c r="AK370" i="4"/>
  <c r="AL370" i="4"/>
  <c r="AM370" i="4"/>
  <c r="AN370" i="4"/>
  <c r="AO370" i="4"/>
  <c r="AP370" i="4"/>
  <c r="AQ370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AF371" i="4"/>
  <c r="AG371" i="4"/>
  <c r="AH371" i="4"/>
  <c r="AI371" i="4"/>
  <c r="AJ371" i="4"/>
  <c r="AK371" i="4"/>
  <c r="AL371" i="4"/>
  <c r="AM371" i="4"/>
  <c r="AN371" i="4"/>
  <c r="AO371" i="4"/>
  <c r="AP371" i="4"/>
  <c r="AQ371" i="4"/>
  <c r="B372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AF372" i="4"/>
  <c r="AG372" i="4"/>
  <c r="AH372" i="4"/>
  <c r="AI372" i="4"/>
  <c r="AJ372" i="4"/>
  <c r="AK372" i="4"/>
  <c r="AL372" i="4"/>
  <c r="AM372" i="4"/>
  <c r="AN372" i="4"/>
  <c r="AO372" i="4"/>
  <c r="AP372" i="4"/>
  <c r="AQ372" i="4"/>
  <c r="B373" i="4"/>
  <c r="C373" i="4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AF373" i="4"/>
  <c r="AG373" i="4"/>
  <c r="AH373" i="4"/>
  <c r="AI373" i="4"/>
  <c r="AJ373" i="4"/>
  <c r="AK373" i="4"/>
  <c r="AL373" i="4"/>
  <c r="AM373" i="4"/>
  <c r="AN373" i="4"/>
  <c r="AO373" i="4"/>
  <c r="AP373" i="4"/>
  <c r="AQ373" i="4"/>
  <c r="B374" i="4"/>
  <c r="C374" i="4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AF374" i="4"/>
  <c r="AG374" i="4"/>
  <c r="AH374" i="4"/>
  <c r="AI374" i="4"/>
  <c r="AJ374" i="4"/>
  <c r="AK374" i="4"/>
  <c r="AL374" i="4"/>
  <c r="AM374" i="4"/>
  <c r="AN374" i="4"/>
  <c r="AO374" i="4"/>
  <c r="AP374" i="4"/>
  <c r="AQ374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AF375" i="4"/>
  <c r="AG375" i="4"/>
  <c r="AH375" i="4"/>
  <c r="AI375" i="4"/>
  <c r="AJ375" i="4"/>
  <c r="AK375" i="4"/>
  <c r="AL375" i="4"/>
  <c r="AM375" i="4"/>
  <c r="AN375" i="4"/>
  <c r="AO375" i="4"/>
  <c r="AP375" i="4"/>
  <c r="AQ375" i="4"/>
  <c r="B376" i="4"/>
  <c r="C376" i="4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AF376" i="4"/>
  <c r="AG376" i="4"/>
  <c r="AH376" i="4"/>
  <c r="AI376" i="4"/>
  <c r="AJ376" i="4"/>
  <c r="AK376" i="4"/>
  <c r="AL376" i="4"/>
  <c r="AM376" i="4"/>
  <c r="AN376" i="4"/>
  <c r="AO376" i="4"/>
  <c r="AP376" i="4"/>
  <c r="AQ376" i="4"/>
  <c r="B377" i="4"/>
  <c r="C377" i="4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AF377" i="4"/>
  <c r="AG377" i="4"/>
  <c r="AH377" i="4"/>
  <c r="AI377" i="4"/>
  <c r="AJ377" i="4"/>
  <c r="AK377" i="4"/>
  <c r="AL377" i="4"/>
  <c r="AM377" i="4"/>
  <c r="AN377" i="4"/>
  <c r="AO377" i="4"/>
  <c r="AP377" i="4"/>
  <c r="AQ377" i="4"/>
  <c r="B378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AF378" i="4"/>
  <c r="AG378" i="4"/>
  <c r="AH378" i="4"/>
  <c r="AI378" i="4"/>
  <c r="AJ378" i="4"/>
  <c r="AK378" i="4"/>
  <c r="AL378" i="4"/>
  <c r="AM378" i="4"/>
  <c r="AN378" i="4"/>
  <c r="AO378" i="4"/>
  <c r="AP378" i="4"/>
  <c r="AQ378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AF379" i="4"/>
  <c r="AG379" i="4"/>
  <c r="AH379" i="4"/>
  <c r="AI379" i="4"/>
  <c r="AJ379" i="4"/>
  <c r="AK379" i="4"/>
  <c r="AL379" i="4"/>
  <c r="AM379" i="4"/>
  <c r="AN379" i="4"/>
  <c r="AO379" i="4"/>
  <c r="AP379" i="4"/>
  <c r="AQ379" i="4"/>
  <c r="B380" i="4"/>
  <c r="C380" i="4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AF380" i="4"/>
  <c r="AG380" i="4"/>
  <c r="AH380" i="4"/>
  <c r="AI380" i="4"/>
  <c r="AJ380" i="4"/>
  <c r="AK380" i="4"/>
  <c r="AL380" i="4"/>
  <c r="AM380" i="4"/>
  <c r="AN380" i="4"/>
  <c r="AO380" i="4"/>
  <c r="AP380" i="4"/>
  <c r="AQ380" i="4"/>
  <c r="B381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AF381" i="4"/>
  <c r="AG381" i="4"/>
  <c r="AH381" i="4"/>
  <c r="AI381" i="4"/>
  <c r="AJ381" i="4"/>
  <c r="AK381" i="4"/>
  <c r="AL381" i="4"/>
  <c r="AM381" i="4"/>
  <c r="AN381" i="4"/>
  <c r="AO381" i="4"/>
  <c r="AP381" i="4"/>
  <c r="AQ381" i="4"/>
  <c r="B382" i="4"/>
  <c r="C382" i="4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AF382" i="4"/>
  <c r="AG382" i="4"/>
  <c r="AH382" i="4"/>
  <c r="AI382" i="4"/>
  <c r="AJ382" i="4"/>
  <c r="AK382" i="4"/>
  <c r="AL382" i="4"/>
  <c r="AM382" i="4"/>
  <c r="AN382" i="4"/>
  <c r="AO382" i="4"/>
  <c r="AP382" i="4"/>
  <c r="AQ382" i="4"/>
  <c r="B383" i="4"/>
  <c r="C383" i="4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AF383" i="4"/>
  <c r="AG383" i="4"/>
  <c r="AH383" i="4"/>
  <c r="AI383" i="4"/>
  <c r="AJ383" i="4"/>
  <c r="AK383" i="4"/>
  <c r="AL383" i="4"/>
  <c r="AM383" i="4"/>
  <c r="AN383" i="4"/>
  <c r="AO383" i="4"/>
  <c r="AP383" i="4"/>
  <c r="AQ383" i="4"/>
  <c r="B384" i="4"/>
  <c r="C38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AF384" i="4"/>
  <c r="AG384" i="4"/>
  <c r="AH384" i="4"/>
  <c r="AI384" i="4"/>
  <c r="AJ384" i="4"/>
  <c r="AK384" i="4"/>
  <c r="AL384" i="4"/>
  <c r="AM384" i="4"/>
  <c r="AN384" i="4"/>
  <c r="AO384" i="4"/>
  <c r="AP384" i="4"/>
  <c r="AQ384" i="4"/>
  <c r="B385" i="4"/>
  <c r="C385" i="4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AF385" i="4"/>
  <c r="AG385" i="4"/>
  <c r="AH385" i="4"/>
  <c r="AI385" i="4"/>
  <c r="AJ385" i="4"/>
  <c r="AK385" i="4"/>
  <c r="AL385" i="4"/>
  <c r="AM385" i="4"/>
  <c r="AN385" i="4"/>
  <c r="AO385" i="4"/>
  <c r="AP385" i="4"/>
  <c r="AQ385" i="4"/>
  <c r="B386" i="4"/>
  <c r="C386" i="4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AF386" i="4"/>
  <c r="AG386" i="4"/>
  <c r="AH386" i="4"/>
  <c r="AI386" i="4"/>
  <c r="AJ386" i="4"/>
  <c r="AK386" i="4"/>
  <c r="AL386" i="4"/>
  <c r="AM386" i="4"/>
  <c r="AN386" i="4"/>
  <c r="AO386" i="4"/>
  <c r="AP386" i="4"/>
  <c r="AQ386" i="4"/>
  <c r="B387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AF387" i="4"/>
  <c r="AG387" i="4"/>
  <c r="AH387" i="4"/>
  <c r="AI387" i="4"/>
  <c r="AJ387" i="4"/>
  <c r="AK387" i="4"/>
  <c r="AL387" i="4"/>
  <c r="AM387" i="4"/>
  <c r="AN387" i="4"/>
  <c r="AO387" i="4"/>
  <c r="AP387" i="4"/>
  <c r="AQ387" i="4"/>
  <c r="B388" i="4"/>
  <c r="C388" i="4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AF388" i="4"/>
  <c r="AG388" i="4"/>
  <c r="AH388" i="4"/>
  <c r="AI388" i="4"/>
  <c r="AJ388" i="4"/>
  <c r="AK388" i="4"/>
  <c r="AL388" i="4"/>
  <c r="AM388" i="4"/>
  <c r="AN388" i="4"/>
  <c r="AO388" i="4"/>
  <c r="AP388" i="4"/>
  <c r="AQ388" i="4"/>
  <c r="B389" i="4"/>
  <c r="C389" i="4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AF389" i="4"/>
  <c r="AG389" i="4"/>
  <c r="AH389" i="4"/>
  <c r="AI389" i="4"/>
  <c r="AJ389" i="4"/>
  <c r="AK389" i="4"/>
  <c r="AL389" i="4"/>
  <c r="AM389" i="4"/>
  <c r="AN389" i="4"/>
  <c r="AO389" i="4"/>
  <c r="AP389" i="4"/>
  <c r="AQ389" i="4"/>
  <c r="B390" i="4"/>
  <c r="C390" i="4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AF390" i="4"/>
  <c r="AG390" i="4"/>
  <c r="AH390" i="4"/>
  <c r="AI390" i="4"/>
  <c r="AJ390" i="4"/>
  <c r="AK390" i="4"/>
  <c r="AL390" i="4"/>
  <c r="AM390" i="4"/>
  <c r="AN390" i="4"/>
  <c r="AO390" i="4"/>
  <c r="AP390" i="4"/>
  <c r="AQ390" i="4"/>
  <c r="B391" i="4"/>
  <c r="C391" i="4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AF391" i="4"/>
  <c r="AG391" i="4"/>
  <c r="AH391" i="4"/>
  <c r="AI391" i="4"/>
  <c r="AJ391" i="4"/>
  <c r="AK391" i="4"/>
  <c r="AL391" i="4"/>
  <c r="AM391" i="4"/>
  <c r="AN391" i="4"/>
  <c r="AO391" i="4"/>
  <c r="AP391" i="4"/>
  <c r="AQ391" i="4"/>
  <c r="B392" i="4"/>
  <c r="C392" i="4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AF392" i="4"/>
  <c r="AG392" i="4"/>
  <c r="AH392" i="4"/>
  <c r="AI392" i="4"/>
  <c r="AJ392" i="4"/>
  <c r="AK392" i="4"/>
  <c r="AL392" i="4"/>
  <c r="AM392" i="4"/>
  <c r="AN392" i="4"/>
  <c r="AO392" i="4"/>
  <c r="AP392" i="4"/>
  <c r="AQ392" i="4"/>
  <c r="B393" i="4"/>
  <c r="C393" i="4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AF393" i="4"/>
  <c r="AG393" i="4"/>
  <c r="AH393" i="4"/>
  <c r="AI393" i="4"/>
  <c r="AJ393" i="4"/>
  <c r="AK393" i="4"/>
  <c r="AL393" i="4"/>
  <c r="AM393" i="4"/>
  <c r="AN393" i="4"/>
  <c r="AO393" i="4"/>
  <c r="AP393" i="4"/>
  <c r="AQ393" i="4"/>
  <c r="B394" i="4"/>
  <c r="C394" i="4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AF394" i="4"/>
  <c r="AG394" i="4"/>
  <c r="AH394" i="4"/>
  <c r="AI394" i="4"/>
  <c r="AJ394" i="4"/>
  <c r="AK394" i="4"/>
  <c r="AL394" i="4"/>
  <c r="AM394" i="4"/>
  <c r="AN394" i="4"/>
  <c r="AO394" i="4"/>
  <c r="AP394" i="4"/>
  <c r="AQ394" i="4"/>
  <c r="B395" i="4"/>
  <c r="C395" i="4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AF395" i="4"/>
  <c r="AG395" i="4"/>
  <c r="AH395" i="4"/>
  <c r="AI395" i="4"/>
  <c r="AJ395" i="4"/>
  <c r="AK395" i="4"/>
  <c r="AL395" i="4"/>
  <c r="AM395" i="4"/>
  <c r="AN395" i="4"/>
  <c r="AO395" i="4"/>
  <c r="AP395" i="4"/>
  <c r="AQ395" i="4"/>
  <c r="B396" i="4"/>
  <c r="C396" i="4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AF396" i="4"/>
  <c r="AG396" i="4"/>
  <c r="AH396" i="4"/>
  <c r="AI396" i="4"/>
  <c r="AJ396" i="4"/>
  <c r="AK396" i="4"/>
  <c r="AL396" i="4"/>
  <c r="AM396" i="4"/>
  <c r="AN396" i="4"/>
  <c r="AO396" i="4"/>
  <c r="AP396" i="4"/>
  <c r="AQ396" i="4"/>
  <c r="B397" i="4"/>
  <c r="C397" i="4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AF397" i="4"/>
  <c r="AG397" i="4"/>
  <c r="AH397" i="4"/>
  <c r="AI397" i="4"/>
  <c r="AJ397" i="4"/>
  <c r="AK397" i="4"/>
  <c r="AL397" i="4"/>
  <c r="AM397" i="4"/>
  <c r="AN397" i="4"/>
  <c r="AO397" i="4"/>
  <c r="AP397" i="4"/>
  <c r="AQ397" i="4"/>
  <c r="B398" i="4"/>
  <c r="C398" i="4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AF398" i="4"/>
  <c r="AG398" i="4"/>
  <c r="AH398" i="4"/>
  <c r="AI398" i="4"/>
  <c r="AJ398" i="4"/>
  <c r="AK398" i="4"/>
  <c r="AL398" i="4"/>
  <c r="AM398" i="4"/>
  <c r="AN398" i="4"/>
  <c r="AO398" i="4"/>
  <c r="AP398" i="4"/>
  <c r="AQ398" i="4"/>
  <c r="B399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AF399" i="4"/>
  <c r="AG399" i="4"/>
  <c r="AH399" i="4"/>
  <c r="AI399" i="4"/>
  <c r="AJ399" i="4"/>
  <c r="AK399" i="4"/>
  <c r="AL399" i="4"/>
  <c r="AM399" i="4"/>
  <c r="AN399" i="4"/>
  <c r="AO399" i="4"/>
  <c r="AP399" i="4"/>
  <c r="AQ399" i="4"/>
  <c r="C41" i="3"/>
  <c r="B28" i="3"/>
  <c r="C15" i="3"/>
  <c r="C10" i="3"/>
  <c r="C20" i="3" a="1"/>
  <c r="C20" i="3"/>
  <c r="C21" i="3"/>
  <c r="C22" i="3"/>
  <c r="C23" i="3"/>
  <c r="C24" i="3"/>
  <c r="D28" i="2"/>
  <c r="D27" i="1"/>
  <c r="Y3" i="8"/>
  <c r="AI3" i="8"/>
  <c r="EE4" i="8" a="1"/>
  <c r="EE4" i="8"/>
  <c r="EF4" i="8"/>
  <c r="EG4" i="8"/>
  <c r="EH4" i="8"/>
  <c r="EI4" i="8"/>
  <c r="EJ4" i="8"/>
  <c r="EK4" i="8"/>
  <c r="EL4" i="8"/>
  <c r="EM4" i="8"/>
  <c r="EN4" i="8"/>
  <c r="EO4" i="8"/>
  <c r="EP4" i="8"/>
  <c r="EQ4" i="8"/>
  <c r="ER4" i="8"/>
  <c r="ES4" i="8"/>
  <c r="ET4" i="8"/>
  <c r="EU4" i="8"/>
  <c r="EV4" i="8"/>
  <c r="EW4" i="8"/>
  <c r="EX4" i="8"/>
  <c r="EY4" i="8"/>
  <c r="EZ4" i="8"/>
  <c r="FA4" i="8"/>
  <c r="FB4" i="8"/>
  <c r="EE3" i="8"/>
  <c r="C22" i="8" a="1"/>
  <c r="C22" i="8"/>
  <c r="C24" i="8"/>
  <c r="C25" i="8"/>
  <c r="EA6" i="8" a="1"/>
  <c r="EA6" i="8"/>
  <c r="EA7" i="8"/>
  <c r="EA8" i="8"/>
  <c r="EA9" i="8"/>
  <c r="EA10" i="8"/>
  <c r="EA11" i="8"/>
  <c r="EA12" i="8"/>
  <c r="EA13" i="8"/>
  <c r="EA14" i="8"/>
  <c r="EA15" i="8"/>
  <c r="EA16" i="8"/>
  <c r="EA17" i="8"/>
  <c r="EA18" i="8"/>
  <c r="EA19" i="8"/>
  <c r="EA20" i="8"/>
  <c r="EA21" i="8"/>
  <c r="EA22" i="8"/>
  <c r="EA23" i="8"/>
  <c r="EA24" i="8"/>
  <c r="EA25" i="8"/>
  <c r="EA26" i="8"/>
  <c r="EA27" i="8"/>
  <c r="EA28" i="8"/>
  <c r="EA29" i="8"/>
  <c r="EA30" i="8"/>
  <c r="EA31" i="8"/>
  <c r="EA32" i="8"/>
  <c r="EA33" i="8"/>
  <c r="EA34" i="8"/>
  <c r="EA35" i="8"/>
  <c r="EA36" i="8"/>
  <c r="EA37" i="8"/>
  <c r="EA38" i="8"/>
  <c r="EA39" i="8"/>
  <c r="EA40" i="8"/>
  <c r="EA41" i="8"/>
  <c r="EA42" i="8"/>
  <c r="EA43" i="8"/>
  <c r="EA44" i="8"/>
  <c r="EA45" i="8"/>
  <c r="FD6" i="8" a="1"/>
  <c r="FD6" i="8"/>
  <c r="FD7" i="8"/>
  <c r="FD8" i="8"/>
  <c r="FD9" i="8"/>
  <c r="FD10" i="8"/>
  <c r="FD11" i="8"/>
  <c r="FD12" i="8"/>
  <c r="FD13" i="8"/>
  <c r="FD14" i="8"/>
  <c r="FD15" i="8"/>
  <c r="FD16" i="8"/>
  <c r="FD17" i="8"/>
  <c r="FD18" i="8"/>
  <c r="FD19" i="8"/>
  <c r="FD20" i="8"/>
  <c r="FD21" i="8"/>
  <c r="FD22" i="8"/>
  <c r="FD23" i="8"/>
  <c r="FD24" i="8"/>
  <c r="FD25" i="8"/>
  <c r="FD26" i="8"/>
  <c r="FD27" i="8"/>
  <c r="FD28" i="8"/>
  <c r="FD29" i="8"/>
  <c r="FE6" i="8" a="1"/>
  <c r="FE6" i="8"/>
  <c r="FE7" i="8"/>
  <c r="FE8" i="8"/>
  <c r="FE9" i="8"/>
  <c r="FE10" i="8"/>
  <c r="FE11" i="8"/>
  <c r="FE12" i="8"/>
  <c r="FE13" i="8"/>
  <c r="FE14" i="8"/>
  <c r="FE15" i="8"/>
  <c r="FE16" i="8"/>
  <c r="FE17" i="8"/>
  <c r="FE18" i="8"/>
  <c r="FE19" i="8"/>
  <c r="FE20" i="8"/>
  <c r="FE21" i="8"/>
  <c r="FE22" i="8"/>
  <c r="FE23" i="8"/>
  <c r="FE24" i="8"/>
  <c r="FE25" i="8"/>
  <c r="FE26" i="8"/>
  <c r="FE27" i="8"/>
  <c r="FE28" i="8"/>
  <c r="FE29" i="8"/>
  <c r="AS4" i="8" a="1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BR4" i="8"/>
  <c r="BS4" i="8"/>
  <c r="BT4" i="8"/>
  <c r="BU4" i="8"/>
  <c r="BV4" i="8"/>
  <c r="BW4" i="8"/>
  <c r="BX4" i="8"/>
  <c r="BY4" i="8"/>
  <c r="BZ4" i="8"/>
  <c r="CA4" i="8"/>
  <c r="CB4" i="8"/>
  <c r="CC4" i="8"/>
  <c r="CD4" i="8"/>
  <c r="CE4" i="8"/>
  <c r="CF4" i="8"/>
  <c r="EB6" i="8" a="1"/>
  <c r="EB6" i="8"/>
  <c r="EB7" i="8"/>
  <c r="EB8" i="8"/>
  <c r="EB9" i="8"/>
  <c r="EB10" i="8"/>
  <c r="EB11" i="8"/>
  <c r="EB12" i="8"/>
  <c r="EB13" i="8"/>
  <c r="EB14" i="8"/>
  <c r="EB15" i="8"/>
  <c r="EB16" i="8"/>
  <c r="EB17" i="8"/>
  <c r="EB18" i="8"/>
  <c r="EB19" i="8"/>
  <c r="EB20" i="8"/>
  <c r="EB21" i="8"/>
  <c r="EB22" i="8"/>
  <c r="EB23" i="8"/>
  <c r="EB24" i="8"/>
  <c r="EB25" i="8"/>
  <c r="EB26" i="8"/>
  <c r="EB27" i="8"/>
  <c r="EB28" i="8"/>
  <c r="EB29" i="8"/>
  <c r="EB30" i="8"/>
  <c r="EB31" i="8"/>
  <c r="EB32" i="8"/>
  <c r="EB33" i="8"/>
  <c r="EB34" i="8"/>
  <c r="EB35" i="8"/>
  <c r="EB36" i="8"/>
  <c r="EB37" i="8"/>
  <c r="EB38" i="8"/>
  <c r="EB39" i="8"/>
  <c r="EB40" i="8"/>
  <c r="EB41" i="8"/>
  <c r="EB42" i="8"/>
  <c r="EB43" i="8"/>
  <c r="EB44" i="8"/>
  <c r="EB45" i="8"/>
</calcChain>
</file>

<file path=xl/sharedStrings.xml><?xml version="1.0" encoding="utf-8"?>
<sst xmlns="http://schemas.openxmlformats.org/spreadsheetml/2006/main" count="858" uniqueCount="316">
  <si>
    <t>MARKETDATAPROPERTIES</t>
  </si>
  <si>
    <t xml:space="preserve"> </t>
  </si>
  <si>
    <t>OIS</t>
  </si>
  <si>
    <t>LIBOROISBASISSPREADS</t>
  </si>
  <si>
    <t>SWAPS</t>
  </si>
  <si>
    <t>Term</t>
  </si>
  <si>
    <t>Rate</t>
  </si>
  <si>
    <t>StartDate</t>
  </si>
  <si>
    <t>EndDate</t>
  </si>
  <si>
    <t>Use</t>
  </si>
  <si>
    <t>Currency</t>
  </si>
  <si>
    <t>USD</t>
  </si>
  <si>
    <t>CurveType</t>
  </si>
  <si>
    <t>CurveIndexFrequency</t>
  </si>
  <si>
    <t>DAILY</t>
  </si>
  <si>
    <t>AsOfDate</t>
  </si>
  <si>
    <t>Create Market Data Handle</t>
  </si>
  <si>
    <t>Handle Name</t>
  </si>
  <si>
    <t>USD_OIS_CURVE_MARKETDATA</t>
  </si>
  <si>
    <t>Market Data Handle</t>
  </si>
  <si>
    <t>Curve Dictionary</t>
  </si>
  <si>
    <t>USD_OIS_CURVE</t>
  </si>
  <si>
    <t>Curve Generator</t>
  </si>
  <si>
    <t>Domestic Curve Collection</t>
  </si>
  <si>
    <t>USDYC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</si>
  <si>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</si>
  <si>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</si>
  <si>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</si>
  <si>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</si>
  <si>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</si>
  <si>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</si>
  <si>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CURVEPROPERTIES</t>
  </si>
  <si>
    <t/>
  </si>
  <si>
    <t>StaticDataTable</t>
  </si>
  <si>
    <t>IndexName</t>
  </si>
  <si>
    <t>OIS:USDOIS</t>
  </si>
  <si>
    <t>interpolation</t>
  </si>
  <si>
    <t>FN_SPLINEINTERPOLATION</t>
  </si>
  <si>
    <t>yieldgen.interpolation</t>
  </si>
  <si>
    <t>JacobianBuildFrequency</t>
  </si>
  <si>
    <t>JacobianShiftType</t>
  </si>
  <si>
    <t>PERTURBED</t>
  </si>
  <si>
    <t>JacobianGradientShiftSize</t>
  </si>
  <si>
    <t>JacobianMarketDataShiftSize</t>
  </si>
  <si>
    <t>calendar</t>
  </si>
  <si>
    <t>NYB</t>
  </si>
  <si>
    <t>daycount</t>
  </si>
  <si>
    <t>ACT/360</t>
  </si>
  <si>
    <t>frequency</t>
  </si>
  <si>
    <t>ANNUAL</t>
  </si>
  <si>
    <t>generatemethod</t>
  </si>
  <si>
    <t>DAILYCOMPOUNDING</t>
  </si>
  <si>
    <t>resetlag</t>
  </si>
  <si>
    <t>2D</t>
  </si>
  <si>
    <t>firstrate</t>
  </si>
  <si>
    <t>SHORTMARKET</t>
  </si>
  <si>
    <t>slidingrule</t>
  </si>
  <si>
    <t>MOD_FOLLOWING</t>
  </si>
  <si>
    <t>eomday</t>
  </si>
  <si>
    <t>31</t>
  </si>
  <si>
    <t>iseomroll</t>
  </si>
  <si>
    <t>TRUE</t>
  </si>
  <si>
    <t>shorttermconvention</t>
  </si>
  <si>
    <t>ARITHMETICAVERAGE</t>
  </si>
  <si>
    <t>longtermconvention</t>
  </si>
  <si>
    <t>LOBASIS</t>
  </si>
  <si>
    <t>longterm</t>
  </si>
  <si>
    <t>1Y</t>
  </si>
  <si>
    <t>longterm.generatemethod</t>
  </si>
  <si>
    <t>NONE</t>
  </si>
  <si>
    <t>Epsilon</t>
  </si>
  <si>
    <t>0.0000000001</t>
  </si>
  <si>
    <t>MaxLoop</t>
  </si>
  <si>
    <t>1000</t>
  </si>
  <si>
    <t>CompoundingMethod</t>
  </si>
  <si>
    <t>ARITHMETIC</t>
  </si>
  <si>
    <t>SmoothShortEnd</t>
  </si>
  <si>
    <t>FALSE</t>
  </si>
  <si>
    <t>LIBOROISBASIS</t>
  </si>
  <si>
    <t>Calendar</t>
  </si>
  <si>
    <t>LNB:NYB</t>
  </si>
  <si>
    <t>Daycount</t>
  </si>
  <si>
    <t>Frequency</t>
  </si>
  <si>
    <t>QUARTERLY</t>
  </si>
  <si>
    <t>SlidingRule</t>
  </si>
  <si>
    <t>daycountfix</t>
  </si>
  <si>
    <t>30/360</t>
  </si>
  <si>
    <t>frequencyfix</t>
  </si>
  <si>
    <t>SEMI-ANNUAL</t>
  </si>
  <si>
    <t>ON</t>
  </si>
  <si>
    <t>1W</t>
  </si>
  <si>
    <t>2Y</t>
  </si>
  <si>
    <t>2W</t>
  </si>
  <si>
    <t>3Y</t>
  </si>
  <si>
    <t>3W</t>
  </si>
  <si>
    <t>4Y</t>
  </si>
  <si>
    <t>1M</t>
  </si>
  <si>
    <t>5Y</t>
  </si>
  <si>
    <t>2M</t>
  </si>
  <si>
    <t>7Y</t>
  </si>
  <si>
    <t>3M</t>
  </si>
  <si>
    <t>10Y</t>
  </si>
  <si>
    <t>4M</t>
  </si>
  <si>
    <t>12Y</t>
  </si>
  <si>
    <t>5M</t>
  </si>
  <si>
    <t>15Y</t>
  </si>
  <si>
    <t>6M</t>
  </si>
  <si>
    <t>20Y</t>
  </si>
  <si>
    <t>9M</t>
  </si>
  <si>
    <t>25Y</t>
  </si>
  <si>
    <t>30Y</t>
  </si>
  <si>
    <t>Create Curve Generator</t>
  </si>
  <si>
    <t>LIBORFIXINGS</t>
  </si>
  <si>
    <t>FUTURES</t>
  </si>
  <si>
    <t>Volatility</t>
  </si>
  <si>
    <t>SWAP</t>
  </si>
  <si>
    <t>USD_SWAP_3M_CURVE_MARKETDATA</t>
  </si>
  <si>
    <t>USD_SWAP_3M_CURVE</t>
  </si>
  <si>
    <t>STD</t>
  </si>
  <si>
    <t>STD:USD3ML</t>
  </si>
  <si>
    <t>FN_LINEARSPLINEINTERPOLATION</t>
  </si>
  <si>
    <t>future.interpolation</t>
  </si>
  <si>
    <t>isfrause</t>
  </si>
  <si>
    <t>isfutureuse</t>
  </si>
  <si>
    <t>SIMPLE</t>
  </si>
  <si>
    <t>dfcurvename</t>
  </si>
  <si>
    <t>AlwaysCalcJoinDate</t>
  </si>
  <si>
    <t>FastRebuild</t>
  </si>
  <si>
    <t>MONEYMARKET</t>
  </si>
  <si>
    <t>Act/360</t>
  </si>
  <si>
    <t>FOLLOWING</t>
  </si>
  <si>
    <t>simple</t>
  </si>
  <si>
    <t>FRAS</t>
  </si>
  <si>
    <t>MeanReversion</t>
  </si>
  <si>
    <t>ApplyTension</t>
  </si>
  <si>
    <t>TensionGap</t>
  </si>
  <si>
    <t>DayCount</t>
  </si>
  <si>
    <t>DayCountFloat</t>
  </si>
  <si>
    <t>Semi-Annual</t>
  </si>
  <si>
    <t>FrequencyFloat</t>
  </si>
  <si>
    <t>Quarterly</t>
  </si>
  <si>
    <t>IsEomRoll</t>
  </si>
  <si>
    <t>EomDay</t>
  </si>
  <si>
    <t>IsNewtonraphson</t>
  </si>
  <si>
    <t>Resetlag</t>
  </si>
  <si>
    <t>issimultaneouseq</t>
  </si>
  <si>
    <t>ED1 Comdty</t>
  </si>
  <si>
    <t>ED2 Comdty</t>
  </si>
  <si>
    <t>ED3 Comdty</t>
  </si>
  <si>
    <t>12M</t>
  </si>
  <si>
    <t>ED4 Comdty</t>
  </si>
  <si>
    <t>ED5 Comdty</t>
  </si>
  <si>
    <t>8Y</t>
  </si>
  <si>
    <t>ED6 Comdty</t>
  </si>
  <si>
    <t>9Y</t>
  </si>
  <si>
    <t>ED7 Comdty</t>
  </si>
  <si>
    <t>ED8 Comdty</t>
  </si>
  <si>
    <t>BASISSWAPS</t>
  </si>
  <si>
    <t>TENORBASIS</t>
  </si>
  <si>
    <t>CREATE MARKET DATA HANDLE</t>
  </si>
  <si>
    <t>USD_BASIS_3X6_MARKETDATA</t>
  </si>
  <si>
    <t>CURVE DICTIONARY</t>
  </si>
  <si>
    <t>HandleName</t>
  </si>
  <si>
    <t>USD_BASIS_6M_CURVE</t>
  </si>
  <si>
    <t>CurveGenerator</t>
  </si>
  <si>
    <t>DomesticCurve</t>
  </si>
  <si>
    <t>ForeignCurve</t>
  </si>
  <si>
    <t>CREATE CURVE HANDLE</t>
  </si>
  <si>
    <t>IsCurveLoaded</t>
  </si>
  <si>
    <t>USD_BASIS_3X6</t>
  </si>
  <si>
    <t>3M6MBasis</t>
  </si>
  <si>
    <t>3M6MBasis:USD6ML</t>
  </si>
  <si>
    <t>basis.interpolation</t>
  </si>
  <si>
    <t>isFwdBasis</t>
  </si>
  <si>
    <t>dfCurveName</t>
  </si>
  <si>
    <t>ResetLag</t>
  </si>
  <si>
    <t>MarketName</t>
  </si>
  <si>
    <t>IsLeg1Spread</t>
  </si>
  <si>
    <t>Leg1cashlet.calendar</t>
  </si>
  <si>
    <t>Leg1cashlet.daycount</t>
  </si>
  <si>
    <t>Leg1cashlet.frequency</t>
  </si>
  <si>
    <t>Leg1cashlet.slidingrule</t>
  </si>
  <si>
    <t>Leg1cashlet.spotlag</t>
  </si>
  <si>
    <t>Leg1forecast</t>
  </si>
  <si>
    <t>Leg1discount</t>
  </si>
  <si>
    <t>Leg1index.accessary</t>
  </si>
  <si>
    <t>Leg1index.daycount</t>
  </si>
  <si>
    <t>Leg1index.fixing.calendar</t>
  </si>
  <si>
    <t>Leg1index.frequency</t>
  </si>
  <si>
    <t>Leg1index.payment.calendar</t>
  </si>
  <si>
    <t>Leg1index.resetlag</t>
  </si>
  <si>
    <t>Leg1index.slidingrule</t>
  </si>
  <si>
    <t>Leg2cashlet.calendar</t>
  </si>
  <si>
    <t>Leg2cashlet.daycount</t>
  </si>
  <si>
    <t>Leg2cashlet.frequency</t>
  </si>
  <si>
    <t>Leg2cashlet.frequencycompound</t>
  </si>
  <si>
    <t>Leg2cashlet.slidingrule</t>
  </si>
  <si>
    <t>Leg2cashlet.spotlag</t>
  </si>
  <si>
    <t>Leg2forecast</t>
  </si>
  <si>
    <t>AGAINST:USD3ML</t>
  </si>
  <si>
    <t>Leg2discount</t>
  </si>
  <si>
    <t>AGAINST:OIS</t>
  </si>
  <si>
    <t>Leg2index.accessary</t>
  </si>
  <si>
    <t>Leg2index.daycount</t>
  </si>
  <si>
    <t>Leg2index.fixing.calendar</t>
  </si>
  <si>
    <t>Leg2index.frequency</t>
  </si>
  <si>
    <t>Leg2index.payment.calendar</t>
  </si>
  <si>
    <t>Leg2index.resetlag</t>
  </si>
  <si>
    <t>Leg2index.slidingrule</t>
  </si>
  <si>
    <t>Target</t>
  </si>
  <si>
    <t>Leg1Forecast</t>
  </si>
  <si>
    <t>isSimultaneousEq</t>
  </si>
  <si>
    <t>fwdinterpolation</t>
  </si>
  <si>
    <t>isSameGridIndex</t>
  </si>
  <si>
    <t>SpotRateTerm</t>
  </si>
  <si>
    <t>isYieldSpreadCalc</t>
  </si>
  <si>
    <t>isFwdInter</t>
  </si>
  <si>
    <t>IsEOMRoll</t>
  </si>
  <si>
    <t>6Y</t>
  </si>
  <si>
    <t>CurveResults</t>
  </si>
  <si>
    <t>Select Curve Index</t>
  </si>
  <si>
    <t>Select Risk Type</t>
  </si>
  <si>
    <t>CurveCollection</t>
  </si>
  <si>
    <t>USDOIS</t>
  </si>
  <si>
    <t>Discount_Factors</t>
  </si>
  <si>
    <t>CurveIndex</t>
  </si>
  <si>
    <t>USD3ML</t>
  </si>
  <si>
    <t>Forward_Rates</t>
  </si>
  <si>
    <t>RiskType</t>
  </si>
  <si>
    <t>USD6ML</t>
  </si>
  <si>
    <t>Trade Dates</t>
  </si>
  <si>
    <t>SWAPS: USD3ML</t>
  </si>
  <si>
    <t>Trade Booking &amp; Pricing</t>
  </si>
  <si>
    <t>Curve Calibration Check</t>
  </si>
  <si>
    <t>Unadjusted Date !</t>
  </si>
  <si>
    <t>Swap Template</t>
  </si>
  <si>
    <t>EffectiveDate</t>
  </si>
  <si>
    <t>MaturityDate</t>
  </si>
  <si>
    <t>Maturity</t>
  </si>
  <si>
    <t>Generator</t>
  </si>
  <si>
    <t>PayRec</t>
  </si>
  <si>
    <t>Notional</t>
  </si>
  <si>
    <t>FixedRate</t>
  </si>
  <si>
    <t>Spread</t>
  </si>
  <si>
    <t>CreateSwap</t>
  </si>
  <si>
    <t>+/- Bps</t>
  </si>
  <si>
    <t>USD_3ML</t>
  </si>
  <si>
    <t>PAY</t>
  </si>
  <si>
    <t>BASIS: USD6ML</t>
  </si>
  <si>
    <t>Leg 1 Spread</t>
  </si>
  <si>
    <t>Leg 2 Spread</t>
  </si>
  <si>
    <t>NYB:LNB</t>
  </si>
  <si>
    <t>Rate %</t>
  </si>
  <si>
    <t>Spread bps</t>
  </si>
  <si>
    <t>ParRate %</t>
  </si>
  <si>
    <t>Cashflows</t>
  </si>
  <si>
    <t>Annuity</t>
  </si>
  <si>
    <t>PV01</t>
  </si>
  <si>
    <t>DV01</t>
  </si>
  <si>
    <t>Swap Calculations</t>
  </si>
  <si>
    <t>Trade</t>
  </si>
  <si>
    <t>Trade Details</t>
  </si>
  <si>
    <t>… Cashflows</t>
  </si>
  <si>
    <t>Jacobian USDOIS Discount Factors</t>
  </si>
  <si>
    <t>Coupon Mapping</t>
  </si>
  <si>
    <t>ForecastRisk</t>
  </si>
  <si>
    <t>DiscountRisk</t>
  </si>
  <si>
    <t>Analytical Risk</t>
  </si>
  <si>
    <t>Numerical Risk</t>
  </si>
  <si>
    <t>Total Risk</t>
  </si>
  <si>
    <t>Bucketed Risk</t>
  </si>
  <si>
    <t>PV</t>
  </si>
  <si>
    <t>PV Before Bump</t>
  </si>
  <si>
    <t>PV After Bump</t>
  </si>
  <si>
    <t>Flat-Shift Curve</t>
  </si>
  <si>
    <t>1=meLWOCurveBumpAll(D23,0.01%,TRUE)</t>
  </si>
  <si>
    <t>Actual Risk by Bumping Curve Manually</t>
  </si>
  <si>
    <t>… DF Jacobian Outrights Only</t>
  </si>
  <si>
    <t>… DF Jacobian All Instruments</t>
  </si>
  <si>
    <t>RiskTotals - Discount Factor</t>
  </si>
  <si>
    <t>RiskTotals - Forward Rates</t>
  </si>
  <si>
    <t>PaymentDate</t>
  </si>
  <si>
    <t>FixingDate</t>
  </si>
  <si>
    <t>Annuity Mapping</t>
  </si>
  <si>
    <t>AnnuityLet</t>
  </si>
  <si>
    <t>Total Libor Risk</t>
  </si>
  <si>
    <t>Total DiscFact Risk</t>
  </si>
  <si>
    <t>Discount Risk</t>
  </si>
  <si>
    <t>Forward Rate Risk</t>
  </si>
  <si>
    <t>… Forward Rate Jacobian Outrights Only</t>
  </si>
  <si>
    <t>Forward Rate Risk Buckets</t>
  </si>
  <si>
    <t>Discount Factor Risk Buckets</t>
  </si>
  <si>
    <t>1=meLWOCurveBumpAll(D24,0.01%,TRUE)</t>
  </si>
  <si>
    <t>&lt;--- Bump Curve &amp; Hard-Code</t>
  </si>
  <si>
    <t>Bucketed Forward Risk</t>
  </si>
  <si>
    <t>Bucketed Discount Risk</t>
  </si>
  <si>
    <r>
      <rPr>
        <b/>
        <sz val="11"/>
        <color rgb="FF0000FF"/>
        <rFont val="Calibri"/>
        <family val="2"/>
        <scheme val="minor"/>
      </rPr>
      <t xml:space="preserve">Discount Risk: </t>
    </r>
    <r>
      <rPr>
        <sz val="11"/>
        <color rgb="FF0000FF"/>
        <rFont val="Calibri"/>
        <family val="2"/>
        <scheme val="minor"/>
      </rPr>
      <t>Includes Risk to Non-Outrights</t>
    </r>
  </si>
  <si>
    <t>Numerical DV01</t>
  </si>
  <si>
    <t>Analytical DV01</t>
  </si>
  <si>
    <t>Actual DV01</t>
  </si>
  <si>
    <t>&lt;--- DV01 if Bump OIS and STD</t>
  </si>
  <si>
    <t>at the same time</t>
  </si>
  <si>
    <t>PV Before</t>
  </si>
  <si>
    <t>PV After</t>
  </si>
  <si>
    <t>RiskTotal</t>
  </si>
  <si>
    <t>Risk Total Check</t>
  </si>
  <si>
    <t>DateCheck</t>
  </si>
  <si>
    <t>Value</t>
  </si>
  <si>
    <t>Excl Spread</t>
  </si>
  <si>
    <t>Incl. Spread</t>
  </si>
  <si>
    <t>Diff</t>
  </si>
  <si>
    <t>Check</t>
  </si>
  <si>
    <t>.. DF Risk Totals</t>
  </si>
  <si>
    <t>.. Forward Risk Totals</t>
  </si>
  <si>
    <t>ONCE</t>
  </si>
  <si>
    <t xml:space="preserve">Enable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</si>
</sst>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164" formatCode="0.00000%"/>
    <numFmt numFmtId="165" formatCode="ddd\,\ d\-mmm\-yy"/>
    <numFmt numFmtId="166" formatCode="0.0000%"/>
    <numFmt numFmtId="167" formatCode="#,##0.000"/>
    <numFmt numFmtId="168" formatCode="0.000%"/>
    <numFmt numFmtId="169" formatCode="0.0E+00"/>
    <numFmt numFmtId="170" formatCode="#,##0.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  <font>
      <b/>
      <sz val="11"/>
      <color rgb="FF6600FF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dotted">
        <color theme="0" tint="-0.24994659260841701"/>
      </left>
      <right style="dotted">
        <color theme="0" tint="-0.24994659260841701"/>
      </right>
      <top style="thin">
        <color theme="0" tint="-0.24994659260841701"/>
      </top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 style="thin">
        <color theme="0" tint="-0.24994659260841701"/>
      </bottom>
      <diagonal/>
    </border>
  </borders>
  <cellStyleXfs count="3">
    <xf numFmtId="0" fontId="0" fillId="0" borderId="0"/>
    <xf numFmtId="0" fontId="12" fillId="0" borderId="0">
      <alignment vertical="center"/>
    </xf>
    <xf numFmtId="41" fontId="1" fillId="0" borderId="0" applyFont="0" applyFill="0" applyBorder="0" applyAlignment="0" applyProtection="0"/>
  </cellStyleXfs>
  <cellXfs count="295">
    <xf numFmtId="0" fontId="0" fillId="0" borderId="0" xfId="0"/>
    <xf numFmtId="0" fontId="0" fillId="2" borderId="1" xfId="0" applyFill="1" applyBorder="1"/>
    <xf numFmtId="0" fontId="5" fillId="2" borderId="2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5" fillId="2" borderId="0" xfId="0" applyFont="1" applyFill="1"/>
    <xf numFmtId="0" fontId="0" fillId="2" borderId="0" xfId="0" applyFill="1"/>
    <xf numFmtId="0" fontId="0" fillId="2" borderId="5" xfId="0" applyFill="1" applyBorder="1"/>
    <xf numFmtId="0" fontId="7" fillId="2" borderId="6" xfId="0" applyFont="1" applyFill="1" applyBorder="1" applyAlignment="1">
      <alignment horizontal="center" vertical="center"/>
    </xf>
    <xf numFmtId="0" fontId="0" fillId="3" borderId="7" xfId="0" applyFont="1" applyFill="1" applyBorder="1"/>
    <xf numFmtId="0" fontId="0" fillId="3" borderId="7" xfId="0" applyFont="1" applyFill="1" applyBorder="1" applyAlignment="1">
      <alignment horizontal="left" vertical="center"/>
    </xf>
    <xf numFmtId="15" fontId="7" fillId="0" borderId="5" xfId="0" applyNumberFormat="1" applyFont="1" applyFill="1" applyBorder="1" applyAlignment="1">
      <alignment horizontal="center" vertical="center"/>
    </xf>
    <xf numFmtId="0" fontId="0" fillId="3" borderId="8" xfId="0" applyFont="1" applyFill="1" applyBorder="1"/>
    <xf numFmtId="0" fontId="0" fillId="3" borderId="8" xfId="0" applyFont="1" applyFill="1" applyBorder="1" applyAlignment="1">
      <alignment horizontal="left" vertical="center"/>
    </xf>
    <xf numFmtId="0" fontId="0" fillId="3" borderId="9" xfId="0" applyFont="1" applyFill="1" applyBorder="1"/>
    <xf numFmtId="165" fontId="8" fillId="3" borderId="9" xfId="0" applyNumberFormat="1" applyFont="1" applyFill="1" applyBorder="1" applyAlignment="1">
      <alignment horizontal="left" vertical="center"/>
    </xf>
    <xf numFmtId="0" fontId="3" fillId="2" borderId="0" xfId="0" applyFont="1" applyFill="1"/>
    <xf numFmtId="0" fontId="0" fillId="3" borderId="7" xfId="0" applyFill="1" applyBorder="1"/>
    <xf numFmtId="0" fontId="0" fillId="3" borderId="7" xfId="0" applyFill="1" applyBorder="1" applyAlignment="1">
      <alignment horizontal="left" vertical="center"/>
    </xf>
    <xf numFmtId="0" fontId="0" fillId="3" borderId="9" xfId="0" applyFill="1" applyBorder="1"/>
    <xf numFmtId="0" fontId="8" fillId="3" borderId="9" xfId="0" applyFont="1" applyFill="1" applyBorder="1" applyAlignment="1">
      <alignment horizontal="left" vertical="center"/>
    </xf>
    <xf numFmtId="0" fontId="0" fillId="4" borderId="0" xfId="0" applyFill="1" applyBorder="1"/>
    <xf numFmtId="0" fontId="9" fillId="0" borderId="4" xfId="0" applyFont="1" applyFill="1" applyBorder="1" applyAlignment="1">
      <alignment horizontal="center" vertical="center"/>
    </xf>
    <xf numFmtId="164" fontId="9" fillId="0" borderId="5" xfId="0" applyNumberFormat="1" applyFont="1" applyFill="1" applyBorder="1" applyAlignment="1">
      <alignment horizontal="center" vertical="center"/>
    </xf>
    <xf numFmtId="0" fontId="9" fillId="2" borderId="0" xfId="0" applyFont="1" applyFill="1"/>
    <xf numFmtId="0" fontId="9" fillId="2" borderId="5" xfId="0" applyFont="1" applyFill="1" applyBorder="1"/>
    <xf numFmtId="0" fontId="3" fillId="2" borderId="0" xfId="0" applyFont="1" applyFill="1" applyBorder="1"/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0" fontId="0" fillId="0" borderId="7" xfId="0" applyBorder="1"/>
    <xf numFmtId="0" fontId="8" fillId="0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/>
    <xf numFmtId="15" fontId="10" fillId="0" borderId="5" xfId="0" applyNumberFormat="1" applyFont="1" applyFill="1" applyBorder="1" applyAlignment="1">
      <alignment horizontal="center" vertical="center"/>
    </xf>
    <xf numFmtId="0" fontId="0" fillId="0" borderId="9" xfId="0" applyBorder="1"/>
    <xf numFmtId="15" fontId="10" fillId="0" borderId="11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2" borderId="0" xfId="0" applyFont="1" applyFill="1" applyBorder="1"/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0" fillId="3" borderId="9" xfId="0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0" fillId="3" borderId="9" xfId="0" applyFont="1" applyFill="1" applyBorder="1" applyAlignment="1">
      <alignment horizontal="left" vertical="center"/>
    </xf>
    <xf numFmtId="0" fontId="0" fillId="6" borderId="8" xfId="0" applyFill="1" applyBorder="1" applyAlignment="1">
      <alignment horizontal="center" vertical="center"/>
    </xf>
    <xf numFmtId="11" fontId="0" fillId="6" borderId="8" xfId="0" applyNumberFormat="1" applyFill="1" applyBorder="1" applyAlignment="1">
      <alignment horizontal="center" vertical="center"/>
    </xf>
    <xf numFmtId="11" fontId="0" fillId="6" borderId="9" xfId="0" applyNumberFormat="1" applyFill="1" applyBorder="1" applyAlignment="1">
      <alignment horizontal="center" vertical="center"/>
    </xf>
    <xf numFmtId="0" fontId="3" fillId="0" borderId="0" xfId="0" applyFont="1" applyFill="1" applyBorder="1"/>
    <xf numFmtId="0" fontId="2" fillId="5" borderId="0" xfId="0" applyFont="1" applyFill="1" applyBorder="1"/>
    <xf numFmtId="0" fontId="11" fillId="4" borderId="8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7" fillId="3" borderId="7" xfId="0" applyFont="1" applyFill="1" applyBorder="1"/>
    <xf numFmtId="15" fontId="7" fillId="3" borderId="7" xfId="0" applyNumberFormat="1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3" borderId="8" xfId="0" applyFont="1" applyFill="1" applyBorder="1"/>
    <xf numFmtId="15" fontId="7" fillId="3" borderId="8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166" fontId="10" fillId="0" borderId="3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5" fontId="10" fillId="3" borderId="2" xfId="1" quotePrefix="1" applyNumberFormat="1" applyFont="1" applyFill="1" applyBorder="1" applyAlignment="1">
      <alignment horizontal="center" vertical="center"/>
    </xf>
    <xf numFmtId="167" fontId="10" fillId="3" borderId="2" xfId="0" applyNumberFormat="1" applyFont="1" applyFill="1" applyBorder="1" applyAlignment="1">
      <alignment horizontal="center" vertical="center"/>
    </xf>
    <xf numFmtId="168" fontId="7" fillId="3" borderId="3" xfId="2" quotePrefix="1" applyNumberFormat="1" applyFont="1" applyFill="1" applyBorder="1" applyAlignment="1">
      <alignment horizontal="center" vertical="center"/>
    </xf>
    <xf numFmtId="166" fontId="10" fillId="3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166" fontId="10" fillId="0" borderId="5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5" fontId="10" fillId="3" borderId="0" xfId="1" quotePrefix="1" applyNumberFormat="1" applyFont="1" applyFill="1" applyBorder="1" applyAlignment="1">
      <alignment horizontal="center" vertical="center"/>
    </xf>
    <xf numFmtId="167" fontId="10" fillId="3" borderId="0" xfId="0" applyNumberFormat="1" applyFont="1" applyFill="1" applyBorder="1" applyAlignment="1">
      <alignment horizontal="center" vertical="center"/>
    </xf>
    <xf numFmtId="168" fontId="7" fillId="3" borderId="5" xfId="2" quotePrefix="1" applyNumberFormat="1" applyFont="1" applyFill="1" applyBorder="1" applyAlignment="1">
      <alignment horizontal="center" vertical="center"/>
    </xf>
    <xf numFmtId="166" fontId="10" fillId="3" borderId="0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5" fontId="8" fillId="3" borderId="8" xfId="0" applyNumberFormat="1" applyFont="1" applyFill="1" applyBorder="1" applyAlignment="1">
      <alignment horizontal="left" vertical="center"/>
    </xf>
    <xf numFmtId="15" fontId="10" fillId="3" borderId="0" xfId="1" applyNumberFormat="1" applyFont="1" applyFill="1" applyBorder="1" applyAlignment="1">
      <alignment horizontal="center" vertical="center"/>
    </xf>
    <xf numFmtId="168" fontId="7" fillId="3" borderId="5" xfId="2" applyNumberFormat="1" applyFont="1" applyFill="1" applyBorder="1" applyAlignment="1">
      <alignment horizontal="center" vertical="center"/>
    </xf>
    <xf numFmtId="0" fontId="0" fillId="3" borderId="8" xfId="0" applyFill="1" applyBorder="1"/>
    <xf numFmtId="0" fontId="7" fillId="3" borderId="8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0" fontId="7" fillId="0" borderId="10" xfId="0" applyFont="1" applyFill="1" applyBorder="1" applyAlignment="1">
      <alignment horizontal="center" vertical="center"/>
    </xf>
    <xf numFmtId="164" fontId="10" fillId="0" borderId="11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166" fontId="9" fillId="3" borderId="0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2" borderId="17" xfId="0" applyFont="1" applyFill="1" applyBorder="1"/>
    <xf numFmtId="0" fontId="13" fillId="2" borderId="0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15" fontId="10" fillId="3" borderId="6" xfId="1" applyNumberFormat="1" applyFont="1" applyFill="1" applyBorder="1" applyAlignment="1">
      <alignment horizontal="center" vertical="center"/>
    </xf>
    <xf numFmtId="167" fontId="10" fillId="3" borderId="6" xfId="0" applyNumberFormat="1" applyFont="1" applyFill="1" applyBorder="1" applyAlignment="1">
      <alignment horizontal="center" vertical="center"/>
    </xf>
    <xf numFmtId="168" fontId="7" fillId="3" borderId="11" xfId="2" applyNumberFormat="1" applyFont="1" applyFill="1" applyBorder="1" applyAlignment="1">
      <alignment horizontal="center" vertical="center"/>
    </xf>
    <xf numFmtId="166" fontId="10" fillId="3" borderId="6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4" fillId="5" borderId="0" xfId="0" applyFont="1" applyFill="1" applyBorder="1"/>
    <xf numFmtId="0" fontId="0" fillId="6" borderId="0" xfId="0" applyFill="1" applyBorder="1" applyAlignment="1">
      <alignment horizontal="center" vertical="center"/>
    </xf>
    <xf numFmtId="0" fontId="0" fillId="3" borderId="12" xfId="0" applyFill="1" applyBorder="1" applyAlignment="1">
      <alignment horizontal="left" vertical="center"/>
    </xf>
    <xf numFmtId="0" fontId="0" fillId="3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Fill="1" applyBorder="1"/>
    <xf numFmtId="0" fontId="7" fillId="0" borderId="0" xfId="0" applyFont="1" applyFill="1" applyBorder="1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5" fontId="8" fillId="0" borderId="9" xfId="0" applyNumberFormat="1" applyFont="1" applyBorder="1" applyAlignment="1">
      <alignment horizontal="left" vertical="center"/>
    </xf>
    <xf numFmtId="0" fontId="3" fillId="0" borderId="0" xfId="0" applyFont="1"/>
    <xf numFmtId="0" fontId="8" fillId="0" borderId="8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0" fontId="8" fillId="0" borderId="7" xfId="0" applyFont="1" applyBorder="1"/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4" borderId="0" xfId="0" applyFill="1"/>
    <xf numFmtId="0" fontId="10" fillId="0" borderId="0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center" vertical="center"/>
    </xf>
    <xf numFmtId="164" fontId="10" fillId="2" borderId="5" xfId="0" applyNumberFormat="1" applyFont="1" applyFill="1" applyBorder="1" applyAlignment="1">
      <alignment horizontal="center" vertical="center"/>
    </xf>
    <xf numFmtId="164" fontId="10" fillId="0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Fill="1" applyBorder="1" applyAlignment="1">
      <alignment horizontal="center" vertical="center"/>
    </xf>
    <xf numFmtId="15" fontId="10" fillId="0" borderId="0" xfId="0" applyNumberFormat="1" applyFont="1" applyFill="1" applyBorder="1" applyAlignment="1">
      <alignment horizontal="center" vertical="center"/>
    </xf>
    <xf numFmtId="0" fontId="0" fillId="2" borderId="0" xfId="0" applyFont="1" applyFill="1"/>
    <xf numFmtId="164" fontId="10" fillId="0" borderId="3" xfId="0" applyNumberFormat="1" applyFont="1" applyFill="1" applyBorder="1" applyAlignment="1">
      <alignment horizontal="center" vertical="center"/>
    </xf>
    <xf numFmtId="164" fontId="10" fillId="0" borderId="0" xfId="0" applyNumberFormat="1" applyFont="1" applyFill="1" applyBorder="1" applyAlignment="1">
      <alignment horizontal="center" vertical="center"/>
    </xf>
    <xf numFmtId="164" fontId="10" fillId="0" borderId="5" xfId="0" applyNumberFormat="1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164" fontId="10" fillId="0" borderId="6" xfId="0" applyNumberFormat="1" applyFont="1" applyFill="1" applyBorder="1" applyAlignment="1">
      <alignment horizontal="center" vertical="center"/>
    </xf>
    <xf numFmtId="15" fontId="10" fillId="0" borderId="6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7" xfId="0" applyFill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11" fontId="7" fillId="6" borderId="8" xfId="0" applyNumberFormat="1" applyFont="1" applyFill="1" applyBorder="1" applyAlignment="1">
      <alignment horizontal="center" vertical="center"/>
    </xf>
    <xf numFmtId="11" fontId="7" fillId="6" borderId="9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2" borderId="3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0" fillId="9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9" borderId="0" xfId="0" applyFill="1" applyAlignment="1">
      <alignment horizontal="center" vertical="center"/>
    </xf>
    <xf numFmtId="15" fontId="0" fillId="9" borderId="0" xfId="0" applyNumberFormat="1" applyFill="1" applyAlignment="1">
      <alignment horizontal="center" vertical="center"/>
    </xf>
    <xf numFmtId="169" fontId="0" fillId="8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0" fillId="0" borderId="0" xfId="0" applyNumberFormat="1"/>
    <xf numFmtId="3" fontId="0" fillId="0" borderId="0" xfId="0" applyNumberFormat="1"/>
    <xf numFmtId="169" fontId="0" fillId="0" borderId="0" xfId="0" applyNumberFormat="1"/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165" fontId="10" fillId="2" borderId="1" xfId="0" applyNumberFormat="1" applyFont="1" applyFill="1" applyBorder="1" applyAlignment="1">
      <alignment horizontal="center" vertical="center"/>
    </xf>
    <xf numFmtId="165" fontId="10" fillId="2" borderId="2" xfId="0" applyNumberFormat="1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/>
    </xf>
    <xf numFmtId="165" fontId="0" fillId="6" borderId="1" xfId="0" quotePrefix="1" applyNumberForma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0" fontId="11" fillId="10" borderId="2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170" fontId="0" fillId="6" borderId="3" xfId="0" applyNumberForma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vertical="center"/>
    </xf>
    <xf numFmtId="166" fontId="10" fillId="2" borderId="3" xfId="0" applyNumberFormat="1" applyFont="1" applyFill="1" applyBorder="1" applyAlignment="1">
      <alignment horizontal="center" vertical="center"/>
    </xf>
    <xf numFmtId="166" fontId="10" fillId="2" borderId="2" xfId="0" applyNumberFormat="1" applyFont="1" applyFill="1" applyBorder="1" applyAlignment="1">
      <alignment horizontal="center" vertical="center"/>
    </xf>
    <xf numFmtId="170" fontId="10" fillId="2" borderId="3" xfId="0" applyNumberFormat="1" applyFont="1" applyFill="1" applyBorder="1" applyAlignment="1">
      <alignment horizontal="center"/>
    </xf>
    <xf numFmtId="165" fontId="10" fillId="2" borderId="4" xfId="0" applyNumberFormat="1" applyFont="1" applyFill="1" applyBorder="1" applyAlignment="1">
      <alignment horizontal="center" vertical="center"/>
    </xf>
    <xf numFmtId="165" fontId="10" fillId="2" borderId="0" xfId="0" applyNumberFormat="1" applyFont="1" applyFill="1" applyBorder="1" applyAlignment="1">
      <alignment horizontal="center" vertical="center"/>
    </xf>
    <xf numFmtId="165" fontId="10" fillId="2" borderId="5" xfId="0" applyNumberFormat="1" applyFont="1" applyFill="1" applyBorder="1" applyAlignment="1">
      <alignment horizontal="center" vertical="center"/>
    </xf>
    <xf numFmtId="165" fontId="0" fillId="6" borderId="4" xfId="0" quotePrefix="1" applyNumberFormat="1" applyFill="1" applyBorder="1" applyAlignment="1">
      <alignment horizontal="center" vertical="center"/>
    </xf>
    <xf numFmtId="165" fontId="0" fillId="6" borderId="0" xfId="0" applyNumberFormat="1" applyFill="1" applyBorder="1" applyAlignment="1">
      <alignment horizontal="center" vertical="center"/>
    </xf>
    <xf numFmtId="0" fontId="11" fillId="10" borderId="22" xfId="0" applyFont="1" applyFill="1" applyBorder="1" applyAlignment="1">
      <alignment horizontal="center" vertical="center"/>
    </xf>
    <xf numFmtId="3" fontId="0" fillId="6" borderId="0" xfId="0" applyNumberFormat="1" applyFill="1" applyBorder="1" applyAlignment="1">
      <alignment horizontal="center" vertical="center"/>
    </xf>
    <xf numFmtId="164" fontId="0" fillId="6" borderId="0" xfId="0" applyNumberFormat="1" applyFill="1" applyBorder="1" applyAlignment="1">
      <alignment horizontal="center" vertical="center"/>
    </xf>
    <xf numFmtId="170" fontId="0" fillId="6" borderId="5" xfId="0" applyNumberForma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166" fontId="10" fillId="2" borderId="5" xfId="0" applyNumberFormat="1" applyFont="1" applyFill="1" applyBorder="1" applyAlignment="1">
      <alignment horizontal="center" vertical="center"/>
    </xf>
    <xf numFmtId="166" fontId="10" fillId="2" borderId="0" xfId="0" applyNumberFormat="1" applyFont="1" applyFill="1" applyBorder="1" applyAlignment="1">
      <alignment horizontal="center" vertical="center"/>
    </xf>
    <xf numFmtId="170" fontId="10" fillId="2" borderId="5" xfId="0" applyNumberFormat="1" applyFont="1" applyFill="1" applyBorder="1" applyAlignment="1">
      <alignment horizontal="center"/>
    </xf>
    <xf numFmtId="165" fontId="10" fillId="2" borderId="10" xfId="0" applyNumberFormat="1" applyFont="1" applyFill="1" applyBorder="1" applyAlignment="1">
      <alignment horizontal="center" vertical="center"/>
    </xf>
    <xf numFmtId="165" fontId="10" fillId="2" borderId="6" xfId="0" applyNumberFormat="1" applyFont="1" applyFill="1" applyBorder="1" applyAlignment="1">
      <alignment horizontal="center" vertical="center"/>
    </xf>
    <xf numFmtId="165" fontId="10" fillId="2" borderId="11" xfId="0" applyNumberFormat="1" applyFont="1" applyFill="1" applyBorder="1" applyAlignment="1">
      <alignment horizontal="center" vertical="center"/>
    </xf>
    <xf numFmtId="165" fontId="0" fillId="6" borderId="10" xfId="0" quotePrefix="1" applyNumberFormat="1" applyFill="1" applyBorder="1" applyAlignment="1">
      <alignment horizontal="center" vertical="center"/>
    </xf>
    <xf numFmtId="165" fontId="0" fillId="6" borderId="6" xfId="0" applyNumberFormat="1" applyFill="1" applyBorder="1" applyAlignment="1">
      <alignment horizontal="center" vertical="center"/>
    </xf>
    <xf numFmtId="0" fontId="11" fillId="10" borderId="23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3" fontId="0" fillId="6" borderId="6" xfId="0" applyNumberFormat="1" applyFill="1" applyBorder="1" applyAlignment="1">
      <alignment horizontal="center" vertical="center"/>
    </xf>
    <xf numFmtId="164" fontId="0" fillId="6" borderId="6" xfId="0" applyNumberFormat="1" applyFill="1" applyBorder="1" applyAlignment="1">
      <alignment horizontal="center" vertical="center"/>
    </xf>
    <xf numFmtId="170" fontId="0" fillId="6" borderId="11" xfId="0" applyNumberForma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166" fontId="10" fillId="2" borderId="11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66" fontId="10" fillId="2" borderId="6" xfId="0" applyNumberFormat="1" applyFont="1" applyFill="1" applyBorder="1" applyAlignment="1">
      <alignment horizontal="center" vertical="center"/>
    </xf>
    <xf numFmtId="170" fontId="10" fillId="2" borderId="11" xfId="0" applyNumberFormat="1" applyFont="1" applyFill="1" applyBorder="1" applyAlignment="1">
      <alignment horizontal="center"/>
    </xf>
    <xf numFmtId="4" fontId="10" fillId="2" borderId="3" xfId="0" applyNumberFormat="1" applyFont="1" applyFill="1" applyBorder="1" applyAlignment="1">
      <alignment horizontal="center" vertical="center"/>
    </xf>
    <xf numFmtId="4" fontId="10" fillId="2" borderId="5" xfId="0" applyNumberFormat="1" applyFont="1" applyFill="1" applyBorder="1" applyAlignment="1">
      <alignment horizontal="center" vertical="center"/>
    </xf>
    <xf numFmtId="4" fontId="10" fillId="2" borderId="11" xfId="0" applyNumberFormat="1" applyFont="1" applyFill="1" applyBorder="1" applyAlignment="1">
      <alignment horizontal="center" vertical="center"/>
    </xf>
    <xf numFmtId="4" fontId="10" fillId="2" borderId="2" xfId="0" applyNumberFormat="1" applyFont="1" applyFill="1" applyBorder="1" applyAlignment="1">
      <alignment horizontal="center" vertical="center"/>
    </xf>
    <xf numFmtId="4" fontId="10" fillId="2" borderId="0" xfId="0" applyNumberFormat="1" applyFont="1" applyFill="1" applyBorder="1" applyAlignment="1">
      <alignment horizontal="center" vertical="center"/>
    </xf>
    <xf numFmtId="4" fontId="10" fillId="2" borderId="6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5" fontId="0" fillId="0" borderId="0" xfId="0" applyNumberFormat="1"/>
    <xf numFmtId="0" fontId="0" fillId="2" borderId="2" xfId="0" applyFill="1" applyBorder="1" applyAlignment="1">
      <alignment horizontal="center" vertical="center"/>
    </xf>
    <xf numFmtId="15" fontId="0" fillId="2" borderId="0" xfId="0" applyNumberFormat="1" applyFill="1" applyBorder="1" applyAlignment="1">
      <alignment horizontal="center" vertical="center"/>
    </xf>
    <xf numFmtId="15" fontId="0" fillId="2" borderId="6" xfId="0" applyNumberFormat="1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center" vertical="center"/>
    </xf>
    <xf numFmtId="4" fontId="0" fillId="2" borderId="6" xfId="0" applyNumberFormat="1" applyFill="1" applyBorder="1" applyAlignment="1">
      <alignment horizontal="center" vertical="center"/>
    </xf>
    <xf numFmtId="3" fontId="0" fillId="2" borderId="0" xfId="0" applyNumberFormat="1" applyFill="1" applyBorder="1" applyAlignment="1">
      <alignment horizontal="center" vertical="center"/>
    </xf>
    <xf numFmtId="4" fontId="0" fillId="2" borderId="0" xfId="0" applyNumberFormat="1" applyFill="1" applyBorder="1"/>
    <xf numFmtId="3" fontId="0" fillId="2" borderId="6" xfId="0" applyNumberForma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/>
    </xf>
    <xf numFmtId="4" fontId="0" fillId="4" borderId="0" xfId="0" applyNumberFormat="1" applyFill="1" applyBorder="1" applyAlignment="1">
      <alignment horizontal="center" vertical="center"/>
    </xf>
    <xf numFmtId="4" fontId="0" fillId="4" borderId="0" xfId="0" applyNumberFormat="1" applyFill="1" applyAlignment="1">
      <alignment horizontal="center" vertical="center"/>
    </xf>
    <xf numFmtId="4" fontId="0" fillId="11" borderId="0" xfId="0" applyNumberFormat="1" applyFill="1" applyAlignment="1">
      <alignment horizontal="center" vertical="center"/>
    </xf>
    <xf numFmtId="4" fontId="0" fillId="12" borderId="0" xfId="0" applyNumberFormat="1" applyFill="1" applyAlignment="1">
      <alignment horizontal="center" vertical="center"/>
    </xf>
    <xf numFmtId="4" fontId="7" fillId="12" borderId="0" xfId="0" applyNumberFormat="1" applyFont="1" applyFill="1" applyBorder="1" applyAlignment="1">
      <alignment horizontal="center" vertical="center"/>
    </xf>
    <xf numFmtId="4" fontId="0" fillId="12" borderId="0" xfId="0" applyNumberFormat="1" applyFill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4" fontId="0" fillId="11" borderId="0" xfId="0" applyNumberFormat="1" applyFill="1" applyAlignment="1">
      <alignment horizontal="center"/>
    </xf>
    <xf numFmtId="4" fontId="3" fillId="0" borderId="0" xfId="0" applyNumberFormat="1" applyFont="1" applyAlignment="1">
      <alignment horizontal="left" vertical="center"/>
    </xf>
    <xf numFmtId="15" fontId="0" fillId="12" borderId="0" xfId="0" applyNumberFormat="1" applyFill="1" applyBorder="1" applyAlignment="1">
      <alignment horizontal="center" vertical="center"/>
    </xf>
    <xf numFmtId="15" fontId="0" fillId="4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6" fillId="0" borderId="0" xfId="0" applyFont="1"/>
    <xf numFmtId="4" fontId="7" fillId="1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9" fillId="0" borderId="0" xfId="0" applyFont="1"/>
    <xf numFmtId="3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3" fontId="0" fillId="4" borderId="0" xfId="0" applyNumberFormat="1" applyFill="1"/>
    <xf numFmtId="0" fontId="7" fillId="0" borderId="0" xfId="0" applyFont="1" applyAlignment="1">
      <alignment vertical="center"/>
    </xf>
    <xf numFmtId="0" fontId="7" fillId="0" borderId="0" xfId="0" applyFont="1"/>
    <xf numFmtId="4" fontId="7" fillId="4" borderId="0" xfId="0" applyNumberFormat="1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center"/>
    </xf>
    <xf numFmtId="0" fontId="11" fillId="0" borderId="0" xfId="0" applyFont="1" applyAlignment="1">
      <alignment horizontal="left" vertical="center"/>
    </xf>
    <xf numFmtId="4" fontId="4" fillId="13" borderId="0" xfId="0" applyNumberFormat="1" applyFont="1" applyFill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11" fontId="0" fillId="0" borderId="0" xfId="0" applyNumberFormat="1"/>
    <xf numFmtId="4" fontId="0" fillId="7" borderId="0" xfId="0" applyNumberFormat="1" applyFill="1" applyAlignment="1">
      <alignment horizontal="center" vertical="center"/>
    </xf>
    <xf numFmtId="15" fontId="0" fillId="7" borderId="0" xfId="0" applyNumberFormat="1" applyFill="1" applyAlignment="1">
      <alignment horizontal="center" vertical="center"/>
    </xf>
    <xf numFmtId="11" fontId="0" fillId="7" borderId="0" xfId="0" applyNumberFormat="1" applyFill="1" applyAlignment="1">
      <alignment horizontal="center" vertical="center"/>
    </xf>
    <xf numFmtId="4" fontId="7" fillId="11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3" fontId="7" fillId="2" borderId="0" xfId="0" applyNumberFormat="1" applyFont="1" applyFill="1" applyAlignment="1">
      <alignment horizontal="center" vertical="center"/>
    </xf>
  </cellXfs>
  <cellStyles count="3">
    <cellStyle name="Comma [0] 5" xfId="2"/>
    <cellStyle name="Normal" xfId="0" builtinId="0"/>
    <cellStyle name="標準_Input_OutPut20060417" xfId="1"/>
  </cellStyles>
  <dxfs count="7"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  <dxf>
      <font>
        <color theme="4" tint="0.79998168889431442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FFCC"/>
      <color rgb="FF0000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ESKTOP\CurveCalibrationTool-13.0_WITH_JACOBIA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Curve Dependencies"/>
      <sheetName val="FX Forward Invariance"/>
      <sheetName val="Non-Standard CSA Curves"/>
      <sheetName val="MKT DATA USD"/>
      <sheetName val="USD OIS"/>
      <sheetName val="USD SWAP 3ML"/>
      <sheetName val="USD BASIS 6ML"/>
      <sheetName val="USD BASIS 1ML"/>
      <sheetName val="USD BASIS 12ML"/>
      <sheetName val="USD CSA CURVES"/>
      <sheetName val="USD FORWARDS"/>
      <sheetName val="USD DISC FACTORS"/>
      <sheetName val="USD SWAPS"/>
      <sheetName val="MKT DATA GBP"/>
      <sheetName val="GBP OIS"/>
      <sheetName val="GBP SWAP 3ML"/>
      <sheetName val="GBP BASIS 6ML"/>
      <sheetName val="GBP BASIS 1ML"/>
      <sheetName val="GBP BASIS 12ML"/>
      <sheetName val="GBP XCCY BASIS"/>
      <sheetName val="GBP CSA CURVES"/>
      <sheetName val="GBP FORWARDS"/>
      <sheetName val="GBP DISC FACTORS"/>
      <sheetName val="GBP SWAPS"/>
      <sheetName val="MKT DATA EUR"/>
      <sheetName val="EUR OIS"/>
      <sheetName val="EUR SWAP 3ML"/>
      <sheetName val="EUR SWAP 6ML"/>
      <sheetName val="EUR BASIS 1ML"/>
      <sheetName val="EUR BASIS 12ML"/>
      <sheetName val="EUR XCCY BASIS"/>
      <sheetName val="EUR CSA CURVES"/>
      <sheetName val="EUR FORWARDS"/>
      <sheetName val="EUR DISC FACTORS"/>
      <sheetName val="EUR SWAPS"/>
      <sheetName val="MKT DATA AUD"/>
      <sheetName val="AUD OIS"/>
      <sheetName val="AUD SWAP 3ML"/>
      <sheetName val="AUD SWAP 6ML"/>
      <sheetName val="AUD XCCY BASIS"/>
      <sheetName val="AUD CSA CURVES"/>
      <sheetName val="AUD FORWARDS"/>
      <sheetName val="AUD DISC FACTORS"/>
      <sheetName val="AUD SWAPS"/>
      <sheetName val="MKT DATA JPY"/>
      <sheetName val="JPY OIS JSCC"/>
      <sheetName val="JPY SWAP 6ML JSCC"/>
      <sheetName val="JPY BASIS 3ML JSCC"/>
      <sheetName val="JPY BASIS 1ML JSCC"/>
      <sheetName val="JPY FORWARDS JSCC"/>
      <sheetName val="JPY SWAPS JSCC"/>
      <sheetName val="JPY OIS LCH"/>
      <sheetName val="JPY SWAP 6ML LCH"/>
      <sheetName val="JPY BASIS 3ML LCH"/>
      <sheetName val="JPY BASIS 1ML LCH"/>
      <sheetName val="JPY XCCY BASIS LCH"/>
      <sheetName val="JPY CSA CURVES LCH"/>
      <sheetName val="JPY FORWARDS LCH"/>
      <sheetName val="JPY DISC FACTORS"/>
      <sheetName val="JPY SWAPS LCH"/>
      <sheetName val="JPY OIS TIBOR"/>
      <sheetName val="JPY BASIS 6ML TIBOR"/>
      <sheetName val="JPY BASIS 3ML TIBOR"/>
      <sheetName val="JPY BASIS 1ML TIBOR"/>
      <sheetName val="JPY FORWARDS TIBOR"/>
      <sheetName val="JPY SWAPS TIBOR"/>
    </sheetNames>
    <sheetDataSet>
      <sheetData sheetId="0">
        <row r="2">
          <cell r="O2">
            <v>0</v>
          </cell>
        </row>
        <row r="4">
          <cell r="C4">
            <v>43811</v>
          </cell>
          <cell r="E4" t="b">
            <v>0</v>
          </cell>
          <cell r="K4" t="b">
            <v>0</v>
          </cell>
          <cell r="M4" t="b">
            <v>0</v>
          </cell>
        </row>
      </sheetData>
      <sheetData sheetId="1"/>
      <sheetData sheetId="2"/>
      <sheetData sheetId="3"/>
      <sheetData sheetId="4"/>
      <sheetData sheetId="5"/>
      <sheetData sheetId="6">
        <row r="32">
          <cell r="U32" t="b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7"/>
  <sheetViews>
    <sheetView showGridLines="0" workbookViewId="0"/>
  </sheetViews>
  <sheetFormatPr defaultRowHeight="15" x14ac:dyDescent="0.25"/>
  <cols>
    <col min="3" max="3" width="27.140625" bestFit="1" customWidth="1"/>
    <col min="4" max="4" width="34.28515625" bestFit="1" customWidth="1"/>
    <col min="13" max="13" width="15.7109375" customWidth="1"/>
    <col min="16" max="16" width="15.7109375" customWidth="1"/>
  </cols>
  <sheetData>
    <row r="2" spans="2:17" x14ac:dyDescent="0.25">
      <c r="B2" s="1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 spans="2:17" x14ac:dyDescent="0.25">
      <c r="B3" s="6"/>
      <c r="C3" s="7" t="s">
        <v>0</v>
      </c>
      <c r="D3" s="8"/>
      <c r="E3" s="9" t="s">
        <v>1</v>
      </c>
      <c r="F3" s="10" t="s">
        <v>2</v>
      </c>
      <c r="G3" s="11"/>
      <c r="H3" s="11"/>
      <c r="I3" s="11"/>
      <c r="J3" s="11"/>
      <c r="K3" s="11"/>
      <c r="L3" s="10" t="s">
        <v>3</v>
      </c>
      <c r="M3" s="10"/>
      <c r="N3" s="11"/>
      <c r="O3" s="10" t="s">
        <v>4</v>
      </c>
      <c r="P3" s="11"/>
      <c r="Q3" s="12"/>
    </row>
    <row r="4" spans="2:17" x14ac:dyDescent="0.25">
      <c r="B4" s="6" t="s">
        <v>1</v>
      </c>
      <c r="C4" s="8"/>
      <c r="D4" s="8"/>
      <c r="E4" s="9" t="s">
        <v>1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9"/>
      <c r="L4" s="13" t="s">
        <v>5</v>
      </c>
      <c r="M4" s="13" t="s">
        <v>6</v>
      </c>
      <c r="N4" s="9"/>
      <c r="O4" s="13" t="s">
        <v>5</v>
      </c>
      <c r="P4" s="13" t="s">
        <v>6</v>
      </c>
      <c r="Q4" s="12"/>
    </row>
    <row r="5" spans="2:17" x14ac:dyDescent="0.25">
      <c r="B5" s="6"/>
      <c r="C5" s="14" t="s">
        <v>10</v>
      </c>
      <c r="D5" s="15" t="s">
        <v>11</v>
      </c>
      <c r="E5" s="9" t="s">
        <v>1</v>
      </c>
      <c r="F5" s="80" t="s">
        <v>89</v>
      </c>
      <c r="G5" s="150">
        <v>1.55E-2</v>
      </c>
      <c r="H5" s="151"/>
      <c r="I5" s="152"/>
      <c r="J5" s="16" t="b">
        <v>1</v>
      </c>
      <c r="K5" s="153"/>
      <c r="L5" s="80" t="s">
        <v>67</v>
      </c>
      <c r="M5" s="154">
        <v>2.5312500000000001E-3</v>
      </c>
      <c r="N5" s="153"/>
      <c r="O5" s="80" t="s">
        <v>67</v>
      </c>
      <c r="P5" s="154">
        <v>1.7243999999999999E-2</v>
      </c>
      <c r="Q5" s="12"/>
    </row>
    <row r="6" spans="2:17" x14ac:dyDescent="0.25">
      <c r="B6" s="6"/>
      <c r="C6" s="17" t="s">
        <v>12</v>
      </c>
      <c r="D6" s="18" t="s">
        <v>2</v>
      </c>
      <c r="E6" s="9" t="s">
        <v>1</v>
      </c>
      <c r="F6" s="88" t="s">
        <v>90</v>
      </c>
      <c r="G6" s="155">
        <v>1.541E-2</v>
      </c>
      <c r="H6" s="152"/>
      <c r="I6" s="152"/>
      <c r="J6" s="16" t="b">
        <v>1</v>
      </c>
      <c r="K6" s="153"/>
      <c r="L6" s="88" t="s">
        <v>91</v>
      </c>
      <c r="M6" s="156">
        <v>2.40625E-3</v>
      </c>
      <c r="N6" s="153"/>
      <c r="O6" s="88" t="s">
        <v>91</v>
      </c>
      <c r="P6" s="156">
        <v>1.6132999999999998E-2</v>
      </c>
      <c r="Q6" s="12"/>
    </row>
    <row r="7" spans="2:17" x14ac:dyDescent="0.25">
      <c r="B7" s="6"/>
      <c r="C7" s="17" t="s">
        <v>13</v>
      </c>
      <c r="D7" s="18" t="s">
        <v>14</v>
      </c>
      <c r="E7" s="9" t="s">
        <v>1</v>
      </c>
      <c r="F7" s="88" t="s">
        <v>92</v>
      </c>
      <c r="G7" s="155">
        <v>1.554E-2</v>
      </c>
      <c r="H7" s="152"/>
      <c r="I7" s="152"/>
      <c r="J7" s="16" t="b">
        <v>1</v>
      </c>
      <c r="K7" s="153"/>
      <c r="L7" s="88" t="s">
        <v>93</v>
      </c>
      <c r="M7" s="156">
        <v>2.3375000000000002E-3</v>
      </c>
      <c r="N7" s="153"/>
      <c r="O7" s="88" t="s">
        <v>93</v>
      </c>
      <c r="P7" s="156">
        <v>1.5848000000000001E-2</v>
      </c>
      <c r="Q7" s="12"/>
    </row>
    <row r="8" spans="2:17" x14ac:dyDescent="0.25">
      <c r="B8" s="6"/>
      <c r="C8" s="19" t="s">
        <v>15</v>
      </c>
      <c r="D8" s="20">
        <v>43812</v>
      </c>
      <c r="E8" s="9" t="s">
        <v>1</v>
      </c>
      <c r="F8" s="88" t="s">
        <v>94</v>
      </c>
      <c r="G8" s="155">
        <v>1.567E-2</v>
      </c>
      <c r="H8" s="152"/>
      <c r="I8" s="152"/>
      <c r="J8" s="16" t="b">
        <v>1</v>
      </c>
      <c r="K8" s="153"/>
      <c r="L8" s="88" t="s">
        <v>95</v>
      </c>
      <c r="M8" s="156">
        <v>2.2875E-3</v>
      </c>
      <c r="N8" s="153"/>
      <c r="O8" s="88" t="s">
        <v>95</v>
      </c>
      <c r="P8" s="156">
        <v>1.584E-2</v>
      </c>
      <c r="Q8" s="12"/>
    </row>
    <row r="9" spans="2:17" x14ac:dyDescent="0.25">
      <c r="B9" s="6"/>
      <c r="C9" s="8"/>
      <c r="D9" s="8"/>
      <c r="E9" s="9" t="s">
        <v>1</v>
      </c>
      <c r="F9" s="88" t="s">
        <v>96</v>
      </c>
      <c r="G9" s="155">
        <v>1.5629999999999998E-2</v>
      </c>
      <c r="H9" s="152"/>
      <c r="I9" s="152"/>
      <c r="J9" s="16" t="b">
        <v>1</v>
      </c>
      <c r="K9" s="153"/>
      <c r="L9" s="88" t="s">
        <v>97</v>
      </c>
      <c r="M9" s="156">
        <v>2.2750000000000001E-3</v>
      </c>
      <c r="N9" s="153"/>
      <c r="O9" s="88" t="s">
        <v>97</v>
      </c>
      <c r="P9" s="156">
        <v>1.5963999999999999E-2</v>
      </c>
      <c r="Q9" s="12"/>
    </row>
    <row r="10" spans="2:17" x14ac:dyDescent="0.25">
      <c r="B10" s="6"/>
      <c r="C10" s="9"/>
      <c r="D10" s="9"/>
      <c r="E10" s="9" t="s">
        <v>1</v>
      </c>
      <c r="F10" s="88" t="s">
        <v>98</v>
      </c>
      <c r="G10" s="155">
        <v>1.5569999999999999E-2</v>
      </c>
      <c r="H10" s="152"/>
      <c r="I10" s="152"/>
      <c r="J10" s="16" t="b">
        <v>1</v>
      </c>
      <c r="K10" s="153"/>
      <c r="L10" s="88" t="s">
        <v>99</v>
      </c>
      <c r="M10" s="156">
        <v>2.2437500000000001E-3</v>
      </c>
      <c r="N10" s="153"/>
      <c r="O10" s="88" t="s">
        <v>99</v>
      </c>
      <c r="P10" s="156">
        <v>1.6361000000000001E-2</v>
      </c>
      <c r="Q10" s="12"/>
    </row>
    <row r="11" spans="2:17" x14ac:dyDescent="0.25">
      <c r="B11" s="6"/>
      <c r="C11" s="21" t="s">
        <v>16</v>
      </c>
      <c r="D11" s="8"/>
      <c r="E11" s="9" t="s">
        <v>1</v>
      </c>
      <c r="F11" s="88" t="s">
        <v>100</v>
      </c>
      <c r="G11" s="155">
        <v>1.5547999999999999E-2</v>
      </c>
      <c r="H11" s="152"/>
      <c r="I11" s="152"/>
      <c r="J11" s="16" t="b">
        <v>1</v>
      </c>
      <c r="K11" s="153"/>
      <c r="L11" s="88" t="s">
        <v>101</v>
      </c>
      <c r="M11" s="156">
        <v>2.225E-3</v>
      </c>
      <c r="N11" s="153"/>
      <c r="O11" s="88" t="s">
        <v>101</v>
      </c>
      <c r="P11" s="156">
        <v>1.7186E-2</v>
      </c>
      <c r="Q11" s="12"/>
    </row>
    <row r="12" spans="2:17" x14ac:dyDescent="0.25">
      <c r="B12" s="6"/>
      <c r="C12" s="22" t="s">
        <v>17</v>
      </c>
      <c r="D12" s="23" t="s">
        <v>18</v>
      </c>
      <c r="E12" s="9" t="s">
        <v>1</v>
      </c>
      <c r="F12" s="88" t="s">
        <v>102</v>
      </c>
      <c r="G12" s="155">
        <v>1.5442000000000001E-2</v>
      </c>
      <c r="H12" s="152"/>
      <c r="I12" s="152"/>
      <c r="J12" s="16" t="b">
        <v>1</v>
      </c>
      <c r="K12" s="153"/>
      <c r="L12" s="88" t="s">
        <v>103</v>
      </c>
      <c r="M12" s="156">
        <v>2.2129999999999997E-3</v>
      </c>
      <c r="N12" s="153"/>
      <c r="O12" s="88" t="s">
        <v>103</v>
      </c>
      <c r="P12" s="156">
        <v>1.7693E-2</v>
      </c>
      <c r="Q12" s="12"/>
    </row>
    <row r="13" spans="2:17" x14ac:dyDescent="0.25">
      <c r="B13" s="6"/>
      <c r="C13" s="24" t="s">
        <v>19</v>
      </c>
      <c r="D13" s="25" t="str">
        <f ca="1">_xll.meLWOCurveMarketDataCreate(D12,C3,C5:D8,F3,F5:J26,L3,L5:M26,O3,O5:P26)</f>
        <v>USD_OIS_CURVE_MARKETDATA@2:0</v>
      </c>
      <c r="E13" s="9" t="s">
        <v>1</v>
      </c>
      <c r="F13" s="88" t="s">
        <v>104</v>
      </c>
      <c r="G13" s="155">
        <v>1.5325E-2</v>
      </c>
      <c r="H13" s="152"/>
      <c r="I13" s="152"/>
      <c r="J13" s="16" t="b">
        <v>1</v>
      </c>
      <c r="K13" s="153"/>
      <c r="L13" s="88" t="s">
        <v>105</v>
      </c>
      <c r="M13" s="156">
        <v>2.225E-3</v>
      </c>
      <c r="N13" s="153"/>
      <c r="O13" s="88" t="s">
        <v>105</v>
      </c>
      <c r="P13" s="156">
        <v>1.8255999999999998E-2</v>
      </c>
      <c r="Q13" s="12"/>
    </row>
    <row r="14" spans="2:17" x14ac:dyDescent="0.25">
      <c r="B14" s="6"/>
      <c r="C14" s="9"/>
      <c r="D14" s="9"/>
      <c r="E14" s="9" t="s">
        <v>1</v>
      </c>
      <c r="F14" s="88" t="s">
        <v>106</v>
      </c>
      <c r="G14" s="155">
        <v>1.5224999999999999E-2</v>
      </c>
      <c r="H14" s="152"/>
      <c r="I14" s="152"/>
      <c r="J14" s="16" t="b">
        <v>1</v>
      </c>
      <c r="K14" s="153"/>
      <c r="L14" s="88" t="s">
        <v>107</v>
      </c>
      <c r="M14" s="156">
        <v>2.2125000000000001E-3</v>
      </c>
      <c r="N14" s="153"/>
      <c r="O14" s="88" t="s">
        <v>107</v>
      </c>
      <c r="P14" s="156">
        <v>1.8835000000000001E-2</v>
      </c>
      <c r="Q14" s="12"/>
    </row>
    <row r="15" spans="2:17" x14ac:dyDescent="0.25">
      <c r="B15" s="6"/>
      <c r="C15" s="9"/>
      <c r="D15" s="9"/>
      <c r="E15" s="9" t="s">
        <v>1</v>
      </c>
      <c r="F15" s="88" t="s">
        <v>108</v>
      </c>
      <c r="G15" s="155">
        <v>1.4888999999999999E-2</v>
      </c>
      <c r="H15" s="152"/>
      <c r="I15" s="152"/>
      <c r="J15" s="16" t="b">
        <v>1</v>
      </c>
      <c r="K15" s="153"/>
      <c r="L15" s="88" t="s">
        <v>109</v>
      </c>
      <c r="M15" s="156">
        <v>2.2187499999999998E-3</v>
      </c>
      <c r="N15" s="153"/>
      <c r="O15" s="88" t="s">
        <v>109</v>
      </c>
      <c r="P15" s="156">
        <v>1.9030999999999999E-2</v>
      </c>
      <c r="Q15" s="12"/>
    </row>
    <row r="16" spans="2:17" x14ac:dyDescent="0.25">
      <c r="B16" s="6"/>
      <c r="C16" s="31" t="s">
        <v>20</v>
      </c>
      <c r="D16" s="8"/>
      <c r="E16" s="9" t="s">
        <v>1</v>
      </c>
      <c r="F16" s="88" t="s">
        <v>67</v>
      </c>
      <c r="G16" s="155">
        <v>1.4496E-2</v>
      </c>
      <c r="H16" s="152"/>
      <c r="I16" s="152"/>
      <c r="J16" s="16" t="b">
        <v>1</v>
      </c>
      <c r="K16" s="153"/>
      <c r="L16" s="88" t="s">
        <v>110</v>
      </c>
      <c r="M16" s="156">
        <v>2.225E-3</v>
      </c>
      <c r="N16" s="153"/>
      <c r="O16" s="88" t="s">
        <v>110</v>
      </c>
      <c r="P16" s="156">
        <v>1.9067000000000001E-2</v>
      </c>
      <c r="Q16" s="12"/>
    </row>
    <row r="17" spans="2:17" x14ac:dyDescent="0.25">
      <c r="B17" s="6"/>
      <c r="C17" s="32" t="s">
        <v>17</v>
      </c>
      <c r="D17" s="33" t="s">
        <v>21</v>
      </c>
      <c r="E17" s="9" t="s">
        <v>1</v>
      </c>
      <c r="F17" s="88" t="s">
        <v>91</v>
      </c>
      <c r="G17" s="155">
        <v>1.3540000000000002E-2</v>
      </c>
      <c r="H17" s="152"/>
      <c r="I17" s="152"/>
      <c r="J17" s="16" t="b">
        <v>1</v>
      </c>
      <c r="K17" s="153"/>
      <c r="L17" s="27"/>
      <c r="M17" s="28"/>
      <c r="N17" s="29"/>
      <c r="O17" s="27"/>
      <c r="P17" s="28"/>
      <c r="Q17" s="30"/>
    </row>
    <row r="18" spans="2:17" x14ac:dyDescent="0.25">
      <c r="B18" s="6"/>
      <c r="C18" s="34" t="s">
        <v>22</v>
      </c>
      <c r="D18" s="35" t="str">
        <f ca="1">C31</f>
        <v>USD_OIS_WITH_RISK@1:0</v>
      </c>
      <c r="E18" s="9" t="s">
        <v>1</v>
      </c>
      <c r="F18" s="88" t="s">
        <v>93</v>
      </c>
      <c r="G18" s="155">
        <v>1.3340000000000001E-2</v>
      </c>
      <c r="H18" s="152"/>
      <c r="I18" s="152"/>
      <c r="J18" s="16" t="b">
        <v>1</v>
      </c>
      <c r="K18" s="153"/>
      <c r="L18" s="27"/>
      <c r="M18" s="28"/>
      <c r="N18" s="29"/>
      <c r="O18" s="27"/>
      <c r="P18" s="28"/>
      <c r="Q18" s="30"/>
    </row>
    <row r="19" spans="2:17" x14ac:dyDescent="0.25">
      <c r="B19" s="6"/>
      <c r="C19" s="34" t="s">
        <v>23</v>
      </c>
      <c r="D19" s="35" t="s">
        <v>24</v>
      </c>
      <c r="E19" s="9" t="s">
        <v>1</v>
      </c>
      <c r="F19" s="88" t="s">
        <v>95</v>
      </c>
      <c r="G19" s="155">
        <v>1.337E-2</v>
      </c>
      <c r="H19" s="152"/>
      <c r="I19" s="152"/>
      <c r="J19" s="16" t="b">
        <v>1</v>
      </c>
      <c r="K19" s="153"/>
      <c r="L19" s="88"/>
      <c r="M19" s="156"/>
      <c r="N19" s="153"/>
      <c r="O19" s="88"/>
      <c r="P19" s="156"/>
      <c r="Q19" s="12"/>
    </row>
    <row r="20" spans="2:17" x14ac:dyDescent="0.25">
      <c r="B20" s="6"/>
      <c r="C20" s="36" t="s">
        <v>25</v>
      </c>
      <c r="D20" s="37"/>
      <c r="E20" s="9" t="s">
        <v>1</v>
      </c>
      <c r="F20" s="88" t="s">
        <v>97</v>
      </c>
      <c r="G20" s="155">
        <v>1.353E-2</v>
      </c>
      <c r="H20" s="152"/>
      <c r="I20" s="152"/>
      <c r="J20" s="16" t="b">
        <v>1</v>
      </c>
      <c r="K20" s="153"/>
      <c r="L20" s="88"/>
      <c r="M20" s="156"/>
      <c r="N20" s="153"/>
      <c r="O20" s="88"/>
      <c r="P20" s="156"/>
      <c r="Q20" s="12"/>
    </row>
    <row r="21" spans="2:17" x14ac:dyDescent="0.25">
      <c r="B21" s="6"/>
      <c r="C21" s="9"/>
      <c r="D21" s="9"/>
      <c r="E21" s="9" t="s">
        <v>1</v>
      </c>
      <c r="F21" s="88"/>
      <c r="G21" s="155"/>
      <c r="H21" s="152"/>
      <c r="I21" s="152"/>
      <c r="J21" s="16"/>
      <c r="K21" s="153"/>
      <c r="L21" s="88"/>
      <c r="M21" s="156"/>
      <c r="N21" s="153"/>
      <c r="O21" s="88"/>
      <c r="P21" s="156"/>
      <c r="Q21" s="12"/>
    </row>
    <row r="22" spans="2:17" x14ac:dyDescent="0.25">
      <c r="B22" s="6"/>
      <c r="C22" s="31" t="s">
        <v>26</v>
      </c>
      <c r="D22" s="9"/>
      <c r="E22" s="9" t="s">
        <v>1</v>
      </c>
      <c r="F22" s="88"/>
      <c r="G22" s="155"/>
      <c r="H22" s="152"/>
      <c r="I22" s="152"/>
      <c r="J22" s="16"/>
      <c r="K22" s="153"/>
      <c r="L22" s="88"/>
      <c r="M22" s="156"/>
      <c r="N22" s="153"/>
      <c r="O22" s="88"/>
      <c r="P22" s="156"/>
      <c r="Q22" s="12"/>
    </row>
    <row r="23" spans="2:17" x14ac:dyDescent="0.25">
      <c r="B23" s="6"/>
      <c r="C23" s="38" t="s">
        <v>17</v>
      </c>
      <c r="D23" s="39" t="str">
        <f t="array" aca="1" ref="D23:D26" ca="1">_xll.meLWOCurveCalibrate(D17,D18,D13,D19,D20)</f>
        <v>USD_OIS_CURVE@3:0</v>
      </c>
      <c r="E23" s="9" t="s">
        <v>1</v>
      </c>
      <c r="F23" s="88"/>
      <c r="G23" s="155"/>
      <c r="H23" s="152"/>
      <c r="I23" s="152"/>
      <c r="J23" s="16"/>
      <c r="K23" s="153"/>
      <c r="L23" s="88"/>
      <c r="M23" s="156"/>
      <c r="N23" s="153"/>
      <c r="O23" s="88"/>
      <c r="P23" s="156"/>
      <c r="Q23" s="12"/>
    </row>
    <row r="24" spans="2:17" x14ac:dyDescent="0.25">
      <c r="B24" s="6"/>
      <c r="C24" s="42" t="s">
        <v>27</v>
      </c>
      <c r="D24" s="40" t="str">
        <f ca="1"/>
        <v>USDYC</v>
      </c>
      <c r="E24" s="9" t="s">
        <v>1</v>
      </c>
      <c r="F24" s="88"/>
      <c r="G24" s="155"/>
      <c r="H24" s="152"/>
      <c r="I24" s="152"/>
      <c r="J24" s="16"/>
      <c r="K24" s="153"/>
      <c r="L24" s="88"/>
      <c r="M24" s="156"/>
      <c r="N24" s="153"/>
      <c r="O24" s="88"/>
      <c r="P24" s="156"/>
      <c r="Q24" s="12"/>
    </row>
    <row r="25" spans="2:17" x14ac:dyDescent="0.25">
      <c r="B25" s="6"/>
      <c r="C25" s="42" t="s">
        <v>28</v>
      </c>
      <c r="D25" s="40" t="str">
        <f ca="1"/>
        <v>OIS:USDOIS</v>
      </c>
      <c r="E25" s="9" t="s">
        <v>1</v>
      </c>
      <c r="F25" s="88"/>
      <c r="G25" s="155"/>
      <c r="H25" s="152"/>
      <c r="I25" s="152"/>
      <c r="J25" s="43"/>
      <c r="K25" s="153"/>
      <c r="L25" s="88"/>
      <c r="M25" s="156"/>
      <c r="N25" s="153"/>
      <c r="O25" s="88"/>
      <c r="P25" s="156"/>
      <c r="Q25" s="12"/>
    </row>
    <row r="26" spans="2:17" x14ac:dyDescent="0.25">
      <c r="B26" s="6"/>
      <c r="C26" s="44" t="s">
        <v>29</v>
      </c>
      <c r="D26" s="41" t="str">
        <f ca="1"/>
        <v>0.77000 sec</v>
      </c>
      <c r="E26" s="9" t="s">
        <v>1</v>
      </c>
      <c r="F26" s="157"/>
      <c r="G26" s="158"/>
      <c r="H26" s="159"/>
      <c r="I26" s="159"/>
      <c r="J26" s="45"/>
      <c r="K26" s="153"/>
      <c r="L26" s="157"/>
      <c r="M26" s="103"/>
      <c r="N26" s="153"/>
      <c r="O26" s="157"/>
      <c r="P26" s="103"/>
      <c r="Q26" s="12"/>
    </row>
    <row r="27" spans="2:17" x14ac:dyDescent="0.25">
      <c r="B27" s="6"/>
      <c r="C27" s="46" t="s">
        <v>30</v>
      </c>
      <c r="D27" s="47" t="b">
        <f ca="1">_xll.meLWOExists(D23,"CURVE")</f>
        <v>1</v>
      </c>
      <c r="E27" s="9" t="s">
        <v>1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2"/>
    </row>
    <row r="28" spans="2:17" x14ac:dyDescent="0.25">
      <c r="B28" s="6"/>
      <c r="C28" s="9"/>
      <c r="D28" s="9"/>
      <c r="E28" s="9" t="s">
        <v>1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2"/>
    </row>
    <row r="29" spans="2:17" x14ac:dyDescent="0.25">
      <c r="B29" s="6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2"/>
    </row>
    <row r="30" spans="2:17" x14ac:dyDescent="0.25">
      <c r="B30" s="6"/>
      <c r="C30" s="31" t="s">
        <v>111</v>
      </c>
      <c r="D30" s="124" t="s">
        <v>39</v>
      </c>
      <c r="E30" s="9"/>
      <c r="F30" s="31" t="s">
        <v>274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12"/>
    </row>
    <row r="31" spans="2:17" x14ac:dyDescent="0.25">
      <c r="B31" s="6"/>
      <c r="C31" s="67" t="str">
        <f ca="1">_xll.meLWOCurveGeneratorCreate("USD_OIS_WITH_RISK",C33,C34:D44,C46,C47:D63,C65,C66:D69,C71,C72:D75)</f>
        <v>USD_OIS_WITH_RISK@1:0</v>
      </c>
      <c r="D31" s="125" t="s">
        <v>314</v>
      </c>
      <c r="E31" s="9"/>
      <c r="F31" s="26" t="s">
        <v>275</v>
      </c>
      <c r="G31" s="26"/>
      <c r="H31" s="26"/>
      <c r="I31" s="26"/>
      <c r="J31" s="26"/>
      <c r="K31" s="9"/>
      <c r="L31" s="9"/>
      <c r="M31" s="9"/>
      <c r="N31" s="9"/>
      <c r="O31" s="9"/>
      <c r="P31" s="9"/>
      <c r="Q31" s="12"/>
    </row>
    <row r="32" spans="2:17" x14ac:dyDescent="0.25">
      <c r="B32" s="6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2"/>
    </row>
    <row r="33" spans="2:17" x14ac:dyDescent="0.25">
      <c r="B33" s="6"/>
      <c r="C33" s="7" t="s">
        <v>31</v>
      </c>
      <c r="D33" s="9" t="s">
        <v>32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2"/>
    </row>
    <row r="34" spans="2:17" x14ac:dyDescent="0.25">
      <c r="B34" s="6"/>
      <c r="C34" s="23" t="s">
        <v>12</v>
      </c>
      <c r="D34" s="48" t="s">
        <v>2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2"/>
    </row>
    <row r="35" spans="2:17" x14ac:dyDescent="0.25">
      <c r="B35" s="6"/>
      <c r="C35" s="49" t="s">
        <v>13</v>
      </c>
      <c r="D35" s="50" t="s">
        <v>14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2"/>
    </row>
    <row r="36" spans="2:17" x14ac:dyDescent="0.25">
      <c r="B36" s="6"/>
      <c r="C36" s="49" t="s">
        <v>33</v>
      </c>
      <c r="D36" s="50" t="s">
        <v>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2"/>
    </row>
    <row r="37" spans="2:17" x14ac:dyDescent="0.25">
      <c r="B37" s="6"/>
      <c r="C37" s="49" t="s">
        <v>34</v>
      </c>
      <c r="D37" s="50" t="s">
        <v>35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2"/>
    </row>
    <row r="38" spans="2:17" x14ac:dyDescent="0.25">
      <c r="B38" s="6"/>
      <c r="C38" s="49" t="s">
        <v>10</v>
      </c>
      <c r="D38" s="50" t="s">
        <v>11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2"/>
    </row>
    <row r="39" spans="2:17" x14ac:dyDescent="0.25">
      <c r="B39" s="6"/>
      <c r="C39" s="49" t="s">
        <v>36</v>
      </c>
      <c r="D39" s="50" t="s">
        <v>37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2"/>
    </row>
    <row r="40" spans="2:17" x14ac:dyDescent="0.25">
      <c r="B40" s="6"/>
      <c r="C40" s="49" t="s">
        <v>38</v>
      </c>
      <c r="D40" s="50" t="s">
        <v>37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2"/>
    </row>
    <row r="41" spans="2:17" x14ac:dyDescent="0.25">
      <c r="B41" s="6"/>
      <c r="C41" s="49" t="s">
        <v>39</v>
      </c>
      <c r="D41" s="68" t="str">
        <f ca="1">D31</f>
        <v>ONCE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2"/>
    </row>
    <row r="42" spans="2:17" x14ac:dyDescent="0.25">
      <c r="B42" s="6"/>
      <c r="C42" s="49" t="s">
        <v>40</v>
      </c>
      <c r="D42" s="63" t="s">
        <v>41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2"/>
    </row>
    <row r="43" spans="2:17" x14ac:dyDescent="0.25">
      <c r="B43" s="6"/>
      <c r="C43" s="49" t="s">
        <v>42</v>
      </c>
      <c r="D43" s="64">
        <v>1E-4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2"/>
    </row>
    <row r="44" spans="2:17" x14ac:dyDescent="0.25">
      <c r="B44" s="6"/>
      <c r="C44" s="57" t="s">
        <v>43</v>
      </c>
      <c r="D44" s="65">
        <v>1E-4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2"/>
    </row>
    <row r="45" spans="2:17" x14ac:dyDescent="0.25">
      <c r="B45" s="6"/>
      <c r="C45" s="9" t="s">
        <v>32</v>
      </c>
      <c r="D45" s="9" t="s">
        <v>32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2"/>
    </row>
    <row r="46" spans="2:17" x14ac:dyDescent="0.25">
      <c r="B46" s="6"/>
      <c r="C46" s="31" t="s">
        <v>2</v>
      </c>
      <c r="D46" s="9" t="s">
        <v>32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2"/>
    </row>
    <row r="47" spans="2:17" x14ac:dyDescent="0.25">
      <c r="B47" s="6"/>
      <c r="C47" s="23" t="s">
        <v>44</v>
      </c>
      <c r="D47" s="23" t="s">
        <v>45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2"/>
    </row>
    <row r="48" spans="2:17" x14ac:dyDescent="0.25">
      <c r="B48" s="6"/>
      <c r="C48" s="49" t="s">
        <v>46</v>
      </c>
      <c r="D48" s="49" t="s">
        <v>47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2"/>
    </row>
    <row r="49" spans="2:17" x14ac:dyDescent="0.25">
      <c r="B49" s="6"/>
      <c r="C49" s="49" t="s">
        <v>48</v>
      </c>
      <c r="D49" s="49" t="s">
        <v>49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2"/>
    </row>
    <row r="50" spans="2:17" x14ac:dyDescent="0.25">
      <c r="B50" s="6"/>
      <c r="C50" s="49" t="s">
        <v>50</v>
      </c>
      <c r="D50" s="49" t="s">
        <v>51</v>
      </c>
      <c r="E50" s="9"/>
      <c r="F50" s="9"/>
      <c r="G50" s="9"/>
      <c r="H50" s="9"/>
      <c r="I50" s="9"/>
      <c r="J50" s="9"/>
      <c r="K50" s="11"/>
      <c r="L50" s="9"/>
      <c r="M50" s="9"/>
      <c r="N50" s="11"/>
      <c r="O50" s="9"/>
      <c r="P50" s="9"/>
      <c r="Q50" s="12"/>
    </row>
    <row r="51" spans="2:17" x14ac:dyDescent="0.25">
      <c r="B51" s="6"/>
      <c r="C51" s="49" t="s">
        <v>52</v>
      </c>
      <c r="D51" s="49" t="s">
        <v>53</v>
      </c>
      <c r="E51" s="9"/>
      <c r="F51" s="9"/>
      <c r="G51" s="9"/>
      <c r="H51" s="9"/>
      <c r="I51" s="9"/>
      <c r="J51" s="9"/>
      <c r="K51" s="11"/>
      <c r="L51" s="9"/>
      <c r="M51" s="9"/>
      <c r="N51" s="11"/>
      <c r="O51" s="9"/>
      <c r="P51" s="9"/>
      <c r="Q51" s="12"/>
    </row>
    <row r="52" spans="2:17" x14ac:dyDescent="0.25">
      <c r="B52" s="6"/>
      <c r="C52" s="49" t="s">
        <v>54</v>
      </c>
      <c r="D52" s="49" t="s">
        <v>55</v>
      </c>
      <c r="E52" s="9"/>
      <c r="F52" s="9"/>
      <c r="G52" s="9"/>
      <c r="H52" s="9"/>
      <c r="I52" s="9"/>
      <c r="J52" s="9"/>
      <c r="K52" s="11"/>
      <c r="L52" s="9"/>
      <c r="M52" s="9"/>
      <c r="N52" s="11"/>
      <c r="O52" s="9"/>
      <c r="P52" s="9"/>
      <c r="Q52" s="12"/>
    </row>
    <row r="53" spans="2:17" x14ac:dyDescent="0.25">
      <c r="B53" s="6"/>
      <c r="C53" s="49" t="s">
        <v>56</v>
      </c>
      <c r="D53" s="49" t="s">
        <v>57</v>
      </c>
      <c r="E53" s="9"/>
      <c r="F53" s="9"/>
      <c r="G53" s="9"/>
      <c r="H53" s="9"/>
      <c r="I53" s="9"/>
      <c r="J53" s="9"/>
      <c r="K53" s="11"/>
      <c r="L53" s="9"/>
      <c r="M53" s="9"/>
      <c r="N53" s="11"/>
      <c r="O53" s="9"/>
      <c r="P53" s="9"/>
      <c r="Q53" s="12"/>
    </row>
    <row r="54" spans="2:17" x14ac:dyDescent="0.25">
      <c r="B54" s="6"/>
      <c r="C54" s="49" t="s">
        <v>58</v>
      </c>
      <c r="D54" s="49" t="s">
        <v>59</v>
      </c>
      <c r="E54" s="9"/>
      <c r="F54" s="9"/>
      <c r="G54" s="9"/>
      <c r="H54" s="9"/>
      <c r="I54" s="9"/>
      <c r="J54" s="9"/>
      <c r="K54" s="11"/>
      <c r="L54" s="9"/>
      <c r="M54" s="9"/>
      <c r="N54" s="11"/>
      <c r="O54" s="9"/>
      <c r="P54" s="9"/>
      <c r="Q54" s="12"/>
    </row>
    <row r="55" spans="2:17" x14ac:dyDescent="0.25">
      <c r="B55" s="6"/>
      <c r="C55" s="49" t="s">
        <v>60</v>
      </c>
      <c r="D55" s="49" t="s">
        <v>61</v>
      </c>
      <c r="E55" s="9"/>
      <c r="F55" s="9"/>
      <c r="G55" s="9"/>
      <c r="H55" s="9"/>
      <c r="I55" s="9"/>
      <c r="J55" s="9"/>
      <c r="K55" s="11"/>
      <c r="L55" s="9"/>
      <c r="M55" s="9"/>
      <c r="N55" s="11"/>
      <c r="O55" s="9"/>
      <c r="P55" s="9"/>
      <c r="Q55" s="12"/>
    </row>
    <row r="56" spans="2:17" x14ac:dyDescent="0.25">
      <c r="B56" s="6"/>
      <c r="C56" s="18" t="s">
        <v>62</v>
      </c>
      <c r="D56" s="18" t="s">
        <v>63</v>
      </c>
      <c r="E56" s="9"/>
      <c r="F56" s="9"/>
      <c r="G56" s="9"/>
      <c r="H56" s="9"/>
      <c r="I56" s="9"/>
      <c r="J56" s="9"/>
      <c r="K56" s="11"/>
      <c r="L56" s="9"/>
      <c r="M56" s="9"/>
      <c r="N56" s="11"/>
      <c r="O56" s="9"/>
      <c r="P56" s="9"/>
      <c r="Q56" s="12"/>
    </row>
    <row r="57" spans="2:17" x14ac:dyDescent="0.25">
      <c r="B57" s="6"/>
      <c r="C57" s="18" t="s">
        <v>64</v>
      </c>
      <c r="D57" s="18" t="s">
        <v>65</v>
      </c>
      <c r="E57" s="9"/>
      <c r="F57" s="9"/>
      <c r="G57" s="9"/>
      <c r="H57" s="9"/>
      <c r="I57" s="9"/>
      <c r="J57" s="9"/>
      <c r="K57" s="11"/>
      <c r="L57" s="9"/>
      <c r="M57" s="9"/>
      <c r="N57" s="11"/>
      <c r="O57" s="9"/>
      <c r="P57" s="9"/>
      <c r="Q57" s="12"/>
    </row>
    <row r="58" spans="2:17" x14ac:dyDescent="0.25">
      <c r="B58" s="6"/>
      <c r="C58" s="18" t="s">
        <v>66</v>
      </c>
      <c r="D58" s="18" t="s">
        <v>67</v>
      </c>
      <c r="E58" s="9"/>
      <c r="F58" s="9"/>
      <c r="G58" s="9"/>
      <c r="H58" s="9"/>
      <c r="I58" s="9"/>
      <c r="J58" s="9"/>
      <c r="K58" s="11"/>
      <c r="L58" s="9"/>
      <c r="M58" s="9"/>
      <c r="N58" s="11"/>
      <c r="O58" s="9"/>
      <c r="P58" s="9"/>
      <c r="Q58" s="12"/>
    </row>
    <row r="59" spans="2:17" x14ac:dyDescent="0.25">
      <c r="B59" s="6"/>
      <c r="C59" s="18" t="s">
        <v>68</v>
      </c>
      <c r="D59" s="18" t="s">
        <v>69</v>
      </c>
      <c r="E59" s="9"/>
      <c r="F59" s="9"/>
      <c r="G59" s="9"/>
      <c r="H59" s="9"/>
      <c r="I59" s="9"/>
      <c r="J59" s="9"/>
      <c r="K59" s="11"/>
      <c r="L59" s="9"/>
      <c r="M59" s="9"/>
      <c r="N59" s="11"/>
      <c r="O59" s="9"/>
      <c r="P59" s="9"/>
      <c r="Q59" s="12"/>
    </row>
    <row r="60" spans="2:17" x14ac:dyDescent="0.25">
      <c r="B60" s="6"/>
      <c r="C60" s="18" t="s">
        <v>70</v>
      </c>
      <c r="D60" s="18" t="s">
        <v>71</v>
      </c>
      <c r="E60" s="9"/>
      <c r="F60" s="9"/>
      <c r="G60" s="9"/>
      <c r="H60" s="9"/>
      <c r="I60" s="9"/>
      <c r="J60" s="9"/>
      <c r="K60" s="11"/>
      <c r="L60" s="9"/>
      <c r="M60" s="9"/>
      <c r="N60" s="11"/>
      <c r="O60" s="9"/>
      <c r="P60" s="9"/>
      <c r="Q60" s="12"/>
    </row>
    <row r="61" spans="2:17" x14ac:dyDescent="0.25">
      <c r="B61" s="6"/>
      <c r="C61" s="18" t="s">
        <v>72</v>
      </c>
      <c r="D61" s="18" t="s">
        <v>73</v>
      </c>
      <c r="E61" s="9"/>
      <c r="F61" s="9"/>
      <c r="G61" s="9"/>
      <c r="H61" s="9"/>
      <c r="I61" s="9"/>
      <c r="J61" s="9"/>
      <c r="K61" s="11"/>
      <c r="L61" s="9"/>
      <c r="M61" s="9"/>
      <c r="N61" s="11"/>
      <c r="O61" s="9"/>
      <c r="P61" s="9"/>
      <c r="Q61" s="12"/>
    </row>
    <row r="62" spans="2:17" x14ac:dyDescent="0.25">
      <c r="B62" s="6"/>
      <c r="C62" s="18" t="s">
        <v>74</v>
      </c>
      <c r="D62" s="18" t="s">
        <v>75</v>
      </c>
      <c r="E62" s="9"/>
      <c r="F62" s="9"/>
      <c r="G62" s="9"/>
      <c r="H62" s="9"/>
      <c r="I62" s="9"/>
      <c r="J62" s="9"/>
      <c r="K62" s="11"/>
      <c r="L62" s="9"/>
      <c r="M62" s="9"/>
      <c r="N62" s="11"/>
      <c r="O62" s="9"/>
      <c r="P62" s="9"/>
      <c r="Q62" s="12"/>
    </row>
    <row r="63" spans="2:17" x14ac:dyDescent="0.25">
      <c r="B63" s="6"/>
      <c r="C63" s="62" t="s">
        <v>76</v>
      </c>
      <c r="D63" s="62" t="s">
        <v>77</v>
      </c>
      <c r="E63" s="9"/>
      <c r="F63" s="9"/>
      <c r="G63" s="9"/>
      <c r="H63" s="9"/>
      <c r="I63" s="9"/>
      <c r="J63" s="9"/>
      <c r="K63" s="11"/>
      <c r="L63" s="9"/>
      <c r="M63" s="9"/>
      <c r="N63" s="11"/>
      <c r="O63" s="9"/>
      <c r="P63" s="9"/>
      <c r="Q63" s="12"/>
    </row>
    <row r="64" spans="2:17" x14ac:dyDescent="0.25">
      <c r="B64" s="6"/>
      <c r="C64" s="60" t="s">
        <v>32</v>
      </c>
      <c r="D64" s="60" t="s">
        <v>32</v>
      </c>
      <c r="E64" s="9"/>
      <c r="F64" s="9"/>
      <c r="G64" s="9"/>
      <c r="H64" s="9"/>
      <c r="I64" s="9"/>
      <c r="J64" s="9"/>
      <c r="K64" s="11"/>
      <c r="L64" s="9"/>
      <c r="M64" s="9"/>
      <c r="N64" s="11"/>
      <c r="O64" s="9"/>
      <c r="P64" s="9"/>
      <c r="Q64" s="12"/>
    </row>
    <row r="65" spans="2:17" x14ac:dyDescent="0.25">
      <c r="B65" s="6"/>
      <c r="C65" s="61" t="s">
        <v>78</v>
      </c>
      <c r="D65" s="60" t="s">
        <v>32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2"/>
    </row>
    <row r="66" spans="2:17" x14ac:dyDescent="0.25">
      <c r="B66" s="6"/>
      <c r="C66" s="15" t="s">
        <v>79</v>
      </c>
      <c r="D66" s="15" t="s">
        <v>80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2"/>
    </row>
    <row r="67" spans="2:17" x14ac:dyDescent="0.25">
      <c r="B67" s="6"/>
      <c r="C67" s="18" t="s">
        <v>81</v>
      </c>
      <c r="D67" s="18" t="s">
        <v>47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2"/>
    </row>
    <row r="68" spans="2:17" x14ac:dyDescent="0.25">
      <c r="B68" s="6"/>
      <c r="C68" s="18" t="s">
        <v>82</v>
      </c>
      <c r="D68" s="18" t="s">
        <v>83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2"/>
    </row>
    <row r="69" spans="2:17" x14ac:dyDescent="0.25">
      <c r="B69" s="6"/>
      <c r="C69" s="62" t="s">
        <v>84</v>
      </c>
      <c r="D69" s="62" t="s">
        <v>57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2"/>
    </row>
    <row r="70" spans="2:17" x14ac:dyDescent="0.25">
      <c r="B70" s="6"/>
      <c r="C70" s="60" t="s">
        <v>32</v>
      </c>
      <c r="D70" s="60" t="s">
        <v>32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2"/>
    </row>
    <row r="71" spans="2:17" x14ac:dyDescent="0.25">
      <c r="B71" s="6"/>
      <c r="C71" s="61" t="s">
        <v>4</v>
      </c>
      <c r="D71" s="60" t="s">
        <v>32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2"/>
    </row>
    <row r="72" spans="2:17" x14ac:dyDescent="0.25">
      <c r="B72" s="6"/>
      <c r="C72" s="15" t="s">
        <v>44</v>
      </c>
      <c r="D72" s="15" t="s">
        <v>80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2"/>
    </row>
    <row r="73" spans="2:17" x14ac:dyDescent="0.25">
      <c r="B73" s="6"/>
      <c r="C73" s="18" t="s">
        <v>85</v>
      </c>
      <c r="D73" s="18" t="s">
        <v>86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2"/>
    </row>
    <row r="74" spans="2:17" x14ac:dyDescent="0.25">
      <c r="B74" s="6"/>
      <c r="C74" s="18" t="s">
        <v>87</v>
      </c>
      <c r="D74" s="18" t="s">
        <v>88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2"/>
    </row>
    <row r="75" spans="2:17" x14ac:dyDescent="0.25">
      <c r="B75" s="6"/>
      <c r="C75" s="62" t="s">
        <v>56</v>
      </c>
      <c r="D75" s="62" t="s">
        <v>57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2"/>
    </row>
    <row r="76" spans="2:17" x14ac:dyDescent="0.25">
      <c r="B76" s="6"/>
      <c r="C76" s="53"/>
      <c r="D76" s="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2"/>
    </row>
    <row r="77" spans="2:17" x14ac:dyDescent="0.25">
      <c r="B77" s="54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99"/>
  <sheetViews>
    <sheetView showGridLines="0" workbookViewId="0"/>
  </sheetViews>
  <sheetFormatPr defaultRowHeight="15" x14ac:dyDescent="0.25"/>
  <cols>
    <col min="3" max="3" width="30.28515625" bestFit="1" customWidth="1"/>
    <col min="4" max="4" width="40.7109375" bestFit="1" customWidth="1"/>
    <col min="9" max="9" width="11.5703125" bestFit="1" customWidth="1"/>
    <col min="10" max="11" width="9.85546875" bestFit="1" customWidth="1"/>
  </cols>
  <sheetData>
    <row r="2" spans="2:18" x14ac:dyDescent="0.25"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1"/>
    </row>
    <row r="3" spans="2:18" x14ac:dyDescent="0.25">
      <c r="B3" s="72"/>
      <c r="C3" s="10" t="s">
        <v>0</v>
      </c>
      <c r="D3" s="11"/>
      <c r="E3" s="9"/>
      <c r="F3" s="10" t="s">
        <v>112</v>
      </c>
      <c r="G3" s="11"/>
      <c r="H3" s="9"/>
      <c r="I3" s="10" t="s">
        <v>113</v>
      </c>
      <c r="J3" s="58"/>
      <c r="K3" s="11"/>
      <c r="L3" s="11"/>
      <c r="M3" s="11"/>
      <c r="N3" s="9"/>
      <c r="O3" s="10" t="s">
        <v>4</v>
      </c>
      <c r="P3" s="9"/>
      <c r="Q3" s="9"/>
      <c r="R3" s="73"/>
    </row>
    <row r="4" spans="2:18" x14ac:dyDescent="0.25">
      <c r="B4" s="72"/>
      <c r="C4" s="74" t="s">
        <v>10</v>
      </c>
      <c r="D4" s="75" t="s">
        <v>11</v>
      </c>
      <c r="E4" s="9" t="s">
        <v>1</v>
      </c>
      <c r="F4" s="8" t="s">
        <v>5</v>
      </c>
      <c r="G4" s="8" t="s">
        <v>6</v>
      </c>
      <c r="H4" s="53"/>
      <c r="I4" s="76" t="s">
        <v>5</v>
      </c>
      <c r="J4" s="76" t="s">
        <v>7</v>
      </c>
      <c r="K4" s="76" t="s">
        <v>8</v>
      </c>
      <c r="L4" s="76" t="s">
        <v>6</v>
      </c>
      <c r="M4" s="76" t="s">
        <v>114</v>
      </c>
      <c r="N4" s="53"/>
      <c r="O4" s="77" t="s">
        <v>5</v>
      </c>
      <c r="P4" s="8" t="s">
        <v>6</v>
      </c>
      <c r="Q4" s="8" t="s">
        <v>9</v>
      </c>
      <c r="R4" s="73"/>
    </row>
    <row r="5" spans="2:18" x14ac:dyDescent="0.25">
      <c r="B5" s="72"/>
      <c r="C5" s="78" t="s">
        <v>12</v>
      </c>
      <c r="D5" s="79" t="s">
        <v>115</v>
      </c>
      <c r="E5" s="9" t="s">
        <v>1</v>
      </c>
      <c r="F5" s="80" t="s">
        <v>96</v>
      </c>
      <c r="G5" s="81">
        <v>1.73975E-2</v>
      </c>
      <c r="H5" s="9"/>
      <c r="I5" s="82" t="s">
        <v>146</v>
      </c>
      <c r="J5" s="83">
        <v>43817</v>
      </c>
      <c r="K5" s="83">
        <v>43908</v>
      </c>
      <c r="L5" s="84">
        <v>98.105000000000004</v>
      </c>
      <c r="M5" s="85">
        <v>1.4500000000000001E-2</v>
      </c>
      <c r="N5" s="9"/>
      <c r="O5" s="82" t="s">
        <v>93</v>
      </c>
      <c r="P5" s="86">
        <v>1.5848000000000001E-2</v>
      </c>
      <c r="Q5" s="87" t="b">
        <v>1</v>
      </c>
      <c r="R5" s="73"/>
    </row>
    <row r="6" spans="2:18" x14ac:dyDescent="0.25">
      <c r="B6" s="72"/>
      <c r="C6" s="78" t="s">
        <v>13</v>
      </c>
      <c r="D6" s="79" t="s">
        <v>83</v>
      </c>
      <c r="E6" s="9" t="s">
        <v>1</v>
      </c>
      <c r="F6" s="88" t="s">
        <v>100</v>
      </c>
      <c r="G6" s="89">
        <v>1.89363E-2</v>
      </c>
      <c r="H6" s="9"/>
      <c r="I6" s="90" t="s">
        <v>147</v>
      </c>
      <c r="J6" s="91">
        <v>43908</v>
      </c>
      <c r="K6" s="91">
        <v>43999</v>
      </c>
      <c r="L6" s="92">
        <v>98.29</v>
      </c>
      <c r="M6" s="93">
        <v>1.4500000000000001E-2</v>
      </c>
      <c r="N6" s="9"/>
      <c r="O6" s="90" t="s">
        <v>95</v>
      </c>
      <c r="P6" s="94">
        <v>1.584E-2</v>
      </c>
      <c r="Q6" s="95" t="b">
        <v>1</v>
      </c>
      <c r="R6" s="73"/>
    </row>
    <row r="7" spans="2:18" x14ac:dyDescent="0.25">
      <c r="B7" s="72"/>
      <c r="C7" s="78" t="s">
        <v>15</v>
      </c>
      <c r="D7" s="96">
        <v>43812</v>
      </c>
      <c r="E7" s="9" t="s">
        <v>1</v>
      </c>
      <c r="F7" s="88" t="s">
        <v>106</v>
      </c>
      <c r="G7" s="89">
        <v>1.88638E-2</v>
      </c>
      <c r="H7" s="9"/>
      <c r="I7" s="90" t="s">
        <v>148</v>
      </c>
      <c r="J7" s="97">
        <v>43999</v>
      </c>
      <c r="K7" s="97">
        <v>44090</v>
      </c>
      <c r="L7" s="92">
        <v>98.385000000000005</v>
      </c>
      <c r="M7" s="98">
        <v>1.4500000000000001E-2</v>
      </c>
      <c r="N7" s="9"/>
      <c r="O7" s="90" t="s">
        <v>97</v>
      </c>
      <c r="P7" s="94">
        <v>1.5963999999999999E-2</v>
      </c>
      <c r="Q7" s="95" t="b">
        <v>1</v>
      </c>
      <c r="R7" s="73"/>
    </row>
    <row r="8" spans="2:18" x14ac:dyDescent="0.25">
      <c r="B8" s="72"/>
      <c r="C8" s="99"/>
      <c r="D8" s="100"/>
      <c r="E8" s="9" t="s">
        <v>1</v>
      </c>
      <c r="F8" s="88" t="s">
        <v>149</v>
      </c>
      <c r="G8" s="89">
        <v>1.93288E-2</v>
      </c>
      <c r="H8" s="9"/>
      <c r="I8" s="90" t="s">
        <v>150</v>
      </c>
      <c r="J8" s="97">
        <v>44090</v>
      </c>
      <c r="K8" s="97">
        <v>44181</v>
      </c>
      <c r="L8" s="92">
        <v>98.46</v>
      </c>
      <c r="M8" s="98">
        <v>1.4500000000000001E-2</v>
      </c>
      <c r="N8" s="9"/>
      <c r="O8" s="90" t="s">
        <v>99</v>
      </c>
      <c r="P8" s="94">
        <v>1.6361000000000001E-2</v>
      </c>
      <c r="Q8" s="95" t="b">
        <v>1</v>
      </c>
      <c r="R8" s="73"/>
    </row>
    <row r="9" spans="2:18" x14ac:dyDescent="0.25">
      <c r="B9" s="72"/>
      <c r="C9" s="24"/>
      <c r="D9" s="101"/>
      <c r="E9" s="9" t="s">
        <v>1</v>
      </c>
      <c r="F9" s="102"/>
      <c r="G9" s="103"/>
      <c r="H9" s="9"/>
      <c r="I9" s="90" t="s">
        <v>151</v>
      </c>
      <c r="J9" s="97">
        <v>44181</v>
      </c>
      <c r="K9" s="97">
        <v>44272</v>
      </c>
      <c r="L9" s="92">
        <v>98.465000000000003</v>
      </c>
      <c r="M9" s="98">
        <v>1.4500000000000001E-2</v>
      </c>
      <c r="N9" s="9"/>
      <c r="O9" s="90" t="s">
        <v>152</v>
      </c>
      <c r="P9" s="94">
        <v>1.6623000000000002E-2</v>
      </c>
      <c r="Q9" s="95" t="b">
        <v>1</v>
      </c>
      <c r="R9" s="73"/>
    </row>
    <row r="10" spans="2:18" x14ac:dyDescent="0.25">
      <c r="B10" s="72"/>
      <c r="C10" s="9"/>
      <c r="D10" s="9"/>
      <c r="E10" s="9" t="s">
        <v>1</v>
      </c>
      <c r="F10" s="9"/>
      <c r="G10" s="9"/>
      <c r="H10" s="9"/>
      <c r="I10" s="90" t="s">
        <v>153</v>
      </c>
      <c r="J10" s="97">
        <v>44272</v>
      </c>
      <c r="K10" s="97">
        <v>44363</v>
      </c>
      <c r="L10" s="92">
        <v>98.534999999999997</v>
      </c>
      <c r="M10" s="98">
        <v>1.4500000000000001E-2</v>
      </c>
      <c r="N10" s="9"/>
      <c r="O10" s="90" t="s">
        <v>154</v>
      </c>
      <c r="P10" s="94">
        <v>1.6902E-2</v>
      </c>
      <c r="Q10" s="95" t="b">
        <v>1</v>
      </c>
      <c r="R10" s="73"/>
    </row>
    <row r="11" spans="2:18" x14ac:dyDescent="0.25">
      <c r="B11" s="72"/>
      <c r="C11" s="21" t="s">
        <v>16</v>
      </c>
      <c r="D11" s="8"/>
      <c r="E11" s="9" t="s">
        <v>1</v>
      </c>
      <c r="F11" s="9"/>
      <c r="G11" s="9"/>
      <c r="H11" s="9"/>
      <c r="I11" s="90" t="s">
        <v>155</v>
      </c>
      <c r="J11" s="97">
        <v>44363</v>
      </c>
      <c r="K11" s="97">
        <v>44454</v>
      </c>
      <c r="L11" s="92">
        <v>98.534999999999997</v>
      </c>
      <c r="M11" s="98">
        <v>1.4500000000000001E-2</v>
      </c>
      <c r="N11" s="9"/>
      <c r="O11" s="90" t="s">
        <v>101</v>
      </c>
      <c r="P11" s="94">
        <v>1.7186E-2</v>
      </c>
      <c r="Q11" s="95" t="b">
        <v>1</v>
      </c>
      <c r="R11" s="73"/>
    </row>
    <row r="12" spans="2:18" x14ac:dyDescent="0.25">
      <c r="B12" s="72"/>
      <c r="C12" s="22" t="s">
        <v>17</v>
      </c>
      <c r="D12" s="23" t="s">
        <v>116</v>
      </c>
      <c r="E12" s="9" t="s">
        <v>1</v>
      </c>
      <c r="F12" s="9"/>
      <c r="G12" s="9"/>
      <c r="H12" s="9"/>
      <c r="I12" s="90" t="s">
        <v>156</v>
      </c>
      <c r="J12" s="97">
        <v>44454</v>
      </c>
      <c r="K12" s="97">
        <v>44545</v>
      </c>
      <c r="L12" s="92">
        <v>98.534999999999997</v>
      </c>
      <c r="M12" s="98">
        <v>1.4500000000000001E-2</v>
      </c>
      <c r="N12" s="9"/>
      <c r="O12" s="90" t="s">
        <v>103</v>
      </c>
      <c r="P12" s="94">
        <v>1.7693E-2</v>
      </c>
      <c r="Q12" s="95" t="b">
        <v>1</v>
      </c>
      <c r="R12" s="73"/>
    </row>
    <row r="13" spans="2:18" x14ac:dyDescent="0.25">
      <c r="B13" s="72"/>
      <c r="C13" s="24" t="s">
        <v>19</v>
      </c>
      <c r="D13" s="25" t="str">
        <f ca="1">_xll.meLWOCurveMarketDataCreate(D12,C3,C4:D9,F3,F5:G9,I3,I5:M27,O3,O5:Q27)</f>
        <v>USD_SWAP_3M_CURVE_MARKETDATA@5:0</v>
      </c>
      <c r="E13" s="9" t="s">
        <v>1</v>
      </c>
      <c r="F13" s="9"/>
      <c r="G13" s="9"/>
      <c r="H13" s="9"/>
      <c r="I13" s="90"/>
      <c r="J13" s="97"/>
      <c r="K13" s="97"/>
      <c r="L13" s="92"/>
      <c r="M13" s="98"/>
      <c r="N13" s="9"/>
      <c r="O13" s="90" t="s">
        <v>105</v>
      </c>
      <c r="P13" s="94">
        <v>1.8255999999999998E-2</v>
      </c>
      <c r="Q13" s="95" t="b">
        <v>1</v>
      </c>
      <c r="R13" s="73"/>
    </row>
    <row r="14" spans="2:18" x14ac:dyDescent="0.25">
      <c r="B14" s="72"/>
      <c r="C14" s="9"/>
      <c r="D14" s="9"/>
      <c r="E14" s="9" t="s">
        <v>1</v>
      </c>
      <c r="F14" s="9"/>
      <c r="G14" s="9"/>
      <c r="H14" s="9"/>
      <c r="I14" s="90"/>
      <c r="J14" s="97"/>
      <c r="K14" s="97"/>
      <c r="L14" s="92"/>
      <c r="M14" s="98"/>
      <c r="N14" s="9"/>
      <c r="O14" s="90" t="s">
        <v>107</v>
      </c>
      <c r="P14" s="94">
        <v>1.8835000000000001E-2</v>
      </c>
      <c r="Q14" s="95" t="b">
        <v>1</v>
      </c>
      <c r="R14" s="73"/>
    </row>
    <row r="15" spans="2:18" x14ac:dyDescent="0.25">
      <c r="B15" s="72"/>
      <c r="C15" s="9"/>
      <c r="D15" s="9"/>
      <c r="E15" s="9" t="s">
        <v>1</v>
      </c>
      <c r="F15" s="9"/>
      <c r="G15" s="9"/>
      <c r="H15" s="9"/>
      <c r="I15" s="90"/>
      <c r="J15" s="97"/>
      <c r="K15" s="97"/>
      <c r="L15" s="92"/>
      <c r="M15" s="98"/>
      <c r="N15" s="9"/>
      <c r="O15" s="90" t="s">
        <v>109</v>
      </c>
      <c r="P15" s="94">
        <v>1.9030999999999999E-2</v>
      </c>
      <c r="Q15" s="95" t="b">
        <v>1</v>
      </c>
      <c r="R15" s="73"/>
    </row>
    <row r="16" spans="2:18" x14ac:dyDescent="0.25">
      <c r="B16" s="72"/>
      <c r="C16" s="31" t="s">
        <v>20</v>
      </c>
      <c r="D16" s="108"/>
      <c r="E16" s="9" t="s">
        <v>1</v>
      </c>
      <c r="F16" s="9"/>
      <c r="G16" s="9"/>
      <c r="H16" s="9"/>
      <c r="I16" s="90"/>
      <c r="J16" s="97"/>
      <c r="K16" s="97"/>
      <c r="L16" s="92"/>
      <c r="M16" s="98"/>
      <c r="N16" s="9"/>
      <c r="O16" s="90" t="s">
        <v>110</v>
      </c>
      <c r="P16" s="94">
        <v>1.9067000000000001E-2</v>
      </c>
      <c r="Q16" s="95" t="b">
        <v>1</v>
      </c>
      <c r="R16" s="73"/>
    </row>
    <row r="17" spans="2:18" x14ac:dyDescent="0.25">
      <c r="B17" s="72"/>
      <c r="C17" s="32" t="s">
        <v>17</v>
      </c>
      <c r="D17" s="33" t="s">
        <v>117</v>
      </c>
      <c r="E17" s="9" t="s">
        <v>1</v>
      </c>
      <c r="F17" s="9"/>
      <c r="G17" s="9"/>
      <c r="H17" s="9"/>
      <c r="I17" s="90"/>
      <c r="J17" s="97"/>
      <c r="K17" s="97"/>
      <c r="L17" s="92"/>
      <c r="M17" s="98"/>
      <c r="N17" s="9"/>
      <c r="O17" s="104"/>
      <c r="P17" s="105"/>
      <c r="Q17" s="106"/>
      <c r="R17" s="107"/>
    </row>
    <row r="18" spans="2:18" x14ac:dyDescent="0.25">
      <c r="B18" s="72"/>
      <c r="C18" s="34" t="s">
        <v>22</v>
      </c>
      <c r="D18" s="42" t="str">
        <f ca="1">C32</f>
        <v>USD_SWAP_3M_WITH_RISK@4:0</v>
      </c>
      <c r="E18" s="9" t="s">
        <v>1</v>
      </c>
      <c r="F18" s="9"/>
      <c r="G18" s="9"/>
      <c r="H18" s="9"/>
      <c r="I18" s="90"/>
      <c r="J18" s="97"/>
      <c r="K18" s="97"/>
      <c r="L18" s="92"/>
      <c r="M18" s="98"/>
      <c r="N18" s="9"/>
      <c r="O18" s="104"/>
      <c r="P18" s="105"/>
      <c r="Q18" s="106"/>
      <c r="R18" s="107"/>
    </row>
    <row r="19" spans="2:18" x14ac:dyDescent="0.25">
      <c r="B19" s="72"/>
      <c r="C19" s="34" t="s">
        <v>23</v>
      </c>
      <c r="D19" s="35" t="s">
        <v>24</v>
      </c>
      <c r="E19" s="9" t="s">
        <v>1</v>
      </c>
      <c r="F19" s="9"/>
      <c r="G19" s="9"/>
      <c r="H19" s="9"/>
      <c r="I19" s="90"/>
      <c r="J19" s="97"/>
      <c r="K19" s="97"/>
      <c r="L19" s="92"/>
      <c r="M19" s="98"/>
      <c r="N19" s="9"/>
      <c r="O19" s="90"/>
      <c r="P19" s="94"/>
      <c r="Q19" s="109"/>
      <c r="R19" s="73"/>
    </row>
    <row r="20" spans="2:18" x14ac:dyDescent="0.25">
      <c r="B20" s="72"/>
      <c r="C20" s="36" t="s">
        <v>25</v>
      </c>
      <c r="D20" s="37"/>
      <c r="E20" s="9" t="s">
        <v>1</v>
      </c>
      <c r="F20" s="9"/>
      <c r="G20" s="9"/>
      <c r="H20" s="9"/>
      <c r="I20" s="90"/>
      <c r="J20" s="97"/>
      <c r="K20" s="97"/>
      <c r="L20" s="92"/>
      <c r="M20" s="98"/>
      <c r="N20" s="9"/>
      <c r="O20" s="90"/>
      <c r="P20" s="94"/>
      <c r="Q20" s="109"/>
      <c r="R20" s="73"/>
    </row>
    <row r="21" spans="2:18" x14ac:dyDescent="0.25">
      <c r="B21" s="72"/>
      <c r="C21" s="9"/>
      <c r="D21" s="9"/>
      <c r="E21" s="9" t="s">
        <v>1</v>
      </c>
      <c r="F21" s="9"/>
      <c r="G21" s="9"/>
      <c r="H21" s="9"/>
      <c r="I21" s="90"/>
      <c r="J21" s="97"/>
      <c r="K21" s="97"/>
      <c r="L21" s="92"/>
      <c r="M21" s="98"/>
      <c r="N21" s="9"/>
      <c r="O21" s="90"/>
      <c r="P21" s="94"/>
      <c r="Q21" s="109"/>
      <c r="R21" s="73"/>
    </row>
    <row r="22" spans="2:18" x14ac:dyDescent="0.25">
      <c r="B22" s="72"/>
      <c r="C22" s="9"/>
      <c r="D22" s="9"/>
      <c r="E22" s="9" t="s">
        <v>1</v>
      </c>
      <c r="F22" s="9"/>
      <c r="G22" s="9"/>
      <c r="H22" s="9"/>
      <c r="I22" s="90"/>
      <c r="J22" s="97"/>
      <c r="K22" s="97"/>
      <c r="L22" s="92"/>
      <c r="M22" s="98"/>
      <c r="N22" s="9"/>
      <c r="O22" s="90"/>
      <c r="P22" s="94"/>
      <c r="Q22" s="109"/>
      <c r="R22" s="73"/>
    </row>
    <row r="23" spans="2:18" x14ac:dyDescent="0.25">
      <c r="B23" s="72"/>
      <c r="C23" s="31" t="s">
        <v>26</v>
      </c>
      <c r="D23" s="9"/>
      <c r="E23" s="9" t="s">
        <v>1</v>
      </c>
      <c r="F23" s="9"/>
      <c r="G23" s="9"/>
      <c r="H23" s="9"/>
      <c r="I23" s="90"/>
      <c r="J23" s="97"/>
      <c r="K23" s="97"/>
      <c r="L23" s="92"/>
      <c r="M23" s="98"/>
      <c r="N23" s="9"/>
      <c r="O23" s="90"/>
      <c r="P23" s="94"/>
      <c r="Q23" s="109"/>
      <c r="R23" s="73"/>
    </row>
    <row r="24" spans="2:18" x14ac:dyDescent="0.25">
      <c r="B24" s="72"/>
      <c r="C24" s="38" t="s">
        <v>17</v>
      </c>
      <c r="D24" s="39" t="str">
        <f t="array" aca="1" ref="D24:D27" ca="1">IF('OIS - USDOIS'!$D$27,_xll.meLWOCurveCalibrate(D17,D18,D13,D19,D20),"#LOAD OIS CURVE")</f>
        <v>USD_SWAP_3M_CURVE@6:0</v>
      </c>
      <c r="E24" s="9" t="s">
        <v>1</v>
      </c>
      <c r="F24" s="9"/>
      <c r="G24" s="9"/>
      <c r="H24" s="9"/>
      <c r="I24" s="90"/>
      <c r="J24" s="97"/>
      <c r="K24" s="97"/>
      <c r="L24" s="92"/>
      <c r="M24" s="98"/>
      <c r="N24" s="9"/>
      <c r="O24" s="90"/>
      <c r="P24" s="94"/>
      <c r="Q24" s="109"/>
      <c r="R24" s="73"/>
    </row>
    <row r="25" spans="2:18" x14ac:dyDescent="0.25">
      <c r="B25" s="72"/>
      <c r="C25" s="42" t="s">
        <v>27</v>
      </c>
      <c r="D25" s="40" t="str">
        <f ca="1"/>
        <v>USDYC</v>
      </c>
      <c r="E25" s="9" t="s">
        <v>1</v>
      </c>
      <c r="F25" s="9"/>
      <c r="G25" s="9"/>
      <c r="H25" s="9"/>
      <c r="I25" s="90"/>
      <c r="J25" s="97"/>
      <c r="K25" s="97"/>
      <c r="L25" s="92"/>
      <c r="M25" s="98"/>
      <c r="N25" s="9"/>
      <c r="O25" s="90"/>
      <c r="P25" s="94"/>
      <c r="Q25" s="109"/>
      <c r="R25" s="73"/>
    </row>
    <row r="26" spans="2:18" x14ac:dyDescent="0.25">
      <c r="B26" s="72"/>
      <c r="C26" s="42" t="s">
        <v>28</v>
      </c>
      <c r="D26" s="40" t="str">
        <f ca="1"/>
        <v>STD:USD3ML</v>
      </c>
      <c r="E26" s="9" t="s">
        <v>1</v>
      </c>
      <c r="F26" s="9"/>
      <c r="G26" s="9"/>
      <c r="H26" s="9"/>
      <c r="I26" s="90"/>
      <c r="J26" s="97"/>
      <c r="K26" s="97"/>
      <c r="L26" s="92"/>
      <c r="M26" s="98"/>
      <c r="N26" s="9"/>
      <c r="O26" s="90"/>
      <c r="P26" s="94"/>
      <c r="Q26" s="109"/>
      <c r="R26" s="73"/>
    </row>
    <row r="27" spans="2:18" x14ac:dyDescent="0.25">
      <c r="B27" s="72"/>
      <c r="C27" s="44" t="s">
        <v>29</v>
      </c>
      <c r="D27" s="41" t="str">
        <f ca="1"/>
        <v>0.25100 sec</v>
      </c>
      <c r="E27" s="9" t="s">
        <v>1</v>
      </c>
      <c r="F27" s="9"/>
      <c r="G27" s="9"/>
      <c r="H27" s="9"/>
      <c r="I27" s="110"/>
      <c r="J27" s="111"/>
      <c r="K27" s="111"/>
      <c r="L27" s="112"/>
      <c r="M27" s="113"/>
      <c r="N27" s="9"/>
      <c r="O27" s="110"/>
      <c r="P27" s="114"/>
      <c r="Q27" s="115"/>
      <c r="R27" s="73"/>
    </row>
    <row r="28" spans="2:18" x14ac:dyDescent="0.25">
      <c r="B28" s="72"/>
      <c r="C28" s="46" t="s">
        <v>30</v>
      </c>
      <c r="D28" s="47" t="b">
        <f ca="1">_xll.meLWOExists(D24,"CURVE")</f>
        <v>1</v>
      </c>
      <c r="E28" s="9" t="s">
        <v>1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73"/>
    </row>
    <row r="29" spans="2:18" x14ac:dyDescent="0.25">
      <c r="B29" s="72"/>
      <c r="C29" s="9"/>
      <c r="D29" s="9"/>
      <c r="E29" s="9" t="s">
        <v>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73"/>
    </row>
    <row r="30" spans="2:18" x14ac:dyDescent="0.25">
      <c r="B30" s="72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73"/>
    </row>
    <row r="31" spans="2:18" x14ac:dyDescent="0.25">
      <c r="B31" s="72"/>
      <c r="C31" s="9" t="s">
        <v>111</v>
      </c>
      <c r="D31" s="124" t="s">
        <v>39</v>
      </c>
      <c r="E31" s="9"/>
      <c r="F31" s="31" t="s">
        <v>274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73"/>
    </row>
    <row r="32" spans="2:18" x14ac:dyDescent="0.25">
      <c r="B32" s="72"/>
      <c r="C32" s="119" t="str">
        <f ca="1">_xll.meLWOCurveGeneratorCreate("USD_SWAP_3M_WITH_RISK",C34,C35:D52,C54,C55:D57,C59,C60:D64,C66,C67:D67,C69,C70:D76,C78,C79:D91)</f>
        <v>USD_SWAP_3M_WITH_RISK@4:0</v>
      </c>
      <c r="D32" s="125" t="s">
        <v>314</v>
      </c>
      <c r="E32" s="9"/>
      <c r="F32" s="26" t="s">
        <v>292</v>
      </c>
      <c r="G32" s="26"/>
      <c r="H32" s="26"/>
      <c r="I32" s="26"/>
      <c r="J32" s="9"/>
      <c r="K32" s="9"/>
      <c r="L32" s="9"/>
      <c r="M32" s="9"/>
      <c r="N32" s="9"/>
      <c r="O32" s="9"/>
      <c r="P32" s="9"/>
      <c r="Q32" s="9"/>
      <c r="R32" s="73"/>
    </row>
    <row r="33" spans="2:18" x14ac:dyDescent="0.25">
      <c r="B33" s="72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73"/>
    </row>
    <row r="34" spans="2:18" x14ac:dyDescent="0.25">
      <c r="B34" s="72"/>
      <c r="C34" s="61" t="s">
        <v>31</v>
      </c>
      <c r="D34" s="59" t="s">
        <v>32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73"/>
    </row>
    <row r="35" spans="2:18" x14ac:dyDescent="0.25">
      <c r="B35" s="72"/>
      <c r="C35" s="23" t="s">
        <v>12</v>
      </c>
      <c r="D35" s="48" t="s">
        <v>115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73"/>
    </row>
    <row r="36" spans="2:18" x14ac:dyDescent="0.25">
      <c r="B36" s="72"/>
      <c r="C36" s="49" t="s">
        <v>13</v>
      </c>
      <c r="D36" s="50" t="s">
        <v>83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73"/>
    </row>
    <row r="37" spans="2:18" x14ac:dyDescent="0.25">
      <c r="B37" s="72"/>
      <c r="C37" s="49" t="s">
        <v>33</v>
      </c>
      <c r="D37" s="50" t="s">
        <v>118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73"/>
    </row>
    <row r="38" spans="2:18" x14ac:dyDescent="0.25">
      <c r="B38" s="72"/>
      <c r="C38" s="49" t="s">
        <v>34</v>
      </c>
      <c r="D38" s="50" t="s">
        <v>119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73"/>
    </row>
    <row r="39" spans="2:18" x14ac:dyDescent="0.25">
      <c r="B39" s="72"/>
      <c r="C39" s="49" t="s">
        <v>10</v>
      </c>
      <c r="D39" s="50" t="s">
        <v>11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73"/>
    </row>
    <row r="40" spans="2:18" x14ac:dyDescent="0.25">
      <c r="B40" s="72"/>
      <c r="C40" s="49" t="s">
        <v>36</v>
      </c>
      <c r="D40" s="50" t="s">
        <v>120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73"/>
    </row>
    <row r="41" spans="2:18" x14ac:dyDescent="0.25">
      <c r="B41" s="72"/>
      <c r="C41" s="49" t="s">
        <v>38</v>
      </c>
      <c r="D41" s="50" t="s">
        <v>120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73"/>
    </row>
    <row r="42" spans="2:18" x14ac:dyDescent="0.25">
      <c r="B42" s="72"/>
      <c r="C42" s="49" t="s">
        <v>121</v>
      </c>
      <c r="D42" s="50" t="s">
        <v>120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73"/>
    </row>
    <row r="43" spans="2:18" x14ac:dyDescent="0.25">
      <c r="B43" s="72"/>
      <c r="C43" s="49" t="s">
        <v>122</v>
      </c>
      <c r="D43" s="50" t="s">
        <v>77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73"/>
    </row>
    <row r="44" spans="2:18" x14ac:dyDescent="0.25">
      <c r="B44" s="72"/>
      <c r="C44" s="49" t="s">
        <v>123</v>
      </c>
      <c r="D44" s="50" t="s">
        <v>61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73"/>
    </row>
    <row r="45" spans="2:18" x14ac:dyDescent="0.25">
      <c r="B45" s="72"/>
      <c r="C45" s="49" t="s">
        <v>82</v>
      </c>
      <c r="D45" s="50" t="s">
        <v>124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73"/>
    </row>
    <row r="46" spans="2:18" x14ac:dyDescent="0.25">
      <c r="B46" s="72"/>
      <c r="C46" s="49" t="s">
        <v>125</v>
      </c>
      <c r="D46" s="50" t="s">
        <v>2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73"/>
    </row>
    <row r="47" spans="2:18" x14ac:dyDescent="0.25">
      <c r="B47" s="72"/>
      <c r="C47" s="49" t="s">
        <v>126</v>
      </c>
      <c r="D47" s="50" t="s">
        <v>61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73"/>
    </row>
    <row r="48" spans="2:18" x14ac:dyDescent="0.25">
      <c r="B48" s="72"/>
      <c r="C48" s="49" t="s">
        <v>127</v>
      </c>
      <c r="D48" s="50" t="s">
        <v>61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73"/>
    </row>
    <row r="49" spans="2:18" x14ac:dyDescent="0.25">
      <c r="B49" s="72"/>
      <c r="C49" s="99" t="s">
        <v>39</v>
      </c>
      <c r="D49" s="68" t="str">
        <f ca="1">D32</f>
        <v>ONCE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73"/>
    </row>
    <row r="50" spans="2:18" x14ac:dyDescent="0.25">
      <c r="B50" s="72"/>
      <c r="C50" s="99" t="s">
        <v>40</v>
      </c>
      <c r="D50" s="63" t="s">
        <v>41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73"/>
    </row>
    <row r="51" spans="2:18" x14ac:dyDescent="0.25">
      <c r="B51" s="72"/>
      <c r="C51" s="99" t="s">
        <v>42</v>
      </c>
      <c r="D51" s="64">
        <v>1E-4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73"/>
    </row>
    <row r="52" spans="2:18" x14ac:dyDescent="0.25">
      <c r="B52" s="72"/>
      <c r="C52" s="24" t="s">
        <v>43</v>
      </c>
      <c r="D52" s="65">
        <v>1E-4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73"/>
    </row>
    <row r="53" spans="2:18" x14ac:dyDescent="0.25">
      <c r="B53" s="72"/>
      <c r="C53" s="59" t="s">
        <v>32</v>
      </c>
      <c r="D53" s="58" t="s">
        <v>32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73"/>
    </row>
    <row r="54" spans="2:18" x14ac:dyDescent="0.25">
      <c r="B54" s="72"/>
      <c r="C54" s="61" t="s">
        <v>128</v>
      </c>
      <c r="D54" s="58" t="s">
        <v>32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73"/>
    </row>
    <row r="55" spans="2:18" x14ac:dyDescent="0.25">
      <c r="B55" s="72"/>
      <c r="C55" s="23" t="s">
        <v>44</v>
      </c>
      <c r="D55" s="48" t="s">
        <v>45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73"/>
    </row>
    <row r="56" spans="2:18" x14ac:dyDescent="0.25">
      <c r="B56" s="72"/>
      <c r="C56" s="49" t="s">
        <v>46</v>
      </c>
      <c r="D56" s="50" t="s">
        <v>129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73"/>
    </row>
    <row r="57" spans="2:18" x14ac:dyDescent="0.25">
      <c r="B57" s="72"/>
      <c r="C57" s="57" t="s">
        <v>56</v>
      </c>
      <c r="D57" s="122" t="s">
        <v>130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73"/>
    </row>
    <row r="58" spans="2:18" x14ac:dyDescent="0.25">
      <c r="B58" s="72"/>
      <c r="C58" s="59" t="s">
        <v>32</v>
      </c>
      <c r="D58" s="58" t="s">
        <v>32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73"/>
    </row>
    <row r="59" spans="2:18" x14ac:dyDescent="0.25">
      <c r="B59" s="72"/>
      <c r="C59" s="61" t="s">
        <v>112</v>
      </c>
      <c r="D59" s="58" t="s">
        <v>32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73"/>
    </row>
    <row r="60" spans="2:18" x14ac:dyDescent="0.25">
      <c r="B60" s="72"/>
      <c r="C60" s="23" t="s">
        <v>44</v>
      </c>
      <c r="D60" s="48" t="s">
        <v>80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73"/>
    </row>
    <row r="61" spans="2:18" x14ac:dyDescent="0.25">
      <c r="B61" s="72"/>
      <c r="C61" s="49" t="s">
        <v>46</v>
      </c>
      <c r="D61" s="50" t="s">
        <v>129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73"/>
    </row>
    <row r="62" spans="2:18" x14ac:dyDescent="0.25">
      <c r="B62" s="72"/>
      <c r="C62" s="49" t="s">
        <v>48</v>
      </c>
      <c r="D62" s="50" t="s">
        <v>131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73"/>
    </row>
    <row r="63" spans="2:18" x14ac:dyDescent="0.25">
      <c r="B63" s="72"/>
      <c r="C63" s="49" t="s">
        <v>52</v>
      </c>
      <c r="D63" s="50">
        <v>2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73"/>
    </row>
    <row r="64" spans="2:18" x14ac:dyDescent="0.25">
      <c r="B64" s="72"/>
      <c r="C64" s="57" t="s">
        <v>56</v>
      </c>
      <c r="D64" s="122" t="s">
        <v>57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73"/>
    </row>
    <row r="65" spans="2:18" x14ac:dyDescent="0.25">
      <c r="B65" s="72"/>
      <c r="C65" s="59" t="s">
        <v>32</v>
      </c>
      <c r="D65" s="58" t="s">
        <v>32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73"/>
    </row>
    <row r="66" spans="2:18" x14ac:dyDescent="0.25">
      <c r="B66" s="72"/>
      <c r="C66" s="61" t="s">
        <v>132</v>
      </c>
      <c r="D66" s="58" t="s">
        <v>32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73"/>
    </row>
    <row r="67" spans="2:18" x14ac:dyDescent="0.25">
      <c r="B67" s="72"/>
      <c r="C67" s="121" t="s">
        <v>79</v>
      </c>
      <c r="D67" s="123" t="s">
        <v>80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73"/>
    </row>
    <row r="68" spans="2:18" x14ac:dyDescent="0.25">
      <c r="B68" s="72"/>
      <c r="C68" s="59" t="s">
        <v>32</v>
      </c>
      <c r="D68" s="58" t="s">
        <v>32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73"/>
    </row>
    <row r="69" spans="2:18" x14ac:dyDescent="0.25">
      <c r="B69" s="72"/>
      <c r="C69" s="61" t="s">
        <v>113</v>
      </c>
      <c r="D69" s="58" t="s">
        <v>32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73"/>
    </row>
    <row r="70" spans="2:18" x14ac:dyDescent="0.25">
      <c r="B70" s="72"/>
      <c r="C70" s="23" t="s">
        <v>44</v>
      </c>
      <c r="D70" s="48" t="s">
        <v>45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73"/>
    </row>
    <row r="71" spans="2:18" x14ac:dyDescent="0.25">
      <c r="B71" s="72"/>
      <c r="C71" s="49" t="s">
        <v>46</v>
      </c>
      <c r="D71" s="50" t="s">
        <v>129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73"/>
    </row>
    <row r="72" spans="2:18" x14ac:dyDescent="0.25">
      <c r="B72" s="72"/>
      <c r="C72" s="49" t="s">
        <v>52</v>
      </c>
      <c r="D72" s="50">
        <v>2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73"/>
    </row>
    <row r="73" spans="2:18" x14ac:dyDescent="0.25">
      <c r="B73" s="72"/>
      <c r="C73" s="49" t="s">
        <v>56</v>
      </c>
      <c r="D73" s="50" t="s">
        <v>57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73"/>
    </row>
    <row r="74" spans="2:18" x14ac:dyDescent="0.25">
      <c r="B74" s="72"/>
      <c r="C74" s="49" t="s">
        <v>133</v>
      </c>
      <c r="D74" s="50">
        <v>0.03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73"/>
    </row>
    <row r="75" spans="2:18" x14ac:dyDescent="0.25">
      <c r="B75" s="72"/>
      <c r="C75" s="49" t="s">
        <v>134</v>
      </c>
      <c r="D75" s="50" t="s">
        <v>77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73"/>
    </row>
    <row r="76" spans="2:18" x14ac:dyDescent="0.25">
      <c r="B76" s="72"/>
      <c r="C76" s="57" t="s">
        <v>135</v>
      </c>
      <c r="D76" s="122">
        <v>2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73"/>
    </row>
    <row r="77" spans="2:18" x14ac:dyDescent="0.25">
      <c r="B77" s="72"/>
      <c r="C77" s="59" t="s">
        <v>32</v>
      </c>
      <c r="D77" s="58" t="s">
        <v>32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73"/>
    </row>
    <row r="78" spans="2:18" x14ac:dyDescent="0.25">
      <c r="B78" s="72"/>
      <c r="C78" s="61" t="s">
        <v>4</v>
      </c>
      <c r="D78" s="58" t="s">
        <v>32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73"/>
    </row>
    <row r="79" spans="2:18" x14ac:dyDescent="0.25">
      <c r="B79" s="72"/>
      <c r="C79" s="23" t="s">
        <v>79</v>
      </c>
      <c r="D79" s="48" t="s">
        <v>80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73"/>
    </row>
    <row r="80" spans="2:18" x14ac:dyDescent="0.25">
      <c r="B80" s="72"/>
      <c r="C80" s="49" t="s">
        <v>136</v>
      </c>
      <c r="D80" s="50" t="s">
        <v>86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73"/>
    </row>
    <row r="81" spans="2:18" x14ac:dyDescent="0.25">
      <c r="B81" s="72"/>
      <c r="C81" s="49" t="s">
        <v>137</v>
      </c>
      <c r="D81" s="50" t="s">
        <v>47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73"/>
    </row>
    <row r="82" spans="2:18" x14ac:dyDescent="0.25">
      <c r="B82" s="72"/>
      <c r="C82" s="49" t="s">
        <v>82</v>
      </c>
      <c r="D82" s="50" t="s">
        <v>138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73"/>
    </row>
    <row r="83" spans="2:18" x14ac:dyDescent="0.25">
      <c r="B83" s="72"/>
      <c r="C83" s="49" t="s">
        <v>139</v>
      </c>
      <c r="D83" s="50" t="s">
        <v>140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73"/>
    </row>
    <row r="84" spans="2:18" x14ac:dyDescent="0.25">
      <c r="B84" s="72"/>
      <c r="C84" s="49" t="s">
        <v>141</v>
      </c>
      <c r="D84" s="50" t="s">
        <v>61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73"/>
    </row>
    <row r="85" spans="2:18" x14ac:dyDescent="0.25">
      <c r="B85" s="72"/>
      <c r="C85" s="49" t="s">
        <v>142</v>
      </c>
      <c r="D85" s="50">
        <v>31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73"/>
    </row>
    <row r="86" spans="2:18" x14ac:dyDescent="0.25">
      <c r="B86" s="72"/>
      <c r="C86" s="49" t="s">
        <v>143</v>
      </c>
      <c r="D86" s="50" t="s">
        <v>61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73"/>
    </row>
    <row r="87" spans="2:18" x14ac:dyDescent="0.25">
      <c r="B87" s="72"/>
      <c r="C87" s="49" t="s">
        <v>144</v>
      </c>
      <c r="D87" s="50">
        <v>2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73"/>
    </row>
    <row r="88" spans="2:18" x14ac:dyDescent="0.25">
      <c r="B88" s="72"/>
      <c r="C88" s="49" t="s">
        <v>84</v>
      </c>
      <c r="D88" s="50" t="s">
        <v>57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73"/>
    </row>
    <row r="89" spans="2:18" x14ac:dyDescent="0.25">
      <c r="B89" s="72"/>
      <c r="C89" s="49" t="s">
        <v>145</v>
      </c>
      <c r="D89" s="50" t="s">
        <v>61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73"/>
    </row>
    <row r="90" spans="2:18" x14ac:dyDescent="0.25">
      <c r="B90" s="72"/>
      <c r="C90" s="49" t="s">
        <v>70</v>
      </c>
      <c r="D90" s="50">
        <v>1.0000000000000003E-9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73"/>
    </row>
    <row r="91" spans="2:18" x14ac:dyDescent="0.25">
      <c r="B91" s="72"/>
      <c r="C91" s="57" t="s">
        <v>72</v>
      </c>
      <c r="D91" s="122">
        <v>1000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73"/>
    </row>
    <row r="92" spans="2:18" x14ac:dyDescent="0.25">
      <c r="B92" s="72"/>
      <c r="C92" s="59"/>
      <c r="D92" s="5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73"/>
    </row>
    <row r="93" spans="2:18" x14ac:dyDescent="0.25">
      <c r="B93" s="72"/>
      <c r="C93" s="59"/>
      <c r="D93" s="5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73"/>
    </row>
    <row r="94" spans="2:18" x14ac:dyDescent="0.25">
      <c r="B94" s="72"/>
      <c r="C94" s="59"/>
      <c r="D94" s="5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73"/>
    </row>
    <row r="95" spans="2:18" x14ac:dyDescent="0.25">
      <c r="B95" s="72"/>
      <c r="C95" s="59"/>
      <c r="D95" s="5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73"/>
    </row>
    <row r="96" spans="2:18" x14ac:dyDescent="0.25">
      <c r="B96" s="72"/>
      <c r="C96" s="59"/>
      <c r="D96" s="5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73"/>
    </row>
    <row r="97" spans="2:18" x14ac:dyDescent="0.25">
      <c r="B97" s="72"/>
      <c r="C97" s="59"/>
      <c r="D97" s="5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73"/>
    </row>
    <row r="98" spans="2:18" x14ac:dyDescent="0.25">
      <c r="B98" s="72"/>
      <c r="C98" s="59"/>
      <c r="D98" s="5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73"/>
    </row>
    <row r="99" spans="2:18" x14ac:dyDescent="0.25">
      <c r="B99" s="116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9"/>
  <sheetViews>
    <sheetView showGridLines="0" workbookViewId="0"/>
  </sheetViews>
  <sheetFormatPr defaultRowHeight="15" x14ac:dyDescent="0.25"/>
  <cols>
    <col min="2" max="2" width="31.42578125" bestFit="1" customWidth="1"/>
    <col min="3" max="3" width="34.42578125" bestFit="1" customWidth="1"/>
    <col min="6" max="6" width="15.7109375" customWidth="1"/>
  </cols>
  <sheetData>
    <row r="2" spans="2:6" x14ac:dyDescent="0.25">
      <c r="B2" s="126" t="s">
        <v>0</v>
      </c>
      <c r="C2" s="127"/>
      <c r="E2" s="128" t="s">
        <v>157</v>
      </c>
      <c r="F2" s="129"/>
    </row>
    <row r="3" spans="2:6" x14ac:dyDescent="0.25">
      <c r="B3" s="38" t="s">
        <v>10</v>
      </c>
      <c r="C3" s="130" t="s">
        <v>11</v>
      </c>
      <c r="E3" s="174" t="s">
        <v>5</v>
      </c>
      <c r="F3" s="174" t="s">
        <v>6</v>
      </c>
    </row>
    <row r="4" spans="2:6" x14ac:dyDescent="0.25">
      <c r="B4" s="42" t="s">
        <v>12</v>
      </c>
      <c r="C4" s="131" t="s">
        <v>158</v>
      </c>
      <c r="E4" s="172" t="s">
        <v>67</v>
      </c>
      <c r="F4" s="173">
        <v>6.625E-4</v>
      </c>
    </row>
    <row r="5" spans="2:6" x14ac:dyDescent="0.25">
      <c r="B5" s="42" t="s">
        <v>13</v>
      </c>
      <c r="C5" s="131" t="s">
        <v>88</v>
      </c>
      <c r="E5" s="148" t="s">
        <v>91</v>
      </c>
      <c r="F5" s="149">
        <v>6.1249999999999998E-4</v>
      </c>
    </row>
    <row r="6" spans="2:6" x14ac:dyDescent="0.25">
      <c r="B6" s="44" t="s">
        <v>15</v>
      </c>
      <c r="C6" s="132">
        <v>43812</v>
      </c>
      <c r="E6" s="148" t="s">
        <v>93</v>
      </c>
      <c r="F6" s="149">
        <v>5.8750000000000002E-4</v>
      </c>
    </row>
    <row r="7" spans="2:6" x14ac:dyDescent="0.25">
      <c r="C7" s="127"/>
      <c r="E7" s="148" t="s">
        <v>95</v>
      </c>
      <c r="F7" s="149">
        <v>6.2500000000000001E-4</v>
      </c>
    </row>
    <row r="8" spans="2:6" x14ac:dyDescent="0.25">
      <c r="B8" s="133" t="s">
        <v>159</v>
      </c>
      <c r="C8" s="127"/>
      <c r="E8" s="148" t="s">
        <v>97</v>
      </c>
      <c r="F8" s="149">
        <v>6.4999999999999997E-4</v>
      </c>
    </row>
    <row r="9" spans="2:6" x14ac:dyDescent="0.25">
      <c r="B9" s="38" t="s">
        <v>17</v>
      </c>
      <c r="C9" s="130" t="s">
        <v>160</v>
      </c>
      <c r="E9" s="148" t="s">
        <v>218</v>
      </c>
      <c r="F9" s="149">
        <v>6.7500000000000004E-4</v>
      </c>
    </row>
    <row r="10" spans="2:6" x14ac:dyDescent="0.25">
      <c r="B10" s="42" t="s">
        <v>19</v>
      </c>
      <c r="C10" s="134" t="str">
        <f ca="1">_xll.meLWOCurveMarketDataCreate(C9,B2,B3:C6,E2,E4:F23)</f>
        <v>USD_BASIS_3X6_MARKETDATA@8:0</v>
      </c>
      <c r="E10" s="148" t="s">
        <v>99</v>
      </c>
      <c r="F10" s="149">
        <v>6.9999999999999999E-4</v>
      </c>
    </row>
    <row r="11" spans="2:6" x14ac:dyDescent="0.25">
      <c r="B11" s="44"/>
      <c r="C11" s="135"/>
      <c r="E11" s="148" t="s">
        <v>152</v>
      </c>
      <c r="F11" s="149">
        <v>7.2499999999999995E-4</v>
      </c>
    </row>
    <row r="12" spans="2:6" x14ac:dyDescent="0.25">
      <c r="C12" s="127"/>
      <c r="E12" s="148" t="s">
        <v>154</v>
      </c>
      <c r="F12" s="149">
        <v>7.3749999999999998E-4</v>
      </c>
    </row>
    <row r="13" spans="2:6" x14ac:dyDescent="0.25">
      <c r="B13" s="133" t="s">
        <v>161</v>
      </c>
      <c r="C13" s="127"/>
      <c r="E13" s="148" t="s">
        <v>101</v>
      </c>
      <c r="F13" s="149">
        <v>7.6250000000000005E-4</v>
      </c>
    </row>
    <row r="14" spans="2:6" x14ac:dyDescent="0.25">
      <c r="B14" s="38" t="s">
        <v>162</v>
      </c>
      <c r="C14" s="130" t="s">
        <v>163</v>
      </c>
      <c r="E14" s="148" t="s">
        <v>103</v>
      </c>
      <c r="F14" s="149">
        <v>8.0000000000000004E-4</v>
      </c>
    </row>
    <row r="15" spans="2:6" x14ac:dyDescent="0.25">
      <c r="B15" s="42" t="s">
        <v>164</v>
      </c>
      <c r="C15" s="131" t="str">
        <f ca="1">B28</f>
        <v>USD_BASIS_3X6_WITH_RISK@7:0</v>
      </c>
      <c r="E15" s="148" t="s">
        <v>105</v>
      </c>
      <c r="F15" s="149">
        <v>8.3750000000000003E-4</v>
      </c>
    </row>
    <row r="16" spans="2:6" x14ac:dyDescent="0.25">
      <c r="B16" s="42" t="s">
        <v>165</v>
      </c>
      <c r="C16" s="131" t="s">
        <v>24</v>
      </c>
      <c r="E16" s="148" t="s">
        <v>107</v>
      </c>
      <c r="F16" s="149">
        <v>8.6249999999999999E-4</v>
      </c>
    </row>
    <row r="17" spans="2:6" x14ac:dyDescent="0.25">
      <c r="B17" s="44" t="s">
        <v>166</v>
      </c>
      <c r="C17" s="135"/>
      <c r="E17" s="148" t="s">
        <v>109</v>
      </c>
      <c r="F17" s="149">
        <v>8.8750000000000005E-4</v>
      </c>
    </row>
    <row r="18" spans="2:6" x14ac:dyDescent="0.25">
      <c r="C18" s="127"/>
      <c r="E18" s="148" t="s">
        <v>110</v>
      </c>
      <c r="F18" s="149">
        <v>8.9999999999999998E-4</v>
      </c>
    </row>
    <row r="19" spans="2:6" x14ac:dyDescent="0.25">
      <c r="B19" s="133" t="s">
        <v>167</v>
      </c>
      <c r="C19" s="127"/>
      <c r="E19" s="136"/>
      <c r="F19" s="137"/>
    </row>
    <row r="20" spans="2:6" x14ac:dyDescent="0.25">
      <c r="B20" s="38" t="s">
        <v>17</v>
      </c>
      <c r="C20" s="138" t="str">
        <f t="array" aca="1" ref="C20:C23" ca="1">IF('SWAP - USD3ML'!$D$28,_xll.meLWOCurveCalibrate(C14,C15,C10,C16,C17),"#LOAD SWAP CURVE")</f>
        <v>USD_BASIS_6M_CURVE@9:0</v>
      </c>
      <c r="E20" s="136"/>
      <c r="F20" s="137"/>
    </row>
    <row r="21" spans="2:6" x14ac:dyDescent="0.25">
      <c r="B21" s="42" t="s">
        <v>27</v>
      </c>
      <c r="C21" s="139" t="str">
        <f ca="1"/>
        <v>USDYC</v>
      </c>
      <c r="E21" s="141"/>
      <c r="F21" s="142"/>
    </row>
    <row r="22" spans="2:6" x14ac:dyDescent="0.25">
      <c r="B22" s="42" t="s">
        <v>28</v>
      </c>
      <c r="C22" s="139" t="str">
        <f ca="1"/>
        <v>3M6MBasis:USD6ML</v>
      </c>
      <c r="E22" s="141"/>
      <c r="F22" s="142"/>
    </row>
    <row r="23" spans="2:6" x14ac:dyDescent="0.25">
      <c r="B23" s="44" t="s">
        <v>29</v>
      </c>
      <c r="C23" s="140" t="str">
        <f ca="1"/>
        <v>0.14800 sec</v>
      </c>
      <c r="E23" s="143"/>
      <c r="F23" s="144"/>
    </row>
    <row r="24" spans="2:6" x14ac:dyDescent="0.25">
      <c r="B24" s="145" t="s">
        <v>168</v>
      </c>
      <c r="C24" s="147" t="b">
        <f ca="1">_xll.meLWOExists(C20,"CURVE")</f>
        <v>1</v>
      </c>
    </row>
    <row r="25" spans="2:6" x14ac:dyDescent="0.25">
      <c r="C25" s="127"/>
    </row>
    <row r="26" spans="2:6" x14ac:dyDescent="0.25">
      <c r="C26" s="127"/>
    </row>
    <row r="27" spans="2:6" x14ac:dyDescent="0.25">
      <c r="B27" s="66" t="s">
        <v>111</v>
      </c>
      <c r="C27" s="160" t="s">
        <v>39</v>
      </c>
    </row>
    <row r="28" spans="2:6" x14ac:dyDescent="0.25">
      <c r="B28" s="119" t="str">
        <f ca="1">_xll.meLWOCurveGeneratorCreate("USD_BASIS_3X6_WITH_RISK",B30,B31:C44,B46,B47:C52,B55,B56:C97)</f>
        <v>USD_BASIS_3X6_WITH_RISK@7:0</v>
      </c>
      <c r="C28" s="125" t="s">
        <v>314</v>
      </c>
    </row>
    <row r="29" spans="2:6" x14ac:dyDescent="0.25">
      <c r="C29" s="127"/>
    </row>
    <row r="30" spans="2:6" x14ac:dyDescent="0.25">
      <c r="B30" s="133" t="s">
        <v>31</v>
      </c>
      <c r="C30" s="127" t="s">
        <v>32</v>
      </c>
    </row>
    <row r="31" spans="2:6" x14ac:dyDescent="0.25">
      <c r="B31" s="162" t="s">
        <v>10</v>
      </c>
      <c r="C31" s="163" t="s">
        <v>11</v>
      </c>
    </row>
    <row r="32" spans="2:6" x14ac:dyDescent="0.25">
      <c r="B32" s="51" t="s">
        <v>12</v>
      </c>
      <c r="C32" s="164" t="s">
        <v>158</v>
      </c>
    </row>
    <row r="33" spans="2:3" x14ac:dyDescent="0.25">
      <c r="B33" s="51" t="s">
        <v>13</v>
      </c>
      <c r="C33" s="164" t="s">
        <v>88</v>
      </c>
    </row>
    <row r="34" spans="2:3" x14ac:dyDescent="0.25">
      <c r="B34" s="51" t="s">
        <v>33</v>
      </c>
      <c r="C34" s="164" t="s">
        <v>170</v>
      </c>
    </row>
    <row r="35" spans="2:3" x14ac:dyDescent="0.25">
      <c r="B35" s="51" t="s">
        <v>34</v>
      </c>
      <c r="C35" s="164" t="s">
        <v>171</v>
      </c>
    </row>
    <row r="36" spans="2:3" x14ac:dyDescent="0.25">
      <c r="B36" s="51" t="s">
        <v>36</v>
      </c>
      <c r="C36" s="164" t="s">
        <v>37</v>
      </c>
    </row>
    <row r="37" spans="2:3" x14ac:dyDescent="0.25">
      <c r="B37" s="51" t="s">
        <v>38</v>
      </c>
      <c r="C37" s="164" t="s">
        <v>37</v>
      </c>
    </row>
    <row r="38" spans="2:3" x14ac:dyDescent="0.25">
      <c r="B38" s="51" t="s">
        <v>172</v>
      </c>
      <c r="C38" s="164" t="s">
        <v>37</v>
      </c>
    </row>
    <row r="39" spans="2:3" x14ac:dyDescent="0.25">
      <c r="B39" s="51" t="s">
        <v>173</v>
      </c>
      <c r="C39" s="164" t="s">
        <v>77</v>
      </c>
    </row>
    <row r="40" spans="2:3" x14ac:dyDescent="0.25">
      <c r="B40" s="51" t="s">
        <v>174</v>
      </c>
      <c r="C40" s="164" t="s">
        <v>2</v>
      </c>
    </row>
    <row r="41" spans="2:3" x14ac:dyDescent="0.25">
      <c r="B41" s="51" t="s">
        <v>39</v>
      </c>
      <c r="C41" s="68" t="str">
        <f ca="1">C28</f>
        <v>ONCE</v>
      </c>
    </row>
    <row r="42" spans="2:3" x14ac:dyDescent="0.25">
      <c r="B42" s="51" t="s">
        <v>40</v>
      </c>
      <c r="C42" s="165" t="s">
        <v>41</v>
      </c>
    </row>
    <row r="43" spans="2:3" x14ac:dyDescent="0.25">
      <c r="B43" s="51" t="s">
        <v>42</v>
      </c>
      <c r="C43" s="166">
        <v>1E-4</v>
      </c>
    </row>
    <row r="44" spans="2:3" x14ac:dyDescent="0.25">
      <c r="B44" s="52" t="s">
        <v>43</v>
      </c>
      <c r="C44" s="167">
        <v>1E-4</v>
      </c>
    </row>
    <row r="45" spans="2:3" x14ac:dyDescent="0.25">
      <c r="C45" s="127"/>
    </row>
    <row r="46" spans="2:3" x14ac:dyDescent="0.25">
      <c r="B46" s="133" t="s">
        <v>132</v>
      </c>
      <c r="C46" s="127" t="s">
        <v>32</v>
      </c>
    </row>
    <row r="47" spans="2:3" x14ac:dyDescent="0.25">
      <c r="B47" s="38" t="s">
        <v>79</v>
      </c>
      <c r="C47" s="168" t="s">
        <v>80</v>
      </c>
    </row>
    <row r="48" spans="2:3" x14ac:dyDescent="0.25">
      <c r="B48" s="42" t="s">
        <v>136</v>
      </c>
      <c r="C48" s="169" t="s">
        <v>47</v>
      </c>
    </row>
    <row r="49" spans="2:3" x14ac:dyDescent="0.25">
      <c r="B49" s="42" t="s">
        <v>175</v>
      </c>
      <c r="C49" s="169">
        <v>2</v>
      </c>
    </row>
    <row r="50" spans="2:3" x14ac:dyDescent="0.25">
      <c r="B50" s="42" t="s">
        <v>84</v>
      </c>
      <c r="C50" s="169" t="s">
        <v>57</v>
      </c>
    </row>
    <row r="51" spans="2:3" x14ac:dyDescent="0.25">
      <c r="B51" s="42" t="s">
        <v>134</v>
      </c>
      <c r="C51" s="169" t="s">
        <v>77</v>
      </c>
    </row>
    <row r="52" spans="2:3" x14ac:dyDescent="0.25">
      <c r="B52" s="44" t="s">
        <v>135</v>
      </c>
      <c r="C52" s="170">
        <v>2</v>
      </c>
    </row>
    <row r="53" spans="2:3" x14ac:dyDescent="0.25">
      <c r="B53" t="s">
        <v>32</v>
      </c>
      <c r="C53" s="127" t="s">
        <v>32</v>
      </c>
    </row>
    <row r="54" spans="2:3" x14ac:dyDescent="0.25">
      <c r="B54" t="s">
        <v>32</v>
      </c>
      <c r="C54" s="127" t="s">
        <v>32</v>
      </c>
    </row>
    <row r="55" spans="2:3" x14ac:dyDescent="0.25">
      <c r="B55" s="133" t="s">
        <v>157</v>
      </c>
      <c r="C55" s="127" t="s">
        <v>32</v>
      </c>
    </row>
    <row r="56" spans="2:3" x14ac:dyDescent="0.25">
      <c r="B56" s="38" t="s">
        <v>176</v>
      </c>
      <c r="C56" s="168" t="s">
        <v>170</v>
      </c>
    </row>
    <row r="57" spans="2:3" x14ac:dyDescent="0.25">
      <c r="B57" s="42" t="s">
        <v>177</v>
      </c>
      <c r="C57" s="169" t="s">
        <v>77</v>
      </c>
    </row>
    <row r="58" spans="2:3" x14ac:dyDescent="0.25">
      <c r="B58" s="42" t="s">
        <v>178</v>
      </c>
      <c r="C58" s="169" t="s">
        <v>80</v>
      </c>
    </row>
    <row r="59" spans="2:3" x14ac:dyDescent="0.25">
      <c r="B59" s="42" t="s">
        <v>179</v>
      </c>
      <c r="C59" s="169" t="s">
        <v>47</v>
      </c>
    </row>
    <row r="60" spans="2:3" x14ac:dyDescent="0.25">
      <c r="B60" s="42" t="s">
        <v>180</v>
      </c>
      <c r="C60" s="169" t="s">
        <v>88</v>
      </c>
    </row>
    <row r="61" spans="2:3" x14ac:dyDescent="0.25">
      <c r="B61" s="42" t="s">
        <v>181</v>
      </c>
      <c r="C61" s="169" t="s">
        <v>57</v>
      </c>
    </row>
    <row r="62" spans="2:3" x14ac:dyDescent="0.25">
      <c r="B62" s="42" t="s">
        <v>182</v>
      </c>
      <c r="C62" s="169">
        <v>2</v>
      </c>
    </row>
    <row r="63" spans="2:3" x14ac:dyDescent="0.25">
      <c r="B63" s="42" t="s">
        <v>183</v>
      </c>
      <c r="C63" s="169" t="s">
        <v>118</v>
      </c>
    </row>
    <row r="64" spans="2:3" x14ac:dyDescent="0.25">
      <c r="B64" s="42" t="s">
        <v>184</v>
      </c>
      <c r="C64" s="169" t="s">
        <v>2</v>
      </c>
    </row>
    <row r="65" spans="2:3" x14ac:dyDescent="0.25">
      <c r="B65" s="42" t="s">
        <v>185</v>
      </c>
      <c r="C65" s="169" t="s">
        <v>106</v>
      </c>
    </row>
    <row r="66" spans="2:3" x14ac:dyDescent="0.25">
      <c r="B66" s="42" t="s">
        <v>186</v>
      </c>
      <c r="C66" s="169" t="s">
        <v>47</v>
      </c>
    </row>
    <row r="67" spans="2:3" x14ac:dyDescent="0.25">
      <c r="B67" s="42" t="s">
        <v>187</v>
      </c>
      <c r="C67" s="169" t="s">
        <v>80</v>
      </c>
    </row>
    <row r="68" spans="2:3" x14ac:dyDescent="0.25">
      <c r="B68" s="42" t="s">
        <v>188</v>
      </c>
      <c r="C68" s="169" t="s">
        <v>124</v>
      </c>
    </row>
    <row r="69" spans="2:3" x14ac:dyDescent="0.25">
      <c r="B69" s="42" t="s">
        <v>189</v>
      </c>
      <c r="C69" s="169" t="s">
        <v>80</v>
      </c>
    </row>
    <row r="70" spans="2:3" x14ac:dyDescent="0.25">
      <c r="B70" s="42" t="s">
        <v>190</v>
      </c>
      <c r="C70" s="169">
        <v>2</v>
      </c>
    </row>
    <row r="71" spans="2:3" x14ac:dyDescent="0.25">
      <c r="B71" s="42" t="s">
        <v>191</v>
      </c>
      <c r="C71" s="169" t="s">
        <v>57</v>
      </c>
    </row>
    <row r="72" spans="2:3" x14ac:dyDescent="0.25">
      <c r="B72" s="42" t="s">
        <v>192</v>
      </c>
      <c r="C72" s="169" t="s">
        <v>80</v>
      </c>
    </row>
    <row r="73" spans="2:3" x14ac:dyDescent="0.25">
      <c r="B73" s="42" t="s">
        <v>193</v>
      </c>
      <c r="C73" s="169" t="s">
        <v>47</v>
      </c>
    </row>
    <row r="74" spans="2:3" x14ac:dyDescent="0.25">
      <c r="B74" s="42" t="s">
        <v>194</v>
      </c>
      <c r="C74" s="169" t="s">
        <v>83</v>
      </c>
    </row>
    <row r="75" spans="2:3" x14ac:dyDescent="0.25">
      <c r="B75" s="42" t="s">
        <v>195</v>
      </c>
      <c r="C75" s="169" t="s">
        <v>88</v>
      </c>
    </row>
    <row r="76" spans="2:3" x14ac:dyDescent="0.25">
      <c r="B76" s="42" t="s">
        <v>196</v>
      </c>
      <c r="C76" s="169" t="s">
        <v>57</v>
      </c>
    </row>
    <row r="77" spans="2:3" x14ac:dyDescent="0.25">
      <c r="B77" s="42" t="s">
        <v>197</v>
      </c>
      <c r="C77" s="169">
        <v>2</v>
      </c>
    </row>
    <row r="78" spans="2:3" x14ac:dyDescent="0.25">
      <c r="B78" s="42" t="s">
        <v>198</v>
      </c>
      <c r="C78" s="169" t="s">
        <v>199</v>
      </c>
    </row>
    <row r="79" spans="2:3" x14ac:dyDescent="0.25">
      <c r="B79" s="42" t="s">
        <v>200</v>
      </c>
      <c r="C79" s="169" t="s">
        <v>201</v>
      </c>
    </row>
    <row r="80" spans="2:3" x14ac:dyDescent="0.25">
      <c r="B80" s="42" t="s">
        <v>202</v>
      </c>
      <c r="C80" s="169" t="s">
        <v>100</v>
      </c>
    </row>
    <row r="81" spans="2:3" x14ac:dyDescent="0.25">
      <c r="B81" s="42" t="s">
        <v>203</v>
      </c>
      <c r="C81" s="169" t="s">
        <v>47</v>
      </c>
    </row>
    <row r="82" spans="2:3" x14ac:dyDescent="0.25">
      <c r="B82" s="42" t="s">
        <v>204</v>
      </c>
      <c r="C82" s="169" t="s">
        <v>80</v>
      </c>
    </row>
    <row r="83" spans="2:3" x14ac:dyDescent="0.25">
      <c r="B83" s="42" t="s">
        <v>205</v>
      </c>
      <c r="C83" s="169" t="s">
        <v>124</v>
      </c>
    </row>
    <row r="84" spans="2:3" x14ac:dyDescent="0.25">
      <c r="B84" s="42" t="s">
        <v>206</v>
      </c>
      <c r="C84" s="169" t="s">
        <v>80</v>
      </c>
    </row>
    <row r="85" spans="2:3" x14ac:dyDescent="0.25">
      <c r="B85" s="42" t="s">
        <v>207</v>
      </c>
      <c r="C85" s="169">
        <v>2</v>
      </c>
    </row>
    <row r="86" spans="2:3" x14ac:dyDescent="0.25">
      <c r="B86" s="42" t="s">
        <v>208</v>
      </c>
      <c r="C86" s="169" t="s">
        <v>57</v>
      </c>
    </row>
    <row r="87" spans="2:3" x14ac:dyDescent="0.25">
      <c r="B87" s="42" t="s">
        <v>209</v>
      </c>
      <c r="C87" s="169" t="s">
        <v>210</v>
      </c>
    </row>
    <row r="88" spans="2:3" x14ac:dyDescent="0.25">
      <c r="B88" s="42" t="s">
        <v>211</v>
      </c>
      <c r="C88" s="169" t="s">
        <v>61</v>
      </c>
    </row>
    <row r="89" spans="2:3" x14ac:dyDescent="0.25">
      <c r="B89" s="42" t="s">
        <v>212</v>
      </c>
      <c r="C89" s="169" t="s">
        <v>37</v>
      </c>
    </row>
    <row r="90" spans="2:3" x14ac:dyDescent="0.25">
      <c r="B90" s="42" t="s">
        <v>213</v>
      </c>
      <c r="C90" s="169" t="s">
        <v>61</v>
      </c>
    </row>
    <row r="91" spans="2:3" x14ac:dyDescent="0.25">
      <c r="B91" s="42" t="s">
        <v>214</v>
      </c>
      <c r="C91" s="169" t="s">
        <v>106</v>
      </c>
    </row>
    <row r="92" spans="2:3" x14ac:dyDescent="0.25">
      <c r="B92" s="42" t="s">
        <v>215</v>
      </c>
      <c r="C92" s="169" t="s">
        <v>77</v>
      </c>
    </row>
    <row r="93" spans="2:3" x14ac:dyDescent="0.25">
      <c r="B93" s="42" t="s">
        <v>70</v>
      </c>
      <c r="C93" s="169">
        <v>1.0000000000000003E-9</v>
      </c>
    </row>
    <row r="94" spans="2:3" x14ac:dyDescent="0.25">
      <c r="B94" s="42" t="s">
        <v>72</v>
      </c>
      <c r="C94" s="169">
        <v>1000</v>
      </c>
    </row>
    <row r="95" spans="2:3" x14ac:dyDescent="0.25">
      <c r="B95" s="42" t="s">
        <v>216</v>
      </c>
      <c r="C95" s="169" t="s">
        <v>77</v>
      </c>
    </row>
    <row r="96" spans="2:3" x14ac:dyDescent="0.25">
      <c r="B96" s="42" t="s">
        <v>217</v>
      </c>
      <c r="C96" s="169" t="s">
        <v>61</v>
      </c>
    </row>
    <row r="97" spans="2:3" x14ac:dyDescent="0.25">
      <c r="B97" s="44" t="s">
        <v>58</v>
      </c>
      <c r="C97" s="170">
        <v>31</v>
      </c>
    </row>
    <row r="98" spans="2:3" x14ac:dyDescent="0.25">
      <c r="C98" s="127"/>
    </row>
    <row r="99" spans="2:3" x14ac:dyDescent="0.25">
      <c r="C99" s="1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399"/>
  <sheetViews>
    <sheetView showGridLines="0" workbookViewId="0"/>
  </sheetViews>
  <sheetFormatPr defaultRowHeight="15" x14ac:dyDescent="0.25"/>
  <cols>
    <col min="2" max="3" width="19.42578125" bestFit="1" customWidth="1"/>
    <col min="4" max="41" width="9.28515625" bestFit="1" customWidth="1"/>
    <col min="42" max="42" width="12.7109375" bestFit="1" customWidth="1"/>
    <col min="43" max="43" width="9.28515625" bestFit="1" customWidth="1"/>
  </cols>
  <sheetData>
    <row r="2" spans="2:43" x14ac:dyDescent="0.25">
      <c r="C2" s="184" t="s">
        <v>219</v>
      </c>
      <c r="F2" s="184" t="s">
        <v>220</v>
      </c>
      <c r="I2" s="133" t="s">
        <v>221</v>
      </c>
    </row>
    <row r="3" spans="2:43" x14ac:dyDescent="0.25">
      <c r="B3" s="133" t="s">
        <v>222</v>
      </c>
      <c r="C3" s="183" t="s">
        <v>24</v>
      </c>
      <c r="F3" s="146" t="s">
        <v>223</v>
      </c>
      <c r="I3" s="146" t="s">
        <v>224</v>
      </c>
      <c r="J3" s="146"/>
    </row>
    <row r="4" spans="2:43" x14ac:dyDescent="0.25">
      <c r="B4" s="133" t="s">
        <v>225</v>
      </c>
      <c r="C4" s="183" t="s">
        <v>223</v>
      </c>
      <c r="F4" s="146" t="s">
        <v>226</v>
      </c>
      <c r="I4" s="146" t="s">
        <v>227</v>
      </c>
      <c r="J4" s="146"/>
    </row>
    <row r="5" spans="2:43" x14ac:dyDescent="0.25">
      <c r="B5" s="133" t="s">
        <v>228</v>
      </c>
      <c r="C5" s="183" t="str">
        <f ca="1">I3</f>
        <v>Discount_Factors</v>
      </c>
      <c r="F5" s="146" t="s">
        <v>229</v>
      </c>
    </row>
    <row r="7" spans="2:43" x14ac:dyDescent="0.25">
      <c r="B7" s="11" t="str">
        <f t="array" aca="1" ref="B7:AQ399" ca="1">_xll.meUtilityResize(_xll.meCurveResultsJacobianDisplay(C3,C4,C5),8000,50)</f>
        <v>RiskType</v>
      </c>
      <c r="C7" s="181" t="str">
        <f ca="1"/>
        <v>DISCOUNT_FACTORS</v>
      </c>
      <c r="D7" s="11" t="str">
        <f ca="1"/>
        <v/>
      </c>
      <c r="E7" s="11" t="str">
        <f ca="1"/>
        <v/>
      </c>
      <c r="F7" s="11" t="str">
        <f ca="1"/>
        <v/>
      </c>
      <c r="G7" s="11" t="str">
        <f ca="1"/>
        <v/>
      </c>
      <c r="H7" s="11" t="str">
        <f ca="1"/>
        <v/>
      </c>
      <c r="I7" s="11" t="str">
        <f ca="1"/>
        <v/>
      </c>
      <c r="J7" s="11" t="str">
        <f ca="1"/>
        <v/>
      </c>
      <c r="K7" s="11" t="str">
        <f ca="1"/>
        <v/>
      </c>
      <c r="L7" s="11" t="str">
        <f ca="1"/>
        <v/>
      </c>
      <c r="M7" s="11" t="str">
        <f ca="1"/>
        <v/>
      </c>
      <c r="N7" s="11" t="str">
        <f ca="1"/>
        <v/>
      </c>
      <c r="O7" s="11" t="str">
        <f ca="1"/>
        <v/>
      </c>
      <c r="P7" s="11" t="str">
        <f ca="1"/>
        <v/>
      </c>
      <c r="Q7" s="11" t="str">
        <f ca="1"/>
        <v/>
      </c>
      <c r="R7" s="11" t="str">
        <f ca="1"/>
        <v/>
      </c>
      <c r="S7" s="11" t="str">
        <f ca="1"/>
        <v/>
      </c>
      <c r="T7" s="11" t="str">
        <f ca="1"/>
        <v/>
      </c>
      <c r="U7" s="11" t="str">
        <f ca="1"/>
        <v/>
      </c>
      <c r="V7" s="11" t="str">
        <f ca="1"/>
        <v/>
      </c>
      <c r="W7" s="11" t="str">
        <f ca="1"/>
        <v/>
      </c>
      <c r="X7" s="11" t="str">
        <f ca="1"/>
        <v/>
      </c>
      <c r="Y7" s="11" t="str">
        <f ca="1"/>
        <v/>
      </c>
      <c r="Z7" s="11" t="str">
        <f ca="1"/>
        <v/>
      </c>
      <c r="AA7" s="11" t="str">
        <f ca="1"/>
        <v/>
      </c>
      <c r="AB7" s="11" t="str">
        <f ca="1"/>
        <v/>
      </c>
      <c r="AC7" s="11" t="str">
        <f ca="1"/>
        <v/>
      </c>
      <c r="AD7" s="11" t="str">
        <f ca="1"/>
        <v/>
      </c>
      <c r="AE7" s="11" t="str">
        <f ca="1"/>
        <v/>
      </c>
      <c r="AF7" s="11" t="str">
        <f ca="1"/>
        <v/>
      </c>
      <c r="AG7" s="11" t="str">
        <f ca="1"/>
        <v/>
      </c>
      <c r="AH7" s="11" t="str">
        <f ca="1"/>
        <v/>
      </c>
      <c r="AI7" s="11" t="str">
        <f ca="1"/>
        <v/>
      </c>
      <c r="AJ7" s="11" t="str">
        <f ca="1"/>
        <v/>
      </c>
      <c r="AK7" s="11" t="str">
        <f ca="1"/>
        <v/>
      </c>
      <c r="AL7" s="11" t="str">
        <f ca="1"/>
        <v/>
      </c>
      <c r="AM7" s="11" t="str">
        <f ca="1"/>
        <v/>
      </c>
      <c r="AN7" s="11" t="str">
        <f ca="1"/>
        <v/>
      </c>
      <c r="AO7" s="11" t="str">
        <f ca="1"/>
        <v/>
      </c>
      <c r="AP7" s="11" t="str">
        <f ca="1"/>
        <v/>
      </c>
      <c r="AQ7" t="str">
        <f ca="1"/>
        <v/>
      </c>
    </row>
    <row r="8" spans="2:43" x14ac:dyDescent="0.25">
      <c r="B8" s="11" t="str">
        <f ca="1"/>
        <v>ShiftType</v>
      </c>
      <c r="C8" s="181" t="str">
        <f ca="1"/>
        <v>PERTURBED</v>
      </c>
      <c r="D8" s="11" t="str">
        <f ca="1"/>
        <v/>
      </c>
      <c r="E8" s="11" t="str">
        <f ca="1"/>
        <v/>
      </c>
      <c r="F8" s="11" t="str">
        <f ca="1"/>
        <v/>
      </c>
      <c r="G8" s="11" t="str">
        <f ca="1"/>
        <v/>
      </c>
      <c r="H8" s="11" t="str">
        <f ca="1"/>
        <v/>
      </c>
      <c r="I8" s="11" t="str">
        <f ca="1"/>
        <v/>
      </c>
      <c r="J8" s="11" t="str">
        <f ca="1"/>
        <v/>
      </c>
      <c r="K8" s="11" t="str">
        <f ca="1"/>
        <v/>
      </c>
      <c r="L8" s="11" t="str">
        <f ca="1"/>
        <v/>
      </c>
      <c r="M8" s="11" t="str">
        <f ca="1"/>
        <v/>
      </c>
      <c r="N8" s="11" t="str">
        <f ca="1"/>
        <v/>
      </c>
      <c r="O8" s="11" t="str">
        <f ca="1"/>
        <v/>
      </c>
      <c r="P8" s="11" t="str">
        <f ca="1"/>
        <v/>
      </c>
      <c r="Q8" s="11" t="str">
        <f ca="1"/>
        <v/>
      </c>
      <c r="R8" s="11" t="str">
        <f ca="1"/>
        <v/>
      </c>
      <c r="S8" s="11" t="str">
        <f ca="1"/>
        <v/>
      </c>
      <c r="T8" s="11" t="str">
        <f ca="1"/>
        <v/>
      </c>
      <c r="U8" s="11" t="str">
        <f ca="1"/>
        <v/>
      </c>
      <c r="V8" s="11" t="str">
        <f ca="1"/>
        <v/>
      </c>
      <c r="W8" s="11" t="str">
        <f ca="1"/>
        <v/>
      </c>
      <c r="X8" s="11" t="str">
        <f ca="1"/>
        <v/>
      </c>
      <c r="Y8" s="11" t="str">
        <f ca="1"/>
        <v/>
      </c>
      <c r="Z8" s="11" t="str">
        <f ca="1"/>
        <v/>
      </c>
      <c r="AA8" s="11" t="str">
        <f ca="1"/>
        <v/>
      </c>
      <c r="AB8" s="11" t="str">
        <f ca="1"/>
        <v/>
      </c>
      <c r="AC8" s="11" t="str">
        <f ca="1"/>
        <v/>
      </c>
      <c r="AD8" s="11" t="str">
        <f ca="1"/>
        <v/>
      </c>
      <c r="AE8" s="11" t="str">
        <f ca="1"/>
        <v/>
      </c>
      <c r="AF8" s="11" t="str">
        <f ca="1"/>
        <v/>
      </c>
      <c r="AG8" s="11" t="str">
        <f ca="1"/>
        <v/>
      </c>
      <c r="AH8" s="11" t="str">
        <f ca="1"/>
        <v/>
      </c>
      <c r="AI8" s="11" t="str">
        <f ca="1"/>
        <v/>
      </c>
      <c r="AJ8" s="11" t="str">
        <f ca="1"/>
        <v/>
      </c>
      <c r="AK8" s="11" t="str">
        <f ca="1"/>
        <v/>
      </c>
      <c r="AL8" s="11" t="str">
        <f ca="1"/>
        <v/>
      </c>
      <c r="AM8" s="11" t="str">
        <f ca="1"/>
        <v/>
      </c>
      <c r="AN8" s="11" t="str">
        <f ca="1"/>
        <v/>
      </c>
      <c r="AO8" s="11" t="str">
        <f ca="1"/>
        <v/>
      </c>
      <c r="AP8" s="11" t="str">
        <f ca="1"/>
        <v/>
      </c>
      <c r="AQ8" t="str">
        <f ca="1"/>
        <v/>
      </c>
    </row>
    <row r="9" spans="2:43" x14ac:dyDescent="0.25">
      <c r="B9" s="11" t="str">
        <f ca="1"/>
        <v>GradientShiftSize</v>
      </c>
      <c r="C9" s="182">
        <f ca="1"/>
        <v>1E-4</v>
      </c>
      <c r="D9" s="11" t="str">
        <f ca="1"/>
        <v/>
      </c>
      <c r="E9" s="11" t="str">
        <f ca="1"/>
        <v/>
      </c>
      <c r="F9" s="11" t="str">
        <f ca="1"/>
        <v/>
      </c>
      <c r="G9" s="11" t="str">
        <f ca="1"/>
        <v/>
      </c>
      <c r="H9" s="11" t="str">
        <f ca="1"/>
        <v/>
      </c>
      <c r="I9" s="11" t="str">
        <f ca="1"/>
        <v/>
      </c>
      <c r="J9" s="11" t="str">
        <f ca="1"/>
        <v/>
      </c>
      <c r="K9" s="11" t="str">
        <f ca="1"/>
        <v/>
      </c>
      <c r="L9" s="11" t="str">
        <f ca="1"/>
        <v/>
      </c>
      <c r="M9" s="11" t="str">
        <f ca="1"/>
        <v/>
      </c>
      <c r="N9" s="11" t="str">
        <f ca="1"/>
        <v/>
      </c>
      <c r="O9" s="11" t="str">
        <f ca="1"/>
        <v/>
      </c>
      <c r="P9" s="11" t="str">
        <f ca="1"/>
        <v/>
      </c>
      <c r="Q9" s="11" t="str">
        <f ca="1"/>
        <v/>
      </c>
      <c r="R9" s="11" t="str">
        <f ca="1"/>
        <v/>
      </c>
      <c r="S9" s="11" t="str">
        <f ca="1"/>
        <v/>
      </c>
      <c r="T9" s="11" t="str">
        <f ca="1"/>
        <v/>
      </c>
      <c r="U9" s="11" t="str">
        <f ca="1"/>
        <v/>
      </c>
      <c r="V9" s="11" t="str">
        <f ca="1"/>
        <v/>
      </c>
      <c r="W9" s="11" t="str">
        <f ca="1"/>
        <v/>
      </c>
      <c r="X9" s="11" t="str">
        <f ca="1"/>
        <v/>
      </c>
      <c r="Y9" s="11" t="str">
        <f ca="1"/>
        <v/>
      </c>
      <c r="Z9" s="11" t="str">
        <f ca="1"/>
        <v/>
      </c>
      <c r="AA9" s="11" t="str">
        <f ca="1"/>
        <v/>
      </c>
      <c r="AB9" s="11" t="str">
        <f ca="1"/>
        <v/>
      </c>
      <c r="AC9" s="11" t="str">
        <f ca="1"/>
        <v/>
      </c>
      <c r="AD9" s="11" t="str">
        <f ca="1"/>
        <v/>
      </c>
      <c r="AE9" s="11" t="str">
        <f ca="1"/>
        <v/>
      </c>
      <c r="AF9" s="11" t="str">
        <f ca="1"/>
        <v/>
      </c>
      <c r="AG9" s="11" t="str">
        <f ca="1"/>
        <v/>
      </c>
      <c r="AH9" s="11" t="str">
        <f ca="1"/>
        <v/>
      </c>
      <c r="AI9" s="11" t="str">
        <f ca="1"/>
        <v/>
      </c>
      <c r="AJ9" s="11" t="str">
        <f ca="1"/>
        <v/>
      </c>
      <c r="AK9" s="11" t="str">
        <f ca="1"/>
        <v/>
      </c>
      <c r="AL9" s="11" t="str">
        <f ca="1"/>
        <v/>
      </c>
      <c r="AM9" s="11" t="str">
        <f ca="1"/>
        <v/>
      </c>
      <c r="AN9" s="11" t="str">
        <f ca="1"/>
        <v/>
      </c>
      <c r="AO9" s="11" t="str">
        <f ca="1"/>
        <v/>
      </c>
      <c r="AP9" s="11" t="str">
        <f ca="1"/>
        <v/>
      </c>
      <c r="AQ9" t="str">
        <f ca="1"/>
        <v/>
      </c>
    </row>
    <row r="10" spans="2:43" x14ac:dyDescent="0.25">
      <c r="B10" s="11" t="str">
        <f ca="1"/>
        <v/>
      </c>
      <c r="C10" s="11" t="str">
        <f ca="1"/>
        <v/>
      </c>
      <c r="D10" s="11" t="str">
        <f ca="1"/>
        <v/>
      </c>
      <c r="E10" s="11" t="str">
        <f ca="1"/>
        <v/>
      </c>
      <c r="F10" s="11" t="str">
        <f ca="1"/>
        <v/>
      </c>
      <c r="G10" s="11" t="str">
        <f ca="1"/>
        <v/>
      </c>
      <c r="H10" s="11" t="str">
        <f ca="1"/>
        <v/>
      </c>
      <c r="I10" s="11" t="str">
        <f ca="1"/>
        <v/>
      </c>
      <c r="J10" s="11" t="str">
        <f ca="1"/>
        <v/>
      </c>
      <c r="K10" s="11" t="str">
        <f ca="1"/>
        <v/>
      </c>
      <c r="L10" s="11" t="str">
        <f ca="1"/>
        <v/>
      </c>
      <c r="M10" s="11" t="str">
        <f ca="1"/>
        <v/>
      </c>
      <c r="N10" s="11" t="str">
        <f ca="1"/>
        <v/>
      </c>
      <c r="O10" s="11" t="str">
        <f ca="1"/>
        <v/>
      </c>
      <c r="P10" s="11" t="str">
        <f ca="1"/>
        <v/>
      </c>
      <c r="Q10" s="11" t="str">
        <f ca="1"/>
        <v/>
      </c>
      <c r="R10" s="11" t="str">
        <f ca="1"/>
        <v/>
      </c>
      <c r="S10" s="11" t="str">
        <f ca="1"/>
        <v/>
      </c>
      <c r="T10" s="11" t="str">
        <f ca="1"/>
        <v/>
      </c>
      <c r="U10" s="11" t="str">
        <f ca="1"/>
        <v/>
      </c>
      <c r="V10" s="11" t="str">
        <f ca="1"/>
        <v/>
      </c>
      <c r="W10" s="11" t="str">
        <f ca="1"/>
        <v/>
      </c>
      <c r="X10" s="11" t="str">
        <f ca="1"/>
        <v/>
      </c>
      <c r="Y10" s="11" t="str">
        <f ca="1"/>
        <v/>
      </c>
      <c r="Z10" s="11" t="str">
        <f ca="1"/>
        <v/>
      </c>
      <c r="AA10" s="11" t="str">
        <f ca="1"/>
        <v/>
      </c>
      <c r="AB10" s="11" t="str">
        <f ca="1"/>
        <v/>
      </c>
      <c r="AC10" s="11" t="str">
        <f ca="1"/>
        <v/>
      </c>
      <c r="AD10" s="11" t="str">
        <f ca="1"/>
        <v/>
      </c>
      <c r="AE10" s="11" t="str">
        <f ca="1"/>
        <v/>
      </c>
      <c r="AF10" s="11" t="str">
        <f ca="1"/>
        <v/>
      </c>
      <c r="AG10" s="11" t="str">
        <f ca="1"/>
        <v/>
      </c>
      <c r="AH10" s="11" t="str">
        <f ca="1"/>
        <v/>
      </c>
      <c r="AI10" s="11" t="str">
        <f ca="1"/>
        <v/>
      </c>
      <c r="AJ10" s="11" t="str">
        <f ca="1"/>
        <v/>
      </c>
      <c r="AK10" s="11" t="str">
        <f ca="1"/>
        <v/>
      </c>
      <c r="AL10" s="11" t="str">
        <f ca="1"/>
        <v/>
      </c>
      <c r="AM10" s="11" t="str">
        <f ca="1"/>
        <v/>
      </c>
      <c r="AN10" s="11" t="str">
        <f ca="1"/>
        <v/>
      </c>
      <c r="AO10" s="11" t="str">
        <f ca="1"/>
        <v/>
      </c>
      <c r="AP10" s="11" t="str">
        <f ca="1"/>
        <v/>
      </c>
      <c r="AQ10" t="str">
        <f ca="1"/>
        <v/>
      </c>
    </row>
    <row r="11" spans="2:43" x14ac:dyDescent="0.25">
      <c r="B11" s="11" t="str">
        <f ca="1"/>
        <v>OutrightInstrument</v>
      </c>
      <c r="C11" s="182" t="str">
        <f ca="1"/>
        <v>TRUE</v>
      </c>
      <c r="D11" s="182" t="str">
        <f ca="1"/>
        <v>TRUE</v>
      </c>
      <c r="E11" s="182" t="str">
        <f ca="1"/>
        <v>TRUE</v>
      </c>
      <c r="F11" s="182" t="str">
        <f ca="1"/>
        <v>TRUE</v>
      </c>
      <c r="G11" s="182" t="str">
        <f ca="1"/>
        <v>TRUE</v>
      </c>
      <c r="H11" s="182" t="str">
        <f ca="1"/>
        <v>TRUE</v>
      </c>
      <c r="I11" s="182" t="str">
        <f ca="1"/>
        <v>TRUE</v>
      </c>
      <c r="J11" s="182" t="str">
        <f ca="1"/>
        <v>TRUE</v>
      </c>
      <c r="K11" s="182" t="str">
        <f ca="1"/>
        <v>TRUE</v>
      </c>
      <c r="L11" s="182" t="str">
        <f ca="1"/>
        <v>TRUE</v>
      </c>
      <c r="M11" s="182" t="str">
        <f ca="1"/>
        <v>TRUE</v>
      </c>
      <c r="N11" s="182" t="str">
        <f ca="1"/>
        <v>TRUE</v>
      </c>
      <c r="O11" s="182" t="str">
        <f ca="1"/>
        <v>TRUE</v>
      </c>
      <c r="P11" s="182" t="str">
        <f ca="1"/>
        <v>TRUE</v>
      </c>
      <c r="Q11" s="182" t="str">
        <f ca="1"/>
        <v>TRUE</v>
      </c>
      <c r="R11" s="182" t="str">
        <f ca="1"/>
        <v>TRUE</v>
      </c>
      <c r="S11" s="182" t="str">
        <f ca="1"/>
        <v>FALSE</v>
      </c>
      <c r="T11" s="182" t="str">
        <f ca="1"/>
        <v>FALSE</v>
      </c>
      <c r="U11" s="182" t="str">
        <f ca="1"/>
        <v>FALSE</v>
      </c>
      <c r="V11" s="182" t="str">
        <f ca="1"/>
        <v>FALSE</v>
      </c>
      <c r="W11" s="182" t="str">
        <f ca="1"/>
        <v>FALSE</v>
      </c>
      <c r="X11" s="182" t="str">
        <f ca="1"/>
        <v>FALSE</v>
      </c>
      <c r="Y11" s="182" t="str">
        <f ca="1"/>
        <v>FALSE</v>
      </c>
      <c r="Z11" s="182" t="str">
        <f ca="1"/>
        <v>FALSE</v>
      </c>
      <c r="AA11" s="182" t="str">
        <f ca="1"/>
        <v>FALSE</v>
      </c>
      <c r="AB11" s="182" t="str">
        <f ca="1"/>
        <v>FALSE</v>
      </c>
      <c r="AC11" s="182" t="str">
        <f ca="1"/>
        <v>FALSE</v>
      </c>
      <c r="AD11" s="182" t="str">
        <f ca="1"/>
        <v>FALSE</v>
      </c>
      <c r="AE11" s="182" t="str">
        <f ca="1"/>
        <v>TRUE</v>
      </c>
      <c r="AF11" s="182" t="str">
        <f ca="1"/>
        <v>TRUE</v>
      </c>
      <c r="AG11" s="182" t="str">
        <f ca="1"/>
        <v>TRUE</v>
      </c>
      <c r="AH11" s="182" t="str">
        <f ca="1"/>
        <v>TRUE</v>
      </c>
      <c r="AI11" s="182" t="str">
        <f ca="1"/>
        <v>TRUE</v>
      </c>
      <c r="AJ11" s="182" t="str">
        <f ca="1"/>
        <v>TRUE</v>
      </c>
      <c r="AK11" s="182" t="str">
        <f ca="1"/>
        <v>TRUE</v>
      </c>
      <c r="AL11" s="182" t="str">
        <f ca="1"/>
        <v>TRUE</v>
      </c>
      <c r="AM11" s="182" t="str">
        <f ca="1"/>
        <v>TRUE</v>
      </c>
      <c r="AN11" s="182" t="str">
        <f ca="1"/>
        <v>TRUE</v>
      </c>
      <c r="AO11" s="182" t="str">
        <f ca="1"/>
        <v>TRUE</v>
      </c>
      <c r="AP11" s="182" t="str">
        <f ca="1"/>
        <v>TRUE</v>
      </c>
      <c r="AQ11" t="str">
        <f ca="1"/>
        <v/>
      </c>
    </row>
    <row r="12" spans="2:43" x14ac:dyDescent="0.25">
      <c r="B12" s="11" t="str">
        <f ca="1"/>
        <v>MarketDataShiftSize</v>
      </c>
      <c r="C12" s="293">
        <f ca="1"/>
        <v>1E-4</v>
      </c>
      <c r="D12" s="293">
        <f ca="1"/>
        <v>1E-4</v>
      </c>
      <c r="E12" s="293">
        <f ca="1"/>
        <v>1E-4</v>
      </c>
      <c r="F12" s="293">
        <f ca="1"/>
        <v>1E-4</v>
      </c>
      <c r="G12" s="293">
        <f ca="1"/>
        <v>1E-4</v>
      </c>
      <c r="H12" s="293">
        <f ca="1"/>
        <v>1E-4</v>
      </c>
      <c r="I12" s="293">
        <f ca="1"/>
        <v>1E-4</v>
      </c>
      <c r="J12" s="293">
        <f ca="1"/>
        <v>1E-4</v>
      </c>
      <c r="K12" s="293">
        <f ca="1"/>
        <v>1E-4</v>
      </c>
      <c r="L12" s="293">
        <f ca="1"/>
        <v>1E-4</v>
      </c>
      <c r="M12" s="293">
        <f ca="1"/>
        <v>1E-4</v>
      </c>
      <c r="N12" s="293">
        <f ca="1"/>
        <v>1E-4</v>
      </c>
      <c r="O12" s="293">
        <f ca="1"/>
        <v>1E-4</v>
      </c>
      <c r="P12" s="293">
        <f ca="1"/>
        <v>1E-4</v>
      </c>
      <c r="Q12" s="293">
        <f ca="1"/>
        <v>1E-4</v>
      </c>
      <c r="R12" s="293">
        <f ca="1"/>
        <v>1E-4</v>
      </c>
      <c r="S12" s="293">
        <f ca="1"/>
        <v>1E-4</v>
      </c>
      <c r="T12" s="293">
        <f ca="1"/>
        <v>1E-4</v>
      </c>
      <c r="U12" s="293">
        <f ca="1"/>
        <v>1E-4</v>
      </c>
      <c r="V12" s="293">
        <f ca="1"/>
        <v>1E-4</v>
      </c>
      <c r="W12" s="293">
        <f ca="1"/>
        <v>1E-4</v>
      </c>
      <c r="X12" s="293">
        <f ca="1"/>
        <v>1E-4</v>
      </c>
      <c r="Y12" s="293">
        <f ca="1"/>
        <v>1E-4</v>
      </c>
      <c r="Z12" s="293">
        <f ca="1"/>
        <v>1E-4</v>
      </c>
      <c r="AA12" s="293">
        <f ca="1"/>
        <v>1E-4</v>
      </c>
      <c r="AB12" s="293">
        <f ca="1"/>
        <v>1E-4</v>
      </c>
      <c r="AC12" s="293">
        <f ca="1"/>
        <v>1E-4</v>
      </c>
      <c r="AD12" s="293">
        <f ca="1"/>
        <v>1E-4</v>
      </c>
      <c r="AE12" s="293">
        <f ca="1"/>
        <v>1E-4</v>
      </c>
      <c r="AF12" s="293">
        <f ca="1"/>
        <v>1E-4</v>
      </c>
      <c r="AG12" s="293">
        <f ca="1"/>
        <v>1E-4</v>
      </c>
      <c r="AH12" s="293">
        <f ca="1"/>
        <v>1E-4</v>
      </c>
      <c r="AI12" s="293">
        <f ca="1"/>
        <v>1E-4</v>
      </c>
      <c r="AJ12" s="293">
        <f ca="1"/>
        <v>1E-4</v>
      </c>
      <c r="AK12" s="293">
        <f ca="1"/>
        <v>1E-4</v>
      </c>
      <c r="AL12" s="293">
        <f ca="1"/>
        <v>1E-4</v>
      </c>
      <c r="AM12" s="293">
        <f ca="1"/>
        <v>1E-4</v>
      </c>
      <c r="AN12" s="293">
        <f ca="1"/>
        <v>1E-4</v>
      </c>
      <c r="AO12" s="293">
        <f ca="1"/>
        <v>1E-4</v>
      </c>
      <c r="AP12" s="293">
        <f ca="1"/>
        <v>1E-4</v>
      </c>
      <c r="AQ12" t="str">
        <f ca="1"/>
        <v/>
      </c>
    </row>
    <row r="13" spans="2:43" x14ac:dyDescent="0.25">
      <c r="B13" s="175" t="str">
        <f ca="1"/>
        <v/>
      </c>
      <c r="C13" s="176" t="str">
        <f ca="1"/>
        <v/>
      </c>
      <c r="D13" s="177" t="str">
        <f ca="1"/>
        <v/>
      </c>
      <c r="E13" s="177" t="str">
        <f ca="1"/>
        <v/>
      </c>
      <c r="F13" s="177" t="str">
        <f ca="1"/>
        <v/>
      </c>
      <c r="G13" s="177" t="str">
        <f ca="1"/>
        <v/>
      </c>
      <c r="H13" s="177" t="str">
        <f ca="1"/>
        <v/>
      </c>
      <c r="I13" s="177" t="str">
        <f ca="1"/>
        <v/>
      </c>
      <c r="J13" s="177" t="str">
        <f ca="1"/>
        <v/>
      </c>
      <c r="K13" s="177" t="str">
        <f ca="1"/>
        <v/>
      </c>
      <c r="L13" s="177" t="str">
        <f ca="1"/>
        <v/>
      </c>
      <c r="M13" s="177" t="str">
        <f ca="1"/>
        <v/>
      </c>
      <c r="N13" s="177" t="str">
        <f ca="1"/>
        <v/>
      </c>
      <c r="O13" s="177" t="str">
        <f ca="1"/>
        <v/>
      </c>
      <c r="P13" s="177" t="str">
        <f ca="1"/>
        <v/>
      </c>
      <c r="Q13" s="177" t="str">
        <f ca="1"/>
        <v/>
      </c>
      <c r="R13" s="177" t="str">
        <f ca="1"/>
        <v/>
      </c>
      <c r="S13" s="177" t="str">
        <f ca="1"/>
        <v/>
      </c>
      <c r="T13" s="177" t="str">
        <f ca="1"/>
        <v/>
      </c>
      <c r="U13" s="177" t="str">
        <f ca="1"/>
        <v/>
      </c>
      <c r="V13" s="177" t="str">
        <f ca="1"/>
        <v/>
      </c>
      <c r="W13" s="177" t="str">
        <f ca="1"/>
        <v/>
      </c>
      <c r="X13" s="177" t="str">
        <f ca="1"/>
        <v/>
      </c>
      <c r="Y13" s="177" t="str">
        <f ca="1"/>
        <v/>
      </c>
      <c r="Z13" s="177" t="str">
        <f ca="1"/>
        <v/>
      </c>
      <c r="AA13" s="177" t="str">
        <f ca="1"/>
        <v/>
      </c>
      <c r="AB13" s="177" t="str">
        <f ca="1"/>
        <v/>
      </c>
      <c r="AC13" s="177" t="str">
        <f ca="1"/>
        <v/>
      </c>
      <c r="AD13" s="177" t="str">
        <f ca="1"/>
        <v/>
      </c>
      <c r="AE13" s="177" t="str">
        <f ca="1"/>
        <v/>
      </c>
      <c r="AF13" s="177" t="str">
        <f ca="1"/>
        <v/>
      </c>
      <c r="AG13" s="177" t="str">
        <f ca="1"/>
        <v/>
      </c>
      <c r="AH13" s="177" t="str">
        <f ca="1"/>
        <v/>
      </c>
      <c r="AI13" s="177" t="str">
        <f ca="1"/>
        <v/>
      </c>
      <c r="AJ13" s="177" t="str">
        <f ca="1"/>
        <v/>
      </c>
      <c r="AK13" s="177" t="str">
        <f ca="1"/>
        <v/>
      </c>
      <c r="AL13" s="177" t="str">
        <f ca="1"/>
        <v/>
      </c>
      <c r="AM13" s="177" t="str">
        <f ca="1"/>
        <v/>
      </c>
      <c r="AN13" s="177" t="str">
        <f ca="1"/>
        <v/>
      </c>
      <c r="AO13" s="177" t="str">
        <f ca="1"/>
        <v/>
      </c>
      <c r="AP13" s="177" t="str">
        <f ca="1"/>
        <v/>
      </c>
      <c r="AQ13" t="str">
        <f ca="1"/>
        <v/>
      </c>
    </row>
    <row r="14" spans="2:43" x14ac:dyDescent="0.25">
      <c r="B14" s="178" t="str">
        <f ca="1"/>
        <v/>
      </c>
      <c r="C14" s="176" t="str">
        <f ca="1"/>
        <v>Instrument</v>
      </c>
      <c r="D14" s="176" t="str">
        <f ca="1"/>
        <v/>
      </c>
      <c r="E14" s="176" t="str">
        <f ca="1"/>
        <v/>
      </c>
      <c r="F14" s="176" t="str">
        <f ca="1"/>
        <v/>
      </c>
      <c r="G14" s="176" t="str">
        <f ca="1"/>
        <v/>
      </c>
      <c r="H14" s="176" t="str">
        <f ca="1"/>
        <v/>
      </c>
      <c r="I14" s="176" t="str">
        <f ca="1"/>
        <v/>
      </c>
      <c r="J14" s="176" t="str">
        <f ca="1"/>
        <v/>
      </c>
      <c r="K14" s="176" t="str">
        <f ca="1"/>
        <v/>
      </c>
      <c r="L14" s="176" t="str">
        <f ca="1"/>
        <v/>
      </c>
      <c r="M14" s="176" t="str">
        <f ca="1"/>
        <v/>
      </c>
      <c r="N14" s="176" t="str">
        <f ca="1"/>
        <v/>
      </c>
      <c r="O14" s="176" t="str">
        <f ca="1"/>
        <v/>
      </c>
      <c r="P14" s="176" t="str">
        <f ca="1"/>
        <v/>
      </c>
      <c r="Q14" s="176" t="str">
        <f ca="1"/>
        <v/>
      </c>
      <c r="R14" s="176" t="str">
        <f ca="1"/>
        <v/>
      </c>
      <c r="S14" s="176" t="str">
        <f ca="1"/>
        <v/>
      </c>
      <c r="T14" s="176" t="str">
        <f ca="1"/>
        <v/>
      </c>
      <c r="U14" s="176" t="str">
        <f ca="1"/>
        <v/>
      </c>
      <c r="V14" s="176" t="str">
        <f ca="1"/>
        <v/>
      </c>
      <c r="W14" s="176" t="str">
        <f ca="1"/>
        <v/>
      </c>
      <c r="X14" s="176" t="str">
        <f ca="1"/>
        <v/>
      </c>
      <c r="Y14" s="176" t="str">
        <f ca="1"/>
        <v/>
      </c>
      <c r="Z14" s="176" t="str">
        <f ca="1"/>
        <v/>
      </c>
      <c r="AA14" s="176" t="str">
        <f ca="1"/>
        <v/>
      </c>
      <c r="AB14" s="176" t="str">
        <f ca="1"/>
        <v/>
      </c>
      <c r="AC14" s="176" t="str">
        <f ca="1"/>
        <v/>
      </c>
      <c r="AD14" s="176" t="str">
        <f ca="1"/>
        <v/>
      </c>
      <c r="AE14" s="176" t="str">
        <f ca="1"/>
        <v/>
      </c>
      <c r="AF14" s="176" t="str">
        <f ca="1"/>
        <v/>
      </c>
      <c r="AG14" s="176" t="str">
        <f ca="1"/>
        <v/>
      </c>
      <c r="AH14" s="176" t="str">
        <f ca="1"/>
        <v/>
      </c>
      <c r="AI14" s="176" t="str">
        <f ca="1"/>
        <v/>
      </c>
      <c r="AJ14" s="176" t="str">
        <f ca="1"/>
        <v/>
      </c>
      <c r="AK14" s="176" t="str">
        <f ca="1"/>
        <v/>
      </c>
      <c r="AL14" s="176" t="str">
        <f ca="1"/>
        <v/>
      </c>
      <c r="AM14" s="176" t="str">
        <f ca="1"/>
        <v/>
      </c>
      <c r="AN14" s="176" t="str">
        <f ca="1"/>
        <v/>
      </c>
      <c r="AO14" s="176" t="str">
        <f ca="1"/>
        <v/>
      </c>
      <c r="AP14" s="176" t="str">
        <f ca="1"/>
        <v/>
      </c>
      <c r="AQ14" t="str">
        <f ca="1"/>
        <v/>
      </c>
    </row>
    <row r="15" spans="2:43" x14ac:dyDescent="0.25">
      <c r="B15" s="179" t="str">
        <f ca="1"/>
        <v>PaymentDate</v>
      </c>
      <c r="C15" s="180" t="str">
        <f ca="1"/>
        <v>OIS_ON</v>
      </c>
      <c r="D15" s="180" t="str">
        <f ca="1"/>
        <v>OIS_1W</v>
      </c>
      <c r="E15" s="180" t="str">
        <f ca="1"/>
        <v>OIS_2W</v>
      </c>
      <c r="F15" s="180" t="str">
        <f ca="1"/>
        <v>OIS_3W</v>
      </c>
      <c r="G15" s="180" t="str">
        <f ca="1"/>
        <v>OIS_1M</v>
      </c>
      <c r="H15" s="180" t="str">
        <f ca="1"/>
        <v>OIS_2M</v>
      </c>
      <c r="I15" s="180" t="str">
        <f ca="1"/>
        <v>OIS_3M</v>
      </c>
      <c r="J15" s="180" t="str">
        <f ca="1"/>
        <v>OIS_4M</v>
      </c>
      <c r="K15" s="180" t="str">
        <f ca="1"/>
        <v>OIS_5M</v>
      </c>
      <c r="L15" s="180" t="str">
        <f ca="1"/>
        <v>OIS_6M</v>
      </c>
      <c r="M15" s="180" t="str">
        <f ca="1"/>
        <v>OIS_9M</v>
      </c>
      <c r="N15" s="180" t="str">
        <f ca="1"/>
        <v>OIS_1Y</v>
      </c>
      <c r="O15" s="180" t="str">
        <f ca="1"/>
        <v>OIS_2Y</v>
      </c>
      <c r="P15" s="180" t="str">
        <f ca="1"/>
        <v>OIS_3Y</v>
      </c>
      <c r="Q15" s="180" t="str">
        <f ca="1"/>
        <v>OIS_4Y</v>
      </c>
      <c r="R15" s="180" t="str">
        <f ca="1"/>
        <v>OIS_5Y</v>
      </c>
      <c r="S15" s="180" t="str">
        <f ca="1"/>
        <v>LIBOROIS_1Y</v>
      </c>
      <c r="T15" s="180" t="str">
        <f ca="1"/>
        <v>LIBOROIS_2Y</v>
      </c>
      <c r="U15" s="180" t="str">
        <f ca="1"/>
        <v>LIBOROIS_3Y</v>
      </c>
      <c r="V15" s="180" t="str">
        <f ca="1"/>
        <v>LIBOROIS_4Y</v>
      </c>
      <c r="W15" s="180" t="str">
        <f ca="1"/>
        <v>LIBOROIS_5Y</v>
      </c>
      <c r="X15" s="180" t="str">
        <f ca="1"/>
        <v>LIBOROIS_7Y</v>
      </c>
      <c r="Y15" s="180" t="str">
        <f ca="1"/>
        <v>LIBOROIS_10Y</v>
      </c>
      <c r="Z15" s="180" t="str">
        <f ca="1"/>
        <v>LIBOROIS_12Y</v>
      </c>
      <c r="AA15" s="180" t="str">
        <f ca="1"/>
        <v>LIBOROIS_15Y</v>
      </c>
      <c r="AB15" s="180" t="str">
        <f ca="1"/>
        <v>LIBOROIS_20Y</v>
      </c>
      <c r="AC15" s="180" t="str">
        <f ca="1"/>
        <v>LIBOROIS_25Y</v>
      </c>
      <c r="AD15" s="180" t="str">
        <f ca="1"/>
        <v>LIBOROIS_30Y</v>
      </c>
      <c r="AE15" s="180" t="str">
        <f ca="1"/>
        <v>SWAP_1Y</v>
      </c>
      <c r="AF15" s="180" t="str">
        <f ca="1"/>
        <v>SWAP_2Y</v>
      </c>
      <c r="AG15" s="180" t="str">
        <f ca="1"/>
        <v>SWAP_3Y</v>
      </c>
      <c r="AH15" s="180" t="str">
        <f ca="1"/>
        <v>SWAP_4Y</v>
      </c>
      <c r="AI15" s="180" t="str">
        <f ca="1"/>
        <v>SWAP_5Y</v>
      </c>
      <c r="AJ15" s="180" t="str">
        <f ca="1"/>
        <v>SWAP_7Y</v>
      </c>
      <c r="AK15" s="180" t="str">
        <f ca="1"/>
        <v>SWAP_10Y</v>
      </c>
      <c r="AL15" s="180" t="str">
        <f ca="1"/>
        <v>SWAP_12Y</v>
      </c>
      <c r="AM15" s="180" t="str">
        <f ca="1"/>
        <v>SWAP_15Y</v>
      </c>
      <c r="AN15" s="180" t="str">
        <f ca="1"/>
        <v>SWAP_20Y</v>
      </c>
      <c r="AO15" s="180" t="str">
        <f ca="1"/>
        <v>SWAP_25Y</v>
      </c>
      <c r="AP15" s="180" t="str">
        <f ca="1"/>
        <v>SWAP_30Y</v>
      </c>
      <c r="AQ15" t="str">
        <f ca="1"/>
        <v/>
      </c>
    </row>
    <row r="16" spans="2:43" x14ac:dyDescent="0.25">
      <c r="B16" s="179">
        <f ca="1"/>
        <v>43812</v>
      </c>
      <c r="C16" s="180">
        <f ca="1"/>
        <v>0</v>
      </c>
      <c r="D16" s="180">
        <f ca="1"/>
        <v>0</v>
      </c>
      <c r="E16" s="180">
        <f ca="1"/>
        <v>0</v>
      </c>
      <c r="F16" s="180">
        <f ca="1"/>
        <v>0</v>
      </c>
      <c r="G16" s="180">
        <f ca="1"/>
        <v>0</v>
      </c>
      <c r="H16" s="180">
        <f ca="1"/>
        <v>0</v>
      </c>
      <c r="I16" s="180">
        <f ca="1"/>
        <v>0</v>
      </c>
      <c r="J16" s="180">
        <f ca="1"/>
        <v>0</v>
      </c>
      <c r="K16" s="180">
        <f ca="1"/>
        <v>0</v>
      </c>
      <c r="L16" s="180">
        <f ca="1"/>
        <v>0</v>
      </c>
      <c r="M16" s="180">
        <f ca="1"/>
        <v>0</v>
      </c>
      <c r="N16" s="180">
        <f ca="1"/>
        <v>0</v>
      </c>
      <c r="O16" s="180">
        <f ca="1"/>
        <v>0</v>
      </c>
      <c r="P16" s="180">
        <f ca="1"/>
        <v>0</v>
      </c>
      <c r="Q16" s="180">
        <f ca="1"/>
        <v>0</v>
      </c>
      <c r="R16" s="180">
        <f ca="1"/>
        <v>0</v>
      </c>
      <c r="S16" s="180">
        <f ca="1"/>
        <v>0</v>
      </c>
      <c r="T16" s="180">
        <f ca="1"/>
        <v>0</v>
      </c>
      <c r="U16" s="180">
        <f ca="1"/>
        <v>0</v>
      </c>
      <c r="V16" s="180">
        <f ca="1"/>
        <v>0</v>
      </c>
      <c r="W16" s="180">
        <f ca="1"/>
        <v>0</v>
      </c>
      <c r="X16" s="180">
        <f ca="1"/>
        <v>0</v>
      </c>
      <c r="Y16" s="180">
        <f ca="1"/>
        <v>0</v>
      </c>
      <c r="Z16" s="180">
        <f ca="1"/>
        <v>0</v>
      </c>
      <c r="AA16" s="180">
        <f ca="1"/>
        <v>0</v>
      </c>
      <c r="AB16" s="180">
        <f ca="1"/>
        <v>0</v>
      </c>
      <c r="AC16" s="180">
        <f ca="1"/>
        <v>0</v>
      </c>
      <c r="AD16" s="180">
        <f ca="1"/>
        <v>0</v>
      </c>
      <c r="AE16" s="180">
        <f ca="1"/>
        <v>0</v>
      </c>
      <c r="AF16" s="180">
        <f ca="1"/>
        <v>0</v>
      </c>
      <c r="AG16" s="180">
        <f ca="1"/>
        <v>0</v>
      </c>
      <c r="AH16" s="180">
        <f ca="1"/>
        <v>0</v>
      </c>
      <c r="AI16" s="180">
        <f ca="1"/>
        <v>0</v>
      </c>
      <c r="AJ16" s="180">
        <f ca="1"/>
        <v>0</v>
      </c>
      <c r="AK16" s="180">
        <f ca="1"/>
        <v>0</v>
      </c>
      <c r="AL16" s="180">
        <f ca="1"/>
        <v>0</v>
      </c>
      <c r="AM16" s="180">
        <f ca="1"/>
        <v>0</v>
      </c>
      <c r="AN16" s="180">
        <f ca="1"/>
        <v>0</v>
      </c>
      <c r="AO16" s="180">
        <f ca="1"/>
        <v>0</v>
      </c>
      <c r="AP16" s="180">
        <f ca="1"/>
        <v>0</v>
      </c>
      <c r="AQ16" t="str">
        <f ca="1"/>
        <v/>
      </c>
    </row>
    <row r="17" spans="2:43" x14ac:dyDescent="0.25">
      <c r="B17" s="179">
        <f ca="1"/>
        <v>43815</v>
      </c>
      <c r="C17" s="180">
        <f ca="1"/>
        <v>-8.3311740295410896E-7</v>
      </c>
      <c r="D17" s="180">
        <f ca="1"/>
        <v>0</v>
      </c>
      <c r="E17" s="180">
        <f ca="1"/>
        <v>0</v>
      </c>
      <c r="F17" s="180">
        <f ca="1"/>
        <v>0</v>
      </c>
      <c r="G17" s="180">
        <f ca="1"/>
        <v>0</v>
      </c>
      <c r="H17" s="180">
        <f ca="1"/>
        <v>0</v>
      </c>
      <c r="I17" s="180">
        <f ca="1"/>
        <v>0</v>
      </c>
      <c r="J17" s="180">
        <f ca="1"/>
        <v>0</v>
      </c>
      <c r="K17" s="180">
        <f ca="1"/>
        <v>0</v>
      </c>
      <c r="L17" s="180">
        <f ca="1"/>
        <v>0</v>
      </c>
      <c r="M17" s="180">
        <f ca="1"/>
        <v>0</v>
      </c>
      <c r="N17" s="180">
        <f ca="1"/>
        <v>0</v>
      </c>
      <c r="O17" s="180">
        <f ca="1"/>
        <v>0</v>
      </c>
      <c r="P17" s="180">
        <f ca="1"/>
        <v>0</v>
      </c>
      <c r="Q17" s="180">
        <f ca="1"/>
        <v>0</v>
      </c>
      <c r="R17" s="180">
        <f ca="1"/>
        <v>0</v>
      </c>
      <c r="S17" s="180">
        <f ca="1"/>
        <v>0</v>
      </c>
      <c r="T17" s="180">
        <f ca="1"/>
        <v>0</v>
      </c>
      <c r="U17" s="180">
        <f ca="1"/>
        <v>0</v>
      </c>
      <c r="V17" s="180">
        <f ca="1"/>
        <v>0</v>
      </c>
      <c r="W17" s="180">
        <f ca="1"/>
        <v>0</v>
      </c>
      <c r="X17" s="180">
        <f ca="1"/>
        <v>0</v>
      </c>
      <c r="Y17" s="180">
        <f ca="1"/>
        <v>0</v>
      </c>
      <c r="Z17" s="180">
        <f ca="1"/>
        <v>0</v>
      </c>
      <c r="AA17" s="180">
        <f ca="1"/>
        <v>0</v>
      </c>
      <c r="AB17" s="180">
        <f ca="1"/>
        <v>0</v>
      </c>
      <c r="AC17" s="180">
        <f ca="1"/>
        <v>0</v>
      </c>
      <c r="AD17" s="180">
        <f ca="1"/>
        <v>0</v>
      </c>
      <c r="AE17" s="180">
        <f ca="1"/>
        <v>0</v>
      </c>
      <c r="AF17" s="180">
        <f ca="1"/>
        <v>0</v>
      </c>
      <c r="AG17" s="180">
        <f ca="1"/>
        <v>0</v>
      </c>
      <c r="AH17" s="180">
        <f ca="1"/>
        <v>0</v>
      </c>
      <c r="AI17" s="180">
        <f ca="1"/>
        <v>0</v>
      </c>
      <c r="AJ17" s="180">
        <f ca="1"/>
        <v>0</v>
      </c>
      <c r="AK17" s="180">
        <f ca="1"/>
        <v>0</v>
      </c>
      <c r="AL17" s="180">
        <f ca="1"/>
        <v>0</v>
      </c>
      <c r="AM17" s="180">
        <f ca="1"/>
        <v>0</v>
      </c>
      <c r="AN17" s="180">
        <f ca="1"/>
        <v>0</v>
      </c>
      <c r="AO17" s="180">
        <f ca="1"/>
        <v>0</v>
      </c>
      <c r="AP17" s="180">
        <f ca="1"/>
        <v>0</v>
      </c>
      <c r="AQ17" t="str">
        <f ca="1"/>
        <v/>
      </c>
    </row>
    <row r="18" spans="2:43" x14ac:dyDescent="0.25">
      <c r="B18" s="179">
        <f ca="1"/>
        <v>43816</v>
      </c>
      <c r="C18" s="180">
        <f ca="1"/>
        <v>-1.1107992133885201E-6</v>
      </c>
      <c r="D18" s="180">
        <f ca="1"/>
        <v>0</v>
      </c>
      <c r="E18" s="180">
        <f ca="1"/>
        <v>0</v>
      </c>
      <c r="F18" s="180">
        <f ca="1"/>
        <v>0</v>
      </c>
      <c r="G18" s="180">
        <f ca="1"/>
        <v>0</v>
      </c>
      <c r="H18" s="180">
        <f ca="1"/>
        <v>0</v>
      </c>
      <c r="I18" s="180">
        <f ca="1"/>
        <v>0</v>
      </c>
      <c r="J18" s="180">
        <f ca="1"/>
        <v>0</v>
      </c>
      <c r="K18" s="180">
        <f ca="1"/>
        <v>0</v>
      </c>
      <c r="L18" s="180">
        <f ca="1"/>
        <v>0</v>
      </c>
      <c r="M18" s="180">
        <f ca="1"/>
        <v>0</v>
      </c>
      <c r="N18" s="180">
        <f ca="1"/>
        <v>0</v>
      </c>
      <c r="O18" s="180">
        <f ca="1"/>
        <v>0</v>
      </c>
      <c r="P18" s="180">
        <f ca="1"/>
        <v>0</v>
      </c>
      <c r="Q18" s="180">
        <f ca="1"/>
        <v>0</v>
      </c>
      <c r="R18" s="180">
        <f ca="1"/>
        <v>0</v>
      </c>
      <c r="S18" s="180">
        <f ca="1"/>
        <v>0</v>
      </c>
      <c r="T18" s="180">
        <f ca="1"/>
        <v>0</v>
      </c>
      <c r="U18" s="180">
        <f ca="1"/>
        <v>0</v>
      </c>
      <c r="V18" s="180">
        <f ca="1"/>
        <v>0</v>
      </c>
      <c r="W18" s="180">
        <f ca="1"/>
        <v>0</v>
      </c>
      <c r="X18" s="180">
        <f ca="1"/>
        <v>0</v>
      </c>
      <c r="Y18" s="180">
        <f ca="1"/>
        <v>0</v>
      </c>
      <c r="Z18" s="180">
        <f ca="1"/>
        <v>0</v>
      </c>
      <c r="AA18" s="180">
        <f ca="1"/>
        <v>0</v>
      </c>
      <c r="AB18" s="180">
        <f ca="1"/>
        <v>0</v>
      </c>
      <c r="AC18" s="180">
        <f ca="1"/>
        <v>0</v>
      </c>
      <c r="AD18" s="180">
        <f ca="1"/>
        <v>0</v>
      </c>
      <c r="AE18" s="180">
        <f ca="1"/>
        <v>0</v>
      </c>
      <c r="AF18" s="180">
        <f ca="1"/>
        <v>0</v>
      </c>
      <c r="AG18" s="180">
        <f ca="1"/>
        <v>0</v>
      </c>
      <c r="AH18" s="180">
        <f ca="1"/>
        <v>0</v>
      </c>
      <c r="AI18" s="180">
        <f ca="1"/>
        <v>0</v>
      </c>
      <c r="AJ18" s="180">
        <f ca="1"/>
        <v>0</v>
      </c>
      <c r="AK18" s="180">
        <f ca="1"/>
        <v>0</v>
      </c>
      <c r="AL18" s="180">
        <f ca="1"/>
        <v>0</v>
      </c>
      <c r="AM18" s="180">
        <f ca="1"/>
        <v>0</v>
      </c>
      <c r="AN18" s="180">
        <f ca="1"/>
        <v>0</v>
      </c>
      <c r="AO18" s="180">
        <f ca="1"/>
        <v>0</v>
      </c>
      <c r="AP18" s="180">
        <f ca="1"/>
        <v>0</v>
      </c>
      <c r="AQ18" t="str">
        <f ca="1"/>
        <v/>
      </c>
    </row>
    <row r="19" spans="2:43" x14ac:dyDescent="0.25">
      <c r="B19" s="179">
        <f ca="1"/>
        <v>43823</v>
      </c>
      <c r="C19" s="180">
        <f ca="1"/>
        <v>-1.1104664744410199E-6</v>
      </c>
      <c r="D19" s="180">
        <f ca="1"/>
        <v>-1.9429413002924902E-6</v>
      </c>
      <c r="E19" s="180">
        <f ca="1"/>
        <v>0</v>
      </c>
      <c r="F19" s="180">
        <f ca="1"/>
        <v>0</v>
      </c>
      <c r="G19" s="180">
        <f ca="1"/>
        <v>0</v>
      </c>
      <c r="H19" s="180">
        <f ca="1"/>
        <v>0</v>
      </c>
      <c r="I19" s="180">
        <f ca="1"/>
        <v>0</v>
      </c>
      <c r="J19" s="180">
        <f ca="1"/>
        <v>0</v>
      </c>
      <c r="K19" s="180">
        <f ca="1"/>
        <v>0</v>
      </c>
      <c r="L19" s="180">
        <f ca="1"/>
        <v>0</v>
      </c>
      <c r="M19" s="180">
        <f ca="1"/>
        <v>0</v>
      </c>
      <c r="N19" s="180">
        <f ca="1"/>
        <v>0</v>
      </c>
      <c r="O19" s="180">
        <f ca="1"/>
        <v>0</v>
      </c>
      <c r="P19" s="180">
        <f ca="1"/>
        <v>0</v>
      </c>
      <c r="Q19" s="180">
        <f ca="1"/>
        <v>0</v>
      </c>
      <c r="R19" s="180">
        <f ca="1"/>
        <v>0</v>
      </c>
      <c r="S19" s="180">
        <f ca="1"/>
        <v>0</v>
      </c>
      <c r="T19" s="180">
        <f ca="1"/>
        <v>0</v>
      </c>
      <c r="U19" s="180">
        <f ca="1"/>
        <v>0</v>
      </c>
      <c r="V19" s="180">
        <f ca="1"/>
        <v>0</v>
      </c>
      <c r="W19" s="180">
        <f ca="1"/>
        <v>0</v>
      </c>
      <c r="X19" s="180">
        <f ca="1"/>
        <v>0</v>
      </c>
      <c r="Y19" s="180">
        <f ca="1"/>
        <v>0</v>
      </c>
      <c r="Z19" s="180">
        <f ca="1"/>
        <v>0</v>
      </c>
      <c r="AA19" s="180">
        <f ca="1"/>
        <v>0</v>
      </c>
      <c r="AB19" s="180">
        <f ca="1"/>
        <v>0</v>
      </c>
      <c r="AC19" s="180">
        <f ca="1"/>
        <v>0</v>
      </c>
      <c r="AD19" s="180">
        <f ca="1"/>
        <v>0</v>
      </c>
      <c r="AE19" s="180">
        <f ca="1"/>
        <v>0</v>
      </c>
      <c r="AF19" s="180">
        <f ca="1"/>
        <v>0</v>
      </c>
      <c r="AG19" s="180">
        <f ca="1"/>
        <v>0</v>
      </c>
      <c r="AH19" s="180">
        <f ca="1"/>
        <v>0</v>
      </c>
      <c r="AI19" s="180">
        <f ca="1"/>
        <v>0</v>
      </c>
      <c r="AJ19" s="180">
        <f ca="1"/>
        <v>0</v>
      </c>
      <c r="AK19" s="180">
        <f ca="1"/>
        <v>0</v>
      </c>
      <c r="AL19" s="180">
        <f ca="1"/>
        <v>0</v>
      </c>
      <c r="AM19" s="180">
        <f ca="1"/>
        <v>0</v>
      </c>
      <c r="AN19" s="180">
        <f ca="1"/>
        <v>0</v>
      </c>
      <c r="AO19" s="180">
        <f ca="1"/>
        <v>0</v>
      </c>
      <c r="AP19" s="180">
        <f ca="1"/>
        <v>0</v>
      </c>
      <c r="AQ19" t="str">
        <f ca="1"/>
        <v/>
      </c>
    </row>
    <row r="20" spans="2:43" x14ac:dyDescent="0.25">
      <c r="B20" s="179">
        <f ca="1"/>
        <v>43830</v>
      </c>
      <c r="C20" s="180">
        <f ca="1"/>
        <v>-1.1101283258208E-6</v>
      </c>
      <c r="D20" s="180">
        <f ca="1"/>
        <v>0</v>
      </c>
      <c r="E20" s="180">
        <f ca="1"/>
        <v>-3.8835088308486502E-6</v>
      </c>
      <c r="F20" s="180">
        <f ca="1"/>
        <v>1.1102230246251601E-15</v>
      </c>
      <c r="G20" s="180">
        <f ca="1"/>
        <v>1.1102230246251601E-15</v>
      </c>
      <c r="H20" s="180">
        <f ca="1"/>
        <v>1.1102230246251601E-15</v>
      </c>
      <c r="I20" s="180">
        <f ca="1"/>
        <v>1.1102230246251601E-15</v>
      </c>
      <c r="J20" s="180">
        <f ca="1"/>
        <v>1.1102230246251601E-15</v>
      </c>
      <c r="K20" s="180">
        <f ca="1"/>
        <v>1.1102230246251601E-15</v>
      </c>
      <c r="L20" s="180">
        <f ca="1"/>
        <v>1.1102230246251601E-15</v>
      </c>
      <c r="M20" s="180">
        <f ca="1"/>
        <v>1.1102230246251601E-15</v>
      </c>
      <c r="N20" s="180">
        <f ca="1"/>
        <v>1.1102230246251601E-15</v>
      </c>
      <c r="O20" s="180">
        <f ca="1"/>
        <v>1.1102230246251601E-15</v>
      </c>
      <c r="P20" s="180">
        <f ca="1"/>
        <v>1.1102230246251601E-15</v>
      </c>
      <c r="Q20" s="180">
        <f ca="1"/>
        <v>1.1102230246251601E-15</v>
      </c>
      <c r="R20" s="180">
        <f ca="1"/>
        <v>1.1102230246251601E-15</v>
      </c>
      <c r="S20" s="180">
        <f ca="1"/>
        <v>1.1102230246251601E-15</v>
      </c>
      <c r="T20" s="180">
        <f ca="1"/>
        <v>1.1102230246251601E-15</v>
      </c>
      <c r="U20" s="180">
        <f ca="1"/>
        <v>1.1102230246251601E-15</v>
      </c>
      <c r="V20" s="180">
        <f ca="1"/>
        <v>1.1102230246251601E-15</v>
      </c>
      <c r="W20" s="180">
        <f ca="1"/>
        <v>1.1102230246251601E-15</v>
      </c>
      <c r="X20" s="180">
        <f ca="1"/>
        <v>1.1102230246251601E-15</v>
      </c>
      <c r="Y20" s="180">
        <f ca="1"/>
        <v>1.1102230246251601E-15</v>
      </c>
      <c r="Z20" s="180">
        <f ca="1"/>
        <v>1.1102230246251601E-15</v>
      </c>
      <c r="AA20" s="180">
        <f ca="1"/>
        <v>1.1102230246251601E-15</v>
      </c>
      <c r="AB20" s="180">
        <f ca="1"/>
        <v>1.1102230246251601E-15</v>
      </c>
      <c r="AC20" s="180">
        <f ca="1"/>
        <v>1.1102230246251601E-15</v>
      </c>
      <c r="AD20" s="180">
        <f ca="1"/>
        <v>1.1102230246251601E-15</v>
      </c>
      <c r="AE20" s="180">
        <f ca="1"/>
        <v>1.1102230246251601E-15</v>
      </c>
      <c r="AF20" s="180">
        <f ca="1"/>
        <v>1.1102230246251601E-15</v>
      </c>
      <c r="AG20" s="180">
        <f ca="1"/>
        <v>1.1102230246251601E-15</v>
      </c>
      <c r="AH20" s="180">
        <f ca="1"/>
        <v>1.1102230246251601E-15</v>
      </c>
      <c r="AI20" s="180">
        <f ca="1"/>
        <v>1.1102230246251601E-15</v>
      </c>
      <c r="AJ20" s="180">
        <f ca="1"/>
        <v>1.1102230246251601E-15</v>
      </c>
      <c r="AK20" s="180">
        <f ca="1"/>
        <v>1.1102230246251601E-15</v>
      </c>
      <c r="AL20" s="180">
        <f ca="1"/>
        <v>1.1102230246251601E-15</v>
      </c>
      <c r="AM20" s="180">
        <f ca="1"/>
        <v>1.1102230246251601E-15</v>
      </c>
      <c r="AN20" s="180">
        <f ca="1"/>
        <v>1.1102230246251601E-15</v>
      </c>
      <c r="AO20" s="180">
        <f ca="1"/>
        <v>1.1102230246251601E-15</v>
      </c>
      <c r="AP20" s="180">
        <f ca="1"/>
        <v>1.1102230246251601E-15</v>
      </c>
      <c r="AQ20" t="str">
        <f ca="1"/>
        <v/>
      </c>
    </row>
    <row r="21" spans="2:43" x14ac:dyDescent="0.25">
      <c r="B21" s="179">
        <f ca="1"/>
        <v>43837</v>
      </c>
      <c r="C21" s="180">
        <f ca="1"/>
        <v>-1.10978477763091E-6</v>
      </c>
      <c r="D21" s="180">
        <f ca="1"/>
        <v>0</v>
      </c>
      <c r="E21" s="180">
        <f ca="1"/>
        <v>0</v>
      </c>
      <c r="F21" s="180">
        <f ca="1"/>
        <v>-5.8216470485428201E-6</v>
      </c>
      <c r="G21" s="180">
        <f ca="1"/>
        <v>0</v>
      </c>
      <c r="H21" s="180">
        <f ca="1"/>
        <v>0</v>
      </c>
      <c r="I21" s="180">
        <f ca="1"/>
        <v>0</v>
      </c>
      <c r="J21" s="180">
        <f ca="1"/>
        <v>0</v>
      </c>
      <c r="K21" s="180">
        <f ca="1"/>
        <v>0</v>
      </c>
      <c r="L21" s="180">
        <f ca="1"/>
        <v>0</v>
      </c>
      <c r="M21" s="180">
        <f ca="1"/>
        <v>0</v>
      </c>
      <c r="N21" s="180">
        <f ca="1"/>
        <v>0</v>
      </c>
      <c r="O21" s="180">
        <f ca="1"/>
        <v>0</v>
      </c>
      <c r="P21" s="180">
        <f ca="1"/>
        <v>0</v>
      </c>
      <c r="Q21" s="180">
        <f ca="1"/>
        <v>0</v>
      </c>
      <c r="R21" s="180">
        <f ca="1"/>
        <v>0</v>
      </c>
      <c r="S21" s="180">
        <f ca="1"/>
        <v>0</v>
      </c>
      <c r="T21" s="180">
        <f ca="1"/>
        <v>0</v>
      </c>
      <c r="U21" s="180">
        <f ca="1"/>
        <v>0</v>
      </c>
      <c r="V21" s="180">
        <f ca="1"/>
        <v>0</v>
      </c>
      <c r="W21" s="180">
        <f ca="1"/>
        <v>0</v>
      </c>
      <c r="X21" s="180">
        <f ca="1"/>
        <v>0</v>
      </c>
      <c r="Y21" s="180">
        <f ca="1"/>
        <v>0</v>
      </c>
      <c r="Z21" s="180">
        <f ca="1"/>
        <v>0</v>
      </c>
      <c r="AA21" s="180">
        <f ca="1"/>
        <v>0</v>
      </c>
      <c r="AB21" s="180">
        <f ca="1"/>
        <v>0</v>
      </c>
      <c r="AC21" s="180">
        <f ca="1"/>
        <v>0</v>
      </c>
      <c r="AD21" s="180">
        <f ca="1"/>
        <v>0</v>
      </c>
      <c r="AE21" s="180">
        <f ca="1"/>
        <v>0</v>
      </c>
      <c r="AF21" s="180">
        <f ca="1"/>
        <v>0</v>
      </c>
      <c r="AG21" s="180">
        <f ca="1"/>
        <v>0</v>
      </c>
      <c r="AH21" s="180">
        <f ca="1"/>
        <v>0</v>
      </c>
      <c r="AI21" s="180">
        <f ca="1"/>
        <v>0</v>
      </c>
      <c r="AJ21" s="180">
        <f ca="1"/>
        <v>0</v>
      </c>
      <c r="AK21" s="180">
        <f ca="1"/>
        <v>0</v>
      </c>
      <c r="AL21" s="180">
        <f ca="1"/>
        <v>0</v>
      </c>
      <c r="AM21" s="180">
        <f ca="1"/>
        <v>0</v>
      </c>
      <c r="AN21" s="180">
        <f ca="1"/>
        <v>0</v>
      </c>
      <c r="AO21" s="180">
        <f ca="1"/>
        <v>0</v>
      </c>
      <c r="AP21" s="180">
        <f ca="1"/>
        <v>0</v>
      </c>
      <c r="AQ21" t="str">
        <f ca="1"/>
        <v/>
      </c>
    </row>
    <row r="22" spans="2:43" x14ac:dyDescent="0.25">
      <c r="B22" s="179">
        <f ca="1"/>
        <v>43847</v>
      </c>
      <c r="C22" s="180">
        <f ca="1"/>
        <v>-1.1093061796918499E-6</v>
      </c>
      <c r="D22" s="180">
        <f ca="1"/>
        <v>0</v>
      </c>
      <c r="E22" s="180">
        <f ca="1"/>
        <v>0</v>
      </c>
      <c r="F22" s="180">
        <f ca="1"/>
        <v>0</v>
      </c>
      <c r="G22" s="180">
        <f ca="1"/>
        <v>-8.5864254758538599E-6</v>
      </c>
      <c r="H22" s="180">
        <f ca="1"/>
        <v>0</v>
      </c>
      <c r="I22" s="180">
        <f ca="1"/>
        <v>0</v>
      </c>
      <c r="J22" s="180">
        <f ca="1"/>
        <v>0</v>
      </c>
      <c r="K22" s="180">
        <f ca="1"/>
        <v>0</v>
      </c>
      <c r="L22" s="180">
        <f ca="1"/>
        <v>0</v>
      </c>
      <c r="M22" s="180">
        <f ca="1"/>
        <v>0</v>
      </c>
      <c r="N22" s="180">
        <f ca="1"/>
        <v>0</v>
      </c>
      <c r="O22" s="180">
        <f ca="1"/>
        <v>0</v>
      </c>
      <c r="P22" s="180">
        <f ca="1"/>
        <v>0</v>
      </c>
      <c r="Q22" s="180">
        <f ca="1"/>
        <v>0</v>
      </c>
      <c r="R22" s="180">
        <f ca="1"/>
        <v>0</v>
      </c>
      <c r="S22" s="180">
        <f ca="1"/>
        <v>0</v>
      </c>
      <c r="T22" s="180">
        <f ca="1"/>
        <v>0</v>
      </c>
      <c r="U22" s="180">
        <f ca="1"/>
        <v>0</v>
      </c>
      <c r="V22" s="180">
        <f ca="1"/>
        <v>0</v>
      </c>
      <c r="W22" s="180">
        <f ca="1"/>
        <v>0</v>
      </c>
      <c r="X22" s="180">
        <f ca="1"/>
        <v>0</v>
      </c>
      <c r="Y22" s="180">
        <f ca="1"/>
        <v>0</v>
      </c>
      <c r="Z22" s="180">
        <f ca="1"/>
        <v>0</v>
      </c>
      <c r="AA22" s="180">
        <f ca="1"/>
        <v>0</v>
      </c>
      <c r="AB22" s="180">
        <f ca="1"/>
        <v>0</v>
      </c>
      <c r="AC22" s="180">
        <f ca="1"/>
        <v>0</v>
      </c>
      <c r="AD22" s="180">
        <f ca="1"/>
        <v>0</v>
      </c>
      <c r="AE22" s="180">
        <f ca="1"/>
        <v>0</v>
      </c>
      <c r="AF22" s="180">
        <f ca="1"/>
        <v>0</v>
      </c>
      <c r="AG22" s="180">
        <f ca="1"/>
        <v>0</v>
      </c>
      <c r="AH22" s="180">
        <f ca="1"/>
        <v>0</v>
      </c>
      <c r="AI22" s="180">
        <f ca="1"/>
        <v>0</v>
      </c>
      <c r="AJ22" s="180">
        <f ca="1"/>
        <v>0</v>
      </c>
      <c r="AK22" s="180">
        <f ca="1"/>
        <v>0</v>
      </c>
      <c r="AL22" s="180">
        <f ca="1"/>
        <v>0</v>
      </c>
      <c r="AM22" s="180">
        <f ca="1"/>
        <v>0</v>
      </c>
      <c r="AN22" s="180">
        <f ca="1"/>
        <v>0</v>
      </c>
      <c r="AO22" s="180">
        <f ca="1"/>
        <v>0</v>
      </c>
      <c r="AP22" s="180">
        <f ca="1"/>
        <v>0</v>
      </c>
      <c r="AQ22" t="str">
        <f ca="1"/>
        <v/>
      </c>
    </row>
    <row r="23" spans="2:43" x14ac:dyDescent="0.25">
      <c r="B23" s="179">
        <f ca="1"/>
        <v>43879</v>
      </c>
      <c r="C23" s="180">
        <f ca="1"/>
        <v>-1.10778078765694E-6</v>
      </c>
      <c r="D23" s="180">
        <f ca="1"/>
        <v>0</v>
      </c>
      <c r="E23" s="180">
        <f ca="1"/>
        <v>0</v>
      </c>
      <c r="F23" s="180">
        <f ca="1"/>
        <v>0</v>
      </c>
      <c r="G23" s="180">
        <f ca="1"/>
        <v>0</v>
      </c>
      <c r="H23" s="180">
        <f ca="1"/>
        <v>-1.7401721297716201E-5</v>
      </c>
      <c r="I23" s="180">
        <f ca="1"/>
        <v>0</v>
      </c>
      <c r="J23" s="180">
        <f ca="1"/>
        <v>0</v>
      </c>
      <c r="K23" s="180">
        <f ca="1"/>
        <v>0</v>
      </c>
      <c r="L23" s="180">
        <f ca="1"/>
        <v>0</v>
      </c>
      <c r="M23" s="180">
        <f ca="1"/>
        <v>0</v>
      </c>
      <c r="N23" s="180">
        <f ca="1"/>
        <v>0</v>
      </c>
      <c r="O23" s="180">
        <f ca="1"/>
        <v>0</v>
      </c>
      <c r="P23" s="180">
        <f ca="1"/>
        <v>0</v>
      </c>
      <c r="Q23" s="180">
        <f ca="1"/>
        <v>0</v>
      </c>
      <c r="R23" s="180">
        <f ca="1"/>
        <v>0</v>
      </c>
      <c r="S23" s="180">
        <f ca="1"/>
        <v>0</v>
      </c>
      <c r="T23" s="180">
        <f ca="1"/>
        <v>0</v>
      </c>
      <c r="U23" s="180">
        <f ca="1"/>
        <v>0</v>
      </c>
      <c r="V23" s="180">
        <f ca="1"/>
        <v>0</v>
      </c>
      <c r="W23" s="180">
        <f ca="1"/>
        <v>0</v>
      </c>
      <c r="X23" s="180">
        <f ca="1"/>
        <v>0</v>
      </c>
      <c r="Y23" s="180">
        <f ca="1"/>
        <v>0</v>
      </c>
      <c r="Z23" s="180">
        <f ca="1"/>
        <v>0</v>
      </c>
      <c r="AA23" s="180">
        <f ca="1"/>
        <v>0</v>
      </c>
      <c r="AB23" s="180">
        <f ca="1"/>
        <v>0</v>
      </c>
      <c r="AC23" s="180">
        <f ca="1"/>
        <v>0</v>
      </c>
      <c r="AD23" s="180">
        <f ca="1"/>
        <v>0</v>
      </c>
      <c r="AE23" s="180">
        <f ca="1"/>
        <v>0</v>
      </c>
      <c r="AF23" s="180">
        <f ca="1"/>
        <v>0</v>
      </c>
      <c r="AG23" s="180">
        <f ca="1"/>
        <v>0</v>
      </c>
      <c r="AH23" s="180">
        <f ca="1"/>
        <v>0</v>
      </c>
      <c r="AI23" s="180">
        <f ca="1"/>
        <v>0</v>
      </c>
      <c r="AJ23" s="180">
        <f ca="1"/>
        <v>0</v>
      </c>
      <c r="AK23" s="180">
        <f ca="1"/>
        <v>0</v>
      </c>
      <c r="AL23" s="180">
        <f ca="1"/>
        <v>0</v>
      </c>
      <c r="AM23" s="180">
        <f ca="1"/>
        <v>0</v>
      </c>
      <c r="AN23" s="180">
        <f ca="1"/>
        <v>0</v>
      </c>
      <c r="AO23" s="180">
        <f ca="1"/>
        <v>0</v>
      </c>
      <c r="AP23" s="180">
        <f ca="1"/>
        <v>0</v>
      </c>
      <c r="AQ23" t="str">
        <f ca="1"/>
        <v/>
      </c>
    </row>
    <row r="24" spans="2:43" x14ac:dyDescent="0.25">
      <c r="B24" s="179">
        <f ca="1"/>
        <v>43907</v>
      </c>
      <c r="C24" s="180">
        <f ca="1"/>
        <v>-1.1064506533209299E-6</v>
      </c>
      <c r="D24" s="180">
        <f ca="1"/>
        <v>0</v>
      </c>
      <c r="E24" s="180">
        <f ca="1"/>
        <v>0</v>
      </c>
      <c r="F24" s="180">
        <f ca="1"/>
        <v>0</v>
      </c>
      <c r="G24" s="180">
        <f ca="1"/>
        <v>0</v>
      </c>
      <c r="H24" s="180">
        <f ca="1"/>
        <v>0</v>
      </c>
      <c r="I24" s="180">
        <f ca="1"/>
        <v>-2.5075299998400501E-5</v>
      </c>
      <c r="J24" s="180">
        <f ca="1"/>
        <v>0</v>
      </c>
      <c r="K24" s="180">
        <f ca="1"/>
        <v>0</v>
      </c>
      <c r="L24" s="180">
        <f ca="1"/>
        <v>0</v>
      </c>
      <c r="M24" s="180">
        <f ca="1"/>
        <v>0</v>
      </c>
      <c r="N24" s="180">
        <f ca="1"/>
        <v>0</v>
      </c>
      <c r="O24" s="180">
        <f ca="1"/>
        <v>0</v>
      </c>
      <c r="P24" s="180">
        <f ca="1"/>
        <v>0</v>
      </c>
      <c r="Q24" s="180">
        <f ca="1"/>
        <v>0</v>
      </c>
      <c r="R24" s="180">
        <f ca="1"/>
        <v>0</v>
      </c>
      <c r="S24" s="180">
        <f ca="1"/>
        <v>0</v>
      </c>
      <c r="T24" s="180">
        <f ca="1"/>
        <v>0</v>
      </c>
      <c r="U24" s="180">
        <f ca="1"/>
        <v>0</v>
      </c>
      <c r="V24" s="180">
        <f ca="1"/>
        <v>0</v>
      </c>
      <c r="W24" s="180">
        <f ca="1"/>
        <v>0</v>
      </c>
      <c r="X24" s="180">
        <f ca="1"/>
        <v>0</v>
      </c>
      <c r="Y24" s="180">
        <f ca="1"/>
        <v>0</v>
      </c>
      <c r="Z24" s="180">
        <f ca="1"/>
        <v>0</v>
      </c>
      <c r="AA24" s="180">
        <f ca="1"/>
        <v>0</v>
      </c>
      <c r="AB24" s="180">
        <f ca="1"/>
        <v>0</v>
      </c>
      <c r="AC24" s="180">
        <f ca="1"/>
        <v>0</v>
      </c>
      <c r="AD24" s="180">
        <f ca="1"/>
        <v>0</v>
      </c>
      <c r="AE24" s="180">
        <f ca="1"/>
        <v>0</v>
      </c>
      <c r="AF24" s="180">
        <f ca="1"/>
        <v>0</v>
      </c>
      <c r="AG24" s="180">
        <f ca="1"/>
        <v>0</v>
      </c>
      <c r="AH24" s="180">
        <f ca="1"/>
        <v>0</v>
      </c>
      <c r="AI24" s="180">
        <f ca="1"/>
        <v>0</v>
      </c>
      <c r="AJ24" s="180">
        <f ca="1"/>
        <v>0</v>
      </c>
      <c r="AK24" s="180">
        <f ca="1"/>
        <v>0</v>
      </c>
      <c r="AL24" s="180">
        <f ca="1"/>
        <v>0</v>
      </c>
      <c r="AM24" s="180">
        <f ca="1"/>
        <v>0</v>
      </c>
      <c r="AN24" s="180">
        <f ca="1"/>
        <v>0</v>
      </c>
      <c r="AO24" s="180">
        <f ca="1"/>
        <v>0</v>
      </c>
      <c r="AP24" s="180">
        <f ca="1"/>
        <v>0</v>
      </c>
      <c r="AQ24" t="str">
        <f ca="1"/>
        <v/>
      </c>
    </row>
    <row r="25" spans="2:43" x14ac:dyDescent="0.25">
      <c r="B25" s="179">
        <f ca="1"/>
        <v>43938</v>
      </c>
      <c r="C25" s="180">
        <f ca="1"/>
        <v>-1.1050165268367E-6</v>
      </c>
      <c r="D25" s="180">
        <f ca="1"/>
        <v>0</v>
      </c>
      <c r="E25" s="180">
        <f ca="1"/>
        <v>0</v>
      </c>
      <c r="F25" s="180">
        <f ca="1"/>
        <v>0</v>
      </c>
      <c r="G25" s="180">
        <f ca="1"/>
        <v>0</v>
      </c>
      <c r="H25" s="180">
        <f ca="1"/>
        <v>0</v>
      </c>
      <c r="I25" s="180">
        <f ca="1"/>
        <v>0</v>
      </c>
      <c r="J25" s="180">
        <f ca="1"/>
        <v>-3.3530059010522501E-5</v>
      </c>
      <c r="K25" s="180">
        <f ca="1"/>
        <v>0</v>
      </c>
      <c r="L25" s="180">
        <f ca="1"/>
        <v>0</v>
      </c>
      <c r="M25" s="180">
        <f ca="1"/>
        <v>0</v>
      </c>
      <c r="N25" s="180">
        <f ca="1"/>
        <v>0</v>
      </c>
      <c r="O25" s="180">
        <f ca="1"/>
        <v>0</v>
      </c>
      <c r="P25" s="180">
        <f ca="1"/>
        <v>0</v>
      </c>
      <c r="Q25" s="180">
        <f ca="1"/>
        <v>0</v>
      </c>
      <c r="R25" s="180">
        <f ca="1"/>
        <v>0</v>
      </c>
      <c r="S25" s="180">
        <f ca="1"/>
        <v>0</v>
      </c>
      <c r="T25" s="180">
        <f ca="1"/>
        <v>0</v>
      </c>
      <c r="U25" s="180">
        <f ca="1"/>
        <v>0</v>
      </c>
      <c r="V25" s="180">
        <f ca="1"/>
        <v>0</v>
      </c>
      <c r="W25" s="180">
        <f ca="1"/>
        <v>0</v>
      </c>
      <c r="X25" s="180">
        <f ca="1"/>
        <v>0</v>
      </c>
      <c r="Y25" s="180">
        <f ca="1"/>
        <v>0</v>
      </c>
      <c r="Z25" s="180">
        <f ca="1"/>
        <v>0</v>
      </c>
      <c r="AA25" s="180">
        <f ca="1"/>
        <v>0</v>
      </c>
      <c r="AB25" s="180">
        <f ca="1"/>
        <v>0</v>
      </c>
      <c r="AC25" s="180">
        <f ca="1"/>
        <v>0</v>
      </c>
      <c r="AD25" s="180">
        <f ca="1"/>
        <v>0</v>
      </c>
      <c r="AE25" s="180">
        <f ca="1"/>
        <v>0</v>
      </c>
      <c r="AF25" s="180">
        <f ca="1"/>
        <v>0</v>
      </c>
      <c r="AG25" s="180">
        <f ca="1"/>
        <v>0</v>
      </c>
      <c r="AH25" s="180">
        <f ca="1"/>
        <v>0</v>
      </c>
      <c r="AI25" s="180">
        <f ca="1"/>
        <v>0</v>
      </c>
      <c r="AJ25" s="180">
        <f ca="1"/>
        <v>0</v>
      </c>
      <c r="AK25" s="180">
        <f ca="1"/>
        <v>0</v>
      </c>
      <c r="AL25" s="180">
        <f ca="1"/>
        <v>0</v>
      </c>
      <c r="AM25" s="180">
        <f ca="1"/>
        <v>0</v>
      </c>
      <c r="AN25" s="180">
        <f ca="1"/>
        <v>0</v>
      </c>
      <c r="AO25" s="180">
        <f ca="1"/>
        <v>0</v>
      </c>
      <c r="AP25" s="180">
        <f ca="1"/>
        <v>0</v>
      </c>
      <c r="AQ25" t="str">
        <f ca="1"/>
        <v/>
      </c>
    </row>
    <row r="26" spans="2:43" x14ac:dyDescent="0.25">
      <c r="B26" s="179">
        <f ca="1"/>
        <v>43969</v>
      </c>
      <c r="C26" s="180">
        <f ca="1"/>
        <v>-1.1036112552709201E-6</v>
      </c>
      <c r="D26" s="180">
        <f ca="1"/>
        <v>0</v>
      </c>
      <c r="E26" s="180">
        <f ca="1"/>
        <v>0</v>
      </c>
      <c r="F26" s="180">
        <f ca="1"/>
        <v>0</v>
      </c>
      <c r="G26" s="180">
        <f ca="1"/>
        <v>0</v>
      </c>
      <c r="H26" s="180">
        <f ca="1"/>
        <v>0</v>
      </c>
      <c r="I26" s="180">
        <f ca="1"/>
        <v>0</v>
      </c>
      <c r="J26" s="180">
        <f ca="1"/>
        <v>0</v>
      </c>
      <c r="K26" s="180">
        <f ca="1"/>
        <v>-4.1942751375034802E-5</v>
      </c>
      <c r="L26" s="180">
        <f ca="1"/>
        <v>0</v>
      </c>
      <c r="M26" s="180">
        <f ca="1"/>
        <v>0</v>
      </c>
      <c r="N26" s="180">
        <f ca="1"/>
        <v>0</v>
      </c>
      <c r="O26" s="180">
        <f ca="1"/>
        <v>0</v>
      </c>
      <c r="P26" s="180">
        <f ca="1"/>
        <v>0</v>
      </c>
      <c r="Q26" s="180">
        <f ca="1"/>
        <v>0</v>
      </c>
      <c r="R26" s="180">
        <f ca="1"/>
        <v>0</v>
      </c>
      <c r="S26" s="180">
        <f ca="1"/>
        <v>0</v>
      </c>
      <c r="T26" s="180">
        <f ca="1"/>
        <v>0</v>
      </c>
      <c r="U26" s="180">
        <f ca="1"/>
        <v>0</v>
      </c>
      <c r="V26" s="180">
        <f ca="1"/>
        <v>0</v>
      </c>
      <c r="W26" s="180">
        <f ca="1"/>
        <v>0</v>
      </c>
      <c r="X26" s="180">
        <f ca="1"/>
        <v>0</v>
      </c>
      <c r="Y26" s="180">
        <f ca="1"/>
        <v>0</v>
      </c>
      <c r="Z26" s="180">
        <f ca="1"/>
        <v>0</v>
      </c>
      <c r="AA26" s="180">
        <f ca="1"/>
        <v>0</v>
      </c>
      <c r="AB26" s="180">
        <f ca="1"/>
        <v>0</v>
      </c>
      <c r="AC26" s="180">
        <f ca="1"/>
        <v>0</v>
      </c>
      <c r="AD26" s="180">
        <f ca="1"/>
        <v>0</v>
      </c>
      <c r="AE26" s="180">
        <f ca="1"/>
        <v>0</v>
      </c>
      <c r="AF26" s="180">
        <f ca="1"/>
        <v>0</v>
      </c>
      <c r="AG26" s="180">
        <f ca="1"/>
        <v>0</v>
      </c>
      <c r="AH26" s="180">
        <f ca="1"/>
        <v>0</v>
      </c>
      <c r="AI26" s="180">
        <f ca="1"/>
        <v>0</v>
      </c>
      <c r="AJ26" s="180">
        <f ca="1"/>
        <v>0</v>
      </c>
      <c r="AK26" s="180">
        <f ca="1"/>
        <v>0</v>
      </c>
      <c r="AL26" s="180">
        <f ca="1"/>
        <v>0</v>
      </c>
      <c r="AM26" s="180">
        <f ca="1"/>
        <v>0</v>
      </c>
      <c r="AN26" s="180">
        <f ca="1"/>
        <v>0</v>
      </c>
      <c r="AO26" s="180">
        <f ca="1"/>
        <v>0</v>
      </c>
      <c r="AP26" s="180">
        <f ca="1"/>
        <v>0</v>
      </c>
      <c r="AQ26" t="str">
        <f ca="1"/>
        <v/>
      </c>
    </row>
    <row r="27" spans="2:43" x14ac:dyDescent="0.25">
      <c r="B27" s="179">
        <f ca="1"/>
        <v>43999</v>
      </c>
      <c r="C27" s="180">
        <f ca="1"/>
        <v>-1.10226834537652E-6</v>
      </c>
      <c r="D27" s="180">
        <f ca="1"/>
        <v>0</v>
      </c>
      <c r="E27" s="180">
        <f ca="1"/>
        <v>0</v>
      </c>
      <c r="F27" s="180">
        <f ca="1"/>
        <v>0</v>
      </c>
      <c r="G27" s="180">
        <f ca="1"/>
        <v>0</v>
      </c>
      <c r="H27" s="180">
        <f ca="1"/>
        <v>0</v>
      </c>
      <c r="I27" s="180">
        <f ca="1"/>
        <v>0</v>
      </c>
      <c r="J27" s="180">
        <f ca="1"/>
        <v>0</v>
      </c>
      <c r="K27" s="180">
        <f ca="1"/>
        <v>0</v>
      </c>
      <c r="L27" s="180">
        <f ca="1"/>
        <v>-5.0044394110937398E-5</v>
      </c>
      <c r="M27" s="180">
        <f ca="1"/>
        <v>0</v>
      </c>
      <c r="N27" s="180">
        <f ca="1"/>
        <v>0</v>
      </c>
      <c r="O27" s="180">
        <f ca="1"/>
        <v>0</v>
      </c>
      <c r="P27" s="180">
        <f ca="1"/>
        <v>0</v>
      </c>
      <c r="Q27" s="180">
        <f ca="1"/>
        <v>0</v>
      </c>
      <c r="R27" s="180">
        <f ca="1"/>
        <v>0</v>
      </c>
      <c r="S27" s="180">
        <f ca="1"/>
        <v>0</v>
      </c>
      <c r="T27" s="180">
        <f ca="1"/>
        <v>0</v>
      </c>
      <c r="U27" s="180">
        <f ca="1"/>
        <v>0</v>
      </c>
      <c r="V27" s="180">
        <f ca="1"/>
        <v>0</v>
      </c>
      <c r="W27" s="180">
        <f ca="1"/>
        <v>0</v>
      </c>
      <c r="X27" s="180">
        <f ca="1"/>
        <v>0</v>
      </c>
      <c r="Y27" s="180">
        <f ca="1"/>
        <v>0</v>
      </c>
      <c r="Z27" s="180">
        <f ca="1"/>
        <v>0</v>
      </c>
      <c r="AA27" s="180">
        <f ca="1"/>
        <v>0</v>
      </c>
      <c r="AB27" s="180">
        <f ca="1"/>
        <v>0</v>
      </c>
      <c r="AC27" s="180">
        <f ca="1"/>
        <v>0</v>
      </c>
      <c r="AD27" s="180">
        <f ca="1"/>
        <v>0</v>
      </c>
      <c r="AE27" s="180">
        <f ca="1"/>
        <v>0</v>
      </c>
      <c r="AF27" s="180">
        <f ca="1"/>
        <v>0</v>
      </c>
      <c r="AG27" s="180">
        <f ca="1"/>
        <v>0</v>
      </c>
      <c r="AH27" s="180">
        <f ca="1"/>
        <v>0</v>
      </c>
      <c r="AI27" s="180">
        <f ca="1"/>
        <v>0</v>
      </c>
      <c r="AJ27" s="180">
        <f ca="1"/>
        <v>0</v>
      </c>
      <c r="AK27" s="180">
        <f ca="1"/>
        <v>0</v>
      </c>
      <c r="AL27" s="180">
        <f ca="1"/>
        <v>0</v>
      </c>
      <c r="AM27" s="180">
        <f ca="1"/>
        <v>0</v>
      </c>
      <c r="AN27" s="180">
        <f ca="1"/>
        <v>0</v>
      </c>
      <c r="AO27" s="180">
        <f ca="1"/>
        <v>0</v>
      </c>
      <c r="AP27" s="180">
        <f ca="1"/>
        <v>0</v>
      </c>
      <c r="AQ27" t="str">
        <f ca="1"/>
        <v/>
      </c>
    </row>
    <row r="28" spans="2:43" x14ac:dyDescent="0.25">
      <c r="B28" s="179">
        <f ca="1"/>
        <v>44091</v>
      </c>
      <c r="C28" s="180">
        <f ca="1"/>
        <v>-1.09830756656049E-6</v>
      </c>
      <c r="D28" s="180">
        <f ca="1"/>
        <v>0</v>
      </c>
      <c r="E28" s="180">
        <f ca="1"/>
        <v>0</v>
      </c>
      <c r="F28" s="180">
        <f ca="1"/>
        <v>0</v>
      </c>
      <c r="G28" s="180">
        <f ca="1"/>
        <v>0</v>
      </c>
      <c r="H28" s="180">
        <f ca="1"/>
        <v>0</v>
      </c>
      <c r="I28" s="180">
        <f ca="1"/>
        <v>0</v>
      </c>
      <c r="J28" s="180">
        <f ca="1"/>
        <v>0</v>
      </c>
      <c r="K28" s="180">
        <f ca="1"/>
        <v>0</v>
      </c>
      <c r="L28" s="180">
        <f ca="1"/>
        <v>0</v>
      </c>
      <c r="M28" s="180">
        <f ca="1"/>
        <v>-7.4661966589117904E-5</v>
      </c>
      <c r="N28" s="180">
        <f ca="1"/>
        <v>0</v>
      </c>
      <c r="O28" s="180">
        <f ca="1"/>
        <v>0</v>
      </c>
      <c r="P28" s="180">
        <f ca="1"/>
        <v>0</v>
      </c>
      <c r="Q28" s="180">
        <f ca="1"/>
        <v>0</v>
      </c>
      <c r="R28" s="180">
        <f ca="1"/>
        <v>0</v>
      </c>
      <c r="S28" s="180">
        <f ca="1"/>
        <v>0</v>
      </c>
      <c r="T28" s="180">
        <f ca="1"/>
        <v>0</v>
      </c>
      <c r="U28" s="180">
        <f ca="1"/>
        <v>0</v>
      </c>
      <c r="V28" s="180">
        <f ca="1"/>
        <v>0</v>
      </c>
      <c r="W28" s="180">
        <f ca="1"/>
        <v>0</v>
      </c>
      <c r="X28" s="180">
        <f ca="1"/>
        <v>0</v>
      </c>
      <c r="Y28" s="180">
        <f ca="1"/>
        <v>0</v>
      </c>
      <c r="Z28" s="180">
        <f ca="1"/>
        <v>0</v>
      </c>
      <c r="AA28" s="180">
        <f ca="1"/>
        <v>0</v>
      </c>
      <c r="AB28" s="180">
        <f ca="1"/>
        <v>0</v>
      </c>
      <c r="AC28" s="180">
        <f ca="1"/>
        <v>0</v>
      </c>
      <c r="AD28" s="180">
        <f ca="1"/>
        <v>0</v>
      </c>
      <c r="AE28" s="180">
        <f ca="1"/>
        <v>0</v>
      </c>
      <c r="AF28" s="180">
        <f ca="1"/>
        <v>0</v>
      </c>
      <c r="AG28" s="180">
        <f ca="1"/>
        <v>0</v>
      </c>
      <c r="AH28" s="180">
        <f ca="1"/>
        <v>0</v>
      </c>
      <c r="AI28" s="180">
        <f ca="1"/>
        <v>0</v>
      </c>
      <c r="AJ28" s="180">
        <f ca="1"/>
        <v>0</v>
      </c>
      <c r="AK28" s="180">
        <f ca="1"/>
        <v>0</v>
      </c>
      <c r="AL28" s="180">
        <f ca="1"/>
        <v>0</v>
      </c>
      <c r="AM28" s="180">
        <f ca="1"/>
        <v>0</v>
      </c>
      <c r="AN28" s="180">
        <f ca="1"/>
        <v>0</v>
      </c>
      <c r="AO28" s="180">
        <f ca="1"/>
        <v>0</v>
      </c>
      <c r="AP28" s="180">
        <f ca="1"/>
        <v>0</v>
      </c>
      <c r="AQ28" t="str">
        <f ca="1"/>
        <v/>
      </c>
    </row>
    <row r="29" spans="2:43" x14ac:dyDescent="0.25">
      <c r="B29" s="179">
        <f ca="1"/>
        <v>44182</v>
      </c>
      <c r="C29" s="180">
        <f ca="1"/>
        <v>-1.0946889307250599E-6</v>
      </c>
      <c r="D29" s="180">
        <f ca="1"/>
        <v>0</v>
      </c>
      <c r="E29" s="180">
        <f ca="1"/>
        <v>0</v>
      </c>
      <c r="F29" s="180">
        <f ca="1"/>
        <v>0</v>
      </c>
      <c r="G29" s="180">
        <f ca="1"/>
        <v>0</v>
      </c>
      <c r="H29" s="180">
        <f ca="1"/>
        <v>0</v>
      </c>
      <c r="I29" s="180">
        <f ca="1"/>
        <v>-1.5917320461689101E-8</v>
      </c>
      <c r="J29" s="180">
        <f ca="1"/>
        <v>0</v>
      </c>
      <c r="K29" s="180">
        <f ca="1"/>
        <v>0</v>
      </c>
      <c r="L29" s="180">
        <f ca="1"/>
        <v>3.9594968237466301E-7</v>
      </c>
      <c r="M29" s="180">
        <f ca="1"/>
        <v>-4.79147191922991E-8</v>
      </c>
      <c r="N29" s="180">
        <f ca="1"/>
        <v>0</v>
      </c>
      <c r="O29" s="180">
        <f ca="1"/>
        <v>0</v>
      </c>
      <c r="P29" s="180">
        <f ca="1"/>
        <v>0</v>
      </c>
      <c r="Q29" s="180">
        <f ca="1"/>
        <v>0</v>
      </c>
      <c r="R29" s="180">
        <f ca="1"/>
        <v>0</v>
      </c>
      <c r="S29" s="180">
        <f ca="1"/>
        <v>9.9905166927260995E-5</v>
      </c>
      <c r="T29" s="180">
        <f ca="1"/>
        <v>0</v>
      </c>
      <c r="U29" s="180">
        <f ca="1"/>
        <v>0</v>
      </c>
      <c r="V29" s="180">
        <f ca="1"/>
        <v>0</v>
      </c>
      <c r="W29" s="180">
        <f ca="1"/>
        <v>0</v>
      </c>
      <c r="X29" s="180">
        <f ca="1"/>
        <v>0</v>
      </c>
      <c r="Y29" s="180">
        <f ca="1"/>
        <v>0</v>
      </c>
      <c r="Z29" s="180">
        <f ca="1"/>
        <v>0</v>
      </c>
      <c r="AA29" s="180">
        <f ca="1"/>
        <v>0</v>
      </c>
      <c r="AB29" s="180">
        <f ca="1"/>
        <v>0</v>
      </c>
      <c r="AC29" s="180">
        <f ca="1"/>
        <v>0</v>
      </c>
      <c r="AD29" s="180">
        <f ca="1"/>
        <v>0</v>
      </c>
      <c r="AE29" s="180">
        <f ca="1"/>
        <v>-9.8085966343197702E-5</v>
      </c>
      <c r="AF29" s="180">
        <f ca="1"/>
        <v>0</v>
      </c>
      <c r="AG29" s="180">
        <f ca="1"/>
        <v>0</v>
      </c>
      <c r="AH29" s="180">
        <f ca="1"/>
        <v>0</v>
      </c>
      <c r="AI29" s="180">
        <f ca="1"/>
        <v>0</v>
      </c>
      <c r="AJ29" s="180">
        <f ca="1"/>
        <v>0</v>
      </c>
      <c r="AK29" s="180">
        <f ca="1"/>
        <v>0</v>
      </c>
      <c r="AL29" s="180">
        <f ca="1"/>
        <v>0</v>
      </c>
      <c r="AM29" s="180">
        <f ca="1"/>
        <v>0</v>
      </c>
      <c r="AN29" s="180">
        <f ca="1"/>
        <v>0</v>
      </c>
      <c r="AO29" s="180">
        <f ca="1"/>
        <v>0</v>
      </c>
      <c r="AP29" s="180">
        <f ca="1"/>
        <v>0</v>
      </c>
      <c r="AQ29" t="str">
        <f ca="1"/>
        <v/>
      </c>
    </row>
    <row r="30" spans="2:43" x14ac:dyDescent="0.25">
      <c r="B30" s="179">
        <f ca="1"/>
        <v>44272</v>
      </c>
      <c r="C30" s="180">
        <f ca="1"/>
        <v>-1.0912586303479801E-6</v>
      </c>
      <c r="D30" s="180">
        <f ca="1"/>
        <v>-2.1672941219463801E-8</v>
      </c>
      <c r="E30" s="180">
        <f ca="1"/>
        <v>8.6665301490818094E-8</v>
      </c>
      <c r="F30" s="180">
        <f ca="1"/>
        <v>-2.28292080795001E-7</v>
      </c>
      <c r="G30" s="180">
        <f ca="1"/>
        <v>2.93850263899387E-7</v>
      </c>
      <c r="H30" s="180">
        <f ca="1"/>
        <v>-6.6455130021125797E-7</v>
      </c>
      <c r="I30" s="180">
        <f ca="1"/>
        <v>2.2343064480789799E-6</v>
      </c>
      <c r="J30" s="180">
        <f ca="1"/>
        <v>-8.1220609006171801E-6</v>
      </c>
      <c r="K30" s="180">
        <f ca="1"/>
        <v>3.1268789915661601E-5</v>
      </c>
      <c r="L30" s="180">
        <f ca="1"/>
        <v>-4.6964024180251598E-5</v>
      </c>
      <c r="M30" s="180">
        <f ca="1"/>
        <v>9.9418182370358794E-5</v>
      </c>
      <c r="N30" s="180">
        <f ca="1"/>
        <v>1.7874590696465001E-14</v>
      </c>
      <c r="O30" s="180">
        <f ca="1"/>
        <v>1.7874590696465001E-14</v>
      </c>
      <c r="P30" s="180">
        <f ca="1"/>
        <v>1.7874590696465001E-14</v>
      </c>
      <c r="Q30" s="180">
        <f ca="1"/>
        <v>1.7874590696465001E-14</v>
      </c>
      <c r="R30" s="180">
        <f ca="1"/>
        <v>1.7874590696465001E-14</v>
      </c>
      <c r="S30" s="180">
        <f ca="1"/>
        <v>1.82248155570441E-4</v>
      </c>
      <c r="T30" s="180">
        <f ca="1"/>
        <v>2.3823191022232E-5</v>
      </c>
      <c r="U30" s="180">
        <f ca="1"/>
        <v>-5.8795910846676202E-6</v>
      </c>
      <c r="V30" s="180">
        <f ca="1"/>
        <v>1.5578047495301599E-6</v>
      </c>
      <c r="W30" s="180">
        <f ca="1"/>
        <v>-3.3610651184456899E-7</v>
      </c>
      <c r="X30" s="180">
        <f ca="1"/>
        <v>3.3519921949220997E-8</v>
      </c>
      <c r="Y30" s="180">
        <f ca="1"/>
        <v>-6.6907758222711802E-9</v>
      </c>
      <c r="Z30" s="180">
        <f ca="1"/>
        <v>2.3438802010389302E-9</v>
      </c>
      <c r="AA30" s="180">
        <f ca="1"/>
        <v>-3.3292768542025902E-10</v>
      </c>
      <c r="AB30" s="180">
        <f ca="1"/>
        <v>4.9693582582222E-11</v>
      </c>
      <c r="AC30" s="180">
        <f ca="1"/>
        <v>-1.2740697385993401E-11</v>
      </c>
      <c r="AD30" s="180">
        <f ca="1"/>
        <v>2.1797008642465698E-12</v>
      </c>
      <c r="AE30" s="180">
        <f ca="1"/>
        <v>-1.7891466027797299E-4</v>
      </c>
      <c r="AF30" s="180">
        <f ca="1"/>
        <v>-2.3426459270670101E-5</v>
      </c>
      <c r="AG30" s="180">
        <f ca="1"/>
        <v>5.78526158889758E-6</v>
      </c>
      <c r="AH30" s="180">
        <f ca="1"/>
        <v>-1.5332656856381601E-6</v>
      </c>
      <c r="AI30" s="180">
        <f ca="1"/>
        <v>3.3070884941643902E-7</v>
      </c>
      <c r="AJ30" s="180">
        <f ca="1"/>
        <v>-3.29935151421878E-8</v>
      </c>
      <c r="AK30" s="180">
        <f ca="1"/>
        <v>6.5860258358085802E-9</v>
      </c>
      <c r="AL30" s="180">
        <f ca="1"/>
        <v>-2.3082752376168998E-9</v>
      </c>
      <c r="AM30" s="180">
        <f ca="1"/>
        <v>3.2792435433748298E-10</v>
      </c>
      <c r="AN30" s="180">
        <f ca="1"/>
        <v>-4.8952286668679803E-11</v>
      </c>
      <c r="AO30" s="180">
        <f ca="1"/>
        <v>1.2565948281917399E-11</v>
      </c>
      <c r="AP30" s="180">
        <f ca="1"/>
        <v>-2.1381785231255902E-12</v>
      </c>
      <c r="AQ30" t="str">
        <f ca="1"/>
        <v/>
      </c>
    </row>
    <row r="31" spans="2:43" x14ac:dyDescent="0.25">
      <c r="B31" s="179">
        <f ca="1"/>
        <v>44364</v>
      </c>
      <c r="C31" s="180">
        <f ca="1"/>
        <v>-1.0878009840675801E-6</v>
      </c>
      <c r="D31" s="180">
        <f ca="1"/>
        <v>-2.70395477119934E-8</v>
      </c>
      <c r="E31" s="180">
        <f ca="1"/>
        <v>1.0812521122893801E-7</v>
      </c>
      <c r="F31" s="180">
        <f ca="1"/>
        <v>-2.8482122949036197E-7</v>
      </c>
      <c r="G31" s="180">
        <f ca="1"/>
        <v>3.6661289481987298E-7</v>
      </c>
      <c r="H31" s="180">
        <f ca="1"/>
        <v>-8.2910604759511799E-7</v>
      </c>
      <c r="I31" s="180">
        <f ca="1"/>
        <v>2.7918337678345399E-6</v>
      </c>
      <c r="J31" s="180">
        <f ca="1"/>
        <v>-1.0133217923646901E-5</v>
      </c>
      <c r="K31" s="180">
        <f ca="1"/>
        <v>3.90116565056609E-5</v>
      </c>
      <c r="L31" s="180">
        <f ca="1"/>
        <v>-5.8700558046576001E-5</v>
      </c>
      <c r="M31" s="180">
        <f ca="1"/>
        <v>1.2405033190110399E-4</v>
      </c>
      <c r="N31" s="180">
        <f ca="1"/>
        <v>6.0063065632220994E-14</v>
      </c>
      <c r="O31" s="180">
        <f ca="1"/>
        <v>6.0063065632220994E-14</v>
      </c>
      <c r="P31" s="180">
        <f ca="1"/>
        <v>6.0063065632220994E-14</v>
      </c>
      <c r="Q31" s="180">
        <f ca="1"/>
        <v>6.0063065632220994E-14</v>
      </c>
      <c r="R31" s="180">
        <f ca="1"/>
        <v>6.0063065632220994E-14</v>
      </c>
      <c r="S31" s="180">
        <f ca="1"/>
        <v>1.79714367891326E-4</v>
      </c>
      <c r="T31" s="180">
        <f ca="1"/>
        <v>7.78878091565183E-5</v>
      </c>
      <c r="U31" s="180">
        <f ca="1"/>
        <v>-1.5894935672555698E-5</v>
      </c>
      <c r="V31" s="180">
        <f ca="1"/>
        <v>4.2114096591161498E-6</v>
      </c>
      <c r="W31" s="180">
        <f ca="1"/>
        <v>-9.0863754464987099E-7</v>
      </c>
      <c r="X31" s="180">
        <f ca="1"/>
        <v>9.0618505477202405E-8</v>
      </c>
      <c r="Y31" s="180">
        <f ca="1"/>
        <v>-1.8087983333359101E-8</v>
      </c>
      <c r="Z31" s="180">
        <f ca="1"/>
        <v>6.3365035440909903E-9</v>
      </c>
      <c r="AA31" s="180">
        <f ca="1"/>
        <v>-9.0004481645422598E-10</v>
      </c>
      <c r="AB31" s="180">
        <f ca="1"/>
        <v>1.34349753544427E-10</v>
      </c>
      <c r="AC31" s="180">
        <f ca="1"/>
        <v>-3.44425599152487E-11</v>
      </c>
      <c r="AD31" s="180">
        <f ca="1"/>
        <v>5.9006133312777804E-12</v>
      </c>
      <c r="AE31" s="180">
        <f ca="1"/>
        <v>-1.7642763715863799E-4</v>
      </c>
      <c r="AF31" s="180">
        <f ca="1"/>
        <v>-7.6586534905498396E-5</v>
      </c>
      <c r="AG31" s="180">
        <f ca="1"/>
        <v>1.5640083421475398E-5</v>
      </c>
      <c r="AH31" s="180">
        <f ca="1"/>
        <v>-4.1450589610692001E-6</v>
      </c>
      <c r="AI31" s="180">
        <f ca="1"/>
        <v>8.9404590519759395E-7</v>
      </c>
      <c r="AJ31" s="180">
        <f ca="1"/>
        <v>-8.91953955139968E-8</v>
      </c>
      <c r="AK31" s="180">
        <f ca="1"/>
        <v>1.7804817842304E-8</v>
      </c>
      <c r="AL31" s="180">
        <f ca="1"/>
        <v>-6.2402339962019904E-9</v>
      </c>
      <c r="AM31" s="180">
        <f ca="1"/>
        <v>8.8652662988408803E-10</v>
      </c>
      <c r="AN31" s="180">
        <f ca="1"/>
        <v>-1.32336697156177E-10</v>
      </c>
      <c r="AO31" s="180">
        <f ca="1"/>
        <v>3.3974267843461803E-11</v>
      </c>
      <c r="AP31" s="180">
        <f ca="1"/>
        <v>-5.7795990215936399E-12</v>
      </c>
      <c r="AQ31" t="str">
        <f ca="1"/>
        <v/>
      </c>
    </row>
    <row r="32" spans="2:43" x14ac:dyDescent="0.25">
      <c r="B32" s="179">
        <f ca="1"/>
        <v>44456</v>
      </c>
      <c r="C32" s="180">
        <f ca="1"/>
        <v>-1.0843502650237401E-6</v>
      </c>
      <c r="D32" s="180">
        <f ca="1"/>
        <v>-1.6642742295403001E-8</v>
      </c>
      <c r="E32" s="180">
        <f ca="1"/>
        <v>6.6550747024329797E-8</v>
      </c>
      <c r="F32" s="180">
        <f ca="1"/>
        <v>-1.7530637907991999E-7</v>
      </c>
      <c r="G32" s="180">
        <f ca="1"/>
        <v>2.25649004592654E-7</v>
      </c>
      <c r="H32" s="180">
        <f ca="1"/>
        <v>-5.1031200831719303E-7</v>
      </c>
      <c r="I32" s="180">
        <f ca="1"/>
        <v>1.7127377428538499E-6</v>
      </c>
      <c r="J32" s="180">
        <f ca="1"/>
        <v>-6.2369724282973502E-6</v>
      </c>
      <c r="K32" s="180">
        <f ca="1"/>
        <v>2.4011351819619401E-5</v>
      </c>
      <c r="L32" s="180">
        <f ca="1"/>
        <v>-3.5993583364923898E-5</v>
      </c>
      <c r="M32" s="180">
        <f ca="1"/>
        <v>7.6333733274758204E-5</v>
      </c>
      <c r="N32" s="180">
        <f ca="1"/>
        <v>1.1723955140041701E-13</v>
      </c>
      <c r="O32" s="180">
        <f ca="1"/>
        <v>1.1723955140041701E-13</v>
      </c>
      <c r="P32" s="180">
        <f ca="1"/>
        <v>1.1723955140041701E-13</v>
      </c>
      <c r="Q32" s="180">
        <f ca="1"/>
        <v>1.1723955140041701E-13</v>
      </c>
      <c r="R32" s="180">
        <f ca="1"/>
        <v>1.1723955140041701E-13</v>
      </c>
      <c r="S32" s="180">
        <f ca="1"/>
        <v>1.01364406108417E-4</v>
      </c>
      <c r="T32" s="180">
        <f ca="1"/>
        <v>1.4617919987824899E-4</v>
      </c>
      <c r="U32" s="180">
        <f ca="1"/>
        <v>-1.9422817951642E-5</v>
      </c>
      <c r="V32" s="180">
        <f ca="1"/>
        <v>5.1461442520661598E-6</v>
      </c>
      <c r="W32" s="180">
        <f ca="1"/>
        <v>-1.11031165006548E-6</v>
      </c>
      <c r="X32" s="180">
        <f ca="1"/>
        <v>1.10731499192163E-7</v>
      </c>
      <c r="Y32" s="180">
        <f ca="1"/>
        <v>-2.2102622621034099E-8</v>
      </c>
      <c r="Z32" s="180">
        <f ca="1"/>
        <v>7.7429258560357506E-9</v>
      </c>
      <c r="AA32" s="180">
        <f ca="1"/>
        <v>-1.09981679319304E-9</v>
      </c>
      <c r="AB32" s="180">
        <f ca="1"/>
        <v>1.6419421378088799E-10</v>
      </c>
      <c r="AC32" s="180">
        <f ca="1"/>
        <v>-4.2084336016046102E-11</v>
      </c>
      <c r="AD32" s="180">
        <f ca="1"/>
        <v>7.24031945509296E-12</v>
      </c>
      <c r="AE32" s="180">
        <f ca="1"/>
        <v>-9.9518585856772605E-5</v>
      </c>
      <c r="AF32" s="180">
        <f ca="1"/>
        <v>-1.43726984979553E-4</v>
      </c>
      <c r="AG32" s="180">
        <f ca="1"/>
        <v>1.91114703623763E-5</v>
      </c>
      <c r="AH32" s="180">
        <f ca="1"/>
        <v>-5.0650619757286497E-6</v>
      </c>
      <c r="AI32" s="180">
        <f ca="1"/>
        <v>1.0924815792012799E-6</v>
      </c>
      <c r="AJ32" s="180">
        <f ca="1"/>
        <v>-1.08992506797634E-7</v>
      </c>
      <c r="AK32" s="180">
        <f ca="1"/>
        <v>2.1756672241579599E-8</v>
      </c>
      <c r="AL32" s="180">
        <f ca="1"/>
        <v>-7.6252366643103592E-9</v>
      </c>
      <c r="AM32" s="180">
        <f ca="1"/>
        <v>1.08332487425145E-9</v>
      </c>
      <c r="AN32" s="180">
        <f ca="1"/>
        <v>-1.6170254024672201E-10</v>
      </c>
      <c r="AO32" s="180">
        <f ca="1"/>
        <v>4.1526893035381798E-11</v>
      </c>
      <c r="AP32" s="180">
        <f ca="1"/>
        <v>-7.0604633251036798E-12</v>
      </c>
      <c r="AQ32" t="str">
        <f ca="1"/>
        <v/>
      </c>
    </row>
    <row r="33" spans="2:43" x14ac:dyDescent="0.25">
      <c r="B33" s="179">
        <f ca="1"/>
        <v>44547</v>
      </c>
      <c r="C33" s="180">
        <f ca="1"/>
        <v>-1.0809251166366E-6</v>
      </c>
      <c r="D33" s="180">
        <f ca="1"/>
        <v>1.76910264215735E-10</v>
      </c>
      <c r="E33" s="180">
        <f ca="1"/>
        <v>-7.0724270884170396E-10</v>
      </c>
      <c r="F33" s="180">
        <f ca="1"/>
        <v>1.8635389897880798E-9</v>
      </c>
      <c r="G33" s="180">
        <f ca="1"/>
        <v>-2.3982775765318799E-9</v>
      </c>
      <c r="H33" s="180">
        <f ca="1"/>
        <v>5.4239575053571798E-9</v>
      </c>
      <c r="I33" s="180">
        <f ca="1"/>
        <v>-3.3291281731351299E-8</v>
      </c>
      <c r="J33" s="180">
        <f ca="1"/>
        <v>6.6292789036026494E-8</v>
      </c>
      <c r="K33" s="180">
        <f ca="1"/>
        <v>-2.5521905566705501E-7</v>
      </c>
      <c r="L33" s="180">
        <f ca="1"/>
        <v>7.5137827137972103E-7</v>
      </c>
      <c r="M33" s="180">
        <f ca="1"/>
        <v>-8.5678792682841699E-7</v>
      </c>
      <c r="N33" s="180">
        <f ca="1"/>
        <v>1.7030821197749899E-13</v>
      </c>
      <c r="O33" s="180">
        <f ca="1"/>
        <v>1.7030821197749899E-13</v>
      </c>
      <c r="P33" s="180">
        <f ca="1"/>
        <v>1.7030821197749899E-13</v>
      </c>
      <c r="Q33" s="180">
        <f ca="1"/>
        <v>1.7030821197749899E-13</v>
      </c>
      <c r="R33" s="180">
        <f ca="1"/>
        <v>1.7030821197749899E-13</v>
      </c>
      <c r="S33" s="180">
        <f ca="1"/>
        <v>-1.89814968809543E-6</v>
      </c>
      <c r="T33" s="180">
        <f ca="1"/>
        <v>1.9787406482563199E-4</v>
      </c>
      <c r="U33" s="180">
        <f ca="1"/>
        <v>1.0219955148826899E-7</v>
      </c>
      <c r="V33" s="180">
        <f ca="1"/>
        <v>-2.70780227129563E-8</v>
      </c>
      <c r="W33" s="180">
        <f ca="1"/>
        <v>5.8421816273579502E-9</v>
      </c>
      <c r="X33" s="180">
        <f ca="1"/>
        <v>-5.8262528135344403E-10</v>
      </c>
      <c r="Y33" s="180">
        <f ca="1"/>
        <v>1.16418430451404E-10</v>
      </c>
      <c r="Z33" s="180">
        <f ca="1"/>
        <v>-4.0661030098476697E-11</v>
      </c>
      <c r="AA33" s="180">
        <f ca="1"/>
        <v>5.76849679134739E-12</v>
      </c>
      <c r="AB33" s="180">
        <f ca="1"/>
        <v>-7.6538775317658302E-13</v>
      </c>
      <c r="AC33" s="180">
        <f ca="1"/>
        <v>2.3270274596143301E-13</v>
      </c>
      <c r="AD33" s="180">
        <f ca="1"/>
        <v>7.8825834748386102E-14</v>
      </c>
      <c r="AE33" s="180">
        <f ca="1"/>
        <v>1.86348903830069E-6</v>
      </c>
      <c r="AF33" s="180">
        <f ca="1"/>
        <v>-1.94544342638103E-4</v>
      </c>
      <c r="AG33" s="180">
        <f ca="1"/>
        <v>-1.00560721638665E-7</v>
      </c>
      <c r="AH33" s="180">
        <f ca="1"/>
        <v>2.6651395979016002E-8</v>
      </c>
      <c r="AI33" s="180">
        <f ca="1"/>
        <v>-5.7484043081146297E-9</v>
      </c>
      <c r="AJ33" s="180">
        <f ca="1"/>
        <v>5.7354432314582503E-10</v>
      </c>
      <c r="AK33" s="180">
        <f ca="1"/>
        <v>-1.14347087354361E-10</v>
      </c>
      <c r="AL33" s="180">
        <f ca="1"/>
        <v>4.0246361798779201E-11</v>
      </c>
      <c r="AM33" s="180">
        <f ca="1"/>
        <v>-5.5772053642044698E-12</v>
      </c>
      <c r="AN33" s="180">
        <f ca="1"/>
        <v>8.7685414484894904E-13</v>
      </c>
      <c r="AO33" s="180">
        <f ca="1"/>
        <v>-1.7130741269966201E-13</v>
      </c>
      <c r="AP33" s="180">
        <f ca="1"/>
        <v>4.50750547997814E-14</v>
      </c>
      <c r="AQ33" t="str">
        <f ca="1"/>
        <v/>
      </c>
    </row>
    <row r="34" spans="2:43" x14ac:dyDescent="0.25">
      <c r="B34" s="179">
        <f ca="1"/>
        <v>44637</v>
      </c>
      <c r="C34" s="180">
        <f ca="1"/>
        <v>-1.07752405975603E-6</v>
      </c>
      <c r="D34" s="180">
        <f ca="1"/>
        <v>1.0581366005624199E-8</v>
      </c>
      <c r="E34" s="180">
        <f ca="1"/>
        <v>-4.2312279457945598E-8</v>
      </c>
      <c r="F34" s="180">
        <f ca="1"/>
        <v>1.11458836049572E-7</v>
      </c>
      <c r="G34" s="180">
        <f ca="1"/>
        <v>-1.4346571708401299E-7</v>
      </c>
      <c r="H34" s="180">
        <f ca="1"/>
        <v>3.24452454125712E-7</v>
      </c>
      <c r="I34" s="180">
        <f ca="1"/>
        <v>-1.1132941344360601E-6</v>
      </c>
      <c r="J34" s="180">
        <f ca="1"/>
        <v>3.9654408443556798E-6</v>
      </c>
      <c r="K34" s="180">
        <f ca="1"/>
        <v>-1.52659390376675E-5</v>
      </c>
      <c r="L34" s="180">
        <f ca="1"/>
        <v>2.34809011007142E-5</v>
      </c>
      <c r="M34" s="180">
        <f ca="1"/>
        <v>-4.8602688659138402E-5</v>
      </c>
      <c r="N34" s="180">
        <f ca="1"/>
        <v>1.9761969838327799E-13</v>
      </c>
      <c r="O34" s="180">
        <f ca="1"/>
        <v>1.9761969838327799E-13</v>
      </c>
      <c r="P34" s="180">
        <f ca="1"/>
        <v>1.9761969838327799E-13</v>
      </c>
      <c r="Q34" s="180">
        <f ca="1"/>
        <v>1.9761969838327799E-13</v>
      </c>
      <c r="R34" s="180">
        <f ca="1"/>
        <v>1.9761969838327799E-13</v>
      </c>
      <c r="S34" s="180">
        <f ca="1"/>
        <v>-6.4093190099923105E-5</v>
      </c>
      <c r="T34" s="180">
        <f ca="1"/>
        <v>2.0031861475788799E-4</v>
      </c>
      <c r="U34" s="180">
        <f ca="1"/>
        <v>5.77147830599367E-5</v>
      </c>
      <c r="V34" s="180">
        <f ca="1"/>
        <v>-1.4418053088105501E-5</v>
      </c>
      <c r="W34" s="180">
        <f ca="1"/>
        <v>3.1108196971718601E-6</v>
      </c>
      <c r="X34" s="180">
        <f ca="1"/>
        <v>-3.1024159119485999E-7</v>
      </c>
      <c r="Y34" s="180">
        <f ca="1"/>
        <v>6.1926340610973796E-8</v>
      </c>
      <c r="Z34" s="180">
        <f ca="1"/>
        <v>-2.1693475682482699E-8</v>
      </c>
      <c r="AA34" s="180">
        <f ca="1"/>
        <v>3.0813501750159799E-9</v>
      </c>
      <c r="AB34" s="180">
        <f ca="1"/>
        <v>-4.5972770035263001E-10</v>
      </c>
      <c r="AC34" s="180">
        <f ca="1"/>
        <v>1.1794631937789301E-10</v>
      </c>
      <c r="AD34" s="180">
        <f ca="1"/>
        <v>-1.9925949779064899E-11</v>
      </c>
      <c r="AE34" s="180">
        <f ca="1"/>
        <v>6.29361996671296E-5</v>
      </c>
      <c r="AF34" s="180">
        <f ca="1"/>
        <v>-1.96947217938837E-4</v>
      </c>
      <c r="AG34" s="180">
        <f ca="1"/>
        <v>-5.67851475373748E-5</v>
      </c>
      <c r="AH34" s="180">
        <f ca="1"/>
        <v>1.41911663599226E-5</v>
      </c>
      <c r="AI34" s="180">
        <f ca="1"/>
        <v>-3.0608511871754699E-6</v>
      </c>
      <c r="AJ34" s="180">
        <f ca="1"/>
        <v>3.0536971640238201E-7</v>
      </c>
      <c r="AK34" s="180">
        <f ca="1"/>
        <v>-6.0956296898950795E-8</v>
      </c>
      <c r="AL34" s="180">
        <f ca="1"/>
        <v>2.1364372160270801E-8</v>
      </c>
      <c r="AM34" s="180">
        <f ca="1"/>
        <v>-3.03482416974532E-9</v>
      </c>
      <c r="AN34" s="180">
        <f ca="1"/>
        <v>4.53131421274122E-10</v>
      </c>
      <c r="AO34" s="180">
        <f ca="1"/>
        <v>-1.16203491273836E-10</v>
      </c>
      <c r="AP34" s="180">
        <f ca="1"/>
        <v>1.98067118262202E-11</v>
      </c>
      <c r="AQ34" t="str">
        <f ca="1"/>
        <v/>
      </c>
    </row>
    <row r="35" spans="2:43" x14ac:dyDescent="0.25">
      <c r="B35" s="179">
        <f ca="1"/>
        <v>44729</v>
      </c>
      <c r="C35" s="180">
        <f ca="1"/>
        <v>-1.07402427351744E-6</v>
      </c>
      <c r="D35" s="180">
        <f ca="1"/>
        <v>1.22472688657282E-8</v>
      </c>
      <c r="E35" s="180">
        <f ca="1"/>
        <v>-4.89737869147078E-8</v>
      </c>
      <c r="F35" s="180">
        <f ca="1"/>
        <v>1.2900640244950499E-7</v>
      </c>
      <c r="G35" s="180">
        <f ca="1"/>
        <v>-1.6605240238387601E-7</v>
      </c>
      <c r="H35" s="180">
        <f ca="1"/>
        <v>3.7553286236224903E-7</v>
      </c>
      <c r="I35" s="180">
        <f ca="1"/>
        <v>-1.28606649196783E-6</v>
      </c>
      <c r="J35" s="180">
        <f ca="1"/>
        <v>4.5897440269504503E-6</v>
      </c>
      <c r="K35" s="180">
        <f ca="1"/>
        <v>-1.76693187664556E-5</v>
      </c>
      <c r="L35" s="180">
        <f ca="1"/>
        <v>2.7117397427223199E-5</v>
      </c>
      <c r="M35" s="180">
        <f ca="1"/>
        <v>-5.6246726049535797E-5</v>
      </c>
      <c r="N35" s="180">
        <f ca="1"/>
        <v>1.9684254226604E-13</v>
      </c>
      <c r="O35" s="180">
        <f ca="1"/>
        <v>1.9684254226604E-13</v>
      </c>
      <c r="P35" s="180">
        <f ca="1"/>
        <v>1.9684254226604E-13</v>
      </c>
      <c r="Q35" s="180">
        <f ca="1"/>
        <v>1.9684254226604E-13</v>
      </c>
      <c r="R35" s="180">
        <f ca="1"/>
        <v>1.9684254226604E-13</v>
      </c>
      <c r="S35" s="180">
        <f ca="1"/>
        <v>-7.4044560972930093E-5</v>
      </c>
      <c r="T35" s="180">
        <f ca="1"/>
        <v>1.52856112855981E-4</v>
      </c>
      <c r="U35" s="180">
        <f ca="1"/>
        <v>1.4609035901336201E-4</v>
      </c>
      <c r="V35" s="180">
        <f ca="1"/>
        <v>-3.0701597510174303E-5</v>
      </c>
      <c r="W35" s="180">
        <f ca="1"/>
        <v>6.6242033438523904E-6</v>
      </c>
      <c r="X35" s="180">
        <f ca="1"/>
        <v>-6.6062953030243697E-7</v>
      </c>
      <c r="Y35" s="180">
        <f ca="1"/>
        <v>1.3186603076142899E-7</v>
      </c>
      <c r="Z35" s="180">
        <f ca="1"/>
        <v>-4.6194273073396597E-8</v>
      </c>
      <c r="AA35" s="180">
        <f ca="1"/>
        <v>6.5614497168908803E-9</v>
      </c>
      <c r="AB35" s="180">
        <f ca="1"/>
        <v>-9.7907626450677299E-10</v>
      </c>
      <c r="AC35" s="180">
        <f ca="1"/>
        <v>2.5115398649688798E-10</v>
      </c>
      <c r="AD35" s="180">
        <f ca="1"/>
        <v>-4.25873780685038E-11</v>
      </c>
      <c r="AE35" s="180">
        <f ca="1"/>
        <v>7.2708726443160301E-5</v>
      </c>
      <c r="AF35" s="180">
        <f ca="1"/>
        <v>-1.50290877935721E-4</v>
      </c>
      <c r="AG35" s="180">
        <f ca="1"/>
        <v>-1.4372416201613401E-4</v>
      </c>
      <c r="AH35" s="180">
        <f ca="1"/>
        <v>3.02189742650283E-5</v>
      </c>
      <c r="AI35" s="180">
        <f ca="1"/>
        <v>-6.5177764276835901E-6</v>
      </c>
      <c r="AJ35" s="180">
        <f ca="1"/>
        <v>6.5025547379970995E-7</v>
      </c>
      <c r="AK35" s="180">
        <f ca="1"/>
        <v>-1.2980073382795599E-7</v>
      </c>
      <c r="AL35" s="180">
        <f ca="1"/>
        <v>4.54932199689395E-8</v>
      </c>
      <c r="AM35" s="180">
        <f ca="1"/>
        <v>-6.4625271800622402E-9</v>
      </c>
      <c r="AN35" s="180">
        <f ca="1"/>
        <v>9.6487762224484207E-10</v>
      </c>
      <c r="AO35" s="180">
        <f ca="1"/>
        <v>-2.4751167782000002E-10</v>
      </c>
      <c r="AP35" s="180">
        <f ca="1"/>
        <v>4.2171155456571803E-11</v>
      </c>
      <c r="AQ35" t="str">
        <f ca="1"/>
        <v/>
      </c>
    </row>
    <row r="36" spans="2:43" x14ac:dyDescent="0.25">
      <c r="B36" s="179">
        <f ca="1"/>
        <v>44823</v>
      </c>
      <c r="C36" s="180">
        <f ca="1"/>
        <v>-1.0704162136665499E-6</v>
      </c>
      <c r="D36" s="180">
        <f ca="1"/>
        <v>7.11801328989736E-9</v>
      </c>
      <c r="E36" s="180">
        <f ca="1"/>
        <v>-2.84629770863631E-8</v>
      </c>
      <c r="F36" s="180">
        <f ca="1"/>
        <v>7.49770505681369E-8</v>
      </c>
      <c r="G36" s="180">
        <f ca="1"/>
        <v>-9.6507681068835906E-8</v>
      </c>
      <c r="H36" s="180">
        <f ca="1"/>
        <v>2.1825506235639801E-7</v>
      </c>
      <c r="I36" s="180">
        <f ca="1"/>
        <v>-7.5340056504558096E-7</v>
      </c>
      <c r="J36" s="180">
        <f ca="1"/>
        <v>2.6675007160914498E-6</v>
      </c>
      <c r="K36" s="180">
        <f ca="1"/>
        <v>-1.02692356245271E-5</v>
      </c>
      <c r="L36" s="180">
        <f ca="1"/>
        <v>1.59076698109661E-5</v>
      </c>
      <c r="M36" s="180">
        <f ca="1"/>
        <v>-3.2708261201275201E-5</v>
      </c>
      <c r="N36" s="180">
        <f ca="1"/>
        <v>1.7419399256368701E-13</v>
      </c>
      <c r="O36" s="180">
        <f ca="1"/>
        <v>1.7419399256368701E-13</v>
      </c>
      <c r="P36" s="180">
        <f ca="1"/>
        <v>1.7419399256368701E-13</v>
      </c>
      <c r="Q36" s="180">
        <f ca="1"/>
        <v>1.7419399256368701E-13</v>
      </c>
      <c r="R36" s="180">
        <f ca="1"/>
        <v>1.7419399256368701E-13</v>
      </c>
      <c r="S36" s="180">
        <f ca="1"/>
        <v>-4.3374341260227198E-5</v>
      </c>
      <c r="T36" s="180">
        <f ca="1"/>
        <v>7.2925919897937104E-5</v>
      </c>
      <c r="U36" s="180">
        <f ca="1"/>
        <v>2.3954352249744301E-4</v>
      </c>
      <c r="V36" s="180">
        <f ca="1"/>
        <v>-3.2783237920330797E-5</v>
      </c>
      <c r="W36" s="180">
        <f ca="1"/>
        <v>7.0733493749974798E-6</v>
      </c>
      <c r="X36" s="180">
        <f ca="1"/>
        <v>-7.0542255148353703E-7</v>
      </c>
      <c r="Y36" s="180">
        <f ca="1"/>
        <v>1.4080698162999299E-7</v>
      </c>
      <c r="Z36" s="180">
        <f ca="1"/>
        <v>-4.9326420836770497E-8</v>
      </c>
      <c r="AA36" s="180">
        <f ca="1"/>
        <v>7.00629532168762E-9</v>
      </c>
      <c r="AB36" s="180">
        <f ca="1"/>
        <v>-1.04548614210387E-9</v>
      </c>
      <c r="AC36" s="180">
        <f ca="1"/>
        <v>2.6822921661562299E-10</v>
      </c>
      <c r="AD36" s="180">
        <f ca="1"/>
        <v>-4.5514036983718097E-11</v>
      </c>
      <c r="AE36" s="180">
        <f ca="1"/>
        <v>4.2590362026917502E-5</v>
      </c>
      <c r="AF36" s="180">
        <f ca="1"/>
        <v>-7.1708189251396006E-5</v>
      </c>
      <c r="AG36" s="180">
        <f ca="1"/>
        <v>-2.3564090169458899E-4</v>
      </c>
      <c r="AH36" s="180">
        <f ca="1"/>
        <v>3.2267962527643399E-5</v>
      </c>
      <c r="AI36" s="180">
        <f ca="1"/>
        <v>-6.9597030627477403E-6</v>
      </c>
      <c r="AJ36" s="180">
        <f ca="1"/>
        <v>6.9434506733134803E-7</v>
      </c>
      <c r="AK36" s="180">
        <f ca="1"/>
        <v>-1.3860169656432201E-7</v>
      </c>
      <c r="AL36" s="180">
        <f ca="1"/>
        <v>4.8577819433681701E-8</v>
      </c>
      <c r="AM36" s="180">
        <f ca="1"/>
        <v>-6.9007359826400699E-9</v>
      </c>
      <c r="AN36" s="180">
        <f ca="1"/>
        <v>1.0303374819997701E-9</v>
      </c>
      <c r="AO36" s="180">
        <f ca="1"/>
        <v>-2.6432467326031899E-10</v>
      </c>
      <c r="AP36" s="180">
        <f ca="1"/>
        <v>4.5047743313375603E-11</v>
      </c>
      <c r="AQ36" t="str">
        <f ca="1"/>
        <v/>
      </c>
    </row>
    <row r="37" spans="2:43" x14ac:dyDescent="0.25">
      <c r="B37" s="179">
        <f ca="1"/>
        <v>44914</v>
      </c>
      <c r="C37" s="180">
        <f ca="1"/>
        <v>-1.0668910360722699E-6</v>
      </c>
      <c r="D37" s="180">
        <f ca="1"/>
        <v>9.4403818096111497E-11</v>
      </c>
      <c r="E37" s="180">
        <f ca="1"/>
        <v>-3.7708758338084201E-10</v>
      </c>
      <c r="F37" s="180">
        <f ca="1"/>
        <v>9.9355523808242197E-10</v>
      </c>
      <c r="G37" s="180">
        <f ca="1"/>
        <v>-1.2786233183348399E-9</v>
      </c>
      <c r="H37" s="180">
        <f ca="1"/>
        <v>2.89140877907101E-9</v>
      </c>
      <c r="I37" s="180">
        <f ca="1"/>
        <v>-2.4090492600770099E-8</v>
      </c>
      <c r="J37" s="180">
        <f ca="1"/>
        <v>3.5339881687690402E-8</v>
      </c>
      <c r="K37" s="180">
        <f ca="1"/>
        <v>-1.36058926347715E-7</v>
      </c>
      <c r="L37" s="180">
        <f ca="1"/>
        <v>5.5997165593346697E-7</v>
      </c>
      <c r="M37" s="180">
        <f ca="1"/>
        <v>-4.7587612472810298E-7</v>
      </c>
      <c r="N37" s="180">
        <f ca="1"/>
        <v>1.44551037806195E-13</v>
      </c>
      <c r="O37" s="180">
        <f ca="1"/>
        <v>1.44551037806195E-13</v>
      </c>
      <c r="P37" s="180">
        <f ca="1"/>
        <v>1.44551037806195E-13</v>
      </c>
      <c r="Q37" s="180">
        <f ca="1"/>
        <v>1.44551037806195E-13</v>
      </c>
      <c r="R37" s="180">
        <f ca="1"/>
        <v>1.44551037806195E-13</v>
      </c>
      <c r="S37" s="180">
        <f ca="1"/>
        <v>-1.37954071510737E-6</v>
      </c>
      <c r="T37" s="180">
        <f ca="1"/>
        <v>-2.85759251994477E-6</v>
      </c>
      <c r="U37" s="180">
        <f ca="1"/>
        <v>2.95235879196998E-4</v>
      </c>
      <c r="V37" s="180">
        <f ca="1"/>
        <v>1.6858120588381101E-7</v>
      </c>
      <c r="W37" s="180">
        <f ca="1"/>
        <v>-3.6373583922610899E-8</v>
      </c>
      <c r="X37" s="180">
        <f ca="1"/>
        <v>3.6274542258851701E-9</v>
      </c>
      <c r="Y37" s="180">
        <f ca="1"/>
        <v>-7.2399763961783502E-10</v>
      </c>
      <c r="Z37" s="180">
        <f ca="1"/>
        <v>2.53734699917629E-10</v>
      </c>
      <c r="AA37" s="180">
        <f ca="1"/>
        <v>-3.62134766618283E-11</v>
      </c>
      <c r="AB37" s="180">
        <f ca="1"/>
        <v>5.4447557573666903E-12</v>
      </c>
      <c r="AC37" s="180">
        <f ca="1"/>
        <v>-1.19781962126808E-12</v>
      </c>
      <c r="AD37" s="180">
        <f ca="1"/>
        <v>2.8277380437202702E-13</v>
      </c>
      <c r="AE37" s="180">
        <f ca="1"/>
        <v>1.35424457980982E-6</v>
      </c>
      <c r="AF37" s="180">
        <f ca="1"/>
        <v>2.8096126144516701E-6</v>
      </c>
      <c r="AG37" s="180">
        <f ca="1"/>
        <v>-2.9040900310184402E-4</v>
      </c>
      <c r="AH37" s="180">
        <f ca="1"/>
        <v>-1.6593230622863299E-7</v>
      </c>
      <c r="AI37" s="180">
        <f ca="1"/>
        <v>3.57889059499072E-8</v>
      </c>
      <c r="AJ37" s="180">
        <f ca="1"/>
        <v>-3.5706027023962898E-9</v>
      </c>
      <c r="AK37" s="180">
        <f ca="1"/>
        <v>7.1289008030106505E-10</v>
      </c>
      <c r="AL37" s="180">
        <f ca="1"/>
        <v>-2.4960966626963501E-10</v>
      </c>
      <c r="AM37" s="180">
        <f ca="1"/>
        <v>3.5588421098964299E-11</v>
      </c>
      <c r="AN37" s="180">
        <f ca="1"/>
        <v>-5.1226800579229299E-12</v>
      </c>
      <c r="AO37" s="180">
        <f ca="1"/>
        <v>1.32549526909997E-12</v>
      </c>
      <c r="AP37" s="180">
        <f ca="1"/>
        <v>-1.5787371410169701E-13</v>
      </c>
      <c r="AQ37" t="str">
        <f ca="1"/>
        <v/>
      </c>
    </row>
    <row r="38" spans="2:43" x14ac:dyDescent="0.25">
      <c r="B38" s="179">
        <f ca="1"/>
        <v>45002</v>
      </c>
      <c r="C38" s="180">
        <f ca="1"/>
        <v>-1.06345485695325E-6</v>
      </c>
      <c r="D38" s="180">
        <f ca="1"/>
        <v>-3.8443666028342696E-9</v>
      </c>
      <c r="E38" s="180">
        <f ca="1"/>
        <v>1.5373190831446902E-8</v>
      </c>
      <c r="F38" s="180">
        <f ca="1"/>
        <v>-4.04956365107623E-8</v>
      </c>
      <c r="G38" s="180">
        <f ca="1"/>
        <v>5.2124887628402003E-8</v>
      </c>
      <c r="H38" s="180">
        <f ca="1"/>
        <v>-1.1788229570264299E-7</v>
      </c>
      <c r="I38" s="180">
        <f ca="1"/>
        <v>3.84959737309565E-7</v>
      </c>
      <c r="J38" s="180">
        <f ca="1"/>
        <v>-1.4407459700827E-6</v>
      </c>
      <c r="K38" s="180">
        <f ca="1"/>
        <v>5.5465702660795202E-6</v>
      </c>
      <c r="L38" s="180">
        <f ca="1"/>
        <v>-8.0472890314764507E-6</v>
      </c>
      <c r="M38" s="180">
        <f ca="1"/>
        <v>1.76003728054042E-5</v>
      </c>
      <c r="N38" s="180">
        <f ca="1"/>
        <v>1.22568621918617E-13</v>
      </c>
      <c r="O38" s="180">
        <f ca="1"/>
        <v>1.22568621918617E-13</v>
      </c>
      <c r="P38" s="180">
        <f ca="1"/>
        <v>1.22568621918617E-13</v>
      </c>
      <c r="Q38" s="180">
        <f ca="1"/>
        <v>1.22568621918617E-13</v>
      </c>
      <c r="R38" s="180">
        <f ca="1"/>
        <v>1.22568621918617E-13</v>
      </c>
      <c r="S38" s="180">
        <f ca="1"/>
        <v>2.2172669424946899E-5</v>
      </c>
      <c r="T38" s="180">
        <f ca="1"/>
        <v>-4.3016643997195702E-5</v>
      </c>
      <c r="U38" s="180">
        <f ca="1"/>
        <v>2.8238895357479699E-4</v>
      </c>
      <c r="V38" s="180">
        <f ca="1"/>
        <v>8.1091399735111494E-5</v>
      </c>
      <c r="W38" s="180">
        <f ca="1"/>
        <v>-1.6519507994416899E-5</v>
      </c>
      <c r="X38" s="180">
        <f ca="1"/>
        <v>1.6475065633958499E-6</v>
      </c>
      <c r="Y38" s="180">
        <f ca="1"/>
        <v>-3.2885239320545899E-7</v>
      </c>
      <c r="Z38" s="180">
        <f ca="1"/>
        <v>1.15201481243332E-7</v>
      </c>
      <c r="AA38" s="180">
        <f ca="1"/>
        <v>-1.6363647881156901E-8</v>
      </c>
      <c r="AB38" s="180">
        <f ca="1"/>
        <v>2.4419788413609901E-9</v>
      </c>
      <c r="AC38" s="180">
        <f ca="1"/>
        <v>-6.2592120375626295E-10</v>
      </c>
      <c r="AD38" s="180">
        <f ca="1"/>
        <v>1.06516573339377E-10</v>
      </c>
      <c r="AE38" s="180">
        <f ca="1"/>
        <v>-2.17709030447821E-5</v>
      </c>
      <c r="AF38" s="180">
        <f ca="1"/>
        <v>4.2302675489880301E-5</v>
      </c>
      <c r="AG38" s="180">
        <f ca="1"/>
        <v>-2.7777557703001499E-4</v>
      </c>
      <c r="AH38" s="180">
        <f ca="1"/>
        <v>-7.9807452599278697E-5</v>
      </c>
      <c r="AI38" s="180">
        <f ca="1"/>
        <v>1.6254487082201199E-5</v>
      </c>
      <c r="AJ38" s="180">
        <f ca="1"/>
        <v>-1.6216315549266699E-6</v>
      </c>
      <c r="AK38" s="180">
        <f ca="1"/>
        <v>3.2370296954020701E-7</v>
      </c>
      <c r="AL38" s="180">
        <f ca="1"/>
        <v>-1.1345218908775901E-7</v>
      </c>
      <c r="AM38" s="180">
        <f ca="1"/>
        <v>1.6116948997613198E-8</v>
      </c>
      <c r="AN38" s="180">
        <f ca="1"/>
        <v>-2.4058209868727001E-9</v>
      </c>
      <c r="AO38" s="180">
        <f ca="1"/>
        <v>6.1726257438721198E-10</v>
      </c>
      <c r="AP38" s="180">
        <f ca="1"/>
        <v>-1.0499390246110399E-10</v>
      </c>
      <c r="AQ38" t="str">
        <f ca="1"/>
        <v/>
      </c>
    </row>
    <row r="39" spans="2:43" x14ac:dyDescent="0.25">
      <c r="B39" s="179">
        <f ca="1"/>
        <v>45096</v>
      </c>
      <c r="C39" s="180">
        <f ca="1"/>
        <v>-1.0597554082059099E-6</v>
      </c>
      <c r="D39" s="180">
        <f ca="1"/>
        <v>-4.3800155724582599E-9</v>
      </c>
      <c r="E39" s="180">
        <f ca="1"/>
        <v>1.7515114358879199E-8</v>
      </c>
      <c r="F39" s="180">
        <f ca="1"/>
        <v>-4.61378978355853E-8</v>
      </c>
      <c r="G39" s="180">
        <f ca="1"/>
        <v>5.9387437634228497E-8</v>
      </c>
      <c r="H39" s="180">
        <f ca="1"/>
        <v>-1.34306678556406E-7</v>
      </c>
      <c r="I39" s="180">
        <f ca="1"/>
        <v>4.40712078830785E-7</v>
      </c>
      <c r="J39" s="180">
        <f ca="1"/>
        <v>-1.64148361259109E-6</v>
      </c>
      <c r="K39" s="180">
        <f ca="1"/>
        <v>6.3193727029009503E-6</v>
      </c>
      <c r="L39" s="180">
        <f ca="1"/>
        <v>-9.2189408901211001E-6</v>
      </c>
      <c r="M39" s="180">
        <f ca="1"/>
        <v>2.00590244213705E-5</v>
      </c>
      <c r="N39" s="180">
        <f ca="1"/>
        <v>1.06026298851702E-13</v>
      </c>
      <c r="O39" s="180">
        <f ca="1"/>
        <v>1.06026298851702E-13</v>
      </c>
      <c r="P39" s="180">
        <f ca="1"/>
        <v>1.06026298851702E-13</v>
      </c>
      <c r="Q39" s="180">
        <f ca="1"/>
        <v>1.06026298851702E-13</v>
      </c>
      <c r="R39" s="180">
        <f ca="1"/>
        <v>1.06026298851702E-13</v>
      </c>
      <c r="S39" s="180">
        <f ca="1"/>
        <v>2.53780902910172E-5</v>
      </c>
      <c r="T39" s="180">
        <f ca="1"/>
        <v>-4.8467780973004997E-5</v>
      </c>
      <c r="U39" s="180">
        <f ca="1"/>
        <v>2.0495025647282401E-4</v>
      </c>
      <c r="V39" s="180">
        <f ca="1"/>
        <v>2.02768764516414E-4</v>
      </c>
      <c r="W39" s="180">
        <f ca="1"/>
        <v>-3.4461048425304999E-5</v>
      </c>
      <c r="X39" s="180">
        <f ca="1"/>
        <v>3.4368696212316901E-6</v>
      </c>
      <c r="Y39" s="180">
        <f ca="1"/>
        <v>-6.8601949498869896E-7</v>
      </c>
      <c r="Z39" s="180">
        <f ca="1"/>
        <v>2.4032196355161501E-7</v>
      </c>
      <c r="AA39" s="180">
        <f ca="1"/>
        <v>-3.4136026783038202E-8</v>
      </c>
      <c r="AB39" s="180">
        <f ca="1"/>
        <v>5.0941403317850098E-9</v>
      </c>
      <c r="AC39" s="180">
        <f ca="1"/>
        <v>-1.3059577863572299E-9</v>
      </c>
      <c r="AD39" s="180">
        <f ca="1"/>
        <v>2.22176388398054E-10</v>
      </c>
      <c r="AE39" s="180">
        <f ca="1"/>
        <v>-2.4918106660387598E-5</v>
      </c>
      <c r="AF39" s="180">
        <f ca="1"/>
        <v>4.7663687759991198E-5</v>
      </c>
      <c r="AG39" s="180">
        <f ca="1"/>
        <v>-2.0161809129115601E-4</v>
      </c>
      <c r="AH39" s="180">
        <f ca="1"/>
        <v>-1.9953295431107701E-4</v>
      </c>
      <c r="AI39" s="180">
        <f ca="1"/>
        <v>3.3908829519146997E-5</v>
      </c>
      <c r="AJ39" s="180">
        <f ca="1"/>
        <v>-3.3828852050721302E-6</v>
      </c>
      <c r="AK39" s="180">
        <f ca="1"/>
        <v>6.7527727909411105E-7</v>
      </c>
      <c r="AL39" s="180">
        <f ca="1"/>
        <v>-2.36673023179534E-7</v>
      </c>
      <c r="AM39" s="180">
        <f ca="1"/>
        <v>3.3621486150714501E-8</v>
      </c>
      <c r="AN39" s="180">
        <f ca="1"/>
        <v>-5.0189969957870103E-9</v>
      </c>
      <c r="AO39" s="180">
        <f ca="1"/>
        <v>1.28772337237848E-9</v>
      </c>
      <c r="AP39" s="180">
        <f ca="1"/>
        <v>-2.19125051437175E-10</v>
      </c>
      <c r="AQ39" t="str">
        <f ca="1"/>
        <v/>
      </c>
    </row>
    <row r="40" spans="2:43" x14ac:dyDescent="0.25">
      <c r="B40" s="179">
        <f ca="1"/>
        <v>45187</v>
      </c>
      <c r="C40" s="180">
        <f ca="1"/>
        <v>-1.0561471172065899E-6</v>
      </c>
      <c r="D40" s="180">
        <f ca="1"/>
        <v>-2.4873673121206302E-9</v>
      </c>
      <c r="E40" s="180">
        <f ca="1"/>
        <v>9.9467897252125698E-9</v>
      </c>
      <c r="F40" s="180">
        <f ca="1"/>
        <v>-2.6201571134976101E-8</v>
      </c>
      <c r="G40" s="180">
        <f ca="1"/>
        <v>3.37260692706565E-8</v>
      </c>
      <c r="H40" s="180">
        <f ca="1"/>
        <v>-7.6272576032820893E-8</v>
      </c>
      <c r="I40" s="180">
        <f ca="1"/>
        <v>2.4434412337903698E-7</v>
      </c>
      <c r="J40" s="180">
        <f ca="1"/>
        <v>-9.3219673813482697E-7</v>
      </c>
      <c r="K40" s="180">
        <f ca="1"/>
        <v>3.5887550791091602E-6</v>
      </c>
      <c r="L40" s="180">
        <f ca="1"/>
        <v>-5.08461343518007E-6</v>
      </c>
      <c r="M40" s="180">
        <f ca="1"/>
        <v>1.13735474431831E-5</v>
      </c>
      <c r="N40" s="180">
        <f ca="1"/>
        <v>8.9817042692175202E-14</v>
      </c>
      <c r="O40" s="180">
        <f ca="1"/>
        <v>8.9817042692175202E-14</v>
      </c>
      <c r="P40" s="180">
        <f ca="1"/>
        <v>8.9817042692175202E-14</v>
      </c>
      <c r="Q40" s="180">
        <f ca="1"/>
        <v>8.9817042692175202E-14</v>
      </c>
      <c r="R40" s="180">
        <f ca="1"/>
        <v>8.9817042692175202E-14</v>
      </c>
      <c r="S40" s="180">
        <f ca="1"/>
        <v>1.4064141654279701E-5</v>
      </c>
      <c r="T40" s="180">
        <f ca="1"/>
        <v>-2.91568055715841E-5</v>
      </c>
      <c r="U40" s="180">
        <f ca="1"/>
        <v>9.7074239059025098E-5</v>
      </c>
      <c r="V40" s="180">
        <f ca="1"/>
        <v>3.1960806964625998E-4</v>
      </c>
      <c r="W40" s="180">
        <f ca="1"/>
        <v>-3.5504239159767102E-5</v>
      </c>
      <c r="X40" s="180">
        <f ca="1"/>
        <v>3.5409116946327799E-6</v>
      </c>
      <c r="Y40" s="180">
        <f ca="1"/>
        <v>-7.0678685870628797E-7</v>
      </c>
      <c r="Z40" s="180">
        <f ca="1"/>
        <v>2.4759712569100098E-7</v>
      </c>
      <c r="AA40" s="180">
        <f ca="1"/>
        <v>-3.5169427592407501E-8</v>
      </c>
      <c r="AB40" s="180">
        <f ca="1"/>
        <v>5.2483145607240503E-9</v>
      </c>
      <c r="AC40" s="180">
        <f ca="1"/>
        <v>-1.34552602393256E-9</v>
      </c>
      <c r="AD40" s="180">
        <f ca="1"/>
        <v>2.28936869461904E-10</v>
      </c>
      <c r="AE40" s="180">
        <f ca="1"/>
        <v>-1.38095167894203E-5</v>
      </c>
      <c r="AF40" s="180">
        <f ca="1"/>
        <v>2.8672355158354501E-5</v>
      </c>
      <c r="AG40" s="180">
        <f ca="1"/>
        <v>-9.5506765698028003E-5</v>
      </c>
      <c r="AH40" s="180">
        <f ca="1"/>
        <v>-3.14469192990052E-4</v>
      </c>
      <c r="AI40" s="180">
        <f ca="1"/>
        <v>3.4935349727538402E-5</v>
      </c>
      <c r="AJ40" s="180">
        <f ca="1"/>
        <v>-3.4852926170669801E-6</v>
      </c>
      <c r="AK40" s="180">
        <f ca="1"/>
        <v>6.9571942162838198E-7</v>
      </c>
      <c r="AL40" s="180">
        <f ca="1"/>
        <v>-2.4383772179170601E-7</v>
      </c>
      <c r="AM40" s="180">
        <f ca="1"/>
        <v>3.4639257462387698E-8</v>
      </c>
      <c r="AN40" s="180">
        <f ca="1"/>
        <v>-5.1709555526357998E-9</v>
      </c>
      <c r="AO40" s="180">
        <f ca="1"/>
        <v>1.3267174026054799E-9</v>
      </c>
      <c r="AP40" s="180">
        <f ca="1"/>
        <v>-2.2579560443602999E-10</v>
      </c>
      <c r="AQ40" t="str">
        <f ca="1"/>
        <v/>
      </c>
    </row>
    <row r="41" spans="2:43" x14ac:dyDescent="0.25">
      <c r="B41" s="179">
        <f ca="1"/>
        <v>45278</v>
      </c>
      <c r="C41" s="180">
        <f ca="1"/>
        <v>-1.05251659754391E-6</v>
      </c>
      <c r="D41" s="180">
        <f ca="1"/>
        <v>5.4677706806671703E-11</v>
      </c>
      <c r="E41" s="180">
        <f ca="1"/>
        <v>-2.18352891323548E-10</v>
      </c>
      <c r="F41" s="180">
        <f ca="1"/>
        <v>5.7523730223607603E-10</v>
      </c>
      <c r="G41" s="180">
        <f ca="1"/>
        <v>-7.40178141001024E-10</v>
      </c>
      <c r="H41" s="180">
        <f ca="1"/>
        <v>1.6739734043369499E-9</v>
      </c>
      <c r="I41" s="180">
        <f ca="1"/>
        <v>-1.9462338962661399E-8</v>
      </c>
      <c r="J41" s="180">
        <f ca="1"/>
        <v>2.0459170357867201E-8</v>
      </c>
      <c r="K41" s="180">
        <f ca="1"/>
        <v>-7.8771046019277007E-8</v>
      </c>
      <c r="L41" s="180">
        <f ca="1"/>
        <v>4.68893460725539E-7</v>
      </c>
      <c r="M41" s="180">
        <f ca="1"/>
        <v>-2.92124046286091E-7</v>
      </c>
      <c r="N41" s="180">
        <f ca="1"/>
        <v>6.4170890823333998E-14</v>
      </c>
      <c r="O41" s="180">
        <f ca="1"/>
        <v>6.4170890823333998E-14</v>
      </c>
      <c r="P41" s="180">
        <f ca="1"/>
        <v>6.4170890823333998E-14</v>
      </c>
      <c r="Q41" s="180">
        <f ca="1"/>
        <v>6.4170890823333998E-14</v>
      </c>
      <c r="R41" s="180">
        <f ca="1"/>
        <v>6.4170890823333998E-14</v>
      </c>
      <c r="S41" s="180">
        <f ca="1"/>
        <v>-1.13289215264434E-6</v>
      </c>
      <c r="T41" s="180">
        <f ca="1"/>
        <v>-3.2247245038696799E-6</v>
      </c>
      <c r="U41" s="180">
        <f ca="1"/>
        <v>-3.0871928666797999E-6</v>
      </c>
      <c r="V41" s="180">
        <f ca="1"/>
        <v>3.9000670337840899E-4</v>
      </c>
      <c r="W41" s="180">
        <f ca="1"/>
        <v>1.09358554101213E-7</v>
      </c>
      <c r="X41" s="180">
        <f ca="1"/>
        <v>-1.09057889385866E-8</v>
      </c>
      <c r="Y41" s="180">
        <f ca="1"/>
        <v>2.1768991054216299E-9</v>
      </c>
      <c r="Z41" s="180">
        <f ca="1"/>
        <v>-7.6225492584569596E-10</v>
      </c>
      <c r="AA41" s="180">
        <f ca="1"/>
        <v>1.07985620445561E-10</v>
      </c>
      <c r="AB41" s="180">
        <f ca="1"/>
        <v>-1.6239121158889699E-11</v>
      </c>
      <c r="AC41" s="180">
        <f ca="1"/>
        <v>4.2652548160049296E-12</v>
      </c>
      <c r="AD41" s="180">
        <f ca="1"/>
        <v>-5.6021853822585399E-13</v>
      </c>
      <c r="AE41" s="180">
        <f ca="1"/>
        <v>1.11208289532705E-6</v>
      </c>
      <c r="AF41" s="180">
        <f ca="1"/>
        <v>3.1706964098710001E-6</v>
      </c>
      <c r="AG41" s="180">
        <f ca="1"/>
        <v>3.0374305578506601E-6</v>
      </c>
      <c r="AH41" s="180">
        <f ca="1"/>
        <v>-3.8370727756620299E-4</v>
      </c>
      <c r="AI41" s="180">
        <f ca="1"/>
        <v>-1.07589881892522E-7</v>
      </c>
      <c r="AJ41" s="180">
        <f ca="1"/>
        <v>1.0734366284737E-8</v>
      </c>
      <c r="AK41" s="180">
        <f ca="1"/>
        <v>-2.1427551955E-9</v>
      </c>
      <c r="AL41" s="180">
        <f ca="1"/>
        <v>7.5097095209031295E-10</v>
      </c>
      <c r="AM41" s="180">
        <f ca="1"/>
        <v>-1.06690323242731E-10</v>
      </c>
      <c r="AN41" s="180">
        <f ca="1"/>
        <v>1.6075696329664899E-11</v>
      </c>
      <c r="AO41" s="180">
        <f ca="1"/>
        <v>-4.1077141688106199E-12</v>
      </c>
      <c r="AP41" s="180">
        <f ca="1"/>
        <v>6.6047167734950603E-13</v>
      </c>
      <c r="AQ41" t="str">
        <f ca="1"/>
        <v/>
      </c>
    </row>
    <row r="42" spans="2:43" x14ac:dyDescent="0.25">
      <c r="B42" s="179">
        <f ca="1"/>
        <v>45369</v>
      </c>
      <c r="C42" s="180">
        <f ca="1"/>
        <v>-1.0488686158494099E-6</v>
      </c>
      <c r="D42" s="180">
        <f ca="1"/>
        <v>1.49900991619489E-9</v>
      </c>
      <c r="E42" s="180">
        <f ca="1"/>
        <v>-5.9940060692653699E-9</v>
      </c>
      <c r="F42" s="180">
        <f ca="1"/>
        <v>1.5789286100798001E-8</v>
      </c>
      <c r="G42" s="180">
        <f ca="1"/>
        <v>-2.03232917161955E-8</v>
      </c>
      <c r="H42" s="180">
        <f ca="1"/>
        <v>4.5961701999885898E-8</v>
      </c>
      <c r="I42" s="180">
        <f ca="1"/>
        <v>-1.6932476920583599E-7</v>
      </c>
      <c r="J42" s="180">
        <f ca="1"/>
        <v>5.6174066320746597E-7</v>
      </c>
      <c r="K42" s="180">
        <f ca="1"/>
        <v>-2.1625837708372201E-6</v>
      </c>
      <c r="L42" s="180">
        <f ca="1"/>
        <v>3.6241061649455701E-6</v>
      </c>
      <c r="M42" s="180">
        <f ca="1"/>
        <v>-6.9201916732541904E-6</v>
      </c>
      <c r="N42" s="180">
        <f ca="1"/>
        <v>2.1094237467878E-14</v>
      </c>
      <c r="O42" s="180">
        <f ca="1"/>
        <v>2.1094237467878E-14</v>
      </c>
      <c r="P42" s="180">
        <f ca="1"/>
        <v>2.1094237467878E-14</v>
      </c>
      <c r="Q42" s="180">
        <f ca="1"/>
        <v>2.1094237467878E-14</v>
      </c>
      <c r="R42" s="180">
        <f ca="1"/>
        <v>2.1094237467878E-14</v>
      </c>
      <c r="S42" s="180">
        <f ca="1"/>
        <v>-9.7670336816069198E-6</v>
      </c>
      <c r="T42" s="180">
        <f ca="1"/>
        <v>1.1511346059145401E-5</v>
      </c>
      <c r="U42" s="180">
        <f ca="1"/>
        <v>-5.6700768868767098E-5</v>
      </c>
      <c r="V42" s="180">
        <f ca="1"/>
        <v>3.7291558012841902E-4</v>
      </c>
      <c r="W42" s="180">
        <f ca="1"/>
        <v>8.90593050522082E-5</v>
      </c>
      <c r="X42" s="180">
        <f ca="1"/>
        <v>-8.2370401912612596E-6</v>
      </c>
      <c r="Y42" s="180">
        <f ca="1"/>
        <v>1.6441741902406499E-6</v>
      </c>
      <c r="Z42" s="180">
        <f ca="1"/>
        <v>-5.7597477631787797E-7</v>
      </c>
      <c r="AA42" s="180">
        <f ca="1"/>
        <v>8.1812270846803896E-8</v>
      </c>
      <c r="AB42" s="180">
        <f ca="1"/>
        <v>-1.2209157573828101E-8</v>
      </c>
      <c r="AC42" s="180">
        <f ca="1"/>
        <v>3.13049763889239E-9</v>
      </c>
      <c r="AD42" s="180">
        <f ca="1"/>
        <v>-5.32151323007213E-10</v>
      </c>
      <c r="AE42" s="180">
        <f ca="1"/>
        <v>9.5899486386441507E-6</v>
      </c>
      <c r="AF42" s="180">
        <f ca="1"/>
        <v>-1.1320168758155399E-5</v>
      </c>
      <c r="AG42" s="180">
        <f ca="1"/>
        <v>5.5793833325212802E-5</v>
      </c>
      <c r="AH42" s="180">
        <f ca="1"/>
        <v>-3.6689846507131902E-4</v>
      </c>
      <c r="AI42" s="180">
        <f ca="1"/>
        <v>-8.7620817957989594E-5</v>
      </c>
      <c r="AJ42" s="180">
        <f ca="1"/>
        <v>8.1077559945796907E-6</v>
      </c>
      <c r="AK42" s="180">
        <f ca="1"/>
        <v>-1.6184241605765601E-6</v>
      </c>
      <c r="AL42" s="180">
        <f ca="1"/>
        <v>5.6723086760968002E-7</v>
      </c>
      <c r="AM42" s="180">
        <f ca="1"/>
        <v>-8.0579993233520497E-8</v>
      </c>
      <c r="AN42" s="180">
        <f ca="1"/>
        <v>1.2029529816715001E-8</v>
      </c>
      <c r="AO42" s="180">
        <f ca="1"/>
        <v>-3.08638614665568E-9</v>
      </c>
      <c r="AP42" s="180">
        <f ca="1"/>
        <v>5.2520010562773202E-10</v>
      </c>
      <c r="AQ42" t="str">
        <f ca="1"/>
        <v/>
      </c>
    </row>
    <row r="43" spans="2:43" x14ac:dyDescent="0.25">
      <c r="B43" s="179">
        <f ca="1"/>
        <v>45460</v>
      </c>
      <c r="C43" s="180">
        <f ca="1"/>
        <v>-1.0452014892470299E-6</v>
      </c>
      <c r="D43" s="180">
        <f ca="1"/>
        <v>1.6961835269668799E-9</v>
      </c>
      <c r="E43" s="180">
        <f ca="1"/>
        <v>-6.7825607352745002E-9</v>
      </c>
      <c r="F43" s="180">
        <f ca="1"/>
        <v>1.7866371160302201E-8</v>
      </c>
      <c r="G43" s="180">
        <f ca="1"/>
        <v>-2.29969943088548E-8</v>
      </c>
      <c r="H43" s="180">
        <f ca="1"/>
        <v>5.2008137574333098E-8</v>
      </c>
      <c r="I43" s="180">
        <f ca="1"/>
        <v>-1.8972687720886201E-7</v>
      </c>
      <c r="J43" s="180">
        <f ca="1"/>
        <v>6.3564037378061002E-7</v>
      </c>
      <c r="K43" s="180">
        <f ca="1"/>
        <v>-2.4470807917786898E-6</v>
      </c>
      <c r="L43" s="180">
        <f ca="1"/>
        <v>4.0544915470563902E-6</v>
      </c>
      <c r="M43" s="180">
        <f ca="1"/>
        <v>-7.8249248648409892E-6</v>
      </c>
      <c r="N43" s="180">
        <f ca="1"/>
        <v>-3.3750779948604803E-14</v>
      </c>
      <c r="O43" s="180">
        <f ca="1"/>
        <v>-3.3750779948604803E-14</v>
      </c>
      <c r="P43" s="180">
        <f ca="1"/>
        <v>-3.3750779948604803E-14</v>
      </c>
      <c r="Q43" s="180">
        <f ca="1"/>
        <v>-3.3750779948604803E-14</v>
      </c>
      <c r="R43" s="180">
        <f ca="1"/>
        <v>-3.3750779948604803E-14</v>
      </c>
      <c r="S43" s="180">
        <f ca="1"/>
        <v>-1.0945021773234301E-5</v>
      </c>
      <c r="T43" s="180">
        <f ca="1"/>
        <v>1.3526296491539499E-5</v>
      </c>
      <c r="U43" s="180">
        <f ca="1"/>
        <v>-6.4015987874532803E-5</v>
      </c>
      <c r="V43" s="180">
        <f ca="1"/>
        <v>2.78988729603746E-4</v>
      </c>
      <c r="W43" s="180">
        <f ca="1"/>
        <v>2.17944405623394E-4</v>
      </c>
      <c r="X43" s="180">
        <f ca="1"/>
        <v>-1.6294822939633098E-5</v>
      </c>
      <c r="Y43" s="180">
        <f ca="1"/>
        <v>3.25258399047623E-6</v>
      </c>
      <c r="Z43" s="180">
        <f ca="1"/>
        <v>-1.13941990553812E-6</v>
      </c>
      <c r="AA43" s="180">
        <f ca="1"/>
        <v>1.6184513496053699E-7</v>
      </c>
      <c r="AB43" s="180">
        <f ca="1"/>
        <v>-2.41526503241829E-8</v>
      </c>
      <c r="AC43" s="180">
        <f ca="1"/>
        <v>6.1927754035906396E-9</v>
      </c>
      <c r="AD43" s="180">
        <f ca="1"/>
        <v>-1.0528941052356799E-9</v>
      </c>
      <c r="AE43" s="180">
        <f ca="1"/>
        <v>1.07466279144486E-5</v>
      </c>
      <c r="AF43" s="180">
        <f ca="1"/>
        <v>-1.3301555175870799E-5</v>
      </c>
      <c r="AG43" s="180">
        <f ca="1"/>
        <v>6.2992570630804296E-5</v>
      </c>
      <c r="AH43" s="180">
        <f ca="1"/>
        <v>-2.7451428754754497E-4</v>
      </c>
      <c r="AI43" s="180">
        <f ca="1"/>
        <v>-2.14395014439095E-4</v>
      </c>
      <c r="AJ43" s="180">
        <f ca="1"/>
        <v>1.6039204937423599E-5</v>
      </c>
      <c r="AK43" s="180">
        <f ca="1"/>
        <v>-3.2016386457556202E-6</v>
      </c>
      <c r="AL43" s="180">
        <f ca="1"/>
        <v>1.1221226623447899E-6</v>
      </c>
      <c r="AM43" s="180">
        <f ca="1"/>
        <v>-1.59407059219241E-7</v>
      </c>
      <c r="AN43" s="180">
        <f ca="1"/>
        <v>2.3797235848554999E-8</v>
      </c>
      <c r="AO43" s="180">
        <f ca="1"/>
        <v>-6.1056142364179802E-9</v>
      </c>
      <c r="AP43" s="180">
        <f ca="1"/>
        <v>1.0390108773350401E-9</v>
      </c>
      <c r="AQ43" t="str">
        <f ca="1"/>
        <v/>
      </c>
    </row>
    <row r="44" spans="2:43" x14ac:dyDescent="0.25">
      <c r="B44" s="179">
        <f ca="1"/>
        <v>45552</v>
      </c>
      <c r="C44" s="180">
        <f ca="1"/>
        <v>-1.0414708815353901E-6</v>
      </c>
      <c r="D44" s="180">
        <f ca="1"/>
        <v>1.0330652999712699E-9</v>
      </c>
      <c r="E44" s="180">
        <f ca="1"/>
        <v>-4.1310043163988999E-9</v>
      </c>
      <c r="F44" s="180">
        <f ca="1"/>
        <v>1.08815570998289E-8</v>
      </c>
      <c r="G44" s="180">
        <f ca="1"/>
        <v>-1.4006544257760799E-8</v>
      </c>
      <c r="H44" s="180">
        <f ca="1"/>
        <v>3.1675658318519602E-8</v>
      </c>
      <c r="I44" s="180">
        <f ca="1"/>
        <v>-1.20826987748401E-7</v>
      </c>
      <c r="J44" s="180">
        <f ca="1"/>
        <v>3.8713911132415301E-7</v>
      </c>
      <c r="K44" s="180">
        <f ca="1"/>
        <v>-1.49040776975529E-6</v>
      </c>
      <c r="L44" s="180">
        <f ca="1"/>
        <v>2.6053341207754599E-6</v>
      </c>
      <c r="M44" s="180">
        <f ca="1"/>
        <v>-4.78170564188751E-6</v>
      </c>
      <c r="N44" s="180">
        <f ca="1"/>
        <v>-9.0483176506950296E-14</v>
      </c>
      <c r="O44" s="180">
        <f ca="1"/>
        <v>-9.0483176506950296E-14</v>
      </c>
      <c r="P44" s="180">
        <f ca="1"/>
        <v>-9.0483176506950296E-14</v>
      </c>
      <c r="Q44" s="180">
        <f ca="1"/>
        <v>-9.0483176506950296E-14</v>
      </c>
      <c r="R44" s="180">
        <f ca="1"/>
        <v>-9.0483176506950296E-14</v>
      </c>
      <c r="S44" s="180">
        <f ca="1"/>
        <v>-6.97989013198619E-6</v>
      </c>
      <c r="T44" s="180">
        <f ca="1"/>
        <v>6.76550342004756E-6</v>
      </c>
      <c r="U44" s="180">
        <f ca="1"/>
        <v>-3.9395491416627197E-5</v>
      </c>
      <c r="V44" s="180">
        <f ca="1"/>
        <v>1.3818471895343801E-4</v>
      </c>
      <c r="W44" s="180">
        <f ca="1"/>
        <v>3.6185457969917202E-4</v>
      </c>
      <c r="X44" s="180">
        <f ca="1"/>
        <v>-1.6556096881226202E-5</v>
      </c>
      <c r="Y44" s="180">
        <f ca="1"/>
        <v>3.3047371043037899E-6</v>
      </c>
      <c r="Z44" s="180">
        <f ca="1"/>
        <v>-1.1576898255594199E-6</v>
      </c>
      <c r="AA44" s="180">
        <f ca="1"/>
        <v>1.64440168592961E-7</v>
      </c>
      <c r="AB44" s="180">
        <f ca="1"/>
        <v>-2.4539971832382401E-8</v>
      </c>
      <c r="AC44" s="180">
        <f ca="1"/>
        <v>6.2920262333676597E-9</v>
      </c>
      <c r="AD44" s="180">
        <f ca="1"/>
        <v>-1.0698247843166099E-9</v>
      </c>
      <c r="AE44" s="180">
        <f ca="1"/>
        <v>6.8532355343986504E-6</v>
      </c>
      <c r="AF44" s="180">
        <f ca="1"/>
        <v>-6.6533444758043501E-6</v>
      </c>
      <c r="AG44" s="180">
        <f ca="1"/>
        <v>3.87645888526578E-5</v>
      </c>
      <c r="AH44" s="180">
        <f ca="1"/>
        <v>-1.35989191231922E-4</v>
      </c>
      <c r="AI44" s="180">
        <f ca="1"/>
        <v>-3.55907122154497E-4</v>
      </c>
      <c r="AJ44" s="180">
        <f ca="1"/>
        <v>1.6296385515812701E-5</v>
      </c>
      <c r="AK44" s="180">
        <f ca="1"/>
        <v>-3.2529746771814399E-6</v>
      </c>
      <c r="AL44" s="180">
        <f ca="1"/>
        <v>1.14011517338142E-6</v>
      </c>
      <c r="AM44" s="180">
        <f ca="1"/>
        <v>-1.61963099154505E-7</v>
      </c>
      <c r="AN44" s="180">
        <f ca="1"/>
        <v>2.4178816948605699E-8</v>
      </c>
      <c r="AO44" s="180">
        <f ca="1"/>
        <v>-6.2035104830826501E-9</v>
      </c>
      <c r="AP44" s="180">
        <f ca="1"/>
        <v>1.0556355789503899E-9</v>
      </c>
      <c r="AQ44" t="str">
        <f ca="1"/>
        <v/>
      </c>
    </row>
    <row r="45" spans="2:43" x14ac:dyDescent="0.25">
      <c r="B45" s="179">
        <f ca="1"/>
        <v>45643</v>
      </c>
      <c r="C45" s="180">
        <f ca="1"/>
        <v>-1.0377540460293499E-6</v>
      </c>
      <c r="D45" s="180">
        <f ca="1"/>
        <v>5.0027204601121899E-11</v>
      </c>
      <c r="E45" s="180">
        <f ca="1"/>
        <v>-2.00149785634096E-10</v>
      </c>
      <c r="F45" s="180">
        <f ca="1"/>
        <v>5.2684967499771998E-10</v>
      </c>
      <c r="G45" s="180">
        <f ca="1"/>
        <v>-6.7845618012540895E-10</v>
      </c>
      <c r="H45" s="180">
        <f ca="1"/>
        <v>1.5335018810347399E-9</v>
      </c>
      <c r="I45" s="180">
        <f ca="1"/>
        <v>-1.8716536764884502E-8</v>
      </c>
      <c r="J45" s="180">
        <f ca="1"/>
        <v>1.87447365407323E-8</v>
      </c>
      <c r="K45" s="180">
        <f ca="1"/>
        <v>-7.2171343679094906E-8</v>
      </c>
      <c r="L45" s="180">
        <f ca="1"/>
        <v>4.5724635799882E-7</v>
      </c>
      <c r="M45" s="180">
        <f ca="1"/>
        <v>-2.7031474858496599E-7</v>
      </c>
      <c r="N45" s="180">
        <f ca="1"/>
        <v>-1.3400391907225599E-13</v>
      </c>
      <c r="O45" s="180">
        <f ca="1"/>
        <v>-1.3400391907225599E-13</v>
      </c>
      <c r="P45" s="180">
        <f ca="1"/>
        <v>-1.3400391907225599E-13</v>
      </c>
      <c r="Q45" s="180">
        <f ca="1"/>
        <v>-1.3400391907225599E-13</v>
      </c>
      <c r="R45" s="180">
        <f ca="1"/>
        <v>-1.3400391907225599E-13</v>
      </c>
      <c r="S45" s="180">
        <f ca="1"/>
        <v>-1.1021805140787301E-6</v>
      </c>
      <c r="T45" s="180">
        <f ca="1"/>
        <v>-3.2589909793045999E-6</v>
      </c>
      <c r="U45" s="180">
        <f ca="1"/>
        <v>-2.8975551067400599E-6</v>
      </c>
      <c r="V45" s="180">
        <f ca="1"/>
        <v>-5.92959570333562E-6</v>
      </c>
      <c r="W45" s="180">
        <f ca="1"/>
        <v>4.8476199404134902E-4</v>
      </c>
      <c r="X45" s="180">
        <f ca="1"/>
        <v>6.7093537170492796E-8</v>
      </c>
      <c r="Y45" s="180">
        <f ca="1"/>
        <v>-1.33924025202958E-8</v>
      </c>
      <c r="Z45" s="180">
        <f ca="1"/>
        <v>4.6916047713452299E-9</v>
      </c>
      <c r="AA45" s="180">
        <f ca="1"/>
        <v>-6.6692207312257799E-10</v>
      </c>
      <c r="AB45" s="180">
        <f ca="1"/>
        <v>9.9172559053783997E-11</v>
      </c>
      <c r="AC45" s="180">
        <f ca="1"/>
        <v>-2.5556778915358801E-11</v>
      </c>
      <c r="AD45" s="180">
        <f ca="1"/>
        <v>4.3531844795552396E-12</v>
      </c>
      <c r="AE45" s="180">
        <f ca="1"/>
        <v>1.08192785575056E-6</v>
      </c>
      <c r="AF45" s="180">
        <f ca="1"/>
        <v>3.2043935546122201E-6</v>
      </c>
      <c r="AG45" s="180">
        <f ca="1"/>
        <v>2.8508250285996799E-6</v>
      </c>
      <c r="AH45" s="180">
        <f ca="1"/>
        <v>5.8351057741212699E-6</v>
      </c>
      <c r="AI45" s="180">
        <f ca="1"/>
        <v>-4.7673176600893102E-4</v>
      </c>
      <c r="AJ45" s="180">
        <f ca="1"/>
        <v>-6.6040923063504006E-8</v>
      </c>
      <c r="AK45" s="180">
        <f ca="1"/>
        <v>1.31826685123571E-8</v>
      </c>
      <c r="AL45" s="180">
        <f ca="1"/>
        <v>-4.6203588732751696E-9</v>
      </c>
      <c r="AM45" s="180">
        <f ca="1"/>
        <v>6.5614647049017104E-10</v>
      </c>
      <c r="AN45" s="180">
        <f ca="1"/>
        <v>-9.7814423227760004E-11</v>
      </c>
      <c r="AO45" s="180">
        <f ca="1"/>
        <v>2.5139446080402201E-11</v>
      </c>
      <c r="AP45" s="180">
        <f ca="1"/>
        <v>-4.4647618935300703E-12</v>
      </c>
      <c r="AQ45" t="str">
        <f ca="1"/>
        <v/>
      </c>
    </row>
    <row r="46" spans="2:43" x14ac:dyDescent="0.25">
      <c r="B46" s="179">
        <f ca="1"/>
        <v>45733</v>
      </c>
      <c r="C46" s="180">
        <f ca="1"/>
        <v>-1.0340484046800201E-6</v>
      </c>
      <c r="D46" s="180">
        <f ca="1"/>
        <v>-7.2965278263836798E-10</v>
      </c>
      <c r="E46" s="180">
        <f ca="1"/>
        <v>2.9175404314685201E-9</v>
      </c>
      <c r="F46" s="180">
        <f ca="1"/>
        <v>-7.6857996633705705E-9</v>
      </c>
      <c r="G46" s="180">
        <f ca="1"/>
        <v>9.8925065916688498E-9</v>
      </c>
      <c r="H46" s="180">
        <f ca="1"/>
        <v>-2.23732227189188E-8</v>
      </c>
      <c r="I46" s="180">
        <f ca="1"/>
        <v>6.2289909008583803E-8</v>
      </c>
      <c r="J46" s="180">
        <f ca="1"/>
        <v>-2.7344086162006702E-7</v>
      </c>
      <c r="K46" s="180">
        <f ca="1"/>
        <v>1.05268021066696E-6</v>
      </c>
      <c r="L46" s="180">
        <f ca="1"/>
        <v>-1.2465523629989799E-6</v>
      </c>
      <c r="M46" s="180">
        <f ca="1"/>
        <v>3.30789142566346E-6</v>
      </c>
      <c r="N46" s="180">
        <f ca="1"/>
        <v>-1.52655665885959E-13</v>
      </c>
      <c r="O46" s="180">
        <f ca="1"/>
        <v>-1.52655665885959E-13</v>
      </c>
      <c r="P46" s="180">
        <f ca="1"/>
        <v>-1.52655665885959E-13</v>
      </c>
      <c r="Q46" s="180">
        <f ca="1"/>
        <v>-1.52655665885959E-13</v>
      </c>
      <c r="R46" s="180">
        <f ca="1"/>
        <v>-1.52655665885959E-13</v>
      </c>
      <c r="S46" s="180">
        <f ca="1"/>
        <v>3.55980764954467E-6</v>
      </c>
      <c r="T46" s="180">
        <f ca="1"/>
        <v>-1.1209197649963999E-5</v>
      </c>
      <c r="U46" s="180">
        <f ca="1"/>
        <v>2.6052609951920901E-5</v>
      </c>
      <c r="V46" s="180">
        <f ca="1"/>
        <v>-1.1451522716576801E-4</v>
      </c>
      <c r="W46" s="180">
        <f ca="1"/>
        <v>5.5668693091670595E-4</v>
      </c>
      <c r="X46" s="180">
        <f ca="1"/>
        <v>4.0919294304497797E-5</v>
      </c>
      <c r="Y46" s="180">
        <f ca="1"/>
        <v>-7.9750144689194596E-6</v>
      </c>
      <c r="Z46" s="180">
        <f ca="1"/>
        <v>2.7937683083623099E-6</v>
      </c>
      <c r="AA46" s="180">
        <f ca="1"/>
        <v>-3.9683215669050801E-7</v>
      </c>
      <c r="AB46" s="180">
        <f ca="1"/>
        <v>5.9219529613407902E-8</v>
      </c>
      <c r="AC46" s="180">
        <f ca="1"/>
        <v>-1.51841861306679E-8</v>
      </c>
      <c r="AD46" s="180">
        <f ca="1"/>
        <v>2.5818635007723901E-9</v>
      </c>
      <c r="AE46" s="180">
        <f ca="1"/>
        <v>-3.4956150255505098E-6</v>
      </c>
      <c r="AF46" s="180">
        <f ca="1"/>
        <v>1.10224988365548E-5</v>
      </c>
      <c r="AG46" s="180">
        <f ca="1"/>
        <v>-2.56339987468879E-5</v>
      </c>
      <c r="AH46" s="180">
        <f ca="1"/>
        <v>1.12723941185666E-4</v>
      </c>
      <c r="AI46" s="180">
        <f ca="1"/>
        <v>-5.4742264679497098E-4</v>
      </c>
      <c r="AJ46" s="180">
        <f ca="1"/>
        <v>-4.0274946851326397E-5</v>
      </c>
      <c r="AK46" s="180">
        <f ca="1"/>
        <v>7.8501951343845599E-6</v>
      </c>
      <c r="AL46" s="180">
        <f ca="1"/>
        <v>-2.7513449323279798E-6</v>
      </c>
      <c r="AM46" s="180">
        <f ca="1"/>
        <v>3.9085232694802098E-7</v>
      </c>
      <c r="AN46" s="180">
        <f ca="1"/>
        <v>-5.8348280873588003E-8</v>
      </c>
      <c r="AO46" s="180">
        <f ca="1"/>
        <v>1.49704419971641E-8</v>
      </c>
      <c r="AP46" s="180">
        <f ca="1"/>
        <v>-2.54806697963517E-9</v>
      </c>
      <c r="AQ46" t="str">
        <f ca="1"/>
        <v/>
      </c>
    </row>
    <row r="47" spans="2:43" x14ac:dyDescent="0.25">
      <c r="B47" s="179">
        <f ca="1"/>
        <v>45825</v>
      </c>
      <c r="C47" s="180">
        <f ca="1"/>
        <v>-1.03022827591115E-6</v>
      </c>
      <c r="D47" s="180">
        <f ca="1"/>
        <v>-1.2248743130882601E-9</v>
      </c>
      <c r="E47" s="180">
        <f ca="1"/>
        <v>4.8977620847878703E-9</v>
      </c>
      <c r="F47" s="180">
        <f ca="1"/>
        <v>-1.29021140438113E-8</v>
      </c>
      <c r="G47" s="180">
        <f ca="1"/>
        <v>1.66067498641453E-8</v>
      </c>
      <c r="H47" s="180">
        <f ca="1"/>
        <v>-3.7557741250360299E-8</v>
      </c>
      <c r="I47" s="180">
        <f ca="1"/>
        <v>1.13774125010124E-7</v>
      </c>
      <c r="J47" s="180">
        <f ca="1"/>
        <v>-4.5902463086111599E-7</v>
      </c>
      <c r="K47" s="180">
        <f ca="1"/>
        <v>1.7671386577378101E-6</v>
      </c>
      <c r="L47" s="180">
        <f ca="1"/>
        <v>-2.3288314753289198E-6</v>
      </c>
      <c r="M47" s="180">
        <f ca="1"/>
        <v>5.5807199863533399E-6</v>
      </c>
      <c r="N47" s="180">
        <f ca="1"/>
        <v>-1.44884104713583E-13</v>
      </c>
      <c r="O47" s="180">
        <f ca="1"/>
        <v>-1.44884104713583E-13</v>
      </c>
      <c r="P47" s="180">
        <f ca="1"/>
        <v>-1.44884104713583E-13</v>
      </c>
      <c r="Q47" s="180">
        <f ca="1"/>
        <v>-1.44884104713583E-13</v>
      </c>
      <c r="R47" s="180">
        <f ca="1"/>
        <v>-1.44884104713583E-13</v>
      </c>
      <c r="S47" s="180">
        <f ca="1"/>
        <v>6.5210858042341596E-6</v>
      </c>
      <c r="T47" s="180">
        <f ca="1"/>
        <v>-1.6258462822493799E-5</v>
      </c>
      <c r="U47" s="180">
        <f ca="1"/>
        <v>4.4443406564842503E-5</v>
      </c>
      <c r="V47" s="180">
        <f ca="1"/>
        <v>-1.8348951304736301E-4</v>
      </c>
      <c r="W47" s="180">
        <f ca="1"/>
        <v>5.7531392296716899E-4</v>
      </c>
      <c r="X47" s="180">
        <f ca="1"/>
        <v>1.06636072089161E-4</v>
      </c>
      <c r="Y47" s="180">
        <f ca="1"/>
        <v>-1.9621465705665899E-5</v>
      </c>
      <c r="Z47" s="180">
        <f ca="1"/>
        <v>6.8737548233333001E-6</v>
      </c>
      <c r="AA47" s="180">
        <f ca="1"/>
        <v>-9.7635794138461996E-7</v>
      </c>
      <c r="AB47" s="180">
        <f ca="1"/>
        <v>1.45703152321097E-7</v>
      </c>
      <c r="AC47" s="180">
        <f ca="1"/>
        <v>-3.7358800164533099E-8</v>
      </c>
      <c r="AD47" s="180">
        <f ca="1"/>
        <v>6.3523795112985201E-9</v>
      </c>
      <c r="AE47" s="180">
        <f ca="1"/>
        <v>-6.4032301214655999E-6</v>
      </c>
      <c r="AF47" s="180">
        <f ca="1"/>
        <v>1.59879345043024E-5</v>
      </c>
      <c r="AG47" s="180">
        <f ca="1"/>
        <v>-4.3728266981291098E-5</v>
      </c>
      <c r="AH47" s="180">
        <f ca="1"/>
        <v>1.8063336111584499E-4</v>
      </c>
      <c r="AI47" s="180">
        <f ca="1"/>
        <v>-5.6572770259222195E-4</v>
      </c>
      <c r="AJ47" s="180">
        <f ca="1"/>
        <v>-1.04949515011166E-4</v>
      </c>
      <c r="AK47" s="180">
        <f ca="1"/>
        <v>1.9314605299247701E-5</v>
      </c>
      <c r="AL47" s="180">
        <f ca="1"/>
        <v>-6.7693472253216297E-6</v>
      </c>
      <c r="AM47" s="180">
        <f ca="1"/>
        <v>9.6164700669199E-7</v>
      </c>
      <c r="AN47" s="180">
        <f ca="1"/>
        <v>-1.43559360399337E-7</v>
      </c>
      <c r="AO47" s="180">
        <f ca="1"/>
        <v>3.6833020522486499E-8</v>
      </c>
      <c r="AP47" s="180">
        <f ca="1"/>
        <v>-6.2689294866302703E-9</v>
      </c>
      <c r="AQ47" t="str">
        <f ca="1"/>
        <v/>
      </c>
    </row>
    <row r="48" spans="2:43" x14ac:dyDescent="0.25">
      <c r="B48" s="179">
        <f ca="1"/>
        <v>45917</v>
      </c>
      <c r="C48" s="180">
        <f ca="1"/>
        <v>-1.02637474586054E-6</v>
      </c>
      <c r="D48" s="180">
        <f ca="1"/>
        <v>-1.43776401895224E-9</v>
      </c>
      <c r="E48" s="180">
        <f ca="1"/>
        <v>5.7490200378040901E-9</v>
      </c>
      <c r="F48" s="180">
        <f ca="1"/>
        <v>-1.5144496989805101E-8</v>
      </c>
      <c r="G48" s="180">
        <f ca="1"/>
        <v>1.94931074615212E-8</v>
      </c>
      <c r="H48" s="180">
        <f ca="1"/>
        <v>-4.4085269657046002E-8</v>
      </c>
      <c r="I48" s="180">
        <f ca="1"/>
        <v>1.35952085256186E-7</v>
      </c>
      <c r="J48" s="180">
        <f ca="1"/>
        <v>-5.3880367234526695E-7</v>
      </c>
      <c r="K48" s="180">
        <f ca="1"/>
        <v>2.07427147336237E-6</v>
      </c>
      <c r="L48" s="180">
        <f ca="1"/>
        <v>-2.7941662857910998E-6</v>
      </c>
      <c r="M48" s="180">
        <f ca="1"/>
        <v>6.55790715342608E-6</v>
      </c>
      <c r="N48" s="180">
        <f ca="1"/>
        <v>-1.12465592394528E-13</v>
      </c>
      <c r="O48" s="180">
        <f ca="1"/>
        <v>-1.12465592394528E-13</v>
      </c>
      <c r="P48" s="180">
        <f ca="1"/>
        <v>-1.12465592394528E-13</v>
      </c>
      <c r="Q48" s="180">
        <f ca="1"/>
        <v>-1.12465592394528E-13</v>
      </c>
      <c r="R48" s="180">
        <f ca="1"/>
        <v>-1.12465592394528E-13</v>
      </c>
      <c r="S48" s="180">
        <f ca="1"/>
        <v>7.7941874736531196E-6</v>
      </c>
      <c r="T48" s="180">
        <f ca="1"/>
        <v>-1.84292722880119E-5</v>
      </c>
      <c r="U48" s="180">
        <f ca="1"/>
        <v>5.23528284127606E-5</v>
      </c>
      <c r="V48" s="180">
        <f ca="1"/>
        <v>-2.1315918953479499E-4</v>
      </c>
      <c r="W48" s="180">
        <f ca="1"/>
        <v>5.4389803400190005E-4</v>
      </c>
      <c r="X48" s="180">
        <f ca="1"/>
        <v>1.91949718640672E-4</v>
      </c>
      <c r="Y48" s="180">
        <f ca="1"/>
        <v>-3.2399989444820102E-5</v>
      </c>
      <c r="Z48" s="180">
        <f ca="1"/>
        <v>1.1350409570121101E-5</v>
      </c>
      <c r="AA48" s="180">
        <f ca="1"/>
        <v>-1.61222351413581E-6</v>
      </c>
      <c r="AB48" s="180">
        <f ca="1"/>
        <v>2.4059454739600002E-7</v>
      </c>
      <c r="AC48" s="180">
        <f ca="1"/>
        <v>-6.1689162556000099E-8</v>
      </c>
      <c r="AD48" s="180">
        <f ca="1"/>
        <v>1.04894777308573E-8</v>
      </c>
      <c r="AE48" s="180">
        <f ca="1"/>
        <v>-7.6532554142971793E-6</v>
      </c>
      <c r="AF48" s="180">
        <f ca="1"/>
        <v>1.8122720721325299E-5</v>
      </c>
      <c r="AG48" s="180">
        <f ca="1"/>
        <v>-5.15099361216853E-5</v>
      </c>
      <c r="AH48" s="180">
        <f ca="1"/>
        <v>2.0984816985791799E-4</v>
      </c>
      <c r="AI48" s="180">
        <f ca="1"/>
        <v>-5.3485288667753895E-4</v>
      </c>
      <c r="AJ48" s="180">
        <f ca="1"/>
        <v>-1.8889649396114399E-4</v>
      </c>
      <c r="AK48" s="180">
        <f ca="1"/>
        <v>3.1893724945941698E-5</v>
      </c>
      <c r="AL48" s="180">
        <f ca="1"/>
        <v>-1.1177950665519599E-5</v>
      </c>
      <c r="AM48" s="180">
        <f ca="1"/>
        <v>1.58793352211806E-6</v>
      </c>
      <c r="AN48" s="180">
        <f ca="1"/>
        <v>-2.37054468832376E-7</v>
      </c>
      <c r="AO48" s="180">
        <f ca="1"/>
        <v>6.08210339869686E-8</v>
      </c>
      <c r="AP48" s="180">
        <f ca="1"/>
        <v>-1.03515139793231E-8</v>
      </c>
      <c r="AQ48" t="str">
        <f ca="1"/>
        <v/>
      </c>
    </row>
    <row r="49" spans="2:43" x14ac:dyDescent="0.25">
      <c r="B49" s="179">
        <f ca="1"/>
        <v>46008</v>
      </c>
      <c r="C49" s="180">
        <f ca="1"/>
        <v>-1.0225296799282199E-6</v>
      </c>
      <c r="D49" s="180">
        <f ca="1"/>
        <v>-1.40489897493268E-9</v>
      </c>
      <c r="E49" s="180">
        <f ca="1"/>
        <v>5.6175746276920799E-9</v>
      </c>
      <c r="F49" s="180">
        <f ca="1"/>
        <v>-1.47982304188332E-8</v>
      </c>
      <c r="G49" s="180">
        <f ca="1"/>
        <v>1.9047491583990002E-8</v>
      </c>
      <c r="H49" s="180">
        <f ca="1"/>
        <v>-4.3077346467690301E-8</v>
      </c>
      <c r="I49" s="180">
        <f ca="1"/>
        <v>1.3261752818127801E-7</v>
      </c>
      <c r="J49" s="180">
        <f ca="1"/>
        <v>-5.2648530879384502E-7</v>
      </c>
      <c r="K49" s="180">
        <f ca="1"/>
        <v>2.02684847439016E-6</v>
      </c>
      <c r="L49" s="180">
        <f ca="1"/>
        <v>-2.7224335400477499E-6</v>
      </c>
      <c r="M49" s="180">
        <f ca="1"/>
        <v>6.4072943547488501E-6</v>
      </c>
      <c r="N49" s="180">
        <f ca="1"/>
        <v>-5.9285909514983397E-14</v>
      </c>
      <c r="O49" s="180">
        <f ca="1"/>
        <v>-5.9285909514983397E-14</v>
      </c>
      <c r="P49" s="180">
        <f ca="1"/>
        <v>-5.9285909514983397E-14</v>
      </c>
      <c r="Q49" s="180">
        <f ca="1"/>
        <v>-5.9285909514983397E-14</v>
      </c>
      <c r="R49" s="180">
        <f ca="1"/>
        <v>-5.9285909514983397E-14</v>
      </c>
      <c r="S49" s="180">
        <f ca="1"/>
        <v>7.5976991448234401E-6</v>
      </c>
      <c r="T49" s="180">
        <f ca="1"/>
        <v>-1.80950812895819E-5</v>
      </c>
      <c r="U49" s="180">
        <f ca="1"/>
        <v>5.1138335786071702E-5</v>
      </c>
      <c r="V49" s="180">
        <f ca="1"/>
        <v>-2.0862112732600299E-4</v>
      </c>
      <c r="W49" s="180">
        <f ca="1"/>
        <v>4.7114587892993498E-4</v>
      </c>
      <c r="X49" s="180">
        <f ca="1"/>
        <v>2.8988900164139702E-4</v>
      </c>
      <c r="Y49" s="180">
        <f ca="1"/>
        <v>-4.3332855902411497E-5</v>
      </c>
      <c r="Z49" s="180">
        <f ca="1"/>
        <v>1.51805493598944E-5</v>
      </c>
      <c r="AA49" s="180">
        <f ca="1"/>
        <v>-2.15625501964745E-6</v>
      </c>
      <c r="AB49" s="180">
        <f ca="1"/>
        <v>3.2178144826477998E-7</v>
      </c>
      <c r="AC49" s="180">
        <f ca="1"/>
        <v>-8.2505637100105402E-8</v>
      </c>
      <c r="AD49" s="180">
        <f ca="1"/>
        <v>1.4029103767576601E-8</v>
      </c>
      <c r="AE49" s="180">
        <f ca="1"/>
        <v>-7.4603289039743004E-6</v>
      </c>
      <c r="AF49" s="180">
        <f ca="1"/>
        <v>1.7794075382271402E-5</v>
      </c>
      <c r="AG49" s="180">
        <f ca="1"/>
        <v>-5.03150676500752E-5</v>
      </c>
      <c r="AH49" s="180">
        <f ca="1"/>
        <v>2.0537965221856201E-4</v>
      </c>
      <c r="AI49" s="180">
        <f ca="1"/>
        <v>-4.63347026666172E-4</v>
      </c>
      <c r="AJ49" s="180">
        <f ca="1"/>
        <v>-2.8524766495241499E-4</v>
      </c>
      <c r="AK49" s="180">
        <f ca="1"/>
        <v>4.2656267088880797E-5</v>
      </c>
      <c r="AL49" s="180">
        <f ca="1"/>
        <v>-1.4949832775723599E-5</v>
      </c>
      <c r="AM49" s="180">
        <f ca="1"/>
        <v>2.1237701383070001E-6</v>
      </c>
      <c r="AN49" s="180">
        <f ca="1"/>
        <v>-3.1704671521470802E-7</v>
      </c>
      <c r="AO49" s="180">
        <f ca="1"/>
        <v>8.1344628588553305E-8</v>
      </c>
      <c r="AP49" s="180">
        <f ca="1"/>
        <v>-1.3844467683377101E-8</v>
      </c>
      <c r="AQ49" t="str">
        <f ca="1"/>
        <v/>
      </c>
    </row>
    <row r="50" spans="2:43" x14ac:dyDescent="0.25">
      <c r="B50" s="179">
        <f ca="1"/>
        <v>46098</v>
      </c>
      <c r="C50" s="180">
        <f ca="1"/>
        <v>-1.0186939444212201E-6</v>
      </c>
      <c r="D50" s="180">
        <f ca="1"/>
        <v>-1.17882847927575E-9</v>
      </c>
      <c r="E50" s="180">
        <f ca="1"/>
        <v>4.7135546576981799E-9</v>
      </c>
      <c r="F50" s="180">
        <f ca="1"/>
        <v>-1.2416839445528199E-8</v>
      </c>
      <c r="G50" s="180">
        <f ca="1"/>
        <v>1.59823687617688E-8</v>
      </c>
      <c r="H50" s="180">
        <f ca="1"/>
        <v>-3.61452601183032E-8</v>
      </c>
      <c r="I50" s="180">
        <f ca="1"/>
        <v>1.09224099209548E-7</v>
      </c>
      <c r="J50" s="180">
        <f ca="1"/>
        <v>-4.4176250435512501E-7</v>
      </c>
      <c r="K50" s="180">
        <f ca="1"/>
        <v>1.70068349669705E-6</v>
      </c>
      <c r="L50" s="180">
        <f ca="1"/>
        <v>-2.2284380732928702E-6</v>
      </c>
      <c r="M50" s="180">
        <f ca="1"/>
        <v>5.3700316582361296E-6</v>
      </c>
      <c r="N50" s="180">
        <f ca="1"/>
        <v>1.0103029524088899E-14</v>
      </c>
      <c r="O50" s="180">
        <f ca="1"/>
        <v>1.0103029524088899E-14</v>
      </c>
      <c r="P50" s="180">
        <f ca="1"/>
        <v>1.0103029524088899E-14</v>
      </c>
      <c r="Q50" s="180">
        <f ca="1"/>
        <v>1.0103029524088899E-14</v>
      </c>
      <c r="R50" s="180">
        <f ca="1"/>
        <v>1.0103029524088899E-14</v>
      </c>
      <c r="S50" s="180">
        <f ca="1"/>
        <v>6.24578004482235E-6</v>
      </c>
      <c r="T50" s="180">
        <f ca="1"/>
        <v>-1.5791898197225999E-5</v>
      </c>
      <c r="U50" s="180">
        <f ca="1"/>
        <v>4.2750804616464902E-5</v>
      </c>
      <c r="V50" s="180">
        <f ca="1"/>
        <v>-1.7719104313751501E-4</v>
      </c>
      <c r="W50" s="180">
        <f ca="1"/>
        <v>3.6781390261297903E-4</v>
      </c>
      <c r="X50" s="180">
        <f ca="1"/>
        <v>3.9334456182582599E-4</v>
      </c>
      <c r="Y50" s="180">
        <f ca="1"/>
        <v>-4.9322578547283899E-5</v>
      </c>
      <c r="Z50" s="180">
        <f ca="1"/>
        <v>1.7278971889966898E-5</v>
      </c>
      <c r="AA50" s="180">
        <f ca="1"/>
        <v>-2.4543129353293802E-6</v>
      </c>
      <c r="AB50" s="180">
        <f ca="1"/>
        <v>3.6626126187488902E-7</v>
      </c>
      <c r="AC50" s="180">
        <f ca="1"/>
        <v>-9.3910308862632506E-8</v>
      </c>
      <c r="AD50" s="180">
        <f ca="1"/>
        <v>1.5968386390952098E-8</v>
      </c>
      <c r="AE50" s="180">
        <f ca="1"/>
        <v>-6.1329144342980902E-6</v>
      </c>
      <c r="AF50" s="180">
        <f ca="1"/>
        <v>1.5529114386847501E-5</v>
      </c>
      <c r="AG50" s="180">
        <f ca="1"/>
        <v>-4.2062992456015602E-5</v>
      </c>
      <c r="AH50" s="180">
        <f ca="1"/>
        <v>1.7443182316123599E-4</v>
      </c>
      <c r="AI50" s="180">
        <f ca="1"/>
        <v>-3.6176677098143101E-4</v>
      </c>
      <c r="AJ50" s="180">
        <f ca="1"/>
        <v>-3.8700319324513899E-4</v>
      </c>
      <c r="AK50" s="180">
        <f ca="1"/>
        <v>4.8552787695776998E-5</v>
      </c>
      <c r="AL50" s="180">
        <f ca="1"/>
        <v>-1.70163237556142E-5</v>
      </c>
      <c r="AM50" s="180">
        <f ca="1"/>
        <v>2.4173386564685398E-6</v>
      </c>
      <c r="AN50" s="180">
        <f ca="1"/>
        <v>-3.6087199783985097E-7</v>
      </c>
      <c r="AO50" s="180">
        <f ca="1"/>
        <v>9.2588882782962401E-8</v>
      </c>
      <c r="AP50" s="180">
        <f ca="1"/>
        <v>-1.5758132909660099E-8</v>
      </c>
      <c r="AQ50" t="str">
        <f ca="1"/>
        <v/>
      </c>
    </row>
    <row r="51" spans="2:43" x14ac:dyDescent="0.25">
      <c r="B51" s="179">
        <f ca="1"/>
        <v>46190</v>
      </c>
      <c r="C51" s="180">
        <f ca="1"/>
        <v>-1.0147392157655601E-6</v>
      </c>
      <c r="D51" s="180">
        <f ca="1"/>
        <v>-8.0591078255309898E-10</v>
      </c>
      <c r="E51" s="180">
        <f ca="1"/>
        <v>3.22233040250808E-9</v>
      </c>
      <c r="F51" s="180">
        <f ca="1"/>
        <v>-8.4886293549857295E-9</v>
      </c>
      <c r="G51" s="180">
        <f ca="1"/>
        <v>1.09262608960492E-8</v>
      </c>
      <c r="H51" s="180">
        <f ca="1"/>
        <v>-2.4710448243148201E-8</v>
      </c>
      <c r="I51" s="180">
        <f ca="1"/>
        <v>7.0586021361229698E-8</v>
      </c>
      <c r="J51" s="180">
        <f ca="1"/>
        <v>-3.02007885033539E-7</v>
      </c>
      <c r="K51" s="180">
        <f ca="1"/>
        <v>1.1626578266810101E-6</v>
      </c>
      <c r="L51" s="180">
        <f ca="1"/>
        <v>-1.41347404913894E-6</v>
      </c>
      <c r="M51" s="180">
        <f ca="1"/>
        <v>3.6588672731596699E-6</v>
      </c>
      <c r="N51" s="180">
        <f ca="1"/>
        <v>9.3036689463588105E-14</v>
      </c>
      <c r="O51" s="180">
        <f ca="1"/>
        <v>9.3036689463588105E-14</v>
      </c>
      <c r="P51" s="180">
        <f ca="1"/>
        <v>9.3036689463588105E-14</v>
      </c>
      <c r="Q51" s="180">
        <f ca="1"/>
        <v>9.3036689463588105E-14</v>
      </c>
      <c r="R51" s="180">
        <f ca="1"/>
        <v>9.3036689463588105E-14</v>
      </c>
      <c r="S51" s="180">
        <f ca="1"/>
        <v>4.0156103267019503E-6</v>
      </c>
      <c r="T51" s="180">
        <f ca="1"/>
        <v>-1.1992451361631E-5</v>
      </c>
      <c r="U51" s="180">
        <f ca="1"/>
        <v>2.8911641675732899E-5</v>
      </c>
      <c r="V51" s="180">
        <f ca="1"/>
        <v>-1.2532155930311501E-4</v>
      </c>
      <c r="W51" s="180">
        <f ca="1"/>
        <v>2.4164755849931399E-4</v>
      </c>
      <c r="X51" s="180">
        <f ca="1"/>
        <v>4.9791283211353399E-4</v>
      </c>
      <c r="Y51" s="180">
        <f ca="1"/>
        <v>-4.6830433137468001E-5</v>
      </c>
      <c r="Z51" s="180">
        <f ca="1"/>
        <v>1.6405879708081299E-5</v>
      </c>
      <c r="AA51" s="180">
        <f ca="1"/>
        <v>-2.3302997438357E-6</v>
      </c>
      <c r="AB51" s="180">
        <f ca="1"/>
        <v>3.4775454715863E-7</v>
      </c>
      <c r="AC51" s="180">
        <f ca="1"/>
        <v>-8.9165069772079204E-8</v>
      </c>
      <c r="AD51" s="180">
        <f ca="1"/>
        <v>1.5161591759849099E-8</v>
      </c>
      <c r="AE51" s="180">
        <f ca="1"/>
        <v>-3.9431600596939697E-6</v>
      </c>
      <c r="AF51" s="180">
        <f ca="1"/>
        <v>1.17927441716237E-5</v>
      </c>
      <c r="AG51" s="180">
        <f ca="1"/>
        <v>-2.8447008164067499E-5</v>
      </c>
      <c r="AH51" s="180">
        <f ca="1"/>
        <v>1.23362649801395E-4</v>
      </c>
      <c r="AI51" s="180">
        <f ca="1"/>
        <v>-2.37709147406062E-4</v>
      </c>
      <c r="AJ51" s="180">
        <f ca="1"/>
        <v>-4.8982943957454105E-4</v>
      </c>
      <c r="AK51" s="180">
        <f ca="1"/>
        <v>4.60994163978823E-5</v>
      </c>
      <c r="AL51" s="180">
        <f ca="1"/>
        <v>-1.6156517796184201E-5</v>
      </c>
      <c r="AM51" s="180">
        <f ca="1"/>
        <v>2.2951934904868999E-6</v>
      </c>
      <c r="AN51" s="180">
        <f ca="1"/>
        <v>-3.4263758785790799E-7</v>
      </c>
      <c r="AO51" s="180">
        <f ca="1"/>
        <v>8.7910507762245502E-8</v>
      </c>
      <c r="AP51" s="180">
        <f ca="1"/>
        <v>-1.4961869077012599E-8</v>
      </c>
      <c r="AQ51" t="str">
        <f ca="1"/>
        <v/>
      </c>
    </row>
    <row r="52" spans="2:43" x14ac:dyDescent="0.25">
      <c r="B52" s="179">
        <f ca="1"/>
        <v>46282</v>
      </c>
      <c r="C52" s="180">
        <f ca="1"/>
        <v>-1.0107507683043699E-6</v>
      </c>
      <c r="D52" s="180">
        <f ca="1"/>
        <v>-3.5883085391930101E-10</v>
      </c>
      <c r="E52" s="180">
        <f ca="1"/>
        <v>1.4345484800060099E-9</v>
      </c>
      <c r="F52" s="180">
        <f ca="1"/>
        <v>-3.7792260432212296E-9</v>
      </c>
      <c r="G52" s="180">
        <f ca="1"/>
        <v>4.8646375816474599E-9</v>
      </c>
      <c r="H52" s="180">
        <f ca="1"/>
        <v>-1.10016143972658E-8</v>
      </c>
      <c r="I52" s="180">
        <f ca="1"/>
        <v>2.4247226448892401E-8</v>
      </c>
      <c r="J52" s="180">
        <f ca="1"/>
        <v>-1.3446036639663801E-7</v>
      </c>
      <c r="K52" s="180">
        <f ca="1"/>
        <v>5.1763586894626499E-7</v>
      </c>
      <c r="L52" s="180">
        <f ca="1"/>
        <v>-4.36387177615849E-7</v>
      </c>
      <c r="M52" s="180">
        <f ca="1"/>
        <v>1.60735873400153E-6</v>
      </c>
      <c r="N52" s="180">
        <f ca="1"/>
        <v>1.82076576038526E-13</v>
      </c>
      <c r="O52" s="180">
        <f ca="1"/>
        <v>1.82076576038526E-13</v>
      </c>
      <c r="P52" s="180">
        <f ca="1"/>
        <v>1.82076576038526E-13</v>
      </c>
      <c r="Q52" s="180">
        <f ca="1"/>
        <v>1.82076576038526E-13</v>
      </c>
      <c r="R52" s="180">
        <f ca="1"/>
        <v>1.82076576038526E-13</v>
      </c>
      <c r="S52" s="180">
        <f ca="1"/>
        <v>1.34185099898154E-6</v>
      </c>
      <c r="T52" s="180">
        <f ca="1"/>
        <v>-7.4375466704301704E-6</v>
      </c>
      <c r="U52" s="180">
        <f ca="1"/>
        <v>1.2319418504325199E-5</v>
      </c>
      <c r="V52" s="180">
        <f ca="1"/>
        <v>-6.3127367016191398E-5</v>
      </c>
      <c r="W52" s="180">
        <f ca="1"/>
        <v>1.0864842776348E-4</v>
      </c>
      <c r="X52" s="180">
        <f ca="1"/>
        <v>5.9209950293492896E-4</v>
      </c>
      <c r="Y52" s="180">
        <f ca="1"/>
        <v>-3.1505085225314E-5</v>
      </c>
      <c r="Z52" s="180">
        <f ca="1"/>
        <v>1.1036897482941099E-5</v>
      </c>
      <c r="AA52" s="180">
        <f ca="1"/>
        <v>-1.56769214176844E-6</v>
      </c>
      <c r="AB52" s="180">
        <f ca="1"/>
        <v>2.33949136840828E-7</v>
      </c>
      <c r="AC52" s="180">
        <f ca="1"/>
        <v>-5.9985006295448797E-8</v>
      </c>
      <c r="AD52" s="180">
        <f ca="1"/>
        <v>1.01999669821495E-8</v>
      </c>
      <c r="AE52" s="180">
        <f ca="1"/>
        <v>-1.3178410422920501E-6</v>
      </c>
      <c r="AF52" s="180">
        <f ca="1"/>
        <v>7.3134975927535697E-6</v>
      </c>
      <c r="AG52" s="180">
        <f ca="1"/>
        <v>-1.2121828066424799E-5</v>
      </c>
      <c r="AH52" s="180">
        <f ca="1"/>
        <v>6.2135539923180398E-5</v>
      </c>
      <c r="AI52" s="180">
        <f ca="1"/>
        <v>-1.06896600818307E-4</v>
      </c>
      <c r="AJ52" s="180">
        <f ca="1"/>
        <v>-5.8242633582084003E-4</v>
      </c>
      <c r="AK52" s="180">
        <f ca="1"/>
        <v>3.1012770028149297E-5</v>
      </c>
      <c r="AL52" s="180">
        <f ca="1"/>
        <v>-1.08692059874738E-5</v>
      </c>
      <c r="AM52" s="180">
        <f ca="1"/>
        <v>1.5440732950011699E-6</v>
      </c>
      <c r="AN52" s="180">
        <f ca="1"/>
        <v>-2.30506778442496E-7</v>
      </c>
      <c r="AO52" s="180">
        <f ca="1"/>
        <v>5.9141172958909703E-8</v>
      </c>
      <c r="AP52" s="180">
        <f ca="1"/>
        <v>-1.0065485667176699E-8</v>
      </c>
      <c r="AQ52" t="str">
        <f ca="1"/>
        <v/>
      </c>
    </row>
    <row r="53" spans="2:43" x14ac:dyDescent="0.25">
      <c r="B53" s="179">
        <f ca="1"/>
        <v>46373</v>
      </c>
      <c r="C53" s="180">
        <f ca="1"/>
        <v>-1.00677321401843E-6</v>
      </c>
      <c r="D53" s="180">
        <f ca="1"/>
        <v>7.7156836475467104E-11</v>
      </c>
      <c r="E53" s="180">
        <f ca="1"/>
        <v>-3.0888280821983502E-10</v>
      </c>
      <c r="F53" s="180">
        <f ca="1"/>
        <v>8.1334528001519898E-10</v>
      </c>
      <c r="G53" s="180">
        <f ca="1"/>
        <v>-1.0466120192731399E-9</v>
      </c>
      <c r="H53" s="180">
        <f ca="1"/>
        <v>2.3671264948177399E-9</v>
      </c>
      <c r="I53" s="180">
        <f ca="1"/>
        <v>-2.09417453378435E-8</v>
      </c>
      <c r="J53" s="180">
        <f ca="1"/>
        <v>2.89306559819735E-8</v>
      </c>
      <c r="K53" s="180">
        <f ca="1"/>
        <v>-1.11383926970632E-7</v>
      </c>
      <c r="L53" s="180">
        <f ca="1"/>
        <v>5.1648464749476396E-7</v>
      </c>
      <c r="M53" s="180">
        <f ca="1"/>
        <v>-3.9325074863150199E-7</v>
      </c>
      <c r="N53" s="180">
        <f ca="1"/>
        <v>2.6967317268145098E-13</v>
      </c>
      <c r="O53" s="180">
        <f ca="1"/>
        <v>2.6967317268145098E-13</v>
      </c>
      <c r="P53" s="180">
        <f ca="1"/>
        <v>2.6967317268145098E-13</v>
      </c>
      <c r="Q53" s="180">
        <f ca="1"/>
        <v>2.6967317268145098E-13</v>
      </c>
      <c r="R53" s="180">
        <f ca="1"/>
        <v>2.6967317268145098E-13</v>
      </c>
      <c r="S53" s="180">
        <f ca="1"/>
        <v>-1.26562697722044E-6</v>
      </c>
      <c r="T53" s="180">
        <f ca="1"/>
        <v>-2.99590456753762E-6</v>
      </c>
      <c r="U53" s="180">
        <f ca="1"/>
        <v>-3.8606755914383203E-6</v>
      </c>
      <c r="V53" s="180">
        <f ca="1"/>
        <v>-2.47479826820385E-6</v>
      </c>
      <c r="W53" s="180">
        <f ca="1"/>
        <v>-1.39053898634556E-5</v>
      </c>
      <c r="X53" s="180">
        <f ca="1"/>
        <v>6.6492109063387395E-4</v>
      </c>
      <c r="Y53" s="180">
        <f ca="1"/>
        <v>7.4697055840733405E-7</v>
      </c>
      <c r="Z53" s="180">
        <f ca="1"/>
        <v>-2.6168128164361098E-7</v>
      </c>
      <c r="AA53" s="180">
        <f ca="1"/>
        <v>3.7169038957784999E-8</v>
      </c>
      <c r="AB53" s="180">
        <f ca="1"/>
        <v>-5.5470886772823697E-9</v>
      </c>
      <c r="AC53" s="180">
        <f ca="1"/>
        <v>1.42250267121113E-9</v>
      </c>
      <c r="AD53" s="180">
        <f ca="1"/>
        <v>-2.4153246069857899E-10</v>
      </c>
      <c r="AE53" s="180">
        <f ca="1"/>
        <v>1.2424120825471599E-6</v>
      </c>
      <c r="AF53" s="180">
        <f ca="1"/>
        <v>2.9456745257450102E-6</v>
      </c>
      <c r="AG53" s="180">
        <f ca="1"/>
        <v>3.7984215495168202E-6</v>
      </c>
      <c r="AH53" s="180">
        <f ca="1"/>
        <v>2.4340208372164402E-6</v>
      </c>
      <c r="AI53" s="180">
        <f ca="1"/>
        <v>1.3675739774288199E-5</v>
      </c>
      <c r="AJ53" s="180">
        <f ca="1"/>
        <v>-6.5400496052558899E-4</v>
      </c>
      <c r="AK53" s="180">
        <f ca="1"/>
        <v>-7.3530631361506896E-7</v>
      </c>
      <c r="AL53" s="180">
        <f ca="1"/>
        <v>2.5770472611430501E-7</v>
      </c>
      <c r="AM53" s="180">
        <f ca="1"/>
        <v>-3.6609407949583803E-8</v>
      </c>
      <c r="AN53" s="180">
        <f ca="1"/>
        <v>5.4654220038585802E-9</v>
      </c>
      <c r="AO53" s="180">
        <f ca="1"/>
        <v>-1.4020821170746E-9</v>
      </c>
      <c r="AP53" s="180">
        <f ca="1"/>
        <v>2.3860180498047601E-10</v>
      </c>
      <c r="AQ53" t="str">
        <f ca="1"/>
        <v/>
      </c>
    </row>
    <row r="54" spans="2:43" x14ac:dyDescent="0.25">
      <c r="B54" s="179">
        <f ca="1"/>
        <v>46463</v>
      </c>
      <c r="C54" s="180">
        <f ca="1"/>
        <v>-1.0028085082325299E-6</v>
      </c>
      <c r="D54" s="180">
        <f ca="1"/>
        <v>4.3090009338442299E-10</v>
      </c>
      <c r="E54" s="180">
        <f ca="1"/>
        <v>-1.7234498272955501E-9</v>
      </c>
      <c r="F54" s="180">
        <f ca="1"/>
        <v>4.5396132408726E-9</v>
      </c>
      <c r="G54" s="180">
        <f ca="1"/>
        <v>-5.8428107907460003E-9</v>
      </c>
      <c r="H54" s="180">
        <f ca="1"/>
        <v>1.32140962616489E-8</v>
      </c>
      <c r="I54" s="180">
        <f ca="1"/>
        <v>-5.7593471769479298E-8</v>
      </c>
      <c r="J54" s="180">
        <f ca="1"/>
        <v>1.6150096615596999E-7</v>
      </c>
      <c r="K54" s="180">
        <f ca="1"/>
        <v>-6.21750292473244E-7</v>
      </c>
      <c r="L54" s="180">
        <f ca="1"/>
        <v>1.2896204877321799E-6</v>
      </c>
      <c r="M54" s="180">
        <f ca="1"/>
        <v>-2.0164388779830802E-6</v>
      </c>
      <c r="N54" s="180">
        <f ca="1"/>
        <v>3.48943096639687E-13</v>
      </c>
      <c r="O54" s="180">
        <f ca="1"/>
        <v>3.48943096639687E-13</v>
      </c>
      <c r="P54" s="180">
        <f ca="1"/>
        <v>3.48943096639687E-13</v>
      </c>
      <c r="Q54" s="180">
        <f ca="1"/>
        <v>3.48943096639687E-13</v>
      </c>
      <c r="R54" s="180">
        <f ca="1"/>
        <v>3.48943096639687E-13</v>
      </c>
      <c r="S54" s="180">
        <f ca="1"/>
        <v>-3.3812873079242001E-6</v>
      </c>
      <c r="T54" s="180">
        <f ca="1"/>
        <v>6.0750710417778496E-7</v>
      </c>
      <c r="U54" s="180">
        <f ca="1"/>
        <v>-1.69871615441908E-5</v>
      </c>
      <c r="V54" s="180">
        <f ca="1"/>
        <v>4.6730093810287698E-5</v>
      </c>
      <c r="W54" s="180">
        <f ca="1"/>
        <v>-1.12295764041481E-4</v>
      </c>
      <c r="X54" s="180">
        <f ca="1"/>
        <v>7.0831690091299705E-4</v>
      </c>
      <c r="Y54" s="180">
        <f ca="1"/>
        <v>5.2851296485800801E-5</v>
      </c>
      <c r="Z54" s="180">
        <f ca="1"/>
        <v>-1.8376829264865599E-5</v>
      </c>
      <c r="AA54" s="180">
        <f ca="1"/>
        <v>2.61031010329038E-6</v>
      </c>
      <c r="AB54" s="180">
        <f ca="1"/>
        <v>-3.8954041048366898E-7</v>
      </c>
      <c r="AC54" s="180">
        <f ca="1"/>
        <v>9.98794641438039E-8</v>
      </c>
      <c r="AD54" s="180">
        <f ca="1"/>
        <v>-1.6982833694889601E-8</v>
      </c>
      <c r="AE54" s="180">
        <f ca="1"/>
        <v>3.3197657332006999E-6</v>
      </c>
      <c r="AF54" s="180">
        <f ca="1"/>
        <v>-5.9781844774509096E-7</v>
      </c>
      <c r="AG54" s="180">
        <f ca="1"/>
        <v>1.6714516281934901E-5</v>
      </c>
      <c r="AH54" s="180">
        <f ca="1"/>
        <v>-4.5993510855657498E-5</v>
      </c>
      <c r="AI54" s="180">
        <f ca="1"/>
        <v>1.10498719862906E-4</v>
      </c>
      <c r="AJ54" s="180">
        <f ca="1"/>
        <v>-6.9665385342887497E-4</v>
      </c>
      <c r="AK54" s="180">
        <f ca="1"/>
        <v>-5.2020693508514301E-5</v>
      </c>
      <c r="AL54" s="180">
        <f ca="1"/>
        <v>1.80981906970912E-5</v>
      </c>
      <c r="AM54" s="180">
        <f ca="1"/>
        <v>-2.5709725681721798E-6</v>
      </c>
      <c r="AN54" s="180">
        <f ca="1"/>
        <v>3.8380878386590201E-7</v>
      </c>
      <c r="AO54" s="180">
        <f ca="1"/>
        <v>-9.8473398324472301E-8</v>
      </c>
      <c r="AP54" s="180">
        <f ca="1"/>
        <v>1.6759513332686999E-8</v>
      </c>
      <c r="AQ54" t="str">
        <f ca="1"/>
        <v/>
      </c>
    </row>
    <row r="55" spans="2:43" x14ac:dyDescent="0.25">
      <c r="B55" s="179">
        <f ca="1"/>
        <v>46555</v>
      </c>
      <c r="C55" s="180">
        <f ca="1"/>
        <v>-9.987247650000701E-7</v>
      </c>
      <c r="D55" s="180">
        <f ca="1"/>
        <v>6.9958094872646401E-10</v>
      </c>
      <c r="E55" s="180">
        <f ca="1"/>
        <v>-2.79788148205284E-9</v>
      </c>
      <c r="F55" s="180">
        <f ca="1"/>
        <v>7.3698882552264397E-9</v>
      </c>
      <c r="G55" s="180">
        <f ca="1"/>
        <v>-9.4857415255944505E-9</v>
      </c>
      <c r="H55" s="180">
        <f ca="1"/>
        <v>2.1452868148585899E-8</v>
      </c>
      <c r="I55" s="180">
        <f ca="1"/>
        <v>-8.5413740413819994E-8</v>
      </c>
      <c r="J55" s="180">
        <f ca="1"/>
        <v>2.6219424698048499E-7</v>
      </c>
      <c r="K55" s="180">
        <f ca="1"/>
        <v>-1.00939688907342E-6</v>
      </c>
      <c r="L55" s="180">
        <f ca="1"/>
        <v>1.8768789737944001E-6</v>
      </c>
      <c r="M55" s="180">
        <f ca="1"/>
        <v>-3.2492677688456001E-6</v>
      </c>
      <c r="N55" s="180">
        <f ca="1"/>
        <v>4.21662704752634E-13</v>
      </c>
      <c r="O55" s="180">
        <f ca="1"/>
        <v>4.21662704752634E-13</v>
      </c>
      <c r="P55" s="180">
        <f ca="1"/>
        <v>4.21662704752634E-13</v>
      </c>
      <c r="Q55" s="180">
        <f ca="1"/>
        <v>4.21662704752634E-13</v>
      </c>
      <c r="R55" s="180">
        <f ca="1"/>
        <v>4.21662704752634E-13</v>
      </c>
      <c r="S55" s="180">
        <f ca="1"/>
        <v>-4.9883271467931999E-6</v>
      </c>
      <c r="T55" s="180">
        <f ca="1"/>
        <v>3.3436793456242999E-6</v>
      </c>
      <c r="U55" s="180">
        <f ca="1"/>
        <v>-2.6955387189442301E-5</v>
      </c>
      <c r="V55" s="180">
        <f ca="1"/>
        <v>8.4090835035688399E-5</v>
      </c>
      <c r="W55" s="180">
        <f ca="1"/>
        <v>-1.86994413666985E-4</v>
      </c>
      <c r="X55" s="180">
        <f ca="1"/>
        <v>7.2266828672673501E-4</v>
      </c>
      <c r="Y55" s="180">
        <f ca="1"/>
        <v>1.2537789885602699E-4</v>
      </c>
      <c r="Z55" s="180">
        <f ca="1"/>
        <v>-4.2750295787152803E-5</v>
      </c>
      <c r="AA55" s="180">
        <f ca="1"/>
        <v>6.0724989620064596E-6</v>
      </c>
      <c r="AB55" s="180">
        <f ca="1"/>
        <v>-9.0620555404097303E-7</v>
      </c>
      <c r="AC55" s="180">
        <f ca="1"/>
        <v>2.32353904339178E-7</v>
      </c>
      <c r="AD55" s="180">
        <f ca="1"/>
        <v>-3.9508384230835201E-8</v>
      </c>
      <c r="AE55" s="180">
        <f ca="1"/>
        <v>4.8977145503670297E-6</v>
      </c>
      <c r="AF55" s="180">
        <f ca="1"/>
        <v>-3.2884742139360801E-6</v>
      </c>
      <c r="AG55" s="180">
        <f ca="1"/>
        <v>2.65232215125311E-5</v>
      </c>
      <c r="AH55" s="180">
        <f ca="1"/>
        <v>-8.2760492254418895E-5</v>
      </c>
      <c r="AI55" s="180">
        <f ca="1"/>
        <v>1.8402149253382601E-4</v>
      </c>
      <c r="AJ55" s="180">
        <f ca="1"/>
        <v>-7.1075643494777896E-4</v>
      </c>
      <c r="AK55" s="180">
        <f ca="1"/>
        <v>-1.23397545155668E-4</v>
      </c>
      <c r="AL55" s="180">
        <f ca="1"/>
        <v>4.2103234878299E-5</v>
      </c>
      <c r="AM55" s="180">
        <f ca="1"/>
        <v>-5.9809626146156702E-6</v>
      </c>
      <c r="AN55" s="180">
        <f ca="1"/>
        <v>8.9287237170498901E-7</v>
      </c>
      <c r="AO55" s="180">
        <f ca="1"/>
        <v>-2.29083445102418E-7</v>
      </c>
      <c r="AP55" s="180">
        <f ca="1"/>
        <v>3.8988487660596103E-8</v>
      </c>
      <c r="AQ55" t="str">
        <f ca="1"/>
        <v/>
      </c>
    </row>
    <row r="56" spans="2:43" x14ac:dyDescent="0.25">
      <c r="B56" s="179">
        <f ca="1"/>
        <v>46647</v>
      </c>
      <c r="C56" s="180">
        <f ca="1"/>
        <v>-9.9461067559758497E-7</v>
      </c>
      <c r="D56" s="180">
        <f ca="1"/>
        <v>8.7854634678308199E-10</v>
      </c>
      <c r="E56" s="180">
        <f ca="1"/>
        <v>-3.5135706566435901E-9</v>
      </c>
      <c r="F56" s="180">
        <f ca="1"/>
        <v>9.2551560859632803E-9</v>
      </c>
      <c r="G56" s="180">
        <f ca="1"/>
        <v>-1.19123171327118E-8</v>
      </c>
      <c r="H56" s="180">
        <f ca="1"/>
        <v>2.6940766395533401E-8</v>
      </c>
      <c r="I56" s="180">
        <f ca="1"/>
        <v>-1.0392220750610201E-7</v>
      </c>
      <c r="J56" s="180">
        <f ca="1"/>
        <v>3.2926671911237501E-7</v>
      </c>
      <c r="K56" s="180">
        <f ca="1"/>
        <v>-1.2676107614684199E-6</v>
      </c>
      <c r="L56" s="180">
        <f ca="1"/>
        <v>2.2681144834502099E-6</v>
      </c>
      <c r="M56" s="180">
        <f ca="1"/>
        <v>-4.0703937151942401E-6</v>
      </c>
      <c r="N56" s="180">
        <f ca="1"/>
        <v>4.8538950636611804E-13</v>
      </c>
      <c r="O56" s="180">
        <f ca="1"/>
        <v>4.8538950636611804E-13</v>
      </c>
      <c r="P56" s="180">
        <f ca="1"/>
        <v>4.8538950636611804E-13</v>
      </c>
      <c r="Q56" s="180">
        <f ca="1"/>
        <v>4.8538950636611804E-13</v>
      </c>
      <c r="R56" s="180">
        <f ca="1"/>
        <v>4.8538950636611804E-13</v>
      </c>
      <c r="S56" s="180">
        <f ca="1"/>
        <v>-6.0589750565664999E-6</v>
      </c>
      <c r="T56" s="180">
        <f ca="1"/>
        <v>5.1649656713781403E-6</v>
      </c>
      <c r="U56" s="180">
        <f ca="1"/>
        <v>-3.3592956950823101E-5</v>
      </c>
      <c r="V56" s="180">
        <f ca="1"/>
        <v>1.08958369669621E-4</v>
      </c>
      <c r="W56" s="180">
        <f ca="1"/>
        <v>-2.36713902726504E-4</v>
      </c>
      <c r="X56" s="180">
        <f ca="1"/>
        <v>7.0882719007292505E-4</v>
      </c>
      <c r="Y56" s="180">
        <f ca="1"/>
        <v>2.14053388799429E-4</v>
      </c>
      <c r="Z56" s="180">
        <f ca="1"/>
        <v>-7.0874524277009203E-5</v>
      </c>
      <c r="AA56" s="180">
        <f ca="1"/>
        <v>1.00676087351204E-5</v>
      </c>
      <c r="AB56" s="180">
        <f ca="1"/>
        <v>-1.5023960356908E-6</v>
      </c>
      <c r="AC56" s="180">
        <f ca="1"/>
        <v>3.8521897272048001E-7</v>
      </c>
      <c r="AD56" s="180">
        <f ca="1"/>
        <v>-6.5501109425270001E-8</v>
      </c>
      <c r="AE56" s="180">
        <f ca="1"/>
        <v>5.9489844099758199E-6</v>
      </c>
      <c r="AF56" s="180">
        <f ca="1"/>
        <v>-5.0794544975696396E-6</v>
      </c>
      <c r="AG56" s="180">
        <f ca="1"/>
        <v>3.3054692448963903E-5</v>
      </c>
      <c r="AH56" s="180">
        <f ca="1"/>
        <v>-1.07231103524619E-4</v>
      </c>
      <c r="AI56" s="180">
        <f ca="1"/>
        <v>2.3296520037818799E-4</v>
      </c>
      <c r="AJ56" s="180">
        <f ca="1"/>
        <v>-6.9715318722940499E-4</v>
      </c>
      <c r="AK56" s="180">
        <f ca="1"/>
        <v>-2.1065160524258401E-4</v>
      </c>
      <c r="AL56" s="180">
        <f ca="1"/>
        <v>6.9803969223625195E-5</v>
      </c>
      <c r="AM56" s="180">
        <f ca="1"/>
        <v>-9.9158060835602396E-6</v>
      </c>
      <c r="AN56" s="180">
        <f ca="1"/>
        <v>1.4802919849898899E-6</v>
      </c>
      <c r="AO56" s="180">
        <f ca="1"/>
        <v>-3.7979712164126798E-7</v>
      </c>
      <c r="AP56" s="180">
        <f ca="1"/>
        <v>6.4638962404828196E-8</v>
      </c>
      <c r="AQ56" t="str">
        <f ca="1"/>
        <v/>
      </c>
    </row>
    <row r="57" spans="2:43" x14ac:dyDescent="0.25">
      <c r="B57" s="179">
        <f ca="1"/>
        <v>46738</v>
      </c>
      <c r="C57" s="180">
        <f ca="1"/>
        <v>-9.9051258051208201E-7</v>
      </c>
      <c r="D57" s="180">
        <f ca="1"/>
        <v>9.73312763719036E-10</v>
      </c>
      <c r="E57" s="180">
        <f ca="1"/>
        <v>-3.8925721534965898E-9</v>
      </c>
      <c r="F57" s="180">
        <f ca="1"/>
        <v>1.02535142598725E-8</v>
      </c>
      <c r="G57" s="180">
        <f ca="1"/>
        <v>-1.31973180161893E-8</v>
      </c>
      <c r="H57" s="180">
        <f ca="1"/>
        <v>2.9846911830944103E-8</v>
      </c>
      <c r="I57" s="180">
        <f ca="1"/>
        <v>-1.13692975589608E-7</v>
      </c>
      <c r="J57" s="180">
        <f ca="1"/>
        <v>3.6478534748418699E-7</v>
      </c>
      <c r="K57" s="180">
        <f ca="1"/>
        <v>-1.40434940076872E-6</v>
      </c>
      <c r="L57" s="180">
        <f ca="1"/>
        <v>2.4753956220369099E-6</v>
      </c>
      <c r="M57" s="180">
        <f ca="1"/>
        <v>-4.5051336965418204E-6</v>
      </c>
      <c r="N57" s="180">
        <f ca="1"/>
        <v>5.39679412270289E-13</v>
      </c>
      <c r="O57" s="180">
        <f ca="1"/>
        <v>5.39679412270289E-13</v>
      </c>
      <c r="P57" s="180">
        <f ca="1"/>
        <v>5.39679412270289E-13</v>
      </c>
      <c r="Q57" s="180">
        <f ca="1"/>
        <v>5.39679412270289E-13</v>
      </c>
      <c r="R57" s="180">
        <f ca="1"/>
        <v>5.39679412270289E-13</v>
      </c>
      <c r="S57" s="180">
        <f ca="1"/>
        <v>-6.6262480672429902E-6</v>
      </c>
      <c r="T57" s="180">
        <f ca="1"/>
        <v>6.1274421669921304E-6</v>
      </c>
      <c r="U57" s="180">
        <f ca="1"/>
        <v>-3.7104851059011102E-5</v>
      </c>
      <c r="V57" s="180">
        <f ca="1"/>
        <v>1.2209984984390399E-4</v>
      </c>
      <c r="W57" s="180">
        <f ca="1"/>
        <v>-2.6299463239731801E-4</v>
      </c>
      <c r="X57" s="180">
        <f ca="1"/>
        <v>6.7012442669467398E-4</v>
      </c>
      <c r="Y57" s="180">
        <f ca="1"/>
        <v>3.1381756854387299E-4</v>
      </c>
      <c r="Z57" s="180">
        <f ca="1"/>
        <v>-9.9948594923682203E-5</v>
      </c>
      <c r="AA57" s="180">
        <f ca="1"/>
        <v>1.4197799070747601E-5</v>
      </c>
      <c r="AB57" s="180">
        <f ca="1"/>
        <v>-2.11874133282386E-6</v>
      </c>
      <c r="AC57" s="180">
        <f ca="1"/>
        <v>5.4325192155868496E-7</v>
      </c>
      <c r="AD57" s="180">
        <f ca="1"/>
        <v>-9.2372572257915006E-8</v>
      </c>
      <c r="AE57" s="180">
        <f ca="1"/>
        <v>6.5059910536735501E-6</v>
      </c>
      <c r="AF57" s="180">
        <f ca="1"/>
        <v>-6.02591290310706E-6</v>
      </c>
      <c r="AG57" s="180">
        <f ca="1"/>
        <v>3.6510490394436899E-5</v>
      </c>
      <c r="AH57" s="180">
        <f ca="1"/>
        <v>-1.20162249950373E-4</v>
      </c>
      <c r="AI57" s="180">
        <f ca="1"/>
        <v>2.58838206249834E-4</v>
      </c>
      <c r="AJ57" s="180">
        <f ca="1"/>
        <v>-6.5911571144960902E-4</v>
      </c>
      <c r="AK57" s="180">
        <f ca="1"/>
        <v>-3.08795812436924E-4</v>
      </c>
      <c r="AL57" s="180">
        <f ca="1"/>
        <v>9.8442091099326694E-5</v>
      </c>
      <c r="AM57" s="180">
        <f ca="1"/>
        <v>-1.39836551490413E-5</v>
      </c>
      <c r="AN57" s="180">
        <f ca="1"/>
        <v>2.0875707291701E-6</v>
      </c>
      <c r="AO57" s="180">
        <f ca="1"/>
        <v>-5.3560590262957696E-7</v>
      </c>
      <c r="AP57" s="180">
        <f ca="1"/>
        <v>9.1156588166718704E-8</v>
      </c>
      <c r="AQ57" t="str">
        <f ca="1"/>
        <v/>
      </c>
    </row>
    <row r="58" spans="2:43" x14ac:dyDescent="0.25">
      <c r="B58" s="179">
        <f ca="1"/>
        <v>46829</v>
      </c>
      <c r="C58" s="180">
        <f ca="1"/>
        <v>-9.8638724543853605E-7</v>
      </c>
      <c r="D58" s="180">
        <f ca="1"/>
        <v>9.9400054853759891E-10</v>
      </c>
      <c r="E58" s="180">
        <f ca="1"/>
        <v>-3.9753517144802702E-9</v>
      </c>
      <c r="F58" s="180">
        <f ca="1"/>
        <v>1.0471559397373699E-8</v>
      </c>
      <c r="G58" s="180">
        <f ca="1"/>
        <v>-1.34779486460346E-8</v>
      </c>
      <c r="H58" s="180">
        <f ca="1"/>
        <v>3.0481603463527998E-8</v>
      </c>
      <c r="I58" s="180">
        <f ca="1"/>
        <v>-1.1577627168080101E-7</v>
      </c>
      <c r="J58" s="180">
        <f ca="1"/>
        <v>3.7254256191054898E-7</v>
      </c>
      <c r="K58" s="180">
        <f ca="1"/>
        <v>-1.4342128726863E-6</v>
      </c>
      <c r="L58" s="180">
        <f ca="1"/>
        <v>2.52084846075196E-6</v>
      </c>
      <c r="M58" s="180">
        <f ca="1"/>
        <v>-4.5999277976660497E-6</v>
      </c>
      <c r="N58" s="180">
        <f ca="1"/>
        <v>5.8564264548976997E-13</v>
      </c>
      <c r="O58" s="180">
        <f ca="1"/>
        <v>5.8564264548976997E-13</v>
      </c>
      <c r="P58" s="180">
        <f ca="1"/>
        <v>5.8564264548976997E-13</v>
      </c>
      <c r="Q58" s="180">
        <f ca="1"/>
        <v>5.8564264548976997E-13</v>
      </c>
      <c r="R58" s="180">
        <f ca="1"/>
        <v>5.8564264548976997E-13</v>
      </c>
      <c r="S58" s="180">
        <f ca="1"/>
        <v>-6.7506874742440104E-6</v>
      </c>
      <c r="T58" s="180">
        <f ca="1"/>
        <v>6.3341275612360803E-6</v>
      </c>
      <c r="U58" s="180">
        <f ca="1"/>
        <v>-3.7866769962091602E-5</v>
      </c>
      <c r="V58" s="180">
        <f ca="1"/>
        <v>1.2492315080214799E-4</v>
      </c>
      <c r="W58" s="180">
        <f ca="1"/>
        <v>-2.6865441682655299E-4</v>
      </c>
      <c r="X58" s="180">
        <f ca="1"/>
        <v>6.0982895731986897E-4</v>
      </c>
      <c r="Y58" s="180">
        <f ca="1"/>
        <v>4.2123651582681699E-4</v>
      </c>
      <c r="Z58" s="180">
        <f ca="1"/>
        <v>-1.2757615981184899E-4</v>
      </c>
      <c r="AA58" s="180">
        <f ca="1"/>
        <v>1.8122648749230301E-5</v>
      </c>
      <c r="AB58" s="180">
        <f ca="1"/>
        <v>-2.7044406750720301E-6</v>
      </c>
      <c r="AC58" s="180">
        <f ca="1"/>
        <v>6.9342726916055099E-7</v>
      </c>
      <c r="AD58" s="180">
        <f ca="1"/>
        <v>-1.17907953400831E-7</v>
      </c>
      <c r="AE58" s="180">
        <f ca="1"/>
        <v>6.6281782513666301E-6</v>
      </c>
      <c r="AF58" s="180">
        <f ca="1"/>
        <v>-6.2291589435492503E-6</v>
      </c>
      <c r="AG58" s="180">
        <f ca="1"/>
        <v>3.7260242473857703E-5</v>
      </c>
      <c r="AH58" s="180">
        <f ca="1"/>
        <v>-1.22940285732787E-4</v>
      </c>
      <c r="AI58" s="180">
        <f ca="1"/>
        <v>2.6441054217418703E-4</v>
      </c>
      <c r="AJ58" s="180">
        <f ca="1"/>
        <v>-5.9985134563289599E-4</v>
      </c>
      <c r="AK58" s="180">
        <f ca="1"/>
        <v>-4.1444563655967899E-4</v>
      </c>
      <c r="AL58" s="180">
        <f ca="1"/>
        <v>1.2565716058576801E-4</v>
      </c>
      <c r="AM58" s="180">
        <f ca="1"/>
        <v>-1.7849227400001899E-5</v>
      </c>
      <c r="AN58" s="180">
        <f ca="1"/>
        <v>2.66465511133962E-6</v>
      </c>
      <c r="AO58" s="180">
        <f ca="1"/>
        <v>-6.8366762140392702E-7</v>
      </c>
      <c r="AP58" s="180">
        <f ca="1"/>
        <v>1.16355714174787E-7</v>
      </c>
      <c r="AQ58" t="str">
        <f ca="1"/>
        <v/>
      </c>
    </row>
    <row r="59" spans="2:43" x14ac:dyDescent="0.25">
      <c r="B59" s="179">
        <f ca="1"/>
        <v>46923</v>
      </c>
      <c r="C59" s="180">
        <f ca="1"/>
        <v>-9.8209892873679607E-7</v>
      </c>
      <c r="D59" s="180">
        <f ca="1"/>
        <v>9.4760332913779207E-10</v>
      </c>
      <c r="E59" s="180">
        <f ca="1"/>
        <v>-3.7898744142950103E-9</v>
      </c>
      <c r="F59" s="180">
        <f ca="1"/>
        <v>9.9829580157972892E-9</v>
      </c>
      <c r="G59" s="180">
        <f ca="1"/>
        <v>-1.28490279527327E-8</v>
      </c>
      <c r="H59" s="180">
        <f ca="1"/>
        <v>2.9059282757870599E-8</v>
      </c>
      <c r="I59" s="180">
        <f ca="1"/>
        <v>-1.10896266947158E-7</v>
      </c>
      <c r="J59" s="180">
        <f ca="1"/>
        <v>3.5515923946238798E-7</v>
      </c>
      <c r="K59" s="180">
        <f ca="1"/>
        <v>-1.3672909783268801E-6</v>
      </c>
      <c r="L59" s="180">
        <f ca="1"/>
        <v>2.41976988812898E-6</v>
      </c>
      <c r="M59" s="180">
        <f ca="1"/>
        <v>-4.3868647334743801E-6</v>
      </c>
      <c r="N59" s="180">
        <f ca="1"/>
        <v>6.2438942904918804E-13</v>
      </c>
      <c r="O59" s="180">
        <f ca="1"/>
        <v>6.2438942904918804E-13</v>
      </c>
      <c r="P59" s="180">
        <f ca="1"/>
        <v>6.2438942904918804E-13</v>
      </c>
      <c r="Q59" s="180">
        <f ca="1"/>
        <v>6.2438942904918804E-13</v>
      </c>
      <c r="R59" s="180">
        <f ca="1"/>
        <v>6.2438942904918804E-13</v>
      </c>
      <c r="S59" s="180">
        <f ca="1"/>
        <v>-6.4741494606446199E-6</v>
      </c>
      <c r="T59" s="180">
        <f ca="1"/>
        <v>5.8561040725546601E-6</v>
      </c>
      <c r="U59" s="180">
        <f ca="1"/>
        <v>-3.6138175125710603E-5</v>
      </c>
      <c r="V59" s="180">
        <f ca="1"/>
        <v>1.1839998422391601E-4</v>
      </c>
      <c r="W59" s="180">
        <f ca="1"/>
        <v>-2.5563707562503701E-4</v>
      </c>
      <c r="X59" s="180">
        <f ca="1"/>
        <v>5.2895162570953903E-4</v>
      </c>
      <c r="Y59" s="180">
        <f ca="1"/>
        <v>5.3509980716026596E-4</v>
      </c>
      <c r="Z59" s="180">
        <f ca="1"/>
        <v>-1.5145225790535999E-4</v>
      </c>
      <c r="AA59" s="180">
        <f ca="1"/>
        <v>2.15146717453818E-5</v>
      </c>
      <c r="AB59" s="180">
        <f ca="1"/>
        <v>-3.2106246048435598E-6</v>
      </c>
      <c r="AC59" s="180">
        <f ca="1"/>
        <v>8.2321468564128295E-7</v>
      </c>
      <c r="AD59" s="180">
        <f ca="1"/>
        <v>-1.3997663039777601E-7</v>
      </c>
      <c r="AE59" s="180">
        <f ca="1"/>
        <v>6.3566442665141699E-6</v>
      </c>
      <c r="AF59" s="180">
        <f ca="1"/>
        <v>-5.7590929258832801E-6</v>
      </c>
      <c r="AG59" s="180">
        <f ca="1"/>
        <v>3.55592499340363E-5</v>
      </c>
      <c r="AH59" s="180">
        <f ca="1"/>
        <v>-1.16521587380181E-4</v>
      </c>
      <c r="AI59" s="180">
        <f ca="1"/>
        <v>2.5159498783144902E-4</v>
      </c>
      <c r="AJ59" s="180">
        <f ca="1"/>
        <v>-5.2034558218483405E-4</v>
      </c>
      <c r="AK59" s="180">
        <f ca="1"/>
        <v>-5.2640523211677803E-4</v>
      </c>
      <c r="AL59" s="180">
        <f ca="1"/>
        <v>1.4917818796467101E-4</v>
      </c>
      <c r="AM59" s="180">
        <f ca="1"/>
        <v>-2.1189991804559901E-5</v>
      </c>
      <c r="AN59" s="180">
        <f ca="1"/>
        <v>3.1633942848552399E-6</v>
      </c>
      <c r="AO59" s="180">
        <f ca="1"/>
        <v>-8.1162831189196496E-7</v>
      </c>
      <c r="AP59" s="180">
        <f ca="1"/>
        <v>1.3813377564009199E-7</v>
      </c>
      <c r="AQ59" t="str">
        <f ca="1"/>
        <v/>
      </c>
    </row>
    <row r="60" spans="2:43" x14ac:dyDescent="0.25">
      <c r="B60" s="179">
        <f ca="1"/>
        <v>47014</v>
      </c>
      <c r="C60" s="180">
        <f ca="1"/>
        <v>-9.7792312458988604E-7</v>
      </c>
      <c r="D60" s="180">
        <f ca="1"/>
        <v>8.4851592418999603E-10</v>
      </c>
      <c r="E60" s="180">
        <f ca="1"/>
        <v>-3.3936935484035799E-9</v>
      </c>
      <c r="F60" s="180">
        <f ca="1"/>
        <v>8.9393199509402199E-9</v>
      </c>
      <c r="G60" s="180">
        <f ca="1"/>
        <v>-1.15057003924335E-8</v>
      </c>
      <c r="H60" s="180">
        <f ca="1"/>
        <v>2.6021282462096501E-8</v>
      </c>
      <c r="I60" s="180">
        <f ca="1"/>
        <v>-1.00551136750227E-7</v>
      </c>
      <c r="J60" s="180">
        <f ca="1"/>
        <v>3.1802928324165002E-7</v>
      </c>
      <c r="K60" s="180">
        <f ca="1"/>
        <v>-1.22434900495794E-6</v>
      </c>
      <c r="L60" s="180">
        <f ca="1"/>
        <v>2.2035917777163401E-6</v>
      </c>
      <c r="M60" s="180">
        <f ca="1"/>
        <v>-3.93200774295721E-6</v>
      </c>
      <c r="N60" s="180">
        <f ca="1"/>
        <v>6.5414340610914203E-13</v>
      </c>
      <c r="O60" s="180">
        <f ca="1"/>
        <v>6.5414340610914203E-13</v>
      </c>
      <c r="P60" s="180">
        <f ca="1"/>
        <v>6.5414340610914203E-13</v>
      </c>
      <c r="Q60" s="180">
        <f ca="1"/>
        <v>6.5414340610914203E-13</v>
      </c>
      <c r="R60" s="180">
        <f ca="1"/>
        <v>6.5414340610914203E-13</v>
      </c>
      <c r="S60" s="180">
        <f ca="1"/>
        <v>-5.8826388323884896E-6</v>
      </c>
      <c r="T60" s="180">
        <f ca="1"/>
        <v>4.8404654298117603E-6</v>
      </c>
      <c r="U60" s="180">
        <f ca="1"/>
        <v>-3.2453815493327403E-5</v>
      </c>
      <c r="V60" s="180">
        <f ca="1"/>
        <v>1.04539148256921E-4</v>
      </c>
      <c r="W60" s="180">
        <f ca="1"/>
        <v>-2.27955262706026E-4</v>
      </c>
      <c r="X60" s="180">
        <f ca="1"/>
        <v>4.3717212496419101E-4</v>
      </c>
      <c r="Y60" s="180">
        <f ca="1"/>
        <v>6.4264907660060999E-4</v>
      </c>
      <c r="Z60" s="180">
        <f ca="1"/>
        <v>-1.66734763684451E-4</v>
      </c>
      <c r="AA60" s="180">
        <f ca="1"/>
        <v>2.3685882655444198E-5</v>
      </c>
      <c r="AB60" s="180">
        <f ca="1"/>
        <v>-3.53462822677564E-6</v>
      </c>
      <c r="AC60" s="180">
        <f ca="1"/>
        <v>9.0629045002010897E-7</v>
      </c>
      <c r="AD60" s="180">
        <f ca="1"/>
        <v>-1.5410259268655601E-7</v>
      </c>
      <c r="AE60" s="180">
        <f ca="1"/>
        <v>5.7758380619388197E-6</v>
      </c>
      <c r="AF60" s="180">
        <f ca="1"/>
        <v>-4.7603585618949404E-6</v>
      </c>
      <c r="AG60" s="180">
        <f ca="1"/>
        <v>3.1933743265044598E-5</v>
      </c>
      <c r="AH60" s="180">
        <f ca="1"/>
        <v>-1.0288247861289799E-4</v>
      </c>
      <c r="AI60" s="180">
        <f ca="1"/>
        <v>2.24343212961942E-4</v>
      </c>
      <c r="AJ60" s="180">
        <f ca="1"/>
        <v>-4.3010594569403699E-4</v>
      </c>
      <c r="AK60" s="180">
        <f ca="1"/>
        <v>-6.32129148311789E-4</v>
      </c>
      <c r="AL60" s="180">
        <f ca="1"/>
        <v>1.64234145350717E-4</v>
      </c>
      <c r="AM60" s="180">
        <f ca="1"/>
        <v>-2.3328377844578099E-5</v>
      </c>
      <c r="AN60" s="180">
        <f ca="1"/>
        <v>3.48263289640105E-6</v>
      </c>
      <c r="AO60" s="180">
        <f ca="1"/>
        <v>-8.9353477128462099E-7</v>
      </c>
      <c r="AP60" s="180">
        <f ca="1"/>
        <v>1.52073706627398E-7</v>
      </c>
      <c r="AQ60" t="str">
        <f ca="1"/>
        <v/>
      </c>
    </row>
    <row r="61" spans="2:43" x14ac:dyDescent="0.25">
      <c r="B61" s="179">
        <f ca="1"/>
        <v>47105</v>
      </c>
      <c r="C61" s="180">
        <f ca="1"/>
        <v>-9.7372530549755296E-7</v>
      </c>
      <c r="D61" s="180">
        <f ca="1"/>
        <v>7.0904948579197904E-10</v>
      </c>
      <c r="E61" s="180">
        <f ca="1"/>
        <v>-2.8360368498070402E-9</v>
      </c>
      <c r="F61" s="180">
        <f ca="1"/>
        <v>7.4703230268369192E-9</v>
      </c>
      <c r="G61" s="180">
        <f ca="1"/>
        <v>-9.61487867101596E-9</v>
      </c>
      <c r="H61" s="180">
        <f ca="1"/>
        <v>2.1745089173741399E-8</v>
      </c>
      <c r="I61" s="180">
        <f ca="1"/>
        <v>-8.6016383682441205E-8</v>
      </c>
      <c r="J61" s="180">
        <f ca="1"/>
        <v>2.6576628830987701E-7</v>
      </c>
      <c r="K61" s="180">
        <f ca="1"/>
        <v>-1.0231482105993501E-6</v>
      </c>
      <c r="L61" s="180">
        <f ca="1"/>
        <v>1.8992160033537399E-6</v>
      </c>
      <c r="M61" s="180">
        <f ca="1"/>
        <v>-3.2918449970331699E-6</v>
      </c>
      <c r="N61" s="180">
        <f ca="1"/>
        <v>6.7668093350903301E-13</v>
      </c>
      <c r="O61" s="180">
        <f ca="1"/>
        <v>6.7668093350903301E-13</v>
      </c>
      <c r="P61" s="180">
        <f ca="1"/>
        <v>6.7668093350903301E-13</v>
      </c>
      <c r="Q61" s="180">
        <f ca="1"/>
        <v>6.7668093350903301E-13</v>
      </c>
      <c r="R61" s="180">
        <f ca="1"/>
        <v>6.7668093350903301E-13</v>
      </c>
      <c r="S61" s="180">
        <f ca="1"/>
        <v>-5.04977199655698E-6</v>
      </c>
      <c r="T61" s="180">
        <f ca="1"/>
        <v>3.4126663035483101E-6</v>
      </c>
      <c r="U61" s="180">
        <f ca="1"/>
        <v>-2.7270480563057499E-5</v>
      </c>
      <c r="V61" s="180">
        <f ca="1"/>
        <v>8.5053773227095105E-5</v>
      </c>
      <c r="W61" s="180">
        <f ca="1"/>
        <v>-1.89031565411613E-4</v>
      </c>
      <c r="X61" s="180">
        <f ca="1"/>
        <v>3.3711640414724197E-4</v>
      </c>
      <c r="Y61" s="180">
        <f ca="1"/>
        <v>7.4166247531382002E-4</v>
      </c>
      <c r="Z61" s="180">
        <f ca="1"/>
        <v>-1.7078529904790399E-4</v>
      </c>
      <c r="AA61" s="180">
        <f ca="1"/>
        <v>2.4261362048805199E-5</v>
      </c>
      <c r="AB61" s="180">
        <f ca="1"/>
        <v>-3.6205051021642702E-6</v>
      </c>
      <c r="AC61" s="180">
        <f ca="1"/>
        <v>9.2830961095913299E-7</v>
      </c>
      <c r="AD61" s="180">
        <f ca="1"/>
        <v>-1.5784666607121501E-7</v>
      </c>
      <c r="AE61" s="180">
        <f ca="1"/>
        <v>4.9580447792907404E-6</v>
      </c>
      <c r="AF61" s="180">
        <f ca="1"/>
        <v>-3.3563195742658502E-6</v>
      </c>
      <c r="AG61" s="180">
        <f ca="1"/>
        <v>2.6833254370361999E-5</v>
      </c>
      <c r="AH61" s="180">
        <f ca="1"/>
        <v>-8.37081248745708E-5</v>
      </c>
      <c r="AI61" s="180">
        <f ca="1"/>
        <v>1.8602687519808601E-4</v>
      </c>
      <c r="AJ61" s="180">
        <f ca="1"/>
        <v>-3.3170841698004799E-4</v>
      </c>
      <c r="AK61" s="180">
        <f ca="1"/>
        <v>-7.2943828727434201E-4</v>
      </c>
      <c r="AL61" s="180">
        <f ca="1"/>
        <v>1.68224793691829E-4</v>
      </c>
      <c r="AM61" s="180">
        <f ca="1"/>
        <v>-2.3895153823727499E-5</v>
      </c>
      <c r="AN61" s="180">
        <f ca="1"/>
        <v>3.5672468488012801E-6</v>
      </c>
      <c r="AO61" s="180">
        <f ca="1"/>
        <v>-9.1524397383135902E-7</v>
      </c>
      <c r="AP61" s="180">
        <f ca="1"/>
        <v>1.5576845457942999E-7</v>
      </c>
      <c r="AQ61" t="str">
        <f ca="1"/>
        <v/>
      </c>
    </row>
    <row r="62" spans="2:43" x14ac:dyDescent="0.25">
      <c r="B62" s="179">
        <f ca="1"/>
        <v>47196</v>
      </c>
      <c r="C62" s="180">
        <f ca="1"/>
        <v>-9.6950757733082995E-7</v>
      </c>
      <c r="D62" s="180">
        <f ca="1"/>
        <v>5.4358206824645105E-10</v>
      </c>
      <c r="E62" s="180">
        <f ca="1"/>
        <v>-2.1743946643226801E-9</v>
      </c>
      <c r="F62" s="180">
        <f ca="1"/>
        <v>5.72740888049594E-9</v>
      </c>
      <c r="G62" s="180">
        <f ca="1"/>
        <v>-7.3714907511401903E-9</v>
      </c>
      <c r="H62" s="180">
        <f ca="1"/>
        <v>1.667154669871E-8</v>
      </c>
      <c r="I62" s="180">
        <f ca="1"/>
        <v>-6.8783849838105495E-8</v>
      </c>
      <c r="J62" s="180">
        <f ca="1"/>
        <v>2.0375819198559199E-7</v>
      </c>
      <c r="K62" s="180">
        <f ca="1"/>
        <v>-7.8443090445468002E-7</v>
      </c>
      <c r="L62" s="180">
        <f ca="1"/>
        <v>1.53804533831181E-6</v>
      </c>
      <c r="M62" s="180">
        <f ca="1"/>
        <v>-2.5323524924791798E-6</v>
      </c>
      <c r="N62" s="180">
        <f ca="1"/>
        <v>6.9277916736609798E-13</v>
      </c>
      <c r="O62" s="180">
        <f ca="1"/>
        <v>6.9277916736609798E-13</v>
      </c>
      <c r="P62" s="180">
        <f ca="1"/>
        <v>6.9277916736609798E-13</v>
      </c>
      <c r="Q62" s="180">
        <f ca="1"/>
        <v>6.9277916736609798E-13</v>
      </c>
      <c r="R62" s="180">
        <f ca="1"/>
        <v>6.9277916736609798E-13</v>
      </c>
      <c r="S62" s="180">
        <f ca="1"/>
        <v>-4.0614821531503898E-6</v>
      </c>
      <c r="T62" s="180">
        <f ca="1"/>
        <v>1.719446767523E-6</v>
      </c>
      <c r="U62" s="180">
        <f ca="1"/>
        <v>-2.1121862739947899E-5</v>
      </c>
      <c r="V62" s="180">
        <f ca="1"/>
        <v>6.1946921735778204E-5</v>
      </c>
      <c r="W62" s="180">
        <f ca="1"/>
        <v>-1.42867296454519E-4</v>
      </c>
      <c r="X62" s="180">
        <f ca="1"/>
        <v>2.3424175306563399E-4</v>
      </c>
      <c r="Y62" s="180">
        <f ca="1"/>
        <v>8.2582648846019101E-4</v>
      </c>
      <c r="Z62" s="180">
        <f ca="1"/>
        <v>-1.59861797441319E-4</v>
      </c>
      <c r="AA62" s="180">
        <f ca="1"/>
        <v>2.27094372757808E-5</v>
      </c>
      <c r="AB62" s="180">
        <f ca="1"/>
        <v>-3.38891589757306E-6</v>
      </c>
      <c r="AC62" s="180">
        <f ca="1"/>
        <v>8.6892923378822897E-7</v>
      </c>
      <c r="AD62" s="180">
        <f ca="1"/>
        <v>-1.4774979439913201E-7</v>
      </c>
      <c r="AE62" s="180">
        <f ca="1"/>
        <v>3.98764337639079E-6</v>
      </c>
      <c r="AF62" s="180">
        <f ca="1"/>
        <v>-1.69127108939904E-6</v>
      </c>
      <c r="AG62" s="180">
        <f ca="1"/>
        <v>2.0782986106304701E-5</v>
      </c>
      <c r="AH62" s="180">
        <f ca="1"/>
        <v>-6.0969037757652201E-5</v>
      </c>
      <c r="AI62" s="180">
        <f ca="1"/>
        <v>1.4058716217046899E-4</v>
      </c>
      <c r="AJ62" s="180">
        <f ca="1"/>
        <v>-2.3051600328094499E-4</v>
      </c>
      <c r="AK62" s="180">
        <f ca="1"/>
        <v>-8.1213523182865899E-4</v>
      </c>
      <c r="AL62" s="180">
        <f ca="1"/>
        <v>1.5746316468567801E-4</v>
      </c>
      <c r="AM62" s="180">
        <f ca="1"/>
        <v>-2.2366692592479301E-5</v>
      </c>
      <c r="AN62" s="180">
        <f ca="1"/>
        <v>3.3390634482932698E-6</v>
      </c>
      <c r="AO62" s="180">
        <f ca="1"/>
        <v>-8.5669931404463995E-7</v>
      </c>
      <c r="AP62" s="180">
        <f ca="1"/>
        <v>1.4580451601631199E-7</v>
      </c>
      <c r="AQ62" t="str">
        <f ca="1"/>
        <v/>
      </c>
    </row>
    <row r="63" spans="2:43" x14ac:dyDescent="0.25">
      <c r="B63" s="179">
        <f ca="1"/>
        <v>47287</v>
      </c>
      <c r="C63" s="180">
        <f ca="1"/>
        <v>-9.6527222759323905E-7</v>
      </c>
      <c r="D63" s="180">
        <f ca="1"/>
        <v>3.68040709020079E-10</v>
      </c>
      <c r="E63" s="180">
        <f ca="1"/>
        <v>-1.47244905157606E-9</v>
      </c>
      <c r="F63" s="180">
        <f ca="1"/>
        <v>3.87833276604965E-9</v>
      </c>
      <c r="G63" s="180">
        <f ca="1"/>
        <v>-4.9914600230849301E-9</v>
      </c>
      <c r="H63" s="180">
        <f ca="1"/>
        <v>1.12889841918928E-8</v>
      </c>
      <c r="I63" s="180">
        <f ca="1"/>
        <v>-5.0505872151163102E-8</v>
      </c>
      <c r="J63" s="180">
        <f ca="1"/>
        <v>1.3797328468623201E-7</v>
      </c>
      <c r="K63" s="180">
        <f ca="1"/>
        <v>-5.3117363940646801E-7</v>
      </c>
      <c r="L63" s="180">
        <f ca="1"/>
        <v>1.15486057761238E-6</v>
      </c>
      <c r="M63" s="180">
        <f ca="1"/>
        <v>-1.72661233632798E-6</v>
      </c>
      <c r="N63" s="180">
        <f ca="1"/>
        <v>7.0321526379757395E-13</v>
      </c>
      <c r="O63" s="180">
        <f ca="1"/>
        <v>7.0321526379757395E-13</v>
      </c>
      <c r="P63" s="180">
        <f ca="1"/>
        <v>7.0321526379757395E-13</v>
      </c>
      <c r="Q63" s="180">
        <f ca="1"/>
        <v>7.0321526379757395E-13</v>
      </c>
      <c r="R63" s="180">
        <f ca="1"/>
        <v>7.0321526379757395E-13</v>
      </c>
      <c r="S63" s="180">
        <f ca="1"/>
        <v>-3.0129488050034702E-6</v>
      </c>
      <c r="T63" s="180">
        <f ca="1"/>
        <v>-7.6600775500423905E-8</v>
      </c>
      <c r="U63" s="180">
        <f ca="1"/>
        <v>-1.45991373728949E-5</v>
      </c>
      <c r="V63" s="180">
        <f ca="1"/>
        <v>3.7437376214422002E-5</v>
      </c>
      <c r="W63" s="180">
        <f ca="1"/>
        <v>-9.3895548222366898E-5</v>
      </c>
      <c r="X63" s="180">
        <f ca="1"/>
        <v>1.3450904459855201E-4</v>
      </c>
      <c r="Y63" s="180">
        <f ca="1"/>
        <v>8.88367410297075E-4</v>
      </c>
      <c r="Z63" s="180">
        <f ca="1"/>
        <v>-1.29978062185176E-4</v>
      </c>
      <c r="AA63" s="180">
        <f ca="1"/>
        <v>1.84638883576893E-5</v>
      </c>
      <c r="AB63" s="180">
        <f ca="1"/>
        <v>-2.7553629651233502E-6</v>
      </c>
      <c r="AC63" s="180">
        <f ca="1"/>
        <v>7.0648389460803397E-7</v>
      </c>
      <c r="AD63" s="180">
        <f ca="1"/>
        <v>-1.20128043956669E-7</v>
      </c>
      <c r="AE63" s="180">
        <f ca="1"/>
        <v>2.9580912369597799E-6</v>
      </c>
      <c r="AF63" s="180">
        <f ca="1"/>
        <v>7.4901630675583406E-8</v>
      </c>
      <c r="AG63" s="180">
        <f ca="1"/>
        <v>1.43646846317846E-5</v>
      </c>
      <c r="AH63" s="180">
        <f ca="1"/>
        <v>-3.6848301097180998E-5</v>
      </c>
      <c r="AI63" s="180">
        <f ca="1"/>
        <v>9.2389126459702098E-5</v>
      </c>
      <c r="AJ63" s="180">
        <f ca="1"/>
        <v>-1.32391930702247E-4</v>
      </c>
      <c r="AK63" s="180">
        <f ca="1"/>
        <v>-8.7357441024160697E-4</v>
      </c>
      <c r="AL63" s="180">
        <f ca="1"/>
        <v>1.2802342564222099E-4</v>
      </c>
      <c r="AM63" s="180">
        <f ca="1"/>
        <v>-1.8185308741758301E-5</v>
      </c>
      <c r="AN63" s="180">
        <f ca="1"/>
        <v>2.7148282888411799E-6</v>
      </c>
      <c r="AO63" s="180">
        <f ca="1"/>
        <v>-6.9654026113585801E-7</v>
      </c>
      <c r="AP63" s="180">
        <f ca="1"/>
        <v>1.18546473415471E-7</v>
      </c>
      <c r="AQ63" t="str">
        <f ca="1"/>
        <v/>
      </c>
    </row>
    <row r="64" spans="2:43" x14ac:dyDescent="0.25">
      <c r="B64" s="179">
        <f ca="1"/>
        <v>47378</v>
      </c>
      <c r="C64" s="180">
        <f ca="1"/>
        <v>-9.6102172031375901E-7</v>
      </c>
      <c r="D64" s="180">
        <f ca="1"/>
        <v>1.99857908000922E-10</v>
      </c>
      <c r="E64" s="180">
        <f ca="1"/>
        <v>-7.9990447598987699E-10</v>
      </c>
      <c r="F64" s="180">
        <f ca="1"/>
        <v>2.1067128042062702E-9</v>
      </c>
      <c r="G64" s="180">
        <f ca="1"/>
        <v>-2.71112921002015E-9</v>
      </c>
      <c r="H64" s="180">
        <f ca="1"/>
        <v>6.1319080923993901E-9</v>
      </c>
      <c r="I64" s="180">
        <f ca="1"/>
        <v>-3.2990865928006499E-8</v>
      </c>
      <c r="J64" s="180">
        <f ca="1"/>
        <v>7.4944231043261298E-8</v>
      </c>
      <c r="K64" s="180">
        <f ca="1"/>
        <v>-2.8852571742898903E-7</v>
      </c>
      <c r="L64" s="180">
        <f ca="1"/>
        <v>7.87727497342239E-7</v>
      </c>
      <c r="M64" s="180">
        <f ca="1"/>
        <v>-9.5461722593448407E-7</v>
      </c>
      <c r="N64" s="180">
        <f ca="1"/>
        <v>7.0932149043301302E-13</v>
      </c>
      <c r="O64" s="180">
        <f ca="1"/>
        <v>7.0932149043301302E-13</v>
      </c>
      <c r="P64" s="180">
        <f ca="1"/>
        <v>7.0932149043301302E-13</v>
      </c>
      <c r="Q64" s="180">
        <f ca="1"/>
        <v>7.0932149043301302E-13</v>
      </c>
      <c r="R64" s="180">
        <f ca="1"/>
        <v>7.0932149043301302E-13</v>
      </c>
      <c r="S64" s="180">
        <f ca="1"/>
        <v>-2.0083433474038502E-6</v>
      </c>
      <c r="T64" s="180">
        <f ca="1"/>
        <v>-1.79746827821958E-6</v>
      </c>
      <c r="U64" s="180">
        <f ca="1"/>
        <v>-8.3493870980388996E-6</v>
      </c>
      <c r="V64" s="180">
        <f ca="1"/>
        <v>1.3953604232730401E-5</v>
      </c>
      <c r="W64" s="180">
        <f ca="1"/>
        <v>-4.6969693266896198E-5</v>
      </c>
      <c r="X64" s="180">
        <f ca="1"/>
        <v>4.4368081725365502E-5</v>
      </c>
      <c r="Y64" s="180">
        <f ca="1"/>
        <v>9.2206601020394796E-4</v>
      </c>
      <c r="Z64" s="180">
        <f ca="1"/>
        <v>-7.6910168951172003E-5</v>
      </c>
      <c r="AA64" s="180">
        <f ca="1"/>
        <v>1.09249906125042E-5</v>
      </c>
      <c r="AB64" s="180">
        <f ca="1"/>
        <v>-1.63034309397236E-6</v>
      </c>
      <c r="AC64" s="180">
        <f ca="1"/>
        <v>4.1802496486553801E-7</v>
      </c>
      <c r="AD64" s="180">
        <f ca="1"/>
        <v>-7.1079278241015205E-8</v>
      </c>
      <c r="AE64" s="180">
        <f ca="1"/>
        <v>1.97167403170884E-6</v>
      </c>
      <c r="AF64" s="180">
        <f ca="1"/>
        <v>1.7671516293615901E-6</v>
      </c>
      <c r="AG64" s="180">
        <f ca="1"/>
        <v>8.2150761079313705E-6</v>
      </c>
      <c r="AH64" s="180">
        <f ca="1"/>
        <v>-1.37358136119703E-5</v>
      </c>
      <c r="AI64" s="180">
        <f ca="1"/>
        <v>4.6209642906358498E-5</v>
      </c>
      <c r="AJ64" s="180">
        <f ca="1"/>
        <v>-4.3685855462216601E-5</v>
      </c>
      <c r="AK64" s="180">
        <f ca="1"/>
        <v>-9.0667423051338204E-4</v>
      </c>
      <c r="AL64" s="180">
        <f ca="1"/>
        <v>7.5748789954643806E-5</v>
      </c>
      <c r="AM64" s="180">
        <f ca="1"/>
        <v>-1.0760253128849801E-5</v>
      </c>
      <c r="AN64" s="180">
        <f ca="1"/>
        <v>1.6063564765023101E-6</v>
      </c>
      <c r="AO64" s="180">
        <f ca="1"/>
        <v>-4.1214104351539002E-7</v>
      </c>
      <c r="AP64" s="180">
        <f ca="1"/>
        <v>7.0143582941995004E-8</v>
      </c>
      <c r="AQ64" t="str">
        <f ca="1"/>
        <v/>
      </c>
    </row>
    <row r="65" spans="2:43" x14ac:dyDescent="0.25">
      <c r="B65" s="179">
        <f ca="1"/>
        <v>47469</v>
      </c>
      <c r="C65" s="180">
        <f ca="1"/>
        <v>-9.56758691827986E-7</v>
      </c>
      <c r="D65" s="180">
        <f ca="1"/>
        <v>5.7929994135008701E-11</v>
      </c>
      <c r="E65" s="180">
        <f ca="1"/>
        <v>-2.32318608794913E-10</v>
      </c>
      <c r="F65" s="180">
        <f ca="1"/>
        <v>6.1158422770546405E-10</v>
      </c>
      <c r="G65" s="180">
        <f ca="1"/>
        <v>-7.8668538350257202E-10</v>
      </c>
      <c r="H65" s="180">
        <f ca="1"/>
        <v>1.77970393977489E-9</v>
      </c>
      <c r="I65" s="180">
        <f ca="1"/>
        <v>-1.8198935358704201E-8</v>
      </c>
      <c r="J65" s="180">
        <f ca="1"/>
        <v>2.1752205814351601E-8</v>
      </c>
      <c r="K65" s="180">
        <f ca="1"/>
        <v>-8.3748120105475694E-8</v>
      </c>
      <c r="L65" s="180">
        <f ca="1"/>
        <v>4.7790448343132397E-7</v>
      </c>
      <c r="M65" s="180">
        <f ca="1"/>
        <v>-3.0307623788416999E-7</v>
      </c>
      <c r="N65" s="180">
        <f ca="1"/>
        <v>7.1154193648226303E-13</v>
      </c>
      <c r="O65" s="180">
        <f ca="1"/>
        <v>7.1154193648226303E-13</v>
      </c>
      <c r="P65" s="180">
        <f ca="1"/>
        <v>7.1154193648226303E-13</v>
      </c>
      <c r="Q65" s="180">
        <f ca="1"/>
        <v>7.1154193648226303E-13</v>
      </c>
      <c r="R65" s="180">
        <f ca="1"/>
        <v>7.1154193648226303E-13</v>
      </c>
      <c r="S65" s="180">
        <f ca="1"/>
        <v>-1.1605763391431299E-6</v>
      </c>
      <c r="T65" s="180">
        <f ca="1"/>
        <v>-3.2501653896010998E-6</v>
      </c>
      <c r="U65" s="180">
        <f ca="1"/>
        <v>-3.0740332783718601E-6</v>
      </c>
      <c r="V65" s="180">
        <f ca="1"/>
        <v>-5.8721783657844597E-6</v>
      </c>
      <c r="W65" s="180">
        <f ca="1"/>
        <v>-7.3517432842562496E-6</v>
      </c>
      <c r="X65" s="180">
        <f ca="1"/>
        <v>-2.9256427428126E-5</v>
      </c>
      <c r="Y65" s="180">
        <f ca="1"/>
        <v>9.1927271253922104E-4</v>
      </c>
      <c r="Z65" s="180">
        <f ca="1"/>
        <v>3.7976072745360399E-6</v>
      </c>
      <c r="AA65" s="180">
        <f ca="1"/>
        <v>-5.3946238121049795E-7</v>
      </c>
      <c r="AB65" s="180">
        <f ca="1"/>
        <v>8.0503692601041594E-8</v>
      </c>
      <c r="AC65" s="180">
        <f ca="1"/>
        <v>-2.0641076292626799E-8</v>
      </c>
      <c r="AD65" s="180">
        <f ca="1"/>
        <v>3.51033258016997E-9</v>
      </c>
      <c r="AE65" s="180">
        <f ca="1"/>
        <v>1.1392574325030899E-6</v>
      </c>
      <c r="AF65" s="180">
        <f ca="1"/>
        <v>3.1956959997137E-6</v>
      </c>
      <c r="AG65" s="180">
        <f ca="1"/>
        <v>3.02431817778004E-6</v>
      </c>
      <c r="AH65" s="180">
        <f ca="1"/>
        <v>5.7774820123590604E-6</v>
      </c>
      <c r="AI65" s="180">
        <f ca="1"/>
        <v>7.2256654316538203E-6</v>
      </c>
      <c r="AJ65" s="180">
        <f ca="1"/>
        <v>2.87802360448008E-5</v>
      </c>
      <c r="AK65" s="180">
        <f ca="1"/>
        <v>-9.0392821126850098E-4</v>
      </c>
      <c r="AL65" s="180">
        <f ca="1"/>
        <v>-3.7404641889393601E-6</v>
      </c>
      <c r="AM65" s="180">
        <f ca="1"/>
        <v>5.3132359723040402E-7</v>
      </c>
      <c r="AN65" s="180">
        <f ca="1"/>
        <v>-7.9319782186893004E-8</v>
      </c>
      <c r="AO65" s="180">
        <f ca="1"/>
        <v>2.0351639595794799E-8</v>
      </c>
      <c r="AP65" s="180">
        <f ca="1"/>
        <v>-3.4638012458287899E-9</v>
      </c>
      <c r="AQ65" t="str">
        <f ca="1"/>
        <v/>
      </c>
    </row>
    <row r="66" spans="2:43" x14ac:dyDescent="0.25">
      <c r="B66" s="179">
        <f ca="1"/>
        <v>47560</v>
      </c>
      <c r="C66" s="180">
        <f ca="1"/>
        <v>-9.5248599418784597E-7</v>
      </c>
      <c r="D66" s="180">
        <f ca="1"/>
        <v>-4.1773029479941202E-11</v>
      </c>
      <c r="E66" s="180">
        <f ca="1"/>
        <v>1.6645373968060501E-10</v>
      </c>
      <c r="F66" s="180">
        <f ca="1"/>
        <v>-4.38842517880289E-10</v>
      </c>
      <c r="G66" s="180">
        <f ca="1"/>
        <v>5.6536175740973197E-10</v>
      </c>
      <c r="H66" s="180">
        <f ca="1"/>
        <v>-1.2779738378654301E-9</v>
      </c>
      <c r="I66" s="180">
        <f ca="1"/>
        <v>-7.7866082470734504E-9</v>
      </c>
      <c r="J66" s="180">
        <f ca="1"/>
        <v>-1.56183084243366E-8</v>
      </c>
      <c r="K66" s="180">
        <f ca="1"/>
        <v>6.0120171063715602E-8</v>
      </c>
      <c r="L66" s="180">
        <f ca="1"/>
        <v>2.6025796939776997E-7</v>
      </c>
      <c r="M66" s="180">
        <f ca="1"/>
        <v>1.5473033188051499E-7</v>
      </c>
      <c r="N66" s="180">
        <f ca="1"/>
        <v>7.1120886957487498E-13</v>
      </c>
      <c r="O66" s="180">
        <f ca="1"/>
        <v>7.1120886957487498E-13</v>
      </c>
      <c r="P66" s="180">
        <f ca="1"/>
        <v>7.1120886957487498E-13</v>
      </c>
      <c r="Q66" s="180">
        <f ca="1"/>
        <v>7.1120886957487498E-13</v>
      </c>
      <c r="R66" s="180">
        <f ca="1"/>
        <v>7.1120886957487498E-13</v>
      </c>
      <c r="S66" s="180">
        <f ca="1"/>
        <v>-5.65066933022607E-7</v>
      </c>
      <c r="T66" s="180">
        <f ca="1"/>
        <v>-4.2715680934613002E-6</v>
      </c>
      <c r="U66" s="180">
        <f ca="1"/>
        <v>6.3412226070092004E-7</v>
      </c>
      <c r="V66" s="180">
        <f ca="1"/>
        <v>-1.9815534231471001E-5</v>
      </c>
      <c r="W66" s="180">
        <f ca="1"/>
        <v>2.0510282687902199E-5</v>
      </c>
      <c r="X66" s="180">
        <f ca="1"/>
        <v>-8.0671132182352805E-5</v>
      </c>
      <c r="Y66" s="180">
        <f ca="1"/>
        <v>8.7438994017918802E-4</v>
      </c>
      <c r="Z66" s="180">
        <f ca="1"/>
        <v>1.14838848897847E-4</v>
      </c>
      <c r="AA66" s="180">
        <f ca="1"/>
        <v>-1.6043463699433301E-5</v>
      </c>
      <c r="AB66" s="180">
        <f ca="1"/>
        <v>2.3942162651335901E-6</v>
      </c>
      <c r="AC66" s="180">
        <f ca="1"/>
        <v>-6.1388188576927405E-7</v>
      </c>
      <c r="AD66" s="180">
        <f ca="1"/>
        <v>1.04383502841365E-7</v>
      </c>
      <c r="AE66" s="180">
        <f ca="1"/>
        <v>5.5453171765584799E-7</v>
      </c>
      <c r="AF66" s="180">
        <f ca="1"/>
        <v>4.2001194936469596E-6</v>
      </c>
      <c r="AG66" s="180">
        <f ca="1"/>
        <v>-6.2433688097218699E-7</v>
      </c>
      <c r="AH66" s="180">
        <f ca="1"/>
        <v>1.9501601087879E-5</v>
      </c>
      <c r="AI66" s="180">
        <f ca="1"/>
        <v>-2.01883856334462E-5</v>
      </c>
      <c r="AJ66" s="180">
        <f ca="1"/>
        <v>7.9393284794226901E-5</v>
      </c>
      <c r="AK66" s="180">
        <f ca="1"/>
        <v>-8.5983792815169701E-4</v>
      </c>
      <c r="AL66" s="180">
        <f ca="1"/>
        <v>-1.13081008346616E-4</v>
      </c>
      <c r="AM66" s="180">
        <f ca="1"/>
        <v>1.5802010405185901E-5</v>
      </c>
      <c r="AN66" s="180">
        <f ca="1"/>
        <v>-2.3589816576796699E-6</v>
      </c>
      <c r="AO66" s="180">
        <f ca="1"/>
        <v>6.0524444245313404E-7</v>
      </c>
      <c r="AP66" s="180">
        <f ca="1"/>
        <v>-1.0300859476508601E-7</v>
      </c>
      <c r="AQ66" t="str">
        <f ca="1"/>
        <v/>
      </c>
    </row>
    <row r="67" spans="2:43" x14ac:dyDescent="0.25">
      <c r="B67" s="179">
        <f ca="1"/>
        <v>47651</v>
      </c>
      <c r="C67" s="180">
        <f ca="1"/>
        <v>-9.4820684937157996E-7</v>
      </c>
      <c r="D67" s="180">
        <f ca="1"/>
        <v>-9.9980801415711098E-11</v>
      </c>
      <c r="E67" s="180">
        <f ca="1"/>
        <v>3.9932479545257102E-10</v>
      </c>
      <c r="F67" s="180">
        <f ca="1"/>
        <v>-1.05224162716411E-9</v>
      </c>
      <c r="G67" s="180">
        <f ca="1"/>
        <v>1.3548900890114601E-9</v>
      </c>
      <c r="H67" s="180">
        <f ca="1"/>
        <v>-3.06346759071374E-9</v>
      </c>
      <c r="I67" s="180">
        <f ca="1"/>
        <v>-1.67870906064849E-9</v>
      </c>
      <c r="J67" s="180">
        <f ca="1"/>
        <v>-3.7440377576025703E-8</v>
      </c>
      <c r="K67" s="180">
        <f ca="1"/>
        <v>1.4413036020233199E-7</v>
      </c>
      <c r="L67" s="180">
        <f ca="1"/>
        <v>1.3319638592079699E-7</v>
      </c>
      <c r="M67" s="180">
        <f ca="1"/>
        <v>4.2214461115630499E-7</v>
      </c>
      <c r="N67" s="180">
        <f ca="1"/>
        <v>7.0876637892070004E-13</v>
      </c>
      <c r="O67" s="180">
        <f ca="1"/>
        <v>7.0876637892070004E-13</v>
      </c>
      <c r="P67" s="180">
        <f ca="1"/>
        <v>7.0876637892070004E-13</v>
      </c>
      <c r="Q67" s="180">
        <f ca="1"/>
        <v>7.0876637892070004E-13</v>
      </c>
      <c r="R67" s="180">
        <f ca="1"/>
        <v>7.0876637892070004E-13</v>
      </c>
      <c r="S67" s="180">
        <f ca="1"/>
        <v>-2.1745951472862399E-7</v>
      </c>
      <c r="T67" s="180">
        <f ca="1"/>
        <v>-4.8691032024095202E-6</v>
      </c>
      <c r="U67" s="180">
        <f ca="1"/>
        <v>2.8020866763567298E-6</v>
      </c>
      <c r="V67" s="180">
        <f ca="1"/>
        <v>-2.79780554528486E-5</v>
      </c>
      <c r="W67" s="180">
        <f ca="1"/>
        <v>3.6817838606872899E-5</v>
      </c>
      <c r="X67" s="180">
        <f ca="1"/>
        <v>-1.1077188750052699E-4</v>
      </c>
      <c r="Y67" s="180">
        <f ca="1"/>
        <v>7.9167497816678999E-4</v>
      </c>
      <c r="Z67" s="180">
        <f ca="1"/>
        <v>2.5085842183469902E-4</v>
      </c>
      <c r="AA67" s="180">
        <f ca="1"/>
        <v>-3.3446196782471697E-5</v>
      </c>
      <c r="AB67" s="180">
        <f ca="1"/>
        <v>4.9913405053558799E-6</v>
      </c>
      <c r="AC67" s="180">
        <f ca="1"/>
        <v>-1.27978762698433E-6</v>
      </c>
      <c r="AD67" s="180">
        <f ca="1"/>
        <v>2.1761253676810799E-7</v>
      </c>
      <c r="AE67" s="180">
        <f ca="1"/>
        <v>2.1321915155692E-7</v>
      </c>
      <c r="AF67" s="180">
        <f ca="1"/>
        <v>4.78772247414216E-6</v>
      </c>
      <c r="AG67" s="180">
        <f ca="1"/>
        <v>-2.7575016970926599E-6</v>
      </c>
      <c r="AH67" s="180">
        <f ca="1"/>
        <v>2.7535986584781301E-5</v>
      </c>
      <c r="AI67" s="180">
        <f ca="1"/>
        <v>-3.6232921335033197E-5</v>
      </c>
      <c r="AJ67" s="180">
        <f ca="1"/>
        <v>1.09027552032459E-4</v>
      </c>
      <c r="AK67" s="180">
        <f ca="1"/>
        <v>-7.7857448344365E-4</v>
      </c>
      <c r="AL67" s="180">
        <f ca="1"/>
        <v>-2.4697874581158802E-4</v>
      </c>
      <c r="AM67" s="180">
        <f ca="1"/>
        <v>3.29435138508583E-5</v>
      </c>
      <c r="AN67" s="180">
        <f ca="1"/>
        <v>-4.9178695767926303E-6</v>
      </c>
      <c r="AO67" s="180">
        <f ca="1"/>
        <v>1.26178060522175E-6</v>
      </c>
      <c r="AP67" s="180">
        <f ca="1"/>
        <v>-2.1474649891661799E-7</v>
      </c>
      <c r="AQ67" t="str">
        <f ca="1"/>
        <v/>
      </c>
    </row>
    <row r="68" spans="2:43" x14ac:dyDescent="0.25">
      <c r="B68" s="179">
        <f ca="1"/>
        <v>47743</v>
      </c>
      <c r="C68" s="180">
        <f ca="1"/>
        <v>-9.4387764759673598E-7</v>
      </c>
      <c r="D68" s="180">
        <f ca="1"/>
        <v>-1.2235779056624099E-10</v>
      </c>
      <c r="E68" s="180">
        <f ca="1"/>
        <v>4.8893955550966005E-10</v>
      </c>
      <c r="F68" s="180">
        <f ca="1"/>
        <v>-1.2882667155267301E-9</v>
      </c>
      <c r="G68" s="180">
        <f ca="1"/>
        <v>1.6586819695518801E-9</v>
      </c>
      <c r="H68" s="180">
        <f ca="1"/>
        <v>-3.7504293004531097E-9</v>
      </c>
      <c r="I68" s="180">
        <f ca="1"/>
        <v>7.1249495192660096E-10</v>
      </c>
      <c r="J68" s="180">
        <f ca="1"/>
        <v>-4.5836351381112201E-8</v>
      </c>
      <c r="K68" s="180">
        <f ca="1"/>
        <v>1.7645301031432599E-7</v>
      </c>
      <c r="L68" s="180">
        <f ca="1"/>
        <v>8.4352684504018795E-8</v>
      </c>
      <c r="M68" s="180">
        <f ca="1"/>
        <v>5.2515538340180999E-7</v>
      </c>
      <c r="N68" s="180">
        <f ca="1"/>
        <v>7.0432548682219901E-13</v>
      </c>
      <c r="O68" s="180">
        <f ca="1"/>
        <v>7.0432548682219901E-13</v>
      </c>
      <c r="P68" s="180">
        <f ca="1"/>
        <v>7.0432548682219901E-13</v>
      </c>
      <c r="Q68" s="180">
        <f ca="1"/>
        <v>7.0432548682219901E-13</v>
      </c>
      <c r="R68" s="180">
        <f ca="1"/>
        <v>7.0432548682219901E-13</v>
      </c>
      <c r="S68" s="180">
        <f ca="1"/>
        <v>-8.3910930870345597E-8</v>
      </c>
      <c r="T68" s="180">
        <f ca="1"/>
        <v>-5.1006071150050403E-6</v>
      </c>
      <c r="U68" s="180">
        <f ca="1"/>
        <v>3.6401229045468501E-6</v>
      </c>
      <c r="V68" s="180">
        <f ca="1"/>
        <v>-3.1149072850067398E-5</v>
      </c>
      <c r="W68" s="180">
        <f ca="1"/>
        <v>4.3147923643682702E-5</v>
      </c>
      <c r="X68" s="180">
        <f ca="1"/>
        <v>-1.22470269730335E-4</v>
      </c>
      <c r="Y68" s="180">
        <f ca="1"/>
        <v>6.7713193068974498E-4</v>
      </c>
      <c r="Z68" s="180">
        <f ca="1"/>
        <v>4.0561486699874899E-4</v>
      </c>
      <c r="AA68" s="180">
        <f ca="1"/>
        <v>-5.00154746955195E-5</v>
      </c>
      <c r="AB68" s="180">
        <f ca="1"/>
        <v>7.4641402287856104E-6</v>
      </c>
      <c r="AC68" s="180">
        <f ca="1"/>
        <v>-1.9138140068264399E-6</v>
      </c>
      <c r="AD68" s="180">
        <f ca="1"/>
        <v>3.2542098205023999E-7</v>
      </c>
      <c r="AE68" s="180">
        <f ca="1"/>
        <v>8.2088918440526002E-8</v>
      </c>
      <c r="AF68" s="180">
        <f ca="1"/>
        <v>5.0153783329731596E-6</v>
      </c>
      <c r="AG68" s="180">
        <f ca="1"/>
        <v>-3.5820856127966001E-6</v>
      </c>
      <c r="AH68" s="180">
        <f ca="1"/>
        <v>3.0657266621658699E-5</v>
      </c>
      <c r="AI68" s="180">
        <f ca="1"/>
        <v>-4.2460744482664098E-5</v>
      </c>
      <c r="AJ68" s="180">
        <f ca="1"/>
        <v>1.20545242132009E-4</v>
      </c>
      <c r="AK68" s="180">
        <f ca="1"/>
        <v>-6.6601795848098E-4</v>
      </c>
      <c r="AL68" s="180">
        <f ca="1"/>
        <v>-3.9926891000363602E-4</v>
      </c>
      <c r="AM68" s="180">
        <f ca="1"/>
        <v>4.9264728138376201E-5</v>
      </c>
      <c r="AN68" s="180">
        <f ca="1"/>
        <v>-7.3542487447619803E-6</v>
      </c>
      <c r="AO68" s="180">
        <f ca="1"/>
        <v>1.88688692193129E-6</v>
      </c>
      <c r="AP68" s="180">
        <f ca="1"/>
        <v>-3.2113515646692297E-7</v>
      </c>
      <c r="AQ68" t="str">
        <f ca="1"/>
        <v/>
      </c>
    </row>
    <row r="69" spans="2:43" x14ac:dyDescent="0.25">
      <c r="B69" s="179">
        <f ca="1"/>
        <v>47834</v>
      </c>
      <c r="C69" s="180">
        <f ca="1"/>
        <v>-9.3959616054295502E-7</v>
      </c>
      <c r="D69" s="180">
        <f ca="1"/>
        <v>-1.1474743377704E-10</v>
      </c>
      <c r="E69" s="180">
        <f ca="1"/>
        <v>4.5865500286623702E-10</v>
      </c>
      <c r="F69" s="180">
        <f ca="1"/>
        <v>-1.2084478973051201E-9</v>
      </c>
      <c r="G69" s="180">
        <f ca="1"/>
        <v>1.5559367128048501E-9</v>
      </c>
      <c r="H69" s="180">
        <f ca="1"/>
        <v>-3.51797802000675E-9</v>
      </c>
      <c r="I69" s="180">
        <f ca="1"/>
        <v>-8.8834495315381901E-12</v>
      </c>
      <c r="J69" s="180">
        <f ca="1"/>
        <v>-4.2995398463752097E-8</v>
      </c>
      <c r="K69" s="180">
        <f ca="1"/>
        <v>1.65515934735794E-7</v>
      </c>
      <c r="L69" s="180">
        <f ca="1"/>
        <v>1.00965652616303E-7</v>
      </c>
      <c r="M69" s="180">
        <f ca="1"/>
        <v>4.9056338280451005E-7</v>
      </c>
      <c r="N69" s="180">
        <f ca="1"/>
        <v>6.9844130479168598E-13</v>
      </c>
      <c r="O69" s="180">
        <f ca="1"/>
        <v>6.9844130479168598E-13</v>
      </c>
      <c r="P69" s="180">
        <f ca="1"/>
        <v>6.9844130479168598E-13</v>
      </c>
      <c r="Q69" s="180">
        <f ca="1"/>
        <v>6.9844130479168598E-13</v>
      </c>
      <c r="R69" s="180">
        <f ca="1"/>
        <v>6.9844130479168598E-13</v>
      </c>
      <c r="S69" s="180">
        <f ca="1"/>
        <v>-1.29496125267359E-7</v>
      </c>
      <c r="T69" s="180">
        <f ca="1"/>
        <v>-5.0256226555855898E-6</v>
      </c>
      <c r="U69" s="180">
        <f ca="1"/>
        <v>3.3649193740270499E-6</v>
      </c>
      <c r="V69" s="180">
        <f ca="1"/>
        <v>-3.0140923614418998E-5</v>
      </c>
      <c r="W69" s="180">
        <f ca="1"/>
        <v>4.1124599640451898E-5</v>
      </c>
      <c r="X69" s="180">
        <f ca="1"/>
        <v>-1.18761282929425E-4</v>
      </c>
      <c r="Y69" s="180">
        <f ca="1"/>
        <v>5.4145408727890299E-4</v>
      </c>
      <c r="Z69" s="180">
        <f ca="1"/>
        <v>5.6697060374921704E-4</v>
      </c>
      <c r="AA69" s="180">
        <f ca="1"/>
        <v>-6.2245165172503101E-5</v>
      </c>
      <c r="AB69" s="180">
        <f ca="1"/>
        <v>9.2893364460611105E-6</v>
      </c>
      <c r="AC69" s="180">
        <f ca="1"/>
        <v>-2.3817931712466502E-6</v>
      </c>
      <c r="AD69" s="180">
        <f ca="1"/>
        <v>4.0499519515790899E-7</v>
      </c>
      <c r="AE69" s="180">
        <f ca="1"/>
        <v>1.2684828709641499E-7</v>
      </c>
      <c r="AF69" s="180">
        <f ca="1"/>
        <v>4.9416396804557996E-6</v>
      </c>
      <c r="AG69" s="180">
        <f ca="1"/>
        <v>-3.31130526509682E-6</v>
      </c>
      <c r="AH69" s="180">
        <f ca="1"/>
        <v>2.9664925396133399E-5</v>
      </c>
      <c r="AI69" s="180">
        <f ca="1"/>
        <v>-4.0470120883262497E-5</v>
      </c>
      <c r="AJ69" s="180">
        <f ca="1"/>
        <v>1.16893559806486E-4</v>
      </c>
      <c r="AK69" s="180">
        <f ca="1"/>
        <v>-5.3265615116504495E-4</v>
      </c>
      <c r="AL69" s="180">
        <f ca="1"/>
        <v>-5.5799344540075101E-4</v>
      </c>
      <c r="AM69" s="180">
        <f ca="1"/>
        <v>6.1311742552860898E-5</v>
      </c>
      <c r="AN69" s="180">
        <f ca="1"/>
        <v>-9.1525532798231202E-6</v>
      </c>
      <c r="AO69" s="180">
        <f ca="1"/>
        <v>2.3482827422593999E-6</v>
      </c>
      <c r="AP69" s="180">
        <f ca="1"/>
        <v>-3.9966137432845299E-7</v>
      </c>
      <c r="AQ69" t="str">
        <f ca="1"/>
        <v/>
      </c>
    </row>
    <row r="70" spans="2:43" x14ac:dyDescent="0.25">
      <c r="B70" s="179">
        <f ca="1"/>
        <v>47924</v>
      </c>
      <c r="C70" s="180">
        <f ca="1"/>
        <v>-9.3536609924171898E-7</v>
      </c>
      <c r="D70" s="180">
        <f ca="1"/>
        <v>-8.4938500677367301E-11</v>
      </c>
      <c r="E70" s="180">
        <f ca="1"/>
        <v>3.3960600998028698E-10</v>
      </c>
      <c r="F70" s="180">
        <f ca="1"/>
        <v>-8.9480489684490305E-10</v>
      </c>
      <c r="G70" s="180">
        <f ca="1"/>
        <v>1.15222498209278E-9</v>
      </c>
      <c r="H70" s="180">
        <f ca="1"/>
        <v>-2.60487376113616E-9</v>
      </c>
      <c r="I70" s="180">
        <f ca="1"/>
        <v>-3.0353798363691499E-9</v>
      </c>
      <c r="J70" s="180">
        <f ca="1"/>
        <v>-3.1835609259900399E-8</v>
      </c>
      <c r="K70" s="180">
        <f ca="1"/>
        <v>1.22553147408055E-7</v>
      </c>
      <c r="L70" s="180">
        <f ca="1"/>
        <v>1.66026922432394E-7</v>
      </c>
      <c r="M70" s="180">
        <f ca="1"/>
        <v>3.5409984366907602E-7</v>
      </c>
      <c r="N70" s="180">
        <f ca="1"/>
        <v>6.9122485513162196E-13</v>
      </c>
      <c r="O70" s="180">
        <f ca="1"/>
        <v>6.9122485513162196E-13</v>
      </c>
      <c r="P70" s="180">
        <f ca="1"/>
        <v>6.9122485513162196E-13</v>
      </c>
      <c r="Q70" s="180">
        <f ca="1"/>
        <v>6.9122485513162196E-13</v>
      </c>
      <c r="R70" s="180">
        <f ca="1"/>
        <v>6.9122485513162196E-13</v>
      </c>
      <c r="S70" s="180">
        <f ca="1"/>
        <v>-3.0767031111711402E-7</v>
      </c>
      <c r="T70" s="180">
        <f ca="1"/>
        <v>-4.7235991545990802E-6</v>
      </c>
      <c r="U70" s="180">
        <f ca="1"/>
        <v>2.26552102666755E-6</v>
      </c>
      <c r="V70" s="180">
        <f ca="1"/>
        <v>-2.6037894974351198E-5</v>
      </c>
      <c r="W70" s="180">
        <f ca="1"/>
        <v>3.2915862188342997E-5</v>
      </c>
      <c r="X70" s="180">
        <f ca="1"/>
        <v>-1.0364199134393901E-4</v>
      </c>
      <c r="Y70" s="180">
        <f ca="1"/>
        <v>3.94072173174997E-4</v>
      </c>
      <c r="Z70" s="180">
        <f ca="1"/>
        <v>7.2542846996770404E-4</v>
      </c>
      <c r="AA70" s="180">
        <f ca="1"/>
        <v>-6.69945712450382E-5</v>
      </c>
      <c r="AB70" s="180">
        <f ca="1"/>
        <v>9.9981615254707296E-6</v>
      </c>
      <c r="AC70" s="180">
        <f ca="1"/>
        <v>-2.56353508742979E-6</v>
      </c>
      <c r="AD70" s="180">
        <f ca="1"/>
        <v>4.3589824516576701E-7</v>
      </c>
      <c r="AE70" s="180">
        <f ca="1"/>
        <v>3.0179546084419E-7</v>
      </c>
      <c r="AF70" s="180">
        <f ca="1"/>
        <v>4.6446354731166701E-6</v>
      </c>
      <c r="AG70" s="180">
        <f ca="1"/>
        <v>-2.2295630334179301E-6</v>
      </c>
      <c r="AH70" s="180">
        <f ca="1"/>
        <v>2.56262598604673E-5</v>
      </c>
      <c r="AI70" s="180">
        <f ca="1"/>
        <v>-3.2393952769216299E-5</v>
      </c>
      <c r="AJ70" s="180">
        <f ca="1"/>
        <v>1.02008033263434E-4</v>
      </c>
      <c r="AK70" s="180">
        <f ca="1"/>
        <v>-3.8774349540016102E-4</v>
      </c>
      <c r="AL70" s="180">
        <f ca="1"/>
        <v>-7.1380728463266195E-4</v>
      </c>
      <c r="AM70" s="180">
        <f ca="1"/>
        <v>6.5990311708286105E-5</v>
      </c>
      <c r="AN70" s="180">
        <f ca="1"/>
        <v>-9.8509324505391405E-6</v>
      </c>
      <c r="AO70" s="180">
        <f ca="1"/>
        <v>2.5274681456632898E-6</v>
      </c>
      <c r="AP70" s="180">
        <f ca="1"/>
        <v>-4.30157386377417E-7</v>
      </c>
      <c r="AQ70" t="str">
        <f ca="1"/>
        <v/>
      </c>
    </row>
    <row r="71" spans="2:43" x14ac:dyDescent="0.25">
      <c r="B71" s="179">
        <f ca="1"/>
        <v>48016</v>
      </c>
      <c r="C71" s="180">
        <f ca="1"/>
        <v>-9.3105053744491105E-7</v>
      </c>
      <c r="D71" s="180">
        <f ca="1"/>
        <v>-3.9211411895223598E-11</v>
      </c>
      <c r="E71" s="180">
        <f ca="1"/>
        <v>1.56903934289687E-10</v>
      </c>
      <c r="F71" s="180">
        <f ca="1"/>
        <v>-4.1348724444389998E-10</v>
      </c>
      <c r="G71" s="180">
        <f ca="1"/>
        <v>5.3269133548638995E-10</v>
      </c>
      <c r="H71" s="180">
        <f ca="1"/>
        <v>-1.2036778240798199E-9</v>
      </c>
      <c r="I71" s="180">
        <f ca="1"/>
        <v>-7.7137515264169598E-9</v>
      </c>
      <c r="J71" s="180">
        <f ca="1"/>
        <v>-1.47104433079193E-8</v>
      </c>
      <c r="K71" s="180">
        <f ca="1"/>
        <v>5.6624957944784198E-8</v>
      </c>
      <c r="L71" s="180">
        <f ca="1"/>
        <v>2.65815900069022E-7</v>
      </c>
      <c r="M71" s="180">
        <f ca="1"/>
        <v>1.4458834030062201E-7</v>
      </c>
      <c r="N71" s="180">
        <f ca="1"/>
        <v>6.8312022705185902E-13</v>
      </c>
      <c r="O71" s="180">
        <f ca="1"/>
        <v>6.8312022705185902E-13</v>
      </c>
      <c r="P71" s="180">
        <f ca="1"/>
        <v>6.8312022705185902E-13</v>
      </c>
      <c r="Q71" s="180">
        <f ca="1"/>
        <v>6.8312022705185902E-13</v>
      </c>
      <c r="R71" s="180">
        <f ca="1"/>
        <v>6.8312022705185902E-13</v>
      </c>
      <c r="S71" s="180">
        <f ca="1"/>
        <v>-5.8089140164696605E-7</v>
      </c>
      <c r="T71" s="180">
        <f ca="1"/>
        <v>-4.2586280684098199E-6</v>
      </c>
      <c r="U71" s="180">
        <f ca="1"/>
        <v>5.7524736141179002E-7</v>
      </c>
      <c r="V71" s="180">
        <f ca="1"/>
        <v>-1.9715680716236901E-5</v>
      </c>
      <c r="W71" s="180">
        <f ca="1"/>
        <v>2.02728427399768E-5</v>
      </c>
      <c r="X71" s="180">
        <f ca="1"/>
        <v>-8.0340356592656397E-5</v>
      </c>
      <c r="Y71" s="180">
        <f ca="1"/>
        <v>2.39491938895053E-4</v>
      </c>
      <c r="Z71" s="180">
        <f ca="1"/>
        <v>8.7609152284884295E-4</v>
      </c>
      <c r="AA71" s="180">
        <f ca="1"/>
        <v>-6.0718847784690903E-5</v>
      </c>
      <c r="AB71" s="180">
        <f ca="1"/>
        <v>9.0615443101294008E-6</v>
      </c>
      <c r="AC71" s="180">
        <f ca="1"/>
        <v>-2.32338740135951E-6</v>
      </c>
      <c r="AD71" s="180">
        <f ca="1"/>
        <v>3.9506404392319899E-7</v>
      </c>
      <c r="AE71" s="180">
        <f ca="1"/>
        <v>5.7006838494189104E-7</v>
      </c>
      <c r="AF71" s="180">
        <f ca="1"/>
        <v>4.1873923102286898E-6</v>
      </c>
      <c r="AG71" s="180">
        <f ca="1"/>
        <v>-5.6642727974676198E-7</v>
      </c>
      <c r="AH71" s="180">
        <f ca="1"/>
        <v>1.9403295167919099E-5</v>
      </c>
      <c r="AI71" s="180">
        <f ca="1"/>
        <v>-1.9954814736378199E-5</v>
      </c>
      <c r="AJ71" s="180">
        <f ca="1"/>
        <v>7.9067652655417903E-5</v>
      </c>
      <c r="AK71" s="180">
        <f ca="1"/>
        <v>-2.3570016551044401E-4</v>
      </c>
      <c r="AL71" s="180">
        <f ca="1"/>
        <v>-8.6190032066424404E-4</v>
      </c>
      <c r="AM71" s="180">
        <f ca="1"/>
        <v>5.9808224470825297E-5</v>
      </c>
      <c r="AN71" s="180">
        <f ca="1"/>
        <v>-8.9281172394040098E-6</v>
      </c>
      <c r="AO71" s="180">
        <f ca="1"/>
        <v>2.2906986234527702E-6</v>
      </c>
      <c r="AP71" s="180">
        <f ca="1"/>
        <v>-3.8986088368719899E-7</v>
      </c>
      <c r="AQ71" t="str">
        <f ca="1"/>
        <v/>
      </c>
    </row>
    <row r="72" spans="2:43" x14ac:dyDescent="0.25">
      <c r="B72" s="179">
        <f ca="1"/>
        <v>48108</v>
      </c>
      <c r="C72" s="180">
        <f ca="1"/>
        <v>-9.2674779550439002E-7</v>
      </c>
      <c r="D72" s="180">
        <f ca="1"/>
        <v>1.3542722498982601E-11</v>
      </c>
      <c r="E72" s="180">
        <f ca="1"/>
        <v>-5.3911985986587797E-11</v>
      </c>
      <c r="F72" s="180">
        <f ca="1"/>
        <v>1.41882061654997E-10</v>
      </c>
      <c r="G72" s="180">
        <f ca="1"/>
        <v>-1.82158066408533E-10</v>
      </c>
      <c r="H72" s="180">
        <f ca="1"/>
        <v>4.1306902343052302E-10</v>
      </c>
      <c r="I72" s="180">
        <f ca="1"/>
        <v>-1.31235913247707E-8</v>
      </c>
      <c r="J72" s="180">
        <f ca="1"/>
        <v>5.0491507641581304E-9</v>
      </c>
      <c r="K72" s="180">
        <f ca="1"/>
        <v>-1.9445205445833799E-8</v>
      </c>
      <c r="L72" s="180">
        <f ca="1"/>
        <v>3.8091206067125698E-7</v>
      </c>
      <c r="M72" s="180">
        <f ca="1"/>
        <v>-9.7188450953744594E-8</v>
      </c>
      <c r="N72" s="180">
        <f ca="1"/>
        <v>6.7434946515731998E-13</v>
      </c>
      <c r="O72" s="180">
        <f ca="1"/>
        <v>6.7434946515731998E-13</v>
      </c>
      <c r="P72" s="180">
        <f ca="1"/>
        <v>6.7434946515731998E-13</v>
      </c>
      <c r="Q72" s="180">
        <f ca="1"/>
        <v>6.7434946515731998E-13</v>
      </c>
      <c r="R72" s="180">
        <f ca="1"/>
        <v>6.7434946515731998E-13</v>
      </c>
      <c r="S72" s="180">
        <f ca="1"/>
        <v>-8.96012669615587E-7</v>
      </c>
      <c r="T72" s="180">
        <f ca="1"/>
        <v>-3.7212961764287998E-6</v>
      </c>
      <c r="U72" s="180">
        <f ca="1"/>
        <v>-1.3760861564682301E-6</v>
      </c>
      <c r="V72" s="180">
        <f ca="1"/>
        <v>-1.2410725493627899E-5</v>
      </c>
      <c r="W72" s="180">
        <f ca="1"/>
        <v>5.6682793860840502E-6</v>
      </c>
      <c r="X72" s="180">
        <f ca="1"/>
        <v>-5.3413931134671501E-5</v>
      </c>
      <c r="Y72" s="180">
        <f ca="1"/>
        <v>9.1415352851287297E-5</v>
      </c>
      <c r="Z72" s="180">
        <f ca="1"/>
        <v>1.00433654146226E-3</v>
      </c>
      <c r="AA72" s="180">
        <f ca="1"/>
        <v>-3.9348081607770702E-5</v>
      </c>
      <c r="AB72" s="180">
        <f ca="1"/>
        <v>5.8721310631781901E-6</v>
      </c>
      <c r="AC72" s="180">
        <f ca="1"/>
        <v>-1.50562280176736E-6</v>
      </c>
      <c r="AD72" s="180">
        <f ca="1"/>
        <v>2.5601313347056699E-7</v>
      </c>
      <c r="AE72" s="180">
        <f ca="1"/>
        <v>8.7948294669182303E-7</v>
      </c>
      <c r="AF72" s="180">
        <f ca="1"/>
        <v>3.6589916975193802E-6</v>
      </c>
      <c r="AG72" s="180">
        <f ca="1"/>
        <v>1.35358595321211E-6</v>
      </c>
      <c r="AH72" s="180">
        <f ca="1"/>
        <v>1.22131311294238E-5</v>
      </c>
      <c r="AI72" s="180">
        <f ca="1"/>
        <v>-5.5853048405163397E-6</v>
      </c>
      <c r="AJ72" s="180">
        <f ca="1"/>
        <v>5.2560211174501603E-5</v>
      </c>
      <c r="AK72" s="180">
        <f ca="1"/>
        <v>-9.0002217063678294E-5</v>
      </c>
      <c r="AL72" s="180">
        <f ca="1"/>
        <v>-9.8791369629047708E-4</v>
      </c>
      <c r="AM72" s="180">
        <f ca="1"/>
        <v>3.8756958652741397E-5</v>
      </c>
      <c r="AN72" s="180">
        <f ca="1"/>
        <v>-5.7856890700591601E-6</v>
      </c>
      <c r="AO72" s="180">
        <f ca="1"/>
        <v>1.48443845515711E-6</v>
      </c>
      <c r="AP72" s="180">
        <f ca="1"/>
        <v>-2.5264110614653401E-7</v>
      </c>
      <c r="AQ72" t="str">
        <f ca="1"/>
        <v/>
      </c>
    </row>
    <row r="73" spans="2:43" x14ac:dyDescent="0.25">
      <c r="B73" s="179">
        <f ca="1"/>
        <v>48199</v>
      </c>
      <c r="C73" s="180">
        <f ca="1"/>
        <v>-9.2250876193578101E-7</v>
      </c>
      <c r="D73" s="180">
        <f ca="1"/>
        <v>6.3735683397681E-11</v>
      </c>
      <c r="E73" s="180">
        <f ca="1"/>
        <v>-2.5451230012407698E-10</v>
      </c>
      <c r="F73" s="180">
        <f ca="1"/>
        <v>6.7033212314271395E-10</v>
      </c>
      <c r="G73" s="180">
        <f ca="1"/>
        <v>-8.6235829588332504E-10</v>
      </c>
      <c r="H73" s="180">
        <f ca="1"/>
        <v>1.9514377891383101E-9</v>
      </c>
      <c r="I73" s="180">
        <f ca="1"/>
        <v>-1.82712629470672E-8</v>
      </c>
      <c r="J73" s="180">
        <f ca="1"/>
        <v>2.3850812991277301E-8</v>
      </c>
      <c r="K73" s="180">
        <f ca="1"/>
        <v>-9.1827538906130699E-8</v>
      </c>
      <c r="L73" s="180">
        <f ca="1"/>
        <v>4.9037191196532603E-7</v>
      </c>
      <c r="M73" s="180">
        <f ca="1"/>
        <v>-3.2724429077646299E-7</v>
      </c>
      <c r="N73" s="180">
        <f ca="1"/>
        <v>6.6557870326278104E-13</v>
      </c>
      <c r="O73" s="180">
        <f ca="1"/>
        <v>6.6557870326278104E-13</v>
      </c>
      <c r="P73" s="180">
        <f ca="1"/>
        <v>6.6557870326278104E-13</v>
      </c>
      <c r="Q73" s="180">
        <f ca="1"/>
        <v>6.6557870326278104E-13</v>
      </c>
      <c r="R73" s="180">
        <f ca="1"/>
        <v>6.6557870326278104E-13</v>
      </c>
      <c r="S73" s="180">
        <f ca="1"/>
        <v>-1.19572146162206E-6</v>
      </c>
      <c r="T73" s="180">
        <f ca="1"/>
        <v>-3.20933989961247E-6</v>
      </c>
      <c r="U73" s="180">
        <f ca="1"/>
        <v>-3.2326939791715901E-6</v>
      </c>
      <c r="V73" s="180">
        <f ca="1"/>
        <v>-5.4572587241397096E-6</v>
      </c>
      <c r="W73" s="180">
        <f ca="1"/>
        <v>-8.2299043828726292E-6</v>
      </c>
      <c r="X73" s="180">
        <f ca="1"/>
        <v>-2.7781204904986401E-5</v>
      </c>
      <c r="Y73" s="180">
        <f ca="1"/>
        <v>-3.7655755799503899E-5</v>
      </c>
      <c r="Z73" s="180">
        <f ca="1"/>
        <v>1.0976543097939201E-3</v>
      </c>
      <c r="AA73" s="180">
        <f ca="1"/>
        <v>6.3575179420905002E-7</v>
      </c>
      <c r="AB73" s="180">
        <f ca="1"/>
        <v>-9.4881538847957398E-8</v>
      </c>
      <c r="AC73" s="180">
        <f ca="1"/>
        <v>2.4327881931185399E-8</v>
      </c>
      <c r="AD73" s="180">
        <f ca="1"/>
        <v>-4.1359432545462499E-9</v>
      </c>
      <c r="AE73" s="180">
        <f ca="1"/>
        <v>1.17376441544081E-6</v>
      </c>
      <c r="AF73" s="180">
        <f ca="1"/>
        <v>3.15554557828168E-6</v>
      </c>
      <c r="AG73" s="180">
        <f ca="1"/>
        <v>3.1804023054027301E-6</v>
      </c>
      <c r="AH73" s="180">
        <f ca="1"/>
        <v>5.3690468707623404E-6</v>
      </c>
      <c r="AI73" s="180">
        <f ca="1"/>
        <v>8.0896576537536902E-6</v>
      </c>
      <c r="AJ73" s="180">
        <f ca="1"/>
        <v>2.7327890633199699E-5</v>
      </c>
      <c r="AK73" s="180">
        <f ca="1"/>
        <v>3.7037186625954502E-5</v>
      </c>
      <c r="AL73" s="180">
        <f ca="1"/>
        <v>-1.07958092205362E-3</v>
      </c>
      <c r="AM73" s="180">
        <f ca="1"/>
        <v>-6.2625541685790196E-7</v>
      </c>
      <c r="AN73" s="180">
        <f ca="1"/>
        <v>9.3483438767805196E-8</v>
      </c>
      <c r="AO73" s="180">
        <f ca="1"/>
        <v>-2.39844926142041E-8</v>
      </c>
      <c r="AP73" s="180">
        <f ca="1"/>
        <v>4.0821803715118701E-9</v>
      </c>
      <c r="AQ73" t="str">
        <f ca="1"/>
        <v/>
      </c>
    </row>
    <row r="74" spans="2:43" x14ac:dyDescent="0.25">
      <c r="B74" s="179">
        <f ca="1"/>
        <v>48290</v>
      </c>
      <c r="C74" s="180">
        <f ca="1"/>
        <v>-9.1829022419442897E-7</v>
      </c>
      <c r="D74" s="180">
        <f ca="1"/>
        <v>1.04287023461325E-10</v>
      </c>
      <c r="E74" s="180">
        <f ca="1"/>
        <v>-4.1658931859700498E-10</v>
      </c>
      <c r="F74" s="180">
        <f ca="1"/>
        <v>1.09729292319116E-9</v>
      </c>
      <c r="G74" s="180">
        <f ca="1"/>
        <v>-1.4119266866785599E-9</v>
      </c>
      <c r="H74" s="180">
        <f ca="1"/>
        <v>3.1943542255774601E-9</v>
      </c>
      <c r="I74" s="180">
        <f ca="1"/>
        <v>-2.2421788536952601E-8</v>
      </c>
      <c r="J74" s="180">
        <f ca="1"/>
        <v>3.9041489707791801E-8</v>
      </c>
      <c r="K74" s="180">
        <f ca="1"/>
        <v>-1.50308370749919E-7</v>
      </c>
      <c r="L74" s="180">
        <f ca="1"/>
        <v>5.7872567693628696E-7</v>
      </c>
      <c r="M74" s="180">
        <f ca="1"/>
        <v>-5.1309075055350196E-7</v>
      </c>
      <c r="N74" s="180">
        <f ca="1"/>
        <v>6.5702998597316804E-13</v>
      </c>
      <c r="O74" s="180">
        <f ca="1"/>
        <v>6.5702998597316804E-13</v>
      </c>
      <c r="P74" s="180">
        <f ca="1"/>
        <v>6.5702998597316804E-13</v>
      </c>
      <c r="Q74" s="180">
        <f ca="1"/>
        <v>6.5702998597316804E-13</v>
      </c>
      <c r="R74" s="180">
        <f ca="1"/>
        <v>6.5702998597316804E-13</v>
      </c>
      <c r="S74" s="180">
        <f ca="1"/>
        <v>-1.43768759053309E-6</v>
      </c>
      <c r="T74" s="180">
        <f ca="1"/>
        <v>-2.7949419610928702E-6</v>
      </c>
      <c r="U74" s="180">
        <f ca="1"/>
        <v>-4.7317069296060097E-6</v>
      </c>
      <c r="V74" s="180">
        <f ca="1"/>
        <v>1.5865209890275601E-7</v>
      </c>
      <c r="W74" s="180">
        <f ca="1"/>
        <v>-1.94501120531765E-5</v>
      </c>
      <c r="X74" s="180">
        <f ca="1"/>
        <v>-7.0775943610268399E-6</v>
      </c>
      <c r="Y74" s="180">
        <f ca="1"/>
        <v>-1.40164875960025E-4</v>
      </c>
      <c r="Z74" s="180">
        <f ca="1"/>
        <v>1.1482437159807701E-3</v>
      </c>
      <c r="AA74" s="180">
        <f ca="1"/>
        <v>6.2370746267026406E-5</v>
      </c>
      <c r="AB74" s="180">
        <f ca="1"/>
        <v>-9.2094449497537295E-6</v>
      </c>
      <c r="AC74" s="180">
        <f ca="1"/>
        <v>2.3613418593804199E-6</v>
      </c>
      <c r="AD74" s="180">
        <f ca="1"/>
        <v>-4.0151501989882398E-7</v>
      </c>
      <c r="AE74" s="180">
        <f ca="1"/>
        <v>1.4113490707234901E-6</v>
      </c>
      <c r="AF74" s="180">
        <f ca="1"/>
        <v>2.7480365757393001E-6</v>
      </c>
      <c r="AG74" s="180">
        <f ca="1"/>
        <v>4.6553674225568997E-6</v>
      </c>
      <c r="AH74" s="180">
        <f ca="1"/>
        <v>-1.5843982736907199E-7</v>
      </c>
      <c r="AI74" s="180">
        <f ca="1"/>
        <v>1.9129989804134199E-5</v>
      </c>
      <c r="AJ74" s="180">
        <f ca="1"/>
        <v>6.9488064239342498E-6</v>
      </c>
      <c r="AK74" s="180">
        <f ca="1"/>
        <v>1.37960685311689E-4</v>
      </c>
      <c r="AL74" s="180">
        <f ca="1"/>
        <v>-1.12926432194527E-3</v>
      </c>
      <c r="AM74" s="180">
        <f ca="1"/>
        <v>-6.1426495156280403E-5</v>
      </c>
      <c r="AN74" s="180">
        <f ca="1"/>
        <v>9.0740339500072798E-6</v>
      </c>
      <c r="AO74" s="180">
        <f ca="1"/>
        <v>-2.3281039851497098E-6</v>
      </c>
      <c r="AP74" s="180">
        <f ca="1"/>
        <v>3.9622861447430298E-7</v>
      </c>
      <c r="AQ74" t="str">
        <f ca="1"/>
        <v/>
      </c>
    </row>
    <row r="75" spans="2:43" x14ac:dyDescent="0.25">
      <c r="B75" s="179">
        <f ca="1"/>
        <v>48382</v>
      </c>
      <c r="C75" s="180">
        <f ca="1"/>
        <v>-9.1404668844940997E-7</v>
      </c>
      <c r="D75" s="180">
        <f ca="1"/>
        <v>1.34465882872803E-10</v>
      </c>
      <c r="E75" s="180">
        <f ca="1"/>
        <v>-5.3722304382830502E-10</v>
      </c>
      <c r="F75" s="180">
        <f ca="1"/>
        <v>1.4150706162396899E-9</v>
      </c>
      <c r="G75" s="180">
        <f ca="1"/>
        <v>-1.8209607155483801E-9</v>
      </c>
      <c r="H75" s="180">
        <f ca="1"/>
        <v>4.1194224698060103E-9</v>
      </c>
      <c r="I75" s="180">
        <f ca="1"/>
        <v>-2.5498807287860399E-8</v>
      </c>
      <c r="J75" s="180">
        <f ca="1"/>
        <v>5.0347464752853501E-8</v>
      </c>
      <c r="K75" s="180">
        <f ca="1"/>
        <v>-1.9383395910566E-7</v>
      </c>
      <c r="L75" s="180">
        <f ca="1"/>
        <v>6.4437854341292699E-7</v>
      </c>
      <c r="M75" s="180">
        <f ca="1"/>
        <v>-6.5137442328833096E-7</v>
      </c>
      <c r="N75" s="180">
        <f ca="1"/>
        <v>6.4848126868355404E-13</v>
      </c>
      <c r="O75" s="180">
        <f ca="1"/>
        <v>6.4848126868355404E-13</v>
      </c>
      <c r="P75" s="180">
        <f ca="1"/>
        <v>6.4848126868355404E-13</v>
      </c>
      <c r="Q75" s="180">
        <f ca="1"/>
        <v>6.4848126868355404E-13</v>
      </c>
      <c r="R75" s="180">
        <f ca="1"/>
        <v>6.4848126868355404E-13</v>
      </c>
      <c r="S75" s="180">
        <f ca="1"/>
        <v>-1.6175479623514701E-6</v>
      </c>
      <c r="T75" s="180">
        <f ca="1"/>
        <v>-2.4855781600718902E-6</v>
      </c>
      <c r="U75" s="180">
        <f ca="1"/>
        <v>-5.8459590818182903E-6</v>
      </c>
      <c r="V75" s="180">
        <f ca="1"/>
        <v>4.33483324369099E-6</v>
      </c>
      <c r="W75" s="180">
        <f ca="1"/>
        <v>-2.77883185993977E-5</v>
      </c>
      <c r="X75" s="180">
        <f ca="1"/>
        <v>8.3198702455211693E-6</v>
      </c>
      <c r="Y75" s="180">
        <f ca="1"/>
        <v>-2.1634765624911601E-4</v>
      </c>
      <c r="Z75" s="180">
        <f ca="1"/>
        <v>1.15683827589075E-3</v>
      </c>
      <c r="AA75" s="180">
        <f ca="1"/>
        <v>1.45310111852592E-4</v>
      </c>
      <c r="AB75" s="180">
        <f ca="1"/>
        <v>-2.08743188305771E-5</v>
      </c>
      <c r="AC75" s="180">
        <f ca="1"/>
        <v>5.3523141927413997E-6</v>
      </c>
      <c r="AD75" s="180">
        <f ca="1"/>
        <v>-9.1008935498848597E-7</v>
      </c>
      <c r="AE75" s="180">
        <f ca="1"/>
        <v>1.58795271931744E-6</v>
      </c>
      <c r="AF75" s="180">
        <f ca="1"/>
        <v>2.4438159244022398E-6</v>
      </c>
      <c r="AG75" s="180">
        <f ca="1"/>
        <v>5.7517472147328197E-6</v>
      </c>
      <c r="AH75" s="180">
        <f ca="1"/>
        <v>-4.2688177680494402E-6</v>
      </c>
      <c r="AI75" s="180">
        <f ca="1"/>
        <v>2.7334721075522601E-5</v>
      </c>
      <c r="AJ75" s="180">
        <f ca="1"/>
        <v>-8.2066495654675703E-6</v>
      </c>
      <c r="AK75" s="180">
        <f ca="1"/>
        <v>2.1298136736569399E-4</v>
      </c>
      <c r="AL75" s="180">
        <f ca="1"/>
        <v>-1.1377008598378901E-3</v>
      </c>
      <c r="AM75" s="180">
        <f ca="1"/>
        <v>-1.4309577856341801E-4</v>
      </c>
      <c r="AN75" s="180">
        <f ca="1"/>
        <v>2.05676862229387E-5</v>
      </c>
      <c r="AO75" s="180">
        <f ca="1"/>
        <v>-5.27695807595041E-6</v>
      </c>
      <c r="AP75" s="180">
        <f ca="1"/>
        <v>8.9810662728950795E-7</v>
      </c>
      <c r="AQ75" t="str">
        <f ca="1"/>
        <v/>
      </c>
    </row>
    <row r="76" spans="2:43" x14ac:dyDescent="0.25">
      <c r="B76" s="179">
        <f ca="1"/>
        <v>48474</v>
      </c>
      <c r="C76" s="180">
        <f ca="1"/>
        <v>-9.0982421374619104E-7</v>
      </c>
      <c r="D76" s="180">
        <f ca="1"/>
        <v>1.54572910027184E-10</v>
      </c>
      <c r="E76" s="180">
        <f ca="1"/>
        <v>-6.1761118441694397E-10</v>
      </c>
      <c r="F76" s="180">
        <f ca="1"/>
        <v>1.62682223248112E-9</v>
      </c>
      <c r="G76" s="180">
        <f ca="1"/>
        <v>-2.0935232436514201E-9</v>
      </c>
      <c r="H76" s="180">
        <f ca="1"/>
        <v>4.7358335031333404E-9</v>
      </c>
      <c r="I76" s="180">
        <f ca="1"/>
        <v>-2.75339112620898E-8</v>
      </c>
      <c r="J76" s="180">
        <f ca="1"/>
        <v>5.7881069492893302E-8</v>
      </c>
      <c r="K76" s="180">
        <f ca="1"/>
        <v>-2.2283675549239501E-7</v>
      </c>
      <c r="L76" s="180">
        <f ca="1"/>
        <v>6.8799254560047995E-7</v>
      </c>
      <c r="M76" s="180">
        <f ca="1"/>
        <v>-7.4347232703608799E-7</v>
      </c>
      <c r="N76" s="180">
        <f ca="1"/>
        <v>6.4026561830132798E-13</v>
      </c>
      <c r="O76" s="180">
        <f ca="1"/>
        <v>6.4026561830132798E-13</v>
      </c>
      <c r="P76" s="180">
        <f ca="1"/>
        <v>6.4026561830132798E-13</v>
      </c>
      <c r="Q76" s="180">
        <f ca="1"/>
        <v>6.4026561830132798E-13</v>
      </c>
      <c r="R76" s="180">
        <f ca="1"/>
        <v>6.4026561830132798E-13</v>
      </c>
      <c r="S76" s="180">
        <f ca="1"/>
        <v>-1.73711071516092E-6</v>
      </c>
      <c r="T76" s="180">
        <f ca="1"/>
        <v>-2.27826337784176E-6</v>
      </c>
      <c r="U76" s="180">
        <f ca="1"/>
        <v>-6.5866486699262E-6</v>
      </c>
      <c r="V76" s="180">
        <f ca="1"/>
        <v>7.1130535668206801E-6</v>
      </c>
      <c r="W76" s="180">
        <f ca="1"/>
        <v>-3.3328550169686701E-5</v>
      </c>
      <c r="X76" s="180">
        <f ca="1"/>
        <v>1.8564851896774E-5</v>
      </c>
      <c r="Y76" s="180">
        <f ca="1"/>
        <v>-2.6697714727985699E-4</v>
      </c>
      <c r="Z76" s="180">
        <f ca="1"/>
        <v>1.12655216093183E-3</v>
      </c>
      <c r="AA76" s="180">
        <f ca="1"/>
        <v>2.4589633705729397E-4</v>
      </c>
      <c r="AB76" s="180">
        <f ca="1"/>
        <v>-3.3903763520970499E-5</v>
      </c>
      <c r="AC76" s="180">
        <f ca="1"/>
        <v>8.6932378660087295E-6</v>
      </c>
      <c r="AD76" s="180">
        <f ca="1"/>
        <v>-1.4781655897078101E-6</v>
      </c>
      <c r="AE76" s="180">
        <f ca="1"/>
        <v>1.7053506752295901E-6</v>
      </c>
      <c r="AF76" s="180">
        <f ca="1"/>
        <v>2.2399479128187798E-6</v>
      </c>
      <c r="AG76" s="180">
        <f ca="1"/>
        <v>6.4805573192217E-6</v>
      </c>
      <c r="AH76" s="180">
        <f ca="1"/>
        <v>-7.0032393790775399E-6</v>
      </c>
      <c r="AI76" s="180">
        <f ca="1"/>
        <v>3.2786363916015297E-5</v>
      </c>
      <c r="AJ76" s="180">
        <f ca="1"/>
        <v>-1.8290291170397502E-5</v>
      </c>
      <c r="AK76" s="180">
        <f ca="1"/>
        <v>2.6284645178975601E-4</v>
      </c>
      <c r="AL76" s="180">
        <f ca="1"/>
        <v>-1.1079531736512E-3</v>
      </c>
      <c r="AM76" s="180">
        <f ca="1"/>
        <v>-2.4211954120501001E-4</v>
      </c>
      <c r="AN76" s="180">
        <f ca="1"/>
        <v>3.3406267254454398E-5</v>
      </c>
      <c r="AO76" s="180">
        <f ca="1"/>
        <v>-8.5708100580062003E-6</v>
      </c>
      <c r="AP76" s="180">
        <f ca="1"/>
        <v>1.4587038110747101E-6</v>
      </c>
      <c r="AQ76" t="str">
        <f ca="1"/>
        <v/>
      </c>
    </row>
    <row r="77" spans="2:43" x14ac:dyDescent="0.25">
      <c r="B77" s="179">
        <f ca="1"/>
        <v>48565</v>
      </c>
      <c r="C77" s="180">
        <f ca="1"/>
        <v>-9.05667793760223E-7</v>
      </c>
      <c r="D77" s="180">
        <f ca="1"/>
        <v>1.6543788561307299E-10</v>
      </c>
      <c r="E77" s="180">
        <f ca="1"/>
        <v>-6.6106897733675396E-10</v>
      </c>
      <c r="F77" s="180">
        <f ca="1"/>
        <v>1.7412831176955001E-9</v>
      </c>
      <c r="G77" s="180">
        <f ca="1"/>
        <v>-2.2408574995580499E-9</v>
      </c>
      <c r="H77" s="180">
        <f ca="1"/>
        <v>5.0690167618938598E-9</v>
      </c>
      <c r="I77" s="180">
        <f ca="1"/>
        <v>-2.8613465818949599E-8</v>
      </c>
      <c r="J77" s="180">
        <f ca="1"/>
        <v>6.19530959866665E-8</v>
      </c>
      <c r="K77" s="180">
        <f ca="1"/>
        <v>-2.38513239714244E-7</v>
      </c>
      <c r="L77" s="180">
        <f ca="1"/>
        <v>7.1138803192649604E-7</v>
      </c>
      <c r="M77" s="180">
        <f ca="1"/>
        <v>-7.9319113333031797E-7</v>
      </c>
      <c r="N77" s="180">
        <f ca="1"/>
        <v>6.3238303482648896E-13</v>
      </c>
      <c r="O77" s="180">
        <f ca="1"/>
        <v>6.3238303482648896E-13</v>
      </c>
      <c r="P77" s="180">
        <f ca="1"/>
        <v>6.3238303482648896E-13</v>
      </c>
      <c r="Q77" s="180">
        <f ca="1"/>
        <v>6.3238303482648896E-13</v>
      </c>
      <c r="R77" s="180">
        <f ca="1"/>
        <v>6.3238303482648896E-13</v>
      </c>
      <c r="S77" s="180">
        <f ca="1"/>
        <v>-1.80135355332123E-6</v>
      </c>
      <c r="T77" s="180">
        <f ca="1"/>
        <v>-2.16463143831724E-6</v>
      </c>
      <c r="U77" s="180">
        <f ca="1"/>
        <v>-6.9846233325954196E-6</v>
      </c>
      <c r="V77" s="180">
        <f ca="1"/>
        <v>8.6086821764475002E-6</v>
      </c>
      <c r="W77" s="180">
        <f ca="1"/>
        <v>-3.6302027933365899E-5</v>
      </c>
      <c r="X77" s="180">
        <f ca="1"/>
        <v>2.4082393708102501E-5</v>
      </c>
      <c r="Y77" s="180">
        <f ca="1"/>
        <v>-2.9416822333594401E-4</v>
      </c>
      <c r="Z77" s="180">
        <f ca="1"/>
        <v>1.0625814746801901E-3</v>
      </c>
      <c r="AA77" s="180">
        <f ca="1"/>
        <v>3.5956369944323301E-4</v>
      </c>
      <c r="AB77" s="180">
        <f ca="1"/>
        <v>-4.6980568311316702E-5</v>
      </c>
      <c r="AC77" s="180">
        <f ca="1"/>
        <v>1.20463738627619E-5</v>
      </c>
      <c r="AD77" s="180">
        <f ca="1"/>
        <v>-2.0483155771522402E-6</v>
      </c>
      <c r="AE77" s="180">
        <f ca="1"/>
        <v>1.76843045263109E-6</v>
      </c>
      <c r="AF77" s="180">
        <f ca="1"/>
        <v>2.1282053126458999E-6</v>
      </c>
      <c r="AG77" s="180">
        <f ca="1"/>
        <v>6.8721487734846304E-6</v>
      </c>
      <c r="AH77" s="180">
        <f ca="1"/>
        <v>-8.4752818302336103E-6</v>
      </c>
      <c r="AI77" s="180">
        <f ca="1"/>
        <v>3.5712332691728597E-5</v>
      </c>
      <c r="AJ77" s="180">
        <f ca="1"/>
        <v>-2.3720832628138E-5</v>
      </c>
      <c r="AK77" s="180">
        <f ca="1"/>
        <v>2.8962979198487998E-4</v>
      </c>
      <c r="AL77" s="180">
        <f ca="1"/>
        <v>-1.04511828266651E-3</v>
      </c>
      <c r="AM77" s="180">
        <f ca="1"/>
        <v>-3.5399174658468102E-4</v>
      </c>
      <c r="AN77" s="180">
        <f ca="1"/>
        <v>4.6291930942521403E-5</v>
      </c>
      <c r="AO77" s="180">
        <f ca="1"/>
        <v>-1.1876674906541299E-5</v>
      </c>
      <c r="AP77" s="180">
        <f ca="1"/>
        <v>2.0213482285757999E-6</v>
      </c>
      <c r="AQ77" t="str">
        <f ca="1"/>
        <v/>
      </c>
    </row>
    <row r="78" spans="2:43" x14ac:dyDescent="0.25">
      <c r="B78" s="179">
        <f ca="1"/>
        <v>48655</v>
      </c>
      <c r="C78" s="180">
        <f ca="1"/>
        <v>-9.0157607868235303E-7</v>
      </c>
      <c r="D78" s="180">
        <f ca="1"/>
        <v>1.6830370430653801E-10</v>
      </c>
      <c r="E78" s="180">
        <f ca="1"/>
        <v>-6.7256389346681503E-10</v>
      </c>
      <c r="F78" s="180">
        <f ca="1"/>
        <v>1.77153847147338E-9</v>
      </c>
      <c r="G78" s="180">
        <f ca="1"/>
        <v>-2.2798068988194599E-9</v>
      </c>
      <c r="H78" s="180">
        <f ca="1"/>
        <v>5.1570668846423498E-9</v>
      </c>
      <c r="I78" s="180">
        <f ca="1"/>
        <v>-2.88660561009735E-8</v>
      </c>
      <c r="J78" s="180">
        <f ca="1"/>
        <v>6.3029139574233297E-8</v>
      </c>
      <c r="K78" s="180">
        <f ca="1"/>
        <v>-2.4265585296667801E-7</v>
      </c>
      <c r="L78" s="180">
        <f ca="1"/>
        <v>7.1728432127216003E-7</v>
      </c>
      <c r="M78" s="180">
        <f ca="1"/>
        <v>-8.0623118103861902E-7</v>
      </c>
      <c r="N78" s="180">
        <f ca="1"/>
        <v>6.2438942904918804E-13</v>
      </c>
      <c r="O78" s="180">
        <f ca="1"/>
        <v>6.2438942904918804E-13</v>
      </c>
      <c r="P78" s="180">
        <f ca="1"/>
        <v>6.2438942904918804E-13</v>
      </c>
      <c r="Q78" s="180">
        <f ca="1"/>
        <v>6.2438942904918804E-13</v>
      </c>
      <c r="R78" s="180">
        <f ca="1"/>
        <v>6.2438942904918804E-13</v>
      </c>
      <c r="S78" s="180">
        <f ca="1"/>
        <v>-1.81771674723219E-6</v>
      </c>
      <c r="T78" s="180">
        <f ca="1"/>
        <v>-2.1320783248901499E-6</v>
      </c>
      <c r="U78" s="180">
        <f ca="1"/>
        <v>-7.0859984615534401E-6</v>
      </c>
      <c r="V78" s="180">
        <f ca="1"/>
        <v>8.9943554286708894E-6</v>
      </c>
      <c r="W78" s="180">
        <f ca="1"/>
        <v>-3.70542657751605E-5</v>
      </c>
      <c r="X78" s="180">
        <f ca="1"/>
        <v>2.5508765521764499E-5</v>
      </c>
      <c r="Y78" s="180">
        <f ca="1"/>
        <v>-3.01077747438039E-4</v>
      </c>
      <c r="Z78" s="180">
        <f ca="1"/>
        <v>9.7052688283549805E-4</v>
      </c>
      <c r="AA78" s="180">
        <f ca="1"/>
        <v>4.8252350752020501E-4</v>
      </c>
      <c r="AB78" s="180">
        <f ca="1"/>
        <v>-5.8910256500843701E-5</v>
      </c>
      <c r="AC78" s="180">
        <f ca="1"/>
        <v>1.5105428656903E-5</v>
      </c>
      <c r="AD78" s="180">
        <f ca="1"/>
        <v>-2.5684590470031999E-6</v>
      </c>
      <c r="AE78" s="180">
        <f ca="1"/>
        <v>1.7844975698233499E-6</v>
      </c>
      <c r="AF78" s="180">
        <f ca="1"/>
        <v>2.0961935867092099E-6</v>
      </c>
      <c r="AG78" s="180">
        <f ca="1"/>
        <v>6.9718965439724599E-6</v>
      </c>
      <c r="AH78" s="180">
        <f ca="1"/>
        <v>-8.8548724372916593E-6</v>
      </c>
      <c r="AI78" s="180">
        <f ca="1"/>
        <v>3.6452564196376402E-5</v>
      </c>
      <c r="AJ78" s="180">
        <f ca="1"/>
        <v>-2.5124694769895798E-5</v>
      </c>
      <c r="AK78" s="180">
        <f ca="1"/>
        <v>2.9643627944864198E-4</v>
      </c>
      <c r="AL78" s="180">
        <f ca="1"/>
        <v>-9.5468433994816404E-4</v>
      </c>
      <c r="AM78" s="180">
        <f ca="1"/>
        <v>-4.7497405538876603E-4</v>
      </c>
      <c r="AN78" s="180">
        <f ca="1"/>
        <v>5.8047614601264299E-5</v>
      </c>
      <c r="AO78" s="180">
        <f ca="1"/>
        <v>-1.48925800876887E-5</v>
      </c>
      <c r="AP78" s="180">
        <f ca="1"/>
        <v>2.5346451193453101E-6</v>
      </c>
      <c r="AQ78" t="str">
        <f ca="1"/>
        <v/>
      </c>
    </row>
    <row r="79" spans="2:43" x14ac:dyDescent="0.25">
      <c r="B79" s="179">
        <f ca="1"/>
        <v>48747</v>
      </c>
      <c r="C79" s="180">
        <f ca="1"/>
        <v>-8.9741214392979895E-7</v>
      </c>
      <c r="D79" s="180">
        <f ca="1"/>
        <v>1.6419643422693799E-10</v>
      </c>
      <c r="E79" s="180">
        <f ca="1"/>
        <v>-6.5619432110253198E-10</v>
      </c>
      <c r="F79" s="180">
        <f ca="1"/>
        <v>1.72838632295225E-9</v>
      </c>
      <c r="G79" s="180">
        <f ca="1"/>
        <v>-2.2242687691686999E-9</v>
      </c>
      <c r="H79" s="180">
        <f ca="1"/>
        <v>5.0314160615627698E-9</v>
      </c>
      <c r="I79" s="180">
        <f ca="1"/>
        <v>-2.8396246354311901E-8</v>
      </c>
      <c r="J79" s="180">
        <f ca="1"/>
        <v>6.1493350300700898E-8</v>
      </c>
      <c r="K79" s="180">
        <f ca="1"/>
        <v>-2.3674348836877399E-7</v>
      </c>
      <c r="L79" s="180">
        <f ca="1"/>
        <v>7.0791081197008097E-7</v>
      </c>
      <c r="M79" s="180">
        <f ca="1"/>
        <v>-7.8729105890129603E-7</v>
      </c>
      <c r="N79" s="180">
        <f ca="1"/>
        <v>6.1650684557434902E-13</v>
      </c>
      <c r="O79" s="180">
        <f ca="1"/>
        <v>6.1650684557434902E-13</v>
      </c>
      <c r="P79" s="180">
        <f ca="1"/>
        <v>6.1650684557434902E-13</v>
      </c>
      <c r="Q79" s="180">
        <f ca="1"/>
        <v>6.1650684557434902E-13</v>
      </c>
      <c r="R79" s="180">
        <f ca="1"/>
        <v>6.1650684557434902E-13</v>
      </c>
      <c r="S79" s="180">
        <f ca="1"/>
        <v>-1.79230830787969E-6</v>
      </c>
      <c r="T79" s="180">
        <f ca="1"/>
        <v>-2.1700764624155202E-6</v>
      </c>
      <c r="U79" s="180">
        <f ca="1"/>
        <v>-6.9286495754106204E-6</v>
      </c>
      <c r="V79" s="180">
        <f ca="1"/>
        <v>8.4121475248943901E-6</v>
      </c>
      <c r="W79" s="180">
        <f ca="1"/>
        <v>-3.5868865801647102E-5</v>
      </c>
      <c r="X79" s="180">
        <f ca="1"/>
        <v>2.33678269880855E-5</v>
      </c>
      <c r="Y79" s="180">
        <f ca="1"/>
        <v>-2.9029721137385799E-4</v>
      </c>
      <c r="Z79" s="180">
        <f ca="1"/>
        <v>8.5181982697990499E-4</v>
      </c>
      <c r="AA79" s="180">
        <f ca="1"/>
        <v>6.1540287048944499E-4</v>
      </c>
      <c r="AB79" s="180">
        <f ca="1"/>
        <v>-6.87839942909996E-5</v>
      </c>
      <c r="AC79" s="180">
        <f ca="1"/>
        <v>1.76373340340374E-5</v>
      </c>
      <c r="AD79" s="180">
        <f ca="1"/>
        <v>-2.99896734901051E-6</v>
      </c>
      <c r="AE79" s="180">
        <f ca="1"/>
        <v>1.75954943937295E-6</v>
      </c>
      <c r="AF79" s="180">
        <f ca="1"/>
        <v>2.1335601806393699E-6</v>
      </c>
      <c r="AG79" s="180">
        <f ca="1"/>
        <v>6.8170685278978704E-6</v>
      </c>
      <c r="AH79" s="180">
        <f ca="1"/>
        <v>-8.2818480010571298E-6</v>
      </c>
      <c r="AI79" s="180">
        <f ca="1"/>
        <v>3.5286114937305198E-5</v>
      </c>
      <c r="AJ79" s="180">
        <f ca="1"/>
        <v>-2.3017519817591901E-5</v>
      </c>
      <c r="AK79" s="180">
        <f ca="1"/>
        <v>2.85817402735478E-4</v>
      </c>
      <c r="AL79" s="180">
        <f ca="1"/>
        <v>-8.3804008959631503E-4</v>
      </c>
      <c r="AM79" s="180">
        <f ca="1"/>
        <v>-6.0567438187564303E-4</v>
      </c>
      <c r="AN79" s="180">
        <f ca="1"/>
        <v>6.7777608841246298E-5</v>
      </c>
      <c r="AO79" s="180">
        <f ca="1"/>
        <v>-1.738875360624E-5</v>
      </c>
      <c r="AP79" s="180">
        <f ca="1"/>
        <v>2.9594872104077301E-6</v>
      </c>
      <c r="AQ79" t="str">
        <f ca="1"/>
        <v/>
      </c>
    </row>
    <row r="80" spans="2:43" x14ac:dyDescent="0.25">
      <c r="B80" s="179">
        <f ca="1"/>
        <v>48841</v>
      </c>
      <c r="C80" s="180">
        <f ca="1"/>
        <v>-8.9317617257833604E-7</v>
      </c>
      <c r="D80" s="180">
        <f ca="1"/>
        <v>1.53864143648264E-10</v>
      </c>
      <c r="E80" s="180">
        <f ca="1"/>
        <v>-6.1495086800533696E-10</v>
      </c>
      <c r="F80" s="180">
        <f ca="1"/>
        <v>1.61970525880406E-9</v>
      </c>
      <c r="G80" s="180">
        <f ca="1"/>
        <v>-2.0843847758911201E-9</v>
      </c>
      <c r="H80" s="180">
        <f ca="1"/>
        <v>4.7150009452323599E-9</v>
      </c>
      <c r="I80" s="180">
        <f ca="1"/>
        <v>-2.72813691637452E-8</v>
      </c>
      <c r="J80" s="180">
        <f ca="1"/>
        <v>5.7626060145921101E-8</v>
      </c>
      <c r="K80" s="180">
        <f ca="1"/>
        <v>-2.2185536163732401E-7</v>
      </c>
      <c r="L80" s="180">
        <f ca="1"/>
        <v>6.8490202009829904E-7</v>
      </c>
      <c r="M80" s="180">
        <f ca="1"/>
        <v>-7.3980263093353905E-7</v>
      </c>
      <c r="N80" s="180">
        <f ca="1"/>
        <v>6.0829119519212297E-13</v>
      </c>
      <c r="O80" s="180">
        <f ca="1"/>
        <v>6.0829119519212297E-13</v>
      </c>
      <c r="P80" s="180">
        <f ca="1"/>
        <v>6.0829119519212297E-13</v>
      </c>
      <c r="Q80" s="180">
        <f ca="1"/>
        <v>6.0829119519212297E-13</v>
      </c>
      <c r="R80" s="180">
        <f ca="1"/>
        <v>6.0829119519212297E-13</v>
      </c>
      <c r="S80" s="180">
        <f ca="1"/>
        <v>-1.72960152688972E-6</v>
      </c>
      <c r="T80" s="180">
        <f ca="1"/>
        <v>-2.27100650729284E-6</v>
      </c>
      <c r="U80" s="180">
        <f ca="1"/>
        <v>-6.54034332114861E-6</v>
      </c>
      <c r="V80" s="180">
        <f ca="1"/>
        <v>6.9661715914604E-6</v>
      </c>
      <c r="W80" s="180">
        <f ca="1"/>
        <v>-3.2954016134900697E-5</v>
      </c>
      <c r="X80" s="180">
        <f ca="1"/>
        <v>1.8043423176239401E-5</v>
      </c>
      <c r="Y80" s="180">
        <f ca="1"/>
        <v>-2.6372726578016698E-4</v>
      </c>
      <c r="Z80" s="180">
        <f ca="1"/>
        <v>7.1048067878665101E-4</v>
      </c>
      <c r="AA80" s="180">
        <f ca="1"/>
        <v>7.5458401984906899E-4</v>
      </c>
      <c r="AB80" s="180">
        <f ca="1"/>
        <v>-7.5016730708199502E-5</v>
      </c>
      <c r="AC80" s="180">
        <f ca="1"/>
        <v>1.92356062732602E-5</v>
      </c>
      <c r="AD80" s="180">
        <f ca="1"/>
        <v>-3.2707259997044602E-6</v>
      </c>
      <c r="AE80" s="180">
        <f ca="1"/>
        <v>1.6979783601378499E-6</v>
      </c>
      <c r="AF80" s="180">
        <f ca="1"/>
        <v>2.2328124513748502E-6</v>
      </c>
      <c r="AG80" s="180">
        <f ca="1"/>
        <v>6.43498639585349E-6</v>
      </c>
      <c r="AH80" s="180">
        <f ca="1"/>
        <v>-6.8586760900712901E-6</v>
      </c>
      <c r="AI80" s="180">
        <f ca="1"/>
        <v>3.2417859620381697E-5</v>
      </c>
      <c r="AJ80" s="180">
        <f ca="1"/>
        <v>-1.7777050949629999E-5</v>
      </c>
      <c r="AK80" s="180">
        <f ca="1"/>
        <v>2.5964644424836302E-4</v>
      </c>
      <c r="AL80" s="180">
        <f ca="1"/>
        <v>-6.9911544213707699E-4</v>
      </c>
      <c r="AM80" s="180">
        <f ca="1"/>
        <v>-7.4252584136413901E-4</v>
      </c>
      <c r="AN80" s="180">
        <f ca="1"/>
        <v>7.3919744659978206E-5</v>
      </c>
      <c r="AO80" s="180">
        <f ca="1"/>
        <v>-1.8964461032444599E-5</v>
      </c>
      <c r="AP80" s="180">
        <f ca="1"/>
        <v>3.2276693112676101E-6</v>
      </c>
      <c r="AQ80" t="str">
        <f ca="1"/>
        <v/>
      </c>
    </row>
    <row r="81" spans="2:43" x14ac:dyDescent="0.25">
      <c r="B81" s="179">
        <f ca="1"/>
        <v>48932</v>
      </c>
      <c r="C81" s="180">
        <f ca="1"/>
        <v>-8.8909203266318602E-7</v>
      </c>
      <c r="D81" s="180">
        <f ca="1"/>
        <v>1.39211975280773E-10</v>
      </c>
      <c r="E81" s="180">
        <f ca="1"/>
        <v>-5.5644178154068403E-10</v>
      </c>
      <c r="F81" s="180">
        <f ca="1"/>
        <v>1.46554046676073E-9</v>
      </c>
      <c r="G81" s="180">
        <f ca="1"/>
        <v>-1.8859550587890798E-9</v>
      </c>
      <c r="H81" s="180">
        <f ca="1"/>
        <v>4.2661774113383899E-9</v>
      </c>
      <c r="I81" s="180">
        <f ca="1"/>
        <v>-2.57207745102406E-8</v>
      </c>
      <c r="J81" s="180">
        <f ca="1"/>
        <v>5.2140492368124602E-8</v>
      </c>
      <c r="K81" s="180">
        <f ca="1"/>
        <v>-2.0073721773705699E-7</v>
      </c>
      <c r="L81" s="180">
        <f ca="1"/>
        <v>6.5244287339449901E-7</v>
      </c>
      <c r="M81" s="180">
        <f ca="1"/>
        <v>-6.7250509494520795E-7</v>
      </c>
      <c r="N81" s="180">
        <f ca="1"/>
        <v>6.0007554480989701E-13</v>
      </c>
      <c r="O81" s="180">
        <f ca="1"/>
        <v>6.0007554480989701E-13</v>
      </c>
      <c r="P81" s="180">
        <f ca="1"/>
        <v>6.0007554480989701E-13</v>
      </c>
      <c r="Q81" s="180">
        <f ca="1"/>
        <v>6.0007554480989701E-13</v>
      </c>
      <c r="R81" s="180">
        <f ca="1"/>
        <v>6.0007554480989701E-13</v>
      </c>
      <c r="S81" s="180">
        <f ca="1"/>
        <v>-1.64103483346612E-6</v>
      </c>
      <c r="T81" s="180">
        <f ca="1"/>
        <v>-2.4157271623081998E-6</v>
      </c>
      <c r="U81" s="180">
        <f ca="1"/>
        <v>-5.9919926297391504E-6</v>
      </c>
      <c r="V81" s="180">
        <f ca="1"/>
        <v>4.9216540838337204E-6</v>
      </c>
      <c r="W81" s="180">
        <f ca="1"/>
        <v>-2.8841414915992101E-5</v>
      </c>
      <c r="X81" s="180">
        <f ca="1"/>
        <v>1.0512991585609501E-5</v>
      </c>
      <c r="Y81" s="180">
        <f ca="1"/>
        <v>-2.26219562280305E-4</v>
      </c>
      <c r="Z81" s="180">
        <f ca="1"/>
        <v>5.6015734399372796E-4</v>
      </c>
      <c r="AA81" s="180">
        <f ca="1"/>
        <v>8.8842876837513796E-4</v>
      </c>
      <c r="AB81" s="180">
        <f ca="1"/>
        <v>-7.5887833587584606E-5</v>
      </c>
      <c r="AC81" s="180">
        <f ca="1"/>
        <v>1.9458989015896899E-5</v>
      </c>
      <c r="AD81" s="180">
        <f ca="1"/>
        <v>-3.3087082412786001E-6</v>
      </c>
      <c r="AE81" s="180">
        <f ca="1"/>
        <v>1.6110156434434601E-6</v>
      </c>
      <c r="AF81" s="180">
        <f ca="1"/>
        <v>2.37512736589451E-6</v>
      </c>
      <c r="AG81" s="180">
        <f ca="1"/>
        <v>5.8954266547450703E-6</v>
      </c>
      <c r="AH81" s="180">
        <f ca="1"/>
        <v>-4.84639329256797E-6</v>
      </c>
      <c r="AI81" s="180">
        <f ca="1"/>
        <v>2.8371026430051801E-5</v>
      </c>
      <c r="AJ81" s="180">
        <f ca="1"/>
        <v>-1.03652188023773E-5</v>
      </c>
      <c r="AK81" s="180">
        <f ca="1"/>
        <v>2.2270456648676399E-4</v>
      </c>
      <c r="AL81" s="180">
        <f ca="1"/>
        <v>-5.51309190162108E-4</v>
      </c>
      <c r="AM81" s="180">
        <f ca="1"/>
        <v>-8.7408398580424195E-4</v>
      </c>
      <c r="AN81" s="180">
        <f ca="1"/>
        <v>7.4778210517489896E-5</v>
      </c>
      <c r="AO81" s="180">
        <f ca="1"/>
        <v>-1.9184688343609801E-5</v>
      </c>
      <c r="AP81" s="180">
        <f ca="1"/>
        <v>3.2651517072324101E-6</v>
      </c>
      <c r="AQ81" t="str">
        <f ca="1"/>
        <v/>
      </c>
    </row>
    <row r="82" spans="2:43" x14ac:dyDescent="0.25">
      <c r="B82" s="179">
        <f ca="1"/>
        <v>49020</v>
      </c>
      <c r="C82" s="180">
        <f ca="1"/>
        <v>-8.8515691210044899E-7</v>
      </c>
      <c r="D82" s="180">
        <f ca="1"/>
        <v>1.2192913345643301E-10</v>
      </c>
      <c r="E82" s="180">
        <f ca="1"/>
        <v>-4.8741721769829403E-10</v>
      </c>
      <c r="F82" s="180">
        <f ca="1"/>
        <v>1.283675610253E-9</v>
      </c>
      <c r="G82" s="180">
        <f ca="1"/>
        <v>-1.6518703072065899E-9</v>
      </c>
      <c r="H82" s="180">
        <f ca="1"/>
        <v>3.7367167138313603E-9</v>
      </c>
      <c r="I82" s="180">
        <f ca="1"/>
        <v>-2.3889096589790901E-8</v>
      </c>
      <c r="J82" s="180">
        <f ca="1"/>
        <v>4.5669390602576197E-8</v>
      </c>
      <c r="K82" s="180">
        <f ca="1"/>
        <v>-1.7582497913171101E-7</v>
      </c>
      <c r="L82" s="180">
        <f ca="1"/>
        <v>6.1422621988604899E-7</v>
      </c>
      <c r="M82" s="180">
        <f ca="1"/>
        <v>-5.9314484712746897E-7</v>
      </c>
      <c r="N82" s="180">
        <f ca="1"/>
        <v>5.9197091673013296E-13</v>
      </c>
      <c r="O82" s="180">
        <f ca="1"/>
        <v>5.9197091673013296E-13</v>
      </c>
      <c r="P82" s="180">
        <f ca="1"/>
        <v>5.9197091673013296E-13</v>
      </c>
      <c r="Q82" s="180">
        <f ca="1"/>
        <v>5.9197091673013296E-13</v>
      </c>
      <c r="R82" s="180">
        <f ca="1"/>
        <v>5.9197091673013296E-13</v>
      </c>
      <c r="S82" s="180">
        <f ca="1"/>
        <v>-1.5367132901733499E-6</v>
      </c>
      <c r="T82" s="180">
        <f ca="1"/>
        <v>-2.5870804313265998E-6</v>
      </c>
      <c r="U82" s="180">
        <f ca="1"/>
        <v>-5.3462512403790202E-6</v>
      </c>
      <c r="V82" s="180">
        <f ca="1"/>
        <v>2.5132699348340299E-6</v>
      </c>
      <c r="W82" s="180">
        <f ca="1"/>
        <v>-2.4000514669664201E-5</v>
      </c>
      <c r="X82" s="180">
        <f ca="1"/>
        <v>1.6416274888353399E-6</v>
      </c>
      <c r="Y82" s="180">
        <f ca="1"/>
        <v>-1.8205990681463601E-4</v>
      </c>
      <c r="Z82" s="180">
        <f ca="1"/>
        <v>4.0784221356060502E-4</v>
      </c>
      <c r="AA82" s="180">
        <f ca="1"/>
        <v>1.0129658184348E-3</v>
      </c>
      <c r="AB82" s="180">
        <f ca="1"/>
        <v>-7.0503141365696505E-5</v>
      </c>
      <c r="AC82" s="180">
        <f ca="1"/>
        <v>1.8078183463998702E-5</v>
      </c>
      <c r="AD82" s="180">
        <f ca="1"/>
        <v>-3.0739260638013001E-6</v>
      </c>
      <c r="AE82" s="180">
        <f ca="1"/>
        <v>1.5085833877659399E-6</v>
      </c>
      <c r="AF82" s="180">
        <f ca="1"/>
        <v>2.5436322200755901E-6</v>
      </c>
      <c r="AG82" s="180">
        <f ca="1"/>
        <v>5.2600388728008002E-6</v>
      </c>
      <c r="AH82" s="180">
        <f ca="1"/>
        <v>-2.4759676325869502E-6</v>
      </c>
      <c r="AI82" s="180">
        <f ca="1"/>
        <v>2.3607589227703199E-5</v>
      </c>
      <c r="AJ82" s="180">
        <f ca="1"/>
        <v>-1.6333980189520101E-6</v>
      </c>
      <c r="AK82" s="180">
        <f ca="1"/>
        <v>1.7921524545727599E-4</v>
      </c>
      <c r="AL82" s="180">
        <f ca="1"/>
        <v>-4.0149000873046498E-4</v>
      </c>
      <c r="AM82" s="180">
        <f ca="1"/>
        <v>-9.964521276779601E-4</v>
      </c>
      <c r="AN82" s="180">
        <f ca="1"/>
        <v>6.9471798411657696E-5</v>
      </c>
      <c r="AO82" s="180">
        <f ca="1"/>
        <v>-1.7823376952108601E-5</v>
      </c>
      <c r="AP82" s="180">
        <f ca="1"/>
        <v>3.0334594148806502E-6</v>
      </c>
      <c r="AQ82" t="str">
        <f ca="1"/>
        <v/>
      </c>
    </row>
    <row r="83" spans="2:43" x14ac:dyDescent="0.25">
      <c r="B83" s="179">
        <f ca="1"/>
        <v>49114</v>
      </c>
      <c r="C83" s="180">
        <f ca="1"/>
        <v>-8.8096767192347201E-7</v>
      </c>
      <c r="D83" s="180">
        <f ca="1"/>
        <v>1.01511687944367E-10</v>
      </c>
      <c r="E83" s="180">
        <f ca="1"/>
        <v>-4.0586611849135998E-10</v>
      </c>
      <c r="F83" s="180">
        <f ca="1"/>
        <v>1.06881115069513E-9</v>
      </c>
      <c r="G83" s="180">
        <f ca="1"/>
        <v>-1.3753082006573401E-9</v>
      </c>
      <c r="H83" s="180">
        <f ca="1"/>
        <v>3.11118752982509E-9</v>
      </c>
      <c r="I83" s="180">
        <f ca="1"/>
        <v>-2.1729480104149E-8</v>
      </c>
      <c r="J83" s="180">
        <f ca="1"/>
        <v>3.80241413910909E-8</v>
      </c>
      <c r="K83" s="180">
        <f ca="1"/>
        <v>-1.46392530098183E-7</v>
      </c>
      <c r="L83" s="180">
        <f ca="1"/>
        <v>5.69101306635567E-7</v>
      </c>
      <c r="M83" s="180">
        <f ca="1"/>
        <v>-4.9939833313139601E-7</v>
      </c>
      <c r="N83" s="180">
        <f ca="1"/>
        <v>5.8286708792820698E-13</v>
      </c>
      <c r="O83" s="180">
        <f ca="1"/>
        <v>5.8286708792820698E-13</v>
      </c>
      <c r="P83" s="180">
        <f ca="1"/>
        <v>5.8286708792820698E-13</v>
      </c>
      <c r="Q83" s="180">
        <f ca="1"/>
        <v>5.8286708792820698E-13</v>
      </c>
      <c r="R83" s="180">
        <f ca="1"/>
        <v>5.8286708792820698E-13</v>
      </c>
      <c r="S83" s="180">
        <f ca="1"/>
        <v>-1.4135156026773301E-6</v>
      </c>
      <c r="T83" s="180">
        <f ca="1"/>
        <v>-2.7897156236189602E-6</v>
      </c>
      <c r="U83" s="180">
        <f ca="1"/>
        <v>-4.5839354035903702E-6</v>
      </c>
      <c r="V83" s="180">
        <f ca="1"/>
        <v>-3.2955402051726402E-7</v>
      </c>
      <c r="W83" s="180">
        <f ca="1"/>
        <v>-1.8287563578911501E-5</v>
      </c>
      <c r="X83" s="180">
        <f ca="1"/>
        <v>-8.8300328496826503E-6</v>
      </c>
      <c r="Y83" s="180">
        <f ca="1"/>
        <v>-1.29939721348893E-4</v>
      </c>
      <c r="Z83" s="180">
        <f ca="1"/>
        <v>2.4410320317169701E-4</v>
      </c>
      <c r="AA83" s="180">
        <f ca="1"/>
        <v>1.13605403109429E-3</v>
      </c>
      <c r="AB83" s="180">
        <f ca="1"/>
        <v>-5.6408685102260499E-5</v>
      </c>
      <c r="AC83" s="180">
        <f ca="1"/>
        <v>1.44639668014923E-5</v>
      </c>
      <c r="AD83" s="180">
        <f ca="1"/>
        <v>-2.4593888312551801E-6</v>
      </c>
      <c r="AE83" s="180">
        <f ca="1"/>
        <v>1.38761686352407E-6</v>
      </c>
      <c r="AF83" s="180">
        <f ca="1"/>
        <v>2.74289910562331E-6</v>
      </c>
      <c r="AG83" s="180">
        <f ca="1"/>
        <v>4.5099472759657602E-6</v>
      </c>
      <c r="AH83" s="180">
        <f ca="1"/>
        <v>3.2206904543308202E-7</v>
      </c>
      <c r="AI83" s="180">
        <f ca="1"/>
        <v>1.7986126019664502E-5</v>
      </c>
      <c r="AJ83" s="180">
        <f ca="1"/>
        <v>8.6737954606563895E-6</v>
      </c>
      <c r="AK83" s="180">
        <f ca="1"/>
        <v>1.27892179782929E-4</v>
      </c>
      <c r="AL83" s="180">
        <f ca="1"/>
        <v>-2.4037206863902801E-4</v>
      </c>
      <c r="AM83" s="180">
        <f ca="1"/>
        <v>-1.1173567846795001E-3</v>
      </c>
      <c r="AN83" s="180">
        <f ca="1"/>
        <v>5.5582532879627798E-5</v>
      </c>
      <c r="AO83" s="180">
        <f ca="1"/>
        <v>-1.42601663954967E-5</v>
      </c>
      <c r="AP83" s="180">
        <f ca="1"/>
        <v>2.4270104825863102E-6</v>
      </c>
      <c r="AQ83" t="str">
        <f ca="1"/>
        <v/>
      </c>
    </row>
    <row r="84" spans="2:43" x14ac:dyDescent="0.25">
      <c r="B84" s="179">
        <f ca="1"/>
        <v>49205</v>
      </c>
      <c r="C84" s="180">
        <f ca="1"/>
        <v>-8.7692455286170201E-7</v>
      </c>
      <c r="D84" s="180">
        <f ca="1"/>
        <v>8.13012990263928E-11</v>
      </c>
      <c r="E84" s="180">
        <f ca="1"/>
        <v>-3.2513747250106901E-10</v>
      </c>
      <c r="F84" s="180">
        <f ca="1"/>
        <v>8.5611684408348796E-10</v>
      </c>
      <c r="G84" s="180">
        <f ca="1"/>
        <v>-1.1015379719481199E-9</v>
      </c>
      <c r="H84" s="180">
        <f ca="1"/>
        <v>2.4919778462972898E-9</v>
      </c>
      <c r="I84" s="180">
        <f ca="1"/>
        <v>-1.95918895551372E-8</v>
      </c>
      <c r="J84" s="180">
        <f ca="1"/>
        <v>3.0456130173384097E-8</v>
      </c>
      <c r="K84" s="180">
        <f ca="1"/>
        <v>-1.1725742143919901E-7</v>
      </c>
      <c r="L84" s="180">
        <f ca="1"/>
        <v>5.2441506837031003E-7</v>
      </c>
      <c r="M84" s="180">
        <f ca="1"/>
        <v>-4.0659951305865903E-7</v>
      </c>
      <c r="N84" s="180">
        <f ca="1"/>
        <v>5.7354121452135597E-13</v>
      </c>
      <c r="O84" s="180">
        <f ca="1"/>
        <v>5.7354121452135597E-13</v>
      </c>
      <c r="P84" s="180">
        <f ca="1"/>
        <v>5.7354121452135597E-13</v>
      </c>
      <c r="Q84" s="180">
        <f ca="1"/>
        <v>5.7354121452135597E-13</v>
      </c>
      <c r="R84" s="180">
        <f ca="1"/>
        <v>5.7354121452135597E-13</v>
      </c>
      <c r="S84" s="180">
        <f ca="1"/>
        <v>-1.29152088423901E-6</v>
      </c>
      <c r="T84" s="180">
        <f ca="1"/>
        <v>-2.9900939074733999E-6</v>
      </c>
      <c r="U84" s="180">
        <f ca="1"/>
        <v>-3.8294625738233296E-6</v>
      </c>
      <c r="V84" s="180">
        <f ca="1"/>
        <v>-3.14172875115482E-6</v>
      </c>
      <c r="W84" s="180">
        <f ca="1"/>
        <v>-1.26351910126887E-5</v>
      </c>
      <c r="X84" s="180">
        <f ca="1"/>
        <v>-1.9188178484785799E-5</v>
      </c>
      <c r="Y84" s="180">
        <f ca="1"/>
        <v>-7.8370991509313397E-5</v>
      </c>
      <c r="Z84" s="180">
        <f ca="1"/>
        <v>9.1291328066289701E-5</v>
      </c>
      <c r="AA84" s="180">
        <f ca="1"/>
        <v>1.24067852339094E-3</v>
      </c>
      <c r="AB84" s="180">
        <f ca="1"/>
        <v>-3.2940745248177798E-5</v>
      </c>
      <c r="AC84" s="180">
        <f ca="1"/>
        <v>8.4462978520161192E-6</v>
      </c>
      <c r="AD84" s="180">
        <f ca="1"/>
        <v>-1.4361775705351599E-6</v>
      </c>
      <c r="AE84" s="180">
        <f ca="1"/>
        <v>1.2678315759462301E-6</v>
      </c>
      <c r="AF84" s="180">
        <f ca="1"/>
        <v>2.93994674482878E-6</v>
      </c>
      <c r="AG84" s="180">
        <f ca="1"/>
        <v>3.7675743874698899E-6</v>
      </c>
      <c r="AH84" s="180">
        <f ca="1"/>
        <v>3.0899592289301802E-6</v>
      </c>
      <c r="AI84" s="180">
        <f ca="1"/>
        <v>1.24243484819209E-5</v>
      </c>
      <c r="AJ84" s="180">
        <f ca="1"/>
        <v>1.88695263788619E-5</v>
      </c>
      <c r="AK84" s="180">
        <f ca="1"/>
        <v>7.7118578696855304E-5</v>
      </c>
      <c r="AL84" s="180">
        <f ca="1"/>
        <v>-8.9947554857805506E-5</v>
      </c>
      <c r="AM84" s="180">
        <f ca="1"/>
        <v>-1.2200932319448301E-3</v>
      </c>
      <c r="AN84" s="180">
        <f ca="1"/>
        <v>3.2457299772970001E-5</v>
      </c>
      <c r="AO84" s="180">
        <f ca="1"/>
        <v>-8.3273531855665405E-6</v>
      </c>
      <c r="AP84" s="180">
        <f ca="1"/>
        <v>1.41726835833911E-6</v>
      </c>
      <c r="AQ84" t="str">
        <f ca="1"/>
        <v/>
      </c>
    </row>
    <row r="85" spans="2:43" x14ac:dyDescent="0.25">
      <c r="B85" s="179">
        <f ca="1"/>
        <v>49296</v>
      </c>
      <c r="C85" s="180">
        <f ca="1"/>
        <v>-8.7289200234597096E-7</v>
      </c>
      <c r="D85" s="180">
        <f ca="1"/>
        <v>6.2201577222253894E-11</v>
      </c>
      <c r="E85" s="180">
        <f ca="1"/>
        <v>-2.4884183602580399E-10</v>
      </c>
      <c r="F85" s="180">
        <f ca="1"/>
        <v>6.5510408209234997E-10</v>
      </c>
      <c r="G85" s="180">
        <f ca="1"/>
        <v>-8.4280149525994799E-10</v>
      </c>
      <c r="H85" s="180">
        <f ca="1"/>
        <v>1.9067754042367799E-9</v>
      </c>
      <c r="I85" s="180">
        <f ca="1"/>
        <v>-1.7568002941281701E-8</v>
      </c>
      <c r="J85" s="180">
        <f ca="1"/>
        <v>2.3303750040781799E-8</v>
      </c>
      <c r="K85" s="180">
        <f ca="1"/>
        <v>-8.9722390517188404E-8</v>
      </c>
      <c r="L85" s="180">
        <f ca="1"/>
        <v>4.8212237979683405E-7</v>
      </c>
      <c r="M85" s="180">
        <f ca="1"/>
        <v>-3.1888601326191001E-7</v>
      </c>
      <c r="N85" s="180">
        <f ca="1"/>
        <v>5.6388227420711701E-13</v>
      </c>
      <c r="O85" s="180">
        <f ca="1"/>
        <v>5.6388227420711701E-13</v>
      </c>
      <c r="P85" s="180">
        <f ca="1"/>
        <v>5.6388227420711701E-13</v>
      </c>
      <c r="Q85" s="180">
        <f ca="1"/>
        <v>5.6388227420711701E-13</v>
      </c>
      <c r="R85" s="180">
        <f ca="1"/>
        <v>5.6388227420711701E-13</v>
      </c>
      <c r="S85" s="180">
        <f ca="1"/>
        <v>-1.1760890719081399E-6</v>
      </c>
      <c r="T85" s="180">
        <f ca="1"/>
        <v>-3.1788466853255298E-6</v>
      </c>
      <c r="U85" s="180">
        <f ca="1"/>
        <v>-3.1161674880486601E-6</v>
      </c>
      <c r="V85" s="180">
        <f ca="1"/>
        <v>-5.7977943085374398E-6</v>
      </c>
      <c r="W85" s="180">
        <f ca="1"/>
        <v>-7.2933635543170902E-6</v>
      </c>
      <c r="X85" s="180">
        <f ca="1"/>
        <v>-2.89700337051668E-5</v>
      </c>
      <c r="Y85" s="180">
        <f ca="1"/>
        <v>-2.9639025539207598E-5</v>
      </c>
      <c r="Z85" s="180">
        <f ca="1"/>
        <v>-4.89147289000069E-5</v>
      </c>
      <c r="AA85" s="180">
        <f ca="1"/>
        <v>1.3260782147330699E-3</v>
      </c>
      <c r="AB85" s="180">
        <f ca="1"/>
        <v>1.8537229918846899E-6</v>
      </c>
      <c r="AC85" s="180">
        <f ca="1"/>
        <v>-4.7531872404693598E-7</v>
      </c>
      <c r="AD85" s="180">
        <f ca="1"/>
        <v>8.0821616510462504E-8</v>
      </c>
      <c r="AE85" s="180">
        <f ca="1"/>
        <v>1.15449041548921E-6</v>
      </c>
      <c r="AF85" s="180">
        <f ca="1"/>
        <v>3.1255622885417701E-6</v>
      </c>
      <c r="AG85" s="180">
        <f ca="1"/>
        <v>3.0657200984496301E-6</v>
      </c>
      <c r="AH85" s="180">
        <f ca="1"/>
        <v>5.7042170246157704E-6</v>
      </c>
      <c r="AI85" s="180">
        <f ca="1"/>
        <v>7.1682111110194E-6</v>
      </c>
      <c r="AJ85" s="180">
        <f ca="1"/>
        <v>2.849825386253E-5</v>
      </c>
      <c r="AK85" s="180">
        <f ca="1"/>
        <v>2.91439686990191E-5</v>
      </c>
      <c r="AL85" s="180">
        <f ca="1"/>
        <v>4.8118632740346001E-5</v>
      </c>
      <c r="AM85" s="180">
        <f ca="1"/>
        <v>-1.3039289171158401E-3</v>
      </c>
      <c r="AN85" s="180">
        <f ca="1"/>
        <v>-1.8265666101857601E-6</v>
      </c>
      <c r="AO85" s="180">
        <f ca="1"/>
        <v>4.6862277292003498E-7</v>
      </c>
      <c r="AP85" s="180">
        <f ca="1"/>
        <v>-7.9756906634642606E-8</v>
      </c>
      <c r="AQ85" t="str">
        <f ca="1"/>
        <v/>
      </c>
    </row>
    <row r="86" spans="2:43" x14ac:dyDescent="0.25">
      <c r="B86" s="179">
        <f ca="1"/>
        <v>49387</v>
      </c>
      <c r="C86" s="180">
        <f ca="1"/>
        <v>-8.68868740622197E-7</v>
      </c>
      <c r="D86" s="180">
        <f ca="1"/>
        <v>4.5526471481593899E-11</v>
      </c>
      <c r="E86" s="180">
        <f ca="1"/>
        <v>-1.8222989783822599E-10</v>
      </c>
      <c r="F86" s="180">
        <f ca="1"/>
        <v>4.79606354630846E-10</v>
      </c>
      <c r="G86" s="180">
        <f ca="1"/>
        <v>-6.1690486052867796E-10</v>
      </c>
      <c r="H86" s="180">
        <f ca="1"/>
        <v>1.39585232261652E-9</v>
      </c>
      <c r="I86" s="180">
        <f ca="1"/>
        <v>-1.5793553242993102E-8</v>
      </c>
      <c r="J86" s="180">
        <f ca="1"/>
        <v>1.7059200829727699E-8</v>
      </c>
      <c r="K86" s="180">
        <f ca="1"/>
        <v>-6.5682300043334902E-8</v>
      </c>
      <c r="L86" s="180">
        <f ca="1"/>
        <v>4.4509220742394701E-7</v>
      </c>
      <c r="M86" s="180">
        <f ca="1"/>
        <v>-2.4228329087438999E-7</v>
      </c>
      <c r="N86" s="180">
        <f ca="1"/>
        <v>5.5311311086825299E-13</v>
      </c>
      <c r="O86" s="180">
        <f ca="1"/>
        <v>5.5311311086825299E-13</v>
      </c>
      <c r="P86" s="180">
        <f ca="1"/>
        <v>5.5311311086825299E-13</v>
      </c>
      <c r="Q86" s="180">
        <f ca="1"/>
        <v>5.5311311086825299E-13</v>
      </c>
      <c r="R86" s="180">
        <f ca="1"/>
        <v>5.5311311086825299E-13</v>
      </c>
      <c r="S86" s="180">
        <f ca="1"/>
        <v>-1.0750722790886501E-6</v>
      </c>
      <c r="T86" s="180">
        <f ca="1"/>
        <v>-3.3425869468972602E-6</v>
      </c>
      <c r="U86" s="180">
        <f ca="1"/>
        <v>-2.49278521602392E-6</v>
      </c>
      <c r="V86" s="180">
        <f ca="1"/>
        <v>-8.11502064457237E-6</v>
      </c>
      <c r="W86" s="180">
        <f ca="1"/>
        <v>-2.62746989521112E-6</v>
      </c>
      <c r="X86" s="180">
        <f ca="1"/>
        <v>-3.7501982038889998E-5</v>
      </c>
      <c r="Y86" s="180">
        <f ca="1"/>
        <v>1.29178190750867E-5</v>
      </c>
      <c r="Z86" s="180">
        <f ca="1"/>
        <v>-1.7063470183320599E-4</v>
      </c>
      <c r="AA86" s="180">
        <f ca="1"/>
        <v>1.38822105984315E-3</v>
      </c>
      <c r="AB86" s="180">
        <f ca="1"/>
        <v>4.9218418676999498E-5</v>
      </c>
      <c r="AC86" s="180">
        <f ca="1"/>
        <v>-1.25744587659016E-5</v>
      </c>
      <c r="AD86" s="180">
        <f ca="1"/>
        <v>2.1381475824311401E-6</v>
      </c>
      <c r="AE86" s="180">
        <f ca="1"/>
        <v>1.0553033017446401E-6</v>
      </c>
      <c r="AF86" s="180">
        <f ca="1"/>
        <v>3.28658124015835E-6</v>
      </c>
      <c r="AG86" s="180">
        <f ca="1"/>
        <v>2.4523373807205899E-6</v>
      </c>
      <c r="AH86" s="180">
        <f ca="1"/>
        <v>7.9849841343460105E-6</v>
      </c>
      <c r="AI86" s="180">
        <f ca="1"/>
        <v>2.5772239365951E-6</v>
      </c>
      <c r="AJ86" s="180">
        <f ca="1"/>
        <v>3.6896845368006297E-5</v>
      </c>
      <c r="AK86" s="180">
        <f ca="1"/>
        <v>-1.2746692048315501E-5</v>
      </c>
      <c r="AL86" s="180">
        <f ca="1"/>
        <v>1.68020593216522E-4</v>
      </c>
      <c r="AM86" s="180">
        <f ca="1"/>
        <v>-1.3649193082830901E-3</v>
      </c>
      <c r="AN86" s="180">
        <f ca="1"/>
        <v>-4.8491345784218398E-5</v>
      </c>
      <c r="AO86" s="180">
        <f ca="1"/>
        <v>1.2397691420917801E-5</v>
      </c>
      <c r="AP86" s="180">
        <f ca="1"/>
        <v>-2.1099854119466201E-6</v>
      </c>
      <c r="AQ86" t="str">
        <f ca="1"/>
        <v/>
      </c>
    </row>
    <row r="87" spans="2:43" x14ac:dyDescent="0.25">
      <c r="B87" s="179">
        <f ca="1"/>
        <v>49478</v>
      </c>
      <c r="C87" s="180">
        <f ca="1"/>
        <v>-8.6485531414215402E-7</v>
      </c>
      <c r="D87" s="180">
        <f ca="1"/>
        <v>3.14747117258207E-11</v>
      </c>
      <c r="E87" s="180">
        <f ca="1"/>
        <v>-1.2609491228943199E-10</v>
      </c>
      <c r="F87" s="180">
        <f ca="1"/>
        <v>3.3171310143131899E-10</v>
      </c>
      <c r="G87" s="180">
        <f ca="1"/>
        <v>-4.26537027919949E-10</v>
      </c>
      <c r="H87" s="180">
        <f ca="1"/>
        <v>9.6529040316539708E-10</v>
      </c>
      <c r="I87" s="180">
        <f ca="1"/>
        <v>-1.42891705134929E-8</v>
      </c>
      <c r="J87" s="180">
        <f ca="1"/>
        <v>1.17968143031888E-8</v>
      </c>
      <c r="K87" s="180">
        <f ca="1"/>
        <v>-4.5423310557346497E-8</v>
      </c>
      <c r="L87" s="180">
        <f ca="1"/>
        <v>4.13759988715512E-7</v>
      </c>
      <c r="M87" s="180">
        <f ca="1"/>
        <v>-1.7770170590569699E-7</v>
      </c>
      <c r="N87" s="180">
        <f ca="1"/>
        <v>5.4201088062200102E-13</v>
      </c>
      <c r="O87" s="180">
        <f ca="1"/>
        <v>5.4201088062200102E-13</v>
      </c>
      <c r="P87" s="180">
        <f ca="1"/>
        <v>5.4201088062200102E-13</v>
      </c>
      <c r="Q87" s="180">
        <f ca="1"/>
        <v>5.4201088062200102E-13</v>
      </c>
      <c r="R87" s="180">
        <f ca="1"/>
        <v>5.4201088062200102E-13</v>
      </c>
      <c r="S87" s="180">
        <f ca="1"/>
        <v>-9.8966123351917901E-7</v>
      </c>
      <c r="T87" s="180">
        <f ca="1"/>
        <v>-3.4793152455803201E-6</v>
      </c>
      <c r="U87" s="180">
        <f ca="1"/>
        <v>-1.9666839222720599E-6</v>
      </c>
      <c r="V87" s="180">
        <f ca="1"/>
        <v>-1.00658813066978E-5</v>
      </c>
      <c r="W87" s="180">
        <f ca="1"/>
        <v>1.3073187585810299E-6</v>
      </c>
      <c r="X87" s="180">
        <f ca="1"/>
        <v>-4.4682621041403101E-5</v>
      </c>
      <c r="Y87" s="180">
        <f ca="1"/>
        <v>4.8794873678481599E-5</v>
      </c>
      <c r="Z87" s="180">
        <f ca="1"/>
        <v>-2.7318490080052699E-4</v>
      </c>
      <c r="AA87" s="180">
        <f ca="1"/>
        <v>1.4271068276205899E-3</v>
      </c>
      <c r="AB87" s="180">
        <f ca="1"/>
        <v>1.0858278480696501E-4</v>
      </c>
      <c r="AC87" s="180">
        <f ca="1"/>
        <v>-2.7475956468459E-5</v>
      </c>
      <c r="AD87" s="180">
        <f ca="1"/>
        <v>4.6720352460116701E-6</v>
      </c>
      <c r="AE87" s="180">
        <f ca="1"/>
        <v>9.7143938815324994E-7</v>
      </c>
      <c r="AF87" s="180">
        <f ca="1"/>
        <v>3.4210373540677399E-6</v>
      </c>
      <c r="AG87" s="180">
        <f ca="1"/>
        <v>1.9346757775817702E-6</v>
      </c>
      <c r="AH87" s="180">
        <f ca="1"/>
        <v>9.9051612346690004E-6</v>
      </c>
      <c r="AI87" s="180">
        <f ca="1"/>
        <v>-1.29435103457531E-6</v>
      </c>
      <c r="AJ87" s="180">
        <f ca="1"/>
        <v>4.39654020834013E-5</v>
      </c>
      <c r="AK87" s="180">
        <f ca="1"/>
        <v>-4.8058609019352398E-5</v>
      </c>
      <c r="AL87" s="180">
        <f ca="1"/>
        <v>2.6906818347649498E-4</v>
      </c>
      <c r="AM87" s="180">
        <f ca="1"/>
        <v>-1.40307583769717E-3</v>
      </c>
      <c r="AN87" s="180">
        <f ca="1"/>
        <v>-1.0697051149499701E-4</v>
      </c>
      <c r="AO87" s="180">
        <f ca="1"/>
        <v>2.7090233539861501E-5</v>
      </c>
      <c r="AP87" s="180">
        <f ca="1"/>
        <v>-4.6104840327743099E-6</v>
      </c>
      <c r="AQ87" t="str">
        <f ca="1"/>
        <v/>
      </c>
    </row>
    <row r="88" spans="2:43" x14ac:dyDescent="0.25">
      <c r="B88" s="179">
        <f ca="1"/>
        <v>49569</v>
      </c>
      <c r="C88" s="180">
        <f ca="1"/>
        <v>-8.6085275119440805E-7</v>
      </c>
      <c r="D88" s="180">
        <f ca="1"/>
        <v>1.9949486507187001E-11</v>
      </c>
      <c r="E88" s="180">
        <f ca="1"/>
        <v>-8.0051298922967401E-11</v>
      </c>
      <c r="F88" s="180">
        <f ca="1"/>
        <v>2.1040824638163299E-10</v>
      </c>
      <c r="G88" s="180">
        <f ca="1"/>
        <v>-2.7039104288917299E-10</v>
      </c>
      <c r="H88" s="180">
        <f ca="1"/>
        <v>6.1213301094653595E-10</v>
      </c>
      <c r="I88" s="180">
        <f ca="1"/>
        <v>-1.3045048929960499E-8</v>
      </c>
      <c r="J88" s="180">
        <f ca="1"/>
        <v>7.4804566985164894E-9</v>
      </c>
      <c r="K88" s="180">
        <f ca="1"/>
        <v>-2.8806315222062999E-8</v>
      </c>
      <c r="L88" s="180">
        <f ca="1"/>
        <v>3.8791759315870401E-7</v>
      </c>
      <c r="M88" s="180">
        <f ca="1"/>
        <v>-1.2469939247861101E-7</v>
      </c>
      <c r="N88" s="180">
        <f ca="1"/>
        <v>5.3002047195605004E-13</v>
      </c>
      <c r="O88" s="180">
        <f ca="1"/>
        <v>5.3002047195605004E-13</v>
      </c>
      <c r="P88" s="180">
        <f ca="1"/>
        <v>5.3002047195605004E-13</v>
      </c>
      <c r="Q88" s="180">
        <f ca="1"/>
        <v>5.3002047195605004E-13</v>
      </c>
      <c r="R88" s="180">
        <f ca="1"/>
        <v>5.3002047195605004E-13</v>
      </c>
      <c r="S88" s="180">
        <f ca="1"/>
        <v>-9.19285104594714E-7</v>
      </c>
      <c r="T88" s="180">
        <f ca="1"/>
        <v>-3.59003969485627E-6</v>
      </c>
      <c r="U88" s="180">
        <f ca="1"/>
        <v>-1.5342952948138599E-6</v>
      </c>
      <c r="V88" s="180">
        <f ca="1"/>
        <v>-1.1663869156186599E-5</v>
      </c>
      <c r="W88" s="180">
        <f ca="1"/>
        <v>4.5378381413607701E-6</v>
      </c>
      <c r="X88" s="180">
        <f ca="1"/>
        <v>-5.0561767912293797E-5</v>
      </c>
      <c r="Y88" s="180">
        <f ca="1"/>
        <v>7.8236758057181901E-5</v>
      </c>
      <c r="Z88" s="180">
        <f ca="1"/>
        <v>-3.5727683112230001E-4</v>
      </c>
      <c r="AA88" s="180">
        <f ca="1"/>
        <v>1.4438519763694301E-3</v>
      </c>
      <c r="AB88" s="180">
        <f ca="1"/>
        <v>1.7885631179359601E-4</v>
      </c>
      <c r="AC88" s="180">
        <f ca="1"/>
        <v>-4.4615147555160397E-5</v>
      </c>
      <c r="AD88" s="180">
        <f ca="1"/>
        <v>7.5864968911432104E-6</v>
      </c>
      <c r="AE88" s="180">
        <f ca="1"/>
        <v>9.0233817029439202E-7</v>
      </c>
      <c r="AF88" s="180">
        <f ca="1"/>
        <v>3.5299219538487098E-6</v>
      </c>
      <c r="AG88" s="180">
        <f ca="1"/>
        <v>1.50922386688013E-6</v>
      </c>
      <c r="AH88" s="180">
        <f ca="1"/>
        <v>1.1478023686506399E-5</v>
      </c>
      <c r="AI88" s="180">
        <f ca="1"/>
        <v>-4.4729392220110904E-6</v>
      </c>
      <c r="AJ88" s="180">
        <f ca="1"/>
        <v>4.97528915939238E-5</v>
      </c>
      <c r="AK88" s="180">
        <f ca="1"/>
        <v>-7.7034280650534206E-5</v>
      </c>
      <c r="AL88" s="180">
        <f ca="1"/>
        <v>3.5194818680883699E-4</v>
      </c>
      <c r="AM88" s="180">
        <f ca="1"/>
        <v>-1.4195018620649601E-3</v>
      </c>
      <c r="AN88" s="180">
        <f ca="1"/>
        <v>-1.7618461401869301E-4</v>
      </c>
      <c r="AO88" s="180">
        <f ca="1"/>
        <v>4.3989790223575298E-5</v>
      </c>
      <c r="AP88" s="180">
        <f ca="1"/>
        <v>-7.4865215640151899E-6</v>
      </c>
      <c r="AQ88" t="str">
        <f ca="1"/>
        <v/>
      </c>
    </row>
    <row r="89" spans="2:43" x14ac:dyDescent="0.25">
      <c r="B89" s="179">
        <f ca="1"/>
        <v>49660</v>
      </c>
      <c r="C89" s="180">
        <f ca="1"/>
        <v>-8.5686209694291204E-7</v>
      </c>
      <c r="D89" s="180">
        <f ca="1"/>
        <v>1.0842549080791699E-11</v>
      </c>
      <c r="E89" s="180">
        <f ca="1"/>
        <v>-4.3666625870741901E-11</v>
      </c>
      <c r="F89" s="180">
        <f ca="1"/>
        <v>1.1455247861391601E-10</v>
      </c>
      <c r="G89" s="180">
        <f ca="1"/>
        <v>-1.4699985673161101E-10</v>
      </c>
      <c r="H89" s="180">
        <f ca="1"/>
        <v>3.33062244450844E-10</v>
      </c>
      <c r="I89" s="180">
        <f ca="1"/>
        <v>-1.2050155429044199E-8</v>
      </c>
      <c r="J89" s="180">
        <f ca="1"/>
        <v>4.0695780079147401E-9</v>
      </c>
      <c r="K89" s="180">
        <f ca="1"/>
        <v>-1.56752067992372E-8</v>
      </c>
      <c r="L89" s="180">
        <f ca="1"/>
        <v>3.6733083574880302E-7</v>
      </c>
      <c r="M89" s="180">
        <f ca="1"/>
        <v>-8.2780397092641094E-8</v>
      </c>
      <c r="N89" s="180">
        <f ca="1"/>
        <v>5.1758597408024798E-13</v>
      </c>
      <c r="O89" s="180">
        <f ca="1"/>
        <v>5.1758597408024798E-13</v>
      </c>
      <c r="P89" s="180">
        <f ca="1"/>
        <v>5.1758597408024798E-13</v>
      </c>
      <c r="Q89" s="180">
        <f ca="1"/>
        <v>5.1758597408024798E-13</v>
      </c>
      <c r="R89" s="180">
        <f ca="1"/>
        <v>5.1758597408024798E-13</v>
      </c>
      <c r="S89" s="180">
        <f ca="1"/>
        <v>-8.6330188120431504E-7</v>
      </c>
      <c r="T89" s="180">
        <f ca="1"/>
        <v>-3.67588502958593E-6</v>
      </c>
      <c r="U89" s="180">
        <f ca="1"/>
        <v>-1.19161264811041E-6</v>
      </c>
      <c r="V89" s="180">
        <f ca="1"/>
        <v>-1.29241049515727E-5</v>
      </c>
      <c r="W89" s="180">
        <f ca="1"/>
        <v>7.0941999019691304E-6</v>
      </c>
      <c r="X89" s="180">
        <f ca="1"/>
        <v>-5.51952286619306E-5</v>
      </c>
      <c r="Y89" s="180">
        <f ca="1"/>
        <v>1.0151815285997E-4</v>
      </c>
      <c r="Z89" s="180">
        <f ca="1"/>
        <v>-4.2370589311602203E-4</v>
      </c>
      <c r="AA89" s="180">
        <f ca="1"/>
        <v>1.43968211992085E-3</v>
      </c>
      <c r="AB89" s="180">
        <f ca="1"/>
        <v>2.5887596013052201E-4</v>
      </c>
      <c r="AC89" s="180">
        <f ca="1"/>
        <v>-6.3396766363243997E-5</v>
      </c>
      <c r="AD89" s="180">
        <f ca="1"/>
        <v>1.07803360299696E-5</v>
      </c>
      <c r="AE89" s="180">
        <f ca="1"/>
        <v>8.4736925354267399E-7</v>
      </c>
      <c r="AF89" s="180">
        <f ca="1"/>
        <v>3.6143410523381501E-6</v>
      </c>
      <c r="AG89" s="180">
        <f ca="1"/>
        <v>1.17203896377038E-6</v>
      </c>
      <c r="AH89" s="180">
        <f ca="1"/>
        <v>1.27184502564104E-5</v>
      </c>
      <c r="AI89" s="180">
        <f ca="1"/>
        <v>-6.9881849176223199E-6</v>
      </c>
      <c r="AJ89" s="180">
        <f ca="1"/>
        <v>5.4314191949123001E-5</v>
      </c>
      <c r="AK89" s="180">
        <f ca="1"/>
        <v>-9.9945423432945505E-5</v>
      </c>
      <c r="AL89" s="180">
        <f ca="1"/>
        <v>4.1743309336317303E-4</v>
      </c>
      <c r="AM89" s="180">
        <f ca="1"/>
        <v>-1.4154038883371601E-3</v>
      </c>
      <c r="AN89" s="180">
        <f ca="1"/>
        <v>-2.5498250854716402E-4</v>
      </c>
      <c r="AO89" s="180">
        <f ca="1"/>
        <v>6.2509678757982593E-5</v>
      </c>
      <c r="AP89" s="180">
        <f ca="1"/>
        <v>-1.06382281560569E-5</v>
      </c>
      <c r="AQ89" t="str">
        <f ca="1"/>
        <v/>
      </c>
    </row>
    <row r="90" spans="2:43" x14ac:dyDescent="0.25">
      <c r="B90" s="179">
        <f ca="1"/>
        <v>49751</v>
      </c>
      <c r="C90" s="180">
        <f ca="1"/>
        <v>-8.5288441342701304E-7</v>
      </c>
      <c r="D90" s="180">
        <f ca="1"/>
        <v>4.0338843376730397E-12</v>
      </c>
      <c r="E90" s="180">
        <f ca="1"/>
        <v>-1.6462720076049199E-11</v>
      </c>
      <c r="F90" s="180">
        <f ca="1"/>
        <v>4.2885028861405798E-11</v>
      </c>
      <c r="G90" s="180">
        <f ca="1"/>
        <v>-5.4741322585982698E-11</v>
      </c>
      <c r="H90" s="180">
        <f ca="1"/>
        <v>1.2440881658193299E-10</v>
      </c>
      <c r="I90" s="180">
        <f ca="1"/>
        <v>-1.12922632355961E-8</v>
      </c>
      <c r="J90" s="180">
        <f ca="1"/>
        <v>1.5193332147944699E-9</v>
      </c>
      <c r="K90" s="180">
        <f ca="1"/>
        <v>-5.8573426109376198E-9</v>
      </c>
      <c r="L90" s="180">
        <f ca="1"/>
        <v>3.5174018842010202E-7</v>
      </c>
      <c r="M90" s="180">
        <f ca="1"/>
        <v>-5.1396157108030099E-8</v>
      </c>
      <c r="N90" s="180">
        <f ca="1"/>
        <v>5.0448534238967103E-13</v>
      </c>
      <c r="O90" s="180">
        <f ca="1"/>
        <v>5.0448534238967103E-13</v>
      </c>
      <c r="P90" s="180">
        <f ca="1"/>
        <v>5.0448534238967103E-13</v>
      </c>
      <c r="Q90" s="180">
        <f ca="1"/>
        <v>5.0448534238967103E-13</v>
      </c>
      <c r="R90" s="180">
        <f ca="1"/>
        <v>5.0448534238967103E-13</v>
      </c>
      <c r="S90" s="180">
        <f ca="1"/>
        <v>-8.2100031417731103E-7</v>
      </c>
      <c r="T90" s="180">
        <f ca="1"/>
        <v>-3.7380893938010499E-6</v>
      </c>
      <c r="U90" s="180">
        <f ca="1"/>
        <v>-9.3420291025214705E-7</v>
      </c>
      <c r="V90" s="180">
        <f ca="1"/>
        <v>-1.38632927674243E-5</v>
      </c>
      <c r="W90" s="180">
        <f ca="1"/>
        <v>9.0097018718981997E-6</v>
      </c>
      <c r="X90" s="180">
        <f ca="1"/>
        <v>-5.8644634277182903E-5</v>
      </c>
      <c r="Y90" s="180">
        <f ca="1"/>
        <v>1.18942969608016E-4</v>
      </c>
      <c r="Z90" s="180">
        <f ca="1"/>
        <v>-4.7334914458396798E-4</v>
      </c>
      <c r="AA90" s="180">
        <f ca="1"/>
        <v>1.4159287311299501E-3</v>
      </c>
      <c r="AB90" s="180">
        <f ca="1"/>
        <v>3.4740810490252499E-4</v>
      </c>
      <c r="AC90" s="180">
        <f ca="1"/>
        <v>-8.3195866249385894E-5</v>
      </c>
      <c r="AD90" s="180">
        <f ca="1"/>
        <v>1.41473001449288E-5</v>
      </c>
      <c r="AE90" s="180">
        <f ca="1"/>
        <v>8.05834260986238E-7</v>
      </c>
      <c r="AF90" s="180">
        <f ca="1"/>
        <v>3.67551219193629E-6</v>
      </c>
      <c r="AG90" s="180">
        <f ca="1"/>
        <v>9.1875891139459E-7</v>
      </c>
      <c r="AH90" s="180">
        <f ca="1"/>
        <v>1.36428791647214E-5</v>
      </c>
      <c r="AI90" s="180">
        <f ca="1"/>
        <v>-8.8728632846590793E-6</v>
      </c>
      <c r="AJ90" s="180">
        <f ca="1"/>
        <v>5.7709929401128499E-5</v>
      </c>
      <c r="AK90" s="180">
        <f ca="1"/>
        <v>-1.17092179138911E-4</v>
      </c>
      <c r="AL90" s="180">
        <f ca="1"/>
        <v>4.6637869685572898E-4</v>
      </c>
      <c r="AM90" s="180">
        <f ca="1"/>
        <v>-1.3920888808999199E-3</v>
      </c>
      <c r="AN90" s="180">
        <f ca="1"/>
        <v>-3.42143635038483E-4</v>
      </c>
      <c r="AO90" s="180">
        <f ca="1"/>
        <v>8.2033863065156295E-5</v>
      </c>
      <c r="AP90" s="180">
        <f ca="1"/>
        <v>-1.39607471184577E-5</v>
      </c>
      <c r="AQ90" t="str">
        <f ca="1"/>
        <v/>
      </c>
    </row>
    <row r="91" spans="2:43" x14ac:dyDescent="0.25">
      <c r="B91" s="179">
        <f ca="1"/>
        <v>49843</v>
      </c>
      <c r="C91" s="180">
        <f ca="1"/>
        <v>-8.4887730389393599E-7</v>
      </c>
      <c r="D91" s="180">
        <f ca="1"/>
        <v>-6.4670491184415399E-13</v>
      </c>
      <c r="E91" s="180">
        <f ca="1"/>
        <v>2.2415402867181898E-12</v>
      </c>
      <c r="F91" s="180">
        <f ca="1"/>
        <v>-6.3876681721808398E-12</v>
      </c>
      <c r="G91" s="180">
        <f ca="1"/>
        <v>8.69293526051251E-12</v>
      </c>
      <c r="H91" s="180">
        <f ca="1"/>
        <v>-1.90485405227037E-11</v>
      </c>
      <c r="I91" s="180">
        <f ca="1"/>
        <v>-1.07533029147788E-8</v>
      </c>
      <c r="J91" s="180">
        <f ca="1"/>
        <v>-2.34089969630702E-10</v>
      </c>
      <c r="K91" s="180">
        <f ca="1"/>
        <v>8.9293961114123001E-10</v>
      </c>
      <c r="L91" s="180">
        <f ca="1"/>
        <v>3.4076698351981302E-7</v>
      </c>
      <c r="M91" s="180">
        <f ca="1"/>
        <v>-2.97640717628056E-8</v>
      </c>
      <c r="N91" s="180">
        <f ca="1"/>
        <v>4.9071857688431899E-13</v>
      </c>
      <c r="O91" s="180">
        <f ca="1"/>
        <v>4.9071857688431899E-13</v>
      </c>
      <c r="P91" s="180">
        <f ca="1"/>
        <v>4.9071857688431899E-13</v>
      </c>
      <c r="Q91" s="180">
        <f ca="1"/>
        <v>4.9071857688431899E-13</v>
      </c>
      <c r="R91" s="180">
        <f ca="1"/>
        <v>4.9071857688431899E-13</v>
      </c>
      <c r="S91" s="180">
        <f ca="1"/>
        <v>-7.9134736585828602E-7</v>
      </c>
      <c r="T91" s="180">
        <f ca="1"/>
        <v>-3.7783212495368099E-6</v>
      </c>
      <c r="U91" s="180">
        <f ca="1"/>
        <v>-7.5570114466128004E-7</v>
      </c>
      <c r="V91" s="180">
        <f ca="1"/>
        <v>-1.4505059303115999E-5</v>
      </c>
      <c r="W91" s="180">
        <f ca="1"/>
        <v>1.03319326908435E-5</v>
      </c>
      <c r="X91" s="180">
        <f ca="1"/>
        <v>-6.0996975122296098E-5</v>
      </c>
      <c r="Y91" s="180">
        <f ca="1"/>
        <v>1.3094493184495599E-4</v>
      </c>
      <c r="Z91" s="180">
        <f ca="1"/>
        <v>-5.0745054824541402E-4</v>
      </c>
      <c r="AA91" s="180">
        <f ca="1"/>
        <v>1.37347018985368E-3</v>
      </c>
      <c r="AB91" s="180">
        <f ca="1"/>
        <v>4.44237567042705E-4</v>
      </c>
      <c r="AC91" s="180">
        <f ca="1"/>
        <v>-1.03579791456587E-4</v>
      </c>
      <c r="AD91" s="180">
        <f ca="1"/>
        <v>1.7613827143603301E-5</v>
      </c>
      <c r="AE91" s="180">
        <f ca="1"/>
        <v>7.7671886422603396E-7</v>
      </c>
      <c r="AF91" s="180">
        <f ca="1"/>
        <v>3.7150760953119601E-6</v>
      </c>
      <c r="AG91" s="180">
        <f ca="1"/>
        <v>7.4312074638260796E-7</v>
      </c>
      <c r="AH91" s="180">
        <f ca="1"/>
        <v>1.42745634386099E-5</v>
      </c>
      <c r="AI91" s="180">
        <f ca="1"/>
        <v>-1.01738064975931E-5</v>
      </c>
      <c r="AJ91" s="180">
        <f ca="1"/>
        <v>6.0025708181865603E-5</v>
      </c>
      <c r="AK91" s="180">
        <f ca="1"/>
        <v>-1.2890211452043501E-4</v>
      </c>
      <c r="AL91" s="180">
        <f ca="1"/>
        <v>5.0000514141446096E-4</v>
      </c>
      <c r="AM91" s="180">
        <f ca="1"/>
        <v>-1.3504162472337501E-3</v>
      </c>
      <c r="AN91" s="180">
        <f ca="1"/>
        <v>-4.3745014745710797E-4</v>
      </c>
      <c r="AO91" s="180">
        <f ca="1"/>
        <v>1.02135830751804E-4</v>
      </c>
      <c r="AP91" s="180">
        <f ca="1"/>
        <v>-1.7381483473077899E-5</v>
      </c>
      <c r="AQ91" t="str">
        <f ca="1"/>
        <v/>
      </c>
    </row>
    <row r="92" spans="2:43" x14ac:dyDescent="0.25">
      <c r="B92" s="179">
        <f ca="1"/>
        <v>49935</v>
      </c>
      <c r="C92" s="180">
        <f ca="1"/>
        <v>-8.4488568274920805E-7</v>
      </c>
      <c r="D92" s="180">
        <f ca="1"/>
        <v>-3.2587266218797599E-12</v>
      </c>
      <c r="E92" s="180">
        <f ca="1"/>
        <v>1.2681855565688199E-11</v>
      </c>
      <c r="F92" s="180">
        <f ca="1"/>
        <v>-3.3888114536750897E-11</v>
      </c>
      <c r="G92" s="180">
        <f ca="1"/>
        <v>4.4104275787049099E-11</v>
      </c>
      <c r="H92" s="180">
        <f ca="1"/>
        <v>-9.9122265950768503E-11</v>
      </c>
      <c r="I92" s="180">
        <f ca="1"/>
        <v>-1.04278907731015E-8</v>
      </c>
      <c r="J92" s="180">
        <f ca="1"/>
        <v>-1.2128428261704E-9</v>
      </c>
      <c r="K92" s="180">
        <f ca="1"/>
        <v>4.6609167636546503E-9</v>
      </c>
      <c r="L92" s="180">
        <f ca="1"/>
        <v>3.3429128043493998E-7</v>
      </c>
      <c r="M92" s="180">
        <f ca="1"/>
        <v>-1.76151530029145E-8</v>
      </c>
      <c r="N92" s="180">
        <f ca="1"/>
        <v>4.7628567756419195E-13</v>
      </c>
      <c r="O92" s="180">
        <f ca="1"/>
        <v>4.7628567756419195E-13</v>
      </c>
      <c r="P92" s="180">
        <f ca="1"/>
        <v>4.7628567756419195E-13</v>
      </c>
      <c r="Q92" s="180">
        <f ca="1"/>
        <v>4.7628567756419195E-13</v>
      </c>
      <c r="R92" s="180">
        <f ca="1"/>
        <v>4.7628567756419195E-13</v>
      </c>
      <c r="S92" s="180">
        <f ca="1"/>
        <v>-7.7401003595323203E-7</v>
      </c>
      <c r="T92" s="180">
        <f ca="1"/>
        <v>-3.79727267574292E-6</v>
      </c>
      <c r="U92" s="180">
        <f ca="1"/>
        <v>-6.5397348825157998E-7</v>
      </c>
      <c r="V92" s="180">
        <f ca="1"/>
        <v>-1.4857737917761701E-5</v>
      </c>
      <c r="W92" s="180">
        <f ca="1"/>
        <v>1.1077082310961801E-5</v>
      </c>
      <c r="X92" s="180">
        <f ca="1"/>
        <v>-6.2283141603613993E-5</v>
      </c>
      <c r="Y92" s="180">
        <f ca="1"/>
        <v>1.3767267052189301E-4</v>
      </c>
      <c r="Z92" s="180">
        <f ca="1"/>
        <v>-5.2644177018168503E-4</v>
      </c>
      <c r="AA92" s="180">
        <f ca="1"/>
        <v>1.3140462950178601E-3</v>
      </c>
      <c r="AB92" s="180">
        <f ca="1"/>
        <v>5.4702130010864103E-4</v>
      </c>
      <c r="AC92" s="180">
        <f ca="1"/>
        <v>-1.2363092258926801E-4</v>
      </c>
      <c r="AD92" s="180">
        <f ca="1"/>
        <v>2.10238685326436E-5</v>
      </c>
      <c r="AE92" s="180">
        <f ca="1"/>
        <v>7.5969608281933898E-7</v>
      </c>
      <c r="AF92" s="180">
        <f ca="1"/>
        <v>3.7337133188541901E-6</v>
      </c>
      <c r="AG92" s="180">
        <f ca="1"/>
        <v>6.4302475755173603E-7</v>
      </c>
      <c r="AH92" s="180">
        <f ca="1"/>
        <v>1.46217038543561E-5</v>
      </c>
      <c r="AI92" s="180">
        <f ca="1"/>
        <v>-1.09069502782777E-5</v>
      </c>
      <c r="AJ92" s="180">
        <f ca="1"/>
        <v>6.1291915764871696E-5</v>
      </c>
      <c r="AK92" s="180">
        <f ca="1"/>
        <v>-1.35521994377497E-4</v>
      </c>
      <c r="AL92" s="180">
        <f ca="1"/>
        <v>5.1873382017098002E-4</v>
      </c>
      <c r="AM92" s="180">
        <f ca="1"/>
        <v>-1.2920885440526101E-3</v>
      </c>
      <c r="AN92" s="180">
        <f ca="1"/>
        <v>-5.3859021435942499E-4</v>
      </c>
      <c r="AO92" s="180">
        <f ca="1"/>
        <v>1.21910689847793E-4</v>
      </c>
      <c r="AP92" s="180">
        <f ca="1"/>
        <v>-2.07464490280529E-5</v>
      </c>
      <c r="AQ92" t="str">
        <f ca="1"/>
        <v/>
      </c>
    </row>
    <row r="93" spans="2:43" x14ac:dyDescent="0.25">
      <c r="B93" s="179">
        <f ca="1"/>
        <v>50026</v>
      </c>
      <c r="C93" s="180">
        <f ca="1"/>
        <v>-8.4095380725735001E-7</v>
      </c>
      <c r="D93" s="180">
        <f ca="1"/>
        <v>-3.9618308633748703E-12</v>
      </c>
      <c r="E93" s="180">
        <f ca="1"/>
        <v>1.54959378662056E-11</v>
      </c>
      <c r="F93" s="180">
        <f ca="1"/>
        <v>-4.1296410735469603E-11</v>
      </c>
      <c r="G93" s="180">
        <f ca="1"/>
        <v>5.3653859133362403E-11</v>
      </c>
      <c r="H93" s="180">
        <f ca="1"/>
        <v>-1.2070200394731501E-10</v>
      </c>
      <c r="I93" s="180">
        <f ca="1"/>
        <v>-1.03002677498409E-8</v>
      </c>
      <c r="J93" s="180">
        <f ca="1"/>
        <v>-1.4766805556121201E-9</v>
      </c>
      <c r="K93" s="180">
        <f ca="1"/>
        <v>5.6766313871747798E-9</v>
      </c>
      <c r="L93" s="180">
        <f ca="1"/>
        <v>3.3197443527477301E-7</v>
      </c>
      <c r="M93" s="180">
        <f ca="1"/>
        <v>-1.4220054911362501E-8</v>
      </c>
      <c r="N93" s="180">
        <f ca="1"/>
        <v>4.6151971133667798E-13</v>
      </c>
      <c r="O93" s="180">
        <f ca="1"/>
        <v>4.6151971133667798E-13</v>
      </c>
      <c r="P93" s="180">
        <f ca="1"/>
        <v>4.6151971133667798E-13</v>
      </c>
      <c r="Q93" s="180">
        <f ca="1"/>
        <v>4.6151971133667798E-13</v>
      </c>
      <c r="R93" s="180">
        <f ca="1"/>
        <v>4.6151971133667798E-13</v>
      </c>
      <c r="S93" s="180">
        <f ca="1"/>
        <v>-7.6805659654510805E-7</v>
      </c>
      <c r="T93" s="180">
        <f ca="1"/>
        <v>-3.7966643983145002E-6</v>
      </c>
      <c r="U93" s="180">
        <f ca="1"/>
        <v>-6.2315864846063096E-7</v>
      </c>
      <c r="V93" s="180">
        <f ca="1"/>
        <v>-1.49436764788069E-5</v>
      </c>
      <c r="W93" s="180">
        <f ca="1"/>
        <v>1.1289340115294699E-5</v>
      </c>
      <c r="X93" s="180">
        <f ca="1"/>
        <v>-6.2585698103800893E-5</v>
      </c>
      <c r="Y93" s="180">
        <f ca="1"/>
        <v>1.3953078480777301E-4</v>
      </c>
      <c r="Z93" s="180">
        <f ca="1"/>
        <v>-5.3148628736154901E-4</v>
      </c>
      <c r="AA93" s="180">
        <f ca="1"/>
        <v>1.2402303074980901E-3</v>
      </c>
      <c r="AB93" s="180">
        <f ca="1"/>
        <v>6.5309190322604405E-4</v>
      </c>
      <c r="AC93" s="180">
        <f ca="1"/>
        <v>-1.42418492239282E-4</v>
      </c>
      <c r="AD93" s="180">
        <f ca="1"/>
        <v>2.4219120020818601E-5</v>
      </c>
      <c r="AE93" s="180">
        <f ca="1"/>
        <v>7.5385105291481104E-7</v>
      </c>
      <c r="AF93" s="180">
        <f ca="1"/>
        <v>3.73311597112735E-6</v>
      </c>
      <c r="AG93" s="180">
        <f ca="1"/>
        <v>6.12703667024483E-7</v>
      </c>
      <c r="AH93" s="180">
        <f ca="1"/>
        <v>1.47062961345368E-5</v>
      </c>
      <c r="AI93" s="180">
        <f ca="1"/>
        <v>-1.1115776559655901E-5</v>
      </c>
      <c r="AJ93" s="180">
        <f ca="1"/>
        <v>6.1589818799001605E-5</v>
      </c>
      <c r="AK93" s="180">
        <f ca="1"/>
        <v>-1.3735022687821899E-4</v>
      </c>
      <c r="AL93" s="180">
        <f ca="1"/>
        <v>5.2370962866044003E-4</v>
      </c>
      <c r="AM93" s="180">
        <f ca="1"/>
        <v>-1.2196249838578601E-3</v>
      </c>
      <c r="AN93" s="180">
        <f ca="1"/>
        <v>-6.4293505469437096E-4</v>
      </c>
      <c r="AO93" s="180">
        <f ca="1"/>
        <v>1.4044038712191E-4</v>
      </c>
      <c r="AP93" s="180">
        <f ca="1"/>
        <v>-2.38994352398381E-5</v>
      </c>
      <c r="AQ93" t="str">
        <f ca="1"/>
        <v/>
      </c>
    </row>
    <row r="94" spans="2:43" x14ac:dyDescent="0.25">
      <c r="B94" s="179">
        <f ca="1"/>
        <v>50116</v>
      </c>
      <c r="C94" s="180">
        <f ca="1"/>
        <v>-8.3708224452028201E-7</v>
      </c>
      <c r="D94" s="180">
        <f ca="1"/>
        <v>-2.9776181520446698E-12</v>
      </c>
      <c r="E94" s="180">
        <f ca="1"/>
        <v>1.15690790281064E-11</v>
      </c>
      <c r="F94" s="180">
        <f ca="1"/>
        <v>-3.09451353430745E-11</v>
      </c>
      <c r="G94" s="180">
        <f ca="1"/>
        <v>4.0344727558761003E-11</v>
      </c>
      <c r="H94" s="180">
        <f ca="1"/>
        <v>-9.0578877731672895E-11</v>
      </c>
      <c r="I94" s="180">
        <f ca="1"/>
        <v>-1.03476456292384E-8</v>
      </c>
      <c r="J94" s="180">
        <f ca="1"/>
        <v>-1.1086066509236E-9</v>
      </c>
      <c r="K94" s="180">
        <f ca="1"/>
        <v>4.2596302041175696E-9</v>
      </c>
      <c r="L94" s="180">
        <f ca="1"/>
        <v>3.3333386051381798E-7</v>
      </c>
      <c r="M94" s="180">
        <f ca="1"/>
        <v>-1.8562961057177999E-8</v>
      </c>
      <c r="N94" s="180">
        <f ca="1"/>
        <v>4.4664272280670002E-13</v>
      </c>
      <c r="O94" s="180">
        <f ca="1"/>
        <v>4.4664272280670002E-13</v>
      </c>
      <c r="P94" s="180">
        <f ca="1"/>
        <v>4.4664272280670002E-13</v>
      </c>
      <c r="Q94" s="180">
        <f ca="1"/>
        <v>4.4664272280670002E-13</v>
      </c>
      <c r="R94" s="180">
        <f ca="1"/>
        <v>4.4664272280670002E-13</v>
      </c>
      <c r="S94" s="180">
        <f ca="1"/>
        <v>-7.7216560390169796E-7</v>
      </c>
      <c r="T94" s="180">
        <f ca="1"/>
        <v>-3.77876587476234E-6</v>
      </c>
      <c r="U94" s="180">
        <f ca="1"/>
        <v>-6.5503862600735395E-7</v>
      </c>
      <c r="V94" s="180">
        <f ca="1"/>
        <v>-1.4793750345965E-5</v>
      </c>
      <c r="W94" s="180">
        <f ca="1"/>
        <v>1.1030385529853201E-5</v>
      </c>
      <c r="X94" s="180">
        <f ca="1"/>
        <v>-6.2018490620818794E-5</v>
      </c>
      <c r="Y94" s="180">
        <f ca="1"/>
        <v>1.3708288481095699E-4</v>
      </c>
      <c r="Z94" s="180">
        <f ca="1"/>
        <v>-5.2419874309494996E-4</v>
      </c>
      <c r="AA94" s="180">
        <f ca="1"/>
        <v>1.1542108961879499E-3</v>
      </c>
      <c r="AB94" s="180">
        <f ca="1"/>
        <v>7.6083121559744604E-4</v>
      </c>
      <c r="AC94" s="180">
        <f ca="1"/>
        <v>-1.5925340201106101E-4</v>
      </c>
      <c r="AD94" s="180">
        <f ca="1"/>
        <v>2.7082361900410101E-5</v>
      </c>
      <c r="AE94" s="180">
        <f ca="1"/>
        <v>7.57886258972995E-7</v>
      </c>
      <c r="AF94" s="180">
        <f ca="1"/>
        <v>3.71551578393081E-6</v>
      </c>
      <c r="AG94" s="180">
        <f ca="1"/>
        <v>6.4407134237054496E-7</v>
      </c>
      <c r="AH94" s="180">
        <f ca="1"/>
        <v>1.45587301447758E-5</v>
      </c>
      <c r="AI94" s="180">
        <f ca="1"/>
        <v>-1.0860973299053901E-5</v>
      </c>
      <c r="AJ94" s="180">
        <f ca="1"/>
        <v>6.1031487778251403E-5</v>
      </c>
      <c r="AK94" s="180">
        <f ca="1"/>
        <v>-1.3494148086501401E-4</v>
      </c>
      <c r="AL94" s="180">
        <f ca="1"/>
        <v>5.1652404708135702E-4</v>
      </c>
      <c r="AM94" s="180">
        <f ca="1"/>
        <v>-1.1351669172557899E-3</v>
      </c>
      <c r="AN94" s="180">
        <f ca="1"/>
        <v>-7.4889040558567799E-4</v>
      </c>
      <c r="AO94" s="180">
        <f ca="1"/>
        <v>1.5704505687497199E-4</v>
      </c>
      <c r="AP94" s="180">
        <f ca="1"/>
        <v>-2.67247794594194E-5</v>
      </c>
      <c r="AQ94" t="str">
        <f ca="1"/>
        <v/>
      </c>
    </row>
    <row r="95" spans="2:43" x14ac:dyDescent="0.25">
      <c r="B95" s="179">
        <f ca="1"/>
        <v>50208</v>
      </c>
      <c r="C95" s="180">
        <f ca="1"/>
        <v>-8.3314337651074798E-7</v>
      </c>
      <c r="D95" s="180">
        <f ca="1"/>
        <v>-4.20219414820622E-13</v>
      </c>
      <c r="E95" s="180">
        <f ca="1"/>
        <v>1.35491617925254E-12</v>
      </c>
      <c r="F95" s="180">
        <f ca="1"/>
        <v>-4.0299985570868598E-12</v>
      </c>
      <c r="G95" s="180">
        <f ca="1"/>
        <v>5.71520608616538E-12</v>
      </c>
      <c r="H95" s="180">
        <f ca="1"/>
        <v>-1.22341026198569E-11</v>
      </c>
      <c r="I95" s="180">
        <f ca="1"/>
        <v>-1.0556588936339E-8</v>
      </c>
      <c r="J95" s="180">
        <f ca="1"/>
        <v>-1.51161527739418E-10</v>
      </c>
      <c r="K95" s="180">
        <f ca="1"/>
        <v>5.7368132466706398E-10</v>
      </c>
      <c r="L95" s="180">
        <f ca="1"/>
        <v>3.3809555899377799E-7</v>
      </c>
      <c r="M95" s="180">
        <f ca="1"/>
        <v>-3.0117970784004897E-8</v>
      </c>
      <c r="N95" s="180">
        <f ca="1"/>
        <v>4.3076653355456099E-13</v>
      </c>
      <c r="O95" s="180">
        <f ca="1"/>
        <v>4.3076653355456099E-13</v>
      </c>
      <c r="P95" s="180">
        <f ca="1"/>
        <v>4.3076653355456099E-13</v>
      </c>
      <c r="Q95" s="180">
        <f ca="1"/>
        <v>4.3076653355456099E-13</v>
      </c>
      <c r="R95" s="180">
        <f ca="1"/>
        <v>4.3076653355456099E-13</v>
      </c>
      <c r="S95" s="180">
        <f ca="1"/>
        <v>-7.8559982530368402E-7</v>
      </c>
      <c r="T95" s="180">
        <f ca="1"/>
        <v>-3.74447047468696E-6</v>
      </c>
      <c r="U95" s="180">
        <f ca="1"/>
        <v>-7.4525255522317501E-7</v>
      </c>
      <c r="V95" s="180">
        <f ca="1"/>
        <v>-1.4423289576237499E-5</v>
      </c>
      <c r="W95" s="180">
        <f ca="1"/>
        <v>1.03322354585433E-5</v>
      </c>
      <c r="X95" s="180">
        <f ca="1"/>
        <v>-6.0637545011954501E-5</v>
      </c>
      <c r="Y95" s="180">
        <f ca="1"/>
        <v>1.3061879101650099E-4</v>
      </c>
      <c r="Z95" s="180">
        <f ca="1"/>
        <v>-5.0539929882520397E-4</v>
      </c>
      <c r="AA95" s="180">
        <f ca="1"/>
        <v>1.054736559015E-3</v>
      </c>
      <c r="AB95" s="180">
        <f ca="1"/>
        <v>8.7230091147072497E-4</v>
      </c>
      <c r="AC95" s="180">
        <f ca="1"/>
        <v>-1.73898139871675E-4</v>
      </c>
      <c r="AD95" s="180">
        <f ca="1"/>
        <v>2.9573171462460301E-5</v>
      </c>
      <c r="AE95" s="180">
        <f ca="1"/>
        <v>7.7107783935659303E-7</v>
      </c>
      <c r="AF95" s="180">
        <f ca="1"/>
        <v>3.6817913050546401E-6</v>
      </c>
      <c r="AG95" s="180">
        <f ca="1"/>
        <v>7.328368968329E-7</v>
      </c>
      <c r="AH95" s="180">
        <f ca="1"/>
        <v>1.41940953315434E-5</v>
      </c>
      <c r="AI95" s="180">
        <f ca="1"/>
        <v>-1.01740409229611E-5</v>
      </c>
      <c r="AJ95" s="180">
        <f ca="1"/>
        <v>5.9672080559014497E-5</v>
      </c>
      <c r="AK95" s="180">
        <f ca="1"/>
        <v>-1.28580871138206E-4</v>
      </c>
      <c r="AL95" s="180">
        <f ca="1"/>
        <v>4.9798635248510205E-4</v>
      </c>
      <c r="AM95" s="180">
        <f ca="1"/>
        <v>-1.03747722081027E-3</v>
      </c>
      <c r="AN95" s="180">
        <f ca="1"/>
        <v>-8.5848105132968499E-4</v>
      </c>
      <c r="AO95" s="180">
        <f ca="1"/>
        <v>1.7149016744721901E-4</v>
      </c>
      <c r="AP95" s="180">
        <f ca="1"/>
        <v>-2.9182601765320699E-5</v>
      </c>
      <c r="AQ95" t="str">
        <f ca="1"/>
        <v/>
      </c>
    </row>
    <row r="96" spans="2:43" x14ac:dyDescent="0.25">
      <c r="B96" s="179">
        <f ca="1"/>
        <v>50300</v>
      </c>
      <c r="C96" s="180">
        <f ca="1"/>
        <v>-8.2922462119050501E-7</v>
      </c>
      <c r="D96" s="180">
        <f ca="1"/>
        <v>3.5189628988518998E-12</v>
      </c>
      <c r="E96" s="180">
        <f ca="1"/>
        <v>-1.4380385771062301E-11</v>
      </c>
      <c r="F96" s="180">
        <f ca="1"/>
        <v>3.7430392119119902E-11</v>
      </c>
      <c r="G96" s="180">
        <f ca="1"/>
        <v>-4.7636228295289097E-11</v>
      </c>
      <c r="H96" s="180">
        <f ca="1"/>
        <v>1.08456799097212E-10</v>
      </c>
      <c r="I96" s="180">
        <f ca="1"/>
        <v>-1.0908589032077E-8</v>
      </c>
      <c r="J96" s="180">
        <f ca="1"/>
        <v>1.3238401486148599E-9</v>
      </c>
      <c r="K96" s="180">
        <f ca="1"/>
        <v>-5.1047438498485998E-9</v>
      </c>
      <c r="L96" s="180">
        <f ca="1"/>
        <v>3.45858381156638E-7</v>
      </c>
      <c r="M96" s="180">
        <f ca="1"/>
        <v>-4.8009837105844597E-8</v>
      </c>
      <c r="N96" s="180">
        <f ca="1"/>
        <v>4.1444625509257099E-13</v>
      </c>
      <c r="O96" s="180">
        <f ca="1"/>
        <v>4.1444625509257099E-13</v>
      </c>
      <c r="P96" s="180">
        <f ca="1"/>
        <v>4.1444625509257099E-13</v>
      </c>
      <c r="Q96" s="180">
        <f ca="1"/>
        <v>4.1444625509257099E-13</v>
      </c>
      <c r="R96" s="180">
        <f ca="1"/>
        <v>4.1444625509257099E-13</v>
      </c>
      <c r="S96" s="180">
        <f ca="1"/>
        <v>-8.0725252171731696E-7</v>
      </c>
      <c r="T96" s="180">
        <f ca="1"/>
        <v>-3.69590402582443E-6</v>
      </c>
      <c r="U96" s="180">
        <f ca="1"/>
        <v>-8.8679318133166905E-7</v>
      </c>
      <c r="V96" s="180">
        <f ca="1"/>
        <v>-1.38592282059591E-5</v>
      </c>
      <c r="W96" s="180">
        <f ca="1"/>
        <v>9.2478526281247803E-6</v>
      </c>
      <c r="X96" s="180">
        <f ca="1"/>
        <v>-5.85424655549227E-5</v>
      </c>
      <c r="Y96" s="180">
        <f ca="1"/>
        <v>1.20624278161507E-4</v>
      </c>
      <c r="Z96" s="180">
        <f ca="1"/>
        <v>-4.76483965765717E-4</v>
      </c>
      <c r="AA96" s="180">
        <f ca="1"/>
        <v>9.4554213403252895E-4</v>
      </c>
      <c r="AB96" s="180">
        <f ca="1"/>
        <v>9.8345969884905404E-4</v>
      </c>
      <c r="AC96" s="180">
        <f ca="1"/>
        <v>-1.8514419077497699E-4</v>
      </c>
      <c r="AD96" s="180">
        <f ca="1"/>
        <v>3.1485969781752699E-5</v>
      </c>
      <c r="AE96" s="180">
        <f ca="1"/>
        <v>7.9233908512055304E-7</v>
      </c>
      <c r="AF96" s="180">
        <f ca="1"/>
        <v>3.6340330121786801E-6</v>
      </c>
      <c r="AG96" s="180">
        <f ca="1"/>
        <v>8.7210558574746202E-7</v>
      </c>
      <c r="AH96" s="180">
        <f ca="1"/>
        <v>1.3638902872426E-5</v>
      </c>
      <c r="AI96" s="180">
        <f ca="1"/>
        <v>-9.1070881987898E-6</v>
      </c>
      <c r="AJ96" s="180">
        <f ca="1"/>
        <v>5.76096570779061E-5</v>
      </c>
      <c r="AK96" s="180">
        <f ca="1"/>
        <v>-1.1874622215890501E-4</v>
      </c>
      <c r="AL96" s="180">
        <f ca="1"/>
        <v>4.69474534234404E-4</v>
      </c>
      <c r="AM96" s="180">
        <f ca="1"/>
        <v>-9.3021499148682196E-4</v>
      </c>
      <c r="AN96" s="180">
        <f ca="1"/>
        <v>-9.6773185405030205E-4</v>
      </c>
      <c r="AO96" s="180">
        <f ca="1"/>
        <v>1.82583362473343E-4</v>
      </c>
      <c r="AP96" s="180">
        <f ca="1"/>
        <v>-3.1070054952175899E-5</v>
      </c>
      <c r="AQ96" t="str">
        <f ca="1"/>
        <v/>
      </c>
    </row>
    <row r="97" spans="2:43" x14ac:dyDescent="0.25">
      <c r="B97" s="179">
        <f ca="1"/>
        <v>50391</v>
      </c>
      <c r="C97" s="180">
        <f ca="1"/>
        <v>-8.2536942191957497E-7</v>
      </c>
      <c r="D97" s="180">
        <f ca="1"/>
        <v>8.5801366012106005E-12</v>
      </c>
      <c r="E97" s="180">
        <f ca="1"/>
        <v>-3.4600988740862697E-11</v>
      </c>
      <c r="F97" s="180">
        <f ca="1"/>
        <v>9.0705776223387602E-11</v>
      </c>
      <c r="G97" s="180">
        <f ca="1"/>
        <v>-1.1619638584647901E-10</v>
      </c>
      <c r="H97" s="180">
        <f ca="1"/>
        <v>2.63545629763939E-10</v>
      </c>
      <c r="I97" s="180">
        <f ca="1"/>
        <v>-1.1377530473311E-8</v>
      </c>
      <c r="J97" s="180">
        <f ca="1"/>
        <v>3.2192635224248501E-9</v>
      </c>
      <c r="K97" s="180">
        <f ca="1"/>
        <v>-1.24017001112975E-8</v>
      </c>
      <c r="L97" s="180">
        <f ca="1"/>
        <v>3.5606535564447499E-7</v>
      </c>
      <c r="M97" s="180">
        <f ca="1"/>
        <v>-7.1051473149452704E-8</v>
      </c>
      <c r="N97" s="180">
        <f ca="1"/>
        <v>3.97903932025656E-13</v>
      </c>
      <c r="O97" s="180">
        <f ca="1"/>
        <v>3.97903932025656E-13</v>
      </c>
      <c r="P97" s="180">
        <f ca="1"/>
        <v>3.97903932025656E-13</v>
      </c>
      <c r="Q97" s="180">
        <f ca="1"/>
        <v>3.97903932025656E-13</v>
      </c>
      <c r="R97" s="180">
        <f ca="1"/>
        <v>3.97903932025656E-13</v>
      </c>
      <c r="S97" s="180">
        <f ca="1"/>
        <v>-8.3559468111449299E-7</v>
      </c>
      <c r="T97" s="180">
        <f ca="1"/>
        <v>-3.6357998782765598E-6</v>
      </c>
      <c r="U97" s="180">
        <f ca="1"/>
        <v>-1.07009065597463E-6</v>
      </c>
      <c r="V97" s="180">
        <f ca="1"/>
        <v>-1.3137814182551101E-5</v>
      </c>
      <c r="W97" s="180">
        <f ca="1"/>
        <v>7.8492495861892698E-6</v>
      </c>
      <c r="X97" s="180">
        <f ca="1"/>
        <v>-5.5867044951307703E-5</v>
      </c>
      <c r="Y97" s="180">
        <f ca="1"/>
        <v>1.07758336492458E-4</v>
      </c>
      <c r="Z97" s="180">
        <f ca="1"/>
        <v>-4.3934151858326899E-4</v>
      </c>
      <c r="AA97" s="180">
        <f ca="1"/>
        <v>8.2998309186410602E-4</v>
      </c>
      <c r="AB97" s="180">
        <f ca="1"/>
        <v>1.09140464351798E-3</v>
      </c>
      <c r="AC97" s="180">
        <f ca="1"/>
        <v>-1.9210399648228501E-4</v>
      </c>
      <c r="AD97" s="180">
        <f ca="1"/>
        <v>3.2669760404613301E-5</v>
      </c>
      <c r="AE97" s="180">
        <f ca="1"/>
        <v>8.2016866609357898E-7</v>
      </c>
      <c r="AF97" s="180">
        <f ca="1"/>
        <v>3.5749288150865899E-6</v>
      </c>
      <c r="AG97" s="180">
        <f ca="1"/>
        <v>1.0524611926410201E-6</v>
      </c>
      <c r="AH97" s="180">
        <f ca="1"/>
        <v>1.2928831703118399E-5</v>
      </c>
      <c r="AI97" s="180">
        <f ca="1"/>
        <v>-7.7309663863989203E-6</v>
      </c>
      <c r="AJ97" s="180">
        <f ca="1"/>
        <v>5.4975936672807501E-5</v>
      </c>
      <c r="AK97" s="180">
        <f ca="1"/>
        <v>-1.0608574472947799E-4</v>
      </c>
      <c r="AL97" s="180">
        <f ca="1"/>
        <v>4.3285296604511598E-4</v>
      </c>
      <c r="AM97" s="180">
        <f ca="1"/>
        <v>-8.1666935288493602E-4</v>
      </c>
      <c r="AN97" s="180">
        <f ca="1"/>
        <v>-1.07379085212445E-3</v>
      </c>
      <c r="AO97" s="180">
        <f ca="1"/>
        <v>1.8944880259952299E-4</v>
      </c>
      <c r="AP97" s="180">
        <f ca="1"/>
        <v>-3.2238153292340998E-5</v>
      </c>
      <c r="AQ97" t="str">
        <f ca="1"/>
        <v/>
      </c>
    </row>
    <row r="98" spans="2:43" x14ac:dyDescent="0.25">
      <c r="B98" s="179">
        <f ca="1"/>
        <v>50481</v>
      </c>
      <c r="C98" s="180">
        <f ca="1"/>
        <v>-8.2157824410344905E-7</v>
      </c>
      <c r="D98" s="180">
        <f ca="1"/>
        <v>1.45276013441276E-11</v>
      </c>
      <c r="E98" s="180">
        <f ca="1"/>
        <v>-5.8365201560661704E-11</v>
      </c>
      <c r="F98" s="180">
        <f ca="1"/>
        <v>1.5331558245179601E-10</v>
      </c>
      <c r="G98" s="180">
        <f ca="1"/>
        <v>-1.96772376170884E-10</v>
      </c>
      <c r="H98" s="180">
        <f ca="1"/>
        <v>4.45811387805861E-10</v>
      </c>
      <c r="I98" s="180">
        <f ca="1"/>
        <v>-1.1939132127380999E-8</v>
      </c>
      <c r="J98" s="180">
        <f ca="1"/>
        <v>5.4468520804817899E-9</v>
      </c>
      <c r="K98" s="180">
        <f ca="1"/>
        <v>-2.09774179138478E-8</v>
      </c>
      <c r="L98" s="180">
        <f ca="1"/>
        <v>3.6820218685118501E-7</v>
      </c>
      <c r="M98" s="180">
        <f ca="1"/>
        <v>-9.8162620809638694E-8</v>
      </c>
      <c r="N98" s="180">
        <f ca="1"/>
        <v>3.8125058665627901E-13</v>
      </c>
      <c r="O98" s="180">
        <f ca="1"/>
        <v>3.8125058665627901E-13</v>
      </c>
      <c r="P98" s="180">
        <f ca="1"/>
        <v>3.8125058665627901E-13</v>
      </c>
      <c r="Q98" s="180">
        <f ca="1"/>
        <v>3.8125058665627901E-13</v>
      </c>
      <c r="R98" s="180">
        <f ca="1"/>
        <v>3.8125058665627901E-13</v>
      </c>
      <c r="S98" s="180">
        <f ca="1"/>
        <v>-8.6921854702826096E-7</v>
      </c>
      <c r="T98" s="180">
        <f ca="1"/>
        <v>-3.5665586214372901E-6</v>
      </c>
      <c r="U98" s="180">
        <f ca="1"/>
        <v>-1.2864029522718899E-6</v>
      </c>
      <c r="V98" s="180">
        <f ca="1"/>
        <v>-1.22918361776803E-5</v>
      </c>
      <c r="W98" s="180">
        <f ca="1"/>
        <v>6.2019934869983498E-6</v>
      </c>
      <c r="X98" s="180">
        <f ca="1"/>
        <v>-5.27321547153514E-5</v>
      </c>
      <c r="Y98" s="180">
        <f ca="1"/>
        <v>9.2620122942643795E-5</v>
      </c>
      <c r="Z98" s="180">
        <f ca="1"/>
        <v>-3.95686177661836E-4</v>
      </c>
      <c r="AA98" s="180">
        <f ca="1"/>
        <v>7.1033955679089501E-4</v>
      </c>
      <c r="AB98" s="180">
        <f ca="1"/>
        <v>1.1944952078180001E-3</v>
      </c>
      <c r="AC98" s="180">
        <f ca="1"/>
        <v>-1.9409408718351601E-4</v>
      </c>
      <c r="AD98" s="180">
        <f ca="1"/>
        <v>3.30082652623132E-5</v>
      </c>
      <c r="AE98" s="180">
        <f ca="1"/>
        <v>8.5318432030412297E-7</v>
      </c>
      <c r="AF98" s="180">
        <f ca="1"/>
        <v>3.5068394054205101E-6</v>
      </c>
      <c r="AG98" s="180">
        <f ca="1"/>
        <v>1.2653020313724301E-6</v>
      </c>
      <c r="AH98" s="180">
        <f ca="1"/>
        <v>1.2096155905361199E-5</v>
      </c>
      <c r="AI98" s="180">
        <f ca="1"/>
        <v>-6.1101848684019799E-6</v>
      </c>
      <c r="AJ98" s="180">
        <f ca="1"/>
        <v>5.1889919326031402E-5</v>
      </c>
      <c r="AK98" s="180">
        <f ca="1"/>
        <v>-9.1188772128214496E-5</v>
      </c>
      <c r="AL98" s="180">
        <f ca="1"/>
        <v>3.8981392256010099E-4</v>
      </c>
      <c r="AM98" s="180">
        <f ca="1"/>
        <v>-6.9907563217441705E-4</v>
      </c>
      <c r="AN98" s="180">
        <f ca="1"/>
        <v>-1.17504931781709E-3</v>
      </c>
      <c r="AO98" s="180">
        <f ca="1"/>
        <v>1.91412019579729E-4</v>
      </c>
      <c r="AP98" s="180">
        <f ca="1"/>
        <v>-3.2572167774414003E-5</v>
      </c>
      <c r="AQ98" t="str">
        <f ca="1"/>
        <v/>
      </c>
    </row>
    <row r="99" spans="2:43" x14ac:dyDescent="0.25">
      <c r="B99" s="179">
        <f ca="1"/>
        <v>50573</v>
      </c>
      <c r="C99" s="180">
        <f ca="1"/>
        <v>-8.1772627413823095E-7</v>
      </c>
      <c r="D99" s="180">
        <f ca="1"/>
        <v>2.1363244506744601E-11</v>
      </c>
      <c r="E99" s="180">
        <f ca="1"/>
        <v>-8.5681906014656306E-11</v>
      </c>
      <c r="F99" s="180">
        <f ca="1"/>
        <v>2.2528268139865299E-10</v>
      </c>
      <c r="G99" s="180">
        <f ca="1"/>
        <v>-2.8939362017865702E-10</v>
      </c>
      <c r="H99" s="180">
        <f ca="1"/>
        <v>6.55320242515245E-10</v>
      </c>
      <c r="I99" s="180">
        <f ca="1"/>
        <v>-1.2591934384076399E-8</v>
      </c>
      <c r="J99" s="180">
        <f ca="1"/>
        <v>8.0074176178612805E-9</v>
      </c>
      <c r="K99" s="180">
        <f ca="1"/>
        <v>-3.0835024422692898E-8</v>
      </c>
      <c r="L99" s="180">
        <f ca="1"/>
        <v>3.8224446896606402E-7</v>
      </c>
      <c r="M99" s="180">
        <f ca="1"/>
        <v>-1.2934815252219099E-7</v>
      </c>
      <c r="N99" s="180">
        <f ca="1"/>
        <v>3.6393110747212601E-13</v>
      </c>
      <c r="O99" s="180">
        <f ca="1"/>
        <v>3.6393110747212601E-13</v>
      </c>
      <c r="P99" s="180">
        <f ca="1"/>
        <v>3.6393110747212601E-13</v>
      </c>
      <c r="Q99" s="180">
        <f ca="1"/>
        <v>3.6393110747212601E-13</v>
      </c>
      <c r="R99" s="180">
        <f ca="1"/>
        <v>3.6393110747212601E-13</v>
      </c>
      <c r="S99" s="180">
        <f ca="1"/>
        <v>-9.0807101793544099E-7</v>
      </c>
      <c r="T99" s="180">
        <f ca="1"/>
        <v>-3.4878571529839398E-6</v>
      </c>
      <c r="U99" s="180">
        <f ca="1"/>
        <v>-1.5356685056921999E-6</v>
      </c>
      <c r="V99" s="180">
        <f ca="1"/>
        <v>-1.13203018049512E-5</v>
      </c>
      <c r="W99" s="180">
        <f ca="1"/>
        <v>4.3056409575470403E-6</v>
      </c>
      <c r="X99" s="180">
        <f ca="1"/>
        <v>-4.9133565482417699E-5</v>
      </c>
      <c r="Y99" s="180">
        <f ca="1"/>
        <v>7.5202644292615695E-5</v>
      </c>
      <c r="Z99" s="180">
        <f ca="1"/>
        <v>-3.4548576813586701E-4</v>
      </c>
      <c r="AA99" s="180">
        <f ca="1"/>
        <v>5.8470239147234704E-4</v>
      </c>
      <c r="AB99" s="180">
        <f ca="1"/>
        <v>1.29429677122561E-3</v>
      </c>
      <c r="AC99" s="180">
        <f ca="1"/>
        <v>-1.9023269178541899E-4</v>
      </c>
      <c r="AD99" s="180">
        <f ca="1"/>
        <v>3.2351493535753798E-5</v>
      </c>
      <c r="AE99" s="180">
        <f ca="1"/>
        <v>8.9133393244011895E-7</v>
      </c>
      <c r="AF99" s="180">
        <f ca="1"/>
        <v>3.4294470870888101E-6</v>
      </c>
      <c r="AG99" s="180">
        <f ca="1"/>
        <v>1.51056757657919E-6</v>
      </c>
      <c r="AH99" s="180">
        <f ca="1"/>
        <v>1.11398996580636E-5</v>
      </c>
      <c r="AI99" s="180">
        <f ca="1"/>
        <v>-4.24430352097271E-6</v>
      </c>
      <c r="AJ99" s="180">
        <f ca="1"/>
        <v>4.8347454191133301E-5</v>
      </c>
      <c r="AK99" s="180">
        <f ca="1"/>
        <v>-7.4048148257732595E-5</v>
      </c>
      <c r="AL99" s="180">
        <f ca="1"/>
        <v>3.4032792880334101E-4</v>
      </c>
      <c r="AM99" s="180">
        <f ca="1"/>
        <v>-5.75552237104482E-4</v>
      </c>
      <c r="AN99" s="180">
        <f ca="1"/>
        <v>-1.2730478540273801E-3</v>
      </c>
      <c r="AO99" s="180">
        <f ca="1"/>
        <v>1.8760309240317699E-4</v>
      </c>
      <c r="AP99" s="180">
        <f ca="1"/>
        <v>-3.19240989055114E-5</v>
      </c>
      <c r="AQ99" t="str">
        <f ca="1"/>
        <v/>
      </c>
    </row>
    <row r="100" spans="2:43" x14ac:dyDescent="0.25">
      <c r="B100" s="179">
        <f ca="1"/>
        <v>50665</v>
      </c>
      <c r="C100" s="180">
        <f ca="1"/>
        <v>-8.1389924277974799E-7</v>
      </c>
      <c r="D100" s="180">
        <f ca="1"/>
        <v>2.8739122193144301E-11</v>
      </c>
      <c r="E100" s="180">
        <f ca="1"/>
        <v>-1.1516221309904E-10</v>
      </c>
      <c r="F100" s="180">
        <f ca="1"/>
        <v>3.0294677877407098E-10</v>
      </c>
      <c r="G100" s="180">
        <f ca="1"/>
        <v>-3.8935010771012902E-10</v>
      </c>
      <c r="H100" s="180">
        <f ca="1"/>
        <v>8.8141816068087998E-10</v>
      </c>
      <c r="I100" s="180">
        <f ca="1"/>
        <v>-1.33012653114051E-8</v>
      </c>
      <c r="J100" s="180">
        <f ca="1"/>
        <v>1.0770750069610799E-8</v>
      </c>
      <c r="K100" s="180">
        <f ca="1"/>
        <v>-4.1473241840783701E-8</v>
      </c>
      <c r="L100" s="180">
        <f ca="1"/>
        <v>3.9745098490140402E-7</v>
      </c>
      <c r="M100" s="180">
        <f ca="1"/>
        <v>-1.6301777761018599E-7</v>
      </c>
      <c r="N100" s="180">
        <f ca="1"/>
        <v>3.4605651677566099E-13</v>
      </c>
      <c r="O100" s="180">
        <f ca="1"/>
        <v>3.4605651677566099E-13</v>
      </c>
      <c r="P100" s="180">
        <f ca="1"/>
        <v>3.4605651677566099E-13</v>
      </c>
      <c r="Q100" s="180">
        <f ca="1"/>
        <v>3.4605651677566099E-13</v>
      </c>
      <c r="R100" s="180">
        <f ca="1"/>
        <v>3.4605651677566099E-13</v>
      </c>
      <c r="S100" s="180">
        <f ca="1"/>
        <v>-9.5011464740224504E-7</v>
      </c>
      <c r="T100" s="180">
        <f ca="1"/>
        <v>-3.4034148054251598E-6</v>
      </c>
      <c r="U100" s="180">
        <f ca="1"/>
        <v>-1.8050875274511201E-6</v>
      </c>
      <c r="V100" s="180">
        <f ca="1"/>
        <v>-1.0271913642445599E-5</v>
      </c>
      <c r="W100" s="180">
        <f ca="1"/>
        <v>2.2566638240295602E-6</v>
      </c>
      <c r="X100" s="180">
        <f ca="1"/>
        <v>-4.5251145079805399E-5</v>
      </c>
      <c r="Y100" s="180">
        <f ca="1"/>
        <v>5.6389218362262698E-5</v>
      </c>
      <c r="Z100" s="180">
        <f ca="1"/>
        <v>-2.9127482099400298E-4</v>
      </c>
      <c r="AA100" s="180">
        <f ca="1"/>
        <v>4.5797239542477697E-4</v>
      </c>
      <c r="AB100" s="180">
        <f ca="1"/>
        <v>1.3865661491739799E-3</v>
      </c>
      <c r="AC100" s="180">
        <f ca="1"/>
        <v>-1.79508900669645E-4</v>
      </c>
      <c r="AD100" s="180">
        <f ca="1"/>
        <v>3.05275170200403E-5</v>
      </c>
      <c r="AE100" s="180">
        <f ca="1"/>
        <v>9.3261693823176696E-7</v>
      </c>
      <c r="AF100" s="180">
        <f ca="1"/>
        <v>3.3464093545099199E-6</v>
      </c>
      <c r="AG100" s="180">
        <f ca="1"/>
        <v>1.7756634921317599E-6</v>
      </c>
      <c r="AH100" s="180">
        <f ca="1"/>
        <v>1.01080005564524E-5</v>
      </c>
      <c r="AI100" s="180">
        <f ca="1"/>
        <v>-2.22824040174707E-6</v>
      </c>
      <c r="AJ100" s="180">
        <f ca="1"/>
        <v>4.45256156184071E-5</v>
      </c>
      <c r="AK100" s="180">
        <f ca="1"/>
        <v>-5.5532894184251399E-5</v>
      </c>
      <c r="AL100" s="180">
        <f ca="1"/>
        <v>2.8689554273553198E-4</v>
      </c>
      <c r="AM100" s="180">
        <f ca="1"/>
        <v>-4.5091357394655402E-4</v>
      </c>
      <c r="AN100" s="180">
        <f ca="1"/>
        <v>-1.3636239302630101E-3</v>
      </c>
      <c r="AO100" s="180">
        <f ca="1"/>
        <v>1.7702498550187199E-4</v>
      </c>
      <c r="AP100" s="180">
        <f ca="1"/>
        <v>-3.0124292706989999E-5</v>
      </c>
      <c r="AQ100" t="str">
        <f ca="1"/>
        <v/>
      </c>
    </row>
    <row r="101" spans="2:43" x14ac:dyDescent="0.25">
      <c r="B101" s="179">
        <f ca="1"/>
        <v>50756</v>
      </c>
      <c r="C101" s="180">
        <f ca="1"/>
        <v>-8.1013956276798595E-7</v>
      </c>
      <c r="D101" s="180">
        <f ca="1"/>
        <v>3.6337377551376397E-11</v>
      </c>
      <c r="E101" s="180">
        <f ca="1"/>
        <v>-1.45533696205291E-10</v>
      </c>
      <c r="F101" s="180">
        <f ca="1"/>
        <v>3.82956444333615E-10</v>
      </c>
      <c r="G101" s="180">
        <f ca="1"/>
        <v>-4.9232740106930402E-10</v>
      </c>
      <c r="H101" s="180">
        <f ca="1"/>
        <v>1.11434705907243E-9</v>
      </c>
      <c r="I101" s="180">
        <f ca="1"/>
        <v>-1.4034849615818199E-8</v>
      </c>
      <c r="J101" s="180">
        <f ca="1"/>
        <v>1.36175903886482E-8</v>
      </c>
      <c r="K101" s="180">
        <f ca="1"/>
        <v>-5.2432947650338202E-8</v>
      </c>
      <c r="L101" s="180">
        <f ca="1"/>
        <v>4.1313553833521903E-7</v>
      </c>
      <c r="M101" s="180">
        <f ca="1"/>
        <v>-1.9771338222174301E-7</v>
      </c>
      <c r="N101" s="180">
        <f ca="1"/>
        <v>3.28403970684121E-13</v>
      </c>
      <c r="O101" s="180">
        <f ca="1"/>
        <v>3.28403970684121E-13</v>
      </c>
      <c r="P101" s="180">
        <f ca="1"/>
        <v>3.28403970684121E-13</v>
      </c>
      <c r="Q101" s="180">
        <f ca="1"/>
        <v>3.28403970684121E-13</v>
      </c>
      <c r="R101" s="180">
        <f ca="1"/>
        <v>3.28403970684121E-13</v>
      </c>
      <c r="S101" s="180">
        <f ca="1"/>
        <v>-9.9346696003088695E-7</v>
      </c>
      <c r="T101" s="180">
        <f ca="1"/>
        <v>-3.3165651318611801E-6</v>
      </c>
      <c r="U101" s="180">
        <f ca="1"/>
        <v>-2.08289263670114E-6</v>
      </c>
      <c r="V101" s="180">
        <f ca="1"/>
        <v>-9.1911661174170993E-6</v>
      </c>
      <c r="W101" s="180">
        <f ca="1"/>
        <v>1.4357413091747899E-7</v>
      </c>
      <c r="X101" s="180">
        <f ca="1"/>
        <v>-4.1249088652883799E-5</v>
      </c>
      <c r="Y101" s="180">
        <f ca="1"/>
        <v>3.69894646400359E-5</v>
      </c>
      <c r="Z101" s="180">
        <f ca="1"/>
        <v>-2.3537446023824701E-4</v>
      </c>
      <c r="AA101" s="180">
        <f ca="1"/>
        <v>3.3386945597535501E-4</v>
      </c>
      <c r="AB101" s="180">
        <f ca="1"/>
        <v>1.46850307713087E-3</v>
      </c>
      <c r="AC101" s="180">
        <f ca="1"/>
        <v>-1.6123795549560801E-4</v>
      </c>
      <c r="AD101" s="180">
        <f ca="1"/>
        <v>2.7419926350580299E-5</v>
      </c>
      <c r="AE101" s="180">
        <f ca="1"/>
        <v>9.7518494512893696E-7</v>
      </c>
      <c r="AF101" s="180">
        <f ca="1"/>
        <v>3.2610043432246301E-6</v>
      </c>
      <c r="AG101" s="180">
        <f ca="1"/>
        <v>2.0490112464521802E-6</v>
      </c>
      <c r="AH101" s="180">
        <f ca="1"/>
        <v>9.0442538499546592E-6</v>
      </c>
      <c r="AI101" s="180">
        <f ca="1"/>
        <v>-1.4908321954720799E-7</v>
      </c>
      <c r="AJ101" s="180">
        <f ca="1"/>
        <v>4.0586044682267002E-5</v>
      </c>
      <c r="AK101" s="180">
        <f ca="1"/>
        <v>-3.6439639201080203E-5</v>
      </c>
      <c r="AL101" s="180">
        <f ca="1"/>
        <v>2.31805853051936E-4</v>
      </c>
      <c r="AM101" s="180">
        <f ca="1"/>
        <v>-3.2881831350683999E-4</v>
      </c>
      <c r="AN101" s="180">
        <f ca="1"/>
        <v>-1.44403521968695E-3</v>
      </c>
      <c r="AO101" s="180">
        <f ca="1"/>
        <v>1.59002824524745E-4</v>
      </c>
      <c r="AP101" s="180">
        <f ca="1"/>
        <v>-2.7057865576995999E-5</v>
      </c>
      <c r="AQ101" t="str">
        <f ca="1"/>
        <v/>
      </c>
    </row>
    <row r="102" spans="2:43" x14ac:dyDescent="0.25">
      <c r="B102" s="179">
        <f ca="1"/>
        <v>50846</v>
      </c>
      <c r="C102" s="180">
        <f ca="1"/>
        <v>-8.0644758415626704E-7</v>
      </c>
      <c r="D102" s="180">
        <f ca="1"/>
        <v>4.3916204006677598E-11</v>
      </c>
      <c r="E102" s="180">
        <f ca="1"/>
        <v>-1.7583512423868799E-10</v>
      </c>
      <c r="F102" s="180">
        <f ca="1"/>
        <v>4.62777371978973E-10</v>
      </c>
      <c r="G102" s="180">
        <f ca="1"/>
        <v>-5.95064442165949E-10</v>
      </c>
      <c r="H102" s="180">
        <f ca="1"/>
        <v>1.34673039386968E-9</v>
      </c>
      <c r="I102" s="180">
        <f ca="1"/>
        <v>-1.4767844613849901E-8</v>
      </c>
      <c r="J102" s="180">
        <f ca="1"/>
        <v>1.64577792505227E-8</v>
      </c>
      <c r="K102" s="180">
        <f ca="1"/>
        <v>-6.3367050828766493E-8</v>
      </c>
      <c r="L102" s="180">
        <f ca="1"/>
        <v>4.2877188799472797E-7</v>
      </c>
      <c r="M102" s="180">
        <f ca="1"/>
        <v>-2.32331313743117E-7</v>
      </c>
      <c r="N102" s="180">
        <f ca="1"/>
        <v>3.1075142459258101E-13</v>
      </c>
      <c r="O102" s="180">
        <f ca="1"/>
        <v>3.1075142459258101E-13</v>
      </c>
      <c r="P102" s="180">
        <f ca="1"/>
        <v>3.1075142459258101E-13</v>
      </c>
      <c r="Q102" s="180">
        <f ca="1"/>
        <v>3.1075142459258101E-13</v>
      </c>
      <c r="R102" s="180">
        <f ca="1"/>
        <v>3.1075142459258101E-13</v>
      </c>
      <c r="S102" s="180">
        <f ca="1"/>
        <v>-1.03668788464795E-6</v>
      </c>
      <c r="T102" s="180">
        <f ca="1"/>
        <v>-3.2297512487788902E-6</v>
      </c>
      <c r="U102" s="180">
        <f ca="1"/>
        <v>-2.3601504738346401E-6</v>
      </c>
      <c r="V102" s="180">
        <f ca="1"/>
        <v>-8.1115259310537996E-6</v>
      </c>
      <c r="W102" s="180">
        <f ca="1"/>
        <v>-1.9666616924984798E-6</v>
      </c>
      <c r="X102" s="180">
        <f ca="1"/>
        <v>-3.7250753754158899E-5</v>
      </c>
      <c r="Y102" s="180">
        <f ca="1"/>
        <v>1.7615095384226901E-5</v>
      </c>
      <c r="Z102" s="180">
        <f ca="1"/>
        <v>-1.7953623310151801E-4</v>
      </c>
      <c r="AA102" s="180">
        <f ca="1"/>
        <v>2.1468052484408001E-4</v>
      </c>
      <c r="AB102" s="180">
        <f ca="1"/>
        <v>1.53849954262331E-3</v>
      </c>
      <c r="AC102" s="180">
        <f ca="1"/>
        <v>-1.3476342191920401E-4</v>
      </c>
      <c r="AD102" s="180">
        <f ca="1"/>
        <v>2.2917187984972099E-5</v>
      </c>
      <c r="AE102" s="180">
        <f ca="1"/>
        <v>1.0176239596537701E-6</v>
      </c>
      <c r="AF102" s="180">
        <f ca="1"/>
        <v>3.1756345607592E-6</v>
      </c>
      <c r="AG102" s="180">
        <f ca="1"/>
        <v>2.32182082338106E-6</v>
      </c>
      <c r="AH102" s="180">
        <f ca="1"/>
        <v>7.9816001175014895E-6</v>
      </c>
      <c r="AI102" s="180">
        <f ca="1"/>
        <v>1.9272782506574198E-6</v>
      </c>
      <c r="AJ102" s="180">
        <f ca="1"/>
        <v>3.6650176888475299E-5</v>
      </c>
      <c r="AK102" s="180">
        <f ca="1"/>
        <v>-1.7370373288527799E-5</v>
      </c>
      <c r="AL102" s="180">
        <f ca="1"/>
        <v>1.7678547947297399E-4</v>
      </c>
      <c r="AM102" s="180">
        <f ca="1"/>
        <v>-2.1151952346276599E-4</v>
      </c>
      <c r="AN102" s="180">
        <f ca="1"/>
        <v>-1.51271115157048E-3</v>
      </c>
      <c r="AO102" s="180">
        <f ca="1"/>
        <v>1.3289024798990301E-4</v>
      </c>
      <c r="AP102" s="180">
        <f ca="1"/>
        <v>-2.2614728520609101E-5</v>
      </c>
      <c r="AQ102" t="str">
        <f ca="1"/>
        <v/>
      </c>
    </row>
    <row r="103" spans="2:43" x14ac:dyDescent="0.25">
      <c r="B103" s="179">
        <f ca="1"/>
        <v>50938</v>
      </c>
      <c r="C103" s="180">
        <f ca="1"/>
        <v>-8.0270192048814703E-7</v>
      </c>
      <c r="D103" s="180">
        <f ca="1"/>
        <v>5.1484483343244802E-11</v>
      </c>
      <c r="E103" s="180">
        <f ca="1"/>
        <v>-2.06100914112994E-10</v>
      </c>
      <c r="F103" s="180">
        <f ca="1"/>
        <v>5.4250071102046604E-10</v>
      </c>
      <c r="G103" s="180">
        <f ca="1"/>
        <v>-6.9767835952916399E-10</v>
      </c>
      <c r="H103" s="180">
        <f ca="1"/>
        <v>1.5788332863309101E-9</v>
      </c>
      <c r="I103" s="180">
        <f ca="1"/>
        <v>-1.54995185575046E-8</v>
      </c>
      <c r="J103" s="180">
        <f ca="1"/>
        <v>1.9294565167804501E-8</v>
      </c>
      <c r="K103" s="180">
        <f ca="1"/>
        <v>-7.4288057594351602E-8</v>
      </c>
      <c r="L103" s="180">
        <f ca="1"/>
        <v>4.4434642509916202E-7</v>
      </c>
      <c r="M103" s="180">
        <f ca="1"/>
        <v>-2.6690643628590701E-7</v>
      </c>
      <c r="N103" s="180">
        <f ca="1"/>
        <v>2.9232172238380402E-13</v>
      </c>
      <c r="O103" s="180">
        <f ca="1"/>
        <v>2.9232172238380402E-13</v>
      </c>
      <c r="P103" s="180">
        <f ca="1"/>
        <v>2.9232172238380402E-13</v>
      </c>
      <c r="Q103" s="180">
        <f ca="1"/>
        <v>2.9232172238380402E-13</v>
      </c>
      <c r="R103" s="180">
        <f ca="1"/>
        <v>2.9232172238380402E-13</v>
      </c>
      <c r="S103" s="180">
        <f ca="1"/>
        <v>-1.0797549226948499E-6</v>
      </c>
      <c r="T103" s="180">
        <f ca="1"/>
        <v>-3.1425419277919501E-6</v>
      </c>
      <c r="U103" s="180">
        <f ca="1"/>
        <v>-2.6370468662051398E-6</v>
      </c>
      <c r="V103" s="180">
        <f ca="1"/>
        <v>-7.0308523995032999E-6</v>
      </c>
      <c r="W103" s="180">
        <f ca="1"/>
        <v>-4.0765874489423498E-6</v>
      </c>
      <c r="X103" s="180">
        <f ca="1"/>
        <v>-3.3247592298946097E-5</v>
      </c>
      <c r="Y103" s="180">
        <f ca="1"/>
        <v>-1.76056727496654E-6</v>
      </c>
      <c r="Z103" s="180">
        <f ca="1"/>
        <v>-1.2367158320625299E-4</v>
      </c>
      <c r="AA103" s="180">
        <f ca="1"/>
        <v>9.89554234083201E-5</v>
      </c>
      <c r="AB103" s="180">
        <f ca="1"/>
        <v>1.5966868659323999E-3</v>
      </c>
      <c r="AC103" s="180">
        <f ca="1"/>
        <v>-9.8107407445757703E-5</v>
      </c>
      <c r="AD103" s="180">
        <f ca="1"/>
        <v>1.6683108146731099E-5</v>
      </c>
      <c r="AE103" s="180">
        <f ca="1"/>
        <v>1.0599119170118201E-6</v>
      </c>
      <c r="AF103" s="180">
        <f ca="1"/>
        <v>3.0898759841857501E-6</v>
      </c>
      <c r="AG103" s="180">
        <f ca="1"/>
        <v>2.5942750757623798E-6</v>
      </c>
      <c r="AH103" s="180">
        <f ca="1"/>
        <v>6.9179325690171797E-6</v>
      </c>
      <c r="AI103" s="180">
        <f ca="1"/>
        <v>4.0033477901602097E-6</v>
      </c>
      <c r="AJ103" s="180">
        <f ca="1"/>
        <v>3.2709599931179897E-5</v>
      </c>
      <c r="AK103" s="180">
        <f ca="1"/>
        <v>1.7011747116546499E-6</v>
      </c>
      <c r="AL103" s="180">
        <f ca="1"/>
        <v>1.21747267716188E-4</v>
      </c>
      <c r="AM103" s="180">
        <f ca="1"/>
        <v>-9.7593511809934697E-5</v>
      </c>
      <c r="AN103" s="180">
        <f ca="1"/>
        <v>-1.5697874889798501E-3</v>
      </c>
      <c r="AO103" s="180">
        <f ca="1"/>
        <v>9.6738397366347205E-5</v>
      </c>
      <c r="AP103" s="180">
        <f ca="1"/>
        <v>-1.646308018044E-5</v>
      </c>
      <c r="AQ103" t="str">
        <f ca="1"/>
        <v/>
      </c>
    </row>
    <row r="104" spans="2:43" x14ac:dyDescent="0.25">
      <c r="B104" s="179">
        <f ca="1"/>
        <v>51032</v>
      </c>
      <c r="C104" s="180">
        <f ca="1"/>
        <v>-7.9890575777064001E-7</v>
      </c>
      <c r="D104" s="180">
        <f ca="1"/>
        <v>5.8763105492687399E-11</v>
      </c>
      <c r="E104" s="180">
        <f ca="1"/>
        <v>-2.35217401112209E-10</v>
      </c>
      <c r="F104" s="180">
        <f ca="1"/>
        <v>6.1919080973638095E-10</v>
      </c>
      <c r="G104" s="180">
        <f ca="1"/>
        <v>-7.9639195238456802E-10</v>
      </c>
      <c r="H104" s="180">
        <f ca="1"/>
        <v>1.8021112380139901E-9</v>
      </c>
      <c r="I104" s="180">
        <f ca="1"/>
        <v>-1.6201151531447499E-8</v>
      </c>
      <c r="J104" s="180">
        <f ca="1"/>
        <v>2.20235183423512E-8</v>
      </c>
      <c r="K104" s="180">
        <f ca="1"/>
        <v>-8.4793937871197005E-8</v>
      </c>
      <c r="L104" s="180">
        <f ca="1"/>
        <v>4.5924709879407999E-7</v>
      </c>
      <c r="M104" s="180">
        <f ca="1"/>
        <v>-3.0016057273041199E-7</v>
      </c>
      <c r="N104" s="180">
        <f ca="1"/>
        <v>2.7355895326763898E-13</v>
      </c>
      <c r="O104" s="180">
        <f ca="1"/>
        <v>2.7355895326763898E-13</v>
      </c>
      <c r="P104" s="180">
        <f ca="1"/>
        <v>2.7355895326763898E-13</v>
      </c>
      <c r="Q104" s="180">
        <f ca="1"/>
        <v>2.7355895326763898E-13</v>
      </c>
      <c r="R104" s="180">
        <f ca="1"/>
        <v>2.7355895326763898E-13</v>
      </c>
      <c r="S104" s="180">
        <f ca="1"/>
        <v>-1.1209939266843001E-6</v>
      </c>
      <c r="T104" s="180">
        <f ca="1"/>
        <v>-3.0577356874284E-6</v>
      </c>
      <c r="U104" s="180">
        <f ca="1"/>
        <v>-2.9032400143957898E-6</v>
      </c>
      <c r="V104" s="180">
        <f ca="1"/>
        <v>-5.98772175908202E-6</v>
      </c>
      <c r="W104" s="180">
        <f ca="1"/>
        <v>-6.1088664944364302E-6</v>
      </c>
      <c r="X104" s="180">
        <f ca="1"/>
        <v>-2.9381730865307699E-5</v>
      </c>
      <c r="Y104" s="180">
        <f ca="1"/>
        <v>-2.0431445694413201E-5</v>
      </c>
      <c r="Z104" s="180">
        <f ca="1"/>
        <v>-6.9802179394673494E-5</v>
      </c>
      <c r="AA104" s="180">
        <f ca="1"/>
        <v>-1.02294515302859E-5</v>
      </c>
      <c r="AB104" s="180">
        <f ca="1"/>
        <v>1.6400035216989101E-3</v>
      </c>
      <c r="AC104" s="180">
        <f ca="1"/>
        <v>-4.9607078864588601E-5</v>
      </c>
      <c r="AD104" s="180">
        <f ca="1"/>
        <v>8.4352275419030693E-6</v>
      </c>
      <c r="AE104" s="180">
        <f ca="1"/>
        <v>1.1004049876861499E-6</v>
      </c>
      <c r="AF104" s="180">
        <f ca="1"/>
        <v>3.0064806173513101E-6</v>
      </c>
      <c r="AG104" s="180">
        <f ca="1"/>
        <v>2.8561981192387599E-6</v>
      </c>
      <c r="AH104" s="180">
        <f ca="1"/>
        <v>5.8912204874417301E-6</v>
      </c>
      <c r="AI104" s="180">
        <f ca="1"/>
        <v>6.0030300613744797E-6</v>
      </c>
      <c r="AJ104" s="180">
        <f ca="1"/>
        <v>2.8904218847380901E-5</v>
      </c>
      <c r="AK104" s="180">
        <f ca="1"/>
        <v>2.00799708685029E-5</v>
      </c>
      <c r="AL104" s="180">
        <f ca="1"/>
        <v>6.86826503754068E-5</v>
      </c>
      <c r="AM104" s="180">
        <f ca="1"/>
        <v>9.9269947839708499E-6</v>
      </c>
      <c r="AN104" s="180">
        <f ca="1"/>
        <v>-1.6122675078359401E-3</v>
      </c>
      <c r="AO104" s="180">
        <f ca="1"/>
        <v>4.8910640223165401E-5</v>
      </c>
      <c r="AP104" s="180">
        <f ca="1"/>
        <v>-8.3240997414968393E-6</v>
      </c>
      <c r="AQ104" t="str">
        <f ca="1"/>
        <v/>
      </c>
    </row>
    <row r="105" spans="2:43" x14ac:dyDescent="0.25">
      <c r="B105" s="179">
        <f ca="1"/>
        <v>51123</v>
      </c>
      <c r="C105" s="180">
        <f ca="1"/>
        <v>-7.9526181073763503E-7</v>
      </c>
      <c r="D105" s="180">
        <f ca="1"/>
        <v>6.5105698610068404E-11</v>
      </c>
      <c r="E105" s="180">
        <f ca="1"/>
        <v>-2.6060220648105299E-10</v>
      </c>
      <c r="F105" s="180">
        <f ca="1"/>
        <v>6.8604488756562897E-10</v>
      </c>
      <c r="G105" s="180">
        <f ca="1"/>
        <v>-8.8244833662542998E-10</v>
      </c>
      <c r="H105" s="180">
        <f ca="1"/>
        <v>1.9967583142488398E-9</v>
      </c>
      <c r="I105" s="180">
        <f ca="1"/>
        <v>-1.6808707647975001E-8</v>
      </c>
      <c r="J105" s="180">
        <f ca="1"/>
        <v>2.4402571630055501E-8</v>
      </c>
      <c r="K105" s="180">
        <f ca="1"/>
        <v>-9.3952787438844596E-8</v>
      </c>
      <c r="L105" s="180">
        <f ca="1"/>
        <v>4.7211474540897998E-7</v>
      </c>
      <c r="M105" s="180">
        <f ca="1"/>
        <v>-3.2913855718685902E-7</v>
      </c>
      <c r="N105" s="180">
        <f ca="1"/>
        <v>2.5524027336132298E-13</v>
      </c>
      <c r="O105" s="180">
        <f ca="1"/>
        <v>2.5524027336132298E-13</v>
      </c>
      <c r="P105" s="180">
        <f ca="1"/>
        <v>2.5524027336132298E-13</v>
      </c>
      <c r="Q105" s="180">
        <f ca="1"/>
        <v>2.5524027336132298E-13</v>
      </c>
      <c r="R105" s="180">
        <f ca="1"/>
        <v>2.5524027336132298E-13</v>
      </c>
      <c r="S105" s="180">
        <f ca="1"/>
        <v>-1.1566612361235699E-6</v>
      </c>
      <c r="T105" s="180">
        <f ca="1"/>
        <v>-2.9824588551052902E-6</v>
      </c>
      <c r="U105" s="180">
        <f ca="1"/>
        <v>-3.1349677640513099E-6</v>
      </c>
      <c r="V105" s="180">
        <f ca="1"/>
        <v>-5.0735434846682603E-6</v>
      </c>
      <c r="W105" s="180">
        <f ca="1"/>
        <v>-7.8834671828342806E-6</v>
      </c>
      <c r="X105" s="180">
        <f ca="1"/>
        <v>-2.59911984130667E-5</v>
      </c>
      <c r="Y105" s="180">
        <f ca="1"/>
        <v>-3.6747612333298798E-5</v>
      </c>
      <c r="Z105" s="180">
        <f ca="1"/>
        <v>-2.2675802831884101E-5</v>
      </c>
      <c r="AA105" s="180">
        <f ca="1"/>
        <v>-1.0455744002202399E-4</v>
      </c>
      <c r="AB105" s="180">
        <f ca="1"/>
        <v>1.6642460056146601E-3</v>
      </c>
      <c r="AC105" s="180">
        <f ca="1"/>
        <v>9.0000752834829001E-6</v>
      </c>
      <c r="AD105" s="180">
        <f ca="1"/>
        <v>-1.5305378400221099E-6</v>
      </c>
      <c r="AE105" s="180">
        <f ca="1"/>
        <v>1.1354272576591399E-6</v>
      </c>
      <c r="AF105" s="180">
        <f ca="1"/>
        <v>2.9324562652588401E-6</v>
      </c>
      <c r="AG105" s="180">
        <f ca="1"/>
        <v>3.0842089405736E-6</v>
      </c>
      <c r="AH105" s="180">
        <f ca="1"/>
        <v>4.9914341661016997E-6</v>
      </c>
      <c r="AI105" s="180">
        <f ca="1"/>
        <v>7.7491792761508194E-6</v>
      </c>
      <c r="AJ105" s="180">
        <f ca="1"/>
        <v>2.55667676460902E-5</v>
      </c>
      <c r="AK105" s="180">
        <f ca="1"/>
        <v>3.61416867769027E-5</v>
      </c>
      <c r="AL105" s="180">
        <f ca="1"/>
        <v>2.2266733808784499E-5</v>
      </c>
      <c r="AM105" s="180">
        <f ca="1"/>
        <v>1.0284326028353599E-4</v>
      </c>
      <c r="AN105" s="180">
        <f ca="1"/>
        <v>-1.6360352465952801E-3</v>
      </c>
      <c r="AO105" s="180">
        <f ca="1"/>
        <v>-8.8752818035997499E-6</v>
      </c>
      <c r="AP105" s="180">
        <f ca="1"/>
        <v>1.51032976170029E-6</v>
      </c>
      <c r="AQ105" t="str">
        <f ca="1"/>
        <v/>
      </c>
    </row>
    <row r="106" spans="2:43" x14ac:dyDescent="0.25">
      <c r="B106" s="179">
        <f ca="1"/>
        <v>51214</v>
      </c>
      <c r="C106" s="180">
        <f ca="1"/>
        <v>-7.91649419795704E-7</v>
      </c>
      <c r="D106" s="180">
        <f ca="1"/>
        <v>7.0539685204096297E-11</v>
      </c>
      <c r="E106" s="180">
        <f ca="1"/>
        <v>-2.8236579741047799E-10</v>
      </c>
      <c r="F106" s="180">
        <f ca="1"/>
        <v>7.4335304578454497E-10</v>
      </c>
      <c r="G106" s="180">
        <f ca="1"/>
        <v>-9.5622210150025901E-10</v>
      </c>
      <c r="H106" s="180">
        <f ca="1"/>
        <v>2.1636207270248102E-9</v>
      </c>
      <c r="I106" s="180">
        <f ca="1"/>
        <v>-1.73234193656668E-8</v>
      </c>
      <c r="J106" s="180">
        <f ca="1"/>
        <v>2.6442071421328699E-8</v>
      </c>
      <c r="K106" s="180">
        <f ca="1"/>
        <v>-1.01804439212039E-7</v>
      </c>
      <c r="L106" s="180">
        <f ca="1"/>
        <v>4.8297650845352504E-7</v>
      </c>
      <c r="M106" s="180">
        <f ca="1"/>
        <v>-3.5396217035188503E-7</v>
      </c>
      <c r="N106" s="180">
        <f ca="1"/>
        <v>2.3669954885008302E-13</v>
      </c>
      <c r="O106" s="180">
        <f ca="1"/>
        <v>2.3669954885008302E-13</v>
      </c>
      <c r="P106" s="180">
        <f ca="1"/>
        <v>2.3669954885008302E-13</v>
      </c>
      <c r="Q106" s="180">
        <f ca="1"/>
        <v>2.3669954885008302E-13</v>
      </c>
      <c r="R106" s="180">
        <f ca="1"/>
        <v>2.3669954885008302E-13</v>
      </c>
      <c r="S106" s="180">
        <f ca="1"/>
        <v>-1.18684608763076E-6</v>
      </c>
      <c r="T106" s="180">
        <f ca="1"/>
        <v>-2.91607958058382E-6</v>
      </c>
      <c r="U106" s="180">
        <f ca="1"/>
        <v>-3.3331203284081601E-6</v>
      </c>
      <c r="V106" s="180">
        <f ca="1"/>
        <v>-4.2834952472814402E-6</v>
      </c>
      <c r="W106" s="180">
        <f ca="1"/>
        <v>-9.40826262307848E-6</v>
      </c>
      <c r="X106" s="180">
        <f ca="1"/>
        <v>-2.3057549141003401E-5</v>
      </c>
      <c r="Y106" s="180">
        <f ca="1"/>
        <v>-5.0784635896250499E-5</v>
      </c>
      <c r="Z106" s="180">
        <f ca="1"/>
        <v>1.7934714701905999E-5</v>
      </c>
      <c r="AA106" s="180">
        <f ca="1"/>
        <v>-1.8557654654760599E-4</v>
      </c>
      <c r="AB106" s="180">
        <f ca="1"/>
        <v>1.66947092038516E-3</v>
      </c>
      <c r="AC106" s="180">
        <f ca="1"/>
        <v>7.9731125671722594E-5</v>
      </c>
      <c r="AD106" s="180">
        <f ca="1"/>
        <v>-1.35189862626728E-5</v>
      </c>
      <c r="AE106" s="180">
        <f ca="1"/>
        <v>1.16506637237723E-6</v>
      </c>
      <c r="AF106" s="180">
        <f ca="1"/>
        <v>2.8671816140191102E-6</v>
      </c>
      <c r="AG106" s="180">
        <f ca="1"/>
        <v>3.2791834139178599E-6</v>
      </c>
      <c r="AH106" s="180">
        <f ca="1"/>
        <v>4.2138264599866898E-6</v>
      </c>
      <c r="AI106" s="180">
        <f ca="1"/>
        <v>9.2495393079206101E-6</v>
      </c>
      <c r="AJ106" s="180">
        <f ca="1"/>
        <v>2.26790787382081E-5</v>
      </c>
      <c r="AK106" s="180">
        <f ca="1"/>
        <v>4.9960412196514703E-5</v>
      </c>
      <c r="AL106" s="180">
        <f ca="1"/>
        <v>-1.7726691856401199E-5</v>
      </c>
      <c r="AM106" s="180">
        <f ca="1"/>
        <v>1.8266947817124901E-4</v>
      </c>
      <c r="AN106" s="180">
        <f ca="1"/>
        <v>-1.6411508464441199E-3</v>
      </c>
      <c r="AO106" s="180">
        <f ca="1"/>
        <v>-7.8602662167859299E-5</v>
      </c>
      <c r="AP106" s="180">
        <f ca="1"/>
        <v>1.33411476688217E-5</v>
      </c>
      <c r="AQ106" t="str">
        <f ca="1"/>
        <v/>
      </c>
    </row>
    <row r="107" spans="2:43" x14ac:dyDescent="0.25">
      <c r="B107" s="179">
        <f ca="1"/>
        <v>51305</v>
      </c>
      <c r="C107" s="180">
        <f ca="1"/>
        <v>-7.8806849379553501E-7</v>
      </c>
      <c r="D107" s="180">
        <f ca="1"/>
        <v>7.5055406334456594E-11</v>
      </c>
      <c r="E107" s="180">
        <f ca="1"/>
        <v>-3.0046787280468798E-10</v>
      </c>
      <c r="F107" s="180">
        <f ca="1"/>
        <v>7.9101025729500004E-10</v>
      </c>
      <c r="G107" s="180">
        <f ca="1"/>
        <v>-1.0175770226439301E-9</v>
      </c>
      <c r="H107" s="180">
        <f ca="1"/>
        <v>2.3023913886532901E-9</v>
      </c>
      <c r="I107" s="180">
        <f ca="1"/>
        <v>-1.77442692761431E-8</v>
      </c>
      <c r="J107" s="180">
        <f ca="1"/>
        <v>2.813825950021E-8</v>
      </c>
      <c r="K107" s="180">
        <f ca="1"/>
        <v>-1.0833442321001E-7</v>
      </c>
      <c r="L107" s="180">
        <f ca="1"/>
        <v>4.9181203298775997E-7</v>
      </c>
      <c r="M107" s="180">
        <f ca="1"/>
        <v>-3.7458545920632199E-7</v>
      </c>
      <c r="N107" s="180">
        <f ca="1"/>
        <v>2.1838086894376799E-13</v>
      </c>
      <c r="O107" s="180">
        <f ca="1"/>
        <v>2.1838086894376799E-13</v>
      </c>
      <c r="P107" s="180">
        <f ca="1"/>
        <v>2.1838086894376799E-13</v>
      </c>
      <c r="Q107" s="180">
        <f ca="1"/>
        <v>2.1838086894376799E-13</v>
      </c>
      <c r="R107" s="180">
        <f ca="1"/>
        <v>2.1838086894376799E-13</v>
      </c>
      <c r="S107" s="180">
        <f ca="1"/>
        <v>-1.21149219445282E-6</v>
      </c>
      <c r="T107" s="180">
        <f ca="1"/>
        <v>-2.85871800453918E-6</v>
      </c>
      <c r="U107" s="180">
        <f ca="1"/>
        <v>-3.4973267866167399E-6</v>
      </c>
      <c r="V107" s="180">
        <f ca="1"/>
        <v>-3.6190554154602599E-6</v>
      </c>
      <c r="W107" s="180">
        <f ca="1"/>
        <v>-1.06803862487403E-5</v>
      </c>
      <c r="X107" s="180">
        <f ca="1"/>
        <v>-2.0586273621669998E-5</v>
      </c>
      <c r="Y107" s="180">
        <f ca="1"/>
        <v>-6.2516281105762199E-5</v>
      </c>
      <c r="Z107" s="180">
        <f ca="1"/>
        <v>5.1952094427543103E-5</v>
      </c>
      <c r="AA107" s="180">
        <f ca="1"/>
        <v>-2.5334511655472598E-4</v>
      </c>
      <c r="AB107" s="180">
        <f ca="1"/>
        <v>1.6562611258270599E-3</v>
      </c>
      <c r="AC107" s="180">
        <f ca="1"/>
        <v>1.61790243682569E-4</v>
      </c>
      <c r="AD107" s="180">
        <f ca="1"/>
        <v>-2.72036245984042E-5</v>
      </c>
      <c r="AE107" s="180">
        <f ca="1"/>
        <v>1.18926706227374E-6</v>
      </c>
      <c r="AF107" s="180">
        <f ca="1"/>
        <v>2.8107748025751901E-6</v>
      </c>
      <c r="AG107" s="180">
        <f ca="1"/>
        <v>3.4407565084881899E-6</v>
      </c>
      <c r="AH107" s="180">
        <f ca="1"/>
        <v>3.5598516933133001E-6</v>
      </c>
      <c r="AI107" s="180">
        <f ca="1"/>
        <v>1.0501286399788899E-5</v>
      </c>
      <c r="AJ107" s="180">
        <f ca="1"/>
        <v>2.0246546372004699E-5</v>
      </c>
      <c r="AK107" s="180">
        <f ca="1"/>
        <v>6.1510059556346697E-5</v>
      </c>
      <c r="AL107" s="180">
        <f ca="1"/>
        <v>-5.1223645668785297E-5</v>
      </c>
      <c r="AM107" s="180">
        <f ca="1"/>
        <v>2.4945446718527303E-4</v>
      </c>
      <c r="AN107" s="180">
        <f ca="1"/>
        <v>-1.62818786814123E-3</v>
      </c>
      <c r="AO107" s="180">
        <f ca="1"/>
        <v>-1.5948000771015501E-4</v>
      </c>
      <c r="AP107" s="180">
        <f ca="1"/>
        <v>2.6846340770769699E-5</v>
      </c>
      <c r="AQ107" t="str">
        <f ca="1"/>
        <v/>
      </c>
    </row>
    <row r="108" spans="2:43" x14ac:dyDescent="0.25">
      <c r="B108" s="179">
        <f ca="1"/>
        <v>51396</v>
      </c>
      <c r="C108" s="180">
        <f ca="1"/>
        <v>-7.8451863849693403E-7</v>
      </c>
      <c r="D108" s="180">
        <f ca="1"/>
        <v>7.8696160699109896E-11</v>
      </c>
      <c r="E108" s="180">
        <f ca="1"/>
        <v>-3.15082404611644E-10</v>
      </c>
      <c r="F108" s="180">
        <f ca="1"/>
        <v>8.2947382296083602E-10</v>
      </c>
      <c r="G108" s="180">
        <f ca="1"/>
        <v>-1.0671024064379301E-9</v>
      </c>
      <c r="H108" s="180">
        <f ca="1"/>
        <v>2.4144026777861398E-9</v>
      </c>
      <c r="I108" s="180">
        <f ca="1"/>
        <v>-1.80757642187501E-8</v>
      </c>
      <c r="J108" s="180">
        <f ca="1"/>
        <v>2.9507421062113799E-8</v>
      </c>
      <c r="K108" s="180">
        <f ca="1"/>
        <v>-1.13605434948205E-7</v>
      </c>
      <c r="L108" s="180">
        <f ca="1"/>
        <v>4.9871851237615104E-7</v>
      </c>
      <c r="M108" s="180">
        <f ca="1"/>
        <v>-3.91207835348517E-7</v>
      </c>
      <c r="N108" s="180">
        <f ca="1"/>
        <v>2.0006218903745301E-13</v>
      </c>
      <c r="O108" s="180">
        <f ca="1"/>
        <v>2.0006218903745301E-13</v>
      </c>
      <c r="P108" s="180">
        <f ca="1"/>
        <v>2.0006218903745301E-13</v>
      </c>
      <c r="Q108" s="180">
        <f ca="1"/>
        <v>2.0006218903745301E-13</v>
      </c>
      <c r="R108" s="180">
        <f ca="1"/>
        <v>2.0006218903745301E-13</v>
      </c>
      <c r="S108" s="180">
        <f ca="1"/>
        <v>-1.2308647523440201E-6</v>
      </c>
      <c r="T108" s="180">
        <f ca="1"/>
        <v>-2.8099576944162801E-6</v>
      </c>
      <c r="U108" s="180">
        <f ca="1"/>
        <v>-3.6292022318473701E-6</v>
      </c>
      <c r="V108" s="180">
        <f ca="1"/>
        <v>-3.0742948901041298E-6</v>
      </c>
      <c r="W108" s="180">
        <f ca="1"/>
        <v>-1.1711824616123E-5</v>
      </c>
      <c r="X108" s="180">
        <f ca="1"/>
        <v>-1.8555570940992401E-5</v>
      </c>
      <c r="Y108" s="180">
        <f ca="1"/>
        <v>-7.2051887133106604E-5</v>
      </c>
      <c r="Z108" s="180">
        <f ca="1"/>
        <v>7.9687544802475903E-5</v>
      </c>
      <c r="AA108" s="180">
        <f ca="1"/>
        <v>-3.0849395983156797E-4</v>
      </c>
      <c r="AB108" s="180">
        <f ca="1"/>
        <v>1.6257941225502599E-3</v>
      </c>
      <c r="AC108" s="180">
        <f ca="1"/>
        <v>2.5397971849749901E-4</v>
      </c>
      <c r="AD108" s="180">
        <f ca="1"/>
        <v>-4.2145669468918199E-5</v>
      </c>
      <c r="AE108" s="180">
        <f ca="1"/>
        <v>1.2082897172804901E-6</v>
      </c>
      <c r="AF108" s="180">
        <f ca="1"/>
        <v>2.76282631361813E-6</v>
      </c>
      <c r="AG108" s="180">
        <f ca="1"/>
        <v>3.5705173573319401E-6</v>
      </c>
      <c r="AH108" s="180">
        <f ca="1"/>
        <v>3.0236734408495302E-6</v>
      </c>
      <c r="AI108" s="180">
        <f ca="1"/>
        <v>1.15162122045209E-5</v>
      </c>
      <c r="AJ108" s="180">
        <f ca="1"/>
        <v>1.8247702200380199E-5</v>
      </c>
      <c r="AK108" s="180">
        <f ca="1"/>
        <v>7.0898052811907406E-5</v>
      </c>
      <c r="AL108" s="180">
        <f ca="1"/>
        <v>-7.85323523641024E-5</v>
      </c>
      <c r="AM108" s="180">
        <f ca="1"/>
        <v>3.0381269169643698E-4</v>
      </c>
      <c r="AN108" s="180">
        <f ca="1"/>
        <v>-1.5983002576303001E-3</v>
      </c>
      <c r="AO108" s="180">
        <f ca="1"/>
        <v>-2.50319377782748E-4</v>
      </c>
      <c r="AP108" s="180">
        <f ca="1"/>
        <v>4.1593051945398903E-5</v>
      </c>
      <c r="AQ108" t="str">
        <f ca="1"/>
        <v/>
      </c>
    </row>
    <row r="109" spans="2:43" x14ac:dyDescent="0.25">
      <c r="B109" s="179">
        <f ca="1"/>
        <v>51487</v>
      </c>
      <c r="C109" s="180">
        <f ca="1"/>
        <v>-7.8099941946963003E-7</v>
      </c>
      <c r="D109" s="180">
        <f ca="1"/>
        <v>8.1508133575880505E-11</v>
      </c>
      <c r="E109" s="180">
        <f ca="1"/>
        <v>-3.2639257963040801E-10</v>
      </c>
      <c r="F109" s="180">
        <f ca="1"/>
        <v>8.5922757797618498E-10</v>
      </c>
      <c r="G109" s="180">
        <f ca="1"/>
        <v>-1.10542008879833E-9</v>
      </c>
      <c r="H109" s="180">
        <f ca="1"/>
        <v>2.50106146904017E-9</v>
      </c>
      <c r="I109" s="180">
        <f ca="1"/>
        <v>-1.83226558370109E-8</v>
      </c>
      <c r="J109" s="180">
        <f ca="1"/>
        <v>3.05667503530671E-8</v>
      </c>
      <c r="K109" s="180">
        <f ca="1"/>
        <v>-1.17683666145396E-7</v>
      </c>
      <c r="L109" s="180">
        <f ca="1"/>
        <v>5.0379837179814799E-7</v>
      </c>
      <c r="M109" s="180">
        <f ca="1"/>
        <v>-4.0403981271808199E-7</v>
      </c>
      <c r="N109" s="180">
        <f ca="1"/>
        <v>1.8185453143360099E-13</v>
      </c>
      <c r="O109" s="180">
        <f ca="1"/>
        <v>1.8185453143360099E-13</v>
      </c>
      <c r="P109" s="180">
        <f ca="1"/>
        <v>1.8185453143360099E-13</v>
      </c>
      <c r="Q109" s="180">
        <f ca="1"/>
        <v>1.8185453143360099E-13</v>
      </c>
      <c r="R109" s="180">
        <f ca="1"/>
        <v>1.8185453143360099E-13</v>
      </c>
      <c r="S109" s="180">
        <f ca="1"/>
        <v>-1.2452433091336701E-6</v>
      </c>
      <c r="T109" s="180">
        <f ca="1"/>
        <v>-2.7693569146780599E-6</v>
      </c>
      <c r="U109" s="180">
        <f ca="1"/>
        <v>-3.7304513316183102E-6</v>
      </c>
      <c r="V109" s="180">
        <f ca="1"/>
        <v>-2.6429462876009801E-6</v>
      </c>
      <c r="W109" s="180">
        <f ca="1"/>
        <v>-1.25152371253101E-5</v>
      </c>
      <c r="X109" s="180">
        <f ca="1"/>
        <v>-1.69423912413924E-5</v>
      </c>
      <c r="Y109" s="180">
        <f ca="1"/>
        <v>-7.9506922720073994E-5</v>
      </c>
      <c r="Z109" s="180">
        <f ca="1"/>
        <v>1.01470144356242E-4</v>
      </c>
      <c r="AA109" s="180">
        <f ca="1"/>
        <v>-3.5168844426714001E-4</v>
      </c>
      <c r="AB109" s="180">
        <f ca="1"/>
        <v>1.5793034695296101E-3</v>
      </c>
      <c r="AC109" s="180">
        <f ca="1"/>
        <v>3.55055315186648E-4</v>
      </c>
      <c r="AD109" s="180">
        <f ca="1"/>
        <v>-5.7891723691305699E-5</v>
      </c>
      <c r="AE109" s="180">
        <f ca="1"/>
        <v>1.2224088206114201E-6</v>
      </c>
      <c r="AF109" s="180">
        <f ca="1"/>
        <v>2.7229017502960999E-6</v>
      </c>
      <c r="AG109" s="180">
        <f ca="1"/>
        <v>3.6701432419850001E-6</v>
      </c>
      <c r="AH109" s="180">
        <f ca="1"/>
        <v>2.5991224662513801E-6</v>
      </c>
      <c r="AI109" s="180">
        <f ca="1"/>
        <v>1.2306771029591001E-5</v>
      </c>
      <c r="AJ109" s="180">
        <f ca="1"/>
        <v>1.6659850479716601E-5</v>
      </c>
      <c r="AK109" s="180">
        <f ca="1"/>
        <v>7.8237900248079306E-5</v>
      </c>
      <c r="AL109" s="180">
        <f ca="1"/>
        <v>-9.9978225731156597E-5</v>
      </c>
      <c r="AM109" s="180">
        <f ca="1"/>
        <v>3.4639432002425702E-4</v>
      </c>
      <c r="AN109" s="180">
        <f ca="1"/>
        <v>-1.5526946265863599E-3</v>
      </c>
      <c r="AO109" s="180">
        <f ca="1"/>
        <v>-3.4988719187789601E-4</v>
      </c>
      <c r="AP109" s="180">
        <f ca="1"/>
        <v>5.7133946600118599E-5</v>
      </c>
      <c r="AQ109" t="str">
        <f ca="1"/>
        <v/>
      </c>
    </row>
    <row r="110" spans="2:43" x14ac:dyDescent="0.25">
      <c r="B110" s="179">
        <f ca="1"/>
        <v>51578</v>
      </c>
      <c r="C110" s="180">
        <f ca="1"/>
        <v>-7.7751036398065999E-7</v>
      </c>
      <c r="D110" s="180">
        <f ca="1"/>
        <v>8.3540285800154405E-11</v>
      </c>
      <c r="E110" s="180">
        <f ca="1"/>
        <v>-3.3459091053345002E-10</v>
      </c>
      <c r="F110" s="180">
        <f ca="1"/>
        <v>8.8077978244172104E-10</v>
      </c>
      <c r="G110" s="180">
        <f ca="1"/>
        <v>-1.1331841021089401E-9</v>
      </c>
      <c r="H110" s="180">
        <f ca="1"/>
        <v>2.5638478007294899E-9</v>
      </c>
      <c r="I110" s="180">
        <f ca="1"/>
        <v>-1.8489934139331901E-8</v>
      </c>
      <c r="J110" s="180">
        <f ca="1"/>
        <v>3.1334328243204401E-8</v>
      </c>
      <c r="K110" s="180">
        <f ca="1"/>
        <v>-1.2063872512069201E-7</v>
      </c>
      <c r="L110" s="180">
        <f ca="1"/>
        <v>5.0715914867716105E-7</v>
      </c>
      <c r="M110" s="180">
        <f ca="1"/>
        <v>-4.1330275302176002E-7</v>
      </c>
      <c r="N110" s="180">
        <f ca="1"/>
        <v>1.6409096303959801E-13</v>
      </c>
      <c r="O110" s="180">
        <f ca="1"/>
        <v>1.6409096303959801E-13</v>
      </c>
      <c r="P110" s="180">
        <f ca="1"/>
        <v>1.6409096303959801E-13</v>
      </c>
      <c r="Q110" s="180">
        <f ca="1"/>
        <v>1.6409096303959801E-13</v>
      </c>
      <c r="R110" s="180">
        <f ca="1"/>
        <v>1.6409096303959801E-13</v>
      </c>
      <c r="S110" s="180">
        <f ca="1"/>
        <v>-1.2549214351009801E-6</v>
      </c>
      <c r="T110" s="180">
        <f ca="1"/>
        <v>-2.7364492073411701E-6</v>
      </c>
      <c r="U110" s="180">
        <f ca="1"/>
        <v>-3.80286627088555E-6</v>
      </c>
      <c r="V110" s="180">
        <f ca="1"/>
        <v>-2.3184117041719098E-6</v>
      </c>
      <c r="W110" s="180">
        <f ca="1"/>
        <v>-1.31039406024991E-5</v>
      </c>
      <c r="X110" s="180">
        <f ca="1"/>
        <v>-1.5722464433931501E-5</v>
      </c>
      <c r="Y110" s="180">
        <f ca="1"/>
        <v>-8.5002847450277294E-5</v>
      </c>
      <c r="Z110" s="180">
        <f ca="1"/>
        <v>1.17646416311845E-4</v>
      </c>
      <c r="AA110" s="180">
        <f ca="1"/>
        <v>-3.8362776586753399E-4</v>
      </c>
      <c r="AB110" s="180">
        <f ca="1"/>
        <v>1.51807727845654E-3</v>
      </c>
      <c r="AC110" s="180">
        <f ca="1"/>
        <v>4.6372709552167102E-4</v>
      </c>
      <c r="AD110" s="180">
        <f ca="1"/>
        <v>-7.3974114009334193E-5</v>
      </c>
      <c r="AE110" s="180">
        <f ca="1"/>
        <v>1.23191262513256E-6</v>
      </c>
      <c r="AF110" s="180">
        <f ca="1"/>
        <v>2.6905424043155401E-6</v>
      </c>
      <c r="AG110" s="180">
        <f ca="1"/>
        <v>3.7413975684241801E-6</v>
      </c>
      <c r="AH110" s="180">
        <f ca="1"/>
        <v>2.2797043484068499E-6</v>
      </c>
      <c r="AI110" s="180">
        <f ca="1"/>
        <v>1.28860646105844E-5</v>
      </c>
      <c r="AJ110" s="180">
        <f ca="1"/>
        <v>1.5459096139092098E-5</v>
      </c>
      <c r="AK110" s="180">
        <f ca="1"/>
        <v>8.3649053053802506E-5</v>
      </c>
      <c r="AL110" s="180">
        <f ca="1"/>
        <v>-1.15903489375624E-4</v>
      </c>
      <c r="AM110" s="180">
        <f ca="1"/>
        <v>3.7788434489727203E-4</v>
      </c>
      <c r="AN110" s="180">
        <f ca="1"/>
        <v>-1.49262931221517E-3</v>
      </c>
      <c r="AO110" s="180">
        <f ca="1"/>
        <v>-4.5690543572729497E-4</v>
      </c>
      <c r="AP110" s="180">
        <f ca="1"/>
        <v>7.3007528642476895E-5</v>
      </c>
      <c r="AQ110" t="str">
        <f ca="1"/>
        <v/>
      </c>
    </row>
    <row r="111" spans="2:43" x14ac:dyDescent="0.25">
      <c r="B111" s="179">
        <f ca="1"/>
        <v>51669</v>
      </c>
      <c r="C111" s="180">
        <f ca="1"/>
        <v>-7.7405096121640995E-7</v>
      </c>
      <c r="D111" s="180">
        <f ca="1"/>
        <v>8.4843021497249499E-11</v>
      </c>
      <c r="E111" s="180">
        <f ca="1"/>
        <v>-3.3987979097815898E-10</v>
      </c>
      <c r="F111" s="180">
        <f ca="1"/>
        <v>8.9466334340926303E-10</v>
      </c>
      <c r="G111" s="180">
        <f ca="1"/>
        <v>-1.1510801201097799E-9</v>
      </c>
      <c r="H111" s="180">
        <f ca="1"/>
        <v>2.60431221033031E-9</v>
      </c>
      <c r="I111" s="180">
        <f ca="1"/>
        <v>-1.8582824057311601E-8</v>
      </c>
      <c r="J111" s="180">
        <f ca="1"/>
        <v>3.1829103797065299E-8</v>
      </c>
      <c r="K111" s="180">
        <f ca="1"/>
        <v>-1.2254356029917101E-7</v>
      </c>
      <c r="L111" s="180">
        <f ca="1"/>
        <v>5.0891337488590004E-7</v>
      </c>
      <c r="M111" s="180">
        <f ca="1"/>
        <v>-4.1922862092924602E-7</v>
      </c>
      <c r="N111" s="180">
        <f ca="1"/>
        <v>1.46438416948058E-13</v>
      </c>
      <c r="O111" s="180">
        <f ca="1"/>
        <v>1.46438416948058E-13</v>
      </c>
      <c r="P111" s="180">
        <f ca="1"/>
        <v>1.46438416948058E-13</v>
      </c>
      <c r="Q111" s="180">
        <f ca="1"/>
        <v>1.46438416948058E-13</v>
      </c>
      <c r="R111" s="180">
        <f ca="1"/>
        <v>1.46438416948058E-13</v>
      </c>
      <c r="S111" s="180">
        <f ca="1"/>
        <v>-1.2602064068945E-6</v>
      </c>
      <c r="T111" s="180">
        <f ca="1"/>
        <v>-2.7107439494189499E-6</v>
      </c>
      <c r="U111" s="180">
        <f ca="1"/>
        <v>-3.8483247745135802E-6</v>
      </c>
      <c r="V111" s="180">
        <f ca="1"/>
        <v>-2.0937701901146999E-6</v>
      </c>
      <c r="W111" s="180">
        <f ca="1"/>
        <v>-1.34918944645346E-5</v>
      </c>
      <c r="X111" s="180">
        <f ca="1"/>
        <v>-1.4870327856964E-5</v>
      </c>
      <c r="Y111" s="180">
        <f ca="1"/>
        <v>-8.8666978440898894E-5</v>
      </c>
      <c r="Z111" s="180">
        <f ca="1"/>
        <v>1.28579916946703E-4</v>
      </c>
      <c r="AA111" s="180">
        <f ca="1"/>
        <v>-4.0504425425735803E-4</v>
      </c>
      <c r="AB111" s="180">
        <f ca="1"/>
        <v>1.4434567488972299E-3</v>
      </c>
      <c r="AC111" s="180">
        <f ca="1"/>
        <v>5.7866021555630397E-4</v>
      </c>
      <c r="AD111" s="180">
        <f ca="1"/>
        <v>-8.9911217584392995E-5</v>
      </c>
      <c r="AE111" s="180">
        <f ca="1"/>
        <v>1.23710283994605E-6</v>
      </c>
      <c r="AF111" s="180">
        <f ca="1"/>
        <v>2.66526580428028E-6</v>
      </c>
      <c r="AG111" s="180">
        <f ca="1"/>
        <v>3.78612791762656E-6</v>
      </c>
      <c r="AH111" s="180">
        <f ca="1"/>
        <v>2.0586068230077401E-6</v>
      </c>
      <c r="AI111" s="180">
        <f ca="1"/>
        <v>1.3267827447482901E-5</v>
      </c>
      <c r="AJ111" s="180">
        <f ca="1"/>
        <v>1.46203717960036E-5</v>
      </c>
      <c r="AK111" s="180">
        <f ca="1"/>
        <v>8.7256768917631802E-5</v>
      </c>
      <c r="AL111" s="180">
        <f ca="1"/>
        <v>-1.2666681360340399E-4</v>
      </c>
      <c r="AM111" s="180">
        <f ca="1"/>
        <v>3.9900172845819297E-4</v>
      </c>
      <c r="AN111" s="180">
        <f ca="1"/>
        <v>-1.4194134840363999E-3</v>
      </c>
      <c r="AO111" s="180">
        <f ca="1"/>
        <v>-5.7005282488475895E-4</v>
      </c>
      <c r="AP111" s="180">
        <f ca="1"/>
        <v>8.8738450495617904E-5</v>
      </c>
      <c r="AQ111" t="str">
        <f ca="1"/>
        <v/>
      </c>
    </row>
    <row r="112" spans="2:43" x14ac:dyDescent="0.25">
      <c r="B112" s="179">
        <f ca="1"/>
        <v>51761</v>
      </c>
      <c r="C112" s="180">
        <f ca="1"/>
        <v>-7.7058312741851196E-7</v>
      </c>
      <c r="D112" s="180">
        <f ca="1"/>
        <v>8.5473073063724301E-11</v>
      </c>
      <c r="E112" s="180">
        <f ca="1"/>
        <v>-3.4248426317162698E-10</v>
      </c>
      <c r="F112" s="180">
        <f ca="1"/>
        <v>9.0147167508547496E-10</v>
      </c>
      <c r="G112" s="180">
        <f ca="1"/>
        <v>-1.15987175419718E-9</v>
      </c>
      <c r="H112" s="180">
        <f ca="1"/>
        <v>2.6241829820250502E-9</v>
      </c>
      <c r="I112" s="180">
        <f ca="1"/>
        <v>-1.86066791973971E-8</v>
      </c>
      <c r="J112" s="180">
        <f ca="1"/>
        <v>3.2072201783250902E-8</v>
      </c>
      <c r="K112" s="180">
        <f ca="1"/>
        <v>-1.2347949507329801E-7</v>
      </c>
      <c r="L112" s="180">
        <f ca="1"/>
        <v>5.0917355964852405E-7</v>
      </c>
      <c r="M112" s="180">
        <f ca="1"/>
        <v>-4.2207459771681499E-7</v>
      </c>
      <c r="N112" s="180">
        <f ca="1"/>
        <v>1.2934098236883099E-13</v>
      </c>
      <c r="O112" s="180">
        <f ca="1"/>
        <v>1.2934098236883099E-13</v>
      </c>
      <c r="P112" s="180">
        <f ca="1"/>
        <v>1.2934098236883099E-13</v>
      </c>
      <c r="Q112" s="180">
        <f ca="1"/>
        <v>1.2934098236883099E-13</v>
      </c>
      <c r="R112" s="180">
        <f ca="1"/>
        <v>1.2934098236883099E-13</v>
      </c>
      <c r="S112" s="180">
        <f ca="1"/>
        <v>-1.2614108317876601E-6</v>
      </c>
      <c r="T112" s="180">
        <f ca="1"/>
        <v>-2.69155308374458E-6</v>
      </c>
      <c r="U112" s="180">
        <f ca="1"/>
        <v>-3.8688817589616099E-6</v>
      </c>
      <c r="V112" s="180">
        <f ca="1"/>
        <v>-1.9608214505417699E-6</v>
      </c>
      <c r="W112" s="180">
        <f ca="1"/>
        <v>-1.3694925848795099E-5</v>
      </c>
      <c r="X112" s="180">
        <f ca="1"/>
        <v>-1.4355530590926E-5</v>
      </c>
      <c r="Y112" s="180">
        <f ca="1"/>
        <v>-9.0645034495962006E-5</v>
      </c>
      <c r="Z112" s="180">
        <f ca="1"/>
        <v>1.3469200071680699E-4</v>
      </c>
      <c r="AA112" s="180">
        <f ca="1"/>
        <v>-4.1677955762908802E-4</v>
      </c>
      <c r="AB112" s="180">
        <f ca="1"/>
        <v>1.3558215158068199E-3</v>
      </c>
      <c r="AC112" s="180">
        <f ca="1"/>
        <v>6.99814225342266E-4</v>
      </c>
      <c r="AD112" s="180">
        <f ca="1"/>
        <v>-1.0537043236935601E-4</v>
      </c>
      <c r="AE112" s="180">
        <f ca="1"/>
        <v>1.2382864219562299E-6</v>
      </c>
      <c r="AF112" s="180">
        <f ca="1"/>
        <v>2.64639534353073E-6</v>
      </c>
      <c r="AG112" s="180">
        <f ca="1"/>
        <v>3.8063562411982901E-6</v>
      </c>
      <c r="AH112" s="180">
        <f ca="1"/>
        <v>1.9277586037480498E-6</v>
      </c>
      <c r="AI112" s="180">
        <f ca="1"/>
        <v>1.34676325412864E-5</v>
      </c>
      <c r="AJ112" s="180">
        <f ca="1"/>
        <v>1.41137019955551E-5</v>
      </c>
      <c r="AK112" s="180">
        <f ca="1"/>
        <v>8.9204458960434594E-5</v>
      </c>
      <c r="AL112" s="180">
        <f ca="1"/>
        <v>-1.3268348669992499E-4</v>
      </c>
      <c r="AM112" s="180">
        <f ca="1"/>
        <v>4.1057436054259299E-4</v>
      </c>
      <c r="AN112" s="180">
        <f ca="1"/>
        <v>-1.3334118444709999E-3</v>
      </c>
      <c r="AO112" s="180">
        <f ca="1"/>
        <v>-6.8928295462977697E-4</v>
      </c>
      <c r="AP112" s="180">
        <f ca="1"/>
        <v>1.03998380024617E-4</v>
      </c>
      <c r="AQ112" t="str">
        <f ca="1"/>
        <v/>
      </c>
    </row>
    <row r="113" spans="2:43" x14ac:dyDescent="0.25">
      <c r="B113" s="179">
        <f ca="1"/>
        <v>51852</v>
      </c>
      <c r="C113" s="180">
        <f ca="1"/>
        <v>-7.6718166108769005E-7</v>
      </c>
      <c r="D113" s="180">
        <f ca="1"/>
        <v>8.5472184885304601E-11</v>
      </c>
      <c r="E113" s="180">
        <f ca="1"/>
        <v>-3.4256975034452399E-10</v>
      </c>
      <c r="F113" s="180">
        <f ca="1"/>
        <v>9.0164220534205697E-10</v>
      </c>
      <c r="G113" s="180">
        <f ca="1"/>
        <v>-1.16012155437772E-9</v>
      </c>
      <c r="H113" s="180">
        <f ca="1"/>
        <v>2.6247318762884199E-9</v>
      </c>
      <c r="I113" s="180">
        <f ca="1"/>
        <v>-1.85667113905552E-8</v>
      </c>
      <c r="J113" s="180">
        <f ca="1"/>
        <v>3.20791567753886E-8</v>
      </c>
      <c r="K113" s="180">
        <f ca="1"/>
        <v>-1.2350633571411899E-7</v>
      </c>
      <c r="L113" s="180">
        <f ca="1"/>
        <v>5.08057386716665E-7</v>
      </c>
      <c r="M113" s="180">
        <f ca="1"/>
        <v>-4.2203365457904601E-7</v>
      </c>
      <c r="N113" s="180">
        <f ca="1"/>
        <v>1.12909681604378E-13</v>
      </c>
      <c r="O113" s="180">
        <f ca="1"/>
        <v>1.12909681604378E-13</v>
      </c>
      <c r="P113" s="180">
        <f ca="1"/>
        <v>1.12909681604378E-13</v>
      </c>
      <c r="Q113" s="180">
        <f ca="1"/>
        <v>1.12909681604378E-13</v>
      </c>
      <c r="R113" s="180">
        <f ca="1"/>
        <v>1.12909681604378E-13</v>
      </c>
      <c r="S113" s="180">
        <f ca="1"/>
        <v>-1.25884544133203E-6</v>
      </c>
      <c r="T113" s="180">
        <f ca="1"/>
        <v>-2.6787513883741501E-6</v>
      </c>
      <c r="U113" s="180">
        <f ca="1"/>
        <v>-3.8661526757799402E-6</v>
      </c>
      <c r="V113" s="180">
        <f ca="1"/>
        <v>-1.9148390782985901E-6</v>
      </c>
      <c r="W113" s="180">
        <f ca="1"/>
        <v>-1.37239660825683E-5</v>
      </c>
      <c r="X113" s="180">
        <f ca="1"/>
        <v>-1.4161234124454601E-5</v>
      </c>
      <c r="Y113" s="180">
        <f ca="1"/>
        <v>-9.1033969304432597E-5</v>
      </c>
      <c r="Z113" s="180">
        <f ca="1"/>
        <v>1.36249961906643E-4</v>
      </c>
      <c r="AA113" s="180">
        <f ca="1"/>
        <v>-4.1938268329622097E-4</v>
      </c>
      <c r="AB113" s="180">
        <f ca="1"/>
        <v>1.2585333568895199E-3</v>
      </c>
      <c r="AC113" s="180">
        <f ca="1"/>
        <v>8.2311973220183798E-4</v>
      </c>
      <c r="AD113" s="180">
        <f ca="1"/>
        <v>-1.19502364972712E-4</v>
      </c>
      <c r="AE113" s="180">
        <f ca="1"/>
        <v>1.2357684521235899E-6</v>
      </c>
      <c r="AF113" s="180">
        <f ca="1"/>
        <v>2.6338078478183002E-6</v>
      </c>
      <c r="AG113" s="180">
        <f ca="1"/>
        <v>3.8036720438894299E-6</v>
      </c>
      <c r="AH113" s="180">
        <f ca="1"/>
        <v>1.8825074422634801E-6</v>
      </c>
      <c r="AI113" s="180">
        <f ca="1"/>
        <v>1.3496234982923699E-5</v>
      </c>
      <c r="AJ113" s="180">
        <f ca="1"/>
        <v>1.3922509540575901E-5</v>
      </c>
      <c r="AK113" s="180">
        <f ca="1"/>
        <v>8.9587544807479005E-5</v>
      </c>
      <c r="AL113" s="180">
        <f ca="1"/>
        <v>-1.3421691342985201E-4</v>
      </c>
      <c r="AM113" s="180">
        <f ca="1"/>
        <v>4.1314246776635898E-4</v>
      </c>
      <c r="AN113" s="180">
        <f ca="1"/>
        <v>-1.23791549249086E-3</v>
      </c>
      <c r="AO113" s="180">
        <f ca="1"/>
        <v>-8.1058624829000202E-4</v>
      </c>
      <c r="AP113" s="180">
        <f ca="1"/>
        <v>1.17948763083908E-4</v>
      </c>
      <c r="AQ113" t="str">
        <f ca="1"/>
        <v/>
      </c>
    </row>
    <row r="114" spans="2:43" x14ac:dyDescent="0.25">
      <c r="B114" s="179">
        <f ca="1"/>
        <v>51942</v>
      </c>
      <c r="C114" s="180">
        <f ca="1"/>
        <v>-7.6384501257464897E-7</v>
      </c>
      <c r="D114" s="180">
        <f ca="1"/>
        <v>8.4917739506806798E-11</v>
      </c>
      <c r="E114" s="180">
        <f ca="1"/>
        <v>-3.4044322916315702E-10</v>
      </c>
      <c r="F114" s="180">
        <f ca="1"/>
        <v>8.9598317654093803E-10</v>
      </c>
      <c r="G114" s="180">
        <f ca="1"/>
        <v>-1.1528691334916601E-9</v>
      </c>
      <c r="H114" s="180">
        <f ca="1"/>
        <v>2.6083111226426999E-9</v>
      </c>
      <c r="I114" s="180">
        <f ca="1"/>
        <v>-1.8470803442305299E-8</v>
      </c>
      <c r="J114" s="180">
        <f ca="1"/>
        <v>3.1878714557009897E-8</v>
      </c>
      <c r="K114" s="180">
        <f ca="1"/>
        <v>-1.22734745255926E-7</v>
      </c>
      <c r="L114" s="180">
        <f ca="1"/>
        <v>5.0573469700942997E-7</v>
      </c>
      <c r="M114" s="180">
        <f ca="1"/>
        <v>-4.1945755857586399E-7</v>
      </c>
      <c r="N114" s="180">
        <f ca="1"/>
        <v>9.7144514654701197E-14</v>
      </c>
      <c r="O114" s="180">
        <f ca="1"/>
        <v>9.7144514654701197E-14</v>
      </c>
      <c r="P114" s="180">
        <f ca="1"/>
        <v>9.7144514654701197E-14</v>
      </c>
      <c r="Q114" s="180">
        <f ca="1"/>
        <v>9.7144514654701197E-14</v>
      </c>
      <c r="R114" s="180">
        <f ca="1"/>
        <v>9.7144514654701197E-14</v>
      </c>
      <c r="S114" s="180">
        <f ca="1"/>
        <v>-1.2529743798062001E-6</v>
      </c>
      <c r="T114" s="180">
        <f ca="1"/>
        <v>-2.6715853358449901E-6</v>
      </c>
      <c r="U114" s="180">
        <f ca="1"/>
        <v>-3.8429823849828199E-6</v>
      </c>
      <c r="V114" s="180">
        <f ca="1"/>
        <v>-1.9452985756673898E-6</v>
      </c>
      <c r="W114" s="180">
        <f ca="1"/>
        <v>-1.3600194396334899E-5</v>
      </c>
      <c r="X114" s="180">
        <f ca="1"/>
        <v>-1.42486982515067E-5</v>
      </c>
      <c r="Y114" s="180">
        <f ca="1"/>
        <v>-9.0026979986834705E-5</v>
      </c>
      <c r="Z114" s="180">
        <f ca="1"/>
        <v>1.3380656274952801E-4</v>
      </c>
      <c r="AA114" s="180">
        <f ca="1"/>
        <v>-4.13963299325526E-4</v>
      </c>
      <c r="AB114" s="180">
        <f ca="1"/>
        <v>1.1534078362603901E-3</v>
      </c>
      <c r="AC114" s="180">
        <f ca="1"/>
        <v>9.4702195134555001E-4</v>
      </c>
      <c r="AD114" s="180">
        <f ca="1"/>
        <v>-1.3183190836607599E-4</v>
      </c>
      <c r="AE114" s="180">
        <f ca="1"/>
        <v>1.2300046691171601E-6</v>
      </c>
      <c r="AF114" s="180">
        <f ca="1"/>
        <v>2.6267623135511901E-6</v>
      </c>
      <c r="AG114" s="180">
        <f ca="1"/>
        <v>3.7808745471101801E-6</v>
      </c>
      <c r="AH114" s="180">
        <f ca="1"/>
        <v>1.9124945158655E-6</v>
      </c>
      <c r="AI114" s="180">
        <f ca="1"/>
        <v>1.33744744011954E-5</v>
      </c>
      <c r="AJ114" s="180">
        <f ca="1"/>
        <v>1.40086610042056E-5</v>
      </c>
      <c r="AK114" s="180">
        <f ca="1"/>
        <v>8.8596233181581496E-5</v>
      </c>
      <c r="AL114" s="180">
        <f ca="1"/>
        <v>-1.3181132785156099E-4</v>
      </c>
      <c r="AM114" s="180">
        <f ca="1"/>
        <v>4.07799897468974E-4</v>
      </c>
      <c r="AN114" s="180">
        <f ca="1"/>
        <v>-1.1346993757178599E-3</v>
      </c>
      <c r="AO114" s="180">
        <f ca="1"/>
        <v>-9.3243121527830696E-4</v>
      </c>
      <c r="AP114" s="180">
        <f ca="1"/>
        <v>1.3012041135718199E-4</v>
      </c>
      <c r="AQ114" t="str">
        <f ca="1"/>
        <v/>
      </c>
    </row>
    <row r="115" spans="2:43" x14ac:dyDescent="0.25">
      <c r="B115" s="179">
        <f ca="1"/>
        <v>52034</v>
      </c>
      <c r="C115" s="180">
        <f ca="1"/>
        <v>-7.6046175911947998E-7</v>
      </c>
      <c r="D115" s="180">
        <f ca="1"/>
        <v>8.3842266462852396E-11</v>
      </c>
      <c r="E115" s="180">
        <f ca="1"/>
        <v>-3.3623570594443198E-10</v>
      </c>
      <c r="F115" s="180">
        <f ca="1"/>
        <v>8.8484053417659001E-10</v>
      </c>
      <c r="G115" s="180">
        <f ca="1"/>
        <v>-1.1385602460833901E-9</v>
      </c>
      <c r="H115" s="180">
        <f ca="1"/>
        <v>2.5759289146165501E-9</v>
      </c>
      <c r="I115" s="180">
        <f ca="1"/>
        <v>-1.83209917237193E-8</v>
      </c>
      <c r="J115" s="180">
        <f ca="1"/>
        <v>3.1483202045379198E-8</v>
      </c>
      <c r="K115" s="180">
        <f ca="1"/>
        <v>-1.2121217851657199E-7</v>
      </c>
      <c r="L115" s="180">
        <f ca="1"/>
        <v>5.0224056091785496E-7</v>
      </c>
      <c r="M115" s="180">
        <f ca="1"/>
        <v>-4.14493102285363E-7</v>
      </c>
      <c r="N115" s="180">
        <f ca="1"/>
        <v>8.1934459217336603E-14</v>
      </c>
      <c r="O115" s="180">
        <f ca="1"/>
        <v>8.1934459217336603E-14</v>
      </c>
      <c r="P115" s="180">
        <f ca="1"/>
        <v>8.1934459217336603E-14</v>
      </c>
      <c r="Q115" s="180">
        <f ca="1"/>
        <v>8.1934459217336603E-14</v>
      </c>
      <c r="R115" s="180">
        <f ca="1"/>
        <v>8.1934459217336603E-14</v>
      </c>
      <c r="S115" s="180">
        <f ca="1"/>
        <v>-1.2439092614835401E-6</v>
      </c>
      <c r="T115" s="180">
        <f ca="1"/>
        <v>-2.6693194916660399E-6</v>
      </c>
      <c r="U115" s="180">
        <f ca="1"/>
        <v>-3.8004817330961099E-6</v>
      </c>
      <c r="V115" s="180">
        <f ca="1"/>
        <v>-2.0462525524012099E-6</v>
      </c>
      <c r="W115" s="180">
        <f ca="1"/>
        <v>-1.33335058762896E-5</v>
      </c>
      <c r="X115" s="180">
        <f ca="1"/>
        <v>-1.4595211431989201E-5</v>
      </c>
      <c r="Y115" s="180">
        <f ca="1"/>
        <v>-8.7718372454470602E-5</v>
      </c>
      <c r="Z115" s="180">
        <f ca="1"/>
        <v>1.27646234941214E-4</v>
      </c>
      <c r="AA115" s="180">
        <f ca="1"/>
        <v>-4.01074978806037E-4</v>
      </c>
      <c r="AB115" s="180">
        <f ca="1"/>
        <v>1.03834855096752E-3</v>
      </c>
      <c r="AC115" s="180">
        <f ca="1"/>
        <v>1.0741600669702501E-3</v>
      </c>
      <c r="AD115" s="180">
        <f ca="1"/>
        <v>-1.42202116656165E-4</v>
      </c>
      <c r="AE115" s="180">
        <f ca="1"/>
        <v>1.22110469735759E-6</v>
      </c>
      <c r="AF115" s="180">
        <f ca="1"/>
        <v>2.6245355765341901E-6</v>
      </c>
      <c r="AG115" s="180">
        <f ca="1"/>
        <v>3.7390568172757099E-6</v>
      </c>
      <c r="AH115" s="180">
        <f ca="1"/>
        <v>2.0118663350832101E-6</v>
      </c>
      <c r="AI115" s="180">
        <f ca="1"/>
        <v>1.31120882628233E-5</v>
      </c>
      <c r="AJ115" s="180">
        <f ca="1"/>
        <v>1.4349803045155E-5</v>
      </c>
      <c r="AK115" s="180">
        <f ca="1"/>
        <v>8.6323387158193695E-5</v>
      </c>
      <c r="AL115" s="180">
        <f ca="1"/>
        <v>-1.25746663083626E-4</v>
      </c>
      <c r="AM115" s="180">
        <f ca="1"/>
        <v>3.9509277443594603E-4</v>
      </c>
      <c r="AN115" s="180">
        <f ca="1"/>
        <v>-1.0216971513194999E-3</v>
      </c>
      <c r="AO115" s="180">
        <f ca="1"/>
        <v>-1.0574105715643899E-3</v>
      </c>
      <c r="AP115" s="180">
        <f ca="1"/>
        <v>1.4035819046387399E-4</v>
      </c>
      <c r="AQ115" t="str">
        <f ca="1"/>
        <v/>
      </c>
    </row>
    <row r="116" spans="2:43" x14ac:dyDescent="0.25">
      <c r="B116" s="179">
        <f ca="1"/>
        <v>52126</v>
      </c>
      <c r="C116" s="180">
        <f ca="1"/>
        <v>-7.5710564562125903E-7</v>
      </c>
      <c r="D116" s="180">
        <f ca="1"/>
        <v>8.2315709803992806E-11</v>
      </c>
      <c r="E116" s="180">
        <f ca="1"/>
        <v>-3.3022418133299399E-10</v>
      </c>
      <c r="F116" s="180">
        <f ca="1"/>
        <v>8.6894458295461205E-10</v>
      </c>
      <c r="G116" s="180">
        <f ca="1"/>
        <v>-1.11813436287633E-9</v>
      </c>
      <c r="H116" s="180">
        <f ca="1"/>
        <v>2.5297108852129201E-9</v>
      </c>
      <c r="I116" s="180">
        <f ca="1"/>
        <v>-1.81253224651456E-8</v>
      </c>
      <c r="J116" s="180">
        <f ca="1"/>
        <v>3.0918589355444199E-8</v>
      </c>
      <c r="K116" s="180">
        <f ca="1"/>
        <v>-1.1903861540929501E-7</v>
      </c>
      <c r="L116" s="180">
        <f ca="1"/>
        <v>4.9775375887684003E-7</v>
      </c>
      <c r="M116" s="180">
        <f ca="1"/>
        <v>-4.07460877149823E-7</v>
      </c>
      <c r="N116" s="180">
        <f ca="1"/>
        <v>6.7390537594747002E-14</v>
      </c>
      <c r="O116" s="180">
        <f ca="1"/>
        <v>6.7390537594747002E-14</v>
      </c>
      <c r="P116" s="180">
        <f ca="1"/>
        <v>6.7390537594747002E-14</v>
      </c>
      <c r="Q116" s="180">
        <f ca="1"/>
        <v>6.7390537594747002E-14</v>
      </c>
      <c r="R116" s="180">
        <f ca="1"/>
        <v>6.7390537594747002E-14</v>
      </c>
      <c r="S116" s="180">
        <f ca="1"/>
        <v>-1.2321280319360601E-6</v>
      </c>
      <c r="T116" s="180">
        <f ca="1"/>
        <v>-2.67154914279644E-6</v>
      </c>
      <c r="U116" s="180">
        <f ca="1"/>
        <v>-3.7412965909755501E-6</v>
      </c>
      <c r="V116" s="180">
        <f ca="1"/>
        <v>-2.2091376143951201E-6</v>
      </c>
      <c r="W116" s="180">
        <f ca="1"/>
        <v>-1.29425225220414E-5</v>
      </c>
      <c r="X116" s="180">
        <f ca="1"/>
        <v>-1.51697991060962E-5</v>
      </c>
      <c r="Y116" s="180">
        <f ca="1"/>
        <v>-8.4275288728674597E-5</v>
      </c>
      <c r="Z116" s="180">
        <f ca="1"/>
        <v>1.1823761726625899E-4</v>
      </c>
      <c r="AA116" s="180">
        <f ca="1"/>
        <v>-3.81669259876372E-4</v>
      </c>
      <c r="AB116" s="180">
        <f ca="1"/>
        <v>9.1723575384294897E-4</v>
      </c>
      <c r="AC116" s="180">
        <f ca="1"/>
        <v>1.2001978465007201E-3</v>
      </c>
      <c r="AD116" s="180">
        <f ca="1"/>
        <v>-1.49753383438922E-4</v>
      </c>
      <c r="AE116" s="180">
        <f ca="1"/>
        <v>1.20953780480271E-6</v>
      </c>
      <c r="AF116" s="180">
        <f ca="1"/>
        <v>2.6267296182602702E-6</v>
      </c>
      <c r="AG116" s="180">
        <f ca="1"/>
        <v>3.6808222607653801E-6</v>
      </c>
      <c r="AH116" s="180">
        <f ca="1"/>
        <v>2.1721942322638901E-6</v>
      </c>
      <c r="AI116" s="180">
        <f ca="1"/>
        <v>1.27273997060362E-5</v>
      </c>
      <c r="AJ116" s="180">
        <f ca="1"/>
        <v>1.4915446064689401E-5</v>
      </c>
      <c r="AK116" s="180">
        <f ca="1"/>
        <v>8.29335867087444E-5</v>
      </c>
      <c r="AL116" s="180">
        <f ca="1"/>
        <v>-1.1648410347153699E-4</v>
      </c>
      <c r="AM116" s="180">
        <f ca="1"/>
        <v>3.7595997534978199E-4</v>
      </c>
      <c r="AN116" s="180">
        <f ca="1"/>
        <v>-9.0271180477252699E-4</v>
      </c>
      <c r="AO116" s="180">
        <f ca="1"/>
        <v>-1.18125993269846E-3</v>
      </c>
      <c r="AP116" s="180">
        <f ca="1"/>
        <v>1.4781325986335E-4</v>
      </c>
      <c r="AQ116" t="str">
        <f ca="1"/>
        <v/>
      </c>
    </row>
    <row r="117" spans="2:43" x14ac:dyDescent="0.25">
      <c r="B117" s="179">
        <f ca="1"/>
        <v>52217</v>
      </c>
      <c r="C117" s="180">
        <f ca="1"/>
        <v>-7.5381198039181598E-7</v>
      </c>
      <c r="D117" s="180">
        <f ca="1"/>
        <v>8.0426665327593102E-11</v>
      </c>
      <c r="E117" s="180">
        <f ca="1"/>
        <v>-3.2276015193843901E-10</v>
      </c>
      <c r="F117" s="180">
        <f ca="1"/>
        <v>8.4922280318977497E-10</v>
      </c>
      <c r="G117" s="180">
        <f ca="1"/>
        <v>-1.09278419646586E-9</v>
      </c>
      <c r="H117" s="180">
        <f ca="1"/>
        <v>2.47235520944855E-9</v>
      </c>
      <c r="I117" s="180">
        <f ca="1"/>
        <v>-1.78932768601925E-8</v>
      </c>
      <c r="J117" s="180">
        <f ca="1"/>
        <v>3.02178451150326E-8</v>
      </c>
      <c r="K117" s="180">
        <f ca="1"/>
        <v>-1.16340974520845E-7</v>
      </c>
      <c r="L117" s="180">
        <f ca="1"/>
        <v>4.9248133704438104E-7</v>
      </c>
      <c r="M117" s="180">
        <f ca="1"/>
        <v>-3.9876564839058701E-7</v>
      </c>
      <c r="N117" s="180">
        <f ca="1"/>
        <v>5.4178883601707601E-14</v>
      </c>
      <c r="O117" s="180">
        <f ca="1"/>
        <v>5.4178883601707601E-14</v>
      </c>
      <c r="P117" s="180">
        <f ca="1"/>
        <v>5.4178883601707601E-14</v>
      </c>
      <c r="Q117" s="180">
        <f ca="1"/>
        <v>5.4178883601707601E-14</v>
      </c>
      <c r="R117" s="180">
        <f ca="1"/>
        <v>5.4178883601707601E-14</v>
      </c>
      <c r="S117" s="180">
        <f ca="1"/>
        <v>-1.21819138254597E-6</v>
      </c>
      <c r="T117" s="180">
        <f ca="1"/>
        <v>-2.67754380689489E-6</v>
      </c>
      <c r="U117" s="180">
        <f ca="1"/>
        <v>-3.66872556967213E-6</v>
      </c>
      <c r="V117" s="180">
        <f ca="1"/>
        <v>-2.4223456062122399E-6</v>
      </c>
      <c r="W117" s="180">
        <f ca="1"/>
        <v>-1.24512766409568E-5</v>
      </c>
      <c r="X117" s="180">
        <f ca="1"/>
        <v>-1.5929997144614701E-5</v>
      </c>
      <c r="Y117" s="180">
        <f ca="1"/>
        <v>-7.99156210841145E-5</v>
      </c>
      <c r="Z117" s="180">
        <f ca="1"/>
        <v>1.06199618006064E-4</v>
      </c>
      <c r="AA117" s="180">
        <f ca="1"/>
        <v>-3.56993225725799E-4</v>
      </c>
      <c r="AB117" s="180">
        <f ca="1"/>
        <v>7.9313711558193201E-4</v>
      </c>
      <c r="AC117" s="180">
        <f ca="1"/>
        <v>1.3221743342283199E-3</v>
      </c>
      <c r="AD117" s="180">
        <f ca="1"/>
        <v>-1.5388308678987401E-4</v>
      </c>
      <c r="AE117" s="180">
        <f ca="1"/>
        <v>1.1958545186319099E-6</v>
      </c>
      <c r="AF117" s="180">
        <f ca="1"/>
        <v>2.6326260821329901E-6</v>
      </c>
      <c r="AG117" s="180">
        <f ca="1"/>
        <v>3.6094165676292499E-6</v>
      </c>
      <c r="AH117" s="180">
        <f ca="1"/>
        <v>2.3820528154416799E-6</v>
      </c>
      <c r="AI117" s="180">
        <f ca="1"/>
        <v>1.2244055840104899E-5</v>
      </c>
      <c r="AJ117" s="180">
        <f ca="1"/>
        <v>1.5663791834263901E-5</v>
      </c>
      <c r="AK117" s="180">
        <f ca="1"/>
        <v>7.8641386625166704E-5</v>
      </c>
      <c r="AL117" s="180">
        <f ca="1"/>
        <v>-1.0463271372374E-4</v>
      </c>
      <c r="AM117" s="180">
        <f ca="1"/>
        <v>3.5163199903687198E-4</v>
      </c>
      <c r="AN117" s="180">
        <f ca="1"/>
        <v>-7.8075205704775097E-4</v>
      </c>
      <c r="AO117" s="180">
        <f ca="1"/>
        <v>-1.3010720760014999E-3</v>
      </c>
      <c r="AP117" s="180">
        <f ca="1"/>
        <v>1.51890466185578E-4</v>
      </c>
      <c r="AQ117" t="str">
        <f ca="1"/>
        <v/>
      </c>
    </row>
    <row r="118" spans="2:43" x14ac:dyDescent="0.25">
      <c r="B118" s="179">
        <f ca="1"/>
        <v>52307</v>
      </c>
      <c r="C118" s="180">
        <f ca="1"/>
        <v>-7.5057917148235699E-7</v>
      </c>
      <c r="D118" s="180">
        <f ca="1"/>
        <v>7.8252293533864797E-11</v>
      </c>
      <c r="E118" s="180">
        <f ca="1"/>
        <v>-3.1415026136016898E-10</v>
      </c>
      <c r="F118" s="180">
        <f ca="1"/>
        <v>8.2648454746703196E-10</v>
      </c>
      <c r="G118" s="180">
        <f ca="1"/>
        <v>-1.06355091400445E-9</v>
      </c>
      <c r="H118" s="180">
        <f ca="1"/>
        <v>2.4062170034255802E-9</v>
      </c>
      <c r="I118" s="180">
        <f ca="1"/>
        <v>-1.76327337175763E-8</v>
      </c>
      <c r="J118" s="180">
        <f ca="1"/>
        <v>2.94097548536598E-8</v>
      </c>
      <c r="K118" s="180">
        <f ca="1"/>
        <v>-1.13230072651405E-7</v>
      </c>
      <c r="L118" s="180">
        <f ca="1"/>
        <v>4.8659291485009195E-7</v>
      </c>
      <c r="M118" s="180">
        <f ca="1"/>
        <v>-3.88759623493051E-7</v>
      </c>
      <c r="N118" s="180">
        <f ca="1"/>
        <v>4.2077452633293401E-14</v>
      </c>
      <c r="O118" s="180">
        <f ca="1"/>
        <v>4.2077452633293401E-14</v>
      </c>
      <c r="P118" s="180">
        <f ca="1"/>
        <v>4.2077452633293401E-14</v>
      </c>
      <c r="Q118" s="180">
        <f ca="1"/>
        <v>4.2077452633293401E-14</v>
      </c>
      <c r="R118" s="180">
        <f ca="1"/>
        <v>4.2077452633293401E-14</v>
      </c>
      <c r="S118" s="180">
        <f ca="1"/>
        <v>-1.2025630439227399E-6</v>
      </c>
      <c r="T118" s="180">
        <f ca="1"/>
        <v>-2.6865439092249601E-6</v>
      </c>
      <c r="U118" s="180">
        <f ca="1"/>
        <v>-3.5856162660108399E-6</v>
      </c>
      <c r="V118" s="180">
        <f ca="1"/>
        <v>-2.6753192829964702E-6</v>
      </c>
      <c r="W118" s="180">
        <f ca="1"/>
        <v>-1.18809879455783E-5</v>
      </c>
      <c r="X118" s="180">
        <f ca="1"/>
        <v>-1.6836934291553099E-5</v>
      </c>
      <c r="Y118" s="180">
        <f ca="1"/>
        <v>-7.4832968686044902E-5</v>
      </c>
      <c r="Z118" s="180">
        <f ca="1"/>
        <v>9.2086525285472995E-5</v>
      </c>
      <c r="AA118" s="180">
        <f ca="1"/>
        <v>-3.2815850790801599E-4</v>
      </c>
      <c r="AB118" s="180">
        <f ca="1"/>
        <v>6.6784217435111903E-4</v>
      </c>
      <c r="AC118" s="180">
        <f ca="1"/>
        <v>1.4385766502307299E-3</v>
      </c>
      <c r="AD118" s="180">
        <f ca="1"/>
        <v>-1.5413901858374299E-4</v>
      </c>
      <c r="AE118" s="180">
        <f ca="1"/>
        <v>1.18051017061749E-6</v>
      </c>
      <c r="AF118" s="180">
        <f ca="1"/>
        <v>2.6414780179839802E-6</v>
      </c>
      <c r="AG118" s="180">
        <f ca="1"/>
        <v>3.5276416604501601E-6</v>
      </c>
      <c r="AH118" s="180">
        <f ca="1"/>
        <v>2.6310511348492899E-6</v>
      </c>
      <c r="AI118" s="180">
        <f ca="1"/>
        <v>1.16829365657267E-5</v>
      </c>
      <c r="AJ118" s="180">
        <f ca="1"/>
        <v>1.6556579328641502E-5</v>
      </c>
      <c r="AK118" s="180">
        <f ca="1"/>
        <v>7.3637424968131499E-5</v>
      </c>
      <c r="AL118" s="180">
        <f ca="1"/>
        <v>-9.07379424771593E-5</v>
      </c>
      <c r="AM118" s="180">
        <f ca="1"/>
        <v>3.23205796359138E-4</v>
      </c>
      <c r="AN118" s="180">
        <f ca="1"/>
        <v>-6.5757383470887998E-4</v>
      </c>
      <c r="AO118" s="180">
        <f ca="1"/>
        <v>-1.41536571159284E-3</v>
      </c>
      <c r="AP118" s="180">
        <f ca="1"/>
        <v>1.5214321173306899E-4</v>
      </c>
      <c r="AQ118" t="str">
        <f ca="1"/>
        <v/>
      </c>
    </row>
    <row r="119" spans="2:43" x14ac:dyDescent="0.25">
      <c r="B119" s="179">
        <f ca="1"/>
        <v>52399</v>
      </c>
      <c r="C119" s="180">
        <f ca="1"/>
        <v>-7.4729907872939105E-7</v>
      </c>
      <c r="D119" s="180">
        <f ca="1"/>
        <v>7.5783379571703297E-11</v>
      </c>
      <c r="E119" s="180">
        <f ca="1"/>
        <v>-3.0435931552830198E-10</v>
      </c>
      <c r="F119" s="180">
        <f ca="1"/>
        <v>8.0063522478468495E-10</v>
      </c>
      <c r="G119" s="180">
        <f ca="1"/>
        <v>-1.0303139452716399E-9</v>
      </c>
      <c r="H119" s="180">
        <f ca="1"/>
        <v>2.3310234853468602E-9</v>
      </c>
      <c r="I119" s="180">
        <f ca="1"/>
        <v>-1.7341487468236501E-8</v>
      </c>
      <c r="J119" s="180">
        <f ca="1"/>
        <v>2.84909843495385E-8</v>
      </c>
      <c r="K119" s="180">
        <f ca="1"/>
        <v>-1.09693076288941E-7</v>
      </c>
      <c r="L119" s="180">
        <f ca="1"/>
        <v>4.8003138963803604E-7</v>
      </c>
      <c r="M119" s="180">
        <f ca="1"/>
        <v>-3.77398114426164E-7</v>
      </c>
      <c r="N119" s="180">
        <f ca="1"/>
        <v>3.0753177782116798E-14</v>
      </c>
      <c r="O119" s="180">
        <f ca="1"/>
        <v>3.0753177782116798E-14</v>
      </c>
      <c r="P119" s="180">
        <f ca="1"/>
        <v>3.0753177782116798E-14</v>
      </c>
      <c r="Q119" s="180">
        <f ca="1"/>
        <v>3.0753177782116798E-14</v>
      </c>
      <c r="R119" s="180">
        <f ca="1"/>
        <v>3.0753177782116798E-14</v>
      </c>
      <c r="S119" s="180">
        <f ca="1"/>
        <v>-1.1851025013553999E-6</v>
      </c>
      <c r="T119" s="180">
        <f ca="1"/>
        <v>-2.6982273388931299E-6</v>
      </c>
      <c r="U119" s="180">
        <f ca="1"/>
        <v>-3.4915352667974601E-6</v>
      </c>
      <c r="V119" s="180">
        <f ca="1"/>
        <v>-2.9678263734345102E-6</v>
      </c>
      <c r="W119" s="180">
        <f ca="1"/>
        <v>-1.12300670382925E-5</v>
      </c>
      <c r="X119" s="180">
        <f ca="1"/>
        <v>-1.7888939111698801E-5</v>
      </c>
      <c r="Y119" s="180">
        <f ca="1"/>
        <v>-6.9016831699797402E-5</v>
      </c>
      <c r="Z119" s="180">
        <f ca="1"/>
        <v>7.5882913343927605E-5</v>
      </c>
      <c r="AA119" s="180">
        <f ca="1"/>
        <v>-2.95116374023352E-4</v>
      </c>
      <c r="AB119" s="180">
        <f ca="1"/>
        <v>5.38869393197139E-4</v>
      </c>
      <c r="AC119" s="180">
        <f ca="1"/>
        <v>1.5515292264083301E-3</v>
      </c>
      <c r="AD119" s="180">
        <f ca="1"/>
        <v>-1.49876408899408E-4</v>
      </c>
      <c r="AE119" s="180">
        <f ca="1"/>
        <v>1.16336682298712E-6</v>
      </c>
      <c r="AF119" s="180">
        <f ca="1"/>
        <v>2.6529687161547202E-6</v>
      </c>
      <c r="AG119" s="180">
        <f ca="1"/>
        <v>3.4350711251018901E-6</v>
      </c>
      <c r="AH119" s="180">
        <f ca="1"/>
        <v>2.9189609093149801E-6</v>
      </c>
      <c r="AI119" s="180">
        <f ca="1"/>
        <v>1.10424792283403E-5</v>
      </c>
      <c r="AJ119" s="180">
        <f ca="1"/>
        <v>1.7592166504876198E-5</v>
      </c>
      <c r="AK119" s="180">
        <f ca="1"/>
        <v>6.7911399539544198E-5</v>
      </c>
      <c r="AL119" s="180">
        <f ca="1"/>
        <v>-7.4784341343114806E-5</v>
      </c>
      <c r="AM119" s="180">
        <f ca="1"/>
        <v>2.9063437865273201E-4</v>
      </c>
      <c r="AN119" s="180">
        <f ca="1"/>
        <v>-5.3073434686945497E-4</v>
      </c>
      <c r="AO119" s="180">
        <f ca="1"/>
        <v>-1.52623100133487E-3</v>
      </c>
      <c r="AP119" s="180">
        <f ca="1"/>
        <v>1.47934905262215E-4</v>
      </c>
      <c r="AQ119" t="str">
        <f ca="1"/>
        <v/>
      </c>
    </row>
    <row r="120" spans="2:43" x14ac:dyDescent="0.25">
      <c r="B120" s="179">
        <f ca="1"/>
        <v>52491</v>
      </c>
      <c r="C120" s="180">
        <f ca="1"/>
        <v>-7.4404297578656298E-7</v>
      </c>
      <c r="D120" s="180">
        <f ca="1"/>
        <v>7.3136718903299399E-11</v>
      </c>
      <c r="E120" s="180">
        <f ca="1"/>
        <v>-2.9385227584555201E-10</v>
      </c>
      <c r="F120" s="180">
        <f ca="1"/>
        <v>7.7290041033961601E-10</v>
      </c>
      <c r="G120" s="180">
        <f ca="1"/>
        <v>-9.9464980696239991E-10</v>
      </c>
      <c r="H120" s="180">
        <f ca="1"/>
        <v>2.2503402474782799E-9</v>
      </c>
      <c r="I120" s="180">
        <f ca="1"/>
        <v>-1.70323534165462E-8</v>
      </c>
      <c r="J120" s="180">
        <f ca="1"/>
        <v>2.7505109301273501E-8</v>
      </c>
      <c r="K120" s="180">
        <f ca="1"/>
        <v>-1.0589774024349901E-7</v>
      </c>
      <c r="L120" s="180">
        <f ca="1"/>
        <v>4.73078553442363E-7</v>
      </c>
      <c r="M120" s="180">
        <f ca="1"/>
        <v>-3.6521697233116199E-7</v>
      </c>
      <c r="N120" s="180">
        <f ca="1"/>
        <v>2.0761170560490399E-14</v>
      </c>
      <c r="O120" s="180">
        <f ca="1"/>
        <v>2.0761170560490399E-14</v>
      </c>
      <c r="P120" s="180">
        <f ca="1"/>
        <v>2.0761170560490399E-14</v>
      </c>
      <c r="Q120" s="180">
        <f ca="1"/>
        <v>2.0761170560490399E-14</v>
      </c>
      <c r="R120" s="180">
        <f ca="1"/>
        <v>2.0761170560490399E-14</v>
      </c>
      <c r="S120" s="180">
        <f ca="1"/>
        <v>-1.16656968296436E-6</v>
      </c>
      <c r="T120" s="180">
        <f ca="1"/>
        <v>-2.7117175153135198E-6</v>
      </c>
      <c r="U120" s="180">
        <f ca="1"/>
        <v>-3.3908653173098098E-6</v>
      </c>
      <c r="V120" s="180">
        <f ca="1"/>
        <v>-3.2848373864302599E-6</v>
      </c>
      <c r="W120" s="180">
        <f ca="1"/>
        <v>-1.05300945235642E-5</v>
      </c>
      <c r="X120" s="180">
        <f ca="1"/>
        <v>-1.9031216269449501E-5</v>
      </c>
      <c r="Y120" s="180">
        <f ca="1"/>
        <v>-6.2752665749621404E-5</v>
      </c>
      <c r="Z120" s="180">
        <f ca="1"/>
        <v>5.8396311920505499E-5</v>
      </c>
      <c r="AA120" s="180">
        <f ca="1"/>
        <v>-2.5949818320336599E-4</v>
      </c>
      <c r="AB120" s="180">
        <f ca="1"/>
        <v>4.1079963974488499E-4</v>
      </c>
      <c r="AC120" s="180">
        <f ca="1"/>
        <v>1.6566310204755299E-3</v>
      </c>
      <c r="AD120" s="180">
        <f ca="1"/>
        <v>-1.4043037113942199E-4</v>
      </c>
      <c r="AE120" s="180">
        <f ca="1"/>
        <v>1.1451706201093299E-6</v>
      </c>
      <c r="AF120" s="180">
        <f ca="1"/>
        <v>2.6662361338747302E-6</v>
      </c>
      <c r="AG120" s="180">
        <f ca="1"/>
        <v>3.3360173802288199E-6</v>
      </c>
      <c r="AH120" s="180">
        <f ca="1"/>
        <v>3.2309891709880698E-6</v>
      </c>
      <c r="AI120" s="180">
        <f ca="1"/>
        <v>1.0353757849301799E-5</v>
      </c>
      <c r="AJ120" s="180">
        <f ca="1"/>
        <v>1.8716616159930602E-5</v>
      </c>
      <c r="AK120" s="180">
        <f ca="1"/>
        <v>6.1744375798311601E-5</v>
      </c>
      <c r="AL120" s="180">
        <f ca="1"/>
        <v>-5.7566736936576199E-5</v>
      </c>
      <c r="AM120" s="180">
        <f ca="1"/>
        <v>2.5552684525220699E-4</v>
      </c>
      <c r="AN120" s="180">
        <f ca="1"/>
        <v>-4.0473660213535801E-4</v>
      </c>
      <c r="AO120" s="180">
        <f ca="1"/>
        <v>-1.62935340712866E-3</v>
      </c>
      <c r="AP120" s="180">
        <f ca="1"/>
        <v>1.3860928202214E-4</v>
      </c>
      <c r="AQ120" t="str">
        <f ca="1"/>
        <v/>
      </c>
    </row>
    <row r="121" spans="2:43" x14ac:dyDescent="0.25">
      <c r="B121" s="179">
        <f ca="1"/>
        <v>52582</v>
      </c>
      <c r="C121" s="180">
        <f ca="1"/>
        <v>-7.4084500889526297E-7</v>
      </c>
      <c r="D121" s="180">
        <f ca="1"/>
        <v>7.0416894537572703E-11</v>
      </c>
      <c r="E121" s="180">
        <f ca="1"/>
        <v>-2.8304214527707901E-10</v>
      </c>
      <c r="F121" s="180">
        <f ca="1"/>
        <v>7.4437167540963897E-10</v>
      </c>
      <c r="G121" s="180">
        <f ca="1"/>
        <v>-9.5796204302445197E-10</v>
      </c>
      <c r="H121" s="180">
        <f ca="1"/>
        <v>2.1673440819824902E-9</v>
      </c>
      <c r="I121" s="180">
        <f ca="1"/>
        <v>-1.6716379058756602E-8</v>
      </c>
      <c r="J121" s="180">
        <f ca="1"/>
        <v>2.6490942661716601E-8</v>
      </c>
      <c r="K121" s="180">
        <f ca="1"/>
        <v>-1.01993481771423E-7</v>
      </c>
      <c r="L121" s="180">
        <f ca="1"/>
        <v>4.6597531555558902E-7</v>
      </c>
      <c r="M121" s="180">
        <f ca="1"/>
        <v>-3.5269236975388202E-7</v>
      </c>
      <c r="N121" s="180">
        <f ca="1"/>
        <v>1.23234755733392E-14</v>
      </c>
      <c r="O121" s="180">
        <f ca="1"/>
        <v>1.23234755733392E-14</v>
      </c>
      <c r="P121" s="180">
        <f ca="1"/>
        <v>1.23234755733392E-14</v>
      </c>
      <c r="Q121" s="180">
        <f ca="1"/>
        <v>1.23234755733392E-14</v>
      </c>
      <c r="R121" s="180">
        <f ca="1"/>
        <v>1.23234755733392E-14</v>
      </c>
      <c r="S121" s="180">
        <f ca="1"/>
        <v>-1.1476181297487299E-6</v>
      </c>
      <c r="T121" s="180">
        <f ca="1"/>
        <v>-2.7261238149112201E-6</v>
      </c>
      <c r="U121" s="180">
        <f ca="1"/>
        <v>-3.2874801260129901E-6</v>
      </c>
      <c r="V121" s="180">
        <f ca="1"/>
        <v>-3.6125887655780201E-6</v>
      </c>
      <c r="W121" s="180">
        <f ca="1"/>
        <v>-9.8094047070729201E-6</v>
      </c>
      <c r="X121" s="180">
        <f ca="1"/>
        <v>-2.0213354925191499E-5</v>
      </c>
      <c r="Y121" s="180">
        <f ca="1"/>
        <v>-5.6297686163109302E-5</v>
      </c>
      <c r="Z121" s="180">
        <f ca="1"/>
        <v>4.0358262362483202E-5</v>
      </c>
      <c r="AA121" s="180">
        <f ca="1"/>
        <v>-2.22777374878191E-4</v>
      </c>
      <c r="AB121" s="180">
        <f ca="1"/>
        <v>2.8683515303229402E-4</v>
      </c>
      <c r="AC121" s="180">
        <f ca="1"/>
        <v>1.7511042580270501E-3</v>
      </c>
      <c r="AD121" s="180">
        <f ca="1"/>
        <v>-1.2537475086271701E-4</v>
      </c>
      <c r="AE121" s="180">
        <f ca="1"/>
        <v>1.12656325745863E-6</v>
      </c>
      <c r="AF121" s="180">
        <f ca="1"/>
        <v>2.6804044355177602E-6</v>
      </c>
      <c r="AG121" s="180">
        <f ca="1"/>
        <v>3.23429198267888E-6</v>
      </c>
      <c r="AH121" s="180">
        <f ca="1"/>
        <v>3.55358899428726E-6</v>
      </c>
      <c r="AI121" s="180">
        <f ca="1"/>
        <v>9.6446523231152898E-6</v>
      </c>
      <c r="AJ121" s="180">
        <f ca="1"/>
        <v>1.98803069455522E-5</v>
      </c>
      <c r="AK121" s="180">
        <f ca="1"/>
        <v>5.53896021199263E-5</v>
      </c>
      <c r="AL121" s="180">
        <f ca="1"/>
        <v>-3.9805263835623903E-5</v>
      </c>
      <c r="AM121" s="180">
        <f ca="1"/>
        <v>2.1933612814528701E-4</v>
      </c>
      <c r="AN121" s="180">
        <f ca="1"/>
        <v>-2.82733157157544E-4</v>
      </c>
      <c r="AO121" s="180">
        <f ca="1"/>
        <v>-1.72201591060583E-3</v>
      </c>
      <c r="AP121" s="180">
        <f ca="1"/>
        <v>1.2374604569787001E-4</v>
      </c>
      <c r="AQ121" t="str">
        <f ca="1"/>
        <v/>
      </c>
    </row>
    <row r="122" spans="2:43" x14ac:dyDescent="0.25">
      <c r="B122" s="179">
        <f ca="1"/>
        <v>52673</v>
      </c>
      <c r="C122" s="180">
        <f ca="1"/>
        <v>-7.3766878350145504E-7</v>
      </c>
      <c r="D122" s="180">
        <f ca="1"/>
        <v>6.7669092551625505E-11</v>
      </c>
      <c r="E122" s="180">
        <f ca="1"/>
        <v>-2.7210989017589802E-10</v>
      </c>
      <c r="F122" s="180">
        <f ca="1"/>
        <v>7.1552508362771102E-10</v>
      </c>
      <c r="G122" s="180">
        <f ca="1"/>
        <v>-9.208638296343E-10</v>
      </c>
      <c r="H122" s="180">
        <f ca="1"/>
        <v>2.0834207692388401E-9</v>
      </c>
      <c r="I122" s="180">
        <f ca="1"/>
        <v>-1.6397775137733099E-8</v>
      </c>
      <c r="J122" s="180">
        <f ca="1"/>
        <v>2.5465427877513501E-8</v>
      </c>
      <c r="K122" s="180">
        <f ca="1"/>
        <v>-9.8045531138346602E-8</v>
      </c>
      <c r="L122" s="180">
        <f ca="1"/>
        <v>4.5880881915927303E-7</v>
      </c>
      <c r="M122" s="180">
        <f ca="1"/>
        <v>-3.4003033877461101E-7</v>
      </c>
      <c r="N122" s="180">
        <f ca="1"/>
        <v>5.1070259132757201E-15</v>
      </c>
      <c r="O122" s="180">
        <f ca="1"/>
        <v>5.1070259132757201E-15</v>
      </c>
      <c r="P122" s="180">
        <f ca="1"/>
        <v>5.1070259132757201E-15</v>
      </c>
      <c r="Q122" s="180">
        <f ca="1"/>
        <v>5.1070259132757201E-15</v>
      </c>
      <c r="R122" s="180">
        <f ca="1"/>
        <v>5.1070259132757201E-15</v>
      </c>
      <c r="S122" s="180">
        <f ca="1"/>
        <v>-1.1284913511433501E-6</v>
      </c>
      <c r="T122" s="180">
        <f ca="1"/>
        <v>-2.7408598035627601E-6</v>
      </c>
      <c r="U122" s="180">
        <f ca="1"/>
        <v>-3.1830220580397801E-6</v>
      </c>
      <c r="V122" s="180">
        <f ca="1"/>
        <v>-3.9443637948055601E-6</v>
      </c>
      <c r="W122" s="180">
        <f ca="1"/>
        <v>-9.0808003289089001E-6</v>
      </c>
      <c r="X122" s="180">
        <f ca="1"/>
        <v>-2.14103469078353E-5</v>
      </c>
      <c r="Y122" s="180">
        <f ca="1"/>
        <v>-4.9770068855536899E-5</v>
      </c>
      <c r="Z122" s="180">
        <f ca="1"/>
        <v>2.2111928292489802E-5</v>
      </c>
      <c r="AA122" s="180">
        <f ca="1"/>
        <v>-1.8563681648586799E-4</v>
      </c>
      <c r="AB122" s="180">
        <f ca="1"/>
        <v>1.67417394748903E-4</v>
      </c>
      <c r="AC122" s="180">
        <f ca="1"/>
        <v>1.8343605848397701E-3</v>
      </c>
      <c r="AD122" s="180">
        <f ca="1"/>
        <v>-1.04019695925772E-4</v>
      </c>
      <c r="AE122" s="180">
        <f ca="1"/>
        <v>1.1077838443229699E-6</v>
      </c>
      <c r="AF122" s="180">
        <f ca="1"/>
        <v>2.6948969485962601E-6</v>
      </c>
      <c r="AG122" s="180">
        <f ca="1"/>
        <v>3.1315109659812998E-6</v>
      </c>
      <c r="AH122" s="180">
        <f ca="1"/>
        <v>3.88014949326276E-6</v>
      </c>
      <c r="AI122" s="180">
        <f ca="1"/>
        <v>8.9277604797821703E-6</v>
      </c>
      <c r="AJ122" s="180">
        <f ca="1"/>
        <v>2.1058623227765399E-5</v>
      </c>
      <c r="AK122" s="180">
        <f ca="1"/>
        <v>4.8963432216719797E-5</v>
      </c>
      <c r="AL122" s="180">
        <f ca="1"/>
        <v>-2.18377469626274E-5</v>
      </c>
      <c r="AM122" s="180">
        <f ca="1"/>
        <v>1.82735544938639E-4</v>
      </c>
      <c r="AN122" s="180">
        <f ca="1"/>
        <v>-1.6516256417486999E-4</v>
      </c>
      <c r="AO122" s="180">
        <f ca="1"/>
        <v>-1.8036506663682301E-3</v>
      </c>
      <c r="AP122" s="180">
        <f ca="1"/>
        <v>1.0266493994448601E-4</v>
      </c>
      <c r="AQ122" t="str">
        <f ca="1"/>
        <v/>
      </c>
    </row>
    <row r="123" spans="2:43" x14ac:dyDescent="0.25">
      <c r="B123" s="179">
        <f ca="1"/>
        <v>52765</v>
      </c>
      <c r="C123" s="180">
        <f ca="1"/>
        <v>-7.3447883353061595E-7</v>
      </c>
      <c r="D123" s="180">
        <f ca="1"/>
        <v>6.4939054134072194E-11</v>
      </c>
      <c r="E123" s="180">
        <f ca="1"/>
        <v>-2.61238364274163E-10</v>
      </c>
      <c r="F123" s="180">
        <f ca="1"/>
        <v>6.8684191667500696E-10</v>
      </c>
      <c r="G123" s="180">
        <f ca="1"/>
        <v>-8.8397456021738197E-10</v>
      </c>
      <c r="H123" s="180">
        <f ca="1"/>
        <v>1.9999719658159198E-9</v>
      </c>
      <c r="I123" s="180">
        <f ca="1"/>
        <v>-1.6080819453811999E-8</v>
      </c>
      <c r="J123" s="180">
        <f ca="1"/>
        <v>2.4445689250640599E-8</v>
      </c>
      <c r="K123" s="180">
        <f ca="1"/>
        <v>-9.4119812832360594E-8</v>
      </c>
      <c r="L123" s="180">
        <f ca="1"/>
        <v>4.5166733886325998E-7</v>
      </c>
      <c r="M123" s="180">
        <f ca="1"/>
        <v>-3.2743917288691199E-7</v>
      </c>
      <c r="N123" s="180">
        <f ca="1"/>
        <v>-5.5511151231257797E-16</v>
      </c>
      <c r="O123" s="180">
        <f ca="1"/>
        <v>-5.5511151231257797E-16</v>
      </c>
      <c r="P123" s="180">
        <f ca="1"/>
        <v>-5.5511151231257797E-16</v>
      </c>
      <c r="Q123" s="180">
        <f ca="1"/>
        <v>-5.5511151231257797E-16</v>
      </c>
      <c r="R123" s="180">
        <f ca="1"/>
        <v>-5.5511151231257797E-16</v>
      </c>
      <c r="S123" s="180">
        <f ca="1"/>
        <v>-1.1094358851604401E-6</v>
      </c>
      <c r="T123" s="180">
        <f ca="1"/>
        <v>-2.75533460725175E-6</v>
      </c>
      <c r="U123" s="180">
        <f ca="1"/>
        <v>-3.0791533139895598E-6</v>
      </c>
      <c r="V123" s="180">
        <f ca="1"/>
        <v>-4.2733696519192702E-6</v>
      </c>
      <c r="W123" s="180">
        <f ca="1"/>
        <v>-8.3572398116293894E-6</v>
      </c>
      <c r="X123" s="180">
        <f ca="1"/>
        <v>-2.25969037201956E-5</v>
      </c>
      <c r="Y123" s="180">
        <f ca="1"/>
        <v>-4.3289407785085401E-5</v>
      </c>
      <c r="Z123" s="180">
        <f ca="1"/>
        <v>4.0044708881081803E-6</v>
      </c>
      <c r="AA123" s="180">
        <f ca="1"/>
        <v>-1.48767636787062E-4</v>
      </c>
      <c r="AB123" s="180">
        <f ca="1"/>
        <v>5.3227980127079599E-5</v>
      </c>
      <c r="AC123" s="180">
        <f ca="1"/>
        <v>1.90528213432217E-3</v>
      </c>
      <c r="AD123" s="180">
        <f ca="1"/>
        <v>-7.5386866484672397E-5</v>
      </c>
      <c r="AE123" s="180">
        <f ca="1"/>
        <v>1.08907446527695E-6</v>
      </c>
      <c r="AF123" s="180">
        <f ca="1"/>
        <v>2.7091326363359899E-6</v>
      </c>
      <c r="AG123" s="180">
        <f ca="1"/>
        <v>3.0293098802758301E-6</v>
      </c>
      <c r="AH123" s="180">
        <f ca="1"/>
        <v>4.2039848493491397E-6</v>
      </c>
      <c r="AI123" s="180">
        <f ca="1"/>
        <v>8.2158332309623106E-6</v>
      </c>
      <c r="AJ123" s="180">
        <f ca="1"/>
        <v>2.2226673081604501E-5</v>
      </c>
      <c r="AK123" s="180">
        <f ca="1"/>
        <v>4.2583607121060601E-5</v>
      </c>
      <c r="AL123" s="180">
        <f ca="1"/>
        <v>-4.0060191730528797E-6</v>
      </c>
      <c r="AM123" s="180">
        <f ca="1"/>
        <v>1.4640626637829599E-4</v>
      </c>
      <c r="AN123" s="180">
        <f ca="1"/>
        <v>-5.2700473731293099E-5</v>
      </c>
      <c r="AO123" s="180">
        <f ca="1"/>
        <v>-1.8731703993320999E-3</v>
      </c>
      <c r="AP123" s="180">
        <f ca="1"/>
        <v>7.4401465893880707E-5</v>
      </c>
      <c r="AQ123" t="str">
        <f ca="1"/>
        <v/>
      </c>
    </row>
    <row r="124" spans="2:43" x14ac:dyDescent="0.25">
      <c r="B124" s="179">
        <f ca="1"/>
        <v>52859</v>
      </c>
      <c r="C124" s="180">
        <f ca="1"/>
        <v>-7.3124053301398796E-7</v>
      </c>
      <c r="D124" s="180">
        <f ca="1"/>
        <v>6.2282290436144194E-11</v>
      </c>
      <c r="E124" s="180">
        <f ca="1"/>
        <v>-2.5064517128470201E-10</v>
      </c>
      <c r="F124" s="180">
        <f ca="1"/>
        <v>6.5889771416749496E-10</v>
      </c>
      <c r="G124" s="180">
        <f ca="1"/>
        <v>-8.4803430944191405E-10</v>
      </c>
      <c r="H124" s="180">
        <f ca="1"/>
        <v>1.9186726651909701E-9</v>
      </c>
      <c r="I124" s="180">
        <f ca="1"/>
        <v>-1.57707221726255E-8</v>
      </c>
      <c r="J124" s="180">
        <f ca="1"/>
        <v>2.3452192077222401E-8</v>
      </c>
      <c r="K124" s="180">
        <f ca="1"/>
        <v>-9.0295110055649301E-8</v>
      </c>
      <c r="L124" s="180">
        <f ca="1"/>
        <v>4.44658860843106E-7</v>
      </c>
      <c r="M124" s="180">
        <f ca="1"/>
        <v>-3.1516809073650599E-7</v>
      </c>
      <c r="N124" s="180">
        <f ca="1"/>
        <v>-4.2188474935755901E-15</v>
      </c>
      <c r="O124" s="180">
        <f ca="1"/>
        <v>-4.2188474935755901E-15</v>
      </c>
      <c r="P124" s="180">
        <f ca="1"/>
        <v>-4.2188474935755901E-15</v>
      </c>
      <c r="Q124" s="180">
        <f ca="1"/>
        <v>-4.2188474935755901E-15</v>
      </c>
      <c r="R124" s="180">
        <f ca="1"/>
        <v>-4.2188474935755901E-15</v>
      </c>
      <c r="S124" s="180">
        <f ca="1"/>
        <v>-1.09075211085496E-6</v>
      </c>
      <c r="T124" s="180">
        <f ca="1"/>
        <v>-2.7688690691363098E-6</v>
      </c>
      <c r="U124" s="180">
        <f ca="1"/>
        <v>-2.97786858782789E-6</v>
      </c>
      <c r="V124" s="180">
        <f ca="1"/>
        <v>-4.5915757859171799E-6</v>
      </c>
      <c r="W124" s="180">
        <f ca="1"/>
        <v>-7.6541699188803508E-6</v>
      </c>
      <c r="X124" s="180">
        <f ca="1"/>
        <v>-2.3743178586776999E-5</v>
      </c>
      <c r="Y124" s="180">
        <f ca="1"/>
        <v>-3.6998004095956098E-5</v>
      </c>
      <c r="Z124" s="180">
        <f ca="1"/>
        <v>-1.3552017356199801E-5</v>
      </c>
      <c r="AA124" s="180">
        <f ca="1"/>
        <v>-1.1299156627675401E-4</v>
      </c>
      <c r="AB124" s="180">
        <f ca="1"/>
        <v>-5.4596147867069802E-5</v>
      </c>
      <c r="AC124" s="180">
        <f ca="1"/>
        <v>1.9620108128537402E-3</v>
      </c>
      <c r="AD124" s="180">
        <f ca="1"/>
        <v>-3.8134929357891402E-5</v>
      </c>
      <c r="AE124" s="180">
        <f ca="1"/>
        <v>1.0707300710510701E-6</v>
      </c>
      <c r="AF124" s="180">
        <f ca="1"/>
        <v>2.7224436461859001E-6</v>
      </c>
      <c r="AG124" s="180">
        <f ca="1"/>
        <v>2.9296514348908799E-6</v>
      </c>
      <c r="AH124" s="180">
        <f ca="1"/>
        <v>4.5171909680563599E-6</v>
      </c>
      <c r="AI124" s="180">
        <f ca="1"/>
        <v>7.5240698006462398E-6</v>
      </c>
      <c r="AJ124" s="180">
        <f ca="1"/>
        <v>2.33550772451574E-5</v>
      </c>
      <c r="AK124" s="180">
        <f ca="1"/>
        <v>3.6390212572512397E-5</v>
      </c>
      <c r="AL124" s="180">
        <f ca="1"/>
        <v>1.32840661257738E-5</v>
      </c>
      <c r="AM124" s="180">
        <f ca="1"/>
        <v>1.11157837452303E-4</v>
      </c>
      <c r="AN124" s="180">
        <f ca="1"/>
        <v>5.3528021715543202E-5</v>
      </c>
      <c r="AO124" s="180">
        <f ca="1"/>
        <v>-1.9287622181671799E-3</v>
      </c>
      <c r="AP124" s="180">
        <f ca="1"/>
        <v>3.7633652099855502E-5</v>
      </c>
      <c r="AQ124" t="str">
        <f ca="1"/>
        <v/>
      </c>
    </row>
    <row r="125" spans="2:43" x14ac:dyDescent="0.25">
      <c r="B125" s="179">
        <f ca="1"/>
        <v>52950</v>
      </c>
      <c r="C125" s="180">
        <f ca="1"/>
        <v>-7.28124809890041E-7</v>
      </c>
      <c r="D125" s="180">
        <f ca="1"/>
        <v>5.9918625616717197E-11</v>
      </c>
      <c r="E125" s="180">
        <f ca="1"/>
        <v>-2.4120849761999399E-10</v>
      </c>
      <c r="F125" s="180">
        <f ca="1"/>
        <v>6.3400684702230602E-10</v>
      </c>
      <c r="G125" s="180">
        <f ca="1"/>
        <v>-8.1602080648224304E-10</v>
      </c>
      <c r="H125" s="180">
        <f ca="1"/>
        <v>1.84625725818677E-9</v>
      </c>
      <c r="I125" s="180">
        <f ca="1"/>
        <v>-1.54920271056014E-8</v>
      </c>
      <c r="J125" s="180">
        <f ca="1"/>
        <v>2.2567239743587199E-8</v>
      </c>
      <c r="K125" s="180">
        <f ca="1"/>
        <v>-8.6888272909924096E-8</v>
      </c>
      <c r="L125" s="180">
        <f ca="1"/>
        <v>4.3832918605879499E-7</v>
      </c>
      <c r="M125" s="180">
        <f ca="1"/>
        <v>-3.0423020969117003E-7</v>
      </c>
      <c r="N125" s="180">
        <f ca="1"/>
        <v>-6.4392935428259103E-15</v>
      </c>
      <c r="O125" s="180">
        <f ca="1"/>
        <v>-6.4392935428259103E-15</v>
      </c>
      <c r="P125" s="180">
        <f ca="1"/>
        <v>-6.4392935428259103E-15</v>
      </c>
      <c r="Q125" s="180">
        <f ca="1"/>
        <v>-6.4392935428259103E-15</v>
      </c>
      <c r="R125" s="180">
        <f ca="1"/>
        <v>-6.4392935428259103E-15</v>
      </c>
      <c r="S125" s="180">
        <f ca="1"/>
        <v>-1.07390707126953E-6</v>
      </c>
      <c r="T125" s="180">
        <f ca="1"/>
        <v>-2.7799594836119802E-6</v>
      </c>
      <c r="U125" s="180">
        <f ca="1"/>
        <v>-2.8874687063584801E-6</v>
      </c>
      <c r="V125" s="180">
        <f ca="1"/>
        <v>-4.8712248227333896E-6</v>
      </c>
      <c r="W125" s="180">
        <f ca="1"/>
        <v>-7.03072771646163E-6</v>
      </c>
      <c r="X125" s="180">
        <f ca="1"/>
        <v>-2.4748306264643601E-5</v>
      </c>
      <c r="Y125" s="180">
        <f ca="1"/>
        <v>-3.1428946643874398E-5</v>
      </c>
      <c r="Z125" s="180">
        <f ca="1"/>
        <v>-2.9055733332783399E-5</v>
      </c>
      <c r="AA125" s="180">
        <f ca="1"/>
        <v>-8.1352255950850605E-5</v>
      </c>
      <c r="AB125" s="180">
        <f ca="1"/>
        <v>-1.4844231693067499E-4</v>
      </c>
      <c r="AC125" s="180">
        <f ca="1"/>
        <v>1.9998437821789898E-3</v>
      </c>
      <c r="AD125" s="180">
        <f ca="1"/>
        <v>6.2955088563354497E-6</v>
      </c>
      <c r="AE125" s="180">
        <f ca="1"/>
        <v>1.05419108153981E-6</v>
      </c>
      <c r="AF125" s="180">
        <f ca="1"/>
        <v>2.7333511839477998E-6</v>
      </c>
      <c r="AG125" s="180">
        <f ca="1"/>
        <v>2.8407032082178301E-6</v>
      </c>
      <c r="AH125" s="180">
        <f ca="1"/>
        <v>4.7924468249416199E-6</v>
      </c>
      <c r="AI125" s="180">
        <f ca="1"/>
        <v>6.9106568232335502E-6</v>
      </c>
      <c r="AJ125" s="180">
        <f ca="1"/>
        <v>2.4344544246046599E-5</v>
      </c>
      <c r="AK125" s="180">
        <f ca="1"/>
        <v>3.09080139141438E-5</v>
      </c>
      <c r="AL125" s="180">
        <f ca="1"/>
        <v>2.8553313972445901E-5</v>
      </c>
      <c r="AM125" s="180">
        <f ca="1"/>
        <v>7.9988285895393806E-5</v>
      </c>
      <c r="AN125" s="180">
        <f ca="1"/>
        <v>1.4601377049427999E-4</v>
      </c>
      <c r="AO125" s="180">
        <f ca="1"/>
        <v>-1.9658263246220601E-3</v>
      </c>
      <c r="AP125" s="180">
        <f ca="1"/>
        <v>-6.21398935196638E-6</v>
      </c>
      <c r="AQ125" t="str">
        <f ca="1"/>
        <v/>
      </c>
    </row>
    <row r="126" spans="2:43" x14ac:dyDescent="0.25">
      <c r="B126" s="179">
        <f ca="1"/>
        <v>53038</v>
      </c>
      <c r="C126" s="180">
        <f ca="1"/>
        <v>-7.2512897286714004E-7</v>
      </c>
      <c r="D126" s="180">
        <f ca="1"/>
        <v>5.7890581217634501E-11</v>
      </c>
      <c r="E126" s="180">
        <f ca="1"/>
        <v>-2.33096875135175E-10</v>
      </c>
      <c r="F126" s="180">
        <f ca="1"/>
        <v>6.1261462569461897E-10</v>
      </c>
      <c r="G126" s="180">
        <f ca="1"/>
        <v>-7.8850670437447E-10</v>
      </c>
      <c r="H126" s="180">
        <f ca="1"/>
        <v>1.7840221522291699E-9</v>
      </c>
      <c r="I126" s="180">
        <f ca="1"/>
        <v>-1.5249009832629701E-8</v>
      </c>
      <c r="J126" s="180">
        <f ca="1"/>
        <v>2.1806673355939698E-8</v>
      </c>
      <c r="K126" s="180">
        <f ca="1"/>
        <v>-8.3960284169570798E-8</v>
      </c>
      <c r="L126" s="180">
        <f ca="1"/>
        <v>4.3277079342374199E-7</v>
      </c>
      <c r="M126" s="180">
        <f ca="1"/>
        <v>-2.9481917140916599E-7</v>
      </c>
      <c r="N126" s="180">
        <f ca="1"/>
        <v>-6.5503158452884196E-15</v>
      </c>
      <c r="O126" s="180">
        <f ca="1"/>
        <v>-6.5503158452884196E-15</v>
      </c>
      <c r="P126" s="180">
        <f ca="1"/>
        <v>-6.5503158452884196E-15</v>
      </c>
      <c r="Q126" s="180">
        <f ca="1"/>
        <v>-6.5503158452884196E-15</v>
      </c>
      <c r="R126" s="180">
        <f ca="1"/>
        <v>-6.5503158452884196E-15</v>
      </c>
      <c r="S126" s="180">
        <f ca="1"/>
        <v>-1.0591540251514399E-6</v>
      </c>
      <c r="T126" s="180">
        <f ca="1"/>
        <v>-2.7881791961892299E-6</v>
      </c>
      <c r="U126" s="180">
        <f ca="1"/>
        <v>-2.8095150095275301E-6</v>
      </c>
      <c r="V126" s="180">
        <f ca="1"/>
        <v>-5.1064969690539599E-6</v>
      </c>
      <c r="W126" s="180">
        <f ca="1"/>
        <v>-6.4985661180072498E-6</v>
      </c>
      <c r="X126" s="180">
        <f ca="1"/>
        <v>-2.55908439995567E-5</v>
      </c>
      <c r="Y126" s="180">
        <f ca="1"/>
        <v>-2.66886723856441E-5</v>
      </c>
      <c r="Z126" s="180">
        <f ca="1"/>
        <v>-4.2202010682834703E-5</v>
      </c>
      <c r="AA126" s="180">
        <f ca="1"/>
        <v>-5.4462032183843997E-5</v>
      </c>
      <c r="AB126" s="180">
        <f ca="1"/>
        <v>-2.2781022688256301E-4</v>
      </c>
      <c r="AC126" s="180">
        <f ca="1"/>
        <v>2.01901444342734E-3</v>
      </c>
      <c r="AD126" s="180">
        <f ca="1"/>
        <v>5.7572413665218897E-5</v>
      </c>
      <c r="AE126" s="180">
        <f ca="1"/>
        <v>1.0397061694922299E-6</v>
      </c>
      <c r="AF126" s="180">
        <f ca="1"/>
        <v>2.74143568690377E-6</v>
      </c>
      <c r="AG126" s="180">
        <f ca="1"/>
        <v>2.7640014825802699E-6</v>
      </c>
      <c r="AH126" s="180">
        <f ca="1"/>
        <v>5.0240241031840302E-6</v>
      </c>
      <c r="AI126" s="180">
        <f ca="1"/>
        <v>6.3870598332460602E-6</v>
      </c>
      <c r="AJ126" s="180">
        <f ca="1"/>
        <v>2.51739652660232E-5</v>
      </c>
      <c r="AK126" s="180">
        <f ca="1"/>
        <v>2.6241754253919499E-5</v>
      </c>
      <c r="AL126" s="180">
        <f ca="1"/>
        <v>4.1501372804453298E-5</v>
      </c>
      <c r="AM126" s="180">
        <f ca="1"/>
        <v>5.3499663524969598E-5</v>
      </c>
      <c r="AN126" s="180">
        <f ca="1"/>
        <v>2.2425204805209801E-4</v>
      </c>
      <c r="AO126" s="180">
        <f ca="1"/>
        <v>-1.9845991480652598E-3</v>
      </c>
      <c r="AP126" s="180">
        <f ca="1"/>
        <v>-5.6810925039285602E-5</v>
      </c>
      <c r="AQ126" t="str">
        <f ca="1"/>
        <v/>
      </c>
    </row>
    <row r="127" spans="2:43" x14ac:dyDescent="0.25">
      <c r="B127" s="179">
        <f ca="1"/>
        <v>53132</v>
      </c>
      <c r="C127" s="180">
        <f ca="1"/>
        <v>-7.2194714939577398E-7</v>
      </c>
      <c r="D127" s="180">
        <f ca="1"/>
        <v>5.6009530347012099E-11</v>
      </c>
      <c r="E127" s="180">
        <f ca="1"/>
        <v>-2.25554908084291E-10</v>
      </c>
      <c r="F127" s="180">
        <f ca="1"/>
        <v>5.9272875496674301E-10</v>
      </c>
      <c r="G127" s="180">
        <f ca="1"/>
        <v>-7.6292960837776005E-10</v>
      </c>
      <c r="H127" s="180">
        <f ca="1"/>
        <v>1.7261714280181199E-9</v>
      </c>
      <c r="I127" s="180">
        <f ca="1"/>
        <v>-1.50186977299072E-8</v>
      </c>
      <c r="J127" s="180">
        <f ca="1"/>
        <v>2.1099659575085599E-8</v>
      </c>
      <c r="K127" s="180">
        <f ca="1"/>
        <v>-8.1238452520615594E-8</v>
      </c>
      <c r="L127" s="180">
        <f ca="1"/>
        <v>4.2745517081499402E-7</v>
      </c>
      <c r="M127" s="180">
        <f ca="1"/>
        <v>-2.8605747770526998E-7</v>
      </c>
      <c r="N127" s="180">
        <f ca="1"/>
        <v>-4.77395900588817E-15</v>
      </c>
      <c r="O127" s="180">
        <f ca="1"/>
        <v>-4.77395900588817E-15</v>
      </c>
      <c r="P127" s="180">
        <f ca="1"/>
        <v>-4.77395900588817E-15</v>
      </c>
      <c r="Q127" s="180">
        <f ca="1"/>
        <v>-4.77395900588817E-15</v>
      </c>
      <c r="R127" s="180">
        <f ca="1"/>
        <v>-4.77395900588817E-15</v>
      </c>
      <c r="S127" s="180">
        <f ca="1"/>
        <v>-1.04509377396589E-6</v>
      </c>
      <c r="T127" s="180">
        <f ca="1"/>
        <v>-2.7941740778913998E-6</v>
      </c>
      <c r="U127" s="180">
        <f ca="1"/>
        <v>-2.73672155248761E-6</v>
      </c>
      <c r="V127" s="180">
        <f ca="1"/>
        <v>-5.3188540825033198E-6</v>
      </c>
      <c r="W127" s="180">
        <f ca="1"/>
        <v>-6.0084299671192596E-6</v>
      </c>
      <c r="X127" s="180">
        <f ca="1"/>
        <v>-2.63473643118406E-5</v>
      </c>
      <c r="Y127" s="180">
        <f ca="1"/>
        <v>-2.23396794952757E-5</v>
      </c>
      <c r="Z127" s="180">
        <f ca="1"/>
        <v>-5.4199757925532699E-5</v>
      </c>
      <c r="AA127" s="180">
        <f ca="1"/>
        <v>-2.9843229811254999E-5</v>
      </c>
      <c r="AB127" s="180">
        <f ca="1"/>
        <v>-3.0025160966151699E-4</v>
      </c>
      <c r="AC127" s="180">
        <f ca="1"/>
        <v>2.02078392647942E-3</v>
      </c>
      <c r="AD127" s="180">
        <f ca="1"/>
        <v>1.21240544108447E-4</v>
      </c>
      <c r="AE127" s="180">
        <f ca="1"/>
        <v>1.02590157446958E-6</v>
      </c>
      <c r="AF127" s="180">
        <f ca="1"/>
        <v>2.7473324358817702E-6</v>
      </c>
      <c r="AG127" s="180">
        <f ca="1"/>
        <v>2.6923773370768298E-6</v>
      </c>
      <c r="AH127" s="180">
        <f ca="1"/>
        <v>5.2330476205675299E-6</v>
      </c>
      <c r="AI127" s="180">
        <f ca="1"/>
        <v>5.9048163570940602E-6</v>
      </c>
      <c r="AJ127" s="180">
        <f ca="1"/>
        <v>2.5918720420237099E-5</v>
      </c>
      <c r="AK127" s="180">
        <f ca="1"/>
        <v>2.19607388501908E-5</v>
      </c>
      <c r="AL127" s="180">
        <f ca="1"/>
        <v>5.3318717687877999E-5</v>
      </c>
      <c r="AM127" s="180">
        <f ca="1"/>
        <v>2.9250477970088601E-5</v>
      </c>
      <c r="AN127" s="180">
        <f ca="1"/>
        <v>2.9567943361308302E-4</v>
      </c>
      <c r="AO127" s="180">
        <f ca="1"/>
        <v>-1.9863196638792999E-3</v>
      </c>
      <c r="AP127" s="180">
        <f ca="1"/>
        <v>-1.1962366883044899E-4</v>
      </c>
      <c r="AQ127" t="str">
        <f ca="1"/>
        <v/>
      </c>
    </row>
    <row r="128" spans="2:43" x14ac:dyDescent="0.25">
      <c r="B128" s="179">
        <f ca="1"/>
        <v>53223</v>
      </c>
      <c r="C128" s="180">
        <f ca="1"/>
        <v>-7.1888461439240103E-7</v>
      </c>
      <c r="D128" s="180">
        <f ca="1"/>
        <v>5.4458104692400898E-11</v>
      </c>
      <c r="E128" s="180">
        <f ca="1"/>
        <v>-2.1931567673050301E-10</v>
      </c>
      <c r="F128" s="180">
        <f ca="1"/>
        <v>5.7628213312455004E-10</v>
      </c>
      <c r="G128" s="180">
        <f ca="1"/>
        <v>-7.4177552988885499E-10</v>
      </c>
      <c r="H128" s="180">
        <f ca="1"/>
        <v>1.6783280321064401E-9</v>
      </c>
      <c r="I128" s="180">
        <f ca="1"/>
        <v>-1.4823390848128799E-8</v>
      </c>
      <c r="J128" s="180">
        <f ca="1"/>
        <v>2.0514918097625E-8</v>
      </c>
      <c r="K128" s="180">
        <f ca="1"/>
        <v>-7.8987334006797001E-8</v>
      </c>
      <c r="L128" s="180">
        <f ca="1"/>
        <v>4.2289610924228798E-7</v>
      </c>
      <c r="M128" s="180">
        <f ca="1"/>
        <v>-2.7879648600848102E-7</v>
      </c>
      <c r="N128" s="180">
        <f ca="1"/>
        <v>-1.22124532708767E-15</v>
      </c>
      <c r="O128" s="180">
        <f ca="1"/>
        <v>-1.22124532708767E-15</v>
      </c>
      <c r="P128" s="180">
        <f ca="1"/>
        <v>-1.22124532708767E-15</v>
      </c>
      <c r="Q128" s="180">
        <f ca="1"/>
        <v>-1.22124532708767E-15</v>
      </c>
      <c r="R128" s="180">
        <f ca="1"/>
        <v>-1.22124532708767E-15</v>
      </c>
      <c r="S128" s="180">
        <f ca="1"/>
        <v>-1.03308624899157E-6</v>
      </c>
      <c r="T128" s="180">
        <f ca="1"/>
        <v>-2.7973296099492699E-6</v>
      </c>
      <c r="U128" s="180">
        <f ca="1"/>
        <v>-2.6761574285494301E-6</v>
      </c>
      <c r="V128" s="180">
        <f ca="1"/>
        <v>-5.4875322174074998E-6</v>
      </c>
      <c r="W128" s="180">
        <f ca="1"/>
        <v>-5.6080487973453296E-6</v>
      </c>
      <c r="X128" s="180">
        <f ca="1"/>
        <v>-2.69438172719738E-5</v>
      </c>
      <c r="Y128" s="180">
        <f ca="1"/>
        <v>-1.8805814697597799E-5</v>
      </c>
      <c r="Z128" s="180">
        <f ca="1"/>
        <v>-6.3878576660014703E-5</v>
      </c>
      <c r="AA128" s="180">
        <f ca="1"/>
        <v>-9.8964987849115005E-6</v>
      </c>
      <c r="AB128" s="180">
        <f ca="1"/>
        <v>-3.5870276266614098E-4</v>
      </c>
      <c r="AC128" s="180">
        <f ca="1"/>
        <v>2.0047532082561E-3</v>
      </c>
      <c r="AD128" s="180">
        <f ca="1"/>
        <v>1.9132691509893301E-4</v>
      </c>
      <c r="AE128" s="180">
        <f ca="1"/>
        <v>1.0141125019735899E-6</v>
      </c>
      <c r="AF128" s="180">
        <f ca="1"/>
        <v>2.7504369825015499E-6</v>
      </c>
      <c r="AG128" s="180">
        <f ca="1"/>
        <v>2.6327863102970601E-6</v>
      </c>
      <c r="AH128" s="180">
        <f ca="1"/>
        <v>5.3990793434932601E-6</v>
      </c>
      <c r="AI128" s="180">
        <f ca="1"/>
        <v>5.5108871522824296E-6</v>
      </c>
      <c r="AJ128" s="180">
        <f ca="1"/>
        <v>2.650591068043E-5</v>
      </c>
      <c r="AK128" s="180">
        <f ca="1"/>
        <v>1.8482168078315399E-5</v>
      </c>
      <c r="AL128" s="180">
        <f ca="1"/>
        <v>6.2852370575794403E-5</v>
      </c>
      <c r="AM128" s="180">
        <f ca="1"/>
        <v>9.6046198720944903E-6</v>
      </c>
      <c r="AN128" s="180">
        <f ca="1"/>
        <v>3.5332459103110098E-4</v>
      </c>
      <c r="AO128" s="180">
        <f ca="1"/>
        <v>-1.9705997708529001E-3</v>
      </c>
      <c r="AP128" s="180">
        <f ca="1"/>
        <v>-1.8875406612694999E-4</v>
      </c>
      <c r="AQ128" t="str">
        <f ca="1"/>
        <v/>
      </c>
    </row>
    <row r="129" spans="2:43" x14ac:dyDescent="0.25">
      <c r="B129" s="179">
        <f ca="1"/>
        <v>53314</v>
      </c>
      <c r="C129" s="180">
        <f ca="1"/>
        <v>-7.1583928329399495E-7</v>
      </c>
      <c r="D129" s="180">
        <f ca="1"/>
        <v>5.3160698065823902E-11</v>
      </c>
      <c r="E129" s="180">
        <f ca="1"/>
        <v>-2.14077200411111E-10</v>
      </c>
      <c r="F129" s="180">
        <f ca="1"/>
        <v>5.6247706492484905E-10</v>
      </c>
      <c r="G129" s="180">
        <f ca="1"/>
        <v>-7.2401906692220998E-10</v>
      </c>
      <c r="H129" s="180">
        <f ca="1"/>
        <v>1.63817159837265E-9</v>
      </c>
      <c r="I129" s="180">
        <f ca="1"/>
        <v>-1.4654093605237499E-8</v>
      </c>
      <c r="J129" s="180">
        <f ca="1"/>
        <v>2.0024097602267E-8</v>
      </c>
      <c r="K129" s="180">
        <f ca="1"/>
        <v>-7.7097782824608898E-8</v>
      </c>
      <c r="L129" s="180">
        <f ca="1"/>
        <v>4.1888855428773303E-7</v>
      </c>
      <c r="M129" s="180">
        <f ca="1"/>
        <v>-2.7268557389881199E-7</v>
      </c>
      <c r="N129" s="180">
        <f ca="1"/>
        <v>3.7747582837255299E-15</v>
      </c>
      <c r="O129" s="180">
        <f ca="1"/>
        <v>3.7747582837255299E-15</v>
      </c>
      <c r="P129" s="180">
        <f ca="1"/>
        <v>3.7747582837255299E-15</v>
      </c>
      <c r="Q129" s="180">
        <f ca="1"/>
        <v>3.7747582837255299E-15</v>
      </c>
      <c r="R129" s="180">
        <f ca="1"/>
        <v>3.7747582837255299E-15</v>
      </c>
      <c r="S129" s="180">
        <f ca="1"/>
        <v>-1.0225864991442201E-6</v>
      </c>
      <c r="T129" s="180">
        <f ca="1"/>
        <v>-2.79797596491882E-6</v>
      </c>
      <c r="U129" s="180">
        <f ca="1"/>
        <v>-2.6249216206197801E-6</v>
      </c>
      <c r="V129" s="180">
        <f ca="1"/>
        <v>-5.6213926374892898E-6</v>
      </c>
      <c r="W129" s="180">
        <f ca="1"/>
        <v>-5.2775209752331503E-6</v>
      </c>
      <c r="X129" s="180">
        <f ca="1"/>
        <v>-2.7411993397730099E-5</v>
      </c>
      <c r="Y129" s="180">
        <f ca="1"/>
        <v>-1.5909566027594298E-5</v>
      </c>
      <c r="Z129" s="180">
        <f ca="1"/>
        <v>-7.1731775515004897E-5</v>
      </c>
      <c r="AA129" s="180">
        <f ca="1"/>
        <v>6.3856387534366698E-6</v>
      </c>
      <c r="AB129" s="180">
        <f ca="1"/>
        <v>-4.0614404735872501E-4</v>
      </c>
      <c r="AC129" s="180">
        <f ca="1"/>
        <v>1.97195754687807E-3</v>
      </c>
      <c r="AD129" s="180">
        <f ca="1"/>
        <v>2.6941340472064201E-4</v>
      </c>
      <c r="AE129" s="180">
        <f ca="1"/>
        <v>1.0038039032211901E-6</v>
      </c>
      <c r="AF129" s="180">
        <f ca="1"/>
        <v>2.7510740606695399E-6</v>
      </c>
      <c r="AG129" s="180">
        <f ca="1"/>
        <v>2.5823739698838098E-6</v>
      </c>
      <c r="AH129" s="180">
        <f ca="1"/>
        <v>5.5308412992838302E-6</v>
      </c>
      <c r="AI129" s="180">
        <f ca="1"/>
        <v>5.18569061147556E-6</v>
      </c>
      <c r="AJ129" s="180">
        <f ca="1"/>
        <v>2.69668307406601E-5</v>
      </c>
      <c r="AK129" s="180">
        <f ca="1"/>
        <v>1.5631283267203402E-5</v>
      </c>
      <c r="AL129" s="180">
        <f ca="1"/>
        <v>7.0588051602649097E-5</v>
      </c>
      <c r="AM129" s="180">
        <f ca="1"/>
        <v>-6.4309448668531397E-6</v>
      </c>
      <c r="AN129" s="180">
        <f ca="1"/>
        <v>4.0012000350586602E-4</v>
      </c>
      <c r="AO129" s="180">
        <f ca="1"/>
        <v>-1.93845229596668E-3</v>
      </c>
      <c r="AP129" s="180">
        <f ca="1"/>
        <v>-2.6575757477087498E-4</v>
      </c>
      <c r="AQ129" t="str">
        <f ca="1"/>
        <v/>
      </c>
    </row>
    <row r="130" spans="2:43" x14ac:dyDescent="0.25">
      <c r="B130" s="179">
        <f ca="1"/>
        <v>53405</v>
      </c>
      <c r="C130" s="180">
        <f ca="1"/>
        <v>-7.1281090208152896E-7</v>
      </c>
      <c r="D130" s="180">
        <f ca="1"/>
        <v>5.2105764147825097E-11</v>
      </c>
      <c r="E130" s="180">
        <f ca="1"/>
        <v>-2.0979307180368799E-10</v>
      </c>
      <c r="F130" s="180">
        <f ca="1"/>
        <v>5.5119298014716399E-10</v>
      </c>
      <c r="G130" s="180">
        <f ca="1"/>
        <v>-7.0950445518747105E-10</v>
      </c>
      <c r="H130" s="180">
        <f ca="1"/>
        <v>1.60535129634098E-9</v>
      </c>
      <c r="I130" s="180">
        <f ca="1"/>
        <v>-1.45095719883415E-8</v>
      </c>
      <c r="J130" s="180">
        <f ca="1"/>
        <v>1.96229048565755E-8</v>
      </c>
      <c r="K130" s="180">
        <f ca="1"/>
        <v>-7.5553269751615901E-8</v>
      </c>
      <c r="L130" s="180">
        <f ca="1"/>
        <v>4.15405818965375E-7</v>
      </c>
      <c r="M130" s="180">
        <f ca="1"/>
        <v>-2.6767203187283402E-7</v>
      </c>
      <c r="N130" s="180">
        <f ca="1"/>
        <v>1.06581410364015E-14</v>
      </c>
      <c r="O130" s="180">
        <f ca="1"/>
        <v>1.06581410364015E-14</v>
      </c>
      <c r="P130" s="180">
        <f ca="1"/>
        <v>1.06581410364015E-14</v>
      </c>
      <c r="Q130" s="180">
        <f ca="1"/>
        <v>1.06581410364015E-14</v>
      </c>
      <c r="R130" s="180">
        <f ca="1"/>
        <v>1.06581410364015E-14</v>
      </c>
      <c r="S130" s="180">
        <f ca="1"/>
        <v>-1.01352216330675E-6</v>
      </c>
      <c r="T130" s="180">
        <f ca="1"/>
        <v>-2.7962115228818999E-6</v>
      </c>
      <c r="U130" s="180">
        <f ca="1"/>
        <v>-2.5825845441085298E-6</v>
      </c>
      <c r="V130" s="180">
        <f ca="1"/>
        <v>-5.7219633498029097E-6</v>
      </c>
      <c r="W130" s="180">
        <f ca="1"/>
        <v>-5.0136999516503497E-6</v>
      </c>
      <c r="X130" s="180">
        <f ca="1"/>
        <v>-2.7757489656776699E-5</v>
      </c>
      <c r="Y130" s="180">
        <f ca="1"/>
        <v>-1.36223765929699E-5</v>
      </c>
      <c r="Z130" s="180">
        <f ca="1"/>
        <v>-7.7840625199776498E-5</v>
      </c>
      <c r="AA130" s="180">
        <f ca="1"/>
        <v>1.9166630023437201E-5</v>
      </c>
      <c r="AB130" s="180">
        <f ca="1"/>
        <v>-4.4306754475287302E-4</v>
      </c>
      <c r="AC130" s="180">
        <f ca="1"/>
        <v>1.9231082723161199E-3</v>
      </c>
      <c r="AD130" s="180">
        <f ca="1"/>
        <v>3.55178857878169E-4</v>
      </c>
      <c r="AE130" s="180">
        <f ca="1"/>
        <v>9.9490472948993201E-7</v>
      </c>
      <c r="AF130" s="180">
        <f ca="1"/>
        <v>2.7493404174405698E-6</v>
      </c>
      <c r="AG130" s="180">
        <f ca="1"/>
        <v>2.5407176216241099E-6</v>
      </c>
      <c r="AH130" s="180">
        <f ca="1"/>
        <v>5.6298374148111597E-6</v>
      </c>
      <c r="AI130" s="180">
        <f ca="1"/>
        <v>4.9261305322678703E-6</v>
      </c>
      <c r="AJ130" s="180">
        <f ca="1"/>
        <v>2.7306989495268199E-5</v>
      </c>
      <c r="AK130" s="180">
        <f ca="1"/>
        <v>1.3379958177850401E-5</v>
      </c>
      <c r="AL130" s="180">
        <f ca="1"/>
        <v>7.66056831316142E-5</v>
      </c>
      <c r="AM130" s="180">
        <f ca="1"/>
        <v>-1.9017713376978699E-5</v>
      </c>
      <c r="AN130" s="180">
        <f ca="1"/>
        <v>4.3654630824019298E-4</v>
      </c>
      <c r="AO130" s="180">
        <f ca="1"/>
        <v>-1.8905706428546901E-3</v>
      </c>
      <c r="AP130" s="180">
        <f ca="1"/>
        <v>-3.5031162885446098E-4</v>
      </c>
      <c r="AQ130" t="str">
        <f ca="1"/>
        <v/>
      </c>
    </row>
    <row r="131" spans="2:43" x14ac:dyDescent="0.25">
      <c r="B131" s="179">
        <f ca="1"/>
        <v>53496</v>
      </c>
      <c r="C131" s="180">
        <f ca="1"/>
        <v>-7.09799208742368E-7</v>
      </c>
      <c r="D131" s="180">
        <f ca="1"/>
        <v>5.1281312529738398E-11</v>
      </c>
      <c r="E131" s="180">
        <f ca="1"/>
        <v>-2.06416106429685E-10</v>
      </c>
      <c r="F131" s="180">
        <f ca="1"/>
        <v>5.4230464563431703E-10</v>
      </c>
      <c r="G131" s="180">
        <f ca="1"/>
        <v>-6.9807082336836898E-10</v>
      </c>
      <c r="H131" s="180">
        <f ca="1"/>
        <v>1.57950197365864E-9</v>
      </c>
      <c r="I131" s="180">
        <f ca="1"/>
        <v>-1.43885451331371E-8</v>
      </c>
      <c r="J131" s="180">
        <f ca="1"/>
        <v>1.93068827591958E-8</v>
      </c>
      <c r="K131" s="180">
        <f ca="1"/>
        <v>-7.4336637179150995E-8</v>
      </c>
      <c r="L131" s="180">
        <f ca="1"/>
        <v>4.1242017090326002E-7</v>
      </c>
      <c r="M131" s="180">
        <f ca="1"/>
        <v>-2.6370114325491301E-7</v>
      </c>
      <c r="N131" s="180">
        <f ca="1"/>
        <v>1.9095836023552699E-14</v>
      </c>
      <c r="O131" s="180">
        <f ca="1"/>
        <v>1.9095836023552699E-14</v>
      </c>
      <c r="P131" s="180">
        <f ca="1"/>
        <v>1.9095836023552699E-14</v>
      </c>
      <c r="Q131" s="180">
        <f ca="1"/>
        <v>1.9095836023552699E-14</v>
      </c>
      <c r="R131" s="180">
        <f ca="1"/>
        <v>1.9095836023552699E-14</v>
      </c>
      <c r="S131" s="180">
        <f ca="1"/>
        <v>-1.00581805839717E-6</v>
      </c>
      <c r="T131" s="180">
        <f ca="1"/>
        <v>-2.7921380719719801E-6</v>
      </c>
      <c r="U131" s="180">
        <f ca="1"/>
        <v>-2.5487002083268702E-6</v>
      </c>
      <c r="V131" s="180">
        <f ca="1"/>
        <v>-5.7908291722919003E-6</v>
      </c>
      <c r="W131" s="180">
        <f ca="1"/>
        <v>-4.8133204122446901E-6</v>
      </c>
      <c r="X131" s="180">
        <f ca="1"/>
        <v>-2.79861103380519E-5</v>
      </c>
      <c r="Y131" s="180">
        <f ca="1"/>
        <v>-1.19146128240155E-5</v>
      </c>
      <c r="Z131" s="180">
        <f ca="1"/>
        <v>-8.2289422359327306E-5</v>
      </c>
      <c r="AA131" s="180">
        <f ca="1"/>
        <v>2.8616139316039999E-5</v>
      </c>
      <c r="AB131" s="180">
        <f ca="1"/>
        <v>-4.6998307094381402E-4</v>
      </c>
      <c r="AC131" s="180">
        <f ca="1"/>
        <v>1.8589435112986699E-3</v>
      </c>
      <c r="AD131" s="180">
        <f ca="1"/>
        <v>4.48290927151818E-4</v>
      </c>
      <c r="AE131" s="180">
        <f ca="1"/>
        <v>9.873411598304569E-7</v>
      </c>
      <c r="AF131" s="180">
        <f ca="1"/>
        <v>2.7453361504114999E-6</v>
      </c>
      <c r="AG131" s="180">
        <f ca="1"/>
        <v>2.5073784286622201E-6</v>
      </c>
      <c r="AH131" s="180">
        <f ca="1"/>
        <v>5.6976275457643098E-6</v>
      </c>
      <c r="AI131" s="180">
        <f ca="1"/>
        <v>4.72899390324688E-6</v>
      </c>
      <c r="AJ131" s="180">
        <f ca="1"/>
        <v>2.7532100086990999E-5</v>
      </c>
      <c r="AK131" s="180">
        <f ca="1"/>
        <v>1.16990107507098E-5</v>
      </c>
      <c r="AL131" s="180">
        <f ca="1"/>
        <v>8.0988201232257099E-5</v>
      </c>
      <c r="AM131" s="180">
        <f ca="1"/>
        <v>-2.8323172559407999E-5</v>
      </c>
      <c r="AN131" s="180">
        <f ca="1"/>
        <v>4.6310284194017699E-4</v>
      </c>
      <c r="AO131" s="180">
        <f ca="1"/>
        <v>-1.82767233580172E-3</v>
      </c>
      <c r="AP131" s="180">
        <f ca="1"/>
        <v>-4.4208232488351901E-4</v>
      </c>
      <c r="AQ131" t="str">
        <f ca="1"/>
        <v/>
      </c>
    </row>
    <row r="132" spans="2:43" x14ac:dyDescent="0.25">
      <c r="B132" s="179">
        <f ca="1"/>
        <v>53587</v>
      </c>
      <c r="C132" s="180">
        <f ca="1"/>
        <v>-7.0680393438049496E-7</v>
      </c>
      <c r="D132" s="180">
        <f ca="1"/>
        <v>5.0674686669083303E-11</v>
      </c>
      <c r="E132" s="180">
        <f ca="1"/>
        <v>-2.0389723243141599E-10</v>
      </c>
      <c r="F132" s="180">
        <f ca="1"/>
        <v>5.3568205427012603E-10</v>
      </c>
      <c r="G132" s="180">
        <f ca="1"/>
        <v>-6.8955119392200004E-10</v>
      </c>
      <c r="H132" s="180">
        <f ca="1"/>
        <v>1.5602459324526299E-9</v>
      </c>
      <c r="I132" s="180">
        <f ca="1"/>
        <v>-1.42896852128871E-8</v>
      </c>
      <c r="J132" s="180">
        <f ca="1"/>
        <v>1.9071415113813801E-8</v>
      </c>
      <c r="K132" s="180">
        <f ca="1"/>
        <v>-7.3430113767258805E-8</v>
      </c>
      <c r="L132" s="180">
        <f ca="1"/>
        <v>4.09902855991184E-7</v>
      </c>
      <c r="M132" s="180">
        <f ca="1"/>
        <v>-2.6071623004941802E-7</v>
      </c>
      <c r="N132" s="180">
        <f ca="1"/>
        <v>2.8976820942716598E-14</v>
      </c>
      <c r="O132" s="180">
        <f ca="1"/>
        <v>2.8976820942716598E-14</v>
      </c>
      <c r="P132" s="180">
        <f ca="1"/>
        <v>2.8976820942716598E-14</v>
      </c>
      <c r="Q132" s="180">
        <f ca="1"/>
        <v>2.8976820942716598E-14</v>
      </c>
      <c r="R132" s="180">
        <f ca="1"/>
        <v>2.8976820942716598E-14</v>
      </c>
      <c r="S132" s="180">
        <f ca="1"/>
        <v>-9.9939624353950805E-7</v>
      </c>
      <c r="T132" s="180">
        <f ca="1"/>
        <v>-2.7858607277719801E-6</v>
      </c>
      <c r="U132" s="180">
        <f ca="1"/>
        <v>-2.5228065987370502E-6</v>
      </c>
      <c r="V132" s="180">
        <f ca="1"/>
        <v>-5.82963040918205E-6</v>
      </c>
      <c r="W132" s="180">
        <f ca="1"/>
        <v>-4.6730010503370803E-6</v>
      </c>
      <c r="X132" s="180">
        <f ca="1"/>
        <v>-2.8103862221406901E-5</v>
      </c>
      <c r="Y132" s="180">
        <f ca="1"/>
        <v>-1.07555897492784E-5</v>
      </c>
      <c r="Z132" s="180">
        <f ca="1"/>
        <v>-8.5165420329658099E-5</v>
      </c>
      <c r="AA132" s="180">
        <f ca="1"/>
        <v>3.49098975851447E-5</v>
      </c>
      <c r="AB132" s="180">
        <f ca="1"/>
        <v>-4.87417812105928E-4</v>
      </c>
      <c r="AC132" s="180">
        <f ca="1"/>
        <v>1.78022742991113E-3</v>
      </c>
      <c r="AD132" s="180">
        <f ca="1"/>
        <v>5.4840628297814198E-4</v>
      </c>
      <c r="AE132" s="180">
        <f ca="1"/>
        <v>9.8103666623661191E-7</v>
      </c>
      <c r="AF132" s="180">
        <f ca="1"/>
        <v>2.7391646296726101E-6</v>
      </c>
      <c r="AG132" s="180">
        <f ca="1"/>
        <v>2.4819017884203401E-6</v>
      </c>
      <c r="AH132" s="180">
        <f ca="1"/>
        <v>5.7358261725814998E-6</v>
      </c>
      <c r="AI132" s="180">
        <f ca="1"/>
        <v>4.5909536267041401E-6</v>
      </c>
      <c r="AJ132" s="180">
        <f ca="1"/>
        <v>2.7648075136998999E-5</v>
      </c>
      <c r="AK132" s="180">
        <f ca="1"/>
        <v>1.0558227573231901E-5</v>
      </c>
      <c r="AL132" s="180">
        <f ca="1"/>
        <v>8.3821484093360405E-5</v>
      </c>
      <c r="AM132" s="180">
        <f ca="1"/>
        <v>-3.4520664626613898E-5</v>
      </c>
      <c r="AN132" s="180">
        <f ca="1"/>
        <v>4.8030715765279302E-4</v>
      </c>
      <c r="AO132" s="180">
        <f ca="1"/>
        <v>-1.7504986014883501E-3</v>
      </c>
      <c r="AP132" s="180">
        <f ca="1"/>
        <v>-5.4072471619970297E-4</v>
      </c>
      <c r="AQ132" t="str">
        <f ca="1"/>
        <v/>
      </c>
    </row>
    <row r="133" spans="2:43" x14ac:dyDescent="0.25">
      <c r="B133" s="179">
        <f ca="1"/>
        <v>53678</v>
      </c>
      <c r="C133" s="180">
        <f ca="1"/>
        <v>-7.0382480288344595E-7</v>
      </c>
      <c r="D133" s="180">
        <f ca="1"/>
        <v>5.02731190010763E-11</v>
      </c>
      <c r="E133" s="180">
        <f ca="1"/>
        <v>-2.02185601594351E-10</v>
      </c>
      <c r="F133" s="180">
        <f ca="1"/>
        <v>5.3119086906860999E-10</v>
      </c>
      <c r="G133" s="180">
        <f ca="1"/>
        <v>-6.8377292716803595E-10</v>
      </c>
      <c r="H133" s="180">
        <f ca="1"/>
        <v>1.5471923742183001E-9</v>
      </c>
      <c r="I133" s="180">
        <f ca="1"/>
        <v>-1.42116185486429E-8</v>
      </c>
      <c r="J133" s="180">
        <f ca="1"/>
        <v>1.8911729182668998E-8</v>
      </c>
      <c r="K133" s="180">
        <f ca="1"/>
        <v>-7.2815328100439598E-8</v>
      </c>
      <c r="L133" s="180">
        <f ca="1"/>
        <v>4.0782412347173402E-7</v>
      </c>
      <c r="M133" s="180">
        <f ca="1"/>
        <v>-2.5865869968111402E-7</v>
      </c>
      <c r="N133" s="180">
        <f ca="1"/>
        <v>4.0079051188968202E-14</v>
      </c>
      <c r="O133" s="180">
        <f ca="1"/>
        <v>4.0079051188968202E-14</v>
      </c>
      <c r="P133" s="180">
        <f ca="1"/>
        <v>4.0079051188968202E-14</v>
      </c>
      <c r="Q133" s="180">
        <f ca="1"/>
        <v>4.0079051188968202E-14</v>
      </c>
      <c r="R133" s="180">
        <f ca="1"/>
        <v>4.0079051188968202E-14</v>
      </c>
      <c r="S133" s="180">
        <f ca="1"/>
        <v>-9.941760860110449E-7</v>
      </c>
      <c r="T133" s="180">
        <f ca="1"/>
        <v>-2.7774878551545299E-6</v>
      </c>
      <c r="U133" s="180">
        <f ca="1"/>
        <v>-2.5044260533180199E-6</v>
      </c>
      <c r="V133" s="180">
        <f ca="1"/>
        <v>-5.8400615493558999E-6</v>
      </c>
      <c r="W133" s="180">
        <f ca="1"/>
        <v>-4.5892472885222801E-6</v>
      </c>
      <c r="X133" s="180">
        <f ca="1"/>
        <v>-2.81169498369538E-5</v>
      </c>
      <c r="Y133" s="180">
        <f ca="1"/>
        <v>-1.01135958282539E-5</v>
      </c>
      <c r="Z133" s="180">
        <f ca="1"/>
        <v>-8.6558761231647602E-5</v>
      </c>
      <c r="AA133" s="180">
        <f ca="1"/>
        <v>3.8229554407354101E-5</v>
      </c>
      <c r="AB133" s="180">
        <f ca="1"/>
        <v>-4.9591596917297797E-4</v>
      </c>
      <c r="AC133" s="180">
        <f ca="1"/>
        <v>1.6877494825872101E-3</v>
      </c>
      <c r="AD133" s="180">
        <f ca="1"/>
        <v>6.55170817804973E-4</v>
      </c>
      <c r="AE133" s="180">
        <f ca="1"/>
        <v>9.7591207659508704E-7</v>
      </c>
      <c r="AF133" s="180">
        <f ca="1"/>
        <v>2.73093242075806E-6</v>
      </c>
      <c r="AG133" s="180">
        <f ca="1"/>
        <v>2.46381770185877E-6</v>
      </c>
      <c r="AH133" s="180">
        <f ca="1"/>
        <v>5.7461011182535796E-6</v>
      </c>
      <c r="AI133" s="180">
        <f ca="1"/>
        <v>4.50857119238535E-6</v>
      </c>
      <c r="AJ133" s="180">
        <f ca="1"/>
        <v>2.7661022060532198E-5</v>
      </c>
      <c r="AK133" s="180">
        <f ca="1"/>
        <v>9.9263878947653001E-6</v>
      </c>
      <c r="AL133" s="180">
        <f ca="1"/>
        <v>8.5194281648326404E-5</v>
      </c>
      <c r="AM133" s="180">
        <f ca="1"/>
        <v>-3.7789255406872599E-5</v>
      </c>
      <c r="AN133" s="180">
        <f ca="1"/>
        <v>4.8869454725819505E-4</v>
      </c>
      <c r="AO133" s="180">
        <f ca="1"/>
        <v>-1.6598139660008999E-3</v>
      </c>
      <c r="AP133" s="180">
        <f ca="1"/>
        <v>-6.4588310348001599E-4</v>
      </c>
      <c r="AQ133" t="str">
        <f ca="1"/>
        <v/>
      </c>
    </row>
    <row r="134" spans="2:43" x14ac:dyDescent="0.25">
      <c r="B134" s="179">
        <f ca="1"/>
        <v>53769</v>
      </c>
      <c r="C134" s="180">
        <f ca="1"/>
        <v>-7.0086153114434801E-7</v>
      </c>
      <c r="D134" s="180">
        <f ca="1"/>
        <v>5.0063397871724601E-11</v>
      </c>
      <c r="E134" s="180">
        <f ca="1"/>
        <v>-2.0122847832482199E-10</v>
      </c>
      <c r="F134" s="180">
        <f ca="1"/>
        <v>5.2869286726320297E-10</v>
      </c>
      <c r="G134" s="180">
        <f ca="1"/>
        <v>-6.8055761026641903E-10</v>
      </c>
      <c r="H134" s="180">
        <f ca="1"/>
        <v>1.53993873208691E-9</v>
      </c>
      <c r="I134" s="180">
        <f ca="1"/>
        <v>-1.41529267194684E-8</v>
      </c>
      <c r="J134" s="180">
        <f ca="1"/>
        <v>1.8822901681758701E-8</v>
      </c>
      <c r="K134" s="180">
        <f ca="1"/>
        <v>-7.2473322898503096E-8</v>
      </c>
      <c r="L134" s="180">
        <f ca="1"/>
        <v>4.0615324958803701E-7</v>
      </c>
      <c r="M134" s="180">
        <f ca="1"/>
        <v>-2.5746808895998901E-7</v>
      </c>
      <c r="N134" s="180">
        <f ca="1"/>
        <v>5.2735593669694898E-14</v>
      </c>
      <c r="O134" s="180">
        <f ca="1"/>
        <v>5.2735593669694898E-14</v>
      </c>
      <c r="P134" s="180">
        <f ca="1"/>
        <v>5.2735593669694898E-14</v>
      </c>
      <c r="Q134" s="180">
        <f ca="1"/>
        <v>5.2735593669694898E-14</v>
      </c>
      <c r="R134" s="180">
        <f ca="1"/>
        <v>5.2735593669694898E-14</v>
      </c>
      <c r="S134" s="180">
        <f ca="1"/>
        <v>-9.90074322748669E-7</v>
      </c>
      <c r="T134" s="180">
        <f ca="1"/>
        <v>-2.7671309921206699E-6</v>
      </c>
      <c r="U134" s="180">
        <f ca="1"/>
        <v>-2.49306563071539E-6</v>
      </c>
      <c r="V134" s="180">
        <f ca="1"/>
        <v>-5.8238699894852496E-6</v>
      </c>
      <c r="W134" s="180">
        <f ca="1"/>
        <v>-4.5584539544174501E-6</v>
      </c>
      <c r="X134" s="180">
        <f ca="1"/>
        <v>-2.8031770805458899E-5</v>
      </c>
      <c r="Y134" s="180">
        <f ca="1"/>
        <v>-9.9559173637464599E-6</v>
      </c>
      <c r="Z134" s="180">
        <f ca="1"/>
        <v>-8.6562409298940297E-5</v>
      </c>
      <c r="AA134" s="180">
        <f ca="1"/>
        <v>3.8762532202141202E-5</v>
      </c>
      <c r="AB134" s="180">
        <f ca="1"/>
        <v>-4.9603841104128897E-4</v>
      </c>
      <c r="AC134" s="180">
        <f ca="1"/>
        <v>1.5823236680545499E-3</v>
      </c>
      <c r="AD134" s="180">
        <f ca="1"/>
        <v>7.6821984481534301E-4</v>
      </c>
      <c r="AE134" s="180">
        <f ca="1"/>
        <v>9.7188563863426204E-7</v>
      </c>
      <c r="AF134" s="180">
        <f ca="1"/>
        <v>2.7207492105940598E-6</v>
      </c>
      <c r="AG134" s="180">
        <f ca="1"/>
        <v>2.4526411381842199E-6</v>
      </c>
      <c r="AH134" s="180">
        <f ca="1"/>
        <v>5.7301722905522797E-6</v>
      </c>
      <c r="AI134" s="180">
        <f ca="1"/>
        <v>4.4782993059433502E-6</v>
      </c>
      <c r="AJ134" s="180">
        <f ca="1"/>
        <v>2.7577238465137401E-5</v>
      </c>
      <c r="AK134" s="180">
        <f ca="1"/>
        <v>9.7712872243471693E-6</v>
      </c>
      <c r="AL134" s="180">
        <f ca="1"/>
        <v>8.5198146341447498E-5</v>
      </c>
      <c r="AM134" s="180">
        <f ca="1"/>
        <v>-3.8313605165263303E-5</v>
      </c>
      <c r="AN134" s="180">
        <f ca="1"/>
        <v>4.8881756971308498E-4</v>
      </c>
      <c r="AO134" s="180">
        <f ca="1"/>
        <v>-1.55640586514749E-3</v>
      </c>
      <c r="AP134" s="180">
        <f ca="1"/>
        <v>-7.5719132139728796E-4</v>
      </c>
      <c r="AQ134" t="str">
        <f ca="1"/>
        <v/>
      </c>
    </row>
    <row r="135" spans="2:43" x14ac:dyDescent="0.25">
      <c r="B135" s="179">
        <f ca="1"/>
        <v>53860</v>
      </c>
      <c r="C135" s="180">
        <f ca="1"/>
        <v>-6.97913829394992E-7</v>
      </c>
      <c r="D135" s="180">
        <f ca="1"/>
        <v>5.0031534470917898E-11</v>
      </c>
      <c r="E135" s="180">
        <f ca="1"/>
        <v>-2.0097201680613399E-10</v>
      </c>
      <c r="F135" s="180">
        <f ca="1"/>
        <v>5.2804516315063696E-10</v>
      </c>
      <c r="G135" s="180">
        <f ca="1"/>
        <v>-6.7972194539578399E-10</v>
      </c>
      <c r="H135" s="180">
        <f ca="1"/>
        <v>1.5380693385580501E-9</v>
      </c>
      <c r="I135" s="180">
        <f ca="1"/>
        <v>-1.41121485608409E-8</v>
      </c>
      <c r="J135" s="180">
        <f ca="1"/>
        <v>1.87998590028826E-8</v>
      </c>
      <c r="K135" s="180">
        <f ca="1"/>
        <v>-7.23845701156023E-8</v>
      </c>
      <c r="L135" s="180">
        <f ca="1"/>
        <v>4.0485855878902299E-7</v>
      </c>
      <c r="M135" s="180">
        <f ca="1"/>
        <v>-2.5708211059960499E-7</v>
      </c>
      <c r="N135" s="180">
        <f ca="1"/>
        <v>6.6613381477509405E-14</v>
      </c>
      <c r="O135" s="180">
        <f ca="1"/>
        <v>6.6613381477509405E-14</v>
      </c>
      <c r="P135" s="180">
        <f ca="1"/>
        <v>6.6613381477509405E-14</v>
      </c>
      <c r="Q135" s="180">
        <f ca="1"/>
        <v>6.6613381477509405E-14</v>
      </c>
      <c r="R135" s="180">
        <f ca="1"/>
        <v>6.6613381477509405E-14</v>
      </c>
      <c r="S135" s="180">
        <f ca="1"/>
        <v>-9.8700512562999208E-7</v>
      </c>
      <c r="T135" s="180">
        <f ca="1"/>
        <v>-2.7549047749708698E-6</v>
      </c>
      <c r="U135" s="180">
        <f ca="1"/>
        <v>-2.4882174757268099E-6</v>
      </c>
      <c r="V135" s="180">
        <f ca="1"/>
        <v>-5.7828547769256397E-6</v>
      </c>
      <c r="W135" s="180">
        <f ca="1"/>
        <v>-4.5769079147772703E-6</v>
      </c>
      <c r="X135" s="180">
        <f ca="1"/>
        <v>-2.78549112575632E-5</v>
      </c>
      <c r="Y135" s="180">
        <f ca="1"/>
        <v>-1.0248862533201999E-5</v>
      </c>
      <c r="Z135" s="180">
        <f ca="1"/>
        <v>-8.5272085330156995E-5</v>
      </c>
      <c r="AA135" s="180">
        <f ca="1"/>
        <v>3.6701882603185097E-5</v>
      </c>
      <c r="AB135" s="180">
        <f ca="1"/>
        <v>-4.8836233510418702E-4</v>
      </c>
      <c r="AC135" s="180">
        <f ca="1"/>
        <v>1.4647877928032299E-3</v>
      </c>
      <c r="AD135" s="180">
        <f ca="1"/>
        <v>8.8717829183093699E-4</v>
      </c>
      <c r="AE135" s="180">
        <f ca="1"/>
        <v>9.6887307887705297E-7</v>
      </c>
      <c r="AF135" s="180">
        <f ca="1"/>
        <v>2.70872773155961E-6</v>
      </c>
      <c r="AG135" s="180">
        <f ca="1"/>
        <v>2.4478723907872501E-6</v>
      </c>
      <c r="AH135" s="180">
        <f ca="1"/>
        <v>5.6898104412450604E-6</v>
      </c>
      <c r="AI135" s="180">
        <f ca="1"/>
        <v>4.4964844719830302E-6</v>
      </c>
      <c r="AJ135" s="180">
        <f ca="1"/>
        <v>2.74032076200692E-5</v>
      </c>
      <c r="AK135" s="180">
        <f ca="1"/>
        <v>1.00597605409147E-5</v>
      </c>
      <c r="AL135" s="180">
        <f ca="1"/>
        <v>8.3927364962654795E-5</v>
      </c>
      <c r="AM135" s="180">
        <f ca="1"/>
        <v>-3.62838416946287E-5</v>
      </c>
      <c r="AN135" s="180">
        <f ca="1"/>
        <v>4.8124558514295302E-4</v>
      </c>
      <c r="AO135" s="180">
        <f ca="1"/>
        <v>-1.4410842660857999E-3</v>
      </c>
      <c r="AP135" s="180">
        <f ca="1"/>
        <v>-8.7427302152487396E-4</v>
      </c>
      <c r="AQ135" t="str">
        <f ca="1"/>
        <v/>
      </c>
    </row>
    <row r="136" spans="2:43" x14ac:dyDescent="0.25">
      <c r="B136" s="179">
        <f ca="1"/>
        <v>53952</v>
      </c>
      <c r="C136" s="180">
        <f ca="1"/>
        <v>-6.9494926036028904E-7</v>
      </c>
      <c r="D136" s="180">
        <f ca="1"/>
        <v>5.0166204523804897E-11</v>
      </c>
      <c r="E136" s="180">
        <f ca="1"/>
        <v>-2.0136847744822701E-10</v>
      </c>
      <c r="F136" s="180">
        <f ca="1"/>
        <v>5.2912174641761598E-10</v>
      </c>
      <c r="G136" s="180">
        <f ca="1"/>
        <v>-6.8110372897223204E-10</v>
      </c>
      <c r="H136" s="180">
        <f ca="1"/>
        <v>1.5412173759443699E-9</v>
      </c>
      <c r="I136" s="180">
        <f ca="1"/>
        <v>-1.4087597532963501E-8</v>
      </c>
      <c r="J136" s="180">
        <f ca="1"/>
        <v>1.8838112847419101E-8</v>
      </c>
      <c r="K136" s="180">
        <f ca="1"/>
        <v>-7.2531788686269696E-8</v>
      </c>
      <c r="L136" s="180">
        <f ca="1"/>
        <v>4.0389878219748699E-7</v>
      </c>
      <c r="M136" s="180">
        <f ca="1"/>
        <v>-2.5744446197073501E-7</v>
      </c>
      <c r="N136" s="180">
        <f ca="1"/>
        <v>8.1601392309949006E-14</v>
      </c>
      <c r="O136" s="180">
        <f ca="1"/>
        <v>8.1601392309949006E-14</v>
      </c>
      <c r="P136" s="180">
        <f ca="1"/>
        <v>8.1601392309949006E-14</v>
      </c>
      <c r="Q136" s="180">
        <f ca="1"/>
        <v>8.1601392309949006E-14</v>
      </c>
      <c r="R136" s="180">
        <f ca="1"/>
        <v>8.1601392309949006E-14</v>
      </c>
      <c r="S136" s="180">
        <f ca="1"/>
        <v>-9.8486171962175504E-7</v>
      </c>
      <c r="T136" s="180">
        <f ca="1"/>
        <v>-2.7407639761056799E-6</v>
      </c>
      <c r="U136" s="180">
        <f ca="1"/>
        <v>-2.48940301028622E-6</v>
      </c>
      <c r="V136" s="180">
        <f ca="1"/>
        <v>-5.7180415957702701E-6</v>
      </c>
      <c r="W136" s="180">
        <f ca="1"/>
        <v>-4.6417305203938497E-6</v>
      </c>
      <c r="X136" s="180">
        <f ca="1"/>
        <v>-2.7589818774931301E-5</v>
      </c>
      <c r="Y136" s="180">
        <f ca="1"/>
        <v>-1.09677544910536E-5</v>
      </c>
      <c r="Z136" s="180">
        <f ca="1"/>
        <v>-8.2752617413195395E-5</v>
      </c>
      <c r="AA136" s="180">
        <f ca="1"/>
        <v>3.2184630625042802E-5</v>
      </c>
      <c r="AB136" s="180">
        <f ca="1"/>
        <v>-4.73279630177403E-4</v>
      </c>
      <c r="AC136" s="180">
        <f ca="1"/>
        <v>1.33452830313752E-3</v>
      </c>
      <c r="AD136" s="180">
        <f ca="1"/>
        <v>1.0130580549582201E-3</v>
      </c>
      <c r="AE136" s="180">
        <f ca="1"/>
        <v>9.6676956973240593E-7</v>
      </c>
      <c r="AF136" s="180">
        <f ca="1"/>
        <v>2.69482352766026E-6</v>
      </c>
      <c r="AG136" s="180">
        <f ca="1"/>
        <v>2.44904057999928E-6</v>
      </c>
      <c r="AH136" s="180">
        <f ca="1"/>
        <v>5.62602522424793E-6</v>
      </c>
      <c r="AI136" s="180">
        <f ca="1"/>
        <v>4.5602946160405696E-6</v>
      </c>
      <c r="AJ136" s="180">
        <f ca="1"/>
        <v>2.7142324100948301E-5</v>
      </c>
      <c r="AK136" s="180">
        <f ca="1"/>
        <v>1.0767519881049701E-5</v>
      </c>
      <c r="AL136" s="180">
        <f ca="1"/>
        <v>8.1445811578650899E-5</v>
      </c>
      <c r="AM136" s="180">
        <f ca="1"/>
        <v>-3.1834851729861702E-5</v>
      </c>
      <c r="AN136" s="180">
        <f ca="1"/>
        <v>4.66365696359272E-4</v>
      </c>
      <c r="AO136" s="180">
        <f ca="1"/>
        <v>-1.31323385870308E-3</v>
      </c>
      <c r="AP136" s="180">
        <f ca="1"/>
        <v>-9.9811622403589407E-4</v>
      </c>
      <c r="AQ136" t="str">
        <f ca="1"/>
        <v/>
      </c>
    </row>
    <row r="137" spans="2:43" x14ac:dyDescent="0.25">
      <c r="B137" s="179">
        <f ca="1"/>
        <v>54043</v>
      </c>
      <c r="C137" s="180">
        <f ca="1"/>
        <v>-6.92031965843221E-7</v>
      </c>
      <c r="D137" s="180">
        <f ca="1"/>
        <v>5.0449311395084403E-11</v>
      </c>
      <c r="E137" s="180">
        <f ca="1"/>
        <v>-2.02351357891928E-10</v>
      </c>
      <c r="F137" s="180">
        <f ca="1"/>
        <v>5.3174664671473703E-10</v>
      </c>
      <c r="G137" s="180">
        <f ca="1"/>
        <v>-6.8447703061025302E-10</v>
      </c>
      <c r="H137" s="180">
        <f ca="1"/>
        <v>1.5488712534761399E-9</v>
      </c>
      <c r="I137" s="180">
        <f ca="1"/>
        <v>-1.4078247234650099E-8</v>
      </c>
      <c r="J137" s="180">
        <f ca="1"/>
        <v>1.89314226517467E-8</v>
      </c>
      <c r="K137" s="180">
        <f ca="1"/>
        <v>-7.2890955604698604E-8</v>
      </c>
      <c r="L137" s="180">
        <f ca="1"/>
        <v>4.03260964731977E-7</v>
      </c>
      <c r="M137" s="180">
        <f ca="1"/>
        <v>-2.5848084483914798E-7</v>
      </c>
      <c r="N137" s="180">
        <f ca="1"/>
        <v>9.7588603864551298E-14</v>
      </c>
      <c r="O137" s="180">
        <f ca="1"/>
        <v>9.7588603864551298E-14</v>
      </c>
      <c r="P137" s="180">
        <f ca="1"/>
        <v>9.7588603864551298E-14</v>
      </c>
      <c r="Q137" s="180">
        <f ca="1"/>
        <v>9.7588603864551298E-14</v>
      </c>
      <c r="R137" s="180">
        <f ca="1"/>
        <v>9.7588603864551298E-14</v>
      </c>
      <c r="S137" s="180">
        <f ca="1"/>
        <v>-9.8359907696465896E-7</v>
      </c>
      <c r="T137" s="180">
        <f ca="1"/>
        <v>-2.7251377383574702E-6</v>
      </c>
      <c r="U137" s="180">
        <f ca="1"/>
        <v>-2.49605484425874E-6</v>
      </c>
      <c r="V137" s="180">
        <f ca="1"/>
        <v>-5.63275577147859E-6</v>
      </c>
      <c r="W137" s="180">
        <f ca="1"/>
        <v>-4.7475547251263401E-6</v>
      </c>
      <c r="X137" s="180">
        <f ca="1"/>
        <v>-2.72492706716587E-5</v>
      </c>
      <c r="Y137" s="180">
        <f ca="1"/>
        <v>-1.20610561776813E-5</v>
      </c>
      <c r="Z137" s="180">
        <f ca="1"/>
        <v>-7.9160759457352903E-5</v>
      </c>
      <c r="AA137" s="180">
        <f ca="1"/>
        <v>2.5514764925405101E-5</v>
      </c>
      <c r="AB137" s="180">
        <f ca="1"/>
        <v>-4.5173271385479102E-4</v>
      </c>
      <c r="AC137" s="180">
        <f ca="1"/>
        <v>1.1952683998829299E-3</v>
      </c>
      <c r="AD137" s="180">
        <f ca="1"/>
        <v>1.1427236577801201E-3</v>
      </c>
      <c r="AE137" s="180">
        <f ca="1"/>
        <v>9.6553087669537497E-7</v>
      </c>
      <c r="AF137" s="180">
        <f ca="1"/>
        <v>2.67945857701513E-6</v>
      </c>
      <c r="AG137" s="180">
        <f ca="1"/>
        <v>2.45558738487528E-6</v>
      </c>
      <c r="AH137" s="180">
        <f ca="1"/>
        <v>5.5420894888857896E-6</v>
      </c>
      <c r="AI137" s="180">
        <f ca="1"/>
        <v>4.66444831215274E-6</v>
      </c>
      <c r="AJ137" s="180">
        <f ca="1"/>
        <v>2.6807164317355101E-5</v>
      </c>
      <c r="AK137" s="180">
        <f ca="1"/>
        <v>1.1843834993752199E-5</v>
      </c>
      <c r="AL137" s="180">
        <f ca="1"/>
        <v>7.7907915742692096E-5</v>
      </c>
      <c r="AM137" s="180">
        <f ca="1"/>
        <v>-2.5265912659277999E-5</v>
      </c>
      <c r="AN137" s="180">
        <f ca="1"/>
        <v>4.4510857538193599E-4</v>
      </c>
      <c r="AO137" s="180">
        <f ca="1"/>
        <v>-1.1764958859104E-3</v>
      </c>
      <c r="AP137" s="180">
        <f ca="1"/>
        <v>-1.1256291193041401E-3</v>
      </c>
      <c r="AQ137" t="str">
        <f ca="1"/>
        <v/>
      </c>
    </row>
    <row r="138" spans="2:43" x14ac:dyDescent="0.25">
      <c r="B138" s="179">
        <f ca="1"/>
        <v>54134</v>
      </c>
      <c r="C138" s="180">
        <f ca="1"/>
        <v>-6.8912932971176801E-7</v>
      </c>
      <c r="D138" s="180">
        <f ca="1"/>
        <v>5.0866866274645898E-11</v>
      </c>
      <c r="E138" s="180">
        <f ca="1"/>
        <v>-2.0386303756225699E-10</v>
      </c>
      <c r="F138" s="180">
        <f ca="1"/>
        <v>5.3576820757683704E-10</v>
      </c>
      <c r="G138" s="180">
        <f ca="1"/>
        <v>-6.8964645105751298E-10</v>
      </c>
      <c r="H138" s="180">
        <f ca="1"/>
        <v>1.5605892134118399E-9</v>
      </c>
      <c r="I138" s="180">
        <f ca="1"/>
        <v>-1.40821578842321E-8</v>
      </c>
      <c r="J138" s="180">
        <f ca="1"/>
        <v>1.90743827399587E-8</v>
      </c>
      <c r="K138" s="180">
        <f ca="1"/>
        <v>-7.3441260406426094E-8</v>
      </c>
      <c r="L138" s="180">
        <f ca="1"/>
        <v>4.0289844849272798E-7</v>
      </c>
      <c r="M138" s="180">
        <f ca="1"/>
        <v>-2.6012372911221599E-7</v>
      </c>
      <c r="N138" s="180">
        <f ca="1"/>
        <v>1.14575016141316E-13</v>
      </c>
      <c r="O138" s="180">
        <f ca="1"/>
        <v>1.14575016141316E-13</v>
      </c>
      <c r="P138" s="180">
        <f ca="1"/>
        <v>1.14575016141316E-13</v>
      </c>
      <c r="Q138" s="180">
        <f ca="1"/>
        <v>1.14575016141316E-13</v>
      </c>
      <c r="R138" s="180">
        <f ca="1"/>
        <v>1.14575016141316E-13</v>
      </c>
      <c r="S138" s="180">
        <f ca="1"/>
        <v>-9.8309569329657599E-7</v>
      </c>
      <c r="T138" s="180">
        <f ca="1"/>
        <v>-2.70800528034965E-6</v>
      </c>
      <c r="U138" s="180">
        <f ca="1"/>
        <v>-2.50760332520805E-6</v>
      </c>
      <c r="V138" s="180">
        <f ca="1"/>
        <v>-5.5283626916313696E-6</v>
      </c>
      <c r="W138" s="180">
        <f ca="1"/>
        <v>-4.8908200787067804E-6</v>
      </c>
      <c r="X138" s="180">
        <f ca="1"/>
        <v>-2.68379659322804E-5</v>
      </c>
      <c r="Y138" s="180">
        <f ca="1"/>
        <v>-1.3497866499512201E-5</v>
      </c>
      <c r="Z138" s="180">
        <f ca="1"/>
        <v>-7.4579142827935194E-5</v>
      </c>
      <c r="AA138" s="180">
        <f ca="1"/>
        <v>1.6865121808429298E-5</v>
      </c>
      <c r="AB138" s="180">
        <f ca="1"/>
        <v>-4.2422047588142102E-4</v>
      </c>
      <c r="AC138" s="180">
        <f ca="1"/>
        <v>1.04655752350502E-3</v>
      </c>
      <c r="AD138" s="180">
        <f ca="1"/>
        <v>1.2771085262554E-3</v>
      </c>
      <c r="AE138" s="180">
        <f ca="1"/>
        <v>9.6503770918854294E-7</v>
      </c>
      <c r="AF138" s="180">
        <f ca="1"/>
        <v>2.6626124636219798E-6</v>
      </c>
      <c r="AG138" s="180">
        <f ca="1"/>
        <v>2.4669523124298799E-6</v>
      </c>
      <c r="AH138" s="180">
        <f ca="1"/>
        <v>5.4393472549429902E-6</v>
      </c>
      <c r="AI138" s="180">
        <f ca="1"/>
        <v>4.8054426562416097E-6</v>
      </c>
      <c r="AJ138" s="180">
        <f ca="1"/>
        <v>2.6402354795340699E-5</v>
      </c>
      <c r="AK138" s="180">
        <f ca="1"/>
        <v>1.32582934290193E-5</v>
      </c>
      <c r="AL138" s="180">
        <f ca="1"/>
        <v>7.3395108836304997E-5</v>
      </c>
      <c r="AM138" s="180">
        <f ca="1"/>
        <v>-1.6747097633329499E-5</v>
      </c>
      <c r="AN138" s="180">
        <f ca="1"/>
        <v>4.1796763032964101E-4</v>
      </c>
      <c r="AO138" s="180">
        <f ca="1"/>
        <v>-1.03041558434658E-3</v>
      </c>
      <c r="AP138" s="180">
        <f ca="1"/>
        <v>-1.25772362323762E-3</v>
      </c>
      <c r="AQ138" t="str">
        <f ca="1"/>
        <v/>
      </c>
    </row>
    <row r="139" spans="2:43" x14ac:dyDescent="0.25">
      <c r="B139" s="179">
        <f ca="1"/>
        <v>54226</v>
      </c>
      <c r="C139" s="180">
        <f ca="1"/>
        <v>-6.8620937598851097E-7</v>
      </c>
      <c r="D139" s="180">
        <f ca="1"/>
        <v>5.1410209422897398E-11</v>
      </c>
      <c r="E139" s="180">
        <f ca="1"/>
        <v>-2.05867767277823E-10</v>
      </c>
      <c r="F139" s="180">
        <f ca="1"/>
        <v>5.4109194902451897E-10</v>
      </c>
      <c r="G139" s="180">
        <f ca="1"/>
        <v>-6.9649053191511701E-10</v>
      </c>
      <c r="H139" s="180">
        <f ca="1"/>
        <v>1.5760965865752E-9</v>
      </c>
      <c r="I139" s="180">
        <f ca="1"/>
        <v>-1.40979325990997E-8</v>
      </c>
      <c r="J139" s="180">
        <f ca="1"/>
        <v>1.9263638129096699E-8</v>
      </c>
      <c r="K139" s="180">
        <f ca="1"/>
        <v>-7.4169786756783704E-8</v>
      </c>
      <c r="L139" s="180">
        <f ca="1"/>
        <v>4.0277582757930501E-7</v>
      </c>
      <c r="M139" s="180">
        <f ca="1"/>
        <v>-2.6233062166980398E-7</v>
      </c>
      <c r="N139" s="180">
        <f ca="1"/>
        <v>1.32449606837781E-13</v>
      </c>
      <c r="O139" s="180">
        <f ca="1"/>
        <v>1.32449606837781E-13</v>
      </c>
      <c r="P139" s="180">
        <f ca="1"/>
        <v>1.32449606837781E-13</v>
      </c>
      <c r="Q139" s="180">
        <f ca="1"/>
        <v>1.32449606837781E-13</v>
      </c>
      <c r="R139" s="180">
        <f ca="1"/>
        <v>1.32449606837781E-13</v>
      </c>
      <c r="S139" s="180">
        <f ca="1"/>
        <v>-9.8326114594815593E-7</v>
      </c>
      <c r="T139" s="180">
        <f ca="1"/>
        <v>-2.6892823115076702E-6</v>
      </c>
      <c r="U139" s="180">
        <f ca="1"/>
        <v>-2.5236807739137399E-6</v>
      </c>
      <c r="V139" s="180">
        <f ca="1"/>
        <v>-5.4054335478781502E-6</v>
      </c>
      <c r="W139" s="180">
        <f ca="1"/>
        <v>-5.0695161297742397E-6</v>
      </c>
      <c r="X139" s="180">
        <f ca="1"/>
        <v>-2.6357659996700801E-5</v>
      </c>
      <c r="Y139" s="180">
        <f ca="1"/>
        <v>-1.5261517214093499E-5</v>
      </c>
      <c r="Z139" s="180">
        <f ca="1"/>
        <v>-6.9049340925664296E-5</v>
      </c>
      <c r="AA139" s="180">
        <f ca="1"/>
        <v>6.3264790016725999E-6</v>
      </c>
      <c r="AB139" s="180">
        <f ca="1"/>
        <v>-3.9099427794953001E-4</v>
      </c>
      <c r="AC139" s="180">
        <f ca="1"/>
        <v>8.8755002879548105E-4</v>
      </c>
      <c r="AD139" s="180">
        <f ca="1"/>
        <v>1.4173442036753399E-3</v>
      </c>
      <c r="AE139" s="180">
        <f ca="1"/>
        <v>9.6520129622135208E-7</v>
      </c>
      <c r="AF139" s="180">
        <f ca="1"/>
        <v>2.64420231788076E-6</v>
      </c>
      <c r="AG139" s="180">
        <f ca="1"/>
        <v>2.4827736049282102E-6</v>
      </c>
      <c r="AH139" s="180">
        <f ca="1"/>
        <v>5.3183608502704896E-6</v>
      </c>
      <c r="AI139" s="180">
        <f ca="1"/>
        <v>4.9812998935694403E-6</v>
      </c>
      <c r="AJ139" s="180">
        <f ca="1"/>
        <v>2.5929624598353099E-5</v>
      </c>
      <c r="AK139" s="180">
        <f ca="1"/>
        <v>1.49944938950819E-5</v>
      </c>
      <c r="AL139" s="180">
        <f ca="1"/>
        <v>6.7948385373051105E-5</v>
      </c>
      <c r="AM139" s="180">
        <f ca="1"/>
        <v>-6.3676402854984096E-6</v>
      </c>
      <c r="AN139" s="180">
        <f ca="1"/>
        <v>3.8519231047751102E-4</v>
      </c>
      <c r="AO139" s="180">
        <f ca="1"/>
        <v>-8.74148041693945E-4</v>
      </c>
      <c r="AP139" s="180">
        <f ca="1"/>
        <v>-1.39550427492874E-3</v>
      </c>
      <c r="AQ139" t="str">
        <f ca="1"/>
        <v/>
      </c>
    </row>
    <row r="140" spans="2:43" x14ac:dyDescent="0.25">
      <c r="B140" s="179">
        <f ca="1"/>
        <v>54318</v>
      </c>
      <c r="C140" s="180">
        <f ca="1"/>
        <v>-6.8330375058156502E-7</v>
      </c>
      <c r="D140" s="180">
        <f ca="1"/>
        <v>5.2059578870000697E-11</v>
      </c>
      <c r="E140" s="180">
        <f ca="1"/>
        <v>-2.08287720404599E-10</v>
      </c>
      <c r="F140" s="180">
        <f ca="1"/>
        <v>5.4751370104355601E-10</v>
      </c>
      <c r="G140" s="180">
        <f ca="1"/>
        <v>-7.0474615032622999E-10</v>
      </c>
      <c r="H140" s="180">
        <f ca="1"/>
        <v>1.5947989595588301E-9</v>
      </c>
      <c r="I140" s="180">
        <f ca="1"/>
        <v>-1.4123879510386E-8</v>
      </c>
      <c r="J140" s="180">
        <f ca="1"/>
        <v>1.9491926961379099E-8</v>
      </c>
      <c r="K140" s="180">
        <f ca="1"/>
        <v>-7.50485777967214E-8</v>
      </c>
      <c r="L140" s="180">
        <f ca="1"/>
        <v>4.0286124525224002E-7</v>
      </c>
      <c r="M140" s="180">
        <f ca="1"/>
        <v>-2.65013559208604E-7</v>
      </c>
      <c r="N140" s="180">
        <f ca="1"/>
        <v>1.5132339825640899E-13</v>
      </c>
      <c r="O140" s="180">
        <f ca="1"/>
        <v>1.5132339825640899E-13</v>
      </c>
      <c r="P140" s="180">
        <f ca="1"/>
        <v>1.5132339825640899E-13</v>
      </c>
      <c r="Q140" s="180">
        <f ca="1"/>
        <v>1.5132339825640899E-13</v>
      </c>
      <c r="R140" s="180">
        <f ca="1"/>
        <v>1.5132339825640899E-13</v>
      </c>
      <c r="S140" s="180">
        <f ca="1"/>
        <v>-9.840039657538209E-7</v>
      </c>
      <c r="T140" s="180">
        <f ca="1"/>
        <v>-2.6692823452689802E-6</v>
      </c>
      <c r="U140" s="180">
        <f ca="1"/>
        <v>-2.5435898624026599E-6</v>
      </c>
      <c r="V140" s="180">
        <f ca="1"/>
        <v>-5.26712075543667E-6</v>
      </c>
      <c r="W140" s="180">
        <f ca="1"/>
        <v>-5.27791229643082E-6</v>
      </c>
      <c r="X140" s="180">
        <f ca="1"/>
        <v>-2.5820206514093298E-5</v>
      </c>
      <c r="Y140" s="180">
        <f ca="1"/>
        <v>-1.7298537520416001E-5</v>
      </c>
      <c r="Z140" s="180">
        <f ca="1"/>
        <v>-6.2728606109230297E-5</v>
      </c>
      <c r="AA140" s="180">
        <f ca="1"/>
        <v>-5.7902259722464297E-6</v>
      </c>
      <c r="AB140" s="180">
        <f ca="1"/>
        <v>-3.5300043306874001E-4</v>
      </c>
      <c r="AC140" s="180">
        <f ca="1"/>
        <v>7.2080725289058701E-4</v>
      </c>
      <c r="AD140" s="180">
        <f ca="1"/>
        <v>1.56154088404581E-3</v>
      </c>
      <c r="AE140" s="180">
        <f ca="1"/>
        <v>9.6593181519999405E-7</v>
      </c>
      <c r="AF140" s="180">
        <f ca="1"/>
        <v>2.6245364286303598E-6</v>
      </c>
      <c r="AG140" s="180">
        <f ca="1"/>
        <v>2.50236510623836E-6</v>
      </c>
      <c r="AH140" s="180">
        <f ca="1"/>
        <v>5.1822330300321803E-6</v>
      </c>
      <c r="AI140" s="180">
        <f ca="1"/>
        <v>5.1863812235986001E-6</v>
      </c>
      <c r="AJ140" s="180">
        <f ca="1"/>
        <v>2.54006417118591E-5</v>
      </c>
      <c r="AK140" s="180">
        <f ca="1"/>
        <v>1.6999805680817398E-5</v>
      </c>
      <c r="AL140" s="180">
        <f ca="1"/>
        <v>6.1722684238541006E-5</v>
      </c>
      <c r="AM140" s="180">
        <f ca="1"/>
        <v>5.5664047368120302E-6</v>
      </c>
      <c r="AN140" s="180">
        <f ca="1"/>
        <v>3.4771771205199798E-4</v>
      </c>
      <c r="AO140" s="180">
        <f ca="1"/>
        <v>-7.1019638155323005E-4</v>
      </c>
      <c r="AP140" s="180">
        <f ca="1"/>
        <v>-1.5371067891824001E-3</v>
      </c>
      <c r="AQ140" t="str">
        <f ca="1"/>
        <v/>
      </c>
    </row>
    <row r="141" spans="2:43" x14ac:dyDescent="0.25">
      <c r="B141" s="179">
        <f ca="1"/>
        <v>54409</v>
      </c>
      <c r="C141" s="180">
        <f ca="1"/>
        <v>-6.8044347301121601E-7</v>
      </c>
      <c r="D141" s="180">
        <f ca="1"/>
        <v>5.2789439486389301E-11</v>
      </c>
      <c r="E141" s="180">
        <f ca="1"/>
        <v>-2.1102730674016401E-10</v>
      </c>
      <c r="F141" s="180">
        <f ca="1"/>
        <v>5.5477766824907297E-10</v>
      </c>
      <c r="G141" s="180">
        <f ca="1"/>
        <v>-7.1408567947628399E-10</v>
      </c>
      <c r="H141" s="180">
        <f ca="1"/>
        <v>1.61595226089162E-9</v>
      </c>
      <c r="I141" s="180">
        <f ca="1"/>
        <v>-1.41578280210553E-8</v>
      </c>
      <c r="J141" s="180">
        <f ca="1"/>
        <v>1.97501640597508E-8</v>
      </c>
      <c r="K141" s="180">
        <f ca="1"/>
        <v>-7.6042661278918899E-8</v>
      </c>
      <c r="L141" s="180">
        <f ca="1"/>
        <v>4.03112991653742E-7</v>
      </c>
      <c r="M141" s="180">
        <f ca="1"/>
        <v>-2.6806233965892498E-7</v>
      </c>
      <c r="N141" s="180">
        <f ca="1"/>
        <v>1.7053025658242399E-13</v>
      </c>
      <c r="O141" s="180">
        <f ca="1"/>
        <v>1.7053025658242399E-13</v>
      </c>
      <c r="P141" s="180">
        <f ca="1"/>
        <v>1.7053025658242399E-13</v>
      </c>
      <c r="Q141" s="180">
        <f ca="1"/>
        <v>1.7053025658242399E-13</v>
      </c>
      <c r="R141" s="180">
        <f ca="1"/>
        <v>1.7053025658242399E-13</v>
      </c>
      <c r="S141" s="180">
        <f ca="1"/>
        <v>-9.8520540359192708E-7</v>
      </c>
      <c r="T141" s="180">
        <f ca="1"/>
        <v>-2.6483769821616902E-6</v>
      </c>
      <c r="U141" s="180">
        <f ca="1"/>
        <v>-2.5664540658221201E-6</v>
      </c>
      <c r="V141" s="180">
        <f ca="1"/>
        <v>-5.1172890020989604E-6</v>
      </c>
      <c r="W141" s="180">
        <f ca="1"/>
        <v>-5.5088956834037404E-6</v>
      </c>
      <c r="X141" s="180">
        <f ca="1"/>
        <v>-2.5240102199175499E-5</v>
      </c>
      <c r="Y141" s="180">
        <f ca="1"/>
        <v>-1.95427479620092E-5</v>
      </c>
      <c r="Z141" s="180">
        <f ca="1"/>
        <v>-5.5810908700770801E-5</v>
      </c>
      <c r="AA141" s="180">
        <f ca="1"/>
        <v>-1.9100738856914199E-5</v>
      </c>
      <c r="AB141" s="180">
        <f ca="1"/>
        <v>-3.1140661356499099E-4</v>
      </c>
      <c r="AC141" s="180">
        <f ca="1"/>
        <v>5.4924586156768196E-4</v>
      </c>
      <c r="AD141" s="180">
        <f ca="1"/>
        <v>1.7076275573216801E-3</v>
      </c>
      <c r="AE141" s="180">
        <f ca="1"/>
        <v>9.6711265562543502E-7</v>
      </c>
      <c r="AF141" s="180">
        <f ca="1"/>
        <v>2.6039802037969299E-6</v>
      </c>
      <c r="AG141" s="180">
        <f ca="1"/>
        <v>2.5248643357178601E-6</v>
      </c>
      <c r="AH141" s="180">
        <f ca="1"/>
        <v>5.0347676073814202E-6</v>
      </c>
      <c r="AI141" s="180">
        <f ca="1"/>
        <v>5.4136876871391204E-6</v>
      </c>
      <c r="AJ141" s="180">
        <f ca="1"/>
        <v>2.4829675802084899E-5</v>
      </c>
      <c r="AK141" s="180">
        <f ca="1"/>
        <v>1.9209087240623602E-5</v>
      </c>
      <c r="AL141" s="180">
        <f ca="1"/>
        <v>5.49091062582718E-5</v>
      </c>
      <c r="AM141" s="180">
        <f ca="1"/>
        <v>1.86767520397035E-5</v>
      </c>
      <c r="AN141" s="180">
        <f ca="1"/>
        <v>3.0669707813202302E-4</v>
      </c>
      <c r="AO141" s="180">
        <f ca="1"/>
        <v>-5.4141766024418103E-4</v>
      </c>
      <c r="AP141" s="180">
        <f ca="1"/>
        <v>-1.6804924527086299E-3</v>
      </c>
      <c r="AQ141" t="str">
        <f ca="1"/>
        <v/>
      </c>
    </row>
    <row r="142" spans="2:43" x14ac:dyDescent="0.25">
      <c r="B142" s="179">
        <f ca="1"/>
        <v>54499</v>
      </c>
      <c r="C142" s="180">
        <f ca="1"/>
        <v>-6.7762776467805697E-7</v>
      </c>
      <c r="D142" s="180">
        <f ca="1"/>
        <v>5.3581472592156797E-11</v>
      </c>
      <c r="E142" s="180">
        <f ca="1"/>
        <v>-2.1401114214114601E-10</v>
      </c>
      <c r="F142" s="180">
        <f ca="1"/>
        <v>5.6268778525492301E-10</v>
      </c>
      <c r="G142" s="180">
        <f ca="1"/>
        <v>-7.2425587749336304E-10</v>
      </c>
      <c r="H142" s="180">
        <f ca="1"/>
        <v>1.638985502872E-9</v>
      </c>
      <c r="I142" s="180">
        <f ca="1"/>
        <v>-1.4197796271986401E-8</v>
      </c>
      <c r="J142" s="180">
        <f ca="1"/>
        <v>2.00313672316099E-8</v>
      </c>
      <c r="K142" s="180">
        <f ca="1"/>
        <v>-7.7125156705548595E-8</v>
      </c>
      <c r="L142" s="180">
        <f ca="1"/>
        <v>4.03488479294722E-7</v>
      </c>
      <c r="M142" s="180">
        <f ca="1"/>
        <v>-2.7139131775211201E-7</v>
      </c>
      <c r="N142" s="180">
        <f ca="1"/>
        <v>1.9029222642075201E-13</v>
      </c>
      <c r="O142" s="180">
        <f ca="1"/>
        <v>1.9029222642075201E-13</v>
      </c>
      <c r="P142" s="180">
        <f ca="1"/>
        <v>1.9029222642075201E-13</v>
      </c>
      <c r="Q142" s="180">
        <f ca="1"/>
        <v>1.9029222642075201E-13</v>
      </c>
      <c r="R142" s="180">
        <f ca="1"/>
        <v>1.9029222642075201E-13</v>
      </c>
      <c r="S142" s="180">
        <f ca="1"/>
        <v>-9.867496723048319E-7</v>
      </c>
      <c r="T142" s="180">
        <f ca="1"/>
        <v>-2.6267352023490201E-6</v>
      </c>
      <c r="U142" s="180">
        <f ca="1"/>
        <v>-2.5915764984007999E-6</v>
      </c>
      <c r="V142" s="180">
        <f ca="1"/>
        <v>-4.9584582418882297E-6</v>
      </c>
      <c r="W142" s="180">
        <f ca="1"/>
        <v>-5.7573233106511498E-6</v>
      </c>
      <c r="X142" s="180">
        <f ca="1"/>
        <v>-2.46265957805081E-5</v>
      </c>
      <c r="Y142" s="180">
        <f ca="1"/>
        <v>-2.1947370951402901E-5</v>
      </c>
      <c r="Z142" s="180">
        <f ca="1"/>
        <v>-4.8429527704119097E-5</v>
      </c>
      <c r="AA142" s="180">
        <f ca="1"/>
        <v>-3.33366388518552E-5</v>
      </c>
      <c r="AB142" s="180">
        <f ca="1"/>
        <v>-2.6701590699107502E-4</v>
      </c>
      <c r="AC142" s="180">
        <f ca="1"/>
        <v>3.7405219366537501E-4</v>
      </c>
      <c r="AD142" s="180">
        <f ca="1"/>
        <v>1.85505528202068E-3</v>
      </c>
      <c r="AE142" s="180">
        <f ca="1"/>
        <v>9.6863012943870807E-7</v>
      </c>
      <c r="AF142" s="180">
        <f ca="1"/>
        <v>2.5826998170108699E-6</v>
      </c>
      <c r="AG142" s="180">
        <f ca="1"/>
        <v>2.54958559009477E-6</v>
      </c>
      <c r="AH142" s="180">
        <f ca="1"/>
        <v>4.8784449092620397E-6</v>
      </c>
      <c r="AI142" s="180">
        <f ca="1"/>
        <v>5.6581589278348298E-6</v>
      </c>
      <c r="AJ142" s="180">
        <f ca="1"/>
        <v>2.4225831280366699E-5</v>
      </c>
      <c r="AK142" s="180">
        <f ca="1"/>
        <v>2.1576295994307801E-5</v>
      </c>
      <c r="AL142" s="180">
        <f ca="1"/>
        <v>4.76389655166276E-5</v>
      </c>
      <c r="AM142" s="180">
        <f ca="1"/>
        <v>3.2699170628980298E-5</v>
      </c>
      <c r="AN142" s="180">
        <f ca="1"/>
        <v>2.62923752800237E-4</v>
      </c>
      <c r="AO142" s="180">
        <f ca="1"/>
        <v>-3.6897098162447201E-4</v>
      </c>
      <c r="AP142" s="180">
        <f ca="1"/>
        <v>-1.8251193364347E-3</v>
      </c>
      <c r="AQ142" t="str">
        <f ca="1"/>
        <v/>
      </c>
    </row>
    <row r="143" spans="2:43" x14ac:dyDescent="0.25">
      <c r="B143" s="179">
        <f ca="1"/>
        <v>54591</v>
      </c>
      <c r="C143" s="180">
        <f ca="1"/>
        <v>-6.7476264742349901E-7</v>
      </c>
      <c r="D143" s="180">
        <f ca="1"/>
        <v>5.4446336328339801E-11</v>
      </c>
      <c r="E143" s="180">
        <f ca="1"/>
        <v>-2.1727764032419799E-10</v>
      </c>
      <c r="F143" s="180">
        <f ca="1"/>
        <v>5.7134530440094998E-10</v>
      </c>
      <c r="G143" s="180">
        <f ca="1"/>
        <v>-7.3538675149365004E-10</v>
      </c>
      <c r="H143" s="180">
        <f ca="1"/>
        <v>1.66419367175763E-9</v>
      </c>
      <c r="I143" s="180">
        <f ca="1"/>
        <v>-1.4243430435101301E-8</v>
      </c>
      <c r="J143" s="180">
        <f ca="1"/>
        <v>2.0339135820002201E-8</v>
      </c>
      <c r="K143" s="180">
        <f ca="1"/>
        <v>-7.8309917883601101E-8</v>
      </c>
      <c r="L143" s="180">
        <f ca="1"/>
        <v>4.0396342237958299E-7</v>
      </c>
      <c r="M143" s="180">
        <f ca="1"/>
        <v>-2.7504048960569302E-7</v>
      </c>
      <c r="N143" s="180">
        <f ca="1"/>
        <v>2.1072033007385499E-13</v>
      </c>
      <c r="O143" s="180">
        <f ca="1"/>
        <v>2.1072033007385499E-13</v>
      </c>
      <c r="P143" s="180">
        <f ca="1"/>
        <v>2.1072033007385499E-13</v>
      </c>
      <c r="Q143" s="180">
        <f ca="1"/>
        <v>2.1072033007385499E-13</v>
      </c>
      <c r="R143" s="180">
        <f ca="1"/>
        <v>2.1072033007385499E-13</v>
      </c>
      <c r="S143" s="180">
        <f ca="1"/>
        <v>-9.8858881147911901E-7</v>
      </c>
      <c r="T143" s="180">
        <f ca="1"/>
        <v>-2.6037578361171001E-6</v>
      </c>
      <c r="U143" s="180">
        <f ca="1"/>
        <v>-2.6192148923076501E-6</v>
      </c>
      <c r="V143" s="180">
        <f ca="1"/>
        <v>-4.7873497045491897E-6</v>
      </c>
      <c r="W143" s="180">
        <f ca="1"/>
        <v>-6.0272730718624601E-6</v>
      </c>
      <c r="X143" s="180">
        <f ca="1"/>
        <v>-2.3966598479585599E-5</v>
      </c>
      <c r="Y143" s="180">
        <f ca="1"/>
        <v>-2.45545031728467E-5</v>
      </c>
      <c r="Z143" s="180">
        <f ca="1"/>
        <v>-4.0446220698209198E-5</v>
      </c>
      <c r="AA143" s="180">
        <f ca="1"/>
        <v>-4.87545819690682E-5</v>
      </c>
      <c r="AB143" s="180">
        <f ca="1"/>
        <v>-2.18998226611866E-4</v>
      </c>
      <c r="AC143" s="180">
        <f ca="1"/>
        <v>1.9030841598011199E-4</v>
      </c>
      <c r="AD143" s="180">
        <f ca="1"/>
        <v>2.0083309200250601E-3</v>
      </c>
      <c r="AE143" s="180">
        <f ca="1"/>
        <v>9.7043718549905101E-7</v>
      </c>
      <c r="AF143" s="180">
        <f ca="1"/>
        <v>2.5601061172109098E-6</v>
      </c>
      <c r="AG143" s="180">
        <f ca="1"/>
        <v>2.5767825324596299E-6</v>
      </c>
      <c r="AH143" s="180">
        <f ca="1"/>
        <v>4.7100380861086998E-6</v>
      </c>
      <c r="AI143" s="180">
        <f ca="1"/>
        <v>5.9238085293733499E-6</v>
      </c>
      <c r="AJ143" s="180">
        <f ca="1"/>
        <v>2.35762266914685E-5</v>
      </c>
      <c r="AK143" s="180">
        <f ca="1"/>
        <v>2.41428805071164E-5</v>
      </c>
      <c r="AL143" s="180">
        <f ca="1"/>
        <v>3.97761463651891E-5</v>
      </c>
      <c r="AM143" s="180">
        <f ca="1"/>
        <v>4.7886632032923003E-5</v>
      </c>
      <c r="AN143" s="180">
        <f ca="1"/>
        <v>2.15580631350742E-4</v>
      </c>
      <c r="AO143" s="180">
        <f ca="1"/>
        <v>-1.8800416239383999E-4</v>
      </c>
      <c r="AP143" s="180">
        <f ca="1"/>
        <v>-1.97540232710158E-3</v>
      </c>
      <c r="AQ143" t="str">
        <f ca="1"/>
        <v/>
      </c>
    </row>
    <row r="144" spans="2:43" x14ac:dyDescent="0.25">
      <c r="B144" s="179">
        <f ca="1"/>
        <v>54683</v>
      </c>
      <c r="C144" s="180">
        <f ca="1"/>
        <v>-6.7191048536141604E-7</v>
      </c>
      <c r="D144" s="180">
        <f ca="1"/>
        <v>5.5349502758872398E-11</v>
      </c>
      <c r="E144" s="180">
        <f ca="1"/>
        <v>-2.2069435168248201E-10</v>
      </c>
      <c r="F144" s="180">
        <f ca="1"/>
        <v>5.8039983930058301E-10</v>
      </c>
      <c r="G144" s="180">
        <f ca="1"/>
        <v>-7.4702866115217096E-10</v>
      </c>
      <c r="H144" s="180">
        <f ca="1"/>
        <v>1.6905574717895901E-9</v>
      </c>
      <c r="I144" s="180">
        <f ca="1"/>
        <v>-1.4292039884899999E-8</v>
      </c>
      <c r="J144" s="180">
        <f ca="1"/>
        <v>2.0661025113000201E-8</v>
      </c>
      <c r="K144" s="180">
        <f ca="1"/>
        <v>-7.9549039022630605E-8</v>
      </c>
      <c r="L144" s="180">
        <f ca="1"/>
        <v>4.0449020988209101E-7</v>
      </c>
      <c r="M144" s="180">
        <f ca="1"/>
        <v>-2.7885975062424998E-7</v>
      </c>
      <c r="N144" s="180">
        <f ca="1"/>
        <v>2.3159252293680801E-13</v>
      </c>
      <c r="O144" s="180">
        <f ca="1"/>
        <v>2.3159252293680801E-13</v>
      </c>
      <c r="P144" s="180">
        <f ca="1"/>
        <v>2.3159252293680801E-13</v>
      </c>
      <c r="Q144" s="180">
        <f ca="1"/>
        <v>2.3159252293680801E-13</v>
      </c>
      <c r="R144" s="180">
        <f ca="1"/>
        <v>2.3159252293680801E-13</v>
      </c>
      <c r="S144" s="180">
        <f ca="1"/>
        <v>-9.9058232605475596E-7</v>
      </c>
      <c r="T144" s="180">
        <f ca="1"/>
        <v>-2.5800593990155099E-6</v>
      </c>
      <c r="U144" s="180">
        <f ca="1"/>
        <v>-2.6481894628283E-6</v>
      </c>
      <c r="V144" s="180">
        <f ca="1"/>
        <v>-4.60966516535599E-6</v>
      </c>
      <c r="W144" s="180">
        <f ca="1"/>
        <v>-6.3087076611623203E-6</v>
      </c>
      <c r="X144" s="180">
        <f ca="1"/>
        <v>-2.3281682440257099E-5</v>
      </c>
      <c r="Y144" s="180">
        <f ca="1"/>
        <v>-2.7269787453709799E-5</v>
      </c>
      <c r="Z144" s="180">
        <f ca="1"/>
        <v>-3.2141030668175799E-5</v>
      </c>
      <c r="AA144" s="180">
        <f ca="1"/>
        <v>-6.4803893023768197E-5</v>
      </c>
      <c r="AB144" s="180">
        <f ca="1"/>
        <v>-1.6903926474765E-4</v>
      </c>
      <c r="AC144" s="180">
        <f ca="1"/>
        <v>2.9039747455605899E-6</v>
      </c>
      <c r="AD144" s="180">
        <f ca="1"/>
        <v>2.1637340809705901E-3</v>
      </c>
      <c r="AE144" s="180">
        <f ca="1"/>
        <v>9.7239584895270091E-7</v>
      </c>
      <c r="AF144" s="180">
        <f ca="1"/>
        <v>2.5368033716999199E-6</v>
      </c>
      <c r="AG144" s="180">
        <f ca="1"/>
        <v>2.6052942668774999E-6</v>
      </c>
      <c r="AH144" s="180">
        <f ca="1"/>
        <v>4.5351590287623401E-6</v>
      </c>
      <c r="AI144" s="180">
        <f ca="1"/>
        <v>6.2007596949298403E-6</v>
      </c>
      <c r="AJ144" s="180">
        <f ca="1"/>
        <v>2.29020956640236E-5</v>
      </c>
      <c r="AK144" s="180">
        <f ca="1"/>
        <v>2.6815957647530201E-5</v>
      </c>
      <c r="AL144" s="180">
        <f ca="1"/>
        <v>3.1596506177789002E-5</v>
      </c>
      <c r="AM144" s="180">
        <f ca="1"/>
        <v>6.3696847446892399E-5</v>
      </c>
      <c r="AN144" s="180">
        <f ca="1"/>
        <v>1.6633107403696301E-4</v>
      </c>
      <c r="AO144" s="180">
        <f ca="1"/>
        <v>-3.3207746611418898E-6</v>
      </c>
      <c r="AP144" s="180">
        <f ca="1"/>
        <v>-2.1276864487288498E-3</v>
      </c>
      <c r="AQ144" t="str">
        <f ca="1"/>
        <v/>
      </c>
    </row>
    <row r="145" spans="2:43" x14ac:dyDescent="0.25">
      <c r="B145" s="179">
        <f ca="1"/>
        <v>54774</v>
      </c>
      <c r="C145" s="180">
        <f ca="1"/>
        <v>-6.6910171714340497E-7</v>
      </c>
      <c r="D145" s="180">
        <f ca="1"/>
        <v>5.6263216308138902E-11</v>
      </c>
      <c r="E145" s="180">
        <f ca="1"/>
        <v>-2.2415314049339899E-10</v>
      </c>
      <c r="F145" s="180">
        <f ca="1"/>
        <v>5.8956528548037599E-10</v>
      </c>
      <c r="G145" s="180">
        <f ca="1"/>
        <v>-7.5881301242475295E-10</v>
      </c>
      <c r="H145" s="180">
        <f ca="1"/>
        <v>1.7172437916102E-9</v>
      </c>
      <c r="I145" s="180">
        <f ca="1"/>
        <v>-1.4341182130728201E-8</v>
      </c>
      <c r="J145" s="180">
        <f ca="1"/>
        <v>2.0986853366267202E-8</v>
      </c>
      <c r="K145" s="180">
        <f ca="1"/>
        <v>-8.0803322588529598E-8</v>
      </c>
      <c r="L145" s="180">
        <f ca="1"/>
        <v>4.0502177356405198E-7</v>
      </c>
      <c r="M145" s="180">
        <f ca="1"/>
        <v>-2.8272556062969301E-7</v>
      </c>
      <c r="N145" s="180">
        <f ca="1"/>
        <v>2.52464715799761E-13</v>
      </c>
      <c r="O145" s="180">
        <f ca="1"/>
        <v>2.52464715799761E-13</v>
      </c>
      <c r="P145" s="180">
        <f ca="1"/>
        <v>2.52464715799761E-13</v>
      </c>
      <c r="Q145" s="180">
        <f ca="1"/>
        <v>2.52464715799761E-13</v>
      </c>
      <c r="R145" s="180">
        <f ca="1"/>
        <v>2.52464715799761E-13</v>
      </c>
      <c r="S145" s="180">
        <f ca="1"/>
        <v>-9.9259637420523503E-7</v>
      </c>
      <c r="T145" s="180">
        <f ca="1"/>
        <v>-2.5560527950885301E-6</v>
      </c>
      <c r="U145" s="180">
        <f ca="1"/>
        <v>-2.6775170224313502E-6</v>
      </c>
      <c r="V145" s="180">
        <f ca="1"/>
        <v>-4.4297228417589096E-6</v>
      </c>
      <c r="W145" s="180">
        <f ca="1"/>
        <v>-6.5936638987684802E-6</v>
      </c>
      <c r="X145" s="180">
        <f ca="1"/>
        <v>-2.2588039449322699E-5</v>
      </c>
      <c r="Y145" s="180">
        <f ca="1"/>
        <v>-3.0019169029227299E-5</v>
      </c>
      <c r="Z145" s="180">
        <f ca="1"/>
        <v>-2.3730924634701698E-5</v>
      </c>
      <c r="AA145" s="180">
        <f ca="1"/>
        <v>-8.1054768866772902E-5</v>
      </c>
      <c r="AB145" s="180">
        <f ca="1"/>
        <v>-1.18445873578565E-4</v>
      </c>
      <c r="AC145" s="180">
        <f ca="1"/>
        <v>-1.85013249544563E-4</v>
      </c>
      <c r="AD145" s="180">
        <f ca="1"/>
        <v>2.3190658415308501E-3</v>
      </c>
      <c r="AE145" s="180">
        <f ca="1"/>
        <v>9.7437469070982296E-7</v>
      </c>
      <c r="AF145" s="180">
        <f ca="1"/>
        <v>2.5131976051362402E-6</v>
      </c>
      <c r="AG145" s="180">
        <f ca="1"/>
        <v>2.6341533595486402E-6</v>
      </c>
      <c r="AH145" s="180">
        <f ca="1"/>
        <v>4.35805792253774E-6</v>
      </c>
      <c r="AI145" s="180">
        <f ca="1"/>
        <v>6.4811767416239602E-6</v>
      </c>
      <c r="AJ145" s="180">
        <f ca="1"/>
        <v>2.2219376188847799E-5</v>
      </c>
      <c r="AK145" s="180">
        <f ca="1"/>
        <v>2.95226284190431E-5</v>
      </c>
      <c r="AL145" s="180">
        <f ca="1"/>
        <v>2.33137561403973E-5</v>
      </c>
      <c r="AM145" s="180">
        <f ca="1"/>
        <v>7.9706502955634306E-5</v>
      </c>
      <c r="AN145" s="180">
        <f ca="1"/>
        <v>1.1646410007404299E-4</v>
      </c>
      <c r="AO145" s="180">
        <f ca="1"/>
        <v>1.8198220163367901E-4</v>
      </c>
      <c r="AP145" s="180">
        <f ca="1"/>
        <v>-2.27981431800883E-3</v>
      </c>
      <c r="AQ145" t="str">
        <f ca="1"/>
        <v/>
      </c>
    </row>
    <row r="146" spans="2:43" x14ac:dyDescent="0.25">
      <c r="B146" s="179" t="str">
        <f ca="1"/>
        <v/>
      </c>
      <c r="C146" s="180" t="str">
        <f ca="1"/>
        <v/>
      </c>
      <c r="D146" s="180" t="str">
        <f ca="1"/>
        <v/>
      </c>
      <c r="E146" s="180" t="str">
        <f ca="1"/>
        <v/>
      </c>
      <c r="F146" s="180" t="str">
        <f ca="1"/>
        <v/>
      </c>
      <c r="G146" s="180" t="str">
        <f ca="1"/>
        <v/>
      </c>
      <c r="H146" s="180" t="str">
        <f ca="1"/>
        <v/>
      </c>
      <c r="I146" s="180" t="str">
        <f ca="1"/>
        <v/>
      </c>
      <c r="J146" s="180" t="str">
        <f ca="1"/>
        <v/>
      </c>
      <c r="K146" s="180" t="str">
        <f ca="1"/>
        <v/>
      </c>
      <c r="L146" s="180" t="str">
        <f ca="1"/>
        <v/>
      </c>
      <c r="M146" s="180" t="str">
        <f ca="1"/>
        <v/>
      </c>
      <c r="N146" s="180" t="str">
        <f ca="1"/>
        <v/>
      </c>
      <c r="O146" s="180" t="str">
        <f ca="1"/>
        <v/>
      </c>
      <c r="P146" s="180" t="str">
        <f ca="1"/>
        <v/>
      </c>
      <c r="Q146" s="180" t="str">
        <f ca="1"/>
        <v/>
      </c>
      <c r="R146" s="180" t="str">
        <f ca="1"/>
        <v/>
      </c>
      <c r="S146" s="180" t="str">
        <f ca="1"/>
        <v/>
      </c>
      <c r="T146" s="180" t="str">
        <f ca="1"/>
        <v/>
      </c>
      <c r="U146" s="180" t="str">
        <f ca="1"/>
        <v/>
      </c>
      <c r="V146" s="180" t="str">
        <f ca="1"/>
        <v/>
      </c>
      <c r="W146" s="180" t="str">
        <f ca="1"/>
        <v/>
      </c>
      <c r="X146" s="180" t="str">
        <f ca="1"/>
        <v/>
      </c>
      <c r="Y146" s="180" t="str">
        <f ca="1"/>
        <v/>
      </c>
      <c r="Z146" s="180" t="str">
        <f ca="1"/>
        <v/>
      </c>
      <c r="AA146" s="180" t="str">
        <f ca="1"/>
        <v/>
      </c>
      <c r="AB146" s="180" t="str">
        <f ca="1"/>
        <v/>
      </c>
      <c r="AC146" s="180" t="str">
        <f ca="1"/>
        <v/>
      </c>
      <c r="AD146" s="180" t="str">
        <f ca="1"/>
        <v/>
      </c>
      <c r="AE146" s="180" t="str">
        <f ca="1"/>
        <v/>
      </c>
      <c r="AF146" s="180" t="str">
        <f ca="1"/>
        <v/>
      </c>
      <c r="AG146" s="180" t="str">
        <f ca="1"/>
        <v/>
      </c>
      <c r="AH146" s="180" t="str">
        <f ca="1"/>
        <v/>
      </c>
      <c r="AI146" s="180" t="str">
        <f ca="1"/>
        <v/>
      </c>
      <c r="AJ146" s="180" t="str">
        <f ca="1"/>
        <v/>
      </c>
      <c r="AK146" s="180" t="str">
        <f ca="1"/>
        <v/>
      </c>
      <c r="AL146" s="180" t="str">
        <f ca="1"/>
        <v/>
      </c>
      <c r="AM146" s="180" t="str">
        <f ca="1"/>
        <v/>
      </c>
      <c r="AN146" s="180" t="str">
        <f ca="1"/>
        <v/>
      </c>
      <c r="AO146" s="180" t="str">
        <f ca="1"/>
        <v/>
      </c>
      <c r="AP146" s="180" t="str">
        <f ca="1"/>
        <v/>
      </c>
      <c r="AQ146" t="str">
        <f ca="1"/>
        <v/>
      </c>
    </row>
    <row r="147" spans="2:43" x14ac:dyDescent="0.25">
      <c r="B147" s="179" t="str">
        <f ca="1"/>
        <v/>
      </c>
      <c r="C147" s="180" t="str">
        <f ca="1"/>
        <v/>
      </c>
      <c r="D147" s="180" t="str">
        <f ca="1"/>
        <v/>
      </c>
      <c r="E147" s="180" t="str">
        <f ca="1"/>
        <v/>
      </c>
      <c r="F147" s="180" t="str">
        <f ca="1"/>
        <v/>
      </c>
      <c r="G147" s="180" t="str">
        <f ca="1"/>
        <v/>
      </c>
      <c r="H147" s="180" t="str">
        <f ca="1"/>
        <v/>
      </c>
      <c r="I147" s="180" t="str">
        <f ca="1"/>
        <v/>
      </c>
      <c r="J147" s="180" t="str">
        <f ca="1"/>
        <v/>
      </c>
      <c r="K147" s="180" t="str">
        <f ca="1"/>
        <v/>
      </c>
      <c r="L147" s="180" t="str">
        <f ca="1"/>
        <v/>
      </c>
      <c r="M147" s="180" t="str">
        <f ca="1"/>
        <v/>
      </c>
      <c r="N147" s="180" t="str">
        <f ca="1"/>
        <v/>
      </c>
      <c r="O147" s="180" t="str">
        <f ca="1"/>
        <v/>
      </c>
      <c r="P147" s="180" t="str">
        <f ca="1"/>
        <v/>
      </c>
      <c r="Q147" s="180" t="str">
        <f ca="1"/>
        <v/>
      </c>
      <c r="R147" s="180" t="str">
        <f ca="1"/>
        <v/>
      </c>
      <c r="S147" s="180" t="str">
        <f ca="1"/>
        <v/>
      </c>
      <c r="T147" s="180" t="str">
        <f ca="1"/>
        <v/>
      </c>
      <c r="U147" s="180" t="str">
        <f ca="1"/>
        <v/>
      </c>
      <c r="V147" s="180" t="str">
        <f ca="1"/>
        <v/>
      </c>
      <c r="W147" s="180" t="str">
        <f ca="1"/>
        <v/>
      </c>
      <c r="X147" s="180" t="str">
        <f ca="1"/>
        <v/>
      </c>
      <c r="Y147" s="180" t="str">
        <f ca="1"/>
        <v/>
      </c>
      <c r="Z147" s="180" t="str">
        <f ca="1"/>
        <v/>
      </c>
      <c r="AA147" s="180" t="str">
        <f ca="1"/>
        <v/>
      </c>
      <c r="AB147" s="180" t="str">
        <f ca="1"/>
        <v/>
      </c>
      <c r="AC147" s="180" t="str">
        <f ca="1"/>
        <v/>
      </c>
      <c r="AD147" s="180" t="str">
        <f ca="1"/>
        <v/>
      </c>
      <c r="AE147" s="180" t="str">
        <f ca="1"/>
        <v/>
      </c>
      <c r="AF147" s="180" t="str">
        <f ca="1"/>
        <v/>
      </c>
      <c r="AG147" s="180" t="str">
        <f ca="1"/>
        <v/>
      </c>
      <c r="AH147" s="180" t="str">
        <f ca="1"/>
        <v/>
      </c>
      <c r="AI147" s="180" t="str">
        <f ca="1"/>
        <v/>
      </c>
      <c r="AJ147" s="180" t="str">
        <f ca="1"/>
        <v/>
      </c>
      <c r="AK147" s="180" t="str">
        <f ca="1"/>
        <v/>
      </c>
      <c r="AL147" s="180" t="str">
        <f ca="1"/>
        <v/>
      </c>
      <c r="AM147" s="180" t="str">
        <f ca="1"/>
        <v/>
      </c>
      <c r="AN147" s="180" t="str">
        <f ca="1"/>
        <v/>
      </c>
      <c r="AO147" s="180" t="str">
        <f ca="1"/>
        <v/>
      </c>
      <c r="AP147" s="180" t="str">
        <f ca="1"/>
        <v/>
      </c>
      <c r="AQ147" t="str">
        <f ca="1"/>
        <v/>
      </c>
    </row>
    <row r="148" spans="2:43" x14ac:dyDescent="0.25">
      <c r="B148" s="179" t="str">
        <f ca="1"/>
        <v/>
      </c>
      <c r="C148" s="180" t="str">
        <f ca="1"/>
        <v/>
      </c>
      <c r="D148" s="180" t="str">
        <f ca="1"/>
        <v/>
      </c>
      <c r="E148" s="180" t="str">
        <f ca="1"/>
        <v/>
      </c>
      <c r="F148" s="180" t="str">
        <f ca="1"/>
        <v/>
      </c>
      <c r="G148" s="180" t="str">
        <f ca="1"/>
        <v/>
      </c>
      <c r="H148" s="180" t="str">
        <f ca="1"/>
        <v/>
      </c>
      <c r="I148" s="180" t="str">
        <f ca="1"/>
        <v/>
      </c>
      <c r="J148" s="180" t="str">
        <f ca="1"/>
        <v/>
      </c>
      <c r="K148" s="180" t="str">
        <f ca="1"/>
        <v/>
      </c>
      <c r="L148" s="180" t="str">
        <f ca="1"/>
        <v/>
      </c>
      <c r="M148" s="180" t="str">
        <f ca="1"/>
        <v/>
      </c>
      <c r="N148" s="180" t="str">
        <f ca="1"/>
        <v/>
      </c>
      <c r="O148" s="180" t="str">
        <f ca="1"/>
        <v/>
      </c>
      <c r="P148" s="180" t="str">
        <f ca="1"/>
        <v/>
      </c>
      <c r="Q148" s="180" t="str">
        <f ca="1"/>
        <v/>
      </c>
      <c r="R148" s="180" t="str">
        <f ca="1"/>
        <v/>
      </c>
      <c r="S148" s="180" t="str">
        <f ca="1"/>
        <v/>
      </c>
      <c r="T148" s="180" t="str">
        <f ca="1"/>
        <v/>
      </c>
      <c r="U148" s="180" t="str">
        <f ca="1"/>
        <v/>
      </c>
      <c r="V148" s="180" t="str">
        <f ca="1"/>
        <v/>
      </c>
      <c r="W148" s="180" t="str">
        <f ca="1"/>
        <v/>
      </c>
      <c r="X148" s="180" t="str">
        <f ca="1"/>
        <v/>
      </c>
      <c r="Y148" s="180" t="str">
        <f ca="1"/>
        <v/>
      </c>
      <c r="Z148" s="180" t="str">
        <f ca="1"/>
        <v/>
      </c>
      <c r="AA148" s="180" t="str">
        <f ca="1"/>
        <v/>
      </c>
      <c r="AB148" s="180" t="str">
        <f ca="1"/>
        <v/>
      </c>
      <c r="AC148" s="180" t="str">
        <f ca="1"/>
        <v/>
      </c>
      <c r="AD148" s="180" t="str">
        <f ca="1"/>
        <v/>
      </c>
      <c r="AE148" s="180" t="str">
        <f ca="1"/>
        <v/>
      </c>
      <c r="AF148" s="180" t="str">
        <f ca="1"/>
        <v/>
      </c>
      <c r="AG148" s="180" t="str">
        <f ca="1"/>
        <v/>
      </c>
      <c r="AH148" s="180" t="str">
        <f ca="1"/>
        <v/>
      </c>
      <c r="AI148" s="180" t="str">
        <f ca="1"/>
        <v/>
      </c>
      <c r="AJ148" s="180" t="str">
        <f ca="1"/>
        <v/>
      </c>
      <c r="AK148" s="180" t="str">
        <f ca="1"/>
        <v/>
      </c>
      <c r="AL148" s="180" t="str">
        <f ca="1"/>
        <v/>
      </c>
      <c r="AM148" s="180" t="str">
        <f ca="1"/>
        <v/>
      </c>
      <c r="AN148" s="180" t="str">
        <f ca="1"/>
        <v/>
      </c>
      <c r="AO148" s="180" t="str">
        <f ca="1"/>
        <v/>
      </c>
      <c r="AP148" s="180" t="str">
        <f ca="1"/>
        <v/>
      </c>
      <c r="AQ148" t="str">
        <f ca="1"/>
        <v/>
      </c>
    </row>
    <row r="149" spans="2:43" x14ac:dyDescent="0.25">
      <c r="B149" s="179" t="str">
        <f ca="1"/>
        <v/>
      </c>
      <c r="C149" s="180" t="str">
        <f ca="1"/>
        <v/>
      </c>
      <c r="D149" s="180" t="str">
        <f ca="1"/>
        <v/>
      </c>
      <c r="E149" s="180" t="str">
        <f ca="1"/>
        <v/>
      </c>
      <c r="F149" s="180" t="str">
        <f ca="1"/>
        <v/>
      </c>
      <c r="G149" s="180" t="str">
        <f ca="1"/>
        <v/>
      </c>
      <c r="H149" s="180" t="str">
        <f ca="1"/>
        <v/>
      </c>
      <c r="I149" s="180" t="str">
        <f ca="1"/>
        <v/>
      </c>
      <c r="J149" s="180" t="str">
        <f ca="1"/>
        <v/>
      </c>
      <c r="K149" s="180" t="str">
        <f ca="1"/>
        <v/>
      </c>
      <c r="L149" s="180" t="str">
        <f ca="1"/>
        <v/>
      </c>
      <c r="M149" s="180" t="str">
        <f ca="1"/>
        <v/>
      </c>
      <c r="N149" s="180" t="str">
        <f ca="1"/>
        <v/>
      </c>
      <c r="O149" s="180" t="str">
        <f ca="1"/>
        <v/>
      </c>
      <c r="P149" s="180" t="str">
        <f ca="1"/>
        <v/>
      </c>
      <c r="Q149" s="180" t="str">
        <f ca="1"/>
        <v/>
      </c>
      <c r="R149" s="180" t="str">
        <f ca="1"/>
        <v/>
      </c>
      <c r="S149" s="180" t="str">
        <f ca="1"/>
        <v/>
      </c>
      <c r="T149" s="180" t="str">
        <f ca="1"/>
        <v/>
      </c>
      <c r="U149" s="180" t="str">
        <f ca="1"/>
        <v/>
      </c>
      <c r="V149" s="180" t="str">
        <f ca="1"/>
        <v/>
      </c>
      <c r="W149" s="180" t="str">
        <f ca="1"/>
        <v/>
      </c>
      <c r="X149" s="180" t="str">
        <f ca="1"/>
        <v/>
      </c>
      <c r="Y149" s="180" t="str">
        <f ca="1"/>
        <v/>
      </c>
      <c r="Z149" s="180" t="str">
        <f ca="1"/>
        <v/>
      </c>
      <c r="AA149" s="180" t="str">
        <f ca="1"/>
        <v/>
      </c>
      <c r="AB149" s="180" t="str">
        <f ca="1"/>
        <v/>
      </c>
      <c r="AC149" s="180" t="str">
        <f ca="1"/>
        <v/>
      </c>
      <c r="AD149" s="180" t="str">
        <f ca="1"/>
        <v/>
      </c>
      <c r="AE149" s="180" t="str">
        <f ca="1"/>
        <v/>
      </c>
      <c r="AF149" s="180" t="str">
        <f ca="1"/>
        <v/>
      </c>
      <c r="AG149" s="180" t="str">
        <f ca="1"/>
        <v/>
      </c>
      <c r="AH149" s="180" t="str">
        <f ca="1"/>
        <v/>
      </c>
      <c r="AI149" s="180" t="str">
        <f ca="1"/>
        <v/>
      </c>
      <c r="AJ149" s="180" t="str">
        <f ca="1"/>
        <v/>
      </c>
      <c r="AK149" s="180" t="str">
        <f ca="1"/>
        <v/>
      </c>
      <c r="AL149" s="180" t="str">
        <f ca="1"/>
        <v/>
      </c>
      <c r="AM149" s="180" t="str">
        <f ca="1"/>
        <v/>
      </c>
      <c r="AN149" s="180" t="str">
        <f ca="1"/>
        <v/>
      </c>
      <c r="AO149" s="180" t="str">
        <f ca="1"/>
        <v/>
      </c>
      <c r="AP149" s="180" t="str">
        <f ca="1"/>
        <v/>
      </c>
      <c r="AQ149" t="str">
        <f ca="1"/>
        <v/>
      </c>
    </row>
    <row r="150" spans="2:43" x14ac:dyDescent="0.25">
      <c r="B150" s="179" t="str">
        <f ca="1"/>
        <v/>
      </c>
      <c r="C150" s="180" t="str">
        <f ca="1"/>
        <v/>
      </c>
      <c r="D150" s="180" t="str">
        <f ca="1"/>
        <v/>
      </c>
      <c r="E150" s="180" t="str">
        <f ca="1"/>
        <v/>
      </c>
      <c r="F150" s="180" t="str">
        <f ca="1"/>
        <v/>
      </c>
      <c r="G150" s="180" t="str">
        <f ca="1"/>
        <v/>
      </c>
      <c r="H150" s="180" t="str">
        <f ca="1"/>
        <v/>
      </c>
      <c r="I150" s="180" t="str">
        <f ca="1"/>
        <v/>
      </c>
      <c r="J150" s="180" t="str">
        <f ca="1"/>
        <v/>
      </c>
      <c r="K150" s="180" t="str">
        <f ca="1"/>
        <v/>
      </c>
      <c r="L150" s="180" t="str">
        <f ca="1"/>
        <v/>
      </c>
      <c r="M150" s="180" t="str">
        <f ca="1"/>
        <v/>
      </c>
      <c r="N150" s="180" t="str">
        <f ca="1"/>
        <v/>
      </c>
      <c r="O150" s="180" t="str">
        <f ca="1"/>
        <v/>
      </c>
      <c r="P150" s="180" t="str">
        <f ca="1"/>
        <v/>
      </c>
      <c r="Q150" s="180" t="str">
        <f ca="1"/>
        <v/>
      </c>
      <c r="R150" s="180" t="str">
        <f ca="1"/>
        <v/>
      </c>
      <c r="S150" s="180" t="str">
        <f ca="1"/>
        <v/>
      </c>
      <c r="T150" s="180" t="str">
        <f ca="1"/>
        <v/>
      </c>
      <c r="U150" s="180" t="str">
        <f ca="1"/>
        <v/>
      </c>
      <c r="V150" s="180" t="str">
        <f ca="1"/>
        <v/>
      </c>
      <c r="W150" s="180" t="str">
        <f ca="1"/>
        <v/>
      </c>
      <c r="X150" s="180" t="str">
        <f ca="1"/>
        <v/>
      </c>
      <c r="Y150" s="180" t="str">
        <f ca="1"/>
        <v/>
      </c>
      <c r="Z150" s="180" t="str">
        <f ca="1"/>
        <v/>
      </c>
      <c r="AA150" s="180" t="str">
        <f ca="1"/>
        <v/>
      </c>
      <c r="AB150" s="180" t="str">
        <f ca="1"/>
        <v/>
      </c>
      <c r="AC150" s="180" t="str">
        <f ca="1"/>
        <v/>
      </c>
      <c r="AD150" s="180" t="str">
        <f ca="1"/>
        <v/>
      </c>
      <c r="AE150" s="180" t="str">
        <f ca="1"/>
        <v/>
      </c>
      <c r="AF150" s="180" t="str">
        <f ca="1"/>
        <v/>
      </c>
      <c r="AG150" s="180" t="str">
        <f ca="1"/>
        <v/>
      </c>
      <c r="AH150" s="180" t="str">
        <f ca="1"/>
        <v/>
      </c>
      <c r="AI150" s="180" t="str">
        <f ca="1"/>
        <v/>
      </c>
      <c r="AJ150" s="180" t="str">
        <f ca="1"/>
        <v/>
      </c>
      <c r="AK150" s="180" t="str">
        <f ca="1"/>
        <v/>
      </c>
      <c r="AL150" s="180" t="str">
        <f ca="1"/>
        <v/>
      </c>
      <c r="AM150" s="180" t="str">
        <f ca="1"/>
        <v/>
      </c>
      <c r="AN150" s="180" t="str">
        <f ca="1"/>
        <v/>
      </c>
      <c r="AO150" s="180" t="str">
        <f ca="1"/>
        <v/>
      </c>
      <c r="AP150" s="180" t="str">
        <f ca="1"/>
        <v/>
      </c>
      <c r="AQ150" t="str">
        <f ca="1"/>
        <v/>
      </c>
    </row>
    <row r="151" spans="2:43" x14ac:dyDescent="0.25">
      <c r="B151" s="179" t="str">
        <f ca="1"/>
        <v/>
      </c>
      <c r="C151" s="180" t="str">
        <f ca="1"/>
        <v/>
      </c>
      <c r="D151" s="180" t="str">
        <f ca="1"/>
        <v/>
      </c>
      <c r="E151" s="180" t="str">
        <f ca="1"/>
        <v/>
      </c>
      <c r="F151" s="180" t="str">
        <f ca="1"/>
        <v/>
      </c>
      <c r="G151" s="180" t="str">
        <f ca="1"/>
        <v/>
      </c>
      <c r="H151" s="180" t="str">
        <f ca="1"/>
        <v/>
      </c>
      <c r="I151" s="180" t="str">
        <f ca="1"/>
        <v/>
      </c>
      <c r="J151" s="180" t="str">
        <f ca="1"/>
        <v/>
      </c>
      <c r="K151" s="180" t="str">
        <f ca="1"/>
        <v/>
      </c>
      <c r="L151" s="180" t="str">
        <f ca="1"/>
        <v/>
      </c>
      <c r="M151" s="180" t="str">
        <f ca="1"/>
        <v/>
      </c>
      <c r="N151" s="180" t="str">
        <f ca="1"/>
        <v/>
      </c>
      <c r="O151" s="180" t="str">
        <f ca="1"/>
        <v/>
      </c>
      <c r="P151" s="180" t="str">
        <f ca="1"/>
        <v/>
      </c>
      <c r="Q151" s="180" t="str">
        <f ca="1"/>
        <v/>
      </c>
      <c r="R151" s="180" t="str">
        <f ca="1"/>
        <v/>
      </c>
      <c r="S151" s="180" t="str">
        <f ca="1"/>
        <v/>
      </c>
      <c r="T151" s="180" t="str">
        <f ca="1"/>
        <v/>
      </c>
      <c r="U151" s="180" t="str">
        <f ca="1"/>
        <v/>
      </c>
      <c r="V151" s="180" t="str">
        <f ca="1"/>
        <v/>
      </c>
      <c r="W151" s="180" t="str">
        <f ca="1"/>
        <v/>
      </c>
      <c r="X151" s="180" t="str">
        <f ca="1"/>
        <v/>
      </c>
      <c r="Y151" s="180" t="str">
        <f ca="1"/>
        <v/>
      </c>
      <c r="Z151" s="180" t="str">
        <f ca="1"/>
        <v/>
      </c>
      <c r="AA151" s="180" t="str">
        <f ca="1"/>
        <v/>
      </c>
      <c r="AB151" s="180" t="str">
        <f ca="1"/>
        <v/>
      </c>
      <c r="AC151" s="180" t="str">
        <f ca="1"/>
        <v/>
      </c>
      <c r="AD151" s="180" t="str">
        <f ca="1"/>
        <v/>
      </c>
      <c r="AE151" s="180" t="str">
        <f ca="1"/>
        <v/>
      </c>
      <c r="AF151" s="180" t="str">
        <f ca="1"/>
        <v/>
      </c>
      <c r="AG151" s="180" t="str">
        <f ca="1"/>
        <v/>
      </c>
      <c r="AH151" s="180" t="str">
        <f ca="1"/>
        <v/>
      </c>
      <c r="AI151" s="180" t="str">
        <f ca="1"/>
        <v/>
      </c>
      <c r="AJ151" s="180" t="str">
        <f ca="1"/>
        <v/>
      </c>
      <c r="AK151" s="180" t="str">
        <f ca="1"/>
        <v/>
      </c>
      <c r="AL151" s="180" t="str">
        <f ca="1"/>
        <v/>
      </c>
      <c r="AM151" s="180" t="str">
        <f ca="1"/>
        <v/>
      </c>
      <c r="AN151" s="180" t="str">
        <f ca="1"/>
        <v/>
      </c>
      <c r="AO151" s="180" t="str">
        <f ca="1"/>
        <v/>
      </c>
      <c r="AP151" s="180" t="str">
        <f ca="1"/>
        <v/>
      </c>
      <c r="AQ151" t="str">
        <f ca="1"/>
        <v/>
      </c>
    </row>
    <row r="152" spans="2:43" x14ac:dyDescent="0.25">
      <c r="B152" s="179" t="str">
        <f ca="1"/>
        <v/>
      </c>
      <c r="C152" s="180" t="str">
        <f ca="1"/>
        <v/>
      </c>
      <c r="D152" s="180" t="str">
        <f ca="1"/>
        <v/>
      </c>
      <c r="E152" s="180" t="str">
        <f ca="1"/>
        <v/>
      </c>
      <c r="F152" s="180" t="str">
        <f ca="1"/>
        <v/>
      </c>
      <c r="G152" s="180" t="str">
        <f ca="1"/>
        <v/>
      </c>
      <c r="H152" s="180" t="str">
        <f ca="1"/>
        <v/>
      </c>
      <c r="I152" s="180" t="str">
        <f ca="1"/>
        <v/>
      </c>
      <c r="J152" s="180" t="str">
        <f ca="1"/>
        <v/>
      </c>
      <c r="K152" s="180" t="str">
        <f ca="1"/>
        <v/>
      </c>
      <c r="L152" s="180" t="str">
        <f ca="1"/>
        <v/>
      </c>
      <c r="M152" s="180" t="str">
        <f ca="1"/>
        <v/>
      </c>
      <c r="N152" s="180" t="str">
        <f ca="1"/>
        <v/>
      </c>
      <c r="O152" s="180" t="str">
        <f ca="1"/>
        <v/>
      </c>
      <c r="P152" s="180" t="str">
        <f ca="1"/>
        <v/>
      </c>
      <c r="Q152" s="180" t="str">
        <f ca="1"/>
        <v/>
      </c>
      <c r="R152" s="180" t="str">
        <f ca="1"/>
        <v/>
      </c>
      <c r="S152" s="180" t="str">
        <f ca="1"/>
        <v/>
      </c>
      <c r="T152" s="180" t="str">
        <f ca="1"/>
        <v/>
      </c>
      <c r="U152" s="180" t="str">
        <f ca="1"/>
        <v/>
      </c>
      <c r="V152" s="180" t="str">
        <f ca="1"/>
        <v/>
      </c>
      <c r="W152" s="180" t="str">
        <f ca="1"/>
        <v/>
      </c>
      <c r="X152" s="180" t="str">
        <f ca="1"/>
        <v/>
      </c>
      <c r="Y152" s="180" t="str">
        <f ca="1"/>
        <v/>
      </c>
      <c r="Z152" s="180" t="str">
        <f ca="1"/>
        <v/>
      </c>
      <c r="AA152" s="180" t="str">
        <f ca="1"/>
        <v/>
      </c>
      <c r="AB152" s="180" t="str">
        <f ca="1"/>
        <v/>
      </c>
      <c r="AC152" s="180" t="str">
        <f ca="1"/>
        <v/>
      </c>
      <c r="AD152" s="180" t="str">
        <f ca="1"/>
        <v/>
      </c>
      <c r="AE152" s="180" t="str">
        <f ca="1"/>
        <v/>
      </c>
      <c r="AF152" s="180" t="str">
        <f ca="1"/>
        <v/>
      </c>
      <c r="AG152" s="180" t="str">
        <f ca="1"/>
        <v/>
      </c>
      <c r="AH152" s="180" t="str">
        <f ca="1"/>
        <v/>
      </c>
      <c r="AI152" s="180" t="str">
        <f ca="1"/>
        <v/>
      </c>
      <c r="AJ152" s="180" t="str">
        <f ca="1"/>
        <v/>
      </c>
      <c r="AK152" s="180" t="str">
        <f ca="1"/>
        <v/>
      </c>
      <c r="AL152" s="180" t="str">
        <f ca="1"/>
        <v/>
      </c>
      <c r="AM152" s="180" t="str">
        <f ca="1"/>
        <v/>
      </c>
      <c r="AN152" s="180" t="str">
        <f ca="1"/>
        <v/>
      </c>
      <c r="AO152" s="180" t="str">
        <f ca="1"/>
        <v/>
      </c>
      <c r="AP152" s="180" t="str">
        <f ca="1"/>
        <v/>
      </c>
      <c r="AQ152" t="str">
        <f ca="1"/>
        <v/>
      </c>
    </row>
    <row r="153" spans="2:43" x14ac:dyDescent="0.25">
      <c r="B153" s="179" t="str">
        <f ca="1"/>
        <v/>
      </c>
      <c r="C153" s="180" t="str">
        <f ca="1"/>
        <v/>
      </c>
      <c r="D153" s="180" t="str">
        <f ca="1"/>
        <v/>
      </c>
      <c r="E153" s="180" t="str">
        <f ca="1"/>
        <v/>
      </c>
      <c r="F153" s="180" t="str">
        <f ca="1"/>
        <v/>
      </c>
      <c r="G153" s="180" t="str">
        <f ca="1"/>
        <v/>
      </c>
      <c r="H153" s="180" t="str">
        <f ca="1"/>
        <v/>
      </c>
      <c r="I153" s="180" t="str">
        <f ca="1"/>
        <v/>
      </c>
      <c r="J153" s="180" t="str">
        <f ca="1"/>
        <v/>
      </c>
      <c r="K153" s="180" t="str">
        <f ca="1"/>
        <v/>
      </c>
      <c r="L153" s="180" t="str">
        <f ca="1"/>
        <v/>
      </c>
      <c r="M153" s="180" t="str">
        <f ca="1"/>
        <v/>
      </c>
      <c r="N153" s="180" t="str">
        <f ca="1"/>
        <v/>
      </c>
      <c r="O153" s="180" t="str">
        <f ca="1"/>
        <v/>
      </c>
      <c r="P153" s="180" t="str">
        <f ca="1"/>
        <v/>
      </c>
      <c r="Q153" s="180" t="str">
        <f ca="1"/>
        <v/>
      </c>
      <c r="R153" s="180" t="str">
        <f ca="1"/>
        <v/>
      </c>
      <c r="S153" s="180" t="str">
        <f ca="1"/>
        <v/>
      </c>
      <c r="T153" s="180" t="str">
        <f ca="1"/>
        <v/>
      </c>
      <c r="U153" s="180" t="str">
        <f ca="1"/>
        <v/>
      </c>
      <c r="V153" s="180" t="str">
        <f ca="1"/>
        <v/>
      </c>
      <c r="W153" s="180" t="str">
        <f ca="1"/>
        <v/>
      </c>
      <c r="X153" s="180" t="str">
        <f ca="1"/>
        <v/>
      </c>
      <c r="Y153" s="180" t="str">
        <f ca="1"/>
        <v/>
      </c>
      <c r="Z153" s="180" t="str">
        <f ca="1"/>
        <v/>
      </c>
      <c r="AA153" s="180" t="str">
        <f ca="1"/>
        <v/>
      </c>
      <c r="AB153" s="180" t="str">
        <f ca="1"/>
        <v/>
      </c>
      <c r="AC153" s="180" t="str">
        <f ca="1"/>
        <v/>
      </c>
      <c r="AD153" s="180" t="str">
        <f ca="1"/>
        <v/>
      </c>
      <c r="AE153" s="180" t="str">
        <f ca="1"/>
        <v/>
      </c>
      <c r="AF153" s="180" t="str">
        <f ca="1"/>
        <v/>
      </c>
      <c r="AG153" s="180" t="str">
        <f ca="1"/>
        <v/>
      </c>
      <c r="AH153" s="180" t="str">
        <f ca="1"/>
        <v/>
      </c>
      <c r="AI153" s="180" t="str">
        <f ca="1"/>
        <v/>
      </c>
      <c r="AJ153" s="180" t="str">
        <f ca="1"/>
        <v/>
      </c>
      <c r="AK153" s="180" t="str">
        <f ca="1"/>
        <v/>
      </c>
      <c r="AL153" s="180" t="str">
        <f ca="1"/>
        <v/>
      </c>
      <c r="AM153" s="180" t="str">
        <f ca="1"/>
        <v/>
      </c>
      <c r="AN153" s="180" t="str">
        <f ca="1"/>
        <v/>
      </c>
      <c r="AO153" s="180" t="str">
        <f ca="1"/>
        <v/>
      </c>
      <c r="AP153" s="180" t="str">
        <f ca="1"/>
        <v/>
      </c>
      <c r="AQ153" t="str">
        <f ca="1"/>
        <v/>
      </c>
    </row>
    <row r="154" spans="2:43" x14ac:dyDescent="0.25">
      <c r="B154" s="179" t="str">
        <f ca="1"/>
        <v/>
      </c>
      <c r="C154" s="180" t="str">
        <f ca="1"/>
        <v/>
      </c>
      <c r="D154" s="180" t="str">
        <f ca="1"/>
        <v/>
      </c>
      <c r="E154" s="180" t="str">
        <f ca="1"/>
        <v/>
      </c>
      <c r="F154" s="180" t="str">
        <f ca="1"/>
        <v/>
      </c>
      <c r="G154" s="180" t="str">
        <f ca="1"/>
        <v/>
      </c>
      <c r="H154" s="180" t="str">
        <f ca="1"/>
        <v/>
      </c>
      <c r="I154" s="180" t="str">
        <f ca="1"/>
        <v/>
      </c>
      <c r="J154" s="180" t="str">
        <f ca="1"/>
        <v/>
      </c>
      <c r="K154" s="180" t="str">
        <f ca="1"/>
        <v/>
      </c>
      <c r="L154" s="180" t="str">
        <f ca="1"/>
        <v/>
      </c>
      <c r="M154" s="180" t="str">
        <f ca="1"/>
        <v/>
      </c>
      <c r="N154" s="180" t="str">
        <f ca="1"/>
        <v/>
      </c>
      <c r="O154" s="180" t="str">
        <f ca="1"/>
        <v/>
      </c>
      <c r="P154" s="180" t="str">
        <f ca="1"/>
        <v/>
      </c>
      <c r="Q154" s="180" t="str">
        <f ca="1"/>
        <v/>
      </c>
      <c r="R154" s="180" t="str">
        <f ca="1"/>
        <v/>
      </c>
      <c r="S154" s="180" t="str">
        <f ca="1"/>
        <v/>
      </c>
      <c r="T154" s="180" t="str">
        <f ca="1"/>
        <v/>
      </c>
      <c r="U154" s="180" t="str">
        <f ca="1"/>
        <v/>
      </c>
      <c r="V154" s="180" t="str">
        <f ca="1"/>
        <v/>
      </c>
      <c r="W154" s="180" t="str">
        <f ca="1"/>
        <v/>
      </c>
      <c r="X154" s="180" t="str">
        <f ca="1"/>
        <v/>
      </c>
      <c r="Y154" s="180" t="str">
        <f ca="1"/>
        <v/>
      </c>
      <c r="Z154" s="180" t="str">
        <f ca="1"/>
        <v/>
      </c>
      <c r="AA154" s="180" t="str">
        <f ca="1"/>
        <v/>
      </c>
      <c r="AB154" s="180" t="str">
        <f ca="1"/>
        <v/>
      </c>
      <c r="AC154" s="180" t="str">
        <f ca="1"/>
        <v/>
      </c>
      <c r="AD154" s="180" t="str">
        <f ca="1"/>
        <v/>
      </c>
      <c r="AE154" s="180" t="str">
        <f ca="1"/>
        <v/>
      </c>
      <c r="AF154" s="180" t="str">
        <f ca="1"/>
        <v/>
      </c>
      <c r="AG154" s="180" t="str">
        <f ca="1"/>
        <v/>
      </c>
      <c r="AH154" s="180" t="str">
        <f ca="1"/>
        <v/>
      </c>
      <c r="AI154" s="180" t="str">
        <f ca="1"/>
        <v/>
      </c>
      <c r="AJ154" s="180" t="str">
        <f ca="1"/>
        <v/>
      </c>
      <c r="AK154" s="180" t="str">
        <f ca="1"/>
        <v/>
      </c>
      <c r="AL154" s="180" t="str">
        <f ca="1"/>
        <v/>
      </c>
      <c r="AM154" s="180" t="str">
        <f ca="1"/>
        <v/>
      </c>
      <c r="AN154" s="180" t="str">
        <f ca="1"/>
        <v/>
      </c>
      <c r="AO154" s="180" t="str">
        <f ca="1"/>
        <v/>
      </c>
      <c r="AP154" s="180" t="str">
        <f ca="1"/>
        <v/>
      </c>
      <c r="AQ154" t="str">
        <f ca="1"/>
        <v/>
      </c>
    </row>
    <row r="155" spans="2:43" x14ac:dyDescent="0.25">
      <c r="B155" s="179" t="str">
        <f ca="1"/>
        <v/>
      </c>
      <c r="C155" s="180" t="str">
        <f ca="1"/>
        <v/>
      </c>
      <c r="D155" s="180" t="str">
        <f ca="1"/>
        <v/>
      </c>
      <c r="E155" s="180" t="str">
        <f ca="1"/>
        <v/>
      </c>
      <c r="F155" s="180" t="str">
        <f ca="1"/>
        <v/>
      </c>
      <c r="G155" s="180" t="str">
        <f ca="1"/>
        <v/>
      </c>
      <c r="H155" s="180" t="str">
        <f ca="1"/>
        <v/>
      </c>
      <c r="I155" s="180" t="str">
        <f ca="1"/>
        <v/>
      </c>
      <c r="J155" s="180" t="str">
        <f ca="1"/>
        <v/>
      </c>
      <c r="K155" s="180" t="str">
        <f ca="1"/>
        <v/>
      </c>
      <c r="L155" s="180" t="str">
        <f ca="1"/>
        <v/>
      </c>
      <c r="M155" s="180" t="str">
        <f ca="1"/>
        <v/>
      </c>
      <c r="N155" s="180" t="str">
        <f ca="1"/>
        <v/>
      </c>
      <c r="O155" s="180" t="str">
        <f ca="1"/>
        <v/>
      </c>
      <c r="P155" s="180" t="str">
        <f ca="1"/>
        <v/>
      </c>
      <c r="Q155" s="180" t="str">
        <f ca="1"/>
        <v/>
      </c>
      <c r="R155" s="180" t="str">
        <f ca="1"/>
        <v/>
      </c>
      <c r="S155" s="180" t="str">
        <f ca="1"/>
        <v/>
      </c>
      <c r="T155" s="180" t="str">
        <f ca="1"/>
        <v/>
      </c>
      <c r="U155" s="180" t="str">
        <f ca="1"/>
        <v/>
      </c>
      <c r="V155" s="180" t="str">
        <f ca="1"/>
        <v/>
      </c>
      <c r="W155" s="180" t="str">
        <f ca="1"/>
        <v/>
      </c>
      <c r="X155" s="180" t="str">
        <f ca="1"/>
        <v/>
      </c>
      <c r="Y155" s="180" t="str">
        <f ca="1"/>
        <v/>
      </c>
      <c r="Z155" s="180" t="str">
        <f ca="1"/>
        <v/>
      </c>
      <c r="AA155" s="180" t="str">
        <f ca="1"/>
        <v/>
      </c>
      <c r="AB155" s="180" t="str">
        <f ca="1"/>
        <v/>
      </c>
      <c r="AC155" s="180" t="str">
        <f ca="1"/>
        <v/>
      </c>
      <c r="AD155" s="180" t="str">
        <f ca="1"/>
        <v/>
      </c>
      <c r="AE155" s="180" t="str">
        <f ca="1"/>
        <v/>
      </c>
      <c r="AF155" s="180" t="str">
        <f ca="1"/>
        <v/>
      </c>
      <c r="AG155" s="180" t="str">
        <f ca="1"/>
        <v/>
      </c>
      <c r="AH155" s="180" t="str">
        <f ca="1"/>
        <v/>
      </c>
      <c r="AI155" s="180" t="str">
        <f ca="1"/>
        <v/>
      </c>
      <c r="AJ155" s="180" t="str">
        <f ca="1"/>
        <v/>
      </c>
      <c r="AK155" s="180" t="str">
        <f ca="1"/>
        <v/>
      </c>
      <c r="AL155" s="180" t="str">
        <f ca="1"/>
        <v/>
      </c>
      <c r="AM155" s="180" t="str">
        <f ca="1"/>
        <v/>
      </c>
      <c r="AN155" s="180" t="str">
        <f ca="1"/>
        <v/>
      </c>
      <c r="AO155" s="180" t="str">
        <f ca="1"/>
        <v/>
      </c>
      <c r="AP155" s="180" t="str">
        <f ca="1"/>
        <v/>
      </c>
      <c r="AQ155" t="str">
        <f ca="1"/>
        <v/>
      </c>
    </row>
    <row r="156" spans="2:43" x14ac:dyDescent="0.25">
      <c r="B156" s="179" t="str">
        <f ca="1"/>
        <v/>
      </c>
      <c r="C156" s="180" t="str">
        <f ca="1"/>
        <v/>
      </c>
      <c r="D156" s="180" t="str">
        <f ca="1"/>
        <v/>
      </c>
      <c r="E156" s="180" t="str">
        <f ca="1"/>
        <v/>
      </c>
      <c r="F156" s="180" t="str">
        <f ca="1"/>
        <v/>
      </c>
      <c r="G156" s="180" t="str">
        <f ca="1"/>
        <v/>
      </c>
      <c r="H156" s="180" t="str">
        <f ca="1"/>
        <v/>
      </c>
      <c r="I156" s="180" t="str">
        <f ca="1"/>
        <v/>
      </c>
      <c r="J156" s="180" t="str">
        <f ca="1"/>
        <v/>
      </c>
      <c r="K156" s="180" t="str">
        <f ca="1"/>
        <v/>
      </c>
      <c r="L156" s="180" t="str">
        <f ca="1"/>
        <v/>
      </c>
      <c r="M156" s="180" t="str">
        <f ca="1"/>
        <v/>
      </c>
      <c r="N156" s="180" t="str">
        <f ca="1"/>
        <v/>
      </c>
      <c r="O156" s="180" t="str">
        <f ca="1"/>
        <v/>
      </c>
      <c r="P156" s="180" t="str">
        <f ca="1"/>
        <v/>
      </c>
      <c r="Q156" s="180" t="str">
        <f ca="1"/>
        <v/>
      </c>
      <c r="R156" s="180" t="str">
        <f ca="1"/>
        <v/>
      </c>
      <c r="S156" s="180" t="str">
        <f ca="1"/>
        <v/>
      </c>
      <c r="T156" s="180" t="str">
        <f ca="1"/>
        <v/>
      </c>
      <c r="U156" s="180" t="str">
        <f ca="1"/>
        <v/>
      </c>
      <c r="V156" s="180" t="str">
        <f ca="1"/>
        <v/>
      </c>
      <c r="W156" s="180" t="str">
        <f ca="1"/>
        <v/>
      </c>
      <c r="X156" s="180" t="str">
        <f ca="1"/>
        <v/>
      </c>
      <c r="Y156" s="180" t="str">
        <f ca="1"/>
        <v/>
      </c>
      <c r="Z156" s="180" t="str">
        <f ca="1"/>
        <v/>
      </c>
      <c r="AA156" s="180" t="str">
        <f ca="1"/>
        <v/>
      </c>
      <c r="AB156" s="180" t="str">
        <f ca="1"/>
        <v/>
      </c>
      <c r="AC156" s="180" t="str">
        <f ca="1"/>
        <v/>
      </c>
      <c r="AD156" s="180" t="str">
        <f ca="1"/>
        <v/>
      </c>
      <c r="AE156" s="180" t="str">
        <f ca="1"/>
        <v/>
      </c>
      <c r="AF156" s="180" t="str">
        <f ca="1"/>
        <v/>
      </c>
      <c r="AG156" s="180" t="str">
        <f ca="1"/>
        <v/>
      </c>
      <c r="AH156" s="180" t="str">
        <f ca="1"/>
        <v/>
      </c>
      <c r="AI156" s="180" t="str">
        <f ca="1"/>
        <v/>
      </c>
      <c r="AJ156" s="180" t="str">
        <f ca="1"/>
        <v/>
      </c>
      <c r="AK156" s="180" t="str">
        <f ca="1"/>
        <v/>
      </c>
      <c r="AL156" s="180" t="str">
        <f ca="1"/>
        <v/>
      </c>
      <c r="AM156" s="180" t="str">
        <f ca="1"/>
        <v/>
      </c>
      <c r="AN156" s="180" t="str">
        <f ca="1"/>
        <v/>
      </c>
      <c r="AO156" s="180" t="str">
        <f ca="1"/>
        <v/>
      </c>
      <c r="AP156" s="180" t="str">
        <f ca="1"/>
        <v/>
      </c>
      <c r="AQ156" t="str">
        <f ca="1"/>
        <v/>
      </c>
    </row>
    <row r="157" spans="2:43" x14ac:dyDescent="0.25">
      <c r="B157" s="179" t="str">
        <f ca="1"/>
        <v/>
      </c>
      <c r="C157" s="180" t="str">
        <f ca="1"/>
        <v/>
      </c>
      <c r="D157" s="180" t="str">
        <f ca="1"/>
        <v/>
      </c>
      <c r="E157" s="180" t="str">
        <f ca="1"/>
        <v/>
      </c>
      <c r="F157" s="180" t="str">
        <f ca="1"/>
        <v/>
      </c>
      <c r="G157" s="180" t="str">
        <f ca="1"/>
        <v/>
      </c>
      <c r="H157" s="180" t="str">
        <f ca="1"/>
        <v/>
      </c>
      <c r="I157" s="180" t="str">
        <f ca="1"/>
        <v/>
      </c>
      <c r="J157" s="180" t="str">
        <f ca="1"/>
        <v/>
      </c>
      <c r="K157" s="180" t="str">
        <f ca="1"/>
        <v/>
      </c>
      <c r="L157" s="180" t="str">
        <f ca="1"/>
        <v/>
      </c>
      <c r="M157" s="180" t="str">
        <f ca="1"/>
        <v/>
      </c>
      <c r="N157" s="180" t="str">
        <f ca="1"/>
        <v/>
      </c>
      <c r="O157" s="180" t="str">
        <f ca="1"/>
        <v/>
      </c>
      <c r="P157" s="180" t="str">
        <f ca="1"/>
        <v/>
      </c>
      <c r="Q157" s="180" t="str">
        <f ca="1"/>
        <v/>
      </c>
      <c r="R157" s="180" t="str">
        <f ca="1"/>
        <v/>
      </c>
      <c r="S157" s="180" t="str">
        <f ca="1"/>
        <v/>
      </c>
      <c r="T157" s="180" t="str">
        <f ca="1"/>
        <v/>
      </c>
      <c r="U157" s="180" t="str">
        <f ca="1"/>
        <v/>
      </c>
      <c r="V157" s="180" t="str">
        <f ca="1"/>
        <v/>
      </c>
      <c r="W157" s="180" t="str">
        <f ca="1"/>
        <v/>
      </c>
      <c r="X157" s="180" t="str">
        <f ca="1"/>
        <v/>
      </c>
      <c r="Y157" s="180" t="str">
        <f ca="1"/>
        <v/>
      </c>
      <c r="Z157" s="180" t="str">
        <f ca="1"/>
        <v/>
      </c>
      <c r="AA157" s="180" t="str">
        <f ca="1"/>
        <v/>
      </c>
      <c r="AB157" s="180" t="str">
        <f ca="1"/>
        <v/>
      </c>
      <c r="AC157" s="180" t="str">
        <f ca="1"/>
        <v/>
      </c>
      <c r="AD157" s="180" t="str">
        <f ca="1"/>
        <v/>
      </c>
      <c r="AE157" s="180" t="str">
        <f ca="1"/>
        <v/>
      </c>
      <c r="AF157" s="180" t="str">
        <f ca="1"/>
        <v/>
      </c>
      <c r="AG157" s="180" t="str">
        <f ca="1"/>
        <v/>
      </c>
      <c r="AH157" s="180" t="str">
        <f ca="1"/>
        <v/>
      </c>
      <c r="AI157" s="180" t="str">
        <f ca="1"/>
        <v/>
      </c>
      <c r="AJ157" s="180" t="str">
        <f ca="1"/>
        <v/>
      </c>
      <c r="AK157" s="180" t="str">
        <f ca="1"/>
        <v/>
      </c>
      <c r="AL157" s="180" t="str">
        <f ca="1"/>
        <v/>
      </c>
      <c r="AM157" s="180" t="str">
        <f ca="1"/>
        <v/>
      </c>
      <c r="AN157" s="180" t="str">
        <f ca="1"/>
        <v/>
      </c>
      <c r="AO157" s="180" t="str">
        <f ca="1"/>
        <v/>
      </c>
      <c r="AP157" s="180" t="str">
        <f ca="1"/>
        <v/>
      </c>
      <c r="AQ157" t="str">
        <f ca="1"/>
        <v/>
      </c>
    </row>
    <row r="158" spans="2:43" x14ac:dyDescent="0.25">
      <c r="B158" s="179" t="str">
        <f ca="1"/>
        <v/>
      </c>
      <c r="C158" s="180" t="str">
        <f ca="1"/>
        <v/>
      </c>
      <c r="D158" s="180" t="str">
        <f ca="1"/>
        <v/>
      </c>
      <c r="E158" s="180" t="str">
        <f ca="1"/>
        <v/>
      </c>
      <c r="F158" s="180" t="str">
        <f ca="1"/>
        <v/>
      </c>
      <c r="G158" s="180" t="str">
        <f ca="1"/>
        <v/>
      </c>
      <c r="H158" s="180" t="str">
        <f ca="1"/>
        <v/>
      </c>
      <c r="I158" s="180" t="str">
        <f ca="1"/>
        <v/>
      </c>
      <c r="J158" s="180" t="str">
        <f ca="1"/>
        <v/>
      </c>
      <c r="K158" s="180" t="str">
        <f ca="1"/>
        <v/>
      </c>
      <c r="L158" s="180" t="str">
        <f ca="1"/>
        <v/>
      </c>
      <c r="M158" s="180" t="str">
        <f ca="1"/>
        <v/>
      </c>
      <c r="N158" s="180" t="str">
        <f ca="1"/>
        <v/>
      </c>
      <c r="O158" s="180" t="str">
        <f ca="1"/>
        <v/>
      </c>
      <c r="P158" s="180" t="str">
        <f ca="1"/>
        <v/>
      </c>
      <c r="Q158" s="180" t="str">
        <f ca="1"/>
        <v/>
      </c>
      <c r="R158" s="180" t="str">
        <f ca="1"/>
        <v/>
      </c>
      <c r="S158" s="180" t="str">
        <f ca="1"/>
        <v/>
      </c>
      <c r="T158" s="180" t="str">
        <f ca="1"/>
        <v/>
      </c>
      <c r="U158" s="180" t="str">
        <f ca="1"/>
        <v/>
      </c>
      <c r="V158" s="180" t="str">
        <f ca="1"/>
        <v/>
      </c>
      <c r="W158" s="180" t="str">
        <f ca="1"/>
        <v/>
      </c>
      <c r="X158" s="180" t="str">
        <f ca="1"/>
        <v/>
      </c>
      <c r="Y158" s="180" t="str">
        <f ca="1"/>
        <v/>
      </c>
      <c r="Z158" s="180" t="str">
        <f ca="1"/>
        <v/>
      </c>
      <c r="AA158" s="180" t="str">
        <f ca="1"/>
        <v/>
      </c>
      <c r="AB158" s="180" t="str">
        <f ca="1"/>
        <v/>
      </c>
      <c r="AC158" s="180" t="str">
        <f ca="1"/>
        <v/>
      </c>
      <c r="AD158" s="180" t="str">
        <f ca="1"/>
        <v/>
      </c>
      <c r="AE158" s="180" t="str">
        <f ca="1"/>
        <v/>
      </c>
      <c r="AF158" s="180" t="str">
        <f ca="1"/>
        <v/>
      </c>
      <c r="AG158" s="180" t="str">
        <f ca="1"/>
        <v/>
      </c>
      <c r="AH158" s="180" t="str">
        <f ca="1"/>
        <v/>
      </c>
      <c r="AI158" s="180" t="str">
        <f ca="1"/>
        <v/>
      </c>
      <c r="AJ158" s="180" t="str">
        <f ca="1"/>
        <v/>
      </c>
      <c r="AK158" s="180" t="str">
        <f ca="1"/>
        <v/>
      </c>
      <c r="AL158" s="180" t="str">
        <f ca="1"/>
        <v/>
      </c>
      <c r="AM158" s="180" t="str">
        <f ca="1"/>
        <v/>
      </c>
      <c r="AN158" s="180" t="str">
        <f ca="1"/>
        <v/>
      </c>
      <c r="AO158" s="180" t="str">
        <f ca="1"/>
        <v/>
      </c>
      <c r="AP158" s="180" t="str">
        <f ca="1"/>
        <v/>
      </c>
      <c r="AQ158" t="str">
        <f ca="1"/>
        <v/>
      </c>
    </row>
    <row r="159" spans="2:43" x14ac:dyDescent="0.25">
      <c r="B159" s="179" t="str">
        <f ca="1"/>
        <v/>
      </c>
      <c r="C159" s="180" t="str">
        <f ca="1"/>
        <v/>
      </c>
      <c r="D159" s="180" t="str">
        <f ca="1"/>
        <v/>
      </c>
      <c r="E159" s="180" t="str">
        <f ca="1"/>
        <v/>
      </c>
      <c r="F159" s="180" t="str">
        <f ca="1"/>
        <v/>
      </c>
      <c r="G159" s="180" t="str">
        <f ca="1"/>
        <v/>
      </c>
      <c r="H159" s="180" t="str">
        <f ca="1"/>
        <v/>
      </c>
      <c r="I159" s="180" t="str">
        <f ca="1"/>
        <v/>
      </c>
      <c r="J159" s="180" t="str">
        <f ca="1"/>
        <v/>
      </c>
      <c r="K159" s="180" t="str">
        <f ca="1"/>
        <v/>
      </c>
      <c r="L159" s="180" t="str">
        <f ca="1"/>
        <v/>
      </c>
      <c r="M159" s="180" t="str">
        <f ca="1"/>
        <v/>
      </c>
      <c r="N159" s="180" t="str">
        <f ca="1"/>
        <v/>
      </c>
      <c r="O159" s="180" t="str">
        <f ca="1"/>
        <v/>
      </c>
      <c r="P159" s="180" t="str">
        <f ca="1"/>
        <v/>
      </c>
      <c r="Q159" s="180" t="str">
        <f ca="1"/>
        <v/>
      </c>
      <c r="R159" s="180" t="str">
        <f ca="1"/>
        <v/>
      </c>
      <c r="S159" s="180" t="str">
        <f ca="1"/>
        <v/>
      </c>
      <c r="T159" s="180" t="str">
        <f ca="1"/>
        <v/>
      </c>
      <c r="U159" s="180" t="str">
        <f ca="1"/>
        <v/>
      </c>
      <c r="V159" s="180" t="str">
        <f ca="1"/>
        <v/>
      </c>
      <c r="W159" s="180" t="str">
        <f ca="1"/>
        <v/>
      </c>
      <c r="X159" s="180" t="str">
        <f ca="1"/>
        <v/>
      </c>
      <c r="Y159" s="180" t="str">
        <f ca="1"/>
        <v/>
      </c>
      <c r="Z159" s="180" t="str">
        <f ca="1"/>
        <v/>
      </c>
      <c r="AA159" s="180" t="str">
        <f ca="1"/>
        <v/>
      </c>
      <c r="AB159" s="180" t="str">
        <f ca="1"/>
        <v/>
      </c>
      <c r="AC159" s="180" t="str">
        <f ca="1"/>
        <v/>
      </c>
      <c r="AD159" s="180" t="str">
        <f ca="1"/>
        <v/>
      </c>
      <c r="AE159" s="180" t="str">
        <f ca="1"/>
        <v/>
      </c>
      <c r="AF159" s="180" t="str">
        <f ca="1"/>
        <v/>
      </c>
      <c r="AG159" s="180" t="str">
        <f ca="1"/>
        <v/>
      </c>
      <c r="AH159" s="180" t="str">
        <f ca="1"/>
        <v/>
      </c>
      <c r="AI159" s="180" t="str">
        <f ca="1"/>
        <v/>
      </c>
      <c r="AJ159" s="180" t="str">
        <f ca="1"/>
        <v/>
      </c>
      <c r="AK159" s="180" t="str">
        <f ca="1"/>
        <v/>
      </c>
      <c r="AL159" s="180" t="str">
        <f ca="1"/>
        <v/>
      </c>
      <c r="AM159" s="180" t="str">
        <f ca="1"/>
        <v/>
      </c>
      <c r="AN159" s="180" t="str">
        <f ca="1"/>
        <v/>
      </c>
      <c r="AO159" s="180" t="str">
        <f ca="1"/>
        <v/>
      </c>
      <c r="AP159" s="180" t="str">
        <f ca="1"/>
        <v/>
      </c>
      <c r="AQ159" t="str">
        <f ca="1"/>
        <v/>
      </c>
    </row>
    <row r="160" spans="2:43" x14ac:dyDescent="0.25">
      <c r="B160" s="179" t="str">
        <f ca="1"/>
        <v/>
      </c>
      <c r="C160" s="180" t="str">
        <f ca="1"/>
        <v/>
      </c>
      <c r="D160" s="180" t="str">
        <f ca="1"/>
        <v/>
      </c>
      <c r="E160" s="180" t="str">
        <f ca="1"/>
        <v/>
      </c>
      <c r="F160" s="180" t="str">
        <f ca="1"/>
        <v/>
      </c>
      <c r="G160" s="180" t="str">
        <f ca="1"/>
        <v/>
      </c>
      <c r="H160" s="180" t="str">
        <f ca="1"/>
        <v/>
      </c>
      <c r="I160" s="180" t="str">
        <f ca="1"/>
        <v/>
      </c>
      <c r="J160" s="180" t="str">
        <f ca="1"/>
        <v/>
      </c>
      <c r="K160" s="180" t="str">
        <f ca="1"/>
        <v/>
      </c>
      <c r="L160" s="180" t="str">
        <f ca="1"/>
        <v/>
      </c>
      <c r="M160" s="180" t="str">
        <f ca="1"/>
        <v/>
      </c>
      <c r="N160" s="180" t="str">
        <f ca="1"/>
        <v/>
      </c>
      <c r="O160" s="180" t="str">
        <f ca="1"/>
        <v/>
      </c>
      <c r="P160" s="180" t="str">
        <f ca="1"/>
        <v/>
      </c>
      <c r="Q160" s="180" t="str">
        <f ca="1"/>
        <v/>
      </c>
      <c r="R160" s="180" t="str">
        <f ca="1"/>
        <v/>
      </c>
      <c r="S160" s="180" t="str">
        <f ca="1"/>
        <v/>
      </c>
      <c r="T160" s="180" t="str">
        <f ca="1"/>
        <v/>
      </c>
      <c r="U160" s="180" t="str">
        <f ca="1"/>
        <v/>
      </c>
      <c r="V160" s="180" t="str">
        <f ca="1"/>
        <v/>
      </c>
      <c r="W160" s="180" t="str">
        <f ca="1"/>
        <v/>
      </c>
      <c r="X160" s="180" t="str">
        <f ca="1"/>
        <v/>
      </c>
      <c r="Y160" s="180" t="str">
        <f ca="1"/>
        <v/>
      </c>
      <c r="Z160" s="180" t="str">
        <f ca="1"/>
        <v/>
      </c>
      <c r="AA160" s="180" t="str">
        <f ca="1"/>
        <v/>
      </c>
      <c r="AB160" s="180" t="str">
        <f ca="1"/>
        <v/>
      </c>
      <c r="AC160" s="180" t="str">
        <f ca="1"/>
        <v/>
      </c>
      <c r="AD160" s="180" t="str">
        <f ca="1"/>
        <v/>
      </c>
      <c r="AE160" s="180" t="str">
        <f ca="1"/>
        <v/>
      </c>
      <c r="AF160" s="180" t="str">
        <f ca="1"/>
        <v/>
      </c>
      <c r="AG160" s="180" t="str">
        <f ca="1"/>
        <v/>
      </c>
      <c r="AH160" s="180" t="str">
        <f ca="1"/>
        <v/>
      </c>
      <c r="AI160" s="180" t="str">
        <f ca="1"/>
        <v/>
      </c>
      <c r="AJ160" s="180" t="str">
        <f ca="1"/>
        <v/>
      </c>
      <c r="AK160" s="180" t="str">
        <f ca="1"/>
        <v/>
      </c>
      <c r="AL160" s="180" t="str">
        <f ca="1"/>
        <v/>
      </c>
      <c r="AM160" s="180" t="str">
        <f ca="1"/>
        <v/>
      </c>
      <c r="AN160" s="180" t="str">
        <f ca="1"/>
        <v/>
      </c>
      <c r="AO160" s="180" t="str">
        <f ca="1"/>
        <v/>
      </c>
      <c r="AP160" s="180" t="str">
        <f ca="1"/>
        <v/>
      </c>
      <c r="AQ160" t="str">
        <f ca="1"/>
        <v/>
      </c>
    </row>
    <row r="161" spans="2:43" x14ac:dyDescent="0.25">
      <c r="B161" s="179" t="str">
        <f ca="1"/>
        <v/>
      </c>
      <c r="C161" s="180" t="str">
        <f ca="1"/>
        <v/>
      </c>
      <c r="D161" s="180" t="str">
        <f ca="1"/>
        <v/>
      </c>
      <c r="E161" s="180" t="str">
        <f ca="1"/>
        <v/>
      </c>
      <c r="F161" s="180" t="str">
        <f ca="1"/>
        <v/>
      </c>
      <c r="G161" s="180" t="str">
        <f ca="1"/>
        <v/>
      </c>
      <c r="H161" s="180" t="str">
        <f ca="1"/>
        <v/>
      </c>
      <c r="I161" s="180" t="str">
        <f ca="1"/>
        <v/>
      </c>
      <c r="J161" s="180" t="str">
        <f ca="1"/>
        <v/>
      </c>
      <c r="K161" s="180" t="str">
        <f ca="1"/>
        <v/>
      </c>
      <c r="L161" s="180" t="str">
        <f ca="1"/>
        <v/>
      </c>
      <c r="M161" s="180" t="str">
        <f ca="1"/>
        <v/>
      </c>
      <c r="N161" s="180" t="str">
        <f ca="1"/>
        <v/>
      </c>
      <c r="O161" s="180" t="str">
        <f ca="1"/>
        <v/>
      </c>
      <c r="P161" s="180" t="str">
        <f ca="1"/>
        <v/>
      </c>
      <c r="Q161" s="180" t="str">
        <f ca="1"/>
        <v/>
      </c>
      <c r="R161" s="180" t="str">
        <f ca="1"/>
        <v/>
      </c>
      <c r="S161" s="180" t="str">
        <f ca="1"/>
        <v/>
      </c>
      <c r="T161" s="180" t="str">
        <f ca="1"/>
        <v/>
      </c>
      <c r="U161" s="180" t="str">
        <f ca="1"/>
        <v/>
      </c>
      <c r="V161" s="180" t="str">
        <f ca="1"/>
        <v/>
      </c>
      <c r="W161" s="180" t="str">
        <f ca="1"/>
        <v/>
      </c>
      <c r="X161" s="180" t="str">
        <f ca="1"/>
        <v/>
      </c>
      <c r="Y161" s="180" t="str">
        <f ca="1"/>
        <v/>
      </c>
      <c r="Z161" s="180" t="str">
        <f ca="1"/>
        <v/>
      </c>
      <c r="AA161" s="180" t="str">
        <f ca="1"/>
        <v/>
      </c>
      <c r="AB161" s="180" t="str">
        <f ca="1"/>
        <v/>
      </c>
      <c r="AC161" s="180" t="str">
        <f ca="1"/>
        <v/>
      </c>
      <c r="AD161" s="180" t="str">
        <f ca="1"/>
        <v/>
      </c>
      <c r="AE161" s="180" t="str">
        <f ca="1"/>
        <v/>
      </c>
      <c r="AF161" s="180" t="str">
        <f ca="1"/>
        <v/>
      </c>
      <c r="AG161" s="180" t="str">
        <f ca="1"/>
        <v/>
      </c>
      <c r="AH161" s="180" t="str">
        <f ca="1"/>
        <v/>
      </c>
      <c r="AI161" s="180" t="str">
        <f ca="1"/>
        <v/>
      </c>
      <c r="AJ161" s="180" t="str">
        <f ca="1"/>
        <v/>
      </c>
      <c r="AK161" s="180" t="str">
        <f ca="1"/>
        <v/>
      </c>
      <c r="AL161" s="180" t="str">
        <f ca="1"/>
        <v/>
      </c>
      <c r="AM161" s="180" t="str">
        <f ca="1"/>
        <v/>
      </c>
      <c r="AN161" s="180" t="str">
        <f ca="1"/>
        <v/>
      </c>
      <c r="AO161" s="180" t="str">
        <f ca="1"/>
        <v/>
      </c>
      <c r="AP161" s="180" t="str">
        <f ca="1"/>
        <v/>
      </c>
      <c r="AQ161" t="str">
        <f ca="1"/>
        <v/>
      </c>
    </row>
    <row r="162" spans="2:43" x14ac:dyDescent="0.25">
      <c r="B162" s="179" t="str">
        <f ca="1"/>
        <v/>
      </c>
      <c r="C162" s="180" t="str">
        <f ca="1"/>
        <v/>
      </c>
      <c r="D162" s="180" t="str">
        <f ca="1"/>
        <v/>
      </c>
      <c r="E162" s="180" t="str">
        <f ca="1"/>
        <v/>
      </c>
      <c r="F162" s="180" t="str">
        <f ca="1"/>
        <v/>
      </c>
      <c r="G162" s="180" t="str">
        <f ca="1"/>
        <v/>
      </c>
      <c r="H162" s="180" t="str">
        <f ca="1"/>
        <v/>
      </c>
      <c r="I162" s="180" t="str">
        <f ca="1"/>
        <v/>
      </c>
      <c r="J162" s="180" t="str">
        <f ca="1"/>
        <v/>
      </c>
      <c r="K162" s="180" t="str">
        <f ca="1"/>
        <v/>
      </c>
      <c r="L162" s="180" t="str">
        <f ca="1"/>
        <v/>
      </c>
      <c r="M162" s="180" t="str">
        <f ca="1"/>
        <v/>
      </c>
      <c r="N162" s="180" t="str">
        <f ca="1"/>
        <v/>
      </c>
      <c r="O162" s="180" t="str">
        <f ca="1"/>
        <v/>
      </c>
      <c r="P162" s="180" t="str">
        <f ca="1"/>
        <v/>
      </c>
      <c r="Q162" s="180" t="str">
        <f ca="1"/>
        <v/>
      </c>
      <c r="R162" s="180" t="str">
        <f ca="1"/>
        <v/>
      </c>
      <c r="S162" s="180" t="str">
        <f ca="1"/>
        <v/>
      </c>
      <c r="T162" s="180" t="str">
        <f ca="1"/>
        <v/>
      </c>
      <c r="U162" s="180" t="str">
        <f ca="1"/>
        <v/>
      </c>
      <c r="V162" s="180" t="str">
        <f ca="1"/>
        <v/>
      </c>
      <c r="W162" s="180" t="str">
        <f ca="1"/>
        <v/>
      </c>
      <c r="X162" s="180" t="str">
        <f ca="1"/>
        <v/>
      </c>
      <c r="Y162" s="180" t="str">
        <f ca="1"/>
        <v/>
      </c>
      <c r="Z162" s="180" t="str">
        <f ca="1"/>
        <v/>
      </c>
      <c r="AA162" s="180" t="str">
        <f ca="1"/>
        <v/>
      </c>
      <c r="AB162" s="180" t="str">
        <f ca="1"/>
        <v/>
      </c>
      <c r="AC162" s="180" t="str">
        <f ca="1"/>
        <v/>
      </c>
      <c r="AD162" s="180" t="str">
        <f ca="1"/>
        <v/>
      </c>
      <c r="AE162" s="180" t="str">
        <f ca="1"/>
        <v/>
      </c>
      <c r="AF162" s="180" t="str">
        <f ca="1"/>
        <v/>
      </c>
      <c r="AG162" s="180" t="str">
        <f ca="1"/>
        <v/>
      </c>
      <c r="AH162" s="180" t="str">
        <f ca="1"/>
        <v/>
      </c>
      <c r="AI162" s="180" t="str">
        <f ca="1"/>
        <v/>
      </c>
      <c r="AJ162" s="180" t="str">
        <f ca="1"/>
        <v/>
      </c>
      <c r="AK162" s="180" t="str">
        <f ca="1"/>
        <v/>
      </c>
      <c r="AL162" s="180" t="str">
        <f ca="1"/>
        <v/>
      </c>
      <c r="AM162" s="180" t="str">
        <f ca="1"/>
        <v/>
      </c>
      <c r="AN162" s="180" t="str">
        <f ca="1"/>
        <v/>
      </c>
      <c r="AO162" s="180" t="str">
        <f ca="1"/>
        <v/>
      </c>
      <c r="AP162" s="180" t="str">
        <f ca="1"/>
        <v/>
      </c>
      <c r="AQ162" t="str">
        <f ca="1"/>
        <v/>
      </c>
    </row>
    <row r="163" spans="2:43" x14ac:dyDescent="0.25">
      <c r="B163" s="179" t="str">
        <f ca="1"/>
        <v/>
      </c>
      <c r="C163" s="180" t="str">
        <f ca="1"/>
        <v/>
      </c>
      <c r="D163" s="180" t="str">
        <f ca="1"/>
        <v/>
      </c>
      <c r="E163" s="180" t="str">
        <f ca="1"/>
        <v/>
      </c>
      <c r="F163" s="180" t="str">
        <f ca="1"/>
        <v/>
      </c>
      <c r="G163" s="180" t="str">
        <f ca="1"/>
        <v/>
      </c>
      <c r="H163" s="180" t="str">
        <f ca="1"/>
        <v/>
      </c>
      <c r="I163" s="180" t="str">
        <f ca="1"/>
        <v/>
      </c>
      <c r="J163" s="180" t="str">
        <f ca="1"/>
        <v/>
      </c>
      <c r="K163" s="180" t="str">
        <f ca="1"/>
        <v/>
      </c>
      <c r="L163" s="180" t="str">
        <f ca="1"/>
        <v/>
      </c>
      <c r="M163" s="180" t="str">
        <f ca="1"/>
        <v/>
      </c>
      <c r="N163" s="180" t="str">
        <f ca="1"/>
        <v/>
      </c>
      <c r="O163" s="180" t="str">
        <f ca="1"/>
        <v/>
      </c>
      <c r="P163" s="180" t="str">
        <f ca="1"/>
        <v/>
      </c>
      <c r="Q163" s="180" t="str">
        <f ca="1"/>
        <v/>
      </c>
      <c r="R163" s="180" t="str">
        <f ca="1"/>
        <v/>
      </c>
      <c r="S163" s="180" t="str">
        <f ca="1"/>
        <v/>
      </c>
      <c r="T163" s="180" t="str">
        <f ca="1"/>
        <v/>
      </c>
      <c r="U163" s="180" t="str">
        <f ca="1"/>
        <v/>
      </c>
      <c r="V163" s="180" t="str">
        <f ca="1"/>
        <v/>
      </c>
      <c r="W163" s="180" t="str">
        <f ca="1"/>
        <v/>
      </c>
      <c r="X163" s="180" t="str">
        <f ca="1"/>
        <v/>
      </c>
      <c r="Y163" s="180" t="str">
        <f ca="1"/>
        <v/>
      </c>
      <c r="Z163" s="180" t="str">
        <f ca="1"/>
        <v/>
      </c>
      <c r="AA163" s="180" t="str">
        <f ca="1"/>
        <v/>
      </c>
      <c r="AB163" s="180" t="str">
        <f ca="1"/>
        <v/>
      </c>
      <c r="AC163" s="180" t="str">
        <f ca="1"/>
        <v/>
      </c>
      <c r="AD163" s="180" t="str">
        <f ca="1"/>
        <v/>
      </c>
      <c r="AE163" s="180" t="str">
        <f ca="1"/>
        <v/>
      </c>
      <c r="AF163" s="180" t="str">
        <f ca="1"/>
        <v/>
      </c>
      <c r="AG163" s="180" t="str">
        <f ca="1"/>
        <v/>
      </c>
      <c r="AH163" s="180" t="str">
        <f ca="1"/>
        <v/>
      </c>
      <c r="AI163" s="180" t="str">
        <f ca="1"/>
        <v/>
      </c>
      <c r="AJ163" s="180" t="str">
        <f ca="1"/>
        <v/>
      </c>
      <c r="AK163" s="180" t="str">
        <f ca="1"/>
        <v/>
      </c>
      <c r="AL163" s="180" t="str">
        <f ca="1"/>
        <v/>
      </c>
      <c r="AM163" s="180" t="str">
        <f ca="1"/>
        <v/>
      </c>
      <c r="AN163" s="180" t="str">
        <f ca="1"/>
        <v/>
      </c>
      <c r="AO163" s="180" t="str">
        <f ca="1"/>
        <v/>
      </c>
      <c r="AP163" s="180" t="str">
        <f ca="1"/>
        <v/>
      </c>
      <c r="AQ163" t="str">
        <f ca="1"/>
        <v/>
      </c>
    </row>
    <row r="164" spans="2:43" x14ac:dyDescent="0.25">
      <c r="B164" s="179" t="str">
        <f ca="1"/>
        <v/>
      </c>
      <c r="C164" s="180" t="str">
        <f ca="1"/>
        <v/>
      </c>
      <c r="D164" s="180" t="str">
        <f ca="1"/>
        <v/>
      </c>
      <c r="E164" s="180" t="str">
        <f ca="1"/>
        <v/>
      </c>
      <c r="F164" s="180" t="str">
        <f ca="1"/>
        <v/>
      </c>
      <c r="G164" s="180" t="str">
        <f ca="1"/>
        <v/>
      </c>
      <c r="H164" s="180" t="str">
        <f ca="1"/>
        <v/>
      </c>
      <c r="I164" s="180" t="str">
        <f ca="1"/>
        <v/>
      </c>
      <c r="J164" s="180" t="str">
        <f ca="1"/>
        <v/>
      </c>
      <c r="K164" s="180" t="str">
        <f ca="1"/>
        <v/>
      </c>
      <c r="L164" s="180" t="str">
        <f ca="1"/>
        <v/>
      </c>
      <c r="M164" s="180" t="str">
        <f ca="1"/>
        <v/>
      </c>
      <c r="N164" s="180" t="str">
        <f ca="1"/>
        <v/>
      </c>
      <c r="O164" s="180" t="str">
        <f ca="1"/>
        <v/>
      </c>
      <c r="P164" s="180" t="str">
        <f ca="1"/>
        <v/>
      </c>
      <c r="Q164" s="180" t="str">
        <f ca="1"/>
        <v/>
      </c>
      <c r="R164" s="180" t="str">
        <f ca="1"/>
        <v/>
      </c>
      <c r="S164" s="180" t="str">
        <f ca="1"/>
        <v/>
      </c>
      <c r="T164" s="180" t="str">
        <f ca="1"/>
        <v/>
      </c>
      <c r="U164" s="180" t="str">
        <f ca="1"/>
        <v/>
      </c>
      <c r="V164" s="180" t="str">
        <f ca="1"/>
        <v/>
      </c>
      <c r="W164" s="180" t="str">
        <f ca="1"/>
        <v/>
      </c>
      <c r="X164" s="180" t="str">
        <f ca="1"/>
        <v/>
      </c>
      <c r="Y164" s="180" t="str">
        <f ca="1"/>
        <v/>
      </c>
      <c r="Z164" s="180" t="str">
        <f ca="1"/>
        <v/>
      </c>
      <c r="AA164" s="180" t="str">
        <f ca="1"/>
        <v/>
      </c>
      <c r="AB164" s="180" t="str">
        <f ca="1"/>
        <v/>
      </c>
      <c r="AC164" s="180" t="str">
        <f ca="1"/>
        <v/>
      </c>
      <c r="AD164" s="180" t="str">
        <f ca="1"/>
        <v/>
      </c>
      <c r="AE164" s="180" t="str">
        <f ca="1"/>
        <v/>
      </c>
      <c r="AF164" s="180" t="str">
        <f ca="1"/>
        <v/>
      </c>
      <c r="AG164" s="180" t="str">
        <f ca="1"/>
        <v/>
      </c>
      <c r="AH164" s="180" t="str">
        <f ca="1"/>
        <v/>
      </c>
      <c r="AI164" s="180" t="str">
        <f ca="1"/>
        <v/>
      </c>
      <c r="AJ164" s="180" t="str">
        <f ca="1"/>
        <v/>
      </c>
      <c r="AK164" s="180" t="str">
        <f ca="1"/>
        <v/>
      </c>
      <c r="AL164" s="180" t="str">
        <f ca="1"/>
        <v/>
      </c>
      <c r="AM164" s="180" t="str">
        <f ca="1"/>
        <v/>
      </c>
      <c r="AN164" s="180" t="str">
        <f ca="1"/>
        <v/>
      </c>
      <c r="AO164" s="180" t="str">
        <f ca="1"/>
        <v/>
      </c>
      <c r="AP164" s="180" t="str">
        <f ca="1"/>
        <v/>
      </c>
      <c r="AQ164" t="str">
        <f ca="1"/>
        <v/>
      </c>
    </row>
    <row r="165" spans="2:43" x14ac:dyDescent="0.25">
      <c r="B165" s="179" t="str">
        <f ca="1"/>
        <v/>
      </c>
      <c r="C165" s="180" t="str">
        <f ca="1"/>
        <v/>
      </c>
      <c r="D165" s="180" t="str">
        <f ca="1"/>
        <v/>
      </c>
      <c r="E165" s="180" t="str">
        <f ca="1"/>
        <v/>
      </c>
      <c r="F165" s="180" t="str">
        <f ca="1"/>
        <v/>
      </c>
      <c r="G165" s="180" t="str">
        <f ca="1"/>
        <v/>
      </c>
      <c r="H165" s="180" t="str">
        <f ca="1"/>
        <v/>
      </c>
      <c r="I165" s="180" t="str">
        <f ca="1"/>
        <v/>
      </c>
      <c r="J165" s="180" t="str">
        <f ca="1"/>
        <v/>
      </c>
      <c r="K165" s="180" t="str">
        <f ca="1"/>
        <v/>
      </c>
      <c r="L165" s="180" t="str">
        <f ca="1"/>
        <v/>
      </c>
      <c r="M165" s="180" t="str">
        <f ca="1"/>
        <v/>
      </c>
      <c r="N165" s="180" t="str">
        <f ca="1"/>
        <v/>
      </c>
      <c r="O165" s="180" t="str">
        <f ca="1"/>
        <v/>
      </c>
      <c r="P165" s="180" t="str">
        <f ca="1"/>
        <v/>
      </c>
      <c r="Q165" s="180" t="str">
        <f ca="1"/>
        <v/>
      </c>
      <c r="R165" s="180" t="str">
        <f ca="1"/>
        <v/>
      </c>
      <c r="S165" s="180" t="str">
        <f ca="1"/>
        <v/>
      </c>
      <c r="T165" s="180" t="str">
        <f ca="1"/>
        <v/>
      </c>
      <c r="U165" s="180" t="str">
        <f ca="1"/>
        <v/>
      </c>
      <c r="V165" s="180" t="str">
        <f ca="1"/>
        <v/>
      </c>
      <c r="W165" s="180" t="str">
        <f ca="1"/>
        <v/>
      </c>
      <c r="X165" s="180" t="str">
        <f ca="1"/>
        <v/>
      </c>
      <c r="Y165" s="180" t="str">
        <f ca="1"/>
        <v/>
      </c>
      <c r="Z165" s="180" t="str">
        <f ca="1"/>
        <v/>
      </c>
      <c r="AA165" s="180" t="str">
        <f ca="1"/>
        <v/>
      </c>
      <c r="AB165" s="180" t="str">
        <f ca="1"/>
        <v/>
      </c>
      <c r="AC165" s="180" t="str">
        <f ca="1"/>
        <v/>
      </c>
      <c r="AD165" s="180" t="str">
        <f ca="1"/>
        <v/>
      </c>
      <c r="AE165" s="180" t="str">
        <f ca="1"/>
        <v/>
      </c>
      <c r="AF165" s="180" t="str">
        <f ca="1"/>
        <v/>
      </c>
      <c r="AG165" s="180" t="str">
        <f ca="1"/>
        <v/>
      </c>
      <c r="AH165" s="180" t="str">
        <f ca="1"/>
        <v/>
      </c>
      <c r="AI165" s="180" t="str">
        <f ca="1"/>
        <v/>
      </c>
      <c r="AJ165" s="180" t="str">
        <f ca="1"/>
        <v/>
      </c>
      <c r="AK165" s="180" t="str">
        <f ca="1"/>
        <v/>
      </c>
      <c r="AL165" s="180" t="str">
        <f ca="1"/>
        <v/>
      </c>
      <c r="AM165" s="180" t="str">
        <f ca="1"/>
        <v/>
      </c>
      <c r="AN165" s="180" t="str">
        <f ca="1"/>
        <v/>
      </c>
      <c r="AO165" s="180" t="str">
        <f ca="1"/>
        <v/>
      </c>
      <c r="AP165" s="180" t="str">
        <f ca="1"/>
        <v/>
      </c>
      <c r="AQ165" t="str">
        <f ca="1"/>
        <v/>
      </c>
    </row>
    <row r="166" spans="2:43" x14ac:dyDescent="0.25">
      <c r="B166" s="179" t="str">
        <f ca="1"/>
        <v/>
      </c>
      <c r="C166" s="180" t="str">
        <f ca="1"/>
        <v/>
      </c>
      <c r="D166" s="180" t="str">
        <f ca="1"/>
        <v/>
      </c>
      <c r="E166" s="180" t="str">
        <f ca="1"/>
        <v/>
      </c>
      <c r="F166" s="180" t="str">
        <f ca="1"/>
        <v/>
      </c>
      <c r="G166" s="180" t="str">
        <f ca="1"/>
        <v/>
      </c>
      <c r="H166" s="180" t="str">
        <f ca="1"/>
        <v/>
      </c>
      <c r="I166" s="180" t="str">
        <f ca="1"/>
        <v/>
      </c>
      <c r="J166" s="180" t="str">
        <f ca="1"/>
        <v/>
      </c>
      <c r="K166" s="180" t="str">
        <f ca="1"/>
        <v/>
      </c>
      <c r="L166" s="180" t="str">
        <f ca="1"/>
        <v/>
      </c>
      <c r="M166" s="180" t="str">
        <f ca="1"/>
        <v/>
      </c>
      <c r="N166" s="180" t="str">
        <f ca="1"/>
        <v/>
      </c>
      <c r="O166" s="180" t="str">
        <f ca="1"/>
        <v/>
      </c>
      <c r="P166" s="180" t="str">
        <f ca="1"/>
        <v/>
      </c>
      <c r="Q166" s="180" t="str">
        <f ca="1"/>
        <v/>
      </c>
      <c r="R166" s="180" t="str">
        <f ca="1"/>
        <v/>
      </c>
      <c r="S166" s="180" t="str">
        <f ca="1"/>
        <v/>
      </c>
      <c r="T166" s="180" t="str">
        <f ca="1"/>
        <v/>
      </c>
      <c r="U166" s="180" t="str">
        <f ca="1"/>
        <v/>
      </c>
      <c r="V166" s="180" t="str">
        <f ca="1"/>
        <v/>
      </c>
      <c r="W166" s="180" t="str">
        <f ca="1"/>
        <v/>
      </c>
      <c r="X166" s="180" t="str">
        <f ca="1"/>
        <v/>
      </c>
      <c r="Y166" s="180" t="str">
        <f ca="1"/>
        <v/>
      </c>
      <c r="Z166" s="180" t="str">
        <f ca="1"/>
        <v/>
      </c>
      <c r="AA166" s="180" t="str">
        <f ca="1"/>
        <v/>
      </c>
      <c r="AB166" s="180" t="str">
        <f ca="1"/>
        <v/>
      </c>
      <c r="AC166" s="180" t="str">
        <f ca="1"/>
        <v/>
      </c>
      <c r="AD166" s="180" t="str">
        <f ca="1"/>
        <v/>
      </c>
      <c r="AE166" s="180" t="str">
        <f ca="1"/>
        <v/>
      </c>
      <c r="AF166" s="180" t="str">
        <f ca="1"/>
        <v/>
      </c>
      <c r="AG166" s="180" t="str">
        <f ca="1"/>
        <v/>
      </c>
      <c r="AH166" s="180" t="str">
        <f ca="1"/>
        <v/>
      </c>
      <c r="AI166" s="180" t="str">
        <f ca="1"/>
        <v/>
      </c>
      <c r="AJ166" s="180" t="str">
        <f ca="1"/>
        <v/>
      </c>
      <c r="AK166" s="180" t="str">
        <f ca="1"/>
        <v/>
      </c>
      <c r="AL166" s="180" t="str">
        <f ca="1"/>
        <v/>
      </c>
      <c r="AM166" s="180" t="str">
        <f ca="1"/>
        <v/>
      </c>
      <c r="AN166" s="180" t="str">
        <f ca="1"/>
        <v/>
      </c>
      <c r="AO166" s="180" t="str">
        <f ca="1"/>
        <v/>
      </c>
      <c r="AP166" s="180" t="str">
        <f ca="1"/>
        <v/>
      </c>
      <c r="AQ166" t="str">
        <f ca="1"/>
        <v/>
      </c>
    </row>
    <row r="167" spans="2:43" x14ac:dyDescent="0.25">
      <c r="B167" s="179" t="str">
        <f ca="1"/>
        <v/>
      </c>
      <c r="C167" s="180" t="str">
        <f ca="1"/>
        <v/>
      </c>
      <c r="D167" s="180" t="str">
        <f ca="1"/>
        <v/>
      </c>
      <c r="E167" s="180" t="str">
        <f ca="1"/>
        <v/>
      </c>
      <c r="F167" s="180" t="str">
        <f ca="1"/>
        <v/>
      </c>
      <c r="G167" s="180" t="str">
        <f ca="1"/>
        <v/>
      </c>
      <c r="H167" s="180" t="str">
        <f ca="1"/>
        <v/>
      </c>
      <c r="I167" s="180" t="str">
        <f ca="1"/>
        <v/>
      </c>
      <c r="J167" s="180" t="str">
        <f ca="1"/>
        <v/>
      </c>
      <c r="K167" s="180" t="str">
        <f ca="1"/>
        <v/>
      </c>
      <c r="L167" s="180" t="str">
        <f ca="1"/>
        <v/>
      </c>
      <c r="M167" s="180" t="str">
        <f ca="1"/>
        <v/>
      </c>
      <c r="N167" s="180" t="str">
        <f ca="1"/>
        <v/>
      </c>
      <c r="O167" s="180" t="str">
        <f ca="1"/>
        <v/>
      </c>
      <c r="P167" s="180" t="str">
        <f ca="1"/>
        <v/>
      </c>
      <c r="Q167" s="180" t="str">
        <f ca="1"/>
        <v/>
      </c>
      <c r="R167" s="180" t="str">
        <f ca="1"/>
        <v/>
      </c>
      <c r="S167" s="180" t="str">
        <f ca="1"/>
        <v/>
      </c>
      <c r="T167" s="180" t="str">
        <f ca="1"/>
        <v/>
      </c>
      <c r="U167" s="180" t="str">
        <f ca="1"/>
        <v/>
      </c>
      <c r="V167" s="180" t="str">
        <f ca="1"/>
        <v/>
      </c>
      <c r="W167" s="180" t="str">
        <f ca="1"/>
        <v/>
      </c>
      <c r="X167" s="180" t="str">
        <f ca="1"/>
        <v/>
      </c>
      <c r="Y167" s="180" t="str">
        <f ca="1"/>
        <v/>
      </c>
      <c r="Z167" s="180" t="str">
        <f ca="1"/>
        <v/>
      </c>
      <c r="AA167" s="180" t="str">
        <f ca="1"/>
        <v/>
      </c>
      <c r="AB167" s="180" t="str">
        <f ca="1"/>
        <v/>
      </c>
      <c r="AC167" s="180" t="str">
        <f ca="1"/>
        <v/>
      </c>
      <c r="AD167" s="180" t="str">
        <f ca="1"/>
        <v/>
      </c>
      <c r="AE167" s="180" t="str">
        <f ca="1"/>
        <v/>
      </c>
      <c r="AF167" s="180" t="str">
        <f ca="1"/>
        <v/>
      </c>
      <c r="AG167" s="180" t="str">
        <f ca="1"/>
        <v/>
      </c>
      <c r="AH167" s="180" t="str">
        <f ca="1"/>
        <v/>
      </c>
      <c r="AI167" s="180" t="str">
        <f ca="1"/>
        <v/>
      </c>
      <c r="AJ167" s="180" t="str">
        <f ca="1"/>
        <v/>
      </c>
      <c r="AK167" s="180" t="str">
        <f ca="1"/>
        <v/>
      </c>
      <c r="AL167" s="180" t="str">
        <f ca="1"/>
        <v/>
      </c>
      <c r="AM167" s="180" t="str">
        <f ca="1"/>
        <v/>
      </c>
      <c r="AN167" s="180" t="str">
        <f ca="1"/>
        <v/>
      </c>
      <c r="AO167" s="180" t="str">
        <f ca="1"/>
        <v/>
      </c>
      <c r="AP167" s="180" t="str">
        <f ca="1"/>
        <v/>
      </c>
      <c r="AQ167" t="str">
        <f ca="1"/>
        <v/>
      </c>
    </row>
    <row r="168" spans="2:43" x14ac:dyDescent="0.25">
      <c r="B168" s="179" t="str">
        <f ca="1"/>
        <v/>
      </c>
      <c r="C168" s="180" t="str">
        <f ca="1"/>
        <v/>
      </c>
      <c r="D168" s="180" t="str">
        <f ca="1"/>
        <v/>
      </c>
      <c r="E168" s="180" t="str">
        <f ca="1"/>
        <v/>
      </c>
      <c r="F168" s="180" t="str">
        <f ca="1"/>
        <v/>
      </c>
      <c r="G168" s="180" t="str">
        <f ca="1"/>
        <v/>
      </c>
      <c r="H168" s="180" t="str">
        <f ca="1"/>
        <v/>
      </c>
      <c r="I168" s="180" t="str">
        <f ca="1"/>
        <v/>
      </c>
      <c r="J168" s="180" t="str">
        <f ca="1"/>
        <v/>
      </c>
      <c r="K168" s="180" t="str">
        <f ca="1"/>
        <v/>
      </c>
      <c r="L168" s="180" t="str">
        <f ca="1"/>
        <v/>
      </c>
      <c r="M168" s="180" t="str">
        <f ca="1"/>
        <v/>
      </c>
      <c r="N168" s="180" t="str">
        <f ca="1"/>
        <v/>
      </c>
      <c r="O168" s="180" t="str">
        <f ca="1"/>
        <v/>
      </c>
      <c r="P168" s="180" t="str">
        <f ca="1"/>
        <v/>
      </c>
      <c r="Q168" s="180" t="str">
        <f ca="1"/>
        <v/>
      </c>
      <c r="R168" s="180" t="str">
        <f ca="1"/>
        <v/>
      </c>
      <c r="S168" s="180" t="str">
        <f ca="1"/>
        <v/>
      </c>
      <c r="T168" s="180" t="str">
        <f ca="1"/>
        <v/>
      </c>
      <c r="U168" s="180" t="str">
        <f ca="1"/>
        <v/>
      </c>
      <c r="V168" s="180" t="str">
        <f ca="1"/>
        <v/>
      </c>
      <c r="W168" s="180" t="str">
        <f ca="1"/>
        <v/>
      </c>
      <c r="X168" s="180" t="str">
        <f ca="1"/>
        <v/>
      </c>
      <c r="Y168" s="180" t="str">
        <f ca="1"/>
        <v/>
      </c>
      <c r="Z168" s="180" t="str">
        <f ca="1"/>
        <v/>
      </c>
      <c r="AA168" s="180" t="str">
        <f ca="1"/>
        <v/>
      </c>
      <c r="AB168" s="180" t="str">
        <f ca="1"/>
        <v/>
      </c>
      <c r="AC168" s="180" t="str">
        <f ca="1"/>
        <v/>
      </c>
      <c r="AD168" s="180" t="str">
        <f ca="1"/>
        <v/>
      </c>
      <c r="AE168" s="180" t="str">
        <f ca="1"/>
        <v/>
      </c>
      <c r="AF168" s="180" t="str">
        <f ca="1"/>
        <v/>
      </c>
      <c r="AG168" s="180" t="str">
        <f ca="1"/>
        <v/>
      </c>
      <c r="AH168" s="180" t="str">
        <f ca="1"/>
        <v/>
      </c>
      <c r="AI168" s="180" t="str">
        <f ca="1"/>
        <v/>
      </c>
      <c r="AJ168" s="180" t="str">
        <f ca="1"/>
        <v/>
      </c>
      <c r="AK168" s="180" t="str">
        <f ca="1"/>
        <v/>
      </c>
      <c r="AL168" s="180" t="str">
        <f ca="1"/>
        <v/>
      </c>
      <c r="AM168" s="180" t="str">
        <f ca="1"/>
        <v/>
      </c>
      <c r="AN168" s="180" t="str">
        <f ca="1"/>
        <v/>
      </c>
      <c r="AO168" s="180" t="str">
        <f ca="1"/>
        <v/>
      </c>
      <c r="AP168" s="180" t="str">
        <f ca="1"/>
        <v/>
      </c>
      <c r="AQ168" t="str">
        <f ca="1"/>
        <v/>
      </c>
    </row>
    <row r="169" spans="2:43" x14ac:dyDescent="0.25">
      <c r="B169" s="179" t="str">
        <f ca="1"/>
        <v/>
      </c>
      <c r="C169" s="180" t="str">
        <f ca="1"/>
        <v/>
      </c>
      <c r="D169" s="180" t="str">
        <f ca="1"/>
        <v/>
      </c>
      <c r="E169" s="180" t="str">
        <f ca="1"/>
        <v/>
      </c>
      <c r="F169" s="180" t="str">
        <f ca="1"/>
        <v/>
      </c>
      <c r="G169" s="180" t="str">
        <f ca="1"/>
        <v/>
      </c>
      <c r="H169" s="180" t="str">
        <f ca="1"/>
        <v/>
      </c>
      <c r="I169" s="180" t="str">
        <f ca="1"/>
        <v/>
      </c>
      <c r="J169" s="180" t="str">
        <f ca="1"/>
        <v/>
      </c>
      <c r="K169" s="180" t="str">
        <f ca="1"/>
        <v/>
      </c>
      <c r="L169" s="180" t="str">
        <f ca="1"/>
        <v/>
      </c>
      <c r="M169" s="180" t="str">
        <f ca="1"/>
        <v/>
      </c>
      <c r="N169" s="180" t="str">
        <f ca="1"/>
        <v/>
      </c>
      <c r="O169" s="180" t="str">
        <f ca="1"/>
        <v/>
      </c>
      <c r="P169" s="180" t="str">
        <f ca="1"/>
        <v/>
      </c>
      <c r="Q169" s="180" t="str">
        <f ca="1"/>
        <v/>
      </c>
      <c r="R169" s="180" t="str">
        <f ca="1"/>
        <v/>
      </c>
      <c r="S169" s="180" t="str">
        <f ca="1"/>
        <v/>
      </c>
      <c r="T169" s="180" t="str">
        <f ca="1"/>
        <v/>
      </c>
      <c r="U169" s="180" t="str">
        <f ca="1"/>
        <v/>
      </c>
      <c r="V169" s="180" t="str">
        <f ca="1"/>
        <v/>
      </c>
      <c r="W169" s="180" t="str">
        <f ca="1"/>
        <v/>
      </c>
      <c r="X169" s="180" t="str">
        <f ca="1"/>
        <v/>
      </c>
      <c r="Y169" s="180" t="str">
        <f ca="1"/>
        <v/>
      </c>
      <c r="Z169" s="180" t="str">
        <f ca="1"/>
        <v/>
      </c>
      <c r="AA169" s="180" t="str">
        <f ca="1"/>
        <v/>
      </c>
      <c r="AB169" s="180" t="str">
        <f ca="1"/>
        <v/>
      </c>
      <c r="AC169" s="180" t="str">
        <f ca="1"/>
        <v/>
      </c>
      <c r="AD169" s="180" t="str">
        <f ca="1"/>
        <v/>
      </c>
      <c r="AE169" s="180" t="str">
        <f ca="1"/>
        <v/>
      </c>
      <c r="AF169" s="180" t="str">
        <f ca="1"/>
        <v/>
      </c>
      <c r="AG169" s="180" t="str">
        <f ca="1"/>
        <v/>
      </c>
      <c r="AH169" s="180" t="str">
        <f ca="1"/>
        <v/>
      </c>
      <c r="AI169" s="180" t="str">
        <f ca="1"/>
        <v/>
      </c>
      <c r="AJ169" s="180" t="str">
        <f ca="1"/>
        <v/>
      </c>
      <c r="AK169" s="180" t="str">
        <f ca="1"/>
        <v/>
      </c>
      <c r="AL169" s="180" t="str">
        <f ca="1"/>
        <v/>
      </c>
      <c r="AM169" s="180" t="str">
        <f ca="1"/>
        <v/>
      </c>
      <c r="AN169" s="180" t="str">
        <f ca="1"/>
        <v/>
      </c>
      <c r="AO169" s="180" t="str">
        <f ca="1"/>
        <v/>
      </c>
      <c r="AP169" s="180" t="str">
        <f ca="1"/>
        <v/>
      </c>
      <c r="AQ169" t="str">
        <f ca="1"/>
        <v/>
      </c>
    </row>
    <row r="170" spans="2:43" x14ac:dyDescent="0.25">
      <c r="B170" s="179" t="str">
        <f ca="1"/>
        <v/>
      </c>
      <c r="C170" s="180" t="str">
        <f ca="1"/>
        <v/>
      </c>
      <c r="D170" s="180" t="str">
        <f ca="1"/>
        <v/>
      </c>
      <c r="E170" s="180" t="str">
        <f ca="1"/>
        <v/>
      </c>
      <c r="F170" s="180" t="str">
        <f ca="1"/>
        <v/>
      </c>
      <c r="G170" s="180" t="str">
        <f ca="1"/>
        <v/>
      </c>
      <c r="H170" s="180" t="str">
        <f ca="1"/>
        <v/>
      </c>
      <c r="I170" s="180" t="str">
        <f ca="1"/>
        <v/>
      </c>
      <c r="J170" s="180" t="str">
        <f ca="1"/>
        <v/>
      </c>
      <c r="K170" s="180" t="str">
        <f ca="1"/>
        <v/>
      </c>
      <c r="L170" s="180" t="str">
        <f ca="1"/>
        <v/>
      </c>
      <c r="M170" s="180" t="str">
        <f ca="1"/>
        <v/>
      </c>
      <c r="N170" s="180" t="str">
        <f ca="1"/>
        <v/>
      </c>
      <c r="O170" s="180" t="str">
        <f ca="1"/>
        <v/>
      </c>
      <c r="P170" s="180" t="str">
        <f ca="1"/>
        <v/>
      </c>
      <c r="Q170" s="180" t="str">
        <f ca="1"/>
        <v/>
      </c>
      <c r="R170" s="180" t="str">
        <f ca="1"/>
        <v/>
      </c>
      <c r="S170" s="180" t="str">
        <f ca="1"/>
        <v/>
      </c>
      <c r="T170" s="180" t="str">
        <f ca="1"/>
        <v/>
      </c>
      <c r="U170" s="180" t="str">
        <f ca="1"/>
        <v/>
      </c>
      <c r="V170" s="180" t="str">
        <f ca="1"/>
        <v/>
      </c>
      <c r="W170" s="180" t="str">
        <f ca="1"/>
        <v/>
      </c>
      <c r="X170" s="180" t="str">
        <f ca="1"/>
        <v/>
      </c>
      <c r="Y170" s="180" t="str">
        <f ca="1"/>
        <v/>
      </c>
      <c r="Z170" s="180" t="str">
        <f ca="1"/>
        <v/>
      </c>
      <c r="AA170" s="180" t="str">
        <f ca="1"/>
        <v/>
      </c>
      <c r="AB170" s="180" t="str">
        <f ca="1"/>
        <v/>
      </c>
      <c r="AC170" s="180" t="str">
        <f ca="1"/>
        <v/>
      </c>
      <c r="AD170" s="180" t="str">
        <f ca="1"/>
        <v/>
      </c>
      <c r="AE170" s="180" t="str">
        <f ca="1"/>
        <v/>
      </c>
      <c r="AF170" s="180" t="str">
        <f ca="1"/>
        <v/>
      </c>
      <c r="AG170" s="180" t="str">
        <f ca="1"/>
        <v/>
      </c>
      <c r="AH170" s="180" t="str">
        <f ca="1"/>
        <v/>
      </c>
      <c r="AI170" s="180" t="str">
        <f ca="1"/>
        <v/>
      </c>
      <c r="AJ170" s="180" t="str">
        <f ca="1"/>
        <v/>
      </c>
      <c r="AK170" s="180" t="str">
        <f ca="1"/>
        <v/>
      </c>
      <c r="AL170" s="180" t="str">
        <f ca="1"/>
        <v/>
      </c>
      <c r="AM170" s="180" t="str">
        <f ca="1"/>
        <v/>
      </c>
      <c r="AN170" s="180" t="str">
        <f ca="1"/>
        <v/>
      </c>
      <c r="AO170" s="180" t="str">
        <f ca="1"/>
        <v/>
      </c>
      <c r="AP170" s="180" t="str">
        <f ca="1"/>
        <v/>
      </c>
      <c r="AQ170" t="str">
        <f ca="1"/>
        <v/>
      </c>
    </row>
    <row r="171" spans="2:43" x14ac:dyDescent="0.25">
      <c r="B171" s="179" t="str">
        <f ca="1"/>
        <v/>
      </c>
      <c r="C171" s="180" t="str">
        <f ca="1"/>
        <v/>
      </c>
      <c r="D171" s="180" t="str">
        <f ca="1"/>
        <v/>
      </c>
      <c r="E171" s="180" t="str">
        <f ca="1"/>
        <v/>
      </c>
      <c r="F171" s="180" t="str">
        <f ca="1"/>
        <v/>
      </c>
      <c r="G171" s="180" t="str">
        <f ca="1"/>
        <v/>
      </c>
      <c r="H171" s="180" t="str">
        <f ca="1"/>
        <v/>
      </c>
      <c r="I171" s="180" t="str">
        <f ca="1"/>
        <v/>
      </c>
      <c r="J171" s="180" t="str">
        <f ca="1"/>
        <v/>
      </c>
      <c r="K171" s="180" t="str">
        <f ca="1"/>
        <v/>
      </c>
      <c r="L171" s="180" t="str">
        <f ca="1"/>
        <v/>
      </c>
      <c r="M171" s="180" t="str">
        <f ca="1"/>
        <v/>
      </c>
      <c r="N171" s="180" t="str">
        <f ca="1"/>
        <v/>
      </c>
      <c r="O171" s="180" t="str">
        <f ca="1"/>
        <v/>
      </c>
      <c r="P171" s="180" t="str">
        <f ca="1"/>
        <v/>
      </c>
      <c r="Q171" s="180" t="str">
        <f ca="1"/>
        <v/>
      </c>
      <c r="R171" s="180" t="str">
        <f ca="1"/>
        <v/>
      </c>
      <c r="S171" s="180" t="str">
        <f ca="1"/>
        <v/>
      </c>
      <c r="T171" s="180" t="str">
        <f ca="1"/>
        <v/>
      </c>
      <c r="U171" s="180" t="str">
        <f ca="1"/>
        <v/>
      </c>
      <c r="V171" s="180" t="str">
        <f ca="1"/>
        <v/>
      </c>
      <c r="W171" s="180" t="str">
        <f ca="1"/>
        <v/>
      </c>
      <c r="X171" s="180" t="str">
        <f ca="1"/>
        <v/>
      </c>
      <c r="Y171" s="180" t="str">
        <f ca="1"/>
        <v/>
      </c>
      <c r="Z171" s="180" t="str">
        <f ca="1"/>
        <v/>
      </c>
      <c r="AA171" s="180" t="str">
        <f ca="1"/>
        <v/>
      </c>
      <c r="AB171" s="180" t="str">
        <f ca="1"/>
        <v/>
      </c>
      <c r="AC171" s="180" t="str">
        <f ca="1"/>
        <v/>
      </c>
      <c r="AD171" s="180" t="str">
        <f ca="1"/>
        <v/>
      </c>
      <c r="AE171" s="180" t="str">
        <f ca="1"/>
        <v/>
      </c>
      <c r="AF171" s="180" t="str">
        <f ca="1"/>
        <v/>
      </c>
      <c r="AG171" s="180" t="str">
        <f ca="1"/>
        <v/>
      </c>
      <c r="AH171" s="180" t="str">
        <f ca="1"/>
        <v/>
      </c>
      <c r="AI171" s="180" t="str">
        <f ca="1"/>
        <v/>
      </c>
      <c r="AJ171" s="180" t="str">
        <f ca="1"/>
        <v/>
      </c>
      <c r="AK171" s="180" t="str">
        <f ca="1"/>
        <v/>
      </c>
      <c r="AL171" s="180" t="str">
        <f ca="1"/>
        <v/>
      </c>
      <c r="AM171" s="180" t="str">
        <f ca="1"/>
        <v/>
      </c>
      <c r="AN171" s="180" t="str">
        <f ca="1"/>
        <v/>
      </c>
      <c r="AO171" s="180" t="str">
        <f ca="1"/>
        <v/>
      </c>
      <c r="AP171" s="180" t="str">
        <f ca="1"/>
        <v/>
      </c>
      <c r="AQ171" t="str">
        <f ca="1"/>
        <v/>
      </c>
    </row>
    <row r="172" spans="2:43" x14ac:dyDescent="0.25">
      <c r="B172" s="179" t="str">
        <f ca="1"/>
        <v/>
      </c>
      <c r="C172" s="180" t="str">
        <f ca="1"/>
        <v/>
      </c>
      <c r="D172" s="180" t="str">
        <f ca="1"/>
        <v/>
      </c>
      <c r="E172" s="180" t="str">
        <f ca="1"/>
        <v/>
      </c>
      <c r="F172" s="180" t="str">
        <f ca="1"/>
        <v/>
      </c>
      <c r="G172" s="180" t="str">
        <f ca="1"/>
        <v/>
      </c>
      <c r="H172" s="180" t="str">
        <f ca="1"/>
        <v/>
      </c>
      <c r="I172" s="180" t="str">
        <f ca="1"/>
        <v/>
      </c>
      <c r="J172" s="180" t="str">
        <f ca="1"/>
        <v/>
      </c>
      <c r="K172" s="180" t="str">
        <f ca="1"/>
        <v/>
      </c>
      <c r="L172" s="180" t="str">
        <f ca="1"/>
        <v/>
      </c>
      <c r="M172" s="180" t="str">
        <f ca="1"/>
        <v/>
      </c>
      <c r="N172" s="180" t="str">
        <f ca="1"/>
        <v/>
      </c>
      <c r="O172" s="180" t="str">
        <f ca="1"/>
        <v/>
      </c>
      <c r="P172" s="180" t="str">
        <f ca="1"/>
        <v/>
      </c>
      <c r="Q172" s="180" t="str">
        <f ca="1"/>
        <v/>
      </c>
      <c r="R172" s="180" t="str">
        <f ca="1"/>
        <v/>
      </c>
      <c r="S172" s="180" t="str">
        <f ca="1"/>
        <v/>
      </c>
      <c r="T172" s="180" t="str">
        <f ca="1"/>
        <v/>
      </c>
      <c r="U172" s="180" t="str">
        <f ca="1"/>
        <v/>
      </c>
      <c r="V172" s="180" t="str">
        <f ca="1"/>
        <v/>
      </c>
      <c r="W172" s="180" t="str">
        <f ca="1"/>
        <v/>
      </c>
      <c r="X172" s="180" t="str">
        <f ca="1"/>
        <v/>
      </c>
      <c r="Y172" s="180" t="str">
        <f ca="1"/>
        <v/>
      </c>
      <c r="Z172" s="180" t="str">
        <f ca="1"/>
        <v/>
      </c>
      <c r="AA172" s="180" t="str">
        <f ca="1"/>
        <v/>
      </c>
      <c r="AB172" s="180" t="str">
        <f ca="1"/>
        <v/>
      </c>
      <c r="AC172" s="180" t="str">
        <f ca="1"/>
        <v/>
      </c>
      <c r="AD172" s="180" t="str">
        <f ca="1"/>
        <v/>
      </c>
      <c r="AE172" s="180" t="str">
        <f ca="1"/>
        <v/>
      </c>
      <c r="AF172" s="180" t="str">
        <f ca="1"/>
        <v/>
      </c>
      <c r="AG172" s="180" t="str">
        <f ca="1"/>
        <v/>
      </c>
      <c r="AH172" s="180" t="str">
        <f ca="1"/>
        <v/>
      </c>
      <c r="AI172" s="180" t="str">
        <f ca="1"/>
        <v/>
      </c>
      <c r="AJ172" s="180" t="str">
        <f ca="1"/>
        <v/>
      </c>
      <c r="AK172" s="180" t="str">
        <f ca="1"/>
        <v/>
      </c>
      <c r="AL172" s="180" t="str">
        <f ca="1"/>
        <v/>
      </c>
      <c r="AM172" s="180" t="str">
        <f ca="1"/>
        <v/>
      </c>
      <c r="AN172" s="180" t="str">
        <f ca="1"/>
        <v/>
      </c>
      <c r="AO172" s="180" t="str">
        <f ca="1"/>
        <v/>
      </c>
      <c r="AP172" s="180" t="str">
        <f ca="1"/>
        <v/>
      </c>
      <c r="AQ172" t="str">
        <f ca="1"/>
        <v/>
      </c>
    </row>
    <row r="173" spans="2:43" x14ac:dyDescent="0.25">
      <c r="B173" s="179" t="str">
        <f ca="1"/>
        <v/>
      </c>
      <c r="C173" s="180" t="str">
        <f ca="1"/>
        <v/>
      </c>
      <c r="D173" s="180" t="str">
        <f ca="1"/>
        <v/>
      </c>
      <c r="E173" s="180" t="str">
        <f ca="1"/>
        <v/>
      </c>
      <c r="F173" s="180" t="str">
        <f ca="1"/>
        <v/>
      </c>
      <c r="G173" s="180" t="str">
        <f ca="1"/>
        <v/>
      </c>
      <c r="H173" s="180" t="str">
        <f ca="1"/>
        <v/>
      </c>
      <c r="I173" s="180" t="str">
        <f ca="1"/>
        <v/>
      </c>
      <c r="J173" s="180" t="str">
        <f ca="1"/>
        <v/>
      </c>
      <c r="K173" s="180" t="str">
        <f ca="1"/>
        <v/>
      </c>
      <c r="L173" s="180" t="str">
        <f ca="1"/>
        <v/>
      </c>
      <c r="M173" s="180" t="str">
        <f ca="1"/>
        <v/>
      </c>
      <c r="N173" s="180" t="str">
        <f ca="1"/>
        <v/>
      </c>
      <c r="O173" s="180" t="str">
        <f ca="1"/>
        <v/>
      </c>
      <c r="P173" s="180" t="str">
        <f ca="1"/>
        <v/>
      </c>
      <c r="Q173" s="180" t="str">
        <f ca="1"/>
        <v/>
      </c>
      <c r="R173" s="180" t="str">
        <f ca="1"/>
        <v/>
      </c>
      <c r="S173" s="180" t="str">
        <f ca="1"/>
        <v/>
      </c>
      <c r="T173" s="180" t="str">
        <f ca="1"/>
        <v/>
      </c>
      <c r="U173" s="180" t="str">
        <f ca="1"/>
        <v/>
      </c>
      <c r="V173" s="180" t="str">
        <f ca="1"/>
        <v/>
      </c>
      <c r="W173" s="180" t="str">
        <f ca="1"/>
        <v/>
      </c>
      <c r="X173" s="180" t="str">
        <f ca="1"/>
        <v/>
      </c>
      <c r="Y173" s="180" t="str">
        <f ca="1"/>
        <v/>
      </c>
      <c r="Z173" s="180" t="str">
        <f ca="1"/>
        <v/>
      </c>
      <c r="AA173" s="180" t="str">
        <f ca="1"/>
        <v/>
      </c>
      <c r="AB173" s="180" t="str">
        <f ca="1"/>
        <v/>
      </c>
      <c r="AC173" s="180" t="str">
        <f ca="1"/>
        <v/>
      </c>
      <c r="AD173" s="180" t="str">
        <f ca="1"/>
        <v/>
      </c>
      <c r="AE173" s="180" t="str">
        <f ca="1"/>
        <v/>
      </c>
      <c r="AF173" s="180" t="str">
        <f ca="1"/>
        <v/>
      </c>
      <c r="AG173" s="180" t="str">
        <f ca="1"/>
        <v/>
      </c>
      <c r="AH173" s="180" t="str">
        <f ca="1"/>
        <v/>
      </c>
      <c r="AI173" s="180" t="str">
        <f ca="1"/>
        <v/>
      </c>
      <c r="AJ173" s="180" t="str">
        <f ca="1"/>
        <v/>
      </c>
      <c r="AK173" s="180" t="str">
        <f ca="1"/>
        <v/>
      </c>
      <c r="AL173" s="180" t="str">
        <f ca="1"/>
        <v/>
      </c>
      <c r="AM173" s="180" t="str">
        <f ca="1"/>
        <v/>
      </c>
      <c r="AN173" s="180" t="str">
        <f ca="1"/>
        <v/>
      </c>
      <c r="AO173" s="180" t="str">
        <f ca="1"/>
        <v/>
      </c>
      <c r="AP173" s="180" t="str">
        <f ca="1"/>
        <v/>
      </c>
      <c r="AQ173" t="str">
        <f ca="1"/>
        <v/>
      </c>
    </row>
    <row r="174" spans="2:43" x14ac:dyDescent="0.25">
      <c r="B174" s="179" t="str">
        <f ca="1"/>
        <v/>
      </c>
      <c r="C174" s="180" t="str">
        <f ca="1"/>
        <v/>
      </c>
      <c r="D174" s="180" t="str">
        <f ca="1"/>
        <v/>
      </c>
      <c r="E174" s="180" t="str">
        <f ca="1"/>
        <v/>
      </c>
      <c r="F174" s="180" t="str">
        <f ca="1"/>
        <v/>
      </c>
      <c r="G174" s="180" t="str">
        <f ca="1"/>
        <v/>
      </c>
      <c r="H174" s="180" t="str">
        <f ca="1"/>
        <v/>
      </c>
      <c r="I174" s="180" t="str">
        <f ca="1"/>
        <v/>
      </c>
      <c r="J174" s="180" t="str">
        <f ca="1"/>
        <v/>
      </c>
      <c r="K174" s="180" t="str">
        <f ca="1"/>
        <v/>
      </c>
      <c r="L174" s="180" t="str">
        <f ca="1"/>
        <v/>
      </c>
      <c r="M174" s="180" t="str">
        <f ca="1"/>
        <v/>
      </c>
      <c r="N174" s="180" t="str">
        <f ca="1"/>
        <v/>
      </c>
      <c r="O174" s="180" t="str">
        <f ca="1"/>
        <v/>
      </c>
      <c r="P174" s="180" t="str">
        <f ca="1"/>
        <v/>
      </c>
      <c r="Q174" s="180" t="str">
        <f ca="1"/>
        <v/>
      </c>
      <c r="R174" s="180" t="str">
        <f ca="1"/>
        <v/>
      </c>
      <c r="S174" s="180" t="str">
        <f ca="1"/>
        <v/>
      </c>
      <c r="T174" s="180" t="str">
        <f ca="1"/>
        <v/>
      </c>
      <c r="U174" s="180" t="str">
        <f ca="1"/>
        <v/>
      </c>
      <c r="V174" s="180" t="str">
        <f ca="1"/>
        <v/>
      </c>
      <c r="W174" s="180" t="str">
        <f ca="1"/>
        <v/>
      </c>
      <c r="X174" s="180" t="str">
        <f ca="1"/>
        <v/>
      </c>
      <c r="Y174" s="180" t="str">
        <f ca="1"/>
        <v/>
      </c>
      <c r="Z174" s="180" t="str">
        <f ca="1"/>
        <v/>
      </c>
      <c r="AA174" s="180" t="str">
        <f ca="1"/>
        <v/>
      </c>
      <c r="AB174" s="180" t="str">
        <f ca="1"/>
        <v/>
      </c>
      <c r="AC174" s="180" t="str">
        <f ca="1"/>
        <v/>
      </c>
      <c r="AD174" s="180" t="str">
        <f ca="1"/>
        <v/>
      </c>
      <c r="AE174" s="180" t="str">
        <f ca="1"/>
        <v/>
      </c>
      <c r="AF174" s="180" t="str">
        <f ca="1"/>
        <v/>
      </c>
      <c r="AG174" s="180" t="str">
        <f ca="1"/>
        <v/>
      </c>
      <c r="AH174" s="180" t="str">
        <f ca="1"/>
        <v/>
      </c>
      <c r="AI174" s="180" t="str">
        <f ca="1"/>
        <v/>
      </c>
      <c r="AJ174" s="180" t="str">
        <f ca="1"/>
        <v/>
      </c>
      <c r="AK174" s="180" t="str">
        <f ca="1"/>
        <v/>
      </c>
      <c r="AL174" s="180" t="str">
        <f ca="1"/>
        <v/>
      </c>
      <c r="AM174" s="180" t="str">
        <f ca="1"/>
        <v/>
      </c>
      <c r="AN174" s="180" t="str">
        <f ca="1"/>
        <v/>
      </c>
      <c r="AO174" s="180" t="str">
        <f ca="1"/>
        <v/>
      </c>
      <c r="AP174" s="180" t="str">
        <f ca="1"/>
        <v/>
      </c>
      <c r="AQ174" t="str">
        <f ca="1"/>
        <v/>
      </c>
    </row>
    <row r="175" spans="2:43" x14ac:dyDescent="0.25">
      <c r="B175" s="179" t="str">
        <f ca="1"/>
        <v/>
      </c>
      <c r="C175" s="180" t="str">
        <f ca="1"/>
        <v/>
      </c>
      <c r="D175" s="180" t="str">
        <f ca="1"/>
        <v/>
      </c>
      <c r="E175" s="180" t="str">
        <f ca="1"/>
        <v/>
      </c>
      <c r="F175" s="180" t="str">
        <f ca="1"/>
        <v/>
      </c>
      <c r="G175" s="180" t="str">
        <f ca="1"/>
        <v/>
      </c>
      <c r="H175" s="180" t="str">
        <f ca="1"/>
        <v/>
      </c>
      <c r="I175" s="180" t="str">
        <f ca="1"/>
        <v/>
      </c>
      <c r="J175" s="180" t="str">
        <f ca="1"/>
        <v/>
      </c>
      <c r="K175" s="180" t="str">
        <f ca="1"/>
        <v/>
      </c>
      <c r="L175" s="180" t="str">
        <f ca="1"/>
        <v/>
      </c>
      <c r="M175" s="180" t="str">
        <f ca="1"/>
        <v/>
      </c>
      <c r="N175" s="180" t="str">
        <f ca="1"/>
        <v/>
      </c>
      <c r="O175" s="180" t="str">
        <f ca="1"/>
        <v/>
      </c>
      <c r="P175" s="180" t="str">
        <f ca="1"/>
        <v/>
      </c>
      <c r="Q175" s="180" t="str">
        <f ca="1"/>
        <v/>
      </c>
      <c r="R175" s="180" t="str">
        <f ca="1"/>
        <v/>
      </c>
      <c r="S175" s="180" t="str">
        <f ca="1"/>
        <v/>
      </c>
      <c r="T175" s="180" t="str">
        <f ca="1"/>
        <v/>
      </c>
      <c r="U175" s="180" t="str">
        <f ca="1"/>
        <v/>
      </c>
      <c r="V175" s="180" t="str">
        <f ca="1"/>
        <v/>
      </c>
      <c r="W175" s="180" t="str">
        <f ca="1"/>
        <v/>
      </c>
      <c r="X175" s="180" t="str">
        <f ca="1"/>
        <v/>
      </c>
      <c r="Y175" s="180" t="str">
        <f ca="1"/>
        <v/>
      </c>
      <c r="Z175" s="180" t="str">
        <f ca="1"/>
        <v/>
      </c>
      <c r="AA175" s="180" t="str">
        <f ca="1"/>
        <v/>
      </c>
      <c r="AB175" s="180" t="str">
        <f ca="1"/>
        <v/>
      </c>
      <c r="AC175" s="180" t="str">
        <f ca="1"/>
        <v/>
      </c>
      <c r="AD175" s="180" t="str">
        <f ca="1"/>
        <v/>
      </c>
      <c r="AE175" s="180" t="str">
        <f ca="1"/>
        <v/>
      </c>
      <c r="AF175" s="180" t="str">
        <f ca="1"/>
        <v/>
      </c>
      <c r="AG175" s="180" t="str">
        <f ca="1"/>
        <v/>
      </c>
      <c r="AH175" s="180" t="str">
        <f ca="1"/>
        <v/>
      </c>
      <c r="AI175" s="180" t="str">
        <f ca="1"/>
        <v/>
      </c>
      <c r="AJ175" s="180" t="str">
        <f ca="1"/>
        <v/>
      </c>
      <c r="AK175" s="180" t="str">
        <f ca="1"/>
        <v/>
      </c>
      <c r="AL175" s="180" t="str">
        <f ca="1"/>
        <v/>
      </c>
      <c r="AM175" s="180" t="str">
        <f ca="1"/>
        <v/>
      </c>
      <c r="AN175" s="180" t="str">
        <f ca="1"/>
        <v/>
      </c>
      <c r="AO175" s="180" t="str">
        <f ca="1"/>
        <v/>
      </c>
      <c r="AP175" s="180" t="str">
        <f ca="1"/>
        <v/>
      </c>
      <c r="AQ175" t="str">
        <f ca="1"/>
        <v/>
      </c>
    </row>
    <row r="176" spans="2:43" x14ac:dyDescent="0.25">
      <c r="B176" s="179" t="str">
        <f ca="1"/>
        <v/>
      </c>
      <c r="C176" s="180" t="str">
        <f ca="1"/>
        <v/>
      </c>
      <c r="D176" s="180" t="str">
        <f ca="1"/>
        <v/>
      </c>
      <c r="E176" s="180" t="str">
        <f ca="1"/>
        <v/>
      </c>
      <c r="F176" s="180" t="str">
        <f ca="1"/>
        <v/>
      </c>
      <c r="G176" s="180" t="str">
        <f ca="1"/>
        <v/>
      </c>
      <c r="H176" s="180" t="str">
        <f ca="1"/>
        <v/>
      </c>
      <c r="I176" s="180" t="str">
        <f ca="1"/>
        <v/>
      </c>
      <c r="J176" s="180" t="str">
        <f ca="1"/>
        <v/>
      </c>
      <c r="K176" s="180" t="str">
        <f ca="1"/>
        <v/>
      </c>
      <c r="L176" s="180" t="str">
        <f ca="1"/>
        <v/>
      </c>
      <c r="M176" s="180" t="str">
        <f ca="1"/>
        <v/>
      </c>
      <c r="N176" s="180" t="str">
        <f ca="1"/>
        <v/>
      </c>
      <c r="O176" s="180" t="str">
        <f ca="1"/>
        <v/>
      </c>
      <c r="P176" s="180" t="str">
        <f ca="1"/>
        <v/>
      </c>
      <c r="Q176" s="180" t="str">
        <f ca="1"/>
        <v/>
      </c>
      <c r="R176" s="180" t="str">
        <f ca="1"/>
        <v/>
      </c>
      <c r="S176" s="180" t="str">
        <f ca="1"/>
        <v/>
      </c>
      <c r="T176" s="180" t="str">
        <f ca="1"/>
        <v/>
      </c>
      <c r="U176" s="180" t="str">
        <f ca="1"/>
        <v/>
      </c>
      <c r="V176" s="180" t="str">
        <f ca="1"/>
        <v/>
      </c>
      <c r="W176" s="180" t="str">
        <f ca="1"/>
        <v/>
      </c>
      <c r="X176" s="180" t="str">
        <f ca="1"/>
        <v/>
      </c>
      <c r="Y176" s="180" t="str">
        <f ca="1"/>
        <v/>
      </c>
      <c r="Z176" s="180" t="str">
        <f ca="1"/>
        <v/>
      </c>
      <c r="AA176" s="180" t="str">
        <f ca="1"/>
        <v/>
      </c>
      <c r="AB176" s="180" t="str">
        <f ca="1"/>
        <v/>
      </c>
      <c r="AC176" s="180" t="str">
        <f ca="1"/>
        <v/>
      </c>
      <c r="AD176" s="180" t="str">
        <f ca="1"/>
        <v/>
      </c>
      <c r="AE176" s="180" t="str">
        <f ca="1"/>
        <v/>
      </c>
      <c r="AF176" s="180" t="str">
        <f ca="1"/>
        <v/>
      </c>
      <c r="AG176" s="180" t="str">
        <f ca="1"/>
        <v/>
      </c>
      <c r="AH176" s="180" t="str">
        <f ca="1"/>
        <v/>
      </c>
      <c r="AI176" s="180" t="str">
        <f ca="1"/>
        <v/>
      </c>
      <c r="AJ176" s="180" t="str">
        <f ca="1"/>
        <v/>
      </c>
      <c r="AK176" s="180" t="str">
        <f ca="1"/>
        <v/>
      </c>
      <c r="AL176" s="180" t="str">
        <f ca="1"/>
        <v/>
      </c>
      <c r="AM176" s="180" t="str">
        <f ca="1"/>
        <v/>
      </c>
      <c r="AN176" s="180" t="str">
        <f ca="1"/>
        <v/>
      </c>
      <c r="AO176" s="180" t="str">
        <f ca="1"/>
        <v/>
      </c>
      <c r="AP176" s="180" t="str">
        <f ca="1"/>
        <v/>
      </c>
      <c r="AQ176" t="str">
        <f ca="1"/>
        <v/>
      </c>
    </row>
    <row r="177" spans="2:43" x14ac:dyDescent="0.25">
      <c r="B177" s="179" t="str">
        <f ca="1"/>
        <v/>
      </c>
      <c r="C177" s="180" t="str">
        <f ca="1"/>
        <v/>
      </c>
      <c r="D177" s="180" t="str">
        <f ca="1"/>
        <v/>
      </c>
      <c r="E177" s="180" t="str">
        <f ca="1"/>
        <v/>
      </c>
      <c r="F177" s="180" t="str">
        <f ca="1"/>
        <v/>
      </c>
      <c r="G177" s="180" t="str">
        <f ca="1"/>
        <v/>
      </c>
      <c r="H177" s="180" t="str">
        <f ca="1"/>
        <v/>
      </c>
      <c r="I177" s="180" t="str">
        <f ca="1"/>
        <v/>
      </c>
      <c r="J177" s="180" t="str">
        <f ca="1"/>
        <v/>
      </c>
      <c r="K177" s="180" t="str">
        <f ca="1"/>
        <v/>
      </c>
      <c r="L177" s="180" t="str">
        <f ca="1"/>
        <v/>
      </c>
      <c r="M177" s="180" t="str">
        <f ca="1"/>
        <v/>
      </c>
      <c r="N177" s="180" t="str">
        <f ca="1"/>
        <v/>
      </c>
      <c r="O177" s="180" t="str">
        <f ca="1"/>
        <v/>
      </c>
      <c r="P177" s="180" t="str">
        <f ca="1"/>
        <v/>
      </c>
      <c r="Q177" s="180" t="str">
        <f ca="1"/>
        <v/>
      </c>
      <c r="R177" s="180" t="str">
        <f ca="1"/>
        <v/>
      </c>
      <c r="S177" s="180" t="str">
        <f ca="1"/>
        <v/>
      </c>
      <c r="T177" s="180" t="str">
        <f ca="1"/>
        <v/>
      </c>
      <c r="U177" s="180" t="str">
        <f ca="1"/>
        <v/>
      </c>
      <c r="V177" s="180" t="str">
        <f ca="1"/>
        <v/>
      </c>
      <c r="W177" s="180" t="str">
        <f ca="1"/>
        <v/>
      </c>
      <c r="X177" s="180" t="str">
        <f ca="1"/>
        <v/>
      </c>
      <c r="Y177" s="180" t="str">
        <f ca="1"/>
        <v/>
      </c>
      <c r="Z177" s="180" t="str">
        <f ca="1"/>
        <v/>
      </c>
      <c r="AA177" s="180" t="str">
        <f ca="1"/>
        <v/>
      </c>
      <c r="AB177" s="180" t="str">
        <f ca="1"/>
        <v/>
      </c>
      <c r="AC177" s="180" t="str">
        <f ca="1"/>
        <v/>
      </c>
      <c r="AD177" s="180" t="str">
        <f ca="1"/>
        <v/>
      </c>
      <c r="AE177" s="180" t="str">
        <f ca="1"/>
        <v/>
      </c>
      <c r="AF177" s="180" t="str">
        <f ca="1"/>
        <v/>
      </c>
      <c r="AG177" s="180" t="str">
        <f ca="1"/>
        <v/>
      </c>
      <c r="AH177" s="180" t="str">
        <f ca="1"/>
        <v/>
      </c>
      <c r="AI177" s="180" t="str">
        <f ca="1"/>
        <v/>
      </c>
      <c r="AJ177" s="180" t="str">
        <f ca="1"/>
        <v/>
      </c>
      <c r="AK177" s="180" t="str">
        <f ca="1"/>
        <v/>
      </c>
      <c r="AL177" s="180" t="str">
        <f ca="1"/>
        <v/>
      </c>
      <c r="AM177" s="180" t="str">
        <f ca="1"/>
        <v/>
      </c>
      <c r="AN177" s="180" t="str">
        <f ca="1"/>
        <v/>
      </c>
      <c r="AO177" s="180" t="str">
        <f ca="1"/>
        <v/>
      </c>
      <c r="AP177" s="180" t="str">
        <f ca="1"/>
        <v/>
      </c>
      <c r="AQ177" t="str">
        <f ca="1"/>
        <v/>
      </c>
    </row>
    <row r="178" spans="2:43" x14ac:dyDescent="0.25">
      <c r="B178" s="179" t="str">
        <f ca="1"/>
        <v/>
      </c>
      <c r="C178" s="180" t="str">
        <f ca="1"/>
        <v/>
      </c>
      <c r="D178" s="180" t="str">
        <f ca="1"/>
        <v/>
      </c>
      <c r="E178" s="180" t="str">
        <f ca="1"/>
        <v/>
      </c>
      <c r="F178" s="180" t="str">
        <f ca="1"/>
        <v/>
      </c>
      <c r="G178" s="180" t="str">
        <f ca="1"/>
        <v/>
      </c>
      <c r="H178" s="180" t="str">
        <f ca="1"/>
        <v/>
      </c>
      <c r="I178" s="180" t="str">
        <f ca="1"/>
        <v/>
      </c>
      <c r="J178" s="180" t="str">
        <f ca="1"/>
        <v/>
      </c>
      <c r="K178" s="180" t="str">
        <f ca="1"/>
        <v/>
      </c>
      <c r="L178" s="180" t="str">
        <f ca="1"/>
        <v/>
      </c>
      <c r="M178" s="180" t="str">
        <f ca="1"/>
        <v/>
      </c>
      <c r="N178" s="180" t="str">
        <f ca="1"/>
        <v/>
      </c>
      <c r="O178" s="180" t="str">
        <f ca="1"/>
        <v/>
      </c>
      <c r="P178" s="180" t="str">
        <f ca="1"/>
        <v/>
      </c>
      <c r="Q178" s="180" t="str">
        <f ca="1"/>
        <v/>
      </c>
      <c r="R178" s="180" t="str">
        <f ca="1"/>
        <v/>
      </c>
      <c r="S178" s="180" t="str">
        <f ca="1"/>
        <v/>
      </c>
      <c r="T178" s="180" t="str">
        <f ca="1"/>
        <v/>
      </c>
      <c r="U178" s="180" t="str">
        <f ca="1"/>
        <v/>
      </c>
      <c r="V178" s="180" t="str">
        <f ca="1"/>
        <v/>
      </c>
      <c r="W178" s="180" t="str">
        <f ca="1"/>
        <v/>
      </c>
      <c r="X178" s="180" t="str">
        <f ca="1"/>
        <v/>
      </c>
      <c r="Y178" s="180" t="str">
        <f ca="1"/>
        <v/>
      </c>
      <c r="Z178" s="180" t="str">
        <f ca="1"/>
        <v/>
      </c>
      <c r="AA178" s="180" t="str">
        <f ca="1"/>
        <v/>
      </c>
      <c r="AB178" s="180" t="str">
        <f ca="1"/>
        <v/>
      </c>
      <c r="AC178" s="180" t="str">
        <f ca="1"/>
        <v/>
      </c>
      <c r="AD178" s="180" t="str">
        <f ca="1"/>
        <v/>
      </c>
      <c r="AE178" s="180" t="str">
        <f ca="1"/>
        <v/>
      </c>
      <c r="AF178" s="180" t="str">
        <f ca="1"/>
        <v/>
      </c>
      <c r="AG178" s="180" t="str">
        <f ca="1"/>
        <v/>
      </c>
      <c r="AH178" s="180" t="str">
        <f ca="1"/>
        <v/>
      </c>
      <c r="AI178" s="180" t="str">
        <f ca="1"/>
        <v/>
      </c>
      <c r="AJ178" s="180" t="str">
        <f ca="1"/>
        <v/>
      </c>
      <c r="AK178" s="180" t="str">
        <f ca="1"/>
        <v/>
      </c>
      <c r="AL178" s="180" t="str">
        <f ca="1"/>
        <v/>
      </c>
      <c r="AM178" s="180" t="str">
        <f ca="1"/>
        <v/>
      </c>
      <c r="AN178" s="180" t="str">
        <f ca="1"/>
        <v/>
      </c>
      <c r="AO178" s="180" t="str">
        <f ca="1"/>
        <v/>
      </c>
      <c r="AP178" s="180" t="str">
        <f ca="1"/>
        <v/>
      </c>
      <c r="AQ178" t="str">
        <f ca="1"/>
        <v/>
      </c>
    </row>
    <row r="179" spans="2:43" x14ac:dyDescent="0.25">
      <c r="B179" s="179" t="str">
        <f ca="1"/>
        <v/>
      </c>
      <c r="C179" s="180" t="str">
        <f ca="1"/>
        <v/>
      </c>
      <c r="D179" s="180" t="str">
        <f ca="1"/>
        <v/>
      </c>
      <c r="E179" s="180" t="str">
        <f ca="1"/>
        <v/>
      </c>
      <c r="F179" s="180" t="str">
        <f ca="1"/>
        <v/>
      </c>
      <c r="G179" s="180" t="str">
        <f ca="1"/>
        <v/>
      </c>
      <c r="H179" s="180" t="str">
        <f ca="1"/>
        <v/>
      </c>
      <c r="I179" s="180" t="str">
        <f ca="1"/>
        <v/>
      </c>
      <c r="J179" s="180" t="str">
        <f ca="1"/>
        <v/>
      </c>
      <c r="K179" s="180" t="str">
        <f ca="1"/>
        <v/>
      </c>
      <c r="L179" s="180" t="str">
        <f ca="1"/>
        <v/>
      </c>
      <c r="M179" s="180" t="str">
        <f ca="1"/>
        <v/>
      </c>
      <c r="N179" s="180" t="str">
        <f ca="1"/>
        <v/>
      </c>
      <c r="O179" s="180" t="str">
        <f ca="1"/>
        <v/>
      </c>
      <c r="P179" s="180" t="str">
        <f ca="1"/>
        <v/>
      </c>
      <c r="Q179" s="180" t="str">
        <f ca="1"/>
        <v/>
      </c>
      <c r="R179" s="180" t="str">
        <f ca="1"/>
        <v/>
      </c>
      <c r="S179" s="180" t="str">
        <f ca="1"/>
        <v/>
      </c>
      <c r="T179" s="180" t="str">
        <f ca="1"/>
        <v/>
      </c>
      <c r="U179" s="180" t="str">
        <f ca="1"/>
        <v/>
      </c>
      <c r="V179" s="180" t="str">
        <f ca="1"/>
        <v/>
      </c>
      <c r="W179" s="180" t="str">
        <f ca="1"/>
        <v/>
      </c>
      <c r="X179" s="180" t="str">
        <f ca="1"/>
        <v/>
      </c>
      <c r="Y179" s="180" t="str">
        <f ca="1"/>
        <v/>
      </c>
      <c r="Z179" s="180" t="str">
        <f ca="1"/>
        <v/>
      </c>
      <c r="AA179" s="180" t="str">
        <f ca="1"/>
        <v/>
      </c>
      <c r="AB179" s="180" t="str">
        <f ca="1"/>
        <v/>
      </c>
      <c r="AC179" s="180" t="str">
        <f ca="1"/>
        <v/>
      </c>
      <c r="AD179" s="180" t="str">
        <f ca="1"/>
        <v/>
      </c>
      <c r="AE179" s="180" t="str">
        <f ca="1"/>
        <v/>
      </c>
      <c r="AF179" s="180" t="str">
        <f ca="1"/>
        <v/>
      </c>
      <c r="AG179" s="180" t="str">
        <f ca="1"/>
        <v/>
      </c>
      <c r="AH179" s="180" t="str">
        <f ca="1"/>
        <v/>
      </c>
      <c r="AI179" s="180" t="str">
        <f ca="1"/>
        <v/>
      </c>
      <c r="AJ179" s="180" t="str">
        <f ca="1"/>
        <v/>
      </c>
      <c r="AK179" s="180" t="str">
        <f ca="1"/>
        <v/>
      </c>
      <c r="AL179" s="180" t="str">
        <f ca="1"/>
        <v/>
      </c>
      <c r="AM179" s="180" t="str">
        <f ca="1"/>
        <v/>
      </c>
      <c r="AN179" s="180" t="str">
        <f ca="1"/>
        <v/>
      </c>
      <c r="AO179" s="180" t="str">
        <f ca="1"/>
        <v/>
      </c>
      <c r="AP179" s="180" t="str">
        <f ca="1"/>
        <v/>
      </c>
      <c r="AQ179" t="str">
        <f ca="1"/>
        <v/>
      </c>
    </row>
    <row r="180" spans="2:43" x14ac:dyDescent="0.25">
      <c r="B180" s="179" t="str">
        <f ca="1"/>
        <v/>
      </c>
      <c r="C180" s="180" t="str">
        <f ca="1"/>
        <v/>
      </c>
      <c r="D180" s="180" t="str">
        <f ca="1"/>
        <v/>
      </c>
      <c r="E180" s="180" t="str">
        <f ca="1"/>
        <v/>
      </c>
      <c r="F180" s="180" t="str">
        <f ca="1"/>
        <v/>
      </c>
      <c r="G180" s="180" t="str">
        <f ca="1"/>
        <v/>
      </c>
      <c r="H180" s="180" t="str">
        <f ca="1"/>
        <v/>
      </c>
      <c r="I180" s="180" t="str">
        <f ca="1"/>
        <v/>
      </c>
      <c r="J180" s="180" t="str">
        <f ca="1"/>
        <v/>
      </c>
      <c r="K180" s="180" t="str">
        <f ca="1"/>
        <v/>
      </c>
      <c r="L180" s="180" t="str">
        <f ca="1"/>
        <v/>
      </c>
      <c r="M180" s="180" t="str">
        <f ca="1"/>
        <v/>
      </c>
      <c r="N180" s="180" t="str">
        <f ca="1"/>
        <v/>
      </c>
      <c r="O180" s="180" t="str">
        <f ca="1"/>
        <v/>
      </c>
      <c r="P180" s="180" t="str">
        <f ca="1"/>
        <v/>
      </c>
      <c r="Q180" s="180" t="str">
        <f ca="1"/>
        <v/>
      </c>
      <c r="R180" s="180" t="str">
        <f ca="1"/>
        <v/>
      </c>
      <c r="S180" s="180" t="str">
        <f ca="1"/>
        <v/>
      </c>
      <c r="T180" s="180" t="str">
        <f ca="1"/>
        <v/>
      </c>
      <c r="U180" s="180" t="str">
        <f ca="1"/>
        <v/>
      </c>
      <c r="V180" s="180" t="str">
        <f ca="1"/>
        <v/>
      </c>
      <c r="W180" s="180" t="str">
        <f ca="1"/>
        <v/>
      </c>
      <c r="X180" s="180" t="str">
        <f ca="1"/>
        <v/>
      </c>
      <c r="Y180" s="180" t="str">
        <f ca="1"/>
        <v/>
      </c>
      <c r="Z180" s="180" t="str">
        <f ca="1"/>
        <v/>
      </c>
      <c r="AA180" s="180" t="str">
        <f ca="1"/>
        <v/>
      </c>
      <c r="AB180" s="180" t="str">
        <f ca="1"/>
        <v/>
      </c>
      <c r="AC180" s="180" t="str">
        <f ca="1"/>
        <v/>
      </c>
      <c r="AD180" s="180" t="str">
        <f ca="1"/>
        <v/>
      </c>
      <c r="AE180" s="180" t="str">
        <f ca="1"/>
        <v/>
      </c>
      <c r="AF180" s="180" t="str">
        <f ca="1"/>
        <v/>
      </c>
      <c r="AG180" s="180" t="str">
        <f ca="1"/>
        <v/>
      </c>
      <c r="AH180" s="180" t="str">
        <f ca="1"/>
        <v/>
      </c>
      <c r="AI180" s="180" t="str">
        <f ca="1"/>
        <v/>
      </c>
      <c r="AJ180" s="180" t="str">
        <f ca="1"/>
        <v/>
      </c>
      <c r="AK180" s="180" t="str">
        <f ca="1"/>
        <v/>
      </c>
      <c r="AL180" s="180" t="str">
        <f ca="1"/>
        <v/>
      </c>
      <c r="AM180" s="180" t="str">
        <f ca="1"/>
        <v/>
      </c>
      <c r="AN180" s="180" t="str">
        <f ca="1"/>
        <v/>
      </c>
      <c r="AO180" s="180" t="str">
        <f ca="1"/>
        <v/>
      </c>
      <c r="AP180" s="180" t="str">
        <f ca="1"/>
        <v/>
      </c>
      <c r="AQ180" t="str">
        <f ca="1"/>
        <v/>
      </c>
    </row>
    <row r="181" spans="2:43" x14ac:dyDescent="0.25">
      <c r="B181" s="179" t="str">
        <f ca="1"/>
        <v/>
      </c>
      <c r="C181" s="180" t="str">
        <f ca="1"/>
        <v/>
      </c>
      <c r="D181" s="180" t="str">
        <f ca="1"/>
        <v/>
      </c>
      <c r="E181" s="180" t="str">
        <f ca="1"/>
        <v/>
      </c>
      <c r="F181" s="180" t="str">
        <f ca="1"/>
        <v/>
      </c>
      <c r="G181" s="180" t="str">
        <f ca="1"/>
        <v/>
      </c>
      <c r="H181" s="180" t="str">
        <f ca="1"/>
        <v/>
      </c>
      <c r="I181" s="180" t="str">
        <f ca="1"/>
        <v/>
      </c>
      <c r="J181" s="180" t="str">
        <f ca="1"/>
        <v/>
      </c>
      <c r="K181" s="180" t="str">
        <f ca="1"/>
        <v/>
      </c>
      <c r="L181" s="180" t="str">
        <f ca="1"/>
        <v/>
      </c>
      <c r="M181" s="180" t="str">
        <f ca="1"/>
        <v/>
      </c>
      <c r="N181" s="180" t="str">
        <f ca="1"/>
        <v/>
      </c>
      <c r="O181" s="180" t="str">
        <f ca="1"/>
        <v/>
      </c>
      <c r="P181" s="180" t="str">
        <f ca="1"/>
        <v/>
      </c>
      <c r="Q181" s="180" t="str">
        <f ca="1"/>
        <v/>
      </c>
      <c r="R181" s="180" t="str">
        <f ca="1"/>
        <v/>
      </c>
      <c r="S181" s="180" t="str">
        <f ca="1"/>
        <v/>
      </c>
      <c r="T181" s="180" t="str">
        <f ca="1"/>
        <v/>
      </c>
      <c r="U181" s="180" t="str">
        <f ca="1"/>
        <v/>
      </c>
      <c r="V181" s="180" t="str">
        <f ca="1"/>
        <v/>
      </c>
      <c r="W181" s="180" t="str">
        <f ca="1"/>
        <v/>
      </c>
      <c r="X181" s="180" t="str">
        <f ca="1"/>
        <v/>
      </c>
      <c r="Y181" s="180" t="str">
        <f ca="1"/>
        <v/>
      </c>
      <c r="Z181" s="180" t="str">
        <f ca="1"/>
        <v/>
      </c>
      <c r="AA181" s="180" t="str">
        <f ca="1"/>
        <v/>
      </c>
      <c r="AB181" s="180" t="str">
        <f ca="1"/>
        <v/>
      </c>
      <c r="AC181" s="180" t="str">
        <f ca="1"/>
        <v/>
      </c>
      <c r="AD181" s="180" t="str">
        <f ca="1"/>
        <v/>
      </c>
      <c r="AE181" s="180" t="str">
        <f ca="1"/>
        <v/>
      </c>
      <c r="AF181" s="180" t="str">
        <f ca="1"/>
        <v/>
      </c>
      <c r="AG181" s="180" t="str">
        <f ca="1"/>
        <v/>
      </c>
      <c r="AH181" s="180" t="str">
        <f ca="1"/>
        <v/>
      </c>
      <c r="AI181" s="180" t="str">
        <f ca="1"/>
        <v/>
      </c>
      <c r="AJ181" s="180" t="str">
        <f ca="1"/>
        <v/>
      </c>
      <c r="AK181" s="180" t="str">
        <f ca="1"/>
        <v/>
      </c>
      <c r="AL181" s="180" t="str">
        <f ca="1"/>
        <v/>
      </c>
      <c r="AM181" s="180" t="str">
        <f ca="1"/>
        <v/>
      </c>
      <c r="AN181" s="180" t="str">
        <f ca="1"/>
        <v/>
      </c>
      <c r="AO181" s="180" t="str">
        <f ca="1"/>
        <v/>
      </c>
      <c r="AP181" s="180" t="str">
        <f ca="1"/>
        <v/>
      </c>
      <c r="AQ181" t="str">
        <f ca="1"/>
        <v/>
      </c>
    </row>
    <row r="182" spans="2:43" x14ac:dyDescent="0.25">
      <c r="B182" s="179" t="str">
        <f ca="1"/>
        <v/>
      </c>
      <c r="C182" s="180" t="str">
        <f ca="1"/>
        <v/>
      </c>
      <c r="D182" s="180" t="str">
        <f ca="1"/>
        <v/>
      </c>
      <c r="E182" s="180" t="str">
        <f ca="1"/>
        <v/>
      </c>
      <c r="F182" s="180" t="str">
        <f ca="1"/>
        <v/>
      </c>
      <c r="G182" s="180" t="str">
        <f ca="1"/>
        <v/>
      </c>
      <c r="H182" s="180" t="str">
        <f ca="1"/>
        <v/>
      </c>
      <c r="I182" s="180" t="str">
        <f ca="1"/>
        <v/>
      </c>
      <c r="J182" s="180" t="str">
        <f ca="1"/>
        <v/>
      </c>
      <c r="K182" s="180" t="str">
        <f ca="1"/>
        <v/>
      </c>
      <c r="L182" s="180" t="str">
        <f ca="1"/>
        <v/>
      </c>
      <c r="M182" s="180" t="str">
        <f ca="1"/>
        <v/>
      </c>
      <c r="N182" s="180" t="str">
        <f ca="1"/>
        <v/>
      </c>
      <c r="O182" s="180" t="str">
        <f ca="1"/>
        <v/>
      </c>
      <c r="P182" s="180" t="str">
        <f ca="1"/>
        <v/>
      </c>
      <c r="Q182" s="180" t="str">
        <f ca="1"/>
        <v/>
      </c>
      <c r="R182" s="180" t="str">
        <f ca="1"/>
        <v/>
      </c>
      <c r="S182" s="180" t="str">
        <f ca="1"/>
        <v/>
      </c>
      <c r="T182" s="180" t="str">
        <f ca="1"/>
        <v/>
      </c>
      <c r="U182" s="180" t="str">
        <f ca="1"/>
        <v/>
      </c>
      <c r="V182" s="180" t="str">
        <f ca="1"/>
        <v/>
      </c>
      <c r="W182" s="180" t="str">
        <f ca="1"/>
        <v/>
      </c>
      <c r="X182" s="180" t="str">
        <f ca="1"/>
        <v/>
      </c>
      <c r="Y182" s="180" t="str">
        <f ca="1"/>
        <v/>
      </c>
      <c r="Z182" s="180" t="str">
        <f ca="1"/>
        <v/>
      </c>
      <c r="AA182" s="180" t="str">
        <f ca="1"/>
        <v/>
      </c>
      <c r="AB182" s="180" t="str">
        <f ca="1"/>
        <v/>
      </c>
      <c r="AC182" s="180" t="str">
        <f ca="1"/>
        <v/>
      </c>
      <c r="AD182" s="180" t="str">
        <f ca="1"/>
        <v/>
      </c>
      <c r="AE182" s="180" t="str">
        <f ca="1"/>
        <v/>
      </c>
      <c r="AF182" s="180" t="str">
        <f ca="1"/>
        <v/>
      </c>
      <c r="AG182" s="180" t="str">
        <f ca="1"/>
        <v/>
      </c>
      <c r="AH182" s="180" t="str">
        <f ca="1"/>
        <v/>
      </c>
      <c r="AI182" s="180" t="str">
        <f ca="1"/>
        <v/>
      </c>
      <c r="AJ182" s="180" t="str">
        <f ca="1"/>
        <v/>
      </c>
      <c r="AK182" s="180" t="str">
        <f ca="1"/>
        <v/>
      </c>
      <c r="AL182" s="180" t="str">
        <f ca="1"/>
        <v/>
      </c>
      <c r="AM182" s="180" t="str">
        <f ca="1"/>
        <v/>
      </c>
      <c r="AN182" s="180" t="str">
        <f ca="1"/>
        <v/>
      </c>
      <c r="AO182" s="180" t="str">
        <f ca="1"/>
        <v/>
      </c>
      <c r="AP182" s="180" t="str">
        <f ca="1"/>
        <v/>
      </c>
      <c r="AQ182" t="str">
        <f ca="1"/>
        <v/>
      </c>
    </row>
    <row r="183" spans="2:43" x14ac:dyDescent="0.25">
      <c r="B183" s="179" t="str">
        <f ca="1"/>
        <v/>
      </c>
      <c r="C183" s="180" t="str">
        <f ca="1"/>
        <v/>
      </c>
      <c r="D183" s="180" t="str">
        <f ca="1"/>
        <v/>
      </c>
      <c r="E183" s="180" t="str">
        <f ca="1"/>
        <v/>
      </c>
      <c r="F183" s="180" t="str">
        <f ca="1"/>
        <v/>
      </c>
      <c r="G183" s="180" t="str">
        <f ca="1"/>
        <v/>
      </c>
      <c r="H183" s="180" t="str">
        <f ca="1"/>
        <v/>
      </c>
      <c r="I183" s="180" t="str">
        <f ca="1"/>
        <v/>
      </c>
      <c r="J183" s="180" t="str">
        <f ca="1"/>
        <v/>
      </c>
      <c r="K183" s="180" t="str">
        <f ca="1"/>
        <v/>
      </c>
      <c r="L183" s="180" t="str">
        <f ca="1"/>
        <v/>
      </c>
      <c r="M183" s="180" t="str">
        <f ca="1"/>
        <v/>
      </c>
      <c r="N183" s="180" t="str">
        <f ca="1"/>
        <v/>
      </c>
      <c r="O183" s="180" t="str">
        <f ca="1"/>
        <v/>
      </c>
      <c r="P183" s="180" t="str">
        <f ca="1"/>
        <v/>
      </c>
      <c r="Q183" s="180" t="str">
        <f ca="1"/>
        <v/>
      </c>
      <c r="R183" s="180" t="str">
        <f ca="1"/>
        <v/>
      </c>
      <c r="S183" s="180" t="str">
        <f ca="1"/>
        <v/>
      </c>
      <c r="T183" s="180" t="str">
        <f ca="1"/>
        <v/>
      </c>
      <c r="U183" s="180" t="str">
        <f ca="1"/>
        <v/>
      </c>
      <c r="V183" s="180" t="str">
        <f ca="1"/>
        <v/>
      </c>
      <c r="W183" s="180" t="str">
        <f ca="1"/>
        <v/>
      </c>
      <c r="X183" s="180" t="str">
        <f ca="1"/>
        <v/>
      </c>
      <c r="Y183" s="180" t="str">
        <f ca="1"/>
        <v/>
      </c>
      <c r="Z183" s="180" t="str">
        <f ca="1"/>
        <v/>
      </c>
      <c r="AA183" s="180" t="str">
        <f ca="1"/>
        <v/>
      </c>
      <c r="AB183" s="180" t="str">
        <f ca="1"/>
        <v/>
      </c>
      <c r="AC183" s="180" t="str">
        <f ca="1"/>
        <v/>
      </c>
      <c r="AD183" s="180" t="str">
        <f ca="1"/>
        <v/>
      </c>
      <c r="AE183" s="180" t="str">
        <f ca="1"/>
        <v/>
      </c>
      <c r="AF183" s="180" t="str">
        <f ca="1"/>
        <v/>
      </c>
      <c r="AG183" s="180" t="str">
        <f ca="1"/>
        <v/>
      </c>
      <c r="AH183" s="180" t="str">
        <f ca="1"/>
        <v/>
      </c>
      <c r="AI183" s="180" t="str">
        <f ca="1"/>
        <v/>
      </c>
      <c r="AJ183" s="180" t="str">
        <f ca="1"/>
        <v/>
      </c>
      <c r="AK183" s="180" t="str">
        <f ca="1"/>
        <v/>
      </c>
      <c r="AL183" s="180" t="str">
        <f ca="1"/>
        <v/>
      </c>
      <c r="AM183" s="180" t="str">
        <f ca="1"/>
        <v/>
      </c>
      <c r="AN183" s="180" t="str">
        <f ca="1"/>
        <v/>
      </c>
      <c r="AO183" s="180" t="str">
        <f ca="1"/>
        <v/>
      </c>
      <c r="AP183" s="180" t="str">
        <f ca="1"/>
        <v/>
      </c>
      <c r="AQ183" t="str">
        <f ca="1"/>
        <v/>
      </c>
    </row>
    <row r="184" spans="2:43" x14ac:dyDescent="0.25">
      <c r="B184" s="179" t="str">
        <f ca="1"/>
        <v/>
      </c>
      <c r="C184" s="180" t="str">
        <f ca="1"/>
        <v/>
      </c>
      <c r="D184" s="180" t="str">
        <f ca="1"/>
        <v/>
      </c>
      <c r="E184" s="180" t="str">
        <f ca="1"/>
        <v/>
      </c>
      <c r="F184" s="180" t="str">
        <f ca="1"/>
        <v/>
      </c>
      <c r="G184" s="180" t="str">
        <f ca="1"/>
        <v/>
      </c>
      <c r="H184" s="180" t="str">
        <f ca="1"/>
        <v/>
      </c>
      <c r="I184" s="180" t="str">
        <f ca="1"/>
        <v/>
      </c>
      <c r="J184" s="180" t="str">
        <f ca="1"/>
        <v/>
      </c>
      <c r="K184" s="180" t="str">
        <f ca="1"/>
        <v/>
      </c>
      <c r="L184" s="180" t="str">
        <f ca="1"/>
        <v/>
      </c>
      <c r="M184" s="180" t="str">
        <f ca="1"/>
        <v/>
      </c>
      <c r="N184" s="180" t="str">
        <f ca="1"/>
        <v/>
      </c>
      <c r="O184" s="180" t="str">
        <f ca="1"/>
        <v/>
      </c>
      <c r="P184" s="180" t="str">
        <f ca="1"/>
        <v/>
      </c>
      <c r="Q184" s="180" t="str">
        <f ca="1"/>
        <v/>
      </c>
      <c r="R184" s="180" t="str">
        <f ca="1"/>
        <v/>
      </c>
      <c r="S184" s="180" t="str">
        <f ca="1"/>
        <v/>
      </c>
      <c r="T184" s="180" t="str">
        <f ca="1"/>
        <v/>
      </c>
      <c r="U184" s="180" t="str">
        <f ca="1"/>
        <v/>
      </c>
      <c r="V184" s="180" t="str">
        <f ca="1"/>
        <v/>
      </c>
      <c r="W184" s="180" t="str">
        <f ca="1"/>
        <v/>
      </c>
      <c r="X184" s="180" t="str">
        <f ca="1"/>
        <v/>
      </c>
      <c r="Y184" s="180" t="str">
        <f ca="1"/>
        <v/>
      </c>
      <c r="Z184" s="180" t="str">
        <f ca="1"/>
        <v/>
      </c>
      <c r="AA184" s="180" t="str">
        <f ca="1"/>
        <v/>
      </c>
      <c r="AB184" s="180" t="str">
        <f ca="1"/>
        <v/>
      </c>
      <c r="AC184" s="180" t="str">
        <f ca="1"/>
        <v/>
      </c>
      <c r="AD184" s="180" t="str">
        <f ca="1"/>
        <v/>
      </c>
      <c r="AE184" s="180" t="str">
        <f ca="1"/>
        <v/>
      </c>
      <c r="AF184" s="180" t="str">
        <f ca="1"/>
        <v/>
      </c>
      <c r="AG184" s="180" t="str">
        <f ca="1"/>
        <v/>
      </c>
      <c r="AH184" s="180" t="str">
        <f ca="1"/>
        <v/>
      </c>
      <c r="AI184" s="180" t="str">
        <f ca="1"/>
        <v/>
      </c>
      <c r="AJ184" s="180" t="str">
        <f ca="1"/>
        <v/>
      </c>
      <c r="AK184" s="180" t="str">
        <f ca="1"/>
        <v/>
      </c>
      <c r="AL184" s="180" t="str">
        <f ca="1"/>
        <v/>
      </c>
      <c r="AM184" s="180" t="str">
        <f ca="1"/>
        <v/>
      </c>
      <c r="AN184" s="180" t="str">
        <f ca="1"/>
        <v/>
      </c>
      <c r="AO184" s="180" t="str">
        <f ca="1"/>
        <v/>
      </c>
      <c r="AP184" s="180" t="str">
        <f ca="1"/>
        <v/>
      </c>
      <c r="AQ184" t="str">
        <f ca="1"/>
        <v/>
      </c>
    </row>
    <row r="185" spans="2:43" x14ac:dyDescent="0.25">
      <c r="B185" s="179" t="str">
        <f ca="1"/>
        <v/>
      </c>
      <c r="C185" s="180" t="str">
        <f ca="1"/>
        <v/>
      </c>
      <c r="D185" s="180" t="str">
        <f ca="1"/>
        <v/>
      </c>
      <c r="E185" s="180" t="str">
        <f ca="1"/>
        <v/>
      </c>
      <c r="F185" s="180" t="str">
        <f ca="1"/>
        <v/>
      </c>
      <c r="G185" s="180" t="str">
        <f ca="1"/>
        <v/>
      </c>
      <c r="H185" s="180" t="str">
        <f ca="1"/>
        <v/>
      </c>
      <c r="I185" s="180" t="str">
        <f ca="1"/>
        <v/>
      </c>
      <c r="J185" s="180" t="str">
        <f ca="1"/>
        <v/>
      </c>
      <c r="K185" s="180" t="str">
        <f ca="1"/>
        <v/>
      </c>
      <c r="L185" s="180" t="str">
        <f ca="1"/>
        <v/>
      </c>
      <c r="M185" s="180" t="str">
        <f ca="1"/>
        <v/>
      </c>
      <c r="N185" s="180" t="str">
        <f ca="1"/>
        <v/>
      </c>
      <c r="O185" s="180" t="str">
        <f ca="1"/>
        <v/>
      </c>
      <c r="P185" s="180" t="str">
        <f ca="1"/>
        <v/>
      </c>
      <c r="Q185" s="180" t="str">
        <f ca="1"/>
        <v/>
      </c>
      <c r="R185" s="180" t="str">
        <f ca="1"/>
        <v/>
      </c>
      <c r="S185" s="180" t="str">
        <f ca="1"/>
        <v/>
      </c>
      <c r="T185" s="180" t="str">
        <f ca="1"/>
        <v/>
      </c>
      <c r="U185" s="180" t="str">
        <f ca="1"/>
        <v/>
      </c>
      <c r="V185" s="180" t="str">
        <f ca="1"/>
        <v/>
      </c>
      <c r="W185" s="180" t="str">
        <f ca="1"/>
        <v/>
      </c>
      <c r="X185" s="180" t="str">
        <f ca="1"/>
        <v/>
      </c>
      <c r="Y185" s="180" t="str">
        <f ca="1"/>
        <v/>
      </c>
      <c r="Z185" s="180" t="str">
        <f ca="1"/>
        <v/>
      </c>
      <c r="AA185" s="180" t="str">
        <f ca="1"/>
        <v/>
      </c>
      <c r="AB185" s="180" t="str">
        <f ca="1"/>
        <v/>
      </c>
      <c r="AC185" s="180" t="str">
        <f ca="1"/>
        <v/>
      </c>
      <c r="AD185" s="180" t="str">
        <f ca="1"/>
        <v/>
      </c>
      <c r="AE185" s="180" t="str">
        <f ca="1"/>
        <v/>
      </c>
      <c r="AF185" s="180" t="str">
        <f ca="1"/>
        <v/>
      </c>
      <c r="AG185" s="180" t="str">
        <f ca="1"/>
        <v/>
      </c>
      <c r="AH185" s="180" t="str">
        <f ca="1"/>
        <v/>
      </c>
      <c r="AI185" s="180" t="str">
        <f ca="1"/>
        <v/>
      </c>
      <c r="AJ185" s="180" t="str">
        <f ca="1"/>
        <v/>
      </c>
      <c r="AK185" s="180" t="str">
        <f ca="1"/>
        <v/>
      </c>
      <c r="AL185" s="180" t="str">
        <f ca="1"/>
        <v/>
      </c>
      <c r="AM185" s="180" t="str">
        <f ca="1"/>
        <v/>
      </c>
      <c r="AN185" s="180" t="str">
        <f ca="1"/>
        <v/>
      </c>
      <c r="AO185" s="180" t="str">
        <f ca="1"/>
        <v/>
      </c>
      <c r="AP185" s="180" t="str">
        <f ca="1"/>
        <v/>
      </c>
      <c r="AQ185" t="str">
        <f ca="1"/>
        <v/>
      </c>
    </row>
    <row r="186" spans="2:43" x14ac:dyDescent="0.25">
      <c r="B186" s="179" t="str">
        <f ca="1"/>
        <v/>
      </c>
      <c r="C186" s="180" t="str">
        <f ca="1"/>
        <v/>
      </c>
      <c r="D186" s="180" t="str">
        <f ca="1"/>
        <v/>
      </c>
      <c r="E186" s="180" t="str">
        <f ca="1"/>
        <v/>
      </c>
      <c r="F186" s="180" t="str">
        <f ca="1"/>
        <v/>
      </c>
      <c r="G186" s="180" t="str">
        <f ca="1"/>
        <v/>
      </c>
      <c r="H186" s="180" t="str">
        <f ca="1"/>
        <v/>
      </c>
      <c r="I186" s="180" t="str">
        <f ca="1"/>
        <v/>
      </c>
      <c r="J186" s="180" t="str">
        <f ca="1"/>
        <v/>
      </c>
      <c r="K186" s="180" t="str">
        <f ca="1"/>
        <v/>
      </c>
      <c r="L186" s="180" t="str">
        <f ca="1"/>
        <v/>
      </c>
      <c r="M186" s="180" t="str">
        <f ca="1"/>
        <v/>
      </c>
      <c r="N186" s="180" t="str">
        <f ca="1"/>
        <v/>
      </c>
      <c r="O186" s="180" t="str">
        <f ca="1"/>
        <v/>
      </c>
      <c r="P186" s="180" t="str">
        <f ca="1"/>
        <v/>
      </c>
      <c r="Q186" s="180" t="str">
        <f ca="1"/>
        <v/>
      </c>
      <c r="R186" s="180" t="str">
        <f ca="1"/>
        <v/>
      </c>
      <c r="S186" s="180" t="str">
        <f ca="1"/>
        <v/>
      </c>
      <c r="T186" s="180" t="str">
        <f ca="1"/>
        <v/>
      </c>
      <c r="U186" s="180" t="str">
        <f ca="1"/>
        <v/>
      </c>
      <c r="V186" s="180" t="str">
        <f ca="1"/>
        <v/>
      </c>
      <c r="W186" s="180" t="str">
        <f ca="1"/>
        <v/>
      </c>
      <c r="X186" s="180" t="str">
        <f ca="1"/>
        <v/>
      </c>
      <c r="Y186" s="180" t="str">
        <f ca="1"/>
        <v/>
      </c>
      <c r="Z186" s="180" t="str">
        <f ca="1"/>
        <v/>
      </c>
      <c r="AA186" s="180" t="str">
        <f ca="1"/>
        <v/>
      </c>
      <c r="AB186" s="180" t="str">
        <f ca="1"/>
        <v/>
      </c>
      <c r="AC186" s="180" t="str">
        <f ca="1"/>
        <v/>
      </c>
      <c r="AD186" s="180" t="str">
        <f ca="1"/>
        <v/>
      </c>
      <c r="AE186" s="180" t="str">
        <f ca="1"/>
        <v/>
      </c>
      <c r="AF186" s="180" t="str">
        <f ca="1"/>
        <v/>
      </c>
      <c r="AG186" s="180" t="str">
        <f ca="1"/>
        <v/>
      </c>
      <c r="AH186" s="180" t="str">
        <f ca="1"/>
        <v/>
      </c>
      <c r="AI186" s="180" t="str">
        <f ca="1"/>
        <v/>
      </c>
      <c r="AJ186" s="180" t="str">
        <f ca="1"/>
        <v/>
      </c>
      <c r="AK186" s="180" t="str">
        <f ca="1"/>
        <v/>
      </c>
      <c r="AL186" s="180" t="str">
        <f ca="1"/>
        <v/>
      </c>
      <c r="AM186" s="180" t="str">
        <f ca="1"/>
        <v/>
      </c>
      <c r="AN186" s="180" t="str">
        <f ca="1"/>
        <v/>
      </c>
      <c r="AO186" s="180" t="str">
        <f ca="1"/>
        <v/>
      </c>
      <c r="AP186" s="180" t="str">
        <f ca="1"/>
        <v/>
      </c>
      <c r="AQ186" t="str">
        <f ca="1"/>
        <v/>
      </c>
    </row>
    <row r="187" spans="2:43" x14ac:dyDescent="0.25">
      <c r="B187" s="179" t="str">
        <f ca="1"/>
        <v/>
      </c>
      <c r="C187" s="180" t="str">
        <f ca="1"/>
        <v/>
      </c>
      <c r="D187" s="180" t="str">
        <f ca="1"/>
        <v/>
      </c>
      <c r="E187" s="180" t="str">
        <f ca="1"/>
        <v/>
      </c>
      <c r="F187" s="180" t="str">
        <f ca="1"/>
        <v/>
      </c>
      <c r="G187" s="180" t="str">
        <f ca="1"/>
        <v/>
      </c>
      <c r="H187" s="180" t="str">
        <f ca="1"/>
        <v/>
      </c>
      <c r="I187" s="180" t="str">
        <f ca="1"/>
        <v/>
      </c>
      <c r="J187" s="180" t="str">
        <f ca="1"/>
        <v/>
      </c>
      <c r="K187" s="180" t="str">
        <f ca="1"/>
        <v/>
      </c>
      <c r="L187" s="180" t="str">
        <f ca="1"/>
        <v/>
      </c>
      <c r="M187" s="180" t="str">
        <f ca="1"/>
        <v/>
      </c>
      <c r="N187" s="180" t="str">
        <f ca="1"/>
        <v/>
      </c>
      <c r="O187" s="180" t="str">
        <f ca="1"/>
        <v/>
      </c>
      <c r="P187" s="180" t="str">
        <f ca="1"/>
        <v/>
      </c>
      <c r="Q187" s="180" t="str">
        <f ca="1"/>
        <v/>
      </c>
      <c r="R187" s="180" t="str">
        <f ca="1"/>
        <v/>
      </c>
      <c r="S187" s="180" t="str">
        <f ca="1"/>
        <v/>
      </c>
      <c r="T187" s="180" t="str">
        <f ca="1"/>
        <v/>
      </c>
      <c r="U187" s="180" t="str">
        <f ca="1"/>
        <v/>
      </c>
      <c r="V187" s="180" t="str">
        <f ca="1"/>
        <v/>
      </c>
      <c r="W187" s="180" t="str">
        <f ca="1"/>
        <v/>
      </c>
      <c r="X187" s="180" t="str">
        <f ca="1"/>
        <v/>
      </c>
      <c r="Y187" s="180" t="str">
        <f ca="1"/>
        <v/>
      </c>
      <c r="Z187" s="180" t="str">
        <f ca="1"/>
        <v/>
      </c>
      <c r="AA187" s="180" t="str">
        <f ca="1"/>
        <v/>
      </c>
      <c r="AB187" s="180" t="str">
        <f ca="1"/>
        <v/>
      </c>
      <c r="AC187" s="180" t="str">
        <f ca="1"/>
        <v/>
      </c>
      <c r="AD187" s="180" t="str">
        <f ca="1"/>
        <v/>
      </c>
      <c r="AE187" s="180" t="str">
        <f ca="1"/>
        <v/>
      </c>
      <c r="AF187" s="180" t="str">
        <f ca="1"/>
        <v/>
      </c>
      <c r="AG187" s="180" t="str">
        <f ca="1"/>
        <v/>
      </c>
      <c r="AH187" s="180" t="str">
        <f ca="1"/>
        <v/>
      </c>
      <c r="AI187" s="180" t="str">
        <f ca="1"/>
        <v/>
      </c>
      <c r="AJ187" s="180" t="str">
        <f ca="1"/>
        <v/>
      </c>
      <c r="AK187" s="180" t="str">
        <f ca="1"/>
        <v/>
      </c>
      <c r="AL187" s="180" t="str">
        <f ca="1"/>
        <v/>
      </c>
      <c r="AM187" s="180" t="str">
        <f ca="1"/>
        <v/>
      </c>
      <c r="AN187" s="180" t="str">
        <f ca="1"/>
        <v/>
      </c>
      <c r="AO187" s="180" t="str">
        <f ca="1"/>
        <v/>
      </c>
      <c r="AP187" s="180" t="str">
        <f ca="1"/>
        <v/>
      </c>
      <c r="AQ187" t="str">
        <f ca="1"/>
        <v/>
      </c>
    </row>
    <row r="188" spans="2:43" x14ac:dyDescent="0.25">
      <c r="B188" s="179" t="str">
        <f ca="1"/>
        <v/>
      </c>
      <c r="C188" s="180" t="str">
        <f ca="1"/>
        <v/>
      </c>
      <c r="D188" s="180" t="str">
        <f ca="1"/>
        <v/>
      </c>
      <c r="E188" s="180" t="str">
        <f ca="1"/>
        <v/>
      </c>
      <c r="F188" s="180" t="str">
        <f ca="1"/>
        <v/>
      </c>
      <c r="G188" s="180" t="str">
        <f ca="1"/>
        <v/>
      </c>
      <c r="H188" s="180" t="str">
        <f ca="1"/>
        <v/>
      </c>
      <c r="I188" s="180" t="str">
        <f ca="1"/>
        <v/>
      </c>
      <c r="J188" s="180" t="str">
        <f ca="1"/>
        <v/>
      </c>
      <c r="K188" s="180" t="str">
        <f ca="1"/>
        <v/>
      </c>
      <c r="L188" s="180" t="str">
        <f ca="1"/>
        <v/>
      </c>
      <c r="M188" s="180" t="str">
        <f ca="1"/>
        <v/>
      </c>
      <c r="N188" s="180" t="str">
        <f ca="1"/>
        <v/>
      </c>
      <c r="O188" s="180" t="str">
        <f ca="1"/>
        <v/>
      </c>
      <c r="P188" s="180" t="str">
        <f ca="1"/>
        <v/>
      </c>
      <c r="Q188" s="180" t="str">
        <f ca="1"/>
        <v/>
      </c>
      <c r="R188" s="180" t="str">
        <f ca="1"/>
        <v/>
      </c>
      <c r="S188" s="180" t="str">
        <f ca="1"/>
        <v/>
      </c>
      <c r="T188" s="180" t="str">
        <f ca="1"/>
        <v/>
      </c>
      <c r="U188" s="180" t="str">
        <f ca="1"/>
        <v/>
      </c>
      <c r="V188" s="180" t="str">
        <f ca="1"/>
        <v/>
      </c>
      <c r="W188" s="180" t="str">
        <f ca="1"/>
        <v/>
      </c>
      <c r="X188" s="180" t="str">
        <f ca="1"/>
        <v/>
      </c>
      <c r="Y188" s="180" t="str">
        <f ca="1"/>
        <v/>
      </c>
      <c r="Z188" s="180" t="str">
        <f ca="1"/>
        <v/>
      </c>
      <c r="AA188" s="180" t="str">
        <f ca="1"/>
        <v/>
      </c>
      <c r="AB188" s="180" t="str">
        <f ca="1"/>
        <v/>
      </c>
      <c r="AC188" s="180" t="str">
        <f ca="1"/>
        <v/>
      </c>
      <c r="AD188" s="180" t="str">
        <f ca="1"/>
        <v/>
      </c>
      <c r="AE188" s="180" t="str">
        <f ca="1"/>
        <v/>
      </c>
      <c r="AF188" s="180" t="str">
        <f ca="1"/>
        <v/>
      </c>
      <c r="AG188" s="180" t="str">
        <f ca="1"/>
        <v/>
      </c>
      <c r="AH188" s="180" t="str">
        <f ca="1"/>
        <v/>
      </c>
      <c r="AI188" s="180" t="str">
        <f ca="1"/>
        <v/>
      </c>
      <c r="AJ188" s="180" t="str">
        <f ca="1"/>
        <v/>
      </c>
      <c r="AK188" s="180" t="str">
        <f ca="1"/>
        <v/>
      </c>
      <c r="AL188" s="180" t="str">
        <f ca="1"/>
        <v/>
      </c>
      <c r="AM188" s="180" t="str">
        <f ca="1"/>
        <v/>
      </c>
      <c r="AN188" s="180" t="str">
        <f ca="1"/>
        <v/>
      </c>
      <c r="AO188" s="180" t="str">
        <f ca="1"/>
        <v/>
      </c>
      <c r="AP188" s="180" t="str">
        <f ca="1"/>
        <v/>
      </c>
      <c r="AQ188" t="str">
        <f ca="1"/>
        <v/>
      </c>
    </row>
    <row r="189" spans="2:43" x14ac:dyDescent="0.25">
      <c r="B189" s="179" t="str">
        <f ca="1"/>
        <v/>
      </c>
      <c r="C189" s="180" t="str">
        <f ca="1"/>
        <v/>
      </c>
      <c r="D189" s="180" t="str">
        <f ca="1"/>
        <v/>
      </c>
      <c r="E189" s="180" t="str">
        <f ca="1"/>
        <v/>
      </c>
      <c r="F189" s="180" t="str">
        <f ca="1"/>
        <v/>
      </c>
      <c r="G189" s="180" t="str">
        <f ca="1"/>
        <v/>
      </c>
      <c r="H189" s="180" t="str">
        <f ca="1"/>
        <v/>
      </c>
      <c r="I189" s="180" t="str">
        <f ca="1"/>
        <v/>
      </c>
      <c r="J189" s="180" t="str">
        <f ca="1"/>
        <v/>
      </c>
      <c r="K189" s="180" t="str">
        <f ca="1"/>
        <v/>
      </c>
      <c r="L189" s="180" t="str">
        <f ca="1"/>
        <v/>
      </c>
      <c r="M189" s="180" t="str">
        <f ca="1"/>
        <v/>
      </c>
      <c r="N189" s="180" t="str">
        <f ca="1"/>
        <v/>
      </c>
      <c r="O189" s="180" t="str">
        <f ca="1"/>
        <v/>
      </c>
      <c r="P189" s="180" t="str">
        <f ca="1"/>
        <v/>
      </c>
      <c r="Q189" s="180" t="str">
        <f ca="1"/>
        <v/>
      </c>
      <c r="R189" s="180" t="str">
        <f ca="1"/>
        <v/>
      </c>
      <c r="S189" s="180" t="str">
        <f ca="1"/>
        <v/>
      </c>
      <c r="T189" s="180" t="str">
        <f ca="1"/>
        <v/>
      </c>
      <c r="U189" s="180" t="str">
        <f ca="1"/>
        <v/>
      </c>
      <c r="V189" s="180" t="str">
        <f ca="1"/>
        <v/>
      </c>
      <c r="W189" s="180" t="str">
        <f ca="1"/>
        <v/>
      </c>
      <c r="X189" s="180" t="str">
        <f ca="1"/>
        <v/>
      </c>
      <c r="Y189" s="180" t="str">
        <f ca="1"/>
        <v/>
      </c>
      <c r="Z189" s="180" t="str">
        <f ca="1"/>
        <v/>
      </c>
      <c r="AA189" s="180" t="str">
        <f ca="1"/>
        <v/>
      </c>
      <c r="AB189" s="180" t="str">
        <f ca="1"/>
        <v/>
      </c>
      <c r="AC189" s="180" t="str">
        <f ca="1"/>
        <v/>
      </c>
      <c r="AD189" s="180" t="str">
        <f ca="1"/>
        <v/>
      </c>
      <c r="AE189" s="180" t="str">
        <f ca="1"/>
        <v/>
      </c>
      <c r="AF189" s="180" t="str">
        <f ca="1"/>
        <v/>
      </c>
      <c r="AG189" s="180" t="str">
        <f ca="1"/>
        <v/>
      </c>
      <c r="AH189" s="180" t="str">
        <f ca="1"/>
        <v/>
      </c>
      <c r="AI189" s="180" t="str">
        <f ca="1"/>
        <v/>
      </c>
      <c r="AJ189" s="180" t="str">
        <f ca="1"/>
        <v/>
      </c>
      <c r="AK189" s="180" t="str">
        <f ca="1"/>
        <v/>
      </c>
      <c r="AL189" s="180" t="str">
        <f ca="1"/>
        <v/>
      </c>
      <c r="AM189" s="180" t="str">
        <f ca="1"/>
        <v/>
      </c>
      <c r="AN189" s="180" t="str">
        <f ca="1"/>
        <v/>
      </c>
      <c r="AO189" s="180" t="str">
        <f ca="1"/>
        <v/>
      </c>
      <c r="AP189" s="180" t="str">
        <f ca="1"/>
        <v/>
      </c>
      <c r="AQ189" t="str">
        <f ca="1"/>
        <v/>
      </c>
    </row>
    <row r="190" spans="2:43" x14ac:dyDescent="0.25">
      <c r="B190" s="179" t="str">
        <f ca="1"/>
        <v/>
      </c>
      <c r="C190" s="180" t="str">
        <f ca="1"/>
        <v/>
      </c>
      <c r="D190" s="180" t="str">
        <f ca="1"/>
        <v/>
      </c>
      <c r="E190" s="180" t="str">
        <f ca="1"/>
        <v/>
      </c>
      <c r="F190" s="180" t="str">
        <f ca="1"/>
        <v/>
      </c>
      <c r="G190" s="180" t="str">
        <f ca="1"/>
        <v/>
      </c>
      <c r="H190" s="180" t="str">
        <f ca="1"/>
        <v/>
      </c>
      <c r="I190" s="180" t="str">
        <f ca="1"/>
        <v/>
      </c>
      <c r="J190" s="180" t="str">
        <f ca="1"/>
        <v/>
      </c>
      <c r="K190" s="180" t="str">
        <f ca="1"/>
        <v/>
      </c>
      <c r="L190" s="180" t="str">
        <f ca="1"/>
        <v/>
      </c>
      <c r="M190" s="180" t="str">
        <f ca="1"/>
        <v/>
      </c>
      <c r="N190" s="180" t="str">
        <f ca="1"/>
        <v/>
      </c>
      <c r="O190" s="180" t="str">
        <f ca="1"/>
        <v/>
      </c>
      <c r="P190" s="180" t="str">
        <f ca="1"/>
        <v/>
      </c>
      <c r="Q190" s="180" t="str">
        <f ca="1"/>
        <v/>
      </c>
      <c r="R190" s="180" t="str">
        <f ca="1"/>
        <v/>
      </c>
      <c r="S190" s="180" t="str">
        <f ca="1"/>
        <v/>
      </c>
      <c r="T190" s="180" t="str">
        <f ca="1"/>
        <v/>
      </c>
      <c r="U190" s="180" t="str">
        <f ca="1"/>
        <v/>
      </c>
      <c r="V190" s="180" t="str">
        <f ca="1"/>
        <v/>
      </c>
      <c r="W190" s="180" t="str">
        <f ca="1"/>
        <v/>
      </c>
      <c r="X190" s="180" t="str">
        <f ca="1"/>
        <v/>
      </c>
      <c r="Y190" s="180" t="str">
        <f ca="1"/>
        <v/>
      </c>
      <c r="Z190" s="180" t="str">
        <f ca="1"/>
        <v/>
      </c>
      <c r="AA190" s="180" t="str">
        <f ca="1"/>
        <v/>
      </c>
      <c r="AB190" s="180" t="str">
        <f ca="1"/>
        <v/>
      </c>
      <c r="AC190" s="180" t="str">
        <f ca="1"/>
        <v/>
      </c>
      <c r="AD190" s="180" t="str">
        <f ca="1"/>
        <v/>
      </c>
      <c r="AE190" s="180" t="str">
        <f ca="1"/>
        <v/>
      </c>
      <c r="AF190" s="180" t="str">
        <f ca="1"/>
        <v/>
      </c>
      <c r="AG190" s="180" t="str">
        <f ca="1"/>
        <v/>
      </c>
      <c r="AH190" s="180" t="str">
        <f ca="1"/>
        <v/>
      </c>
      <c r="AI190" s="180" t="str">
        <f ca="1"/>
        <v/>
      </c>
      <c r="AJ190" s="180" t="str">
        <f ca="1"/>
        <v/>
      </c>
      <c r="AK190" s="180" t="str">
        <f ca="1"/>
        <v/>
      </c>
      <c r="AL190" s="180" t="str">
        <f ca="1"/>
        <v/>
      </c>
      <c r="AM190" s="180" t="str">
        <f ca="1"/>
        <v/>
      </c>
      <c r="AN190" s="180" t="str">
        <f ca="1"/>
        <v/>
      </c>
      <c r="AO190" s="180" t="str">
        <f ca="1"/>
        <v/>
      </c>
      <c r="AP190" s="180" t="str">
        <f ca="1"/>
        <v/>
      </c>
      <c r="AQ190" t="str">
        <f ca="1"/>
        <v/>
      </c>
    </row>
    <row r="191" spans="2:43" x14ac:dyDescent="0.25">
      <c r="B191" s="179" t="str">
        <f ca="1"/>
        <v/>
      </c>
      <c r="C191" s="180" t="str">
        <f ca="1"/>
        <v/>
      </c>
      <c r="D191" s="180" t="str">
        <f ca="1"/>
        <v/>
      </c>
      <c r="E191" s="180" t="str">
        <f ca="1"/>
        <v/>
      </c>
      <c r="F191" s="180" t="str">
        <f ca="1"/>
        <v/>
      </c>
      <c r="G191" s="180" t="str">
        <f ca="1"/>
        <v/>
      </c>
      <c r="H191" s="180" t="str">
        <f ca="1"/>
        <v/>
      </c>
      <c r="I191" s="180" t="str">
        <f ca="1"/>
        <v/>
      </c>
      <c r="J191" s="180" t="str">
        <f ca="1"/>
        <v/>
      </c>
      <c r="K191" s="180" t="str">
        <f ca="1"/>
        <v/>
      </c>
      <c r="L191" s="180" t="str">
        <f ca="1"/>
        <v/>
      </c>
      <c r="M191" s="180" t="str">
        <f ca="1"/>
        <v/>
      </c>
      <c r="N191" s="180" t="str">
        <f ca="1"/>
        <v/>
      </c>
      <c r="O191" s="180" t="str">
        <f ca="1"/>
        <v/>
      </c>
      <c r="P191" s="180" t="str">
        <f ca="1"/>
        <v/>
      </c>
      <c r="Q191" s="180" t="str">
        <f ca="1"/>
        <v/>
      </c>
      <c r="R191" s="180" t="str">
        <f ca="1"/>
        <v/>
      </c>
      <c r="S191" s="180" t="str">
        <f ca="1"/>
        <v/>
      </c>
      <c r="T191" s="180" t="str">
        <f ca="1"/>
        <v/>
      </c>
      <c r="U191" s="180" t="str">
        <f ca="1"/>
        <v/>
      </c>
      <c r="V191" s="180" t="str">
        <f ca="1"/>
        <v/>
      </c>
      <c r="W191" s="180" t="str">
        <f ca="1"/>
        <v/>
      </c>
      <c r="X191" s="180" t="str">
        <f ca="1"/>
        <v/>
      </c>
      <c r="Y191" s="180" t="str">
        <f ca="1"/>
        <v/>
      </c>
      <c r="Z191" s="180" t="str">
        <f ca="1"/>
        <v/>
      </c>
      <c r="AA191" s="180" t="str">
        <f ca="1"/>
        <v/>
      </c>
      <c r="AB191" s="180" t="str">
        <f ca="1"/>
        <v/>
      </c>
      <c r="AC191" s="180" t="str">
        <f ca="1"/>
        <v/>
      </c>
      <c r="AD191" s="180" t="str">
        <f ca="1"/>
        <v/>
      </c>
      <c r="AE191" s="180" t="str">
        <f ca="1"/>
        <v/>
      </c>
      <c r="AF191" s="180" t="str">
        <f ca="1"/>
        <v/>
      </c>
      <c r="AG191" s="180" t="str">
        <f ca="1"/>
        <v/>
      </c>
      <c r="AH191" s="180" t="str">
        <f ca="1"/>
        <v/>
      </c>
      <c r="AI191" s="180" t="str">
        <f ca="1"/>
        <v/>
      </c>
      <c r="AJ191" s="180" t="str">
        <f ca="1"/>
        <v/>
      </c>
      <c r="AK191" s="180" t="str">
        <f ca="1"/>
        <v/>
      </c>
      <c r="AL191" s="180" t="str">
        <f ca="1"/>
        <v/>
      </c>
      <c r="AM191" s="180" t="str">
        <f ca="1"/>
        <v/>
      </c>
      <c r="AN191" s="180" t="str">
        <f ca="1"/>
        <v/>
      </c>
      <c r="AO191" s="180" t="str">
        <f ca="1"/>
        <v/>
      </c>
      <c r="AP191" s="180" t="str">
        <f ca="1"/>
        <v/>
      </c>
      <c r="AQ191" t="str">
        <f ca="1"/>
        <v/>
      </c>
    </row>
    <row r="192" spans="2:43" x14ac:dyDescent="0.25">
      <c r="B192" s="179" t="str">
        <f ca="1"/>
        <v/>
      </c>
      <c r="C192" s="180" t="str">
        <f ca="1"/>
        <v/>
      </c>
      <c r="D192" s="180" t="str">
        <f ca="1"/>
        <v/>
      </c>
      <c r="E192" s="180" t="str">
        <f ca="1"/>
        <v/>
      </c>
      <c r="F192" s="180" t="str">
        <f ca="1"/>
        <v/>
      </c>
      <c r="G192" s="180" t="str">
        <f ca="1"/>
        <v/>
      </c>
      <c r="H192" s="180" t="str">
        <f ca="1"/>
        <v/>
      </c>
      <c r="I192" s="180" t="str">
        <f ca="1"/>
        <v/>
      </c>
      <c r="J192" s="180" t="str">
        <f ca="1"/>
        <v/>
      </c>
      <c r="K192" s="180" t="str">
        <f ca="1"/>
        <v/>
      </c>
      <c r="L192" s="180" t="str">
        <f ca="1"/>
        <v/>
      </c>
      <c r="M192" s="180" t="str">
        <f ca="1"/>
        <v/>
      </c>
      <c r="N192" s="180" t="str">
        <f ca="1"/>
        <v/>
      </c>
      <c r="O192" s="180" t="str">
        <f ca="1"/>
        <v/>
      </c>
      <c r="P192" s="180" t="str">
        <f ca="1"/>
        <v/>
      </c>
      <c r="Q192" s="180" t="str">
        <f ca="1"/>
        <v/>
      </c>
      <c r="R192" s="180" t="str">
        <f ca="1"/>
        <v/>
      </c>
      <c r="S192" s="180" t="str">
        <f ca="1"/>
        <v/>
      </c>
      <c r="T192" s="180" t="str">
        <f ca="1"/>
        <v/>
      </c>
      <c r="U192" s="180" t="str">
        <f ca="1"/>
        <v/>
      </c>
      <c r="V192" s="180" t="str">
        <f ca="1"/>
        <v/>
      </c>
      <c r="W192" s="180" t="str">
        <f ca="1"/>
        <v/>
      </c>
      <c r="X192" s="180" t="str">
        <f ca="1"/>
        <v/>
      </c>
      <c r="Y192" s="180" t="str">
        <f ca="1"/>
        <v/>
      </c>
      <c r="Z192" s="180" t="str">
        <f ca="1"/>
        <v/>
      </c>
      <c r="AA192" s="180" t="str">
        <f ca="1"/>
        <v/>
      </c>
      <c r="AB192" s="180" t="str">
        <f ca="1"/>
        <v/>
      </c>
      <c r="AC192" s="180" t="str">
        <f ca="1"/>
        <v/>
      </c>
      <c r="AD192" s="180" t="str">
        <f ca="1"/>
        <v/>
      </c>
      <c r="AE192" s="180" t="str">
        <f ca="1"/>
        <v/>
      </c>
      <c r="AF192" s="180" t="str">
        <f ca="1"/>
        <v/>
      </c>
      <c r="AG192" s="180" t="str">
        <f ca="1"/>
        <v/>
      </c>
      <c r="AH192" s="180" t="str">
        <f ca="1"/>
        <v/>
      </c>
      <c r="AI192" s="180" t="str">
        <f ca="1"/>
        <v/>
      </c>
      <c r="AJ192" s="180" t="str">
        <f ca="1"/>
        <v/>
      </c>
      <c r="AK192" s="180" t="str">
        <f ca="1"/>
        <v/>
      </c>
      <c r="AL192" s="180" t="str">
        <f ca="1"/>
        <v/>
      </c>
      <c r="AM192" s="180" t="str">
        <f ca="1"/>
        <v/>
      </c>
      <c r="AN192" s="180" t="str">
        <f ca="1"/>
        <v/>
      </c>
      <c r="AO192" s="180" t="str">
        <f ca="1"/>
        <v/>
      </c>
      <c r="AP192" s="180" t="str">
        <f ca="1"/>
        <v/>
      </c>
      <c r="AQ192" t="str">
        <f ca="1"/>
        <v/>
      </c>
    </row>
    <row r="193" spans="2:43" x14ac:dyDescent="0.25">
      <c r="B193" s="179" t="str">
        <f ca="1"/>
        <v/>
      </c>
      <c r="C193" s="180" t="str">
        <f ca="1"/>
        <v/>
      </c>
      <c r="D193" s="180" t="str">
        <f ca="1"/>
        <v/>
      </c>
      <c r="E193" s="180" t="str">
        <f ca="1"/>
        <v/>
      </c>
      <c r="F193" s="180" t="str">
        <f ca="1"/>
        <v/>
      </c>
      <c r="G193" s="180" t="str">
        <f ca="1"/>
        <v/>
      </c>
      <c r="H193" s="180" t="str">
        <f ca="1"/>
        <v/>
      </c>
      <c r="I193" s="180" t="str">
        <f ca="1"/>
        <v/>
      </c>
      <c r="J193" s="180" t="str">
        <f ca="1"/>
        <v/>
      </c>
      <c r="K193" s="180" t="str">
        <f ca="1"/>
        <v/>
      </c>
      <c r="L193" s="180" t="str">
        <f ca="1"/>
        <v/>
      </c>
      <c r="M193" s="180" t="str">
        <f ca="1"/>
        <v/>
      </c>
      <c r="N193" s="180" t="str">
        <f ca="1"/>
        <v/>
      </c>
      <c r="O193" s="180" t="str">
        <f ca="1"/>
        <v/>
      </c>
      <c r="P193" s="180" t="str">
        <f ca="1"/>
        <v/>
      </c>
      <c r="Q193" s="180" t="str">
        <f ca="1"/>
        <v/>
      </c>
      <c r="R193" s="180" t="str">
        <f ca="1"/>
        <v/>
      </c>
      <c r="S193" s="180" t="str">
        <f ca="1"/>
        <v/>
      </c>
      <c r="T193" s="180" t="str">
        <f ca="1"/>
        <v/>
      </c>
      <c r="U193" s="180" t="str">
        <f ca="1"/>
        <v/>
      </c>
      <c r="V193" s="180" t="str">
        <f ca="1"/>
        <v/>
      </c>
      <c r="W193" s="180" t="str">
        <f ca="1"/>
        <v/>
      </c>
      <c r="X193" s="180" t="str">
        <f ca="1"/>
        <v/>
      </c>
      <c r="Y193" s="180" t="str">
        <f ca="1"/>
        <v/>
      </c>
      <c r="Z193" s="180" t="str">
        <f ca="1"/>
        <v/>
      </c>
      <c r="AA193" s="180" t="str">
        <f ca="1"/>
        <v/>
      </c>
      <c r="AB193" s="180" t="str">
        <f ca="1"/>
        <v/>
      </c>
      <c r="AC193" s="180" t="str">
        <f ca="1"/>
        <v/>
      </c>
      <c r="AD193" s="180" t="str">
        <f ca="1"/>
        <v/>
      </c>
      <c r="AE193" s="180" t="str">
        <f ca="1"/>
        <v/>
      </c>
      <c r="AF193" s="180" t="str">
        <f ca="1"/>
        <v/>
      </c>
      <c r="AG193" s="180" t="str">
        <f ca="1"/>
        <v/>
      </c>
      <c r="AH193" s="180" t="str">
        <f ca="1"/>
        <v/>
      </c>
      <c r="AI193" s="180" t="str">
        <f ca="1"/>
        <v/>
      </c>
      <c r="AJ193" s="180" t="str">
        <f ca="1"/>
        <v/>
      </c>
      <c r="AK193" s="180" t="str">
        <f ca="1"/>
        <v/>
      </c>
      <c r="AL193" s="180" t="str">
        <f ca="1"/>
        <v/>
      </c>
      <c r="AM193" s="180" t="str">
        <f ca="1"/>
        <v/>
      </c>
      <c r="AN193" s="180" t="str">
        <f ca="1"/>
        <v/>
      </c>
      <c r="AO193" s="180" t="str">
        <f ca="1"/>
        <v/>
      </c>
      <c r="AP193" s="180" t="str">
        <f ca="1"/>
        <v/>
      </c>
      <c r="AQ193" t="str">
        <f ca="1"/>
        <v/>
      </c>
    </row>
    <row r="194" spans="2:43" x14ac:dyDescent="0.25">
      <c r="B194" s="179" t="str">
        <f ca="1"/>
        <v/>
      </c>
      <c r="C194" s="180" t="str">
        <f ca="1"/>
        <v/>
      </c>
      <c r="D194" s="180" t="str">
        <f ca="1"/>
        <v/>
      </c>
      <c r="E194" s="180" t="str">
        <f ca="1"/>
        <v/>
      </c>
      <c r="F194" s="180" t="str">
        <f ca="1"/>
        <v/>
      </c>
      <c r="G194" s="180" t="str">
        <f ca="1"/>
        <v/>
      </c>
      <c r="H194" s="180" t="str">
        <f ca="1"/>
        <v/>
      </c>
      <c r="I194" s="180" t="str">
        <f ca="1"/>
        <v/>
      </c>
      <c r="J194" s="180" t="str">
        <f ca="1"/>
        <v/>
      </c>
      <c r="K194" s="180" t="str">
        <f ca="1"/>
        <v/>
      </c>
      <c r="L194" s="180" t="str">
        <f ca="1"/>
        <v/>
      </c>
      <c r="M194" s="180" t="str">
        <f ca="1"/>
        <v/>
      </c>
      <c r="N194" s="180" t="str">
        <f ca="1"/>
        <v/>
      </c>
      <c r="O194" s="180" t="str">
        <f ca="1"/>
        <v/>
      </c>
      <c r="P194" s="180" t="str">
        <f ca="1"/>
        <v/>
      </c>
      <c r="Q194" s="180" t="str">
        <f ca="1"/>
        <v/>
      </c>
      <c r="R194" s="180" t="str">
        <f ca="1"/>
        <v/>
      </c>
      <c r="S194" s="180" t="str">
        <f ca="1"/>
        <v/>
      </c>
      <c r="T194" s="180" t="str">
        <f ca="1"/>
        <v/>
      </c>
      <c r="U194" s="180" t="str">
        <f ca="1"/>
        <v/>
      </c>
      <c r="V194" s="180" t="str">
        <f ca="1"/>
        <v/>
      </c>
      <c r="W194" s="180" t="str">
        <f ca="1"/>
        <v/>
      </c>
      <c r="X194" s="180" t="str">
        <f ca="1"/>
        <v/>
      </c>
      <c r="Y194" s="180" t="str">
        <f ca="1"/>
        <v/>
      </c>
      <c r="Z194" s="180" t="str">
        <f ca="1"/>
        <v/>
      </c>
      <c r="AA194" s="180" t="str">
        <f ca="1"/>
        <v/>
      </c>
      <c r="AB194" s="180" t="str">
        <f ca="1"/>
        <v/>
      </c>
      <c r="AC194" s="180" t="str">
        <f ca="1"/>
        <v/>
      </c>
      <c r="AD194" s="180" t="str">
        <f ca="1"/>
        <v/>
      </c>
      <c r="AE194" s="180" t="str">
        <f ca="1"/>
        <v/>
      </c>
      <c r="AF194" s="180" t="str">
        <f ca="1"/>
        <v/>
      </c>
      <c r="AG194" s="180" t="str">
        <f ca="1"/>
        <v/>
      </c>
      <c r="AH194" s="180" t="str">
        <f ca="1"/>
        <v/>
      </c>
      <c r="AI194" s="180" t="str">
        <f ca="1"/>
        <v/>
      </c>
      <c r="AJ194" s="180" t="str">
        <f ca="1"/>
        <v/>
      </c>
      <c r="AK194" s="180" t="str">
        <f ca="1"/>
        <v/>
      </c>
      <c r="AL194" s="180" t="str">
        <f ca="1"/>
        <v/>
      </c>
      <c r="AM194" s="180" t="str">
        <f ca="1"/>
        <v/>
      </c>
      <c r="AN194" s="180" t="str">
        <f ca="1"/>
        <v/>
      </c>
      <c r="AO194" s="180" t="str">
        <f ca="1"/>
        <v/>
      </c>
      <c r="AP194" s="180" t="str">
        <f ca="1"/>
        <v/>
      </c>
      <c r="AQ194" t="str">
        <f ca="1"/>
        <v/>
      </c>
    </row>
    <row r="195" spans="2:43" x14ac:dyDescent="0.25">
      <c r="B195" s="179" t="str">
        <f ca="1"/>
        <v/>
      </c>
      <c r="C195" s="180" t="str">
        <f ca="1"/>
        <v/>
      </c>
      <c r="D195" s="180" t="str">
        <f ca="1"/>
        <v/>
      </c>
      <c r="E195" s="180" t="str">
        <f ca="1"/>
        <v/>
      </c>
      <c r="F195" s="180" t="str">
        <f ca="1"/>
        <v/>
      </c>
      <c r="G195" s="180" t="str">
        <f ca="1"/>
        <v/>
      </c>
      <c r="H195" s="180" t="str">
        <f ca="1"/>
        <v/>
      </c>
      <c r="I195" s="180" t="str">
        <f ca="1"/>
        <v/>
      </c>
      <c r="J195" s="180" t="str">
        <f ca="1"/>
        <v/>
      </c>
      <c r="K195" s="180" t="str">
        <f ca="1"/>
        <v/>
      </c>
      <c r="L195" s="180" t="str">
        <f ca="1"/>
        <v/>
      </c>
      <c r="M195" s="180" t="str">
        <f ca="1"/>
        <v/>
      </c>
      <c r="N195" s="180" t="str">
        <f ca="1"/>
        <v/>
      </c>
      <c r="O195" s="180" t="str">
        <f ca="1"/>
        <v/>
      </c>
      <c r="P195" s="180" t="str">
        <f ca="1"/>
        <v/>
      </c>
      <c r="Q195" s="180" t="str">
        <f ca="1"/>
        <v/>
      </c>
      <c r="R195" s="180" t="str">
        <f ca="1"/>
        <v/>
      </c>
      <c r="S195" s="180" t="str">
        <f ca="1"/>
        <v/>
      </c>
      <c r="T195" s="180" t="str">
        <f ca="1"/>
        <v/>
      </c>
      <c r="U195" s="180" t="str">
        <f ca="1"/>
        <v/>
      </c>
      <c r="V195" s="180" t="str">
        <f ca="1"/>
        <v/>
      </c>
      <c r="W195" s="180" t="str">
        <f ca="1"/>
        <v/>
      </c>
      <c r="X195" s="180" t="str">
        <f ca="1"/>
        <v/>
      </c>
      <c r="Y195" s="180" t="str">
        <f ca="1"/>
        <v/>
      </c>
      <c r="Z195" s="180" t="str">
        <f ca="1"/>
        <v/>
      </c>
      <c r="AA195" s="180" t="str">
        <f ca="1"/>
        <v/>
      </c>
      <c r="AB195" s="180" t="str">
        <f ca="1"/>
        <v/>
      </c>
      <c r="AC195" s="180" t="str">
        <f ca="1"/>
        <v/>
      </c>
      <c r="AD195" s="180" t="str">
        <f ca="1"/>
        <v/>
      </c>
      <c r="AE195" s="180" t="str">
        <f ca="1"/>
        <v/>
      </c>
      <c r="AF195" s="180" t="str">
        <f ca="1"/>
        <v/>
      </c>
      <c r="AG195" s="180" t="str">
        <f ca="1"/>
        <v/>
      </c>
      <c r="AH195" s="180" t="str">
        <f ca="1"/>
        <v/>
      </c>
      <c r="AI195" s="180" t="str">
        <f ca="1"/>
        <v/>
      </c>
      <c r="AJ195" s="180" t="str">
        <f ca="1"/>
        <v/>
      </c>
      <c r="AK195" s="180" t="str">
        <f ca="1"/>
        <v/>
      </c>
      <c r="AL195" s="180" t="str">
        <f ca="1"/>
        <v/>
      </c>
      <c r="AM195" s="180" t="str">
        <f ca="1"/>
        <v/>
      </c>
      <c r="AN195" s="180" t="str">
        <f ca="1"/>
        <v/>
      </c>
      <c r="AO195" s="180" t="str">
        <f ca="1"/>
        <v/>
      </c>
      <c r="AP195" s="180" t="str">
        <f ca="1"/>
        <v/>
      </c>
      <c r="AQ195" t="str">
        <f ca="1"/>
        <v/>
      </c>
    </row>
    <row r="196" spans="2:43" x14ac:dyDescent="0.25">
      <c r="B196" s="179" t="str">
        <f ca="1"/>
        <v/>
      </c>
      <c r="C196" s="180" t="str">
        <f ca="1"/>
        <v/>
      </c>
      <c r="D196" s="180" t="str">
        <f ca="1"/>
        <v/>
      </c>
      <c r="E196" s="180" t="str">
        <f ca="1"/>
        <v/>
      </c>
      <c r="F196" s="180" t="str">
        <f ca="1"/>
        <v/>
      </c>
      <c r="G196" s="180" t="str">
        <f ca="1"/>
        <v/>
      </c>
      <c r="H196" s="180" t="str">
        <f ca="1"/>
        <v/>
      </c>
      <c r="I196" s="180" t="str">
        <f ca="1"/>
        <v/>
      </c>
      <c r="J196" s="180" t="str">
        <f ca="1"/>
        <v/>
      </c>
      <c r="K196" s="180" t="str">
        <f ca="1"/>
        <v/>
      </c>
      <c r="L196" s="180" t="str">
        <f ca="1"/>
        <v/>
      </c>
      <c r="M196" s="180" t="str">
        <f ca="1"/>
        <v/>
      </c>
      <c r="N196" s="180" t="str">
        <f ca="1"/>
        <v/>
      </c>
      <c r="O196" s="180" t="str">
        <f ca="1"/>
        <v/>
      </c>
      <c r="P196" s="180" t="str">
        <f ca="1"/>
        <v/>
      </c>
      <c r="Q196" s="180" t="str">
        <f ca="1"/>
        <v/>
      </c>
      <c r="R196" s="180" t="str">
        <f ca="1"/>
        <v/>
      </c>
      <c r="S196" s="180" t="str">
        <f ca="1"/>
        <v/>
      </c>
      <c r="T196" s="180" t="str">
        <f ca="1"/>
        <v/>
      </c>
      <c r="U196" s="180" t="str">
        <f ca="1"/>
        <v/>
      </c>
      <c r="V196" s="180" t="str">
        <f ca="1"/>
        <v/>
      </c>
      <c r="W196" s="180" t="str">
        <f ca="1"/>
        <v/>
      </c>
      <c r="X196" s="180" t="str">
        <f ca="1"/>
        <v/>
      </c>
      <c r="Y196" s="180" t="str">
        <f ca="1"/>
        <v/>
      </c>
      <c r="Z196" s="180" t="str">
        <f ca="1"/>
        <v/>
      </c>
      <c r="AA196" s="180" t="str">
        <f ca="1"/>
        <v/>
      </c>
      <c r="AB196" s="180" t="str">
        <f ca="1"/>
        <v/>
      </c>
      <c r="AC196" s="180" t="str">
        <f ca="1"/>
        <v/>
      </c>
      <c r="AD196" s="180" t="str">
        <f ca="1"/>
        <v/>
      </c>
      <c r="AE196" s="180" t="str">
        <f ca="1"/>
        <v/>
      </c>
      <c r="AF196" s="180" t="str">
        <f ca="1"/>
        <v/>
      </c>
      <c r="AG196" s="180" t="str">
        <f ca="1"/>
        <v/>
      </c>
      <c r="AH196" s="180" t="str">
        <f ca="1"/>
        <v/>
      </c>
      <c r="AI196" s="180" t="str">
        <f ca="1"/>
        <v/>
      </c>
      <c r="AJ196" s="180" t="str">
        <f ca="1"/>
        <v/>
      </c>
      <c r="AK196" s="180" t="str">
        <f ca="1"/>
        <v/>
      </c>
      <c r="AL196" s="180" t="str">
        <f ca="1"/>
        <v/>
      </c>
      <c r="AM196" s="180" t="str">
        <f ca="1"/>
        <v/>
      </c>
      <c r="AN196" s="180" t="str">
        <f ca="1"/>
        <v/>
      </c>
      <c r="AO196" s="180" t="str">
        <f ca="1"/>
        <v/>
      </c>
      <c r="AP196" s="180" t="str">
        <f ca="1"/>
        <v/>
      </c>
      <c r="AQ196" t="str">
        <f ca="1"/>
        <v/>
      </c>
    </row>
    <row r="197" spans="2:43" x14ac:dyDescent="0.25">
      <c r="B197" s="179" t="str">
        <f ca="1"/>
        <v/>
      </c>
      <c r="C197" s="180" t="str">
        <f ca="1"/>
        <v/>
      </c>
      <c r="D197" s="180" t="str">
        <f ca="1"/>
        <v/>
      </c>
      <c r="E197" s="180" t="str">
        <f ca="1"/>
        <v/>
      </c>
      <c r="F197" s="180" t="str">
        <f ca="1"/>
        <v/>
      </c>
      <c r="G197" s="180" t="str">
        <f ca="1"/>
        <v/>
      </c>
      <c r="H197" s="180" t="str">
        <f ca="1"/>
        <v/>
      </c>
      <c r="I197" s="180" t="str">
        <f ca="1"/>
        <v/>
      </c>
      <c r="J197" s="180" t="str">
        <f ca="1"/>
        <v/>
      </c>
      <c r="K197" s="180" t="str">
        <f ca="1"/>
        <v/>
      </c>
      <c r="L197" s="180" t="str">
        <f ca="1"/>
        <v/>
      </c>
      <c r="M197" s="180" t="str">
        <f ca="1"/>
        <v/>
      </c>
      <c r="N197" s="180" t="str">
        <f ca="1"/>
        <v/>
      </c>
      <c r="O197" s="180" t="str">
        <f ca="1"/>
        <v/>
      </c>
      <c r="P197" s="180" t="str">
        <f ca="1"/>
        <v/>
      </c>
      <c r="Q197" s="180" t="str">
        <f ca="1"/>
        <v/>
      </c>
      <c r="R197" s="180" t="str">
        <f ca="1"/>
        <v/>
      </c>
      <c r="S197" s="180" t="str">
        <f ca="1"/>
        <v/>
      </c>
      <c r="T197" s="180" t="str">
        <f ca="1"/>
        <v/>
      </c>
      <c r="U197" s="180" t="str">
        <f ca="1"/>
        <v/>
      </c>
      <c r="V197" s="180" t="str">
        <f ca="1"/>
        <v/>
      </c>
      <c r="W197" s="180" t="str">
        <f ca="1"/>
        <v/>
      </c>
      <c r="X197" s="180" t="str">
        <f ca="1"/>
        <v/>
      </c>
      <c r="Y197" s="180" t="str">
        <f ca="1"/>
        <v/>
      </c>
      <c r="Z197" s="180" t="str">
        <f ca="1"/>
        <v/>
      </c>
      <c r="AA197" s="180" t="str">
        <f ca="1"/>
        <v/>
      </c>
      <c r="AB197" s="180" t="str">
        <f ca="1"/>
        <v/>
      </c>
      <c r="AC197" s="180" t="str">
        <f ca="1"/>
        <v/>
      </c>
      <c r="AD197" s="180" t="str">
        <f ca="1"/>
        <v/>
      </c>
      <c r="AE197" s="180" t="str">
        <f ca="1"/>
        <v/>
      </c>
      <c r="AF197" s="180" t="str">
        <f ca="1"/>
        <v/>
      </c>
      <c r="AG197" s="180" t="str">
        <f ca="1"/>
        <v/>
      </c>
      <c r="AH197" s="180" t="str">
        <f ca="1"/>
        <v/>
      </c>
      <c r="AI197" s="180" t="str">
        <f ca="1"/>
        <v/>
      </c>
      <c r="AJ197" s="180" t="str">
        <f ca="1"/>
        <v/>
      </c>
      <c r="AK197" s="180" t="str">
        <f ca="1"/>
        <v/>
      </c>
      <c r="AL197" s="180" t="str">
        <f ca="1"/>
        <v/>
      </c>
      <c r="AM197" s="180" t="str">
        <f ca="1"/>
        <v/>
      </c>
      <c r="AN197" s="180" t="str">
        <f ca="1"/>
        <v/>
      </c>
      <c r="AO197" s="180" t="str">
        <f ca="1"/>
        <v/>
      </c>
      <c r="AP197" s="180" t="str">
        <f ca="1"/>
        <v/>
      </c>
      <c r="AQ197" t="str">
        <f ca="1"/>
        <v/>
      </c>
    </row>
    <row r="198" spans="2:43" x14ac:dyDescent="0.25">
      <c r="B198" s="179" t="str">
        <f ca="1"/>
        <v/>
      </c>
      <c r="C198" s="180" t="str">
        <f ca="1"/>
        <v/>
      </c>
      <c r="D198" s="180" t="str">
        <f ca="1"/>
        <v/>
      </c>
      <c r="E198" s="180" t="str">
        <f ca="1"/>
        <v/>
      </c>
      <c r="F198" s="180" t="str">
        <f ca="1"/>
        <v/>
      </c>
      <c r="G198" s="180" t="str">
        <f ca="1"/>
        <v/>
      </c>
      <c r="H198" s="180" t="str">
        <f ca="1"/>
        <v/>
      </c>
      <c r="I198" s="180" t="str">
        <f ca="1"/>
        <v/>
      </c>
      <c r="J198" s="180" t="str">
        <f ca="1"/>
        <v/>
      </c>
      <c r="K198" s="180" t="str">
        <f ca="1"/>
        <v/>
      </c>
      <c r="L198" s="180" t="str">
        <f ca="1"/>
        <v/>
      </c>
      <c r="M198" s="180" t="str">
        <f ca="1"/>
        <v/>
      </c>
      <c r="N198" s="180" t="str">
        <f ca="1"/>
        <v/>
      </c>
      <c r="O198" s="180" t="str">
        <f ca="1"/>
        <v/>
      </c>
      <c r="P198" s="180" t="str">
        <f ca="1"/>
        <v/>
      </c>
      <c r="Q198" s="180" t="str">
        <f ca="1"/>
        <v/>
      </c>
      <c r="R198" s="180" t="str">
        <f ca="1"/>
        <v/>
      </c>
      <c r="S198" s="180" t="str">
        <f ca="1"/>
        <v/>
      </c>
      <c r="T198" s="180" t="str">
        <f ca="1"/>
        <v/>
      </c>
      <c r="U198" s="180" t="str">
        <f ca="1"/>
        <v/>
      </c>
      <c r="V198" s="180" t="str">
        <f ca="1"/>
        <v/>
      </c>
      <c r="W198" s="180" t="str">
        <f ca="1"/>
        <v/>
      </c>
      <c r="X198" s="180" t="str">
        <f ca="1"/>
        <v/>
      </c>
      <c r="Y198" s="180" t="str">
        <f ca="1"/>
        <v/>
      </c>
      <c r="Z198" s="180" t="str">
        <f ca="1"/>
        <v/>
      </c>
      <c r="AA198" s="180" t="str">
        <f ca="1"/>
        <v/>
      </c>
      <c r="AB198" s="180" t="str">
        <f ca="1"/>
        <v/>
      </c>
      <c r="AC198" s="180" t="str">
        <f ca="1"/>
        <v/>
      </c>
      <c r="AD198" s="180" t="str">
        <f ca="1"/>
        <v/>
      </c>
      <c r="AE198" s="180" t="str">
        <f ca="1"/>
        <v/>
      </c>
      <c r="AF198" s="180" t="str">
        <f ca="1"/>
        <v/>
      </c>
      <c r="AG198" s="180" t="str">
        <f ca="1"/>
        <v/>
      </c>
      <c r="AH198" s="180" t="str">
        <f ca="1"/>
        <v/>
      </c>
      <c r="AI198" s="180" t="str">
        <f ca="1"/>
        <v/>
      </c>
      <c r="AJ198" s="180" t="str">
        <f ca="1"/>
        <v/>
      </c>
      <c r="AK198" s="180" t="str">
        <f ca="1"/>
        <v/>
      </c>
      <c r="AL198" s="180" t="str">
        <f ca="1"/>
        <v/>
      </c>
      <c r="AM198" s="180" t="str">
        <f ca="1"/>
        <v/>
      </c>
      <c r="AN198" s="180" t="str">
        <f ca="1"/>
        <v/>
      </c>
      <c r="AO198" s="180" t="str">
        <f ca="1"/>
        <v/>
      </c>
      <c r="AP198" s="180" t="str">
        <f ca="1"/>
        <v/>
      </c>
      <c r="AQ198" t="str">
        <f ca="1"/>
        <v/>
      </c>
    </row>
    <row r="199" spans="2:43" x14ac:dyDescent="0.25">
      <c r="B199" s="179" t="str">
        <f ca="1"/>
        <v/>
      </c>
      <c r="C199" s="180" t="str">
        <f ca="1"/>
        <v/>
      </c>
      <c r="D199" s="180" t="str">
        <f ca="1"/>
        <v/>
      </c>
      <c r="E199" s="180" t="str">
        <f ca="1"/>
        <v/>
      </c>
      <c r="F199" s="180" t="str">
        <f ca="1"/>
        <v/>
      </c>
      <c r="G199" s="180" t="str">
        <f ca="1"/>
        <v/>
      </c>
      <c r="H199" s="180" t="str">
        <f ca="1"/>
        <v/>
      </c>
      <c r="I199" s="180" t="str">
        <f ca="1"/>
        <v/>
      </c>
      <c r="J199" s="180" t="str">
        <f ca="1"/>
        <v/>
      </c>
      <c r="K199" s="180" t="str">
        <f ca="1"/>
        <v/>
      </c>
      <c r="L199" s="180" t="str">
        <f ca="1"/>
        <v/>
      </c>
      <c r="M199" s="180" t="str">
        <f ca="1"/>
        <v/>
      </c>
      <c r="N199" s="180" t="str">
        <f ca="1"/>
        <v/>
      </c>
      <c r="O199" s="180" t="str">
        <f ca="1"/>
        <v/>
      </c>
      <c r="P199" s="180" t="str">
        <f ca="1"/>
        <v/>
      </c>
      <c r="Q199" s="180" t="str">
        <f ca="1"/>
        <v/>
      </c>
      <c r="R199" s="180" t="str">
        <f ca="1"/>
        <v/>
      </c>
      <c r="S199" s="180" t="str">
        <f ca="1"/>
        <v/>
      </c>
      <c r="T199" s="180" t="str">
        <f ca="1"/>
        <v/>
      </c>
      <c r="U199" s="180" t="str">
        <f ca="1"/>
        <v/>
      </c>
      <c r="V199" s="180" t="str">
        <f ca="1"/>
        <v/>
      </c>
      <c r="W199" s="180" t="str">
        <f ca="1"/>
        <v/>
      </c>
      <c r="X199" s="180" t="str">
        <f ca="1"/>
        <v/>
      </c>
      <c r="Y199" s="180" t="str">
        <f ca="1"/>
        <v/>
      </c>
      <c r="Z199" s="180" t="str">
        <f ca="1"/>
        <v/>
      </c>
      <c r="AA199" s="180" t="str">
        <f ca="1"/>
        <v/>
      </c>
      <c r="AB199" s="180" t="str">
        <f ca="1"/>
        <v/>
      </c>
      <c r="AC199" s="180" t="str">
        <f ca="1"/>
        <v/>
      </c>
      <c r="AD199" s="180" t="str">
        <f ca="1"/>
        <v/>
      </c>
      <c r="AE199" s="180" t="str">
        <f ca="1"/>
        <v/>
      </c>
      <c r="AF199" s="180" t="str">
        <f ca="1"/>
        <v/>
      </c>
      <c r="AG199" s="180" t="str">
        <f ca="1"/>
        <v/>
      </c>
      <c r="AH199" s="180" t="str">
        <f ca="1"/>
        <v/>
      </c>
      <c r="AI199" s="180" t="str">
        <f ca="1"/>
        <v/>
      </c>
      <c r="AJ199" s="180" t="str">
        <f ca="1"/>
        <v/>
      </c>
      <c r="AK199" s="180" t="str">
        <f ca="1"/>
        <v/>
      </c>
      <c r="AL199" s="180" t="str">
        <f ca="1"/>
        <v/>
      </c>
      <c r="AM199" s="180" t="str">
        <f ca="1"/>
        <v/>
      </c>
      <c r="AN199" s="180" t="str">
        <f ca="1"/>
        <v/>
      </c>
      <c r="AO199" s="180" t="str">
        <f ca="1"/>
        <v/>
      </c>
      <c r="AP199" s="180" t="str">
        <f ca="1"/>
        <v/>
      </c>
      <c r="AQ199" t="str">
        <f ca="1"/>
        <v/>
      </c>
    </row>
    <row r="200" spans="2:43" x14ac:dyDescent="0.25">
      <c r="B200" s="179" t="str">
        <f ca="1"/>
        <v/>
      </c>
      <c r="C200" s="180" t="str">
        <f ca="1"/>
        <v/>
      </c>
      <c r="D200" s="180" t="str">
        <f ca="1"/>
        <v/>
      </c>
      <c r="E200" s="180" t="str">
        <f ca="1"/>
        <v/>
      </c>
      <c r="F200" s="180" t="str">
        <f ca="1"/>
        <v/>
      </c>
      <c r="G200" s="180" t="str">
        <f ca="1"/>
        <v/>
      </c>
      <c r="H200" s="180" t="str">
        <f ca="1"/>
        <v/>
      </c>
      <c r="I200" s="180" t="str">
        <f ca="1"/>
        <v/>
      </c>
      <c r="J200" s="180" t="str">
        <f ca="1"/>
        <v/>
      </c>
      <c r="K200" s="180" t="str">
        <f ca="1"/>
        <v/>
      </c>
      <c r="L200" s="180" t="str">
        <f ca="1"/>
        <v/>
      </c>
      <c r="M200" s="180" t="str">
        <f ca="1"/>
        <v/>
      </c>
      <c r="N200" s="180" t="str">
        <f ca="1"/>
        <v/>
      </c>
      <c r="O200" s="180" t="str">
        <f ca="1"/>
        <v/>
      </c>
      <c r="P200" s="180" t="str">
        <f ca="1"/>
        <v/>
      </c>
      <c r="Q200" s="180" t="str">
        <f ca="1"/>
        <v/>
      </c>
      <c r="R200" s="180" t="str">
        <f ca="1"/>
        <v/>
      </c>
      <c r="S200" s="180" t="str">
        <f ca="1"/>
        <v/>
      </c>
      <c r="T200" s="180" t="str">
        <f ca="1"/>
        <v/>
      </c>
      <c r="U200" s="180" t="str">
        <f ca="1"/>
        <v/>
      </c>
      <c r="V200" s="180" t="str">
        <f ca="1"/>
        <v/>
      </c>
      <c r="W200" s="180" t="str">
        <f ca="1"/>
        <v/>
      </c>
      <c r="X200" s="180" t="str">
        <f ca="1"/>
        <v/>
      </c>
      <c r="Y200" s="180" t="str">
        <f ca="1"/>
        <v/>
      </c>
      <c r="Z200" s="180" t="str">
        <f ca="1"/>
        <v/>
      </c>
      <c r="AA200" s="180" t="str">
        <f ca="1"/>
        <v/>
      </c>
      <c r="AB200" s="180" t="str">
        <f ca="1"/>
        <v/>
      </c>
      <c r="AC200" s="180" t="str">
        <f ca="1"/>
        <v/>
      </c>
      <c r="AD200" s="180" t="str">
        <f ca="1"/>
        <v/>
      </c>
      <c r="AE200" s="180" t="str">
        <f ca="1"/>
        <v/>
      </c>
      <c r="AF200" s="180" t="str">
        <f ca="1"/>
        <v/>
      </c>
      <c r="AG200" s="180" t="str">
        <f ca="1"/>
        <v/>
      </c>
      <c r="AH200" s="180" t="str">
        <f ca="1"/>
        <v/>
      </c>
      <c r="AI200" s="180" t="str">
        <f ca="1"/>
        <v/>
      </c>
      <c r="AJ200" s="180" t="str">
        <f ca="1"/>
        <v/>
      </c>
      <c r="AK200" s="180" t="str">
        <f ca="1"/>
        <v/>
      </c>
      <c r="AL200" s="180" t="str">
        <f ca="1"/>
        <v/>
      </c>
      <c r="AM200" s="180" t="str">
        <f ca="1"/>
        <v/>
      </c>
      <c r="AN200" s="180" t="str">
        <f ca="1"/>
        <v/>
      </c>
      <c r="AO200" s="180" t="str">
        <f ca="1"/>
        <v/>
      </c>
      <c r="AP200" s="180" t="str">
        <f ca="1"/>
        <v/>
      </c>
      <c r="AQ200" t="str">
        <f ca="1"/>
        <v/>
      </c>
    </row>
    <row r="201" spans="2:43" x14ac:dyDescent="0.25">
      <c r="B201" s="179" t="str">
        <f ca="1"/>
        <v/>
      </c>
      <c r="C201" s="180" t="str">
        <f ca="1"/>
        <v/>
      </c>
      <c r="D201" s="180" t="str">
        <f ca="1"/>
        <v/>
      </c>
      <c r="E201" s="180" t="str">
        <f ca="1"/>
        <v/>
      </c>
      <c r="F201" s="180" t="str">
        <f ca="1"/>
        <v/>
      </c>
      <c r="G201" s="180" t="str">
        <f ca="1"/>
        <v/>
      </c>
      <c r="H201" s="180" t="str">
        <f ca="1"/>
        <v/>
      </c>
      <c r="I201" s="180" t="str">
        <f ca="1"/>
        <v/>
      </c>
      <c r="J201" s="180" t="str">
        <f ca="1"/>
        <v/>
      </c>
      <c r="K201" s="180" t="str">
        <f ca="1"/>
        <v/>
      </c>
      <c r="L201" s="180" t="str">
        <f ca="1"/>
        <v/>
      </c>
      <c r="M201" s="180" t="str">
        <f ca="1"/>
        <v/>
      </c>
      <c r="N201" s="180" t="str">
        <f ca="1"/>
        <v/>
      </c>
      <c r="O201" s="180" t="str">
        <f ca="1"/>
        <v/>
      </c>
      <c r="P201" s="180" t="str">
        <f ca="1"/>
        <v/>
      </c>
      <c r="Q201" s="180" t="str">
        <f ca="1"/>
        <v/>
      </c>
      <c r="R201" s="180" t="str">
        <f ca="1"/>
        <v/>
      </c>
      <c r="S201" s="180" t="str">
        <f ca="1"/>
        <v/>
      </c>
      <c r="T201" s="180" t="str">
        <f ca="1"/>
        <v/>
      </c>
      <c r="U201" s="180" t="str">
        <f ca="1"/>
        <v/>
      </c>
      <c r="V201" s="180" t="str">
        <f ca="1"/>
        <v/>
      </c>
      <c r="W201" s="180" t="str">
        <f ca="1"/>
        <v/>
      </c>
      <c r="X201" s="180" t="str">
        <f ca="1"/>
        <v/>
      </c>
      <c r="Y201" s="180" t="str">
        <f ca="1"/>
        <v/>
      </c>
      <c r="Z201" s="180" t="str">
        <f ca="1"/>
        <v/>
      </c>
      <c r="AA201" s="180" t="str">
        <f ca="1"/>
        <v/>
      </c>
      <c r="AB201" s="180" t="str">
        <f ca="1"/>
        <v/>
      </c>
      <c r="AC201" s="180" t="str">
        <f ca="1"/>
        <v/>
      </c>
      <c r="AD201" s="180" t="str">
        <f ca="1"/>
        <v/>
      </c>
      <c r="AE201" s="180" t="str">
        <f ca="1"/>
        <v/>
      </c>
      <c r="AF201" s="180" t="str">
        <f ca="1"/>
        <v/>
      </c>
      <c r="AG201" s="180" t="str">
        <f ca="1"/>
        <v/>
      </c>
      <c r="AH201" s="180" t="str">
        <f ca="1"/>
        <v/>
      </c>
      <c r="AI201" s="180" t="str">
        <f ca="1"/>
        <v/>
      </c>
      <c r="AJ201" s="180" t="str">
        <f ca="1"/>
        <v/>
      </c>
      <c r="AK201" s="180" t="str">
        <f ca="1"/>
        <v/>
      </c>
      <c r="AL201" s="180" t="str">
        <f ca="1"/>
        <v/>
      </c>
      <c r="AM201" s="180" t="str">
        <f ca="1"/>
        <v/>
      </c>
      <c r="AN201" s="180" t="str">
        <f ca="1"/>
        <v/>
      </c>
      <c r="AO201" s="180" t="str">
        <f ca="1"/>
        <v/>
      </c>
      <c r="AP201" s="180" t="str">
        <f ca="1"/>
        <v/>
      </c>
      <c r="AQ201" t="str">
        <f ca="1"/>
        <v/>
      </c>
    </row>
    <row r="202" spans="2:43" x14ac:dyDescent="0.25">
      <c r="B202" s="179" t="str">
        <f ca="1"/>
        <v/>
      </c>
      <c r="C202" s="180" t="str">
        <f ca="1"/>
        <v/>
      </c>
      <c r="D202" s="180" t="str">
        <f ca="1"/>
        <v/>
      </c>
      <c r="E202" s="180" t="str">
        <f ca="1"/>
        <v/>
      </c>
      <c r="F202" s="180" t="str">
        <f ca="1"/>
        <v/>
      </c>
      <c r="G202" s="180" t="str">
        <f ca="1"/>
        <v/>
      </c>
      <c r="H202" s="180" t="str">
        <f ca="1"/>
        <v/>
      </c>
      <c r="I202" s="180" t="str">
        <f ca="1"/>
        <v/>
      </c>
      <c r="J202" s="180" t="str">
        <f ca="1"/>
        <v/>
      </c>
      <c r="K202" s="180" t="str">
        <f ca="1"/>
        <v/>
      </c>
      <c r="L202" s="180" t="str">
        <f ca="1"/>
        <v/>
      </c>
      <c r="M202" s="180" t="str">
        <f ca="1"/>
        <v/>
      </c>
      <c r="N202" s="180" t="str">
        <f ca="1"/>
        <v/>
      </c>
      <c r="O202" s="180" t="str">
        <f ca="1"/>
        <v/>
      </c>
      <c r="P202" s="180" t="str">
        <f ca="1"/>
        <v/>
      </c>
      <c r="Q202" s="180" t="str">
        <f ca="1"/>
        <v/>
      </c>
      <c r="R202" s="180" t="str">
        <f ca="1"/>
        <v/>
      </c>
      <c r="S202" s="180" t="str">
        <f ca="1"/>
        <v/>
      </c>
      <c r="T202" s="180" t="str">
        <f ca="1"/>
        <v/>
      </c>
      <c r="U202" s="180" t="str">
        <f ca="1"/>
        <v/>
      </c>
      <c r="V202" s="180" t="str">
        <f ca="1"/>
        <v/>
      </c>
      <c r="W202" s="180" t="str">
        <f ca="1"/>
        <v/>
      </c>
      <c r="X202" s="180" t="str">
        <f ca="1"/>
        <v/>
      </c>
      <c r="Y202" s="180" t="str">
        <f ca="1"/>
        <v/>
      </c>
      <c r="Z202" s="180" t="str">
        <f ca="1"/>
        <v/>
      </c>
      <c r="AA202" s="180" t="str">
        <f ca="1"/>
        <v/>
      </c>
      <c r="AB202" s="180" t="str">
        <f ca="1"/>
        <v/>
      </c>
      <c r="AC202" s="180" t="str">
        <f ca="1"/>
        <v/>
      </c>
      <c r="AD202" s="180" t="str">
        <f ca="1"/>
        <v/>
      </c>
      <c r="AE202" s="180" t="str">
        <f ca="1"/>
        <v/>
      </c>
      <c r="AF202" s="180" t="str">
        <f ca="1"/>
        <v/>
      </c>
      <c r="AG202" s="180" t="str">
        <f ca="1"/>
        <v/>
      </c>
      <c r="AH202" s="180" t="str">
        <f ca="1"/>
        <v/>
      </c>
      <c r="AI202" s="180" t="str">
        <f ca="1"/>
        <v/>
      </c>
      <c r="AJ202" s="180" t="str">
        <f ca="1"/>
        <v/>
      </c>
      <c r="AK202" s="180" t="str">
        <f ca="1"/>
        <v/>
      </c>
      <c r="AL202" s="180" t="str">
        <f ca="1"/>
        <v/>
      </c>
      <c r="AM202" s="180" t="str">
        <f ca="1"/>
        <v/>
      </c>
      <c r="AN202" s="180" t="str">
        <f ca="1"/>
        <v/>
      </c>
      <c r="AO202" s="180" t="str">
        <f ca="1"/>
        <v/>
      </c>
      <c r="AP202" s="180" t="str">
        <f ca="1"/>
        <v/>
      </c>
      <c r="AQ202" t="str">
        <f ca="1"/>
        <v/>
      </c>
    </row>
    <row r="203" spans="2:43" x14ac:dyDescent="0.25">
      <c r="B203" s="179" t="str">
        <f ca="1"/>
        <v/>
      </c>
      <c r="C203" s="180" t="str">
        <f ca="1"/>
        <v/>
      </c>
      <c r="D203" s="180" t="str">
        <f ca="1"/>
        <v/>
      </c>
      <c r="E203" s="180" t="str">
        <f ca="1"/>
        <v/>
      </c>
      <c r="F203" s="180" t="str">
        <f ca="1"/>
        <v/>
      </c>
      <c r="G203" s="180" t="str">
        <f ca="1"/>
        <v/>
      </c>
      <c r="H203" s="180" t="str">
        <f ca="1"/>
        <v/>
      </c>
      <c r="I203" s="180" t="str">
        <f ca="1"/>
        <v/>
      </c>
      <c r="J203" s="180" t="str">
        <f ca="1"/>
        <v/>
      </c>
      <c r="K203" s="180" t="str">
        <f ca="1"/>
        <v/>
      </c>
      <c r="L203" s="180" t="str">
        <f ca="1"/>
        <v/>
      </c>
      <c r="M203" s="180" t="str">
        <f ca="1"/>
        <v/>
      </c>
      <c r="N203" s="180" t="str">
        <f ca="1"/>
        <v/>
      </c>
      <c r="O203" s="180" t="str">
        <f ca="1"/>
        <v/>
      </c>
      <c r="P203" s="180" t="str">
        <f ca="1"/>
        <v/>
      </c>
      <c r="Q203" s="180" t="str">
        <f ca="1"/>
        <v/>
      </c>
      <c r="R203" s="180" t="str">
        <f ca="1"/>
        <v/>
      </c>
      <c r="S203" s="180" t="str">
        <f ca="1"/>
        <v/>
      </c>
      <c r="T203" s="180" t="str">
        <f ca="1"/>
        <v/>
      </c>
      <c r="U203" s="180" t="str">
        <f ca="1"/>
        <v/>
      </c>
      <c r="V203" s="180" t="str">
        <f ca="1"/>
        <v/>
      </c>
      <c r="W203" s="180" t="str">
        <f ca="1"/>
        <v/>
      </c>
      <c r="X203" s="180" t="str">
        <f ca="1"/>
        <v/>
      </c>
      <c r="Y203" s="180" t="str">
        <f ca="1"/>
        <v/>
      </c>
      <c r="Z203" s="180" t="str">
        <f ca="1"/>
        <v/>
      </c>
      <c r="AA203" s="180" t="str">
        <f ca="1"/>
        <v/>
      </c>
      <c r="AB203" s="180" t="str">
        <f ca="1"/>
        <v/>
      </c>
      <c r="AC203" s="180" t="str">
        <f ca="1"/>
        <v/>
      </c>
      <c r="AD203" s="180" t="str">
        <f ca="1"/>
        <v/>
      </c>
      <c r="AE203" s="180" t="str">
        <f ca="1"/>
        <v/>
      </c>
      <c r="AF203" s="180" t="str">
        <f ca="1"/>
        <v/>
      </c>
      <c r="AG203" s="180" t="str">
        <f ca="1"/>
        <v/>
      </c>
      <c r="AH203" s="180" t="str">
        <f ca="1"/>
        <v/>
      </c>
      <c r="AI203" s="180" t="str">
        <f ca="1"/>
        <v/>
      </c>
      <c r="AJ203" s="180" t="str">
        <f ca="1"/>
        <v/>
      </c>
      <c r="AK203" s="180" t="str">
        <f ca="1"/>
        <v/>
      </c>
      <c r="AL203" s="180" t="str">
        <f ca="1"/>
        <v/>
      </c>
      <c r="AM203" s="180" t="str">
        <f ca="1"/>
        <v/>
      </c>
      <c r="AN203" s="180" t="str">
        <f ca="1"/>
        <v/>
      </c>
      <c r="AO203" s="180" t="str">
        <f ca="1"/>
        <v/>
      </c>
      <c r="AP203" s="180" t="str">
        <f ca="1"/>
        <v/>
      </c>
      <c r="AQ203" t="str">
        <f ca="1"/>
        <v/>
      </c>
    </row>
    <row r="204" spans="2:43" x14ac:dyDescent="0.25">
      <c r="B204" s="179" t="str">
        <f ca="1"/>
        <v/>
      </c>
      <c r="C204" s="180" t="str">
        <f ca="1"/>
        <v/>
      </c>
      <c r="D204" s="180" t="str">
        <f ca="1"/>
        <v/>
      </c>
      <c r="E204" s="180" t="str">
        <f ca="1"/>
        <v/>
      </c>
      <c r="F204" s="180" t="str">
        <f ca="1"/>
        <v/>
      </c>
      <c r="G204" s="180" t="str">
        <f ca="1"/>
        <v/>
      </c>
      <c r="H204" s="180" t="str">
        <f ca="1"/>
        <v/>
      </c>
      <c r="I204" s="180" t="str">
        <f ca="1"/>
        <v/>
      </c>
      <c r="J204" s="180" t="str">
        <f ca="1"/>
        <v/>
      </c>
      <c r="K204" s="180" t="str">
        <f ca="1"/>
        <v/>
      </c>
      <c r="L204" s="180" t="str">
        <f ca="1"/>
        <v/>
      </c>
      <c r="M204" s="180" t="str">
        <f ca="1"/>
        <v/>
      </c>
      <c r="N204" s="180" t="str">
        <f ca="1"/>
        <v/>
      </c>
      <c r="O204" s="180" t="str">
        <f ca="1"/>
        <v/>
      </c>
      <c r="P204" s="180" t="str">
        <f ca="1"/>
        <v/>
      </c>
      <c r="Q204" s="180" t="str">
        <f ca="1"/>
        <v/>
      </c>
      <c r="R204" s="180" t="str">
        <f ca="1"/>
        <v/>
      </c>
      <c r="S204" s="180" t="str">
        <f ca="1"/>
        <v/>
      </c>
      <c r="T204" s="180" t="str">
        <f ca="1"/>
        <v/>
      </c>
      <c r="U204" s="180" t="str">
        <f ca="1"/>
        <v/>
      </c>
      <c r="V204" s="180" t="str">
        <f ca="1"/>
        <v/>
      </c>
      <c r="W204" s="180" t="str">
        <f ca="1"/>
        <v/>
      </c>
      <c r="X204" s="180" t="str">
        <f ca="1"/>
        <v/>
      </c>
      <c r="Y204" s="180" t="str">
        <f ca="1"/>
        <v/>
      </c>
      <c r="Z204" s="180" t="str">
        <f ca="1"/>
        <v/>
      </c>
      <c r="AA204" s="180" t="str">
        <f ca="1"/>
        <v/>
      </c>
      <c r="AB204" s="180" t="str">
        <f ca="1"/>
        <v/>
      </c>
      <c r="AC204" s="180" t="str">
        <f ca="1"/>
        <v/>
      </c>
      <c r="AD204" s="180" t="str">
        <f ca="1"/>
        <v/>
      </c>
      <c r="AE204" s="180" t="str">
        <f ca="1"/>
        <v/>
      </c>
      <c r="AF204" s="180" t="str">
        <f ca="1"/>
        <v/>
      </c>
      <c r="AG204" s="180" t="str">
        <f ca="1"/>
        <v/>
      </c>
      <c r="AH204" s="180" t="str">
        <f ca="1"/>
        <v/>
      </c>
      <c r="AI204" s="180" t="str">
        <f ca="1"/>
        <v/>
      </c>
      <c r="AJ204" s="180" t="str">
        <f ca="1"/>
        <v/>
      </c>
      <c r="AK204" s="180" t="str">
        <f ca="1"/>
        <v/>
      </c>
      <c r="AL204" s="180" t="str">
        <f ca="1"/>
        <v/>
      </c>
      <c r="AM204" s="180" t="str">
        <f ca="1"/>
        <v/>
      </c>
      <c r="AN204" s="180" t="str">
        <f ca="1"/>
        <v/>
      </c>
      <c r="AO204" s="180" t="str">
        <f ca="1"/>
        <v/>
      </c>
      <c r="AP204" s="180" t="str">
        <f ca="1"/>
        <v/>
      </c>
      <c r="AQ204" t="str">
        <f ca="1"/>
        <v/>
      </c>
    </row>
    <row r="205" spans="2:43" x14ac:dyDescent="0.25">
      <c r="B205" s="179" t="str">
        <f ca="1"/>
        <v/>
      </c>
      <c r="C205" s="180" t="str">
        <f ca="1"/>
        <v/>
      </c>
      <c r="D205" s="180" t="str">
        <f ca="1"/>
        <v/>
      </c>
      <c r="E205" s="180" t="str">
        <f ca="1"/>
        <v/>
      </c>
      <c r="F205" s="180" t="str">
        <f ca="1"/>
        <v/>
      </c>
      <c r="G205" s="180" t="str">
        <f ca="1"/>
        <v/>
      </c>
      <c r="H205" s="180" t="str">
        <f ca="1"/>
        <v/>
      </c>
      <c r="I205" s="180" t="str">
        <f ca="1"/>
        <v/>
      </c>
      <c r="J205" s="180" t="str">
        <f ca="1"/>
        <v/>
      </c>
      <c r="K205" s="180" t="str">
        <f ca="1"/>
        <v/>
      </c>
      <c r="L205" s="180" t="str">
        <f ca="1"/>
        <v/>
      </c>
      <c r="M205" s="180" t="str">
        <f ca="1"/>
        <v/>
      </c>
      <c r="N205" s="180" t="str">
        <f ca="1"/>
        <v/>
      </c>
      <c r="O205" s="180" t="str">
        <f ca="1"/>
        <v/>
      </c>
      <c r="P205" s="180" t="str">
        <f ca="1"/>
        <v/>
      </c>
      <c r="Q205" s="180" t="str">
        <f ca="1"/>
        <v/>
      </c>
      <c r="R205" s="180" t="str">
        <f ca="1"/>
        <v/>
      </c>
      <c r="S205" s="180" t="str">
        <f ca="1"/>
        <v/>
      </c>
      <c r="T205" s="180" t="str">
        <f ca="1"/>
        <v/>
      </c>
      <c r="U205" s="180" t="str">
        <f ca="1"/>
        <v/>
      </c>
      <c r="V205" s="180" t="str">
        <f ca="1"/>
        <v/>
      </c>
      <c r="W205" s="180" t="str">
        <f ca="1"/>
        <v/>
      </c>
      <c r="X205" s="180" t="str">
        <f ca="1"/>
        <v/>
      </c>
      <c r="Y205" s="180" t="str">
        <f ca="1"/>
        <v/>
      </c>
      <c r="Z205" s="180" t="str">
        <f ca="1"/>
        <v/>
      </c>
      <c r="AA205" s="180" t="str">
        <f ca="1"/>
        <v/>
      </c>
      <c r="AB205" s="180" t="str">
        <f ca="1"/>
        <v/>
      </c>
      <c r="AC205" s="180" t="str">
        <f ca="1"/>
        <v/>
      </c>
      <c r="AD205" s="180" t="str">
        <f ca="1"/>
        <v/>
      </c>
      <c r="AE205" s="180" t="str">
        <f ca="1"/>
        <v/>
      </c>
      <c r="AF205" s="180" t="str">
        <f ca="1"/>
        <v/>
      </c>
      <c r="AG205" s="180" t="str">
        <f ca="1"/>
        <v/>
      </c>
      <c r="AH205" s="180" t="str">
        <f ca="1"/>
        <v/>
      </c>
      <c r="AI205" s="180" t="str">
        <f ca="1"/>
        <v/>
      </c>
      <c r="AJ205" s="180" t="str">
        <f ca="1"/>
        <v/>
      </c>
      <c r="AK205" s="180" t="str">
        <f ca="1"/>
        <v/>
      </c>
      <c r="AL205" s="180" t="str">
        <f ca="1"/>
        <v/>
      </c>
      <c r="AM205" s="180" t="str">
        <f ca="1"/>
        <v/>
      </c>
      <c r="AN205" s="180" t="str">
        <f ca="1"/>
        <v/>
      </c>
      <c r="AO205" s="180" t="str">
        <f ca="1"/>
        <v/>
      </c>
      <c r="AP205" s="180" t="str">
        <f ca="1"/>
        <v/>
      </c>
      <c r="AQ205" t="str">
        <f ca="1"/>
        <v/>
      </c>
    </row>
    <row r="206" spans="2:43" x14ac:dyDescent="0.25">
      <c r="B206" s="179" t="str">
        <f ca="1"/>
        <v/>
      </c>
      <c r="C206" s="180" t="str">
        <f ca="1"/>
        <v/>
      </c>
      <c r="D206" s="180" t="str">
        <f ca="1"/>
        <v/>
      </c>
      <c r="E206" s="180" t="str">
        <f ca="1"/>
        <v/>
      </c>
      <c r="F206" s="180" t="str">
        <f ca="1"/>
        <v/>
      </c>
      <c r="G206" s="180" t="str">
        <f ca="1"/>
        <v/>
      </c>
      <c r="H206" s="180" t="str">
        <f ca="1"/>
        <v/>
      </c>
      <c r="I206" s="180" t="str">
        <f ca="1"/>
        <v/>
      </c>
      <c r="J206" s="180" t="str">
        <f ca="1"/>
        <v/>
      </c>
      <c r="K206" s="180" t="str">
        <f ca="1"/>
        <v/>
      </c>
      <c r="L206" s="180" t="str">
        <f ca="1"/>
        <v/>
      </c>
      <c r="M206" s="180" t="str">
        <f ca="1"/>
        <v/>
      </c>
      <c r="N206" s="180" t="str">
        <f ca="1"/>
        <v/>
      </c>
      <c r="O206" s="180" t="str">
        <f ca="1"/>
        <v/>
      </c>
      <c r="P206" s="180" t="str">
        <f ca="1"/>
        <v/>
      </c>
      <c r="Q206" s="180" t="str">
        <f ca="1"/>
        <v/>
      </c>
      <c r="R206" s="180" t="str">
        <f ca="1"/>
        <v/>
      </c>
      <c r="S206" s="180" t="str">
        <f ca="1"/>
        <v/>
      </c>
      <c r="T206" s="180" t="str">
        <f ca="1"/>
        <v/>
      </c>
      <c r="U206" s="180" t="str">
        <f ca="1"/>
        <v/>
      </c>
      <c r="V206" s="180" t="str">
        <f ca="1"/>
        <v/>
      </c>
      <c r="W206" s="180" t="str">
        <f ca="1"/>
        <v/>
      </c>
      <c r="X206" s="180" t="str">
        <f ca="1"/>
        <v/>
      </c>
      <c r="Y206" s="180" t="str">
        <f ca="1"/>
        <v/>
      </c>
      <c r="Z206" s="180" t="str">
        <f ca="1"/>
        <v/>
      </c>
      <c r="AA206" s="180" t="str">
        <f ca="1"/>
        <v/>
      </c>
      <c r="AB206" s="180" t="str">
        <f ca="1"/>
        <v/>
      </c>
      <c r="AC206" s="180" t="str">
        <f ca="1"/>
        <v/>
      </c>
      <c r="AD206" s="180" t="str">
        <f ca="1"/>
        <v/>
      </c>
      <c r="AE206" s="180" t="str">
        <f ca="1"/>
        <v/>
      </c>
      <c r="AF206" s="180" t="str">
        <f ca="1"/>
        <v/>
      </c>
      <c r="AG206" s="180" t="str">
        <f ca="1"/>
        <v/>
      </c>
      <c r="AH206" s="180" t="str">
        <f ca="1"/>
        <v/>
      </c>
      <c r="AI206" s="180" t="str">
        <f ca="1"/>
        <v/>
      </c>
      <c r="AJ206" s="180" t="str">
        <f ca="1"/>
        <v/>
      </c>
      <c r="AK206" s="180" t="str">
        <f ca="1"/>
        <v/>
      </c>
      <c r="AL206" s="180" t="str">
        <f ca="1"/>
        <v/>
      </c>
      <c r="AM206" s="180" t="str">
        <f ca="1"/>
        <v/>
      </c>
      <c r="AN206" s="180" t="str">
        <f ca="1"/>
        <v/>
      </c>
      <c r="AO206" s="180" t="str">
        <f ca="1"/>
        <v/>
      </c>
      <c r="AP206" s="180" t="str">
        <f ca="1"/>
        <v/>
      </c>
      <c r="AQ206" t="str">
        <f ca="1"/>
        <v/>
      </c>
    </row>
    <row r="207" spans="2:43" x14ac:dyDescent="0.25">
      <c r="B207" s="179" t="str">
        <f ca="1"/>
        <v/>
      </c>
      <c r="C207" s="180" t="str">
        <f ca="1"/>
        <v/>
      </c>
      <c r="D207" s="180" t="str">
        <f ca="1"/>
        <v/>
      </c>
      <c r="E207" s="180" t="str">
        <f ca="1"/>
        <v/>
      </c>
      <c r="F207" s="180" t="str">
        <f ca="1"/>
        <v/>
      </c>
      <c r="G207" s="180" t="str">
        <f ca="1"/>
        <v/>
      </c>
      <c r="H207" s="180" t="str">
        <f ca="1"/>
        <v/>
      </c>
      <c r="I207" s="180" t="str">
        <f ca="1"/>
        <v/>
      </c>
      <c r="J207" s="180" t="str">
        <f ca="1"/>
        <v/>
      </c>
      <c r="K207" s="180" t="str">
        <f ca="1"/>
        <v/>
      </c>
      <c r="L207" s="180" t="str">
        <f ca="1"/>
        <v/>
      </c>
      <c r="M207" s="180" t="str">
        <f ca="1"/>
        <v/>
      </c>
      <c r="N207" s="180" t="str">
        <f ca="1"/>
        <v/>
      </c>
      <c r="O207" s="180" t="str">
        <f ca="1"/>
        <v/>
      </c>
      <c r="P207" s="180" t="str">
        <f ca="1"/>
        <v/>
      </c>
      <c r="Q207" s="180" t="str">
        <f ca="1"/>
        <v/>
      </c>
      <c r="R207" s="180" t="str">
        <f ca="1"/>
        <v/>
      </c>
      <c r="S207" s="180" t="str">
        <f ca="1"/>
        <v/>
      </c>
      <c r="T207" s="180" t="str">
        <f ca="1"/>
        <v/>
      </c>
      <c r="U207" s="180" t="str">
        <f ca="1"/>
        <v/>
      </c>
      <c r="V207" s="180" t="str">
        <f ca="1"/>
        <v/>
      </c>
      <c r="W207" s="180" t="str">
        <f ca="1"/>
        <v/>
      </c>
      <c r="X207" s="180" t="str">
        <f ca="1"/>
        <v/>
      </c>
      <c r="Y207" s="180" t="str">
        <f ca="1"/>
        <v/>
      </c>
      <c r="Z207" s="180" t="str">
        <f ca="1"/>
        <v/>
      </c>
      <c r="AA207" s="180" t="str">
        <f ca="1"/>
        <v/>
      </c>
      <c r="AB207" s="180" t="str">
        <f ca="1"/>
        <v/>
      </c>
      <c r="AC207" s="180" t="str">
        <f ca="1"/>
        <v/>
      </c>
      <c r="AD207" s="180" t="str">
        <f ca="1"/>
        <v/>
      </c>
      <c r="AE207" s="180" t="str">
        <f ca="1"/>
        <v/>
      </c>
      <c r="AF207" s="180" t="str">
        <f ca="1"/>
        <v/>
      </c>
      <c r="AG207" s="180" t="str">
        <f ca="1"/>
        <v/>
      </c>
      <c r="AH207" s="180" t="str">
        <f ca="1"/>
        <v/>
      </c>
      <c r="AI207" s="180" t="str">
        <f ca="1"/>
        <v/>
      </c>
      <c r="AJ207" s="180" t="str">
        <f ca="1"/>
        <v/>
      </c>
      <c r="AK207" s="180" t="str">
        <f ca="1"/>
        <v/>
      </c>
      <c r="AL207" s="180" t="str">
        <f ca="1"/>
        <v/>
      </c>
      <c r="AM207" s="180" t="str">
        <f ca="1"/>
        <v/>
      </c>
      <c r="AN207" s="180" t="str">
        <f ca="1"/>
        <v/>
      </c>
      <c r="AO207" s="180" t="str">
        <f ca="1"/>
        <v/>
      </c>
      <c r="AP207" s="180" t="str">
        <f ca="1"/>
        <v/>
      </c>
      <c r="AQ207" t="str">
        <f ca="1"/>
        <v/>
      </c>
    </row>
    <row r="208" spans="2:43" x14ac:dyDescent="0.25">
      <c r="B208" s="179" t="str">
        <f ca="1"/>
        <v/>
      </c>
      <c r="C208" s="180" t="str">
        <f ca="1"/>
        <v/>
      </c>
      <c r="D208" s="180" t="str">
        <f ca="1"/>
        <v/>
      </c>
      <c r="E208" s="180" t="str">
        <f ca="1"/>
        <v/>
      </c>
      <c r="F208" s="180" t="str">
        <f ca="1"/>
        <v/>
      </c>
      <c r="G208" s="180" t="str">
        <f ca="1"/>
        <v/>
      </c>
      <c r="H208" s="180" t="str">
        <f ca="1"/>
        <v/>
      </c>
      <c r="I208" s="180" t="str">
        <f ca="1"/>
        <v/>
      </c>
      <c r="J208" s="180" t="str">
        <f ca="1"/>
        <v/>
      </c>
      <c r="K208" s="180" t="str">
        <f ca="1"/>
        <v/>
      </c>
      <c r="L208" s="180" t="str">
        <f ca="1"/>
        <v/>
      </c>
      <c r="M208" s="180" t="str">
        <f ca="1"/>
        <v/>
      </c>
      <c r="N208" s="180" t="str">
        <f ca="1"/>
        <v/>
      </c>
      <c r="O208" s="180" t="str">
        <f ca="1"/>
        <v/>
      </c>
      <c r="P208" s="180" t="str">
        <f ca="1"/>
        <v/>
      </c>
      <c r="Q208" s="180" t="str">
        <f ca="1"/>
        <v/>
      </c>
      <c r="R208" s="180" t="str">
        <f ca="1"/>
        <v/>
      </c>
      <c r="S208" s="180" t="str">
        <f ca="1"/>
        <v/>
      </c>
      <c r="T208" s="180" t="str">
        <f ca="1"/>
        <v/>
      </c>
      <c r="U208" s="180" t="str">
        <f ca="1"/>
        <v/>
      </c>
      <c r="V208" s="180" t="str">
        <f ca="1"/>
        <v/>
      </c>
      <c r="W208" s="180" t="str">
        <f ca="1"/>
        <v/>
      </c>
      <c r="X208" s="180" t="str">
        <f ca="1"/>
        <v/>
      </c>
      <c r="Y208" s="180" t="str">
        <f ca="1"/>
        <v/>
      </c>
      <c r="Z208" s="180" t="str">
        <f ca="1"/>
        <v/>
      </c>
      <c r="AA208" s="180" t="str">
        <f ca="1"/>
        <v/>
      </c>
      <c r="AB208" s="180" t="str">
        <f ca="1"/>
        <v/>
      </c>
      <c r="AC208" s="180" t="str">
        <f ca="1"/>
        <v/>
      </c>
      <c r="AD208" s="180" t="str">
        <f ca="1"/>
        <v/>
      </c>
      <c r="AE208" s="180" t="str">
        <f ca="1"/>
        <v/>
      </c>
      <c r="AF208" s="180" t="str">
        <f ca="1"/>
        <v/>
      </c>
      <c r="AG208" s="180" t="str">
        <f ca="1"/>
        <v/>
      </c>
      <c r="AH208" s="180" t="str">
        <f ca="1"/>
        <v/>
      </c>
      <c r="AI208" s="180" t="str">
        <f ca="1"/>
        <v/>
      </c>
      <c r="AJ208" s="180" t="str">
        <f ca="1"/>
        <v/>
      </c>
      <c r="AK208" s="180" t="str">
        <f ca="1"/>
        <v/>
      </c>
      <c r="AL208" s="180" t="str">
        <f ca="1"/>
        <v/>
      </c>
      <c r="AM208" s="180" t="str">
        <f ca="1"/>
        <v/>
      </c>
      <c r="AN208" s="180" t="str">
        <f ca="1"/>
        <v/>
      </c>
      <c r="AO208" s="180" t="str">
        <f ca="1"/>
        <v/>
      </c>
      <c r="AP208" s="180" t="str">
        <f ca="1"/>
        <v/>
      </c>
      <c r="AQ208" t="str">
        <f ca="1"/>
        <v/>
      </c>
    </row>
    <row r="209" spans="2:43" x14ac:dyDescent="0.25">
      <c r="B209" s="179" t="str">
        <f ca="1"/>
        <v/>
      </c>
      <c r="C209" s="180" t="str">
        <f ca="1"/>
        <v/>
      </c>
      <c r="D209" s="180" t="str">
        <f ca="1"/>
        <v/>
      </c>
      <c r="E209" s="180" t="str">
        <f ca="1"/>
        <v/>
      </c>
      <c r="F209" s="180" t="str">
        <f ca="1"/>
        <v/>
      </c>
      <c r="G209" s="180" t="str">
        <f ca="1"/>
        <v/>
      </c>
      <c r="H209" s="180" t="str">
        <f ca="1"/>
        <v/>
      </c>
      <c r="I209" s="180" t="str">
        <f ca="1"/>
        <v/>
      </c>
      <c r="J209" s="180" t="str">
        <f ca="1"/>
        <v/>
      </c>
      <c r="K209" s="180" t="str">
        <f ca="1"/>
        <v/>
      </c>
      <c r="L209" s="180" t="str">
        <f ca="1"/>
        <v/>
      </c>
      <c r="M209" s="180" t="str">
        <f ca="1"/>
        <v/>
      </c>
      <c r="N209" s="180" t="str">
        <f ca="1"/>
        <v/>
      </c>
      <c r="O209" s="180" t="str">
        <f ca="1"/>
        <v/>
      </c>
      <c r="P209" s="180" t="str">
        <f ca="1"/>
        <v/>
      </c>
      <c r="Q209" s="180" t="str">
        <f ca="1"/>
        <v/>
      </c>
      <c r="R209" s="180" t="str">
        <f ca="1"/>
        <v/>
      </c>
      <c r="S209" s="180" t="str">
        <f ca="1"/>
        <v/>
      </c>
      <c r="T209" s="180" t="str">
        <f ca="1"/>
        <v/>
      </c>
      <c r="U209" s="180" t="str">
        <f ca="1"/>
        <v/>
      </c>
      <c r="V209" s="180" t="str">
        <f ca="1"/>
        <v/>
      </c>
      <c r="W209" s="180" t="str">
        <f ca="1"/>
        <v/>
      </c>
      <c r="X209" s="180" t="str">
        <f ca="1"/>
        <v/>
      </c>
      <c r="Y209" s="180" t="str">
        <f ca="1"/>
        <v/>
      </c>
      <c r="Z209" s="180" t="str">
        <f ca="1"/>
        <v/>
      </c>
      <c r="AA209" s="180" t="str">
        <f ca="1"/>
        <v/>
      </c>
      <c r="AB209" s="180" t="str">
        <f ca="1"/>
        <v/>
      </c>
      <c r="AC209" s="180" t="str">
        <f ca="1"/>
        <v/>
      </c>
      <c r="AD209" s="180" t="str">
        <f ca="1"/>
        <v/>
      </c>
      <c r="AE209" s="180" t="str">
        <f ca="1"/>
        <v/>
      </c>
      <c r="AF209" s="180" t="str">
        <f ca="1"/>
        <v/>
      </c>
      <c r="AG209" s="180" t="str">
        <f ca="1"/>
        <v/>
      </c>
      <c r="AH209" s="180" t="str">
        <f ca="1"/>
        <v/>
      </c>
      <c r="AI209" s="180" t="str">
        <f ca="1"/>
        <v/>
      </c>
      <c r="AJ209" s="180" t="str">
        <f ca="1"/>
        <v/>
      </c>
      <c r="AK209" s="180" t="str">
        <f ca="1"/>
        <v/>
      </c>
      <c r="AL209" s="180" t="str">
        <f ca="1"/>
        <v/>
      </c>
      <c r="AM209" s="180" t="str">
        <f ca="1"/>
        <v/>
      </c>
      <c r="AN209" s="180" t="str">
        <f ca="1"/>
        <v/>
      </c>
      <c r="AO209" s="180" t="str">
        <f ca="1"/>
        <v/>
      </c>
      <c r="AP209" s="180" t="str">
        <f ca="1"/>
        <v/>
      </c>
      <c r="AQ209" t="str">
        <f ca="1"/>
        <v/>
      </c>
    </row>
    <row r="210" spans="2:43" x14ac:dyDescent="0.25">
      <c r="B210" s="179" t="str">
        <f ca="1"/>
        <v/>
      </c>
      <c r="C210" s="180" t="str">
        <f ca="1"/>
        <v/>
      </c>
      <c r="D210" s="180" t="str">
        <f ca="1"/>
        <v/>
      </c>
      <c r="E210" s="180" t="str">
        <f ca="1"/>
        <v/>
      </c>
      <c r="F210" s="180" t="str">
        <f ca="1"/>
        <v/>
      </c>
      <c r="G210" s="180" t="str">
        <f ca="1"/>
        <v/>
      </c>
      <c r="H210" s="180" t="str">
        <f ca="1"/>
        <v/>
      </c>
      <c r="I210" s="180" t="str">
        <f ca="1"/>
        <v/>
      </c>
      <c r="J210" s="180" t="str">
        <f ca="1"/>
        <v/>
      </c>
      <c r="K210" s="180" t="str">
        <f ca="1"/>
        <v/>
      </c>
      <c r="L210" s="180" t="str">
        <f ca="1"/>
        <v/>
      </c>
      <c r="M210" s="180" t="str">
        <f ca="1"/>
        <v/>
      </c>
      <c r="N210" s="180" t="str">
        <f ca="1"/>
        <v/>
      </c>
      <c r="O210" s="180" t="str">
        <f ca="1"/>
        <v/>
      </c>
      <c r="P210" s="180" t="str">
        <f ca="1"/>
        <v/>
      </c>
      <c r="Q210" s="180" t="str">
        <f ca="1"/>
        <v/>
      </c>
      <c r="R210" s="180" t="str">
        <f ca="1"/>
        <v/>
      </c>
      <c r="S210" s="180" t="str">
        <f ca="1"/>
        <v/>
      </c>
      <c r="T210" s="180" t="str">
        <f ca="1"/>
        <v/>
      </c>
      <c r="U210" s="180" t="str">
        <f ca="1"/>
        <v/>
      </c>
      <c r="V210" s="180" t="str">
        <f ca="1"/>
        <v/>
      </c>
      <c r="W210" s="180" t="str">
        <f ca="1"/>
        <v/>
      </c>
      <c r="X210" s="180" t="str">
        <f ca="1"/>
        <v/>
      </c>
      <c r="Y210" s="180" t="str">
        <f ca="1"/>
        <v/>
      </c>
      <c r="Z210" s="180" t="str">
        <f ca="1"/>
        <v/>
      </c>
      <c r="AA210" s="180" t="str">
        <f ca="1"/>
        <v/>
      </c>
      <c r="AB210" s="180" t="str">
        <f ca="1"/>
        <v/>
      </c>
      <c r="AC210" s="180" t="str">
        <f ca="1"/>
        <v/>
      </c>
      <c r="AD210" s="180" t="str">
        <f ca="1"/>
        <v/>
      </c>
      <c r="AE210" s="180" t="str">
        <f ca="1"/>
        <v/>
      </c>
      <c r="AF210" s="180" t="str">
        <f ca="1"/>
        <v/>
      </c>
      <c r="AG210" s="180" t="str">
        <f ca="1"/>
        <v/>
      </c>
      <c r="AH210" s="180" t="str">
        <f ca="1"/>
        <v/>
      </c>
      <c r="AI210" s="180" t="str">
        <f ca="1"/>
        <v/>
      </c>
      <c r="AJ210" s="180" t="str">
        <f ca="1"/>
        <v/>
      </c>
      <c r="AK210" s="180" t="str">
        <f ca="1"/>
        <v/>
      </c>
      <c r="AL210" s="180" t="str">
        <f ca="1"/>
        <v/>
      </c>
      <c r="AM210" s="180" t="str">
        <f ca="1"/>
        <v/>
      </c>
      <c r="AN210" s="180" t="str">
        <f ca="1"/>
        <v/>
      </c>
      <c r="AO210" s="180" t="str">
        <f ca="1"/>
        <v/>
      </c>
      <c r="AP210" s="180" t="str">
        <f ca="1"/>
        <v/>
      </c>
      <c r="AQ210" t="str">
        <f ca="1"/>
        <v/>
      </c>
    </row>
    <row r="211" spans="2:43" x14ac:dyDescent="0.25">
      <c r="B211" s="179" t="str">
        <f ca="1"/>
        <v/>
      </c>
      <c r="C211" s="180" t="str">
        <f ca="1"/>
        <v/>
      </c>
      <c r="D211" s="180" t="str">
        <f ca="1"/>
        <v/>
      </c>
      <c r="E211" s="180" t="str">
        <f ca="1"/>
        <v/>
      </c>
      <c r="F211" s="180" t="str">
        <f ca="1"/>
        <v/>
      </c>
      <c r="G211" s="180" t="str">
        <f ca="1"/>
        <v/>
      </c>
      <c r="H211" s="180" t="str">
        <f ca="1"/>
        <v/>
      </c>
      <c r="I211" s="180" t="str">
        <f ca="1"/>
        <v/>
      </c>
      <c r="J211" s="180" t="str">
        <f ca="1"/>
        <v/>
      </c>
      <c r="K211" s="180" t="str">
        <f ca="1"/>
        <v/>
      </c>
      <c r="L211" s="180" t="str">
        <f ca="1"/>
        <v/>
      </c>
      <c r="M211" s="180" t="str">
        <f ca="1"/>
        <v/>
      </c>
      <c r="N211" s="180" t="str">
        <f ca="1"/>
        <v/>
      </c>
      <c r="O211" s="180" t="str">
        <f ca="1"/>
        <v/>
      </c>
      <c r="P211" s="180" t="str">
        <f ca="1"/>
        <v/>
      </c>
      <c r="Q211" s="180" t="str">
        <f ca="1"/>
        <v/>
      </c>
      <c r="R211" s="180" t="str">
        <f ca="1"/>
        <v/>
      </c>
      <c r="S211" s="180" t="str">
        <f ca="1"/>
        <v/>
      </c>
      <c r="T211" s="180" t="str">
        <f ca="1"/>
        <v/>
      </c>
      <c r="U211" s="180" t="str">
        <f ca="1"/>
        <v/>
      </c>
      <c r="V211" s="180" t="str">
        <f ca="1"/>
        <v/>
      </c>
      <c r="W211" s="180" t="str">
        <f ca="1"/>
        <v/>
      </c>
      <c r="X211" s="180" t="str">
        <f ca="1"/>
        <v/>
      </c>
      <c r="Y211" s="180" t="str">
        <f ca="1"/>
        <v/>
      </c>
      <c r="Z211" s="180" t="str">
        <f ca="1"/>
        <v/>
      </c>
      <c r="AA211" s="180" t="str">
        <f ca="1"/>
        <v/>
      </c>
      <c r="AB211" s="180" t="str">
        <f ca="1"/>
        <v/>
      </c>
      <c r="AC211" s="180" t="str">
        <f ca="1"/>
        <v/>
      </c>
      <c r="AD211" s="180" t="str">
        <f ca="1"/>
        <v/>
      </c>
      <c r="AE211" s="180" t="str">
        <f ca="1"/>
        <v/>
      </c>
      <c r="AF211" s="180" t="str">
        <f ca="1"/>
        <v/>
      </c>
      <c r="AG211" s="180" t="str">
        <f ca="1"/>
        <v/>
      </c>
      <c r="AH211" s="180" t="str">
        <f ca="1"/>
        <v/>
      </c>
      <c r="AI211" s="180" t="str">
        <f ca="1"/>
        <v/>
      </c>
      <c r="AJ211" s="180" t="str">
        <f ca="1"/>
        <v/>
      </c>
      <c r="AK211" s="180" t="str">
        <f ca="1"/>
        <v/>
      </c>
      <c r="AL211" s="180" t="str">
        <f ca="1"/>
        <v/>
      </c>
      <c r="AM211" s="180" t="str">
        <f ca="1"/>
        <v/>
      </c>
      <c r="AN211" s="180" t="str">
        <f ca="1"/>
        <v/>
      </c>
      <c r="AO211" s="180" t="str">
        <f ca="1"/>
        <v/>
      </c>
      <c r="AP211" s="180" t="str">
        <f ca="1"/>
        <v/>
      </c>
      <c r="AQ211" t="str">
        <f ca="1"/>
        <v/>
      </c>
    </row>
    <row r="212" spans="2:43" x14ac:dyDescent="0.25">
      <c r="B212" s="179" t="str">
        <f ca="1"/>
        <v/>
      </c>
      <c r="C212" s="180" t="str">
        <f ca="1"/>
        <v/>
      </c>
      <c r="D212" s="180" t="str">
        <f ca="1"/>
        <v/>
      </c>
      <c r="E212" s="180" t="str">
        <f ca="1"/>
        <v/>
      </c>
      <c r="F212" s="180" t="str">
        <f ca="1"/>
        <v/>
      </c>
      <c r="G212" s="180" t="str">
        <f ca="1"/>
        <v/>
      </c>
      <c r="H212" s="180" t="str">
        <f ca="1"/>
        <v/>
      </c>
      <c r="I212" s="180" t="str">
        <f ca="1"/>
        <v/>
      </c>
      <c r="J212" s="180" t="str">
        <f ca="1"/>
        <v/>
      </c>
      <c r="K212" s="180" t="str">
        <f ca="1"/>
        <v/>
      </c>
      <c r="L212" s="180" t="str">
        <f ca="1"/>
        <v/>
      </c>
      <c r="M212" s="180" t="str">
        <f ca="1"/>
        <v/>
      </c>
      <c r="N212" s="180" t="str">
        <f ca="1"/>
        <v/>
      </c>
      <c r="O212" s="180" t="str">
        <f ca="1"/>
        <v/>
      </c>
      <c r="P212" s="180" t="str">
        <f ca="1"/>
        <v/>
      </c>
      <c r="Q212" s="180" t="str">
        <f ca="1"/>
        <v/>
      </c>
      <c r="R212" s="180" t="str">
        <f ca="1"/>
        <v/>
      </c>
      <c r="S212" s="180" t="str">
        <f ca="1"/>
        <v/>
      </c>
      <c r="T212" s="180" t="str">
        <f ca="1"/>
        <v/>
      </c>
      <c r="U212" s="180" t="str">
        <f ca="1"/>
        <v/>
      </c>
      <c r="V212" s="180" t="str">
        <f ca="1"/>
        <v/>
      </c>
      <c r="W212" s="180" t="str">
        <f ca="1"/>
        <v/>
      </c>
      <c r="X212" s="180" t="str">
        <f ca="1"/>
        <v/>
      </c>
      <c r="Y212" s="180" t="str">
        <f ca="1"/>
        <v/>
      </c>
      <c r="Z212" s="180" t="str">
        <f ca="1"/>
        <v/>
      </c>
      <c r="AA212" s="180" t="str">
        <f ca="1"/>
        <v/>
      </c>
      <c r="AB212" s="180" t="str">
        <f ca="1"/>
        <v/>
      </c>
      <c r="AC212" s="180" t="str">
        <f ca="1"/>
        <v/>
      </c>
      <c r="AD212" s="180" t="str">
        <f ca="1"/>
        <v/>
      </c>
      <c r="AE212" s="180" t="str">
        <f ca="1"/>
        <v/>
      </c>
      <c r="AF212" s="180" t="str">
        <f ca="1"/>
        <v/>
      </c>
      <c r="AG212" s="180" t="str">
        <f ca="1"/>
        <v/>
      </c>
      <c r="AH212" s="180" t="str">
        <f ca="1"/>
        <v/>
      </c>
      <c r="AI212" s="180" t="str">
        <f ca="1"/>
        <v/>
      </c>
      <c r="AJ212" s="180" t="str">
        <f ca="1"/>
        <v/>
      </c>
      <c r="AK212" s="180" t="str">
        <f ca="1"/>
        <v/>
      </c>
      <c r="AL212" s="180" t="str">
        <f ca="1"/>
        <v/>
      </c>
      <c r="AM212" s="180" t="str">
        <f ca="1"/>
        <v/>
      </c>
      <c r="AN212" s="180" t="str">
        <f ca="1"/>
        <v/>
      </c>
      <c r="AO212" s="180" t="str">
        <f ca="1"/>
        <v/>
      </c>
      <c r="AP212" s="180" t="str">
        <f ca="1"/>
        <v/>
      </c>
      <c r="AQ212" t="str">
        <f ca="1"/>
        <v/>
      </c>
    </row>
    <row r="213" spans="2:43" x14ac:dyDescent="0.25">
      <c r="B213" s="179" t="str">
        <f ca="1"/>
        <v/>
      </c>
      <c r="C213" s="180" t="str">
        <f ca="1"/>
        <v/>
      </c>
      <c r="D213" s="180" t="str">
        <f ca="1"/>
        <v/>
      </c>
      <c r="E213" s="180" t="str">
        <f ca="1"/>
        <v/>
      </c>
      <c r="F213" s="180" t="str">
        <f ca="1"/>
        <v/>
      </c>
      <c r="G213" s="180" t="str">
        <f ca="1"/>
        <v/>
      </c>
      <c r="H213" s="180" t="str">
        <f ca="1"/>
        <v/>
      </c>
      <c r="I213" s="180" t="str">
        <f ca="1"/>
        <v/>
      </c>
      <c r="J213" s="180" t="str">
        <f ca="1"/>
        <v/>
      </c>
      <c r="K213" s="180" t="str">
        <f ca="1"/>
        <v/>
      </c>
      <c r="L213" s="180" t="str">
        <f ca="1"/>
        <v/>
      </c>
      <c r="M213" s="180" t="str">
        <f ca="1"/>
        <v/>
      </c>
      <c r="N213" s="180" t="str">
        <f ca="1"/>
        <v/>
      </c>
      <c r="O213" s="180" t="str">
        <f ca="1"/>
        <v/>
      </c>
      <c r="P213" s="180" t="str">
        <f ca="1"/>
        <v/>
      </c>
      <c r="Q213" s="180" t="str">
        <f ca="1"/>
        <v/>
      </c>
      <c r="R213" s="180" t="str">
        <f ca="1"/>
        <v/>
      </c>
      <c r="S213" s="180" t="str">
        <f ca="1"/>
        <v/>
      </c>
      <c r="T213" s="180" t="str">
        <f ca="1"/>
        <v/>
      </c>
      <c r="U213" s="180" t="str">
        <f ca="1"/>
        <v/>
      </c>
      <c r="V213" s="180" t="str">
        <f ca="1"/>
        <v/>
      </c>
      <c r="W213" s="180" t="str">
        <f ca="1"/>
        <v/>
      </c>
      <c r="X213" s="180" t="str">
        <f ca="1"/>
        <v/>
      </c>
      <c r="Y213" s="180" t="str">
        <f ca="1"/>
        <v/>
      </c>
      <c r="Z213" s="180" t="str">
        <f ca="1"/>
        <v/>
      </c>
      <c r="AA213" s="180" t="str">
        <f ca="1"/>
        <v/>
      </c>
      <c r="AB213" s="180" t="str">
        <f ca="1"/>
        <v/>
      </c>
      <c r="AC213" s="180" t="str">
        <f ca="1"/>
        <v/>
      </c>
      <c r="AD213" s="180" t="str">
        <f ca="1"/>
        <v/>
      </c>
      <c r="AE213" s="180" t="str">
        <f ca="1"/>
        <v/>
      </c>
      <c r="AF213" s="180" t="str">
        <f ca="1"/>
        <v/>
      </c>
      <c r="AG213" s="180" t="str">
        <f ca="1"/>
        <v/>
      </c>
      <c r="AH213" s="180" t="str">
        <f ca="1"/>
        <v/>
      </c>
      <c r="AI213" s="180" t="str">
        <f ca="1"/>
        <v/>
      </c>
      <c r="AJ213" s="180" t="str">
        <f ca="1"/>
        <v/>
      </c>
      <c r="AK213" s="180" t="str">
        <f ca="1"/>
        <v/>
      </c>
      <c r="AL213" s="180" t="str">
        <f ca="1"/>
        <v/>
      </c>
      <c r="AM213" s="180" t="str">
        <f ca="1"/>
        <v/>
      </c>
      <c r="AN213" s="180" t="str">
        <f ca="1"/>
        <v/>
      </c>
      <c r="AO213" s="180" t="str">
        <f ca="1"/>
        <v/>
      </c>
      <c r="AP213" s="180" t="str">
        <f ca="1"/>
        <v/>
      </c>
      <c r="AQ213" t="str">
        <f ca="1"/>
        <v/>
      </c>
    </row>
    <row r="214" spans="2:43" x14ac:dyDescent="0.25">
      <c r="B214" s="179" t="str">
        <f ca="1"/>
        <v/>
      </c>
      <c r="C214" s="180" t="str">
        <f ca="1"/>
        <v/>
      </c>
      <c r="D214" s="180" t="str">
        <f ca="1"/>
        <v/>
      </c>
      <c r="E214" s="180" t="str">
        <f ca="1"/>
        <v/>
      </c>
      <c r="F214" s="180" t="str">
        <f ca="1"/>
        <v/>
      </c>
      <c r="G214" s="180" t="str">
        <f ca="1"/>
        <v/>
      </c>
      <c r="H214" s="180" t="str">
        <f ca="1"/>
        <v/>
      </c>
      <c r="I214" s="180" t="str">
        <f ca="1"/>
        <v/>
      </c>
      <c r="J214" s="180" t="str">
        <f ca="1"/>
        <v/>
      </c>
      <c r="K214" s="180" t="str">
        <f ca="1"/>
        <v/>
      </c>
      <c r="L214" s="180" t="str">
        <f ca="1"/>
        <v/>
      </c>
      <c r="M214" s="180" t="str">
        <f ca="1"/>
        <v/>
      </c>
      <c r="N214" s="180" t="str">
        <f ca="1"/>
        <v/>
      </c>
      <c r="O214" s="180" t="str">
        <f ca="1"/>
        <v/>
      </c>
      <c r="P214" s="180" t="str">
        <f ca="1"/>
        <v/>
      </c>
      <c r="Q214" s="180" t="str">
        <f ca="1"/>
        <v/>
      </c>
      <c r="R214" s="180" t="str">
        <f ca="1"/>
        <v/>
      </c>
      <c r="S214" s="180" t="str">
        <f ca="1"/>
        <v/>
      </c>
      <c r="T214" s="180" t="str">
        <f ca="1"/>
        <v/>
      </c>
      <c r="U214" s="180" t="str">
        <f ca="1"/>
        <v/>
      </c>
      <c r="V214" s="180" t="str">
        <f ca="1"/>
        <v/>
      </c>
      <c r="W214" s="180" t="str">
        <f ca="1"/>
        <v/>
      </c>
      <c r="X214" s="180" t="str">
        <f ca="1"/>
        <v/>
      </c>
      <c r="Y214" s="180" t="str">
        <f ca="1"/>
        <v/>
      </c>
      <c r="Z214" s="180" t="str">
        <f ca="1"/>
        <v/>
      </c>
      <c r="AA214" s="180" t="str">
        <f ca="1"/>
        <v/>
      </c>
      <c r="AB214" s="180" t="str">
        <f ca="1"/>
        <v/>
      </c>
      <c r="AC214" s="180" t="str">
        <f ca="1"/>
        <v/>
      </c>
      <c r="AD214" s="180" t="str">
        <f ca="1"/>
        <v/>
      </c>
      <c r="AE214" s="180" t="str">
        <f ca="1"/>
        <v/>
      </c>
      <c r="AF214" s="180" t="str">
        <f ca="1"/>
        <v/>
      </c>
      <c r="AG214" s="180" t="str">
        <f ca="1"/>
        <v/>
      </c>
      <c r="AH214" s="180" t="str">
        <f ca="1"/>
        <v/>
      </c>
      <c r="AI214" s="180" t="str">
        <f ca="1"/>
        <v/>
      </c>
      <c r="AJ214" s="180" t="str">
        <f ca="1"/>
        <v/>
      </c>
      <c r="AK214" s="180" t="str">
        <f ca="1"/>
        <v/>
      </c>
      <c r="AL214" s="180" t="str">
        <f ca="1"/>
        <v/>
      </c>
      <c r="AM214" s="180" t="str">
        <f ca="1"/>
        <v/>
      </c>
      <c r="AN214" s="180" t="str">
        <f ca="1"/>
        <v/>
      </c>
      <c r="AO214" s="180" t="str">
        <f ca="1"/>
        <v/>
      </c>
      <c r="AP214" s="180" t="str">
        <f ca="1"/>
        <v/>
      </c>
      <c r="AQ214" t="str">
        <f ca="1"/>
        <v/>
      </c>
    </row>
    <row r="215" spans="2:43" x14ac:dyDescent="0.25">
      <c r="B215" s="179" t="str">
        <f ca="1"/>
        <v/>
      </c>
      <c r="C215" s="180" t="str">
        <f ca="1"/>
        <v/>
      </c>
      <c r="D215" s="180" t="str">
        <f ca="1"/>
        <v/>
      </c>
      <c r="E215" s="180" t="str">
        <f ca="1"/>
        <v/>
      </c>
      <c r="F215" s="180" t="str">
        <f ca="1"/>
        <v/>
      </c>
      <c r="G215" s="180" t="str">
        <f ca="1"/>
        <v/>
      </c>
      <c r="H215" s="180" t="str">
        <f ca="1"/>
        <v/>
      </c>
      <c r="I215" s="180" t="str">
        <f ca="1"/>
        <v/>
      </c>
      <c r="J215" s="180" t="str">
        <f ca="1"/>
        <v/>
      </c>
      <c r="K215" s="180" t="str">
        <f ca="1"/>
        <v/>
      </c>
      <c r="L215" s="180" t="str">
        <f ca="1"/>
        <v/>
      </c>
      <c r="M215" s="180" t="str">
        <f ca="1"/>
        <v/>
      </c>
      <c r="N215" s="180" t="str">
        <f ca="1"/>
        <v/>
      </c>
      <c r="O215" s="180" t="str">
        <f ca="1"/>
        <v/>
      </c>
      <c r="P215" s="180" t="str">
        <f ca="1"/>
        <v/>
      </c>
      <c r="Q215" s="180" t="str">
        <f ca="1"/>
        <v/>
      </c>
      <c r="R215" s="180" t="str">
        <f ca="1"/>
        <v/>
      </c>
      <c r="S215" s="180" t="str">
        <f ca="1"/>
        <v/>
      </c>
      <c r="T215" s="180" t="str">
        <f ca="1"/>
        <v/>
      </c>
      <c r="U215" s="180" t="str">
        <f ca="1"/>
        <v/>
      </c>
      <c r="V215" s="180" t="str">
        <f ca="1"/>
        <v/>
      </c>
      <c r="W215" s="180" t="str">
        <f ca="1"/>
        <v/>
      </c>
      <c r="X215" s="180" t="str">
        <f ca="1"/>
        <v/>
      </c>
      <c r="Y215" s="180" t="str">
        <f ca="1"/>
        <v/>
      </c>
      <c r="Z215" s="180" t="str">
        <f ca="1"/>
        <v/>
      </c>
      <c r="AA215" s="180" t="str">
        <f ca="1"/>
        <v/>
      </c>
      <c r="AB215" s="180" t="str">
        <f ca="1"/>
        <v/>
      </c>
      <c r="AC215" s="180" t="str">
        <f ca="1"/>
        <v/>
      </c>
      <c r="AD215" s="180" t="str">
        <f ca="1"/>
        <v/>
      </c>
      <c r="AE215" s="180" t="str">
        <f ca="1"/>
        <v/>
      </c>
      <c r="AF215" s="180" t="str">
        <f ca="1"/>
        <v/>
      </c>
      <c r="AG215" s="180" t="str">
        <f ca="1"/>
        <v/>
      </c>
      <c r="AH215" s="180" t="str">
        <f ca="1"/>
        <v/>
      </c>
      <c r="AI215" s="180" t="str">
        <f ca="1"/>
        <v/>
      </c>
      <c r="AJ215" s="180" t="str">
        <f ca="1"/>
        <v/>
      </c>
      <c r="AK215" s="180" t="str">
        <f ca="1"/>
        <v/>
      </c>
      <c r="AL215" s="180" t="str">
        <f ca="1"/>
        <v/>
      </c>
      <c r="AM215" s="180" t="str">
        <f ca="1"/>
        <v/>
      </c>
      <c r="AN215" s="180" t="str">
        <f ca="1"/>
        <v/>
      </c>
      <c r="AO215" s="180" t="str">
        <f ca="1"/>
        <v/>
      </c>
      <c r="AP215" s="180" t="str">
        <f ca="1"/>
        <v/>
      </c>
      <c r="AQ215" t="str">
        <f ca="1"/>
        <v/>
      </c>
    </row>
    <row r="216" spans="2:43" x14ac:dyDescent="0.25">
      <c r="B216" s="179" t="str">
        <f ca="1"/>
        <v/>
      </c>
      <c r="C216" s="180" t="str">
        <f ca="1"/>
        <v/>
      </c>
      <c r="D216" s="180" t="str">
        <f ca="1"/>
        <v/>
      </c>
      <c r="E216" s="180" t="str">
        <f ca="1"/>
        <v/>
      </c>
      <c r="F216" s="180" t="str">
        <f ca="1"/>
        <v/>
      </c>
      <c r="G216" s="180" t="str">
        <f ca="1"/>
        <v/>
      </c>
      <c r="H216" s="180" t="str">
        <f ca="1"/>
        <v/>
      </c>
      <c r="I216" s="180" t="str">
        <f ca="1"/>
        <v/>
      </c>
      <c r="J216" s="180" t="str">
        <f ca="1"/>
        <v/>
      </c>
      <c r="K216" s="180" t="str">
        <f ca="1"/>
        <v/>
      </c>
      <c r="L216" s="180" t="str">
        <f ca="1"/>
        <v/>
      </c>
      <c r="M216" s="180" t="str">
        <f ca="1"/>
        <v/>
      </c>
      <c r="N216" s="180" t="str">
        <f ca="1"/>
        <v/>
      </c>
      <c r="O216" s="180" t="str">
        <f ca="1"/>
        <v/>
      </c>
      <c r="P216" s="180" t="str">
        <f ca="1"/>
        <v/>
      </c>
      <c r="Q216" s="180" t="str">
        <f ca="1"/>
        <v/>
      </c>
      <c r="R216" s="180" t="str">
        <f ca="1"/>
        <v/>
      </c>
      <c r="S216" s="180" t="str">
        <f ca="1"/>
        <v/>
      </c>
      <c r="T216" s="180" t="str">
        <f ca="1"/>
        <v/>
      </c>
      <c r="U216" s="180" t="str">
        <f ca="1"/>
        <v/>
      </c>
      <c r="V216" s="180" t="str">
        <f ca="1"/>
        <v/>
      </c>
      <c r="W216" s="180" t="str">
        <f ca="1"/>
        <v/>
      </c>
      <c r="X216" s="180" t="str">
        <f ca="1"/>
        <v/>
      </c>
      <c r="Y216" s="180" t="str">
        <f ca="1"/>
        <v/>
      </c>
      <c r="Z216" s="180" t="str">
        <f ca="1"/>
        <v/>
      </c>
      <c r="AA216" s="180" t="str">
        <f ca="1"/>
        <v/>
      </c>
      <c r="AB216" s="180" t="str">
        <f ca="1"/>
        <v/>
      </c>
      <c r="AC216" s="180" t="str">
        <f ca="1"/>
        <v/>
      </c>
      <c r="AD216" s="180" t="str">
        <f ca="1"/>
        <v/>
      </c>
      <c r="AE216" s="180" t="str">
        <f ca="1"/>
        <v/>
      </c>
      <c r="AF216" s="180" t="str">
        <f ca="1"/>
        <v/>
      </c>
      <c r="AG216" s="180" t="str">
        <f ca="1"/>
        <v/>
      </c>
      <c r="AH216" s="180" t="str">
        <f ca="1"/>
        <v/>
      </c>
      <c r="AI216" s="180" t="str">
        <f ca="1"/>
        <v/>
      </c>
      <c r="AJ216" s="180" t="str">
        <f ca="1"/>
        <v/>
      </c>
      <c r="AK216" s="180" t="str">
        <f ca="1"/>
        <v/>
      </c>
      <c r="AL216" s="180" t="str">
        <f ca="1"/>
        <v/>
      </c>
      <c r="AM216" s="180" t="str">
        <f ca="1"/>
        <v/>
      </c>
      <c r="AN216" s="180" t="str">
        <f ca="1"/>
        <v/>
      </c>
      <c r="AO216" s="180" t="str">
        <f ca="1"/>
        <v/>
      </c>
      <c r="AP216" s="180" t="str">
        <f ca="1"/>
        <v/>
      </c>
      <c r="AQ216" t="str">
        <f ca="1"/>
        <v/>
      </c>
    </row>
    <row r="217" spans="2:43" x14ac:dyDescent="0.25">
      <c r="B217" s="179" t="str">
        <f ca="1"/>
        <v/>
      </c>
      <c r="C217" s="180" t="str">
        <f ca="1"/>
        <v/>
      </c>
      <c r="D217" s="180" t="str">
        <f ca="1"/>
        <v/>
      </c>
      <c r="E217" s="180" t="str">
        <f ca="1"/>
        <v/>
      </c>
      <c r="F217" s="180" t="str">
        <f ca="1"/>
        <v/>
      </c>
      <c r="G217" s="180" t="str">
        <f ca="1"/>
        <v/>
      </c>
      <c r="H217" s="180" t="str">
        <f ca="1"/>
        <v/>
      </c>
      <c r="I217" s="180" t="str">
        <f ca="1"/>
        <v/>
      </c>
      <c r="J217" s="180" t="str">
        <f ca="1"/>
        <v/>
      </c>
      <c r="K217" s="180" t="str">
        <f ca="1"/>
        <v/>
      </c>
      <c r="L217" s="180" t="str">
        <f ca="1"/>
        <v/>
      </c>
      <c r="M217" s="180" t="str">
        <f ca="1"/>
        <v/>
      </c>
      <c r="N217" s="180" t="str">
        <f ca="1"/>
        <v/>
      </c>
      <c r="O217" s="180" t="str">
        <f ca="1"/>
        <v/>
      </c>
      <c r="P217" s="180" t="str">
        <f ca="1"/>
        <v/>
      </c>
      <c r="Q217" s="180" t="str">
        <f ca="1"/>
        <v/>
      </c>
      <c r="R217" s="180" t="str">
        <f ca="1"/>
        <v/>
      </c>
      <c r="S217" s="180" t="str">
        <f ca="1"/>
        <v/>
      </c>
      <c r="T217" s="180" t="str">
        <f ca="1"/>
        <v/>
      </c>
      <c r="U217" s="180" t="str">
        <f ca="1"/>
        <v/>
      </c>
      <c r="V217" s="180" t="str">
        <f ca="1"/>
        <v/>
      </c>
      <c r="W217" s="180" t="str">
        <f ca="1"/>
        <v/>
      </c>
      <c r="X217" s="180" t="str">
        <f ca="1"/>
        <v/>
      </c>
      <c r="Y217" s="180" t="str">
        <f ca="1"/>
        <v/>
      </c>
      <c r="Z217" s="180" t="str">
        <f ca="1"/>
        <v/>
      </c>
      <c r="AA217" s="180" t="str">
        <f ca="1"/>
        <v/>
      </c>
      <c r="AB217" s="180" t="str">
        <f ca="1"/>
        <v/>
      </c>
      <c r="AC217" s="180" t="str">
        <f ca="1"/>
        <v/>
      </c>
      <c r="AD217" s="180" t="str">
        <f ca="1"/>
        <v/>
      </c>
      <c r="AE217" s="180" t="str">
        <f ca="1"/>
        <v/>
      </c>
      <c r="AF217" s="180" t="str">
        <f ca="1"/>
        <v/>
      </c>
      <c r="AG217" s="180" t="str">
        <f ca="1"/>
        <v/>
      </c>
      <c r="AH217" s="180" t="str">
        <f ca="1"/>
        <v/>
      </c>
      <c r="AI217" s="180" t="str">
        <f ca="1"/>
        <v/>
      </c>
      <c r="AJ217" s="180" t="str">
        <f ca="1"/>
        <v/>
      </c>
      <c r="AK217" s="180" t="str">
        <f ca="1"/>
        <v/>
      </c>
      <c r="AL217" s="180" t="str">
        <f ca="1"/>
        <v/>
      </c>
      <c r="AM217" s="180" t="str">
        <f ca="1"/>
        <v/>
      </c>
      <c r="AN217" s="180" t="str">
        <f ca="1"/>
        <v/>
      </c>
      <c r="AO217" s="180" t="str">
        <f ca="1"/>
        <v/>
      </c>
      <c r="AP217" s="180" t="str">
        <f ca="1"/>
        <v/>
      </c>
      <c r="AQ217" t="str">
        <f ca="1"/>
        <v/>
      </c>
    </row>
    <row r="218" spans="2:43" x14ac:dyDescent="0.25">
      <c r="B218" s="179" t="str">
        <f ca="1"/>
        <v/>
      </c>
      <c r="C218" s="180" t="str">
        <f ca="1"/>
        <v/>
      </c>
      <c r="D218" s="180" t="str">
        <f ca="1"/>
        <v/>
      </c>
      <c r="E218" s="180" t="str">
        <f ca="1"/>
        <v/>
      </c>
      <c r="F218" s="180" t="str">
        <f ca="1"/>
        <v/>
      </c>
      <c r="G218" s="180" t="str">
        <f ca="1"/>
        <v/>
      </c>
      <c r="H218" s="180" t="str">
        <f ca="1"/>
        <v/>
      </c>
      <c r="I218" s="180" t="str">
        <f ca="1"/>
        <v/>
      </c>
      <c r="J218" s="180" t="str">
        <f ca="1"/>
        <v/>
      </c>
      <c r="K218" s="180" t="str">
        <f ca="1"/>
        <v/>
      </c>
      <c r="L218" s="180" t="str">
        <f ca="1"/>
        <v/>
      </c>
      <c r="M218" s="180" t="str">
        <f ca="1"/>
        <v/>
      </c>
      <c r="N218" s="180" t="str">
        <f ca="1"/>
        <v/>
      </c>
      <c r="O218" s="180" t="str">
        <f ca="1"/>
        <v/>
      </c>
      <c r="P218" s="180" t="str">
        <f ca="1"/>
        <v/>
      </c>
      <c r="Q218" s="180" t="str">
        <f ca="1"/>
        <v/>
      </c>
      <c r="R218" s="180" t="str">
        <f ca="1"/>
        <v/>
      </c>
      <c r="S218" s="180" t="str">
        <f ca="1"/>
        <v/>
      </c>
      <c r="T218" s="180" t="str">
        <f ca="1"/>
        <v/>
      </c>
      <c r="U218" s="180" t="str">
        <f ca="1"/>
        <v/>
      </c>
      <c r="V218" s="180" t="str">
        <f ca="1"/>
        <v/>
      </c>
      <c r="W218" s="180" t="str">
        <f ca="1"/>
        <v/>
      </c>
      <c r="X218" s="180" t="str">
        <f ca="1"/>
        <v/>
      </c>
      <c r="Y218" s="180" t="str">
        <f ca="1"/>
        <v/>
      </c>
      <c r="Z218" s="180" t="str">
        <f ca="1"/>
        <v/>
      </c>
      <c r="AA218" s="180" t="str">
        <f ca="1"/>
        <v/>
      </c>
      <c r="AB218" s="180" t="str">
        <f ca="1"/>
        <v/>
      </c>
      <c r="AC218" s="180" t="str">
        <f ca="1"/>
        <v/>
      </c>
      <c r="AD218" s="180" t="str">
        <f ca="1"/>
        <v/>
      </c>
      <c r="AE218" s="180" t="str">
        <f ca="1"/>
        <v/>
      </c>
      <c r="AF218" s="180" t="str">
        <f ca="1"/>
        <v/>
      </c>
      <c r="AG218" s="180" t="str">
        <f ca="1"/>
        <v/>
      </c>
      <c r="AH218" s="180" t="str">
        <f ca="1"/>
        <v/>
      </c>
      <c r="AI218" s="180" t="str">
        <f ca="1"/>
        <v/>
      </c>
      <c r="AJ218" s="180" t="str">
        <f ca="1"/>
        <v/>
      </c>
      <c r="AK218" s="180" t="str">
        <f ca="1"/>
        <v/>
      </c>
      <c r="AL218" s="180" t="str">
        <f ca="1"/>
        <v/>
      </c>
      <c r="AM218" s="180" t="str">
        <f ca="1"/>
        <v/>
      </c>
      <c r="AN218" s="180" t="str">
        <f ca="1"/>
        <v/>
      </c>
      <c r="AO218" s="180" t="str">
        <f ca="1"/>
        <v/>
      </c>
      <c r="AP218" s="180" t="str">
        <f ca="1"/>
        <v/>
      </c>
      <c r="AQ218" t="str">
        <f ca="1"/>
        <v/>
      </c>
    </row>
    <row r="219" spans="2:43" x14ac:dyDescent="0.25">
      <c r="B219" s="179" t="str">
        <f ca="1"/>
        <v/>
      </c>
      <c r="C219" s="180" t="str">
        <f ca="1"/>
        <v/>
      </c>
      <c r="D219" s="180" t="str">
        <f ca="1"/>
        <v/>
      </c>
      <c r="E219" s="180" t="str">
        <f ca="1"/>
        <v/>
      </c>
      <c r="F219" s="180" t="str">
        <f ca="1"/>
        <v/>
      </c>
      <c r="G219" s="180" t="str">
        <f ca="1"/>
        <v/>
      </c>
      <c r="H219" s="180" t="str">
        <f ca="1"/>
        <v/>
      </c>
      <c r="I219" s="180" t="str">
        <f ca="1"/>
        <v/>
      </c>
      <c r="J219" s="180" t="str">
        <f ca="1"/>
        <v/>
      </c>
      <c r="K219" s="180" t="str">
        <f ca="1"/>
        <v/>
      </c>
      <c r="L219" s="180" t="str">
        <f ca="1"/>
        <v/>
      </c>
      <c r="M219" s="180" t="str">
        <f ca="1"/>
        <v/>
      </c>
      <c r="N219" s="180" t="str">
        <f ca="1"/>
        <v/>
      </c>
      <c r="O219" s="180" t="str">
        <f ca="1"/>
        <v/>
      </c>
      <c r="P219" s="180" t="str">
        <f ca="1"/>
        <v/>
      </c>
      <c r="Q219" s="180" t="str">
        <f ca="1"/>
        <v/>
      </c>
      <c r="R219" s="180" t="str">
        <f ca="1"/>
        <v/>
      </c>
      <c r="S219" s="180" t="str">
        <f ca="1"/>
        <v/>
      </c>
      <c r="T219" s="180" t="str">
        <f ca="1"/>
        <v/>
      </c>
      <c r="U219" s="180" t="str">
        <f ca="1"/>
        <v/>
      </c>
      <c r="V219" s="180" t="str">
        <f ca="1"/>
        <v/>
      </c>
      <c r="W219" s="180" t="str">
        <f ca="1"/>
        <v/>
      </c>
      <c r="X219" s="180" t="str">
        <f ca="1"/>
        <v/>
      </c>
      <c r="Y219" s="180" t="str">
        <f ca="1"/>
        <v/>
      </c>
      <c r="Z219" s="180" t="str">
        <f ca="1"/>
        <v/>
      </c>
      <c r="AA219" s="180" t="str">
        <f ca="1"/>
        <v/>
      </c>
      <c r="AB219" s="180" t="str">
        <f ca="1"/>
        <v/>
      </c>
      <c r="AC219" s="180" t="str">
        <f ca="1"/>
        <v/>
      </c>
      <c r="AD219" s="180" t="str">
        <f ca="1"/>
        <v/>
      </c>
      <c r="AE219" s="180" t="str">
        <f ca="1"/>
        <v/>
      </c>
      <c r="AF219" s="180" t="str">
        <f ca="1"/>
        <v/>
      </c>
      <c r="AG219" s="180" t="str">
        <f ca="1"/>
        <v/>
      </c>
      <c r="AH219" s="180" t="str">
        <f ca="1"/>
        <v/>
      </c>
      <c r="AI219" s="180" t="str">
        <f ca="1"/>
        <v/>
      </c>
      <c r="AJ219" s="180" t="str">
        <f ca="1"/>
        <v/>
      </c>
      <c r="AK219" s="180" t="str">
        <f ca="1"/>
        <v/>
      </c>
      <c r="AL219" s="180" t="str">
        <f ca="1"/>
        <v/>
      </c>
      <c r="AM219" s="180" t="str">
        <f ca="1"/>
        <v/>
      </c>
      <c r="AN219" s="180" t="str">
        <f ca="1"/>
        <v/>
      </c>
      <c r="AO219" s="180" t="str">
        <f ca="1"/>
        <v/>
      </c>
      <c r="AP219" s="180" t="str">
        <f ca="1"/>
        <v/>
      </c>
      <c r="AQ219" t="str">
        <f ca="1"/>
        <v/>
      </c>
    </row>
    <row r="220" spans="2:43" x14ac:dyDescent="0.25">
      <c r="B220" s="179" t="str">
        <f ca="1"/>
        <v/>
      </c>
      <c r="C220" s="180" t="str">
        <f ca="1"/>
        <v/>
      </c>
      <c r="D220" s="180" t="str">
        <f ca="1"/>
        <v/>
      </c>
      <c r="E220" s="180" t="str">
        <f ca="1"/>
        <v/>
      </c>
      <c r="F220" s="180" t="str">
        <f ca="1"/>
        <v/>
      </c>
      <c r="G220" s="180" t="str">
        <f ca="1"/>
        <v/>
      </c>
      <c r="H220" s="180" t="str">
        <f ca="1"/>
        <v/>
      </c>
      <c r="I220" s="180" t="str">
        <f ca="1"/>
        <v/>
      </c>
      <c r="J220" s="180" t="str">
        <f ca="1"/>
        <v/>
      </c>
      <c r="K220" s="180" t="str">
        <f ca="1"/>
        <v/>
      </c>
      <c r="L220" s="180" t="str">
        <f ca="1"/>
        <v/>
      </c>
      <c r="M220" s="180" t="str">
        <f ca="1"/>
        <v/>
      </c>
      <c r="N220" s="180" t="str">
        <f ca="1"/>
        <v/>
      </c>
      <c r="O220" s="180" t="str">
        <f ca="1"/>
        <v/>
      </c>
      <c r="P220" s="180" t="str">
        <f ca="1"/>
        <v/>
      </c>
      <c r="Q220" s="180" t="str">
        <f ca="1"/>
        <v/>
      </c>
      <c r="R220" s="180" t="str">
        <f ca="1"/>
        <v/>
      </c>
      <c r="S220" s="180" t="str">
        <f ca="1"/>
        <v/>
      </c>
      <c r="T220" s="180" t="str">
        <f ca="1"/>
        <v/>
      </c>
      <c r="U220" s="180" t="str">
        <f ca="1"/>
        <v/>
      </c>
      <c r="V220" s="180" t="str">
        <f ca="1"/>
        <v/>
      </c>
      <c r="W220" s="180" t="str">
        <f ca="1"/>
        <v/>
      </c>
      <c r="X220" s="180" t="str">
        <f ca="1"/>
        <v/>
      </c>
      <c r="Y220" s="180" t="str">
        <f ca="1"/>
        <v/>
      </c>
      <c r="Z220" s="180" t="str">
        <f ca="1"/>
        <v/>
      </c>
      <c r="AA220" s="180" t="str">
        <f ca="1"/>
        <v/>
      </c>
      <c r="AB220" s="180" t="str">
        <f ca="1"/>
        <v/>
      </c>
      <c r="AC220" s="180" t="str">
        <f ca="1"/>
        <v/>
      </c>
      <c r="AD220" s="180" t="str">
        <f ca="1"/>
        <v/>
      </c>
      <c r="AE220" s="180" t="str">
        <f ca="1"/>
        <v/>
      </c>
      <c r="AF220" s="180" t="str">
        <f ca="1"/>
        <v/>
      </c>
      <c r="AG220" s="180" t="str">
        <f ca="1"/>
        <v/>
      </c>
      <c r="AH220" s="180" t="str">
        <f ca="1"/>
        <v/>
      </c>
      <c r="AI220" s="180" t="str">
        <f ca="1"/>
        <v/>
      </c>
      <c r="AJ220" s="180" t="str">
        <f ca="1"/>
        <v/>
      </c>
      <c r="AK220" s="180" t="str">
        <f ca="1"/>
        <v/>
      </c>
      <c r="AL220" s="180" t="str">
        <f ca="1"/>
        <v/>
      </c>
      <c r="AM220" s="180" t="str">
        <f ca="1"/>
        <v/>
      </c>
      <c r="AN220" s="180" t="str">
        <f ca="1"/>
        <v/>
      </c>
      <c r="AO220" s="180" t="str">
        <f ca="1"/>
        <v/>
      </c>
      <c r="AP220" s="180" t="str">
        <f ca="1"/>
        <v/>
      </c>
      <c r="AQ220" t="str">
        <f ca="1"/>
        <v/>
      </c>
    </row>
    <row r="221" spans="2:43" x14ac:dyDescent="0.25">
      <c r="B221" s="179" t="str">
        <f ca="1"/>
        <v/>
      </c>
      <c r="C221" s="180" t="str">
        <f ca="1"/>
        <v/>
      </c>
      <c r="D221" s="180" t="str">
        <f ca="1"/>
        <v/>
      </c>
      <c r="E221" s="180" t="str">
        <f ca="1"/>
        <v/>
      </c>
      <c r="F221" s="180" t="str">
        <f ca="1"/>
        <v/>
      </c>
      <c r="G221" s="180" t="str">
        <f ca="1"/>
        <v/>
      </c>
      <c r="H221" s="180" t="str">
        <f ca="1"/>
        <v/>
      </c>
      <c r="I221" s="180" t="str">
        <f ca="1"/>
        <v/>
      </c>
      <c r="J221" s="180" t="str">
        <f ca="1"/>
        <v/>
      </c>
      <c r="K221" s="180" t="str">
        <f ca="1"/>
        <v/>
      </c>
      <c r="L221" s="180" t="str">
        <f ca="1"/>
        <v/>
      </c>
      <c r="M221" s="180" t="str">
        <f ca="1"/>
        <v/>
      </c>
      <c r="N221" s="180" t="str">
        <f ca="1"/>
        <v/>
      </c>
      <c r="O221" s="180" t="str">
        <f ca="1"/>
        <v/>
      </c>
      <c r="P221" s="180" t="str">
        <f ca="1"/>
        <v/>
      </c>
      <c r="Q221" s="180" t="str">
        <f ca="1"/>
        <v/>
      </c>
      <c r="R221" s="180" t="str">
        <f ca="1"/>
        <v/>
      </c>
      <c r="S221" s="180" t="str">
        <f ca="1"/>
        <v/>
      </c>
      <c r="T221" s="180" t="str">
        <f ca="1"/>
        <v/>
      </c>
      <c r="U221" s="180" t="str">
        <f ca="1"/>
        <v/>
      </c>
      <c r="V221" s="180" t="str">
        <f ca="1"/>
        <v/>
      </c>
      <c r="W221" s="180" t="str">
        <f ca="1"/>
        <v/>
      </c>
      <c r="X221" s="180" t="str">
        <f ca="1"/>
        <v/>
      </c>
      <c r="Y221" s="180" t="str">
        <f ca="1"/>
        <v/>
      </c>
      <c r="Z221" s="180" t="str">
        <f ca="1"/>
        <v/>
      </c>
      <c r="AA221" s="180" t="str">
        <f ca="1"/>
        <v/>
      </c>
      <c r="AB221" s="180" t="str">
        <f ca="1"/>
        <v/>
      </c>
      <c r="AC221" s="180" t="str">
        <f ca="1"/>
        <v/>
      </c>
      <c r="AD221" s="180" t="str">
        <f ca="1"/>
        <v/>
      </c>
      <c r="AE221" s="180" t="str">
        <f ca="1"/>
        <v/>
      </c>
      <c r="AF221" s="180" t="str">
        <f ca="1"/>
        <v/>
      </c>
      <c r="AG221" s="180" t="str">
        <f ca="1"/>
        <v/>
      </c>
      <c r="AH221" s="180" t="str">
        <f ca="1"/>
        <v/>
      </c>
      <c r="AI221" s="180" t="str">
        <f ca="1"/>
        <v/>
      </c>
      <c r="AJ221" s="180" t="str">
        <f ca="1"/>
        <v/>
      </c>
      <c r="AK221" s="180" t="str">
        <f ca="1"/>
        <v/>
      </c>
      <c r="AL221" s="180" t="str">
        <f ca="1"/>
        <v/>
      </c>
      <c r="AM221" s="180" t="str">
        <f ca="1"/>
        <v/>
      </c>
      <c r="AN221" s="180" t="str">
        <f ca="1"/>
        <v/>
      </c>
      <c r="AO221" s="180" t="str">
        <f ca="1"/>
        <v/>
      </c>
      <c r="AP221" s="180" t="str">
        <f ca="1"/>
        <v/>
      </c>
      <c r="AQ221" t="str">
        <f ca="1"/>
        <v/>
      </c>
    </row>
    <row r="222" spans="2:43" x14ac:dyDescent="0.25">
      <c r="B222" s="179" t="str">
        <f ca="1"/>
        <v/>
      </c>
      <c r="C222" s="180" t="str">
        <f ca="1"/>
        <v/>
      </c>
      <c r="D222" s="180" t="str">
        <f ca="1"/>
        <v/>
      </c>
      <c r="E222" s="180" t="str">
        <f ca="1"/>
        <v/>
      </c>
      <c r="F222" s="180" t="str">
        <f ca="1"/>
        <v/>
      </c>
      <c r="G222" s="180" t="str">
        <f ca="1"/>
        <v/>
      </c>
      <c r="H222" s="180" t="str">
        <f ca="1"/>
        <v/>
      </c>
      <c r="I222" s="180" t="str">
        <f ca="1"/>
        <v/>
      </c>
      <c r="J222" s="180" t="str">
        <f ca="1"/>
        <v/>
      </c>
      <c r="K222" s="180" t="str">
        <f ca="1"/>
        <v/>
      </c>
      <c r="L222" s="180" t="str">
        <f ca="1"/>
        <v/>
      </c>
      <c r="M222" s="180" t="str">
        <f ca="1"/>
        <v/>
      </c>
      <c r="N222" s="180" t="str">
        <f ca="1"/>
        <v/>
      </c>
      <c r="O222" s="180" t="str">
        <f ca="1"/>
        <v/>
      </c>
      <c r="P222" s="180" t="str">
        <f ca="1"/>
        <v/>
      </c>
      <c r="Q222" s="180" t="str">
        <f ca="1"/>
        <v/>
      </c>
      <c r="R222" s="180" t="str">
        <f ca="1"/>
        <v/>
      </c>
      <c r="S222" s="180" t="str">
        <f ca="1"/>
        <v/>
      </c>
      <c r="T222" s="180" t="str">
        <f ca="1"/>
        <v/>
      </c>
      <c r="U222" s="180" t="str">
        <f ca="1"/>
        <v/>
      </c>
      <c r="V222" s="180" t="str">
        <f ca="1"/>
        <v/>
      </c>
      <c r="W222" s="180" t="str">
        <f ca="1"/>
        <v/>
      </c>
      <c r="X222" s="180" t="str">
        <f ca="1"/>
        <v/>
      </c>
      <c r="Y222" s="180" t="str">
        <f ca="1"/>
        <v/>
      </c>
      <c r="Z222" s="180" t="str">
        <f ca="1"/>
        <v/>
      </c>
      <c r="AA222" s="180" t="str">
        <f ca="1"/>
        <v/>
      </c>
      <c r="AB222" s="180" t="str">
        <f ca="1"/>
        <v/>
      </c>
      <c r="AC222" s="180" t="str">
        <f ca="1"/>
        <v/>
      </c>
      <c r="AD222" s="180" t="str">
        <f ca="1"/>
        <v/>
      </c>
      <c r="AE222" s="180" t="str">
        <f ca="1"/>
        <v/>
      </c>
      <c r="AF222" s="180" t="str">
        <f ca="1"/>
        <v/>
      </c>
      <c r="AG222" s="180" t="str">
        <f ca="1"/>
        <v/>
      </c>
      <c r="AH222" s="180" t="str">
        <f ca="1"/>
        <v/>
      </c>
      <c r="AI222" s="180" t="str">
        <f ca="1"/>
        <v/>
      </c>
      <c r="AJ222" s="180" t="str">
        <f ca="1"/>
        <v/>
      </c>
      <c r="AK222" s="180" t="str">
        <f ca="1"/>
        <v/>
      </c>
      <c r="AL222" s="180" t="str">
        <f ca="1"/>
        <v/>
      </c>
      <c r="AM222" s="180" t="str">
        <f ca="1"/>
        <v/>
      </c>
      <c r="AN222" s="180" t="str">
        <f ca="1"/>
        <v/>
      </c>
      <c r="AO222" s="180" t="str">
        <f ca="1"/>
        <v/>
      </c>
      <c r="AP222" s="180" t="str">
        <f ca="1"/>
        <v/>
      </c>
      <c r="AQ222" t="str">
        <f ca="1"/>
        <v/>
      </c>
    </row>
    <row r="223" spans="2:43" x14ac:dyDescent="0.25">
      <c r="B223" s="179" t="str">
        <f ca="1"/>
        <v/>
      </c>
      <c r="C223" s="180" t="str">
        <f ca="1"/>
        <v/>
      </c>
      <c r="D223" s="180" t="str">
        <f ca="1"/>
        <v/>
      </c>
      <c r="E223" s="180" t="str">
        <f ca="1"/>
        <v/>
      </c>
      <c r="F223" s="180" t="str">
        <f ca="1"/>
        <v/>
      </c>
      <c r="G223" s="180" t="str">
        <f ca="1"/>
        <v/>
      </c>
      <c r="H223" s="180" t="str">
        <f ca="1"/>
        <v/>
      </c>
      <c r="I223" s="180" t="str">
        <f ca="1"/>
        <v/>
      </c>
      <c r="J223" s="180" t="str">
        <f ca="1"/>
        <v/>
      </c>
      <c r="K223" s="180" t="str">
        <f ca="1"/>
        <v/>
      </c>
      <c r="L223" s="180" t="str">
        <f ca="1"/>
        <v/>
      </c>
      <c r="M223" s="180" t="str">
        <f ca="1"/>
        <v/>
      </c>
      <c r="N223" s="180" t="str">
        <f ca="1"/>
        <v/>
      </c>
      <c r="O223" s="180" t="str">
        <f ca="1"/>
        <v/>
      </c>
      <c r="P223" s="180" t="str">
        <f ca="1"/>
        <v/>
      </c>
      <c r="Q223" s="180" t="str">
        <f ca="1"/>
        <v/>
      </c>
      <c r="R223" s="180" t="str">
        <f ca="1"/>
        <v/>
      </c>
      <c r="S223" s="180" t="str">
        <f ca="1"/>
        <v/>
      </c>
      <c r="T223" s="180" t="str">
        <f ca="1"/>
        <v/>
      </c>
      <c r="U223" s="180" t="str">
        <f ca="1"/>
        <v/>
      </c>
      <c r="V223" s="180" t="str">
        <f ca="1"/>
        <v/>
      </c>
      <c r="W223" s="180" t="str">
        <f ca="1"/>
        <v/>
      </c>
      <c r="X223" s="180" t="str">
        <f ca="1"/>
        <v/>
      </c>
      <c r="Y223" s="180" t="str">
        <f ca="1"/>
        <v/>
      </c>
      <c r="Z223" s="180" t="str">
        <f ca="1"/>
        <v/>
      </c>
      <c r="AA223" s="180" t="str">
        <f ca="1"/>
        <v/>
      </c>
      <c r="AB223" s="180" t="str">
        <f ca="1"/>
        <v/>
      </c>
      <c r="AC223" s="180" t="str">
        <f ca="1"/>
        <v/>
      </c>
      <c r="AD223" s="180" t="str">
        <f ca="1"/>
        <v/>
      </c>
      <c r="AE223" s="180" t="str">
        <f ca="1"/>
        <v/>
      </c>
      <c r="AF223" s="180" t="str">
        <f ca="1"/>
        <v/>
      </c>
      <c r="AG223" s="180" t="str">
        <f ca="1"/>
        <v/>
      </c>
      <c r="AH223" s="180" t="str">
        <f ca="1"/>
        <v/>
      </c>
      <c r="AI223" s="180" t="str">
        <f ca="1"/>
        <v/>
      </c>
      <c r="AJ223" s="180" t="str">
        <f ca="1"/>
        <v/>
      </c>
      <c r="AK223" s="180" t="str">
        <f ca="1"/>
        <v/>
      </c>
      <c r="AL223" s="180" t="str">
        <f ca="1"/>
        <v/>
      </c>
      <c r="AM223" s="180" t="str">
        <f ca="1"/>
        <v/>
      </c>
      <c r="AN223" s="180" t="str">
        <f ca="1"/>
        <v/>
      </c>
      <c r="AO223" s="180" t="str">
        <f ca="1"/>
        <v/>
      </c>
      <c r="AP223" s="180" t="str">
        <f ca="1"/>
        <v/>
      </c>
      <c r="AQ223" t="str">
        <f ca="1"/>
        <v/>
      </c>
    </row>
    <row r="224" spans="2:43" x14ac:dyDescent="0.25">
      <c r="B224" s="179" t="str">
        <f ca="1"/>
        <v/>
      </c>
      <c r="C224" s="180" t="str">
        <f ca="1"/>
        <v/>
      </c>
      <c r="D224" s="180" t="str">
        <f ca="1"/>
        <v/>
      </c>
      <c r="E224" s="180" t="str">
        <f ca="1"/>
        <v/>
      </c>
      <c r="F224" s="180" t="str">
        <f ca="1"/>
        <v/>
      </c>
      <c r="G224" s="180" t="str">
        <f ca="1"/>
        <v/>
      </c>
      <c r="H224" s="180" t="str">
        <f ca="1"/>
        <v/>
      </c>
      <c r="I224" s="180" t="str">
        <f ca="1"/>
        <v/>
      </c>
      <c r="J224" s="180" t="str">
        <f ca="1"/>
        <v/>
      </c>
      <c r="K224" s="180" t="str">
        <f ca="1"/>
        <v/>
      </c>
      <c r="L224" s="180" t="str">
        <f ca="1"/>
        <v/>
      </c>
      <c r="M224" s="180" t="str">
        <f ca="1"/>
        <v/>
      </c>
      <c r="N224" s="180" t="str">
        <f ca="1"/>
        <v/>
      </c>
      <c r="O224" s="180" t="str">
        <f ca="1"/>
        <v/>
      </c>
      <c r="P224" s="180" t="str">
        <f ca="1"/>
        <v/>
      </c>
      <c r="Q224" s="180" t="str">
        <f ca="1"/>
        <v/>
      </c>
      <c r="R224" s="180" t="str">
        <f ca="1"/>
        <v/>
      </c>
      <c r="S224" s="180" t="str">
        <f ca="1"/>
        <v/>
      </c>
      <c r="T224" s="180" t="str">
        <f ca="1"/>
        <v/>
      </c>
      <c r="U224" s="180" t="str">
        <f ca="1"/>
        <v/>
      </c>
      <c r="V224" s="180" t="str">
        <f ca="1"/>
        <v/>
      </c>
      <c r="W224" s="180" t="str">
        <f ca="1"/>
        <v/>
      </c>
      <c r="X224" s="180" t="str">
        <f ca="1"/>
        <v/>
      </c>
      <c r="Y224" s="180" t="str">
        <f ca="1"/>
        <v/>
      </c>
      <c r="Z224" s="180" t="str">
        <f ca="1"/>
        <v/>
      </c>
      <c r="AA224" s="180" t="str">
        <f ca="1"/>
        <v/>
      </c>
      <c r="AB224" s="180" t="str">
        <f ca="1"/>
        <v/>
      </c>
      <c r="AC224" s="180" t="str">
        <f ca="1"/>
        <v/>
      </c>
      <c r="AD224" s="180" t="str">
        <f ca="1"/>
        <v/>
      </c>
      <c r="AE224" s="180" t="str">
        <f ca="1"/>
        <v/>
      </c>
      <c r="AF224" s="180" t="str">
        <f ca="1"/>
        <v/>
      </c>
      <c r="AG224" s="180" t="str">
        <f ca="1"/>
        <v/>
      </c>
      <c r="AH224" s="180" t="str">
        <f ca="1"/>
        <v/>
      </c>
      <c r="AI224" s="180" t="str">
        <f ca="1"/>
        <v/>
      </c>
      <c r="AJ224" s="180" t="str">
        <f ca="1"/>
        <v/>
      </c>
      <c r="AK224" s="180" t="str">
        <f ca="1"/>
        <v/>
      </c>
      <c r="AL224" s="180" t="str">
        <f ca="1"/>
        <v/>
      </c>
      <c r="AM224" s="180" t="str">
        <f ca="1"/>
        <v/>
      </c>
      <c r="AN224" s="180" t="str">
        <f ca="1"/>
        <v/>
      </c>
      <c r="AO224" s="180" t="str">
        <f ca="1"/>
        <v/>
      </c>
      <c r="AP224" s="180" t="str">
        <f ca="1"/>
        <v/>
      </c>
      <c r="AQ224" t="str">
        <f ca="1"/>
        <v/>
      </c>
    </row>
    <row r="225" spans="2:43" x14ac:dyDescent="0.25">
      <c r="B225" s="179" t="str">
        <f ca="1"/>
        <v/>
      </c>
      <c r="C225" s="180" t="str">
        <f ca="1"/>
        <v/>
      </c>
      <c r="D225" s="180" t="str">
        <f ca="1"/>
        <v/>
      </c>
      <c r="E225" s="180" t="str">
        <f ca="1"/>
        <v/>
      </c>
      <c r="F225" s="180" t="str">
        <f ca="1"/>
        <v/>
      </c>
      <c r="G225" s="180" t="str">
        <f ca="1"/>
        <v/>
      </c>
      <c r="H225" s="180" t="str">
        <f ca="1"/>
        <v/>
      </c>
      <c r="I225" s="180" t="str">
        <f ca="1"/>
        <v/>
      </c>
      <c r="J225" s="180" t="str">
        <f ca="1"/>
        <v/>
      </c>
      <c r="K225" s="180" t="str">
        <f ca="1"/>
        <v/>
      </c>
      <c r="L225" s="180" t="str">
        <f ca="1"/>
        <v/>
      </c>
      <c r="M225" s="180" t="str">
        <f ca="1"/>
        <v/>
      </c>
      <c r="N225" s="180" t="str">
        <f ca="1"/>
        <v/>
      </c>
      <c r="O225" s="180" t="str">
        <f ca="1"/>
        <v/>
      </c>
      <c r="P225" s="180" t="str">
        <f ca="1"/>
        <v/>
      </c>
      <c r="Q225" s="180" t="str">
        <f ca="1"/>
        <v/>
      </c>
      <c r="R225" s="180" t="str">
        <f ca="1"/>
        <v/>
      </c>
      <c r="S225" s="180" t="str">
        <f ca="1"/>
        <v/>
      </c>
      <c r="T225" s="180" t="str">
        <f ca="1"/>
        <v/>
      </c>
      <c r="U225" s="180" t="str">
        <f ca="1"/>
        <v/>
      </c>
      <c r="V225" s="180" t="str">
        <f ca="1"/>
        <v/>
      </c>
      <c r="W225" s="180" t="str">
        <f ca="1"/>
        <v/>
      </c>
      <c r="X225" s="180" t="str">
        <f ca="1"/>
        <v/>
      </c>
      <c r="Y225" s="180" t="str">
        <f ca="1"/>
        <v/>
      </c>
      <c r="Z225" s="180" t="str">
        <f ca="1"/>
        <v/>
      </c>
      <c r="AA225" s="180" t="str">
        <f ca="1"/>
        <v/>
      </c>
      <c r="AB225" s="180" t="str">
        <f ca="1"/>
        <v/>
      </c>
      <c r="AC225" s="180" t="str">
        <f ca="1"/>
        <v/>
      </c>
      <c r="AD225" s="180" t="str">
        <f ca="1"/>
        <v/>
      </c>
      <c r="AE225" s="180" t="str">
        <f ca="1"/>
        <v/>
      </c>
      <c r="AF225" s="180" t="str">
        <f ca="1"/>
        <v/>
      </c>
      <c r="AG225" s="180" t="str">
        <f ca="1"/>
        <v/>
      </c>
      <c r="AH225" s="180" t="str">
        <f ca="1"/>
        <v/>
      </c>
      <c r="AI225" s="180" t="str">
        <f ca="1"/>
        <v/>
      </c>
      <c r="AJ225" s="180" t="str">
        <f ca="1"/>
        <v/>
      </c>
      <c r="AK225" s="180" t="str">
        <f ca="1"/>
        <v/>
      </c>
      <c r="AL225" s="180" t="str">
        <f ca="1"/>
        <v/>
      </c>
      <c r="AM225" s="180" t="str">
        <f ca="1"/>
        <v/>
      </c>
      <c r="AN225" s="180" t="str">
        <f ca="1"/>
        <v/>
      </c>
      <c r="AO225" s="180" t="str">
        <f ca="1"/>
        <v/>
      </c>
      <c r="AP225" s="180" t="str">
        <f ca="1"/>
        <v/>
      </c>
      <c r="AQ225" t="str">
        <f ca="1"/>
        <v/>
      </c>
    </row>
    <row r="226" spans="2:43" x14ac:dyDescent="0.25">
      <c r="B226" s="179" t="str">
        <f ca="1"/>
        <v/>
      </c>
      <c r="C226" s="180" t="str">
        <f ca="1"/>
        <v/>
      </c>
      <c r="D226" s="180" t="str">
        <f ca="1"/>
        <v/>
      </c>
      <c r="E226" s="180" t="str">
        <f ca="1"/>
        <v/>
      </c>
      <c r="F226" s="180" t="str">
        <f ca="1"/>
        <v/>
      </c>
      <c r="G226" s="180" t="str">
        <f ca="1"/>
        <v/>
      </c>
      <c r="H226" s="180" t="str">
        <f ca="1"/>
        <v/>
      </c>
      <c r="I226" s="180" t="str">
        <f ca="1"/>
        <v/>
      </c>
      <c r="J226" s="180" t="str">
        <f ca="1"/>
        <v/>
      </c>
      <c r="K226" s="180" t="str">
        <f ca="1"/>
        <v/>
      </c>
      <c r="L226" s="180" t="str">
        <f ca="1"/>
        <v/>
      </c>
      <c r="M226" s="180" t="str">
        <f ca="1"/>
        <v/>
      </c>
      <c r="N226" s="180" t="str">
        <f ca="1"/>
        <v/>
      </c>
      <c r="O226" s="180" t="str">
        <f ca="1"/>
        <v/>
      </c>
      <c r="P226" s="180" t="str">
        <f ca="1"/>
        <v/>
      </c>
      <c r="Q226" s="180" t="str">
        <f ca="1"/>
        <v/>
      </c>
      <c r="R226" s="180" t="str">
        <f ca="1"/>
        <v/>
      </c>
      <c r="S226" s="180" t="str">
        <f ca="1"/>
        <v/>
      </c>
      <c r="T226" s="180" t="str">
        <f ca="1"/>
        <v/>
      </c>
      <c r="U226" s="180" t="str">
        <f ca="1"/>
        <v/>
      </c>
      <c r="V226" s="180" t="str">
        <f ca="1"/>
        <v/>
      </c>
      <c r="W226" s="180" t="str">
        <f ca="1"/>
        <v/>
      </c>
      <c r="X226" s="180" t="str">
        <f ca="1"/>
        <v/>
      </c>
      <c r="Y226" s="180" t="str">
        <f ca="1"/>
        <v/>
      </c>
      <c r="Z226" s="180" t="str">
        <f ca="1"/>
        <v/>
      </c>
      <c r="AA226" s="180" t="str">
        <f ca="1"/>
        <v/>
      </c>
      <c r="AB226" s="180" t="str">
        <f ca="1"/>
        <v/>
      </c>
      <c r="AC226" s="180" t="str">
        <f ca="1"/>
        <v/>
      </c>
      <c r="AD226" s="180" t="str">
        <f ca="1"/>
        <v/>
      </c>
      <c r="AE226" s="180" t="str">
        <f ca="1"/>
        <v/>
      </c>
      <c r="AF226" s="180" t="str">
        <f ca="1"/>
        <v/>
      </c>
      <c r="AG226" s="180" t="str">
        <f ca="1"/>
        <v/>
      </c>
      <c r="AH226" s="180" t="str">
        <f ca="1"/>
        <v/>
      </c>
      <c r="AI226" s="180" t="str">
        <f ca="1"/>
        <v/>
      </c>
      <c r="AJ226" s="180" t="str">
        <f ca="1"/>
        <v/>
      </c>
      <c r="AK226" s="180" t="str">
        <f ca="1"/>
        <v/>
      </c>
      <c r="AL226" s="180" t="str">
        <f ca="1"/>
        <v/>
      </c>
      <c r="AM226" s="180" t="str">
        <f ca="1"/>
        <v/>
      </c>
      <c r="AN226" s="180" t="str">
        <f ca="1"/>
        <v/>
      </c>
      <c r="AO226" s="180" t="str">
        <f ca="1"/>
        <v/>
      </c>
      <c r="AP226" s="180" t="str">
        <f ca="1"/>
        <v/>
      </c>
      <c r="AQ226" t="str">
        <f ca="1"/>
        <v/>
      </c>
    </row>
    <row r="227" spans="2:43" x14ac:dyDescent="0.25">
      <c r="B227" s="179" t="str">
        <f ca="1"/>
        <v/>
      </c>
      <c r="C227" s="180" t="str">
        <f ca="1"/>
        <v/>
      </c>
      <c r="D227" s="180" t="str">
        <f ca="1"/>
        <v/>
      </c>
      <c r="E227" s="180" t="str">
        <f ca="1"/>
        <v/>
      </c>
      <c r="F227" s="180" t="str">
        <f ca="1"/>
        <v/>
      </c>
      <c r="G227" s="180" t="str">
        <f ca="1"/>
        <v/>
      </c>
      <c r="H227" s="180" t="str">
        <f ca="1"/>
        <v/>
      </c>
      <c r="I227" s="180" t="str">
        <f ca="1"/>
        <v/>
      </c>
      <c r="J227" s="180" t="str">
        <f ca="1"/>
        <v/>
      </c>
      <c r="K227" s="180" t="str">
        <f ca="1"/>
        <v/>
      </c>
      <c r="L227" s="180" t="str">
        <f ca="1"/>
        <v/>
      </c>
      <c r="M227" s="180" t="str">
        <f ca="1"/>
        <v/>
      </c>
      <c r="N227" s="180" t="str">
        <f ca="1"/>
        <v/>
      </c>
      <c r="O227" s="180" t="str">
        <f ca="1"/>
        <v/>
      </c>
      <c r="P227" s="180" t="str">
        <f ca="1"/>
        <v/>
      </c>
      <c r="Q227" s="180" t="str">
        <f ca="1"/>
        <v/>
      </c>
      <c r="R227" s="180" t="str">
        <f ca="1"/>
        <v/>
      </c>
      <c r="S227" s="180" t="str">
        <f ca="1"/>
        <v/>
      </c>
      <c r="T227" s="180" t="str">
        <f ca="1"/>
        <v/>
      </c>
      <c r="U227" s="180" t="str">
        <f ca="1"/>
        <v/>
      </c>
      <c r="V227" s="180" t="str">
        <f ca="1"/>
        <v/>
      </c>
      <c r="W227" s="180" t="str">
        <f ca="1"/>
        <v/>
      </c>
      <c r="X227" s="180" t="str">
        <f ca="1"/>
        <v/>
      </c>
      <c r="Y227" s="180" t="str">
        <f ca="1"/>
        <v/>
      </c>
      <c r="Z227" s="180" t="str">
        <f ca="1"/>
        <v/>
      </c>
      <c r="AA227" s="180" t="str">
        <f ca="1"/>
        <v/>
      </c>
      <c r="AB227" s="180" t="str">
        <f ca="1"/>
        <v/>
      </c>
      <c r="AC227" s="180" t="str">
        <f ca="1"/>
        <v/>
      </c>
      <c r="AD227" s="180" t="str">
        <f ca="1"/>
        <v/>
      </c>
      <c r="AE227" s="180" t="str">
        <f ca="1"/>
        <v/>
      </c>
      <c r="AF227" s="180" t="str">
        <f ca="1"/>
        <v/>
      </c>
      <c r="AG227" s="180" t="str">
        <f ca="1"/>
        <v/>
      </c>
      <c r="AH227" s="180" t="str">
        <f ca="1"/>
        <v/>
      </c>
      <c r="AI227" s="180" t="str">
        <f ca="1"/>
        <v/>
      </c>
      <c r="AJ227" s="180" t="str">
        <f ca="1"/>
        <v/>
      </c>
      <c r="AK227" s="180" t="str">
        <f ca="1"/>
        <v/>
      </c>
      <c r="AL227" s="180" t="str">
        <f ca="1"/>
        <v/>
      </c>
      <c r="AM227" s="180" t="str">
        <f ca="1"/>
        <v/>
      </c>
      <c r="AN227" s="180" t="str">
        <f ca="1"/>
        <v/>
      </c>
      <c r="AO227" s="180" t="str">
        <f ca="1"/>
        <v/>
      </c>
      <c r="AP227" s="180" t="str">
        <f ca="1"/>
        <v/>
      </c>
      <c r="AQ227" t="str">
        <f ca="1"/>
        <v/>
      </c>
    </row>
    <row r="228" spans="2:43" x14ac:dyDescent="0.25">
      <c r="B228" s="179" t="str">
        <f ca="1"/>
        <v/>
      </c>
      <c r="C228" s="180" t="str">
        <f ca="1"/>
        <v/>
      </c>
      <c r="D228" s="180" t="str">
        <f ca="1"/>
        <v/>
      </c>
      <c r="E228" s="180" t="str">
        <f ca="1"/>
        <v/>
      </c>
      <c r="F228" s="180" t="str">
        <f ca="1"/>
        <v/>
      </c>
      <c r="G228" s="180" t="str">
        <f ca="1"/>
        <v/>
      </c>
      <c r="H228" s="180" t="str">
        <f ca="1"/>
        <v/>
      </c>
      <c r="I228" s="180" t="str">
        <f ca="1"/>
        <v/>
      </c>
      <c r="J228" s="180" t="str">
        <f ca="1"/>
        <v/>
      </c>
      <c r="K228" s="180" t="str">
        <f ca="1"/>
        <v/>
      </c>
      <c r="L228" s="180" t="str">
        <f ca="1"/>
        <v/>
      </c>
      <c r="M228" s="180" t="str">
        <f ca="1"/>
        <v/>
      </c>
      <c r="N228" s="180" t="str">
        <f ca="1"/>
        <v/>
      </c>
      <c r="O228" s="180" t="str">
        <f ca="1"/>
        <v/>
      </c>
      <c r="P228" s="180" t="str">
        <f ca="1"/>
        <v/>
      </c>
      <c r="Q228" s="180" t="str">
        <f ca="1"/>
        <v/>
      </c>
      <c r="R228" s="180" t="str">
        <f ca="1"/>
        <v/>
      </c>
      <c r="S228" s="180" t="str">
        <f ca="1"/>
        <v/>
      </c>
      <c r="T228" s="180" t="str">
        <f ca="1"/>
        <v/>
      </c>
      <c r="U228" s="180" t="str">
        <f ca="1"/>
        <v/>
      </c>
      <c r="V228" s="180" t="str">
        <f ca="1"/>
        <v/>
      </c>
      <c r="W228" s="180" t="str">
        <f ca="1"/>
        <v/>
      </c>
      <c r="X228" s="180" t="str">
        <f ca="1"/>
        <v/>
      </c>
      <c r="Y228" s="180" t="str">
        <f ca="1"/>
        <v/>
      </c>
      <c r="Z228" s="180" t="str">
        <f ca="1"/>
        <v/>
      </c>
      <c r="AA228" s="180" t="str">
        <f ca="1"/>
        <v/>
      </c>
      <c r="AB228" s="180" t="str">
        <f ca="1"/>
        <v/>
      </c>
      <c r="AC228" s="180" t="str">
        <f ca="1"/>
        <v/>
      </c>
      <c r="AD228" s="180" t="str">
        <f ca="1"/>
        <v/>
      </c>
      <c r="AE228" s="180" t="str">
        <f ca="1"/>
        <v/>
      </c>
      <c r="AF228" s="180" t="str">
        <f ca="1"/>
        <v/>
      </c>
      <c r="AG228" s="180" t="str">
        <f ca="1"/>
        <v/>
      </c>
      <c r="AH228" s="180" t="str">
        <f ca="1"/>
        <v/>
      </c>
      <c r="AI228" s="180" t="str">
        <f ca="1"/>
        <v/>
      </c>
      <c r="AJ228" s="180" t="str">
        <f ca="1"/>
        <v/>
      </c>
      <c r="AK228" s="180" t="str">
        <f ca="1"/>
        <v/>
      </c>
      <c r="AL228" s="180" t="str">
        <f ca="1"/>
        <v/>
      </c>
      <c r="AM228" s="180" t="str">
        <f ca="1"/>
        <v/>
      </c>
      <c r="AN228" s="180" t="str">
        <f ca="1"/>
        <v/>
      </c>
      <c r="AO228" s="180" t="str">
        <f ca="1"/>
        <v/>
      </c>
      <c r="AP228" s="180" t="str">
        <f ca="1"/>
        <v/>
      </c>
      <c r="AQ228" t="str">
        <f ca="1"/>
        <v/>
      </c>
    </row>
    <row r="229" spans="2:43" x14ac:dyDescent="0.25">
      <c r="B229" s="179" t="str">
        <f ca="1"/>
        <v/>
      </c>
      <c r="C229" s="180" t="str">
        <f ca="1"/>
        <v/>
      </c>
      <c r="D229" s="180" t="str">
        <f ca="1"/>
        <v/>
      </c>
      <c r="E229" s="180" t="str">
        <f ca="1"/>
        <v/>
      </c>
      <c r="F229" s="180" t="str">
        <f ca="1"/>
        <v/>
      </c>
      <c r="G229" s="180" t="str">
        <f ca="1"/>
        <v/>
      </c>
      <c r="H229" s="180" t="str">
        <f ca="1"/>
        <v/>
      </c>
      <c r="I229" s="180" t="str">
        <f ca="1"/>
        <v/>
      </c>
      <c r="J229" s="180" t="str">
        <f ca="1"/>
        <v/>
      </c>
      <c r="K229" s="180" t="str">
        <f ca="1"/>
        <v/>
      </c>
      <c r="L229" s="180" t="str">
        <f ca="1"/>
        <v/>
      </c>
      <c r="M229" s="180" t="str">
        <f ca="1"/>
        <v/>
      </c>
      <c r="N229" s="180" t="str">
        <f ca="1"/>
        <v/>
      </c>
      <c r="O229" s="180" t="str">
        <f ca="1"/>
        <v/>
      </c>
      <c r="P229" s="180" t="str">
        <f ca="1"/>
        <v/>
      </c>
      <c r="Q229" s="180" t="str">
        <f ca="1"/>
        <v/>
      </c>
      <c r="R229" s="180" t="str">
        <f ca="1"/>
        <v/>
      </c>
      <c r="S229" s="180" t="str">
        <f ca="1"/>
        <v/>
      </c>
      <c r="T229" s="180" t="str">
        <f ca="1"/>
        <v/>
      </c>
      <c r="U229" s="180" t="str">
        <f ca="1"/>
        <v/>
      </c>
      <c r="V229" s="180" t="str">
        <f ca="1"/>
        <v/>
      </c>
      <c r="W229" s="180" t="str">
        <f ca="1"/>
        <v/>
      </c>
      <c r="X229" s="180" t="str">
        <f ca="1"/>
        <v/>
      </c>
      <c r="Y229" s="180" t="str">
        <f ca="1"/>
        <v/>
      </c>
      <c r="Z229" s="180" t="str">
        <f ca="1"/>
        <v/>
      </c>
      <c r="AA229" s="180" t="str">
        <f ca="1"/>
        <v/>
      </c>
      <c r="AB229" s="180" t="str">
        <f ca="1"/>
        <v/>
      </c>
      <c r="AC229" s="180" t="str">
        <f ca="1"/>
        <v/>
      </c>
      <c r="AD229" s="180" t="str">
        <f ca="1"/>
        <v/>
      </c>
      <c r="AE229" s="180" t="str">
        <f ca="1"/>
        <v/>
      </c>
      <c r="AF229" s="180" t="str">
        <f ca="1"/>
        <v/>
      </c>
      <c r="AG229" s="180" t="str">
        <f ca="1"/>
        <v/>
      </c>
      <c r="AH229" s="180" t="str">
        <f ca="1"/>
        <v/>
      </c>
      <c r="AI229" s="180" t="str">
        <f ca="1"/>
        <v/>
      </c>
      <c r="AJ229" s="180" t="str">
        <f ca="1"/>
        <v/>
      </c>
      <c r="AK229" s="180" t="str">
        <f ca="1"/>
        <v/>
      </c>
      <c r="AL229" s="180" t="str">
        <f ca="1"/>
        <v/>
      </c>
      <c r="AM229" s="180" t="str">
        <f ca="1"/>
        <v/>
      </c>
      <c r="AN229" s="180" t="str">
        <f ca="1"/>
        <v/>
      </c>
      <c r="AO229" s="180" t="str">
        <f ca="1"/>
        <v/>
      </c>
      <c r="AP229" s="180" t="str">
        <f ca="1"/>
        <v/>
      </c>
      <c r="AQ229" t="str">
        <f ca="1"/>
        <v/>
      </c>
    </row>
    <row r="230" spans="2:43" x14ac:dyDescent="0.25">
      <c r="B230" s="179" t="str">
        <f ca="1"/>
        <v/>
      </c>
      <c r="C230" s="180" t="str">
        <f ca="1"/>
        <v/>
      </c>
      <c r="D230" s="180" t="str">
        <f ca="1"/>
        <v/>
      </c>
      <c r="E230" s="180" t="str">
        <f ca="1"/>
        <v/>
      </c>
      <c r="F230" s="180" t="str">
        <f ca="1"/>
        <v/>
      </c>
      <c r="G230" s="180" t="str">
        <f ca="1"/>
        <v/>
      </c>
      <c r="H230" s="180" t="str">
        <f ca="1"/>
        <v/>
      </c>
      <c r="I230" s="180" t="str">
        <f ca="1"/>
        <v/>
      </c>
      <c r="J230" s="180" t="str">
        <f ca="1"/>
        <v/>
      </c>
      <c r="K230" s="180" t="str">
        <f ca="1"/>
        <v/>
      </c>
      <c r="L230" s="180" t="str">
        <f ca="1"/>
        <v/>
      </c>
      <c r="M230" s="180" t="str">
        <f ca="1"/>
        <v/>
      </c>
      <c r="N230" s="180" t="str">
        <f ca="1"/>
        <v/>
      </c>
      <c r="O230" s="180" t="str">
        <f ca="1"/>
        <v/>
      </c>
      <c r="P230" s="180" t="str">
        <f ca="1"/>
        <v/>
      </c>
      <c r="Q230" s="180" t="str">
        <f ca="1"/>
        <v/>
      </c>
      <c r="R230" s="180" t="str">
        <f ca="1"/>
        <v/>
      </c>
      <c r="S230" s="180" t="str">
        <f ca="1"/>
        <v/>
      </c>
      <c r="T230" s="180" t="str">
        <f ca="1"/>
        <v/>
      </c>
      <c r="U230" s="180" t="str">
        <f ca="1"/>
        <v/>
      </c>
      <c r="V230" s="180" t="str">
        <f ca="1"/>
        <v/>
      </c>
      <c r="W230" s="180" t="str">
        <f ca="1"/>
        <v/>
      </c>
      <c r="X230" s="180" t="str">
        <f ca="1"/>
        <v/>
      </c>
      <c r="Y230" s="180" t="str">
        <f ca="1"/>
        <v/>
      </c>
      <c r="Z230" s="180" t="str">
        <f ca="1"/>
        <v/>
      </c>
      <c r="AA230" s="180" t="str">
        <f ca="1"/>
        <v/>
      </c>
      <c r="AB230" s="180" t="str">
        <f ca="1"/>
        <v/>
      </c>
      <c r="AC230" s="180" t="str">
        <f ca="1"/>
        <v/>
      </c>
      <c r="AD230" s="180" t="str">
        <f ca="1"/>
        <v/>
      </c>
      <c r="AE230" s="180" t="str">
        <f ca="1"/>
        <v/>
      </c>
      <c r="AF230" s="180" t="str">
        <f ca="1"/>
        <v/>
      </c>
      <c r="AG230" s="180" t="str">
        <f ca="1"/>
        <v/>
      </c>
      <c r="AH230" s="180" t="str">
        <f ca="1"/>
        <v/>
      </c>
      <c r="AI230" s="180" t="str">
        <f ca="1"/>
        <v/>
      </c>
      <c r="AJ230" s="180" t="str">
        <f ca="1"/>
        <v/>
      </c>
      <c r="AK230" s="180" t="str">
        <f ca="1"/>
        <v/>
      </c>
      <c r="AL230" s="180" t="str">
        <f ca="1"/>
        <v/>
      </c>
      <c r="AM230" s="180" t="str">
        <f ca="1"/>
        <v/>
      </c>
      <c r="AN230" s="180" t="str">
        <f ca="1"/>
        <v/>
      </c>
      <c r="AO230" s="180" t="str">
        <f ca="1"/>
        <v/>
      </c>
      <c r="AP230" s="180" t="str">
        <f ca="1"/>
        <v/>
      </c>
      <c r="AQ230" t="str">
        <f ca="1"/>
        <v/>
      </c>
    </row>
    <row r="231" spans="2:43" x14ac:dyDescent="0.25">
      <c r="B231" s="179" t="str">
        <f ca="1"/>
        <v/>
      </c>
      <c r="C231" s="180" t="str">
        <f ca="1"/>
        <v/>
      </c>
      <c r="D231" s="180" t="str">
        <f ca="1"/>
        <v/>
      </c>
      <c r="E231" s="180" t="str">
        <f ca="1"/>
        <v/>
      </c>
      <c r="F231" s="180" t="str">
        <f ca="1"/>
        <v/>
      </c>
      <c r="G231" s="180" t="str">
        <f ca="1"/>
        <v/>
      </c>
      <c r="H231" s="180" t="str">
        <f ca="1"/>
        <v/>
      </c>
      <c r="I231" s="180" t="str">
        <f ca="1"/>
        <v/>
      </c>
      <c r="J231" s="180" t="str">
        <f ca="1"/>
        <v/>
      </c>
      <c r="K231" s="180" t="str">
        <f ca="1"/>
        <v/>
      </c>
      <c r="L231" s="180" t="str">
        <f ca="1"/>
        <v/>
      </c>
      <c r="M231" s="180" t="str">
        <f ca="1"/>
        <v/>
      </c>
      <c r="N231" s="180" t="str">
        <f ca="1"/>
        <v/>
      </c>
      <c r="O231" s="180" t="str">
        <f ca="1"/>
        <v/>
      </c>
      <c r="P231" s="180" t="str">
        <f ca="1"/>
        <v/>
      </c>
      <c r="Q231" s="180" t="str">
        <f ca="1"/>
        <v/>
      </c>
      <c r="R231" s="180" t="str">
        <f ca="1"/>
        <v/>
      </c>
      <c r="S231" s="180" t="str">
        <f ca="1"/>
        <v/>
      </c>
      <c r="T231" s="180" t="str">
        <f ca="1"/>
        <v/>
      </c>
      <c r="U231" s="180" t="str">
        <f ca="1"/>
        <v/>
      </c>
      <c r="V231" s="180" t="str">
        <f ca="1"/>
        <v/>
      </c>
      <c r="W231" s="180" t="str">
        <f ca="1"/>
        <v/>
      </c>
      <c r="X231" s="180" t="str">
        <f ca="1"/>
        <v/>
      </c>
      <c r="Y231" s="180" t="str">
        <f ca="1"/>
        <v/>
      </c>
      <c r="Z231" s="180" t="str">
        <f ca="1"/>
        <v/>
      </c>
      <c r="AA231" s="180" t="str">
        <f ca="1"/>
        <v/>
      </c>
      <c r="AB231" s="180" t="str">
        <f ca="1"/>
        <v/>
      </c>
      <c r="AC231" s="180" t="str">
        <f ca="1"/>
        <v/>
      </c>
      <c r="AD231" s="180" t="str">
        <f ca="1"/>
        <v/>
      </c>
      <c r="AE231" s="180" t="str">
        <f ca="1"/>
        <v/>
      </c>
      <c r="AF231" s="180" t="str">
        <f ca="1"/>
        <v/>
      </c>
      <c r="AG231" s="180" t="str">
        <f ca="1"/>
        <v/>
      </c>
      <c r="AH231" s="180" t="str">
        <f ca="1"/>
        <v/>
      </c>
      <c r="AI231" s="180" t="str">
        <f ca="1"/>
        <v/>
      </c>
      <c r="AJ231" s="180" t="str">
        <f ca="1"/>
        <v/>
      </c>
      <c r="AK231" s="180" t="str">
        <f ca="1"/>
        <v/>
      </c>
      <c r="AL231" s="180" t="str">
        <f ca="1"/>
        <v/>
      </c>
      <c r="AM231" s="180" t="str">
        <f ca="1"/>
        <v/>
      </c>
      <c r="AN231" s="180" t="str">
        <f ca="1"/>
        <v/>
      </c>
      <c r="AO231" s="180" t="str">
        <f ca="1"/>
        <v/>
      </c>
      <c r="AP231" s="180" t="str">
        <f ca="1"/>
        <v/>
      </c>
      <c r="AQ231" t="str">
        <f ca="1"/>
        <v/>
      </c>
    </row>
    <row r="232" spans="2:43" x14ac:dyDescent="0.25">
      <c r="B232" s="179" t="str">
        <f ca="1"/>
        <v/>
      </c>
      <c r="C232" s="180" t="str">
        <f ca="1"/>
        <v/>
      </c>
      <c r="D232" s="180" t="str">
        <f ca="1"/>
        <v/>
      </c>
      <c r="E232" s="180" t="str">
        <f ca="1"/>
        <v/>
      </c>
      <c r="F232" s="180" t="str">
        <f ca="1"/>
        <v/>
      </c>
      <c r="G232" s="180" t="str">
        <f ca="1"/>
        <v/>
      </c>
      <c r="H232" s="180" t="str">
        <f ca="1"/>
        <v/>
      </c>
      <c r="I232" s="180" t="str">
        <f ca="1"/>
        <v/>
      </c>
      <c r="J232" s="180" t="str">
        <f ca="1"/>
        <v/>
      </c>
      <c r="K232" s="180" t="str">
        <f ca="1"/>
        <v/>
      </c>
      <c r="L232" s="180" t="str">
        <f ca="1"/>
        <v/>
      </c>
      <c r="M232" s="180" t="str">
        <f ca="1"/>
        <v/>
      </c>
      <c r="N232" s="180" t="str">
        <f ca="1"/>
        <v/>
      </c>
      <c r="O232" s="180" t="str">
        <f ca="1"/>
        <v/>
      </c>
      <c r="P232" s="180" t="str">
        <f ca="1"/>
        <v/>
      </c>
      <c r="Q232" s="180" t="str">
        <f ca="1"/>
        <v/>
      </c>
      <c r="R232" s="180" t="str">
        <f ca="1"/>
        <v/>
      </c>
      <c r="S232" s="180" t="str">
        <f ca="1"/>
        <v/>
      </c>
      <c r="T232" s="180" t="str">
        <f ca="1"/>
        <v/>
      </c>
      <c r="U232" s="180" t="str">
        <f ca="1"/>
        <v/>
      </c>
      <c r="V232" s="180" t="str">
        <f ca="1"/>
        <v/>
      </c>
      <c r="W232" s="180" t="str">
        <f ca="1"/>
        <v/>
      </c>
      <c r="X232" s="180" t="str">
        <f ca="1"/>
        <v/>
      </c>
      <c r="Y232" s="180" t="str">
        <f ca="1"/>
        <v/>
      </c>
      <c r="Z232" s="180" t="str">
        <f ca="1"/>
        <v/>
      </c>
      <c r="AA232" s="180" t="str">
        <f ca="1"/>
        <v/>
      </c>
      <c r="AB232" s="180" t="str">
        <f ca="1"/>
        <v/>
      </c>
      <c r="AC232" s="180" t="str">
        <f ca="1"/>
        <v/>
      </c>
      <c r="AD232" s="180" t="str">
        <f ca="1"/>
        <v/>
      </c>
      <c r="AE232" s="180" t="str">
        <f ca="1"/>
        <v/>
      </c>
      <c r="AF232" s="180" t="str">
        <f ca="1"/>
        <v/>
      </c>
      <c r="AG232" s="180" t="str">
        <f ca="1"/>
        <v/>
      </c>
      <c r="AH232" s="180" t="str">
        <f ca="1"/>
        <v/>
      </c>
      <c r="AI232" s="180" t="str">
        <f ca="1"/>
        <v/>
      </c>
      <c r="AJ232" s="180" t="str">
        <f ca="1"/>
        <v/>
      </c>
      <c r="AK232" s="180" t="str">
        <f ca="1"/>
        <v/>
      </c>
      <c r="AL232" s="180" t="str">
        <f ca="1"/>
        <v/>
      </c>
      <c r="AM232" s="180" t="str">
        <f ca="1"/>
        <v/>
      </c>
      <c r="AN232" s="180" t="str">
        <f ca="1"/>
        <v/>
      </c>
      <c r="AO232" s="180" t="str">
        <f ca="1"/>
        <v/>
      </c>
      <c r="AP232" s="180" t="str">
        <f ca="1"/>
        <v/>
      </c>
      <c r="AQ232" t="str">
        <f ca="1"/>
        <v/>
      </c>
    </row>
    <row r="233" spans="2:43" x14ac:dyDescent="0.25">
      <c r="B233" s="179" t="str">
        <f ca="1"/>
        <v/>
      </c>
      <c r="C233" s="180" t="str">
        <f ca="1"/>
        <v/>
      </c>
      <c r="D233" s="180" t="str">
        <f ca="1"/>
        <v/>
      </c>
      <c r="E233" s="180" t="str">
        <f ca="1"/>
        <v/>
      </c>
      <c r="F233" s="180" t="str">
        <f ca="1"/>
        <v/>
      </c>
      <c r="G233" s="180" t="str">
        <f ca="1"/>
        <v/>
      </c>
      <c r="H233" s="180" t="str">
        <f ca="1"/>
        <v/>
      </c>
      <c r="I233" s="180" t="str">
        <f ca="1"/>
        <v/>
      </c>
      <c r="J233" s="180" t="str">
        <f ca="1"/>
        <v/>
      </c>
      <c r="K233" s="180" t="str">
        <f ca="1"/>
        <v/>
      </c>
      <c r="L233" s="180" t="str">
        <f ca="1"/>
        <v/>
      </c>
      <c r="M233" s="180" t="str">
        <f ca="1"/>
        <v/>
      </c>
      <c r="N233" s="180" t="str">
        <f ca="1"/>
        <v/>
      </c>
      <c r="O233" s="180" t="str">
        <f ca="1"/>
        <v/>
      </c>
      <c r="P233" s="180" t="str">
        <f ca="1"/>
        <v/>
      </c>
      <c r="Q233" s="180" t="str">
        <f ca="1"/>
        <v/>
      </c>
      <c r="R233" s="180" t="str">
        <f ca="1"/>
        <v/>
      </c>
      <c r="S233" s="180" t="str">
        <f ca="1"/>
        <v/>
      </c>
      <c r="T233" s="180" t="str">
        <f ca="1"/>
        <v/>
      </c>
      <c r="U233" s="180" t="str">
        <f ca="1"/>
        <v/>
      </c>
      <c r="V233" s="180" t="str">
        <f ca="1"/>
        <v/>
      </c>
      <c r="W233" s="180" t="str">
        <f ca="1"/>
        <v/>
      </c>
      <c r="X233" s="180" t="str">
        <f ca="1"/>
        <v/>
      </c>
      <c r="Y233" s="180" t="str">
        <f ca="1"/>
        <v/>
      </c>
      <c r="Z233" s="180" t="str">
        <f ca="1"/>
        <v/>
      </c>
      <c r="AA233" s="180" t="str">
        <f ca="1"/>
        <v/>
      </c>
      <c r="AB233" s="180" t="str">
        <f ca="1"/>
        <v/>
      </c>
      <c r="AC233" s="180" t="str">
        <f ca="1"/>
        <v/>
      </c>
      <c r="AD233" s="180" t="str">
        <f ca="1"/>
        <v/>
      </c>
      <c r="AE233" s="180" t="str">
        <f ca="1"/>
        <v/>
      </c>
      <c r="AF233" s="180" t="str">
        <f ca="1"/>
        <v/>
      </c>
      <c r="AG233" s="180" t="str">
        <f ca="1"/>
        <v/>
      </c>
      <c r="AH233" s="180" t="str">
        <f ca="1"/>
        <v/>
      </c>
      <c r="AI233" s="180" t="str">
        <f ca="1"/>
        <v/>
      </c>
      <c r="AJ233" s="180" t="str">
        <f ca="1"/>
        <v/>
      </c>
      <c r="AK233" s="180" t="str">
        <f ca="1"/>
        <v/>
      </c>
      <c r="AL233" s="180" t="str">
        <f ca="1"/>
        <v/>
      </c>
      <c r="AM233" s="180" t="str">
        <f ca="1"/>
        <v/>
      </c>
      <c r="AN233" s="180" t="str">
        <f ca="1"/>
        <v/>
      </c>
      <c r="AO233" s="180" t="str">
        <f ca="1"/>
        <v/>
      </c>
      <c r="AP233" s="180" t="str">
        <f ca="1"/>
        <v/>
      </c>
      <c r="AQ233" t="str">
        <f ca="1"/>
        <v/>
      </c>
    </row>
    <row r="234" spans="2:43" x14ac:dyDescent="0.25">
      <c r="B234" s="179" t="str">
        <f ca="1"/>
        <v/>
      </c>
      <c r="C234" s="180" t="str">
        <f ca="1"/>
        <v/>
      </c>
      <c r="D234" s="180" t="str">
        <f ca="1"/>
        <v/>
      </c>
      <c r="E234" s="180" t="str">
        <f ca="1"/>
        <v/>
      </c>
      <c r="F234" s="180" t="str">
        <f ca="1"/>
        <v/>
      </c>
      <c r="G234" s="180" t="str">
        <f ca="1"/>
        <v/>
      </c>
      <c r="H234" s="180" t="str">
        <f ca="1"/>
        <v/>
      </c>
      <c r="I234" s="180" t="str">
        <f ca="1"/>
        <v/>
      </c>
      <c r="J234" s="180" t="str">
        <f ca="1"/>
        <v/>
      </c>
      <c r="K234" s="180" t="str">
        <f ca="1"/>
        <v/>
      </c>
      <c r="L234" s="180" t="str">
        <f ca="1"/>
        <v/>
      </c>
      <c r="M234" s="180" t="str">
        <f ca="1"/>
        <v/>
      </c>
      <c r="N234" s="180" t="str">
        <f ca="1"/>
        <v/>
      </c>
      <c r="O234" s="180" t="str">
        <f ca="1"/>
        <v/>
      </c>
      <c r="P234" s="180" t="str">
        <f ca="1"/>
        <v/>
      </c>
      <c r="Q234" s="180" t="str">
        <f ca="1"/>
        <v/>
      </c>
      <c r="R234" s="180" t="str">
        <f ca="1"/>
        <v/>
      </c>
      <c r="S234" s="180" t="str">
        <f ca="1"/>
        <v/>
      </c>
      <c r="T234" s="180" t="str">
        <f ca="1"/>
        <v/>
      </c>
      <c r="U234" s="180" t="str">
        <f ca="1"/>
        <v/>
      </c>
      <c r="V234" s="180" t="str">
        <f ca="1"/>
        <v/>
      </c>
      <c r="W234" s="180" t="str">
        <f ca="1"/>
        <v/>
      </c>
      <c r="X234" s="180" t="str">
        <f ca="1"/>
        <v/>
      </c>
      <c r="Y234" s="180" t="str">
        <f ca="1"/>
        <v/>
      </c>
      <c r="Z234" s="180" t="str">
        <f ca="1"/>
        <v/>
      </c>
      <c r="AA234" s="180" t="str">
        <f ca="1"/>
        <v/>
      </c>
      <c r="AB234" s="180" t="str">
        <f ca="1"/>
        <v/>
      </c>
      <c r="AC234" s="180" t="str">
        <f ca="1"/>
        <v/>
      </c>
      <c r="AD234" s="180" t="str">
        <f ca="1"/>
        <v/>
      </c>
      <c r="AE234" s="180" t="str">
        <f ca="1"/>
        <v/>
      </c>
      <c r="AF234" s="180" t="str">
        <f ca="1"/>
        <v/>
      </c>
      <c r="AG234" s="180" t="str">
        <f ca="1"/>
        <v/>
      </c>
      <c r="AH234" s="180" t="str">
        <f ca="1"/>
        <v/>
      </c>
      <c r="AI234" s="180" t="str">
        <f ca="1"/>
        <v/>
      </c>
      <c r="AJ234" s="180" t="str">
        <f ca="1"/>
        <v/>
      </c>
      <c r="AK234" s="180" t="str">
        <f ca="1"/>
        <v/>
      </c>
      <c r="AL234" s="180" t="str">
        <f ca="1"/>
        <v/>
      </c>
      <c r="AM234" s="180" t="str">
        <f ca="1"/>
        <v/>
      </c>
      <c r="AN234" s="180" t="str">
        <f ca="1"/>
        <v/>
      </c>
      <c r="AO234" s="180" t="str">
        <f ca="1"/>
        <v/>
      </c>
      <c r="AP234" s="180" t="str">
        <f ca="1"/>
        <v/>
      </c>
      <c r="AQ234" t="str">
        <f ca="1"/>
        <v/>
      </c>
    </row>
    <row r="235" spans="2:43" x14ac:dyDescent="0.25">
      <c r="B235" s="179" t="str">
        <f ca="1"/>
        <v/>
      </c>
      <c r="C235" s="180" t="str">
        <f ca="1"/>
        <v/>
      </c>
      <c r="D235" s="180" t="str">
        <f ca="1"/>
        <v/>
      </c>
      <c r="E235" s="180" t="str">
        <f ca="1"/>
        <v/>
      </c>
      <c r="F235" s="180" t="str">
        <f ca="1"/>
        <v/>
      </c>
      <c r="G235" s="180" t="str">
        <f ca="1"/>
        <v/>
      </c>
      <c r="H235" s="180" t="str">
        <f ca="1"/>
        <v/>
      </c>
      <c r="I235" s="180" t="str">
        <f ca="1"/>
        <v/>
      </c>
      <c r="J235" s="180" t="str">
        <f ca="1"/>
        <v/>
      </c>
      <c r="K235" s="180" t="str">
        <f ca="1"/>
        <v/>
      </c>
      <c r="L235" s="180" t="str">
        <f ca="1"/>
        <v/>
      </c>
      <c r="M235" s="180" t="str">
        <f ca="1"/>
        <v/>
      </c>
      <c r="N235" s="180" t="str">
        <f ca="1"/>
        <v/>
      </c>
      <c r="O235" s="180" t="str">
        <f ca="1"/>
        <v/>
      </c>
      <c r="P235" s="180" t="str">
        <f ca="1"/>
        <v/>
      </c>
      <c r="Q235" s="180" t="str">
        <f ca="1"/>
        <v/>
      </c>
      <c r="R235" s="180" t="str">
        <f ca="1"/>
        <v/>
      </c>
      <c r="S235" s="180" t="str">
        <f ca="1"/>
        <v/>
      </c>
      <c r="T235" s="180" t="str">
        <f ca="1"/>
        <v/>
      </c>
      <c r="U235" s="180" t="str">
        <f ca="1"/>
        <v/>
      </c>
      <c r="V235" s="180" t="str">
        <f ca="1"/>
        <v/>
      </c>
      <c r="W235" s="180" t="str">
        <f ca="1"/>
        <v/>
      </c>
      <c r="X235" s="180" t="str">
        <f ca="1"/>
        <v/>
      </c>
      <c r="Y235" s="180" t="str">
        <f ca="1"/>
        <v/>
      </c>
      <c r="Z235" s="180" t="str">
        <f ca="1"/>
        <v/>
      </c>
      <c r="AA235" s="180" t="str">
        <f ca="1"/>
        <v/>
      </c>
      <c r="AB235" s="180" t="str">
        <f ca="1"/>
        <v/>
      </c>
      <c r="AC235" s="180" t="str">
        <f ca="1"/>
        <v/>
      </c>
      <c r="AD235" s="180" t="str">
        <f ca="1"/>
        <v/>
      </c>
      <c r="AE235" s="180" t="str">
        <f ca="1"/>
        <v/>
      </c>
      <c r="AF235" s="180" t="str">
        <f ca="1"/>
        <v/>
      </c>
      <c r="AG235" s="180" t="str">
        <f ca="1"/>
        <v/>
      </c>
      <c r="AH235" s="180" t="str">
        <f ca="1"/>
        <v/>
      </c>
      <c r="AI235" s="180" t="str">
        <f ca="1"/>
        <v/>
      </c>
      <c r="AJ235" s="180" t="str">
        <f ca="1"/>
        <v/>
      </c>
      <c r="AK235" s="180" t="str">
        <f ca="1"/>
        <v/>
      </c>
      <c r="AL235" s="180" t="str">
        <f ca="1"/>
        <v/>
      </c>
      <c r="AM235" s="180" t="str">
        <f ca="1"/>
        <v/>
      </c>
      <c r="AN235" s="180" t="str">
        <f ca="1"/>
        <v/>
      </c>
      <c r="AO235" s="180" t="str">
        <f ca="1"/>
        <v/>
      </c>
      <c r="AP235" s="180" t="str">
        <f ca="1"/>
        <v/>
      </c>
      <c r="AQ235" t="str">
        <f ca="1"/>
        <v/>
      </c>
    </row>
    <row r="236" spans="2:43" x14ac:dyDescent="0.25">
      <c r="B236" s="179" t="str">
        <f ca="1"/>
        <v/>
      </c>
      <c r="C236" s="180" t="str">
        <f ca="1"/>
        <v/>
      </c>
      <c r="D236" s="180" t="str">
        <f ca="1"/>
        <v/>
      </c>
      <c r="E236" s="180" t="str">
        <f ca="1"/>
        <v/>
      </c>
      <c r="F236" s="180" t="str">
        <f ca="1"/>
        <v/>
      </c>
      <c r="G236" s="180" t="str">
        <f ca="1"/>
        <v/>
      </c>
      <c r="H236" s="180" t="str">
        <f ca="1"/>
        <v/>
      </c>
      <c r="I236" s="180" t="str">
        <f ca="1"/>
        <v/>
      </c>
      <c r="J236" s="180" t="str">
        <f ca="1"/>
        <v/>
      </c>
      <c r="K236" s="180" t="str">
        <f ca="1"/>
        <v/>
      </c>
      <c r="L236" s="180" t="str">
        <f ca="1"/>
        <v/>
      </c>
      <c r="M236" s="180" t="str">
        <f ca="1"/>
        <v/>
      </c>
      <c r="N236" s="180" t="str">
        <f ca="1"/>
        <v/>
      </c>
      <c r="O236" s="180" t="str">
        <f ca="1"/>
        <v/>
      </c>
      <c r="P236" s="180" t="str">
        <f ca="1"/>
        <v/>
      </c>
      <c r="Q236" s="180" t="str">
        <f ca="1"/>
        <v/>
      </c>
      <c r="R236" s="180" t="str">
        <f ca="1"/>
        <v/>
      </c>
      <c r="S236" s="180" t="str">
        <f ca="1"/>
        <v/>
      </c>
      <c r="T236" s="180" t="str">
        <f ca="1"/>
        <v/>
      </c>
      <c r="U236" s="180" t="str">
        <f ca="1"/>
        <v/>
      </c>
      <c r="V236" s="180" t="str">
        <f ca="1"/>
        <v/>
      </c>
      <c r="W236" s="180" t="str">
        <f ca="1"/>
        <v/>
      </c>
      <c r="X236" s="180" t="str">
        <f ca="1"/>
        <v/>
      </c>
      <c r="Y236" s="180" t="str">
        <f ca="1"/>
        <v/>
      </c>
      <c r="Z236" s="180" t="str">
        <f ca="1"/>
        <v/>
      </c>
      <c r="AA236" s="180" t="str">
        <f ca="1"/>
        <v/>
      </c>
      <c r="AB236" s="180" t="str">
        <f ca="1"/>
        <v/>
      </c>
      <c r="AC236" s="180" t="str">
        <f ca="1"/>
        <v/>
      </c>
      <c r="AD236" s="180" t="str">
        <f ca="1"/>
        <v/>
      </c>
      <c r="AE236" s="180" t="str">
        <f ca="1"/>
        <v/>
      </c>
      <c r="AF236" s="180" t="str">
        <f ca="1"/>
        <v/>
      </c>
      <c r="AG236" s="180" t="str">
        <f ca="1"/>
        <v/>
      </c>
      <c r="AH236" s="180" t="str">
        <f ca="1"/>
        <v/>
      </c>
      <c r="AI236" s="180" t="str">
        <f ca="1"/>
        <v/>
      </c>
      <c r="AJ236" s="180" t="str">
        <f ca="1"/>
        <v/>
      </c>
      <c r="AK236" s="180" t="str">
        <f ca="1"/>
        <v/>
      </c>
      <c r="AL236" s="180" t="str">
        <f ca="1"/>
        <v/>
      </c>
      <c r="AM236" s="180" t="str">
        <f ca="1"/>
        <v/>
      </c>
      <c r="AN236" s="180" t="str">
        <f ca="1"/>
        <v/>
      </c>
      <c r="AO236" s="180" t="str">
        <f ca="1"/>
        <v/>
      </c>
      <c r="AP236" s="180" t="str">
        <f ca="1"/>
        <v/>
      </c>
      <c r="AQ236" t="str">
        <f ca="1"/>
        <v/>
      </c>
    </row>
    <row r="237" spans="2:43" x14ac:dyDescent="0.25">
      <c r="B237" s="179" t="str">
        <f ca="1"/>
        <v/>
      </c>
      <c r="C237" s="180" t="str">
        <f ca="1"/>
        <v/>
      </c>
      <c r="D237" s="180" t="str">
        <f ca="1"/>
        <v/>
      </c>
      <c r="E237" s="180" t="str">
        <f ca="1"/>
        <v/>
      </c>
      <c r="F237" s="180" t="str">
        <f ca="1"/>
        <v/>
      </c>
      <c r="G237" s="180" t="str">
        <f ca="1"/>
        <v/>
      </c>
      <c r="H237" s="180" t="str">
        <f ca="1"/>
        <v/>
      </c>
      <c r="I237" s="180" t="str">
        <f ca="1"/>
        <v/>
      </c>
      <c r="J237" s="180" t="str">
        <f ca="1"/>
        <v/>
      </c>
      <c r="K237" s="180" t="str">
        <f ca="1"/>
        <v/>
      </c>
      <c r="L237" s="180" t="str">
        <f ca="1"/>
        <v/>
      </c>
      <c r="M237" s="180" t="str">
        <f ca="1"/>
        <v/>
      </c>
      <c r="N237" s="180" t="str">
        <f ca="1"/>
        <v/>
      </c>
      <c r="O237" s="180" t="str">
        <f ca="1"/>
        <v/>
      </c>
      <c r="P237" s="180" t="str">
        <f ca="1"/>
        <v/>
      </c>
      <c r="Q237" s="180" t="str">
        <f ca="1"/>
        <v/>
      </c>
      <c r="R237" s="180" t="str">
        <f ca="1"/>
        <v/>
      </c>
      <c r="S237" s="180" t="str">
        <f ca="1"/>
        <v/>
      </c>
      <c r="T237" s="180" t="str">
        <f ca="1"/>
        <v/>
      </c>
      <c r="U237" s="180" t="str">
        <f ca="1"/>
        <v/>
      </c>
      <c r="V237" s="180" t="str">
        <f ca="1"/>
        <v/>
      </c>
      <c r="W237" s="180" t="str">
        <f ca="1"/>
        <v/>
      </c>
      <c r="X237" s="180" t="str">
        <f ca="1"/>
        <v/>
      </c>
      <c r="Y237" s="180" t="str">
        <f ca="1"/>
        <v/>
      </c>
      <c r="Z237" s="180" t="str">
        <f ca="1"/>
        <v/>
      </c>
      <c r="AA237" s="180" t="str">
        <f ca="1"/>
        <v/>
      </c>
      <c r="AB237" s="180" t="str">
        <f ca="1"/>
        <v/>
      </c>
      <c r="AC237" s="180" t="str">
        <f ca="1"/>
        <v/>
      </c>
      <c r="AD237" s="180" t="str">
        <f ca="1"/>
        <v/>
      </c>
      <c r="AE237" s="180" t="str">
        <f ca="1"/>
        <v/>
      </c>
      <c r="AF237" s="180" t="str">
        <f ca="1"/>
        <v/>
      </c>
      <c r="AG237" s="180" t="str">
        <f ca="1"/>
        <v/>
      </c>
      <c r="AH237" s="180" t="str">
        <f ca="1"/>
        <v/>
      </c>
      <c r="AI237" s="180" t="str">
        <f ca="1"/>
        <v/>
      </c>
      <c r="AJ237" s="180" t="str">
        <f ca="1"/>
        <v/>
      </c>
      <c r="AK237" s="180" t="str">
        <f ca="1"/>
        <v/>
      </c>
      <c r="AL237" s="180" t="str">
        <f ca="1"/>
        <v/>
      </c>
      <c r="AM237" s="180" t="str">
        <f ca="1"/>
        <v/>
      </c>
      <c r="AN237" s="180" t="str">
        <f ca="1"/>
        <v/>
      </c>
      <c r="AO237" s="180" t="str">
        <f ca="1"/>
        <v/>
      </c>
      <c r="AP237" s="180" t="str">
        <f ca="1"/>
        <v/>
      </c>
      <c r="AQ237" t="str">
        <f ca="1"/>
        <v/>
      </c>
    </row>
    <row r="238" spans="2:43" x14ac:dyDescent="0.25">
      <c r="B238" s="179" t="str">
        <f ca="1"/>
        <v/>
      </c>
      <c r="C238" s="180" t="str">
        <f ca="1"/>
        <v/>
      </c>
      <c r="D238" s="180" t="str">
        <f ca="1"/>
        <v/>
      </c>
      <c r="E238" s="180" t="str">
        <f ca="1"/>
        <v/>
      </c>
      <c r="F238" s="180" t="str">
        <f ca="1"/>
        <v/>
      </c>
      <c r="G238" s="180" t="str">
        <f ca="1"/>
        <v/>
      </c>
      <c r="H238" s="180" t="str">
        <f ca="1"/>
        <v/>
      </c>
      <c r="I238" s="180" t="str">
        <f ca="1"/>
        <v/>
      </c>
      <c r="J238" s="180" t="str">
        <f ca="1"/>
        <v/>
      </c>
      <c r="K238" s="180" t="str">
        <f ca="1"/>
        <v/>
      </c>
      <c r="L238" s="180" t="str">
        <f ca="1"/>
        <v/>
      </c>
      <c r="M238" s="180" t="str">
        <f ca="1"/>
        <v/>
      </c>
      <c r="N238" s="180" t="str">
        <f ca="1"/>
        <v/>
      </c>
      <c r="O238" s="180" t="str">
        <f ca="1"/>
        <v/>
      </c>
      <c r="P238" s="180" t="str">
        <f ca="1"/>
        <v/>
      </c>
      <c r="Q238" s="180" t="str">
        <f ca="1"/>
        <v/>
      </c>
      <c r="R238" s="180" t="str">
        <f ca="1"/>
        <v/>
      </c>
      <c r="S238" s="180" t="str">
        <f ca="1"/>
        <v/>
      </c>
      <c r="T238" s="180" t="str">
        <f ca="1"/>
        <v/>
      </c>
      <c r="U238" s="180" t="str">
        <f ca="1"/>
        <v/>
      </c>
      <c r="V238" s="180" t="str">
        <f ca="1"/>
        <v/>
      </c>
      <c r="W238" s="180" t="str">
        <f ca="1"/>
        <v/>
      </c>
      <c r="X238" s="180" t="str">
        <f ca="1"/>
        <v/>
      </c>
      <c r="Y238" s="180" t="str">
        <f ca="1"/>
        <v/>
      </c>
      <c r="Z238" s="180" t="str">
        <f ca="1"/>
        <v/>
      </c>
      <c r="AA238" s="180" t="str">
        <f ca="1"/>
        <v/>
      </c>
      <c r="AB238" s="180" t="str">
        <f ca="1"/>
        <v/>
      </c>
      <c r="AC238" s="180" t="str">
        <f ca="1"/>
        <v/>
      </c>
      <c r="AD238" s="180" t="str">
        <f ca="1"/>
        <v/>
      </c>
      <c r="AE238" s="180" t="str">
        <f ca="1"/>
        <v/>
      </c>
      <c r="AF238" s="180" t="str">
        <f ca="1"/>
        <v/>
      </c>
      <c r="AG238" s="180" t="str">
        <f ca="1"/>
        <v/>
      </c>
      <c r="AH238" s="180" t="str">
        <f ca="1"/>
        <v/>
      </c>
      <c r="AI238" s="180" t="str">
        <f ca="1"/>
        <v/>
      </c>
      <c r="AJ238" s="180" t="str">
        <f ca="1"/>
        <v/>
      </c>
      <c r="AK238" s="180" t="str">
        <f ca="1"/>
        <v/>
      </c>
      <c r="AL238" s="180" t="str">
        <f ca="1"/>
        <v/>
      </c>
      <c r="AM238" s="180" t="str">
        <f ca="1"/>
        <v/>
      </c>
      <c r="AN238" s="180" t="str">
        <f ca="1"/>
        <v/>
      </c>
      <c r="AO238" s="180" t="str">
        <f ca="1"/>
        <v/>
      </c>
      <c r="AP238" s="180" t="str">
        <f ca="1"/>
        <v/>
      </c>
      <c r="AQ238" t="str">
        <f ca="1"/>
        <v/>
      </c>
    </row>
    <row r="239" spans="2:43" x14ac:dyDescent="0.25">
      <c r="B239" s="179" t="str">
        <f ca="1"/>
        <v/>
      </c>
      <c r="C239" s="180" t="str">
        <f ca="1"/>
        <v/>
      </c>
      <c r="D239" s="180" t="str">
        <f ca="1"/>
        <v/>
      </c>
      <c r="E239" s="180" t="str">
        <f ca="1"/>
        <v/>
      </c>
      <c r="F239" s="180" t="str">
        <f ca="1"/>
        <v/>
      </c>
      <c r="G239" s="180" t="str">
        <f ca="1"/>
        <v/>
      </c>
      <c r="H239" s="180" t="str">
        <f ca="1"/>
        <v/>
      </c>
      <c r="I239" s="180" t="str">
        <f ca="1"/>
        <v/>
      </c>
      <c r="J239" s="180" t="str">
        <f ca="1"/>
        <v/>
      </c>
      <c r="K239" s="180" t="str">
        <f ca="1"/>
        <v/>
      </c>
      <c r="L239" s="180" t="str">
        <f ca="1"/>
        <v/>
      </c>
      <c r="M239" s="180" t="str">
        <f ca="1"/>
        <v/>
      </c>
      <c r="N239" s="180" t="str">
        <f ca="1"/>
        <v/>
      </c>
      <c r="O239" s="180" t="str">
        <f ca="1"/>
        <v/>
      </c>
      <c r="P239" s="180" t="str">
        <f ca="1"/>
        <v/>
      </c>
      <c r="Q239" s="180" t="str">
        <f ca="1"/>
        <v/>
      </c>
      <c r="R239" s="180" t="str">
        <f ca="1"/>
        <v/>
      </c>
      <c r="S239" s="180" t="str">
        <f ca="1"/>
        <v/>
      </c>
      <c r="T239" s="180" t="str">
        <f ca="1"/>
        <v/>
      </c>
      <c r="U239" s="180" t="str">
        <f ca="1"/>
        <v/>
      </c>
      <c r="V239" s="180" t="str">
        <f ca="1"/>
        <v/>
      </c>
      <c r="W239" s="180" t="str">
        <f ca="1"/>
        <v/>
      </c>
      <c r="X239" s="180" t="str">
        <f ca="1"/>
        <v/>
      </c>
      <c r="Y239" s="180" t="str">
        <f ca="1"/>
        <v/>
      </c>
      <c r="Z239" s="180" t="str">
        <f ca="1"/>
        <v/>
      </c>
      <c r="AA239" s="180" t="str">
        <f ca="1"/>
        <v/>
      </c>
      <c r="AB239" s="180" t="str">
        <f ca="1"/>
        <v/>
      </c>
      <c r="AC239" s="180" t="str">
        <f ca="1"/>
        <v/>
      </c>
      <c r="AD239" s="180" t="str">
        <f ca="1"/>
        <v/>
      </c>
      <c r="AE239" s="180" t="str">
        <f ca="1"/>
        <v/>
      </c>
      <c r="AF239" s="180" t="str">
        <f ca="1"/>
        <v/>
      </c>
      <c r="AG239" s="180" t="str">
        <f ca="1"/>
        <v/>
      </c>
      <c r="AH239" s="180" t="str">
        <f ca="1"/>
        <v/>
      </c>
      <c r="AI239" s="180" t="str">
        <f ca="1"/>
        <v/>
      </c>
      <c r="AJ239" s="180" t="str">
        <f ca="1"/>
        <v/>
      </c>
      <c r="AK239" s="180" t="str">
        <f ca="1"/>
        <v/>
      </c>
      <c r="AL239" s="180" t="str">
        <f ca="1"/>
        <v/>
      </c>
      <c r="AM239" s="180" t="str">
        <f ca="1"/>
        <v/>
      </c>
      <c r="AN239" s="180" t="str">
        <f ca="1"/>
        <v/>
      </c>
      <c r="AO239" s="180" t="str">
        <f ca="1"/>
        <v/>
      </c>
      <c r="AP239" s="180" t="str">
        <f ca="1"/>
        <v/>
      </c>
      <c r="AQ239" t="str">
        <f ca="1"/>
        <v/>
      </c>
    </row>
    <row r="240" spans="2:43" x14ac:dyDescent="0.25">
      <c r="B240" s="179" t="str">
        <f ca="1"/>
        <v/>
      </c>
      <c r="C240" s="180" t="str">
        <f ca="1"/>
        <v/>
      </c>
      <c r="D240" s="180" t="str">
        <f ca="1"/>
        <v/>
      </c>
      <c r="E240" s="180" t="str">
        <f ca="1"/>
        <v/>
      </c>
      <c r="F240" s="180" t="str">
        <f ca="1"/>
        <v/>
      </c>
      <c r="G240" s="180" t="str">
        <f ca="1"/>
        <v/>
      </c>
      <c r="H240" s="180" t="str">
        <f ca="1"/>
        <v/>
      </c>
      <c r="I240" s="180" t="str">
        <f ca="1"/>
        <v/>
      </c>
      <c r="J240" s="180" t="str">
        <f ca="1"/>
        <v/>
      </c>
      <c r="K240" s="180" t="str">
        <f ca="1"/>
        <v/>
      </c>
      <c r="L240" s="180" t="str">
        <f ca="1"/>
        <v/>
      </c>
      <c r="M240" s="180" t="str">
        <f ca="1"/>
        <v/>
      </c>
      <c r="N240" s="180" t="str">
        <f ca="1"/>
        <v/>
      </c>
      <c r="O240" s="180" t="str">
        <f ca="1"/>
        <v/>
      </c>
      <c r="P240" s="180" t="str">
        <f ca="1"/>
        <v/>
      </c>
      <c r="Q240" s="180" t="str">
        <f ca="1"/>
        <v/>
      </c>
      <c r="R240" s="180" t="str">
        <f ca="1"/>
        <v/>
      </c>
      <c r="S240" s="180" t="str">
        <f ca="1"/>
        <v/>
      </c>
      <c r="T240" s="180" t="str">
        <f ca="1"/>
        <v/>
      </c>
      <c r="U240" s="180" t="str">
        <f ca="1"/>
        <v/>
      </c>
      <c r="V240" s="180" t="str">
        <f ca="1"/>
        <v/>
      </c>
      <c r="W240" s="180" t="str">
        <f ca="1"/>
        <v/>
      </c>
      <c r="X240" s="180" t="str">
        <f ca="1"/>
        <v/>
      </c>
      <c r="Y240" s="180" t="str">
        <f ca="1"/>
        <v/>
      </c>
      <c r="Z240" s="180" t="str">
        <f ca="1"/>
        <v/>
      </c>
      <c r="AA240" s="180" t="str">
        <f ca="1"/>
        <v/>
      </c>
      <c r="AB240" s="180" t="str">
        <f ca="1"/>
        <v/>
      </c>
      <c r="AC240" s="180" t="str">
        <f ca="1"/>
        <v/>
      </c>
      <c r="AD240" s="180" t="str">
        <f ca="1"/>
        <v/>
      </c>
      <c r="AE240" s="180" t="str">
        <f ca="1"/>
        <v/>
      </c>
      <c r="AF240" s="180" t="str">
        <f ca="1"/>
        <v/>
      </c>
      <c r="AG240" s="180" t="str">
        <f ca="1"/>
        <v/>
      </c>
      <c r="AH240" s="180" t="str">
        <f ca="1"/>
        <v/>
      </c>
      <c r="AI240" s="180" t="str">
        <f ca="1"/>
        <v/>
      </c>
      <c r="AJ240" s="180" t="str">
        <f ca="1"/>
        <v/>
      </c>
      <c r="AK240" s="180" t="str">
        <f ca="1"/>
        <v/>
      </c>
      <c r="AL240" s="180" t="str">
        <f ca="1"/>
        <v/>
      </c>
      <c r="AM240" s="180" t="str">
        <f ca="1"/>
        <v/>
      </c>
      <c r="AN240" s="180" t="str">
        <f ca="1"/>
        <v/>
      </c>
      <c r="AO240" s="180" t="str">
        <f ca="1"/>
        <v/>
      </c>
      <c r="AP240" s="180" t="str">
        <f ca="1"/>
        <v/>
      </c>
      <c r="AQ240" t="str">
        <f ca="1"/>
        <v/>
      </c>
    </row>
    <row r="241" spans="2:43" x14ac:dyDescent="0.25">
      <c r="B241" s="179" t="str">
        <f ca="1"/>
        <v/>
      </c>
      <c r="C241" s="180" t="str">
        <f ca="1"/>
        <v/>
      </c>
      <c r="D241" s="180" t="str">
        <f ca="1"/>
        <v/>
      </c>
      <c r="E241" s="180" t="str">
        <f ca="1"/>
        <v/>
      </c>
      <c r="F241" s="180" t="str">
        <f ca="1"/>
        <v/>
      </c>
      <c r="G241" s="180" t="str">
        <f ca="1"/>
        <v/>
      </c>
      <c r="H241" s="180" t="str">
        <f ca="1"/>
        <v/>
      </c>
      <c r="I241" s="180" t="str">
        <f ca="1"/>
        <v/>
      </c>
      <c r="J241" s="180" t="str">
        <f ca="1"/>
        <v/>
      </c>
      <c r="K241" s="180" t="str">
        <f ca="1"/>
        <v/>
      </c>
      <c r="L241" s="180" t="str">
        <f ca="1"/>
        <v/>
      </c>
      <c r="M241" s="180" t="str">
        <f ca="1"/>
        <v/>
      </c>
      <c r="N241" s="180" t="str">
        <f ca="1"/>
        <v/>
      </c>
      <c r="O241" s="180" t="str">
        <f ca="1"/>
        <v/>
      </c>
      <c r="P241" s="180" t="str">
        <f ca="1"/>
        <v/>
      </c>
      <c r="Q241" s="180" t="str">
        <f ca="1"/>
        <v/>
      </c>
      <c r="R241" s="180" t="str">
        <f ca="1"/>
        <v/>
      </c>
      <c r="S241" s="180" t="str">
        <f ca="1"/>
        <v/>
      </c>
      <c r="T241" s="180" t="str">
        <f ca="1"/>
        <v/>
      </c>
      <c r="U241" s="180" t="str">
        <f ca="1"/>
        <v/>
      </c>
      <c r="V241" s="180" t="str">
        <f ca="1"/>
        <v/>
      </c>
      <c r="W241" s="180" t="str">
        <f ca="1"/>
        <v/>
      </c>
      <c r="X241" s="180" t="str">
        <f ca="1"/>
        <v/>
      </c>
      <c r="Y241" s="180" t="str">
        <f ca="1"/>
        <v/>
      </c>
      <c r="Z241" s="180" t="str">
        <f ca="1"/>
        <v/>
      </c>
      <c r="AA241" s="180" t="str">
        <f ca="1"/>
        <v/>
      </c>
      <c r="AB241" s="180" t="str">
        <f ca="1"/>
        <v/>
      </c>
      <c r="AC241" s="180" t="str">
        <f ca="1"/>
        <v/>
      </c>
      <c r="AD241" s="180" t="str">
        <f ca="1"/>
        <v/>
      </c>
      <c r="AE241" s="180" t="str">
        <f ca="1"/>
        <v/>
      </c>
      <c r="AF241" s="180" t="str">
        <f ca="1"/>
        <v/>
      </c>
      <c r="AG241" s="180" t="str">
        <f ca="1"/>
        <v/>
      </c>
      <c r="AH241" s="180" t="str">
        <f ca="1"/>
        <v/>
      </c>
      <c r="AI241" s="180" t="str">
        <f ca="1"/>
        <v/>
      </c>
      <c r="AJ241" s="180" t="str">
        <f ca="1"/>
        <v/>
      </c>
      <c r="AK241" s="180" t="str">
        <f ca="1"/>
        <v/>
      </c>
      <c r="AL241" s="180" t="str">
        <f ca="1"/>
        <v/>
      </c>
      <c r="AM241" s="180" t="str">
        <f ca="1"/>
        <v/>
      </c>
      <c r="AN241" s="180" t="str">
        <f ca="1"/>
        <v/>
      </c>
      <c r="AO241" s="180" t="str">
        <f ca="1"/>
        <v/>
      </c>
      <c r="AP241" s="180" t="str">
        <f ca="1"/>
        <v/>
      </c>
      <c r="AQ241" t="str">
        <f ca="1"/>
        <v/>
      </c>
    </row>
    <row r="242" spans="2:43" x14ac:dyDescent="0.25">
      <c r="B242" s="179" t="str">
        <f ca="1"/>
        <v/>
      </c>
      <c r="C242" s="180" t="str">
        <f ca="1"/>
        <v/>
      </c>
      <c r="D242" s="180" t="str">
        <f ca="1"/>
        <v/>
      </c>
      <c r="E242" s="180" t="str">
        <f ca="1"/>
        <v/>
      </c>
      <c r="F242" s="180" t="str">
        <f ca="1"/>
        <v/>
      </c>
      <c r="G242" s="180" t="str">
        <f ca="1"/>
        <v/>
      </c>
      <c r="H242" s="180" t="str">
        <f ca="1"/>
        <v/>
      </c>
      <c r="I242" s="180" t="str">
        <f ca="1"/>
        <v/>
      </c>
      <c r="J242" s="180" t="str">
        <f ca="1"/>
        <v/>
      </c>
      <c r="K242" s="180" t="str">
        <f ca="1"/>
        <v/>
      </c>
      <c r="L242" s="180" t="str">
        <f ca="1"/>
        <v/>
      </c>
      <c r="M242" s="180" t="str">
        <f ca="1"/>
        <v/>
      </c>
      <c r="N242" s="180" t="str">
        <f ca="1"/>
        <v/>
      </c>
      <c r="O242" s="180" t="str">
        <f ca="1"/>
        <v/>
      </c>
      <c r="P242" s="180" t="str">
        <f ca="1"/>
        <v/>
      </c>
      <c r="Q242" s="180" t="str">
        <f ca="1"/>
        <v/>
      </c>
      <c r="R242" s="180" t="str">
        <f ca="1"/>
        <v/>
      </c>
      <c r="S242" s="180" t="str">
        <f ca="1"/>
        <v/>
      </c>
      <c r="T242" s="180" t="str">
        <f ca="1"/>
        <v/>
      </c>
      <c r="U242" s="180" t="str">
        <f ca="1"/>
        <v/>
      </c>
      <c r="V242" s="180" t="str">
        <f ca="1"/>
        <v/>
      </c>
      <c r="W242" s="180" t="str">
        <f ca="1"/>
        <v/>
      </c>
      <c r="X242" s="180" t="str">
        <f ca="1"/>
        <v/>
      </c>
      <c r="Y242" s="180" t="str">
        <f ca="1"/>
        <v/>
      </c>
      <c r="Z242" s="180" t="str">
        <f ca="1"/>
        <v/>
      </c>
      <c r="AA242" s="180" t="str">
        <f ca="1"/>
        <v/>
      </c>
      <c r="AB242" s="180" t="str">
        <f ca="1"/>
        <v/>
      </c>
      <c r="AC242" s="180" t="str">
        <f ca="1"/>
        <v/>
      </c>
      <c r="AD242" s="180" t="str">
        <f ca="1"/>
        <v/>
      </c>
      <c r="AE242" s="180" t="str">
        <f ca="1"/>
        <v/>
      </c>
      <c r="AF242" s="180" t="str">
        <f ca="1"/>
        <v/>
      </c>
      <c r="AG242" s="180" t="str">
        <f ca="1"/>
        <v/>
      </c>
      <c r="AH242" s="180" t="str">
        <f ca="1"/>
        <v/>
      </c>
      <c r="AI242" s="180" t="str">
        <f ca="1"/>
        <v/>
      </c>
      <c r="AJ242" s="180" t="str">
        <f ca="1"/>
        <v/>
      </c>
      <c r="AK242" s="180" t="str">
        <f ca="1"/>
        <v/>
      </c>
      <c r="AL242" s="180" t="str">
        <f ca="1"/>
        <v/>
      </c>
      <c r="AM242" s="180" t="str">
        <f ca="1"/>
        <v/>
      </c>
      <c r="AN242" s="180" t="str">
        <f ca="1"/>
        <v/>
      </c>
      <c r="AO242" s="180" t="str">
        <f ca="1"/>
        <v/>
      </c>
      <c r="AP242" s="180" t="str">
        <f ca="1"/>
        <v/>
      </c>
      <c r="AQ242" t="str">
        <f ca="1"/>
        <v/>
      </c>
    </row>
    <row r="243" spans="2:43" x14ac:dyDescent="0.25">
      <c r="B243" s="179" t="str">
        <f ca="1"/>
        <v/>
      </c>
      <c r="C243" s="180" t="str">
        <f ca="1"/>
        <v/>
      </c>
      <c r="D243" s="180" t="str">
        <f ca="1"/>
        <v/>
      </c>
      <c r="E243" s="180" t="str">
        <f ca="1"/>
        <v/>
      </c>
      <c r="F243" s="180" t="str">
        <f ca="1"/>
        <v/>
      </c>
      <c r="G243" s="180" t="str">
        <f ca="1"/>
        <v/>
      </c>
      <c r="H243" s="180" t="str">
        <f ca="1"/>
        <v/>
      </c>
      <c r="I243" s="180" t="str">
        <f ca="1"/>
        <v/>
      </c>
      <c r="J243" s="180" t="str">
        <f ca="1"/>
        <v/>
      </c>
      <c r="K243" s="180" t="str">
        <f ca="1"/>
        <v/>
      </c>
      <c r="L243" s="180" t="str">
        <f ca="1"/>
        <v/>
      </c>
      <c r="M243" s="180" t="str">
        <f ca="1"/>
        <v/>
      </c>
      <c r="N243" s="180" t="str">
        <f ca="1"/>
        <v/>
      </c>
      <c r="O243" s="180" t="str">
        <f ca="1"/>
        <v/>
      </c>
      <c r="P243" s="180" t="str">
        <f ca="1"/>
        <v/>
      </c>
      <c r="Q243" s="180" t="str">
        <f ca="1"/>
        <v/>
      </c>
      <c r="R243" s="180" t="str">
        <f ca="1"/>
        <v/>
      </c>
      <c r="S243" s="180" t="str">
        <f ca="1"/>
        <v/>
      </c>
      <c r="T243" s="180" t="str">
        <f ca="1"/>
        <v/>
      </c>
      <c r="U243" s="180" t="str">
        <f ca="1"/>
        <v/>
      </c>
      <c r="V243" s="180" t="str">
        <f ca="1"/>
        <v/>
      </c>
      <c r="W243" s="180" t="str">
        <f ca="1"/>
        <v/>
      </c>
      <c r="X243" s="180" t="str">
        <f ca="1"/>
        <v/>
      </c>
      <c r="Y243" s="180" t="str">
        <f ca="1"/>
        <v/>
      </c>
      <c r="Z243" s="180" t="str">
        <f ca="1"/>
        <v/>
      </c>
      <c r="AA243" s="180" t="str">
        <f ca="1"/>
        <v/>
      </c>
      <c r="AB243" s="180" t="str">
        <f ca="1"/>
        <v/>
      </c>
      <c r="AC243" s="180" t="str">
        <f ca="1"/>
        <v/>
      </c>
      <c r="AD243" s="180" t="str">
        <f ca="1"/>
        <v/>
      </c>
      <c r="AE243" s="180" t="str">
        <f ca="1"/>
        <v/>
      </c>
      <c r="AF243" s="180" t="str">
        <f ca="1"/>
        <v/>
      </c>
      <c r="AG243" s="180" t="str">
        <f ca="1"/>
        <v/>
      </c>
      <c r="AH243" s="180" t="str">
        <f ca="1"/>
        <v/>
      </c>
      <c r="AI243" s="180" t="str">
        <f ca="1"/>
        <v/>
      </c>
      <c r="AJ243" s="180" t="str">
        <f ca="1"/>
        <v/>
      </c>
      <c r="AK243" s="180" t="str">
        <f ca="1"/>
        <v/>
      </c>
      <c r="AL243" s="180" t="str">
        <f ca="1"/>
        <v/>
      </c>
      <c r="AM243" s="180" t="str">
        <f ca="1"/>
        <v/>
      </c>
      <c r="AN243" s="180" t="str">
        <f ca="1"/>
        <v/>
      </c>
      <c r="AO243" s="180" t="str">
        <f ca="1"/>
        <v/>
      </c>
      <c r="AP243" s="180" t="str">
        <f ca="1"/>
        <v/>
      </c>
      <c r="AQ243" t="str">
        <f ca="1"/>
        <v/>
      </c>
    </row>
    <row r="244" spans="2:43" x14ac:dyDescent="0.25">
      <c r="B244" s="179" t="str">
        <f ca="1"/>
        <v/>
      </c>
      <c r="C244" s="180" t="str">
        <f ca="1"/>
        <v/>
      </c>
      <c r="D244" s="180" t="str">
        <f ca="1"/>
        <v/>
      </c>
      <c r="E244" s="180" t="str">
        <f ca="1"/>
        <v/>
      </c>
      <c r="F244" s="180" t="str">
        <f ca="1"/>
        <v/>
      </c>
      <c r="G244" s="180" t="str">
        <f ca="1"/>
        <v/>
      </c>
      <c r="H244" s="180" t="str">
        <f ca="1"/>
        <v/>
      </c>
      <c r="I244" s="180" t="str">
        <f ca="1"/>
        <v/>
      </c>
      <c r="J244" s="180" t="str">
        <f ca="1"/>
        <v/>
      </c>
      <c r="K244" s="180" t="str">
        <f ca="1"/>
        <v/>
      </c>
      <c r="L244" s="180" t="str">
        <f ca="1"/>
        <v/>
      </c>
      <c r="M244" s="180" t="str">
        <f ca="1"/>
        <v/>
      </c>
      <c r="N244" s="180" t="str">
        <f ca="1"/>
        <v/>
      </c>
      <c r="O244" s="180" t="str">
        <f ca="1"/>
        <v/>
      </c>
      <c r="P244" s="180" t="str">
        <f ca="1"/>
        <v/>
      </c>
      <c r="Q244" s="180" t="str">
        <f ca="1"/>
        <v/>
      </c>
      <c r="R244" s="180" t="str">
        <f ca="1"/>
        <v/>
      </c>
      <c r="S244" s="180" t="str">
        <f ca="1"/>
        <v/>
      </c>
      <c r="T244" s="180" t="str">
        <f ca="1"/>
        <v/>
      </c>
      <c r="U244" s="180" t="str">
        <f ca="1"/>
        <v/>
      </c>
      <c r="V244" s="180" t="str">
        <f ca="1"/>
        <v/>
      </c>
      <c r="W244" s="180" t="str">
        <f ca="1"/>
        <v/>
      </c>
      <c r="X244" s="180" t="str">
        <f ca="1"/>
        <v/>
      </c>
      <c r="Y244" s="180" t="str">
        <f ca="1"/>
        <v/>
      </c>
      <c r="Z244" s="180" t="str">
        <f ca="1"/>
        <v/>
      </c>
      <c r="AA244" s="180" t="str">
        <f ca="1"/>
        <v/>
      </c>
      <c r="AB244" s="180" t="str">
        <f ca="1"/>
        <v/>
      </c>
      <c r="AC244" s="180" t="str">
        <f ca="1"/>
        <v/>
      </c>
      <c r="AD244" s="180" t="str">
        <f ca="1"/>
        <v/>
      </c>
      <c r="AE244" s="180" t="str">
        <f ca="1"/>
        <v/>
      </c>
      <c r="AF244" s="180" t="str">
        <f ca="1"/>
        <v/>
      </c>
      <c r="AG244" s="180" t="str">
        <f ca="1"/>
        <v/>
      </c>
      <c r="AH244" s="180" t="str">
        <f ca="1"/>
        <v/>
      </c>
      <c r="AI244" s="180" t="str">
        <f ca="1"/>
        <v/>
      </c>
      <c r="AJ244" s="180" t="str">
        <f ca="1"/>
        <v/>
      </c>
      <c r="AK244" s="180" t="str">
        <f ca="1"/>
        <v/>
      </c>
      <c r="AL244" s="180" t="str">
        <f ca="1"/>
        <v/>
      </c>
      <c r="AM244" s="180" t="str">
        <f ca="1"/>
        <v/>
      </c>
      <c r="AN244" s="180" t="str">
        <f ca="1"/>
        <v/>
      </c>
      <c r="AO244" s="180" t="str">
        <f ca="1"/>
        <v/>
      </c>
      <c r="AP244" s="180" t="str">
        <f ca="1"/>
        <v/>
      </c>
      <c r="AQ244" t="str">
        <f ca="1"/>
        <v/>
      </c>
    </row>
    <row r="245" spans="2:43" x14ac:dyDescent="0.25">
      <c r="B245" s="179" t="str">
        <f ca="1"/>
        <v/>
      </c>
      <c r="C245" s="180" t="str">
        <f ca="1"/>
        <v/>
      </c>
      <c r="D245" s="180" t="str">
        <f ca="1"/>
        <v/>
      </c>
      <c r="E245" s="180" t="str">
        <f ca="1"/>
        <v/>
      </c>
      <c r="F245" s="180" t="str">
        <f ca="1"/>
        <v/>
      </c>
      <c r="G245" s="180" t="str">
        <f ca="1"/>
        <v/>
      </c>
      <c r="H245" s="180" t="str">
        <f ca="1"/>
        <v/>
      </c>
      <c r="I245" s="180" t="str">
        <f ca="1"/>
        <v/>
      </c>
      <c r="J245" s="180" t="str">
        <f ca="1"/>
        <v/>
      </c>
      <c r="K245" s="180" t="str">
        <f ca="1"/>
        <v/>
      </c>
      <c r="L245" s="180" t="str">
        <f ca="1"/>
        <v/>
      </c>
      <c r="M245" s="180" t="str">
        <f ca="1"/>
        <v/>
      </c>
      <c r="N245" s="180" t="str">
        <f ca="1"/>
        <v/>
      </c>
      <c r="O245" s="180" t="str">
        <f ca="1"/>
        <v/>
      </c>
      <c r="P245" s="180" t="str">
        <f ca="1"/>
        <v/>
      </c>
      <c r="Q245" s="180" t="str">
        <f ca="1"/>
        <v/>
      </c>
      <c r="R245" s="180" t="str">
        <f ca="1"/>
        <v/>
      </c>
      <c r="S245" s="180" t="str">
        <f ca="1"/>
        <v/>
      </c>
      <c r="T245" s="180" t="str">
        <f ca="1"/>
        <v/>
      </c>
      <c r="U245" s="180" t="str">
        <f ca="1"/>
        <v/>
      </c>
      <c r="V245" s="180" t="str">
        <f ca="1"/>
        <v/>
      </c>
      <c r="W245" s="180" t="str">
        <f ca="1"/>
        <v/>
      </c>
      <c r="X245" s="180" t="str">
        <f ca="1"/>
        <v/>
      </c>
      <c r="Y245" s="180" t="str">
        <f ca="1"/>
        <v/>
      </c>
      <c r="Z245" s="180" t="str">
        <f ca="1"/>
        <v/>
      </c>
      <c r="AA245" s="180" t="str">
        <f ca="1"/>
        <v/>
      </c>
      <c r="AB245" s="180" t="str">
        <f ca="1"/>
        <v/>
      </c>
      <c r="AC245" s="180" t="str">
        <f ca="1"/>
        <v/>
      </c>
      <c r="AD245" s="180" t="str">
        <f ca="1"/>
        <v/>
      </c>
      <c r="AE245" s="180" t="str">
        <f ca="1"/>
        <v/>
      </c>
      <c r="AF245" s="180" t="str">
        <f ca="1"/>
        <v/>
      </c>
      <c r="AG245" s="180" t="str">
        <f ca="1"/>
        <v/>
      </c>
      <c r="AH245" s="180" t="str">
        <f ca="1"/>
        <v/>
      </c>
      <c r="AI245" s="180" t="str">
        <f ca="1"/>
        <v/>
      </c>
      <c r="AJ245" s="180" t="str">
        <f ca="1"/>
        <v/>
      </c>
      <c r="AK245" s="180" t="str">
        <f ca="1"/>
        <v/>
      </c>
      <c r="AL245" s="180" t="str">
        <f ca="1"/>
        <v/>
      </c>
      <c r="AM245" s="180" t="str">
        <f ca="1"/>
        <v/>
      </c>
      <c r="AN245" s="180" t="str">
        <f ca="1"/>
        <v/>
      </c>
      <c r="AO245" s="180" t="str">
        <f ca="1"/>
        <v/>
      </c>
      <c r="AP245" s="180" t="str">
        <f ca="1"/>
        <v/>
      </c>
      <c r="AQ245" t="str">
        <f ca="1"/>
        <v/>
      </c>
    </row>
    <row r="246" spans="2:43" x14ac:dyDescent="0.25">
      <c r="B246" s="179" t="str">
        <f ca="1"/>
        <v/>
      </c>
      <c r="C246" s="180" t="str">
        <f ca="1"/>
        <v/>
      </c>
      <c r="D246" s="180" t="str">
        <f ca="1"/>
        <v/>
      </c>
      <c r="E246" s="180" t="str">
        <f ca="1"/>
        <v/>
      </c>
      <c r="F246" s="180" t="str">
        <f ca="1"/>
        <v/>
      </c>
      <c r="G246" s="180" t="str">
        <f ca="1"/>
        <v/>
      </c>
      <c r="H246" s="180" t="str">
        <f ca="1"/>
        <v/>
      </c>
      <c r="I246" s="180" t="str">
        <f ca="1"/>
        <v/>
      </c>
      <c r="J246" s="180" t="str">
        <f ca="1"/>
        <v/>
      </c>
      <c r="K246" s="180" t="str">
        <f ca="1"/>
        <v/>
      </c>
      <c r="L246" s="180" t="str">
        <f ca="1"/>
        <v/>
      </c>
      <c r="M246" s="180" t="str">
        <f ca="1"/>
        <v/>
      </c>
      <c r="N246" s="180" t="str">
        <f ca="1"/>
        <v/>
      </c>
      <c r="O246" s="180" t="str">
        <f ca="1"/>
        <v/>
      </c>
      <c r="P246" s="180" t="str">
        <f ca="1"/>
        <v/>
      </c>
      <c r="Q246" s="180" t="str">
        <f ca="1"/>
        <v/>
      </c>
      <c r="R246" s="180" t="str">
        <f ca="1"/>
        <v/>
      </c>
      <c r="S246" s="180" t="str">
        <f ca="1"/>
        <v/>
      </c>
      <c r="T246" s="180" t="str">
        <f ca="1"/>
        <v/>
      </c>
      <c r="U246" s="180" t="str">
        <f ca="1"/>
        <v/>
      </c>
      <c r="V246" s="180" t="str">
        <f ca="1"/>
        <v/>
      </c>
      <c r="W246" s="180" t="str">
        <f ca="1"/>
        <v/>
      </c>
      <c r="X246" s="180" t="str">
        <f ca="1"/>
        <v/>
      </c>
      <c r="Y246" s="180" t="str">
        <f ca="1"/>
        <v/>
      </c>
      <c r="Z246" s="180" t="str">
        <f ca="1"/>
        <v/>
      </c>
      <c r="AA246" s="180" t="str">
        <f ca="1"/>
        <v/>
      </c>
      <c r="AB246" s="180" t="str">
        <f ca="1"/>
        <v/>
      </c>
      <c r="AC246" s="180" t="str">
        <f ca="1"/>
        <v/>
      </c>
      <c r="AD246" s="180" t="str">
        <f ca="1"/>
        <v/>
      </c>
      <c r="AE246" s="180" t="str">
        <f ca="1"/>
        <v/>
      </c>
      <c r="AF246" s="180" t="str">
        <f ca="1"/>
        <v/>
      </c>
      <c r="AG246" s="180" t="str">
        <f ca="1"/>
        <v/>
      </c>
      <c r="AH246" s="180" t="str">
        <f ca="1"/>
        <v/>
      </c>
      <c r="AI246" s="180" t="str">
        <f ca="1"/>
        <v/>
      </c>
      <c r="AJ246" s="180" t="str">
        <f ca="1"/>
        <v/>
      </c>
      <c r="AK246" s="180" t="str">
        <f ca="1"/>
        <v/>
      </c>
      <c r="AL246" s="180" t="str">
        <f ca="1"/>
        <v/>
      </c>
      <c r="AM246" s="180" t="str">
        <f ca="1"/>
        <v/>
      </c>
      <c r="AN246" s="180" t="str">
        <f ca="1"/>
        <v/>
      </c>
      <c r="AO246" s="180" t="str">
        <f ca="1"/>
        <v/>
      </c>
      <c r="AP246" s="180" t="str">
        <f ca="1"/>
        <v/>
      </c>
      <c r="AQ246" t="str">
        <f ca="1"/>
        <v/>
      </c>
    </row>
    <row r="247" spans="2:43" x14ac:dyDescent="0.25">
      <c r="B247" s="179" t="str">
        <f ca="1"/>
        <v/>
      </c>
      <c r="C247" s="180" t="str">
        <f ca="1"/>
        <v/>
      </c>
      <c r="D247" s="180" t="str">
        <f ca="1"/>
        <v/>
      </c>
      <c r="E247" s="180" t="str">
        <f ca="1"/>
        <v/>
      </c>
      <c r="F247" s="180" t="str">
        <f ca="1"/>
        <v/>
      </c>
      <c r="G247" s="180" t="str">
        <f ca="1"/>
        <v/>
      </c>
      <c r="H247" s="180" t="str">
        <f ca="1"/>
        <v/>
      </c>
      <c r="I247" s="180" t="str">
        <f ca="1"/>
        <v/>
      </c>
      <c r="J247" s="180" t="str">
        <f ca="1"/>
        <v/>
      </c>
      <c r="K247" s="180" t="str">
        <f ca="1"/>
        <v/>
      </c>
      <c r="L247" s="180" t="str">
        <f ca="1"/>
        <v/>
      </c>
      <c r="M247" s="180" t="str">
        <f ca="1"/>
        <v/>
      </c>
      <c r="N247" s="180" t="str">
        <f ca="1"/>
        <v/>
      </c>
      <c r="O247" s="180" t="str">
        <f ca="1"/>
        <v/>
      </c>
      <c r="P247" s="180" t="str">
        <f ca="1"/>
        <v/>
      </c>
      <c r="Q247" s="180" t="str">
        <f ca="1"/>
        <v/>
      </c>
      <c r="R247" s="180" t="str">
        <f ca="1"/>
        <v/>
      </c>
      <c r="S247" s="180" t="str">
        <f ca="1"/>
        <v/>
      </c>
      <c r="T247" s="180" t="str">
        <f ca="1"/>
        <v/>
      </c>
      <c r="U247" s="180" t="str">
        <f ca="1"/>
        <v/>
      </c>
      <c r="V247" s="180" t="str">
        <f ca="1"/>
        <v/>
      </c>
      <c r="W247" s="180" t="str">
        <f ca="1"/>
        <v/>
      </c>
      <c r="X247" s="180" t="str">
        <f ca="1"/>
        <v/>
      </c>
      <c r="Y247" s="180" t="str">
        <f ca="1"/>
        <v/>
      </c>
      <c r="Z247" s="180" t="str">
        <f ca="1"/>
        <v/>
      </c>
      <c r="AA247" s="180" t="str">
        <f ca="1"/>
        <v/>
      </c>
      <c r="AB247" s="180" t="str">
        <f ca="1"/>
        <v/>
      </c>
      <c r="AC247" s="180" t="str">
        <f ca="1"/>
        <v/>
      </c>
      <c r="AD247" s="180" t="str">
        <f ca="1"/>
        <v/>
      </c>
      <c r="AE247" s="180" t="str">
        <f ca="1"/>
        <v/>
      </c>
      <c r="AF247" s="180" t="str">
        <f ca="1"/>
        <v/>
      </c>
      <c r="AG247" s="180" t="str">
        <f ca="1"/>
        <v/>
      </c>
      <c r="AH247" s="180" t="str">
        <f ca="1"/>
        <v/>
      </c>
      <c r="AI247" s="180" t="str">
        <f ca="1"/>
        <v/>
      </c>
      <c r="AJ247" s="180" t="str">
        <f ca="1"/>
        <v/>
      </c>
      <c r="AK247" s="180" t="str">
        <f ca="1"/>
        <v/>
      </c>
      <c r="AL247" s="180" t="str">
        <f ca="1"/>
        <v/>
      </c>
      <c r="AM247" s="180" t="str">
        <f ca="1"/>
        <v/>
      </c>
      <c r="AN247" s="180" t="str">
        <f ca="1"/>
        <v/>
      </c>
      <c r="AO247" s="180" t="str">
        <f ca="1"/>
        <v/>
      </c>
      <c r="AP247" s="180" t="str">
        <f ca="1"/>
        <v/>
      </c>
      <c r="AQ247" t="str">
        <f ca="1"/>
        <v/>
      </c>
    </row>
    <row r="248" spans="2:43" x14ac:dyDescent="0.25">
      <c r="B248" s="179" t="str">
        <f ca="1"/>
        <v/>
      </c>
      <c r="C248" s="180" t="str">
        <f ca="1"/>
        <v/>
      </c>
      <c r="D248" s="180" t="str">
        <f ca="1"/>
        <v/>
      </c>
      <c r="E248" s="180" t="str">
        <f ca="1"/>
        <v/>
      </c>
      <c r="F248" s="180" t="str">
        <f ca="1"/>
        <v/>
      </c>
      <c r="G248" s="180" t="str">
        <f ca="1"/>
        <v/>
      </c>
      <c r="H248" s="180" t="str">
        <f ca="1"/>
        <v/>
      </c>
      <c r="I248" s="180" t="str">
        <f ca="1"/>
        <v/>
      </c>
      <c r="J248" s="180" t="str">
        <f ca="1"/>
        <v/>
      </c>
      <c r="K248" s="180" t="str">
        <f ca="1"/>
        <v/>
      </c>
      <c r="L248" s="180" t="str">
        <f ca="1"/>
        <v/>
      </c>
      <c r="M248" s="180" t="str">
        <f ca="1"/>
        <v/>
      </c>
      <c r="N248" s="180" t="str">
        <f ca="1"/>
        <v/>
      </c>
      <c r="O248" s="180" t="str">
        <f ca="1"/>
        <v/>
      </c>
      <c r="P248" s="180" t="str">
        <f ca="1"/>
        <v/>
      </c>
      <c r="Q248" s="180" t="str">
        <f ca="1"/>
        <v/>
      </c>
      <c r="R248" s="180" t="str">
        <f ca="1"/>
        <v/>
      </c>
      <c r="S248" s="180" t="str">
        <f ca="1"/>
        <v/>
      </c>
      <c r="T248" s="180" t="str">
        <f ca="1"/>
        <v/>
      </c>
      <c r="U248" s="180" t="str">
        <f ca="1"/>
        <v/>
      </c>
      <c r="V248" s="180" t="str">
        <f ca="1"/>
        <v/>
      </c>
      <c r="W248" s="180" t="str">
        <f ca="1"/>
        <v/>
      </c>
      <c r="X248" s="180" t="str">
        <f ca="1"/>
        <v/>
      </c>
      <c r="Y248" s="180" t="str">
        <f ca="1"/>
        <v/>
      </c>
      <c r="Z248" s="180" t="str">
        <f ca="1"/>
        <v/>
      </c>
      <c r="AA248" s="180" t="str">
        <f ca="1"/>
        <v/>
      </c>
      <c r="AB248" s="180" t="str">
        <f ca="1"/>
        <v/>
      </c>
      <c r="AC248" s="180" t="str">
        <f ca="1"/>
        <v/>
      </c>
      <c r="AD248" s="180" t="str">
        <f ca="1"/>
        <v/>
      </c>
      <c r="AE248" s="180" t="str">
        <f ca="1"/>
        <v/>
      </c>
      <c r="AF248" s="180" t="str">
        <f ca="1"/>
        <v/>
      </c>
      <c r="AG248" s="180" t="str">
        <f ca="1"/>
        <v/>
      </c>
      <c r="AH248" s="180" t="str">
        <f ca="1"/>
        <v/>
      </c>
      <c r="AI248" s="180" t="str">
        <f ca="1"/>
        <v/>
      </c>
      <c r="AJ248" s="180" t="str">
        <f ca="1"/>
        <v/>
      </c>
      <c r="AK248" s="180" t="str">
        <f ca="1"/>
        <v/>
      </c>
      <c r="AL248" s="180" t="str">
        <f ca="1"/>
        <v/>
      </c>
      <c r="AM248" s="180" t="str">
        <f ca="1"/>
        <v/>
      </c>
      <c r="AN248" s="180" t="str">
        <f ca="1"/>
        <v/>
      </c>
      <c r="AO248" s="180" t="str">
        <f ca="1"/>
        <v/>
      </c>
      <c r="AP248" s="180" t="str">
        <f ca="1"/>
        <v/>
      </c>
      <c r="AQ248" t="str">
        <f ca="1"/>
        <v/>
      </c>
    </row>
    <row r="249" spans="2:43" x14ac:dyDescent="0.25">
      <c r="B249" s="179" t="str">
        <f ca="1"/>
        <v/>
      </c>
      <c r="C249" s="180" t="str">
        <f ca="1"/>
        <v/>
      </c>
      <c r="D249" s="180" t="str">
        <f ca="1"/>
        <v/>
      </c>
      <c r="E249" s="180" t="str">
        <f ca="1"/>
        <v/>
      </c>
      <c r="F249" s="180" t="str">
        <f ca="1"/>
        <v/>
      </c>
      <c r="G249" s="180" t="str">
        <f ca="1"/>
        <v/>
      </c>
      <c r="H249" s="180" t="str">
        <f ca="1"/>
        <v/>
      </c>
      <c r="I249" s="180" t="str">
        <f ca="1"/>
        <v/>
      </c>
      <c r="J249" s="180" t="str">
        <f ca="1"/>
        <v/>
      </c>
      <c r="K249" s="180" t="str">
        <f ca="1"/>
        <v/>
      </c>
      <c r="L249" s="180" t="str">
        <f ca="1"/>
        <v/>
      </c>
      <c r="M249" s="180" t="str">
        <f ca="1"/>
        <v/>
      </c>
      <c r="N249" s="180" t="str">
        <f ca="1"/>
        <v/>
      </c>
      <c r="O249" s="180" t="str">
        <f ca="1"/>
        <v/>
      </c>
      <c r="P249" s="180" t="str">
        <f ca="1"/>
        <v/>
      </c>
      <c r="Q249" s="180" t="str">
        <f ca="1"/>
        <v/>
      </c>
      <c r="R249" s="180" t="str">
        <f ca="1"/>
        <v/>
      </c>
      <c r="S249" s="180" t="str">
        <f ca="1"/>
        <v/>
      </c>
      <c r="T249" s="180" t="str">
        <f ca="1"/>
        <v/>
      </c>
      <c r="U249" s="180" t="str">
        <f ca="1"/>
        <v/>
      </c>
      <c r="V249" s="180" t="str">
        <f ca="1"/>
        <v/>
      </c>
      <c r="W249" s="180" t="str">
        <f ca="1"/>
        <v/>
      </c>
      <c r="X249" s="180" t="str">
        <f ca="1"/>
        <v/>
      </c>
      <c r="Y249" s="180" t="str">
        <f ca="1"/>
        <v/>
      </c>
      <c r="Z249" s="180" t="str">
        <f ca="1"/>
        <v/>
      </c>
      <c r="AA249" s="180" t="str">
        <f ca="1"/>
        <v/>
      </c>
      <c r="AB249" s="180" t="str">
        <f ca="1"/>
        <v/>
      </c>
      <c r="AC249" s="180" t="str">
        <f ca="1"/>
        <v/>
      </c>
      <c r="AD249" s="180" t="str">
        <f ca="1"/>
        <v/>
      </c>
      <c r="AE249" s="180" t="str">
        <f ca="1"/>
        <v/>
      </c>
      <c r="AF249" s="180" t="str">
        <f ca="1"/>
        <v/>
      </c>
      <c r="AG249" s="180" t="str">
        <f ca="1"/>
        <v/>
      </c>
      <c r="AH249" s="180" t="str">
        <f ca="1"/>
        <v/>
      </c>
      <c r="AI249" s="180" t="str">
        <f ca="1"/>
        <v/>
      </c>
      <c r="AJ249" s="180" t="str">
        <f ca="1"/>
        <v/>
      </c>
      <c r="AK249" s="180" t="str">
        <f ca="1"/>
        <v/>
      </c>
      <c r="AL249" s="180" t="str">
        <f ca="1"/>
        <v/>
      </c>
      <c r="AM249" s="180" t="str">
        <f ca="1"/>
        <v/>
      </c>
      <c r="AN249" s="180" t="str">
        <f ca="1"/>
        <v/>
      </c>
      <c r="AO249" s="180" t="str">
        <f ca="1"/>
        <v/>
      </c>
      <c r="AP249" s="180" t="str">
        <f ca="1"/>
        <v/>
      </c>
      <c r="AQ249" t="str">
        <f ca="1"/>
        <v/>
      </c>
    </row>
    <row r="250" spans="2:43" x14ac:dyDescent="0.25">
      <c r="B250" s="179" t="str">
        <f ca="1"/>
        <v/>
      </c>
      <c r="C250" s="180" t="str">
        <f ca="1"/>
        <v/>
      </c>
      <c r="D250" s="180" t="str">
        <f ca="1"/>
        <v/>
      </c>
      <c r="E250" s="180" t="str">
        <f ca="1"/>
        <v/>
      </c>
      <c r="F250" s="180" t="str">
        <f ca="1"/>
        <v/>
      </c>
      <c r="G250" s="180" t="str">
        <f ca="1"/>
        <v/>
      </c>
      <c r="H250" s="180" t="str">
        <f ca="1"/>
        <v/>
      </c>
      <c r="I250" s="180" t="str">
        <f ca="1"/>
        <v/>
      </c>
      <c r="J250" s="180" t="str">
        <f ca="1"/>
        <v/>
      </c>
      <c r="K250" s="180" t="str">
        <f ca="1"/>
        <v/>
      </c>
      <c r="L250" s="180" t="str">
        <f ca="1"/>
        <v/>
      </c>
      <c r="M250" s="180" t="str">
        <f ca="1"/>
        <v/>
      </c>
      <c r="N250" s="180" t="str">
        <f ca="1"/>
        <v/>
      </c>
      <c r="O250" s="180" t="str">
        <f ca="1"/>
        <v/>
      </c>
      <c r="P250" s="180" t="str">
        <f ca="1"/>
        <v/>
      </c>
      <c r="Q250" s="180" t="str">
        <f ca="1"/>
        <v/>
      </c>
      <c r="R250" s="180" t="str">
        <f ca="1"/>
        <v/>
      </c>
      <c r="S250" s="180" t="str">
        <f ca="1"/>
        <v/>
      </c>
      <c r="T250" s="180" t="str">
        <f ca="1"/>
        <v/>
      </c>
      <c r="U250" s="180" t="str">
        <f ca="1"/>
        <v/>
      </c>
      <c r="V250" s="180" t="str">
        <f ca="1"/>
        <v/>
      </c>
      <c r="W250" s="180" t="str">
        <f ca="1"/>
        <v/>
      </c>
      <c r="X250" s="180" t="str">
        <f ca="1"/>
        <v/>
      </c>
      <c r="Y250" s="180" t="str">
        <f ca="1"/>
        <v/>
      </c>
      <c r="Z250" s="180" t="str">
        <f ca="1"/>
        <v/>
      </c>
      <c r="AA250" s="180" t="str">
        <f ca="1"/>
        <v/>
      </c>
      <c r="AB250" s="180" t="str">
        <f ca="1"/>
        <v/>
      </c>
      <c r="AC250" s="180" t="str">
        <f ca="1"/>
        <v/>
      </c>
      <c r="AD250" s="180" t="str">
        <f ca="1"/>
        <v/>
      </c>
      <c r="AE250" s="180" t="str">
        <f ca="1"/>
        <v/>
      </c>
      <c r="AF250" s="180" t="str">
        <f ca="1"/>
        <v/>
      </c>
      <c r="AG250" s="180" t="str">
        <f ca="1"/>
        <v/>
      </c>
      <c r="AH250" s="180" t="str">
        <f ca="1"/>
        <v/>
      </c>
      <c r="AI250" s="180" t="str">
        <f ca="1"/>
        <v/>
      </c>
      <c r="AJ250" s="180" t="str">
        <f ca="1"/>
        <v/>
      </c>
      <c r="AK250" s="180" t="str">
        <f ca="1"/>
        <v/>
      </c>
      <c r="AL250" s="180" t="str">
        <f ca="1"/>
        <v/>
      </c>
      <c r="AM250" s="180" t="str">
        <f ca="1"/>
        <v/>
      </c>
      <c r="AN250" s="180" t="str">
        <f ca="1"/>
        <v/>
      </c>
      <c r="AO250" s="180" t="str">
        <f ca="1"/>
        <v/>
      </c>
      <c r="AP250" s="180" t="str">
        <f ca="1"/>
        <v/>
      </c>
      <c r="AQ250" t="str">
        <f ca="1"/>
        <v/>
      </c>
    </row>
    <row r="251" spans="2:43" x14ac:dyDescent="0.25">
      <c r="B251" s="179" t="str">
        <f ca="1"/>
        <v/>
      </c>
      <c r="C251" s="180" t="str">
        <f ca="1"/>
        <v/>
      </c>
      <c r="D251" s="180" t="str">
        <f ca="1"/>
        <v/>
      </c>
      <c r="E251" s="180" t="str">
        <f ca="1"/>
        <v/>
      </c>
      <c r="F251" s="180" t="str">
        <f ca="1"/>
        <v/>
      </c>
      <c r="G251" s="180" t="str">
        <f ca="1"/>
        <v/>
      </c>
      <c r="H251" s="180" t="str">
        <f ca="1"/>
        <v/>
      </c>
      <c r="I251" s="180" t="str">
        <f ca="1"/>
        <v/>
      </c>
      <c r="J251" s="180" t="str">
        <f ca="1"/>
        <v/>
      </c>
      <c r="K251" s="180" t="str">
        <f ca="1"/>
        <v/>
      </c>
      <c r="L251" s="180" t="str">
        <f ca="1"/>
        <v/>
      </c>
      <c r="M251" s="180" t="str">
        <f ca="1"/>
        <v/>
      </c>
      <c r="N251" s="180" t="str">
        <f ca="1"/>
        <v/>
      </c>
      <c r="O251" s="180" t="str">
        <f ca="1"/>
        <v/>
      </c>
      <c r="P251" s="180" t="str">
        <f ca="1"/>
        <v/>
      </c>
      <c r="Q251" s="180" t="str">
        <f ca="1"/>
        <v/>
      </c>
      <c r="R251" s="180" t="str">
        <f ca="1"/>
        <v/>
      </c>
      <c r="S251" s="180" t="str">
        <f ca="1"/>
        <v/>
      </c>
      <c r="T251" s="180" t="str">
        <f ca="1"/>
        <v/>
      </c>
      <c r="U251" s="180" t="str">
        <f ca="1"/>
        <v/>
      </c>
      <c r="V251" s="180" t="str">
        <f ca="1"/>
        <v/>
      </c>
      <c r="W251" s="180" t="str">
        <f ca="1"/>
        <v/>
      </c>
      <c r="X251" s="180" t="str">
        <f ca="1"/>
        <v/>
      </c>
      <c r="Y251" s="180" t="str">
        <f ca="1"/>
        <v/>
      </c>
      <c r="Z251" s="180" t="str">
        <f ca="1"/>
        <v/>
      </c>
      <c r="AA251" s="180" t="str">
        <f ca="1"/>
        <v/>
      </c>
      <c r="AB251" s="180" t="str">
        <f ca="1"/>
        <v/>
      </c>
      <c r="AC251" s="180" t="str">
        <f ca="1"/>
        <v/>
      </c>
      <c r="AD251" s="180" t="str">
        <f ca="1"/>
        <v/>
      </c>
      <c r="AE251" s="180" t="str">
        <f ca="1"/>
        <v/>
      </c>
      <c r="AF251" s="180" t="str">
        <f ca="1"/>
        <v/>
      </c>
      <c r="AG251" s="180" t="str">
        <f ca="1"/>
        <v/>
      </c>
      <c r="AH251" s="180" t="str">
        <f ca="1"/>
        <v/>
      </c>
      <c r="AI251" s="180" t="str">
        <f ca="1"/>
        <v/>
      </c>
      <c r="AJ251" s="180" t="str">
        <f ca="1"/>
        <v/>
      </c>
      <c r="AK251" s="180" t="str">
        <f ca="1"/>
        <v/>
      </c>
      <c r="AL251" s="180" t="str">
        <f ca="1"/>
        <v/>
      </c>
      <c r="AM251" s="180" t="str">
        <f ca="1"/>
        <v/>
      </c>
      <c r="AN251" s="180" t="str">
        <f ca="1"/>
        <v/>
      </c>
      <c r="AO251" s="180" t="str">
        <f ca="1"/>
        <v/>
      </c>
      <c r="AP251" s="180" t="str">
        <f ca="1"/>
        <v/>
      </c>
      <c r="AQ251" t="str">
        <f ca="1"/>
        <v/>
      </c>
    </row>
    <row r="252" spans="2:43" x14ac:dyDescent="0.25">
      <c r="B252" s="179" t="str">
        <f ca="1"/>
        <v/>
      </c>
      <c r="C252" s="180" t="str">
        <f ca="1"/>
        <v/>
      </c>
      <c r="D252" s="180" t="str">
        <f ca="1"/>
        <v/>
      </c>
      <c r="E252" s="180" t="str">
        <f ca="1"/>
        <v/>
      </c>
      <c r="F252" s="180" t="str">
        <f ca="1"/>
        <v/>
      </c>
      <c r="G252" s="180" t="str">
        <f ca="1"/>
        <v/>
      </c>
      <c r="H252" s="180" t="str">
        <f ca="1"/>
        <v/>
      </c>
      <c r="I252" s="180" t="str">
        <f ca="1"/>
        <v/>
      </c>
      <c r="J252" s="180" t="str">
        <f ca="1"/>
        <v/>
      </c>
      <c r="K252" s="180" t="str">
        <f ca="1"/>
        <v/>
      </c>
      <c r="L252" s="180" t="str">
        <f ca="1"/>
        <v/>
      </c>
      <c r="M252" s="180" t="str">
        <f ca="1"/>
        <v/>
      </c>
      <c r="N252" s="180" t="str">
        <f ca="1"/>
        <v/>
      </c>
      <c r="O252" s="180" t="str">
        <f ca="1"/>
        <v/>
      </c>
      <c r="P252" s="180" t="str">
        <f ca="1"/>
        <v/>
      </c>
      <c r="Q252" s="180" t="str">
        <f ca="1"/>
        <v/>
      </c>
      <c r="R252" s="180" t="str">
        <f ca="1"/>
        <v/>
      </c>
      <c r="S252" s="180" t="str">
        <f ca="1"/>
        <v/>
      </c>
      <c r="T252" s="180" t="str">
        <f ca="1"/>
        <v/>
      </c>
      <c r="U252" s="180" t="str">
        <f ca="1"/>
        <v/>
      </c>
      <c r="V252" s="180" t="str">
        <f ca="1"/>
        <v/>
      </c>
      <c r="W252" s="180" t="str">
        <f ca="1"/>
        <v/>
      </c>
      <c r="X252" s="180" t="str">
        <f ca="1"/>
        <v/>
      </c>
      <c r="Y252" s="180" t="str">
        <f ca="1"/>
        <v/>
      </c>
      <c r="Z252" s="180" t="str">
        <f ca="1"/>
        <v/>
      </c>
      <c r="AA252" s="180" t="str">
        <f ca="1"/>
        <v/>
      </c>
      <c r="AB252" s="180" t="str">
        <f ca="1"/>
        <v/>
      </c>
      <c r="AC252" s="180" t="str">
        <f ca="1"/>
        <v/>
      </c>
      <c r="AD252" s="180" t="str">
        <f ca="1"/>
        <v/>
      </c>
      <c r="AE252" s="180" t="str">
        <f ca="1"/>
        <v/>
      </c>
      <c r="AF252" s="180" t="str">
        <f ca="1"/>
        <v/>
      </c>
      <c r="AG252" s="180" t="str">
        <f ca="1"/>
        <v/>
      </c>
      <c r="AH252" s="180" t="str">
        <f ca="1"/>
        <v/>
      </c>
      <c r="AI252" s="180" t="str">
        <f ca="1"/>
        <v/>
      </c>
      <c r="AJ252" s="180" t="str">
        <f ca="1"/>
        <v/>
      </c>
      <c r="AK252" s="180" t="str">
        <f ca="1"/>
        <v/>
      </c>
      <c r="AL252" s="180" t="str">
        <f ca="1"/>
        <v/>
      </c>
      <c r="AM252" s="180" t="str">
        <f ca="1"/>
        <v/>
      </c>
      <c r="AN252" s="180" t="str">
        <f ca="1"/>
        <v/>
      </c>
      <c r="AO252" s="180" t="str">
        <f ca="1"/>
        <v/>
      </c>
      <c r="AP252" s="180" t="str">
        <f ca="1"/>
        <v/>
      </c>
      <c r="AQ252" t="str">
        <f ca="1"/>
        <v/>
      </c>
    </row>
    <row r="253" spans="2:43" x14ac:dyDescent="0.25">
      <c r="B253" s="179" t="str">
        <f ca="1"/>
        <v/>
      </c>
      <c r="C253" s="180" t="str">
        <f ca="1"/>
        <v/>
      </c>
      <c r="D253" s="180" t="str">
        <f ca="1"/>
        <v/>
      </c>
      <c r="E253" s="180" t="str">
        <f ca="1"/>
        <v/>
      </c>
      <c r="F253" s="180" t="str">
        <f ca="1"/>
        <v/>
      </c>
      <c r="G253" s="180" t="str">
        <f ca="1"/>
        <v/>
      </c>
      <c r="H253" s="180" t="str">
        <f ca="1"/>
        <v/>
      </c>
      <c r="I253" s="180" t="str">
        <f ca="1"/>
        <v/>
      </c>
      <c r="J253" s="180" t="str">
        <f ca="1"/>
        <v/>
      </c>
      <c r="K253" s="180" t="str">
        <f ca="1"/>
        <v/>
      </c>
      <c r="L253" s="180" t="str">
        <f ca="1"/>
        <v/>
      </c>
      <c r="M253" s="180" t="str">
        <f ca="1"/>
        <v/>
      </c>
      <c r="N253" s="180" t="str">
        <f ca="1"/>
        <v/>
      </c>
      <c r="O253" s="180" t="str">
        <f ca="1"/>
        <v/>
      </c>
      <c r="P253" s="180" t="str">
        <f ca="1"/>
        <v/>
      </c>
      <c r="Q253" s="180" t="str">
        <f ca="1"/>
        <v/>
      </c>
      <c r="R253" s="180" t="str">
        <f ca="1"/>
        <v/>
      </c>
      <c r="S253" s="180" t="str">
        <f ca="1"/>
        <v/>
      </c>
      <c r="T253" s="180" t="str">
        <f ca="1"/>
        <v/>
      </c>
      <c r="U253" s="180" t="str">
        <f ca="1"/>
        <v/>
      </c>
      <c r="V253" s="180" t="str">
        <f ca="1"/>
        <v/>
      </c>
      <c r="W253" s="180" t="str">
        <f ca="1"/>
        <v/>
      </c>
      <c r="X253" s="180" t="str">
        <f ca="1"/>
        <v/>
      </c>
      <c r="Y253" s="180" t="str">
        <f ca="1"/>
        <v/>
      </c>
      <c r="Z253" s="180" t="str">
        <f ca="1"/>
        <v/>
      </c>
      <c r="AA253" s="180" t="str">
        <f ca="1"/>
        <v/>
      </c>
      <c r="AB253" s="180" t="str">
        <f ca="1"/>
        <v/>
      </c>
      <c r="AC253" s="180" t="str">
        <f ca="1"/>
        <v/>
      </c>
      <c r="AD253" s="180" t="str">
        <f ca="1"/>
        <v/>
      </c>
      <c r="AE253" s="180" t="str">
        <f ca="1"/>
        <v/>
      </c>
      <c r="AF253" s="180" t="str">
        <f ca="1"/>
        <v/>
      </c>
      <c r="AG253" s="180" t="str">
        <f ca="1"/>
        <v/>
      </c>
      <c r="AH253" s="180" t="str">
        <f ca="1"/>
        <v/>
      </c>
      <c r="AI253" s="180" t="str">
        <f ca="1"/>
        <v/>
      </c>
      <c r="AJ253" s="180" t="str">
        <f ca="1"/>
        <v/>
      </c>
      <c r="AK253" s="180" t="str">
        <f ca="1"/>
        <v/>
      </c>
      <c r="AL253" s="180" t="str">
        <f ca="1"/>
        <v/>
      </c>
      <c r="AM253" s="180" t="str">
        <f ca="1"/>
        <v/>
      </c>
      <c r="AN253" s="180" t="str">
        <f ca="1"/>
        <v/>
      </c>
      <c r="AO253" s="180" t="str">
        <f ca="1"/>
        <v/>
      </c>
      <c r="AP253" s="180" t="str">
        <f ca="1"/>
        <v/>
      </c>
      <c r="AQ253" t="str">
        <f ca="1"/>
        <v/>
      </c>
    </row>
    <row r="254" spans="2:43" x14ac:dyDescent="0.25">
      <c r="B254" s="179" t="str">
        <f ca="1"/>
        <v/>
      </c>
      <c r="C254" s="180" t="str">
        <f ca="1"/>
        <v/>
      </c>
      <c r="D254" s="180" t="str">
        <f ca="1"/>
        <v/>
      </c>
      <c r="E254" s="180" t="str">
        <f ca="1"/>
        <v/>
      </c>
      <c r="F254" s="180" t="str">
        <f ca="1"/>
        <v/>
      </c>
      <c r="G254" s="180" t="str">
        <f ca="1"/>
        <v/>
      </c>
      <c r="H254" s="180" t="str">
        <f ca="1"/>
        <v/>
      </c>
      <c r="I254" s="180" t="str">
        <f ca="1"/>
        <v/>
      </c>
      <c r="J254" s="180" t="str">
        <f ca="1"/>
        <v/>
      </c>
      <c r="K254" s="180" t="str">
        <f ca="1"/>
        <v/>
      </c>
      <c r="L254" s="180" t="str">
        <f ca="1"/>
        <v/>
      </c>
      <c r="M254" s="180" t="str">
        <f ca="1"/>
        <v/>
      </c>
      <c r="N254" s="180" t="str">
        <f ca="1"/>
        <v/>
      </c>
      <c r="O254" s="180" t="str">
        <f ca="1"/>
        <v/>
      </c>
      <c r="P254" s="180" t="str">
        <f ca="1"/>
        <v/>
      </c>
      <c r="Q254" s="180" t="str">
        <f ca="1"/>
        <v/>
      </c>
      <c r="R254" s="180" t="str">
        <f ca="1"/>
        <v/>
      </c>
      <c r="S254" s="180" t="str">
        <f ca="1"/>
        <v/>
      </c>
      <c r="T254" s="180" t="str">
        <f ca="1"/>
        <v/>
      </c>
      <c r="U254" s="180" t="str">
        <f ca="1"/>
        <v/>
      </c>
      <c r="V254" s="180" t="str">
        <f ca="1"/>
        <v/>
      </c>
      <c r="W254" s="180" t="str">
        <f ca="1"/>
        <v/>
      </c>
      <c r="X254" s="180" t="str">
        <f ca="1"/>
        <v/>
      </c>
      <c r="Y254" s="180" t="str">
        <f ca="1"/>
        <v/>
      </c>
      <c r="Z254" s="180" t="str">
        <f ca="1"/>
        <v/>
      </c>
      <c r="AA254" s="180" t="str">
        <f ca="1"/>
        <v/>
      </c>
      <c r="AB254" s="180" t="str">
        <f ca="1"/>
        <v/>
      </c>
      <c r="AC254" s="180" t="str">
        <f ca="1"/>
        <v/>
      </c>
      <c r="AD254" s="180" t="str">
        <f ca="1"/>
        <v/>
      </c>
      <c r="AE254" s="180" t="str">
        <f ca="1"/>
        <v/>
      </c>
      <c r="AF254" s="180" t="str">
        <f ca="1"/>
        <v/>
      </c>
      <c r="AG254" s="180" t="str">
        <f ca="1"/>
        <v/>
      </c>
      <c r="AH254" s="180" t="str">
        <f ca="1"/>
        <v/>
      </c>
      <c r="AI254" s="180" t="str">
        <f ca="1"/>
        <v/>
      </c>
      <c r="AJ254" s="180" t="str">
        <f ca="1"/>
        <v/>
      </c>
      <c r="AK254" s="180" t="str">
        <f ca="1"/>
        <v/>
      </c>
      <c r="AL254" s="180" t="str">
        <f ca="1"/>
        <v/>
      </c>
      <c r="AM254" s="180" t="str">
        <f ca="1"/>
        <v/>
      </c>
      <c r="AN254" s="180" t="str">
        <f ca="1"/>
        <v/>
      </c>
      <c r="AO254" s="180" t="str">
        <f ca="1"/>
        <v/>
      </c>
      <c r="AP254" s="180" t="str">
        <f ca="1"/>
        <v/>
      </c>
      <c r="AQ254" t="str">
        <f ca="1"/>
        <v/>
      </c>
    </row>
    <row r="255" spans="2:43" x14ac:dyDescent="0.25">
      <c r="B255" s="179" t="str">
        <f ca="1"/>
        <v/>
      </c>
      <c r="C255" s="180" t="str">
        <f ca="1"/>
        <v/>
      </c>
      <c r="D255" s="180" t="str">
        <f ca="1"/>
        <v/>
      </c>
      <c r="E255" s="180" t="str">
        <f ca="1"/>
        <v/>
      </c>
      <c r="F255" s="180" t="str">
        <f ca="1"/>
        <v/>
      </c>
      <c r="G255" s="180" t="str">
        <f ca="1"/>
        <v/>
      </c>
      <c r="H255" s="180" t="str">
        <f ca="1"/>
        <v/>
      </c>
      <c r="I255" s="180" t="str">
        <f ca="1"/>
        <v/>
      </c>
      <c r="J255" s="180" t="str">
        <f ca="1"/>
        <v/>
      </c>
      <c r="K255" s="180" t="str">
        <f ca="1"/>
        <v/>
      </c>
      <c r="L255" s="180" t="str">
        <f ca="1"/>
        <v/>
      </c>
      <c r="M255" s="180" t="str">
        <f ca="1"/>
        <v/>
      </c>
      <c r="N255" s="180" t="str">
        <f ca="1"/>
        <v/>
      </c>
      <c r="O255" s="180" t="str">
        <f ca="1"/>
        <v/>
      </c>
      <c r="P255" s="180" t="str">
        <f ca="1"/>
        <v/>
      </c>
      <c r="Q255" s="180" t="str">
        <f ca="1"/>
        <v/>
      </c>
      <c r="R255" s="180" t="str">
        <f ca="1"/>
        <v/>
      </c>
      <c r="S255" s="180" t="str">
        <f ca="1"/>
        <v/>
      </c>
      <c r="T255" s="180" t="str">
        <f ca="1"/>
        <v/>
      </c>
      <c r="U255" s="180" t="str">
        <f ca="1"/>
        <v/>
      </c>
      <c r="V255" s="180" t="str">
        <f ca="1"/>
        <v/>
      </c>
      <c r="W255" s="180" t="str">
        <f ca="1"/>
        <v/>
      </c>
      <c r="X255" s="180" t="str">
        <f ca="1"/>
        <v/>
      </c>
      <c r="Y255" s="180" t="str">
        <f ca="1"/>
        <v/>
      </c>
      <c r="Z255" s="180" t="str">
        <f ca="1"/>
        <v/>
      </c>
      <c r="AA255" s="180" t="str">
        <f ca="1"/>
        <v/>
      </c>
      <c r="AB255" s="180" t="str">
        <f ca="1"/>
        <v/>
      </c>
      <c r="AC255" s="180" t="str">
        <f ca="1"/>
        <v/>
      </c>
      <c r="AD255" s="180" t="str">
        <f ca="1"/>
        <v/>
      </c>
      <c r="AE255" s="180" t="str">
        <f ca="1"/>
        <v/>
      </c>
      <c r="AF255" s="180" t="str">
        <f ca="1"/>
        <v/>
      </c>
      <c r="AG255" s="180" t="str">
        <f ca="1"/>
        <v/>
      </c>
      <c r="AH255" s="180" t="str">
        <f ca="1"/>
        <v/>
      </c>
      <c r="AI255" s="180" t="str">
        <f ca="1"/>
        <v/>
      </c>
      <c r="AJ255" s="180" t="str">
        <f ca="1"/>
        <v/>
      </c>
      <c r="AK255" s="180" t="str">
        <f ca="1"/>
        <v/>
      </c>
      <c r="AL255" s="180" t="str">
        <f ca="1"/>
        <v/>
      </c>
      <c r="AM255" s="180" t="str">
        <f ca="1"/>
        <v/>
      </c>
      <c r="AN255" s="180" t="str">
        <f ca="1"/>
        <v/>
      </c>
      <c r="AO255" s="180" t="str">
        <f ca="1"/>
        <v/>
      </c>
      <c r="AP255" s="180" t="str">
        <f ca="1"/>
        <v/>
      </c>
      <c r="AQ255" t="str">
        <f ca="1"/>
        <v/>
      </c>
    </row>
    <row r="256" spans="2:43" x14ac:dyDescent="0.25">
      <c r="B256" s="179" t="str">
        <f ca="1"/>
        <v/>
      </c>
      <c r="C256" s="180" t="str">
        <f ca="1"/>
        <v/>
      </c>
      <c r="D256" s="180" t="str">
        <f ca="1"/>
        <v/>
      </c>
      <c r="E256" s="180" t="str">
        <f ca="1"/>
        <v/>
      </c>
      <c r="F256" s="180" t="str">
        <f ca="1"/>
        <v/>
      </c>
      <c r="G256" s="180" t="str">
        <f ca="1"/>
        <v/>
      </c>
      <c r="H256" s="180" t="str">
        <f ca="1"/>
        <v/>
      </c>
      <c r="I256" s="180" t="str">
        <f ca="1"/>
        <v/>
      </c>
      <c r="J256" s="180" t="str">
        <f ca="1"/>
        <v/>
      </c>
      <c r="K256" s="180" t="str">
        <f ca="1"/>
        <v/>
      </c>
      <c r="L256" s="180" t="str">
        <f ca="1"/>
        <v/>
      </c>
      <c r="M256" s="180" t="str">
        <f ca="1"/>
        <v/>
      </c>
      <c r="N256" s="180" t="str">
        <f ca="1"/>
        <v/>
      </c>
      <c r="O256" s="180" t="str">
        <f ca="1"/>
        <v/>
      </c>
      <c r="P256" s="180" t="str">
        <f ca="1"/>
        <v/>
      </c>
      <c r="Q256" s="180" t="str">
        <f ca="1"/>
        <v/>
      </c>
      <c r="R256" s="180" t="str">
        <f ca="1"/>
        <v/>
      </c>
      <c r="S256" s="180" t="str">
        <f ca="1"/>
        <v/>
      </c>
      <c r="T256" s="180" t="str">
        <f ca="1"/>
        <v/>
      </c>
      <c r="U256" s="180" t="str">
        <f ca="1"/>
        <v/>
      </c>
      <c r="V256" s="180" t="str">
        <f ca="1"/>
        <v/>
      </c>
      <c r="W256" s="180" t="str">
        <f ca="1"/>
        <v/>
      </c>
      <c r="X256" s="180" t="str">
        <f ca="1"/>
        <v/>
      </c>
      <c r="Y256" s="180" t="str">
        <f ca="1"/>
        <v/>
      </c>
      <c r="Z256" s="180" t="str">
        <f ca="1"/>
        <v/>
      </c>
      <c r="AA256" s="180" t="str">
        <f ca="1"/>
        <v/>
      </c>
      <c r="AB256" s="180" t="str">
        <f ca="1"/>
        <v/>
      </c>
      <c r="AC256" s="180" t="str">
        <f ca="1"/>
        <v/>
      </c>
      <c r="AD256" s="180" t="str">
        <f ca="1"/>
        <v/>
      </c>
      <c r="AE256" s="180" t="str">
        <f ca="1"/>
        <v/>
      </c>
      <c r="AF256" s="180" t="str">
        <f ca="1"/>
        <v/>
      </c>
      <c r="AG256" s="180" t="str">
        <f ca="1"/>
        <v/>
      </c>
      <c r="AH256" s="180" t="str">
        <f ca="1"/>
        <v/>
      </c>
      <c r="AI256" s="180" t="str">
        <f ca="1"/>
        <v/>
      </c>
      <c r="AJ256" s="180" t="str">
        <f ca="1"/>
        <v/>
      </c>
      <c r="AK256" s="180" t="str">
        <f ca="1"/>
        <v/>
      </c>
      <c r="AL256" s="180" t="str">
        <f ca="1"/>
        <v/>
      </c>
      <c r="AM256" s="180" t="str">
        <f ca="1"/>
        <v/>
      </c>
      <c r="AN256" s="180" t="str">
        <f ca="1"/>
        <v/>
      </c>
      <c r="AO256" s="180" t="str">
        <f ca="1"/>
        <v/>
      </c>
      <c r="AP256" s="180" t="str">
        <f ca="1"/>
        <v/>
      </c>
      <c r="AQ256" t="str">
        <f ca="1"/>
        <v/>
      </c>
    </row>
    <row r="257" spans="2:43" x14ac:dyDescent="0.25">
      <c r="B257" s="179" t="str">
        <f ca="1"/>
        <v/>
      </c>
      <c r="C257" s="180" t="str">
        <f ca="1"/>
        <v/>
      </c>
      <c r="D257" s="180" t="str">
        <f ca="1"/>
        <v/>
      </c>
      <c r="E257" s="180" t="str">
        <f ca="1"/>
        <v/>
      </c>
      <c r="F257" s="180" t="str">
        <f ca="1"/>
        <v/>
      </c>
      <c r="G257" s="180" t="str">
        <f ca="1"/>
        <v/>
      </c>
      <c r="H257" s="180" t="str">
        <f ca="1"/>
        <v/>
      </c>
      <c r="I257" s="180" t="str">
        <f ca="1"/>
        <v/>
      </c>
      <c r="J257" s="180" t="str">
        <f ca="1"/>
        <v/>
      </c>
      <c r="K257" s="180" t="str">
        <f ca="1"/>
        <v/>
      </c>
      <c r="L257" s="180" t="str">
        <f ca="1"/>
        <v/>
      </c>
      <c r="M257" s="180" t="str">
        <f ca="1"/>
        <v/>
      </c>
      <c r="N257" s="180" t="str">
        <f ca="1"/>
        <v/>
      </c>
      <c r="O257" s="180" t="str">
        <f ca="1"/>
        <v/>
      </c>
      <c r="P257" s="180" t="str">
        <f ca="1"/>
        <v/>
      </c>
      <c r="Q257" s="180" t="str">
        <f ca="1"/>
        <v/>
      </c>
      <c r="R257" s="180" t="str">
        <f ca="1"/>
        <v/>
      </c>
      <c r="S257" s="180" t="str">
        <f ca="1"/>
        <v/>
      </c>
      <c r="T257" s="180" t="str">
        <f ca="1"/>
        <v/>
      </c>
      <c r="U257" s="180" t="str">
        <f ca="1"/>
        <v/>
      </c>
      <c r="V257" s="180" t="str">
        <f ca="1"/>
        <v/>
      </c>
      <c r="W257" s="180" t="str">
        <f ca="1"/>
        <v/>
      </c>
      <c r="X257" s="180" t="str">
        <f ca="1"/>
        <v/>
      </c>
      <c r="Y257" s="180" t="str">
        <f ca="1"/>
        <v/>
      </c>
      <c r="Z257" s="180" t="str">
        <f ca="1"/>
        <v/>
      </c>
      <c r="AA257" s="180" t="str">
        <f ca="1"/>
        <v/>
      </c>
      <c r="AB257" s="180" t="str">
        <f ca="1"/>
        <v/>
      </c>
      <c r="AC257" s="180" t="str">
        <f ca="1"/>
        <v/>
      </c>
      <c r="AD257" s="180" t="str">
        <f ca="1"/>
        <v/>
      </c>
      <c r="AE257" s="180" t="str">
        <f ca="1"/>
        <v/>
      </c>
      <c r="AF257" s="180" t="str">
        <f ca="1"/>
        <v/>
      </c>
      <c r="AG257" s="180" t="str">
        <f ca="1"/>
        <v/>
      </c>
      <c r="AH257" s="180" t="str">
        <f ca="1"/>
        <v/>
      </c>
      <c r="AI257" s="180" t="str">
        <f ca="1"/>
        <v/>
      </c>
      <c r="AJ257" s="180" t="str">
        <f ca="1"/>
        <v/>
      </c>
      <c r="AK257" s="180" t="str">
        <f ca="1"/>
        <v/>
      </c>
      <c r="AL257" s="180" t="str">
        <f ca="1"/>
        <v/>
      </c>
      <c r="AM257" s="180" t="str">
        <f ca="1"/>
        <v/>
      </c>
      <c r="AN257" s="180" t="str">
        <f ca="1"/>
        <v/>
      </c>
      <c r="AO257" s="180" t="str">
        <f ca="1"/>
        <v/>
      </c>
      <c r="AP257" s="180" t="str">
        <f ca="1"/>
        <v/>
      </c>
      <c r="AQ257" t="str">
        <f ca="1"/>
        <v/>
      </c>
    </row>
    <row r="258" spans="2:43" x14ac:dyDescent="0.25">
      <c r="B258" s="179" t="str">
        <f ca="1"/>
        <v/>
      </c>
      <c r="C258" s="180" t="str">
        <f ca="1"/>
        <v/>
      </c>
      <c r="D258" s="180" t="str">
        <f ca="1"/>
        <v/>
      </c>
      <c r="E258" s="180" t="str">
        <f ca="1"/>
        <v/>
      </c>
      <c r="F258" s="180" t="str">
        <f ca="1"/>
        <v/>
      </c>
      <c r="G258" s="180" t="str">
        <f ca="1"/>
        <v/>
      </c>
      <c r="H258" s="180" t="str">
        <f ca="1"/>
        <v/>
      </c>
      <c r="I258" s="180" t="str">
        <f ca="1"/>
        <v/>
      </c>
      <c r="J258" s="180" t="str">
        <f ca="1"/>
        <v/>
      </c>
      <c r="K258" s="180" t="str">
        <f ca="1"/>
        <v/>
      </c>
      <c r="L258" s="180" t="str">
        <f ca="1"/>
        <v/>
      </c>
      <c r="M258" s="180" t="str">
        <f ca="1"/>
        <v/>
      </c>
      <c r="N258" s="180" t="str">
        <f ca="1"/>
        <v/>
      </c>
      <c r="O258" s="180" t="str">
        <f ca="1"/>
        <v/>
      </c>
      <c r="P258" s="180" t="str">
        <f ca="1"/>
        <v/>
      </c>
      <c r="Q258" s="180" t="str">
        <f ca="1"/>
        <v/>
      </c>
      <c r="R258" s="180" t="str">
        <f ca="1"/>
        <v/>
      </c>
      <c r="S258" s="180" t="str">
        <f ca="1"/>
        <v/>
      </c>
      <c r="T258" s="180" t="str">
        <f ca="1"/>
        <v/>
      </c>
      <c r="U258" s="180" t="str">
        <f ca="1"/>
        <v/>
      </c>
      <c r="V258" s="180" t="str">
        <f ca="1"/>
        <v/>
      </c>
      <c r="W258" s="180" t="str">
        <f ca="1"/>
        <v/>
      </c>
      <c r="X258" s="180" t="str">
        <f ca="1"/>
        <v/>
      </c>
      <c r="Y258" s="180" t="str">
        <f ca="1"/>
        <v/>
      </c>
      <c r="Z258" s="180" t="str">
        <f ca="1"/>
        <v/>
      </c>
      <c r="AA258" s="180" t="str">
        <f ca="1"/>
        <v/>
      </c>
      <c r="AB258" s="180" t="str">
        <f ca="1"/>
        <v/>
      </c>
      <c r="AC258" s="180" t="str">
        <f ca="1"/>
        <v/>
      </c>
      <c r="AD258" s="180" t="str">
        <f ca="1"/>
        <v/>
      </c>
      <c r="AE258" s="180" t="str">
        <f ca="1"/>
        <v/>
      </c>
      <c r="AF258" s="180" t="str">
        <f ca="1"/>
        <v/>
      </c>
      <c r="AG258" s="180" t="str">
        <f ca="1"/>
        <v/>
      </c>
      <c r="AH258" s="180" t="str">
        <f ca="1"/>
        <v/>
      </c>
      <c r="AI258" s="180" t="str">
        <f ca="1"/>
        <v/>
      </c>
      <c r="AJ258" s="180" t="str">
        <f ca="1"/>
        <v/>
      </c>
      <c r="AK258" s="180" t="str">
        <f ca="1"/>
        <v/>
      </c>
      <c r="AL258" s="180" t="str">
        <f ca="1"/>
        <v/>
      </c>
      <c r="AM258" s="180" t="str">
        <f ca="1"/>
        <v/>
      </c>
      <c r="AN258" s="180" t="str">
        <f ca="1"/>
        <v/>
      </c>
      <c r="AO258" s="180" t="str">
        <f ca="1"/>
        <v/>
      </c>
      <c r="AP258" s="180" t="str">
        <f ca="1"/>
        <v/>
      </c>
      <c r="AQ258" t="str">
        <f ca="1"/>
        <v/>
      </c>
    </row>
    <row r="259" spans="2:43" x14ac:dyDescent="0.25">
      <c r="B259" s="179" t="str">
        <f ca="1"/>
        <v/>
      </c>
      <c r="C259" s="180" t="str">
        <f ca="1"/>
        <v/>
      </c>
      <c r="D259" s="180" t="str">
        <f ca="1"/>
        <v/>
      </c>
      <c r="E259" s="180" t="str">
        <f ca="1"/>
        <v/>
      </c>
      <c r="F259" s="180" t="str">
        <f ca="1"/>
        <v/>
      </c>
      <c r="G259" s="180" t="str">
        <f ca="1"/>
        <v/>
      </c>
      <c r="H259" s="180" t="str">
        <f ca="1"/>
        <v/>
      </c>
      <c r="I259" s="180" t="str">
        <f ca="1"/>
        <v/>
      </c>
      <c r="J259" s="180" t="str">
        <f ca="1"/>
        <v/>
      </c>
      <c r="K259" s="180" t="str">
        <f ca="1"/>
        <v/>
      </c>
      <c r="L259" s="180" t="str">
        <f ca="1"/>
        <v/>
      </c>
      <c r="M259" s="180" t="str">
        <f ca="1"/>
        <v/>
      </c>
      <c r="N259" s="180" t="str">
        <f ca="1"/>
        <v/>
      </c>
      <c r="O259" s="180" t="str">
        <f ca="1"/>
        <v/>
      </c>
      <c r="P259" s="180" t="str">
        <f ca="1"/>
        <v/>
      </c>
      <c r="Q259" s="180" t="str">
        <f ca="1"/>
        <v/>
      </c>
      <c r="R259" s="180" t="str">
        <f ca="1"/>
        <v/>
      </c>
      <c r="S259" s="180" t="str">
        <f ca="1"/>
        <v/>
      </c>
      <c r="T259" s="180" t="str">
        <f ca="1"/>
        <v/>
      </c>
      <c r="U259" s="180" t="str">
        <f ca="1"/>
        <v/>
      </c>
      <c r="V259" s="180" t="str">
        <f ca="1"/>
        <v/>
      </c>
      <c r="W259" s="180" t="str">
        <f ca="1"/>
        <v/>
      </c>
      <c r="X259" s="180" t="str">
        <f ca="1"/>
        <v/>
      </c>
      <c r="Y259" s="180" t="str">
        <f ca="1"/>
        <v/>
      </c>
      <c r="Z259" s="180" t="str">
        <f ca="1"/>
        <v/>
      </c>
      <c r="AA259" s="180" t="str">
        <f ca="1"/>
        <v/>
      </c>
      <c r="AB259" s="180" t="str">
        <f ca="1"/>
        <v/>
      </c>
      <c r="AC259" s="180" t="str">
        <f ca="1"/>
        <v/>
      </c>
      <c r="AD259" s="180" t="str">
        <f ca="1"/>
        <v/>
      </c>
      <c r="AE259" s="180" t="str">
        <f ca="1"/>
        <v/>
      </c>
      <c r="AF259" s="180" t="str">
        <f ca="1"/>
        <v/>
      </c>
      <c r="AG259" s="180" t="str">
        <f ca="1"/>
        <v/>
      </c>
      <c r="AH259" s="180" t="str">
        <f ca="1"/>
        <v/>
      </c>
      <c r="AI259" s="180" t="str">
        <f ca="1"/>
        <v/>
      </c>
      <c r="AJ259" s="180" t="str">
        <f ca="1"/>
        <v/>
      </c>
      <c r="AK259" s="180" t="str">
        <f ca="1"/>
        <v/>
      </c>
      <c r="AL259" s="180" t="str">
        <f ca="1"/>
        <v/>
      </c>
      <c r="AM259" s="180" t="str">
        <f ca="1"/>
        <v/>
      </c>
      <c r="AN259" s="180" t="str">
        <f ca="1"/>
        <v/>
      </c>
      <c r="AO259" s="180" t="str">
        <f ca="1"/>
        <v/>
      </c>
      <c r="AP259" s="180" t="str">
        <f ca="1"/>
        <v/>
      </c>
      <c r="AQ259" t="str">
        <f ca="1"/>
        <v/>
      </c>
    </row>
    <row r="260" spans="2:43" x14ac:dyDescent="0.25">
      <c r="B260" s="179" t="str">
        <f ca="1"/>
        <v/>
      </c>
      <c r="C260" s="180" t="str">
        <f ca="1"/>
        <v/>
      </c>
      <c r="D260" s="180" t="str">
        <f ca="1"/>
        <v/>
      </c>
      <c r="E260" s="180" t="str">
        <f ca="1"/>
        <v/>
      </c>
      <c r="F260" s="180" t="str">
        <f ca="1"/>
        <v/>
      </c>
      <c r="G260" s="180" t="str">
        <f ca="1"/>
        <v/>
      </c>
      <c r="H260" s="180" t="str">
        <f ca="1"/>
        <v/>
      </c>
      <c r="I260" s="180" t="str">
        <f ca="1"/>
        <v/>
      </c>
      <c r="J260" s="180" t="str">
        <f ca="1"/>
        <v/>
      </c>
      <c r="K260" s="180" t="str">
        <f ca="1"/>
        <v/>
      </c>
      <c r="L260" s="180" t="str">
        <f ca="1"/>
        <v/>
      </c>
      <c r="M260" s="180" t="str">
        <f ca="1"/>
        <v/>
      </c>
      <c r="N260" s="180" t="str">
        <f ca="1"/>
        <v/>
      </c>
      <c r="O260" s="180" t="str">
        <f ca="1"/>
        <v/>
      </c>
      <c r="P260" s="180" t="str">
        <f ca="1"/>
        <v/>
      </c>
      <c r="Q260" s="180" t="str">
        <f ca="1"/>
        <v/>
      </c>
      <c r="R260" s="180" t="str">
        <f ca="1"/>
        <v/>
      </c>
      <c r="S260" s="180" t="str">
        <f ca="1"/>
        <v/>
      </c>
      <c r="T260" s="180" t="str">
        <f ca="1"/>
        <v/>
      </c>
      <c r="U260" s="180" t="str">
        <f ca="1"/>
        <v/>
      </c>
      <c r="V260" s="180" t="str">
        <f ca="1"/>
        <v/>
      </c>
      <c r="W260" s="180" t="str">
        <f ca="1"/>
        <v/>
      </c>
      <c r="X260" s="180" t="str">
        <f ca="1"/>
        <v/>
      </c>
      <c r="Y260" s="180" t="str">
        <f ca="1"/>
        <v/>
      </c>
      <c r="Z260" s="180" t="str">
        <f ca="1"/>
        <v/>
      </c>
      <c r="AA260" s="180" t="str">
        <f ca="1"/>
        <v/>
      </c>
      <c r="AB260" s="180" t="str">
        <f ca="1"/>
        <v/>
      </c>
      <c r="AC260" s="180" t="str">
        <f ca="1"/>
        <v/>
      </c>
      <c r="AD260" s="180" t="str">
        <f ca="1"/>
        <v/>
      </c>
      <c r="AE260" s="180" t="str">
        <f ca="1"/>
        <v/>
      </c>
      <c r="AF260" s="180" t="str">
        <f ca="1"/>
        <v/>
      </c>
      <c r="AG260" s="180" t="str">
        <f ca="1"/>
        <v/>
      </c>
      <c r="AH260" s="180" t="str">
        <f ca="1"/>
        <v/>
      </c>
      <c r="AI260" s="180" t="str">
        <f ca="1"/>
        <v/>
      </c>
      <c r="AJ260" s="180" t="str">
        <f ca="1"/>
        <v/>
      </c>
      <c r="AK260" s="180" t="str">
        <f ca="1"/>
        <v/>
      </c>
      <c r="AL260" s="180" t="str">
        <f ca="1"/>
        <v/>
      </c>
      <c r="AM260" s="180" t="str">
        <f ca="1"/>
        <v/>
      </c>
      <c r="AN260" s="180" t="str">
        <f ca="1"/>
        <v/>
      </c>
      <c r="AO260" s="180" t="str">
        <f ca="1"/>
        <v/>
      </c>
      <c r="AP260" s="180" t="str">
        <f ca="1"/>
        <v/>
      </c>
      <c r="AQ260" t="str">
        <f ca="1"/>
        <v/>
      </c>
    </row>
    <row r="261" spans="2:43" x14ac:dyDescent="0.25">
      <c r="B261" s="179" t="str">
        <f ca="1"/>
        <v/>
      </c>
      <c r="C261" s="180" t="str">
        <f ca="1"/>
        <v/>
      </c>
      <c r="D261" s="180" t="str">
        <f ca="1"/>
        <v/>
      </c>
      <c r="E261" s="180" t="str">
        <f ca="1"/>
        <v/>
      </c>
      <c r="F261" s="180" t="str">
        <f ca="1"/>
        <v/>
      </c>
      <c r="G261" s="180" t="str">
        <f ca="1"/>
        <v/>
      </c>
      <c r="H261" s="180" t="str">
        <f ca="1"/>
        <v/>
      </c>
      <c r="I261" s="180" t="str">
        <f ca="1"/>
        <v/>
      </c>
      <c r="J261" s="180" t="str">
        <f ca="1"/>
        <v/>
      </c>
      <c r="K261" s="180" t="str">
        <f ca="1"/>
        <v/>
      </c>
      <c r="L261" s="180" t="str">
        <f ca="1"/>
        <v/>
      </c>
      <c r="M261" s="180" t="str">
        <f ca="1"/>
        <v/>
      </c>
      <c r="N261" s="180" t="str">
        <f ca="1"/>
        <v/>
      </c>
      <c r="O261" s="180" t="str">
        <f ca="1"/>
        <v/>
      </c>
      <c r="P261" s="180" t="str">
        <f ca="1"/>
        <v/>
      </c>
      <c r="Q261" s="180" t="str">
        <f ca="1"/>
        <v/>
      </c>
      <c r="R261" s="180" t="str">
        <f ca="1"/>
        <v/>
      </c>
      <c r="S261" s="180" t="str">
        <f ca="1"/>
        <v/>
      </c>
      <c r="T261" s="180" t="str">
        <f ca="1"/>
        <v/>
      </c>
      <c r="U261" s="180" t="str">
        <f ca="1"/>
        <v/>
      </c>
      <c r="V261" s="180" t="str">
        <f ca="1"/>
        <v/>
      </c>
      <c r="W261" s="180" t="str">
        <f ca="1"/>
        <v/>
      </c>
      <c r="X261" s="180" t="str">
        <f ca="1"/>
        <v/>
      </c>
      <c r="Y261" s="180" t="str">
        <f ca="1"/>
        <v/>
      </c>
      <c r="Z261" s="180" t="str">
        <f ca="1"/>
        <v/>
      </c>
      <c r="AA261" s="180" t="str">
        <f ca="1"/>
        <v/>
      </c>
      <c r="AB261" s="180" t="str">
        <f ca="1"/>
        <v/>
      </c>
      <c r="AC261" s="180" t="str">
        <f ca="1"/>
        <v/>
      </c>
      <c r="AD261" s="180" t="str">
        <f ca="1"/>
        <v/>
      </c>
      <c r="AE261" s="180" t="str">
        <f ca="1"/>
        <v/>
      </c>
      <c r="AF261" s="180" t="str">
        <f ca="1"/>
        <v/>
      </c>
      <c r="AG261" s="180" t="str">
        <f ca="1"/>
        <v/>
      </c>
      <c r="AH261" s="180" t="str">
        <f ca="1"/>
        <v/>
      </c>
      <c r="AI261" s="180" t="str">
        <f ca="1"/>
        <v/>
      </c>
      <c r="AJ261" s="180" t="str">
        <f ca="1"/>
        <v/>
      </c>
      <c r="AK261" s="180" t="str">
        <f ca="1"/>
        <v/>
      </c>
      <c r="AL261" s="180" t="str">
        <f ca="1"/>
        <v/>
      </c>
      <c r="AM261" s="180" t="str">
        <f ca="1"/>
        <v/>
      </c>
      <c r="AN261" s="180" t="str">
        <f ca="1"/>
        <v/>
      </c>
      <c r="AO261" s="180" t="str">
        <f ca="1"/>
        <v/>
      </c>
      <c r="AP261" s="180" t="str">
        <f ca="1"/>
        <v/>
      </c>
      <c r="AQ261" t="str">
        <f ca="1"/>
        <v/>
      </c>
    </row>
    <row r="262" spans="2:43" x14ac:dyDescent="0.25">
      <c r="B262" s="179" t="str">
        <f ca="1"/>
        <v/>
      </c>
      <c r="C262" s="180" t="str">
        <f ca="1"/>
        <v/>
      </c>
      <c r="D262" s="180" t="str">
        <f ca="1"/>
        <v/>
      </c>
      <c r="E262" s="180" t="str">
        <f ca="1"/>
        <v/>
      </c>
      <c r="F262" s="180" t="str">
        <f ca="1"/>
        <v/>
      </c>
      <c r="G262" s="180" t="str">
        <f ca="1"/>
        <v/>
      </c>
      <c r="H262" s="180" t="str">
        <f ca="1"/>
        <v/>
      </c>
      <c r="I262" s="180" t="str">
        <f ca="1"/>
        <v/>
      </c>
      <c r="J262" s="180" t="str">
        <f ca="1"/>
        <v/>
      </c>
      <c r="K262" s="180" t="str">
        <f ca="1"/>
        <v/>
      </c>
      <c r="L262" s="180" t="str">
        <f ca="1"/>
        <v/>
      </c>
      <c r="M262" s="180" t="str">
        <f ca="1"/>
        <v/>
      </c>
      <c r="N262" s="180" t="str">
        <f ca="1"/>
        <v/>
      </c>
      <c r="O262" s="180" t="str">
        <f ca="1"/>
        <v/>
      </c>
      <c r="P262" s="180" t="str">
        <f ca="1"/>
        <v/>
      </c>
      <c r="Q262" s="180" t="str">
        <f ca="1"/>
        <v/>
      </c>
      <c r="R262" s="180" t="str">
        <f ca="1"/>
        <v/>
      </c>
      <c r="S262" s="180" t="str">
        <f ca="1"/>
        <v/>
      </c>
      <c r="T262" s="180" t="str">
        <f ca="1"/>
        <v/>
      </c>
      <c r="U262" s="180" t="str">
        <f ca="1"/>
        <v/>
      </c>
      <c r="V262" s="180" t="str">
        <f ca="1"/>
        <v/>
      </c>
      <c r="W262" s="180" t="str">
        <f ca="1"/>
        <v/>
      </c>
      <c r="X262" s="180" t="str">
        <f ca="1"/>
        <v/>
      </c>
      <c r="Y262" s="180" t="str">
        <f ca="1"/>
        <v/>
      </c>
      <c r="Z262" s="180" t="str">
        <f ca="1"/>
        <v/>
      </c>
      <c r="AA262" s="180" t="str">
        <f ca="1"/>
        <v/>
      </c>
      <c r="AB262" s="180" t="str">
        <f ca="1"/>
        <v/>
      </c>
      <c r="AC262" s="180" t="str">
        <f ca="1"/>
        <v/>
      </c>
      <c r="AD262" s="180" t="str">
        <f ca="1"/>
        <v/>
      </c>
      <c r="AE262" s="180" t="str">
        <f ca="1"/>
        <v/>
      </c>
      <c r="AF262" s="180" t="str">
        <f ca="1"/>
        <v/>
      </c>
      <c r="AG262" s="180" t="str">
        <f ca="1"/>
        <v/>
      </c>
      <c r="AH262" s="180" t="str">
        <f ca="1"/>
        <v/>
      </c>
      <c r="AI262" s="180" t="str">
        <f ca="1"/>
        <v/>
      </c>
      <c r="AJ262" s="180" t="str">
        <f ca="1"/>
        <v/>
      </c>
      <c r="AK262" s="180" t="str">
        <f ca="1"/>
        <v/>
      </c>
      <c r="AL262" s="180" t="str">
        <f ca="1"/>
        <v/>
      </c>
      <c r="AM262" s="180" t="str">
        <f ca="1"/>
        <v/>
      </c>
      <c r="AN262" s="180" t="str">
        <f ca="1"/>
        <v/>
      </c>
      <c r="AO262" s="180" t="str">
        <f ca="1"/>
        <v/>
      </c>
      <c r="AP262" s="180" t="str">
        <f ca="1"/>
        <v/>
      </c>
      <c r="AQ262" t="str">
        <f ca="1"/>
        <v/>
      </c>
    </row>
    <row r="263" spans="2:43" x14ac:dyDescent="0.25">
      <c r="B263" s="179" t="str">
        <f ca="1"/>
        <v/>
      </c>
      <c r="C263" s="180" t="str">
        <f ca="1"/>
        <v/>
      </c>
      <c r="D263" s="180" t="str">
        <f ca="1"/>
        <v/>
      </c>
      <c r="E263" s="180" t="str">
        <f ca="1"/>
        <v/>
      </c>
      <c r="F263" s="180" t="str">
        <f ca="1"/>
        <v/>
      </c>
      <c r="G263" s="180" t="str">
        <f ca="1"/>
        <v/>
      </c>
      <c r="H263" s="180" t="str">
        <f ca="1"/>
        <v/>
      </c>
      <c r="I263" s="180" t="str">
        <f ca="1"/>
        <v/>
      </c>
      <c r="J263" s="180" t="str">
        <f ca="1"/>
        <v/>
      </c>
      <c r="K263" s="180" t="str">
        <f ca="1"/>
        <v/>
      </c>
      <c r="L263" s="180" t="str">
        <f ca="1"/>
        <v/>
      </c>
      <c r="M263" s="180" t="str">
        <f ca="1"/>
        <v/>
      </c>
      <c r="N263" s="180" t="str">
        <f ca="1"/>
        <v/>
      </c>
      <c r="O263" s="180" t="str">
        <f ca="1"/>
        <v/>
      </c>
      <c r="P263" s="180" t="str">
        <f ca="1"/>
        <v/>
      </c>
      <c r="Q263" s="180" t="str">
        <f ca="1"/>
        <v/>
      </c>
      <c r="R263" s="180" t="str">
        <f ca="1"/>
        <v/>
      </c>
      <c r="S263" s="180" t="str">
        <f ca="1"/>
        <v/>
      </c>
      <c r="T263" s="180" t="str">
        <f ca="1"/>
        <v/>
      </c>
      <c r="U263" s="180" t="str">
        <f ca="1"/>
        <v/>
      </c>
      <c r="V263" s="180" t="str">
        <f ca="1"/>
        <v/>
      </c>
      <c r="W263" s="180" t="str">
        <f ca="1"/>
        <v/>
      </c>
      <c r="X263" s="180" t="str">
        <f ca="1"/>
        <v/>
      </c>
      <c r="Y263" s="180" t="str">
        <f ca="1"/>
        <v/>
      </c>
      <c r="Z263" s="180" t="str">
        <f ca="1"/>
        <v/>
      </c>
      <c r="AA263" s="180" t="str">
        <f ca="1"/>
        <v/>
      </c>
      <c r="AB263" s="180" t="str">
        <f ca="1"/>
        <v/>
      </c>
      <c r="AC263" s="180" t="str">
        <f ca="1"/>
        <v/>
      </c>
      <c r="AD263" s="180" t="str">
        <f ca="1"/>
        <v/>
      </c>
      <c r="AE263" s="180" t="str">
        <f ca="1"/>
        <v/>
      </c>
      <c r="AF263" s="180" t="str">
        <f ca="1"/>
        <v/>
      </c>
      <c r="AG263" s="180" t="str">
        <f ca="1"/>
        <v/>
      </c>
      <c r="AH263" s="180" t="str">
        <f ca="1"/>
        <v/>
      </c>
      <c r="AI263" s="180" t="str">
        <f ca="1"/>
        <v/>
      </c>
      <c r="AJ263" s="180" t="str">
        <f ca="1"/>
        <v/>
      </c>
      <c r="AK263" s="180" t="str">
        <f ca="1"/>
        <v/>
      </c>
      <c r="AL263" s="180" t="str">
        <f ca="1"/>
        <v/>
      </c>
      <c r="AM263" s="180" t="str">
        <f ca="1"/>
        <v/>
      </c>
      <c r="AN263" s="180" t="str">
        <f ca="1"/>
        <v/>
      </c>
      <c r="AO263" s="180" t="str">
        <f ca="1"/>
        <v/>
      </c>
      <c r="AP263" s="180" t="str">
        <f ca="1"/>
        <v/>
      </c>
      <c r="AQ263" t="str">
        <f ca="1"/>
        <v/>
      </c>
    </row>
    <row r="264" spans="2:43" x14ac:dyDescent="0.25">
      <c r="B264" s="179" t="str">
        <f ca="1"/>
        <v/>
      </c>
      <c r="C264" s="180" t="str">
        <f ca="1"/>
        <v/>
      </c>
      <c r="D264" s="180" t="str">
        <f ca="1"/>
        <v/>
      </c>
      <c r="E264" s="180" t="str">
        <f ca="1"/>
        <v/>
      </c>
      <c r="F264" s="180" t="str">
        <f ca="1"/>
        <v/>
      </c>
      <c r="G264" s="180" t="str">
        <f ca="1"/>
        <v/>
      </c>
      <c r="H264" s="180" t="str">
        <f ca="1"/>
        <v/>
      </c>
      <c r="I264" s="180" t="str">
        <f ca="1"/>
        <v/>
      </c>
      <c r="J264" s="180" t="str">
        <f ca="1"/>
        <v/>
      </c>
      <c r="K264" s="180" t="str">
        <f ca="1"/>
        <v/>
      </c>
      <c r="L264" s="180" t="str">
        <f ca="1"/>
        <v/>
      </c>
      <c r="M264" s="180" t="str">
        <f ca="1"/>
        <v/>
      </c>
      <c r="N264" s="180" t="str">
        <f ca="1"/>
        <v/>
      </c>
      <c r="O264" s="180" t="str">
        <f ca="1"/>
        <v/>
      </c>
      <c r="P264" s="180" t="str">
        <f ca="1"/>
        <v/>
      </c>
      <c r="Q264" s="180" t="str">
        <f ca="1"/>
        <v/>
      </c>
      <c r="R264" s="180" t="str">
        <f ca="1"/>
        <v/>
      </c>
      <c r="S264" s="180" t="str">
        <f ca="1"/>
        <v/>
      </c>
      <c r="T264" s="180" t="str">
        <f ca="1"/>
        <v/>
      </c>
      <c r="U264" s="180" t="str">
        <f ca="1"/>
        <v/>
      </c>
      <c r="V264" s="180" t="str">
        <f ca="1"/>
        <v/>
      </c>
      <c r="W264" s="180" t="str">
        <f ca="1"/>
        <v/>
      </c>
      <c r="X264" s="180" t="str">
        <f ca="1"/>
        <v/>
      </c>
      <c r="Y264" s="180" t="str">
        <f ca="1"/>
        <v/>
      </c>
      <c r="Z264" s="180" t="str">
        <f ca="1"/>
        <v/>
      </c>
      <c r="AA264" s="180" t="str">
        <f ca="1"/>
        <v/>
      </c>
      <c r="AB264" s="180" t="str">
        <f ca="1"/>
        <v/>
      </c>
      <c r="AC264" s="180" t="str">
        <f ca="1"/>
        <v/>
      </c>
      <c r="AD264" s="180" t="str">
        <f ca="1"/>
        <v/>
      </c>
      <c r="AE264" s="180" t="str">
        <f ca="1"/>
        <v/>
      </c>
      <c r="AF264" s="180" t="str">
        <f ca="1"/>
        <v/>
      </c>
      <c r="AG264" s="180" t="str">
        <f ca="1"/>
        <v/>
      </c>
      <c r="AH264" s="180" t="str">
        <f ca="1"/>
        <v/>
      </c>
      <c r="AI264" s="180" t="str">
        <f ca="1"/>
        <v/>
      </c>
      <c r="AJ264" s="180" t="str">
        <f ca="1"/>
        <v/>
      </c>
      <c r="AK264" s="180" t="str">
        <f ca="1"/>
        <v/>
      </c>
      <c r="AL264" s="180" t="str">
        <f ca="1"/>
        <v/>
      </c>
      <c r="AM264" s="180" t="str">
        <f ca="1"/>
        <v/>
      </c>
      <c r="AN264" s="180" t="str">
        <f ca="1"/>
        <v/>
      </c>
      <c r="AO264" s="180" t="str">
        <f ca="1"/>
        <v/>
      </c>
      <c r="AP264" s="180" t="str">
        <f ca="1"/>
        <v/>
      </c>
      <c r="AQ264" t="str">
        <f ca="1"/>
        <v/>
      </c>
    </row>
    <row r="265" spans="2:43" x14ac:dyDescent="0.25">
      <c r="B265" s="179" t="str">
        <f ca="1"/>
        <v/>
      </c>
      <c r="C265" s="180" t="str">
        <f ca="1"/>
        <v/>
      </c>
      <c r="D265" s="180" t="str">
        <f ca="1"/>
        <v/>
      </c>
      <c r="E265" s="180" t="str">
        <f ca="1"/>
        <v/>
      </c>
      <c r="F265" s="180" t="str">
        <f ca="1"/>
        <v/>
      </c>
      <c r="G265" s="180" t="str">
        <f ca="1"/>
        <v/>
      </c>
      <c r="H265" s="180" t="str">
        <f ca="1"/>
        <v/>
      </c>
      <c r="I265" s="180" t="str">
        <f ca="1"/>
        <v/>
      </c>
      <c r="J265" s="180" t="str">
        <f ca="1"/>
        <v/>
      </c>
      <c r="K265" s="180" t="str">
        <f ca="1"/>
        <v/>
      </c>
      <c r="L265" s="180" t="str">
        <f ca="1"/>
        <v/>
      </c>
      <c r="M265" s="180" t="str">
        <f ca="1"/>
        <v/>
      </c>
      <c r="N265" s="180" t="str">
        <f ca="1"/>
        <v/>
      </c>
      <c r="O265" s="180" t="str">
        <f ca="1"/>
        <v/>
      </c>
      <c r="P265" s="180" t="str">
        <f ca="1"/>
        <v/>
      </c>
      <c r="Q265" s="180" t="str">
        <f ca="1"/>
        <v/>
      </c>
      <c r="R265" s="180" t="str">
        <f ca="1"/>
        <v/>
      </c>
      <c r="S265" s="180" t="str">
        <f ca="1"/>
        <v/>
      </c>
      <c r="T265" s="180" t="str">
        <f ca="1"/>
        <v/>
      </c>
      <c r="U265" s="180" t="str">
        <f ca="1"/>
        <v/>
      </c>
      <c r="V265" s="180" t="str">
        <f ca="1"/>
        <v/>
      </c>
      <c r="W265" s="180" t="str">
        <f ca="1"/>
        <v/>
      </c>
      <c r="X265" s="180" t="str">
        <f ca="1"/>
        <v/>
      </c>
      <c r="Y265" s="180" t="str">
        <f ca="1"/>
        <v/>
      </c>
      <c r="Z265" s="180" t="str">
        <f ca="1"/>
        <v/>
      </c>
      <c r="AA265" s="180" t="str">
        <f ca="1"/>
        <v/>
      </c>
      <c r="AB265" s="180" t="str">
        <f ca="1"/>
        <v/>
      </c>
      <c r="AC265" s="180" t="str">
        <f ca="1"/>
        <v/>
      </c>
      <c r="AD265" s="180" t="str">
        <f ca="1"/>
        <v/>
      </c>
      <c r="AE265" s="180" t="str">
        <f ca="1"/>
        <v/>
      </c>
      <c r="AF265" s="180" t="str">
        <f ca="1"/>
        <v/>
      </c>
      <c r="AG265" s="180" t="str">
        <f ca="1"/>
        <v/>
      </c>
      <c r="AH265" s="180" t="str">
        <f ca="1"/>
        <v/>
      </c>
      <c r="AI265" s="180" t="str">
        <f ca="1"/>
        <v/>
      </c>
      <c r="AJ265" s="180" t="str">
        <f ca="1"/>
        <v/>
      </c>
      <c r="AK265" s="180" t="str">
        <f ca="1"/>
        <v/>
      </c>
      <c r="AL265" s="180" t="str">
        <f ca="1"/>
        <v/>
      </c>
      <c r="AM265" s="180" t="str">
        <f ca="1"/>
        <v/>
      </c>
      <c r="AN265" s="180" t="str">
        <f ca="1"/>
        <v/>
      </c>
      <c r="AO265" s="180" t="str">
        <f ca="1"/>
        <v/>
      </c>
      <c r="AP265" s="180" t="str">
        <f ca="1"/>
        <v/>
      </c>
      <c r="AQ265" t="str">
        <f ca="1"/>
        <v/>
      </c>
    </row>
    <row r="266" spans="2:43" x14ac:dyDescent="0.25">
      <c r="B266" s="179" t="str">
        <f ca="1"/>
        <v/>
      </c>
      <c r="C266" s="180" t="str">
        <f ca="1"/>
        <v/>
      </c>
      <c r="D266" s="180" t="str">
        <f ca="1"/>
        <v/>
      </c>
      <c r="E266" s="180" t="str">
        <f ca="1"/>
        <v/>
      </c>
      <c r="F266" s="180" t="str">
        <f ca="1"/>
        <v/>
      </c>
      <c r="G266" s="180" t="str">
        <f ca="1"/>
        <v/>
      </c>
      <c r="H266" s="180" t="str">
        <f ca="1"/>
        <v/>
      </c>
      <c r="I266" s="180" t="str">
        <f ca="1"/>
        <v/>
      </c>
      <c r="J266" s="180" t="str">
        <f ca="1"/>
        <v/>
      </c>
      <c r="K266" s="180" t="str">
        <f ca="1"/>
        <v/>
      </c>
      <c r="L266" s="180" t="str">
        <f ca="1"/>
        <v/>
      </c>
      <c r="M266" s="180" t="str">
        <f ca="1"/>
        <v/>
      </c>
      <c r="N266" s="180" t="str">
        <f ca="1"/>
        <v/>
      </c>
      <c r="O266" s="180" t="str">
        <f ca="1"/>
        <v/>
      </c>
      <c r="P266" s="180" t="str">
        <f ca="1"/>
        <v/>
      </c>
      <c r="Q266" s="180" t="str">
        <f ca="1"/>
        <v/>
      </c>
      <c r="R266" s="180" t="str">
        <f ca="1"/>
        <v/>
      </c>
      <c r="S266" s="180" t="str">
        <f ca="1"/>
        <v/>
      </c>
      <c r="T266" s="180" t="str">
        <f ca="1"/>
        <v/>
      </c>
      <c r="U266" s="180" t="str">
        <f ca="1"/>
        <v/>
      </c>
      <c r="V266" s="180" t="str">
        <f ca="1"/>
        <v/>
      </c>
      <c r="W266" s="180" t="str">
        <f ca="1"/>
        <v/>
      </c>
      <c r="X266" s="180" t="str">
        <f ca="1"/>
        <v/>
      </c>
      <c r="Y266" s="180" t="str">
        <f ca="1"/>
        <v/>
      </c>
      <c r="Z266" s="180" t="str">
        <f ca="1"/>
        <v/>
      </c>
      <c r="AA266" s="180" t="str">
        <f ca="1"/>
        <v/>
      </c>
      <c r="AB266" s="180" t="str">
        <f ca="1"/>
        <v/>
      </c>
      <c r="AC266" s="180" t="str">
        <f ca="1"/>
        <v/>
      </c>
      <c r="AD266" s="180" t="str">
        <f ca="1"/>
        <v/>
      </c>
      <c r="AE266" s="180" t="str">
        <f ca="1"/>
        <v/>
      </c>
      <c r="AF266" s="180" t="str">
        <f ca="1"/>
        <v/>
      </c>
      <c r="AG266" s="180" t="str">
        <f ca="1"/>
        <v/>
      </c>
      <c r="AH266" s="180" t="str">
        <f ca="1"/>
        <v/>
      </c>
      <c r="AI266" s="180" t="str">
        <f ca="1"/>
        <v/>
      </c>
      <c r="AJ266" s="180" t="str">
        <f ca="1"/>
        <v/>
      </c>
      <c r="AK266" s="180" t="str">
        <f ca="1"/>
        <v/>
      </c>
      <c r="AL266" s="180" t="str">
        <f ca="1"/>
        <v/>
      </c>
      <c r="AM266" s="180" t="str">
        <f ca="1"/>
        <v/>
      </c>
      <c r="AN266" s="180" t="str">
        <f ca="1"/>
        <v/>
      </c>
      <c r="AO266" s="180" t="str">
        <f ca="1"/>
        <v/>
      </c>
      <c r="AP266" s="180" t="str">
        <f ca="1"/>
        <v/>
      </c>
      <c r="AQ266" t="str">
        <f ca="1"/>
        <v/>
      </c>
    </row>
    <row r="267" spans="2:43" x14ac:dyDescent="0.25">
      <c r="B267" s="179" t="str">
        <f ca="1"/>
        <v/>
      </c>
      <c r="C267" s="180" t="str">
        <f ca="1"/>
        <v/>
      </c>
      <c r="D267" s="180" t="str">
        <f ca="1"/>
        <v/>
      </c>
      <c r="E267" s="180" t="str">
        <f ca="1"/>
        <v/>
      </c>
      <c r="F267" s="180" t="str">
        <f ca="1"/>
        <v/>
      </c>
      <c r="G267" s="180" t="str">
        <f ca="1"/>
        <v/>
      </c>
      <c r="H267" s="180" t="str">
        <f ca="1"/>
        <v/>
      </c>
      <c r="I267" s="180" t="str">
        <f ca="1"/>
        <v/>
      </c>
      <c r="J267" s="180" t="str">
        <f ca="1"/>
        <v/>
      </c>
      <c r="K267" s="180" t="str">
        <f ca="1"/>
        <v/>
      </c>
      <c r="L267" s="180" t="str">
        <f ca="1"/>
        <v/>
      </c>
      <c r="M267" s="180" t="str">
        <f ca="1"/>
        <v/>
      </c>
      <c r="N267" s="180" t="str">
        <f ca="1"/>
        <v/>
      </c>
      <c r="O267" s="180" t="str">
        <f ca="1"/>
        <v/>
      </c>
      <c r="P267" s="180" t="str">
        <f ca="1"/>
        <v/>
      </c>
      <c r="Q267" s="180" t="str">
        <f ca="1"/>
        <v/>
      </c>
      <c r="R267" s="180" t="str">
        <f ca="1"/>
        <v/>
      </c>
      <c r="S267" s="180" t="str">
        <f ca="1"/>
        <v/>
      </c>
      <c r="T267" s="180" t="str">
        <f ca="1"/>
        <v/>
      </c>
      <c r="U267" s="180" t="str">
        <f ca="1"/>
        <v/>
      </c>
      <c r="V267" s="180" t="str">
        <f ca="1"/>
        <v/>
      </c>
      <c r="W267" s="180" t="str">
        <f ca="1"/>
        <v/>
      </c>
      <c r="X267" s="180" t="str">
        <f ca="1"/>
        <v/>
      </c>
      <c r="Y267" s="180" t="str">
        <f ca="1"/>
        <v/>
      </c>
      <c r="Z267" s="180" t="str">
        <f ca="1"/>
        <v/>
      </c>
      <c r="AA267" s="180" t="str">
        <f ca="1"/>
        <v/>
      </c>
      <c r="AB267" s="180" t="str">
        <f ca="1"/>
        <v/>
      </c>
      <c r="AC267" s="180" t="str">
        <f ca="1"/>
        <v/>
      </c>
      <c r="AD267" s="180" t="str">
        <f ca="1"/>
        <v/>
      </c>
      <c r="AE267" s="180" t="str">
        <f ca="1"/>
        <v/>
      </c>
      <c r="AF267" s="180" t="str">
        <f ca="1"/>
        <v/>
      </c>
      <c r="AG267" s="180" t="str">
        <f ca="1"/>
        <v/>
      </c>
      <c r="AH267" s="180" t="str">
        <f ca="1"/>
        <v/>
      </c>
      <c r="AI267" s="180" t="str">
        <f ca="1"/>
        <v/>
      </c>
      <c r="AJ267" s="180" t="str">
        <f ca="1"/>
        <v/>
      </c>
      <c r="AK267" s="180" t="str">
        <f ca="1"/>
        <v/>
      </c>
      <c r="AL267" s="180" t="str">
        <f ca="1"/>
        <v/>
      </c>
      <c r="AM267" s="180" t="str">
        <f ca="1"/>
        <v/>
      </c>
      <c r="AN267" s="180" t="str">
        <f ca="1"/>
        <v/>
      </c>
      <c r="AO267" s="180" t="str">
        <f ca="1"/>
        <v/>
      </c>
      <c r="AP267" s="180" t="str">
        <f ca="1"/>
        <v/>
      </c>
      <c r="AQ267" t="str">
        <f ca="1"/>
        <v/>
      </c>
    </row>
    <row r="268" spans="2:43" x14ac:dyDescent="0.25">
      <c r="B268" s="179" t="str">
        <f ca="1"/>
        <v/>
      </c>
      <c r="C268" s="180" t="str">
        <f ca="1"/>
        <v/>
      </c>
      <c r="D268" s="180" t="str">
        <f ca="1"/>
        <v/>
      </c>
      <c r="E268" s="180" t="str">
        <f ca="1"/>
        <v/>
      </c>
      <c r="F268" s="180" t="str">
        <f ca="1"/>
        <v/>
      </c>
      <c r="G268" s="180" t="str">
        <f ca="1"/>
        <v/>
      </c>
      <c r="H268" s="180" t="str">
        <f ca="1"/>
        <v/>
      </c>
      <c r="I268" s="180" t="str">
        <f ca="1"/>
        <v/>
      </c>
      <c r="J268" s="180" t="str">
        <f ca="1"/>
        <v/>
      </c>
      <c r="K268" s="180" t="str">
        <f ca="1"/>
        <v/>
      </c>
      <c r="L268" s="180" t="str">
        <f ca="1"/>
        <v/>
      </c>
      <c r="M268" s="180" t="str">
        <f ca="1"/>
        <v/>
      </c>
      <c r="N268" s="180" t="str">
        <f ca="1"/>
        <v/>
      </c>
      <c r="O268" s="180" t="str">
        <f ca="1"/>
        <v/>
      </c>
      <c r="P268" s="180" t="str">
        <f ca="1"/>
        <v/>
      </c>
      <c r="Q268" s="180" t="str">
        <f ca="1"/>
        <v/>
      </c>
      <c r="R268" s="180" t="str">
        <f ca="1"/>
        <v/>
      </c>
      <c r="S268" s="180" t="str">
        <f ca="1"/>
        <v/>
      </c>
      <c r="T268" s="180" t="str">
        <f ca="1"/>
        <v/>
      </c>
      <c r="U268" s="180" t="str">
        <f ca="1"/>
        <v/>
      </c>
      <c r="V268" s="180" t="str">
        <f ca="1"/>
        <v/>
      </c>
      <c r="W268" s="180" t="str">
        <f ca="1"/>
        <v/>
      </c>
      <c r="X268" s="180" t="str">
        <f ca="1"/>
        <v/>
      </c>
      <c r="Y268" s="180" t="str">
        <f ca="1"/>
        <v/>
      </c>
      <c r="Z268" s="180" t="str">
        <f ca="1"/>
        <v/>
      </c>
      <c r="AA268" s="180" t="str">
        <f ca="1"/>
        <v/>
      </c>
      <c r="AB268" s="180" t="str">
        <f ca="1"/>
        <v/>
      </c>
      <c r="AC268" s="180" t="str">
        <f ca="1"/>
        <v/>
      </c>
      <c r="AD268" s="180" t="str">
        <f ca="1"/>
        <v/>
      </c>
      <c r="AE268" s="180" t="str">
        <f ca="1"/>
        <v/>
      </c>
      <c r="AF268" s="180" t="str">
        <f ca="1"/>
        <v/>
      </c>
      <c r="AG268" s="180" t="str">
        <f ca="1"/>
        <v/>
      </c>
      <c r="AH268" s="180" t="str">
        <f ca="1"/>
        <v/>
      </c>
      <c r="AI268" s="180" t="str">
        <f ca="1"/>
        <v/>
      </c>
      <c r="AJ268" s="180" t="str">
        <f ca="1"/>
        <v/>
      </c>
      <c r="AK268" s="180" t="str">
        <f ca="1"/>
        <v/>
      </c>
      <c r="AL268" s="180" t="str">
        <f ca="1"/>
        <v/>
      </c>
      <c r="AM268" s="180" t="str">
        <f ca="1"/>
        <v/>
      </c>
      <c r="AN268" s="180" t="str">
        <f ca="1"/>
        <v/>
      </c>
      <c r="AO268" s="180" t="str">
        <f ca="1"/>
        <v/>
      </c>
      <c r="AP268" s="180" t="str">
        <f ca="1"/>
        <v/>
      </c>
      <c r="AQ268" t="str">
        <f ca="1"/>
        <v/>
      </c>
    </row>
    <row r="269" spans="2:43" x14ac:dyDescent="0.25">
      <c r="B269" s="179" t="str">
        <f ca="1"/>
        <v/>
      </c>
      <c r="C269" s="180" t="str">
        <f ca="1"/>
        <v/>
      </c>
      <c r="D269" s="180" t="str">
        <f ca="1"/>
        <v/>
      </c>
      <c r="E269" s="180" t="str">
        <f ca="1"/>
        <v/>
      </c>
      <c r="F269" s="180" t="str">
        <f ca="1"/>
        <v/>
      </c>
      <c r="G269" s="180" t="str">
        <f ca="1"/>
        <v/>
      </c>
      <c r="H269" s="180" t="str">
        <f ca="1"/>
        <v/>
      </c>
      <c r="I269" s="180" t="str">
        <f ca="1"/>
        <v/>
      </c>
      <c r="J269" s="180" t="str">
        <f ca="1"/>
        <v/>
      </c>
      <c r="K269" s="180" t="str">
        <f ca="1"/>
        <v/>
      </c>
      <c r="L269" s="180" t="str">
        <f ca="1"/>
        <v/>
      </c>
      <c r="M269" s="180" t="str">
        <f ca="1"/>
        <v/>
      </c>
      <c r="N269" s="180" t="str">
        <f ca="1"/>
        <v/>
      </c>
      <c r="O269" s="180" t="str">
        <f ca="1"/>
        <v/>
      </c>
      <c r="P269" s="180" t="str">
        <f ca="1"/>
        <v/>
      </c>
      <c r="Q269" s="180" t="str">
        <f ca="1"/>
        <v/>
      </c>
      <c r="R269" s="180" t="str">
        <f ca="1"/>
        <v/>
      </c>
      <c r="S269" s="180" t="str">
        <f ca="1"/>
        <v/>
      </c>
      <c r="T269" s="180" t="str">
        <f ca="1"/>
        <v/>
      </c>
      <c r="U269" s="180" t="str">
        <f ca="1"/>
        <v/>
      </c>
      <c r="V269" s="180" t="str">
        <f ca="1"/>
        <v/>
      </c>
      <c r="W269" s="180" t="str">
        <f ca="1"/>
        <v/>
      </c>
      <c r="X269" s="180" t="str">
        <f ca="1"/>
        <v/>
      </c>
      <c r="Y269" s="180" t="str">
        <f ca="1"/>
        <v/>
      </c>
      <c r="Z269" s="180" t="str">
        <f ca="1"/>
        <v/>
      </c>
      <c r="AA269" s="180" t="str">
        <f ca="1"/>
        <v/>
      </c>
      <c r="AB269" s="180" t="str">
        <f ca="1"/>
        <v/>
      </c>
      <c r="AC269" s="180" t="str">
        <f ca="1"/>
        <v/>
      </c>
      <c r="AD269" s="180" t="str">
        <f ca="1"/>
        <v/>
      </c>
      <c r="AE269" s="180" t="str">
        <f ca="1"/>
        <v/>
      </c>
      <c r="AF269" s="180" t="str">
        <f ca="1"/>
        <v/>
      </c>
      <c r="AG269" s="180" t="str">
        <f ca="1"/>
        <v/>
      </c>
      <c r="AH269" s="180" t="str">
        <f ca="1"/>
        <v/>
      </c>
      <c r="AI269" s="180" t="str">
        <f ca="1"/>
        <v/>
      </c>
      <c r="AJ269" s="180" t="str">
        <f ca="1"/>
        <v/>
      </c>
      <c r="AK269" s="180" t="str">
        <f ca="1"/>
        <v/>
      </c>
      <c r="AL269" s="180" t="str">
        <f ca="1"/>
        <v/>
      </c>
      <c r="AM269" s="180" t="str">
        <f ca="1"/>
        <v/>
      </c>
      <c r="AN269" s="180" t="str">
        <f ca="1"/>
        <v/>
      </c>
      <c r="AO269" s="180" t="str">
        <f ca="1"/>
        <v/>
      </c>
      <c r="AP269" s="180" t="str">
        <f ca="1"/>
        <v/>
      </c>
      <c r="AQ269" t="str">
        <f ca="1"/>
        <v/>
      </c>
    </row>
    <row r="270" spans="2:43" x14ac:dyDescent="0.25">
      <c r="B270" s="179" t="str">
        <f ca="1"/>
        <v/>
      </c>
      <c r="C270" s="180" t="str">
        <f ca="1"/>
        <v/>
      </c>
      <c r="D270" s="180" t="str">
        <f ca="1"/>
        <v/>
      </c>
      <c r="E270" s="180" t="str">
        <f ca="1"/>
        <v/>
      </c>
      <c r="F270" s="180" t="str">
        <f ca="1"/>
        <v/>
      </c>
      <c r="G270" s="180" t="str">
        <f ca="1"/>
        <v/>
      </c>
      <c r="H270" s="180" t="str">
        <f ca="1"/>
        <v/>
      </c>
      <c r="I270" s="180" t="str">
        <f ca="1"/>
        <v/>
      </c>
      <c r="J270" s="180" t="str">
        <f ca="1"/>
        <v/>
      </c>
      <c r="K270" s="180" t="str">
        <f ca="1"/>
        <v/>
      </c>
      <c r="L270" s="180" t="str">
        <f ca="1"/>
        <v/>
      </c>
      <c r="M270" s="180" t="str">
        <f ca="1"/>
        <v/>
      </c>
      <c r="N270" s="180" t="str">
        <f ca="1"/>
        <v/>
      </c>
      <c r="O270" s="180" t="str">
        <f ca="1"/>
        <v/>
      </c>
      <c r="P270" s="180" t="str">
        <f ca="1"/>
        <v/>
      </c>
      <c r="Q270" s="180" t="str">
        <f ca="1"/>
        <v/>
      </c>
      <c r="R270" s="180" t="str">
        <f ca="1"/>
        <v/>
      </c>
      <c r="S270" s="180" t="str">
        <f ca="1"/>
        <v/>
      </c>
      <c r="T270" s="180" t="str">
        <f ca="1"/>
        <v/>
      </c>
      <c r="U270" s="180" t="str">
        <f ca="1"/>
        <v/>
      </c>
      <c r="V270" s="180" t="str">
        <f ca="1"/>
        <v/>
      </c>
      <c r="W270" s="180" t="str">
        <f ca="1"/>
        <v/>
      </c>
      <c r="X270" s="180" t="str">
        <f ca="1"/>
        <v/>
      </c>
      <c r="Y270" s="180" t="str">
        <f ca="1"/>
        <v/>
      </c>
      <c r="Z270" s="180" t="str">
        <f ca="1"/>
        <v/>
      </c>
      <c r="AA270" s="180" t="str">
        <f ca="1"/>
        <v/>
      </c>
      <c r="AB270" s="180" t="str">
        <f ca="1"/>
        <v/>
      </c>
      <c r="AC270" s="180" t="str">
        <f ca="1"/>
        <v/>
      </c>
      <c r="AD270" s="180" t="str">
        <f ca="1"/>
        <v/>
      </c>
      <c r="AE270" s="180" t="str">
        <f ca="1"/>
        <v/>
      </c>
      <c r="AF270" s="180" t="str">
        <f ca="1"/>
        <v/>
      </c>
      <c r="AG270" s="180" t="str">
        <f ca="1"/>
        <v/>
      </c>
      <c r="AH270" s="180" t="str">
        <f ca="1"/>
        <v/>
      </c>
      <c r="AI270" s="180" t="str">
        <f ca="1"/>
        <v/>
      </c>
      <c r="AJ270" s="180" t="str">
        <f ca="1"/>
        <v/>
      </c>
      <c r="AK270" s="180" t="str">
        <f ca="1"/>
        <v/>
      </c>
      <c r="AL270" s="180" t="str">
        <f ca="1"/>
        <v/>
      </c>
      <c r="AM270" s="180" t="str">
        <f ca="1"/>
        <v/>
      </c>
      <c r="AN270" s="180" t="str">
        <f ca="1"/>
        <v/>
      </c>
      <c r="AO270" s="180" t="str">
        <f ca="1"/>
        <v/>
      </c>
      <c r="AP270" s="180" t="str">
        <f ca="1"/>
        <v/>
      </c>
      <c r="AQ270" t="str">
        <f ca="1"/>
        <v/>
      </c>
    </row>
    <row r="271" spans="2:43" x14ac:dyDescent="0.25">
      <c r="B271" s="179" t="str">
        <f ca="1"/>
        <v/>
      </c>
      <c r="C271" s="180" t="str">
        <f ca="1"/>
        <v/>
      </c>
      <c r="D271" s="180" t="str">
        <f ca="1"/>
        <v/>
      </c>
      <c r="E271" s="180" t="str">
        <f ca="1"/>
        <v/>
      </c>
      <c r="F271" s="180" t="str">
        <f ca="1"/>
        <v/>
      </c>
      <c r="G271" s="180" t="str">
        <f ca="1"/>
        <v/>
      </c>
      <c r="H271" s="180" t="str">
        <f ca="1"/>
        <v/>
      </c>
      <c r="I271" s="180" t="str">
        <f ca="1"/>
        <v/>
      </c>
      <c r="J271" s="180" t="str">
        <f ca="1"/>
        <v/>
      </c>
      <c r="K271" s="180" t="str">
        <f ca="1"/>
        <v/>
      </c>
      <c r="L271" s="180" t="str">
        <f ca="1"/>
        <v/>
      </c>
      <c r="M271" s="180" t="str">
        <f ca="1"/>
        <v/>
      </c>
      <c r="N271" s="180" t="str">
        <f ca="1"/>
        <v/>
      </c>
      <c r="O271" s="180" t="str">
        <f ca="1"/>
        <v/>
      </c>
      <c r="P271" s="180" t="str">
        <f ca="1"/>
        <v/>
      </c>
      <c r="Q271" s="180" t="str">
        <f ca="1"/>
        <v/>
      </c>
      <c r="R271" s="180" t="str">
        <f ca="1"/>
        <v/>
      </c>
      <c r="S271" s="180" t="str">
        <f ca="1"/>
        <v/>
      </c>
      <c r="T271" s="180" t="str">
        <f ca="1"/>
        <v/>
      </c>
      <c r="U271" s="180" t="str">
        <f ca="1"/>
        <v/>
      </c>
      <c r="V271" s="180" t="str">
        <f ca="1"/>
        <v/>
      </c>
      <c r="W271" s="180" t="str">
        <f ca="1"/>
        <v/>
      </c>
      <c r="X271" s="180" t="str">
        <f ca="1"/>
        <v/>
      </c>
      <c r="Y271" s="180" t="str">
        <f ca="1"/>
        <v/>
      </c>
      <c r="Z271" s="180" t="str">
        <f ca="1"/>
        <v/>
      </c>
      <c r="AA271" s="180" t="str">
        <f ca="1"/>
        <v/>
      </c>
      <c r="AB271" s="180" t="str">
        <f ca="1"/>
        <v/>
      </c>
      <c r="AC271" s="180" t="str">
        <f ca="1"/>
        <v/>
      </c>
      <c r="AD271" s="180" t="str">
        <f ca="1"/>
        <v/>
      </c>
      <c r="AE271" s="180" t="str">
        <f ca="1"/>
        <v/>
      </c>
      <c r="AF271" s="180" t="str">
        <f ca="1"/>
        <v/>
      </c>
      <c r="AG271" s="180" t="str">
        <f ca="1"/>
        <v/>
      </c>
      <c r="AH271" s="180" t="str">
        <f ca="1"/>
        <v/>
      </c>
      <c r="AI271" s="180" t="str">
        <f ca="1"/>
        <v/>
      </c>
      <c r="AJ271" s="180" t="str">
        <f ca="1"/>
        <v/>
      </c>
      <c r="AK271" s="180" t="str">
        <f ca="1"/>
        <v/>
      </c>
      <c r="AL271" s="180" t="str">
        <f ca="1"/>
        <v/>
      </c>
      <c r="AM271" s="180" t="str">
        <f ca="1"/>
        <v/>
      </c>
      <c r="AN271" s="180" t="str">
        <f ca="1"/>
        <v/>
      </c>
      <c r="AO271" s="180" t="str">
        <f ca="1"/>
        <v/>
      </c>
      <c r="AP271" s="180" t="str">
        <f ca="1"/>
        <v/>
      </c>
      <c r="AQ271" t="str">
        <f ca="1"/>
        <v/>
      </c>
    </row>
    <row r="272" spans="2:43" x14ac:dyDescent="0.25">
      <c r="B272" s="179" t="str">
        <f ca="1"/>
        <v/>
      </c>
      <c r="C272" s="180" t="str">
        <f ca="1"/>
        <v/>
      </c>
      <c r="D272" s="180" t="str">
        <f ca="1"/>
        <v/>
      </c>
      <c r="E272" s="180" t="str">
        <f ca="1"/>
        <v/>
      </c>
      <c r="F272" s="180" t="str">
        <f ca="1"/>
        <v/>
      </c>
      <c r="G272" s="180" t="str">
        <f ca="1"/>
        <v/>
      </c>
      <c r="H272" s="180" t="str">
        <f ca="1"/>
        <v/>
      </c>
      <c r="I272" s="180" t="str">
        <f ca="1"/>
        <v/>
      </c>
      <c r="J272" s="180" t="str">
        <f ca="1"/>
        <v/>
      </c>
      <c r="K272" s="180" t="str">
        <f ca="1"/>
        <v/>
      </c>
      <c r="L272" s="180" t="str">
        <f ca="1"/>
        <v/>
      </c>
      <c r="M272" s="180" t="str">
        <f ca="1"/>
        <v/>
      </c>
      <c r="N272" s="180" t="str">
        <f ca="1"/>
        <v/>
      </c>
      <c r="O272" s="180" t="str">
        <f ca="1"/>
        <v/>
      </c>
      <c r="P272" s="180" t="str">
        <f ca="1"/>
        <v/>
      </c>
      <c r="Q272" s="180" t="str">
        <f ca="1"/>
        <v/>
      </c>
      <c r="R272" s="180" t="str">
        <f ca="1"/>
        <v/>
      </c>
      <c r="S272" s="180" t="str">
        <f ca="1"/>
        <v/>
      </c>
      <c r="T272" s="180" t="str">
        <f ca="1"/>
        <v/>
      </c>
      <c r="U272" s="180" t="str">
        <f ca="1"/>
        <v/>
      </c>
      <c r="V272" s="180" t="str">
        <f ca="1"/>
        <v/>
      </c>
      <c r="W272" s="180" t="str">
        <f ca="1"/>
        <v/>
      </c>
      <c r="X272" s="180" t="str">
        <f ca="1"/>
        <v/>
      </c>
      <c r="Y272" s="180" t="str">
        <f ca="1"/>
        <v/>
      </c>
      <c r="Z272" s="180" t="str">
        <f ca="1"/>
        <v/>
      </c>
      <c r="AA272" s="180" t="str">
        <f ca="1"/>
        <v/>
      </c>
      <c r="AB272" s="180" t="str">
        <f ca="1"/>
        <v/>
      </c>
      <c r="AC272" s="180" t="str">
        <f ca="1"/>
        <v/>
      </c>
      <c r="AD272" s="180" t="str">
        <f ca="1"/>
        <v/>
      </c>
      <c r="AE272" s="180" t="str">
        <f ca="1"/>
        <v/>
      </c>
      <c r="AF272" s="180" t="str">
        <f ca="1"/>
        <v/>
      </c>
      <c r="AG272" s="180" t="str">
        <f ca="1"/>
        <v/>
      </c>
      <c r="AH272" s="180" t="str">
        <f ca="1"/>
        <v/>
      </c>
      <c r="AI272" s="180" t="str">
        <f ca="1"/>
        <v/>
      </c>
      <c r="AJ272" s="180" t="str">
        <f ca="1"/>
        <v/>
      </c>
      <c r="AK272" s="180" t="str">
        <f ca="1"/>
        <v/>
      </c>
      <c r="AL272" s="180" t="str">
        <f ca="1"/>
        <v/>
      </c>
      <c r="AM272" s="180" t="str">
        <f ca="1"/>
        <v/>
      </c>
      <c r="AN272" s="180" t="str">
        <f ca="1"/>
        <v/>
      </c>
      <c r="AO272" s="180" t="str">
        <f ca="1"/>
        <v/>
      </c>
      <c r="AP272" s="180" t="str">
        <f ca="1"/>
        <v/>
      </c>
      <c r="AQ272" t="str">
        <f ca="1"/>
        <v/>
      </c>
    </row>
    <row r="273" spans="2:43" x14ac:dyDescent="0.25">
      <c r="B273" s="179" t="str">
        <f ca="1"/>
        <v/>
      </c>
      <c r="C273" s="180" t="str">
        <f ca="1"/>
        <v/>
      </c>
      <c r="D273" s="180" t="str">
        <f ca="1"/>
        <v/>
      </c>
      <c r="E273" s="180" t="str">
        <f ca="1"/>
        <v/>
      </c>
      <c r="F273" s="180" t="str">
        <f ca="1"/>
        <v/>
      </c>
      <c r="G273" s="180" t="str">
        <f ca="1"/>
        <v/>
      </c>
      <c r="H273" s="180" t="str">
        <f ca="1"/>
        <v/>
      </c>
      <c r="I273" s="180" t="str">
        <f ca="1"/>
        <v/>
      </c>
      <c r="J273" s="180" t="str">
        <f ca="1"/>
        <v/>
      </c>
      <c r="K273" s="180" t="str">
        <f ca="1"/>
        <v/>
      </c>
      <c r="L273" s="180" t="str">
        <f ca="1"/>
        <v/>
      </c>
      <c r="M273" s="180" t="str">
        <f ca="1"/>
        <v/>
      </c>
      <c r="N273" s="180" t="str">
        <f ca="1"/>
        <v/>
      </c>
      <c r="O273" s="180" t="str">
        <f ca="1"/>
        <v/>
      </c>
      <c r="P273" s="180" t="str">
        <f ca="1"/>
        <v/>
      </c>
      <c r="Q273" s="180" t="str">
        <f ca="1"/>
        <v/>
      </c>
      <c r="R273" s="180" t="str">
        <f ca="1"/>
        <v/>
      </c>
      <c r="S273" s="180" t="str">
        <f ca="1"/>
        <v/>
      </c>
      <c r="T273" s="180" t="str">
        <f ca="1"/>
        <v/>
      </c>
      <c r="U273" s="180" t="str">
        <f ca="1"/>
        <v/>
      </c>
      <c r="V273" s="180" t="str">
        <f ca="1"/>
        <v/>
      </c>
      <c r="W273" s="180" t="str">
        <f ca="1"/>
        <v/>
      </c>
      <c r="X273" s="180" t="str">
        <f ca="1"/>
        <v/>
      </c>
      <c r="Y273" s="180" t="str">
        <f ca="1"/>
        <v/>
      </c>
      <c r="Z273" s="180" t="str">
        <f ca="1"/>
        <v/>
      </c>
      <c r="AA273" s="180" t="str">
        <f ca="1"/>
        <v/>
      </c>
      <c r="AB273" s="180" t="str">
        <f ca="1"/>
        <v/>
      </c>
      <c r="AC273" s="180" t="str">
        <f ca="1"/>
        <v/>
      </c>
      <c r="AD273" s="180" t="str">
        <f ca="1"/>
        <v/>
      </c>
      <c r="AE273" s="180" t="str">
        <f ca="1"/>
        <v/>
      </c>
      <c r="AF273" s="180" t="str">
        <f ca="1"/>
        <v/>
      </c>
      <c r="AG273" s="180" t="str">
        <f ca="1"/>
        <v/>
      </c>
      <c r="AH273" s="180" t="str">
        <f ca="1"/>
        <v/>
      </c>
      <c r="AI273" s="180" t="str">
        <f ca="1"/>
        <v/>
      </c>
      <c r="AJ273" s="180" t="str">
        <f ca="1"/>
        <v/>
      </c>
      <c r="AK273" s="180" t="str">
        <f ca="1"/>
        <v/>
      </c>
      <c r="AL273" s="180" t="str">
        <f ca="1"/>
        <v/>
      </c>
      <c r="AM273" s="180" t="str">
        <f ca="1"/>
        <v/>
      </c>
      <c r="AN273" s="180" t="str">
        <f ca="1"/>
        <v/>
      </c>
      <c r="AO273" s="180" t="str">
        <f ca="1"/>
        <v/>
      </c>
      <c r="AP273" s="180" t="str">
        <f ca="1"/>
        <v/>
      </c>
      <c r="AQ273" t="str">
        <f ca="1"/>
        <v/>
      </c>
    </row>
    <row r="274" spans="2:43" x14ac:dyDescent="0.25">
      <c r="B274" s="179" t="str">
        <f ca="1"/>
        <v/>
      </c>
      <c r="C274" s="180" t="str">
        <f ca="1"/>
        <v/>
      </c>
      <c r="D274" s="180" t="str">
        <f ca="1"/>
        <v/>
      </c>
      <c r="E274" s="180" t="str">
        <f ca="1"/>
        <v/>
      </c>
      <c r="F274" s="180" t="str">
        <f ca="1"/>
        <v/>
      </c>
      <c r="G274" s="180" t="str">
        <f ca="1"/>
        <v/>
      </c>
      <c r="H274" s="180" t="str">
        <f ca="1"/>
        <v/>
      </c>
      <c r="I274" s="180" t="str">
        <f ca="1"/>
        <v/>
      </c>
      <c r="J274" s="180" t="str">
        <f ca="1"/>
        <v/>
      </c>
      <c r="K274" s="180" t="str">
        <f ca="1"/>
        <v/>
      </c>
      <c r="L274" s="180" t="str">
        <f ca="1"/>
        <v/>
      </c>
      <c r="M274" s="180" t="str">
        <f ca="1"/>
        <v/>
      </c>
      <c r="N274" s="180" t="str">
        <f ca="1"/>
        <v/>
      </c>
      <c r="O274" s="180" t="str">
        <f ca="1"/>
        <v/>
      </c>
      <c r="P274" s="180" t="str">
        <f ca="1"/>
        <v/>
      </c>
      <c r="Q274" s="180" t="str">
        <f ca="1"/>
        <v/>
      </c>
      <c r="R274" s="180" t="str">
        <f ca="1"/>
        <v/>
      </c>
      <c r="S274" s="180" t="str">
        <f ca="1"/>
        <v/>
      </c>
      <c r="T274" s="180" t="str">
        <f ca="1"/>
        <v/>
      </c>
      <c r="U274" s="180" t="str">
        <f ca="1"/>
        <v/>
      </c>
      <c r="V274" s="180" t="str">
        <f ca="1"/>
        <v/>
      </c>
      <c r="W274" s="180" t="str">
        <f ca="1"/>
        <v/>
      </c>
      <c r="X274" s="180" t="str">
        <f ca="1"/>
        <v/>
      </c>
      <c r="Y274" s="180" t="str">
        <f ca="1"/>
        <v/>
      </c>
      <c r="Z274" s="180" t="str">
        <f ca="1"/>
        <v/>
      </c>
      <c r="AA274" s="180" t="str">
        <f ca="1"/>
        <v/>
      </c>
      <c r="AB274" s="180" t="str">
        <f ca="1"/>
        <v/>
      </c>
      <c r="AC274" s="180" t="str">
        <f ca="1"/>
        <v/>
      </c>
      <c r="AD274" s="180" t="str">
        <f ca="1"/>
        <v/>
      </c>
      <c r="AE274" s="180" t="str">
        <f ca="1"/>
        <v/>
      </c>
      <c r="AF274" s="180" t="str">
        <f ca="1"/>
        <v/>
      </c>
      <c r="AG274" s="180" t="str">
        <f ca="1"/>
        <v/>
      </c>
      <c r="AH274" s="180" t="str">
        <f ca="1"/>
        <v/>
      </c>
      <c r="AI274" s="180" t="str">
        <f ca="1"/>
        <v/>
      </c>
      <c r="AJ274" s="180" t="str">
        <f ca="1"/>
        <v/>
      </c>
      <c r="AK274" s="180" t="str">
        <f ca="1"/>
        <v/>
      </c>
      <c r="AL274" s="180" t="str">
        <f ca="1"/>
        <v/>
      </c>
      <c r="AM274" s="180" t="str">
        <f ca="1"/>
        <v/>
      </c>
      <c r="AN274" s="180" t="str">
        <f ca="1"/>
        <v/>
      </c>
      <c r="AO274" s="180" t="str">
        <f ca="1"/>
        <v/>
      </c>
      <c r="AP274" s="180" t="str">
        <f ca="1"/>
        <v/>
      </c>
      <c r="AQ274" t="str">
        <f ca="1"/>
        <v/>
      </c>
    </row>
    <row r="275" spans="2:43" x14ac:dyDescent="0.25">
      <c r="B275" s="179" t="str">
        <f ca="1"/>
        <v/>
      </c>
      <c r="C275" s="180" t="str">
        <f ca="1"/>
        <v/>
      </c>
      <c r="D275" s="180" t="str">
        <f ca="1"/>
        <v/>
      </c>
      <c r="E275" s="180" t="str">
        <f ca="1"/>
        <v/>
      </c>
      <c r="F275" s="180" t="str">
        <f ca="1"/>
        <v/>
      </c>
      <c r="G275" s="180" t="str">
        <f ca="1"/>
        <v/>
      </c>
      <c r="H275" s="180" t="str">
        <f ca="1"/>
        <v/>
      </c>
      <c r="I275" s="180" t="str">
        <f ca="1"/>
        <v/>
      </c>
      <c r="J275" s="180" t="str">
        <f ca="1"/>
        <v/>
      </c>
      <c r="K275" s="180" t="str">
        <f ca="1"/>
        <v/>
      </c>
      <c r="L275" s="180" t="str">
        <f ca="1"/>
        <v/>
      </c>
      <c r="M275" s="180" t="str">
        <f ca="1"/>
        <v/>
      </c>
      <c r="N275" s="180" t="str">
        <f ca="1"/>
        <v/>
      </c>
      <c r="O275" s="180" t="str">
        <f ca="1"/>
        <v/>
      </c>
      <c r="P275" s="180" t="str">
        <f ca="1"/>
        <v/>
      </c>
      <c r="Q275" s="180" t="str">
        <f ca="1"/>
        <v/>
      </c>
      <c r="R275" s="180" t="str">
        <f ca="1"/>
        <v/>
      </c>
      <c r="S275" s="180" t="str">
        <f ca="1"/>
        <v/>
      </c>
      <c r="T275" s="180" t="str">
        <f ca="1"/>
        <v/>
      </c>
      <c r="U275" s="180" t="str">
        <f ca="1"/>
        <v/>
      </c>
      <c r="V275" s="180" t="str">
        <f ca="1"/>
        <v/>
      </c>
      <c r="W275" s="180" t="str">
        <f ca="1"/>
        <v/>
      </c>
      <c r="X275" s="180" t="str">
        <f ca="1"/>
        <v/>
      </c>
      <c r="Y275" s="180" t="str">
        <f ca="1"/>
        <v/>
      </c>
      <c r="Z275" s="180" t="str">
        <f ca="1"/>
        <v/>
      </c>
      <c r="AA275" s="180" t="str">
        <f ca="1"/>
        <v/>
      </c>
      <c r="AB275" s="180" t="str">
        <f ca="1"/>
        <v/>
      </c>
      <c r="AC275" s="180" t="str">
        <f ca="1"/>
        <v/>
      </c>
      <c r="AD275" s="180" t="str">
        <f ca="1"/>
        <v/>
      </c>
      <c r="AE275" s="180" t="str">
        <f ca="1"/>
        <v/>
      </c>
      <c r="AF275" s="180" t="str">
        <f ca="1"/>
        <v/>
      </c>
      <c r="AG275" s="180" t="str">
        <f ca="1"/>
        <v/>
      </c>
      <c r="AH275" s="180" t="str">
        <f ca="1"/>
        <v/>
      </c>
      <c r="AI275" s="180" t="str">
        <f ca="1"/>
        <v/>
      </c>
      <c r="AJ275" s="180" t="str">
        <f ca="1"/>
        <v/>
      </c>
      <c r="AK275" s="180" t="str">
        <f ca="1"/>
        <v/>
      </c>
      <c r="AL275" s="180" t="str">
        <f ca="1"/>
        <v/>
      </c>
      <c r="AM275" s="180" t="str">
        <f ca="1"/>
        <v/>
      </c>
      <c r="AN275" s="180" t="str">
        <f ca="1"/>
        <v/>
      </c>
      <c r="AO275" s="180" t="str">
        <f ca="1"/>
        <v/>
      </c>
      <c r="AP275" s="180" t="str">
        <f ca="1"/>
        <v/>
      </c>
      <c r="AQ275" t="str">
        <f ca="1"/>
        <v/>
      </c>
    </row>
    <row r="276" spans="2:43" x14ac:dyDescent="0.25">
      <c r="B276" s="179" t="str">
        <f ca="1"/>
        <v/>
      </c>
      <c r="C276" s="180" t="str">
        <f ca="1"/>
        <v/>
      </c>
      <c r="D276" s="180" t="str">
        <f ca="1"/>
        <v/>
      </c>
      <c r="E276" s="180" t="str">
        <f ca="1"/>
        <v/>
      </c>
      <c r="F276" s="180" t="str">
        <f ca="1"/>
        <v/>
      </c>
      <c r="G276" s="180" t="str">
        <f ca="1"/>
        <v/>
      </c>
      <c r="H276" s="180" t="str">
        <f ca="1"/>
        <v/>
      </c>
      <c r="I276" s="180" t="str">
        <f ca="1"/>
        <v/>
      </c>
      <c r="J276" s="180" t="str">
        <f ca="1"/>
        <v/>
      </c>
      <c r="K276" s="180" t="str">
        <f ca="1"/>
        <v/>
      </c>
      <c r="L276" s="180" t="str">
        <f ca="1"/>
        <v/>
      </c>
      <c r="M276" s="180" t="str">
        <f ca="1"/>
        <v/>
      </c>
      <c r="N276" s="180" t="str">
        <f ca="1"/>
        <v/>
      </c>
      <c r="O276" s="180" t="str">
        <f ca="1"/>
        <v/>
      </c>
      <c r="P276" s="180" t="str">
        <f ca="1"/>
        <v/>
      </c>
      <c r="Q276" s="180" t="str">
        <f ca="1"/>
        <v/>
      </c>
      <c r="R276" s="180" t="str">
        <f ca="1"/>
        <v/>
      </c>
      <c r="S276" s="180" t="str">
        <f ca="1"/>
        <v/>
      </c>
      <c r="T276" s="180" t="str">
        <f ca="1"/>
        <v/>
      </c>
      <c r="U276" s="180" t="str">
        <f ca="1"/>
        <v/>
      </c>
      <c r="V276" s="180" t="str">
        <f ca="1"/>
        <v/>
      </c>
      <c r="W276" s="180" t="str">
        <f ca="1"/>
        <v/>
      </c>
      <c r="X276" s="180" t="str">
        <f ca="1"/>
        <v/>
      </c>
      <c r="Y276" s="180" t="str">
        <f ca="1"/>
        <v/>
      </c>
      <c r="Z276" s="180" t="str">
        <f ca="1"/>
        <v/>
      </c>
      <c r="AA276" s="180" t="str">
        <f ca="1"/>
        <v/>
      </c>
      <c r="AB276" s="180" t="str">
        <f ca="1"/>
        <v/>
      </c>
      <c r="AC276" s="180" t="str">
        <f ca="1"/>
        <v/>
      </c>
      <c r="AD276" s="180" t="str">
        <f ca="1"/>
        <v/>
      </c>
      <c r="AE276" s="180" t="str">
        <f ca="1"/>
        <v/>
      </c>
      <c r="AF276" s="180" t="str">
        <f ca="1"/>
        <v/>
      </c>
      <c r="AG276" s="180" t="str">
        <f ca="1"/>
        <v/>
      </c>
      <c r="AH276" s="180" t="str">
        <f ca="1"/>
        <v/>
      </c>
      <c r="AI276" s="180" t="str">
        <f ca="1"/>
        <v/>
      </c>
      <c r="AJ276" s="180" t="str">
        <f ca="1"/>
        <v/>
      </c>
      <c r="AK276" s="180" t="str">
        <f ca="1"/>
        <v/>
      </c>
      <c r="AL276" s="180" t="str">
        <f ca="1"/>
        <v/>
      </c>
      <c r="AM276" s="180" t="str">
        <f ca="1"/>
        <v/>
      </c>
      <c r="AN276" s="180" t="str">
        <f ca="1"/>
        <v/>
      </c>
      <c r="AO276" s="180" t="str">
        <f ca="1"/>
        <v/>
      </c>
      <c r="AP276" s="180" t="str">
        <f ca="1"/>
        <v/>
      </c>
      <c r="AQ276" t="str">
        <f ca="1"/>
        <v/>
      </c>
    </row>
    <row r="277" spans="2:43" x14ac:dyDescent="0.25">
      <c r="B277" s="179" t="str">
        <f ca="1"/>
        <v/>
      </c>
      <c r="C277" s="180" t="str">
        <f ca="1"/>
        <v/>
      </c>
      <c r="D277" s="180" t="str">
        <f ca="1"/>
        <v/>
      </c>
      <c r="E277" s="180" t="str">
        <f ca="1"/>
        <v/>
      </c>
      <c r="F277" s="180" t="str">
        <f ca="1"/>
        <v/>
      </c>
      <c r="G277" s="180" t="str">
        <f ca="1"/>
        <v/>
      </c>
      <c r="H277" s="180" t="str">
        <f ca="1"/>
        <v/>
      </c>
      <c r="I277" s="180" t="str">
        <f ca="1"/>
        <v/>
      </c>
      <c r="J277" s="180" t="str">
        <f ca="1"/>
        <v/>
      </c>
      <c r="K277" s="180" t="str">
        <f ca="1"/>
        <v/>
      </c>
      <c r="L277" s="180" t="str">
        <f ca="1"/>
        <v/>
      </c>
      <c r="M277" s="180" t="str">
        <f ca="1"/>
        <v/>
      </c>
      <c r="N277" s="180" t="str">
        <f ca="1"/>
        <v/>
      </c>
      <c r="O277" s="180" t="str">
        <f ca="1"/>
        <v/>
      </c>
      <c r="P277" s="180" t="str">
        <f ca="1"/>
        <v/>
      </c>
      <c r="Q277" s="180" t="str">
        <f ca="1"/>
        <v/>
      </c>
      <c r="R277" s="180" t="str">
        <f ca="1"/>
        <v/>
      </c>
      <c r="S277" s="180" t="str">
        <f ca="1"/>
        <v/>
      </c>
      <c r="T277" s="180" t="str">
        <f ca="1"/>
        <v/>
      </c>
      <c r="U277" s="180" t="str">
        <f ca="1"/>
        <v/>
      </c>
      <c r="V277" s="180" t="str">
        <f ca="1"/>
        <v/>
      </c>
      <c r="W277" s="180" t="str">
        <f ca="1"/>
        <v/>
      </c>
      <c r="X277" s="180" t="str">
        <f ca="1"/>
        <v/>
      </c>
      <c r="Y277" s="180" t="str">
        <f ca="1"/>
        <v/>
      </c>
      <c r="Z277" s="180" t="str">
        <f ca="1"/>
        <v/>
      </c>
      <c r="AA277" s="180" t="str">
        <f ca="1"/>
        <v/>
      </c>
      <c r="AB277" s="180" t="str">
        <f ca="1"/>
        <v/>
      </c>
      <c r="AC277" s="180" t="str">
        <f ca="1"/>
        <v/>
      </c>
      <c r="AD277" s="180" t="str">
        <f ca="1"/>
        <v/>
      </c>
      <c r="AE277" s="180" t="str">
        <f ca="1"/>
        <v/>
      </c>
      <c r="AF277" s="180" t="str">
        <f ca="1"/>
        <v/>
      </c>
      <c r="AG277" s="180" t="str">
        <f ca="1"/>
        <v/>
      </c>
      <c r="AH277" s="180" t="str">
        <f ca="1"/>
        <v/>
      </c>
      <c r="AI277" s="180" t="str">
        <f ca="1"/>
        <v/>
      </c>
      <c r="AJ277" s="180" t="str">
        <f ca="1"/>
        <v/>
      </c>
      <c r="AK277" s="180" t="str">
        <f ca="1"/>
        <v/>
      </c>
      <c r="AL277" s="180" t="str">
        <f ca="1"/>
        <v/>
      </c>
      <c r="AM277" s="180" t="str">
        <f ca="1"/>
        <v/>
      </c>
      <c r="AN277" s="180" t="str">
        <f ca="1"/>
        <v/>
      </c>
      <c r="AO277" s="180" t="str">
        <f ca="1"/>
        <v/>
      </c>
      <c r="AP277" s="180" t="str">
        <f ca="1"/>
        <v/>
      </c>
      <c r="AQ277" t="str">
        <f ca="1"/>
        <v/>
      </c>
    </row>
    <row r="278" spans="2:43" x14ac:dyDescent="0.25">
      <c r="B278" s="179" t="str">
        <f ca="1"/>
        <v/>
      </c>
      <c r="C278" s="180" t="str">
        <f ca="1"/>
        <v/>
      </c>
      <c r="D278" s="180" t="str">
        <f ca="1"/>
        <v/>
      </c>
      <c r="E278" s="180" t="str">
        <f ca="1"/>
        <v/>
      </c>
      <c r="F278" s="180" t="str">
        <f ca="1"/>
        <v/>
      </c>
      <c r="G278" s="180" t="str">
        <f ca="1"/>
        <v/>
      </c>
      <c r="H278" s="180" t="str">
        <f ca="1"/>
        <v/>
      </c>
      <c r="I278" s="180" t="str">
        <f ca="1"/>
        <v/>
      </c>
      <c r="J278" s="180" t="str">
        <f ca="1"/>
        <v/>
      </c>
      <c r="K278" s="180" t="str">
        <f ca="1"/>
        <v/>
      </c>
      <c r="L278" s="180" t="str">
        <f ca="1"/>
        <v/>
      </c>
      <c r="M278" s="180" t="str">
        <f ca="1"/>
        <v/>
      </c>
      <c r="N278" s="180" t="str">
        <f ca="1"/>
        <v/>
      </c>
      <c r="O278" s="180" t="str">
        <f ca="1"/>
        <v/>
      </c>
      <c r="P278" s="180" t="str">
        <f ca="1"/>
        <v/>
      </c>
      <c r="Q278" s="180" t="str">
        <f ca="1"/>
        <v/>
      </c>
      <c r="R278" s="180" t="str">
        <f ca="1"/>
        <v/>
      </c>
      <c r="S278" s="180" t="str">
        <f ca="1"/>
        <v/>
      </c>
      <c r="T278" s="180" t="str">
        <f ca="1"/>
        <v/>
      </c>
      <c r="U278" s="180" t="str">
        <f ca="1"/>
        <v/>
      </c>
      <c r="V278" s="180" t="str">
        <f ca="1"/>
        <v/>
      </c>
      <c r="W278" s="180" t="str">
        <f ca="1"/>
        <v/>
      </c>
      <c r="X278" s="180" t="str">
        <f ca="1"/>
        <v/>
      </c>
      <c r="Y278" s="180" t="str">
        <f ca="1"/>
        <v/>
      </c>
      <c r="Z278" s="180" t="str">
        <f ca="1"/>
        <v/>
      </c>
      <c r="AA278" s="180" t="str">
        <f ca="1"/>
        <v/>
      </c>
      <c r="AB278" s="180" t="str">
        <f ca="1"/>
        <v/>
      </c>
      <c r="AC278" s="180" t="str">
        <f ca="1"/>
        <v/>
      </c>
      <c r="AD278" s="180" t="str">
        <f ca="1"/>
        <v/>
      </c>
      <c r="AE278" s="180" t="str">
        <f ca="1"/>
        <v/>
      </c>
      <c r="AF278" s="180" t="str">
        <f ca="1"/>
        <v/>
      </c>
      <c r="AG278" s="180" t="str">
        <f ca="1"/>
        <v/>
      </c>
      <c r="AH278" s="180" t="str">
        <f ca="1"/>
        <v/>
      </c>
      <c r="AI278" s="180" t="str">
        <f ca="1"/>
        <v/>
      </c>
      <c r="AJ278" s="180" t="str">
        <f ca="1"/>
        <v/>
      </c>
      <c r="AK278" s="180" t="str">
        <f ca="1"/>
        <v/>
      </c>
      <c r="AL278" s="180" t="str">
        <f ca="1"/>
        <v/>
      </c>
      <c r="AM278" s="180" t="str">
        <f ca="1"/>
        <v/>
      </c>
      <c r="AN278" s="180" t="str">
        <f ca="1"/>
        <v/>
      </c>
      <c r="AO278" s="180" t="str">
        <f ca="1"/>
        <v/>
      </c>
      <c r="AP278" s="180" t="str">
        <f ca="1"/>
        <v/>
      </c>
      <c r="AQ278" t="str">
        <f ca="1"/>
        <v/>
      </c>
    </row>
    <row r="279" spans="2:43" x14ac:dyDescent="0.25">
      <c r="B279" s="179" t="str">
        <f ca="1"/>
        <v/>
      </c>
      <c r="C279" s="180" t="str">
        <f ca="1"/>
        <v/>
      </c>
      <c r="D279" s="180" t="str">
        <f ca="1"/>
        <v/>
      </c>
      <c r="E279" s="180" t="str">
        <f ca="1"/>
        <v/>
      </c>
      <c r="F279" s="180" t="str">
        <f ca="1"/>
        <v/>
      </c>
      <c r="G279" s="180" t="str">
        <f ca="1"/>
        <v/>
      </c>
      <c r="H279" s="180" t="str">
        <f ca="1"/>
        <v/>
      </c>
      <c r="I279" s="180" t="str">
        <f ca="1"/>
        <v/>
      </c>
      <c r="J279" s="180" t="str">
        <f ca="1"/>
        <v/>
      </c>
      <c r="K279" s="180" t="str">
        <f ca="1"/>
        <v/>
      </c>
      <c r="L279" s="180" t="str">
        <f ca="1"/>
        <v/>
      </c>
      <c r="M279" s="180" t="str">
        <f ca="1"/>
        <v/>
      </c>
      <c r="N279" s="180" t="str">
        <f ca="1"/>
        <v/>
      </c>
      <c r="O279" s="180" t="str">
        <f ca="1"/>
        <v/>
      </c>
      <c r="P279" s="180" t="str">
        <f ca="1"/>
        <v/>
      </c>
      <c r="Q279" s="180" t="str">
        <f ca="1"/>
        <v/>
      </c>
      <c r="R279" s="180" t="str">
        <f ca="1"/>
        <v/>
      </c>
      <c r="S279" s="180" t="str">
        <f ca="1"/>
        <v/>
      </c>
      <c r="T279" s="180" t="str">
        <f ca="1"/>
        <v/>
      </c>
      <c r="U279" s="180" t="str">
        <f ca="1"/>
        <v/>
      </c>
      <c r="V279" s="180" t="str">
        <f ca="1"/>
        <v/>
      </c>
      <c r="W279" s="180" t="str">
        <f ca="1"/>
        <v/>
      </c>
      <c r="X279" s="180" t="str">
        <f ca="1"/>
        <v/>
      </c>
      <c r="Y279" s="180" t="str">
        <f ca="1"/>
        <v/>
      </c>
      <c r="Z279" s="180" t="str">
        <f ca="1"/>
        <v/>
      </c>
      <c r="AA279" s="180" t="str">
        <f ca="1"/>
        <v/>
      </c>
      <c r="AB279" s="180" t="str">
        <f ca="1"/>
        <v/>
      </c>
      <c r="AC279" s="180" t="str">
        <f ca="1"/>
        <v/>
      </c>
      <c r="AD279" s="180" t="str">
        <f ca="1"/>
        <v/>
      </c>
      <c r="AE279" s="180" t="str">
        <f ca="1"/>
        <v/>
      </c>
      <c r="AF279" s="180" t="str">
        <f ca="1"/>
        <v/>
      </c>
      <c r="AG279" s="180" t="str">
        <f ca="1"/>
        <v/>
      </c>
      <c r="AH279" s="180" t="str">
        <f ca="1"/>
        <v/>
      </c>
      <c r="AI279" s="180" t="str">
        <f ca="1"/>
        <v/>
      </c>
      <c r="AJ279" s="180" t="str">
        <f ca="1"/>
        <v/>
      </c>
      <c r="AK279" s="180" t="str">
        <f ca="1"/>
        <v/>
      </c>
      <c r="AL279" s="180" t="str">
        <f ca="1"/>
        <v/>
      </c>
      <c r="AM279" s="180" t="str">
        <f ca="1"/>
        <v/>
      </c>
      <c r="AN279" s="180" t="str">
        <f ca="1"/>
        <v/>
      </c>
      <c r="AO279" s="180" t="str">
        <f ca="1"/>
        <v/>
      </c>
      <c r="AP279" s="180" t="str">
        <f ca="1"/>
        <v/>
      </c>
      <c r="AQ279" t="str">
        <f ca="1"/>
        <v/>
      </c>
    </row>
    <row r="280" spans="2:43" x14ac:dyDescent="0.25">
      <c r="B280" s="179" t="str">
        <f ca="1"/>
        <v/>
      </c>
      <c r="C280" s="180" t="str">
        <f ca="1"/>
        <v/>
      </c>
      <c r="D280" s="180" t="str">
        <f ca="1"/>
        <v/>
      </c>
      <c r="E280" s="180" t="str">
        <f ca="1"/>
        <v/>
      </c>
      <c r="F280" s="180" t="str">
        <f ca="1"/>
        <v/>
      </c>
      <c r="G280" s="180" t="str">
        <f ca="1"/>
        <v/>
      </c>
      <c r="H280" s="180" t="str">
        <f ca="1"/>
        <v/>
      </c>
      <c r="I280" s="180" t="str">
        <f ca="1"/>
        <v/>
      </c>
      <c r="J280" s="180" t="str">
        <f ca="1"/>
        <v/>
      </c>
      <c r="K280" s="180" t="str">
        <f ca="1"/>
        <v/>
      </c>
      <c r="L280" s="180" t="str">
        <f ca="1"/>
        <v/>
      </c>
      <c r="M280" s="180" t="str">
        <f ca="1"/>
        <v/>
      </c>
      <c r="N280" s="180" t="str">
        <f ca="1"/>
        <v/>
      </c>
      <c r="O280" s="180" t="str">
        <f ca="1"/>
        <v/>
      </c>
      <c r="P280" s="180" t="str">
        <f ca="1"/>
        <v/>
      </c>
      <c r="Q280" s="180" t="str">
        <f ca="1"/>
        <v/>
      </c>
      <c r="R280" s="180" t="str">
        <f ca="1"/>
        <v/>
      </c>
      <c r="S280" s="180" t="str">
        <f ca="1"/>
        <v/>
      </c>
      <c r="T280" s="180" t="str">
        <f ca="1"/>
        <v/>
      </c>
      <c r="U280" s="180" t="str">
        <f ca="1"/>
        <v/>
      </c>
      <c r="V280" s="180" t="str">
        <f ca="1"/>
        <v/>
      </c>
      <c r="W280" s="180" t="str">
        <f ca="1"/>
        <v/>
      </c>
      <c r="X280" s="180" t="str">
        <f ca="1"/>
        <v/>
      </c>
      <c r="Y280" s="180" t="str">
        <f ca="1"/>
        <v/>
      </c>
      <c r="Z280" s="180" t="str">
        <f ca="1"/>
        <v/>
      </c>
      <c r="AA280" s="180" t="str">
        <f ca="1"/>
        <v/>
      </c>
      <c r="AB280" s="180" t="str">
        <f ca="1"/>
        <v/>
      </c>
      <c r="AC280" s="180" t="str">
        <f ca="1"/>
        <v/>
      </c>
      <c r="AD280" s="180" t="str">
        <f ca="1"/>
        <v/>
      </c>
      <c r="AE280" s="180" t="str">
        <f ca="1"/>
        <v/>
      </c>
      <c r="AF280" s="180" t="str">
        <f ca="1"/>
        <v/>
      </c>
      <c r="AG280" s="180" t="str">
        <f ca="1"/>
        <v/>
      </c>
      <c r="AH280" s="180" t="str">
        <f ca="1"/>
        <v/>
      </c>
      <c r="AI280" s="180" t="str">
        <f ca="1"/>
        <v/>
      </c>
      <c r="AJ280" s="180" t="str">
        <f ca="1"/>
        <v/>
      </c>
      <c r="AK280" s="180" t="str">
        <f ca="1"/>
        <v/>
      </c>
      <c r="AL280" s="180" t="str">
        <f ca="1"/>
        <v/>
      </c>
      <c r="AM280" s="180" t="str">
        <f ca="1"/>
        <v/>
      </c>
      <c r="AN280" s="180" t="str">
        <f ca="1"/>
        <v/>
      </c>
      <c r="AO280" s="180" t="str">
        <f ca="1"/>
        <v/>
      </c>
      <c r="AP280" s="180" t="str">
        <f ca="1"/>
        <v/>
      </c>
      <c r="AQ280" t="str">
        <f ca="1"/>
        <v/>
      </c>
    </row>
    <row r="281" spans="2:43" x14ac:dyDescent="0.25">
      <c r="B281" s="179" t="str">
        <f ca="1"/>
        <v/>
      </c>
      <c r="C281" s="180" t="str">
        <f ca="1"/>
        <v/>
      </c>
      <c r="D281" s="180" t="str">
        <f ca="1"/>
        <v/>
      </c>
      <c r="E281" s="180" t="str">
        <f ca="1"/>
        <v/>
      </c>
      <c r="F281" s="180" t="str">
        <f ca="1"/>
        <v/>
      </c>
      <c r="G281" s="180" t="str">
        <f ca="1"/>
        <v/>
      </c>
      <c r="H281" s="180" t="str">
        <f ca="1"/>
        <v/>
      </c>
      <c r="I281" s="180" t="str">
        <f ca="1"/>
        <v/>
      </c>
      <c r="J281" s="180" t="str">
        <f ca="1"/>
        <v/>
      </c>
      <c r="K281" s="180" t="str">
        <f ca="1"/>
        <v/>
      </c>
      <c r="L281" s="180" t="str">
        <f ca="1"/>
        <v/>
      </c>
      <c r="M281" s="180" t="str">
        <f ca="1"/>
        <v/>
      </c>
      <c r="N281" s="180" t="str">
        <f ca="1"/>
        <v/>
      </c>
      <c r="O281" s="180" t="str">
        <f ca="1"/>
        <v/>
      </c>
      <c r="P281" s="180" t="str">
        <f ca="1"/>
        <v/>
      </c>
      <c r="Q281" s="180" t="str">
        <f ca="1"/>
        <v/>
      </c>
      <c r="R281" s="180" t="str">
        <f ca="1"/>
        <v/>
      </c>
      <c r="S281" s="180" t="str">
        <f ca="1"/>
        <v/>
      </c>
      <c r="T281" s="180" t="str">
        <f ca="1"/>
        <v/>
      </c>
      <c r="U281" s="180" t="str">
        <f ca="1"/>
        <v/>
      </c>
      <c r="V281" s="180" t="str">
        <f ca="1"/>
        <v/>
      </c>
      <c r="W281" s="180" t="str">
        <f ca="1"/>
        <v/>
      </c>
      <c r="X281" s="180" t="str">
        <f ca="1"/>
        <v/>
      </c>
      <c r="Y281" s="180" t="str">
        <f ca="1"/>
        <v/>
      </c>
      <c r="Z281" s="180" t="str">
        <f ca="1"/>
        <v/>
      </c>
      <c r="AA281" s="180" t="str">
        <f ca="1"/>
        <v/>
      </c>
      <c r="AB281" s="180" t="str">
        <f ca="1"/>
        <v/>
      </c>
      <c r="AC281" s="180" t="str">
        <f ca="1"/>
        <v/>
      </c>
      <c r="AD281" s="180" t="str">
        <f ca="1"/>
        <v/>
      </c>
      <c r="AE281" s="180" t="str">
        <f ca="1"/>
        <v/>
      </c>
      <c r="AF281" s="180" t="str">
        <f ca="1"/>
        <v/>
      </c>
      <c r="AG281" s="180" t="str">
        <f ca="1"/>
        <v/>
      </c>
      <c r="AH281" s="180" t="str">
        <f ca="1"/>
        <v/>
      </c>
      <c r="AI281" s="180" t="str">
        <f ca="1"/>
        <v/>
      </c>
      <c r="AJ281" s="180" t="str">
        <f ca="1"/>
        <v/>
      </c>
      <c r="AK281" s="180" t="str">
        <f ca="1"/>
        <v/>
      </c>
      <c r="AL281" s="180" t="str">
        <f ca="1"/>
        <v/>
      </c>
      <c r="AM281" s="180" t="str">
        <f ca="1"/>
        <v/>
      </c>
      <c r="AN281" s="180" t="str">
        <f ca="1"/>
        <v/>
      </c>
      <c r="AO281" s="180" t="str">
        <f ca="1"/>
        <v/>
      </c>
      <c r="AP281" s="180" t="str">
        <f ca="1"/>
        <v/>
      </c>
      <c r="AQ281" t="str">
        <f ca="1"/>
        <v/>
      </c>
    </row>
    <row r="282" spans="2:43" x14ac:dyDescent="0.25">
      <c r="B282" s="179" t="str">
        <f ca="1"/>
        <v/>
      </c>
      <c r="C282" s="180" t="str">
        <f ca="1"/>
        <v/>
      </c>
      <c r="D282" s="180" t="str">
        <f ca="1"/>
        <v/>
      </c>
      <c r="E282" s="180" t="str">
        <f ca="1"/>
        <v/>
      </c>
      <c r="F282" s="180" t="str">
        <f ca="1"/>
        <v/>
      </c>
      <c r="G282" s="180" t="str">
        <f ca="1"/>
        <v/>
      </c>
      <c r="H282" s="180" t="str">
        <f ca="1"/>
        <v/>
      </c>
      <c r="I282" s="180" t="str">
        <f ca="1"/>
        <v/>
      </c>
      <c r="J282" s="180" t="str">
        <f ca="1"/>
        <v/>
      </c>
      <c r="K282" s="180" t="str">
        <f ca="1"/>
        <v/>
      </c>
      <c r="L282" s="180" t="str">
        <f ca="1"/>
        <v/>
      </c>
      <c r="M282" s="180" t="str">
        <f ca="1"/>
        <v/>
      </c>
      <c r="N282" s="180" t="str">
        <f ca="1"/>
        <v/>
      </c>
      <c r="O282" s="180" t="str">
        <f ca="1"/>
        <v/>
      </c>
      <c r="P282" s="180" t="str">
        <f ca="1"/>
        <v/>
      </c>
      <c r="Q282" s="180" t="str">
        <f ca="1"/>
        <v/>
      </c>
      <c r="R282" s="180" t="str">
        <f ca="1"/>
        <v/>
      </c>
      <c r="S282" s="180" t="str">
        <f ca="1"/>
        <v/>
      </c>
      <c r="T282" s="180" t="str">
        <f ca="1"/>
        <v/>
      </c>
      <c r="U282" s="180" t="str">
        <f ca="1"/>
        <v/>
      </c>
      <c r="V282" s="180" t="str">
        <f ca="1"/>
        <v/>
      </c>
      <c r="W282" s="180" t="str">
        <f ca="1"/>
        <v/>
      </c>
      <c r="X282" s="180" t="str">
        <f ca="1"/>
        <v/>
      </c>
      <c r="Y282" s="180" t="str">
        <f ca="1"/>
        <v/>
      </c>
      <c r="Z282" s="180" t="str">
        <f ca="1"/>
        <v/>
      </c>
      <c r="AA282" s="180" t="str">
        <f ca="1"/>
        <v/>
      </c>
      <c r="AB282" s="180" t="str">
        <f ca="1"/>
        <v/>
      </c>
      <c r="AC282" s="180" t="str">
        <f ca="1"/>
        <v/>
      </c>
      <c r="AD282" s="180" t="str">
        <f ca="1"/>
        <v/>
      </c>
      <c r="AE282" s="180" t="str">
        <f ca="1"/>
        <v/>
      </c>
      <c r="AF282" s="180" t="str">
        <f ca="1"/>
        <v/>
      </c>
      <c r="AG282" s="180" t="str">
        <f ca="1"/>
        <v/>
      </c>
      <c r="AH282" s="180" t="str">
        <f ca="1"/>
        <v/>
      </c>
      <c r="AI282" s="180" t="str">
        <f ca="1"/>
        <v/>
      </c>
      <c r="AJ282" s="180" t="str">
        <f ca="1"/>
        <v/>
      </c>
      <c r="AK282" s="180" t="str">
        <f ca="1"/>
        <v/>
      </c>
      <c r="AL282" s="180" t="str">
        <f ca="1"/>
        <v/>
      </c>
      <c r="AM282" s="180" t="str">
        <f ca="1"/>
        <v/>
      </c>
      <c r="AN282" s="180" t="str">
        <f ca="1"/>
        <v/>
      </c>
      <c r="AO282" s="180" t="str">
        <f ca="1"/>
        <v/>
      </c>
      <c r="AP282" s="180" t="str">
        <f ca="1"/>
        <v/>
      </c>
      <c r="AQ282" t="str">
        <f ca="1"/>
        <v/>
      </c>
    </row>
    <row r="283" spans="2:43" x14ac:dyDescent="0.25">
      <c r="B283" s="179" t="str">
        <f ca="1"/>
        <v/>
      </c>
      <c r="C283" s="180" t="str">
        <f ca="1"/>
        <v/>
      </c>
      <c r="D283" s="180" t="str">
        <f ca="1"/>
        <v/>
      </c>
      <c r="E283" s="180" t="str">
        <f ca="1"/>
        <v/>
      </c>
      <c r="F283" s="180" t="str">
        <f ca="1"/>
        <v/>
      </c>
      <c r="G283" s="180" t="str">
        <f ca="1"/>
        <v/>
      </c>
      <c r="H283" s="180" t="str">
        <f ca="1"/>
        <v/>
      </c>
      <c r="I283" s="180" t="str">
        <f ca="1"/>
        <v/>
      </c>
      <c r="J283" s="180" t="str">
        <f ca="1"/>
        <v/>
      </c>
      <c r="K283" s="180" t="str">
        <f ca="1"/>
        <v/>
      </c>
      <c r="L283" s="180" t="str">
        <f ca="1"/>
        <v/>
      </c>
      <c r="M283" s="180" t="str">
        <f ca="1"/>
        <v/>
      </c>
      <c r="N283" s="180" t="str">
        <f ca="1"/>
        <v/>
      </c>
      <c r="O283" s="180" t="str">
        <f ca="1"/>
        <v/>
      </c>
      <c r="P283" s="180" t="str">
        <f ca="1"/>
        <v/>
      </c>
      <c r="Q283" s="180" t="str">
        <f ca="1"/>
        <v/>
      </c>
      <c r="R283" s="180" t="str">
        <f ca="1"/>
        <v/>
      </c>
      <c r="S283" s="180" t="str">
        <f ca="1"/>
        <v/>
      </c>
      <c r="T283" s="180" t="str">
        <f ca="1"/>
        <v/>
      </c>
      <c r="U283" s="180" t="str">
        <f ca="1"/>
        <v/>
      </c>
      <c r="V283" s="180" t="str">
        <f ca="1"/>
        <v/>
      </c>
      <c r="W283" s="180" t="str">
        <f ca="1"/>
        <v/>
      </c>
      <c r="X283" s="180" t="str">
        <f ca="1"/>
        <v/>
      </c>
      <c r="Y283" s="180" t="str">
        <f ca="1"/>
        <v/>
      </c>
      <c r="Z283" s="180" t="str">
        <f ca="1"/>
        <v/>
      </c>
      <c r="AA283" s="180" t="str">
        <f ca="1"/>
        <v/>
      </c>
      <c r="AB283" s="180" t="str">
        <f ca="1"/>
        <v/>
      </c>
      <c r="AC283" s="180" t="str">
        <f ca="1"/>
        <v/>
      </c>
      <c r="AD283" s="180" t="str">
        <f ca="1"/>
        <v/>
      </c>
      <c r="AE283" s="180" t="str">
        <f ca="1"/>
        <v/>
      </c>
      <c r="AF283" s="180" t="str">
        <f ca="1"/>
        <v/>
      </c>
      <c r="AG283" s="180" t="str">
        <f ca="1"/>
        <v/>
      </c>
      <c r="AH283" s="180" t="str">
        <f ca="1"/>
        <v/>
      </c>
      <c r="AI283" s="180" t="str">
        <f ca="1"/>
        <v/>
      </c>
      <c r="AJ283" s="180" t="str">
        <f ca="1"/>
        <v/>
      </c>
      <c r="AK283" s="180" t="str">
        <f ca="1"/>
        <v/>
      </c>
      <c r="AL283" s="180" t="str">
        <f ca="1"/>
        <v/>
      </c>
      <c r="AM283" s="180" t="str">
        <f ca="1"/>
        <v/>
      </c>
      <c r="AN283" s="180" t="str">
        <f ca="1"/>
        <v/>
      </c>
      <c r="AO283" s="180" t="str">
        <f ca="1"/>
        <v/>
      </c>
      <c r="AP283" s="180" t="str">
        <f ca="1"/>
        <v/>
      </c>
      <c r="AQ283" t="str">
        <f ca="1"/>
        <v/>
      </c>
    </row>
    <row r="284" spans="2:43" x14ac:dyDescent="0.25">
      <c r="B284" s="179" t="str">
        <f ca="1"/>
        <v/>
      </c>
      <c r="C284" s="180" t="str">
        <f ca="1"/>
        <v/>
      </c>
      <c r="D284" s="180" t="str">
        <f ca="1"/>
        <v/>
      </c>
      <c r="E284" s="180" t="str">
        <f ca="1"/>
        <v/>
      </c>
      <c r="F284" s="180" t="str">
        <f ca="1"/>
        <v/>
      </c>
      <c r="G284" s="180" t="str">
        <f ca="1"/>
        <v/>
      </c>
      <c r="H284" s="180" t="str">
        <f ca="1"/>
        <v/>
      </c>
      <c r="I284" s="180" t="str">
        <f ca="1"/>
        <v/>
      </c>
      <c r="J284" s="180" t="str">
        <f ca="1"/>
        <v/>
      </c>
      <c r="K284" s="180" t="str">
        <f ca="1"/>
        <v/>
      </c>
      <c r="L284" s="180" t="str">
        <f ca="1"/>
        <v/>
      </c>
      <c r="M284" s="180" t="str">
        <f ca="1"/>
        <v/>
      </c>
      <c r="N284" s="180" t="str">
        <f ca="1"/>
        <v/>
      </c>
      <c r="O284" s="180" t="str">
        <f ca="1"/>
        <v/>
      </c>
      <c r="P284" s="180" t="str">
        <f ca="1"/>
        <v/>
      </c>
      <c r="Q284" s="180" t="str">
        <f ca="1"/>
        <v/>
      </c>
      <c r="R284" s="180" t="str">
        <f ca="1"/>
        <v/>
      </c>
      <c r="S284" s="180" t="str">
        <f ca="1"/>
        <v/>
      </c>
      <c r="T284" s="180" t="str">
        <f ca="1"/>
        <v/>
      </c>
      <c r="U284" s="180" t="str">
        <f ca="1"/>
        <v/>
      </c>
      <c r="V284" s="180" t="str">
        <f ca="1"/>
        <v/>
      </c>
      <c r="W284" s="180" t="str">
        <f ca="1"/>
        <v/>
      </c>
      <c r="X284" s="180" t="str">
        <f ca="1"/>
        <v/>
      </c>
      <c r="Y284" s="180" t="str">
        <f ca="1"/>
        <v/>
      </c>
      <c r="Z284" s="180" t="str">
        <f ca="1"/>
        <v/>
      </c>
      <c r="AA284" s="180" t="str">
        <f ca="1"/>
        <v/>
      </c>
      <c r="AB284" s="180" t="str">
        <f ca="1"/>
        <v/>
      </c>
      <c r="AC284" s="180" t="str">
        <f ca="1"/>
        <v/>
      </c>
      <c r="AD284" s="180" t="str">
        <f ca="1"/>
        <v/>
      </c>
      <c r="AE284" s="180" t="str">
        <f ca="1"/>
        <v/>
      </c>
      <c r="AF284" s="180" t="str">
        <f ca="1"/>
        <v/>
      </c>
      <c r="AG284" s="180" t="str">
        <f ca="1"/>
        <v/>
      </c>
      <c r="AH284" s="180" t="str">
        <f ca="1"/>
        <v/>
      </c>
      <c r="AI284" s="180" t="str">
        <f ca="1"/>
        <v/>
      </c>
      <c r="AJ284" s="180" t="str">
        <f ca="1"/>
        <v/>
      </c>
      <c r="AK284" s="180" t="str">
        <f ca="1"/>
        <v/>
      </c>
      <c r="AL284" s="180" t="str">
        <f ca="1"/>
        <v/>
      </c>
      <c r="AM284" s="180" t="str">
        <f ca="1"/>
        <v/>
      </c>
      <c r="AN284" s="180" t="str">
        <f ca="1"/>
        <v/>
      </c>
      <c r="AO284" s="180" t="str">
        <f ca="1"/>
        <v/>
      </c>
      <c r="AP284" s="180" t="str">
        <f ca="1"/>
        <v/>
      </c>
      <c r="AQ284" t="str">
        <f ca="1"/>
        <v/>
      </c>
    </row>
    <row r="285" spans="2:43" x14ac:dyDescent="0.25">
      <c r="B285" s="179" t="str">
        <f ca="1"/>
        <v/>
      </c>
      <c r="C285" s="180" t="str">
        <f ca="1"/>
        <v/>
      </c>
      <c r="D285" s="180" t="str">
        <f ca="1"/>
        <v/>
      </c>
      <c r="E285" s="180" t="str">
        <f ca="1"/>
        <v/>
      </c>
      <c r="F285" s="180" t="str">
        <f ca="1"/>
        <v/>
      </c>
      <c r="G285" s="180" t="str">
        <f ca="1"/>
        <v/>
      </c>
      <c r="H285" s="180" t="str">
        <f ca="1"/>
        <v/>
      </c>
      <c r="I285" s="180" t="str">
        <f ca="1"/>
        <v/>
      </c>
      <c r="J285" s="180" t="str">
        <f ca="1"/>
        <v/>
      </c>
      <c r="K285" s="180" t="str">
        <f ca="1"/>
        <v/>
      </c>
      <c r="L285" s="180" t="str">
        <f ca="1"/>
        <v/>
      </c>
      <c r="M285" s="180" t="str">
        <f ca="1"/>
        <v/>
      </c>
      <c r="N285" s="180" t="str">
        <f ca="1"/>
        <v/>
      </c>
      <c r="O285" s="180" t="str">
        <f ca="1"/>
        <v/>
      </c>
      <c r="P285" s="180" t="str">
        <f ca="1"/>
        <v/>
      </c>
      <c r="Q285" s="180" t="str">
        <f ca="1"/>
        <v/>
      </c>
      <c r="R285" s="180" t="str">
        <f ca="1"/>
        <v/>
      </c>
      <c r="S285" s="180" t="str">
        <f ca="1"/>
        <v/>
      </c>
      <c r="T285" s="180" t="str">
        <f ca="1"/>
        <v/>
      </c>
      <c r="U285" s="180" t="str">
        <f ca="1"/>
        <v/>
      </c>
      <c r="V285" s="180" t="str">
        <f ca="1"/>
        <v/>
      </c>
      <c r="W285" s="180" t="str">
        <f ca="1"/>
        <v/>
      </c>
      <c r="X285" s="180" t="str">
        <f ca="1"/>
        <v/>
      </c>
      <c r="Y285" s="180" t="str">
        <f ca="1"/>
        <v/>
      </c>
      <c r="Z285" s="180" t="str">
        <f ca="1"/>
        <v/>
      </c>
      <c r="AA285" s="180" t="str">
        <f ca="1"/>
        <v/>
      </c>
      <c r="AB285" s="180" t="str">
        <f ca="1"/>
        <v/>
      </c>
      <c r="AC285" s="180" t="str">
        <f ca="1"/>
        <v/>
      </c>
      <c r="AD285" s="180" t="str">
        <f ca="1"/>
        <v/>
      </c>
      <c r="AE285" s="180" t="str">
        <f ca="1"/>
        <v/>
      </c>
      <c r="AF285" s="180" t="str">
        <f ca="1"/>
        <v/>
      </c>
      <c r="AG285" s="180" t="str">
        <f ca="1"/>
        <v/>
      </c>
      <c r="AH285" s="180" t="str">
        <f ca="1"/>
        <v/>
      </c>
      <c r="AI285" s="180" t="str">
        <f ca="1"/>
        <v/>
      </c>
      <c r="AJ285" s="180" t="str">
        <f ca="1"/>
        <v/>
      </c>
      <c r="AK285" s="180" t="str">
        <f ca="1"/>
        <v/>
      </c>
      <c r="AL285" s="180" t="str">
        <f ca="1"/>
        <v/>
      </c>
      <c r="AM285" s="180" t="str">
        <f ca="1"/>
        <v/>
      </c>
      <c r="AN285" s="180" t="str">
        <f ca="1"/>
        <v/>
      </c>
      <c r="AO285" s="180" t="str">
        <f ca="1"/>
        <v/>
      </c>
      <c r="AP285" s="180" t="str">
        <f ca="1"/>
        <v/>
      </c>
      <c r="AQ285" t="str">
        <f ca="1"/>
        <v/>
      </c>
    </row>
    <row r="286" spans="2:43" x14ac:dyDescent="0.25">
      <c r="B286" s="179" t="str">
        <f ca="1"/>
        <v/>
      </c>
      <c r="C286" s="180" t="str">
        <f ca="1"/>
        <v/>
      </c>
      <c r="D286" s="180" t="str">
        <f ca="1"/>
        <v/>
      </c>
      <c r="E286" s="180" t="str">
        <f ca="1"/>
        <v/>
      </c>
      <c r="F286" s="180" t="str">
        <f ca="1"/>
        <v/>
      </c>
      <c r="G286" s="180" t="str">
        <f ca="1"/>
        <v/>
      </c>
      <c r="H286" s="180" t="str">
        <f ca="1"/>
        <v/>
      </c>
      <c r="I286" s="180" t="str">
        <f ca="1"/>
        <v/>
      </c>
      <c r="J286" s="180" t="str">
        <f ca="1"/>
        <v/>
      </c>
      <c r="K286" s="180" t="str">
        <f ca="1"/>
        <v/>
      </c>
      <c r="L286" s="180" t="str">
        <f ca="1"/>
        <v/>
      </c>
      <c r="M286" s="180" t="str">
        <f ca="1"/>
        <v/>
      </c>
      <c r="N286" s="180" t="str">
        <f ca="1"/>
        <v/>
      </c>
      <c r="O286" s="180" t="str">
        <f ca="1"/>
        <v/>
      </c>
      <c r="P286" s="180" t="str">
        <f ca="1"/>
        <v/>
      </c>
      <c r="Q286" s="180" t="str">
        <f ca="1"/>
        <v/>
      </c>
      <c r="R286" s="180" t="str">
        <f ca="1"/>
        <v/>
      </c>
      <c r="S286" s="180" t="str">
        <f ca="1"/>
        <v/>
      </c>
      <c r="T286" s="180" t="str">
        <f ca="1"/>
        <v/>
      </c>
      <c r="U286" s="180" t="str">
        <f ca="1"/>
        <v/>
      </c>
      <c r="V286" s="180" t="str">
        <f ca="1"/>
        <v/>
      </c>
      <c r="W286" s="180" t="str">
        <f ca="1"/>
        <v/>
      </c>
      <c r="X286" s="180" t="str">
        <f ca="1"/>
        <v/>
      </c>
      <c r="Y286" s="180" t="str">
        <f ca="1"/>
        <v/>
      </c>
      <c r="Z286" s="180" t="str">
        <f ca="1"/>
        <v/>
      </c>
      <c r="AA286" s="180" t="str">
        <f ca="1"/>
        <v/>
      </c>
      <c r="AB286" s="180" t="str">
        <f ca="1"/>
        <v/>
      </c>
      <c r="AC286" s="180" t="str">
        <f ca="1"/>
        <v/>
      </c>
      <c r="AD286" s="180" t="str">
        <f ca="1"/>
        <v/>
      </c>
      <c r="AE286" s="180" t="str">
        <f ca="1"/>
        <v/>
      </c>
      <c r="AF286" s="180" t="str">
        <f ca="1"/>
        <v/>
      </c>
      <c r="AG286" s="180" t="str">
        <f ca="1"/>
        <v/>
      </c>
      <c r="AH286" s="180" t="str">
        <f ca="1"/>
        <v/>
      </c>
      <c r="AI286" s="180" t="str">
        <f ca="1"/>
        <v/>
      </c>
      <c r="AJ286" s="180" t="str">
        <f ca="1"/>
        <v/>
      </c>
      <c r="AK286" s="180" t="str">
        <f ca="1"/>
        <v/>
      </c>
      <c r="AL286" s="180" t="str">
        <f ca="1"/>
        <v/>
      </c>
      <c r="AM286" s="180" t="str">
        <f ca="1"/>
        <v/>
      </c>
      <c r="AN286" s="180" t="str">
        <f ca="1"/>
        <v/>
      </c>
      <c r="AO286" s="180" t="str">
        <f ca="1"/>
        <v/>
      </c>
      <c r="AP286" s="180" t="str">
        <f ca="1"/>
        <v/>
      </c>
      <c r="AQ286" t="str">
        <f ca="1"/>
        <v/>
      </c>
    </row>
    <row r="287" spans="2:43" x14ac:dyDescent="0.25">
      <c r="B287" s="179" t="str">
        <f ca="1"/>
        <v/>
      </c>
      <c r="C287" s="180" t="str">
        <f ca="1"/>
        <v/>
      </c>
      <c r="D287" s="180" t="str">
        <f ca="1"/>
        <v/>
      </c>
      <c r="E287" s="180" t="str">
        <f ca="1"/>
        <v/>
      </c>
      <c r="F287" s="180" t="str">
        <f ca="1"/>
        <v/>
      </c>
      <c r="G287" s="180" t="str">
        <f ca="1"/>
        <v/>
      </c>
      <c r="H287" s="180" t="str">
        <f ca="1"/>
        <v/>
      </c>
      <c r="I287" s="180" t="str">
        <f ca="1"/>
        <v/>
      </c>
      <c r="J287" s="180" t="str">
        <f ca="1"/>
        <v/>
      </c>
      <c r="K287" s="180" t="str">
        <f ca="1"/>
        <v/>
      </c>
      <c r="L287" s="180" t="str">
        <f ca="1"/>
        <v/>
      </c>
      <c r="M287" s="180" t="str">
        <f ca="1"/>
        <v/>
      </c>
      <c r="N287" s="180" t="str">
        <f ca="1"/>
        <v/>
      </c>
      <c r="O287" s="180" t="str">
        <f ca="1"/>
        <v/>
      </c>
      <c r="P287" s="180" t="str">
        <f ca="1"/>
        <v/>
      </c>
      <c r="Q287" s="180" t="str">
        <f ca="1"/>
        <v/>
      </c>
      <c r="R287" s="180" t="str">
        <f ca="1"/>
        <v/>
      </c>
      <c r="S287" s="180" t="str">
        <f ca="1"/>
        <v/>
      </c>
      <c r="T287" s="180" t="str">
        <f ca="1"/>
        <v/>
      </c>
      <c r="U287" s="180" t="str">
        <f ca="1"/>
        <v/>
      </c>
      <c r="V287" s="180" t="str">
        <f ca="1"/>
        <v/>
      </c>
      <c r="W287" s="180" t="str">
        <f ca="1"/>
        <v/>
      </c>
      <c r="X287" s="180" t="str">
        <f ca="1"/>
        <v/>
      </c>
      <c r="Y287" s="180" t="str">
        <f ca="1"/>
        <v/>
      </c>
      <c r="Z287" s="180" t="str">
        <f ca="1"/>
        <v/>
      </c>
      <c r="AA287" s="180" t="str">
        <f ca="1"/>
        <v/>
      </c>
      <c r="AB287" s="180" t="str">
        <f ca="1"/>
        <v/>
      </c>
      <c r="AC287" s="180" t="str">
        <f ca="1"/>
        <v/>
      </c>
      <c r="AD287" s="180" t="str">
        <f ca="1"/>
        <v/>
      </c>
      <c r="AE287" s="180" t="str">
        <f ca="1"/>
        <v/>
      </c>
      <c r="AF287" s="180" t="str">
        <f ca="1"/>
        <v/>
      </c>
      <c r="AG287" s="180" t="str">
        <f ca="1"/>
        <v/>
      </c>
      <c r="AH287" s="180" t="str">
        <f ca="1"/>
        <v/>
      </c>
      <c r="AI287" s="180" t="str">
        <f ca="1"/>
        <v/>
      </c>
      <c r="AJ287" s="180" t="str">
        <f ca="1"/>
        <v/>
      </c>
      <c r="AK287" s="180" t="str">
        <f ca="1"/>
        <v/>
      </c>
      <c r="AL287" s="180" t="str">
        <f ca="1"/>
        <v/>
      </c>
      <c r="AM287" s="180" t="str">
        <f ca="1"/>
        <v/>
      </c>
      <c r="AN287" s="180" t="str">
        <f ca="1"/>
        <v/>
      </c>
      <c r="AO287" s="180" t="str">
        <f ca="1"/>
        <v/>
      </c>
      <c r="AP287" s="180" t="str">
        <f ca="1"/>
        <v/>
      </c>
      <c r="AQ287" t="str">
        <f ca="1"/>
        <v/>
      </c>
    </row>
    <row r="288" spans="2:43" x14ac:dyDescent="0.25">
      <c r="B288" s="179" t="str">
        <f ca="1"/>
        <v/>
      </c>
      <c r="C288" s="180" t="str">
        <f ca="1"/>
        <v/>
      </c>
      <c r="D288" s="180" t="str">
        <f ca="1"/>
        <v/>
      </c>
      <c r="E288" s="180" t="str">
        <f ca="1"/>
        <v/>
      </c>
      <c r="F288" s="180" t="str">
        <f ca="1"/>
        <v/>
      </c>
      <c r="G288" s="180" t="str">
        <f ca="1"/>
        <v/>
      </c>
      <c r="H288" s="180" t="str">
        <f ca="1"/>
        <v/>
      </c>
      <c r="I288" s="180" t="str">
        <f ca="1"/>
        <v/>
      </c>
      <c r="J288" s="180" t="str">
        <f ca="1"/>
        <v/>
      </c>
      <c r="K288" s="180" t="str">
        <f ca="1"/>
        <v/>
      </c>
      <c r="L288" s="180" t="str">
        <f ca="1"/>
        <v/>
      </c>
      <c r="M288" s="180" t="str">
        <f ca="1"/>
        <v/>
      </c>
      <c r="N288" s="180" t="str">
        <f ca="1"/>
        <v/>
      </c>
      <c r="O288" s="180" t="str">
        <f ca="1"/>
        <v/>
      </c>
      <c r="P288" s="180" t="str">
        <f ca="1"/>
        <v/>
      </c>
      <c r="Q288" s="180" t="str">
        <f ca="1"/>
        <v/>
      </c>
      <c r="R288" s="180" t="str">
        <f ca="1"/>
        <v/>
      </c>
      <c r="S288" s="180" t="str">
        <f ca="1"/>
        <v/>
      </c>
      <c r="T288" s="180" t="str">
        <f ca="1"/>
        <v/>
      </c>
      <c r="U288" s="180" t="str">
        <f ca="1"/>
        <v/>
      </c>
      <c r="V288" s="180" t="str">
        <f ca="1"/>
        <v/>
      </c>
      <c r="W288" s="180" t="str">
        <f ca="1"/>
        <v/>
      </c>
      <c r="X288" s="180" t="str">
        <f ca="1"/>
        <v/>
      </c>
      <c r="Y288" s="180" t="str">
        <f ca="1"/>
        <v/>
      </c>
      <c r="Z288" s="180" t="str">
        <f ca="1"/>
        <v/>
      </c>
      <c r="AA288" s="180" t="str">
        <f ca="1"/>
        <v/>
      </c>
      <c r="AB288" s="180" t="str">
        <f ca="1"/>
        <v/>
      </c>
      <c r="AC288" s="180" t="str">
        <f ca="1"/>
        <v/>
      </c>
      <c r="AD288" s="180" t="str">
        <f ca="1"/>
        <v/>
      </c>
      <c r="AE288" s="180" t="str">
        <f ca="1"/>
        <v/>
      </c>
      <c r="AF288" s="180" t="str">
        <f ca="1"/>
        <v/>
      </c>
      <c r="AG288" s="180" t="str">
        <f ca="1"/>
        <v/>
      </c>
      <c r="AH288" s="180" t="str">
        <f ca="1"/>
        <v/>
      </c>
      <c r="AI288" s="180" t="str">
        <f ca="1"/>
        <v/>
      </c>
      <c r="AJ288" s="180" t="str">
        <f ca="1"/>
        <v/>
      </c>
      <c r="AK288" s="180" t="str">
        <f ca="1"/>
        <v/>
      </c>
      <c r="AL288" s="180" t="str">
        <f ca="1"/>
        <v/>
      </c>
      <c r="AM288" s="180" t="str">
        <f ca="1"/>
        <v/>
      </c>
      <c r="AN288" s="180" t="str">
        <f ca="1"/>
        <v/>
      </c>
      <c r="AO288" s="180" t="str">
        <f ca="1"/>
        <v/>
      </c>
      <c r="AP288" s="180" t="str">
        <f ca="1"/>
        <v/>
      </c>
      <c r="AQ288" t="str">
        <f ca="1"/>
        <v/>
      </c>
    </row>
    <row r="289" spans="2:43" x14ac:dyDescent="0.25">
      <c r="B289" s="179" t="str">
        <f ca="1"/>
        <v/>
      </c>
      <c r="C289" s="180" t="str">
        <f ca="1"/>
        <v/>
      </c>
      <c r="D289" s="180" t="str">
        <f ca="1"/>
        <v/>
      </c>
      <c r="E289" s="180" t="str">
        <f ca="1"/>
        <v/>
      </c>
      <c r="F289" s="180" t="str">
        <f ca="1"/>
        <v/>
      </c>
      <c r="G289" s="180" t="str">
        <f ca="1"/>
        <v/>
      </c>
      <c r="H289" s="180" t="str">
        <f ca="1"/>
        <v/>
      </c>
      <c r="I289" s="180" t="str">
        <f ca="1"/>
        <v/>
      </c>
      <c r="J289" s="180" t="str">
        <f ca="1"/>
        <v/>
      </c>
      <c r="K289" s="180" t="str">
        <f ca="1"/>
        <v/>
      </c>
      <c r="L289" s="180" t="str">
        <f ca="1"/>
        <v/>
      </c>
      <c r="M289" s="180" t="str">
        <f ca="1"/>
        <v/>
      </c>
      <c r="N289" s="180" t="str">
        <f ca="1"/>
        <v/>
      </c>
      <c r="O289" s="180" t="str">
        <f ca="1"/>
        <v/>
      </c>
      <c r="P289" s="180" t="str">
        <f ca="1"/>
        <v/>
      </c>
      <c r="Q289" s="180" t="str">
        <f ca="1"/>
        <v/>
      </c>
      <c r="R289" s="180" t="str">
        <f ca="1"/>
        <v/>
      </c>
      <c r="S289" s="180" t="str">
        <f ca="1"/>
        <v/>
      </c>
      <c r="T289" s="180" t="str">
        <f ca="1"/>
        <v/>
      </c>
      <c r="U289" s="180" t="str">
        <f ca="1"/>
        <v/>
      </c>
      <c r="V289" s="180" t="str">
        <f ca="1"/>
        <v/>
      </c>
      <c r="W289" s="180" t="str">
        <f ca="1"/>
        <v/>
      </c>
      <c r="X289" s="180" t="str">
        <f ca="1"/>
        <v/>
      </c>
      <c r="Y289" s="180" t="str">
        <f ca="1"/>
        <v/>
      </c>
      <c r="Z289" s="180" t="str">
        <f ca="1"/>
        <v/>
      </c>
      <c r="AA289" s="180" t="str">
        <f ca="1"/>
        <v/>
      </c>
      <c r="AB289" s="180" t="str">
        <f ca="1"/>
        <v/>
      </c>
      <c r="AC289" s="180" t="str">
        <f ca="1"/>
        <v/>
      </c>
      <c r="AD289" s="180" t="str">
        <f ca="1"/>
        <v/>
      </c>
      <c r="AE289" s="180" t="str">
        <f ca="1"/>
        <v/>
      </c>
      <c r="AF289" s="180" t="str">
        <f ca="1"/>
        <v/>
      </c>
      <c r="AG289" s="180" t="str">
        <f ca="1"/>
        <v/>
      </c>
      <c r="AH289" s="180" t="str">
        <f ca="1"/>
        <v/>
      </c>
      <c r="AI289" s="180" t="str">
        <f ca="1"/>
        <v/>
      </c>
      <c r="AJ289" s="180" t="str">
        <f ca="1"/>
        <v/>
      </c>
      <c r="AK289" s="180" t="str">
        <f ca="1"/>
        <v/>
      </c>
      <c r="AL289" s="180" t="str">
        <f ca="1"/>
        <v/>
      </c>
      <c r="AM289" s="180" t="str">
        <f ca="1"/>
        <v/>
      </c>
      <c r="AN289" s="180" t="str">
        <f ca="1"/>
        <v/>
      </c>
      <c r="AO289" s="180" t="str">
        <f ca="1"/>
        <v/>
      </c>
      <c r="AP289" s="180" t="str">
        <f ca="1"/>
        <v/>
      </c>
      <c r="AQ289" t="str">
        <f ca="1"/>
        <v/>
      </c>
    </row>
    <row r="290" spans="2:43" x14ac:dyDescent="0.25">
      <c r="B290" s="179" t="str">
        <f ca="1"/>
        <v/>
      </c>
      <c r="C290" s="180" t="str">
        <f ca="1"/>
        <v/>
      </c>
      <c r="D290" s="180" t="str">
        <f ca="1"/>
        <v/>
      </c>
      <c r="E290" s="180" t="str">
        <f ca="1"/>
        <v/>
      </c>
      <c r="F290" s="180" t="str">
        <f ca="1"/>
        <v/>
      </c>
      <c r="G290" s="180" t="str">
        <f ca="1"/>
        <v/>
      </c>
      <c r="H290" s="180" t="str">
        <f ca="1"/>
        <v/>
      </c>
      <c r="I290" s="180" t="str">
        <f ca="1"/>
        <v/>
      </c>
      <c r="J290" s="180" t="str">
        <f ca="1"/>
        <v/>
      </c>
      <c r="K290" s="180" t="str">
        <f ca="1"/>
        <v/>
      </c>
      <c r="L290" s="180" t="str">
        <f ca="1"/>
        <v/>
      </c>
      <c r="M290" s="180" t="str">
        <f ca="1"/>
        <v/>
      </c>
      <c r="N290" s="180" t="str">
        <f ca="1"/>
        <v/>
      </c>
      <c r="O290" s="180" t="str">
        <f ca="1"/>
        <v/>
      </c>
      <c r="P290" s="180" t="str">
        <f ca="1"/>
        <v/>
      </c>
      <c r="Q290" s="180" t="str">
        <f ca="1"/>
        <v/>
      </c>
      <c r="R290" s="180" t="str">
        <f ca="1"/>
        <v/>
      </c>
      <c r="S290" s="180" t="str">
        <f ca="1"/>
        <v/>
      </c>
      <c r="T290" s="180" t="str">
        <f ca="1"/>
        <v/>
      </c>
      <c r="U290" s="180" t="str">
        <f ca="1"/>
        <v/>
      </c>
      <c r="V290" s="180" t="str">
        <f ca="1"/>
        <v/>
      </c>
      <c r="W290" s="180" t="str">
        <f ca="1"/>
        <v/>
      </c>
      <c r="X290" s="180" t="str">
        <f ca="1"/>
        <v/>
      </c>
      <c r="Y290" s="180" t="str">
        <f ca="1"/>
        <v/>
      </c>
      <c r="Z290" s="180" t="str">
        <f ca="1"/>
        <v/>
      </c>
      <c r="AA290" s="180" t="str">
        <f ca="1"/>
        <v/>
      </c>
      <c r="AB290" s="180" t="str">
        <f ca="1"/>
        <v/>
      </c>
      <c r="AC290" s="180" t="str">
        <f ca="1"/>
        <v/>
      </c>
      <c r="AD290" s="180" t="str">
        <f ca="1"/>
        <v/>
      </c>
      <c r="AE290" s="180" t="str">
        <f ca="1"/>
        <v/>
      </c>
      <c r="AF290" s="180" t="str">
        <f ca="1"/>
        <v/>
      </c>
      <c r="AG290" s="180" t="str">
        <f ca="1"/>
        <v/>
      </c>
      <c r="AH290" s="180" t="str">
        <f ca="1"/>
        <v/>
      </c>
      <c r="AI290" s="180" t="str">
        <f ca="1"/>
        <v/>
      </c>
      <c r="AJ290" s="180" t="str">
        <f ca="1"/>
        <v/>
      </c>
      <c r="AK290" s="180" t="str">
        <f ca="1"/>
        <v/>
      </c>
      <c r="AL290" s="180" t="str">
        <f ca="1"/>
        <v/>
      </c>
      <c r="AM290" s="180" t="str">
        <f ca="1"/>
        <v/>
      </c>
      <c r="AN290" s="180" t="str">
        <f ca="1"/>
        <v/>
      </c>
      <c r="AO290" s="180" t="str">
        <f ca="1"/>
        <v/>
      </c>
      <c r="AP290" s="180" t="str">
        <f ca="1"/>
        <v/>
      </c>
      <c r="AQ290" t="str">
        <f ca="1"/>
        <v/>
      </c>
    </row>
    <row r="291" spans="2:43" x14ac:dyDescent="0.25">
      <c r="B291" s="179" t="str">
        <f ca="1"/>
        <v/>
      </c>
      <c r="C291" s="180" t="str">
        <f ca="1"/>
        <v/>
      </c>
      <c r="D291" s="180" t="str">
        <f ca="1"/>
        <v/>
      </c>
      <c r="E291" s="180" t="str">
        <f ca="1"/>
        <v/>
      </c>
      <c r="F291" s="180" t="str">
        <f ca="1"/>
        <v/>
      </c>
      <c r="G291" s="180" t="str">
        <f ca="1"/>
        <v/>
      </c>
      <c r="H291" s="180" t="str">
        <f ca="1"/>
        <v/>
      </c>
      <c r="I291" s="180" t="str">
        <f ca="1"/>
        <v/>
      </c>
      <c r="J291" s="180" t="str">
        <f ca="1"/>
        <v/>
      </c>
      <c r="K291" s="180" t="str">
        <f ca="1"/>
        <v/>
      </c>
      <c r="L291" s="180" t="str">
        <f ca="1"/>
        <v/>
      </c>
      <c r="M291" s="180" t="str">
        <f ca="1"/>
        <v/>
      </c>
      <c r="N291" s="180" t="str">
        <f ca="1"/>
        <v/>
      </c>
      <c r="O291" s="180" t="str">
        <f ca="1"/>
        <v/>
      </c>
      <c r="P291" s="180" t="str">
        <f ca="1"/>
        <v/>
      </c>
      <c r="Q291" s="180" t="str">
        <f ca="1"/>
        <v/>
      </c>
      <c r="R291" s="180" t="str">
        <f ca="1"/>
        <v/>
      </c>
      <c r="S291" s="180" t="str">
        <f ca="1"/>
        <v/>
      </c>
      <c r="T291" s="180" t="str">
        <f ca="1"/>
        <v/>
      </c>
      <c r="U291" s="180" t="str">
        <f ca="1"/>
        <v/>
      </c>
      <c r="V291" s="180" t="str">
        <f ca="1"/>
        <v/>
      </c>
      <c r="W291" s="180" t="str">
        <f ca="1"/>
        <v/>
      </c>
      <c r="X291" s="180" t="str">
        <f ca="1"/>
        <v/>
      </c>
      <c r="Y291" s="180" t="str">
        <f ca="1"/>
        <v/>
      </c>
      <c r="Z291" s="180" t="str">
        <f ca="1"/>
        <v/>
      </c>
      <c r="AA291" s="180" t="str">
        <f ca="1"/>
        <v/>
      </c>
      <c r="AB291" s="180" t="str">
        <f ca="1"/>
        <v/>
      </c>
      <c r="AC291" s="180" t="str">
        <f ca="1"/>
        <v/>
      </c>
      <c r="AD291" s="180" t="str">
        <f ca="1"/>
        <v/>
      </c>
      <c r="AE291" s="180" t="str">
        <f ca="1"/>
        <v/>
      </c>
      <c r="AF291" s="180" t="str">
        <f ca="1"/>
        <v/>
      </c>
      <c r="AG291" s="180" t="str">
        <f ca="1"/>
        <v/>
      </c>
      <c r="AH291" s="180" t="str">
        <f ca="1"/>
        <v/>
      </c>
      <c r="AI291" s="180" t="str">
        <f ca="1"/>
        <v/>
      </c>
      <c r="AJ291" s="180" t="str">
        <f ca="1"/>
        <v/>
      </c>
      <c r="AK291" s="180" t="str">
        <f ca="1"/>
        <v/>
      </c>
      <c r="AL291" s="180" t="str">
        <f ca="1"/>
        <v/>
      </c>
      <c r="AM291" s="180" t="str">
        <f ca="1"/>
        <v/>
      </c>
      <c r="AN291" s="180" t="str">
        <f ca="1"/>
        <v/>
      </c>
      <c r="AO291" s="180" t="str">
        <f ca="1"/>
        <v/>
      </c>
      <c r="AP291" s="180" t="str">
        <f ca="1"/>
        <v/>
      </c>
      <c r="AQ291" t="str">
        <f ca="1"/>
        <v/>
      </c>
    </row>
    <row r="292" spans="2:43" x14ac:dyDescent="0.25">
      <c r="B292" s="179" t="str">
        <f ca="1"/>
        <v/>
      </c>
      <c r="C292" s="180" t="str">
        <f ca="1"/>
        <v/>
      </c>
      <c r="D292" s="180" t="str">
        <f ca="1"/>
        <v/>
      </c>
      <c r="E292" s="180" t="str">
        <f ca="1"/>
        <v/>
      </c>
      <c r="F292" s="180" t="str">
        <f ca="1"/>
        <v/>
      </c>
      <c r="G292" s="180" t="str">
        <f ca="1"/>
        <v/>
      </c>
      <c r="H292" s="180" t="str">
        <f ca="1"/>
        <v/>
      </c>
      <c r="I292" s="180" t="str">
        <f ca="1"/>
        <v/>
      </c>
      <c r="J292" s="180" t="str">
        <f ca="1"/>
        <v/>
      </c>
      <c r="K292" s="180" t="str">
        <f ca="1"/>
        <v/>
      </c>
      <c r="L292" s="180" t="str">
        <f ca="1"/>
        <v/>
      </c>
      <c r="M292" s="180" t="str">
        <f ca="1"/>
        <v/>
      </c>
      <c r="N292" s="180" t="str">
        <f ca="1"/>
        <v/>
      </c>
      <c r="O292" s="180" t="str">
        <f ca="1"/>
        <v/>
      </c>
      <c r="P292" s="180" t="str">
        <f ca="1"/>
        <v/>
      </c>
      <c r="Q292" s="180" t="str">
        <f ca="1"/>
        <v/>
      </c>
      <c r="R292" s="180" t="str">
        <f ca="1"/>
        <v/>
      </c>
      <c r="S292" s="180" t="str">
        <f ca="1"/>
        <v/>
      </c>
      <c r="T292" s="180" t="str">
        <f ca="1"/>
        <v/>
      </c>
      <c r="U292" s="180" t="str">
        <f ca="1"/>
        <v/>
      </c>
      <c r="V292" s="180" t="str">
        <f ca="1"/>
        <v/>
      </c>
      <c r="W292" s="180" t="str">
        <f ca="1"/>
        <v/>
      </c>
      <c r="X292" s="180" t="str">
        <f ca="1"/>
        <v/>
      </c>
      <c r="Y292" s="180" t="str">
        <f ca="1"/>
        <v/>
      </c>
      <c r="Z292" s="180" t="str">
        <f ca="1"/>
        <v/>
      </c>
      <c r="AA292" s="180" t="str">
        <f ca="1"/>
        <v/>
      </c>
      <c r="AB292" s="180" t="str">
        <f ca="1"/>
        <v/>
      </c>
      <c r="AC292" s="180" t="str">
        <f ca="1"/>
        <v/>
      </c>
      <c r="AD292" s="180" t="str">
        <f ca="1"/>
        <v/>
      </c>
      <c r="AE292" s="180" t="str">
        <f ca="1"/>
        <v/>
      </c>
      <c r="AF292" s="180" t="str">
        <f ca="1"/>
        <v/>
      </c>
      <c r="AG292" s="180" t="str">
        <f ca="1"/>
        <v/>
      </c>
      <c r="AH292" s="180" t="str">
        <f ca="1"/>
        <v/>
      </c>
      <c r="AI292" s="180" t="str">
        <f ca="1"/>
        <v/>
      </c>
      <c r="AJ292" s="180" t="str">
        <f ca="1"/>
        <v/>
      </c>
      <c r="AK292" s="180" t="str">
        <f ca="1"/>
        <v/>
      </c>
      <c r="AL292" s="180" t="str">
        <f ca="1"/>
        <v/>
      </c>
      <c r="AM292" s="180" t="str">
        <f ca="1"/>
        <v/>
      </c>
      <c r="AN292" s="180" t="str">
        <f ca="1"/>
        <v/>
      </c>
      <c r="AO292" s="180" t="str">
        <f ca="1"/>
        <v/>
      </c>
      <c r="AP292" s="180" t="str">
        <f ca="1"/>
        <v/>
      </c>
      <c r="AQ292" t="str">
        <f ca="1"/>
        <v/>
      </c>
    </row>
    <row r="293" spans="2:43" x14ac:dyDescent="0.25">
      <c r="B293" s="179" t="str">
        <f ca="1"/>
        <v/>
      </c>
      <c r="C293" s="180" t="str">
        <f ca="1"/>
        <v/>
      </c>
      <c r="D293" s="180" t="str">
        <f ca="1"/>
        <v/>
      </c>
      <c r="E293" s="180" t="str">
        <f ca="1"/>
        <v/>
      </c>
      <c r="F293" s="180" t="str">
        <f ca="1"/>
        <v/>
      </c>
      <c r="G293" s="180" t="str">
        <f ca="1"/>
        <v/>
      </c>
      <c r="H293" s="180" t="str">
        <f ca="1"/>
        <v/>
      </c>
      <c r="I293" s="180" t="str">
        <f ca="1"/>
        <v/>
      </c>
      <c r="J293" s="180" t="str">
        <f ca="1"/>
        <v/>
      </c>
      <c r="K293" s="180" t="str">
        <f ca="1"/>
        <v/>
      </c>
      <c r="L293" s="180" t="str">
        <f ca="1"/>
        <v/>
      </c>
      <c r="M293" s="180" t="str">
        <f ca="1"/>
        <v/>
      </c>
      <c r="N293" s="180" t="str">
        <f ca="1"/>
        <v/>
      </c>
      <c r="O293" s="180" t="str">
        <f ca="1"/>
        <v/>
      </c>
      <c r="P293" s="180" t="str">
        <f ca="1"/>
        <v/>
      </c>
      <c r="Q293" s="180" t="str">
        <f ca="1"/>
        <v/>
      </c>
      <c r="R293" s="180" t="str">
        <f ca="1"/>
        <v/>
      </c>
      <c r="S293" s="180" t="str">
        <f ca="1"/>
        <v/>
      </c>
      <c r="T293" s="180" t="str">
        <f ca="1"/>
        <v/>
      </c>
      <c r="U293" s="180" t="str">
        <f ca="1"/>
        <v/>
      </c>
      <c r="V293" s="180" t="str">
        <f ca="1"/>
        <v/>
      </c>
      <c r="W293" s="180" t="str">
        <f ca="1"/>
        <v/>
      </c>
      <c r="X293" s="180" t="str">
        <f ca="1"/>
        <v/>
      </c>
      <c r="Y293" s="180" t="str">
        <f ca="1"/>
        <v/>
      </c>
      <c r="Z293" s="180" t="str">
        <f ca="1"/>
        <v/>
      </c>
      <c r="AA293" s="180" t="str">
        <f ca="1"/>
        <v/>
      </c>
      <c r="AB293" s="180" t="str">
        <f ca="1"/>
        <v/>
      </c>
      <c r="AC293" s="180" t="str">
        <f ca="1"/>
        <v/>
      </c>
      <c r="AD293" s="180" t="str">
        <f ca="1"/>
        <v/>
      </c>
      <c r="AE293" s="180" t="str">
        <f ca="1"/>
        <v/>
      </c>
      <c r="AF293" s="180" t="str">
        <f ca="1"/>
        <v/>
      </c>
      <c r="AG293" s="180" t="str">
        <f ca="1"/>
        <v/>
      </c>
      <c r="AH293" s="180" t="str">
        <f ca="1"/>
        <v/>
      </c>
      <c r="AI293" s="180" t="str">
        <f ca="1"/>
        <v/>
      </c>
      <c r="AJ293" s="180" t="str">
        <f ca="1"/>
        <v/>
      </c>
      <c r="AK293" s="180" t="str">
        <f ca="1"/>
        <v/>
      </c>
      <c r="AL293" s="180" t="str">
        <f ca="1"/>
        <v/>
      </c>
      <c r="AM293" s="180" t="str">
        <f ca="1"/>
        <v/>
      </c>
      <c r="AN293" s="180" t="str">
        <f ca="1"/>
        <v/>
      </c>
      <c r="AO293" s="180" t="str">
        <f ca="1"/>
        <v/>
      </c>
      <c r="AP293" s="180" t="str">
        <f ca="1"/>
        <v/>
      </c>
      <c r="AQ293" t="str">
        <f ca="1"/>
        <v/>
      </c>
    </row>
    <row r="294" spans="2:43" x14ac:dyDescent="0.25">
      <c r="B294" s="179" t="str">
        <f ca="1"/>
        <v/>
      </c>
      <c r="C294" s="180" t="str">
        <f ca="1"/>
        <v/>
      </c>
      <c r="D294" s="180" t="str">
        <f ca="1"/>
        <v/>
      </c>
      <c r="E294" s="180" t="str">
        <f ca="1"/>
        <v/>
      </c>
      <c r="F294" s="180" t="str">
        <f ca="1"/>
        <v/>
      </c>
      <c r="G294" s="180" t="str">
        <f ca="1"/>
        <v/>
      </c>
      <c r="H294" s="180" t="str">
        <f ca="1"/>
        <v/>
      </c>
      <c r="I294" s="180" t="str">
        <f ca="1"/>
        <v/>
      </c>
      <c r="J294" s="180" t="str">
        <f ca="1"/>
        <v/>
      </c>
      <c r="K294" s="180" t="str">
        <f ca="1"/>
        <v/>
      </c>
      <c r="L294" s="180" t="str">
        <f ca="1"/>
        <v/>
      </c>
      <c r="M294" s="180" t="str">
        <f ca="1"/>
        <v/>
      </c>
      <c r="N294" s="180" t="str">
        <f ca="1"/>
        <v/>
      </c>
      <c r="O294" s="180" t="str">
        <f ca="1"/>
        <v/>
      </c>
      <c r="P294" s="180" t="str">
        <f ca="1"/>
        <v/>
      </c>
      <c r="Q294" s="180" t="str">
        <f ca="1"/>
        <v/>
      </c>
      <c r="R294" s="180" t="str">
        <f ca="1"/>
        <v/>
      </c>
      <c r="S294" s="180" t="str">
        <f ca="1"/>
        <v/>
      </c>
      <c r="T294" s="180" t="str">
        <f ca="1"/>
        <v/>
      </c>
      <c r="U294" s="180" t="str">
        <f ca="1"/>
        <v/>
      </c>
      <c r="V294" s="180" t="str">
        <f ca="1"/>
        <v/>
      </c>
      <c r="W294" s="180" t="str">
        <f ca="1"/>
        <v/>
      </c>
      <c r="X294" s="180" t="str">
        <f ca="1"/>
        <v/>
      </c>
      <c r="Y294" s="180" t="str">
        <f ca="1"/>
        <v/>
      </c>
      <c r="Z294" s="180" t="str">
        <f ca="1"/>
        <v/>
      </c>
      <c r="AA294" s="180" t="str">
        <f ca="1"/>
        <v/>
      </c>
      <c r="AB294" s="180" t="str">
        <f ca="1"/>
        <v/>
      </c>
      <c r="AC294" s="180" t="str">
        <f ca="1"/>
        <v/>
      </c>
      <c r="AD294" s="180" t="str">
        <f ca="1"/>
        <v/>
      </c>
      <c r="AE294" s="180" t="str">
        <f ca="1"/>
        <v/>
      </c>
      <c r="AF294" s="180" t="str">
        <f ca="1"/>
        <v/>
      </c>
      <c r="AG294" s="180" t="str">
        <f ca="1"/>
        <v/>
      </c>
      <c r="AH294" s="180" t="str">
        <f ca="1"/>
        <v/>
      </c>
      <c r="AI294" s="180" t="str">
        <f ca="1"/>
        <v/>
      </c>
      <c r="AJ294" s="180" t="str">
        <f ca="1"/>
        <v/>
      </c>
      <c r="AK294" s="180" t="str">
        <f ca="1"/>
        <v/>
      </c>
      <c r="AL294" s="180" t="str">
        <f ca="1"/>
        <v/>
      </c>
      <c r="AM294" s="180" t="str">
        <f ca="1"/>
        <v/>
      </c>
      <c r="AN294" s="180" t="str">
        <f ca="1"/>
        <v/>
      </c>
      <c r="AO294" s="180" t="str">
        <f ca="1"/>
        <v/>
      </c>
      <c r="AP294" s="180" t="str">
        <f ca="1"/>
        <v/>
      </c>
      <c r="AQ294" t="str">
        <f ca="1"/>
        <v/>
      </c>
    </row>
    <row r="295" spans="2:43" x14ac:dyDescent="0.25">
      <c r="B295" s="179" t="str">
        <f ca="1"/>
        <v/>
      </c>
      <c r="C295" s="180" t="str">
        <f ca="1"/>
        <v/>
      </c>
      <c r="D295" s="180" t="str">
        <f ca="1"/>
        <v/>
      </c>
      <c r="E295" s="180" t="str">
        <f ca="1"/>
        <v/>
      </c>
      <c r="F295" s="180" t="str">
        <f ca="1"/>
        <v/>
      </c>
      <c r="G295" s="180" t="str">
        <f ca="1"/>
        <v/>
      </c>
      <c r="H295" s="180" t="str">
        <f ca="1"/>
        <v/>
      </c>
      <c r="I295" s="180" t="str">
        <f ca="1"/>
        <v/>
      </c>
      <c r="J295" s="180" t="str">
        <f ca="1"/>
        <v/>
      </c>
      <c r="K295" s="180" t="str">
        <f ca="1"/>
        <v/>
      </c>
      <c r="L295" s="180" t="str">
        <f ca="1"/>
        <v/>
      </c>
      <c r="M295" s="180" t="str">
        <f ca="1"/>
        <v/>
      </c>
      <c r="N295" s="180" t="str">
        <f ca="1"/>
        <v/>
      </c>
      <c r="O295" s="180" t="str">
        <f ca="1"/>
        <v/>
      </c>
      <c r="P295" s="180" t="str">
        <f ca="1"/>
        <v/>
      </c>
      <c r="Q295" s="180" t="str">
        <f ca="1"/>
        <v/>
      </c>
      <c r="R295" s="180" t="str">
        <f ca="1"/>
        <v/>
      </c>
      <c r="S295" s="180" t="str">
        <f ca="1"/>
        <v/>
      </c>
      <c r="T295" s="180" t="str">
        <f ca="1"/>
        <v/>
      </c>
      <c r="U295" s="180" t="str">
        <f ca="1"/>
        <v/>
      </c>
      <c r="V295" s="180" t="str">
        <f ca="1"/>
        <v/>
      </c>
      <c r="W295" s="180" t="str">
        <f ca="1"/>
        <v/>
      </c>
      <c r="X295" s="180" t="str">
        <f ca="1"/>
        <v/>
      </c>
      <c r="Y295" s="180" t="str">
        <f ca="1"/>
        <v/>
      </c>
      <c r="Z295" s="180" t="str">
        <f ca="1"/>
        <v/>
      </c>
      <c r="AA295" s="180" t="str">
        <f ca="1"/>
        <v/>
      </c>
      <c r="AB295" s="180" t="str">
        <f ca="1"/>
        <v/>
      </c>
      <c r="AC295" s="180" t="str">
        <f ca="1"/>
        <v/>
      </c>
      <c r="AD295" s="180" t="str">
        <f ca="1"/>
        <v/>
      </c>
      <c r="AE295" s="180" t="str">
        <f ca="1"/>
        <v/>
      </c>
      <c r="AF295" s="180" t="str">
        <f ca="1"/>
        <v/>
      </c>
      <c r="AG295" s="180" t="str">
        <f ca="1"/>
        <v/>
      </c>
      <c r="AH295" s="180" t="str">
        <f ca="1"/>
        <v/>
      </c>
      <c r="AI295" s="180" t="str">
        <f ca="1"/>
        <v/>
      </c>
      <c r="AJ295" s="180" t="str">
        <f ca="1"/>
        <v/>
      </c>
      <c r="AK295" s="180" t="str">
        <f ca="1"/>
        <v/>
      </c>
      <c r="AL295" s="180" t="str">
        <f ca="1"/>
        <v/>
      </c>
      <c r="AM295" s="180" t="str">
        <f ca="1"/>
        <v/>
      </c>
      <c r="AN295" s="180" t="str">
        <f ca="1"/>
        <v/>
      </c>
      <c r="AO295" s="180" t="str">
        <f ca="1"/>
        <v/>
      </c>
      <c r="AP295" s="180" t="str">
        <f ca="1"/>
        <v/>
      </c>
      <c r="AQ295" t="str">
        <f ca="1"/>
        <v/>
      </c>
    </row>
    <row r="296" spans="2:43" x14ac:dyDescent="0.25">
      <c r="B296" s="179" t="str">
        <f ca="1"/>
        <v/>
      </c>
      <c r="C296" s="180" t="str">
        <f ca="1"/>
        <v/>
      </c>
      <c r="D296" s="180" t="str">
        <f ca="1"/>
        <v/>
      </c>
      <c r="E296" s="180" t="str">
        <f ca="1"/>
        <v/>
      </c>
      <c r="F296" s="180" t="str">
        <f ca="1"/>
        <v/>
      </c>
      <c r="G296" s="180" t="str">
        <f ca="1"/>
        <v/>
      </c>
      <c r="H296" s="180" t="str">
        <f ca="1"/>
        <v/>
      </c>
      <c r="I296" s="180" t="str">
        <f ca="1"/>
        <v/>
      </c>
      <c r="J296" s="180" t="str">
        <f ca="1"/>
        <v/>
      </c>
      <c r="K296" s="180" t="str">
        <f ca="1"/>
        <v/>
      </c>
      <c r="L296" s="180" t="str">
        <f ca="1"/>
        <v/>
      </c>
      <c r="M296" s="180" t="str">
        <f ca="1"/>
        <v/>
      </c>
      <c r="N296" s="180" t="str">
        <f ca="1"/>
        <v/>
      </c>
      <c r="O296" s="180" t="str">
        <f ca="1"/>
        <v/>
      </c>
      <c r="P296" s="180" t="str">
        <f ca="1"/>
        <v/>
      </c>
      <c r="Q296" s="180" t="str">
        <f ca="1"/>
        <v/>
      </c>
      <c r="R296" s="180" t="str">
        <f ca="1"/>
        <v/>
      </c>
      <c r="S296" s="180" t="str">
        <f ca="1"/>
        <v/>
      </c>
      <c r="T296" s="180" t="str">
        <f ca="1"/>
        <v/>
      </c>
      <c r="U296" s="180" t="str">
        <f ca="1"/>
        <v/>
      </c>
      <c r="V296" s="180" t="str">
        <f ca="1"/>
        <v/>
      </c>
      <c r="W296" s="180" t="str">
        <f ca="1"/>
        <v/>
      </c>
      <c r="X296" s="180" t="str">
        <f ca="1"/>
        <v/>
      </c>
      <c r="Y296" s="180" t="str">
        <f ca="1"/>
        <v/>
      </c>
      <c r="Z296" s="180" t="str">
        <f ca="1"/>
        <v/>
      </c>
      <c r="AA296" s="180" t="str">
        <f ca="1"/>
        <v/>
      </c>
      <c r="AB296" s="180" t="str">
        <f ca="1"/>
        <v/>
      </c>
      <c r="AC296" s="180" t="str">
        <f ca="1"/>
        <v/>
      </c>
      <c r="AD296" s="180" t="str">
        <f ca="1"/>
        <v/>
      </c>
      <c r="AE296" s="180" t="str">
        <f ca="1"/>
        <v/>
      </c>
      <c r="AF296" s="180" t="str">
        <f ca="1"/>
        <v/>
      </c>
      <c r="AG296" s="180" t="str">
        <f ca="1"/>
        <v/>
      </c>
      <c r="AH296" s="180" t="str">
        <f ca="1"/>
        <v/>
      </c>
      <c r="AI296" s="180" t="str">
        <f ca="1"/>
        <v/>
      </c>
      <c r="AJ296" s="180" t="str">
        <f ca="1"/>
        <v/>
      </c>
      <c r="AK296" s="180" t="str">
        <f ca="1"/>
        <v/>
      </c>
      <c r="AL296" s="180" t="str">
        <f ca="1"/>
        <v/>
      </c>
      <c r="AM296" s="180" t="str">
        <f ca="1"/>
        <v/>
      </c>
      <c r="AN296" s="180" t="str">
        <f ca="1"/>
        <v/>
      </c>
      <c r="AO296" s="180" t="str">
        <f ca="1"/>
        <v/>
      </c>
      <c r="AP296" s="180" t="str">
        <f ca="1"/>
        <v/>
      </c>
      <c r="AQ296" t="str">
        <f ca="1"/>
        <v/>
      </c>
    </row>
    <row r="297" spans="2:43" x14ac:dyDescent="0.25">
      <c r="B297" s="179" t="str">
        <f ca="1"/>
        <v/>
      </c>
      <c r="C297" s="180" t="str">
        <f ca="1"/>
        <v/>
      </c>
      <c r="D297" s="180" t="str">
        <f ca="1"/>
        <v/>
      </c>
      <c r="E297" s="180" t="str">
        <f ca="1"/>
        <v/>
      </c>
      <c r="F297" s="180" t="str">
        <f ca="1"/>
        <v/>
      </c>
      <c r="G297" s="180" t="str">
        <f ca="1"/>
        <v/>
      </c>
      <c r="H297" s="180" t="str">
        <f ca="1"/>
        <v/>
      </c>
      <c r="I297" s="180" t="str">
        <f ca="1"/>
        <v/>
      </c>
      <c r="J297" s="180" t="str">
        <f ca="1"/>
        <v/>
      </c>
      <c r="K297" s="180" t="str">
        <f ca="1"/>
        <v/>
      </c>
      <c r="L297" s="180" t="str">
        <f ca="1"/>
        <v/>
      </c>
      <c r="M297" s="180" t="str">
        <f ca="1"/>
        <v/>
      </c>
      <c r="N297" s="180" t="str">
        <f ca="1"/>
        <v/>
      </c>
      <c r="O297" s="180" t="str">
        <f ca="1"/>
        <v/>
      </c>
      <c r="P297" s="180" t="str">
        <f ca="1"/>
        <v/>
      </c>
      <c r="Q297" s="180" t="str">
        <f ca="1"/>
        <v/>
      </c>
      <c r="R297" s="180" t="str">
        <f ca="1"/>
        <v/>
      </c>
      <c r="S297" s="180" t="str">
        <f ca="1"/>
        <v/>
      </c>
      <c r="T297" s="180" t="str">
        <f ca="1"/>
        <v/>
      </c>
      <c r="U297" s="180" t="str">
        <f ca="1"/>
        <v/>
      </c>
      <c r="V297" s="180" t="str">
        <f ca="1"/>
        <v/>
      </c>
      <c r="W297" s="180" t="str">
        <f ca="1"/>
        <v/>
      </c>
      <c r="X297" s="180" t="str">
        <f ca="1"/>
        <v/>
      </c>
      <c r="Y297" s="180" t="str">
        <f ca="1"/>
        <v/>
      </c>
      <c r="Z297" s="180" t="str">
        <f ca="1"/>
        <v/>
      </c>
      <c r="AA297" s="180" t="str">
        <f ca="1"/>
        <v/>
      </c>
      <c r="AB297" s="180" t="str">
        <f ca="1"/>
        <v/>
      </c>
      <c r="AC297" s="180" t="str">
        <f ca="1"/>
        <v/>
      </c>
      <c r="AD297" s="180" t="str">
        <f ca="1"/>
        <v/>
      </c>
      <c r="AE297" s="180" t="str">
        <f ca="1"/>
        <v/>
      </c>
      <c r="AF297" s="180" t="str">
        <f ca="1"/>
        <v/>
      </c>
      <c r="AG297" s="180" t="str">
        <f ca="1"/>
        <v/>
      </c>
      <c r="AH297" s="180" t="str">
        <f ca="1"/>
        <v/>
      </c>
      <c r="AI297" s="180" t="str">
        <f ca="1"/>
        <v/>
      </c>
      <c r="AJ297" s="180" t="str">
        <f ca="1"/>
        <v/>
      </c>
      <c r="AK297" s="180" t="str">
        <f ca="1"/>
        <v/>
      </c>
      <c r="AL297" s="180" t="str">
        <f ca="1"/>
        <v/>
      </c>
      <c r="AM297" s="180" t="str">
        <f ca="1"/>
        <v/>
      </c>
      <c r="AN297" s="180" t="str">
        <f ca="1"/>
        <v/>
      </c>
      <c r="AO297" s="180" t="str">
        <f ca="1"/>
        <v/>
      </c>
      <c r="AP297" s="180" t="str">
        <f ca="1"/>
        <v/>
      </c>
      <c r="AQ297" t="str">
        <f ca="1"/>
        <v/>
      </c>
    </row>
    <row r="298" spans="2:43" x14ac:dyDescent="0.25">
      <c r="B298" s="179" t="str">
        <f ca="1"/>
        <v/>
      </c>
      <c r="C298" s="180" t="str">
        <f ca="1"/>
        <v/>
      </c>
      <c r="D298" s="180" t="str">
        <f ca="1"/>
        <v/>
      </c>
      <c r="E298" s="180" t="str">
        <f ca="1"/>
        <v/>
      </c>
      <c r="F298" s="180" t="str">
        <f ca="1"/>
        <v/>
      </c>
      <c r="G298" s="180" t="str">
        <f ca="1"/>
        <v/>
      </c>
      <c r="H298" s="180" t="str">
        <f ca="1"/>
        <v/>
      </c>
      <c r="I298" s="180" t="str">
        <f ca="1"/>
        <v/>
      </c>
      <c r="J298" s="180" t="str">
        <f ca="1"/>
        <v/>
      </c>
      <c r="K298" s="180" t="str">
        <f ca="1"/>
        <v/>
      </c>
      <c r="L298" s="180" t="str">
        <f ca="1"/>
        <v/>
      </c>
      <c r="M298" s="180" t="str">
        <f ca="1"/>
        <v/>
      </c>
      <c r="N298" s="180" t="str">
        <f ca="1"/>
        <v/>
      </c>
      <c r="O298" s="180" t="str">
        <f ca="1"/>
        <v/>
      </c>
      <c r="P298" s="180" t="str">
        <f ca="1"/>
        <v/>
      </c>
      <c r="Q298" s="180" t="str">
        <f ca="1"/>
        <v/>
      </c>
      <c r="R298" s="180" t="str">
        <f ca="1"/>
        <v/>
      </c>
      <c r="S298" s="180" t="str">
        <f ca="1"/>
        <v/>
      </c>
      <c r="T298" s="180" t="str">
        <f ca="1"/>
        <v/>
      </c>
      <c r="U298" s="180" t="str">
        <f ca="1"/>
        <v/>
      </c>
      <c r="V298" s="180" t="str">
        <f ca="1"/>
        <v/>
      </c>
      <c r="W298" s="180" t="str">
        <f ca="1"/>
        <v/>
      </c>
      <c r="X298" s="180" t="str">
        <f ca="1"/>
        <v/>
      </c>
      <c r="Y298" s="180" t="str">
        <f ca="1"/>
        <v/>
      </c>
      <c r="Z298" s="180" t="str">
        <f ca="1"/>
        <v/>
      </c>
      <c r="AA298" s="180" t="str">
        <f ca="1"/>
        <v/>
      </c>
      <c r="AB298" s="180" t="str">
        <f ca="1"/>
        <v/>
      </c>
      <c r="AC298" s="180" t="str">
        <f ca="1"/>
        <v/>
      </c>
      <c r="AD298" s="180" t="str">
        <f ca="1"/>
        <v/>
      </c>
      <c r="AE298" s="180" t="str">
        <f ca="1"/>
        <v/>
      </c>
      <c r="AF298" s="180" t="str">
        <f ca="1"/>
        <v/>
      </c>
      <c r="AG298" s="180" t="str">
        <f ca="1"/>
        <v/>
      </c>
      <c r="AH298" s="180" t="str">
        <f ca="1"/>
        <v/>
      </c>
      <c r="AI298" s="180" t="str">
        <f ca="1"/>
        <v/>
      </c>
      <c r="AJ298" s="180" t="str">
        <f ca="1"/>
        <v/>
      </c>
      <c r="AK298" s="180" t="str">
        <f ca="1"/>
        <v/>
      </c>
      <c r="AL298" s="180" t="str">
        <f ca="1"/>
        <v/>
      </c>
      <c r="AM298" s="180" t="str">
        <f ca="1"/>
        <v/>
      </c>
      <c r="AN298" s="180" t="str">
        <f ca="1"/>
        <v/>
      </c>
      <c r="AO298" s="180" t="str">
        <f ca="1"/>
        <v/>
      </c>
      <c r="AP298" s="180" t="str">
        <f ca="1"/>
        <v/>
      </c>
      <c r="AQ298" t="str">
        <f ca="1"/>
        <v/>
      </c>
    </row>
    <row r="299" spans="2:43" x14ac:dyDescent="0.25">
      <c r="B299" s="179" t="str">
        <f ca="1"/>
        <v/>
      </c>
      <c r="C299" s="180" t="str">
        <f ca="1"/>
        <v/>
      </c>
      <c r="D299" s="180" t="str">
        <f ca="1"/>
        <v/>
      </c>
      <c r="E299" s="180" t="str">
        <f ca="1"/>
        <v/>
      </c>
      <c r="F299" s="180" t="str">
        <f ca="1"/>
        <v/>
      </c>
      <c r="G299" s="180" t="str">
        <f ca="1"/>
        <v/>
      </c>
      <c r="H299" s="180" t="str">
        <f ca="1"/>
        <v/>
      </c>
      <c r="I299" s="180" t="str">
        <f ca="1"/>
        <v/>
      </c>
      <c r="J299" s="180" t="str">
        <f ca="1"/>
        <v/>
      </c>
      <c r="K299" s="180" t="str">
        <f ca="1"/>
        <v/>
      </c>
      <c r="L299" s="180" t="str">
        <f ca="1"/>
        <v/>
      </c>
      <c r="M299" s="180" t="str">
        <f ca="1"/>
        <v/>
      </c>
      <c r="N299" s="180" t="str">
        <f ca="1"/>
        <v/>
      </c>
      <c r="O299" s="180" t="str">
        <f ca="1"/>
        <v/>
      </c>
      <c r="P299" s="180" t="str">
        <f ca="1"/>
        <v/>
      </c>
      <c r="Q299" s="180" t="str">
        <f ca="1"/>
        <v/>
      </c>
      <c r="R299" s="180" t="str">
        <f ca="1"/>
        <v/>
      </c>
      <c r="S299" s="180" t="str">
        <f ca="1"/>
        <v/>
      </c>
      <c r="T299" s="180" t="str">
        <f ca="1"/>
        <v/>
      </c>
      <c r="U299" s="180" t="str">
        <f ca="1"/>
        <v/>
      </c>
      <c r="V299" s="180" t="str">
        <f ca="1"/>
        <v/>
      </c>
      <c r="W299" s="180" t="str">
        <f ca="1"/>
        <v/>
      </c>
      <c r="X299" s="180" t="str">
        <f ca="1"/>
        <v/>
      </c>
      <c r="Y299" s="180" t="str">
        <f ca="1"/>
        <v/>
      </c>
      <c r="Z299" s="180" t="str">
        <f ca="1"/>
        <v/>
      </c>
      <c r="AA299" s="180" t="str">
        <f ca="1"/>
        <v/>
      </c>
      <c r="AB299" s="180" t="str">
        <f ca="1"/>
        <v/>
      </c>
      <c r="AC299" s="180" t="str">
        <f ca="1"/>
        <v/>
      </c>
      <c r="AD299" s="180" t="str">
        <f ca="1"/>
        <v/>
      </c>
      <c r="AE299" s="180" t="str">
        <f ca="1"/>
        <v/>
      </c>
      <c r="AF299" s="180" t="str">
        <f ca="1"/>
        <v/>
      </c>
      <c r="AG299" s="180" t="str">
        <f ca="1"/>
        <v/>
      </c>
      <c r="AH299" s="180" t="str">
        <f ca="1"/>
        <v/>
      </c>
      <c r="AI299" s="180" t="str">
        <f ca="1"/>
        <v/>
      </c>
      <c r="AJ299" s="180" t="str">
        <f ca="1"/>
        <v/>
      </c>
      <c r="AK299" s="180" t="str">
        <f ca="1"/>
        <v/>
      </c>
      <c r="AL299" s="180" t="str">
        <f ca="1"/>
        <v/>
      </c>
      <c r="AM299" s="180" t="str">
        <f ca="1"/>
        <v/>
      </c>
      <c r="AN299" s="180" t="str">
        <f ca="1"/>
        <v/>
      </c>
      <c r="AO299" s="180" t="str">
        <f ca="1"/>
        <v/>
      </c>
      <c r="AP299" s="180" t="str">
        <f ca="1"/>
        <v/>
      </c>
      <c r="AQ299" t="str">
        <f ca="1"/>
        <v/>
      </c>
    </row>
    <row r="300" spans="2:43" x14ac:dyDescent="0.25">
      <c r="B300" s="179" t="str">
        <f ca="1"/>
        <v/>
      </c>
      <c r="C300" s="180" t="str">
        <f ca="1"/>
        <v/>
      </c>
      <c r="D300" s="180" t="str">
        <f ca="1"/>
        <v/>
      </c>
      <c r="E300" s="180" t="str">
        <f ca="1"/>
        <v/>
      </c>
      <c r="F300" s="180" t="str">
        <f ca="1"/>
        <v/>
      </c>
      <c r="G300" s="180" t="str">
        <f ca="1"/>
        <v/>
      </c>
      <c r="H300" s="180" t="str">
        <f ca="1"/>
        <v/>
      </c>
      <c r="I300" s="180" t="str">
        <f ca="1"/>
        <v/>
      </c>
      <c r="J300" s="180" t="str">
        <f ca="1"/>
        <v/>
      </c>
      <c r="K300" s="180" t="str">
        <f ca="1"/>
        <v/>
      </c>
      <c r="L300" s="180" t="str">
        <f ca="1"/>
        <v/>
      </c>
      <c r="M300" s="180" t="str">
        <f ca="1"/>
        <v/>
      </c>
      <c r="N300" s="180" t="str">
        <f ca="1"/>
        <v/>
      </c>
      <c r="O300" s="180" t="str">
        <f ca="1"/>
        <v/>
      </c>
      <c r="P300" s="180" t="str">
        <f ca="1"/>
        <v/>
      </c>
      <c r="Q300" s="180" t="str">
        <f ca="1"/>
        <v/>
      </c>
      <c r="R300" s="180" t="str">
        <f ca="1"/>
        <v/>
      </c>
      <c r="S300" s="180" t="str">
        <f ca="1"/>
        <v/>
      </c>
      <c r="T300" s="180" t="str">
        <f ca="1"/>
        <v/>
      </c>
      <c r="U300" s="180" t="str">
        <f ca="1"/>
        <v/>
      </c>
      <c r="V300" s="180" t="str">
        <f ca="1"/>
        <v/>
      </c>
      <c r="W300" s="180" t="str">
        <f ca="1"/>
        <v/>
      </c>
      <c r="X300" s="180" t="str">
        <f ca="1"/>
        <v/>
      </c>
      <c r="Y300" s="180" t="str">
        <f ca="1"/>
        <v/>
      </c>
      <c r="Z300" s="180" t="str">
        <f ca="1"/>
        <v/>
      </c>
      <c r="AA300" s="180" t="str">
        <f ca="1"/>
        <v/>
      </c>
      <c r="AB300" s="180" t="str">
        <f ca="1"/>
        <v/>
      </c>
      <c r="AC300" s="180" t="str">
        <f ca="1"/>
        <v/>
      </c>
      <c r="AD300" s="180" t="str">
        <f ca="1"/>
        <v/>
      </c>
      <c r="AE300" s="180" t="str">
        <f ca="1"/>
        <v/>
      </c>
      <c r="AF300" s="180" t="str">
        <f ca="1"/>
        <v/>
      </c>
      <c r="AG300" s="180" t="str">
        <f ca="1"/>
        <v/>
      </c>
      <c r="AH300" s="180" t="str">
        <f ca="1"/>
        <v/>
      </c>
      <c r="AI300" s="180" t="str">
        <f ca="1"/>
        <v/>
      </c>
      <c r="AJ300" s="180" t="str">
        <f ca="1"/>
        <v/>
      </c>
      <c r="AK300" s="180" t="str">
        <f ca="1"/>
        <v/>
      </c>
      <c r="AL300" s="180" t="str">
        <f ca="1"/>
        <v/>
      </c>
      <c r="AM300" s="180" t="str">
        <f ca="1"/>
        <v/>
      </c>
      <c r="AN300" s="180" t="str">
        <f ca="1"/>
        <v/>
      </c>
      <c r="AO300" s="180" t="str">
        <f ca="1"/>
        <v/>
      </c>
      <c r="AP300" s="180" t="str">
        <f ca="1"/>
        <v/>
      </c>
      <c r="AQ300" t="str">
        <f ca="1"/>
        <v/>
      </c>
    </row>
    <row r="301" spans="2:43" x14ac:dyDescent="0.25">
      <c r="B301" s="179" t="str">
        <f ca="1"/>
        <v/>
      </c>
      <c r="C301" s="180" t="str">
        <f ca="1"/>
        <v/>
      </c>
      <c r="D301" s="180" t="str">
        <f ca="1"/>
        <v/>
      </c>
      <c r="E301" s="180" t="str">
        <f ca="1"/>
        <v/>
      </c>
      <c r="F301" s="180" t="str">
        <f ca="1"/>
        <v/>
      </c>
      <c r="G301" s="180" t="str">
        <f ca="1"/>
        <v/>
      </c>
      <c r="H301" s="180" t="str">
        <f ca="1"/>
        <v/>
      </c>
      <c r="I301" s="180" t="str">
        <f ca="1"/>
        <v/>
      </c>
      <c r="J301" s="180" t="str">
        <f ca="1"/>
        <v/>
      </c>
      <c r="K301" s="180" t="str">
        <f ca="1"/>
        <v/>
      </c>
      <c r="L301" s="180" t="str">
        <f ca="1"/>
        <v/>
      </c>
      <c r="M301" s="180" t="str">
        <f ca="1"/>
        <v/>
      </c>
      <c r="N301" s="180" t="str">
        <f ca="1"/>
        <v/>
      </c>
      <c r="O301" s="180" t="str">
        <f ca="1"/>
        <v/>
      </c>
      <c r="P301" s="180" t="str">
        <f ca="1"/>
        <v/>
      </c>
      <c r="Q301" s="180" t="str">
        <f ca="1"/>
        <v/>
      </c>
      <c r="R301" s="180" t="str">
        <f ca="1"/>
        <v/>
      </c>
      <c r="S301" s="180" t="str">
        <f ca="1"/>
        <v/>
      </c>
      <c r="T301" s="180" t="str">
        <f ca="1"/>
        <v/>
      </c>
      <c r="U301" s="180" t="str">
        <f ca="1"/>
        <v/>
      </c>
      <c r="V301" s="180" t="str">
        <f ca="1"/>
        <v/>
      </c>
      <c r="W301" s="180" t="str">
        <f ca="1"/>
        <v/>
      </c>
      <c r="X301" s="180" t="str">
        <f ca="1"/>
        <v/>
      </c>
      <c r="Y301" s="180" t="str">
        <f ca="1"/>
        <v/>
      </c>
      <c r="Z301" s="180" t="str">
        <f ca="1"/>
        <v/>
      </c>
      <c r="AA301" s="180" t="str">
        <f ca="1"/>
        <v/>
      </c>
      <c r="AB301" s="180" t="str">
        <f ca="1"/>
        <v/>
      </c>
      <c r="AC301" s="180" t="str">
        <f ca="1"/>
        <v/>
      </c>
      <c r="AD301" s="180" t="str">
        <f ca="1"/>
        <v/>
      </c>
      <c r="AE301" s="180" t="str">
        <f ca="1"/>
        <v/>
      </c>
      <c r="AF301" s="180" t="str">
        <f ca="1"/>
        <v/>
      </c>
      <c r="AG301" s="180" t="str">
        <f ca="1"/>
        <v/>
      </c>
      <c r="AH301" s="180" t="str">
        <f ca="1"/>
        <v/>
      </c>
      <c r="AI301" s="180" t="str">
        <f ca="1"/>
        <v/>
      </c>
      <c r="AJ301" s="180" t="str">
        <f ca="1"/>
        <v/>
      </c>
      <c r="AK301" s="180" t="str">
        <f ca="1"/>
        <v/>
      </c>
      <c r="AL301" s="180" t="str">
        <f ca="1"/>
        <v/>
      </c>
      <c r="AM301" s="180" t="str">
        <f ca="1"/>
        <v/>
      </c>
      <c r="AN301" s="180" t="str">
        <f ca="1"/>
        <v/>
      </c>
      <c r="AO301" s="180" t="str">
        <f ca="1"/>
        <v/>
      </c>
      <c r="AP301" s="180" t="str">
        <f ca="1"/>
        <v/>
      </c>
      <c r="AQ301" t="str">
        <f ca="1"/>
        <v/>
      </c>
    </row>
    <row r="302" spans="2:43" x14ac:dyDescent="0.25">
      <c r="B302" s="179" t="str">
        <f ca="1"/>
        <v/>
      </c>
      <c r="C302" s="180" t="str">
        <f ca="1"/>
        <v/>
      </c>
      <c r="D302" s="180" t="str">
        <f ca="1"/>
        <v/>
      </c>
      <c r="E302" s="180" t="str">
        <f ca="1"/>
        <v/>
      </c>
      <c r="F302" s="180" t="str">
        <f ca="1"/>
        <v/>
      </c>
      <c r="G302" s="180" t="str">
        <f ca="1"/>
        <v/>
      </c>
      <c r="H302" s="180" t="str">
        <f ca="1"/>
        <v/>
      </c>
      <c r="I302" s="180" t="str">
        <f ca="1"/>
        <v/>
      </c>
      <c r="J302" s="180" t="str">
        <f ca="1"/>
        <v/>
      </c>
      <c r="K302" s="180" t="str">
        <f ca="1"/>
        <v/>
      </c>
      <c r="L302" s="180" t="str">
        <f ca="1"/>
        <v/>
      </c>
      <c r="M302" s="180" t="str">
        <f ca="1"/>
        <v/>
      </c>
      <c r="N302" s="180" t="str">
        <f ca="1"/>
        <v/>
      </c>
      <c r="O302" s="180" t="str">
        <f ca="1"/>
        <v/>
      </c>
      <c r="P302" s="180" t="str">
        <f ca="1"/>
        <v/>
      </c>
      <c r="Q302" s="180" t="str">
        <f ca="1"/>
        <v/>
      </c>
      <c r="R302" s="180" t="str">
        <f ca="1"/>
        <v/>
      </c>
      <c r="S302" s="180" t="str">
        <f ca="1"/>
        <v/>
      </c>
      <c r="T302" s="180" t="str">
        <f ca="1"/>
        <v/>
      </c>
      <c r="U302" s="180" t="str">
        <f ca="1"/>
        <v/>
      </c>
      <c r="V302" s="180" t="str">
        <f ca="1"/>
        <v/>
      </c>
      <c r="W302" s="180" t="str">
        <f ca="1"/>
        <v/>
      </c>
      <c r="X302" s="180" t="str">
        <f ca="1"/>
        <v/>
      </c>
      <c r="Y302" s="180" t="str">
        <f ca="1"/>
        <v/>
      </c>
      <c r="Z302" s="180" t="str">
        <f ca="1"/>
        <v/>
      </c>
      <c r="AA302" s="180" t="str">
        <f ca="1"/>
        <v/>
      </c>
      <c r="AB302" s="180" t="str">
        <f ca="1"/>
        <v/>
      </c>
      <c r="AC302" s="180" t="str">
        <f ca="1"/>
        <v/>
      </c>
      <c r="AD302" s="180" t="str">
        <f ca="1"/>
        <v/>
      </c>
      <c r="AE302" s="180" t="str">
        <f ca="1"/>
        <v/>
      </c>
      <c r="AF302" s="180" t="str">
        <f ca="1"/>
        <v/>
      </c>
      <c r="AG302" s="180" t="str">
        <f ca="1"/>
        <v/>
      </c>
      <c r="AH302" s="180" t="str">
        <f ca="1"/>
        <v/>
      </c>
      <c r="AI302" s="180" t="str">
        <f ca="1"/>
        <v/>
      </c>
      <c r="AJ302" s="180" t="str">
        <f ca="1"/>
        <v/>
      </c>
      <c r="AK302" s="180" t="str">
        <f ca="1"/>
        <v/>
      </c>
      <c r="AL302" s="180" t="str">
        <f ca="1"/>
        <v/>
      </c>
      <c r="AM302" s="180" t="str">
        <f ca="1"/>
        <v/>
      </c>
      <c r="AN302" s="180" t="str">
        <f ca="1"/>
        <v/>
      </c>
      <c r="AO302" s="180" t="str">
        <f ca="1"/>
        <v/>
      </c>
      <c r="AP302" s="180" t="str">
        <f ca="1"/>
        <v/>
      </c>
      <c r="AQ302" t="str">
        <f ca="1"/>
        <v/>
      </c>
    </row>
    <row r="303" spans="2:43" x14ac:dyDescent="0.25">
      <c r="B303" s="179" t="str">
        <f ca="1"/>
        <v/>
      </c>
      <c r="C303" s="180" t="str">
        <f ca="1"/>
        <v/>
      </c>
      <c r="D303" s="180" t="str">
        <f ca="1"/>
        <v/>
      </c>
      <c r="E303" s="180" t="str">
        <f ca="1"/>
        <v/>
      </c>
      <c r="F303" s="180" t="str">
        <f ca="1"/>
        <v/>
      </c>
      <c r="G303" s="180" t="str">
        <f ca="1"/>
        <v/>
      </c>
      <c r="H303" s="180" t="str">
        <f ca="1"/>
        <v/>
      </c>
      <c r="I303" s="180" t="str">
        <f ca="1"/>
        <v/>
      </c>
      <c r="J303" s="180" t="str">
        <f ca="1"/>
        <v/>
      </c>
      <c r="K303" s="180" t="str">
        <f ca="1"/>
        <v/>
      </c>
      <c r="L303" s="180" t="str">
        <f ca="1"/>
        <v/>
      </c>
      <c r="M303" s="180" t="str">
        <f ca="1"/>
        <v/>
      </c>
      <c r="N303" s="180" t="str">
        <f ca="1"/>
        <v/>
      </c>
      <c r="O303" s="180" t="str">
        <f ca="1"/>
        <v/>
      </c>
      <c r="P303" s="180" t="str">
        <f ca="1"/>
        <v/>
      </c>
      <c r="Q303" s="180" t="str">
        <f ca="1"/>
        <v/>
      </c>
      <c r="R303" s="180" t="str">
        <f ca="1"/>
        <v/>
      </c>
      <c r="S303" s="180" t="str">
        <f ca="1"/>
        <v/>
      </c>
      <c r="T303" s="180" t="str">
        <f ca="1"/>
        <v/>
      </c>
      <c r="U303" s="180" t="str">
        <f ca="1"/>
        <v/>
      </c>
      <c r="V303" s="180" t="str">
        <f ca="1"/>
        <v/>
      </c>
      <c r="W303" s="180" t="str">
        <f ca="1"/>
        <v/>
      </c>
      <c r="X303" s="180" t="str">
        <f ca="1"/>
        <v/>
      </c>
      <c r="Y303" s="180" t="str">
        <f ca="1"/>
        <v/>
      </c>
      <c r="Z303" s="180" t="str">
        <f ca="1"/>
        <v/>
      </c>
      <c r="AA303" s="180" t="str">
        <f ca="1"/>
        <v/>
      </c>
      <c r="AB303" s="180" t="str">
        <f ca="1"/>
        <v/>
      </c>
      <c r="AC303" s="180" t="str">
        <f ca="1"/>
        <v/>
      </c>
      <c r="AD303" s="180" t="str">
        <f ca="1"/>
        <v/>
      </c>
      <c r="AE303" s="180" t="str">
        <f ca="1"/>
        <v/>
      </c>
      <c r="AF303" s="180" t="str">
        <f ca="1"/>
        <v/>
      </c>
      <c r="AG303" s="180" t="str">
        <f ca="1"/>
        <v/>
      </c>
      <c r="AH303" s="180" t="str">
        <f ca="1"/>
        <v/>
      </c>
      <c r="AI303" s="180" t="str">
        <f ca="1"/>
        <v/>
      </c>
      <c r="AJ303" s="180" t="str">
        <f ca="1"/>
        <v/>
      </c>
      <c r="AK303" s="180" t="str">
        <f ca="1"/>
        <v/>
      </c>
      <c r="AL303" s="180" t="str">
        <f ca="1"/>
        <v/>
      </c>
      <c r="AM303" s="180" t="str">
        <f ca="1"/>
        <v/>
      </c>
      <c r="AN303" s="180" t="str">
        <f ca="1"/>
        <v/>
      </c>
      <c r="AO303" s="180" t="str">
        <f ca="1"/>
        <v/>
      </c>
      <c r="AP303" s="180" t="str">
        <f ca="1"/>
        <v/>
      </c>
      <c r="AQ303" t="str">
        <f ca="1"/>
        <v/>
      </c>
    </row>
    <row r="304" spans="2:43" x14ac:dyDescent="0.25">
      <c r="B304" s="179" t="str">
        <f ca="1"/>
        <v/>
      </c>
      <c r="C304" s="180" t="str">
        <f ca="1"/>
        <v/>
      </c>
      <c r="D304" s="180" t="str">
        <f ca="1"/>
        <v/>
      </c>
      <c r="E304" s="180" t="str">
        <f ca="1"/>
        <v/>
      </c>
      <c r="F304" s="180" t="str">
        <f ca="1"/>
        <v/>
      </c>
      <c r="G304" s="180" t="str">
        <f ca="1"/>
        <v/>
      </c>
      <c r="H304" s="180" t="str">
        <f ca="1"/>
        <v/>
      </c>
      <c r="I304" s="180" t="str">
        <f ca="1"/>
        <v/>
      </c>
      <c r="J304" s="180" t="str">
        <f ca="1"/>
        <v/>
      </c>
      <c r="K304" s="180" t="str">
        <f ca="1"/>
        <v/>
      </c>
      <c r="L304" s="180" t="str">
        <f ca="1"/>
        <v/>
      </c>
      <c r="M304" s="180" t="str">
        <f ca="1"/>
        <v/>
      </c>
      <c r="N304" s="180" t="str">
        <f ca="1"/>
        <v/>
      </c>
      <c r="O304" s="180" t="str">
        <f ca="1"/>
        <v/>
      </c>
      <c r="P304" s="180" t="str">
        <f ca="1"/>
        <v/>
      </c>
      <c r="Q304" s="180" t="str">
        <f ca="1"/>
        <v/>
      </c>
      <c r="R304" s="180" t="str">
        <f ca="1"/>
        <v/>
      </c>
      <c r="S304" s="180" t="str">
        <f ca="1"/>
        <v/>
      </c>
      <c r="T304" s="180" t="str">
        <f ca="1"/>
        <v/>
      </c>
      <c r="U304" s="180" t="str">
        <f ca="1"/>
        <v/>
      </c>
      <c r="V304" s="180" t="str">
        <f ca="1"/>
        <v/>
      </c>
      <c r="W304" s="180" t="str">
        <f ca="1"/>
        <v/>
      </c>
      <c r="X304" s="180" t="str">
        <f ca="1"/>
        <v/>
      </c>
      <c r="Y304" s="180" t="str">
        <f ca="1"/>
        <v/>
      </c>
      <c r="Z304" s="180" t="str">
        <f ca="1"/>
        <v/>
      </c>
      <c r="AA304" s="180" t="str">
        <f ca="1"/>
        <v/>
      </c>
      <c r="AB304" s="180" t="str">
        <f ca="1"/>
        <v/>
      </c>
      <c r="AC304" s="180" t="str">
        <f ca="1"/>
        <v/>
      </c>
      <c r="AD304" s="180" t="str">
        <f ca="1"/>
        <v/>
      </c>
      <c r="AE304" s="180" t="str">
        <f ca="1"/>
        <v/>
      </c>
      <c r="AF304" s="180" t="str">
        <f ca="1"/>
        <v/>
      </c>
      <c r="AG304" s="180" t="str">
        <f ca="1"/>
        <v/>
      </c>
      <c r="AH304" s="180" t="str">
        <f ca="1"/>
        <v/>
      </c>
      <c r="AI304" s="180" t="str">
        <f ca="1"/>
        <v/>
      </c>
      <c r="AJ304" s="180" t="str">
        <f ca="1"/>
        <v/>
      </c>
      <c r="AK304" s="180" t="str">
        <f ca="1"/>
        <v/>
      </c>
      <c r="AL304" s="180" t="str">
        <f ca="1"/>
        <v/>
      </c>
      <c r="AM304" s="180" t="str">
        <f ca="1"/>
        <v/>
      </c>
      <c r="AN304" s="180" t="str">
        <f ca="1"/>
        <v/>
      </c>
      <c r="AO304" s="180" t="str">
        <f ca="1"/>
        <v/>
      </c>
      <c r="AP304" s="180" t="str">
        <f ca="1"/>
        <v/>
      </c>
      <c r="AQ304" t="str">
        <f ca="1"/>
        <v/>
      </c>
    </row>
    <row r="305" spans="2:43" x14ac:dyDescent="0.25">
      <c r="B305" s="179" t="str">
        <f ca="1"/>
        <v/>
      </c>
      <c r="C305" s="180" t="str">
        <f ca="1"/>
        <v/>
      </c>
      <c r="D305" s="180" t="str">
        <f ca="1"/>
        <v/>
      </c>
      <c r="E305" s="180" t="str">
        <f ca="1"/>
        <v/>
      </c>
      <c r="F305" s="180" t="str">
        <f ca="1"/>
        <v/>
      </c>
      <c r="G305" s="180" t="str">
        <f ca="1"/>
        <v/>
      </c>
      <c r="H305" s="180" t="str">
        <f ca="1"/>
        <v/>
      </c>
      <c r="I305" s="180" t="str">
        <f ca="1"/>
        <v/>
      </c>
      <c r="J305" s="180" t="str">
        <f ca="1"/>
        <v/>
      </c>
      <c r="K305" s="180" t="str">
        <f ca="1"/>
        <v/>
      </c>
      <c r="L305" s="180" t="str">
        <f ca="1"/>
        <v/>
      </c>
      <c r="M305" s="180" t="str">
        <f ca="1"/>
        <v/>
      </c>
      <c r="N305" s="180" t="str">
        <f ca="1"/>
        <v/>
      </c>
      <c r="O305" s="180" t="str">
        <f ca="1"/>
        <v/>
      </c>
      <c r="P305" s="180" t="str">
        <f ca="1"/>
        <v/>
      </c>
      <c r="Q305" s="180" t="str">
        <f ca="1"/>
        <v/>
      </c>
      <c r="R305" s="180" t="str">
        <f ca="1"/>
        <v/>
      </c>
      <c r="S305" s="180" t="str">
        <f ca="1"/>
        <v/>
      </c>
      <c r="T305" s="180" t="str">
        <f ca="1"/>
        <v/>
      </c>
      <c r="U305" s="180" t="str">
        <f ca="1"/>
        <v/>
      </c>
      <c r="V305" s="180" t="str">
        <f ca="1"/>
        <v/>
      </c>
      <c r="W305" s="180" t="str">
        <f ca="1"/>
        <v/>
      </c>
      <c r="X305" s="180" t="str">
        <f ca="1"/>
        <v/>
      </c>
      <c r="Y305" s="180" t="str">
        <f ca="1"/>
        <v/>
      </c>
      <c r="Z305" s="180" t="str">
        <f ca="1"/>
        <v/>
      </c>
      <c r="AA305" s="180" t="str">
        <f ca="1"/>
        <v/>
      </c>
      <c r="AB305" s="180" t="str">
        <f ca="1"/>
        <v/>
      </c>
      <c r="AC305" s="180" t="str">
        <f ca="1"/>
        <v/>
      </c>
      <c r="AD305" s="180" t="str">
        <f ca="1"/>
        <v/>
      </c>
      <c r="AE305" s="180" t="str">
        <f ca="1"/>
        <v/>
      </c>
      <c r="AF305" s="180" t="str">
        <f ca="1"/>
        <v/>
      </c>
      <c r="AG305" s="180" t="str">
        <f ca="1"/>
        <v/>
      </c>
      <c r="AH305" s="180" t="str">
        <f ca="1"/>
        <v/>
      </c>
      <c r="AI305" s="180" t="str">
        <f ca="1"/>
        <v/>
      </c>
      <c r="AJ305" s="180" t="str">
        <f ca="1"/>
        <v/>
      </c>
      <c r="AK305" s="180" t="str">
        <f ca="1"/>
        <v/>
      </c>
      <c r="AL305" s="180" t="str">
        <f ca="1"/>
        <v/>
      </c>
      <c r="AM305" s="180" t="str">
        <f ca="1"/>
        <v/>
      </c>
      <c r="AN305" s="180" t="str">
        <f ca="1"/>
        <v/>
      </c>
      <c r="AO305" s="180" t="str">
        <f ca="1"/>
        <v/>
      </c>
      <c r="AP305" s="180" t="str">
        <f ca="1"/>
        <v/>
      </c>
      <c r="AQ305" t="str">
        <f ca="1"/>
        <v/>
      </c>
    </row>
    <row r="306" spans="2:43" x14ac:dyDescent="0.25">
      <c r="B306" s="179" t="str">
        <f ca="1"/>
        <v/>
      </c>
      <c r="C306" s="180" t="str">
        <f ca="1"/>
        <v/>
      </c>
      <c r="D306" s="180" t="str">
        <f ca="1"/>
        <v/>
      </c>
      <c r="E306" s="180" t="str">
        <f ca="1"/>
        <v/>
      </c>
      <c r="F306" s="180" t="str">
        <f ca="1"/>
        <v/>
      </c>
      <c r="G306" s="180" t="str">
        <f ca="1"/>
        <v/>
      </c>
      <c r="H306" s="180" t="str">
        <f ca="1"/>
        <v/>
      </c>
      <c r="I306" s="180" t="str">
        <f ca="1"/>
        <v/>
      </c>
      <c r="J306" s="180" t="str">
        <f ca="1"/>
        <v/>
      </c>
      <c r="K306" s="180" t="str">
        <f ca="1"/>
        <v/>
      </c>
      <c r="L306" s="180" t="str">
        <f ca="1"/>
        <v/>
      </c>
      <c r="M306" s="180" t="str">
        <f ca="1"/>
        <v/>
      </c>
      <c r="N306" s="180" t="str">
        <f ca="1"/>
        <v/>
      </c>
      <c r="O306" s="180" t="str">
        <f ca="1"/>
        <v/>
      </c>
      <c r="P306" s="180" t="str">
        <f ca="1"/>
        <v/>
      </c>
      <c r="Q306" s="180" t="str">
        <f ca="1"/>
        <v/>
      </c>
      <c r="R306" s="180" t="str">
        <f ca="1"/>
        <v/>
      </c>
      <c r="S306" s="180" t="str">
        <f ca="1"/>
        <v/>
      </c>
      <c r="T306" s="180" t="str">
        <f ca="1"/>
        <v/>
      </c>
      <c r="U306" s="180" t="str">
        <f ca="1"/>
        <v/>
      </c>
      <c r="V306" s="180" t="str">
        <f ca="1"/>
        <v/>
      </c>
      <c r="W306" s="180" t="str">
        <f ca="1"/>
        <v/>
      </c>
      <c r="X306" s="180" t="str">
        <f ca="1"/>
        <v/>
      </c>
      <c r="Y306" s="180" t="str">
        <f ca="1"/>
        <v/>
      </c>
      <c r="Z306" s="180" t="str">
        <f ca="1"/>
        <v/>
      </c>
      <c r="AA306" s="180" t="str">
        <f ca="1"/>
        <v/>
      </c>
      <c r="AB306" s="180" t="str">
        <f ca="1"/>
        <v/>
      </c>
      <c r="AC306" s="180" t="str">
        <f ca="1"/>
        <v/>
      </c>
      <c r="AD306" s="180" t="str">
        <f ca="1"/>
        <v/>
      </c>
      <c r="AE306" s="180" t="str">
        <f ca="1"/>
        <v/>
      </c>
      <c r="AF306" s="180" t="str">
        <f ca="1"/>
        <v/>
      </c>
      <c r="AG306" s="180" t="str">
        <f ca="1"/>
        <v/>
      </c>
      <c r="AH306" s="180" t="str">
        <f ca="1"/>
        <v/>
      </c>
      <c r="AI306" s="180" t="str">
        <f ca="1"/>
        <v/>
      </c>
      <c r="AJ306" s="180" t="str">
        <f ca="1"/>
        <v/>
      </c>
      <c r="AK306" s="180" t="str">
        <f ca="1"/>
        <v/>
      </c>
      <c r="AL306" s="180" t="str">
        <f ca="1"/>
        <v/>
      </c>
      <c r="AM306" s="180" t="str">
        <f ca="1"/>
        <v/>
      </c>
      <c r="AN306" s="180" t="str">
        <f ca="1"/>
        <v/>
      </c>
      <c r="AO306" s="180" t="str">
        <f ca="1"/>
        <v/>
      </c>
      <c r="AP306" s="180" t="str">
        <f ca="1"/>
        <v/>
      </c>
      <c r="AQ306" t="str">
        <f ca="1"/>
        <v/>
      </c>
    </row>
    <row r="307" spans="2:43" x14ac:dyDescent="0.25">
      <c r="B307" s="179" t="str">
        <f ca="1"/>
        <v/>
      </c>
      <c r="C307" s="180" t="str">
        <f ca="1"/>
        <v/>
      </c>
      <c r="D307" s="180" t="str">
        <f ca="1"/>
        <v/>
      </c>
      <c r="E307" s="180" t="str">
        <f ca="1"/>
        <v/>
      </c>
      <c r="F307" s="180" t="str">
        <f ca="1"/>
        <v/>
      </c>
      <c r="G307" s="180" t="str">
        <f ca="1"/>
        <v/>
      </c>
      <c r="H307" s="180" t="str">
        <f ca="1"/>
        <v/>
      </c>
      <c r="I307" s="180" t="str">
        <f ca="1"/>
        <v/>
      </c>
      <c r="J307" s="180" t="str">
        <f ca="1"/>
        <v/>
      </c>
      <c r="K307" s="180" t="str">
        <f ca="1"/>
        <v/>
      </c>
      <c r="L307" s="180" t="str">
        <f ca="1"/>
        <v/>
      </c>
      <c r="M307" s="180" t="str">
        <f ca="1"/>
        <v/>
      </c>
      <c r="N307" s="180" t="str">
        <f ca="1"/>
        <v/>
      </c>
      <c r="O307" s="180" t="str">
        <f ca="1"/>
        <v/>
      </c>
      <c r="P307" s="180" t="str">
        <f ca="1"/>
        <v/>
      </c>
      <c r="Q307" s="180" t="str">
        <f ca="1"/>
        <v/>
      </c>
      <c r="R307" s="180" t="str">
        <f ca="1"/>
        <v/>
      </c>
      <c r="S307" s="180" t="str">
        <f ca="1"/>
        <v/>
      </c>
      <c r="T307" s="180" t="str">
        <f ca="1"/>
        <v/>
      </c>
      <c r="U307" s="180" t="str">
        <f ca="1"/>
        <v/>
      </c>
      <c r="V307" s="180" t="str">
        <f ca="1"/>
        <v/>
      </c>
      <c r="W307" s="180" t="str">
        <f ca="1"/>
        <v/>
      </c>
      <c r="X307" s="180" t="str">
        <f ca="1"/>
        <v/>
      </c>
      <c r="Y307" s="180" t="str">
        <f ca="1"/>
        <v/>
      </c>
      <c r="Z307" s="180" t="str">
        <f ca="1"/>
        <v/>
      </c>
      <c r="AA307" s="180" t="str">
        <f ca="1"/>
        <v/>
      </c>
      <c r="AB307" s="180" t="str">
        <f ca="1"/>
        <v/>
      </c>
      <c r="AC307" s="180" t="str">
        <f ca="1"/>
        <v/>
      </c>
      <c r="AD307" s="180" t="str">
        <f ca="1"/>
        <v/>
      </c>
      <c r="AE307" s="180" t="str">
        <f ca="1"/>
        <v/>
      </c>
      <c r="AF307" s="180" t="str">
        <f ca="1"/>
        <v/>
      </c>
      <c r="AG307" s="180" t="str">
        <f ca="1"/>
        <v/>
      </c>
      <c r="AH307" s="180" t="str">
        <f ca="1"/>
        <v/>
      </c>
      <c r="AI307" s="180" t="str">
        <f ca="1"/>
        <v/>
      </c>
      <c r="AJ307" s="180" t="str">
        <f ca="1"/>
        <v/>
      </c>
      <c r="AK307" s="180" t="str">
        <f ca="1"/>
        <v/>
      </c>
      <c r="AL307" s="180" t="str">
        <f ca="1"/>
        <v/>
      </c>
      <c r="AM307" s="180" t="str">
        <f ca="1"/>
        <v/>
      </c>
      <c r="AN307" s="180" t="str">
        <f ca="1"/>
        <v/>
      </c>
      <c r="AO307" s="180" t="str">
        <f ca="1"/>
        <v/>
      </c>
      <c r="AP307" s="180" t="str">
        <f ca="1"/>
        <v/>
      </c>
      <c r="AQ307" t="str">
        <f ca="1"/>
        <v/>
      </c>
    </row>
    <row r="308" spans="2:43" x14ac:dyDescent="0.25">
      <c r="B308" s="179" t="str">
        <f ca="1"/>
        <v/>
      </c>
      <c r="C308" s="180" t="str">
        <f ca="1"/>
        <v/>
      </c>
      <c r="D308" s="180" t="str">
        <f ca="1"/>
        <v/>
      </c>
      <c r="E308" s="180" t="str">
        <f ca="1"/>
        <v/>
      </c>
      <c r="F308" s="180" t="str">
        <f ca="1"/>
        <v/>
      </c>
      <c r="G308" s="180" t="str">
        <f ca="1"/>
        <v/>
      </c>
      <c r="H308" s="180" t="str">
        <f ca="1"/>
        <v/>
      </c>
      <c r="I308" s="180" t="str">
        <f ca="1"/>
        <v/>
      </c>
      <c r="J308" s="180" t="str">
        <f ca="1"/>
        <v/>
      </c>
      <c r="K308" s="180" t="str">
        <f ca="1"/>
        <v/>
      </c>
      <c r="L308" s="180" t="str">
        <f ca="1"/>
        <v/>
      </c>
      <c r="M308" s="180" t="str">
        <f ca="1"/>
        <v/>
      </c>
      <c r="N308" s="180" t="str">
        <f ca="1"/>
        <v/>
      </c>
      <c r="O308" s="180" t="str">
        <f ca="1"/>
        <v/>
      </c>
      <c r="P308" s="180" t="str">
        <f ca="1"/>
        <v/>
      </c>
      <c r="Q308" s="180" t="str">
        <f ca="1"/>
        <v/>
      </c>
      <c r="R308" s="180" t="str">
        <f ca="1"/>
        <v/>
      </c>
      <c r="S308" s="180" t="str">
        <f ca="1"/>
        <v/>
      </c>
      <c r="T308" s="180" t="str">
        <f ca="1"/>
        <v/>
      </c>
      <c r="U308" s="180" t="str">
        <f ca="1"/>
        <v/>
      </c>
      <c r="V308" s="180" t="str">
        <f ca="1"/>
        <v/>
      </c>
      <c r="W308" s="180" t="str">
        <f ca="1"/>
        <v/>
      </c>
      <c r="X308" s="180" t="str">
        <f ca="1"/>
        <v/>
      </c>
      <c r="Y308" s="180" t="str">
        <f ca="1"/>
        <v/>
      </c>
      <c r="Z308" s="180" t="str">
        <f ca="1"/>
        <v/>
      </c>
      <c r="AA308" s="180" t="str">
        <f ca="1"/>
        <v/>
      </c>
      <c r="AB308" s="180" t="str">
        <f ca="1"/>
        <v/>
      </c>
      <c r="AC308" s="180" t="str">
        <f ca="1"/>
        <v/>
      </c>
      <c r="AD308" s="180" t="str">
        <f ca="1"/>
        <v/>
      </c>
      <c r="AE308" s="180" t="str">
        <f ca="1"/>
        <v/>
      </c>
      <c r="AF308" s="180" t="str">
        <f ca="1"/>
        <v/>
      </c>
      <c r="AG308" s="180" t="str">
        <f ca="1"/>
        <v/>
      </c>
      <c r="AH308" s="180" t="str">
        <f ca="1"/>
        <v/>
      </c>
      <c r="AI308" s="180" t="str">
        <f ca="1"/>
        <v/>
      </c>
      <c r="AJ308" s="180" t="str">
        <f ca="1"/>
        <v/>
      </c>
      <c r="AK308" s="180" t="str">
        <f ca="1"/>
        <v/>
      </c>
      <c r="AL308" s="180" t="str">
        <f ca="1"/>
        <v/>
      </c>
      <c r="AM308" s="180" t="str">
        <f ca="1"/>
        <v/>
      </c>
      <c r="AN308" s="180" t="str">
        <f ca="1"/>
        <v/>
      </c>
      <c r="AO308" s="180" t="str">
        <f ca="1"/>
        <v/>
      </c>
      <c r="AP308" s="180" t="str">
        <f ca="1"/>
        <v/>
      </c>
      <c r="AQ308" t="str">
        <f ca="1"/>
        <v/>
      </c>
    </row>
    <row r="309" spans="2:43" x14ac:dyDescent="0.25">
      <c r="B309" s="179" t="str">
        <f ca="1"/>
        <v/>
      </c>
      <c r="C309" s="180" t="str">
        <f ca="1"/>
        <v/>
      </c>
      <c r="D309" s="180" t="str">
        <f ca="1"/>
        <v/>
      </c>
      <c r="E309" s="180" t="str">
        <f ca="1"/>
        <v/>
      </c>
      <c r="F309" s="180" t="str">
        <f ca="1"/>
        <v/>
      </c>
      <c r="G309" s="180" t="str">
        <f ca="1"/>
        <v/>
      </c>
      <c r="H309" s="180" t="str">
        <f ca="1"/>
        <v/>
      </c>
      <c r="I309" s="180" t="str">
        <f ca="1"/>
        <v/>
      </c>
      <c r="J309" s="180" t="str">
        <f ca="1"/>
        <v/>
      </c>
      <c r="K309" s="180" t="str">
        <f ca="1"/>
        <v/>
      </c>
      <c r="L309" s="180" t="str">
        <f ca="1"/>
        <v/>
      </c>
      <c r="M309" s="180" t="str">
        <f ca="1"/>
        <v/>
      </c>
      <c r="N309" s="180" t="str">
        <f ca="1"/>
        <v/>
      </c>
      <c r="O309" s="180" t="str">
        <f ca="1"/>
        <v/>
      </c>
      <c r="P309" s="180" t="str">
        <f ca="1"/>
        <v/>
      </c>
      <c r="Q309" s="180" t="str">
        <f ca="1"/>
        <v/>
      </c>
      <c r="R309" s="180" t="str">
        <f ca="1"/>
        <v/>
      </c>
      <c r="S309" s="180" t="str">
        <f ca="1"/>
        <v/>
      </c>
      <c r="T309" s="180" t="str">
        <f ca="1"/>
        <v/>
      </c>
      <c r="U309" s="180" t="str">
        <f ca="1"/>
        <v/>
      </c>
      <c r="V309" s="180" t="str">
        <f ca="1"/>
        <v/>
      </c>
      <c r="W309" s="180" t="str">
        <f ca="1"/>
        <v/>
      </c>
      <c r="X309" s="180" t="str">
        <f ca="1"/>
        <v/>
      </c>
      <c r="Y309" s="180" t="str">
        <f ca="1"/>
        <v/>
      </c>
      <c r="Z309" s="180" t="str">
        <f ca="1"/>
        <v/>
      </c>
      <c r="AA309" s="180" t="str">
        <f ca="1"/>
        <v/>
      </c>
      <c r="AB309" s="180" t="str">
        <f ca="1"/>
        <v/>
      </c>
      <c r="AC309" s="180" t="str">
        <f ca="1"/>
        <v/>
      </c>
      <c r="AD309" s="180" t="str">
        <f ca="1"/>
        <v/>
      </c>
      <c r="AE309" s="180" t="str">
        <f ca="1"/>
        <v/>
      </c>
      <c r="AF309" s="180" t="str">
        <f ca="1"/>
        <v/>
      </c>
      <c r="AG309" s="180" t="str">
        <f ca="1"/>
        <v/>
      </c>
      <c r="AH309" s="180" t="str">
        <f ca="1"/>
        <v/>
      </c>
      <c r="AI309" s="180" t="str">
        <f ca="1"/>
        <v/>
      </c>
      <c r="AJ309" s="180" t="str">
        <f ca="1"/>
        <v/>
      </c>
      <c r="AK309" s="180" t="str">
        <f ca="1"/>
        <v/>
      </c>
      <c r="AL309" s="180" t="str">
        <f ca="1"/>
        <v/>
      </c>
      <c r="AM309" s="180" t="str">
        <f ca="1"/>
        <v/>
      </c>
      <c r="AN309" s="180" t="str">
        <f ca="1"/>
        <v/>
      </c>
      <c r="AO309" s="180" t="str">
        <f ca="1"/>
        <v/>
      </c>
      <c r="AP309" s="180" t="str">
        <f ca="1"/>
        <v/>
      </c>
      <c r="AQ309" t="str">
        <f ca="1"/>
        <v/>
      </c>
    </row>
    <row r="310" spans="2:43" x14ac:dyDescent="0.25">
      <c r="B310" s="179" t="str">
        <f ca="1"/>
        <v/>
      </c>
      <c r="C310" s="180" t="str">
        <f ca="1"/>
        <v/>
      </c>
      <c r="D310" s="180" t="str">
        <f ca="1"/>
        <v/>
      </c>
      <c r="E310" s="180" t="str">
        <f ca="1"/>
        <v/>
      </c>
      <c r="F310" s="180" t="str">
        <f ca="1"/>
        <v/>
      </c>
      <c r="G310" s="180" t="str">
        <f ca="1"/>
        <v/>
      </c>
      <c r="H310" s="180" t="str">
        <f ca="1"/>
        <v/>
      </c>
      <c r="I310" s="180" t="str">
        <f ca="1"/>
        <v/>
      </c>
      <c r="J310" s="180" t="str">
        <f ca="1"/>
        <v/>
      </c>
      <c r="K310" s="180" t="str">
        <f ca="1"/>
        <v/>
      </c>
      <c r="L310" s="180" t="str">
        <f ca="1"/>
        <v/>
      </c>
      <c r="M310" s="180" t="str">
        <f ca="1"/>
        <v/>
      </c>
      <c r="N310" s="180" t="str">
        <f ca="1"/>
        <v/>
      </c>
      <c r="O310" s="180" t="str">
        <f ca="1"/>
        <v/>
      </c>
      <c r="P310" s="180" t="str">
        <f ca="1"/>
        <v/>
      </c>
      <c r="Q310" s="180" t="str">
        <f ca="1"/>
        <v/>
      </c>
      <c r="R310" s="180" t="str">
        <f ca="1"/>
        <v/>
      </c>
      <c r="S310" s="180" t="str">
        <f ca="1"/>
        <v/>
      </c>
      <c r="T310" s="180" t="str">
        <f ca="1"/>
        <v/>
      </c>
      <c r="U310" s="180" t="str">
        <f ca="1"/>
        <v/>
      </c>
      <c r="V310" s="180" t="str">
        <f ca="1"/>
        <v/>
      </c>
      <c r="W310" s="180" t="str">
        <f ca="1"/>
        <v/>
      </c>
      <c r="X310" s="180" t="str">
        <f ca="1"/>
        <v/>
      </c>
      <c r="Y310" s="180" t="str">
        <f ca="1"/>
        <v/>
      </c>
      <c r="Z310" s="180" t="str">
        <f ca="1"/>
        <v/>
      </c>
      <c r="AA310" s="180" t="str">
        <f ca="1"/>
        <v/>
      </c>
      <c r="AB310" s="180" t="str">
        <f ca="1"/>
        <v/>
      </c>
      <c r="AC310" s="180" t="str">
        <f ca="1"/>
        <v/>
      </c>
      <c r="AD310" s="180" t="str">
        <f ca="1"/>
        <v/>
      </c>
      <c r="AE310" s="180" t="str">
        <f ca="1"/>
        <v/>
      </c>
      <c r="AF310" s="180" t="str">
        <f ca="1"/>
        <v/>
      </c>
      <c r="AG310" s="180" t="str">
        <f ca="1"/>
        <v/>
      </c>
      <c r="AH310" s="180" t="str">
        <f ca="1"/>
        <v/>
      </c>
      <c r="AI310" s="180" t="str">
        <f ca="1"/>
        <v/>
      </c>
      <c r="AJ310" s="180" t="str">
        <f ca="1"/>
        <v/>
      </c>
      <c r="AK310" s="180" t="str">
        <f ca="1"/>
        <v/>
      </c>
      <c r="AL310" s="180" t="str">
        <f ca="1"/>
        <v/>
      </c>
      <c r="AM310" s="180" t="str">
        <f ca="1"/>
        <v/>
      </c>
      <c r="AN310" s="180" t="str">
        <f ca="1"/>
        <v/>
      </c>
      <c r="AO310" s="180" t="str">
        <f ca="1"/>
        <v/>
      </c>
      <c r="AP310" s="180" t="str">
        <f ca="1"/>
        <v/>
      </c>
      <c r="AQ310" t="str">
        <f ca="1"/>
        <v/>
      </c>
    </row>
    <row r="311" spans="2:43" x14ac:dyDescent="0.25">
      <c r="B311" s="179" t="str">
        <f ca="1"/>
        <v/>
      </c>
      <c r="C311" s="180" t="str">
        <f ca="1"/>
        <v/>
      </c>
      <c r="D311" s="180" t="str">
        <f ca="1"/>
        <v/>
      </c>
      <c r="E311" s="180" t="str">
        <f ca="1"/>
        <v/>
      </c>
      <c r="F311" s="180" t="str">
        <f ca="1"/>
        <v/>
      </c>
      <c r="G311" s="180" t="str">
        <f ca="1"/>
        <v/>
      </c>
      <c r="H311" s="180" t="str">
        <f ca="1"/>
        <v/>
      </c>
      <c r="I311" s="180" t="str">
        <f ca="1"/>
        <v/>
      </c>
      <c r="J311" s="180" t="str">
        <f ca="1"/>
        <v/>
      </c>
      <c r="K311" s="180" t="str">
        <f ca="1"/>
        <v/>
      </c>
      <c r="L311" s="180" t="str">
        <f ca="1"/>
        <v/>
      </c>
      <c r="M311" s="180" t="str">
        <f ca="1"/>
        <v/>
      </c>
      <c r="N311" s="180" t="str">
        <f ca="1"/>
        <v/>
      </c>
      <c r="O311" s="180" t="str">
        <f ca="1"/>
        <v/>
      </c>
      <c r="P311" s="180" t="str">
        <f ca="1"/>
        <v/>
      </c>
      <c r="Q311" s="180" t="str">
        <f ca="1"/>
        <v/>
      </c>
      <c r="R311" s="180" t="str">
        <f ca="1"/>
        <v/>
      </c>
      <c r="S311" s="180" t="str">
        <f ca="1"/>
        <v/>
      </c>
      <c r="T311" s="180" t="str">
        <f ca="1"/>
        <v/>
      </c>
      <c r="U311" s="180" t="str">
        <f ca="1"/>
        <v/>
      </c>
      <c r="V311" s="180" t="str">
        <f ca="1"/>
        <v/>
      </c>
      <c r="W311" s="180" t="str">
        <f ca="1"/>
        <v/>
      </c>
      <c r="X311" s="180" t="str">
        <f ca="1"/>
        <v/>
      </c>
      <c r="Y311" s="180" t="str">
        <f ca="1"/>
        <v/>
      </c>
      <c r="Z311" s="180" t="str">
        <f ca="1"/>
        <v/>
      </c>
      <c r="AA311" s="180" t="str">
        <f ca="1"/>
        <v/>
      </c>
      <c r="AB311" s="180" t="str">
        <f ca="1"/>
        <v/>
      </c>
      <c r="AC311" s="180" t="str">
        <f ca="1"/>
        <v/>
      </c>
      <c r="AD311" s="180" t="str">
        <f ca="1"/>
        <v/>
      </c>
      <c r="AE311" s="180" t="str">
        <f ca="1"/>
        <v/>
      </c>
      <c r="AF311" s="180" t="str">
        <f ca="1"/>
        <v/>
      </c>
      <c r="AG311" s="180" t="str">
        <f ca="1"/>
        <v/>
      </c>
      <c r="AH311" s="180" t="str">
        <f ca="1"/>
        <v/>
      </c>
      <c r="AI311" s="180" t="str">
        <f ca="1"/>
        <v/>
      </c>
      <c r="AJ311" s="180" t="str">
        <f ca="1"/>
        <v/>
      </c>
      <c r="AK311" s="180" t="str">
        <f ca="1"/>
        <v/>
      </c>
      <c r="AL311" s="180" t="str">
        <f ca="1"/>
        <v/>
      </c>
      <c r="AM311" s="180" t="str">
        <f ca="1"/>
        <v/>
      </c>
      <c r="AN311" s="180" t="str">
        <f ca="1"/>
        <v/>
      </c>
      <c r="AO311" s="180" t="str">
        <f ca="1"/>
        <v/>
      </c>
      <c r="AP311" s="180" t="str">
        <f ca="1"/>
        <v/>
      </c>
      <c r="AQ311" t="str">
        <f ca="1"/>
        <v/>
      </c>
    </row>
    <row r="312" spans="2:43" x14ac:dyDescent="0.25">
      <c r="B312" s="179" t="str">
        <f ca="1"/>
        <v/>
      </c>
      <c r="C312" s="180" t="str">
        <f ca="1"/>
        <v/>
      </c>
      <c r="D312" s="180" t="str">
        <f ca="1"/>
        <v/>
      </c>
      <c r="E312" s="180" t="str">
        <f ca="1"/>
        <v/>
      </c>
      <c r="F312" s="180" t="str">
        <f ca="1"/>
        <v/>
      </c>
      <c r="G312" s="180" t="str">
        <f ca="1"/>
        <v/>
      </c>
      <c r="H312" s="180" t="str">
        <f ca="1"/>
        <v/>
      </c>
      <c r="I312" s="180" t="str">
        <f ca="1"/>
        <v/>
      </c>
      <c r="J312" s="180" t="str">
        <f ca="1"/>
        <v/>
      </c>
      <c r="K312" s="180" t="str">
        <f ca="1"/>
        <v/>
      </c>
      <c r="L312" s="180" t="str">
        <f ca="1"/>
        <v/>
      </c>
      <c r="M312" s="180" t="str">
        <f ca="1"/>
        <v/>
      </c>
      <c r="N312" s="180" t="str">
        <f ca="1"/>
        <v/>
      </c>
      <c r="O312" s="180" t="str">
        <f ca="1"/>
        <v/>
      </c>
      <c r="P312" s="180" t="str">
        <f ca="1"/>
        <v/>
      </c>
      <c r="Q312" s="180" t="str">
        <f ca="1"/>
        <v/>
      </c>
      <c r="R312" s="180" t="str">
        <f ca="1"/>
        <v/>
      </c>
      <c r="S312" s="180" t="str">
        <f ca="1"/>
        <v/>
      </c>
      <c r="T312" s="180" t="str">
        <f ca="1"/>
        <v/>
      </c>
      <c r="U312" s="180" t="str">
        <f ca="1"/>
        <v/>
      </c>
      <c r="V312" s="180" t="str">
        <f ca="1"/>
        <v/>
      </c>
      <c r="W312" s="180" t="str">
        <f ca="1"/>
        <v/>
      </c>
      <c r="X312" s="180" t="str">
        <f ca="1"/>
        <v/>
      </c>
      <c r="Y312" s="180" t="str">
        <f ca="1"/>
        <v/>
      </c>
      <c r="Z312" s="180" t="str">
        <f ca="1"/>
        <v/>
      </c>
      <c r="AA312" s="180" t="str">
        <f ca="1"/>
        <v/>
      </c>
      <c r="AB312" s="180" t="str">
        <f ca="1"/>
        <v/>
      </c>
      <c r="AC312" s="180" t="str">
        <f ca="1"/>
        <v/>
      </c>
      <c r="AD312" s="180" t="str">
        <f ca="1"/>
        <v/>
      </c>
      <c r="AE312" s="180" t="str">
        <f ca="1"/>
        <v/>
      </c>
      <c r="AF312" s="180" t="str">
        <f ca="1"/>
        <v/>
      </c>
      <c r="AG312" s="180" t="str">
        <f ca="1"/>
        <v/>
      </c>
      <c r="AH312" s="180" t="str">
        <f ca="1"/>
        <v/>
      </c>
      <c r="AI312" s="180" t="str">
        <f ca="1"/>
        <v/>
      </c>
      <c r="AJ312" s="180" t="str">
        <f ca="1"/>
        <v/>
      </c>
      <c r="AK312" s="180" t="str">
        <f ca="1"/>
        <v/>
      </c>
      <c r="AL312" s="180" t="str">
        <f ca="1"/>
        <v/>
      </c>
      <c r="AM312" s="180" t="str">
        <f ca="1"/>
        <v/>
      </c>
      <c r="AN312" s="180" t="str">
        <f ca="1"/>
        <v/>
      </c>
      <c r="AO312" s="180" t="str">
        <f ca="1"/>
        <v/>
      </c>
      <c r="AP312" s="180" t="str">
        <f ca="1"/>
        <v/>
      </c>
      <c r="AQ312" t="str">
        <f ca="1"/>
        <v/>
      </c>
    </row>
    <row r="313" spans="2:43" x14ac:dyDescent="0.25">
      <c r="B313" s="179" t="str">
        <f ca="1"/>
        <v/>
      </c>
      <c r="C313" s="180" t="str">
        <f ca="1"/>
        <v/>
      </c>
      <c r="D313" s="180" t="str">
        <f ca="1"/>
        <v/>
      </c>
      <c r="E313" s="180" t="str">
        <f ca="1"/>
        <v/>
      </c>
      <c r="F313" s="180" t="str">
        <f ca="1"/>
        <v/>
      </c>
      <c r="G313" s="180" t="str">
        <f ca="1"/>
        <v/>
      </c>
      <c r="H313" s="180" t="str">
        <f ca="1"/>
        <v/>
      </c>
      <c r="I313" s="180" t="str">
        <f ca="1"/>
        <v/>
      </c>
      <c r="J313" s="180" t="str">
        <f ca="1"/>
        <v/>
      </c>
      <c r="K313" s="180" t="str">
        <f ca="1"/>
        <v/>
      </c>
      <c r="L313" s="180" t="str">
        <f ca="1"/>
        <v/>
      </c>
      <c r="M313" s="180" t="str">
        <f ca="1"/>
        <v/>
      </c>
      <c r="N313" s="180" t="str">
        <f ca="1"/>
        <v/>
      </c>
      <c r="O313" s="180" t="str">
        <f ca="1"/>
        <v/>
      </c>
      <c r="P313" s="180" t="str">
        <f ca="1"/>
        <v/>
      </c>
      <c r="Q313" s="180" t="str">
        <f ca="1"/>
        <v/>
      </c>
      <c r="R313" s="180" t="str">
        <f ca="1"/>
        <v/>
      </c>
      <c r="S313" s="180" t="str">
        <f ca="1"/>
        <v/>
      </c>
      <c r="T313" s="180" t="str">
        <f ca="1"/>
        <v/>
      </c>
      <c r="U313" s="180" t="str">
        <f ca="1"/>
        <v/>
      </c>
      <c r="V313" s="180" t="str">
        <f ca="1"/>
        <v/>
      </c>
      <c r="W313" s="180" t="str">
        <f ca="1"/>
        <v/>
      </c>
      <c r="X313" s="180" t="str">
        <f ca="1"/>
        <v/>
      </c>
      <c r="Y313" s="180" t="str">
        <f ca="1"/>
        <v/>
      </c>
      <c r="Z313" s="180" t="str">
        <f ca="1"/>
        <v/>
      </c>
      <c r="AA313" s="180" t="str">
        <f ca="1"/>
        <v/>
      </c>
      <c r="AB313" s="180" t="str">
        <f ca="1"/>
        <v/>
      </c>
      <c r="AC313" s="180" t="str">
        <f ca="1"/>
        <v/>
      </c>
      <c r="AD313" s="180" t="str">
        <f ca="1"/>
        <v/>
      </c>
      <c r="AE313" s="180" t="str">
        <f ca="1"/>
        <v/>
      </c>
      <c r="AF313" s="180" t="str">
        <f ca="1"/>
        <v/>
      </c>
      <c r="AG313" s="180" t="str">
        <f ca="1"/>
        <v/>
      </c>
      <c r="AH313" s="180" t="str">
        <f ca="1"/>
        <v/>
      </c>
      <c r="AI313" s="180" t="str">
        <f ca="1"/>
        <v/>
      </c>
      <c r="AJ313" s="180" t="str">
        <f ca="1"/>
        <v/>
      </c>
      <c r="AK313" s="180" t="str">
        <f ca="1"/>
        <v/>
      </c>
      <c r="AL313" s="180" t="str">
        <f ca="1"/>
        <v/>
      </c>
      <c r="AM313" s="180" t="str">
        <f ca="1"/>
        <v/>
      </c>
      <c r="AN313" s="180" t="str">
        <f ca="1"/>
        <v/>
      </c>
      <c r="AO313" s="180" t="str">
        <f ca="1"/>
        <v/>
      </c>
      <c r="AP313" s="180" t="str">
        <f ca="1"/>
        <v/>
      </c>
      <c r="AQ313" t="str">
        <f ca="1"/>
        <v/>
      </c>
    </row>
    <row r="314" spans="2:43" x14ac:dyDescent="0.25">
      <c r="B314" s="179" t="str">
        <f ca="1"/>
        <v/>
      </c>
      <c r="C314" s="180" t="str">
        <f ca="1"/>
        <v/>
      </c>
      <c r="D314" s="180" t="str">
        <f ca="1"/>
        <v/>
      </c>
      <c r="E314" s="180" t="str">
        <f ca="1"/>
        <v/>
      </c>
      <c r="F314" s="180" t="str">
        <f ca="1"/>
        <v/>
      </c>
      <c r="G314" s="180" t="str">
        <f ca="1"/>
        <v/>
      </c>
      <c r="H314" s="180" t="str">
        <f ca="1"/>
        <v/>
      </c>
      <c r="I314" s="180" t="str">
        <f ca="1"/>
        <v/>
      </c>
      <c r="J314" s="180" t="str">
        <f ca="1"/>
        <v/>
      </c>
      <c r="K314" s="180" t="str">
        <f ca="1"/>
        <v/>
      </c>
      <c r="L314" s="180" t="str">
        <f ca="1"/>
        <v/>
      </c>
      <c r="M314" s="180" t="str">
        <f ca="1"/>
        <v/>
      </c>
      <c r="N314" s="180" t="str">
        <f ca="1"/>
        <v/>
      </c>
      <c r="O314" s="180" t="str">
        <f ca="1"/>
        <v/>
      </c>
      <c r="P314" s="180" t="str">
        <f ca="1"/>
        <v/>
      </c>
      <c r="Q314" s="180" t="str">
        <f ca="1"/>
        <v/>
      </c>
      <c r="R314" s="180" t="str">
        <f ca="1"/>
        <v/>
      </c>
      <c r="S314" s="180" t="str">
        <f ca="1"/>
        <v/>
      </c>
      <c r="T314" s="180" t="str">
        <f ca="1"/>
        <v/>
      </c>
      <c r="U314" s="180" t="str">
        <f ca="1"/>
        <v/>
      </c>
      <c r="V314" s="180" t="str">
        <f ca="1"/>
        <v/>
      </c>
      <c r="W314" s="180" t="str">
        <f ca="1"/>
        <v/>
      </c>
      <c r="X314" s="180" t="str">
        <f ca="1"/>
        <v/>
      </c>
      <c r="Y314" s="180" t="str">
        <f ca="1"/>
        <v/>
      </c>
      <c r="Z314" s="180" t="str">
        <f ca="1"/>
        <v/>
      </c>
      <c r="AA314" s="180" t="str">
        <f ca="1"/>
        <v/>
      </c>
      <c r="AB314" s="180" t="str">
        <f ca="1"/>
        <v/>
      </c>
      <c r="AC314" s="180" t="str">
        <f ca="1"/>
        <v/>
      </c>
      <c r="AD314" s="180" t="str">
        <f ca="1"/>
        <v/>
      </c>
      <c r="AE314" s="180" t="str">
        <f ca="1"/>
        <v/>
      </c>
      <c r="AF314" s="180" t="str">
        <f ca="1"/>
        <v/>
      </c>
      <c r="AG314" s="180" t="str">
        <f ca="1"/>
        <v/>
      </c>
      <c r="AH314" s="180" t="str">
        <f ca="1"/>
        <v/>
      </c>
      <c r="AI314" s="180" t="str">
        <f ca="1"/>
        <v/>
      </c>
      <c r="AJ314" s="180" t="str">
        <f ca="1"/>
        <v/>
      </c>
      <c r="AK314" s="180" t="str">
        <f ca="1"/>
        <v/>
      </c>
      <c r="AL314" s="180" t="str">
        <f ca="1"/>
        <v/>
      </c>
      <c r="AM314" s="180" t="str">
        <f ca="1"/>
        <v/>
      </c>
      <c r="AN314" s="180" t="str">
        <f ca="1"/>
        <v/>
      </c>
      <c r="AO314" s="180" t="str">
        <f ca="1"/>
        <v/>
      </c>
      <c r="AP314" s="180" t="str">
        <f ca="1"/>
        <v/>
      </c>
      <c r="AQ314" t="str">
        <f ca="1"/>
        <v/>
      </c>
    </row>
    <row r="315" spans="2:43" x14ac:dyDescent="0.25">
      <c r="B315" s="179" t="str">
        <f ca="1"/>
        <v/>
      </c>
      <c r="C315" s="180" t="str">
        <f ca="1"/>
        <v/>
      </c>
      <c r="D315" s="180" t="str">
        <f ca="1"/>
        <v/>
      </c>
      <c r="E315" s="180" t="str">
        <f ca="1"/>
        <v/>
      </c>
      <c r="F315" s="180" t="str">
        <f ca="1"/>
        <v/>
      </c>
      <c r="G315" s="180" t="str">
        <f ca="1"/>
        <v/>
      </c>
      <c r="H315" s="180" t="str">
        <f ca="1"/>
        <v/>
      </c>
      <c r="I315" s="180" t="str">
        <f ca="1"/>
        <v/>
      </c>
      <c r="J315" s="180" t="str">
        <f ca="1"/>
        <v/>
      </c>
      <c r="K315" s="180" t="str">
        <f ca="1"/>
        <v/>
      </c>
      <c r="L315" s="180" t="str">
        <f ca="1"/>
        <v/>
      </c>
      <c r="M315" s="180" t="str">
        <f ca="1"/>
        <v/>
      </c>
      <c r="N315" s="180" t="str">
        <f ca="1"/>
        <v/>
      </c>
      <c r="O315" s="180" t="str">
        <f ca="1"/>
        <v/>
      </c>
      <c r="P315" s="180" t="str">
        <f ca="1"/>
        <v/>
      </c>
      <c r="Q315" s="180" t="str">
        <f ca="1"/>
        <v/>
      </c>
      <c r="R315" s="180" t="str">
        <f ca="1"/>
        <v/>
      </c>
      <c r="S315" s="180" t="str">
        <f ca="1"/>
        <v/>
      </c>
      <c r="T315" s="180" t="str">
        <f ca="1"/>
        <v/>
      </c>
      <c r="U315" s="180" t="str">
        <f ca="1"/>
        <v/>
      </c>
      <c r="V315" s="180" t="str">
        <f ca="1"/>
        <v/>
      </c>
      <c r="W315" s="180" t="str">
        <f ca="1"/>
        <v/>
      </c>
      <c r="X315" s="180" t="str">
        <f ca="1"/>
        <v/>
      </c>
      <c r="Y315" s="180" t="str">
        <f ca="1"/>
        <v/>
      </c>
      <c r="Z315" s="180" t="str">
        <f ca="1"/>
        <v/>
      </c>
      <c r="AA315" s="180" t="str">
        <f ca="1"/>
        <v/>
      </c>
      <c r="AB315" s="180" t="str">
        <f ca="1"/>
        <v/>
      </c>
      <c r="AC315" s="180" t="str">
        <f ca="1"/>
        <v/>
      </c>
      <c r="AD315" s="180" t="str">
        <f ca="1"/>
        <v/>
      </c>
      <c r="AE315" s="180" t="str">
        <f ca="1"/>
        <v/>
      </c>
      <c r="AF315" s="180" t="str">
        <f ca="1"/>
        <v/>
      </c>
      <c r="AG315" s="180" t="str">
        <f ca="1"/>
        <v/>
      </c>
      <c r="AH315" s="180" t="str">
        <f ca="1"/>
        <v/>
      </c>
      <c r="AI315" s="180" t="str">
        <f ca="1"/>
        <v/>
      </c>
      <c r="AJ315" s="180" t="str">
        <f ca="1"/>
        <v/>
      </c>
      <c r="AK315" s="180" t="str">
        <f ca="1"/>
        <v/>
      </c>
      <c r="AL315" s="180" t="str">
        <f ca="1"/>
        <v/>
      </c>
      <c r="AM315" s="180" t="str">
        <f ca="1"/>
        <v/>
      </c>
      <c r="AN315" s="180" t="str">
        <f ca="1"/>
        <v/>
      </c>
      <c r="AO315" s="180" t="str">
        <f ca="1"/>
        <v/>
      </c>
      <c r="AP315" s="180" t="str">
        <f ca="1"/>
        <v/>
      </c>
      <c r="AQ315" t="str">
        <f ca="1"/>
        <v/>
      </c>
    </row>
    <row r="316" spans="2:43" x14ac:dyDescent="0.25">
      <c r="B316" s="179" t="str">
        <f ca="1"/>
        <v/>
      </c>
      <c r="C316" s="180" t="str">
        <f ca="1"/>
        <v/>
      </c>
      <c r="D316" s="180" t="str">
        <f ca="1"/>
        <v/>
      </c>
      <c r="E316" s="180" t="str">
        <f ca="1"/>
        <v/>
      </c>
      <c r="F316" s="180" t="str">
        <f ca="1"/>
        <v/>
      </c>
      <c r="G316" s="180" t="str">
        <f ca="1"/>
        <v/>
      </c>
      <c r="H316" s="180" t="str">
        <f ca="1"/>
        <v/>
      </c>
      <c r="I316" s="180" t="str">
        <f ca="1"/>
        <v/>
      </c>
      <c r="J316" s="180" t="str">
        <f ca="1"/>
        <v/>
      </c>
      <c r="K316" s="180" t="str">
        <f ca="1"/>
        <v/>
      </c>
      <c r="L316" s="180" t="str">
        <f ca="1"/>
        <v/>
      </c>
      <c r="M316" s="180" t="str">
        <f ca="1"/>
        <v/>
      </c>
      <c r="N316" s="180" t="str">
        <f ca="1"/>
        <v/>
      </c>
      <c r="O316" s="180" t="str">
        <f ca="1"/>
        <v/>
      </c>
      <c r="P316" s="180" t="str">
        <f ca="1"/>
        <v/>
      </c>
      <c r="Q316" s="180" t="str">
        <f ca="1"/>
        <v/>
      </c>
      <c r="R316" s="180" t="str">
        <f ca="1"/>
        <v/>
      </c>
      <c r="S316" s="180" t="str">
        <f ca="1"/>
        <v/>
      </c>
      <c r="T316" s="180" t="str">
        <f ca="1"/>
        <v/>
      </c>
      <c r="U316" s="180" t="str">
        <f ca="1"/>
        <v/>
      </c>
      <c r="V316" s="180" t="str">
        <f ca="1"/>
        <v/>
      </c>
      <c r="W316" s="180" t="str">
        <f ca="1"/>
        <v/>
      </c>
      <c r="X316" s="180" t="str">
        <f ca="1"/>
        <v/>
      </c>
      <c r="Y316" s="180" t="str">
        <f ca="1"/>
        <v/>
      </c>
      <c r="Z316" s="180" t="str">
        <f ca="1"/>
        <v/>
      </c>
      <c r="AA316" s="180" t="str">
        <f ca="1"/>
        <v/>
      </c>
      <c r="AB316" s="180" t="str">
        <f ca="1"/>
        <v/>
      </c>
      <c r="AC316" s="180" t="str">
        <f ca="1"/>
        <v/>
      </c>
      <c r="AD316" s="180" t="str">
        <f ca="1"/>
        <v/>
      </c>
      <c r="AE316" s="180" t="str">
        <f ca="1"/>
        <v/>
      </c>
      <c r="AF316" s="180" t="str">
        <f ca="1"/>
        <v/>
      </c>
      <c r="AG316" s="180" t="str">
        <f ca="1"/>
        <v/>
      </c>
      <c r="AH316" s="180" t="str">
        <f ca="1"/>
        <v/>
      </c>
      <c r="AI316" s="180" t="str">
        <f ca="1"/>
        <v/>
      </c>
      <c r="AJ316" s="180" t="str">
        <f ca="1"/>
        <v/>
      </c>
      <c r="AK316" s="180" t="str">
        <f ca="1"/>
        <v/>
      </c>
      <c r="AL316" s="180" t="str">
        <f ca="1"/>
        <v/>
      </c>
      <c r="AM316" s="180" t="str">
        <f ca="1"/>
        <v/>
      </c>
      <c r="AN316" s="180" t="str">
        <f ca="1"/>
        <v/>
      </c>
      <c r="AO316" s="180" t="str">
        <f ca="1"/>
        <v/>
      </c>
      <c r="AP316" s="180" t="str">
        <f ca="1"/>
        <v/>
      </c>
      <c r="AQ316" t="str">
        <f ca="1"/>
        <v/>
      </c>
    </row>
    <row r="317" spans="2:43" x14ac:dyDescent="0.25">
      <c r="B317" s="179" t="str">
        <f ca="1"/>
        <v/>
      </c>
      <c r="C317" s="180" t="str">
        <f ca="1"/>
        <v/>
      </c>
      <c r="D317" s="180" t="str">
        <f ca="1"/>
        <v/>
      </c>
      <c r="E317" s="180" t="str">
        <f ca="1"/>
        <v/>
      </c>
      <c r="F317" s="180" t="str">
        <f ca="1"/>
        <v/>
      </c>
      <c r="G317" s="180" t="str">
        <f ca="1"/>
        <v/>
      </c>
      <c r="H317" s="180" t="str">
        <f ca="1"/>
        <v/>
      </c>
      <c r="I317" s="180" t="str">
        <f ca="1"/>
        <v/>
      </c>
      <c r="J317" s="180" t="str">
        <f ca="1"/>
        <v/>
      </c>
      <c r="K317" s="180" t="str">
        <f ca="1"/>
        <v/>
      </c>
      <c r="L317" s="180" t="str">
        <f ca="1"/>
        <v/>
      </c>
      <c r="M317" s="180" t="str">
        <f ca="1"/>
        <v/>
      </c>
      <c r="N317" s="180" t="str">
        <f ca="1"/>
        <v/>
      </c>
      <c r="O317" s="180" t="str">
        <f ca="1"/>
        <v/>
      </c>
      <c r="P317" s="180" t="str">
        <f ca="1"/>
        <v/>
      </c>
      <c r="Q317" s="180" t="str">
        <f ca="1"/>
        <v/>
      </c>
      <c r="R317" s="180" t="str">
        <f ca="1"/>
        <v/>
      </c>
      <c r="S317" s="180" t="str">
        <f ca="1"/>
        <v/>
      </c>
      <c r="T317" s="180" t="str">
        <f ca="1"/>
        <v/>
      </c>
      <c r="U317" s="180" t="str">
        <f ca="1"/>
        <v/>
      </c>
      <c r="V317" s="180" t="str">
        <f ca="1"/>
        <v/>
      </c>
      <c r="W317" s="180" t="str">
        <f ca="1"/>
        <v/>
      </c>
      <c r="X317" s="180" t="str">
        <f ca="1"/>
        <v/>
      </c>
      <c r="Y317" s="180" t="str">
        <f ca="1"/>
        <v/>
      </c>
      <c r="Z317" s="180" t="str">
        <f ca="1"/>
        <v/>
      </c>
      <c r="AA317" s="180" t="str">
        <f ca="1"/>
        <v/>
      </c>
      <c r="AB317" s="180" t="str">
        <f ca="1"/>
        <v/>
      </c>
      <c r="AC317" s="180" t="str">
        <f ca="1"/>
        <v/>
      </c>
      <c r="AD317" s="180" t="str">
        <f ca="1"/>
        <v/>
      </c>
      <c r="AE317" s="180" t="str">
        <f ca="1"/>
        <v/>
      </c>
      <c r="AF317" s="180" t="str">
        <f ca="1"/>
        <v/>
      </c>
      <c r="AG317" s="180" t="str">
        <f ca="1"/>
        <v/>
      </c>
      <c r="AH317" s="180" t="str">
        <f ca="1"/>
        <v/>
      </c>
      <c r="AI317" s="180" t="str">
        <f ca="1"/>
        <v/>
      </c>
      <c r="AJ317" s="180" t="str">
        <f ca="1"/>
        <v/>
      </c>
      <c r="AK317" s="180" t="str">
        <f ca="1"/>
        <v/>
      </c>
      <c r="AL317" s="180" t="str">
        <f ca="1"/>
        <v/>
      </c>
      <c r="AM317" s="180" t="str">
        <f ca="1"/>
        <v/>
      </c>
      <c r="AN317" s="180" t="str">
        <f ca="1"/>
        <v/>
      </c>
      <c r="AO317" s="180" t="str">
        <f ca="1"/>
        <v/>
      </c>
      <c r="AP317" s="180" t="str">
        <f ca="1"/>
        <v/>
      </c>
      <c r="AQ317" t="str">
        <f ca="1"/>
        <v/>
      </c>
    </row>
    <row r="318" spans="2:43" x14ac:dyDescent="0.25">
      <c r="B318" s="179" t="str">
        <f ca="1"/>
        <v/>
      </c>
      <c r="C318" s="180" t="str">
        <f ca="1"/>
        <v/>
      </c>
      <c r="D318" s="180" t="str">
        <f ca="1"/>
        <v/>
      </c>
      <c r="E318" s="180" t="str">
        <f ca="1"/>
        <v/>
      </c>
      <c r="F318" s="180" t="str">
        <f ca="1"/>
        <v/>
      </c>
      <c r="G318" s="180" t="str">
        <f ca="1"/>
        <v/>
      </c>
      <c r="H318" s="180" t="str">
        <f ca="1"/>
        <v/>
      </c>
      <c r="I318" s="180" t="str">
        <f ca="1"/>
        <v/>
      </c>
      <c r="J318" s="180" t="str">
        <f ca="1"/>
        <v/>
      </c>
      <c r="K318" s="180" t="str">
        <f ca="1"/>
        <v/>
      </c>
      <c r="L318" s="180" t="str">
        <f ca="1"/>
        <v/>
      </c>
      <c r="M318" s="180" t="str">
        <f ca="1"/>
        <v/>
      </c>
      <c r="N318" s="180" t="str">
        <f ca="1"/>
        <v/>
      </c>
      <c r="O318" s="180" t="str">
        <f ca="1"/>
        <v/>
      </c>
      <c r="P318" s="180" t="str">
        <f ca="1"/>
        <v/>
      </c>
      <c r="Q318" s="180" t="str">
        <f ca="1"/>
        <v/>
      </c>
      <c r="R318" s="180" t="str">
        <f ca="1"/>
        <v/>
      </c>
      <c r="S318" s="180" t="str">
        <f ca="1"/>
        <v/>
      </c>
      <c r="T318" s="180" t="str">
        <f ca="1"/>
        <v/>
      </c>
      <c r="U318" s="180" t="str">
        <f ca="1"/>
        <v/>
      </c>
      <c r="V318" s="180" t="str">
        <f ca="1"/>
        <v/>
      </c>
      <c r="W318" s="180" t="str">
        <f ca="1"/>
        <v/>
      </c>
      <c r="X318" s="180" t="str">
        <f ca="1"/>
        <v/>
      </c>
      <c r="Y318" s="180" t="str">
        <f ca="1"/>
        <v/>
      </c>
      <c r="Z318" s="180" t="str">
        <f ca="1"/>
        <v/>
      </c>
      <c r="AA318" s="180" t="str">
        <f ca="1"/>
        <v/>
      </c>
      <c r="AB318" s="180" t="str">
        <f ca="1"/>
        <v/>
      </c>
      <c r="AC318" s="180" t="str">
        <f ca="1"/>
        <v/>
      </c>
      <c r="AD318" s="180" t="str">
        <f ca="1"/>
        <v/>
      </c>
      <c r="AE318" s="180" t="str">
        <f ca="1"/>
        <v/>
      </c>
      <c r="AF318" s="180" t="str">
        <f ca="1"/>
        <v/>
      </c>
      <c r="AG318" s="180" t="str">
        <f ca="1"/>
        <v/>
      </c>
      <c r="AH318" s="180" t="str">
        <f ca="1"/>
        <v/>
      </c>
      <c r="AI318" s="180" t="str">
        <f ca="1"/>
        <v/>
      </c>
      <c r="AJ318" s="180" t="str">
        <f ca="1"/>
        <v/>
      </c>
      <c r="AK318" s="180" t="str">
        <f ca="1"/>
        <v/>
      </c>
      <c r="AL318" s="180" t="str">
        <f ca="1"/>
        <v/>
      </c>
      <c r="AM318" s="180" t="str">
        <f ca="1"/>
        <v/>
      </c>
      <c r="AN318" s="180" t="str">
        <f ca="1"/>
        <v/>
      </c>
      <c r="AO318" s="180" t="str">
        <f ca="1"/>
        <v/>
      </c>
      <c r="AP318" s="180" t="str">
        <f ca="1"/>
        <v/>
      </c>
      <c r="AQ318" t="str">
        <f ca="1"/>
        <v/>
      </c>
    </row>
    <row r="319" spans="2:43" x14ac:dyDescent="0.25">
      <c r="B319" s="179" t="str">
        <f ca="1"/>
        <v/>
      </c>
      <c r="C319" s="180" t="str">
        <f ca="1"/>
        <v/>
      </c>
      <c r="D319" s="180" t="str">
        <f ca="1"/>
        <v/>
      </c>
      <c r="E319" s="180" t="str">
        <f ca="1"/>
        <v/>
      </c>
      <c r="F319" s="180" t="str">
        <f ca="1"/>
        <v/>
      </c>
      <c r="G319" s="180" t="str">
        <f ca="1"/>
        <v/>
      </c>
      <c r="H319" s="180" t="str">
        <f ca="1"/>
        <v/>
      </c>
      <c r="I319" s="180" t="str">
        <f ca="1"/>
        <v/>
      </c>
      <c r="J319" s="180" t="str">
        <f ca="1"/>
        <v/>
      </c>
      <c r="K319" s="180" t="str">
        <f ca="1"/>
        <v/>
      </c>
      <c r="L319" s="180" t="str">
        <f ca="1"/>
        <v/>
      </c>
      <c r="M319" s="180" t="str">
        <f ca="1"/>
        <v/>
      </c>
      <c r="N319" s="180" t="str">
        <f ca="1"/>
        <v/>
      </c>
      <c r="O319" s="180" t="str">
        <f ca="1"/>
        <v/>
      </c>
      <c r="P319" s="180" t="str">
        <f ca="1"/>
        <v/>
      </c>
      <c r="Q319" s="180" t="str">
        <f ca="1"/>
        <v/>
      </c>
      <c r="R319" s="180" t="str">
        <f ca="1"/>
        <v/>
      </c>
      <c r="S319" s="180" t="str">
        <f ca="1"/>
        <v/>
      </c>
      <c r="T319" s="180" t="str">
        <f ca="1"/>
        <v/>
      </c>
      <c r="U319" s="180" t="str">
        <f ca="1"/>
        <v/>
      </c>
      <c r="V319" s="180" t="str">
        <f ca="1"/>
        <v/>
      </c>
      <c r="W319" s="180" t="str">
        <f ca="1"/>
        <v/>
      </c>
      <c r="X319" s="180" t="str">
        <f ca="1"/>
        <v/>
      </c>
      <c r="Y319" s="180" t="str">
        <f ca="1"/>
        <v/>
      </c>
      <c r="Z319" s="180" t="str">
        <f ca="1"/>
        <v/>
      </c>
      <c r="AA319" s="180" t="str">
        <f ca="1"/>
        <v/>
      </c>
      <c r="AB319" s="180" t="str">
        <f ca="1"/>
        <v/>
      </c>
      <c r="AC319" s="180" t="str">
        <f ca="1"/>
        <v/>
      </c>
      <c r="AD319" s="180" t="str">
        <f ca="1"/>
        <v/>
      </c>
      <c r="AE319" s="180" t="str">
        <f ca="1"/>
        <v/>
      </c>
      <c r="AF319" s="180" t="str">
        <f ca="1"/>
        <v/>
      </c>
      <c r="AG319" s="180" t="str">
        <f ca="1"/>
        <v/>
      </c>
      <c r="AH319" s="180" t="str">
        <f ca="1"/>
        <v/>
      </c>
      <c r="AI319" s="180" t="str">
        <f ca="1"/>
        <v/>
      </c>
      <c r="AJ319" s="180" t="str">
        <f ca="1"/>
        <v/>
      </c>
      <c r="AK319" s="180" t="str">
        <f ca="1"/>
        <v/>
      </c>
      <c r="AL319" s="180" t="str">
        <f ca="1"/>
        <v/>
      </c>
      <c r="AM319" s="180" t="str">
        <f ca="1"/>
        <v/>
      </c>
      <c r="AN319" s="180" t="str">
        <f ca="1"/>
        <v/>
      </c>
      <c r="AO319" s="180" t="str">
        <f ca="1"/>
        <v/>
      </c>
      <c r="AP319" s="180" t="str">
        <f ca="1"/>
        <v/>
      </c>
      <c r="AQ319" t="str">
        <f ca="1"/>
        <v/>
      </c>
    </row>
    <row r="320" spans="2:43" x14ac:dyDescent="0.25">
      <c r="B320" s="179" t="str">
        <f ca="1"/>
        <v/>
      </c>
      <c r="C320" s="180" t="str">
        <f ca="1"/>
        <v/>
      </c>
      <c r="D320" s="180" t="str">
        <f ca="1"/>
        <v/>
      </c>
      <c r="E320" s="180" t="str">
        <f ca="1"/>
        <v/>
      </c>
      <c r="F320" s="180" t="str">
        <f ca="1"/>
        <v/>
      </c>
      <c r="G320" s="180" t="str">
        <f ca="1"/>
        <v/>
      </c>
      <c r="H320" s="180" t="str">
        <f ca="1"/>
        <v/>
      </c>
      <c r="I320" s="180" t="str">
        <f ca="1"/>
        <v/>
      </c>
      <c r="J320" s="180" t="str">
        <f ca="1"/>
        <v/>
      </c>
      <c r="K320" s="180" t="str">
        <f ca="1"/>
        <v/>
      </c>
      <c r="L320" s="180" t="str">
        <f ca="1"/>
        <v/>
      </c>
      <c r="M320" s="180" t="str">
        <f ca="1"/>
        <v/>
      </c>
      <c r="N320" s="180" t="str">
        <f ca="1"/>
        <v/>
      </c>
      <c r="O320" s="180" t="str">
        <f ca="1"/>
        <v/>
      </c>
      <c r="P320" s="180" t="str">
        <f ca="1"/>
        <v/>
      </c>
      <c r="Q320" s="180" t="str">
        <f ca="1"/>
        <v/>
      </c>
      <c r="R320" s="180" t="str">
        <f ca="1"/>
        <v/>
      </c>
      <c r="S320" s="180" t="str">
        <f ca="1"/>
        <v/>
      </c>
      <c r="T320" s="180" t="str">
        <f ca="1"/>
        <v/>
      </c>
      <c r="U320" s="180" t="str">
        <f ca="1"/>
        <v/>
      </c>
      <c r="V320" s="180" t="str">
        <f ca="1"/>
        <v/>
      </c>
      <c r="W320" s="180" t="str">
        <f ca="1"/>
        <v/>
      </c>
      <c r="X320" s="180" t="str">
        <f ca="1"/>
        <v/>
      </c>
      <c r="Y320" s="180" t="str">
        <f ca="1"/>
        <v/>
      </c>
      <c r="Z320" s="180" t="str">
        <f ca="1"/>
        <v/>
      </c>
      <c r="AA320" s="180" t="str">
        <f ca="1"/>
        <v/>
      </c>
      <c r="AB320" s="180" t="str">
        <f ca="1"/>
        <v/>
      </c>
      <c r="AC320" s="180" t="str">
        <f ca="1"/>
        <v/>
      </c>
      <c r="AD320" s="180" t="str">
        <f ca="1"/>
        <v/>
      </c>
      <c r="AE320" s="180" t="str">
        <f ca="1"/>
        <v/>
      </c>
      <c r="AF320" s="180" t="str">
        <f ca="1"/>
        <v/>
      </c>
      <c r="AG320" s="180" t="str">
        <f ca="1"/>
        <v/>
      </c>
      <c r="AH320" s="180" t="str">
        <f ca="1"/>
        <v/>
      </c>
      <c r="AI320" s="180" t="str">
        <f ca="1"/>
        <v/>
      </c>
      <c r="AJ320" s="180" t="str">
        <f ca="1"/>
        <v/>
      </c>
      <c r="AK320" s="180" t="str">
        <f ca="1"/>
        <v/>
      </c>
      <c r="AL320" s="180" t="str">
        <f ca="1"/>
        <v/>
      </c>
      <c r="AM320" s="180" t="str">
        <f ca="1"/>
        <v/>
      </c>
      <c r="AN320" s="180" t="str">
        <f ca="1"/>
        <v/>
      </c>
      <c r="AO320" s="180" t="str">
        <f ca="1"/>
        <v/>
      </c>
      <c r="AP320" s="180" t="str">
        <f ca="1"/>
        <v/>
      </c>
      <c r="AQ320" t="str">
        <f ca="1"/>
        <v/>
      </c>
    </row>
    <row r="321" spans="2:43" x14ac:dyDescent="0.25">
      <c r="B321" s="179" t="str">
        <f ca="1"/>
        <v/>
      </c>
      <c r="C321" s="180" t="str">
        <f ca="1"/>
        <v/>
      </c>
      <c r="D321" s="180" t="str">
        <f ca="1"/>
        <v/>
      </c>
      <c r="E321" s="180" t="str">
        <f ca="1"/>
        <v/>
      </c>
      <c r="F321" s="180" t="str">
        <f ca="1"/>
        <v/>
      </c>
      <c r="G321" s="180" t="str">
        <f ca="1"/>
        <v/>
      </c>
      <c r="H321" s="180" t="str">
        <f ca="1"/>
        <v/>
      </c>
      <c r="I321" s="180" t="str">
        <f ca="1"/>
        <v/>
      </c>
      <c r="J321" s="180" t="str">
        <f ca="1"/>
        <v/>
      </c>
      <c r="K321" s="180" t="str">
        <f ca="1"/>
        <v/>
      </c>
      <c r="L321" s="180" t="str">
        <f ca="1"/>
        <v/>
      </c>
      <c r="M321" s="180" t="str">
        <f ca="1"/>
        <v/>
      </c>
      <c r="N321" s="180" t="str">
        <f ca="1"/>
        <v/>
      </c>
      <c r="O321" s="180" t="str">
        <f ca="1"/>
        <v/>
      </c>
      <c r="P321" s="180" t="str">
        <f ca="1"/>
        <v/>
      </c>
      <c r="Q321" s="180" t="str">
        <f ca="1"/>
        <v/>
      </c>
      <c r="R321" s="180" t="str">
        <f ca="1"/>
        <v/>
      </c>
      <c r="S321" s="180" t="str">
        <f ca="1"/>
        <v/>
      </c>
      <c r="T321" s="180" t="str">
        <f ca="1"/>
        <v/>
      </c>
      <c r="U321" s="180" t="str">
        <f ca="1"/>
        <v/>
      </c>
      <c r="V321" s="180" t="str">
        <f ca="1"/>
        <v/>
      </c>
      <c r="W321" s="180" t="str">
        <f ca="1"/>
        <v/>
      </c>
      <c r="X321" s="180" t="str">
        <f ca="1"/>
        <v/>
      </c>
      <c r="Y321" s="180" t="str">
        <f ca="1"/>
        <v/>
      </c>
      <c r="Z321" s="180" t="str">
        <f ca="1"/>
        <v/>
      </c>
      <c r="AA321" s="180" t="str">
        <f ca="1"/>
        <v/>
      </c>
      <c r="AB321" s="180" t="str">
        <f ca="1"/>
        <v/>
      </c>
      <c r="AC321" s="180" t="str">
        <f ca="1"/>
        <v/>
      </c>
      <c r="AD321" s="180" t="str">
        <f ca="1"/>
        <v/>
      </c>
      <c r="AE321" s="180" t="str">
        <f ca="1"/>
        <v/>
      </c>
      <c r="AF321" s="180" t="str">
        <f ca="1"/>
        <v/>
      </c>
      <c r="AG321" s="180" t="str">
        <f ca="1"/>
        <v/>
      </c>
      <c r="AH321" s="180" t="str">
        <f ca="1"/>
        <v/>
      </c>
      <c r="AI321" s="180" t="str">
        <f ca="1"/>
        <v/>
      </c>
      <c r="AJ321" s="180" t="str">
        <f ca="1"/>
        <v/>
      </c>
      <c r="AK321" s="180" t="str">
        <f ca="1"/>
        <v/>
      </c>
      <c r="AL321" s="180" t="str">
        <f ca="1"/>
        <v/>
      </c>
      <c r="AM321" s="180" t="str">
        <f ca="1"/>
        <v/>
      </c>
      <c r="AN321" s="180" t="str">
        <f ca="1"/>
        <v/>
      </c>
      <c r="AO321" s="180" t="str">
        <f ca="1"/>
        <v/>
      </c>
      <c r="AP321" s="180" t="str">
        <f ca="1"/>
        <v/>
      </c>
      <c r="AQ321" t="str">
        <f ca="1"/>
        <v/>
      </c>
    </row>
    <row r="322" spans="2:43" x14ac:dyDescent="0.25">
      <c r="B322" s="179" t="str">
        <f ca="1"/>
        <v/>
      </c>
      <c r="C322" s="180" t="str">
        <f ca="1"/>
        <v/>
      </c>
      <c r="D322" s="180" t="str">
        <f ca="1"/>
        <v/>
      </c>
      <c r="E322" s="180" t="str">
        <f ca="1"/>
        <v/>
      </c>
      <c r="F322" s="180" t="str">
        <f ca="1"/>
        <v/>
      </c>
      <c r="G322" s="180" t="str">
        <f ca="1"/>
        <v/>
      </c>
      <c r="H322" s="180" t="str">
        <f ca="1"/>
        <v/>
      </c>
      <c r="I322" s="180" t="str">
        <f ca="1"/>
        <v/>
      </c>
      <c r="J322" s="180" t="str">
        <f ca="1"/>
        <v/>
      </c>
      <c r="K322" s="180" t="str">
        <f ca="1"/>
        <v/>
      </c>
      <c r="L322" s="180" t="str">
        <f ca="1"/>
        <v/>
      </c>
      <c r="M322" s="180" t="str">
        <f ca="1"/>
        <v/>
      </c>
      <c r="N322" s="180" t="str">
        <f ca="1"/>
        <v/>
      </c>
      <c r="O322" s="180" t="str">
        <f ca="1"/>
        <v/>
      </c>
      <c r="P322" s="180" t="str">
        <f ca="1"/>
        <v/>
      </c>
      <c r="Q322" s="180" t="str">
        <f ca="1"/>
        <v/>
      </c>
      <c r="R322" s="180" t="str">
        <f ca="1"/>
        <v/>
      </c>
      <c r="S322" s="180" t="str">
        <f ca="1"/>
        <v/>
      </c>
      <c r="T322" s="180" t="str">
        <f ca="1"/>
        <v/>
      </c>
      <c r="U322" s="180" t="str">
        <f ca="1"/>
        <v/>
      </c>
      <c r="V322" s="180" t="str">
        <f ca="1"/>
        <v/>
      </c>
      <c r="W322" s="180" t="str">
        <f ca="1"/>
        <v/>
      </c>
      <c r="X322" s="180" t="str">
        <f ca="1"/>
        <v/>
      </c>
      <c r="Y322" s="180" t="str">
        <f ca="1"/>
        <v/>
      </c>
      <c r="Z322" s="180" t="str">
        <f ca="1"/>
        <v/>
      </c>
      <c r="AA322" s="180" t="str">
        <f ca="1"/>
        <v/>
      </c>
      <c r="AB322" s="180" t="str">
        <f ca="1"/>
        <v/>
      </c>
      <c r="AC322" s="180" t="str">
        <f ca="1"/>
        <v/>
      </c>
      <c r="AD322" s="180" t="str">
        <f ca="1"/>
        <v/>
      </c>
      <c r="AE322" s="180" t="str">
        <f ca="1"/>
        <v/>
      </c>
      <c r="AF322" s="180" t="str">
        <f ca="1"/>
        <v/>
      </c>
      <c r="AG322" s="180" t="str">
        <f ca="1"/>
        <v/>
      </c>
      <c r="AH322" s="180" t="str">
        <f ca="1"/>
        <v/>
      </c>
      <c r="AI322" s="180" t="str">
        <f ca="1"/>
        <v/>
      </c>
      <c r="AJ322" s="180" t="str">
        <f ca="1"/>
        <v/>
      </c>
      <c r="AK322" s="180" t="str">
        <f ca="1"/>
        <v/>
      </c>
      <c r="AL322" s="180" t="str">
        <f ca="1"/>
        <v/>
      </c>
      <c r="AM322" s="180" t="str">
        <f ca="1"/>
        <v/>
      </c>
      <c r="AN322" s="180" t="str">
        <f ca="1"/>
        <v/>
      </c>
      <c r="AO322" s="180" t="str">
        <f ca="1"/>
        <v/>
      </c>
      <c r="AP322" s="180" t="str">
        <f ca="1"/>
        <v/>
      </c>
      <c r="AQ322" t="str">
        <f ca="1"/>
        <v/>
      </c>
    </row>
    <row r="323" spans="2:43" x14ac:dyDescent="0.25">
      <c r="B323" s="179" t="str">
        <f ca="1"/>
        <v/>
      </c>
      <c r="C323" s="180" t="str">
        <f ca="1"/>
        <v/>
      </c>
      <c r="D323" s="180" t="str">
        <f ca="1"/>
        <v/>
      </c>
      <c r="E323" s="180" t="str">
        <f ca="1"/>
        <v/>
      </c>
      <c r="F323" s="180" t="str">
        <f ca="1"/>
        <v/>
      </c>
      <c r="G323" s="180" t="str">
        <f ca="1"/>
        <v/>
      </c>
      <c r="H323" s="180" t="str">
        <f ca="1"/>
        <v/>
      </c>
      <c r="I323" s="180" t="str">
        <f ca="1"/>
        <v/>
      </c>
      <c r="J323" s="180" t="str">
        <f ca="1"/>
        <v/>
      </c>
      <c r="K323" s="180" t="str">
        <f ca="1"/>
        <v/>
      </c>
      <c r="L323" s="180" t="str">
        <f ca="1"/>
        <v/>
      </c>
      <c r="M323" s="180" t="str">
        <f ca="1"/>
        <v/>
      </c>
      <c r="N323" s="180" t="str">
        <f ca="1"/>
        <v/>
      </c>
      <c r="O323" s="180" t="str">
        <f ca="1"/>
        <v/>
      </c>
      <c r="P323" s="180" t="str">
        <f ca="1"/>
        <v/>
      </c>
      <c r="Q323" s="180" t="str">
        <f ca="1"/>
        <v/>
      </c>
      <c r="R323" s="180" t="str">
        <f ca="1"/>
        <v/>
      </c>
      <c r="S323" s="180" t="str">
        <f ca="1"/>
        <v/>
      </c>
      <c r="T323" s="180" t="str">
        <f ca="1"/>
        <v/>
      </c>
      <c r="U323" s="180" t="str">
        <f ca="1"/>
        <v/>
      </c>
      <c r="V323" s="180" t="str">
        <f ca="1"/>
        <v/>
      </c>
      <c r="W323" s="180" t="str">
        <f ca="1"/>
        <v/>
      </c>
      <c r="X323" s="180" t="str">
        <f ca="1"/>
        <v/>
      </c>
      <c r="Y323" s="180" t="str">
        <f ca="1"/>
        <v/>
      </c>
      <c r="Z323" s="180" t="str">
        <f ca="1"/>
        <v/>
      </c>
      <c r="AA323" s="180" t="str">
        <f ca="1"/>
        <v/>
      </c>
      <c r="AB323" s="180" t="str">
        <f ca="1"/>
        <v/>
      </c>
      <c r="AC323" s="180" t="str">
        <f ca="1"/>
        <v/>
      </c>
      <c r="AD323" s="180" t="str">
        <f ca="1"/>
        <v/>
      </c>
      <c r="AE323" s="180" t="str">
        <f ca="1"/>
        <v/>
      </c>
      <c r="AF323" s="180" t="str">
        <f ca="1"/>
        <v/>
      </c>
      <c r="AG323" s="180" t="str">
        <f ca="1"/>
        <v/>
      </c>
      <c r="AH323" s="180" t="str">
        <f ca="1"/>
        <v/>
      </c>
      <c r="AI323" s="180" t="str">
        <f ca="1"/>
        <v/>
      </c>
      <c r="AJ323" s="180" t="str">
        <f ca="1"/>
        <v/>
      </c>
      <c r="AK323" s="180" t="str">
        <f ca="1"/>
        <v/>
      </c>
      <c r="AL323" s="180" t="str">
        <f ca="1"/>
        <v/>
      </c>
      <c r="AM323" s="180" t="str">
        <f ca="1"/>
        <v/>
      </c>
      <c r="AN323" s="180" t="str">
        <f ca="1"/>
        <v/>
      </c>
      <c r="AO323" s="180" t="str">
        <f ca="1"/>
        <v/>
      </c>
      <c r="AP323" s="180" t="str">
        <f ca="1"/>
        <v/>
      </c>
      <c r="AQ323" t="str">
        <f ca="1"/>
        <v/>
      </c>
    </row>
    <row r="324" spans="2:43" x14ac:dyDescent="0.25">
      <c r="B324" s="179" t="str">
        <f ca="1"/>
        <v/>
      </c>
      <c r="C324" s="180" t="str">
        <f ca="1"/>
        <v/>
      </c>
      <c r="D324" s="180" t="str">
        <f ca="1"/>
        <v/>
      </c>
      <c r="E324" s="180" t="str">
        <f ca="1"/>
        <v/>
      </c>
      <c r="F324" s="180" t="str">
        <f ca="1"/>
        <v/>
      </c>
      <c r="G324" s="180" t="str">
        <f ca="1"/>
        <v/>
      </c>
      <c r="H324" s="180" t="str">
        <f ca="1"/>
        <v/>
      </c>
      <c r="I324" s="180" t="str">
        <f ca="1"/>
        <v/>
      </c>
      <c r="J324" s="180" t="str">
        <f ca="1"/>
        <v/>
      </c>
      <c r="K324" s="180" t="str">
        <f ca="1"/>
        <v/>
      </c>
      <c r="L324" s="180" t="str">
        <f ca="1"/>
        <v/>
      </c>
      <c r="M324" s="180" t="str">
        <f ca="1"/>
        <v/>
      </c>
      <c r="N324" s="180" t="str">
        <f ca="1"/>
        <v/>
      </c>
      <c r="O324" s="180" t="str">
        <f ca="1"/>
        <v/>
      </c>
      <c r="P324" s="180" t="str">
        <f ca="1"/>
        <v/>
      </c>
      <c r="Q324" s="180" t="str">
        <f ca="1"/>
        <v/>
      </c>
      <c r="R324" s="180" t="str">
        <f ca="1"/>
        <v/>
      </c>
      <c r="S324" s="180" t="str">
        <f ca="1"/>
        <v/>
      </c>
      <c r="T324" s="180" t="str">
        <f ca="1"/>
        <v/>
      </c>
      <c r="U324" s="180" t="str">
        <f ca="1"/>
        <v/>
      </c>
      <c r="V324" s="180" t="str">
        <f ca="1"/>
        <v/>
      </c>
      <c r="W324" s="180" t="str">
        <f ca="1"/>
        <v/>
      </c>
      <c r="X324" s="180" t="str">
        <f ca="1"/>
        <v/>
      </c>
      <c r="Y324" s="180" t="str">
        <f ca="1"/>
        <v/>
      </c>
      <c r="Z324" s="180" t="str">
        <f ca="1"/>
        <v/>
      </c>
      <c r="AA324" s="180" t="str">
        <f ca="1"/>
        <v/>
      </c>
      <c r="AB324" s="180" t="str">
        <f ca="1"/>
        <v/>
      </c>
      <c r="AC324" s="180" t="str">
        <f ca="1"/>
        <v/>
      </c>
      <c r="AD324" s="180" t="str">
        <f ca="1"/>
        <v/>
      </c>
      <c r="AE324" s="180" t="str">
        <f ca="1"/>
        <v/>
      </c>
      <c r="AF324" s="180" t="str">
        <f ca="1"/>
        <v/>
      </c>
      <c r="AG324" s="180" t="str">
        <f ca="1"/>
        <v/>
      </c>
      <c r="AH324" s="180" t="str">
        <f ca="1"/>
        <v/>
      </c>
      <c r="AI324" s="180" t="str">
        <f ca="1"/>
        <v/>
      </c>
      <c r="AJ324" s="180" t="str">
        <f ca="1"/>
        <v/>
      </c>
      <c r="AK324" s="180" t="str">
        <f ca="1"/>
        <v/>
      </c>
      <c r="AL324" s="180" t="str">
        <f ca="1"/>
        <v/>
      </c>
      <c r="AM324" s="180" t="str">
        <f ca="1"/>
        <v/>
      </c>
      <c r="AN324" s="180" t="str">
        <f ca="1"/>
        <v/>
      </c>
      <c r="AO324" s="180" t="str">
        <f ca="1"/>
        <v/>
      </c>
      <c r="AP324" s="180" t="str">
        <f ca="1"/>
        <v/>
      </c>
      <c r="AQ324" t="str">
        <f ca="1"/>
        <v/>
      </c>
    </row>
    <row r="325" spans="2:43" x14ac:dyDescent="0.25">
      <c r="B325" s="179" t="str">
        <f ca="1"/>
        <v/>
      </c>
      <c r="C325" s="180" t="str">
        <f ca="1"/>
        <v/>
      </c>
      <c r="D325" s="180" t="str">
        <f ca="1"/>
        <v/>
      </c>
      <c r="E325" s="180" t="str">
        <f ca="1"/>
        <v/>
      </c>
      <c r="F325" s="180" t="str">
        <f ca="1"/>
        <v/>
      </c>
      <c r="G325" s="180" t="str">
        <f ca="1"/>
        <v/>
      </c>
      <c r="H325" s="180" t="str">
        <f ca="1"/>
        <v/>
      </c>
      <c r="I325" s="180" t="str">
        <f ca="1"/>
        <v/>
      </c>
      <c r="J325" s="180" t="str">
        <f ca="1"/>
        <v/>
      </c>
      <c r="K325" s="180" t="str">
        <f ca="1"/>
        <v/>
      </c>
      <c r="L325" s="180" t="str">
        <f ca="1"/>
        <v/>
      </c>
      <c r="M325" s="180" t="str">
        <f ca="1"/>
        <v/>
      </c>
      <c r="N325" s="180" t="str">
        <f ca="1"/>
        <v/>
      </c>
      <c r="O325" s="180" t="str">
        <f ca="1"/>
        <v/>
      </c>
      <c r="P325" s="180" t="str">
        <f ca="1"/>
        <v/>
      </c>
      <c r="Q325" s="180" t="str">
        <f ca="1"/>
        <v/>
      </c>
      <c r="R325" s="180" t="str">
        <f ca="1"/>
        <v/>
      </c>
      <c r="S325" s="180" t="str">
        <f ca="1"/>
        <v/>
      </c>
      <c r="T325" s="180" t="str">
        <f ca="1"/>
        <v/>
      </c>
      <c r="U325" s="180" t="str">
        <f ca="1"/>
        <v/>
      </c>
      <c r="V325" s="180" t="str">
        <f ca="1"/>
        <v/>
      </c>
      <c r="W325" s="180" t="str">
        <f ca="1"/>
        <v/>
      </c>
      <c r="X325" s="180" t="str">
        <f ca="1"/>
        <v/>
      </c>
      <c r="Y325" s="180" t="str">
        <f ca="1"/>
        <v/>
      </c>
      <c r="Z325" s="180" t="str">
        <f ca="1"/>
        <v/>
      </c>
      <c r="AA325" s="180" t="str">
        <f ca="1"/>
        <v/>
      </c>
      <c r="AB325" s="180" t="str">
        <f ca="1"/>
        <v/>
      </c>
      <c r="AC325" s="180" t="str">
        <f ca="1"/>
        <v/>
      </c>
      <c r="AD325" s="180" t="str">
        <f ca="1"/>
        <v/>
      </c>
      <c r="AE325" s="180" t="str">
        <f ca="1"/>
        <v/>
      </c>
      <c r="AF325" s="180" t="str">
        <f ca="1"/>
        <v/>
      </c>
      <c r="AG325" s="180" t="str">
        <f ca="1"/>
        <v/>
      </c>
      <c r="AH325" s="180" t="str">
        <f ca="1"/>
        <v/>
      </c>
      <c r="AI325" s="180" t="str">
        <f ca="1"/>
        <v/>
      </c>
      <c r="AJ325" s="180" t="str">
        <f ca="1"/>
        <v/>
      </c>
      <c r="AK325" s="180" t="str">
        <f ca="1"/>
        <v/>
      </c>
      <c r="AL325" s="180" t="str">
        <f ca="1"/>
        <v/>
      </c>
      <c r="AM325" s="180" t="str">
        <f ca="1"/>
        <v/>
      </c>
      <c r="AN325" s="180" t="str">
        <f ca="1"/>
        <v/>
      </c>
      <c r="AO325" s="180" t="str">
        <f ca="1"/>
        <v/>
      </c>
      <c r="AP325" s="180" t="str">
        <f ca="1"/>
        <v/>
      </c>
      <c r="AQ325" t="str">
        <f ca="1"/>
        <v/>
      </c>
    </row>
    <row r="326" spans="2:43" x14ac:dyDescent="0.25">
      <c r="B326" s="179" t="str">
        <f ca="1"/>
        <v/>
      </c>
      <c r="C326" s="180" t="str">
        <f ca="1"/>
        <v/>
      </c>
      <c r="D326" s="180" t="str">
        <f ca="1"/>
        <v/>
      </c>
      <c r="E326" s="180" t="str">
        <f ca="1"/>
        <v/>
      </c>
      <c r="F326" s="180" t="str">
        <f ca="1"/>
        <v/>
      </c>
      <c r="G326" s="180" t="str">
        <f ca="1"/>
        <v/>
      </c>
      <c r="H326" s="180" t="str">
        <f ca="1"/>
        <v/>
      </c>
      <c r="I326" s="180" t="str">
        <f ca="1"/>
        <v/>
      </c>
      <c r="J326" s="180" t="str">
        <f ca="1"/>
        <v/>
      </c>
      <c r="K326" s="180" t="str">
        <f ca="1"/>
        <v/>
      </c>
      <c r="L326" s="180" t="str">
        <f ca="1"/>
        <v/>
      </c>
      <c r="M326" s="180" t="str">
        <f ca="1"/>
        <v/>
      </c>
      <c r="N326" s="180" t="str">
        <f ca="1"/>
        <v/>
      </c>
      <c r="O326" s="180" t="str">
        <f ca="1"/>
        <v/>
      </c>
      <c r="P326" s="180" t="str">
        <f ca="1"/>
        <v/>
      </c>
      <c r="Q326" s="180" t="str">
        <f ca="1"/>
        <v/>
      </c>
      <c r="R326" s="180" t="str">
        <f ca="1"/>
        <v/>
      </c>
      <c r="S326" s="180" t="str">
        <f ca="1"/>
        <v/>
      </c>
      <c r="T326" s="180" t="str">
        <f ca="1"/>
        <v/>
      </c>
      <c r="U326" s="180" t="str">
        <f ca="1"/>
        <v/>
      </c>
      <c r="V326" s="180" t="str">
        <f ca="1"/>
        <v/>
      </c>
      <c r="W326" s="180" t="str">
        <f ca="1"/>
        <v/>
      </c>
      <c r="X326" s="180" t="str">
        <f ca="1"/>
        <v/>
      </c>
      <c r="Y326" s="180" t="str">
        <f ca="1"/>
        <v/>
      </c>
      <c r="Z326" s="180" t="str">
        <f ca="1"/>
        <v/>
      </c>
      <c r="AA326" s="180" t="str">
        <f ca="1"/>
        <v/>
      </c>
      <c r="AB326" s="180" t="str">
        <f ca="1"/>
        <v/>
      </c>
      <c r="AC326" s="180" t="str">
        <f ca="1"/>
        <v/>
      </c>
      <c r="AD326" s="180" t="str">
        <f ca="1"/>
        <v/>
      </c>
      <c r="AE326" s="180" t="str">
        <f ca="1"/>
        <v/>
      </c>
      <c r="AF326" s="180" t="str">
        <f ca="1"/>
        <v/>
      </c>
      <c r="AG326" s="180" t="str">
        <f ca="1"/>
        <v/>
      </c>
      <c r="AH326" s="180" t="str">
        <f ca="1"/>
        <v/>
      </c>
      <c r="AI326" s="180" t="str">
        <f ca="1"/>
        <v/>
      </c>
      <c r="AJ326" s="180" t="str">
        <f ca="1"/>
        <v/>
      </c>
      <c r="AK326" s="180" t="str">
        <f ca="1"/>
        <v/>
      </c>
      <c r="AL326" s="180" t="str">
        <f ca="1"/>
        <v/>
      </c>
      <c r="AM326" s="180" t="str">
        <f ca="1"/>
        <v/>
      </c>
      <c r="AN326" s="180" t="str">
        <f ca="1"/>
        <v/>
      </c>
      <c r="AO326" s="180" t="str">
        <f ca="1"/>
        <v/>
      </c>
      <c r="AP326" s="180" t="str">
        <f ca="1"/>
        <v/>
      </c>
      <c r="AQ326" t="str">
        <f ca="1"/>
        <v/>
      </c>
    </row>
    <row r="327" spans="2:43" x14ac:dyDescent="0.25">
      <c r="B327" s="179" t="str">
        <f ca="1"/>
        <v/>
      </c>
      <c r="C327" s="180" t="str">
        <f ca="1"/>
        <v/>
      </c>
      <c r="D327" s="180" t="str">
        <f ca="1"/>
        <v/>
      </c>
      <c r="E327" s="180" t="str">
        <f ca="1"/>
        <v/>
      </c>
      <c r="F327" s="180" t="str">
        <f ca="1"/>
        <v/>
      </c>
      <c r="G327" s="180" t="str">
        <f ca="1"/>
        <v/>
      </c>
      <c r="H327" s="180" t="str">
        <f ca="1"/>
        <v/>
      </c>
      <c r="I327" s="180" t="str">
        <f ca="1"/>
        <v/>
      </c>
      <c r="J327" s="180" t="str">
        <f ca="1"/>
        <v/>
      </c>
      <c r="K327" s="180" t="str">
        <f ca="1"/>
        <v/>
      </c>
      <c r="L327" s="180" t="str">
        <f ca="1"/>
        <v/>
      </c>
      <c r="M327" s="180" t="str">
        <f ca="1"/>
        <v/>
      </c>
      <c r="N327" s="180" t="str">
        <f ca="1"/>
        <v/>
      </c>
      <c r="O327" s="180" t="str">
        <f ca="1"/>
        <v/>
      </c>
      <c r="P327" s="180" t="str">
        <f ca="1"/>
        <v/>
      </c>
      <c r="Q327" s="180" t="str">
        <f ca="1"/>
        <v/>
      </c>
      <c r="R327" s="180" t="str">
        <f ca="1"/>
        <v/>
      </c>
      <c r="S327" s="180" t="str">
        <f ca="1"/>
        <v/>
      </c>
      <c r="T327" s="180" t="str">
        <f ca="1"/>
        <v/>
      </c>
      <c r="U327" s="180" t="str">
        <f ca="1"/>
        <v/>
      </c>
      <c r="V327" s="180" t="str">
        <f ca="1"/>
        <v/>
      </c>
      <c r="W327" s="180" t="str">
        <f ca="1"/>
        <v/>
      </c>
      <c r="X327" s="180" t="str">
        <f ca="1"/>
        <v/>
      </c>
      <c r="Y327" s="180" t="str">
        <f ca="1"/>
        <v/>
      </c>
      <c r="Z327" s="180" t="str">
        <f ca="1"/>
        <v/>
      </c>
      <c r="AA327" s="180" t="str">
        <f ca="1"/>
        <v/>
      </c>
      <c r="AB327" s="180" t="str">
        <f ca="1"/>
        <v/>
      </c>
      <c r="AC327" s="180" t="str">
        <f ca="1"/>
        <v/>
      </c>
      <c r="AD327" s="180" t="str">
        <f ca="1"/>
        <v/>
      </c>
      <c r="AE327" s="180" t="str">
        <f ca="1"/>
        <v/>
      </c>
      <c r="AF327" s="180" t="str">
        <f ca="1"/>
        <v/>
      </c>
      <c r="AG327" s="180" t="str">
        <f ca="1"/>
        <v/>
      </c>
      <c r="AH327" s="180" t="str">
        <f ca="1"/>
        <v/>
      </c>
      <c r="AI327" s="180" t="str">
        <f ca="1"/>
        <v/>
      </c>
      <c r="AJ327" s="180" t="str">
        <f ca="1"/>
        <v/>
      </c>
      <c r="AK327" s="180" t="str">
        <f ca="1"/>
        <v/>
      </c>
      <c r="AL327" s="180" t="str">
        <f ca="1"/>
        <v/>
      </c>
      <c r="AM327" s="180" t="str">
        <f ca="1"/>
        <v/>
      </c>
      <c r="AN327" s="180" t="str">
        <f ca="1"/>
        <v/>
      </c>
      <c r="AO327" s="180" t="str">
        <f ca="1"/>
        <v/>
      </c>
      <c r="AP327" s="180" t="str">
        <f ca="1"/>
        <v/>
      </c>
      <c r="AQ327" t="str">
        <f ca="1"/>
        <v/>
      </c>
    </row>
    <row r="328" spans="2:43" x14ac:dyDescent="0.25">
      <c r="B328" s="179" t="str">
        <f ca="1"/>
        <v/>
      </c>
      <c r="C328" s="180" t="str">
        <f ca="1"/>
        <v/>
      </c>
      <c r="D328" s="180" t="str">
        <f ca="1"/>
        <v/>
      </c>
      <c r="E328" s="180" t="str">
        <f ca="1"/>
        <v/>
      </c>
      <c r="F328" s="180" t="str">
        <f ca="1"/>
        <v/>
      </c>
      <c r="G328" s="180" t="str">
        <f ca="1"/>
        <v/>
      </c>
      <c r="H328" s="180" t="str">
        <f ca="1"/>
        <v/>
      </c>
      <c r="I328" s="180" t="str">
        <f ca="1"/>
        <v/>
      </c>
      <c r="J328" s="180" t="str">
        <f ca="1"/>
        <v/>
      </c>
      <c r="K328" s="180" t="str">
        <f ca="1"/>
        <v/>
      </c>
      <c r="L328" s="180" t="str">
        <f ca="1"/>
        <v/>
      </c>
      <c r="M328" s="180" t="str">
        <f ca="1"/>
        <v/>
      </c>
      <c r="N328" s="180" t="str">
        <f ca="1"/>
        <v/>
      </c>
      <c r="O328" s="180" t="str">
        <f ca="1"/>
        <v/>
      </c>
      <c r="P328" s="180" t="str">
        <f ca="1"/>
        <v/>
      </c>
      <c r="Q328" s="180" t="str">
        <f ca="1"/>
        <v/>
      </c>
      <c r="R328" s="180" t="str">
        <f ca="1"/>
        <v/>
      </c>
      <c r="S328" s="180" t="str">
        <f ca="1"/>
        <v/>
      </c>
      <c r="T328" s="180" t="str">
        <f ca="1"/>
        <v/>
      </c>
      <c r="U328" s="180" t="str">
        <f ca="1"/>
        <v/>
      </c>
      <c r="V328" s="180" t="str">
        <f ca="1"/>
        <v/>
      </c>
      <c r="W328" s="180" t="str">
        <f ca="1"/>
        <v/>
      </c>
      <c r="X328" s="180" t="str">
        <f ca="1"/>
        <v/>
      </c>
      <c r="Y328" s="180" t="str">
        <f ca="1"/>
        <v/>
      </c>
      <c r="Z328" s="180" t="str">
        <f ca="1"/>
        <v/>
      </c>
      <c r="AA328" s="180" t="str">
        <f ca="1"/>
        <v/>
      </c>
      <c r="AB328" s="180" t="str">
        <f ca="1"/>
        <v/>
      </c>
      <c r="AC328" s="180" t="str">
        <f ca="1"/>
        <v/>
      </c>
      <c r="AD328" s="180" t="str">
        <f ca="1"/>
        <v/>
      </c>
      <c r="AE328" s="180" t="str">
        <f ca="1"/>
        <v/>
      </c>
      <c r="AF328" s="180" t="str">
        <f ca="1"/>
        <v/>
      </c>
      <c r="AG328" s="180" t="str">
        <f ca="1"/>
        <v/>
      </c>
      <c r="AH328" s="180" t="str">
        <f ca="1"/>
        <v/>
      </c>
      <c r="AI328" s="180" t="str">
        <f ca="1"/>
        <v/>
      </c>
      <c r="AJ328" s="180" t="str">
        <f ca="1"/>
        <v/>
      </c>
      <c r="AK328" s="180" t="str">
        <f ca="1"/>
        <v/>
      </c>
      <c r="AL328" s="180" t="str">
        <f ca="1"/>
        <v/>
      </c>
      <c r="AM328" s="180" t="str">
        <f ca="1"/>
        <v/>
      </c>
      <c r="AN328" s="180" t="str">
        <f ca="1"/>
        <v/>
      </c>
      <c r="AO328" s="180" t="str">
        <f ca="1"/>
        <v/>
      </c>
      <c r="AP328" s="180" t="str">
        <f ca="1"/>
        <v/>
      </c>
      <c r="AQ328" t="str">
        <f ca="1"/>
        <v/>
      </c>
    </row>
    <row r="329" spans="2:43" x14ac:dyDescent="0.25">
      <c r="B329" s="179" t="str">
        <f ca="1"/>
        <v/>
      </c>
      <c r="C329" s="180" t="str">
        <f ca="1"/>
        <v/>
      </c>
      <c r="D329" s="180" t="str">
        <f ca="1"/>
        <v/>
      </c>
      <c r="E329" s="180" t="str">
        <f ca="1"/>
        <v/>
      </c>
      <c r="F329" s="180" t="str">
        <f ca="1"/>
        <v/>
      </c>
      <c r="G329" s="180" t="str">
        <f ca="1"/>
        <v/>
      </c>
      <c r="H329" s="180" t="str">
        <f ca="1"/>
        <v/>
      </c>
      <c r="I329" s="180" t="str">
        <f ca="1"/>
        <v/>
      </c>
      <c r="J329" s="180" t="str">
        <f ca="1"/>
        <v/>
      </c>
      <c r="K329" s="180" t="str">
        <f ca="1"/>
        <v/>
      </c>
      <c r="L329" s="180" t="str">
        <f ca="1"/>
        <v/>
      </c>
      <c r="M329" s="180" t="str">
        <f ca="1"/>
        <v/>
      </c>
      <c r="N329" s="180" t="str">
        <f ca="1"/>
        <v/>
      </c>
      <c r="O329" s="180" t="str">
        <f ca="1"/>
        <v/>
      </c>
      <c r="P329" s="180" t="str">
        <f ca="1"/>
        <v/>
      </c>
      <c r="Q329" s="180" t="str">
        <f ca="1"/>
        <v/>
      </c>
      <c r="R329" s="180" t="str">
        <f ca="1"/>
        <v/>
      </c>
      <c r="S329" s="180" t="str">
        <f ca="1"/>
        <v/>
      </c>
      <c r="T329" s="180" t="str">
        <f ca="1"/>
        <v/>
      </c>
      <c r="U329" s="180" t="str">
        <f ca="1"/>
        <v/>
      </c>
      <c r="V329" s="180" t="str">
        <f ca="1"/>
        <v/>
      </c>
      <c r="W329" s="180" t="str">
        <f ca="1"/>
        <v/>
      </c>
      <c r="X329" s="180" t="str">
        <f ca="1"/>
        <v/>
      </c>
      <c r="Y329" s="180" t="str">
        <f ca="1"/>
        <v/>
      </c>
      <c r="Z329" s="180" t="str">
        <f ca="1"/>
        <v/>
      </c>
      <c r="AA329" s="180" t="str">
        <f ca="1"/>
        <v/>
      </c>
      <c r="AB329" s="180" t="str">
        <f ca="1"/>
        <v/>
      </c>
      <c r="AC329" s="180" t="str">
        <f ca="1"/>
        <v/>
      </c>
      <c r="AD329" s="180" t="str">
        <f ca="1"/>
        <v/>
      </c>
      <c r="AE329" s="180" t="str">
        <f ca="1"/>
        <v/>
      </c>
      <c r="AF329" s="180" t="str">
        <f ca="1"/>
        <v/>
      </c>
      <c r="AG329" s="180" t="str">
        <f ca="1"/>
        <v/>
      </c>
      <c r="AH329" s="180" t="str">
        <f ca="1"/>
        <v/>
      </c>
      <c r="AI329" s="180" t="str">
        <f ca="1"/>
        <v/>
      </c>
      <c r="AJ329" s="180" t="str">
        <f ca="1"/>
        <v/>
      </c>
      <c r="AK329" s="180" t="str">
        <f ca="1"/>
        <v/>
      </c>
      <c r="AL329" s="180" t="str">
        <f ca="1"/>
        <v/>
      </c>
      <c r="AM329" s="180" t="str">
        <f ca="1"/>
        <v/>
      </c>
      <c r="AN329" s="180" t="str">
        <f ca="1"/>
        <v/>
      </c>
      <c r="AO329" s="180" t="str">
        <f ca="1"/>
        <v/>
      </c>
      <c r="AP329" s="180" t="str">
        <f ca="1"/>
        <v/>
      </c>
      <c r="AQ329" t="str">
        <f ca="1"/>
        <v/>
      </c>
    </row>
    <row r="330" spans="2:43" x14ac:dyDescent="0.25">
      <c r="B330" s="179" t="str">
        <f ca="1"/>
        <v/>
      </c>
      <c r="C330" s="180" t="str">
        <f ca="1"/>
        <v/>
      </c>
      <c r="D330" s="180" t="str">
        <f ca="1"/>
        <v/>
      </c>
      <c r="E330" s="180" t="str">
        <f ca="1"/>
        <v/>
      </c>
      <c r="F330" s="180" t="str">
        <f ca="1"/>
        <v/>
      </c>
      <c r="G330" s="180" t="str">
        <f ca="1"/>
        <v/>
      </c>
      <c r="H330" s="180" t="str">
        <f ca="1"/>
        <v/>
      </c>
      <c r="I330" s="180" t="str">
        <f ca="1"/>
        <v/>
      </c>
      <c r="J330" s="180" t="str">
        <f ca="1"/>
        <v/>
      </c>
      <c r="K330" s="180" t="str">
        <f ca="1"/>
        <v/>
      </c>
      <c r="L330" s="180" t="str">
        <f ca="1"/>
        <v/>
      </c>
      <c r="M330" s="180" t="str">
        <f ca="1"/>
        <v/>
      </c>
      <c r="N330" s="180" t="str">
        <f ca="1"/>
        <v/>
      </c>
      <c r="O330" s="180" t="str">
        <f ca="1"/>
        <v/>
      </c>
      <c r="P330" s="180" t="str">
        <f ca="1"/>
        <v/>
      </c>
      <c r="Q330" s="180" t="str">
        <f ca="1"/>
        <v/>
      </c>
      <c r="R330" s="180" t="str">
        <f ca="1"/>
        <v/>
      </c>
      <c r="S330" s="180" t="str">
        <f ca="1"/>
        <v/>
      </c>
      <c r="T330" s="180" t="str">
        <f ca="1"/>
        <v/>
      </c>
      <c r="U330" s="180" t="str">
        <f ca="1"/>
        <v/>
      </c>
      <c r="V330" s="180" t="str">
        <f ca="1"/>
        <v/>
      </c>
      <c r="W330" s="180" t="str">
        <f ca="1"/>
        <v/>
      </c>
      <c r="X330" s="180" t="str">
        <f ca="1"/>
        <v/>
      </c>
      <c r="Y330" s="180" t="str">
        <f ca="1"/>
        <v/>
      </c>
      <c r="Z330" s="180" t="str">
        <f ca="1"/>
        <v/>
      </c>
      <c r="AA330" s="180" t="str">
        <f ca="1"/>
        <v/>
      </c>
      <c r="AB330" s="180" t="str">
        <f ca="1"/>
        <v/>
      </c>
      <c r="AC330" s="180" t="str">
        <f ca="1"/>
        <v/>
      </c>
      <c r="AD330" s="180" t="str">
        <f ca="1"/>
        <v/>
      </c>
      <c r="AE330" s="180" t="str">
        <f ca="1"/>
        <v/>
      </c>
      <c r="AF330" s="180" t="str">
        <f ca="1"/>
        <v/>
      </c>
      <c r="AG330" s="180" t="str">
        <f ca="1"/>
        <v/>
      </c>
      <c r="AH330" s="180" t="str">
        <f ca="1"/>
        <v/>
      </c>
      <c r="AI330" s="180" t="str">
        <f ca="1"/>
        <v/>
      </c>
      <c r="AJ330" s="180" t="str">
        <f ca="1"/>
        <v/>
      </c>
      <c r="AK330" s="180" t="str">
        <f ca="1"/>
        <v/>
      </c>
      <c r="AL330" s="180" t="str">
        <f ca="1"/>
        <v/>
      </c>
      <c r="AM330" s="180" t="str">
        <f ca="1"/>
        <v/>
      </c>
      <c r="AN330" s="180" t="str">
        <f ca="1"/>
        <v/>
      </c>
      <c r="AO330" s="180" t="str">
        <f ca="1"/>
        <v/>
      </c>
      <c r="AP330" s="180" t="str">
        <f ca="1"/>
        <v/>
      </c>
      <c r="AQ330" t="str">
        <f ca="1"/>
        <v/>
      </c>
    </row>
    <row r="331" spans="2:43" x14ac:dyDescent="0.25">
      <c r="B331" s="179" t="str">
        <f ca="1"/>
        <v/>
      </c>
      <c r="C331" s="180" t="str">
        <f ca="1"/>
        <v/>
      </c>
      <c r="D331" s="180" t="str">
        <f ca="1"/>
        <v/>
      </c>
      <c r="E331" s="180" t="str">
        <f ca="1"/>
        <v/>
      </c>
      <c r="F331" s="180" t="str">
        <f ca="1"/>
        <v/>
      </c>
      <c r="G331" s="180" t="str">
        <f ca="1"/>
        <v/>
      </c>
      <c r="H331" s="180" t="str">
        <f ca="1"/>
        <v/>
      </c>
      <c r="I331" s="180" t="str">
        <f ca="1"/>
        <v/>
      </c>
      <c r="J331" s="180" t="str">
        <f ca="1"/>
        <v/>
      </c>
      <c r="K331" s="180" t="str">
        <f ca="1"/>
        <v/>
      </c>
      <c r="L331" s="180" t="str">
        <f ca="1"/>
        <v/>
      </c>
      <c r="M331" s="180" t="str">
        <f ca="1"/>
        <v/>
      </c>
      <c r="N331" s="180" t="str">
        <f ca="1"/>
        <v/>
      </c>
      <c r="O331" s="180" t="str">
        <f ca="1"/>
        <v/>
      </c>
      <c r="P331" s="180" t="str">
        <f ca="1"/>
        <v/>
      </c>
      <c r="Q331" s="180" t="str">
        <f ca="1"/>
        <v/>
      </c>
      <c r="R331" s="180" t="str">
        <f ca="1"/>
        <v/>
      </c>
      <c r="S331" s="180" t="str">
        <f ca="1"/>
        <v/>
      </c>
      <c r="T331" s="180" t="str">
        <f ca="1"/>
        <v/>
      </c>
      <c r="U331" s="180" t="str">
        <f ca="1"/>
        <v/>
      </c>
      <c r="V331" s="180" t="str">
        <f ca="1"/>
        <v/>
      </c>
      <c r="W331" s="180" t="str">
        <f ca="1"/>
        <v/>
      </c>
      <c r="X331" s="180" t="str">
        <f ca="1"/>
        <v/>
      </c>
      <c r="Y331" s="180" t="str">
        <f ca="1"/>
        <v/>
      </c>
      <c r="Z331" s="180" t="str">
        <f ca="1"/>
        <v/>
      </c>
      <c r="AA331" s="180" t="str">
        <f ca="1"/>
        <v/>
      </c>
      <c r="AB331" s="180" t="str">
        <f ca="1"/>
        <v/>
      </c>
      <c r="AC331" s="180" t="str">
        <f ca="1"/>
        <v/>
      </c>
      <c r="AD331" s="180" t="str">
        <f ca="1"/>
        <v/>
      </c>
      <c r="AE331" s="180" t="str">
        <f ca="1"/>
        <v/>
      </c>
      <c r="AF331" s="180" t="str">
        <f ca="1"/>
        <v/>
      </c>
      <c r="AG331" s="180" t="str">
        <f ca="1"/>
        <v/>
      </c>
      <c r="AH331" s="180" t="str">
        <f ca="1"/>
        <v/>
      </c>
      <c r="AI331" s="180" t="str">
        <f ca="1"/>
        <v/>
      </c>
      <c r="AJ331" s="180" t="str">
        <f ca="1"/>
        <v/>
      </c>
      <c r="AK331" s="180" t="str">
        <f ca="1"/>
        <v/>
      </c>
      <c r="AL331" s="180" t="str">
        <f ca="1"/>
        <v/>
      </c>
      <c r="AM331" s="180" t="str">
        <f ca="1"/>
        <v/>
      </c>
      <c r="AN331" s="180" t="str">
        <f ca="1"/>
        <v/>
      </c>
      <c r="AO331" s="180" t="str">
        <f ca="1"/>
        <v/>
      </c>
      <c r="AP331" s="180" t="str">
        <f ca="1"/>
        <v/>
      </c>
      <c r="AQ331" t="str">
        <f ca="1"/>
        <v/>
      </c>
    </row>
    <row r="332" spans="2:43" x14ac:dyDescent="0.25">
      <c r="B332" s="179" t="str">
        <f ca="1"/>
        <v/>
      </c>
      <c r="C332" s="180" t="str">
        <f ca="1"/>
        <v/>
      </c>
      <c r="D332" s="180" t="str">
        <f ca="1"/>
        <v/>
      </c>
      <c r="E332" s="180" t="str">
        <f ca="1"/>
        <v/>
      </c>
      <c r="F332" s="180" t="str">
        <f ca="1"/>
        <v/>
      </c>
      <c r="G332" s="180" t="str">
        <f ca="1"/>
        <v/>
      </c>
      <c r="H332" s="180" t="str">
        <f ca="1"/>
        <v/>
      </c>
      <c r="I332" s="180" t="str">
        <f ca="1"/>
        <v/>
      </c>
      <c r="J332" s="180" t="str">
        <f ca="1"/>
        <v/>
      </c>
      <c r="K332" s="180" t="str">
        <f ca="1"/>
        <v/>
      </c>
      <c r="L332" s="180" t="str">
        <f ca="1"/>
        <v/>
      </c>
      <c r="M332" s="180" t="str">
        <f ca="1"/>
        <v/>
      </c>
      <c r="N332" s="180" t="str">
        <f ca="1"/>
        <v/>
      </c>
      <c r="O332" s="180" t="str">
        <f ca="1"/>
        <v/>
      </c>
      <c r="P332" s="180" t="str">
        <f ca="1"/>
        <v/>
      </c>
      <c r="Q332" s="180" t="str">
        <f ca="1"/>
        <v/>
      </c>
      <c r="R332" s="180" t="str">
        <f ca="1"/>
        <v/>
      </c>
      <c r="S332" s="180" t="str">
        <f ca="1"/>
        <v/>
      </c>
      <c r="T332" s="180" t="str">
        <f ca="1"/>
        <v/>
      </c>
      <c r="U332" s="180" t="str">
        <f ca="1"/>
        <v/>
      </c>
      <c r="V332" s="180" t="str">
        <f ca="1"/>
        <v/>
      </c>
      <c r="W332" s="180" t="str">
        <f ca="1"/>
        <v/>
      </c>
      <c r="X332" s="180" t="str">
        <f ca="1"/>
        <v/>
      </c>
      <c r="Y332" s="180" t="str">
        <f ca="1"/>
        <v/>
      </c>
      <c r="Z332" s="180" t="str">
        <f ca="1"/>
        <v/>
      </c>
      <c r="AA332" s="180" t="str">
        <f ca="1"/>
        <v/>
      </c>
      <c r="AB332" s="180" t="str">
        <f ca="1"/>
        <v/>
      </c>
      <c r="AC332" s="180" t="str">
        <f ca="1"/>
        <v/>
      </c>
      <c r="AD332" s="180" t="str">
        <f ca="1"/>
        <v/>
      </c>
      <c r="AE332" s="180" t="str">
        <f ca="1"/>
        <v/>
      </c>
      <c r="AF332" s="180" t="str">
        <f ca="1"/>
        <v/>
      </c>
      <c r="AG332" s="180" t="str">
        <f ca="1"/>
        <v/>
      </c>
      <c r="AH332" s="180" t="str">
        <f ca="1"/>
        <v/>
      </c>
      <c r="AI332" s="180" t="str">
        <f ca="1"/>
        <v/>
      </c>
      <c r="AJ332" s="180" t="str">
        <f ca="1"/>
        <v/>
      </c>
      <c r="AK332" s="180" t="str">
        <f ca="1"/>
        <v/>
      </c>
      <c r="AL332" s="180" t="str">
        <f ca="1"/>
        <v/>
      </c>
      <c r="AM332" s="180" t="str">
        <f ca="1"/>
        <v/>
      </c>
      <c r="AN332" s="180" t="str">
        <f ca="1"/>
        <v/>
      </c>
      <c r="AO332" s="180" t="str">
        <f ca="1"/>
        <v/>
      </c>
      <c r="AP332" s="180" t="str">
        <f ca="1"/>
        <v/>
      </c>
      <c r="AQ332" t="str">
        <f ca="1"/>
        <v/>
      </c>
    </row>
    <row r="333" spans="2:43" x14ac:dyDescent="0.25">
      <c r="B333" s="179" t="str">
        <f ca="1"/>
        <v/>
      </c>
      <c r="C333" s="180" t="str">
        <f ca="1"/>
        <v/>
      </c>
      <c r="D333" s="180" t="str">
        <f ca="1"/>
        <v/>
      </c>
      <c r="E333" s="180" t="str">
        <f ca="1"/>
        <v/>
      </c>
      <c r="F333" s="180" t="str">
        <f ca="1"/>
        <v/>
      </c>
      <c r="G333" s="180" t="str">
        <f ca="1"/>
        <v/>
      </c>
      <c r="H333" s="180" t="str">
        <f ca="1"/>
        <v/>
      </c>
      <c r="I333" s="180" t="str">
        <f ca="1"/>
        <v/>
      </c>
      <c r="J333" s="180" t="str">
        <f ca="1"/>
        <v/>
      </c>
      <c r="K333" s="180" t="str">
        <f ca="1"/>
        <v/>
      </c>
      <c r="L333" s="180" t="str">
        <f ca="1"/>
        <v/>
      </c>
      <c r="M333" s="180" t="str">
        <f ca="1"/>
        <v/>
      </c>
      <c r="N333" s="180" t="str">
        <f ca="1"/>
        <v/>
      </c>
      <c r="O333" s="180" t="str">
        <f ca="1"/>
        <v/>
      </c>
      <c r="P333" s="180" t="str">
        <f ca="1"/>
        <v/>
      </c>
      <c r="Q333" s="180" t="str">
        <f ca="1"/>
        <v/>
      </c>
      <c r="R333" s="180" t="str">
        <f ca="1"/>
        <v/>
      </c>
      <c r="S333" s="180" t="str">
        <f ca="1"/>
        <v/>
      </c>
      <c r="T333" s="180" t="str">
        <f ca="1"/>
        <v/>
      </c>
      <c r="U333" s="180" t="str">
        <f ca="1"/>
        <v/>
      </c>
      <c r="V333" s="180" t="str">
        <f ca="1"/>
        <v/>
      </c>
      <c r="W333" s="180" t="str">
        <f ca="1"/>
        <v/>
      </c>
      <c r="X333" s="180" t="str">
        <f ca="1"/>
        <v/>
      </c>
      <c r="Y333" s="180" t="str">
        <f ca="1"/>
        <v/>
      </c>
      <c r="Z333" s="180" t="str">
        <f ca="1"/>
        <v/>
      </c>
      <c r="AA333" s="180" t="str">
        <f ca="1"/>
        <v/>
      </c>
      <c r="AB333" s="180" t="str">
        <f ca="1"/>
        <v/>
      </c>
      <c r="AC333" s="180" t="str">
        <f ca="1"/>
        <v/>
      </c>
      <c r="AD333" s="180" t="str">
        <f ca="1"/>
        <v/>
      </c>
      <c r="AE333" s="180" t="str">
        <f ca="1"/>
        <v/>
      </c>
      <c r="AF333" s="180" t="str">
        <f ca="1"/>
        <v/>
      </c>
      <c r="AG333" s="180" t="str">
        <f ca="1"/>
        <v/>
      </c>
      <c r="AH333" s="180" t="str">
        <f ca="1"/>
        <v/>
      </c>
      <c r="AI333" s="180" t="str">
        <f ca="1"/>
        <v/>
      </c>
      <c r="AJ333" s="180" t="str">
        <f ca="1"/>
        <v/>
      </c>
      <c r="AK333" s="180" t="str">
        <f ca="1"/>
        <v/>
      </c>
      <c r="AL333" s="180" t="str">
        <f ca="1"/>
        <v/>
      </c>
      <c r="AM333" s="180" t="str">
        <f ca="1"/>
        <v/>
      </c>
      <c r="AN333" s="180" t="str">
        <f ca="1"/>
        <v/>
      </c>
      <c r="AO333" s="180" t="str">
        <f ca="1"/>
        <v/>
      </c>
      <c r="AP333" s="180" t="str">
        <f ca="1"/>
        <v/>
      </c>
      <c r="AQ333" t="str">
        <f ca="1"/>
        <v/>
      </c>
    </row>
    <row r="334" spans="2:43" x14ac:dyDescent="0.25">
      <c r="B334" s="179" t="str">
        <f ca="1"/>
        <v/>
      </c>
      <c r="C334" s="180" t="str">
        <f ca="1"/>
        <v/>
      </c>
      <c r="D334" s="180" t="str">
        <f ca="1"/>
        <v/>
      </c>
      <c r="E334" s="180" t="str">
        <f ca="1"/>
        <v/>
      </c>
      <c r="F334" s="180" t="str">
        <f ca="1"/>
        <v/>
      </c>
      <c r="G334" s="180" t="str">
        <f ca="1"/>
        <v/>
      </c>
      <c r="H334" s="180" t="str">
        <f ca="1"/>
        <v/>
      </c>
      <c r="I334" s="180" t="str">
        <f ca="1"/>
        <v/>
      </c>
      <c r="J334" s="180" t="str">
        <f ca="1"/>
        <v/>
      </c>
      <c r="K334" s="180" t="str">
        <f ca="1"/>
        <v/>
      </c>
      <c r="L334" s="180" t="str">
        <f ca="1"/>
        <v/>
      </c>
      <c r="M334" s="180" t="str">
        <f ca="1"/>
        <v/>
      </c>
      <c r="N334" s="180" t="str">
        <f ca="1"/>
        <v/>
      </c>
      <c r="O334" s="180" t="str">
        <f ca="1"/>
        <v/>
      </c>
      <c r="P334" s="180" t="str">
        <f ca="1"/>
        <v/>
      </c>
      <c r="Q334" s="180" t="str">
        <f ca="1"/>
        <v/>
      </c>
      <c r="R334" s="180" t="str">
        <f ca="1"/>
        <v/>
      </c>
      <c r="S334" s="180" t="str">
        <f ca="1"/>
        <v/>
      </c>
      <c r="T334" s="180" t="str">
        <f ca="1"/>
        <v/>
      </c>
      <c r="U334" s="180" t="str">
        <f ca="1"/>
        <v/>
      </c>
      <c r="V334" s="180" t="str">
        <f ca="1"/>
        <v/>
      </c>
      <c r="W334" s="180" t="str">
        <f ca="1"/>
        <v/>
      </c>
      <c r="X334" s="180" t="str">
        <f ca="1"/>
        <v/>
      </c>
      <c r="Y334" s="180" t="str">
        <f ca="1"/>
        <v/>
      </c>
      <c r="Z334" s="180" t="str">
        <f ca="1"/>
        <v/>
      </c>
      <c r="AA334" s="180" t="str">
        <f ca="1"/>
        <v/>
      </c>
      <c r="AB334" s="180" t="str">
        <f ca="1"/>
        <v/>
      </c>
      <c r="AC334" s="180" t="str">
        <f ca="1"/>
        <v/>
      </c>
      <c r="AD334" s="180" t="str">
        <f ca="1"/>
        <v/>
      </c>
      <c r="AE334" s="180" t="str">
        <f ca="1"/>
        <v/>
      </c>
      <c r="AF334" s="180" t="str">
        <f ca="1"/>
        <v/>
      </c>
      <c r="AG334" s="180" t="str">
        <f ca="1"/>
        <v/>
      </c>
      <c r="AH334" s="180" t="str">
        <f ca="1"/>
        <v/>
      </c>
      <c r="AI334" s="180" t="str">
        <f ca="1"/>
        <v/>
      </c>
      <c r="AJ334" s="180" t="str">
        <f ca="1"/>
        <v/>
      </c>
      <c r="AK334" s="180" t="str">
        <f ca="1"/>
        <v/>
      </c>
      <c r="AL334" s="180" t="str">
        <f ca="1"/>
        <v/>
      </c>
      <c r="AM334" s="180" t="str">
        <f ca="1"/>
        <v/>
      </c>
      <c r="AN334" s="180" t="str">
        <f ca="1"/>
        <v/>
      </c>
      <c r="AO334" s="180" t="str">
        <f ca="1"/>
        <v/>
      </c>
      <c r="AP334" s="180" t="str">
        <f ca="1"/>
        <v/>
      </c>
      <c r="AQ334" t="str">
        <f ca="1"/>
        <v/>
      </c>
    </row>
    <row r="335" spans="2:43" x14ac:dyDescent="0.25">
      <c r="B335" s="179" t="str">
        <f ca="1"/>
        <v/>
      </c>
      <c r="C335" s="180" t="str">
        <f ca="1"/>
        <v/>
      </c>
      <c r="D335" s="180" t="str">
        <f ca="1"/>
        <v/>
      </c>
      <c r="E335" s="180" t="str">
        <f ca="1"/>
        <v/>
      </c>
      <c r="F335" s="180" t="str">
        <f ca="1"/>
        <v/>
      </c>
      <c r="G335" s="180" t="str">
        <f ca="1"/>
        <v/>
      </c>
      <c r="H335" s="180" t="str">
        <f ca="1"/>
        <v/>
      </c>
      <c r="I335" s="180" t="str">
        <f ca="1"/>
        <v/>
      </c>
      <c r="J335" s="180" t="str">
        <f ca="1"/>
        <v/>
      </c>
      <c r="K335" s="180" t="str">
        <f ca="1"/>
        <v/>
      </c>
      <c r="L335" s="180" t="str">
        <f ca="1"/>
        <v/>
      </c>
      <c r="M335" s="180" t="str">
        <f ca="1"/>
        <v/>
      </c>
      <c r="N335" s="180" t="str">
        <f ca="1"/>
        <v/>
      </c>
      <c r="O335" s="180" t="str">
        <f ca="1"/>
        <v/>
      </c>
      <c r="P335" s="180" t="str">
        <f ca="1"/>
        <v/>
      </c>
      <c r="Q335" s="180" t="str">
        <f ca="1"/>
        <v/>
      </c>
      <c r="R335" s="180" t="str">
        <f ca="1"/>
        <v/>
      </c>
      <c r="S335" s="180" t="str">
        <f ca="1"/>
        <v/>
      </c>
      <c r="T335" s="180" t="str">
        <f ca="1"/>
        <v/>
      </c>
      <c r="U335" s="180" t="str">
        <f ca="1"/>
        <v/>
      </c>
      <c r="V335" s="180" t="str">
        <f ca="1"/>
        <v/>
      </c>
      <c r="W335" s="180" t="str">
        <f ca="1"/>
        <v/>
      </c>
      <c r="X335" s="180" t="str">
        <f ca="1"/>
        <v/>
      </c>
      <c r="Y335" s="180" t="str">
        <f ca="1"/>
        <v/>
      </c>
      <c r="Z335" s="180" t="str">
        <f ca="1"/>
        <v/>
      </c>
      <c r="AA335" s="180" t="str">
        <f ca="1"/>
        <v/>
      </c>
      <c r="AB335" s="180" t="str">
        <f ca="1"/>
        <v/>
      </c>
      <c r="AC335" s="180" t="str">
        <f ca="1"/>
        <v/>
      </c>
      <c r="AD335" s="180" t="str">
        <f ca="1"/>
        <v/>
      </c>
      <c r="AE335" s="180" t="str">
        <f ca="1"/>
        <v/>
      </c>
      <c r="AF335" s="180" t="str">
        <f ca="1"/>
        <v/>
      </c>
      <c r="AG335" s="180" t="str">
        <f ca="1"/>
        <v/>
      </c>
      <c r="AH335" s="180" t="str">
        <f ca="1"/>
        <v/>
      </c>
      <c r="AI335" s="180" t="str">
        <f ca="1"/>
        <v/>
      </c>
      <c r="AJ335" s="180" t="str">
        <f ca="1"/>
        <v/>
      </c>
      <c r="AK335" s="180" t="str">
        <f ca="1"/>
        <v/>
      </c>
      <c r="AL335" s="180" t="str">
        <f ca="1"/>
        <v/>
      </c>
      <c r="AM335" s="180" t="str">
        <f ca="1"/>
        <v/>
      </c>
      <c r="AN335" s="180" t="str">
        <f ca="1"/>
        <v/>
      </c>
      <c r="AO335" s="180" t="str">
        <f ca="1"/>
        <v/>
      </c>
      <c r="AP335" s="180" t="str">
        <f ca="1"/>
        <v/>
      </c>
      <c r="AQ335" t="str">
        <f ca="1"/>
        <v/>
      </c>
    </row>
    <row r="336" spans="2:43" x14ac:dyDescent="0.25">
      <c r="B336" s="179" t="str">
        <f ca="1"/>
        <v/>
      </c>
      <c r="C336" s="180" t="str">
        <f ca="1"/>
        <v/>
      </c>
      <c r="D336" s="180" t="str">
        <f ca="1"/>
        <v/>
      </c>
      <c r="E336" s="180" t="str">
        <f ca="1"/>
        <v/>
      </c>
      <c r="F336" s="180" t="str">
        <f ca="1"/>
        <v/>
      </c>
      <c r="G336" s="180" t="str">
        <f ca="1"/>
        <v/>
      </c>
      <c r="H336" s="180" t="str">
        <f ca="1"/>
        <v/>
      </c>
      <c r="I336" s="180" t="str">
        <f ca="1"/>
        <v/>
      </c>
      <c r="J336" s="180" t="str">
        <f ca="1"/>
        <v/>
      </c>
      <c r="K336" s="180" t="str">
        <f ca="1"/>
        <v/>
      </c>
      <c r="L336" s="180" t="str">
        <f ca="1"/>
        <v/>
      </c>
      <c r="M336" s="180" t="str">
        <f ca="1"/>
        <v/>
      </c>
      <c r="N336" s="180" t="str">
        <f ca="1"/>
        <v/>
      </c>
      <c r="O336" s="180" t="str">
        <f ca="1"/>
        <v/>
      </c>
      <c r="P336" s="180" t="str">
        <f ca="1"/>
        <v/>
      </c>
      <c r="Q336" s="180" t="str">
        <f ca="1"/>
        <v/>
      </c>
      <c r="R336" s="180" t="str">
        <f ca="1"/>
        <v/>
      </c>
      <c r="S336" s="180" t="str">
        <f ca="1"/>
        <v/>
      </c>
      <c r="T336" s="180" t="str">
        <f ca="1"/>
        <v/>
      </c>
      <c r="U336" s="180" t="str">
        <f ca="1"/>
        <v/>
      </c>
      <c r="V336" s="180" t="str">
        <f ca="1"/>
        <v/>
      </c>
      <c r="W336" s="180" t="str">
        <f ca="1"/>
        <v/>
      </c>
      <c r="X336" s="180" t="str">
        <f ca="1"/>
        <v/>
      </c>
      <c r="Y336" s="180" t="str">
        <f ca="1"/>
        <v/>
      </c>
      <c r="Z336" s="180" t="str">
        <f ca="1"/>
        <v/>
      </c>
      <c r="AA336" s="180" t="str">
        <f ca="1"/>
        <v/>
      </c>
      <c r="AB336" s="180" t="str">
        <f ca="1"/>
        <v/>
      </c>
      <c r="AC336" s="180" t="str">
        <f ca="1"/>
        <v/>
      </c>
      <c r="AD336" s="180" t="str">
        <f ca="1"/>
        <v/>
      </c>
      <c r="AE336" s="180" t="str">
        <f ca="1"/>
        <v/>
      </c>
      <c r="AF336" s="180" t="str">
        <f ca="1"/>
        <v/>
      </c>
      <c r="AG336" s="180" t="str">
        <f ca="1"/>
        <v/>
      </c>
      <c r="AH336" s="180" t="str">
        <f ca="1"/>
        <v/>
      </c>
      <c r="AI336" s="180" t="str">
        <f ca="1"/>
        <v/>
      </c>
      <c r="AJ336" s="180" t="str">
        <f ca="1"/>
        <v/>
      </c>
      <c r="AK336" s="180" t="str">
        <f ca="1"/>
        <v/>
      </c>
      <c r="AL336" s="180" t="str">
        <f ca="1"/>
        <v/>
      </c>
      <c r="AM336" s="180" t="str">
        <f ca="1"/>
        <v/>
      </c>
      <c r="AN336" s="180" t="str">
        <f ca="1"/>
        <v/>
      </c>
      <c r="AO336" s="180" t="str">
        <f ca="1"/>
        <v/>
      </c>
      <c r="AP336" s="180" t="str">
        <f ca="1"/>
        <v/>
      </c>
      <c r="AQ336" t="str">
        <f ca="1"/>
        <v/>
      </c>
    </row>
    <row r="337" spans="2:43" x14ac:dyDescent="0.25">
      <c r="B337" s="179" t="str">
        <f ca="1"/>
        <v/>
      </c>
      <c r="C337" s="180" t="str">
        <f ca="1"/>
        <v/>
      </c>
      <c r="D337" s="180" t="str">
        <f ca="1"/>
        <v/>
      </c>
      <c r="E337" s="180" t="str">
        <f ca="1"/>
        <v/>
      </c>
      <c r="F337" s="180" t="str">
        <f ca="1"/>
        <v/>
      </c>
      <c r="G337" s="180" t="str">
        <f ca="1"/>
        <v/>
      </c>
      <c r="H337" s="180" t="str">
        <f ca="1"/>
        <v/>
      </c>
      <c r="I337" s="180" t="str">
        <f ca="1"/>
        <v/>
      </c>
      <c r="J337" s="180" t="str">
        <f ca="1"/>
        <v/>
      </c>
      <c r="K337" s="180" t="str">
        <f ca="1"/>
        <v/>
      </c>
      <c r="L337" s="180" t="str">
        <f ca="1"/>
        <v/>
      </c>
      <c r="M337" s="180" t="str">
        <f ca="1"/>
        <v/>
      </c>
      <c r="N337" s="180" t="str">
        <f ca="1"/>
        <v/>
      </c>
      <c r="O337" s="180" t="str">
        <f ca="1"/>
        <v/>
      </c>
      <c r="P337" s="180" t="str">
        <f ca="1"/>
        <v/>
      </c>
      <c r="Q337" s="180" t="str">
        <f ca="1"/>
        <v/>
      </c>
      <c r="R337" s="180" t="str">
        <f ca="1"/>
        <v/>
      </c>
      <c r="S337" s="180" t="str">
        <f ca="1"/>
        <v/>
      </c>
      <c r="T337" s="180" t="str">
        <f ca="1"/>
        <v/>
      </c>
      <c r="U337" s="180" t="str">
        <f ca="1"/>
        <v/>
      </c>
      <c r="V337" s="180" t="str">
        <f ca="1"/>
        <v/>
      </c>
      <c r="W337" s="180" t="str">
        <f ca="1"/>
        <v/>
      </c>
      <c r="X337" s="180" t="str">
        <f ca="1"/>
        <v/>
      </c>
      <c r="Y337" s="180" t="str">
        <f ca="1"/>
        <v/>
      </c>
      <c r="Z337" s="180" t="str">
        <f ca="1"/>
        <v/>
      </c>
      <c r="AA337" s="180" t="str">
        <f ca="1"/>
        <v/>
      </c>
      <c r="AB337" s="180" t="str">
        <f ca="1"/>
        <v/>
      </c>
      <c r="AC337" s="180" t="str">
        <f ca="1"/>
        <v/>
      </c>
      <c r="AD337" s="180" t="str">
        <f ca="1"/>
        <v/>
      </c>
      <c r="AE337" s="180" t="str">
        <f ca="1"/>
        <v/>
      </c>
      <c r="AF337" s="180" t="str">
        <f ca="1"/>
        <v/>
      </c>
      <c r="AG337" s="180" t="str">
        <f ca="1"/>
        <v/>
      </c>
      <c r="AH337" s="180" t="str">
        <f ca="1"/>
        <v/>
      </c>
      <c r="AI337" s="180" t="str">
        <f ca="1"/>
        <v/>
      </c>
      <c r="AJ337" s="180" t="str">
        <f ca="1"/>
        <v/>
      </c>
      <c r="AK337" s="180" t="str">
        <f ca="1"/>
        <v/>
      </c>
      <c r="AL337" s="180" t="str">
        <f ca="1"/>
        <v/>
      </c>
      <c r="AM337" s="180" t="str">
        <f ca="1"/>
        <v/>
      </c>
      <c r="AN337" s="180" t="str">
        <f ca="1"/>
        <v/>
      </c>
      <c r="AO337" s="180" t="str">
        <f ca="1"/>
        <v/>
      </c>
      <c r="AP337" s="180" t="str">
        <f ca="1"/>
        <v/>
      </c>
      <c r="AQ337" t="str">
        <f ca="1"/>
        <v/>
      </c>
    </row>
    <row r="338" spans="2:43" x14ac:dyDescent="0.25">
      <c r="B338" s="179" t="str">
        <f ca="1"/>
        <v/>
      </c>
      <c r="C338" s="180" t="str">
        <f ca="1"/>
        <v/>
      </c>
      <c r="D338" s="180" t="str">
        <f ca="1"/>
        <v/>
      </c>
      <c r="E338" s="180" t="str">
        <f ca="1"/>
        <v/>
      </c>
      <c r="F338" s="180" t="str">
        <f ca="1"/>
        <v/>
      </c>
      <c r="G338" s="180" t="str">
        <f ca="1"/>
        <v/>
      </c>
      <c r="H338" s="180" t="str">
        <f ca="1"/>
        <v/>
      </c>
      <c r="I338" s="180" t="str">
        <f ca="1"/>
        <v/>
      </c>
      <c r="J338" s="180" t="str">
        <f ca="1"/>
        <v/>
      </c>
      <c r="K338" s="180" t="str">
        <f ca="1"/>
        <v/>
      </c>
      <c r="L338" s="180" t="str">
        <f ca="1"/>
        <v/>
      </c>
      <c r="M338" s="180" t="str">
        <f ca="1"/>
        <v/>
      </c>
      <c r="N338" s="180" t="str">
        <f ca="1"/>
        <v/>
      </c>
      <c r="O338" s="180" t="str">
        <f ca="1"/>
        <v/>
      </c>
      <c r="P338" s="180" t="str">
        <f ca="1"/>
        <v/>
      </c>
      <c r="Q338" s="180" t="str">
        <f ca="1"/>
        <v/>
      </c>
      <c r="R338" s="180" t="str">
        <f ca="1"/>
        <v/>
      </c>
      <c r="S338" s="180" t="str">
        <f ca="1"/>
        <v/>
      </c>
      <c r="T338" s="180" t="str">
        <f ca="1"/>
        <v/>
      </c>
      <c r="U338" s="180" t="str">
        <f ca="1"/>
        <v/>
      </c>
      <c r="V338" s="180" t="str">
        <f ca="1"/>
        <v/>
      </c>
      <c r="W338" s="180" t="str">
        <f ca="1"/>
        <v/>
      </c>
      <c r="X338" s="180" t="str">
        <f ca="1"/>
        <v/>
      </c>
      <c r="Y338" s="180" t="str">
        <f ca="1"/>
        <v/>
      </c>
      <c r="Z338" s="180" t="str">
        <f ca="1"/>
        <v/>
      </c>
      <c r="AA338" s="180" t="str">
        <f ca="1"/>
        <v/>
      </c>
      <c r="AB338" s="180" t="str">
        <f ca="1"/>
        <v/>
      </c>
      <c r="AC338" s="180" t="str">
        <f ca="1"/>
        <v/>
      </c>
      <c r="AD338" s="180" t="str">
        <f ca="1"/>
        <v/>
      </c>
      <c r="AE338" s="180" t="str">
        <f ca="1"/>
        <v/>
      </c>
      <c r="AF338" s="180" t="str">
        <f ca="1"/>
        <v/>
      </c>
      <c r="AG338" s="180" t="str">
        <f ca="1"/>
        <v/>
      </c>
      <c r="AH338" s="180" t="str">
        <f ca="1"/>
        <v/>
      </c>
      <c r="AI338" s="180" t="str">
        <f ca="1"/>
        <v/>
      </c>
      <c r="AJ338" s="180" t="str">
        <f ca="1"/>
        <v/>
      </c>
      <c r="AK338" s="180" t="str">
        <f ca="1"/>
        <v/>
      </c>
      <c r="AL338" s="180" t="str">
        <f ca="1"/>
        <v/>
      </c>
      <c r="AM338" s="180" t="str">
        <f ca="1"/>
        <v/>
      </c>
      <c r="AN338" s="180" t="str">
        <f ca="1"/>
        <v/>
      </c>
      <c r="AO338" s="180" t="str">
        <f ca="1"/>
        <v/>
      </c>
      <c r="AP338" s="180" t="str">
        <f ca="1"/>
        <v/>
      </c>
      <c r="AQ338" t="str">
        <f ca="1"/>
        <v/>
      </c>
    </row>
    <row r="339" spans="2:43" x14ac:dyDescent="0.25">
      <c r="B339" s="179" t="str">
        <f ca="1"/>
        <v/>
      </c>
      <c r="C339" s="180" t="str">
        <f ca="1"/>
        <v/>
      </c>
      <c r="D339" s="180" t="str">
        <f ca="1"/>
        <v/>
      </c>
      <c r="E339" s="180" t="str">
        <f ca="1"/>
        <v/>
      </c>
      <c r="F339" s="180" t="str">
        <f ca="1"/>
        <v/>
      </c>
      <c r="G339" s="180" t="str">
        <f ca="1"/>
        <v/>
      </c>
      <c r="H339" s="180" t="str">
        <f ca="1"/>
        <v/>
      </c>
      <c r="I339" s="180" t="str">
        <f ca="1"/>
        <v/>
      </c>
      <c r="J339" s="180" t="str">
        <f ca="1"/>
        <v/>
      </c>
      <c r="K339" s="180" t="str">
        <f ca="1"/>
        <v/>
      </c>
      <c r="L339" s="180" t="str">
        <f ca="1"/>
        <v/>
      </c>
      <c r="M339" s="180" t="str">
        <f ca="1"/>
        <v/>
      </c>
      <c r="N339" s="180" t="str">
        <f ca="1"/>
        <v/>
      </c>
      <c r="O339" s="180" t="str">
        <f ca="1"/>
        <v/>
      </c>
      <c r="P339" s="180" t="str">
        <f ca="1"/>
        <v/>
      </c>
      <c r="Q339" s="180" t="str">
        <f ca="1"/>
        <v/>
      </c>
      <c r="R339" s="180" t="str">
        <f ca="1"/>
        <v/>
      </c>
      <c r="S339" s="180" t="str">
        <f ca="1"/>
        <v/>
      </c>
      <c r="T339" s="180" t="str">
        <f ca="1"/>
        <v/>
      </c>
      <c r="U339" s="180" t="str">
        <f ca="1"/>
        <v/>
      </c>
      <c r="V339" s="180" t="str">
        <f ca="1"/>
        <v/>
      </c>
      <c r="W339" s="180" t="str">
        <f ca="1"/>
        <v/>
      </c>
      <c r="X339" s="180" t="str">
        <f ca="1"/>
        <v/>
      </c>
      <c r="Y339" s="180" t="str">
        <f ca="1"/>
        <v/>
      </c>
      <c r="Z339" s="180" t="str">
        <f ca="1"/>
        <v/>
      </c>
      <c r="AA339" s="180" t="str">
        <f ca="1"/>
        <v/>
      </c>
      <c r="AB339" s="180" t="str">
        <f ca="1"/>
        <v/>
      </c>
      <c r="AC339" s="180" t="str">
        <f ca="1"/>
        <v/>
      </c>
      <c r="AD339" s="180" t="str">
        <f ca="1"/>
        <v/>
      </c>
      <c r="AE339" s="180" t="str">
        <f ca="1"/>
        <v/>
      </c>
      <c r="AF339" s="180" t="str">
        <f ca="1"/>
        <v/>
      </c>
      <c r="AG339" s="180" t="str">
        <f ca="1"/>
        <v/>
      </c>
      <c r="AH339" s="180" t="str">
        <f ca="1"/>
        <v/>
      </c>
      <c r="AI339" s="180" t="str">
        <f ca="1"/>
        <v/>
      </c>
      <c r="AJ339" s="180" t="str">
        <f ca="1"/>
        <v/>
      </c>
      <c r="AK339" s="180" t="str">
        <f ca="1"/>
        <v/>
      </c>
      <c r="AL339" s="180" t="str">
        <f ca="1"/>
        <v/>
      </c>
      <c r="AM339" s="180" t="str">
        <f ca="1"/>
        <v/>
      </c>
      <c r="AN339" s="180" t="str">
        <f ca="1"/>
        <v/>
      </c>
      <c r="AO339" s="180" t="str">
        <f ca="1"/>
        <v/>
      </c>
      <c r="AP339" s="180" t="str">
        <f ca="1"/>
        <v/>
      </c>
      <c r="AQ339" t="str">
        <f ca="1"/>
        <v/>
      </c>
    </row>
    <row r="340" spans="2:43" x14ac:dyDescent="0.25">
      <c r="B340" s="179" t="str">
        <f ca="1"/>
        <v/>
      </c>
      <c r="C340" s="180" t="str">
        <f ca="1"/>
        <v/>
      </c>
      <c r="D340" s="180" t="str">
        <f ca="1"/>
        <v/>
      </c>
      <c r="E340" s="180" t="str">
        <f ca="1"/>
        <v/>
      </c>
      <c r="F340" s="180" t="str">
        <f ca="1"/>
        <v/>
      </c>
      <c r="G340" s="180" t="str">
        <f ca="1"/>
        <v/>
      </c>
      <c r="H340" s="180" t="str">
        <f ca="1"/>
        <v/>
      </c>
      <c r="I340" s="180" t="str">
        <f ca="1"/>
        <v/>
      </c>
      <c r="J340" s="180" t="str">
        <f ca="1"/>
        <v/>
      </c>
      <c r="K340" s="180" t="str">
        <f ca="1"/>
        <v/>
      </c>
      <c r="L340" s="180" t="str">
        <f ca="1"/>
        <v/>
      </c>
      <c r="M340" s="180" t="str">
        <f ca="1"/>
        <v/>
      </c>
      <c r="N340" s="180" t="str">
        <f ca="1"/>
        <v/>
      </c>
      <c r="O340" s="180" t="str">
        <f ca="1"/>
        <v/>
      </c>
      <c r="P340" s="180" t="str">
        <f ca="1"/>
        <v/>
      </c>
      <c r="Q340" s="180" t="str">
        <f ca="1"/>
        <v/>
      </c>
      <c r="R340" s="180" t="str">
        <f ca="1"/>
        <v/>
      </c>
      <c r="S340" s="180" t="str">
        <f ca="1"/>
        <v/>
      </c>
      <c r="T340" s="180" t="str">
        <f ca="1"/>
        <v/>
      </c>
      <c r="U340" s="180" t="str">
        <f ca="1"/>
        <v/>
      </c>
      <c r="V340" s="180" t="str">
        <f ca="1"/>
        <v/>
      </c>
      <c r="W340" s="180" t="str">
        <f ca="1"/>
        <v/>
      </c>
      <c r="X340" s="180" t="str">
        <f ca="1"/>
        <v/>
      </c>
      <c r="Y340" s="180" t="str">
        <f ca="1"/>
        <v/>
      </c>
      <c r="Z340" s="180" t="str">
        <f ca="1"/>
        <v/>
      </c>
      <c r="AA340" s="180" t="str">
        <f ca="1"/>
        <v/>
      </c>
      <c r="AB340" s="180" t="str">
        <f ca="1"/>
        <v/>
      </c>
      <c r="AC340" s="180" t="str">
        <f ca="1"/>
        <v/>
      </c>
      <c r="AD340" s="180" t="str">
        <f ca="1"/>
        <v/>
      </c>
      <c r="AE340" s="180" t="str">
        <f ca="1"/>
        <v/>
      </c>
      <c r="AF340" s="180" t="str">
        <f ca="1"/>
        <v/>
      </c>
      <c r="AG340" s="180" t="str">
        <f ca="1"/>
        <v/>
      </c>
      <c r="AH340" s="180" t="str">
        <f ca="1"/>
        <v/>
      </c>
      <c r="AI340" s="180" t="str">
        <f ca="1"/>
        <v/>
      </c>
      <c r="AJ340" s="180" t="str">
        <f ca="1"/>
        <v/>
      </c>
      <c r="AK340" s="180" t="str">
        <f ca="1"/>
        <v/>
      </c>
      <c r="AL340" s="180" t="str">
        <f ca="1"/>
        <v/>
      </c>
      <c r="AM340" s="180" t="str">
        <f ca="1"/>
        <v/>
      </c>
      <c r="AN340" s="180" t="str">
        <f ca="1"/>
        <v/>
      </c>
      <c r="AO340" s="180" t="str">
        <f ca="1"/>
        <v/>
      </c>
      <c r="AP340" s="180" t="str">
        <f ca="1"/>
        <v/>
      </c>
      <c r="AQ340" t="str">
        <f ca="1"/>
        <v/>
      </c>
    </row>
    <row r="341" spans="2:43" x14ac:dyDescent="0.25">
      <c r="B341" s="179" t="str">
        <f ca="1"/>
        <v/>
      </c>
      <c r="C341" s="180" t="str">
        <f ca="1"/>
        <v/>
      </c>
      <c r="D341" s="180" t="str">
        <f ca="1"/>
        <v/>
      </c>
      <c r="E341" s="180" t="str">
        <f ca="1"/>
        <v/>
      </c>
      <c r="F341" s="180" t="str">
        <f ca="1"/>
        <v/>
      </c>
      <c r="G341" s="180" t="str">
        <f ca="1"/>
        <v/>
      </c>
      <c r="H341" s="180" t="str">
        <f ca="1"/>
        <v/>
      </c>
      <c r="I341" s="180" t="str">
        <f ca="1"/>
        <v/>
      </c>
      <c r="J341" s="180" t="str">
        <f ca="1"/>
        <v/>
      </c>
      <c r="K341" s="180" t="str">
        <f ca="1"/>
        <v/>
      </c>
      <c r="L341" s="180" t="str">
        <f ca="1"/>
        <v/>
      </c>
      <c r="M341" s="180" t="str">
        <f ca="1"/>
        <v/>
      </c>
      <c r="N341" s="180" t="str">
        <f ca="1"/>
        <v/>
      </c>
      <c r="O341" s="180" t="str">
        <f ca="1"/>
        <v/>
      </c>
      <c r="P341" s="180" t="str">
        <f ca="1"/>
        <v/>
      </c>
      <c r="Q341" s="180" t="str">
        <f ca="1"/>
        <v/>
      </c>
      <c r="R341" s="180" t="str">
        <f ca="1"/>
        <v/>
      </c>
      <c r="S341" s="180" t="str">
        <f ca="1"/>
        <v/>
      </c>
      <c r="T341" s="180" t="str">
        <f ca="1"/>
        <v/>
      </c>
      <c r="U341" s="180" t="str">
        <f ca="1"/>
        <v/>
      </c>
      <c r="V341" s="180" t="str">
        <f ca="1"/>
        <v/>
      </c>
      <c r="W341" s="180" t="str">
        <f ca="1"/>
        <v/>
      </c>
      <c r="X341" s="180" t="str">
        <f ca="1"/>
        <v/>
      </c>
      <c r="Y341" s="180" t="str">
        <f ca="1"/>
        <v/>
      </c>
      <c r="Z341" s="180" t="str">
        <f ca="1"/>
        <v/>
      </c>
      <c r="AA341" s="180" t="str">
        <f ca="1"/>
        <v/>
      </c>
      <c r="AB341" s="180" t="str">
        <f ca="1"/>
        <v/>
      </c>
      <c r="AC341" s="180" t="str">
        <f ca="1"/>
        <v/>
      </c>
      <c r="AD341" s="180" t="str">
        <f ca="1"/>
        <v/>
      </c>
      <c r="AE341" s="180" t="str">
        <f ca="1"/>
        <v/>
      </c>
      <c r="AF341" s="180" t="str">
        <f ca="1"/>
        <v/>
      </c>
      <c r="AG341" s="180" t="str">
        <f ca="1"/>
        <v/>
      </c>
      <c r="AH341" s="180" t="str">
        <f ca="1"/>
        <v/>
      </c>
      <c r="AI341" s="180" t="str">
        <f ca="1"/>
        <v/>
      </c>
      <c r="AJ341" s="180" t="str">
        <f ca="1"/>
        <v/>
      </c>
      <c r="AK341" s="180" t="str">
        <f ca="1"/>
        <v/>
      </c>
      <c r="AL341" s="180" t="str">
        <f ca="1"/>
        <v/>
      </c>
      <c r="AM341" s="180" t="str">
        <f ca="1"/>
        <v/>
      </c>
      <c r="AN341" s="180" t="str">
        <f ca="1"/>
        <v/>
      </c>
      <c r="AO341" s="180" t="str">
        <f ca="1"/>
        <v/>
      </c>
      <c r="AP341" s="180" t="str">
        <f ca="1"/>
        <v/>
      </c>
      <c r="AQ341" t="str">
        <f ca="1"/>
        <v/>
      </c>
    </row>
    <row r="342" spans="2:43" x14ac:dyDescent="0.25">
      <c r="B342" s="179" t="str">
        <f ca="1"/>
        <v/>
      </c>
      <c r="C342" s="180" t="str">
        <f ca="1"/>
        <v/>
      </c>
      <c r="D342" s="180" t="str">
        <f ca="1"/>
        <v/>
      </c>
      <c r="E342" s="180" t="str">
        <f ca="1"/>
        <v/>
      </c>
      <c r="F342" s="180" t="str">
        <f ca="1"/>
        <v/>
      </c>
      <c r="G342" s="180" t="str">
        <f ca="1"/>
        <v/>
      </c>
      <c r="H342" s="180" t="str">
        <f ca="1"/>
        <v/>
      </c>
      <c r="I342" s="180" t="str">
        <f ca="1"/>
        <v/>
      </c>
      <c r="J342" s="180" t="str">
        <f ca="1"/>
        <v/>
      </c>
      <c r="K342" s="180" t="str">
        <f ca="1"/>
        <v/>
      </c>
      <c r="L342" s="180" t="str">
        <f ca="1"/>
        <v/>
      </c>
      <c r="M342" s="180" t="str">
        <f ca="1"/>
        <v/>
      </c>
      <c r="N342" s="180" t="str">
        <f ca="1"/>
        <v/>
      </c>
      <c r="O342" s="180" t="str">
        <f ca="1"/>
        <v/>
      </c>
      <c r="P342" s="180" t="str">
        <f ca="1"/>
        <v/>
      </c>
      <c r="Q342" s="180" t="str">
        <f ca="1"/>
        <v/>
      </c>
      <c r="R342" s="180" t="str">
        <f ca="1"/>
        <v/>
      </c>
      <c r="S342" s="180" t="str">
        <f ca="1"/>
        <v/>
      </c>
      <c r="T342" s="180" t="str">
        <f ca="1"/>
        <v/>
      </c>
      <c r="U342" s="180" t="str">
        <f ca="1"/>
        <v/>
      </c>
      <c r="V342" s="180" t="str">
        <f ca="1"/>
        <v/>
      </c>
      <c r="W342" s="180" t="str">
        <f ca="1"/>
        <v/>
      </c>
      <c r="X342" s="180" t="str">
        <f ca="1"/>
        <v/>
      </c>
      <c r="Y342" s="180" t="str">
        <f ca="1"/>
        <v/>
      </c>
      <c r="Z342" s="180" t="str">
        <f ca="1"/>
        <v/>
      </c>
      <c r="AA342" s="180" t="str">
        <f ca="1"/>
        <v/>
      </c>
      <c r="AB342" s="180" t="str">
        <f ca="1"/>
        <v/>
      </c>
      <c r="AC342" s="180" t="str">
        <f ca="1"/>
        <v/>
      </c>
      <c r="AD342" s="180" t="str">
        <f ca="1"/>
        <v/>
      </c>
      <c r="AE342" s="180" t="str">
        <f ca="1"/>
        <v/>
      </c>
      <c r="AF342" s="180" t="str">
        <f ca="1"/>
        <v/>
      </c>
      <c r="AG342" s="180" t="str">
        <f ca="1"/>
        <v/>
      </c>
      <c r="AH342" s="180" t="str">
        <f ca="1"/>
        <v/>
      </c>
      <c r="AI342" s="180" t="str">
        <f ca="1"/>
        <v/>
      </c>
      <c r="AJ342" s="180" t="str">
        <f ca="1"/>
        <v/>
      </c>
      <c r="AK342" s="180" t="str">
        <f ca="1"/>
        <v/>
      </c>
      <c r="AL342" s="180" t="str">
        <f ca="1"/>
        <v/>
      </c>
      <c r="AM342" s="180" t="str">
        <f ca="1"/>
        <v/>
      </c>
      <c r="AN342" s="180" t="str">
        <f ca="1"/>
        <v/>
      </c>
      <c r="AO342" s="180" t="str">
        <f ca="1"/>
        <v/>
      </c>
      <c r="AP342" s="180" t="str">
        <f ca="1"/>
        <v/>
      </c>
      <c r="AQ342" t="str">
        <f ca="1"/>
        <v/>
      </c>
    </row>
    <row r="343" spans="2:43" x14ac:dyDescent="0.25">
      <c r="B343" s="179" t="str">
        <f ca="1"/>
        <v/>
      </c>
      <c r="C343" s="180" t="str">
        <f ca="1"/>
        <v/>
      </c>
      <c r="D343" s="180" t="str">
        <f ca="1"/>
        <v/>
      </c>
      <c r="E343" s="180" t="str">
        <f ca="1"/>
        <v/>
      </c>
      <c r="F343" s="180" t="str">
        <f ca="1"/>
        <v/>
      </c>
      <c r="G343" s="180" t="str">
        <f ca="1"/>
        <v/>
      </c>
      <c r="H343" s="180" t="str">
        <f ca="1"/>
        <v/>
      </c>
      <c r="I343" s="180" t="str">
        <f ca="1"/>
        <v/>
      </c>
      <c r="J343" s="180" t="str">
        <f ca="1"/>
        <v/>
      </c>
      <c r="K343" s="180" t="str">
        <f ca="1"/>
        <v/>
      </c>
      <c r="L343" s="180" t="str">
        <f ca="1"/>
        <v/>
      </c>
      <c r="M343" s="180" t="str">
        <f ca="1"/>
        <v/>
      </c>
      <c r="N343" s="180" t="str">
        <f ca="1"/>
        <v/>
      </c>
      <c r="O343" s="180" t="str">
        <f ca="1"/>
        <v/>
      </c>
      <c r="P343" s="180" t="str">
        <f ca="1"/>
        <v/>
      </c>
      <c r="Q343" s="180" t="str">
        <f ca="1"/>
        <v/>
      </c>
      <c r="R343" s="180" t="str">
        <f ca="1"/>
        <v/>
      </c>
      <c r="S343" s="180" t="str">
        <f ca="1"/>
        <v/>
      </c>
      <c r="T343" s="180" t="str">
        <f ca="1"/>
        <v/>
      </c>
      <c r="U343" s="180" t="str">
        <f ca="1"/>
        <v/>
      </c>
      <c r="V343" s="180" t="str">
        <f ca="1"/>
        <v/>
      </c>
      <c r="W343" s="180" t="str">
        <f ca="1"/>
        <v/>
      </c>
      <c r="X343" s="180" t="str">
        <f ca="1"/>
        <v/>
      </c>
      <c r="Y343" s="180" t="str">
        <f ca="1"/>
        <v/>
      </c>
      <c r="Z343" s="180" t="str">
        <f ca="1"/>
        <v/>
      </c>
      <c r="AA343" s="180" t="str">
        <f ca="1"/>
        <v/>
      </c>
      <c r="AB343" s="180" t="str">
        <f ca="1"/>
        <v/>
      </c>
      <c r="AC343" s="180" t="str">
        <f ca="1"/>
        <v/>
      </c>
      <c r="AD343" s="180" t="str">
        <f ca="1"/>
        <v/>
      </c>
      <c r="AE343" s="180" t="str">
        <f ca="1"/>
        <v/>
      </c>
      <c r="AF343" s="180" t="str">
        <f ca="1"/>
        <v/>
      </c>
      <c r="AG343" s="180" t="str">
        <f ca="1"/>
        <v/>
      </c>
      <c r="AH343" s="180" t="str">
        <f ca="1"/>
        <v/>
      </c>
      <c r="AI343" s="180" t="str">
        <f ca="1"/>
        <v/>
      </c>
      <c r="AJ343" s="180" t="str">
        <f ca="1"/>
        <v/>
      </c>
      <c r="AK343" s="180" t="str">
        <f ca="1"/>
        <v/>
      </c>
      <c r="AL343" s="180" t="str">
        <f ca="1"/>
        <v/>
      </c>
      <c r="AM343" s="180" t="str">
        <f ca="1"/>
        <v/>
      </c>
      <c r="AN343" s="180" t="str">
        <f ca="1"/>
        <v/>
      </c>
      <c r="AO343" s="180" t="str">
        <f ca="1"/>
        <v/>
      </c>
      <c r="AP343" s="180" t="str">
        <f ca="1"/>
        <v/>
      </c>
      <c r="AQ343" t="str">
        <f ca="1"/>
        <v/>
      </c>
    </row>
    <row r="344" spans="2:43" x14ac:dyDescent="0.25">
      <c r="B344" s="179" t="str">
        <f ca="1"/>
        <v/>
      </c>
      <c r="C344" s="180" t="str">
        <f ca="1"/>
        <v/>
      </c>
      <c r="D344" s="180" t="str">
        <f ca="1"/>
        <v/>
      </c>
      <c r="E344" s="180" t="str">
        <f ca="1"/>
        <v/>
      </c>
      <c r="F344" s="180" t="str">
        <f ca="1"/>
        <v/>
      </c>
      <c r="G344" s="180" t="str">
        <f ca="1"/>
        <v/>
      </c>
      <c r="H344" s="180" t="str">
        <f ca="1"/>
        <v/>
      </c>
      <c r="I344" s="180" t="str">
        <f ca="1"/>
        <v/>
      </c>
      <c r="J344" s="180" t="str">
        <f ca="1"/>
        <v/>
      </c>
      <c r="K344" s="180" t="str">
        <f ca="1"/>
        <v/>
      </c>
      <c r="L344" s="180" t="str">
        <f ca="1"/>
        <v/>
      </c>
      <c r="M344" s="180" t="str">
        <f ca="1"/>
        <v/>
      </c>
      <c r="N344" s="180" t="str">
        <f ca="1"/>
        <v/>
      </c>
      <c r="O344" s="180" t="str">
        <f ca="1"/>
        <v/>
      </c>
      <c r="P344" s="180" t="str">
        <f ca="1"/>
        <v/>
      </c>
      <c r="Q344" s="180" t="str">
        <f ca="1"/>
        <v/>
      </c>
      <c r="R344" s="180" t="str">
        <f ca="1"/>
        <v/>
      </c>
      <c r="S344" s="180" t="str">
        <f ca="1"/>
        <v/>
      </c>
      <c r="T344" s="180" t="str">
        <f ca="1"/>
        <v/>
      </c>
      <c r="U344" s="180" t="str">
        <f ca="1"/>
        <v/>
      </c>
      <c r="V344" s="180" t="str">
        <f ca="1"/>
        <v/>
      </c>
      <c r="W344" s="180" t="str">
        <f ca="1"/>
        <v/>
      </c>
      <c r="X344" s="180" t="str">
        <f ca="1"/>
        <v/>
      </c>
      <c r="Y344" s="180" t="str">
        <f ca="1"/>
        <v/>
      </c>
      <c r="Z344" s="180" t="str">
        <f ca="1"/>
        <v/>
      </c>
      <c r="AA344" s="180" t="str">
        <f ca="1"/>
        <v/>
      </c>
      <c r="AB344" s="180" t="str">
        <f ca="1"/>
        <v/>
      </c>
      <c r="AC344" s="180" t="str">
        <f ca="1"/>
        <v/>
      </c>
      <c r="AD344" s="180" t="str">
        <f ca="1"/>
        <v/>
      </c>
      <c r="AE344" s="180" t="str">
        <f ca="1"/>
        <v/>
      </c>
      <c r="AF344" s="180" t="str">
        <f ca="1"/>
        <v/>
      </c>
      <c r="AG344" s="180" t="str">
        <f ca="1"/>
        <v/>
      </c>
      <c r="AH344" s="180" t="str">
        <f ca="1"/>
        <v/>
      </c>
      <c r="AI344" s="180" t="str">
        <f ca="1"/>
        <v/>
      </c>
      <c r="AJ344" s="180" t="str">
        <f ca="1"/>
        <v/>
      </c>
      <c r="AK344" s="180" t="str">
        <f ca="1"/>
        <v/>
      </c>
      <c r="AL344" s="180" t="str">
        <f ca="1"/>
        <v/>
      </c>
      <c r="AM344" s="180" t="str">
        <f ca="1"/>
        <v/>
      </c>
      <c r="AN344" s="180" t="str">
        <f ca="1"/>
        <v/>
      </c>
      <c r="AO344" s="180" t="str">
        <f ca="1"/>
        <v/>
      </c>
      <c r="AP344" s="180" t="str">
        <f ca="1"/>
        <v/>
      </c>
      <c r="AQ344" t="str">
        <f ca="1"/>
        <v/>
      </c>
    </row>
    <row r="345" spans="2:43" x14ac:dyDescent="0.25">
      <c r="B345" s="179" t="str">
        <f ca="1"/>
        <v/>
      </c>
      <c r="C345" s="180" t="str">
        <f ca="1"/>
        <v/>
      </c>
      <c r="D345" s="180" t="str">
        <f ca="1"/>
        <v/>
      </c>
      <c r="E345" s="180" t="str">
        <f ca="1"/>
        <v/>
      </c>
      <c r="F345" s="180" t="str">
        <f ca="1"/>
        <v/>
      </c>
      <c r="G345" s="180" t="str">
        <f ca="1"/>
        <v/>
      </c>
      <c r="H345" s="180" t="str">
        <f ca="1"/>
        <v/>
      </c>
      <c r="I345" s="180" t="str">
        <f ca="1"/>
        <v/>
      </c>
      <c r="J345" s="180" t="str">
        <f ca="1"/>
        <v/>
      </c>
      <c r="K345" s="180" t="str">
        <f ca="1"/>
        <v/>
      </c>
      <c r="L345" s="180" t="str">
        <f ca="1"/>
        <v/>
      </c>
      <c r="M345" s="180" t="str">
        <f ca="1"/>
        <v/>
      </c>
      <c r="N345" s="180" t="str">
        <f ca="1"/>
        <v/>
      </c>
      <c r="O345" s="180" t="str">
        <f ca="1"/>
        <v/>
      </c>
      <c r="P345" s="180" t="str">
        <f ca="1"/>
        <v/>
      </c>
      <c r="Q345" s="180" t="str">
        <f ca="1"/>
        <v/>
      </c>
      <c r="R345" s="180" t="str">
        <f ca="1"/>
        <v/>
      </c>
      <c r="S345" s="180" t="str">
        <f ca="1"/>
        <v/>
      </c>
      <c r="T345" s="180" t="str">
        <f ca="1"/>
        <v/>
      </c>
      <c r="U345" s="180" t="str">
        <f ca="1"/>
        <v/>
      </c>
      <c r="V345" s="180" t="str">
        <f ca="1"/>
        <v/>
      </c>
      <c r="W345" s="180" t="str">
        <f ca="1"/>
        <v/>
      </c>
      <c r="X345" s="180" t="str">
        <f ca="1"/>
        <v/>
      </c>
      <c r="Y345" s="180" t="str">
        <f ca="1"/>
        <v/>
      </c>
      <c r="Z345" s="180" t="str">
        <f ca="1"/>
        <v/>
      </c>
      <c r="AA345" s="180" t="str">
        <f ca="1"/>
        <v/>
      </c>
      <c r="AB345" s="180" t="str">
        <f ca="1"/>
        <v/>
      </c>
      <c r="AC345" s="180" t="str">
        <f ca="1"/>
        <v/>
      </c>
      <c r="AD345" s="180" t="str">
        <f ca="1"/>
        <v/>
      </c>
      <c r="AE345" s="180" t="str">
        <f ca="1"/>
        <v/>
      </c>
      <c r="AF345" s="180" t="str">
        <f ca="1"/>
        <v/>
      </c>
      <c r="AG345" s="180" t="str">
        <f ca="1"/>
        <v/>
      </c>
      <c r="AH345" s="180" t="str">
        <f ca="1"/>
        <v/>
      </c>
      <c r="AI345" s="180" t="str">
        <f ca="1"/>
        <v/>
      </c>
      <c r="AJ345" s="180" t="str">
        <f ca="1"/>
        <v/>
      </c>
      <c r="AK345" s="180" t="str">
        <f ca="1"/>
        <v/>
      </c>
      <c r="AL345" s="180" t="str">
        <f ca="1"/>
        <v/>
      </c>
      <c r="AM345" s="180" t="str">
        <f ca="1"/>
        <v/>
      </c>
      <c r="AN345" s="180" t="str">
        <f ca="1"/>
        <v/>
      </c>
      <c r="AO345" s="180" t="str">
        <f ca="1"/>
        <v/>
      </c>
      <c r="AP345" s="180" t="str">
        <f ca="1"/>
        <v/>
      </c>
      <c r="AQ345" t="str">
        <f ca="1"/>
        <v/>
      </c>
    </row>
    <row r="346" spans="2:43" x14ac:dyDescent="0.25">
      <c r="B346" s="179" t="str">
        <f ca="1"/>
        <v/>
      </c>
      <c r="C346" s="180" t="str">
        <f ca="1"/>
        <v/>
      </c>
      <c r="D346" s="180" t="str">
        <f ca="1"/>
        <v/>
      </c>
      <c r="E346" s="180" t="str">
        <f ca="1"/>
        <v/>
      </c>
      <c r="F346" s="180" t="str">
        <f ca="1"/>
        <v/>
      </c>
      <c r="G346" s="180" t="str">
        <f ca="1"/>
        <v/>
      </c>
      <c r="H346" s="180" t="str">
        <f ca="1"/>
        <v/>
      </c>
      <c r="I346" s="180" t="str">
        <f ca="1"/>
        <v/>
      </c>
      <c r="J346" s="180" t="str">
        <f ca="1"/>
        <v/>
      </c>
      <c r="K346" s="180" t="str">
        <f ca="1"/>
        <v/>
      </c>
      <c r="L346" s="180" t="str">
        <f ca="1"/>
        <v/>
      </c>
      <c r="M346" s="180" t="str">
        <f ca="1"/>
        <v/>
      </c>
      <c r="N346" s="180" t="str">
        <f ca="1"/>
        <v/>
      </c>
      <c r="O346" s="180" t="str">
        <f ca="1"/>
        <v/>
      </c>
      <c r="P346" s="180" t="str">
        <f ca="1"/>
        <v/>
      </c>
      <c r="Q346" s="180" t="str">
        <f ca="1"/>
        <v/>
      </c>
      <c r="R346" s="180" t="str">
        <f ca="1"/>
        <v/>
      </c>
      <c r="S346" s="180" t="str">
        <f ca="1"/>
        <v/>
      </c>
      <c r="T346" s="180" t="str">
        <f ca="1"/>
        <v/>
      </c>
      <c r="U346" s="180" t="str">
        <f ca="1"/>
        <v/>
      </c>
      <c r="V346" s="180" t="str">
        <f ca="1"/>
        <v/>
      </c>
      <c r="W346" s="180" t="str">
        <f ca="1"/>
        <v/>
      </c>
      <c r="X346" s="180" t="str">
        <f ca="1"/>
        <v/>
      </c>
      <c r="Y346" s="180" t="str">
        <f ca="1"/>
        <v/>
      </c>
      <c r="Z346" s="180" t="str">
        <f ca="1"/>
        <v/>
      </c>
      <c r="AA346" s="180" t="str">
        <f ca="1"/>
        <v/>
      </c>
      <c r="AB346" s="180" t="str">
        <f ca="1"/>
        <v/>
      </c>
      <c r="AC346" s="180" t="str">
        <f ca="1"/>
        <v/>
      </c>
      <c r="AD346" s="180" t="str">
        <f ca="1"/>
        <v/>
      </c>
      <c r="AE346" s="180" t="str">
        <f ca="1"/>
        <v/>
      </c>
      <c r="AF346" s="180" t="str">
        <f ca="1"/>
        <v/>
      </c>
      <c r="AG346" s="180" t="str">
        <f ca="1"/>
        <v/>
      </c>
      <c r="AH346" s="180" t="str">
        <f ca="1"/>
        <v/>
      </c>
      <c r="AI346" s="180" t="str">
        <f ca="1"/>
        <v/>
      </c>
      <c r="AJ346" s="180" t="str">
        <f ca="1"/>
        <v/>
      </c>
      <c r="AK346" s="180" t="str">
        <f ca="1"/>
        <v/>
      </c>
      <c r="AL346" s="180" t="str">
        <f ca="1"/>
        <v/>
      </c>
      <c r="AM346" s="180" t="str">
        <f ca="1"/>
        <v/>
      </c>
      <c r="AN346" s="180" t="str">
        <f ca="1"/>
        <v/>
      </c>
      <c r="AO346" s="180" t="str">
        <f ca="1"/>
        <v/>
      </c>
      <c r="AP346" s="180" t="str">
        <f ca="1"/>
        <v/>
      </c>
      <c r="AQ346" t="str">
        <f ca="1"/>
        <v/>
      </c>
    </row>
    <row r="347" spans="2:43" x14ac:dyDescent="0.25">
      <c r="B347" s="179" t="str">
        <f ca="1"/>
        <v/>
      </c>
      <c r="C347" s="180" t="str">
        <f ca="1"/>
        <v/>
      </c>
      <c r="D347" s="180" t="str">
        <f ca="1"/>
        <v/>
      </c>
      <c r="E347" s="180" t="str">
        <f ca="1"/>
        <v/>
      </c>
      <c r="F347" s="180" t="str">
        <f ca="1"/>
        <v/>
      </c>
      <c r="G347" s="180" t="str">
        <f ca="1"/>
        <v/>
      </c>
      <c r="H347" s="180" t="str">
        <f ca="1"/>
        <v/>
      </c>
      <c r="I347" s="180" t="str">
        <f ca="1"/>
        <v/>
      </c>
      <c r="J347" s="180" t="str">
        <f ca="1"/>
        <v/>
      </c>
      <c r="K347" s="180" t="str">
        <f ca="1"/>
        <v/>
      </c>
      <c r="L347" s="180" t="str">
        <f ca="1"/>
        <v/>
      </c>
      <c r="M347" s="180" t="str">
        <f ca="1"/>
        <v/>
      </c>
      <c r="N347" s="180" t="str">
        <f ca="1"/>
        <v/>
      </c>
      <c r="O347" s="180" t="str">
        <f ca="1"/>
        <v/>
      </c>
      <c r="P347" s="180" t="str">
        <f ca="1"/>
        <v/>
      </c>
      <c r="Q347" s="180" t="str">
        <f ca="1"/>
        <v/>
      </c>
      <c r="R347" s="180" t="str">
        <f ca="1"/>
        <v/>
      </c>
      <c r="S347" s="180" t="str">
        <f ca="1"/>
        <v/>
      </c>
      <c r="T347" s="180" t="str">
        <f ca="1"/>
        <v/>
      </c>
      <c r="U347" s="180" t="str">
        <f ca="1"/>
        <v/>
      </c>
      <c r="V347" s="180" t="str">
        <f ca="1"/>
        <v/>
      </c>
      <c r="W347" s="180" t="str">
        <f ca="1"/>
        <v/>
      </c>
      <c r="X347" s="180" t="str">
        <f ca="1"/>
        <v/>
      </c>
      <c r="Y347" s="180" t="str">
        <f ca="1"/>
        <v/>
      </c>
      <c r="Z347" s="180" t="str">
        <f ca="1"/>
        <v/>
      </c>
      <c r="AA347" s="180" t="str">
        <f ca="1"/>
        <v/>
      </c>
      <c r="AB347" s="180" t="str">
        <f ca="1"/>
        <v/>
      </c>
      <c r="AC347" s="180" t="str">
        <f ca="1"/>
        <v/>
      </c>
      <c r="AD347" s="180" t="str">
        <f ca="1"/>
        <v/>
      </c>
      <c r="AE347" s="180" t="str">
        <f ca="1"/>
        <v/>
      </c>
      <c r="AF347" s="180" t="str">
        <f ca="1"/>
        <v/>
      </c>
      <c r="AG347" s="180" t="str">
        <f ca="1"/>
        <v/>
      </c>
      <c r="AH347" s="180" t="str">
        <f ca="1"/>
        <v/>
      </c>
      <c r="AI347" s="180" t="str">
        <f ca="1"/>
        <v/>
      </c>
      <c r="AJ347" s="180" t="str">
        <f ca="1"/>
        <v/>
      </c>
      <c r="AK347" s="180" t="str">
        <f ca="1"/>
        <v/>
      </c>
      <c r="AL347" s="180" t="str">
        <f ca="1"/>
        <v/>
      </c>
      <c r="AM347" s="180" t="str">
        <f ca="1"/>
        <v/>
      </c>
      <c r="AN347" s="180" t="str">
        <f ca="1"/>
        <v/>
      </c>
      <c r="AO347" s="180" t="str">
        <f ca="1"/>
        <v/>
      </c>
      <c r="AP347" s="180" t="str">
        <f ca="1"/>
        <v/>
      </c>
      <c r="AQ347" t="str">
        <f ca="1"/>
        <v/>
      </c>
    </row>
    <row r="348" spans="2:43" x14ac:dyDescent="0.25">
      <c r="B348" s="179" t="str">
        <f ca="1"/>
        <v/>
      </c>
      <c r="C348" s="180" t="str">
        <f ca="1"/>
        <v/>
      </c>
      <c r="D348" s="180" t="str">
        <f ca="1"/>
        <v/>
      </c>
      <c r="E348" s="180" t="str">
        <f ca="1"/>
        <v/>
      </c>
      <c r="F348" s="180" t="str">
        <f ca="1"/>
        <v/>
      </c>
      <c r="G348" s="180" t="str">
        <f ca="1"/>
        <v/>
      </c>
      <c r="H348" s="180" t="str">
        <f ca="1"/>
        <v/>
      </c>
      <c r="I348" s="180" t="str">
        <f ca="1"/>
        <v/>
      </c>
      <c r="J348" s="180" t="str">
        <f ca="1"/>
        <v/>
      </c>
      <c r="K348" s="180" t="str">
        <f ca="1"/>
        <v/>
      </c>
      <c r="L348" s="180" t="str">
        <f ca="1"/>
        <v/>
      </c>
      <c r="M348" s="180" t="str">
        <f ca="1"/>
        <v/>
      </c>
      <c r="N348" s="180" t="str">
        <f ca="1"/>
        <v/>
      </c>
      <c r="O348" s="180" t="str">
        <f ca="1"/>
        <v/>
      </c>
      <c r="P348" s="180" t="str">
        <f ca="1"/>
        <v/>
      </c>
      <c r="Q348" s="180" t="str">
        <f ca="1"/>
        <v/>
      </c>
      <c r="R348" s="180" t="str">
        <f ca="1"/>
        <v/>
      </c>
      <c r="S348" s="180" t="str">
        <f ca="1"/>
        <v/>
      </c>
      <c r="T348" s="180" t="str">
        <f ca="1"/>
        <v/>
      </c>
      <c r="U348" s="180" t="str">
        <f ca="1"/>
        <v/>
      </c>
      <c r="V348" s="180" t="str">
        <f ca="1"/>
        <v/>
      </c>
      <c r="W348" s="180" t="str">
        <f ca="1"/>
        <v/>
      </c>
      <c r="X348" s="180" t="str">
        <f ca="1"/>
        <v/>
      </c>
      <c r="Y348" s="180" t="str">
        <f ca="1"/>
        <v/>
      </c>
      <c r="Z348" s="180" t="str">
        <f ca="1"/>
        <v/>
      </c>
      <c r="AA348" s="180" t="str">
        <f ca="1"/>
        <v/>
      </c>
      <c r="AB348" s="180" t="str">
        <f ca="1"/>
        <v/>
      </c>
      <c r="AC348" s="180" t="str">
        <f ca="1"/>
        <v/>
      </c>
      <c r="AD348" s="180" t="str">
        <f ca="1"/>
        <v/>
      </c>
      <c r="AE348" s="180" t="str">
        <f ca="1"/>
        <v/>
      </c>
      <c r="AF348" s="180" t="str">
        <f ca="1"/>
        <v/>
      </c>
      <c r="AG348" s="180" t="str">
        <f ca="1"/>
        <v/>
      </c>
      <c r="AH348" s="180" t="str">
        <f ca="1"/>
        <v/>
      </c>
      <c r="AI348" s="180" t="str">
        <f ca="1"/>
        <v/>
      </c>
      <c r="AJ348" s="180" t="str">
        <f ca="1"/>
        <v/>
      </c>
      <c r="AK348" s="180" t="str">
        <f ca="1"/>
        <v/>
      </c>
      <c r="AL348" s="180" t="str">
        <f ca="1"/>
        <v/>
      </c>
      <c r="AM348" s="180" t="str">
        <f ca="1"/>
        <v/>
      </c>
      <c r="AN348" s="180" t="str">
        <f ca="1"/>
        <v/>
      </c>
      <c r="AO348" s="180" t="str">
        <f ca="1"/>
        <v/>
      </c>
      <c r="AP348" s="180" t="str">
        <f ca="1"/>
        <v/>
      </c>
      <c r="AQ348" t="str">
        <f ca="1"/>
        <v/>
      </c>
    </row>
    <row r="349" spans="2:43" x14ac:dyDescent="0.25">
      <c r="B349" s="179" t="str">
        <f ca="1"/>
        <v/>
      </c>
      <c r="C349" s="180" t="str">
        <f ca="1"/>
        <v/>
      </c>
      <c r="D349" s="180" t="str">
        <f ca="1"/>
        <v/>
      </c>
      <c r="E349" s="180" t="str">
        <f ca="1"/>
        <v/>
      </c>
      <c r="F349" s="180" t="str">
        <f ca="1"/>
        <v/>
      </c>
      <c r="G349" s="180" t="str">
        <f ca="1"/>
        <v/>
      </c>
      <c r="H349" s="180" t="str">
        <f ca="1"/>
        <v/>
      </c>
      <c r="I349" s="180" t="str">
        <f ca="1"/>
        <v/>
      </c>
      <c r="J349" s="180" t="str">
        <f ca="1"/>
        <v/>
      </c>
      <c r="K349" s="180" t="str">
        <f ca="1"/>
        <v/>
      </c>
      <c r="L349" s="180" t="str">
        <f ca="1"/>
        <v/>
      </c>
      <c r="M349" s="180" t="str">
        <f ca="1"/>
        <v/>
      </c>
      <c r="N349" s="180" t="str">
        <f ca="1"/>
        <v/>
      </c>
      <c r="O349" s="180" t="str">
        <f ca="1"/>
        <v/>
      </c>
      <c r="P349" s="180" t="str">
        <f ca="1"/>
        <v/>
      </c>
      <c r="Q349" s="180" t="str">
        <f ca="1"/>
        <v/>
      </c>
      <c r="R349" s="180" t="str">
        <f ca="1"/>
        <v/>
      </c>
      <c r="S349" s="180" t="str">
        <f ca="1"/>
        <v/>
      </c>
      <c r="T349" s="180" t="str">
        <f ca="1"/>
        <v/>
      </c>
      <c r="U349" s="180" t="str">
        <f ca="1"/>
        <v/>
      </c>
      <c r="V349" s="180" t="str">
        <f ca="1"/>
        <v/>
      </c>
      <c r="W349" s="180" t="str">
        <f ca="1"/>
        <v/>
      </c>
      <c r="X349" s="180" t="str">
        <f ca="1"/>
        <v/>
      </c>
      <c r="Y349" s="180" t="str">
        <f ca="1"/>
        <v/>
      </c>
      <c r="Z349" s="180" t="str">
        <f ca="1"/>
        <v/>
      </c>
      <c r="AA349" s="180" t="str">
        <f ca="1"/>
        <v/>
      </c>
      <c r="AB349" s="180" t="str">
        <f ca="1"/>
        <v/>
      </c>
      <c r="AC349" s="180" t="str">
        <f ca="1"/>
        <v/>
      </c>
      <c r="AD349" s="180" t="str">
        <f ca="1"/>
        <v/>
      </c>
      <c r="AE349" s="180" t="str">
        <f ca="1"/>
        <v/>
      </c>
      <c r="AF349" s="180" t="str">
        <f ca="1"/>
        <v/>
      </c>
      <c r="AG349" s="180" t="str">
        <f ca="1"/>
        <v/>
      </c>
      <c r="AH349" s="180" t="str">
        <f ca="1"/>
        <v/>
      </c>
      <c r="AI349" s="180" t="str">
        <f ca="1"/>
        <v/>
      </c>
      <c r="AJ349" s="180" t="str">
        <f ca="1"/>
        <v/>
      </c>
      <c r="AK349" s="180" t="str">
        <f ca="1"/>
        <v/>
      </c>
      <c r="AL349" s="180" t="str">
        <f ca="1"/>
        <v/>
      </c>
      <c r="AM349" s="180" t="str">
        <f ca="1"/>
        <v/>
      </c>
      <c r="AN349" s="180" t="str">
        <f ca="1"/>
        <v/>
      </c>
      <c r="AO349" s="180" t="str">
        <f ca="1"/>
        <v/>
      </c>
      <c r="AP349" s="180" t="str">
        <f ca="1"/>
        <v/>
      </c>
      <c r="AQ349" t="str">
        <f ca="1"/>
        <v/>
      </c>
    </row>
    <row r="350" spans="2:43" x14ac:dyDescent="0.25">
      <c r="B350" s="179" t="str">
        <f ca="1"/>
        <v/>
      </c>
      <c r="C350" s="180" t="str">
        <f ca="1"/>
        <v/>
      </c>
      <c r="D350" s="180" t="str">
        <f ca="1"/>
        <v/>
      </c>
      <c r="E350" s="180" t="str">
        <f ca="1"/>
        <v/>
      </c>
      <c r="F350" s="180" t="str">
        <f ca="1"/>
        <v/>
      </c>
      <c r="G350" s="180" t="str">
        <f ca="1"/>
        <v/>
      </c>
      <c r="H350" s="180" t="str">
        <f ca="1"/>
        <v/>
      </c>
      <c r="I350" s="180" t="str">
        <f ca="1"/>
        <v/>
      </c>
      <c r="J350" s="180" t="str">
        <f ca="1"/>
        <v/>
      </c>
      <c r="K350" s="180" t="str">
        <f ca="1"/>
        <v/>
      </c>
      <c r="L350" s="180" t="str">
        <f ca="1"/>
        <v/>
      </c>
      <c r="M350" s="180" t="str">
        <f ca="1"/>
        <v/>
      </c>
      <c r="N350" s="180" t="str">
        <f ca="1"/>
        <v/>
      </c>
      <c r="O350" s="180" t="str">
        <f ca="1"/>
        <v/>
      </c>
      <c r="P350" s="180" t="str">
        <f ca="1"/>
        <v/>
      </c>
      <c r="Q350" s="180" t="str">
        <f ca="1"/>
        <v/>
      </c>
      <c r="R350" s="180" t="str">
        <f ca="1"/>
        <v/>
      </c>
      <c r="S350" s="180" t="str">
        <f ca="1"/>
        <v/>
      </c>
      <c r="T350" s="180" t="str">
        <f ca="1"/>
        <v/>
      </c>
      <c r="U350" s="180" t="str">
        <f ca="1"/>
        <v/>
      </c>
      <c r="V350" s="180" t="str">
        <f ca="1"/>
        <v/>
      </c>
      <c r="W350" s="180" t="str">
        <f ca="1"/>
        <v/>
      </c>
      <c r="X350" s="180" t="str">
        <f ca="1"/>
        <v/>
      </c>
      <c r="Y350" s="180" t="str">
        <f ca="1"/>
        <v/>
      </c>
      <c r="Z350" s="180" t="str">
        <f ca="1"/>
        <v/>
      </c>
      <c r="AA350" s="180" t="str">
        <f ca="1"/>
        <v/>
      </c>
      <c r="AB350" s="180" t="str">
        <f ca="1"/>
        <v/>
      </c>
      <c r="AC350" s="180" t="str">
        <f ca="1"/>
        <v/>
      </c>
      <c r="AD350" s="180" t="str">
        <f ca="1"/>
        <v/>
      </c>
      <c r="AE350" s="180" t="str">
        <f ca="1"/>
        <v/>
      </c>
      <c r="AF350" s="180" t="str">
        <f ca="1"/>
        <v/>
      </c>
      <c r="AG350" s="180" t="str">
        <f ca="1"/>
        <v/>
      </c>
      <c r="AH350" s="180" t="str">
        <f ca="1"/>
        <v/>
      </c>
      <c r="AI350" s="180" t="str">
        <f ca="1"/>
        <v/>
      </c>
      <c r="AJ350" s="180" t="str">
        <f ca="1"/>
        <v/>
      </c>
      <c r="AK350" s="180" t="str">
        <f ca="1"/>
        <v/>
      </c>
      <c r="AL350" s="180" t="str">
        <f ca="1"/>
        <v/>
      </c>
      <c r="AM350" s="180" t="str">
        <f ca="1"/>
        <v/>
      </c>
      <c r="AN350" s="180" t="str">
        <f ca="1"/>
        <v/>
      </c>
      <c r="AO350" s="180" t="str">
        <f ca="1"/>
        <v/>
      </c>
      <c r="AP350" s="180" t="str">
        <f ca="1"/>
        <v/>
      </c>
      <c r="AQ350" t="str">
        <f ca="1"/>
        <v/>
      </c>
    </row>
    <row r="351" spans="2:43" x14ac:dyDescent="0.25">
      <c r="B351" s="179" t="str">
        <f ca="1"/>
        <v/>
      </c>
      <c r="C351" s="180" t="str">
        <f ca="1"/>
        <v/>
      </c>
      <c r="D351" s="180" t="str">
        <f ca="1"/>
        <v/>
      </c>
      <c r="E351" s="180" t="str">
        <f ca="1"/>
        <v/>
      </c>
      <c r="F351" s="180" t="str">
        <f ca="1"/>
        <v/>
      </c>
      <c r="G351" s="180" t="str">
        <f ca="1"/>
        <v/>
      </c>
      <c r="H351" s="180" t="str">
        <f ca="1"/>
        <v/>
      </c>
      <c r="I351" s="180" t="str">
        <f ca="1"/>
        <v/>
      </c>
      <c r="J351" s="180" t="str">
        <f ca="1"/>
        <v/>
      </c>
      <c r="K351" s="180" t="str">
        <f ca="1"/>
        <v/>
      </c>
      <c r="L351" s="180" t="str">
        <f ca="1"/>
        <v/>
      </c>
      <c r="M351" s="180" t="str">
        <f ca="1"/>
        <v/>
      </c>
      <c r="N351" s="180" t="str">
        <f ca="1"/>
        <v/>
      </c>
      <c r="O351" s="180" t="str">
        <f ca="1"/>
        <v/>
      </c>
      <c r="P351" s="180" t="str">
        <f ca="1"/>
        <v/>
      </c>
      <c r="Q351" s="180" t="str">
        <f ca="1"/>
        <v/>
      </c>
      <c r="R351" s="180" t="str">
        <f ca="1"/>
        <v/>
      </c>
      <c r="S351" s="180" t="str">
        <f ca="1"/>
        <v/>
      </c>
      <c r="T351" s="180" t="str">
        <f ca="1"/>
        <v/>
      </c>
      <c r="U351" s="180" t="str">
        <f ca="1"/>
        <v/>
      </c>
      <c r="V351" s="180" t="str">
        <f ca="1"/>
        <v/>
      </c>
      <c r="W351" s="180" t="str">
        <f ca="1"/>
        <v/>
      </c>
      <c r="X351" s="180" t="str">
        <f ca="1"/>
        <v/>
      </c>
      <c r="Y351" s="180" t="str">
        <f ca="1"/>
        <v/>
      </c>
      <c r="Z351" s="180" t="str">
        <f ca="1"/>
        <v/>
      </c>
      <c r="AA351" s="180" t="str">
        <f ca="1"/>
        <v/>
      </c>
      <c r="AB351" s="180" t="str">
        <f ca="1"/>
        <v/>
      </c>
      <c r="AC351" s="180" t="str">
        <f ca="1"/>
        <v/>
      </c>
      <c r="AD351" s="180" t="str">
        <f ca="1"/>
        <v/>
      </c>
      <c r="AE351" s="180" t="str">
        <f ca="1"/>
        <v/>
      </c>
      <c r="AF351" s="180" t="str">
        <f ca="1"/>
        <v/>
      </c>
      <c r="AG351" s="180" t="str">
        <f ca="1"/>
        <v/>
      </c>
      <c r="AH351" s="180" t="str">
        <f ca="1"/>
        <v/>
      </c>
      <c r="AI351" s="180" t="str">
        <f ca="1"/>
        <v/>
      </c>
      <c r="AJ351" s="180" t="str">
        <f ca="1"/>
        <v/>
      </c>
      <c r="AK351" s="180" t="str">
        <f ca="1"/>
        <v/>
      </c>
      <c r="AL351" s="180" t="str">
        <f ca="1"/>
        <v/>
      </c>
      <c r="AM351" s="180" t="str">
        <f ca="1"/>
        <v/>
      </c>
      <c r="AN351" s="180" t="str">
        <f ca="1"/>
        <v/>
      </c>
      <c r="AO351" s="180" t="str">
        <f ca="1"/>
        <v/>
      </c>
      <c r="AP351" s="180" t="str">
        <f ca="1"/>
        <v/>
      </c>
      <c r="AQ351" t="str">
        <f ca="1"/>
        <v/>
      </c>
    </row>
    <row r="352" spans="2:43" x14ac:dyDescent="0.25">
      <c r="B352" s="179" t="str">
        <f ca="1"/>
        <v/>
      </c>
      <c r="C352" s="180" t="str">
        <f ca="1"/>
        <v/>
      </c>
      <c r="D352" s="180" t="str">
        <f ca="1"/>
        <v/>
      </c>
      <c r="E352" s="180" t="str">
        <f ca="1"/>
        <v/>
      </c>
      <c r="F352" s="180" t="str">
        <f ca="1"/>
        <v/>
      </c>
      <c r="G352" s="180" t="str">
        <f ca="1"/>
        <v/>
      </c>
      <c r="H352" s="180" t="str">
        <f ca="1"/>
        <v/>
      </c>
      <c r="I352" s="180" t="str">
        <f ca="1"/>
        <v/>
      </c>
      <c r="J352" s="180" t="str">
        <f ca="1"/>
        <v/>
      </c>
      <c r="K352" s="180" t="str">
        <f ca="1"/>
        <v/>
      </c>
      <c r="L352" s="180" t="str">
        <f ca="1"/>
        <v/>
      </c>
      <c r="M352" s="180" t="str">
        <f ca="1"/>
        <v/>
      </c>
      <c r="N352" s="180" t="str">
        <f ca="1"/>
        <v/>
      </c>
      <c r="O352" s="180" t="str">
        <f ca="1"/>
        <v/>
      </c>
      <c r="P352" s="180" t="str">
        <f ca="1"/>
        <v/>
      </c>
      <c r="Q352" s="180" t="str">
        <f ca="1"/>
        <v/>
      </c>
      <c r="R352" s="180" t="str">
        <f ca="1"/>
        <v/>
      </c>
      <c r="S352" s="180" t="str">
        <f ca="1"/>
        <v/>
      </c>
      <c r="T352" s="180" t="str">
        <f ca="1"/>
        <v/>
      </c>
      <c r="U352" s="180" t="str">
        <f ca="1"/>
        <v/>
      </c>
      <c r="V352" s="180" t="str">
        <f ca="1"/>
        <v/>
      </c>
      <c r="W352" s="180" t="str">
        <f ca="1"/>
        <v/>
      </c>
      <c r="X352" s="180" t="str">
        <f ca="1"/>
        <v/>
      </c>
      <c r="Y352" s="180" t="str">
        <f ca="1"/>
        <v/>
      </c>
      <c r="Z352" s="180" t="str">
        <f ca="1"/>
        <v/>
      </c>
      <c r="AA352" s="180" t="str">
        <f ca="1"/>
        <v/>
      </c>
      <c r="AB352" s="180" t="str">
        <f ca="1"/>
        <v/>
      </c>
      <c r="AC352" s="180" t="str">
        <f ca="1"/>
        <v/>
      </c>
      <c r="AD352" s="180" t="str">
        <f ca="1"/>
        <v/>
      </c>
      <c r="AE352" s="180" t="str">
        <f ca="1"/>
        <v/>
      </c>
      <c r="AF352" s="180" t="str">
        <f ca="1"/>
        <v/>
      </c>
      <c r="AG352" s="180" t="str">
        <f ca="1"/>
        <v/>
      </c>
      <c r="AH352" s="180" t="str">
        <f ca="1"/>
        <v/>
      </c>
      <c r="AI352" s="180" t="str">
        <f ca="1"/>
        <v/>
      </c>
      <c r="AJ352" s="180" t="str">
        <f ca="1"/>
        <v/>
      </c>
      <c r="AK352" s="180" t="str">
        <f ca="1"/>
        <v/>
      </c>
      <c r="AL352" s="180" t="str">
        <f ca="1"/>
        <v/>
      </c>
      <c r="AM352" s="180" t="str">
        <f ca="1"/>
        <v/>
      </c>
      <c r="AN352" s="180" t="str">
        <f ca="1"/>
        <v/>
      </c>
      <c r="AO352" s="180" t="str">
        <f ca="1"/>
        <v/>
      </c>
      <c r="AP352" s="180" t="str">
        <f ca="1"/>
        <v/>
      </c>
      <c r="AQ352" t="str">
        <f ca="1"/>
        <v/>
      </c>
    </row>
    <row r="353" spans="2:43" x14ac:dyDescent="0.25">
      <c r="B353" s="179" t="str">
        <f ca="1"/>
        <v/>
      </c>
      <c r="C353" s="180" t="str">
        <f ca="1"/>
        <v/>
      </c>
      <c r="D353" s="180" t="str">
        <f ca="1"/>
        <v/>
      </c>
      <c r="E353" s="180" t="str">
        <f ca="1"/>
        <v/>
      </c>
      <c r="F353" s="180" t="str">
        <f ca="1"/>
        <v/>
      </c>
      <c r="G353" s="180" t="str">
        <f ca="1"/>
        <v/>
      </c>
      <c r="H353" s="180" t="str">
        <f ca="1"/>
        <v/>
      </c>
      <c r="I353" s="180" t="str">
        <f ca="1"/>
        <v/>
      </c>
      <c r="J353" s="180" t="str">
        <f ca="1"/>
        <v/>
      </c>
      <c r="K353" s="180" t="str">
        <f ca="1"/>
        <v/>
      </c>
      <c r="L353" s="180" t="str">
        <f ca="1"/>
        <v/>
      </c>
      <c r="M353" s="180" t="str">
        <f ca="1"/>
        <v/>
      </c>
      <c r="N353" s="180" t="str">
        <f ca="1"/>
        <v/>
      </c>
      <c r="O353" s="180" t="str">
        <f ca="1"/>
        <v/>
      </c>
      <c r="P353" s="180" t="str">
        <f ca="1"/>
        <v/>
      </c>
      <c r="Q353" s="180" t="str">
        <f ca="1"/>
        <v/>
      </c>
      <c r="R353" s="180" t="str">
        <f ca="1"/>
        <v/>
      </c>
      <c r="S353" s="180" t="str">
        <f ca="1"/>
        <v/>
      </c>
      <c r="T353" s="180" t="str">
        <f ca="1"/>
        <v/>
      </c>
      <c r="U353" s="180" t="str">
        <f ca="1"/>
        <v/>
      </c>
      <c r="V353" s="180" t="str">
        <f ca="1"/>
        <v/>
      </c>
      <c r="W353" s="180" t="str">
        <f ca="1"/>
        <v/>
      </c>
      <c r="X353" s="180" t="str">
        <f ca="1"/>
        <v/>
      </c>
      <c r="Y353" s="180" t="str">
        <f ca="1"/>
        <v/>
      </c>
      <c r="Z353" s="180" t="str">
        <f ca="1"/>
        <v/>
      </c>
      <c r="AA353" s="180" t="str">
        <f ca="1"/>
        <v/>
      </c>
      <c r="AB353" s="180" t="str">
        <f ca="1"/>
        <v/>
      </c>
      <c r="AC353" s="180" t="str">
        <f ca="1"/>
        <v/>
      </c>
      <c r="AD353" s="180" t="str">
        <f ca="1"/>
        <v/>
      </c>
      <c r="AE353" s="180" t="str">
        <f ca="1"/>
        <v/>
      </c>
      <c r="AF353" s="180" t="str">
        <f ca="1"/>
        <v/>
      </c>
      <c r="AG353" s="180" t="str">
        <f ca="1"/>
        <v/>
      </c>
      <c r="AH353" s="180" t="str">
        <f ca="1"/>
        <v/>
      </c>
      <c r="AI353" s="180" t="str">
        <f ca="1"/>
        <v/>
      </c>
      <c r="AJ353" s="180" t="str">
        <f ca="1"/>
        <v/>
      </c>
      <c r="AK353" s="180" t="str">
        <f ca="1"/>
        <v/>
      </c>
      <c r="AL353" s="180" t="str">
        <f ca="1"/>
        <v/>
      </c>
      <c r="AM353" s="180" t="str">
        <f ca="1"/>
        <v/>
      </c>
      <c r="AN353" s="180" t="str">
        <f ca="1"/>
        <v/>
      </c>
      <c r="AO353" s="180" t="str">
        <f ca="1"/>
        <v/>
      </c>
      <c r="AP353" s="180" t="str">
        <f ca="1"/>
        <v/>
      </c>
      <c r="AQ353" t="str">
        <f ca="1"/>
        <v/>
      </c>
    </row>
    <row r="354" spans="2:43" x14ac:dyDescent="0.25">
      <c r="B354" s="179" t="str">
        <f ca="1"/>
        <v/>
      </c>
      <c r="C354" s="180" t="str">
        <f ca="1"/>
        <v/>
      </c>
      <c r="D354" s="180" t="str">
        <f ca="1"/>
        <v/>
      </c>
      <c r="E354" s="180" t="str">
        <f ca="1"/>
        <v/>
      </c>
      <c r="F354" s="180" t="str">
        <f ca="1"/>
        <v/>
      </c>
      <c r="G354" s="180" t="str">
        <f ca="1"/>
        <v/>
      </c>
      <c r="H354" s="180" t="str">
        <f ca="1"/>
        <v/>
      </c>
      <c r="I354" s="180" t="str">
        <f ca="1"/>
        <v/>
      </c>
      <c r="J354" s="180" t="str">
        <f ca="1"/>
        <v/>
      </c>
      <c r="K354" s="180" t="str">
        <f ca="1"/>
        <v/>
      </c>
      <c r="L354" s="180" t="str">
        <f ca="1"/>
        <v/>
      </c>
      <c r="M354" s="180" t="str">
        <f ca="1"/>
        <v/>
      </c>
      <c r="N354" s="180" t="str">
        <f ca="1"/>
        <v/>
      </c>
      <c r="O354" s="180" t="str">
        <f ca="1"/>
        <v/>
      </c>
      <c r="P354" s="180" t="str">
        <f ca="1"/>
        <v/>
      </c>
      <c r="Q354" s="180" t="str">
        <f ca="1"/>
        <v/>
      </c>
      <c r="R354" s="180" t="str">
        <f ca="1"/>
        <v/>
      </c>
      <c r="S354" s="180" t="str">
        <f ca="1"/>
        <v/>
      </c>
      <c r="T354" s="180" t="str">
        <f ca="1"/>
        <v/>
      </c>
      <c r="U354" s="180" t="str">
        <f ca="1"/>
        <v/>
      </c>
      <c r="V354" s="180" t="str">
        <f ca="1"/>
        <v/>
      </c>
      <c r="W354" s="180" t="str">
        <f ca="1"/>
        <v/>
      </c>
      <c r="X354" s="180" t="str">
        <f ca="1"/>
        <v/>
      </c>
      <c r="Y354" s="180" t="str">
        <f ca="1"/>
        <v/>
      </c>
      <c r="Z354" s="180" t="str">
        <f ca="1"/>
        <v/>
      </c>
      <c r="AA354" s="180" t="str">
        <f ca="1"/>
        <v/>
      </c>
      <c r="AB354" s="180" t="str">
        <f ca="1"/>
        <v/>
      </c>
      <c r="AC354" s="180" t="str">
        <f ca="1"/>
        <v/>
      </c>
      <c r="AD354" s="180" t="str">
        <f ca="1"/>
        <v/>
      </c>
      <c r="AE354" s="180" t="str">
        <f ca="1"/>
        <v/>
      </c>
      <c r="AF354" s="180" t="str">
        <f ca="1"/>
        <v/>
      </c>
      <c r="AG354" s="180" t="str">
        <f ca="1"/>
        <v/>
      </c>
      <c r="AH354" s="180" t="str">
        <f ca="1"/>
        <v/>
      </c>
      <c r="AI354" s="180" t="str">
        <f ca="1"/>
        <v/>
      </c>
      <c r="AJ354" s="180" t="str">
        <f ca="1"/>
        <v/>
      </c>
      <c r="AK354" s="180" t="str">
        <f ca="1"/>
        <v/>
      </c>
      <c r="AL354" s="180" t="str">
        <f ca="1"/>
        <v/>
      </c>
      <c r="AM354" s="180" t="str">
        <f ca="1"/>
        <v/>
      </c>
      <c r="AN354" s="180" t="str">
        <f ca="1"/>
        <v/>
      </c>
      <c r="AO354" s="180" t="str">
        <f ca="1"/>
        <v/>
      </c>
      <c r="AP354" s="180" t="str">
        <f ca="1"/>
        <v/>
      </c>
      <c r="AQ354" t="str">
        <f ca="1"/>
        <v/>
      </c>
    </row>
    <row r="355" spans="2:43" x14ac:dyDescent="0.25">
      <c r="B355" s="179" t="str">
        <f ca="1"/>
        <v/>
      </c>
      <c r="C355" s="180" t="str">
        <f ca="1"/>
        <v/>
      </c>
      <c r="D355" s="180" t="str">
        <f ca="1"/>
        <v/>
      </c>
      <c r="E355" s="180" t="str">
        <f ca="1"/>
        <v/>
      </c>
      <c r="F355" s="180" t="str">
        <f ca="1"/>
        <v/>
      </c>
      <c r="G355" s="180" t="str">
        <f ca="1"/>
        <v/>
      </c>
      <c r="H355" s="180" t="str">
        <f ca="1"/>
        <v/>
      </c>
      <c r="I355" s="180" t="str">
        <f ca="1"/>
        <v/>
      </c>
      <c r="J355" s="180" t="str">
        <f ca="1"/>
        <v/>
      </c>
      <c r="K355" s="180" t="str">
        <f ca="1"/>
        <v/>
      </c>
      <c r="L355" s="180" t="str">
        <f ca="1"/>
        <v/>
      </c>
      <c r="M355" s="180" t="str">
        <f ca="1"/>
        <v/>
      </c>
      <c r="N355" s="180" t="str">
        <f ca="1"/>
        <v/>
      </c>
      <c r="O355" s="180" t="str">
        <f ca="1"/>
        <v/>
      </c>
      <c r="P355" s="180" t="str">
        <f ca="1"/>
        <v/>
      </c>
      <c r="Q355" s="180" t="str">
        <f ca="1"/>
        <v/>
      </c>
      <c r="R355" s="180" t="str">
        <f ca="1"/>
        <v/>
      </c>
      <c r="S355" s="180" t="str">
        <f ca="1"/>
        <v/>
      </c>
      <c r="T355" s="180" t="str">
        <f ca="1"/>
        <v/>
      </c>
      <c r="U355" s="180" t="str">
        <f ca="1"/>
        <v/>
      </c>
      <c r="V355" s="180" t="str">
        <f ca="1"/>
        <v/>
      </c>
      <c r="W355" s="180" t="str">
        <f ca="1"/>
        <v/>
      </c>
      <c r="X355" s="180" t="str">
        <f ca="1"/>
        <v/>
      </c>
      <c r="Y355" s="180" t="str">
        <f ca="1"/>
        <v/>
      </c>
      <c r="Z355" s="180" t="str">
        <f ca="1"/>
        <v/>
      </c>
      <c r="AA355" s="180" t="str">
        <f ca="1"/>
        <v/>
      </c>
      <c r="AB355" s="180" t="str">
        <f ca="1"/>
        <v/>
      </c>
      <c r="AC355" s="180" t="str">
        <f ca="1"/>
        <v/>
      </c>
      <c r="AD355" s="180" t="str">
        <f ca="1"/>
        <v/>
      </c>
      <c r="AE355" s="180" t="str">
        <f ca="1"/>
        <v/>
      </c>
      <c r="AF355" s="180" t="str">
        <f ca="1"/>
        <v/>
      </c>
      <c r="AG355" s="180" t="str">
        <f ca="1"/>
        <v/>
      </c>
      <c r="AH355" s="180" t="str">
        <f ca="1"/>
        <v/>
      </c>
      <c r="AI355" s="180" t="str">
        <f ca="1"/>
        <v/>
      </c>
      <c r="AJ355" s="180" t="str">
        <f ca="1"/>
        <v/>
      </c>
      <c r="AK355" s="180" t="str">
        <f ca="1"/>
        <v/>
      </c>
      <c r="AL355" s="180" t="str">
        <f ca="1"/>
        <v/>
      </c>
      <c r="AM355" s="180" t="str">
        <f ca="1"/>
        <v/>
      </c>
      <c r="AN355" s="180" t="str">
        <f ca="1"/>
        <v/>
      </c>
      <c r="AO355" s="180" t="str">
        <f ca="1"/>
        <v/>
      </c>
      <c r="AP355" s="180" t="str">
        <f ca="1"/>
        <v/>
      </c>
      <c r="AQ355" t="str">
        <f ca="1"/>
        <v/>
      </c>
    </row>
    <row r="356" spans="2:43" x14ac:dyDescent="0.25">
      <c r="B356" s="179" t="str">
        <f ca="1"/>
        <v/>
      </c>
      <c r="C356" s="180" t="str">
        <f ca="1"/>
        <v/>
      </c>
      <c r="D356" s="180" t="str">
        <f ca="1"/>
        <v/>
      </c>
      <c r="E356" s="180" t="str">
        <f ca="1"/>
        <v/>
      </c>
      <c r="F356" s="180" t="str">
        <f ca="1"/>
        <v/>
      </c>
      <c r="G356" s="180" t="str">
        <f ca="1"/>
        <v/>
      </c>
      <c r="H356" s="180" t="str">
        <f ca="1"/>
        <v/>
      </c>
      <c r="I356" s="180" t="str">
        <f ca="1"/>
        <v/>
      </c>
      <c r="J356" s="180" t="str">
        <f ca="1"/>
        <v/>
      </c>
      <c r="K356" s="180" t="str">
        <f ca="1"/>
        <v/>
      </c>
      <c r="L356" s="180" t="str">
        <f ca="1"/>
        <v/>
      </c>
      <c r="M356" s="180" t="str">
        <f ca="1"/>
        <v/>
      </c>
      <c r="N356" s="180" t="str">
        <f ca="1"/>
        <v/>
      </c>
      <c r="O356" s="180" t="str">
        <f ca="1"/>
        <v/>
      </c>
      <c r="P356" s="180" t="str">
        <f ca="1"/>
        <v/>
      </c>
      <c r="Q356" s="180" t="str">
        <f ca="1"/>
        <v/>
      </c>
      <c r="R356" s="180" t="str">
        <f ca="1"/>
        <v/>
      </c>
      <c r="S356" s="180" t="str">
        <f ca="1"/>
        <v/>
      </c>
      <c r="T356" s="180" t="str">
        <f ca="1"/>
        <v/>
      </c>
      <c r="U356" s="180" t="str">
        <f ca="1"/>
        <v/>
      </c>
      <c r="V356" s="180" t="str">
        <f ca="1"/>
        <v/>
      </c>
      <c r="W356" s="180" t="str">
        <f ca="1"/>
        <v/>
      </c>
      <c r="X356" s="180" t="str">
        <f ca="1"/>
        <v/>
      </c>
      <c r="Y356" s="180" t="str">
        <f ca="1"/>
        <v/>
      </c>
      <c r="Z356" s="180" t="str">
        <f ca="1"/>
        <v/>
      </c>
      <c r="AA356" s="180" t="str">
        <f ca="1"/>
        <v/>
      </c>
      <c r="AB356" s="180" t="str">
        <f ca="1"/>
        <v/>
      </c>
      <c r="AC356" s="180" t="str">
        <f ca="1"/>
        <v/>
      </c>
      <c r="AD356" s="180" t="str">
        <f ca="1"/>
        <v/>
      </c>
      <c r="AE356" s="180" t="str">
        <f ca="1"/>
        <v/>
      </c>
      <c r="AF356" s="180" t="str">
        <f ca="1"/>
        <v/>
      </c>
      <c r="AG356" s="180" t="str">
        <f ca="1"/>
        <v/>
      </c>
      <c r="AH356" s="180" t="str">
        <f ca="1"/>
        <v/>
      </c>
      <c r="AI356" s="180" t="str">
        <f ca="1"/>
        <v/>
      </c>
      <c r="AJ356" s="180" t="str">
        <f ca="1"/>
        <v/>
      </c>
      <c r="AK356" s="180" t="str">
        <f ca="1"/>
        <v/>
      </c>
      <c r="AL356" s="180" t="str">
        <f ca="1"/>
        <v/>
      </c>
      <c r="AM356" s="180" t="str">
        <f ca="1"/>
        <v/>
      </c>
      <c r="AN356" s="180" t="str">
        <f ca="1"/>
        <v/>
      </c>
      <c r="AO356" s="180" t="str">
        <f ca="1"/>
        <v/>
      </c>
      <c r="AP356" s="180" t="str">
        <f ca="1"/>
        <v/>
      </c>
      <c r="AQ356" t="str">
        <f ca="1"/>
        <v/>
      </c>
    </row>
    <row r="357" spans="2:43" x14ac:dyDescent="0.25">
      <c r="B357" s="179" t="str">
        <f ca="1"/>
        <v/>
      </c>
      <c r="C357" s="180" t="str">
        <f ca="1"/>
        <v/>
      </c>
      <c r="D357" s="180" t="str">
        <f ca="1"/>
        <v/>
      </c>
      <c r="E357" s="180" t="str">
        <f ca="1"/>
        <v/>
      </c>
      <c r="F357" s="180" t="str">
        <f ca="1"/>
        <v/>
      </c>
      <c r="G357" s="180" t="str">
        <f ca="1"/>
        <v/>
      </c>
      <c r="H357" s="180" t="str">
        <f ca="1"/>
        <v/>
      </c>
      <c r="I357" s="180" t="str">
        <f ca="1"/>
        <v/>
      </c>
      <c r="J357" s="180" t="str">
        <f ca="1"/>
        <v/>
      </c>
      <c r="K357" s="180" t="str">
        <f ca="1"/>
        <v/>
      </c>
      <c r="L357" s="180" t="str">
        <f ca="1"/>
        <v/>
      </c>
      <c r="M357" s="180" t="str">
        <f ca="1"/>
        <v/>
      </c>
      <c r="N357" s="180" t="str">
        <f ca="1"/>
        <v/>
      </c>
      <c r="O357" s="180" t="str">
        <f ca="1"/>
        <v/>
      </c>
      <c r="P357" s="180" t="str">
        <f ca="1"/>
        <v/>
      </c>
      <c r="Q357" s="180" t="str">
        <f ca="1"/>
        <v/>
      </c>
      <c r="R357" s="180" t="str">
        <f ca="1"/>
        <v/>
      </c>
      <c r="S357" s="180" t="str">
        <f ca="1"/>
        <v/>
      </c>
      <c r="T357" s="180" t="str">
        <f ca="1"/>
        <v/>
      </c>
      <c r="U357" s="180" t="str">
        <f ca="1"/>
        <v/>
      </c>
      <c r="V357" s="180" t="str">
        <f ca="1"/>
        <v/>
      </c>
      <c r="W357" s="180" t="str">
        <f ca="1"/>
        <v/>
      </c>
      <c r="X357" s="180" t="str">
        <f ca="1"/>
        <v/>
      </c>
      <c r="Y357" s="180" t="str">
        <f ca="1"/>
        <v/>
      </c>
      <c r="Z357" s="180" t="str">
        <f ca="1"/>
        <v/>
      </c>
      <c r="AA357" s="180" t="str">
        <f ca="1"/>
        <v/>
      </c>
      <c r="AB357" s="180" t="str">
        <f ca="1"/>
        <v/>
      </c>
      <c r="AC357" s="180" t="str">
        <f ca="1"/>
        <v/>
      </c>
      <c r="AD357" s="180" t="str">
        <f ca="1"/>
        <v/>
      </c>
      <c r="AE357" s="180" t="str">
        <f ca="1"/>
        <v/>
      </c>
      <c r="AF357" s="180" t="str">
        <f ca="1"/>
        <v/>
      </c>
      <c r="AG357" s="180" t="str">
        <f ca="1"/>
        <v/>
      </c>
      <c r="AH357" s="180" t="str">
        <f ca="1"/>
        <v/>
      </c>
      <c r="AI357" s="180" t="str">
        <f ca="1"/>
        <v/>
      </c>
      <c r="AJ357" s="180" t="str">
        <f ca="1"/>
        <v/>
      </c>
      <c r="AK357" s="180" t="str">
        <f ca="1"/>
        <v/>
      </c>
      <c r="AL357" s="180" t="str">
        <f ca="1"/>
        <v/>
      </c>
      <c r="AM357" s="180" t="str">
        <f ca="1"/>
        <v/>
      </c>
      <c r="AN357" s="180" t="str">
        <f ca="1"/>
        <v/>
      </c>
      <c r="AO357" s="180" t="str">
        <f ca="1"/>
        <v/>
      </c>
      <c r="AP357" s="180" t="str">
        <f ca="1"/>
        <v/>
      </c>
      <c r="AQ357" t="str">
        <f ca="1"/>
        <v/>
      </c>
    </row>
    <row r="358" spans="2:43" x14ac:dyDescent="0.25">
      <c r="B358" s="179" t="str">
        <f ca="1"/>
        <v/>
      </c>
      <c r="C358" s="180" t="str">
        <f ca="1"/>
        <v/>
      </c>
      <c r="D358" s="180" t="str">
        <f ca="1"/>
        <v/>
      </c>
      <c r="E358" s="180" t="str">
        <f ca="1"/>
        <v/>
      </c>
      <c r="F358" s="180" t="str">
        <f ca="1"/>
        <v/>
      </c>
      <c r="G358" s="180" t="str">
        <f ca="1"/>
        <v/>
      </c>
      <c r="H358" s="180" t="str">
        <f ca="1"/>
        <v/>
      </c>
      <c r="I358" s="180" t="str">
        <f ca="1"/>
        <v/>
      </c>
      <c r="J358" s="180" t="str">
        <f ca="1"/>
        <v/>
      </c>
      <c r="K358" s="180" t="str">
        <f ca="1"/>
        <v/>
      </c>
      <c r="L358" s="180" t="str">
        <f ca="1"/>
        <v/>
      </c>
      <c r="M358" s="180" t="str">
        <f ca="1"/>
        <v/>
      </c>
      <c r="N358" s="180" t="str">
        <f ca="1"/>
        <v/>
      </c>
      <c r="O358" s="180" t="str">
        <f ca="1"/>
        <v/>
      </c>
      <c r="P358" s="180" t="str">
        <f ca="1"/>
        <v/>
      </c>
      <c r="Q358" s="180" t="str">
        <f ca="1"/>
        <v/>
      </c>
      <c r="R358" s="180" t="str">
        <f ca="1"/>
        <v/>
      </c>
      <c r="S358" s="180" t="str">
        <f ca="1"/>
        <v/>
      </c>
      <c r="T358" s="180" t="str">
        <f ca="1"/>
        <v/>
      </c>
      <c r="U358" s="180" t="str">
        <f ca="1"/>
        <v/>
      </c>
      <c r="V358" s="180" t="str">
        <f ca="1"/>
        <v/>
      </c>
      <c r="W358" s="180" t="str">
        <f ca="1"/>
        <v/>
      </c>
      <c r="X358" s="180" t="str">
        <f ca="1"/>
        <v/>
      </c>
      <c r="Y358" s="180" t="str">
        <f ca="1"/>
        <v/>
      </c>
      <c r="Z358" s="180" t="str">
        <f ca="1"/>
        <v/>
      </c>
      <c r="AA358" s="180" t="str">
        <f ca="1"/>
        <v/>
      </c>
      <c r="AB358" s="180" t="str">
        <f ca="1"/>
        <v/>
      </c>
      <c r="AC358" s="180" t="str">
        <f ca="1"/>
        <v/>
      </c>
      <c r="AD358" s="180" t="str">
        <f ca="1"/>
        <v/>
      </c>
      <c r="AE358" s="180" t="str">
        <f ca="1"/>
        <v/>
      </c>
      <c r="AF358" s="180" t="str">
        <f ca="1"/>
        <v/>
      </c>
      <c r="AG358" s="180" t="str">
        <f ca="1"/>
        <v/>
      </c>
      <c r="AH358" s="180" t="str">
        <f ca="1"/>
        <v/>
      </c>
      <c r="AI358" s="180" t="str">
        <f ca="1"/>
        <v/>
      </c>
      <c r="AJ358" s="180" t="str">
        <f ca="1"/>
        <v/>
      </c>
      <c r="AK358" s="180" t="str">
        <f ca="1"/>
        <v/>
      </c>
      <c r="AL358" s="180" t="str">
        <f ca="1"/>
        <v/>
      </c>
      <c r="AM358" s="180" t="str">
        <f ca="1"/>
        <v/>
      </c>
      <c r="AN358" s="180" t="str">
        <f ca="1"/>
        <v/>
      </c>
      <c r="AO358" s="180" t="str">
        <f ca="1"/>
        <v/>
      </c>
      <c r="AP358" s="180" t="str">
        <f ca="1"/>
        <v/>
      </c>
      <c r="AQ358" t="str">
        <f ca="1"/>
        <v/>
      </c>
    </row>
    <row r="359" spans="2:43" x14ac:dyDescent="0.25">
      <c r="B359" s="179" t="str">
        <f ca="1"/>
        <v/>
      </c>
      <c r="C359" s="180" t="str">
        <f ca="1"/>
        <v/>
      </c>
      <c r="D359" s="180" t="str">
        <f ca="1"/>
        <v/>
      </c>
      <c r="E359" s="180" t="str">
        <f ca="1"/>
        <v/>
      </c>
      <c r="F359" s="180" t="str">
        <f ca="1"/>
        <v/>
      </c>
      <c r="G359" s="180" t="str">
        <f ca="1"/>
        <v/>
      </c>
      <c r="H359" s="180" t="str">
        <f ca="1"/>
        <v/>
      </c>
      <c r="I359" s="180" t="str">
        <f ca="1"/>
        <v/>
      </c>
      <c r="J359" s="180" t="str">
        <f ca="1"/>
        <v/>
      </c>
      <c r="K359" s="180" t="str">
        <f ca="1"/>
        <v/>
      </c>
      <c r="L359" s="180" t="str">
        <f ca="1"/>
        <v/>
      </c>
      <c r="M359" s="180" t="str">
        <f ca="1"/>
        <v/>
      </c>
      <c r="N359" s="180" t="str">
        <f ca="1"/>
        <v/>
      </c>
      <c r="O359" s="180" t="str">
        <f ca="1"/>
        <v/>
      </c>
      <c r="P359" s="180" t="str">
        <f ca="1"/>
        <v/>
      </c>
      <c r="Q359" s="180" t="str">
        <f ca="1"/>
        <v/>
      </c>
      <c r="R359" s="180" t="str">
        <f ca="1"/>
        <v/>
      </c>
      <c r="S359" s="180" t="str">
        <f ca="1"/>
        <v/>
      </c>
      <c r="T359" s="180" t="str">
        <f ca="1"/>
        <v/>
      </c>
      <c r="U359" s="180" t="str">
        <f ca="1"/>
        <v/>
      </c>
      <c r="V359" s="180" t="str">
        <f ca="1"/>
        <v/>
      </c>
      <c r="W359" s="180" t="str">
        <f ca="1"/>
        <v/>
      </c>
      <c r="X359" s="180" t="str">
        <f ca="1"/>
        <v/>
      </c>
      <c r="Y359" s="180" t="str">
        <f ca="1"/>
        <v/>
      </c>
      <c r="Z359" s="180" t="str">
        <f ca="1"/>
        <v/>
      </c>
      <c r="AA359" s="180" t="str">
        <f ca="1"/>
        <v/>
      </c>
      <c r="AB359" s="180" t="str">
        <f ca="1"/>
        <v/>
      </c>
      <c r="AC359" s="180" t="str">
        <f ca="1"/>
        <v/>
      </c>
      <c r="AD359" s="180" t="str">
        <f ca="1"/>
        <v/>
      </c>
      <c r="AE359" s="180" t="str">
        <f ca="1"/>
        <v/>
      </c>
      <c r="AF359" s="180" t="str">
        <f ca="1"/>
        <v/>
      </c>
      <c r="AG359" s="180" t="str">
        <f ca="1"/>
        <v/>
      </c>
      <c r="AH359" s="180" t="str">
        <f ca="1"/>
        <v/>
      </c>
      <c r="AI359" s="180" t="str">
        <f ca="1"/>
        <v/>
      </c>
      <c r="AJ359" s="180" t="str">
        <f ca="1"/>
        <v/>
      </c>
      <c r="AK359" s="180" t="str">
        <f ca="1"/>
        <v/>
      </c>
      <c r="AL359" s="180" t="str">
        <f ca="1"/>
        <v/>
      </c>
      <c r="AM359" s="180" t="str">
        <f ca="1"/>
        <v/>
      </c>
      <c r="AN359" s="180" t="str">
        <f ca="1"/>
        <v/>
      </c>
      <c r="AO359" s="180" t="str">
        <f ca="1"/>
        <v/>
      </c>
      <c r="AP359" s="180" t="str">
        <f ca="1"/>
        <v/>
      </c>
      <c r="AQ359" t="str">
        <f ca="1"/>
        <v/>
      </c>
    </row>
    <row r="360" spans="2:43" x14ac:dyDescent="0.25">
      <c r="B360" s="179" t="str">
        <f ca="1"/>
        <v/>
      </c>
      <c r="C360" s="180" t="str">
        <f ca="1"/>
        <v/>
      </c>
      <c r="D360" s="180" t="str">
        <f ca="1"/>
        <v/>
      </c>
      <c r="E360" s="180" t="str">
        <f ca="1"/>
        <v/>
      </c>
      <c r="F360" s="180" t="str">
        <f ca="1"/>
        <v/>
      </c>
      <c r="G360" s="180" t="str">
        <f ca="1"/>
        <v/>
      </c>
      <c r="H360" s="180" t="str">
        <f ca="1"/>
        <v/>
      </c>
      <c r="I360" s="180" t="str">
        <f ca="1"/>
        <v/>
      </c>
      <c r="J360" s="180" t="str">
        <f ca="1"/>
        <v/>
      </c>
      <c r="K360" s="180" t="str">
        <f ca="1"/>
        <v/>
      </c>
      <c r="L360" s="180" t="str">
        <f ca="1"/>
        <v/>
      </c>
      <c r="M360" s="180" t="str">
        <f ca="1"/>
        <v/>
      </c>
      <c r="N360" s="180" t="str">
        <f ca="1"/>
        <v/>
      </c>
      <c r="O360" s="180" t="str">
        <f ca="1"/>
        <v/>
      </c>
      <c r="P360" s="180" t="str">
        <f ca="1"/>
        <v/>
      </c>
      <c r="Q360" s="180" t="str">
        <f ca="1"/>
        <v/>
      </c>
      <c r="R360" s="180" t="str">
        <f ca="1"/>
        <v/>
      </c>
      <c r="S360" s="180" t="str">
        <f ca="1"/>
        <v/>
      </c>
      <c r="T360" s="180" t="str">
        <f ca="1"/>
        <v/>
      </c>
      <c r="U360" s="180" t="str">
        <f ca="1"/>
        <v/>
      </c>
      <c r="V360" s="180" t="str">
        <f ca="1"/>
        <v/>
      </c>
      <c r="W360" s="180" t="str">
        <f ca="1"/>
        <v/>
      </c>
      <c r="X360" s="180" t="str">
        <f ca="1"/>
        <v/>
      </c>
      <c r="Y360" s="180" t="str">
        <f ca="1"/>
        <v/>
      </c>
      <c r="Z360" s="180" t="str">
        <f ca="1"/>
        <v/>
      </c>
      <c r="AA360" s="180" t="str">
        <f ca="1"/>
        <v/>
      </c>
      <c r="AB360" s="180" t="str">
        <f ca="1"/>
        <v/>
      </c>
      <c r="AC360" s="180" t="str">
        <f ca="1"/>
        <v/>
      </c>
      <c r="AD360" s="180" t="str">
        <f ca="1"/>
        <v/>
      </c>
      <c r="AE360" s="180" t="str">
        <f ca="1"/>
        <v/>
      </c>
      <c r="AF360" s="180" t="str">
        <f ca="1"/>
        <v/>
      </c>
      <c r="AG360" s="180" t="str">
        <f ca="1"/>
        <v/>
      </c>
      <c r="AH360" s="180" t="str">
        <f ca="1"/>
        <v/>
      </c>
      <c r="AI360" s="180" t="str">
        <f ca="1"/>
        <v/>
      </c>
      <c r="AJ360" s="180" t="str">
        <f ca="1"/>
        <v/>
      </c>
      <c r="AK360" s="180" t="str">
        <f ca="1"/>
        <v/>
      </c>
      <c r="AL360" s="180" t="str">
        <f ca="1"/>
        <v/>
      </c>
      <c r="AM360" s="180" t="str">
        <f ca="1"/>
        <v/>
      </c>
      <c r="AN360" s="180" t="str">
        <f ca="1"/>
        <v/>
      </c>
      <c r="AO360" s="180" t="str">
        <f ca="1"/>
        <v/>
      </c>
      <c r="AP360" s="180" t="str">
        <f ca="1"/>
        <v/>
      </c>
      <c r="AQ360" t="str">
        <f ca="1"/>
        <v/>
      </c>
    </row>
    <row r="361" spans="2:43" x14ac:dyDescent="0.25">
      <c r="B361" s="179" t="str">
        <f ca="1"/>
        <v/>
      </c>
      <c r="C361" s="180" t="str">
        <f ca="1"/>
        <v/>
      </c>
      <c r="D361" s="180" t="str">
        <f ca="1"/>
        <v/>
      </c>
      <c r="E361" s="180" t="str">
        <f ca="1"/>
        <v/>
      </c>
      <c r="F361" s="180" t="str">
        <f ca="1"/>
        <v/>
      </c>
      <c r="G361" s="180" t="str">
        <f ca="1"/>
        <v/>
      </c>
      <c r="H361" s="180" t="str">
        <f ca="1"/>
        <v/>
      </c>
      <c r="I361" s="180" t="str">
        <f ca="1"/>
        <v/>
      </c>
      <c r="J361" s="180" t="str">
        <f ca="1"/>
        <v/>
      </c>
      <c r="K361" s="180" t="str">
        <f ca="1"/>
        <v/>
      </c>
      <c r="L361" s="180" t="str">
        <f ca="1"/>
        <v/>
      </c>
      <c r="M361" s="180" t="str">
        <f ca="1"/>
        <v/>
      </c>
      <c r="N361" s="180" t="str">
        <f ca="1"/>
        <v/>
      </c>
      <c r="O361" s="180" t="str">
        <f ca="1"/>
        <v/>
      </c>
      <c r="P361" s="180" t="str">
        <f ca="1"/>
        <v/>
      </c>
      <c r="Q361" s="180" t="str">
        <f ca="1"/>
        <v/>
      </c>
      <c r="R361" s="180" t="str">
        <f ca="1"/>
        <v/>
      </c>
      <c r="S361" s="180" t="str">
        <f ca="1"/>
        <v/>
      </c>
      <c r="T361" s="180" t="str">
        <f ca="1"/>
        <v/>
      </c>
      <c r="U361" s="180" t="str">
        <f ca="1"/>
        <v/>
      </c>
      <c r="V361" s="180" t="str">
        <f ca="1"/>
        <v/>
      </c>
      <c r="W361" s="180" t="str">
        <f ca="1"/>
        <v/>
      </c>
      <c r="X361" s="180" t="str">
        <f ca="1"/>
        <v/>
      </c>
      <c r="Y361" s="180" t="str">
        <f ca="1"/>
        <v/>
      </c>
      <c r="Z361" s="180" t="str">
        <f ca="1"/>
        <v/>
      </c>
      <c r="AA361" s="180" t="str">
        <f ca="1"/>
        <v/>
      </c>
      <c r="AB361" s="180" t="str">
        <f ca="1"/>
        <v/>
      </c>
      <c r="AC361" s="180" t="str">
        <f ca="1"/>
        <v/>
      </c>
      <c r="AD361" s="180" t="str">
        <f ca="1"/>
        <v/>
      </c>
      <c r="AE361" s="180" t="str">
        <f ca="1"/>
        <v/>
      </c>
      <c r="AF361" s="180" t="str">
        <f ca="1"/>
        <v/>
      </c>
      <c r="AG361" s="180" t="str">
        <f ca="1"/>
        <v/>
      </c>
      <c r="AH361" s="180" t="str">
        <f ca="1"/>
        <v/>
      </c>
      <c r="AI361" s="180" t="str">
        <f ca="1"/>
        <v/>
      </c>
      <c r="AJ361" s="180" t="str">
        <f ca="1"/>
        <v/>
      </c>
      <c r="AK361" s="180" t="str">
        <f ca="1"/>
        <v/>
      </c>
      <c r="AL361" s="180" t="str">
        <f ca="1"/>
        <v/>
      </c>
      <c r="AM361" s="180" t="str">
        <f ca="1"/>
        <v/>
      </c>
      <c r="AN361" s="180" t="str">
        <f ca="1"/>
        <v/>
      </c>
      <c r="AO361" s="180" t="str">
        <f ca="1"/>
        <v/>
      </c>
      <c r="AP361" s="180" t="str">
        <f ca="1"/>
        <v/>
      </c>
      <c r="AQ361" t="str">
        <f ca="1"/>
        <v/>
      </c>
    </row>
    <row r="362" spans="2:43" x14ac:dyDescent="0.25">
      <c r="B362" s="179" t="str">
        <f ca="1"/>
        <v/>
      </c>
      <c r="C362" s="180" t="str">
        <f ca="1"/>
        <v/>
      </c>
      <c r="D362" s="180" t="str">
        <f ca="1"/>
        <v/>
      </c>
      <c r="E362" s="180" t="str">
        <f ca="1"/>
        <v/>
      </c>
      <c r="F362" s="180" t="str">
        <f ca="1"/>
        <v/>
      </c>
      <c r="G362" s="180" t="str">
        <f ca="1"/>
        <v/>
      </c>
      <c r="H362" s="180" t="str">
        <f ca="1"/>
        <v/>
      </c>
      <c r="I362" s="180" t="str">
        <f ca="1"/>
        <v/>
      </c>
      <c r="J362" s="180" t="str">
        <f ca="1"/>
        <v/>
      </c>
      <c r="K362" s="180" t="str">
        <f ca="1"/>
        <v/>
      </c>
      <c r="L362" s="180" t="str">
        <f ca="1"/>
        <v/>
      </c>
      <c r="M362" s="180" t="str">
        <f ca="1"/>
        <v/>
      </c>
      <c r="N362" s="180" t="str">
        <f ca="1"/>
        <v/>
      </c>
      <c r="O362" s="180" t="str">
        <f ca="1"/>
        <v/>
      </c>
      <c r="P362" s="180" t="str">
        <f ca="1"/>
        <v/>
      </c>
      <c r="Q362" s="180" t="str">
        <f ca="1"/>
        <v/>
      </c>
      <c r="R362" s="180" t="str">
        <f ca="1"/>
        <v/>
      </c>
      <c r="S362" s="180" t="str">
        <f ca="1"/>
        <v/>
      </c>
      <c r="T362" s="180" t="str">
        <f ca="1"/>
        <v/>
      </c>
      <c r="U362" s="180" t="str">
        <f ca="1"/>
        <v/>
      </c>
      <c r="V362" s="180" t="str">
        <f ca="1"/>
        <v/>
      </c>
      <c r="W362" s="180" t="str">
        <f ca="1"/>
        <v/>
      </c>
      <c r="X362" s="180" t="str">
        <f ca="1"/>
        <v/>
      </c>
      <c r="Y362" s="180" t="str">
        <f ca="1"/>
        <v/>
      </c>
      <c r="Z362" s="180" t="str">
        <f ca="1"/>
        <v/>
      </c>
      <c r="AA362" s="180" t="str">
        <f ca="1"/>
        <v/>
      </c>
      <c r="AB362" s="180" t="str">
        <f ca="1"/>
        <v/>
      </c>
      <c r="AC362" s="180" t="str">
        <f ca="1"/>
        <v/>
      </c>
      <c r="AD362" s="180" t="str">
        <f ca="1"/>
        <v/>
      </c>
      <c r="AE362" s="180" t="str">
        <f ca="1"/>
        <v/>
      </c>
      <c r="AF362" s="180" t="str">
        <f ca="1"/>
        <v/>
      </c>
      <c r="AG362" s="180" t="str">
        <f ca="1"/>
        <v/>
      </c>
      <c r="AH362" s="180" t="str">
        <f ca="1"/>
        <v/>
      </c>
      <c r="AI362" s="180" t="str">
        <f ca="1"/>
        <v/>
      </c>
      <c r="AJ362" s="180" t="str">
        <f ca="1"/>
        <v/>
      </c>
      <c r="AK362" s="180" t="str">
        <f ca="1"/>
        <v/>
      </c>
      <c r="AL362" s="180" t="str">
        <f ca="1"/>
        <v/>
      </c>
      <c r="AM362" s="180" t="str">
        <f ca="1"/>
        <v/>
      </c>
      <c r="AN362" s="180" t="str">
        <f ca="1"/>
        <v/>
      </c>
      <c r="AO362" s="180" t="str">
        <f ca="1"/>
        <v/>
      </c>
      <c r="AP362" s="180" t="str">
        <f ca="1"/>
        <v/>
      </c>
      <c r="AQ362" t="str">
        <f ca="1"/>
        <v/>
      </c>
    </row>
    <row r="363" spans="2:43" x14ac:dyDescent="0.25">
      <c r="B363" s="179" t="str">
        <f ca="1"/>
        <v/>
      </c>
      <c r="C363" s="180" t="str">
        <f ca="1"/>
        <v/>
      </c>
      <c r="D363" s="180" t="str">
        <f ca="1"/>
        <v/>
      </c>
      <c r="E363" s="180" t="str">
        <f ca="1"/>
        <v/>
      </c>
      <c r="F363" s="180" t="str">
        <f ca="1"/>
        <v/>
      </c>
      <c r="G363" s="180" t="str">
        <f ca="1"/>
        <v/>
      </c>
      <c r="H363" s="180" t="str">
        <f ca="1"/>
        <v/>
      </c>
      <c r="I363" s="180" t="str">
        <f ca="1"/>
        <v/>
      </c>
      <c r="J363" s="180" t="str">
        <f ca="1"/>
        <v/>
      </c>
      <c r="K363" s="180" t="str">
        <f ca="1"/>
        <v/>
      </c>
      <c r="L363" s="180" t="str">
        <f ca="1"/>
        <v/>
      </c>
      <c r="M363" s="180" t="str">
        <f ca="1"/>
        <v/>
      </c>
      <c r="N363" s="180" t="str">
        <f ca="1"/>
        <v/>
      </c>
      <c r="O363" s="180" t="str">
        <f ca="1"/>
        <v/>
      </c>
      <c r="P363" s="180" t="str">
        <f ca="1"/>
        <v/>
      </c>
      <c r="Q363" s="180" t="str">
        <f ca="1"/>
        <v/>
      </c>
      <c r="R363" s="180" t="str">
        <f ca="1"/>
        <v/>
      </c>
      <c r="S363" s="180" t="str">
        <f ca="1"/>
        <v/>
      </c>
      <c r="T363" s="180" t="str">
        <f ca="1"/>
        <v/>
      </c>
      <c r="U363" s="180" t="str">
        <f ca="1"/>
        <v/>
      </c>
      <c r="V363" s="180" t="str">
        <f ca="1"/>
        <v/>
      </c>
      <c r="W363" s="180" t="str">
        <f ca="1"/>
        <v/>
      </c>
      <c r="X363" s="180" t="str">
        <f ca="1"/>
        <v/>
      </c>
      <c r="Y363" s="180" t="str">
        <f ca="1"/>
        <v/>
      </c>
      <c r="Z363" s="180" t="str">
        <f ca="1"/>
        <v/>
      </c>
      <c r="AA363" s="180" t="str">
        <f ca="1"/>
        <v/>
      </c>
      <c r="AB363" s="180" t="str">
        <f ca="1"/>
        <v/>
      </c>
      <c r="AC363" s="180" t="str">
        <f ca="1"/>
        <v/>
      </c>
      <c r="AD363" s="180" t="str">
        <f ca="1"/>
        <v/>
      </c>
      <c r="AE363" s="180" t="str">
        <f ca="1"/>
        <v/>
      </c>
      <c r="AF363" s="180" t="str">
        <f ca="1"/>
        <v/>
      </c>
      <c r="AG363" s="180" t="str">
        <f ca="1"/>
        <v/>
      </c>
      <c r="AH363" s="180" t="str">
        <f ca="1"/>
        <v/>
      </c>
      <c r="AI363" s="180" t="str">
        <f ca="1"/>
        <v/>
      </c>
      <c r="AJ363" s="180" t="str">
        <f ca="1"/>
        <v/>
      </c>
      <c r="AK363" s="180" t="str">
        <f ca="1"/>
        <v/>
      </c>
      <c r="AL363" s="180" t="str">
        <f ca="1"/>
        <v/>
      </c>
      <c r="AM363" s="180" t="str">
        <f ca="1"/>
        <v/>
      </c>
      <c r="AN363" s="180" t="str">
        <f ca="1"/>
        <v/>
      </c>
      <c r="AO363" s="180" t="str">
        <f ca="1"/>
        <v/>
      </c>
      <c r="AP363" s="180" t="str">
        <f ca="1"/>
        <v/>
      </c>
      <c r="AQ363" t="str">
        <f ca="1"/>
        <v/>
      </c>
    </row>
    <row r="364" spans="2:43" x14ac:dyDescent="0.25">
      <c r="B364" s="179" t="str">
        <f ca="1"/>
        <v/>
      </c>
      <c r="C364" s="180" t="str">
        <f ca="1"/>
        <v/>
      </c>
      <c r="D364" s="180" t="str">
        <f ca="1"/>
        <v/>
      </c>
      <c r="E364" s="180" t="str">
        <f ca="1"/>
        <v/>
      </c>
      <c r="F364" s="180" t="str">
        <f ca="1"/>
        <v/>
      </c>
      <c r="G364" s="180" t="str">
        <f ca="1"/>
        <v/>
      </c>
      <c r="H364" s="180" t="str">
        <f ca="1"/>
        <v/>
      </c>
      <c r="I364" s="180" t="str">
        <f ca="1"/>
        <v/>
      </c>
      <c r="J364" s="180" t="str">
        <f ca="1"/>
        <v/>
      </c>
      <c r="K364" s="180" t="str">
        <f ca="1"/>
        <v/>
      </c>
      <c r="L364" s="180" t="str">
        <f ca="1"/>
        <v/>
      </c>
      <c r="M364" s="180" t="str">
        <f ca="1"/>
        <v/>
      </c>
      <c r="N364" s="180" t="str">
        <f ca="1"/>
        <v/>
      </c>
      <c r="O364" s="180" t="str">
        <f ca="1"/>
        <v/>
      </c>
      <c r="P364" s="180" t="str">
        <f ca="1"/>
        <v/>
      </c>
      <c r="Q364" s="180" t="str">
        <f ca="1"/>
        <v/>
      </c>
      <c r="R364" s="180" t="str">
        <f ca="1"/>
        <v/>
      </c>
      <c r="S364" s="180" t="str">
        <f ca="1"/>
        <v/>
      </c>
      <c r="T364" s="180" t="str">
        <f ca="1"/>
        <v/>
      </c>
      <c r="U364" s="180" t="str">
        <f ca="1"/>
        <v/>
      </c>
      <c r="V364" s="180" t="str">
        <f ca="1"/>
        <v/>
      </c>
      <c r="W364" s="180" t="str">
        <f ca="1"/>
        <v/>
      </c>
      <c r="X364" s="180" t="str">
        <f ca="1"/>
        <v/>
      </c>
      <c r="Y364" s="180" t="str">
        <f ca="1"/>
        <v/>
      </c>
      <c r="Z364" s="180" t="str">
        <f ca="1"/>
        <v/>
      </c>
      <c r="AA364" s="180" t="str">
        <f ca="1"/>
        <v/>
      </c>
      <c r="AB364" s="180" t="str">
        <f ca="1"/>
        <v/>
      </c>
      <c r="AC364" s="180" t="str">
        <f ca="1"/>
        <v/>
      </c>
      <c r="AD364" s="180" t="str">
        <f ca="1"/>
        <v/>
      </c>
      <c r="AE364" s="180" t="str">
        <f ca="1"/>
        <v/>
      </c>
      <c r="AF364" s="180" t="str">
        <f ca="1"/>
        <v/>
      </c>
      <c r="AG364" s="180" t="str">
        <f ca="1"/>
        <v/>
      </c>
      <c r="AH364" s="180" t="str">
        <f ca="1"/>
        <v/>
      </c>
      <c r="AI364" s="180" t="str">
        <f ca="1"/>
        <v/>
      </c>
      <c r="AJ364" s="180" t="str">
        <f ca="1"/>
        <v/>
      </c>
      <c r="AK364" s="180" t="str">
        <f ca="1"/>
        <v/>
      </c>
      <c r="AL364" s="180" t="str">
        <f ca="1"/>
        <v/>
      </c>
      <c r="AM364" s="180" t="str">
        <f ca="1"/>
        <v/>
      </c>
      <c r="AN364" s="180" t="str">
        <f ca="1"/>
        <v/>
      </c>
      <c r="AO364" s="180" t="str">
        <f ca="1"/>
        <v/>
      </c>
      <c r="AP364" s="180" t="str">
        <f ca="1"/>
        <v/>
      </c>
      <c r="AQ364" t="str">
        <f ca="1"/>
        <v/>
      </c>
    </row>
    <row r="365" spans="2:43" x14ac:dyDescent="0.25">
      <c r="B365" s="179" t="str">
        <f ca="1"/>
        <v/>
      </c>
      <c r="C365" s="180" t="str">
        <f ca="1"/>
        <v/>
      </c>
      <c r="D365" s="180" t="str">
        <f ca="1"/>
        <v/>
      </c>
      <c r="E365" s="180" t="str">
        <f ca="1"/>
        <v/>
      </c>
      <c r="F365" s="180" t="str">
        <f ca="1"/>
        <v/>
      </c>
      <c r="G365" s="180" t="str">
        <f ca="1"/>
        <v/>
      </c>
      <c r="H365" s="180" t="str">
        <f ca="1"/>
        <v/>
      </c>
      <c r="I365" s="180" t="str">
        <f ca="1"/>
        <v/>
      </c>
      <c r="J365" s="180" t="str">
        <f ca="1"/>
        <v/>
      </c>
      <c r="K365" s="180" t="str">
        <f ca="1"/>
        <v/>
      </c>
      <c r="L365" s="180" t="str">
        <f ca="1"/>
        <v/>
      </c>
      <c r="M365" s="180" t="str">
        <f ca="1"/>
        <v/>
      </c>
      <c r="N365" s="180" t="str">
        <f ca="1"/>
        <v/>
      </c>
      <c r="O365" s="180" t="str">
        <f ca="1"/>
        <v/>
      </c>
      <c r="P365" s="180" t="str">
        <f ca="1"/>
        <v/>
      </c>
      <c r="Q365" s="180" t="str">
        <f ca="1"/>
        <v/>
      </c>
      <c r="R365" s="180" t="str">
        <f ca="1"/>
        <v/>
      </c>
      <c r="S365" s="180" t="str">
        <f ca="1"/>
        <v/>
      </c>
      <c r="T365" s="180" t="str">
        <f ca="1"/>
        <v/>
      </c>
      <c r="U365" s="180" t="str">
        <f ca="1"/>
        <v/>
      </c>
      <c r="V365" s="180" t="str">
        <f ca="1"/>
        <v/>
      </c>
      <c r="W365" s="180" t="str">
        <f ca="1"/>
        <v/>
      </c>
      <c r="X365" s="180" t="str">
        <f ca="1"/>
        <v/>
      </c>
      <c r="Y365" s="180" t="str">
        <f ca="1"/>
        <v/>
      </c>
      <c r="Z365" s="180" t="str">
        <f ca="1"/>
        <v/>
      </c>
      <c r="AA365" s="180" t="str">
        <f ca="1"/>
        <v/>
      </c>
      <c r="AB365" s="180" t="str">
        <f ca="1"/>
        <v/>
      </c>
      <c r="AC365" s="180" t="str">
        <f ca="1"/>
        <v/>
      </c>
      <c r="AD365" s="180" t="str">
        <f ca="1"/>
        <v/>
      </c>
      <c r="AE365" s="180" t="str">
        <f ca="1"/>
        <v/>
      </c>
      <c r="AF365" s="180" t="str">
        <f ca="1"/>
        <v/>
      </c>
      <c r="AG365" s="180" t="str">
        <f ca="1"/>
        <v/>
      </c>
      <c r="AH365" s="180" t="str">
        <f ca="1"/>
        <v/>
      </c>
      <c r="AI365" s="180" t="str">
        <f ca="1"/>
        <v/>
      </c>
      <c r="AJ365" s="180" t="str">
        <f ca="1"/>
        <v/>
      </c>
      <c r="AK365" s="180" t="str">
        <f ca="1"/>
        <v/>
      </c>
      <c r="AL365" s="180" t="str">
        <f ca="1"/>
        <v/>
      </c>
      <c r="AM365" s="180" t="str">
        <f ca="1"/>
        <v/>
      </c>
      <c r="AN365" s="180" t="str">
        <f ca="1"/>
        <v/>
      </c>
      <c r="AO365" s="180" t="str">
        <f ca="1"/>
        <v/>
      </c>
      <c r="AP365" s="180" t="str">
        <f ca="1"/>
        <v/>
      </c>
      <c r="AQ365" t="str">
        <f ca="1"/>
        <v/>
      </c>
    </row>
    <row r="366" spans="2:43" x14ac:dyDescent="0.25">
      <c r="B366" s="179" t="str">
        <f ca="1"/>
        <v/>
      </c>
      <c r="C366" s="180" t="str">
        <f ca="1"/>
        <v/>
      </c>
      <c r="D366" s="180" t="str">
        <f ca="1"/>
        <v/>
      </c>
      <c r="E366" s="180" t="str">
        <f ca="1"/>
        <v/>
      </c>
      <c r="F366" s="180" t="str">
        <f ca="1"/>
        <v/>
      </c>
      <c r="G366" s="180" t="str">
        <f ca="1"/>
        <v/>
      </c>
      <c r="H366" s="180" t="str">
        <f ca="1"/>
        <v/>
      </c>
      <c r="I366" s="180" t="str">
        <f ca="1"/>
        <v/>
      </c>
      <c r="J366" s="180" t="str">
        <f ca="1"/>
        <v/>
      </c>
      <c r="K366" s="180" t="str">
        <f ca="1"/>
        <v/>
      </c>
      <c r="L366" s="180" t="str">
        <f ca="1"/>
        <v/>
      </c>
      <c r="M366" s="180" t="str">
        <f ca="1"/>
        <v/>
      </c>
      <c r="N366" s="180" t="str">
        <f ca="1"/>
        <v/>
      </c>
      <c r="O366" s="180" t="str">
        <f ca="1"/>
        <v/>
      </c>
      <c r="P366" s="180" t="str">
        <f ca="1"/>
        <v/>
      </c>
      <c r="Q366" s="180" t="str">
        <f ca="1"/>
        <v/>
      </c>
      <c r="R366" s="180" t="str">
        <f ca="1"/>
        <v/>
      </c>
      <c r="S366" s="180" t="str">
        <f ca="1"/>
        <v/>
      </c>
      <c r="T366" s="180" t="str">
        <f ca="1"/>
        <v/>
      </c>
      <c r="U366" s="180" t="str">
        <f ca="1"/>
        <v/>
      </c>
      <c r="V366" s="180" t="str">
        <f ca="1"/>
        <v/>
      </c>
      <c r="W366" s="180" t="str">
        <f ca="1"/>
        <v/>
      </c>
      <c r="X366" s="180" t="str">
        <f ca="1"/>
        <v/>
      </c>
      <c r="Y366" s="180" t="str">
        <f ca="1"/>
        <v/>
      </c>
      <c r="Z366" s="180" t="str">
        <f ca="1"/>
        <v/>
      </c>
      <c r="AA366" s="180" t="str">
        <f ca="1"/>
        <v/>
      </c>
      <c r="AB366" s="180" t="str">
        <f ca="1"/>
        <v/>
      </c>
      <c r="AC366" s="180" t="str">
        <f ca="1"/>
        <v/>
      </c>
      <c r="AD366" s="180" t="str">
        <f ca="1"/>
        <v/>
      </c>
      <c r="AE366" s="180" t="str">
        <f ca="1"/>
        <v/>
      </c>
      <c r="AF366" s="180" t="str">
        <f ca="1"/>
        <v/>
      </c>
      <c r="AG366" s="180" t="str">
        <f ca="1"/>
        <v/>
      </c>
      <c r="AH366" s="180" t="str">
        <f ca="1"/>
        <v/>
      </c>
      <c r="AI366" s="180" t="str">
        <f ca="1"/>
        <v/>
      </c>
      <c r="AJ366" s="180" t="str">
        <f ca="1"/>
        <v/>
      </c>
      <c r="AK366" s="180" t="str">
        <f ca="1"/>
        <v/>
      </c>
      <c r="AL366" s="180" t="str">
        <f ca="1"/>
        <v/>
      </c>
      <c r="AM366" s="180" t="str">
        <f ca="1"/>
        <v/>
      </c>
      <c r="AN366" s="180" t="str">
        <f ca="1"/>
        <v/>
      </c>
      <c r="AO366" s="180" t="str">
        <f ca="1"/>
        <v/>
      </c>
      <c r="AP366" s="180" t="str">
        <f ca="1"/>
        <v/>
      </c>
      <c r="AQ366" t="str">
        <f ca="1"/>
        <v/>
      </c>
    </row>
    <row r="367" spans="2:43" x14ac:dyDescent="0.25">
      <c r="B367" s="179" t="str">
        <f ca="1"/>
        <v/>
      </c>
      <c r="C367" s="180" t="str">
        <f ca="1"/>
        <v/>
      </c>
      <c r="D367" s="180" t="str">
        <f ca="1"/>
        <v/>
      </c>
      <c r="E367" s="180" t="str">
        <f ca="1"/>
        <v/>
      </c>
      <c r="F367" s="180" t="str">
        <f ca="1"/>
        <v/>
      </c>
      <c r="G367" s="180" t="str">
        <f ca="1"/>
        <v/>
      </c>
      <c r="H367" s="180" t="str">
        <f ca="1"/>
        <v/>
      </c>
      <c r="I367" s="180" t="str">
        <f ca="1"/>
        <v/>
      </c>
      <c r="J367" s="180" t="str">
        <f ca="1"/>
        <v/>
      </c>
      <c r="K367" s="180" t="str">
        <f ca="1"/>
        <v/>
      </c>
      <c r="L367" s="180" t="str">
        <f ca="1"/>
        <v/>
      </c>
      <c r="M367" s="180" t="str">
        <f ca="1"/>
        <v/>
      </c>
      <c r="N367" s="180" t="str">
        <f ca="1"/>
        <v/>
      </c>
      <c r="O367" s="180" t="str">
        <f ca="1"/>
        <v/>
      </c>
      <c r="P367" s="180" t="str">
        <f ca="1"/>
        <v/>
      </c>
      <c r="Q367" s="180" t="str">
        <f ca="1"/>
        <v/>
      </c>
      <c r="R367" s="180" t="str">
        <f ca="1"/>
        <v/>
      </c>
      <c r="S367" s="180" t="str">
        <f ca="1"/>
        <v/>
      </c>
      <c r="T367" s="180" t="str">
        <f ca="1"/>
        <v/>
      </c>
      <c r="U367" s="180" t="str">
        <f ca="1"/>
        <v/>
      </c>
      <c r="V367" s="180" t="str">
        <f ca="1"/>
        <v/>
      </c>
      <c r="W367" s="180" t="str">
        <f ca="1"/>
        <v/>
      </c>
      <c r="X367" s="180" t="str">
        <f ca="1"/>
        <v/>
      </c>
      <c r="Y367" s="180" t="str">
        <f ca="1"/>
        <v/>
      </c>
      <c r="Z367" s="180" t="str">
        <f ca="1"/>
        <v/>
      </c>
      <c r="AA367" s="180" t="str">
        <f ca="1"/>
        <v/>
      </c>
      <c r="AB367" s="180" t="str">
        <f ca="1"/>
        <v/>
      </c>
      <c r="AC367" s="180" t="str">
        <f ca="1"/>
        <v/>
      </c>
      <c r="AD367" s="180" t="str">
        <f ca="1"/>
        <v/>
      </c>
      <c r="AE367" s="180" t="str">
        <f ca="1"/>
        <v/>
      </c>
      <c r="AF367" s="180" t="str">
        <f ca="1"/>
        <v/>
      </c>
      <c r="AG367" s="180" t="str">
        <f ca="1"/>
        <v/>
      </c>
      <c r="AH367" s="180" t="str">
        <f ca="1"/>
        <v/>
      </c>
      <c r="AI367" s="180" t="str">
        <f ca="1"/>
        <v/>
      </c>
      <c r="AJ367" s="180" t="str">
        <f ca="1"/>
        <v/>
      </c>
      <c r="AK367" s="180" t="str">
        <f ca="1"/>
        <v/>
      </c>
      <c r="AL367" s="180" t="str">
        <f ca="1"/>
        <v/>
      </c>
      <c r="AM367" s="180" t="str">
        <f ca="1"/>
        <v/>
      </c>
      <c r="AN367" s="180" t="str">
        <f ca="1"/>
        <v/>
      </c>
      <c r="AO367" s="180" t="str">
        <f ca="1"/>
        <v/>
      </c>
      <c r="AP367" s="180" t="str">
        <f ca="1"/>
        <v/>
      </c>
      <c r="AQ367" t="str">
        <f ca="1"/>
        <v/>
      </c>
    </row>
    <row r="368" spans="2:43" x14ac:dyDescent="0.25">
      <c r="B368" s="179" t="str">
        <f ca="1"/>
        <v/>
      </c>
      <c r="C368" s="180" t="str">
        <f ca="1"/>
        <v/>
      </c>
      <c r="D368" s="180" t="str">
        <f ca="1"/>
        <v/>
      </c>
      <c r="E368" s="180" t="str">
        <f ca="1"/>
        <v/>
      </c>
      <c r="F368" s="180" t="str">
        <f ca="1"/>
        <v/>
      </c>
      <c r="G368" s="180" t="str">
        <f ca="1"/>
        <v/>
      </c>
      <c r="H368" s="180" t="str">
        <f ca="1"/>
        <v/>
      </c>
      <c r="I368" s="180" t="str">
        <f ca="1"/>
        <v/>
      </c>
      <c r="J368" s="180" t="str">
        <f ca="1"/>
        <v/>
      </c>
      <c r="K368" s="180" t="str">
        <f ca="1"/>
        <v/>
      </c>
      <c r="L368" s="180" t="str">
        <f ca="1"/>
        <v/>
      </c>
      <c r="M368" s="180" t="str">
        <f ca="1"/>
        <v/>
      </c>
      <c r="N368" s="180" t="str">
        <f ca="1"/>
        <v/>
      </c>
      <c r="O368" s="180" t="str">
        <f ca="1"/>
        <v/>
      </c>
      <c r="P368" s="180" t="str">
        <f ca="1"/>
        <v/>
      </c>
      <c r="Q368" s="180" t="str">
        <f ca="1"/>
        <v/>
      </c>
      <c r="R368" s="180" t="str">
        <f ca="1"/>
        <v/>
      </c>
      <c r="S368" s="180" t="str">
        <f ca="1"/>
        <v/>
      </c>
      <c r="T368" s="180" t="str">
        <f ca="1"/>
        <v/>
      </c>
      <c r="U368" s="180" t="str">
        <f ca="1"/>
        <v/>
      </c>
      <c r="V368" s="180" t="str">
        <f ca="1"/>
        <v/>
      </c>
      <c r="W368" s="180" t="str">
        <f ca="1"/>
        <v/>
      </c>
      <c r="X368" s="180" t="str">
        <f ca="1"/>
        <v/>
      </c>
      <c r="Y368" s="180" t="str">
        <f ca="1"/>
        <v/>
      </c>
      <c r="Z368" s="180" t="str">
        <f ca="1"/>
        <v/>
      </c>
      <c r="AA368" s="180" t="str">
        <f ca="1"/>
        <v/>
      </c>
      <c r="AB368" s="180" t="str">
        <f ca="1"/>
        <v/>
      </c>
      <c r="AC368" s="180" t="str">
        <f ca="1"/>
        <v/>
      </c>
      <c r="AD368" s="180" t="str">
        <f ca="1"/>
        <v/>
      </c>
      <c r="AE368" s="180" t="str">
        <f ca="1"/>
        <v/>
      </c>
      <c r="AF368" s="180" t="str">
        <f ca="1"/>
        <v/>
      </c>
      <c r="AG368" s="180" t="str">
        <f ca="1"/>
        <v/>
      </c>
      <c r="AH368" s="180" t="str">
        <f ca="1"/>
        <v/>
      </c>
      <c r="AI368" s="180" t="str">
        <f ca="1"/>
        <v/>
      </c>
      <c r="AJ368" s="180" t="str">
        <f ca="1"/>
        <v/>
      </c>
      <c r="AK368" s="180" t="str">
        <f ca="1"/>
        <v/>
      </c>
      <c r="AL368" s="180" t="str">
        <f ca="1"/>
        <v/>
      </c>
      <c r="AM368" s="180" t="str">
        <f ca="1"/>
        <v/>
      </c>
      <c r="AN368" s="180" t="str">
        <f ca="1"/>
        <v/>
      </c>
      <c r="AO368" s="180" t="str">
        <f ca="1"/>
        <v/>
      </c>
      <c r="AP368" s="180" t="str">
        <f ca="1"/>
        <v/>
      </c>
      <c r="AQ368" t="str">
        <f ca="1"/>
        <v/>
      </c>
    </row>
    <row r="369" spans="2:43" x14ac:dyDescent="0.25">
      <c r="B369" s="179" t="str">
        <f ca="1"/>
        <v/>
      </c>
      <c r="C369" s="180" t="str">
        <f ca="1"/>
        <v/>
      </c>
      <c r="D369" s="180" t="str">
        <f ca="1"/>
        <v/>
      </c>
      <c r="E369" s="180" t="str">
        <f ca="1"/>
        <v/>
      </c>
      <c r="F369" s="180" t="str">
        <f ca="1"/>
        <v/>
      </c>
      <c r="G369" s="180" t="str">
        <f ca="1"/>
        <v/>
      </c>
      <c r="H369" s="180" t="str">
        <f ca="1"/>
        <v/>
      </c>
      <c r="I369" s="180" t="str">
        <f ca="1"/>
        <v/>
      </c>
      <c r="J369" s="180" t="str">
        <f ca="1"/>
        <v/>
      </c>
      <c r="K369" s="180" t="str">
        <f ca="1"/>
        <v/>
      </c>
      <c r="L369" s="180" t="str">
        <f ca="1"/>
        <v/>
      </c>
      <c r="M369" s="180" t="str">
        <f ca="1"/>
        <v/>
      </c>
      <c r="N369" s="180" t="str">
        <f ca="1"/>
        <v/>
      </c>
      <c r="O369" s="180" t="str">
        <f ca="1"/>
        <v/>
      </c>
      <c r="P369" s="180" t="str">
        <f ca="1"/>
        <v/>
      </c>
      <c r="Q369" s="180" t="str">
        <f ca="1"/>
        <v/>
      </c>
      <c r="R369" s="180" t="str">
        <f ca="1"/>
        <v/>
      </c>
      <c r="S369" s="180" t="str">
        <f ca="1"/>
        <v/>
      </c>
      <c r="T369" s="180" t="str">
        <f ca="1"/>
        <v/>
      </c>
      <c r="U369" s="180" t="str">
        <f ca="1"/>
        <v/>
      </c>
      <c r="V369" s="180" t="str">
        <f ca="1"/>
        <v/>
      </c>
      <c r="W369" s="180" t="str">
        <f ca="1"/>
        <v/>
      </c>
      <c r="X369" s="180" t="str">
        <f ca="1"/>
        <v/>
      </c>
      <c r="Y369" s="180" t="str">
        <f ca="1"/>
        <v/>
      </c>
      <c r="Z369" s="180" t="str">
        <f ca="1"/>
        <v/>
      </c>
      <c r="AA369" s="180" t="str">
        <f ca="1"/>
        <v/>
      </c>
      <c r="AB369" s="180" t="str">
        <f ca="1"/>
        <v/>
      </c>
      <c r="AC369" s="180" t="str">
        <f ca="1"/>
        <v/>
      </c>
      <c r="AD369" s="180" t="str">
        <f ca="1"/>
        <v/>
      </c>
      <c r="AE369" s="180" t="str">
        <f ca="1"/>
        <v/>
      </c>
      <c r="AF369" s="180" t="str">
        <f ca="1"/>
        <v/>
      </c>
      <c r="AG369" s="180" t="str">
        <f ca="1"/>
        <v/>
      </c>
      <c r="AH369" s="180" t="str">
        <f ca="1"/>
        <v/>
      </c>
      <c r="AI369" s="180" t="str">
        <f ca="1"/>
        <v/>
      </c>
      <c r="AJ369" s="180" t="str">
        <f ca="1"/>
        <v/>
      </c>
      <c r="AK369" s="180" t="str">
        <f ca="1"/>
        <v/>
      </c>
      <c r="AL369" s="180" t="str">
        <f ca="1"/>
        <v/>
      </c>
      <c r="AM369" s="180" t="str">
        <f ca="1"/>
        <v/>
      </c>
      <c r="AN369" s="180" t="str">
        <f ca="1"/>
        <v/>
      </c>
      <c r="AO369" s="180" t="str">
        <f ca="1"/>
        <v/>
      </c>
      <c r="AP369" s="180" t="str">
        <f ca="1"/>
        <v/>
      </c>
      <c r="AQ369" t="str">
        <f ca="1"/>
        <v/>
      </c>
    </row>
    <row r="370" spans="2:43" x14ac:dyDescent="0.25">
      <c r="B370" s="179" t="str">
        <f ca="1"/>
        <v/>
      </c>
      <c r="C370" s="180" t="str">
        <f ca="1"/>
        <v/>
      </c>
      <c r="D370" s="180" t="str">
        <f ca="1"/>
        <v/>
      </c>
      <c r="E370" s="180" t="str">
        <f ca="1"/>
        <v/>
      </c>
      <c r="F370" s="180" t="str">
        <f ca="1"/>
        <v/>
      </c>
      <c r="G370" s="180" t="str">
        <f ca="1"/>
        <v/>
      </c>
      <c r="H370" s="180" t="str">
        <f ca="1"/>
        <v/>
      </c>
      <c r="I370" s="180" t="str">
        <f ca="1"/>
        <v/>
      </c>
      <c r="J370" s="180" t="str">
        <f ca="1"/>
        <v/>
      </c>
      <c r="K370" s="180" t="str">
        <f ca="1"/>
        <v/>
      </c>
      <c r="L370" s="180" t="str">
        <f ca="1"/>
        <v/>
      </c>
      <c r="M370" s="180" t="str">
        <f ca="1"/>
        <v/>
      </c>
      <c r="N370" s="180" t="str">
        <f ca="1"/>
        <v/>
      </c>
      <c r="O370" s="180" t="str">
        <f ca="1"/>
        <v/>
      </c>
      <c r="P370" s="180" t="str">
        <f ca="1"/>
        <v/>
      </c>
      <c r="Q370" s="180" t="str">
        <f ca="1"/>
        <v/>
      </c>
      <c r="R370" s="180" t="str">
        <f ca="1"/>
        <v/>
      </c>
      <c r="S370" s="180" t="str">
        <f ca="1"/>
        <v/>
      </c>
      <c r="T370" s="180" t="str">
        <f ca="1"/>
        <v/>
      </c>
      <c r="U370" s="180" t="str">
        <f ca="1"/>
        <v/>
      </c>
      <c r="V370" s="180" t="str">
        <f ca="1"/>
        <v/>
      </c>
      <c r="W370" s="180" t="str">
        <f ca="1"/>
        <v/>
      </c>
      <c r="X370" s="180" t="str">
        <f ca="1"/>
        <v/>
      </c>
      <c r="Y370" s="180" t="str">
        <f ca="1"/>
        <v/>
      </c>
      <c r="Z370" s="180" t="str">
        <f ca="1"/>
        <v/>
      </c>
      <c r="AA370" s="180" t="str">
        <f ca="1"/>
        <v/>
      </c>
      <c r="AB370" s="180" t="str">
        <f ca="1"/>
        <v/>
      </c>
      <c r="AC370" s="180" t="str">
        <f ca="1"/>
        <v/>
      </c>
      <c r="AD370" s="180" t="str">
        <f ca="1"/>
        <v/>
      </c>
      <c r="AE370" s="180" t="str">
        <f ca="1"/>
        <v/>
      </c>
      <c r="AF370" s="180" t="str">
        <f ca="1"/>
        <v/>
      </c>
      <c r="AG370" s="180" t="str">
        <f ca="1"/>
        <v/>
      </c>
      <c r="AH370" s="180" t="str">
        <f ca="1"/>
        <v/>
      </c>
      <c r="AI370" s="180" t="str">
        <f ca="1"/>
        <v/>
      </c>
      <c r="AJ370" s="180" t="str">
        <f ca="1"/>
        <v/>
      </c>
      <c r="AK370" s="180" t="str">
        <f ca="1"/>
        <v/>
      </c>
      <c r="AL370" s="180" t="str">
        <f ca="1"/>
        <v/>
      </c>
      <c r="AM370" s="180" t="str">
        <f ca="1"/>
        <v/>
      </c>
      <c r="AN370" s="180" t="str">
        <f ca="1"/>
        <v/>
      </c>
      <c r="AO370" s="180" t="str">
        <f ca="1"/>
        <v/>
      </c>
      <c r="AP370" s="180" t="str">
        <f ca="1"/>
        <v/>
      </c>
      <c r="AQ370" t="str">
        <f ca="1"/>
        <v/>
      </c>
    </row>
    <row r="371" spans="2:43" x14ac:dyDescent="0.25">
      <c r="B371" s="179" t="str">
        <f ca="1"/>
        <v/>
      </c>
      <c r="C371" s="180" t="str">
        <f ca="1"/>
        <v/>
      </c>
      <c r="D371" s="180" t="str">
        <f ca="1"/>
        <v/>
      </c>
      <c r="E371" s="180" t="str">
        <f ca="1"/>
        <v/>
      </c>
      <c r="F371" s="180" t="str">
        <f ca="1"/>
        <v/>
      </c>
      <c r="G371" s="180" t="str">
        <f ca="1"/>
        <v/>
      </c>
      <c r="H371" s="180" t="str">
        <f ca="1"/>
        <v/>
      </c>
      <c r="I371" s="180" t="str">
        <f ca="1"/>
        <v/>
      </c>
      <c r="J371" s="180" t="str">
        <f ca="1"/>
        <v/>
      </c>
      <c r="K371" s="180" t="str">
        <f ca="1"/>
        <v/>
      </c>
      <c r="L371" s="180" t="str">
        <f ca="1"/>
        <v/>
      </c>
      <c r="M371" s="180" t="str">
        <f ca="1"/>
        <v/>
      </c>
      <c r="N371" s="180" t="str">
        <f ca="1"/>
        <v/>
      </c>
      <c r="O371" s="180" t="str">
        <f ca="1"/>
        <v/>
      </c>
      <c r="P371" s="180" t="str">
        <f ca="1"/>
        <v/>
      </c>
      <c r="Q371" s="180" t="str">
        <f ca="1"/>
        <v/>
      </c>
      <c r="R371" s="180" t="str">
        <f ca="1"/>
        <v/>
      </c>
      <c r="S371" s="180" t="str">
        <f ca="1"/>
        <v/>
      </c>
      <c r="T371" s="180" t="str">
        <f ca="1"/>
        <v/>
      </c>
      <c r="U371" s="180" t="str">
        <f ca="1"/>
        <v/>
      </c>
      <c r="V371" s="180" t="str">
        <f ca="1"/>
        <v/>
      </c>
      <c r="W371" s="180" t="str">
        <f ca="1"/>
        <v/>
      </c>
      <c r="X371" s="180" t="str">
        <f ca="1"/>
        <v/>
      </c>
      <c r="Y371" s="180" t="str">
        <f ca="1"/>
        <v/>
      </c>
      <c r="Z371" s="180" t="str">
        <f ca="1"/>
        <v/>
      </c>
      <c r="AA371" s="180" t="str">
        <f ca="1"/>
        <v/>
      </c>
      <c r="AB371" s="180" t="str">
        <f ca="1"/>
        <v/>
      </c>
      <c r="AC371" s="180" t="str">
        <f ca="1"/>
        <v/>
      </c>
      <c r="AD371" s="180" t="str">
        <f ca="1"/>
        <v/>
      </c>
      <c r="AE371" s="180" t="str">
        <f ca="1"/>
        <v/>
      </c>
      <c r="AF371" s="180" t="str">
        <f ca="1"/>
        <v/>
      </c>
      <c r="AG371" s="180" t="str">
        <f ca="1"/>
        <v/>
      </c>
      <c r="AH371" s="180" t="str">
        <f ca="1"/>
        <v/>
      </c>
      <c r="AI371" s="180" t="str">
        <f ca="1"/>
        <v/>
      </c>
      <c r="AJ371" s="180" t="str">
        <f ca="1"/>
        <v/>
      </c>
      <c r="AK371" s="180" t="str">
        <f ca="1"/>
        <v/>
      </c>
      <c r="AL371" s="180" t="str">
        <f ca="1"/>
        <v/>
      </c>
      <c r="AM371" s="180" t="str">
        <f ca="1"/>
        <v/>
      </c>
      <c r="AN371" s="180" t="str">
        <f ca="1"/>
        <v/>
      </c>
      <c r="AO371" s="180" t="str">
        <f ca="1"/>
        <v/>
      </c>
      <c r="AP371" s="180" t="str">
        <f ca="1"/>
        <v/>
      </c>
      <c r="AQ371" t="str">
        <f ca="1"/>
        <v/>
      </c>
    </row>
    <row r="372" spans="2:43" x14ac:dyDescent="0.25">
      <c r="B372" s="179" t="str">
        <f ca="1"/>
        <v/>
      </c>
      <c r="C372" s="180" t="str">
        <f ca="1"/>
        <v/>
      </c>
      <c r="D372" s="180" t="str">
        <f ca="1"/>
        <v/>
      </c>
      <c r="E372" s="180" t="str">
        <f ca="1"/>
        <v/>
      </c>
      <c r="F372" s="180" t="str">
        <f ca="1"/>
        <v/>
      </c>
      <c r="G372" s="180" t="str">
        <f ca="1"/>
        <v/>
      </c>
      <c r="H372" s="180" t="str">
        <f ca="1"/>
        <v/>
      </c>
      <c r="I372" s="180" t="str">
        <f ca="1"/>
        <v/>
      </c>
      <c r="J372" s="180" t="str">
        <f ca="1"/>
        <v/>
      </c>
      <c r="K372" s="180" t="str">
        <f ca="1"/>
        <v/>
      </c>
      <c r="L372" s="180" t="str">
        <f ca="1"/>
        <v/>
      </c>
      <c r="M372" s="180" t="str">
        <f ca="1"/>
        <v/>
      </c>
      <c r="N372" s="180" t="str">
        <f ca="1"/>
        <v/>
      </c>
      <c r="O372" s="180" t="str">
        <f ca="1"/>
        <v/>
      </c>
      <c r="P372" s="180" t="str">
        <f ca="1"/>
        <v/>
      </c>
      <c r="Q372" s="180" t="str">
        <f ca="1"/>
        <v/>
      </c>
      <c r="R372" s="180" t="str">
        <f ca="1"/>
        <v/>
      </c>
      <c r="S372" s="180" t="str">
        <f ca="1"/>
        <v/>
      </c>
      <c r="T372" s="180" t="str">
        <f ca="1"/>
        <v/>
      </c>
      <c r="U372" s="180" t="str">
        <f ca="1"/>
        <v/>
      </c>
      <c r="V372" s="180" t="str">
        <f ca="1"/>
        <v/>
      </c>
      <c r="W372" s="180" t="str">
        <f ca="1"/>
        <v/>
      </c>
      <c r="X372" s="180" t="str">
        <f ca="1"/>
        <v/>
      </c>
      <c r="Y372" s="180" t="str">
        <f ca="1"/>
        <v/>
      </c>
      <c r="Z372" s="180" t="str">
        <f ca="1"/>
        <v/>
      </c>
      <c r="AA372" s="180" t="str">
        <f ca="1"/>
        <v/>
      </c>
      <c r="AB372" s="180" t="str">
        <f ca="1"/>
        <v/>
      </c>
      <c r="AC372" s="180" t="str">
        <f ca="1"/>
        <v/>
      </c>
      <c r="AD372" s="180" t="str">
        <f ca="1"/>
        <v/>
      </c>
      <c r="AE372" s="180" t="str">
        <f ca="1"/>
        <v/>
      </c>
      <c r="AF372" s="180" t="str">
        <f ca="1"/>
        <v/>
      </c>
      <c r="AG372" s="180" t="str">
        <f ca="1"/>
        <v/>
      </c>
      <c r="AH372" s="180" t="str">
        <f ca="1"/>
        <v/>
      </c>
      <c r="AI372" s="180" t="str">
        <f ca="1"/>
        <v/>
      </c>
      <c r="AJ372" s="180" t="str">
        <f ca="1"/>
        <v/>
      </c>
      <c r="AK372" s="180" t="str">
        <f ca="1"/>
        <v/>
      </c>
      <c r="AL372" s="180" t="str">
        <f ca="1"/>
        <v/>
      </c>
      <c r="AM372" s="180" t="str">
        <f ca="1"/>
        <v/>
      </c>
      <c r="AN372" s="180" t="str">
        <f ca="1"/>
        <v/>
      </c>
      <c r="AO372" s="180" t="str">
        <f ca="1"/>
        <v/>
      </c>
      <c r="AP372" s="180" t="str">
        <f ca="1"/>
        <v/>
      </c>
      <c r="AQ372" t="str">
        <f ca="1"/>
        <v/>
      </c>
    </row>
    <row r="373" spans="2:43" x14ac:dyDescent="0.25">
      <c r="B373" s="179" t="str">
        <f ca="1"/>
        <v/>
      </c>
      <c r="C373" s="180" t="str">
        <f ca="1"/>
        <v/>
      </c>
      <c r="D373" s="180" t="str">
        <f ca="1"/>
        <v/>
      </c>
      <c r="E373" s="180" t="str">
        <f ca="1"/>
        <v/>
      </c>
      <c r="F373" s="180" t="str">
        <f ca="1"/>
        <v/>
      </c>
      <c r="G373" s="180" t="str">
        <f ca="1"/>
        <v/>
      </c>
      <c r="H373" s="180" t="str">
        <f ca="1"/>
        <v/>
      </c>
      <c r="I373" s="180" t="str">
        <f ca="1"/>
        <v/>
      </c>
      <c r="J373" s="180" t="str">
        <f ca="1"/>
        <v/>
      </c>
      <c r="K373" s="180" t="str">
        <f ca="1"/>
        <v/>
      </c>
      <c r="L373" s="180" t="str">
        <f ca="1"/>
        <v/>
      </c>
      <c r="M373" s="180" t="str">
        <f ca="1"/>
        <v/>
      </c>
      <c r="N373" s="180" t="str">
        <f ca="1"/>
        <v/>
      </c>
      <c r="O373" s="180" t="str">
        <f ca="1"/>
        <v/>
      </c>
      <c r="P373" s="180" t="str">
        <f ca="1"/>
        <v/>
      </c>
      <c r="Q373" s="180" t="str">
        <f ca="1"/>
        <v/>
      </c>
      <c r="R373" s="180" t="str">
        <f ca="1"/>
        <v/>
      </c>
      <c r="S373" s="180" t="str">
        <f ca="1"/>
        <v/>
      </c>
      <c r="T373" s="180" t="str">
        <f ca="1"/>
        <v/>
      </c>
      <c r="U373" s="180" t="str">
        <f ca="1"/>
        <v/>
      </c>
      <c r="V373" s="180" t="str">
        <f ca="1"/>
        <v/>
      </c>
      <c r="W373" s="180" t="str">
        <f ca="1"/>
        <v/>
      </c>
      <c r="X373" s="180" t="str">
        <f ca="1"/>
        <v/>
      </c>
      <c r="Y373" s="180" t="str">
        <f ca="1"/>
        <v/>
      </c>
      <c r="Z373" s="180" t="str">
        <f ca="1"/>
        <v/>
      </c>
      <c r="AA373" s="180" t="str">
        <f ca="1"/>
        <v/>
      </c>
      <c r="AB373" s="180" t="str">
        <f ca="1"/>
        <v/>
      </c>
      <c r="AC373" s="180" t="str">
        <f ca="1"/>
        <v/>
      </c>
      <c r="AD373" s="180" t="str">
        <f ca="1"/>
        <v/>
      </c>
      <c r="AE373" s="180" t="str">
        <f ca="1"/>
        <v/>
      </c>
      <c r="AF373" s="180" t="str">
        <f ca="1"/>
        <v/>
      </c>
      <c r="AG373" s="180" t="str">
        <f ca="1"/>
        <v/>
      </c>
      <c r="AH373" s="180" t="str">
        <f ca="1"/>
        <v/>
      </c>
      <c r="AI373" s="180" t="str">
        <f ca="1"/>
        <v/>
      </c>
      <c r="AJ373" s="180" t="str">
        <f ca="1"/>
        <v/>
      </c>
      <c r="AK373" s="180" t="str">
        <f ca="1"/>
        <v/>
      </c>
      <c r="AL373" s="180" t="str">
        <f ca="1"/>
        <v/>
      </c>
      <c r="AM373" s="180" t="str">
        <f ca="1"/>
        <v/>
      </c>
      <c r="AN373" s="180" t="str">
        <f ca="1"/>
        <v/>
      </c>
      <c r="AO373" s="180" t="str">
        <f ca="1"/>
        <v/>
      </c>
      <c r="AP373" s="180" t="str">
        <f ca="1"/>
        <v/>
      </c>
      <c r="AQ373" t="str">
        <f ca="1"/>
        <v/>
      </c>
    </row>
    <row r="374" spans="2:43" x14ac:dyDescent="0.25">
      <c r="B374" s="179" t="str">
        <f ca="1"/>
        <v/>
      </c>
      <c r="C374" s="180" t="str">
        <f ca="1"/>
        <v/>
      </c>
      <c r="D374" s="180" t="str">
        <f ca="1"/>
        <v/>
      </c>
      <c r="E374" s="180" t="str">
        <f ca="1"/>
        <v/>
      </c>
      <c r="F374" s="180" t="str">
        <f ca="1"/>
        <v/>
      </c>
      <c r="G374" s="180" t="str">
        <f ca="1"/>
        <v/>
      </c>
      <c r="H374" s="180" t="str">
        <f ca="1"/>
        <v/>
      </c>
      <c r="I374" s="180" t="str">
        <f ca="1"/>
        <v/>
      </c>
      <c r="J374" s="180" t="str">
        <f ca="1"/>
        <v/>
      </c>
      <c r="K374" s="180" t="str">
        <f ca="1"/>
        <v/>
      </c>
      <c r="L374" s="180" t="str">
        <f ca="1"/>
        <v/>
      </c>
      <c r="M374" s="180" t="str">
        <f ca="1"/>
        <v/>
      </c>
      <c r="N374" s="180" t="str">
        <f ca="1"/>
        <v/>
      </c>
      <c r="O374" s="180" t="str">
        <f ca="1"/>
        <v/>
      </c>
      <c r="P374" s="180" t="str">
        <f ca="1"/>
        <v/>
      </c>
      <c r="Q374" s="180" t="str">
        <f ca="1"/>
        <v/>
      </c>
      <c r="R374" s="180" t="str">
        <f ca="1"/>
        <v/>
      </c>
      <c r="S374" s="180" t="str">
        <f ca="1"/>
        <v/>
      </c>
      <c r="T374" s="180" t="str">
        <f ca="1"/>
        <v/>
      </c>
      <c r="U374" s="180" t="str">
        <f ca="1"/>
        <v/>
      </c>
      <c r="V374" s="180" t="str">
        <f ca="1"/>
        <v/>
      </c>
      <c r="W374" s="180" t="str">
        <f ca="1"/>
        <v/>
      </c>
      <c r="X374" s="180" t="str">
        <f ca="1"/>
        <v/>
      </c>
      <c r="Y374" s="180" t="str">
        <f ca="1"/>
        <v/>
      </c>
      <c r="Z374" s="180" t="str">
        <f ca="1"/>
        <v/>
      </c>
      <c r="AA374" s="180" t="str">
        <f ca="1"/>
        <v/>
      </c>
      <c r="AB374" s="180" t="str">
        <f ca="1"/>
        <v/>
      </c>
      <c r="AC374" s="180" t="str">
        <f ca="1"/>
        <v/>
      </c>
      <c r="AD374" s="180" t="str">
        <f ca="1"/>
        <v/>
      </c>
      <c r="AE374" s="180" t="str">
        <f ca="1"/>
        <v/>
      </c>
      <c r="AF374" s="180" t="str">
        <f ca="1"/>
        <v/>
      </c>
      <c r="AG374" s="180" t="str">
        <f ca="1"/>
        <v/>
      </c>
      <c r="AH374" s="180" t="str">
        <f ca="1"/>
        <v/>
      </c>
      <c r="AI374" s="180" t="str">
        <f ca="1"/>
        <v/>
      </c>
      <c r="AJ374" s="180" t="str">
        <f ca="1"/>
        <v/>
      </c>
      <c r="AK374" s="180" t="str">
        <f ca="1"/>
        <v/>
      </c>
      <c r="AL374" s="180" t="str">
        <f ca="1"/>
        <v/>
      </c>
      <c r="AM374" s="180" t="str">
        <f ca="1"/>
        <v/>
      </c>
      <c r="AN374" s="180" t="str">
        <f ca="1"/>
        <v/>
      </c>
      <c r="AO374" s="180" t="str">
        <f ca="1"/>
        <v/>
      </c>
      <c r="AP374" s="180" t="str">
        <f ca="1"/>
        <v/>
      </c>
      <c r="AQ374" t="str">
        <f ca="1"/>
        <v/>
      </c>
    </row>
    <row r="375" spans="2:43" x14ac:dyDescent="0.25">
      <c r="B375" s="179" t="str">
        <f ca="1"/>
        <v/>
      </c>
      <c r="C375" s="180" t="str">
        <f ca="1"/>
        <v/>
      </c>
      <c r="D375" s="180" t="str">
        <f ca="1"/>
        <v/>
      </c>
      <c r="E375" s="180" t="str">
        <f ca="1"/>
        <v/>
      </c>
      <c r="F375" s="180" t="str">
        <f ca="1"/>
        <v/>
      </c>
      <c r="G375" s="180" t="str">
        <f ca="1"/>
        <v/>
      </c>
      <c r="H375" s="180" t="str">
        <f ca="1"/>
        <v/>
      </c>
      <c r="I375" s="180" t="str">
        <f ca="1"/>
        <v/>
      </c>
      <c r="J375" s="180" t="str">
        <f ca="1"/>
        <v/>
      </c>
      <c r="K375" s="180" t="str">
        <f ca="1"/>
        <v/>
      </c>
      <c r="L375" s="180" t="str">
        <f ca="1"/>
        <v/>
      </c>
      <c r="M375" s="180" t="str">
        <f ca="1"/>
        <v/>
      </c>
      <c r="N375" s="180" t="str">
        <f ca="1"/>
        <v/>
      </c>
      <c r="O375" s="180" t="str">
        <f ca="1"/>
        <v/>
      </c>
      <c r="P375" s="180" t="str">
        <f ca="1"/>
        <v/>
      </c>
      <c r="Q375" s="180" t="str">
        <f ca="1"/>
        <v/>
      </c>
      <c r="R375" s="180" t="str">
        <f ca="1"/>
        <v/>
      </c>
      <c r="S375" s="180" t="str">
        <f ca="1"/>
        <v/>
      </c>
      <c r="T375" s="180" t="str">
        <f ca="1"/>
        <v/>
      </c>
      <c r="U375" s="180" t="str">
        <f ca="1"/>
        <v/>
      </c>
      <c r="V375" s="180" t="str">
        <f ca="1"/>
        <v/>
      </c>
      <c r="W375" s="180" t="str">
        <f ca="1"/>
        <v/>
      </c>
      <c r="X375" s="180" t="str">
        <f ca="1"/>
        <v/>
      </c>
      <c r="Y375" s="180" t="str">
        <f ca="1"/>
        <v/>
      </c>
      <c r="Z375" s="180" t="str">
        <f ca="1"/>
        <v/>
      </c>
      <c r="AA375" s="180" t="str">
        <f ca="1"/>
        <v/>
      </c>
      <c r="AB375" s="180" t="str">
        <f ca="1"/>
        <v/>
      </c>
      <c r="AC375" s="180" t="str">
        <f ca="1"/>
        <v/>
      </c>
      <c r="AD375" s="180" t="str">
        <f ca="1"/>
        <v/>
      </c>
      <c r="AE375" s="180" t="str">
        <f ca="1"/>
        <v/>
      </c>
      <c r="AF375" s="180" t="str">
        <f ca="1"/>
        <v/>
      </c>
      <c r="AG375" s="180" t="str">
        <f ca="1"/>
        <v/>
      </c>
      <c r="AH375" s="180" t="str">
        <f ca="1"/>
        <v/>
      </c>
      <c r="AI375" s="180" t="str">
        <f ca="1"/>
        <v/>
      </c>
      <c r="AJ375" s="180" t="str">
        <f ca="1"/>
        <v/>
      </c>
      <c r="AK375" s="180" t="str">
        <f ca="1"/>
        <v/>
      </c>
      <c r="AL375" s="180" t="str">
        <f ca="1"/>
        <v/>
      </c>
      <c r="AM375" s="180" t="str">
        <f ca="1"/>
        <v/>
      </c>
      <c r="AN375" s="180" t="str">
        <f ca="1"/>
        <v/>
      </c>
      <c r="AO375" s="180" t="str">
        <f ca="1"/>
        <v/>
      </c>
      <c r="AP375" s="180" t="str">
        <f ca="1"/>
        <v/>
      </c>
      <c r="AQ375" t="str">
        <f ca="1"/>
        <v/>
      </c>
    </row>
    <row r="376" spans="2:43" x14ac:dyDescent="0.25">
      <c r="B376" s="179" t="str">
        <f ca="1"/>
        <v/>
      </c>
      <c r="C376" s="180" t="str">
        <f ca="1"/>
        <v/>
      </c>
      <c r="D376" s="180" t="str">
        <f ca="1"/>
        <v/>
      </c>
      <c r="E376" s="180" t="str">
        <f ca="1"/>
        <v/>
      </c>
      <c r="F376" s="180" t="str">
        <f ca="1"/>
        <v/>
      </c>
      <c r="G376" s="180" t="str">
        <f ca="1"/>
        <v/>
      </c>
      <c r="H376" s="180" t="str">
        <f ca="1"/>
        <v/>
      </c>
      <c r="I376" s="180" t="str">
        <f ca="1"/>
        <v/>
      </c>
      <c r="J376" s="180" t="str">
        <f ca="1"/>
        <v/>
      </c>
      <c r="K376" s="180" t="str">
        <f ca="1"/>
        <v/>
      </c>
      <c r="L376" s="180" t="str">
        <f ca="1"/>
        <v/>
      </c>
      <c r="M376" s="180" t="str">
        <f ca="1"/>
        <v/>
      </c>
      <c r="N376" s="180" t="str">
        <f ca="1"/>
        <v/>
      </c>
      <c r="O376" s="180" t="str">
        <f ca="1"/>
        <v/>
      </c>
      <c r="P376" s="180" t="str">
        <f ca="1"/>
        <v/>
      </c>
      <c r="Q376" s="180" t="str">
        <f ca="1"/>
        <v/>
      </c>
      <c r="R376" s="180" t="str">
        <f ca="1"/>
        <v/>
      </c>
      <c r="S376" s="180" t="str">
        <f ca="1"/>
        <v/>
      </c>
      <c r="T376" s="180" t="str">
        <f ca="1"/>
        <v/>
      </c>
      <c r="U376" s="180" t="str">
        <f ca="1"/>
        <v/>
      </c>
      <c r="V376" s="180" t="str">
        <f ca="1"/>
        <v/>
      </c>
      <c r="W376" s="180" t="str">
        <f ca="1"/>
        <v/>
      </c>
      <c r="X376" s="180" t="str">
        <f ca="1"/>
        <v/>
      </c>
      <c r="Y376" s="180" t="str">
        <f ca="1"/>
        <v/>
      </c>
      <c r="Z376" s="180" t="str">
        <f ca="1"/>
        <v/>
      </c>
      <c r="AA376" s="180" t="str">
        <f ca="1"/>
        <v/>
      </c>
      <c r="AB376" s="180" t="str">
        <f ca="1"/>
        <v/>
      </c>
      <c r="AC376" s="180" t="str">
        <f ca="1"/>
        <v/>
      </c>
      <c r="AD376" s="180" t="str">
        <f ca="1"/>
        <v/>
      </c>
      <c r="AE376" s="180" t="str">
        <f ca="1"/>
        <v/>
      </c>
      <c r="AF376" s="180" t="str">
        <f ca="1"/>
        <v/>
      </c>
      <c r="AG376" s="180" t="str">
        <f ca="1"/>
        <v/>
      </c>
      <c r="AH376" s="180" t="str">
        <f ca="1"/>
        <v/>
      </c>
      <c r="AI376" s="180" t="str">
        <f ca="1"/>
        <v/>
      </c>
      <c r="AJ376" s="180" t="str">
        <f ca="1"/>
        <v/>
      </c>
      <c r="AK376" s="180" t="str">
        <f ca="1"/>
        <v/>
      </c>
      <c r="AL376" s="180" t="str">
        <f ca="1"/>
        <v/>
      </c>
      <c r="AM376" s="180" t="str">
        <f ca="1"/>
        <v/>
      </c>
      <c r="AN376" s="180" t="str">
        <f ca="1"/>
        <v/>
      </c>
      <c r="AO376" s="180" t="str">
        <f ca="1"/>
        <v/>
      </c>
      <c r="AP376" s="180" t="str">
        <f ca="1"/>
        <v/>
      </c>
      <c r="AQ376" t="str">
        <f ca="1"/>
        <v/>
      </c>
    </row>
    <row r="377" spans="2:43" x14ac:dyDescent="0.25">
      <c r="B377" s="179" t="str">
        <f ca="1"/>
        <v/>
      </c>
      <c r="C377" s="180" t="str">
        <f ca="1"/>
        <v/>
      </c>
      <c r="D377" s="180" t="str">
        <f ca="1"/>
        <v/>
      </c>
      <c r="E377" s="180" t="str">
        <f ca="1"/>
        <v/>
      </c>
      <c r="F377" s="180" t="str">
        <f ca="1"/>
        <v/>
      </c>
      <c r="G377" s="180" t="str">
        <f ca="1"/>
        <v/>
      </c>
      <c r="H377" s="180" t="str">
        <f ca="1"/>
        <v/>
      </c>
      <c r="I377" s="180" t="str">
        <f ca="1"/>
        <v/>
      </c>
      <c r="J377" s="180" t="str">
        <f ca="1"/>
        <v/>
      </c>
      <c r="K377" s="180" t="str">
        <f ca="1"/>
        <v/>
      </c>
      <c r="L377" s="180" t="str">
        <f ca="1"/>
        <v/>
      </c>
      <c r="M377" s="180" t="str">
        <f ca="1"/>
        <v/>
      </c>
      <c r="N377" s="180" t="str">
        <f ca="1"/>
        <v/>
      </c>
      <c r="O377" s="180" t="str">
        <f ca="1"/>
        <v/>
      </c>
      <c r="P377" s="180" t="str">
        <f ca="1"/>
        <v/>
      </c>
      <c r="Q377" s="180" t="str">
        <f ca="1"/>
        <v/>
      </c>
      <c r="R377" s="180" t="str">
        <f ca="1"/>
        <v/>
      </c>
      <c r="S377" s="180" t="str">
        <f ca="1"/>
        <v/>
      </c>
      <c r="T377" s="180" t="str">
        <f ca="1"/>
        <v/>
      </c>
      <c r="U377" s="180" t="str">
        <f ca="1"/>
        <v/>
      </c>
      <c r="V377" s="180" t="str">
        <f ca="1"/>
        <v/>
      </c>
      <c r="W377" s="180" t="str">
        <f ca="1"/>
        <v/>
      </c>
      <c r="X377" s="180" t="str">
        <f ca="1"/>
        <v/>
      </c>
      <c r="Y377" s="180" t="str">
        <f ca="1"/>
        <v/>
      </c>
      <c r="Z377" s="180" t="str">
        <f ca="1"/>
        <v/>
      </c>
      <c r="AA377" s="180" t="str">
        <f ca="1"/>
        <v/>
      </c>
      <c r="AB377" s="180" t="str">
        <f ca="1"/>
        <v/>
      </c>
      <c r="AC377" s="180" t="str">
        <f ca="1"/>
        <v/>
      </c>
      <c r="AD377" s="180" t="str">
        <f ca="1"/>
        <v/>
      </c>
      <c r="AE377" s="180" t="str">
        <f ca="1"/>
        <v/>
      </c>
      <c r="AF377" s="180" t="str">
        <f ca="1"/>
        <v/>
      </c>
      <c r="AG377" s="180" t="str">
        <f ca="1"/>
        <v/>
      </c>
      <c r="AH377" s="180" t="str">
        <f ca="1"/>
        <v/>
      </c>
      <c r="AI377" s="180" t="str">
        <f ca="1"/>
        <v/>
      </c>
      <c r="AJ377" s="180" t="str">
        <f ca="1"/>
        <v/>
      </c>
      <c r="AK377" s="180" t="str">
        <f ca="1"/>
        <v/>
      </c>
      <c r="AL377" s="180" t="str">
        <f ca="1"/>
        <v/>
      </c>
      <c r="AM377" s="180" t="str">
        <f ca="1"/>
        <v/>
      </c>
      <c r="AN377" s="180" t="str">
        <f ca="1"/>
        <v/>
      </c>
      <c r="AO377" s="180" t="str">
        <f ca="1"/>
        <v/>
      </c>
      <c r="AP377" s="180" t="str">
        <f ca="1"/>
        <v/>
      </c>
      <c r="AQ377" t="str">
        <f ca="1"/>
        <v/>
      </c>
    </row>
    <row r="378" spans="2:43" x14ac:dyDescent="0.25">
      <c r="B378" s="179" t="str">
        <f ca="1"/>
        <v/>
      </c>
      <c r="C378" s="180" t="str">
        <f ca="1"/>
        <v/>
      </c>
      <c r="D378" s="180" t="str">
        <f ca="1"/>
        <v/>
      </c>
      <c r="E378" s="180" t="str">
        <f ca="1"/>
        <v/>
      </c>
      <c r="F378" s="180" t="str">
        <f ca="1"/>
        <v/>
      </c>
      <c r="G378" s="180" t="str">
        <f ca="1"/>
        <v/>
      </c>
      <c r="H378" s="180" t="str">
        <f ca="1"/>
        <v/>
      </c>
      <c r="I378" s="180" t="str">
        <f ca="1"/>
        <v/>
      </c>
      <c r="J378" s="180" t="str">
        <f ca="1"/>
        <v/>
      </c>
      <c r="K378" s="180" t="str">
        <f ca="1"/>
        <v/>
      </c>
      <c r="L378" s="180" t="str">
        <f ca="1"/>
        <v/>
      </c>
      <c r="M378" s="180" t="str">
        <f ca="1"/>
        <v/>
      </c>
      <c r="N378" s="180" t="str">
        <f ca="1"/>
        <v/>
      </c>
      <c r="O378" s="180" t="str">
        <f ca="1"/>
        <v/>
      </c>
      <c r="P378" s="180" t="str">
        <f ca="1"/>
        <v/>
      </c>
      <c r="Q378" s="180" t="str">
        <f ca="1"/>
        <v/>
      </c>
      <c r="R378" s="180" t="str">
        <f ca="1"/>
        <v/>
      </c>
      <c r="S378" s="180" t="str">
        <f ca="1"/>
        <v/>
      </c>
      <c r="T378" s="180" t="str">
        <f ca="1"/>
        <v/>
      </c>
      <c r="U378" s="180" t="str">
        <f ca="1"/>
        <v/>
      </c>
      <c r="V378" s="180" t="str">
        <f ca="1"/>
        <v/>
      </c>
      <c r="W378" s="180" t="str">
        <f ca="1"/>
        <v/>
      </c>
      <c r="X378" s="180" t="str">
        <f ca="1"/>
        <v/>
      </c>
      <c r="Y378" s="180" t="str">
        <f ca="1"/>
        <v/>
      </c>
      <c r="Z378" s="180" t="str">
        <f ca="1"/>
        <v/>
      </c>
      <c r="AA378" s="180" t="str">
        <f ca="1"/>
        <v/>
      </c>
      <c r="AB378" s="180" t="str">
        <f ca="1"/>
        <v/>
      </c>
      <c r="AC378" s="180" t="str">
        <f ca="1"/>
        <v/>
      </c>
      <c r="AD378" s="180" t="str">
        <f ca="1"/>
        <v/>
      </c>
      <c r="AE378" s="180" t="str">
        <f ca="1"/>
        <v/>
      </c>
      <c r="AF378" s="180" t="str">
        <f ca="1"/>
        <v/>
      </c>
      <c r="AG378" s="180" t="str">
        <f ca="1"/>
        <v/>
      </c>
      <c r="AH378" s="180" t="str">
        <f ca="1"/>
        <v/>
      </c>
      <c r="AI378" s="180" t="str">
        <f ca="1"/>
        <v/>
      </c>
      <c r="AJ378" s="180" t="str">
        <f ca="1"/>
        <v/>
      </c>
      <c r="AK378" s="180" t="str">
        <f ca="1"/>
        <v/>
      </c>
      <c r="AL378" s="180" t="str">
        <f ca="1"/>
        <v/>
      </c>
      <c r="AM378" s="180" t="str">
        <f ca="1"/>
        <v/>
      </c>
      <c r="AN378" s="180" t="str">
        <f ca="1"/>
        <v/>
      </c>
      <c r="AO378" s="180" t="str">
        <f ca="1"/>
        <v/>
      </c>
      <c r="AP378" s="180" t="str">
        <f ca="1"/>
        <v/>
      </c>
      <c r="AQ378" t="str">
        <f ca="1"/>
        <v/>
      </c>
    </row>
    <row r="379" spans="2:43" x14ac:dyDescent="0.25">
      <c r="B379" s="179" t="str">
        <f ca="1"/>
        <v/>
      </c>
      <c r="C379" s="180" t="str">
        <f ca="1"/>
        <v/>
      </c>
      <c r="D379" s="180" t="str">
        <f ca="1"/>
        <v/>
      </c>
      <c r="E379" s="180" t="str">
        <f ca="1"/>
        <v/>
      </c>
      <c r="F379" s="180" t="str">
        <f ca="1"/>
        <v/>
      </c>
      <c r="G379" s="180" t="str">
        <f ca="1"/>
        <v/>
      </c>
      <c r="H379" s="180" t="str">
        <f ca="1"/>
        <v/>
      </c>
      <c r="I379" s="180" t="str">
        <f ca="1"/>
        <v/>
      </c>
      <c r="J379" s="180" t="str">
        <f ca="1"/>
        <v/>
      </c>
      <c r="K379" s="180" t="str">
        <f ca="1"/>
        <v/>
      </c>
      <c r="L379" s="180" t="str">
        <f ca="1"/>
        <v/>
      </c>
      <c r="M379" s="180" t="str">
        <f ca="1"/>
        <v/>
      </c>
      <c r="N379" s="180" t="str">
        <f ca="1"/>
        <v/>
      </c>
      <c r="O379" s="180" t="str">
        <f ca="1"/>
        <v/>
      </c>
      <c r="P379" s="180" t="str">
        <f ca="1"/>
        <v/>
      </c>
      <c r="Q379" s="180" t="str">
        <f ca="1"/>
        <v/>
      </c>
      <c r="R379" s="180" t="str">
        <f ca="1"/>
        <v/>
      </c>
      <c r="S379" s="180" t="str">
        <f ca="1"/>
        <v/>
      </c>
      <c r="T379" s="180" t="str">
        <f ca="1"/>
        <v/>
      </c>
      <c r="U379" s="180" t="str">
        <f ca="1"/>
        <v/>
      </c>
      <c r="V379" s="180" t="str">
        <f ca="1"/>
        <v/>
      </c>
      <c r="W379" s="180" t="str">
        <f ca="1"/>
        <v/>
      </c>
      <c r="X379" s="180" t="str">
        <f ca="1"/>
        <v/>
      </c>
      <c r="Y379" s="180" t="str">
        <f ca="1"/>
        <v/>
      </c>
      <c r="Z379" s="180" t="str">
        <f ca="1"/>
        <v/>
      </c>
      <c r="AA379" s="180" t="str">
        <f ca="1"/>
        <v/>
      </c>
      <c r="AB379" s="180" t="str">
        <f ca="1"/>
        <v/>
      </c>
      <c r="AC379" s="180" t="str">
        <f ca="1"/>
        <v/>
      </c>
      <c r="AD379" s="180" t="str">
        <f ca="1"/>
        <v/>
      </c>
      <c r="AE379" s="180" t="str">
        <f ca="1"/>
        <v/>
      </c>
      <c r="AF379" s="180" t="str">
        <f ca="1"/>
        <v/>
      </c>
      <c r="AG379" s="180" t="str">
        <f ca="1"/>
        <v/>
      </c>
      <c r="AH379" s="180" t="str">
        <f ca="1"/>
        <v/>
      </c>
      <c r="AI379" s="180" t="str">
        <f ca="1"/>
        <v/>
      </c>
      <c r="AJ379" s="180" t="str">
        <f ca="1"/>
        <v/>
      </c>
      <c r="AK379" s="180" t="str">
        <f ca="1"/>
        <v/>
      </c>
      <c r="AL379" s="180" t="str">
        <f ca="1"/>
        <v/>
      </c>
      <c r="AM379" s="180" t="str">
        <f ca="1"/>
        <v/>
      </c>
      <c r="AN379" s="180" t="str">
        <f ca="1"/>
        <v/>
      </c>
      <c r="AO379" s="180" t="str">
        <f ca="1"/>
        <v/>
      </c>
      <c r="AP379" s="180" t="str">
        <f ca="1"/>
        <v/>
      </c>
      <c r="AQ379" t="str">
        <f ca="1"/>
        <v/>
      </c>
    </row>
    <row r="380" spans="2:43" x14ac:dyDescent="0.25">
      <c r="B380" s="179" t="str">
        <f ca="1"/>
        <v/>
      </c>
      <c r="C380" s="180" t="str">
        <f ca="1"/>
        <v/>
      </c>
      <c r="D380" s="180" t="str">
        <f ca="1"/>
        <v/>
      </c>
      <c r="E380" s="180" t="str">
        <f ca="1"/>
        <v/>
      </c>
      <c r="F380" s="180" t="str">
        <f ca="1"/>
        <v/>
      </c>
      <c r="G380" s="180" t="str">
        <f ca="1"/>
        <v/>
      </c>
      <c r="H380" s="180" t="str">
        <f ca="1"/>
        <v/>
      </c>
      <c r="I380" s="180" t="str">
        <f ca="1"/>
        <v/>
      </c>
      <c r="J380" s="180" t="str">
        <f ca="1"/>
        <v/>
      </c>
      <c r="K380" s="180" t="str">
        <f ca="1"/>
        <v/>
      </c>
      <c r="L380" s="180" t="str">
        <f ca="1"/>
        <v/>
      </c>
      <c r="M380" s="180" t="str">
        <f ca="1"/>
        <v/>
      </c>
      <c r="N380" s="180" t="str">
        <f ca="1"/>
        <v/>
      </c>
      <c r="O380" s="180" t="str">
        <f ca="1"/>
        <v/>
      </c>
      <c r="P380" s="180" t="str">
        <f ca="1"/>
        <v/>
      </c>
      <c r="Q380" s="180" t="str">
        <f ca="1"/>
        <v/>
      </c>
      <c r="R380" s="180" t="str">
        <f ca="1"/>
        <v/>
      </c>
      <c r="S380" s="180" t="str">
        <f ca="1"/>
        <v/>
      </c>
      <c r="T380" s="180" t="str">
        <f ca="1"/>
        <v/>
      </c>
      <c r="U380" s="180" t="str">
        <f ca="1"/>
        <v/>
      </c>
      <c r="V380" s="180" t="str">
        <f ca="1"/>
        <v/>
      </c>
      <c r="W380" s="180" t="str">
        <f ca="1"/>
        <v/>
      </c>
      <c r="X380" s="180" t="str">
        <f ca="1"/>
        <v/>
      </c>
      <c r="Y380" s="180" t="str">
        <f ca="1"/>
        <v/>
      </c>
      <c r="Z380" s="180" t="str">
        <f ca="1"/>
        <v/>
      </c>
      <c r="AA380" s="180" t="str">
        <f ca="1"/>
        <v/>
      </c>
      <c r="AB380" s="180" t="str">
        <f ca="1"/>
        <v/>
      </c>
      <c r="AC380" s="180" t="str">
        <f ca="1"/>
        <v/>
      </c>
      <c r="AD380" s="180" t="str">
        <f ca="1"/>
        <v/>
      </c>
      <c r="AE380" s="180" t="str">
        <f ca="1"/>
        <v/>
      </c>
      <c r="AF380" s="180" t="str">
        <f ca="1"/>
        <v/>
      </c>
      <c r="AG380" s="180" t="str">
        <f ca="1"/>
        <v/>
      </c>
      <c r="AH380" s="180" t="str">
        <f ca="1"/>
        <v/>
      </c>
      <c r="AI380" s="180" t="str">
        <f ca="1"/>
        <v/>
      </c>
      <c r="AJ380" s="180" t="str">
        <f ca="1"/>
        <v/>
      </c>
      <c r="AK380" s="180" t="str">
        <f ca="1"/>
        <v/>
      </c>
      <c r="AL380" s="180" t="str">
        <f ca="1"/>
        <v/>
      </c>
      <c r="AM380" s="180" t="str">
        <f ca="1"/>
        <v/>
      </c>
      <c r="AN380" s="180" t="str">
        <f ca="1"/>
        <v/>
      </c>
      <c r="AO380" s="180" t="str">
        <f ca="1"/>
        <v/>
      </c>
      <c r="AP380" s="180" t="str">
        <f ca="1"/>
        <v/>
      </c>
      <c r="AQ380" t="str">
        <f ca="1"/>
        <v/>
      </c>
    </row>
    <row r="381" spans="2:43" x14ac:dyDescent="0.25">
      <c r="B381" s="179" t="str">
        <f ca="1"/>
        <v/>
      </c>
      <c r="C381" s="180" t="str">
        <f ca="1"/>
        <v/>
      </c>
      <c r="D381" s="180" t="str">
        <f ca="1"/>
        <v/>
      </c>
      <c r="E381" s="180" t="str">
        <f ca="1"/>
        <v/>
      </c>
      <c r="F381" s="180" t="str">
        <f ca="1"/>
        <v/>
      </c>
      <c r="G381" s="180" t="str">
        <f ca="1"/>
        <v/>
      </c>
      <c r="H381" s="180" t="str">
        <f ca="1"/>
        <v/>
      </c>
      <c r="I381" s="180" t="str">
        <f ca="1"/>
        <v/>
      </c>
      <c r="J381" s="180" t="str">
        <f ca="1"/>
        <v/>
      </c>
      <c r="K381" s="180" t="str">
        <f ca="1"/>
        <v/>
      </c>
      <c r="L381" s="180" t="str">
        <f ca="1"/>
        <v/>
      </c>
      <c r="M381" s="180" t="str">
        <f ca="1"/>
        <v/>
      </c>
      <c r="N381" s="180" t="str">
        <f ca="1"/>
        <v/>
      </c>
      <c r="O381" s="180" t="str">
        <f ca="1"/>
        <v/>
      </c>
      <c r="P381" s="180" t="str">
        <f ca="1"/>
        <v/>
      </c>
      <c r="Q381" s="180" t="str">
        <f ca="1"/>
        <v/>
      </c>
      <c r="R381" s="180" t="str">
        <f ca="1"/>
        <v/>
      </c>
      <c r="S381" s="180" t="str">
        <f ca="1"/>
        <v/>
      </c>
      <c r="T381" s="180" t="str">
        <f ca="1"/>
        <v/>
      </c>
      <c r="U381" s="180" t="str">
        <f ca="1"/>
        <v/>
      </c>
      <c r="V381" s="180" t="str">
        <f ca="1"/>
        <v/>
      </c>
      <c r="W381" s="180" t="str">
        <f ca="1"/>
        <v/>
      </c>
      <c r="X381" s="180" t="str">
        <f ca="1"/>
        <v/>
      </c>
      <c r="Y381" s="180" t="str">
        <f ca="1"/>
        <v/>
      </c>
      <c r="Z381" s="180" t="str">
        <f ca="1"/>
        <v/>
      </c>
      <c r="AA381" s="180" t="str">
        <f ca="1"/>
        <v/>
      </c>
      <c r="AB381" s="180" t="str">
        <f ca="1"/>
        <v/>
      </c>
      <c r="AC381" s="180" t="str">
        <f ca="1"/>
        <v/>
      </c>
      <c r="AD381" s="180" t="str">
        <f ca="1"/>
        <v/>
      </c>
      <c r="AE381" s="180" t="str">
        <f ca="1"/>
        <v/>
      </c>
      <c r="AF381" s="180" t="str">
        <f ca="1"/>
        <v/>
      </c>
      <c r="AG381" s="180" t="str">
        <f ca="1"/>
        <v/>
      </c>
      <c r="AH381" s="180" t="str">
        <f ca="1"/>
        <v/>
      </c>
      <c r="AI381" s="180" t="str">
        <f ca="1"/>
        <v/>
      </c>
      <c r="AJ381" s="180" t="str">
        <f ca="1"/>
        <v/>
      </c>
      <c r="AK381" s="180" t="str">
        <f ca="1"/>
        <v/>
      </c>
      <c r="AL381" s="180" t="str">
        <f ca="1"/>
        <v/>
      </c>
      <c r="AM381" s="180" t="str">
        <f ca="1"/>
        <v/>
      </c>
      <c r="AN381" s="180" t="str">
        <f ca="1"/>
        <v/>
      </c>
      <c r="AO381" s="180" t="str">
        <f ca="1"/>
        <v/>
      </c>
      <c r="AP381" s="180" t="str">
        <f ca="1"/>
        <v/>
      </c>
      <c r="AQ381" t="str">
        <f ca="1"/>
        <v/>
      </c>
    </row>
    <row r="382" spans="2:43" x14ac:dyDescent="0.25">
      <c r="B382" s="179" t="str">
        <f ca="1"/>
        <v/>
      </c>
      <c r="C382" s="180" t="str">
        <f ca="1"/>
        <v/>
      </c>
      <c r="D382" s="180" t="str">
        <f ca="1"/>
        <v/>
      </c>
      <c r="E382" s="180" t="str">
        <f ca="1"/>
        <v/>
      </c>
      <c r="F382" s="180" t="str">
        <f ca="1"/>
        <v/>
      </c>
      <c r="G382" s="180" t="str">
        <f ca="1"/>
        <v/>
      </c>
      <c r="H382" s="180" t="str">
        <f ca="1"/>
        <v/>
      </c>
      <c r="I382" s="180" t="str">
        <f ca="1"/>
        <v/>
      </c>
      <c r="J382" s="180" t="str">
        <f ca="1"/>
        <v/>
      </c>
      <c r="K382" s="180" t="str">
        <f ca="1"/>
        <v/>
      </c>
      <c r="L382" s="180" t="str">
        <f ca="1"/>
        <v/>
      </c>
      <c r="M382" s="180" t="str">
        <f ca="1"/>
        <v/>
      </c>
      <c r="N382" s="180" t="str">
        <f ca="1"/>
        <v/>
      </c>
      <c r="O382" s="180" t="str">
        <f ca="1"/>
        <v/>
      </c>
      <c r="P382" s="180" t="str">
        <f ca="1"/>
        <v/>
      </c>
      <c r="Q382" s="180" t="str">
        <f ca="1"/>
        <v/>
      </c>
      <c r="R382" s="180" t="str">
        <f ca="1"/>
        <v/>
      </c>
      <c r="S382" s="180" t="str">
        <f ca="1"/>
        <v/>
      </c>
      <c r="T382" s="180" t="str">
        <f ca="1"/>
        <v/>
      </c>
      <c r="U382" s="180" t="str">
        <f ca="1"/>
        <v/>
      </c>
      <c r="V382" s="180" t="str">
        <f ca="1"/>
        <v/>
      </c>
      <c r="W382" s="180" t="str">
        <f ca="1"/>
        <v/>
      </c>
      <c r="X382" s="180" t="str">
        <f ca="1"/>
        <v/>
      </c>
      <c r="Y382" s="180" t="str">
        <f ca="1"/>
        <v/>
      </c>
      <c r="Z382" s="180" t="str">
        <f ca="1"/>
        <v/>
      </c>
      <c r="AA382" s="180" t="str">
        <f ca="1"/>
        <v/>
      </c>
      <c r="AB382" s="180" t="str">
        <f ca="1"/>
        <v/>
      </c>
      <c r="AC382" s="180" t="str">
        <f ca="1"/>
        <v/>
      </c>
      <c r="AD382" s="180" t="str">
        <f ca="1"/>
        <v/>
      </c>
      <c r="AE382" s="180" t="str">
        <f ca="1"/>
        <v/>
      </c>
      <c r="AF382" s="180" t="str">
        <f ca="1"/>
        <v/>
      </c>
      <c r="AG382" s="180" t="str">
        <f ca="1"/>
        <v/>
      </c>
      <c r="AH382" s="180" t="str">
        <f ca="1"/>
        <v/>
      </c>
      <c r="AI382" s="180" t="str">
        <f ca="1"/>
        <v/>
      </c>
      <c r="AJ382" s="180" t="str">
        <f ca="1"/>
        <v/>
      </c>
      <c r="AK382" s="180" t="str">
        <f ca="1"/>
        <v/>
      </c>
      <c r="AL382" s="180" t="str">
        <f ca="1"/>
        <v/>
      </c>
      <c r="AM382" s="180" t="str">
        <f ca="1"/>
        <v/>
      </c>
      <c r="AN382" s="180" t="str">
        <f ca="1"/>
        <v/>
      </c>
      <c r="AO382" s="180" t="str">
        <f ca="1"/>
        <v/>
      </c>
      <c r="AP382" s="180" t="str">
        <f ca="1"/>
        <v/>
      </c>
      <c r="AQ382" t="str">
        <f ca="1"/>
        <v/>
      </c>
    </row>
    <row r="383" spans="2:43" x14ac:dyDescent="0.25">
      <c r="B383" s="179" t="str">
        <f ca="1"/>
        <v/>
      </c>
      <c r="C383" s="180" t="str">
        <f ca="1"/>
        <v/>
      </c>
      <c r="D383" s="180" t="str">
        <f ca="1"/>
        <v/>
      </c>
      <c r="E383" s="180" t="str">
        <f ca="1"/>
        <v/>
      </c>
      <c r="F383" s="180" t="str">
        <f ca="1"/>
        <v/>
      </c>
      <c r="G383" s="180" t="str">
        <f ca="1"/>
        <v/>
      </c>
      <c r="H383" s="180" t="str">
        <f ca="1"/>
        <v/>
      </c>
      <c r="I383" s="180" t="str">
        <f ca="1"/>
        <v/>
      </c>
      <c r="J383" s="180" t="str">
        <f ca="1"/>
        <v/>
      </c>
      <c r="K383" s="180" t="str">
        <f ca="1"/>
        <v/>
      </c>
      <c r="L383" s="180" t="str">
        <f ca="1"/>
        <v/>
      </c>
      <c r="M383" s="180" t="str">
        <f ca="1"/>
        <v/>
      </c>
      <c r="N383" s="180" t="str">
        <f ca="1"/>
        <v/>
      </c>
      <c r="O383" s="180" t="str">
        <f ca="1"/>
        <v/>
      </c>
      <c r="P383" s="180" t="str">
        <f ca="1"/>
        <v/>
      </c>
      <c r="Q383" s="180" t="str">
        <f ca="1"/>
        <v/>
      </c>
      <c r="R383" s="180" t="str">
        <f ca="1"/>
        <v/>
      </c>
      <c r="S383" s="180" t="str">
        <f ca="1"/>
        <v/>
      </c>
      <c r="T383" s="180" t="str">
        <f ca="1"/>
        <v/>
      </c>
      <c r="U383" s="180" t="str">
        <f ca="1"/>
        <v/>
      </c>
      <c r="V383" s="180" t="str">
        <f ca="1"/>
        <v/>
      </c>
      <c r="W383" s="180" t="str">
        <f ca="1"/>
        <v/>
      </c>
      <c r="X383" s="180" t="str">
        <f ca="1"/>
        <v/>
      </c>
      <c r="Y383" s="180" t="str">
        <f ca="1"/>
        <v/>
      </c>
      <c r="Z383" s="180" t="str">
        <f ca="1"/>
        <v/>
      </c>
      <c r="AA383" s="180" t="str">
        <f ca="1"/>
        <v/>
      </c>
      <c r="AB383" s="180" t="str">
        <f ca="1"/>
        <v/>
      </c>
      <c r="AC383" s="180" t="str">
        <f ca="1"/>
        <v/>
      </c>
      <c r="AD383" s="180" t="str">
        <f ca="1"/>
        <v/>
      </c>
      <c r="AE383" s="180" t="str">
        <f ca="1"/>
        <v/>
      </c>
      <c r="AF383" s="180" t="str">
        <f ca="1"/>
        <v/>
      </c>
      <c r="AG383" s="180" t="str">
        <f ca="1"/>
        <v/>
      </c>
      <c r="AH383" s="180" t="str">
        <f ca="1"/>
        <v/>
      </c>
      <c r="AI383" s="180" t="str">
        <f ca="1"/>
        <v/>
      </c>
      <c r="AJ383" s="180" t="str">
        <f ca="1"/>
        <v/>
      </c>
      <c r="AK383" s="180" t="str">
        <f ca="1"/>
        <v/>
      </c>
      <c r="AL383" s="180" t="str">
        <f ca="1"/>
        <v/>
      </c>
      <c r="AM383" s="180" t="str">
        <f ca="1"/>
        <v/>
      </c>
      <c r="AN383" s="180" t="str">
        <f ca="1"/>
        <v/>
      </c>
      <c r="AO383" s="180" t="str">
        <f ca="1"/>
        <v/>
      </c>
      <c r="AP383" s="180" t="str">
        <f ca="1"/>
        <v/>
      </c>
      <c r="AQ383" t="str">
        <f ca="1"/>
        <v/>
      </c>
    </row>
    <row r="384" spans="2:43" x14ac:dyDescent="0.25">
      <c r="B384" s="179" t="str">
        <f ca="1"/>
        <v/>
      </c>
      <c r="C384" s="180" t="str">
        <f ca="1"/>
        <v/>
      </c>
      <c r="D384" s="180" t="str">
        <f ca="1"/>
        <v/>
      </c>
      <c r="E384" s="180" t="str">
        <f ca="1"/>
        <v/>
      </c>
      <c r="F384" s="180" t="str">
        <f ca="1"/>
        <v/>
      </c>
      <c r="G384" s="180" t="str">
        <f ca="1"/>
        <v/>
      </c>
      <c r="H384" s="180" t="str">
        <f ca="1"/>
        <v/>
      </c>
      <c r="I384" s="180" t="str">
        <f ca="1"/>
        <v/>
      </c>
      <c r="J384" s="180" t="str">
        <f ca="1"/>
        <v/>
      </c>
      <c r="K384" s="180" t="str">
        <f ca="1"/>
        <v/>
      </c>
      <c r="L384" s="180" t="str">
        <f ca="1"/>
        <v/>
      </c>
      <c r="M384" s="180" t="str">
        <f ca="1"/>
        <v/>
      </c>
      <c r="N384" s="180" t="str">
        <f ca="1"/>
        <v/>
      </c>
      <c r="O384" s="180" t="str">
        <f ca="1"/>
        <v/>
      </c>
      <c r="P384" s="180" t="str">
        <f ca="1"/>
        <v/>
      </c>
      <c r="Q384" s="180" t="str">
        <f ca="1"/>
        <v/>
      </c>
      <c r="R384" s="180" t="str">
        <f ca="1"/>
        <v/>
      </c>
      <c r="S384" s="180" t="str">
        <f ca="1"/>
        <v/>
      </c>
      <c r="T384" s="180" t="str">
        <f ca="1"/>
        <v/>
      </c>
      <c r="U384" s="180" t="str">
        <f ca="1"/>
        <v/>
      </c>
      <c r="V384" s="180" t="str">
        <f ca="1"/>
        <v/>
      </c>
      <c r="W384" s="180" t="str">
        <f ca="1"/>
        <v/>
      </c>
      <c r="X384" s="180" t="str">
        <f ca="1"/>
        <v/>
      </c>
      <c r="Y384" s="180" t="str">
        <f ca="1"/>
        <v/>
      </c>
      <c r="Z384" s="180" t="str">
        <f ca="1"/>
        <v/>
      </c>
      <c r="AA384" s="180" t="str">
        <f ca="1"/>
        <v/>
      </c>
      <c r="AB384" s="180" t="str">
        <f ca="1"/>
        <v/>
      </c>
      <c r="AC384" s="180" t="str">
        <f ca="1"/>
        <v/>
      </c>
      <c r="AD384" s="180" t="str">
        <f ca="1"/>
        <v/>
      </c>
      <c r="AE384" s="180" t="str">
        <f ca="1"/>
        <v/>
      </c>
      <c r="AF384" s="180" t="str">
        <f ca="1"/>
        <v/>
      </c>
      <c r="AG384" s="180" t="str">
        <f ca="1"/>
        <v/>
      </c>
      <c r="AH384" s="180" t="str">
        <f ca="1"/>
        <v/>
      </c>
      <c r="AI384" s="180" t="str">
        <f ca="1"/>
        <v/>
      </c>
      <c r="AJ384" s="180" t="str">
        <f ca="1"/>
        <v/>
      </c>
      <c r="AK384" s="180" t="str">
        <f ca="1"/>
        <v/>
      </c>
      <c r="AL384" s="180" t="str">
        <f ca="1"/>
        <v/>
      </c>
      <c r="AM384" s="180" t="str">
        <f ca="1"/>
        <v/>
      </c>
      <c r="AN384" s="180" t="str">
        <f ca="1"/>
        <v/>
      </c>
      <c r="AO384" s="180" t="str">
        <f ca="1"/>
        <v/>
      </c>
      <c r="AP384" s="180" t="str">
        <f ca="1"/>
        <v/>
      </c>
      <c r="AQ384" t="str">
        <f ca="1"/>
        <v/>
      </c>
    </row>
    <row r="385" spans="2:43" x14ac:dyDescent="0.25">
      <c r="B385" s="179" t="str">
        <f ca="1"/>
        <v/>
      </c>
      <c r="C385" s="180" t="str">
        <f ca="1"/>
        <v/>
      </c>
      <c r="D385" s="180" t="str">
        <f ca="1"/>
        <v/>
      </c>
      <c r="E385" s="180" t="str">
        <f ca="1"/>
        <v/>
      </c>
      <c r="F385" s="180" t="str">
        <f ca="1"/>
        <v/>
      </c>
      <c r="G385" s="180" t="str">
        <f ca="1"/>
        <v/>
      </c>
      <c r="H385" s="180" t="str">
        <f ca="1"/>
        <v/>
      </c>
      <c r="I385" s="180" t="str">
        <f ca="1"/>
        <v/>
      </c>
      <c r="J385" s="180" t="str">
        <f ca="1"/>
        <v/>
      </c>
      <c r="K385" s="180" t="str">
        <f ca="1"/>
        <v/>
      </c>
      <c r="L385" s="180" t="str">
        <f ca="1"/>
        <v/>
      </c>
      <c r="M385" s="180" t="str">
        <f ca="1"/>
        <v/>
      </c>
      <c r="N385" s="180" t="str">
        <f ca="1"/>
        <v/>
      </c>
      <c r="O385" s="180" t="str">
        <f ca="1"/>
        <v/>
      </c>
      <c r="P385" s="180" t="str">
        <f ca="1"/>
        <v/>
      </c>
      <c r="Q385" s="180" t="str">
        <f ca="1"/>
        <v/>
      </c>
      <c r="R385" s="180" t="str">
        <f ca="1"/>
        <v/>
      </c>
      <c r="S385" s="180" t="str">
        <f ca="1"/>
        <v/>
      </c>
      <c r="T385" s="180" t="str">
        <f ca="1"/>
        <v/>
      </c>
      <c r="U385" s="180" t="str">
        <f ca="1"/>
        <v/>
      </c>
      <c r="V385" s="180" t="str">
        <f ca="1"/>
        <v/>
      </c>
      <c r="W385" s="180" t="str">
        <f ca="1"/>
        <v/>
      </c>
      <c r="X385" s="180" t="str">
        <f ca="1"/>
        <v/>
      </c>
      <c r="Y385" s="180" t="str">
        <f ca="1"/>
        <v/>
      </c>
      <c r="Z385" s="180" t="str">
        <f ca="1"/>
        <v/>
      </c>
      <c r="AA385" s="180" t="str">
        <f ca="1"/>
        <v/>
      </c>
      <c r="AB385" s="180" t="str">
        <f ca="1"/>
        <v/>
      </c>
      <c r="AC385" s="180" t="str">
        <f ca="1"/>
        <v/>
      </c>
      <c r="AD385" s="180" t="str">
        <f ca="1"/>
        <v/>
      </c>
      <c r="AE385" s="180" t="str">
        <f ca="1"/>
        <v/>
      </c>
      <c r="AF385" s="180" t="str">
        <f ca="1"/>
        <v/>
      </c>
      <c r="AG385" s="180" t="str">
        <f ca="1"/>
        <v/>
      </c>
      <c r="AH385" s="180" t="str">
        <f ca="1"/>
        <v/>
      </c>
      <c r="AI385" s="180" t="str">
        <f ca="1"/>
        <v/>
      </c>
      <c r="AJ385" s="180" t="str">
        <f ca="1"/>
        <v/>
      </c>
      <c r="AK385" s="180" t="str">
        <f ca="1"/>
        <v/>
      </c>
      <c r="AL385" s="180" t="str">
        <f ca="1"/>
        <v/>
      </c>
      <c r="AM385" s="180" t="str">
        <f ca="1"/>
        <v/>
      </c>
      <c r="AN385" s="180" t="str">
        <f ca="1"/>
        <v/>
      </c>
      <c r="AO385" s="180" t="str">
        <f ca="1"/>
        <v/>
      </c>
      <c r="AP385" s="180" t="str">
        <f ca="1"/>
        <v/>
      </c>
      <c r="AQ385" t="str">
        <f ca="1"/>
        <v/>
      </c>
    </row>
    <row r="386" spans="2:43" x14ac:dyDescent="0.25">
      <c r="B386" s="179" t="str">
        <f ca="1"/>
        <v/>
      </c>
      <c r="C386" s="180" t="str">
        <f ca="1"/>
        <v/>
      </c>
      <c r="D386" s="180" t="str">
        <f ca="1"/>
        <v/>
      </c>
      <c r="E386" s="180" t="str">
        <f ca="1"/>
        <v/>
      </c>
      <c r="F386" s="180" t="str">
        <f ca="1"/>
        <v/>
      </c>
      <c r="G386" s="180" t="str">
        <f ca="1"/>
        <v/>
      </c>
      <c r="H386" s="180" t="str">
        <f ca="1"/>
        <v/>
      </c>
      <c r="I386" s="180" t="str">
        <f ca="1"/>
        <v/>
      </c>
      <c r="J386" s="180" t="str">
        <f ca="1"/>
        <v/>
      </c>
      <c r="K386" s="180" t="str">
        <f ca="1"/>
        <v/>
      </c>
      <c r="L386" s="180" t="str">
        <f ca="1"/>
        <v/>
      </c>
      <c r="M386" s="180" t="str">
        <f ca="1"/>
        <v/>
      </c>
      <c r="N386" s="180" t="str">
        <f ca="1"/>
        <v/>
      </c>
      <c r="O386" s="180" t="str">
        <f ca="1"/>
        <v/>
      </c>
      <c r="P386" s="180" t="str">
        <f ca="1"/>
        <v/>
      </c>
      <c r="Q386" s="180" t="str">
        <f ca="1"/>
        <v/>
      </c>
      <c r="R386" s="180" t="str">
        <f ca="1"/>
        <v/>
      </c>
      <c r="S386" s="180" t="str">
        <f ca="1"/>
        <v/>
      </c>
      <c r="T386" s="180" t="str">
        <f ca="1"/>
        <v/>
      </c>
      <c r="U386" s="180" t="str">
        <f ca="1"/>
        <v/>
      </c>
      <c r="V386" s="180" t="str">
        <f ca="1"/>
        <v/>
      </c>
      <c r="W386" s="180" t="str">
        <f ca="1"/>
        <v/>
      </c>
      <c r="X386" s="180" t="str">
        <f ca="1"/>
        <v/>
      </c>
      <c r="Y386" s="180" t="str">
        <f ca="1"/>
        <v/>
      </c>
      <c r="Z386" s="180" t="str">
        <f ca="1"/>
        <v/>
      </c>
      <c r="AA386" s="180" t="str">
        <f ca="1"/>
        <v/>
      </c>
      <c r="AB386" s="180" t="str">
        <f ca="1"/>
        <v/>
      </c>
      <c r="AC386" s="180" t="str">
        <f ca="1"/>
        <v/>
      </c>
      <c r="AD386" s="180" t="str">
        <f ca="1"/>
        <v/>
      </c>
      <c r="AE386" s="180" t="str">
        <f ca="1"/>
        <v/>
      </c>
      <c r="AF386" s="180" t="str">
        <f ca="1"/>
        <v/>
      </c>
      <c r="AG386" s="180" t="str">
        <f ca="1"/>
        <v/>
      </c>
      <c r="AH386" s="180" t="str">
        <f ca="1"/>
        <v/>
      </c>
      <c r="AI386" s="180" t="str">
        <f ca="1"/>
        <v/>
      </c>
      <c r="AJ386" s="180" t="str">
        <f ca="1"/>
        <v/>
      </c>
      <c r="AK386" s="180" t="str">
        <f ca="1"/>
        <v/>
      </c>
      <c r="AL386" s="180" t="str">
        <f ca="1"/>
        <v/>
      </c>
      <c r="AM386" s="180" t="str">
        <f ca="1"/>
        <v/>
      </c>
      <c r="AN386" s="180" t="str">
        <f ca="1"/>
        <v/>
      </c>
      <c r="AO386" s="180" t="str">
        <f ca="1"/>
        <v/>
      </c>
      <c r="AP386" s="180" t="str">
        <f ca="1"/>
        <v/>
      </c>
      <c r="AQ386" t="str">
        <f ca="1"/>
        <v/>
      </c>
    </row>
    <row r="387" spans="2:43" x14ac:dyDescent="0.25">
      <c r="B387" s="179" t="str">
        <f ca="1"/>
        <v/>
      </c>
      <c r="C387" s="180" t="str">
        <f ca="1"/>
        <v/>
      </c>
      <c r="D387" s="180" t="str">
        <f ca="1"/>
        <v/>
      </c>
      <c r="E387" s="180" t="str">
        <f ca="1"/>
        <v/>
      </c>
      <c r="F387" s="180" t="str">
        <f ca="1"/>
        <v/>
      </c>
      <c r="G387" s="180" t="str">
        <f ca="1"/>
        <v/>
      </c>
      <c r="H387" s="180" t="str">
        <f ca="1"/>
        <v/>
      </c>
      <c r="I387" s="180" t="str">
        <f ca="1"/>
        <v/>
      </c>
      <c r="J387" s="180" t="str">
        <f ca="1"/>
        <v/>
      </c>
      <c r="K387" s="180" t="str">
        <f ca="1"/>
        <v/>
      </c>
      <c r="L387" s="180" t="str">
        <f ca="1"/>
        <v/>
      </c>
      <c r="M387" s="180" t="str">
        <f ca="1"/>
        <v/>
      </c>
      <c r="N387" s="180" t="str">
        <f ca="1"/>
        <v/>
      </c>
      <c r="O387" s="180" t="str">
        <f ca="1"/>
        <v/>
      </c>
      <c r="P387" s="180" t="str">
        <f ca="1"/>
        <v/>
      </c>
      <c r="Q387" s="180" t="str">
        <f ca="1"/>
        <v/>
      </c>
      <c r="R387" s="180" t="str">
        <f ca="1"/>
        <v/>
      </c>
      <c r="S387" s="180" t="str">
        <f ca="1"/>
        <v/>
      </c>
      <c r="T387" s="180" t="str">
        <f ca="1"/>
        <v/>
      </c>
      <c r="U387" s="180" t="str">
        <f ca="1"/>
        <v/>
      </c>
      <c r="V387" s="180" t="str">
        <f ca="1"/>
        <v/>
      </c>
      <c r="W387" s="180" t="str">
        <f ca="1"/>
        <v/>
      </c>
      <c r="X387" s="180" t="str">
        <f ca="1"/>
        <v/>
      </c>
      <c r="Y387" s="180" t="str">
        <f ca="1"/>
        <v/>
      </c>
      <c r="Z387" s="180" t="str">
        <f ca="1"/>
        <v/>
      </c>
      <c r="AA387" s="180" t="str">
        <f ca="1"/>
        <v/>
      </c>
      <c r="AB387" s="180" t="str">
        <f ca="1"/>
        <v/>
      </c>
      <c r="AC387" s="180" t="str">
        <f ca="1"/>
        <v/>
      </c>
      <c r="AD387" s="180" t="str">
        <f ca="1"/>
        <v/>
      </c>
      <c r="AE387" s="180" t="str">
        <f ca="1"/>
        <v/>
      </c>
      <c r="AF387" s="180" t="str">
        <f ca="1"/>
        <v/>
      </c>
      <c r="AG387" s="180" t="str">
        <f ca="1"/>
        <v/>
      </c>
      <c r="AH387" s="180" t="str">
        <f ca="1"/>
        <v/>
      </c>
      <c r="AI387" s="180" t="str">
        <f ca="1"/>
        <v/>
      </c>
      <c r="AJ387" s="180" t="str">
        <f ca="1"/>
        <v/>
      </c>
      <c r="AK387" s="180" t="str">
        <f ca="1"/>
        <v/>
      </c>
      <c r="AL387" s="180" t="str">
        <f ca="1"/>
        <v/>
      </c>
      <c r="AM387" s="180" t="str">
        <f ca="1"/>
        <v/>
      </c>
      <c r="AN387" s="180" t="str">
        <f ca="1"/>
        <v/>
      </c>
      <c r="AO387" s="180" t="str">
        <f ca="1"/>
        <v/>
      </c>
      <c r="AP387" s="180" t="str">
        <f ca="1"/>
        <v/>
      </c>
      <c r="AQ387" t="str">
        <f ca="1"/>
        <v/>
      </c>
    </row>
    <row r="388" spans="2:43" x14ac:dyDescent="0.25">
      <c r="B388" s="179" t="str">
        <f ca="1"/>
        <v/>
      </c>
      <c r="C388" s="180" t="str">
        <f ca="1"/>
        <v/>
      </c>
      <c r="D388" s="180" t="str">
        <f ca="1"/>
        <v/>
      </c>
      <c r="E388" s="180" t="str">
        <f ca="1"/>
        <v/>
      </c>
      <c r="F388" s="180" t="str">
        <f ca="1"/>
        <v/>
      </c>
      <c r="G388" s="180" t="str">
        <f ca="1"/>
        <v/>
      </c>
      <c r="H388" s="180" t="str">
        <f ca="1"/>
        <v/>
      </c>
      <c r="I388" s="180" t="str">
        <f ca="1"/>
        <v/>
      </c>
      <c r="J388" s="180" t="str">
        <f ca="1"/>
        <v/>
      </c>
      <c r="K388" s="180" t="str">
        <f ca="1"/>
        <v/>
      </c>
      <c r="L388" s="180" t="str">
        <f ca="1"/>
        <v/>
      </c>
      <c r="M388" s="180" t="str">
        <f ca="1"/>
        <v/>
      </c>
      <c r="N388" s="180" t="str">
        <f ca="1"/>
        <v/>
      </c>
      <c r="O388" s="180" t="str">
        <f ca="1"/>
        <v/>
      </c>
      <c r="P388" s="180" t="str">
        <f ca="1"/>
        <v/>
      </c>
      <c r="Q388" s="180" t="str">
        <f ca="1"/>
        <v/>
      </c>
      <c r="R388" s="180" t="str">
        <f ca="1"/>
        <v/>
      </c>
      <c r="S388" s="180" t="str">
        <f ca="1"/>
        <v/>
      </c>
      <c r="T388" s="180" t="str">
        <f ca="1"/>
        <v/>
      </c>
      <c r="U388" s="180" t="str">
        <f ca="1"/>
        <v/>
      </c>
      <c r="V388" s="180" t="str">
        <f ca="1"/>
        <v/>
      </c>
      <c r="W388" s="180" t="str">
        <f ca="1"/>
        <v/>
      </c>
      <c r="X388" s="180" t="str">
        <f ca="1"/>
        <v/>
      </c>
      <c r="Y388" s="180" t="str">
        <f ca="1"/>
        <v/>
      </c>
      <c r="Z388" s="180" t="str">
        <f ca="1"/>
        <v/>
      </c>
      <c r="AA388" s="180" t="str">
        <f ca="1"/>
        <v/>
      </c>
      <c r="AB388" s="180" t="str">
        <f ca="1"/>
        <v/>
      </c>
      <c r="AC388" s="180" t="str">
        <f ca="1"/>
        <v/>
      </c>
      <c r="AD388" s="180" t="str">
        <f ca="1"/>
        <v/>
      </c>
      <c r="AE388" s="180" t="str">
        <f ca="1"/>
        <v/>
      </c>
      <c r="AF388" s="180" t="str">
        <f ca="1"/>
        <v/>
      </c>
      <c r="AG388" s="180" t="str">
        <f ca="1"/>
        <v/>
      </c>
      <c r="AH388" s="180" t="str">
        <f ca="1"/>
        <v/>
      </c>
      <c r="AI388" s="180" t="str">
        <f ca="1"/>
        <v/>
      </c>
      <c r="AJ388" s="180" t="str">
        <f ca="1"/>
        <v/>
      </c>
      <c r="AK388" s="180" t="str">
        <f ca="1"/>
        <v/>
      </c>
      <c r="AL388" s="180" t="str">
        <f ca="1"/>
        <v/>
      </c>
      <c r="AM388" s="180" t="str">
        <f ca="1"/>
        <v/>
      </c>
      <c r="AN388" s="180" t="str">
        <f ca="1"/>
        <v/>
      </c>
      <c r="AO388" s="180" t="str">
        <f ca="1"/>
        <v/>
      </c>
      <c r="AP388" s="180" t="str">
        <f ca="1"/>
        <v/>
      </c>
      <c r="AQ388" t="str">
        <f ca="1"/>
        <v/>
      </c>
    </row>
    <row r="389" spans="2:43" x14ac:dyDescent="0.25">
      <c r="B389" s="179" t="str">
        <f ca="1"/>
        <v/>
      </c>
      <c r="C389" s="180" t="str">
        <f ca="1"/>
        <v/>
      </c>
      <c r="D389" s="180" t="str">
        <f ca="1"/>
        <v/>
      </c>
      <c r="E389" s="180" t="str">
        <f ca="1"/>
        <v/>
      </c>
      <c r="F389" s="180" t="str">
        <f ca="1"/>
        <v/>
      </c>
      <c r="G389" s="180" t="str">
        <f ca="1"/>
        <v/>
      </c>
      <c r="H389" s="180" t="str">
        <f ca="1"/>
        <v/>
      </c>
      <c r="I389" s="180" t="str">
        <f ca="1"/>
        <v/>
      </c>
      <c r="J389" s="180" t="str">
        <f ca="1"/>
        <v/>
      </c>
      <c r="K389" s="180" t="str">
        <f ca="1"/>
        <v/>
      </c>
      <c r="L389" s="180" t="str">
        <f ca="1"/>
        <v/>
      </c>
      <c r="M389" s="180" t="str">
        <f ca="1"/>
        <v/>
      </c>
      <c r="N389" s="180" t="str">
        <f ca="1"/>
        <v/>
      </c>
      <c r="O389" s="180" t="str">
        <f ca="1"/>
        <v/>
      </c>
      <c r="P389" s="180" t="str">
        <f ca="1"/>
        <v/>
      </c>
      <c r="Q389" s="180" t="str">
        <f ca="1"/>
        <v/>
      </c>
      <c r="R389" s="180" t="str">
        <f ca="1"/>
        <v/>
      </c>
      <c r="S389" s="180" t="str">
        <f ca="1"/>
        <v/>
      </c>
      <c r="T389" s="180" t="str">
        <f ca="1"/>
        <v/>
      </c>
      <c r="U389" s="180" t="str">
        <f ca="1"/>
        <v/>
      </c>
      <c r="V389" s="180" t="str">
        <f ca="1"/>
        <v/>
      </c>
      <c r="W389" s="180" t="str">
        <f ca="1"/>
        <v/>
      </c>
      <c r="X389" s="180" t="str">
        <f ca="1"/>
        <v/>
      </c>
      <c r="Y389" s="180" t="str">
        <f ca="1"/>
        <v/>
      </c>
      <c r="Z389" s="180" t="str">
        <f ca="1"/>
        <v/>
      </c>
      <c r="AA389" s="180" t="str">
        <f ca="1"/>
        <v/>
      </c>
      <c r="AB389" s="180" t="str">
        <f ca="1"/>
        <v/>
      </c>
      <c r="AC389" s="180" t="str">
        <f ca="1"/>
        <v/>
      </c>
      <c r="AD389" s="180" t="str">
        <f ca="1"/>
        <v/>
      </c>
      <c r="AE389" s="180" t="str">
        <f ca="1"/>
        <v/>
      </c>
      <c r="AF389" s="180" t="str">
        <f ca="1"/>
        <v/>
      </c>
      <c r="AG389" s="180" t="str">
        <f ca="1"/>
        <v/>
      </c>
      <c r="AH389" s="180" t="str">
        <f ca="1"/>
        <v/>
      </c>
      <c r="AI389" s="180" t="str">
        <f ca="1"/>
        <v/>
      </c>
      <c r="AJ389" s="180" t="str">
        <f ca="1"/>
        <v/>
      </c>
      <c r="AK389" s="180" t="str">
        <f ca="1"/>
        <v/>
      </c>
      <c r="AL389" s="180" t="str">
        <f ca="1"/>
        <v/>
      </c>
      <c r="AM389" s="180" t="str">
        <f ca="1"/>
        <v/>
      </c>
      <c r="AN389" s="180" t="str">
        <f ca="1"/>
        <v/>
      </c>
      <c r="AO389" s="180" t="str">
        <f ca="1"/>
        <v/>
      </c>
      <c r="AP389" s="180" t="str">
        <f ca="1"/>
        <v/>
      </c>
      <c r="AQ389" t="str">
        <f ca="1"/>
        <v/>
      </c>
    </row>
    <row r="390" spans="2:43" x14ac:dyDescent="0.25">
      <c r="B390" s="179" t="str">
        <f ca="1"/>
        <v/>
      </c>
      <c r="C390" s="180" t="str">
        <f ca="1"/>
        <v/>
      </c>
      <c r="D390" s="180" t="str">
        <f ca="1"/>
        <v/>
      </c>
      <c r="E390" s="180" t="str">
        <f ca="1"/>
        <v/>
      </c>
      <c r="F390" s="180" t="str">
        <f ca="1"/>
        <v/>
      </c>
      <c r="G390" s="180" t="str">
        <f ca="1"/>
        <v/>
      </c>
      <c r="H390" s="180" t="str">
        <f ca="1"/>
        <v/>
      </c>
      <c r="I390" s="180" t="str">
        <f ca="1"/>
        <v/>
      </c>
      <c r="J390" s="180" t="str">
        <f ca="1"/>
        <v/>
      </c>
      <c r="K390" s="180" t="str">
        <f ca="1"/>
        <v/>
      </c>
      <c r="L390" s="180" t="str">
        <f ca="1"/>
        <v/>
      </c>
      <c r="M390" s="180" t="str">
        <f ca="1"/>
        <v/>
      </c>
      <c r="N390" s="180" t="str">
        <f ca="1"/>
        <v/>
      </c>
      <c r="O390" s="180" t="str">
        <f ca="1"/>
        <v/>
      </c>
      <c r="P390" s="180" t="str">
        <f ca="1"/>
        <v/>
      </c>
      <c r="Q390" s="180" t="str">
        <f ca="1"/>
        <v/>
      </c>
      <c r="R390" s="180" t="str">
        <f ca="1"/>
        <v/>
      </c>
      <c r="S390" s="180" t="str">
        <f ca="1"/>
        <v/>
      </c>
      <c r="T390" s="180" t="str">
        <f ca="1"/>
        <v/>
      </c>
      <c r="U390" s="180" t="str">
        <f ca="1"/>
        <v/>
      </c>
      <c r="V390" s="180" t="str">
        <f ca="1"/>
        <v/>
      </c>
      <c r="W390" s="180" t="str">
        <f ca="1"/>
        <v/>
      </c>
      <c r="X390" s="180" t="str">
        <f ca="1"/>
        <v/>
      </c>
      <c r="Y390" s="180" t="str">
        <f ca="1"/>
        <v/>
      </c>
      <c r="Z390" s="180" t="str">
        <f ca="1"/>
        <v/>
      </c>
      <c r="AA390" s="180" t="str">
        <f ca="1"/>
        <v/>
      </c>
      <c r="AB390" s="180" t="str">
        <f ca="1"/>
        <v/>
      </c>
      <c r="AC390" s="180" t="str">
        <f ca="1"/>
        <v/>
      </c>
      <c r="AD390" s="180" t="str">
        <f ca="1"/>
        <v/>
      </c>
      <c r="AE390" s="180" t="str">
        <f ca="1"/>
        <v/>
      </c>
      <c r="AF390" s="180" t="str">
        <f ca="1"/>
        <v/>
      </c>
      <c r="AG390" s="180" t="str">
        <f ca="1"/>
        <v/>
      </c>
      <c r="AH390" s="180" t="str">
        <f ca="1"/>
        <v/>
      </c>
      <c r="AI390" s="180" t="str">
        <f ca="1"/>
        <v/>
      </c>
      <c r="AJ390" s="180" t="str">
        <f ca="1"/>
        <v/>
      </c>
      <c r="AK390" s="180" t="str">
        <f ca="1"/>
        <v/>
      </c>
      <c r="AL390" s="180" t="str">
        <f ca="1"/>
        <v/>
      </c>
      <c r="AM390" s="180" t="str">
        <f ca="1"/>
        <v/>
      </c>
      <c r="AN390" s="180" t="str">
        <f ca="1"/>
        <v/>
      </c>
      <c r="AO390" s="180" t="str">
        <f ca="1"/>
        <v/>
      </c>
      <c r="AP390" s="180" t="str">
        <f ca="1"/>
        <v/>
      </c>
      <c r="AQ390" t="str">
        <f ca="1"/>
        <v/>
      </c>
    </row>
    <row r="391" spans="2:43" x14ac:dyDescent="0.25">
      <c r="B391" s="179" t="str">
        <f ca="1"/>
        <v/>
      </c>
      <c r="C391" s="180" t="str">
        <f ca="1"/>
        <v/>
      </c>
      <c r="D391" s="180" t="str">
        <f ca="1"/>
        <v/>
      </c>
      <c r="E391" s="180" t="str">
        <f ca="1"/>
        <v/>
      </c>
      <c r="F391" s="180" t="str">
        <f ca="1"/>
        <v/>
      </c>
      <c r="G391" s="180" t="str">
        <f ca="1"/>
        <v/>
      </c>
      <c r="H391" s="180" t="str">
        <f ca="1"/>
        <v/>
      </c>
      <c r="I391" s="180" t="str">
        <f ca="1"/>
        <v/>
      </c>
      <c r="J391" s="180" t="str">
        <f ca="1"/>
        <v/>
      </c>
      <c r="K391" s="180" t="str">
        <f ca="1"/>
        <v/>
      </c>
      <c r="L391" s="180" t="str">
        <f ca="1"/>
        <v/>
      </c>
      <c r="M391" s="180" t="str">
        <f ca="1"/>
        <v/>
      </c>
      <c r="N391" s="180" t="str">
        <f ca="1"/>
        <v/>
      </c>
      <c r="O391" s="180" t="str">
        <f ca="1"/>
        <v/>
      </c>
      <c r="P391" s="180" t="str">
        <f ca="1"/>
        <v/>
      </c>
      <c r="Q391" s="180" t="str">
        <f ca="1"/>
        <v/>
      </c>
      <c r="R391" s="180" t="str">
        <f ca="1"/>
        <v/>
      </c>
      <c r="S391" s="180" t="str">
        <f ca="1"/>
        <v/>
      </c>
      <c r="T391" s="180" t="str">
        <f ca="1"/>
        <v/>
      </c>
      <c r="U391" s="180" t="str">
        <f ca="1"/>
        <v/>
      </c>
      <c r="V391" s="180" t="str">
        <f ca="1"/>
        <v/>
      </c>
      <c r="W391" s="180" t="str">
        <f ca="1"/>
        <v/>
      </c>
      <c r="X391" s="180" t="str">
        <f ca="1"/>
        <v/>
      </c>
      <c r="Y391" s="180" t="str">
        <f ca="1"/>
        <v/>
      </c>
      <c r="Z391" s="180" t="str">
        <f ca="1"/>
        <v/>
      </c>
      <c r="AA391" s="180" t="str">
        <f ca="1"/>
        <v/>
      </c>
      <c r="AB391" s="180" t="str">
        <f ca="1"/>
        <v/>
      </c>
      <c r="AC391" s="180" t="str">
        <f ca="1"/>
        <v/>
      </c>
      <c r="AD391" s="180" t="str">
        <f ca="1"/>
        <v/>
      </c>
      <c r="AE391" s="180" t="str">
        <f ca="1"/>
        <v/>
      </c>
      <c r="AF391" s="180" t="str">
        <f ca="1"/>
        <v/>
      </c>
      <c r="AG391" s="180" t="str">
        <f ca="1"/>
        <v/>
      </c>
      <c r="AH391" s="180" t="str">
        <f ca="1"/>
        <v/>
      </c>
      <c r="AI391" s="180" t="str">
        <f ca="1"/>
        <v/>
      </c>
      <c r="AJ391" s="180" t="str">
        <f ca="1"/>
        <v/>
      </c>
      <c r="AK391" s="180" t="str">
        <f ca="1"/>
        <v/>
      </c>
      <c r="AL391" s="180" t="str">
        <f ca="1"/>
        <v/>
      </c>
      <c r="AM391" s="180" t="str">
        <f ca="1"/>
        <v/>
      </c>
      <c r="AN391" s="180" t="str">
        <f ca="1"/>
        <v/>
      </c>
      <c r="AO391" s="180" t="str">
        <f ca="1"/>
        <v/>
      </c>
      <c r="AP391" s="180" t="str">
        <f ca="1"/>
        <v/>
      </c>
      <c r="AQ391" t="str">
        <f ca="1"/>
        <v/>
      </c>
    </row>
    <row r="392" spans="2:43" x14ac:dyDescent="0.25">
      <c r="B392" s="179" t="str">
        <f ca="1"/>
        <v/>
      </c>
      <c r="C392" s="180" t="str">
        <f ca="1"/>
        <v/>
      </c>
      <c r="D392" s="180" t="str">
        <f ca="1"/>
        <v/>
      </c>
      <c r="E392" s="180" t="str">
        <f ca="1"/>
        <v/>
      </c>
      <c r="F392" s="180" t="str">
        <f ca="1"/>
        <v/>
      </c>
      <c r="G392" s="180" t="str">
        <f ca="1"/>
        <v/>
      </c>
      <c r="H392" s="180" t="str">
        <f ca="1"/>
        <v/>
      </c>
      <c r="I392" s="180" t="str">
        <f ca="1"/>
        <v/>
      </c>
      <c r="J392" s="180" t="str">
        <f ca="1"/>
        <v/>
      </c>
      <c r="K392" s="180" t="str">
        <f ca="1"/>
        <v/>
      </c>
      <c r="L392" s="180" t="str">
        <f ca="1"/>
        <v/>
      </c>
      <c r="M392" s="180" t="str">
        <f ca="1"/>
        <v/>
      </c>
      <c r="N392" s="180" t="str">
        <f ca="1"/>
        <v/>
      </c>
      <c r="O392" s="180" t="str">
        <f ca="1"/>
        <v/>
      </c>
      <c r="P392" s="180" t="str">
        <f ca="1"/>
        <v/>
      </c>
      <c r="Q392" s="180" t="str">
        <f ca="1"/>
        <v/>
      </c>
      <c r="R392" s="180" t="str">
        <f ca="1"/>
        <v/>
      </c>
      <c r="S392" s="180" t="str">
        <f ca="1"/>
        <v/>
      </c>
      <c r="T392" s="180" t="str">
        <f ca="1"/>
        <v/>
      </c>
      <c r="U392" s="180" t="str">
        <f ca="1"/>
        <v/>
      </c>
      <c r="V392" s="180" t="str">
        <f ca="1"/>
        <v/>
      </c>
      <c r="W392" s="180" t="str">
        <f ca="1"/>
        <v/>
      </c>
      <c r="X392" s="180" t="str">
        <f ca="1"/>
        <v/>
      </c>
      <c r="Y392" s="180" t="str">
        <f ca="1"/>
        <v/>
      </c>
      <c r="Z392" s="180" t="str">
        <f ca="1"/>
        <v/>
      </c>
      <c r="AA392" s="180" t="str">
        <f ca="1"/>
        <v/>
      </c>
      <c r="AB392" s="180" t="str">
        <f ca="1"/>
        <v/>
      </c>
      <c r="AC392" s="180" t="str">
        <f ca="1"/>
        <v/>
      </c>
      <c r="AD392" s="180" t="str">
        <f ca="1"/>
        <v/>
      </c>
      <c r="AE392" s="180" t="str">
        <f ca="1"/>
        <v/>
      </c>
      <c r="AF392" s="180" t="str">
        <f ca="1"/>
        <v/>
      </c>
      <c r="AG392" s="180" t="str">
        <f ca="1"/>
        <v/>
      </c>
      <c r="AH392" s="180" t="str">
        <f ca="1"/>
        <v/>
      </c>
      <c r="AI392" s="180" t="str">
        <f ca="1"/>
        <v/>
      </c>
      <c r="AJ392" s="180" t="str">
        <f ca="1"/>
        <v/>
      </c>
      <c r="AK392" s="180" t="str">
        <f ca="1"/>
        <v/>
      </c>
      <c r="AL392" s="180" t="str">
        <f ca="1"/>
        <v/>
      </c>
      <c r="AM392" s="180" t="str">
        <f ca="1"/>
        <v/>
      </c>
      <c r="AN392" s="180" t="str">
        <f ca="1"/>
        <v/>
      </c>
      <c r="AO392" s="180" t="str">
        <f ca="1"/>
        <v/>
      </c>
      <c r="AP392" s="180" t="str">
        <f ca="1"/>
        <v/>
      </c>
      <c r="AQ392" t="str">
        <f ca="1"/>
        <v/>
      </c>
    </row>
    <row r="393" spans="2:43" x14ac:dyDescent="0.25">
      <c r="B393" s="179" t="str">
        <f ca="1"/>
        <v/>
      </c>
      <c r="C393" s="180" t="str">
        <f ca="1"/>
        <v/>
      </c>
      <c r="D393" s="180" t="str">
        <f ca="1"/>
        <v/>
      </c>
      <c r="E393" s="180" t="str">
        <f ca="1"/>
        <v/>
      </c>
      <c r="F393" s="180" t="str">
        <f ca="1"/>
        <v/>
      </c>
      <c r="G393" s="180" t="str">
        <f ca="1"/>
        <v/>
      </c>
      <c r="H393" s="180" t="str">
        <f ca="1"/>
        <v/>
      </c>
      <c r="I393" s="180" t="str">
        <f ca="1"/>
        <v/>
      </c>
      <c r="J393" s="180" t="str">
        <f ca="1"/>
        <v/>
      </c>
      <c r="K393" s="180" t="str">
        <f ca="1"/>
        <v/>
      </c>
      <c r="L393" s="180" t="str">
        <f ca="1"/>
        <v/>
      </c>
      <c r="M393" s="180" t="str">
        <f ca="1"/>
        <v/>
      </c>
      <c r="N393" s="180" t="str">
        <f ca="1"/>
        <v/>
      </c>
      <c r="O393" s="180" t="str">
        <f ca="1"/>
        <v/>
      </c>
      <c r="P393" s="180" t="str">
        <f ca="1"/>
        <v/>
      </c>
      <c r="Q393" s="180" t="str">
        <f ca="1"/>
        <v/>
      </c>
      <c r="R393" s="180" t="str">
        <f ca="1"/>
        <v/>
      </c>
      <c r="S393" s="180" t="str">
        <f ca="1"/>
        <v/>
      </c>
      <c r="T393" s="180" t="str">
        <f ca="1"/>
        <v/>
      </c>
      <c r="U393" s="180" t="str">
        <f ca="1"/>
        <v/>
      </c>
      <c r="V393" s="180" t="str">
        <f ca="1"/>
        <v/>
      </c>
      <c r="W393" s="180" t="str">
        <f ca="1"/>
        <v/>
      </c>
      <c r="X393" s="180" t="str">
        <f ca="1"/>
        <v/>
      </c>
      <c r="Y393" s="180" t="str">
        <f ca="1"/>
        <v/>
      </c>
      <c r="Z393" s="180" t="str">
        <f ca="1"/>
        <v/>
      </c>
      <c r="AA393" s="180" t="str">
        <f ca="1"/>
        <v/>
      </c>
      <c r="AB393" s="180" t="str">
        <f ca="1"/>
        <v/>
      </c>
      <c r="AC393" s="180" t="str">
        <f ca="1"/>
        <v/>
      </c>
      <c r="AD393" s="180" t="str">
        <f ca="1"/>
        <v/>
      </c>
      <c r="AE393" s="180" t="str">
        <f ca="1"/>
        <v/>
      </c>
      <c r="AF393" s="180" t="str">
        <f ca="1"/>
        <v/>
      </c>
      <c r="AG393" s="180" t="str">
        <f ca="1"/>
        <v/>
      </c>
      <c r="AH393" s="180" t="str">
        <f ca="1"/>
        <v/>
      </c>
      <c r="AI393" s="180" t="str">
        <f ca="1"/>
        <v/>
      </c>
      <c r="AJ393" s="180" t="str">
        <f ca="1"/>
        <v/>
      </c>
      <c r="AK393" s="180" t="str">
        <f ca="1"/>
        <v/>
      </c>
      <c r="AL393" s="180" t="str">
        <f ca="1"/>
        <v/>
      </c>
      <c r="AM393" s="180" t="str">
        <f ca="1"/>
        <v/>
      </c>
      <c r="AN393" s="180" t="str">
        <f ca="1"/>
        <v/>
      </c>
      <c r="AO393" s="180" t="str">
        <f ca="1"/>
        <v/>
      </c>
      <c r="AP393" s="180" t="str">
        <f ca="1"/>
        <v/>
      </c>
      <c r="AQ393" t="str">
        <f ca="1"/>
        <v/>
      </c>
    </row>
    <row r="394" spans="2:43" x14ac:dyDescent="0.25">
      <c r="B394" s="179" t="str">
        <f ca="1"/>
        <v/>
      </c>
      <c r="C394" s="180" t="str">
        <f ca="1"/>
        <v/>
      </c>
      <c r="D394" s="180" t="str">
        <f ca="1"/>
        <v/>
      </c>
      <c r="E394" s="180" t="str">
        <f ca="1"/>
        <v/>
      </c>
      <c r="F394" s="180" t="str">
        <f ca="1"/>
        <v/>
      </c>
      <c r="G394" s="180" t="str">
        <f ca="1"/>
        <v/>
      </c>
      <c r="H394" s="180" t="str">
        <f ca="1"/>
        <v/>
      </c>
      <c r="I394" s="180" t="str">
        <f ca="1"/>
        <v/>
      </c>
      <c r="J394" s="180" t="str">
        <f ca="1"/>
        <v/>
      </c>
      <c r="K394" s="180" t="str">
        <f ca="1"/>
        <v/>
      </c>
      <c r="L394" s="180" t="str">
        <f ca="1"/>
        <v/>
      </c>
      <c r="M394" s="180" t="str">
        <f ca="1"/>
        <v/>
      </c>
      <c r="N394" s="180" t="str">
        <f ca="1"/>
        <v/>
      </c>
      <c r="O394" s="180" t="str">
        <f ca="1"/>
        <v/>
      </c>
      <c r="P394" s="180" t="str">
        <f ca="1"/>
        <v/>
      </c>
      <c r="Q394" s="180" t="str">
        <f ca="1"/>
        <v/>
      </c>
      <c r="R394" s="180" t="str">
        <f ca="1"/>
        <v/>
      </c>
      <c r="S394" s="180" t="str">
        <f ca="1"/>
        <v/>
      </c>
      <c r="T394" s="180" t="str">
        <f ca="1"/>
        <v/>
      </c>
      <c r="U394" s="180" t="str">
        <f ca="1"/>
        <v/>
      </c>
      <c r="V394" s="180" t="str">
        <f ca="1"/>
        <v/>
      </c>
      <c r="W394" s="180" t="str">
        <f ca="1"/>
        <v/>
      </c>
      <c r="X394" s="180" t="str">
        <f ca="1"/>
        <v/>
      </c>
      <c r="Y394" s="180" t="str">
        <f ca="1"/>
        <v/>
      </c>
      <c r="Z394" s="180" t="str">
        <f ca="1"/>
        <v/>
      </c>
      <c r="AA394" s="180" t="str">
        <f ca="1"/>
        <v/>
      </c>
      <c r="AB394" s="180" t="str">
        <f ca="1"/>
        <v/>
      </c>
      <c r="AC394" s="180" t="str">
        <f ca="1"/>
        <v/>
      </c>
      <c r="AD394" s="180" t="str">
        <f ca="1"/>
        <v/>
      </c>
      <c r="AE394" s="180" t="str">
        <f ca="1"/>
        <v/>
      </c>
      <c r="AF394" s="180" t="str">
        <f ca="1"/>
        <v/>
      </c>
      <c r="AG394" s="180" t="str">
        <f ca="1"/>
        <v/>
      </c>
      <c r="AH394" s="180" t="str">
        <f ca="1"/>
        <v/>
      </c>
      <c r="AI394" s="180" t="str">
        <f ca="1"/>
        <v/>
      </c>
      <c r="AJ394" s="180" t="str">
        <f ca="1"/>
        <v/>
      </c>
      <c r="AK394" s="180" t="str">
        <f ca="1"/>
        <v/>
      </c>
      <c r="AL394" s="180" t="str">
        <f ca="1"/>
        <v/>
      </c>
      <c r="AM394" s="180" t="str">
        <f ca="1"/>
        <v/>
      </c>
      <c r="AN394" s="180" t="str">
        <f ca="1"/>
        <v/>
      </c>
      <c r="AO394" s="180" t="str">
        <f ca="1"/>
        <v/>
      </c>
      <c r="AP394" s="180" t="str">
        <f ca="1"/>
        <v/>
      </c>
      <c r="AQ394" t="str">
        <f ca="1"/>
        <v/>
      </c>
    </row>
    <row r="395" spans="2:43" x14ac:dyDescent="0.25">
      <c r="B395" s="179" t="str">
        <f ca="1"/>
        <v/>
      </c>
      <c r="C395" s="180" t="str">
        <f ca="1"/>
        <v/>
      </c>
      <c r="D395" s="180" t="str">
        <f ca="1"/>
        <v/>
      </c>
      <c r="E395" s="180" t="str">
        <f ca="1"/>
        <v/>
      </c>
      <c r="F395" s="180" t="str">
        <f ca="1"/>
        <v/>
      </c>
      <c r="G395" s="180" t="str">
        <f ca="1"/>
        <v/>
      </c>
      <c r="H395" s="180" t="str">
        <f ca="1"/>
        <v/>
      </c>
      <c r="I395" s="180" t="str">
        <f ca="1"/>
        <v/>
      </c>
      <c r="J395" s="180" t="str">
        <f ca="1"/>
        <v/>
      </c>
      <c r="K395" s="180" t="str">
        <f ca="1"/>
        <v/>
      </c>
      <c r="L395" s="180" t="str">
        <f ca="1"/>
        <v/>
      </c>
      <c r="M395" s="180" t="str">
        <f ca="1"/>
        <v/>
      </c>
      <c r="N395" s="180" t="str">
        <f ca="1"/>
        <v/>
      </c>
      <c r="O395" s="180" t="str">
        <f ca="1"/>
        <v/>
      </c>
      <c r="P395" s="180" t="str">
        <f ca="1"/>
        <v/>
      </c>
      <c r="Q395" s="180" t="str">
        <f ca="1"/>
        <v/>
      </c>
      <c r="R395" s="180" t="str">
        <f ca="1"/>
        <v/>
      </c>
      <c r="S395" s="180" t="str">
        <f ca="1"/>
        <v/>
      </c>
      <c r="T395" s="180" t="str">
        <f ca="1"/>
        <v/>
      </c>
      <c r="U395" s="180" t="str">
        <f ca="1"/>
        <v/>
      </c>
      <c r="V395" s="180" t="str">
        <f ca="1"/>
        <v/>
      </c>
      <c r="W395" s="180" t="str">
        <f ca="1"/>
        <v/>
      </c>
      <c r="X395" s="180" t="str">
        <f ca="1"/>
        <v/>
      </c>
      <c r="Y395" s="180" t="str">
        <f ca="1"/>
        <v/>
      </c>
      <c r="Z395" s="180" t="str">
        <f ca="1"/>
        <v/>
      </c>
      <c r="AA395" s="180" t="str">
        <f ca="1"/>
        <v/>
      </c>
      <c r="AB395" s="180" t="str">
        <f ca="1"/>
        <v/>
      </c>
      <c r="AC395" s="180" t="str">
        <f ca="1"/>
        <v/>
      </c>
      <c r="AD395" s="180" t="str">
        <f ca="1"/>
        <v/>
      </c>
      <c r="AE395" s="180" t="str">
        <f ca="1"/>
        <v/>
      </c>
      <c r="AF395" s="180" t="str">
        <f ca="1"/>
        <v/>
      </c>
      <c r="AG395" s="180" t="str">
        <f ca="1"/>
        <v/>
      </c>
      <c r="AH395" s="180" t="str">
        <f ca="1"/>
        <v/>
      </c>
      <c r="AI395" s="180" t="str">
        <f ca="1"/>
        <v/>
      </c>
      <c r="AJ395" s="180" t="str">
        <f ca="1"/>
        <v/>
      </c>
      <c r="AK395" s="180" t="str">
        <f ca="1"/>
        <v/>
      </c>
      <c r="AL395" s="180" t="str">
        <f ca="1"/>
        <v/>
      </c>
      <c r="AM395" s="180" t="str">
        <f ca="1"/>
        <v/>
      </c>
      <c r="AN395" s="180" t="str">
        <f ca="1"/>
        <v/>
      </c>
      <c r="AO395" s="180" t="str">
        <f ca="1"/>
        <v/>
      </c>
      <c r="AP395" s="180" t="str">
        <f ca="1"/>
        <v/>
      </c>
      <c r="AQ395" t="str">
        <f ca="1"/>
        <v/>
      </c>
    </row>
    <row r="396" spans="2:43" x14ac:dyDescent="0.25">
      <c r="B396" s="179" t="str">
        <f ca="1"/>
        <v/>
      </c>
      <c r="C396" s="180" t="str">
        <f ca="1"/>
        <v/>
      </c>
      <c r="D396" s="180" t="str">
        <f ca="1"/>
        <v/>
      </c>
      <c r="E396" s="180" t="str">
        <f ca="1"/>
        <v/>
      </c>
      <c r="F396" s="180" t="str">
        <f ca="1"/>
        <v/>
      </c>
      <c r="G396" s="180" t="str">
        <f ca="1"/>
        <v/>
      </c>
      <c r="H396" s="180" t="str">
        <f ca="1"/>
        <v/>
      </c>
      <c r="I396" s="180" t="str">
        <f ca="1"/>
        <v/>
      </c>
      <c r="J396" s="180" t="str">
        <f ca="1"/>
        <v/>
      </c>
      <c r="K396" s="180" t="str">
        <f ca="1"/>
        <v/>
      </c>
      <c r="L396" s="180" t="str">
        <f ca="1"/>
        <v/>
      </c>
      <c r="M396" s="180" t="str">
        <f ca="1"/>
        <v/>
      </c>
      <c r="N396" s="180" t="str">
        <f ca="1"/>
        <v/>
      </c>
      <c r="O396" s="180" t="str">
        <f ca="1"/>
        <v/>
      </c>
      <c r="P396" s="180" t="str">
        <f ca="1"/>
        <v/>
      </c>
      <c r="Q396" s="180" t="str">
        <f ca="1"/>
        <v/>
      </c>
      <c r="R396" s="180" t="str">
        <f ca="1"/>
        <v/>
      </c>
      <c r="S396" s="180" t="str">
        <f ca="1"/>
        <v/>
      </c>
      <c r="T396" s="180" t="str">
        <f ca="1"/>
        <v/>
      </c>
      <c r="U396" s="180" t="str">
        <f ca="1"/>
        <v/>
      </c>
      <c r="V396" s="180" t="str">
        <f ca="1"/>
        <v/>
      </c>
      <c r="W396" s="180" t="str">
        <f ca="1"/>
        <v/>
      </c>
      <c r="X396" s="180" t="str">
        <f ca="1"/>
        <v/>
      </c>
      <c r="Y396" s="180" t="str">
        <f ca="1"/>
        <v/>
      </c>
      <c r="Z396" s="180" t="str">
        <f ca="1"/>
        <v/>
      </c>
      <c r="AA396" s="180" t="str">
        <f ca="1"/>
        <v/>
      </c>
      <c r="AB396" s="180" t="str">
        <f ca="1"/>
        <v/>
      </c>
      <c r="AC396" s="180" t="str">
        <f ca="1"/>
        <v/>
      </c>
      <c r="AD396" s="180" t="str">
        <f ca="1"/>
        <v/>
      </c>
      <c r="AE396" s="180" t="str">
        <f ca="1"/>
        <v/>
      </c>
      <c r="AF396" s="180" t="str">
        <f ca="1"/>
        <v/>
      </c>
      <c r="AG396" s="180" t="str">
        <f ca="1"/>
        <v/>
      </c>
      <c r="AH396" s="180" t="str">
        <f ca="1"/>
        <v/>
      </c>
      <c r="AI396" s="180" t="str">
        <f ca="1"/>
        <v/>
      </c>
      <c r="AJ396" s="180" t="str">
        <f ca="1"/>
        <v/>
      </c>
      <c r="AK396" s="180" t="str">
        <f ca="1"/>
        <v/>
      </c>
      <c r="AL396" s="180" t="str">
        <f ca="1"/>
        <v/>
      </c>
      <c r="AM396" s="180" t="str">
        <f ca="1"/>
        <v/>
      </c>
      <c r="AN396" s="180" t="str">
        <f ca="1"/>
        <v/>
      </c>
      <c r="AO396" s="180" t="str">
        <f ca="1"/>
        <v/>
      </c>
      <c r="AP396" s="180" t="str">
        <f ca="1"/>
        <v/>
      </c>
      <c r="AQ396" t="str">
        <f ca="1"/>
        <v/>
      </c>
    </row>
    <row r="397" spans="2:43" x14ac:dyDescent="0.25">
      <c r="B397" s="179" t="str">
        <f ca="1"/>
        <v/>
      </c>
      <c r="C397" s="180" t="str">
        <f ca="1"/>
        <v/>
      </c>
      <c r="D397" s="180" t="str">
        <f ca="1"/>
        <v/>
      </c>
      <c r="E397" s="180" t="str">
        <f ca="1"/>
        <v/>
      </c>
      <c r="F397" s="180" t="str">
        <f ca="1"/>
        <v/>
      </c>
      <c r="G397" s="180" t="str">
        <f ca="1"/>
        <v/>
      </c>
      <c r="H397" s="180" t="str">
        <f ca="1"/>
        <v/>
      </c>
      <c r="I397" s="180" t="str">
        <f ca="1"/>
        <v/>
      </c>
      <c r="J397" s="180" t="str">
        <f ca="1"/>
        <v/>
      </c>
      <c r="K397" s="180" t="str">
        <f ca="1"/>
        <v/>
      </c>
      <c r="L397" s="180" t="str">
        <f ca="1"/>
        <v/>
      </c>
      <c r="M397" s="180" t="str">
        <f ca="1"/>
        <v/>
      </c>
      <c r="N397" s="180" t="str">
        <f ca="1"/>
        <v/>
      </c>
      <c r="O397" s="180" t="str">
        <f ca="1"/>
        <v/>
      </c>
      <c r="P397" s="180" t="str">
        <f ca="1"/>
        <v/>
      </c>
      <c r="Q397" s="180" t="str">
        <f ca="1"/>
        <v/>
      </c>
      <c r="R397" s="180" t="str">
        <f ca="1"/>
        <v/>
      </c>
      <c r="S397" s="180" t="str">
        <f ca="1"/>
        <v/>
      </c>
      <c r="T397" s="180" t="str">
        <f ca="1"/>
        <v/>
      </c>
      <c r="U397" s="180" t="str">
        <f ca="1"/>
        <v/>
      </c>
      <c r="V397" s="180" t="str">
        <f ca="1"/>
        <v/>
      </c>
      <c r="W397" s="180" t="str">
        <f ca="1"/>
        <v/>
      </c>
      <c r="X397" s="180" t="str">
        <f ca="1"/>
        <v/>
      </c>
      <c r="Y397" s="180" t="str">
        <f ca="1"/>
        <v/>
      </c>
      <c r="Z397" s="180" t="str">
        <f ca="1"/>
        <v/>
      </c>
      <c r="AA397" s="180" t="str">
        <f ca="1"/>
        <v/>
      </c>
      <c r="AB397" s="180" t="str">
        <f ca="1"/>
        <v/>
      </c>
      <c r="AC397" s="180" t="str">
        <f ca="1"/>
        <v/>
      </c>
      <c r="AD397" s="180" t="str">
        <f ca="1"/>
        <v/>
      </c>
      <c r="AE397" s="180" t="str">
        <f ca="1"/>
        <v/>
      </c>
      <c r="AF397" s="180" t="str">
        <f ca="1"/>
        <v/>
      </c>
      <c r="AG397" s="180" t="str">
        <f ca="1"/>
        <v/>
      </c>
      <c r="AH397" s="180" t="str">
        <f ca="1"/>
        <v/>
      </c>
      <c r="AI397" s="180" t="str">
        <f ca="1"/>
        <v/>
      </c>
      <c r="AJ397" s="180" t="str">
        <f ca="1"/>
        <v/>
      </c>
      <c r="AK397" s="180" t="str">
        <f ca="1"/>
        <v/>
      </c>
      <c r="AL397" s="180" t="str">
        <f ca="1"/>
        <v/>
      </c>
      <c r="AM397" s="180" t="str">
        <f ca="1"/>
        <v/>
      </c>
      <c r="AN397" s="180" t="str">
        <f ca="1"/>
        <v/>
      </c>
      <c r="AO397" s="180" t="str">
        <f ca="1"/>
        <v/>
      </c>
      <c r="AP397" s="180" t="str">
        <f ca="1"/>
        <v/>
      </c>
      <c r="AQ397" t="str">
        <f ca="1"/>
        <v/>
      </c>
    </row>
    <row r="398" spans="2:43" x14ac:dyDescent="0.25">
      <c r="B398" s="179" t="str">
        <f ca="1"/>
        <v/>
      </c>
      <c r="C398" s="180" t="str">
        <f ca="1"/>
        <v/>
      </c>
      <c r="D398" s="180" t="str">
        <f ca="1"/>
        <v/>
      </c>
      <c r="E398" s="180" t="str">
        <f ca="1"/>
        <v/>
      </c>
      <c r="F398" s="180" t="str">
        <f ca="1"/>
        <v/>
      </c>
      <c r="G398" s="180" t="str">
        <f ca="1"/>
        <v/>
      </c>
      <c r="H398" s="180" t="str">
        <f ca="1"/>
        <v/>
      </c>
      <c r="I398" s="180" t="str">
        <f ca="1"/>
        <v/>
      </c>
      <c r="J398" s="180" t="str">
        <f ca="1"/>
        <v/>
      </c>
      <c r="K398" s="180" t="str">
        <f ca="1"/>
        <v/>
      </c>
      <c r="L398" s="180" t="str">
        <f ca="1"/>
        <v/>
      </c>
      <c r="M398" s="180" t="str">
        <f ca="1"/>
        <v/>
      </c>
      <c r="N398" s="180" t="str">
        <f ca="1"/>
        <v/>
      </c>
      <c r="O398" s="180" t="str">
        <f ca="1"/>
        <v/>
      </c>
      <c r="P398" s="180" t="str">
        <f ca="1"/>
        <v/>
      </c>
      <c r="Q398" s="180" t="str">
        <f ca="1"/>
        <v/>
      </c>
      <c r="R398" s="180" t="str">
        <f ca="1"/>
        <v/>
      </c>
      <c r="S398" s="180" t="str">
        <f ca="1"/>
        <v/>
      </c>
      <c r="T398" s="180" t="str">
        <f ca="1"/>
        <v/>
      </c>
      <c r="U398" s="180" t="str">
        <f ca="1"/>
        <v/>
      </c>
      <c r="V398" s="180" t="str">
        <f ca="1"/>
        <v/>
      </c>
      <c r="W398" s="180" t="str">
        <f ca="1"/>
        <v/>
      </c>
      <c r="X398" s="180" t="str">
        <f ca="1"/>
        <v/>
      </c>
      <c r="Y398" s="180" t="str">
        <f ca="1"/>
        <v/>
      </c>
      <c r="Z398" s="180" t="str">
        <f ca="1"/>
        <v/>
      </c>
      <c r="AA398" s="180" t="str">
        <f ca="1"/>
        <v/>
      </c>
      <c r="AB398" s="180" t="str">
        <f ca="1"/>
        <v/>
      </c>
      <c r="AC398" s="180" t="str">
        <f ca="1"/>
        <v/>
      </c>
      <c r="AD398" s="180" t="str">
        <f ca="1"/>
        <v/>
      </c>
      <c r="AE398" s="180" t="str">
        <f ca="1"/>
        <v/>
      </c>
      <c r="AF398" s="180" t="str">
        <f ca="1"/>
        <v/>
      </c>
      <c r="AG398" s="180" t="str">
        <f ca="1"/>
        <v/>
      </c>
      <c r="AH398" s="180" t="str">
        <f ca="1"/>
        <v/>
      </c>
      <c r="AI398" s="180" t="str">
        <f ca="1"/>
        <v/>
      </c>
      <c r="AJ398" s="180" t="str">
        <f ca="1"/>
        <v/>
      </c>
      <c r="AK398" s="180" t="str">
        <f ca="1"/>
        <v/>
      </c>
      <c r="AL398" s="180" t="str">
        <f ca="1"/>
        <v/>
      </c>
      <c r="AM398" s="180" t="str">
        <f ca="1"/>
        <v/>
      </c>
      <c r="AN398" s="180" t="str">
        <f ca="1"/>
        <v/>
      </c>
      <c r="AO398" s="180" t="str">
        <f ca="1"/>
        <v/>
      </c>
      <c r="AP398" s="180" t="str">
        <f ca="1"/>
        <v/>
      </c>
      <c r="AQ398" t="str">
        <f ca="1"/>
        <v/>
      </c>
    </row>
    <row r="399" spans="2:43" x14ac:dyDescent="0.25">
      <c r="B399" s="179" t="str">
        <f ca="1"/>
        <v/>
      </c>
      <c r="C399" s="180" t="str">
        <f ca="1"/>
        <v/>
      </c>
      <c r="D399" s="180" t="str">
        <f ca="1"/>
        <v/>
      </c>
      <c r="E399" s="180" t="str">
        <f ca="1"/>
        <v/>
      </c>
      <c r="F399" s="180" t="str">
        <f ca="1"/>
        <v/>
      </c>
      <c r="G399" s="180" t="str">
        <f ca="1"/>
        <v/>
      </c>
      <c r="H399" s="180" t="str">
        <f ca="1"/>
        <v/>
      </c>
      <c r="I399" s="180" t="str">
        <f ca="1"/>
        <v/>
      </c>
      <c r="J399" s="180" t="str">
        <f ca="1"/>
        <v/>
      </c>
      <c r="K399" s="180" t="str">
        <f ca="1"/>
        <v/>
      </c>
      <c r="L399" s="180" t="str">
        <f ca="1"/>
        <v/>
      </c>
      <c r="M399" s="180" t="str">
        <f ca="1"/>
        <v/>
      </c>
      <c r="N399" s="180" t="str">
        <f ca="1"/>
        <v/>
      </c>
      <c r="O399" s="180" t="str">
        <f ca="1"/>
        <v/>
      </c>
      <c r="P399" s="180" t="str">
        <f ca="1"/>
        <v/>
      </c>
      <c r="Q399" s="180" t="str">
        <f ca="1"/>
        <v/>
      </c>
      <c r="R399" s="180" t="str">
        <f ca="1"/>
        <v/>
      </c>
      <c r="S399" s="180" t="str">
        <f ca="1"/>
        <v/>
      </c>
      <c r="T399" s="180" t="str">
        <f ca="1"/>
        <v/>
      </c>
      <c r="U399" s="180" t="str">
        <f ca="1"/>
        <v/>
      </c>
      <c r="V399" s="180" t="str">
        <f ca="1"/>
        <v/>
      </c>
      <c r="W399" s="180" t="str">
        <f ca="1"/>
        <v/>
      </c>
      <c r="X399" s="180" t="str">
        <f ca="1"/>
        <v/>
      </c>
      <c r="Y399" s="180" t="str">
        <f ca="1"/>
        <v/>
      </c>
      <c r="Z399" s="180" t="str">
        <f ca="1"/>
        <v/>
      </c>
      <c r="AA399" s="180" t="str">
        <f ca="1"/>
        <v/>
      </c>
      <c r="AB399" s="180" t="str">
        <f ca="1"/>
        <v/>
      </c>
      <c r="AC399" s="180" t="str">
        <f ca="1"/>
        <v/>
      </c>
      <c r="AD399" s="180" t="str">
        <f ca="1"/>
        <v/>
      </c>
      <c r="AE399" s="180" t="str">
        <f ca="1"/>
        <v/>
      </c>
      <c r="AF399" s="180" t="str">
        <f ca="1"/>
        <v/>
      </c>
      <c r="AG399" s="180" t="str">
        <f ca="1"/>
        <v/>
      </c>
      <c r="AH399" s="180" t="str">
        <f ca="1"/>
        <v/>
      </c>
      <c r="AI399" s="180" t="str">
        <f ca="1"/>
        <v/>
      </c>
      <c r="AJ399" s="180" t="str">
        <f ca="1"/>
        <v/>
      </c>
      <c r="AK399" s="180" t="str">
        <f ca="1"/>
        <v/>
      </c>
      <c r="AL399" s="180" t="str">
        <f ca="1"/>
        <v/>
      </c>
      <c r="AM399" s="180" t="str">
        <f ca="1"/>
        <v/>
      </c>
      <c r="AN399" s="180" t="str">
        <f ca="1"/>
        <v/>
      </c>
      <c r="AO399" s="180" t="str">
        <f ca="1"/>
        <v/>
      </c>
      <c r="AP399" s="180" t="str">
        <f ca="1"/>
        <v/>
      </c>
      <c r="AQ399" t="str">
        <f ca="1"/>
        <v/>
      </c>
    </row>
  </sheetData>
  <conditionalFormatting sqref="C15:AQ399">
    <cfRule type="cellIs" dxfId="5" priority="1" operator="between">
      <formula>-0.000000000001</formula>
      <formula>0.000000000001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399"/>
  <sheetViews>
    <sheetView showGridLines="0" workbookViewId="0"/>
  </sheetViews>
  <sheetFormatPr defaultRowHeight="15" x14ac:dyDescent="0.25"/>
  <cols>
    <col min="2" max="3" width="19.42578125" bestFit="1" customWidth="1"/>
    <col min="4" max="5" width="15.7109375" customWidth="1"/>
    <col min="6" max="6" width="17.7109375" bestFit="1" customWidth="1"/>
    <col min="7" max="26" width="12.7109375" customWidth="1"/>
    <col min="27" max="41" width="9.28515625" bestFit="1" customWidth="1"/>
    <col min="42" max="42" width="12.7109375" bestFit="1" customWidth="1"/>
    <col min="43" max="43" width="9.28515625" bestFit="1" customWidth="1"/>
  </cols>
  <sheetData>
    <row r="2" spans="2:43" x14ac:dyDescent="0.25">
      <c r="C2" s="184" t="s">
        <v>219</v>
      </c>
      <c r="F2" s="184" t="s">
        <v>220</v>
      </c>
      <c r="I2" s="133" t="s">
        <v>221</v>
      </c>
    </row>
    <row r="3" spans="2:43" x14ac:dyDescent="0.25">
      <c r="B3" s="133" t="s">
        <v>222</v>
      </c>
      <c r="C3" s="183" t="s">
        <v>24</v>
      </c>
      <c r="F3" s="146" t="s">
        <v>223</v>
      </c>
      <c r="I3" s="146" t="s">
        <v>224</v>
      </c>
      <c r="J3" s="146"/>
    </row>
    <row r="4" spans="2:43" x14ac:dyDescent="0.25">
      <c r="B4" s="133" t="s">
        <v>225</v>
      </c>
      <c r="C4" s="183" t="str">
        <f ca="1">F4</f>
        <v>USD3ML</v>
      </c>
      <c r="F4" s="146" t="s">
        <v>226</v>
      </c>
      <c r="I4" s="146" t="s">
        <v>227</v>
      </c>
      <c r="J4" s="146"/>
    </row>
    <row r="5" spans="2:43" x14ac:dyDescent="0.25">
      <c r="B5" s="133" t="s">
        <v>228</v>
      </c>
      <c r="C5" s="183" t="str">
        <f ca="1">I4</f>
        <v>Forward_Rates</v>
      </c>
      <c r="F5" s="146" t="s">
        <v>229</v>
      </c>
    </row>
    <row r="7" spans="2:43" x14ac:dyDescent="0.25">
      <c r="B7" s="11" t="str">
        <f t="array" aca="1" ref="B7:AQ399" ca="1">_xll.meUtilityResize(_xll.meCurveResultsJacobianDisplay(C3,C4,C5),8000,50)</f>
        <v>RiskType</v>
      </c>
      <c r="C7" s="181" t="str">
        <f ca="1"/>
        <v>FORWARD_RATES</v>
      </c>
      <c r="D7" s="11" t="str">
        <f ca="1"/>
        <v/>
      </c>
      <c r="E7" s="11" t="str">
        <f ca="1"/>
        <v/>
      </c>
      <c r="F7" s="11" t="str">
        <f ca="1"/>
        <v/>
      </c>
      <c r="G7" s="11" t="str">
        <f ca="1"/>
        <v/>
      </c>
      <c r="H7" s="11" t="str">
        <f ca="1"/>
        <v/>
      </c>
      <c r="I7" s="11" t="str">
        <f ca="1"/>
        <v/>
      </c>
      <c r="J7" s="11" t="str">
        <f ca="1"/>
        <v/>
      </c>
      <c r="K7" s="11" t="str">
        <f ca="1"/>
        <v/>
      </c>
      <c r="L7" s="11" t="str">
        <f ca="1"/>
        <v/>
      </c>
      <c r="M7" s="11" t="str">
        <f ca="1"/>
        <v/>
      </c>
      <c r="N7" s="11" t="str">
        <f ca="1"/>
        <v/>
      </c>
      <c r="O7" s="11" t="str">
        <f ca="1"/>
        <v/>
      </c>
      <c r="P7" s="11" t="str">
        <f ca="1"/>
        <v/>
      </c>
      <c r="Q7" s="11" t="str">
        <f ca="1"/>
        <v/>
      </c>
      <c r="R7" s="11" t="str">
        <f ca="1"/>
        <v/>
      </c>
      <c r="S7" s="11" t="str">
        <f ca="1"/>
        <v/>
      </c>
      <c r="T7" s="11" t="str">
        <f ca="1"/>
        <v/>
      </c>
      <c r="U7" s="11" t="str">
        <f ca="1"/>
        <v/>
      </c>
      <c r="V7" s="11" t="str">
        <f ca="1"/>
        <v/>
      </c>
      <c r="W7" s="11" t="str">
        <f ca="1"/>
        <v/>
      </c>
      <c r="X7" s="11" t="str">
        <f ca="1"/>
        <v/>
      </c>
      <c r="Y7" s="11" t="str">
        <f ca="1"/>
        <v/>
      </c>
      <c r="Z7" s="11" t="str">
        <f ca="1"/>
        <v/>
      </c>
      <c r="AA7" s="11" t="str">
        <f ca="1"/>
        <v/>
      </c>
      <c r="AB7" s="11" t="str">
        <f ca="1"/>
        <v/>
      </c>
      <c r="AC7" s="11" t="str">
        <f ca="1"/>
        <v/>
      </c>
      <c r="AD7" s="11" t="str">
        <f ca="1"/>
        <v/>
      </c>
      <c r="AE7" s="11" t="str">
        <f ca="1"/>
        <v/>
      </c>
      <c r="AF7" s="11" t="str">
        <f ca="1"/>
        <v/>
      </c>
      <c r="AG7" s="11" t="str">
        <f ca="1"/>
        <v/>
      </c>
      <c r="AH7" s="11" t="str">
        <f ca="1"/>
        <v/>
      </c>
      <c r="AI7" s="11" t="str">
        <f ca="1"/>
        <v/>
      </c>
      <c r="AJ7" s="11" t="str">
        <f ca="1"/>
        <v/>
      </c>
      <c r="AK7" s="11" t="str">
        <f ca="1"/>
        <v/>
      </c>
      <c r="AL7" s="11" t="str">
        <f ca="1"/>
        <v/>
      </c>
      <c r="AM7" s="11" t="str">
        <f ca="1"/>
        <v/>
      </c>
      <c r="AN7" s="11" t="str">
        <f ca="1"/>
        <v/>
      </c>
      <c r="AO7" s="11" t="str">
        <f ca="1"/>
        <v/>
      </c>
      <c r="AP7" s="11" t="str">
        <f ca="1"/>
        <v/>
      </c>
      <c r="AQ7" t="str">
        <f ca="1"/>
        <v/>
      </c>
    </row>
    <row r="8" spans="2:43" x14ac:dyDescent="0.25">
      <c r="B8" s="11" t="str">
        <f ca="1"/>
        <v>ShiftType</v>
      </c>
      <c r="C8" s="181" t="str">
        <f ca="1"/>
        <v>PERTURBED</v>
      </c>
      <c r="D8" s="11" t="str">
        <f ca="1"/>
        <v/>
      </c>
      <c r="E8" s="11" t="str">
        <f ca="1"/>
        <v/>
      </c>
      <c r="F8" s="11" t="str">
        <f ca="1"/>
        <v/>
      </c>
      <c r="G8" s="11" t="str">
        <f ca="1"/>
        <v/>
      </c>
      <c r="H8" s="11" t="str">
        <f ca="1"/>
        <v/>
      </c>
      <c r="I8" s="11" t="str">
        <f ca="1"/>
        <v/>
      </c>
      <c r="J8" s="11" t="str">
        <f ca="1"/>
        <v/>
      </c>
      <c r="K8" s="11" t="str">
        <f ca="1"/>
        <v/>
      </c>
      <c r="L8" s="11" t="str">
        <f ca="1"/>
        <v/>
      </c>
      <c r="M8" s="11" t="str">
        <f ca="1"/>
        <v/>
      </c>
      <c r="N8" s="11" t="str">
        <f ca="1"/>
        <v/>
      </c>
      <c r="O8" s="11" t="str">
        <f ca="1"/>
        <v/>
      </c>
      <c r="P8" s="11" t="str">
        <f ca="1"/>
        <v/>
      </c>
      <c r="Q8" s="11" t="str">
        <f ca="1"/>
        <v/>
      </c>
      <c r="R8" s="11" t="str">
        <f ca="1"/>
        <v/>
      </c>
      <c r="S8" s="11" t="str">
        <f ca="1"/>
        <v/>
      </c>
      <c r="T8" s="11" t="str">
        <f ca="1"/>
        <v/>
      </c>
      <c r="U8" s="11" t="str">
        <f ca="1"/>
        <v/>
      </c>
      <c r="V8" s="11" t="str">
        <f ca="1"/>
        <v/>
      </c>
      <c r="W8" s="11" t="str">
        <f ca="1"/>
        <v/>
      </c>
      <c r="X8" s="11" t="str">
        <f ca="1"/>
        <v/>
      </c>
      <c r="Y8" s="11" t="str">
        <f ca="1"/>
        <v/>
      </c>
      <c r="Z8" s="11" t="str">
        <f ca="1"/>
        <v/>
      </c>
      <c r="AA8" s="11" t="str">
        <f ca="1"/>
        <v/>
      </c>
      <c r="AB8" s="11" t="str">
        <f ca="1"/>
        <v/>
      </c>
      <c r="AC8" s="11" t="str">
        <f ca="1"/>
        <v/>
      </c>
      <c r="AD8" s="11" t="str">
        <f ca="1"/>
        <v/>
      </c>
      <c r="AE8" s="11" t="str">
        <f ca="1"/>
        <v/>
      </c>
      <c r="AF8" s="11" t="str">
        <f ca="1"/>
        <v/>
      </c>
      <c r="AG8" s="11" t="str">
        <f ca="1"/>
        <v/>
      </c>
      <c r="AH8" s="11" t="str">
        <f ca="1"/>
        <v/>
      </c>
      <c r="AI8" s="11" t="str">
        <f ca="1"/>
        <v/>
      </c>
      <c r="AJ8" s="11" t="str">
        <f ca="1"/>
        <v/>
      </c>
      <c r="AK8" s="11" t="str">
        <f ca="1"/>
        <v/>
      </c>
      <c r="AL8" s="11" t="str">
        <f ca="1"/>
        <v/>
      </c>
      <c r="AM8" s="11" t="str">
        <f ca="1"/>
        <v/>
      </c>
      <c r="AN8" s="11" t="str">
        <f ca="1"/>
        <v/>
      </c>
      <c r="AO8" s="11" t="str">
        <f ca="1"/>
        <v/>
      </c>
      <c r="AP8" s="11" t="str">
        <f ca="1"/>
        <v/>
      </c>
      <c r="AQ8" t="str">
        <f ca="1"/>
        <v/>
      </c>
    </row>
    <row r="9" spans="2:43" x14ac:dyDescent="0.25">
      <c r="B9" s="11" t="str">
        <f ca="1"/>
        <v>GradientShiftSize</v>
      </c>
      <c r="C9" s="182">
        <f ca="1"/>
        <v>1E-4</v>
      </c>
      <c r="D9" s="11" t="str">
        <f ca="1"/>
        <v/>
      </c>
      <c r="E9" s="11" t="str">
        <f ca="1"/>
        <v/>
      </c>
      <c r="F9" s="11" t="str">
        <f ca="1"/>
        <v/>
      </c>
      <c r="G9" s="11" t="str">
        <f ca="1"/>
        <v/>
      </c>
      <c r="H9" s="11" t="str">
        <f ca="1"/>
        <v/>
      </c>
      <c r="I9" s="11" t="str">
        <f ca="1"/>
        <v/>
      </c>
      <c r="J9" s="11" t="str">
        <f ca="1"/>
        <v/>
      </c>
      <c r="K9" s="11" t="str">
        <f ca="1"/>
        <v/>
      </c>
      <c r="L9" s="11" t="str">
        <f ca="1"/>
        <v/>
      </c>
      <c r="M9" s="11" t="str">
        <f ca="1"/>
        <v/>
      </c>
      <c r="N9" s="11" t="str">
        <f ca="1"/>
        <v/>
      </c>
      <c r="O9" s="11" t="str">
        <f ca="1"/>
        <v/>
      </c>
      <c r="P9" s="11" t="str">
        <f ca="1"/>
        <v/>
      </c>
      <c r="Q9" s="11" t="str">
        <f ca="1"/>
        <v/>
      </c>
      <c r="R9" s="11" t="str">
        <f ca="1"/>
        <v/>
      </c>
      <c r="S9" s="11" t="str">
        <f ca="1"/>
        <v/>
      </c>
      <c r="T9" s="11" t="str">
        <f ca="1"/>
        <v/>
      </c>
      <c r="U9" s="11" t="str">
        <f ca="1"/>
        <v/>
      </c>
      <c r="V9" s="11" t="str">
        <f ca="1"/>
        <v/>
      </c>
      <c r="W9" s="11" t="str">
        <f ca="1"/>
        <v/>
      </c>
      <c r="X9" s="11" t="str">
        <f ca="1"/>
        <v/>
      </c>
      <c r="Y9" s="11" t="str">
        <f ca="1"/>
        <v/>
      </c>
      <c r="Z9" s="11" t="str">
        <f ca="1"/>
        <v/>
      </c>
      <c r="AA9" s="11" t="str">
        <f ca="1"/>
        <v/>
      </c>
      <c r="AB9" s="11" t="str">
        <f ca="1"/>
        <v/>
      </c>
      <c r="AC9" s="11" t="str">
        <f ca="1"/>
        <v/>
      </c>
      <c r="AD9" s="11" t="str">
        <f ca="1"/>
        <v/>
      </c>
      <c r="AE9" s="11" t="str">
        <f ca="1"/>
        <v/>
      </c>
      <c r="AF9" s="11" t="str">
        <f ca="1"/>
        <v/>
      </c>
      <c r="AG9" s="11" t="str">
        <f ca="1"/>
        <v/>
      </c>
      <c r="AH9" s="11" t="str">
        <f ca="1"/>
        <v/>
      </c>
      <c r="AI9" s="11" t="str">
        <f ca="1"/>
        <v/>
      </c>
      <c r="AJ9" s="11" t="str">
        <f ca="1"/>
        <v/>
      </c>
      <c r="AK9" s="11" t="str">
        <f ca="1"/>
        <v/>
      </c>
      <c r="AL9" s="11" t="str">
        <f ca="1"/>
        <v/>
      </c>
      <c r="AM9" s="11" t="str">
        <f ca="1"/>
        <v/>
      </c>
      <c r="AN9" s="11" t="str">
        <f ca="1"/>
        <v/>
      </c>
      <c r="AO9" s="11" t="str">
        <f ca="1"/>
        <v/>
      </c>
      <c r="AP9" s="11" t="str">
        <f ca="1"/>
        <v/>
      </c>
      <c r="AQ9" t="str">
        <f ca="1"/>
        <v/>
      </c>
    </row>
    <row r="10" spans="2:43" x14ac:dyDescent="0.25">
      <c r="B10" s="11" t="str">
        <f ca="1"/>
        <v/>
      </c>
      <c r="C10" s="11" t="str">
        <f ca="1"/>
        <v/>
      </c>
      <c r="D10" s="11" t="str">
        <f ca="1"/>
        <v/>
      </c>
      <c r="E10" s="11" t="str">
        <f ca="1"/>
        <v/>
      </c>
      <c r="F10" s="11" t="str">
        <f ca="1"/>
        <v/>
      </c>
      <c r="G10" s="11" t="str">
        <f ca="1"/>
        <v/>
      </c>
      <c r="H10" s="11" t="str">
        <f ca="1"/>
        <v/>
      </c>
      <c r="I10" s="11" t="str">
        <f ca="1"/>
        <v/>
      </c>
      <c r="J10" s="11" t="str">
        <f ca="1"/>
        <v/>
      </c>
      <c r="K10" s="11" t="str">
        <f ca="1"/>
        <v/>
      </c>
      <c r="L10" s="11" t="str">
        <f ca="1"/>
        <v/>
      </c>
      <c r="M10" s="11" t="str">
        <f ca="1"/>
        <v/>
      </c>
      <c r="N10" s="11" t="str">
        <f ca="1"/>
        <v/>
      </c>
      <c r="O10" s="11" t="str">
        <f ca="1"/>
        <v/>
      </c>
      <c r="P10" s="11" t="str">
        <f ca="1"/>
        <v/>
      </c>
      <c r="Q10" s="11" t="str">
        <f ca="1"/>
        <v/>
      </c>
      <c r="R10" s="11" t="str">
        <f ca="1"/>
        <v/>
      </c>
      <c r="S10" s="11" t="str">
        <f ca="1"/>
        <v/>
      </c>
      <c r="T10" s="11" t="str">
        <f ca="1"/>
        <v/>
      </c>
      <c r="U10" s="11" t="str">
        <f ca="1"/>
        <v/>
      </c>
      <c r="V10" s="11" t="str">
        <f ca="1"/>
        <v/>
      </c>
      <c r="W10" s="11" t="str">
        <f ca="1"/>
        <v/>
      </c>
      <c r="X10" s="11" t="str">
        <f ca="1"/>
        <v/>
      </c>
      <c r="Y10" s="11" t="str">
        <f ca="1"/>
        <v/>
      </c>
      <c r="Z10" s="11" t="str">
        <f ca="1"/>
        <v/>
      </c>
      <c r="AA10" s="11" t="str">
        <f ca="1"/>
        <v/>
      </c>
      <c r="AB10" s="11" t="str">
        <f ca="1"/>
        <v/>
      </c>
      <c r="AC10" s="11" t="str">
        <f ca="1"/>
        <v/>
      </c>
      <c r="AD10" s="11" t="str">
        <f ca="1"/>
        <v/>
      </c>
      <c r="AE10" s="11" t="str">
        <f ca="1"/>
        <v/>
      </c>
      <c r="AF10" s="11" t="str">
        <f ca="1"/>
        <v/>
      </c>
      <c r="AG10" s="11" t="str">
        <f ca="1"/>
        <v/>
      </c>
      <c r="AH10" s="11" t="str">
        <f ca="1"/>
        <v/>
      </c>
      <c r="AI10" s="11" t="str">
        <f ca="1"/>
        <v/>
      </c>
      <c r="AJ10" s="11" t="str">
        <f ca="1"/>
        <v/>
      </c>
      <c r="AK10" s="11" t="str">
        <f ca="1"/>
        <v/>
      </c>
      <c r="AL10" s="11" t="str">
        <f ca="1"/>
        <v/>
      </c>
      <c r="AM10" s="11" t="str">
        <f ca="1"/>
        <v/>
      </c>
      <c r="AN10" s="11" t="str">
        <f ca="1"/>
        <v/>
      </c>
      <c r="AO10" s="11" t="str">
        <f ca="1"/>
        <v/>
      </c>
      <c r="AP10" s="11" t="str">
        <f ca="1"/>
        <v/>
      </c>
      <c r="AQ10" t="str">
        <f ca="1"/>
        <v/>
      </c>
    </row>
    <row r="11" spans="2:43" x14ac:dyDescent="0.25">
      <c r="B11" s="11" t="str">
        <f ca="1"/>
        <v>OutrightInstrument</v>
      </c>
      <c r="C11" s="182" t="str">
        <f ca="1"/>
        <v>TRUE</v>
      </c>
      <c r="D11" s="182" t="str">
        <f ca="1"/>
        <v>TRUE</v>
      </c>
      <c r="E11" s="182" t="str">
        <f ca="1"/>
        <v>TRUE</v>
      </c>
      <c r="F11" s="182" t="str">
        <f ca="1"/>
        <v>TRUE</v>
      </c>
      <c r="G11" s="182" t="str">
        <f ca="1"/>
        <v>TRUE</v>
      </c>
      <c r="H11" s="182" t="str">
        <f ca="1"/>
        <v>TRUE</v>
      </c>
      <c r="I11" s="182" t="str">
        <f ca="1"/>
        <v>TRUE</v>
      </c>
      <c r="J11" s="182" t="str">
        <f ca="1"/>
        <v>TRUE</v>
      </c>
      <c r="K11" s="182" t="str">
        <f ca="1"/>
        <v>TRUE</v>
      </c>
      <c r="L11" s="182" t="str">
        <f ca="1"/>
        <v>TRUE</v>
      </c>
      <c r="M11" s="182" t="str">
        <f ca="1"/>
        <v>TRUE</v>
      </c>
      <c r="N11" s="182" t="str">
        <f ca="1"/>
        <v>TRUE</v>
      </c>
      <c r="O11" s="182" t="str">
        <f ca="1"/>
        <v>TRUE</v>
      </c>
      <c r="P11" s="182" t="str">
        <f ca="1"/>
        <v>TRUE</v>
      </c>
      <c r="Q11" s="182" t="str">
        <f ca="1"/>
        <v>TRUE</v>
      </c>
      <c r="R11" s="182" t="str">
        <f ca="1"/>
        <v>TRUE</v>
      </c>
      <c r="S11" s="182" t="str">
        <f ca="1"/>
        <v>TRUE</v>
      </c>
      <c r="T11" s="182" t="str">
        <f ca="1"/>
        <v>TRUE</v>
      </c>
      <c r="U11" s="182" t="str">
        <f ca="1"/>
        <v>TRUE</v>
      </c>
      <c r="V11" s="182" t="str">
        <f ca="1"/>
        <v>TRUE</v>
      </c>
      <c r="W11" s="182" t="str">
        <f ca="1"/>
        <v>TRUE</v>
      </c>
      <c r="X11" s="182" t="str">
        <f ca="1"/>
        <v>TRUE</v>
      </c>
      <c r="Y11" s="182" t="str">
        <f ca="1"/>
        <v>TRUE</v>
      </c>
      <c r="Z11" s="182" t="str">
        <f ca="1"/>
        <v>TRUE</v>
      </c>
      <c r="AA11" s="182" t="str">
        <f ca="1"/>
        <v/>
      </c>
      <c r="AB11" s="182" t="str">
        <f ca="1"/>
        <v/>
      </c>
      <c r="AC11" s="182" t="str">
        <f ca="1"/>
        <v/>
      </c>
      <c r="AD11" s="182" t="str">
        <f ca="1"/>
        <v/>
      </c>
      <c r="AE11" s="182" t="str">
        <f ca="1"/>
        <v/>
      </c>
      <c r="AF11" s="182" t="str">
        <f ca="1"/>
        <v/>
      </c>
      <c r="AG11" s="182" t="str">
        <f ca="1"/>
        <v/>
      </c>
      <c r="AH11" s="182" t="str">
        <f ca="1"/>
        <v/>
      </c>
      <c r="AI11" s="182" t="str">
        <f ca="1"/>
        <v/>
      </c>
      <c r="AJ11" s="182" t="str">
        <f ca="1"/>
        <v/>
      </c>
      <c r="AK11" s="182" t="str">
        <f ca="1"/>
        <v/>
      </c>
      <c r="AL11" s="182" t="str">
        <f ca="1"/>
        <v/>
      </c>
      <c r="AM11" s="182" t="str">
        <f ca="1"/>
        <v/>
      </c>
      <c r="AN11" s="182" t="str">
        <f ca="1"/>
        <v/>
      </c>
      <c r="AO11" s="182" t="str">
        <f ca="1"/>
        <v/>
      </c>
      <c r="AP11" s="182" t="str">
        <f ca="1"/>
        <v/>
      </c>
      <c r="AQ11" t="str">
        <f ca="1"/>
        <v/>
      </c>
    </row>
    <row r="12" spans="2:43" x14ac:dyDescent="0.25">
      <c r="B12" s="11" t="str">
        <f ca="1"/>
        <v>MarketDataShiftSize</v>
      </c>
      <c r="C12" s="293">
        <f ca="1"/>
        <v>1E-4</v>
      </c>
      <c r="D12" s="293">
        <f ca="1"/>
        <v>1E-4</v>
      </c>
      <c r="E12" s="293">
        <f ca="1"/>
        <v>1E-4</v>
      </c>
      <c r="F12" s="293">
        <f ca="1"/>
        <v>1E-4</v>
      </c>
      <c r="G12" s="293">
        <f ca="1"/>
        <v>1E-4</v>
      </c>
      <c r="H12" s="293">
        <f ca="1"/>
        <v>1E-4</v>
      </c>
      <c r="I12" s="293">
        <f ca="1"/>
        <v>1E-4</v>
      </c>
      <c r="J12" s="293">
        <f ca="1"/>
        <v>1E-4</v>
      </c>
      <c r="K12" s="293">
        <f ca="1"/>
        <v>1E-4</v>
      </c>
      <c r="L12" s="293">
        <f ca="1"/>
        <v>1E-4</v>
      </c>
      <c r="M12" s="293">
        <f ca="1"/>
        <v>1E-4</v>
      </c>
      <c r="N12" s="293">
        <f ca="1"/>
        <v>1E-4</v>
      </c>
      <c r="O12" s="293">
        <f ca="1"/>
        <v>1E-4</v>
      </c>
      <c r="P12" s="293">
        <f ca="1"/>
        <v>1E-4</v>
      </c>
      <c r="Q12" s="293">
        <f ca="1"/>
        <v>1E-4</v>
      </c>
      <c r="R12" s="293">
        <f ca="1"/>
        <v>1E-4</v>
      </c>
      <c r="S12" s="293">
        <f ca="1"/>
        <v>1E-4</v>
      </c>
      <c r="T12" s="293">
        <f ca="1"/>
        <v>1E-4</v>
      </c>
      <c r="U12" s="293">
        <f ca="1"/>
        <v>1E-4</v>
      </c>
      <c r="V12" s="293">
        <f ca="1"/>
        <v>1E-4</v>
      </c>
      <c r="W12" s="293">
        <f ca="1"/>
        <v>1E-4</v>
      </c>
      <c r="X12" s="293">
        <f ca="1"/>
        <v>1E-4</v>
      </c>
      <c r="Y12" s="293">
        <f ca="1"/>
        <v>1E-4</v>
      </c>
      <c r="Z12" s="293">
        <f ca="1"/>
        <v>1E-4</v>
      </c>
      <c r="AA12" s="293" t="str">
        <f ca="1"/>
        <v/>
      </c>
      <c r="AB12" s="293" t="str">
        <f ca="1"/>
        <v/>
      </c>
      <c r="AC12" s="293" t="str">
        <f ca="1"/>
        <v/>
      </c>
      <c r="AD12" s="293" t="str">
        <f ca="1"/>
        <v/>
      </c>
      <c r="AE12" s="293" t="str">
        <f ca="1"/>
        <v/>
      </c>
      <c r="AF12" s="293" t="str">
        <f ca="1"/>
        <v/>
      </c>
      <c r="AG12" s="293" t="str">
        <f ca="1"/>
        <v/>
      </c>
      <c r="AH12" s="293" t="str">
        <f ca="1"/>
        <v/>
      </c>
      <c r="AI12" s="293" t="str">
        <f ca="1"/>
        <v/>
      </c>
      <c r="AJ12" s="293" t="str">
        <f ca="1"/>
        <v/>
      </c>
      <c r="AK12" s="293" t="str">
        <f ca="1"/>
        <v/>
      </c>
      <c r="AL12" s="293" t="str">
        <f ca="1"/>
        <v/>
      </c>
      <c r="AM12" s="293" t="str">
        <f ca="1"/>
        <v/>
      </c>
      <c r="AN12" s="293" t="str">
        <f ca="1"/>
        <v/>
      </c>
      <c r="AO12" s="293" t="str">
        <f ca="1"/>
        <v/>
      </c>
      <c r="AP12" s="293" t="str">
        <f ca="1"/>
        <v/>
      </c>
      <c r="AQ12" t="str">
        <f ca="1"/>
        <v/>
      </c>
    </row>
    <row r="13" spans="2:43" x14ac:dyDescent="0.25">
      <c r="B13" s="175" t="str">
        <f ca="1"/>
        <v/>
      </c>
      <c r="C13" s="176" t="str">
        <f ca="1"/>
        <v/>
      </c>
      <c r="D13" s="177" t="str">
        <f ca="1"/>
        <v/>
      </c>
      <c r="E13" s="177" t="str">
        <f ca="1"/>
        <v/>
      </c>
      <c r="F13" s="177" t="str">
        <f ca="1"/>
        <v/>
      </c>
      <c r="G13" s="177" t="str">
        <f ca="1"/>
        <v/>
      </c>
      <c r="H13" s="177" t="str">
        <f ca="1"/>
        <v/>
      </c>
      <c r="I13" s="177" t="str">
        <f ca="1"/>
        <v/>
      </c>
      <c r="J13" s="177" t="str">
        <f ca="1"/>
        <v/>
      </c>
      <c r="K13" s="177" t="str">
        <f ca="1"/>
        <v/>
      </c>
      <c r="L13" s="177" t="str">
        <f ca="1"/>
        <v/>
      </c>
      <c r="M13" s="177" t="str">
        <f ca="1"/>
        <v/>
      </c>
      <c r="N13" s="177" t="str">
        <f ca="1"/>
        <v/>
      </c>
      <c r="O13" s="177" t="str">
        <f ca="1"/>
        <v/>
      </c>
      <c r="P13" s="177" t="str">
        <f ca="1"/>
        <v/>
      </c>
      <c r="Q13" s="177" t="str">
        <f ca="1"/>
        <v/>
      </c>
      <c r="R13" s="177" t="str">
        <f ca="1"/>
        <v/>
      </c>
      <c r="S13" s="177" t="str">
        <f ca="1"/>
        <v/>
      </c>
      <c r="T13" s="177" t="str">
        <f ca="1"/>
        <v/>
      </c>
      <c r="U13" s="177" t="str">
        <f ca="1"/>
        <v/>
      </c>
      <c r="V13" s="177" t="str">
        <f ca="1"/>
        <v/>
      </c>
      <c r="W13" s="177" t="str">
        <f ca="1"/>
        <v/>
      </c>
      <c r="X13" s="177" t="str">
        <f ca="1"/>
        <v/>
      </c>
      <c r="Y13" s="177" t="str">
        <f ca="1"/>
        <v/>
      </c>
      <c r="Z13" s="177" t="str">
        <f ca="1"/>
        <v/>
      </c>
      <c r="AA13" s="177" t="str">
        <f ca="1"/>
        <v/>
      </c>
      <c r="AB13" s="177" t="str">
        <f ca="1"/>
        <v/>
      </c>
      <c r="AC13" s="177" t="str">
        <f ca="1"/>
        <v/>
      </c>
      <c r="AD13" s="177" t="str">
        <f ca="1"/>
        <v/>
      </c>
      <c r="AE13" s="177" t="str">
        <f ca="1"/>
        <v/>
      </c>
      <c r="AF13" s="177" t="str">
        <f ca="1"/>
        <v/>
      </c>
      <c r="AG13" s="177" t="str">
        <f ca="1"/>
        <v/>
      </c>
      <c r="AH13" s="177" t="str">
        <f ca="1"/>
        <v/>
      </c>
      <c r="AI13" s="177" t="str">
        <f ca="1"/>
        <v/>
      </c>
      <c r="AJ13" s="177" t="str">
        <f ca="1"/>
        <v/>
      </c>
      <c r="AK13" s="177" t="str">
        <f ca="1"/>
        <v/>
      </c>
      <c r="AL13" s="177" t="str">
        <f ca="1"/>
        <v/>
      </c>
      <c r="AM13" s="177" t="str">
        <f ca="1"/>
        <v/>
      </c>
      <c r="AN13" s="177" t="str">
        <f ca="1"/>
        <v/>
      </c>
      <c r="AO13" s="177" t="str">
        <f ca="1"/>
        <v/>
      </c>
      <c r="AP13" s="177" t="str">
        <f ca="1"/>
        <v/>
      </c>
      <c r="AQ13" t="str">
        <f ca="1"/>
        <v/>
      </c>
    </row>
    <row r="14" spans="2:43" x14ac:dyDescent="0.25">
      <c r="B14" s="178" t="str">
        <f ca="1"/>
        <v/>
      </c>
      <c r="C14" s="176" t="str">
        <f ca="1"/>
        <v>Instrument</v>
      </c>
      <c r="D14" s="176" t="str">
        <f ca="1"/>
        <v/>
      </c>
      <c r="E14" s="176" t="str">
        <f ca="1"/>
        <v/>
      </c>
      <c r="F14" s="176" t="str">
        <f ca="1"/>
        <v/>
      </c>
      <c r="G14" s="176" t="str">
        <f ca="1"/>
        <v/>
      </c>
      <c r="H14" s="176" t="str">
        <f ca="1"/>
        <v/>
      </c>
      <c r="I14" s="176" t="str">
        <f ca="1"/>
        <v/>
      </c>
      <c r="J14" s="176" t="str">
        <f ca="1"/>
        <v/>
      </c>
      <c r="K14" s="176" t="str">
        <f ca="1"/>
        <v/>
      </c>
      <c r="L14" s="176" t="str">
        <f ca="1"/>
        <v/>
      </c>
      <c r="M14" s="176" t="str">
        <f ca="1"/>
        <v/>
      </c>
      <c r="N14" s="176" t="str">
        <f ca="1"/>
        <v/>
      </c>
      <c r="O14" s="176" t="str">
        <f ca="1"/>
        <v/>
      </c>
      <c r="P14" s="176" t="str">
        <f ca="1"/>
        <v/>
      </c>
      <c r="Q14" s="176" t="str">
        <f ca="1"/>
        <v/>
      </c>
      <c r="R14" s="176" t="str">
        <f ca="1"/>
        <v/>
      </c>
      <c r="S14" s="176" t="str">
        <f ca="1"/>
        <v/>
      </c>
      <c r="T14" s="176" t="str">
        <f ca="1"/>
        <v/>
      </c>
      <c r="U14" s="176" t="str">
        <f ca="1"/>
        <v/>
      </c>
      <c r="V14" s="176" t="str">
        <f ca="1"/>
        <v/>
      </c>
      <c r="W14" s="176" t="str">
        <f ca="1"/>
        <v/>
      </c>
      <c r="X14" s="176" t="str">
        <f ca="1"/>
        <v/>
      </c>
      <c r="Y14" s="176" t="str">
        <f ca="1"/>
        <v/>
      </c>
      <c r="Z14" s="176" t="str">
        <f ca="1"/>
        <v/>
      </c>
      <c r="AA14" s="176" t="str">
        <f ca="1"/>
        <v/>
      </c>
      <c r="AB14" s="176" t="str">
        <f ca="1"/>
        <v/>
      </c>
      <c r="AC14" s="176" t="str">
        <f ca="1"/>
        <v/>
      </c>
      <c r="AD14" s="176" t="str">
        <f ca="1"/>
        <v/>
      </c>
      <c r="AE14" s="176" t="str">
        <f ca="1"/>
        <v/>
      </c>
      <c r="AF14" s="176" t="str">
        <f ca="1"/>
        <v/>
      </c>
      <c r="AG14" s="176" t="str">
        <f ca="1"/>
        <v/>
      </c>
      <c r="AH14" s="176" t="str">
        <f ca="1"/>
        <v/>
      </c>
      <c r="AI14" s="176" t="str">
        <f ca="1"/>
        <v/>
      </c>
      <c r="AJ14" s="176" t="str">
        <f ca="1"/>
        <v/>
      </c>
      <c r="AK14" s="176" t="str">
        <f ca="1"/>
        <v/>
      </c>
      <c r="AL14" s="176" t="str">
        <f ca="1"/>
        <v/>
      </c>
      <c r="AM14" s="176" t="str">
        <f ca="1"/>
        <v/>
      </c>
      <c r="AN14" s="176" t="str">
        <f ca="1"/>
        <v/>
      </c>
      <c r="AO14" s="176" t="str">
        <f ca="1"/>
        <v/>
      </c>
      <c r="AP14" s="176" t="str">
        <f ca="1"/>
        <v/>
      </c>
      <c r="AQ14" t="str">
        <f ca="1"/>
        <v/>
      </c>
    </row>
    <row r="15" spans="2:43" x14ac:dyDescent="0.25">
      <c r="B15" s="179" t="str">
        <f ca="1"/>
        <v>FixingDate</v>
      </c>
      <c r="C15" s="180" t="str">
        <f ca="1"/>
        <v>LIBORFIXING_1M</v>
      </c>
      <c r="D15" s="180" t="str">
        <f ca="1"/>
        <v>LIBORFIXING_3M</v>
      </c>
      <c r="E15" s="180" t="str">
        <f ca="1"/>
        <v>LIBORFIXING_6M</v>
      </c>
      <c r="F15" s="180" t="str">
        <f ca="1"/>
        <v>LIBORFIXING_12M</v>
      </c>
      <c r="G15" s="180" t="str">
        <f ca="1"/>
        <v>ED1 Comdty</v>
      </c>
      <c r="H15" s="180" t="str">
        <f ca="1"/>
        <v>ED2 Comdty</v>
      </c>
      <c r="I15" s="180" t="str">
        <f ca="1"/>
        <v>ED3 Comdty</v>
      </c>
      <c r="J15" s="180" t="str">
        <f ca="1"/>
        <v>ED4 Comdty</v>
      </c>
      <c r="K15" s="180" t="str">
        <f ca="1"/>
        <v>ED5 Comdty</v>
      </c>
      <c r="L15" s="180" t="str">
        <f ca="1"/>
        <v>ED6 Comdty</v>
      </c>
      <c r="M15" s="180" t="str">
        <f ca="1"/>
        <v>ED7 Comdty</v>
      </c>
      <c r="N15" s="180" t="str">
        <f ca="1"/>
        <v>ED8 Comdty</v>
      </c>
      <c r="O15" s="180" t="str">
        <f ca="1"/>
        <v>SWAP_3Y</v>
      </c>
      <c r="P15" s="180" t="str">
        <f ca="1"/>
        <v>SWAP_4Y</v>
      </c>
      <c r="Q15" s="180" t="str">
        <f ca="1"/>
        <v>SWAP_5Y</v>
      </c>
      <c r="R15" s="180" t="str">
        <f ca="1"/>
        <v>SWAP_7Y</v>
      </c>
      <c r="S15" s="180" t="str">
        <f ca="1"/>
        <v>SWAP_8Y</v>
      </c>
      <c r="T15" s="180" t="str">
        <f ca="1"/>
        <v>SWAP_9Y</v>
      </c>
      <c r="U15" s="180" t="str">
        <f ca="1"/>
        <v>SWAP_10Y</v>
      </c>
      <c r="V15" s="180" t="str">
        <f ca="1"/>
        <v>SWAP_12Y</v>
      </c>
      <c r="W15" s="180" t="str">
        <f ca="1"/>
        <v>SWAP_15Y</v>
      </c>
      <c r="X15" s="180" t="str">
        <f ca="1"/>
        <v>SWAP_20Y</v>
      </c>
      <c r="Y15" s="180" t="str">
        <f ca="1"/>
        <v>SWAP_25Y</v>
      </c>
      <c r="Z15" s="180" t="str">
        <f ca="1"/>
        <v>SWAP_30Y</v>
      </c>
      <c r="AA15" s="180" t="str">
        <f ca="1"/>
        <v/>
      </c>
      <c r="AB15" s="180" t="str">
        <f ca="1"/>
        <v/>
      </c>
      <c r="AC15" s="180" t="str">
        <f ca="1"/>
        <v/>
      </c>
      <c r="AD15" s="180" t="str">
        <f ca="1"/>
        <v/>
      </c>
      <c r="AE15" s="180" t="str">
        <f ca="1"/>
        <v/>
      </c>
      <c r="AF15" s="180" t="str">
        <f ca="1"/>
        <v/>
      </c>
      <c r="AG15" s="180" t="str">
        <f ca="1"/>
        <v/>
      </c>
      <c r="AH15" s="180" t="str">
        <f ca="1"/>
        <v/>
      </c>
      <c r="AI15" s="180" t="str">
        <f ca="1"/>
        <v/>
      </c>
      <c r="AJ15" s="180" t="str">
        <f ca="1"/>
        <v/>
      </c>
      <c r="AK15" s="180" t="str">
        <f ca="1"/>
        <v/>
      </c>
      <c r="AL15" s="180" t="str">
        <f ca="1"/>
        <v/>
      </c>
      <c r="AM15" s="180" t="str">
        <f ca="1"/>
        <v/>
      </c>
      <c r="AN15" s="180" t="str">
        <f ca="1"/>
        <v/>
      </c>
      <c r="AO15" s="180" t="str">
        <f ca="1"/>
        <v/>
      </c>
      <c r="AP15" s="180" t="str">
        <f ca="1"/>
        <v/>
      </c>
      <c r="AQ15" s="187" t="str">
        <f ca="1"/>
        <v/>
      </c>
    </row>
    <row r="16" spans="2:43" x14ac:dyDescent="0.25">
      <c r="B16" s="179">
        <f ca="1"/>
        <v>43812</v>
      </c>
      <c r="C16" s="180">
        <f ca="1"/>
        <v>4.4160360326769801E-6</v>
      </c>
      <c r="D16" s="180">
        <f ca="1"/>
        <v>9.9998269403892004E-5</v>
      </c>
      <c r="E16" s="180">
        <f ca="1"/>
        <v>0</v>
      </c>
      <c r="F16" s="180">
        <f ca="1"/>
        <v>0</v>
      </c>
      <c r="G16" s="180">
        <f ca="1"/>
        <v>-4.4154091846486396E-6</v>
      </c>
      <c r="H16" s="180">
        <f ca="1"/>
        <v>0</v>
      </c>
      <c r="I16" s="180">
        <f ca="1"/>
        <v>0</v>
      </c>
      <c r="J16" s="180">
        <f ca="1"/>
        <v>0</v>
      </c>
      <c r="K16" s="180">
        <f ca="1"/>
        <v>0</v>
      </c>
      <c r="L16" s="180">
        <f ca="1"/>
        <v>0</v>
      </c>
      <c r="M16" s="180">
        <f ca="1"/>
        <v>0</v>
      </c>
      <c r="N16" s="180">
        <f ca="1"/>
        <v>0</v>
      </c>
      <c r="O16" s="180">
        <f ca="1"/>
        <v>0</v>
      </c>
      <c r="P16" s="180">
        <f ca="1"/>
        <v>0</v>
      </c>
      <c r="Q16" s="180">
        <f ca="1"/>
        <v>0</v>
      </c>
      <c r="R16" s="180">
        <f ca="1"/>
        <v>0</v>
      </c>
      <c r="S16" s="180">
        <f ca="1"/>
        <v>0</v>
      </c>
      <c r="T16" s="180">
        <f ca="1"/>
        <v>0</v>
      </c>
      <c r="U16" s="180">
        <f ca="1"/>
        <v>0</v>
      </c>
      <c r="V16" s="180">
        <f ca="1"/>
        <v>0</v>
      </c>
      <c r="W16" s="180">
        <f ca="1"/>
        <v>0</v>
      </c>
      <c r="X16" s="180">
        <f ca="1"/>
        <v>0</v>
      </c>
      <c r="Y16" s="180">
        <f ca="1"/>
        <v>0</v>
      </c>
      <c r="Z16" s="180">
        <f ca="1"/>
        <v>0</v>
      </c>
      <c r="AA16" s="180" t="str">
        <f ca="1"/>
        <v/>
      </c>
      <c r="AB16" s="180" t="str">
        <f ca="1"/>
        <v/>
      </c>
      <c r="AC16" s="180" t="str">
        <f ca="1"/>
        <v/>
      </c>
      <c r="AD16" s="180" t="str">
        <f ca="1"/>
        <v/>
      </c>
      <c r="AE16" s="180" t="str">
        <f ca="1"/>
        <v/>
      </c>
      <c r="AF16" s="180" t="str">
        <f ca="1"/>
        <v/>
      </c>
      <c r="AG16" s="180" t="str">
        <f ca="1"/>
        <v/>
      </c>
      <c r="AH16" s="180" t="str">
        <f ca="1"/>
        <v/>
      </c>
      <c r="AI16" s="180" t="str">
        <f ca="1"/>
        <v/>
      </c>
      <c r="AJ16" s="180" t="str">
        <f ca="1"/>
        <v/>
      </c>
      <c r="AK16" s="180" t="str">
        <f ca="1"/>
        <v/>
      </c>
      <c r="AL16" s="180" t="str">
        <f ca="1"/>
        <v/>
      </c>
      <c r="AM16" s="180" t="str">
        <f ca="1"/>
        <v/>
      </c>
      <c r="AN16" s="180" t="str">
        <f ca="1"/>
        <v/>
      </c>
      <c r="AO16" s="180" t="str">
        <f ca="1"/>
        <v/>
      </c>
      <c r="AP16" s="180" t="str">
        <f ca="1"/>
        <v/>
      </c>
      <c r="AQ16" s="187" t="str">
        <f ca="1"/>
        <v/>
      </c>
    </row>
    <row r="17" spans="2:43" x14ac:dyDescent="0.25">
      <c r="B17" s="179">
        <f ca="1"/>
        <v>43815</v>
      </c>
      <c r="C17" s="180">
        <f ca="1"/>
        <v>1.1041030665535901E-6</v>
      </c>
      <c r="D17" s="180">
        <f ca="1"/>
        <v>9.9999567107811994E-5</v>
      </c>
      <c r="E17" s="180">
        <f ca="1"/>
        <v>0</v>
      </c>
      <c r="F17" s="180">
        <f ca="1"/>
        <v>0</v>
      </c>
      <c r="G17" s="180">
        <f ca="1"/>
        <v>-1.10404177931789E-6</v>
      </c>
      <c r="H17" s="180">
        <f ca="1"/>
        <v>0</v>
      </c>
      <c r="I17" s="180">
        <f ca="1"/>
        <v>0</v>
      </c>
      <c r="J17" s="180">
        <f ca="1"/>
        <v>0</v>
      </c>
      <c r="K17" s="180">
        <f ca="1"/>
        <v>0</v>
      </c>
      <c r="L17" s="180">
        <f ca="1"/>
        <v>0</v>
      </c>
      <c r="M17" s="180">
        <f ca="1"/>
        <v>0</v>
      </c>
      <c r="N17" s="180">
        <f ca="1"/>
        <v>0</v>
      </c>
      <c r="O17" s="180">
        <f ca="1"/>
        <v>0</v>
      </c>
      <c r="P17" s="180">
        <f ca="1"/>
        <v>0</v>
      </c>
      <c r="Q17" s="180">
        <f ca="1"/>
        <v>0</v>
      </c>
      <c r="R17" s="180">
        <f ca="1"/>
        <v>0</v>
      </c>
      <c r="S17" s="180">
        <f ca="1"/>
        <v>0</v>
      </c>
      <c r="T17" s="180">
        <f ca="1"/>
        <v>0</v>
      </c>
      <c r="U17" s="180">
        <f ca="1"/>
        <v>0</v>
      </c>
      <c r="V17" s="180">
        <f ca="1"/>
        <v>0</v>
      </c>
      <c r="W17" s="180">
        <f ca="1"/>
        <v>0</v>
      </c>
      <c r="X17" s="180">
        <f ca="1"/>
        <v>0</v>
      </c>
      <c r="Y17" s="180">
        <f ca="1"/>
        <v>0</v>
      </c>
      <c r="Z17" s="180">
        <f ca="1"/>
        <v>0</v>
      </c>
      <c r="AA17" s="180" t="str">
        <f ca="1"/>
        <v/>
      </c>
      <c r="AB17" s="180" t="str">
        <f ca="1"/>
        <v/>
      </c>
      <c r="AC17" s="180" t="str">
        <f ca="1"/>
        <v/>
      </c>
      <c r="AD17" s="180" t="str">
        <f ca="1"/>
        <v/>
      </c>
      <c r="AE17" s="180" t="str">
        <f ca="1"/>
        <v/>
      </c>
      <c r="AF17" s="180" t="str">
        <f ca="1"/>
        <v/>
      </c>
      <c r="AG17" s="180" t="str">
        <f ca="1"/>
        <v/>
      </c>
      <c r="AH17" s="180" t="str">
        <f ca="1"/>
        <v/>
      </c>
      <c r="AI17" s="180" t="str">
        <f ca="1"/>
        <v/>
      </c>
      <c r="AJ17" s="180" t="str">
        <f ca="1"/>
        <v/>
      </c>
      <c r="AK17" s="180" t="str">
        <f ca="1"/>
        <v/>
      </c>
      <c r="AL17" s="180" t="str">
        <f ca="1"/>
        <v/>
      </c>
      <c r="AM17" s="180" t="str">
        <f ca="1"/>
        <v/>
      </c>
      <c r="AN17" s="180" t="str">
        <f ca="1"/>
        <v/>
      </c>
      <c r="AO17" s="180" t="str">
        <f ca="1"/>
        <v/>
      </c>
      <c r="AP17" s="180" t="str">
        <f ca="1"/>
        <v/>
      </c>
      <c r="AQ17" s="187" t="str">
        <f ca="1"/>
        <v/>
      </c>
    </row>
    <row r="18" spans="2:43" x14ac:dyDescent="0.25">
      <c r="B18" s="179">
        <f ca="1"/>
        <v>43816</v>
      </c>
      <c r="C18" s="180">
        <f ca="1"/>
        <v>0</v>
      </c>
      <c r="D18" s="180">
        <f ca="1"/>
        <v>1.00000000000215E-4</v>
      </c>
      <c r="E18" s="180">
        <f ca="1"/>
        <v>0</v>
      </c>
      <c r="F18" s="180">
        <f ca="1"/>
        <v>0</v>
      </c>
      <c r="G18" s="180">
        <f ca="1"/>
        <v>0</v>
      </c>
      <c r="H18" s="180">
        <f ca="1"/>
        <v>0</v>
      </c>
      <c r="I18" s="180">
        <f ca="1"/>
        <v>0</v>
      </c>
      <c r="J18" s="180">
        <f ca="1"/>
        <v>0</v>
      </c>
      <c r="K18" s="180">
        <f ca="1"/>
        <v>0</v>
      </c>
      <c r="L18" s="180">
        <f ca="1"/>
        <v>0</v>
      </c>
      <c r="M18" s="180">
        <f ca="1"/>
        <v>0</v>
      </c>
      <c r="N18" s="180">
        <f ca="1"/>
        <v>0</v>
      </c>
      <c r="O18" s="180">
        <f ca="1"/>
        <v>0</v>
      </c>
      <c r="P18" s="180">
        <f ca="1"/>
        <v>0</v>
      </c>
      <c r="Q18" s="180">
        <f ca="1"/>
        <v>0</v>
      </c>
      <c r="R18" s="180">
        <f ca="1"/>
        <v>0</v>
      </c>
      <c r="S18" s="180">
        <f ca="1"/>
        <v>0</v>
      </c>
      <c r="T18" s="180">
        <f ca="1"/>
        <v>0</v>
      </c>
      <c r="U18" s="180">
        <f ca="1"/>
        <v>0</v>
      </c>
      <c r="V18" s="180">
        <f ca="1"/>
        <v>0</v>
      </c>
      <c r="W18" s="180">
        <f ca="1"/>
        <v>0</v>
      </c>
      <c r="X18" s="180">
        <f ca="1"/>
        <v>0</v>
      </c>
      <c r="Y18" s="180">
        <f ca="1"/>
        <v>0</v>
      </c>
      <c r="Z18" s="180">
        <f ca="1"/>
        <v>0</v>
      </c>
      <c r="AA18" s="180" t="str">
        <f ca="1"/>
        <v/>
      </c>
      <c r="AB18" s="180" t="str">
        <f ca="1"/>
        <v/>
      </c>
      <c r="AC18" s="180" t="str">
        <f ca="1"/>
        <v/>
      </c>
      <c r="AD18" s="180" t="str">
        <f ca="1"/>
        <v/>
      </c>
      <c r="AE18" s="180" t="str">
        <f ca="1"/>
        <v/>
      </c>
      <c r="AF18" s="180" t="str">
        <f ca="1"/>
        <v/>
      </c>
      <c r="AG18" s="180" t="str">
        <f ca="1"/>
        <v/>
      </c>
      <c r="AH18" s="180" t="str">
        <f ca="1"/>
        <v/>
      </c>
      <c r="AI18" s="180" t="str">
        <f ca="1"/>
        <v/>
      </c>
      <c r="AJ18" s="180" t="str">
        <f ca="1"/>
        <v/>
      </c>
      <c r="AK18" s="180" t="str">
        <f ca="1"/>
        <v/>
      </c>
      <c r="AL18" s="180" t="str">
        <f ca="1"/>
        <v/>
      </c>
      <c r="AM18" s="180" t="str">
        <f ca="1"/>
        <v/>
      </c>
      <c r="AN18" s="180" t="str">
        <f ca="1"/>
        <v/>
      </c>
      <c r="AO18" s="180" t="str">
        <f ca="1"/>
        <v/>
      </c>
      <c r="AP18" s="180" t="str">
        <f ca="1"/>
        <v/>
      </c>
      <c r="AQ18" s="187" t="str">
        <f ca="1"/>
        <v/>
      </c>
    </row>
    <row r="19" spans="2:43" x14ac:dyDescent="0.25">
      <c r="B19" s="179">
        <f ca="1"/>
        <v>43817</v>
      </c>
      <c r="C19" s="180">
        <f ca="1"/>
        <v>0</v>
      </c>
      <c r="D19" s="180">
        <f ca="1"/>
        <v>0</v>
      </c>
      <c r="E19" s="180">
        <f ca="1"/>
        <v>0</v>
      </c>
      <c r="F19" s="180">
        <f ca="1"/>
        <v>0</v>
      </c>
      <c r="G19" s="180">
        <f ca="1"/>
        <v>1.00000000000215E-4</v>
      </c>
      <c r="H19" s="180">
        <f ca="1"/>
        <v>0</v>
      </c>
      <c r="I19" s="180">
        <f ca="1"/>
        <v>0</v>
      </c>
      <c r="J19" s="180">
        <f ca="1"/>
        <v>0</v>
      </c>
      <c r="K19" s="180">
        <f ca="1"/>
        <v>0</v>
      </c>
      <c r="L19" s="180">
        <f ca="1"/>
        <v>0</v>
      </c>
      <c r="M19" s="180">
        <f ca="1"/>
        <v>0</v>
      </c>
      <c r="N19" s="180">
        <f ca="1"/>
        <v>0</v>
      </c>
      <c r="O19" s="180">
        <f ca="1"/>
        <v>0</v>
      </c>
      <c r="P19" s="180">
        <f ca="1"/>
        <v>0</v>
      </c>
      <c r="Q19" s="180">
        <f ca="1"/>
        <v>0</v>
      </c>
      <c r="R19" s="180">
        <f ca="1"/>
        <v>0</v>
      </c>
      <c r="S19" s="180">
        <f ca="1"/>
        <v>0</v>
      </c>
      <c r="T19" s="180">
        <f ca="1"/>
        <v>0</v>
      </c>
      <c r="U19" s="180">
        <f ca="1"/>
        <v>0</v>
      </c>
      <c r="V19" s="180">
        <f ca="1"/>
        <v>0</v>
      </c>
      <c r="W19" s="180">
        <f ca="1"/>
        <v>0</v>
      </c>
      <c r="X19" s="180">
        <f ca="1"/>
        <v>0</v>
      </c>
      <c r="Y19" s="180">
        <f ca="1"/>
        <v>0</v>
      </c>
      <c r="Z19" s="180">
        <f ca="1"/>
        <v>0</v>
      </c>
      <c r="AA19" s="180" t="str">
        <f ca="1"/>
        <v/>
      </c>
      <c r="AB19" s="180" t="str">
        <f ca="1"/>
        <v/>
      </c>
      <c r="AC19" s="180" t="str">
        <f ca="1"/>
        <v/>
      </c>
      <c r="AD19" s="180" t="str">
        <f ca="1"/>
        <v/>
      </c>
      <c r="AE19" s="180" t="str">
        <f ca="1"/>
        <v/>
      </c>
      <c r="AF19" s="180" t="str">
        <f ca="1"/>
        <v/>
      </c>
      <c r="AG19" s="180" t="str">
        <f ca="1"/>
        <v/>
      </c>
      <c r="AH19" s="180" t="str">
        <f ca="1"/>
        <v/>
      </c>
      <c r="AI19" s="180" t="str">
        <f ca="1"/>
        <v/>
      </c>
      <c r="AJ19" s="180" t="str">
        <f ca="1"/>
        <v/>
      </c>
      <c r="AK19" s="180" t="str">
        <f ca="1"/>
        <v/>
      </c>
      <c r="AL19" s="180" t="str">
        <f ca="1"/>
        <v/>
      </c>
      <c r="AM19" s="180" t="str">
        <f ca="1"/>
        <v/>
      </c>
      <c r="AN19" s="180" t="str">
        <f ca="1"/>
        <v/>
      </c>
      <c r="AO19" s="180" t="str">
        <f ca="1"/>
        <v/>
      </c>
      <c r="AP19" s="180" t="str">
        <f ca="1"/>
        <v/>
      </c>
      <c r="AQ19" s="187" t="str">
        <f ca="1"/>
        <v/>
      </c>
    </row>
    <row r="20" spans="2:43" x14ac:dyDescent="0.25">
      <c r="B20" s="179">
        <f ca="1"/>
        <v>43907</v>
      </c>
      <c r="C20" s="180">
        <f ca="1"/>
        <v>-8.7083118494035696E-16</v>
      </c>
      <c r="D20" s="180">
        <f ca="1"/>
        <v>-1.6899090807265299E-10</v>
      </c>
      <c r="E20" s="180">
        <f ca="1"/>
        <v>0</v>
      </c>
      <c r="F20" s="180">
        <f ca="1"/>
        <v>0</v>
      </c>
      <c r="G20" s="180">
        <f ca="1"/>
        <v>1.0863214658235499E-6</v>
      </c>
      <c r="H20" s="180">
        <f ca="1"/>
        <v>9.8918237758264401E-5</v>
      </c>
      <c r="I20" s="180">
        <f ca="1"/>
        <v>0</v>
      </c>
      <c r="J20" s="180">
        <f ca="1"/>
        <v>0</v>
      </c>
      <c r="K20" s="180">
        <f ca="1"/>
        <v>0</v>
      </c>
      <c r="L20" s="180">
        <f ca="1"/>
        <v>0</v>
      </c>
      <c r="M20" s="180">
        <f ca="1"/>
        <v>0</v>
      </c>
      <c r="N20" s="180">
        <f ca="1"/>
        <v>0</v>
      </c>
      <c r="O20" s="180">
        <f ca="1"/>
        <v>0</v>
      </c>
      <c r="P20" s="180">
        <f ca="1"/>
        <v>0</v>
      </c>
      <c r="Q20" s="180">
        <f ca="1"/>
        <v>0</v>
      </c>
      <c r="R20" s="180">
        <f ca="1"/>
        <v>0</v>
      </c>
      <c r="S20" s="180">
        <f ca="1"/>
        <v>0</v>
      </c>
      <c r="T20" s="180">
        <f ca="1"/>
        <v>0</v>
      </c>
      <c r="U20" s="180">
        <f ca="1"/>
        <v>0</v>
      </c>
      <c r="V20" s="180">
        <f ca="1"/>
        <v>0</v>
      </c>
      <c r="W20" s="180">
        <f ca="1"/>
        <v>0</v>
      </c>
      <c r="X20" s="180">
        <f ca="1"/>
        <v>0</v>
      </c>
      <c r="Y20" s="180">
        <f ca="1"/>
        <v>0</v>
      </c>
      <c r="Z20" s="180">
        <f ca="1"/>
        <v>0</v>
      </c>
      <c r="AA20" s="180" t="str">
        <f ca="1"/>
        <v/>
      </c>
      <c r="AB20" s="180" t="str">
        <f ca="1"/>
        <v/>
      </c>
      <c r="AC20" s="180" t="str">
        <f ca="1"/>
        <v/>
      </c>
      <c r="AD20" s="180" t="str">
        <f ca="1"/>
        <v/>
      </c>
      <c r="AE20" s="180" t="str">
        <f ca="1"/>
        <v/>
      </c>
      <c r="AF20" s="180" t="str">
        <f ca="1"/>
        <v/>
      </c>
      <c r="AG20" s="180" t="str">
        <f ca="1"/>
        <v/>
      </c>
      <c r="AH20" s="180" t="str">
        <f ca="1"/>
        <v/>
      </c>
      <c r="AI20" s="180" t="str">
        <f ca="1"/>
        <v/>
      </c>
      <c r="AJ20" s="180" t="str">
        <f ca="1"/>
        <v/>
      </c>
      <c r="AK20" s="180" t="str">
        <f ca="1"/>
        <v/>
      </c>
      <c r="AL20" s="180" t="str">
        <f ca="1"/>
        <v/>
      </c>
      <c r="AM20" s="180" t="str">
        <f ca="1"/>
        <v/>
      </c>
      <c r="AN20" s="180" t="str">
        <f ca="1"/>
        <v/>
      </c>
      <c r="AO20" s="180" t="str">
        <f ca="1"/>
        <v/>
      </c>
      <c r="AP20" s="180" t="str">
        <f ca="1"/>
        <v/>
      </c>
      <c r="AQ20" s="187" t="str">
        <f ca="1"/>
        <v/>
      </c>
    </row>
    <row r="21" spans="2:43" x14ac:dyDescent="0.25">
      <c r="B21" s="179">
        <f ca="1"/>
        <v>43908</v>
      </c>
      <c r="C21" s="180">
        <f ca="1"/>
        <v>8.6736173798840404E-16</v>
      </c>
      <c r="D21" s="180">
        <f ca="1"/>
        <v>8.6736173798840404E-16</v>
      </c>
      <c r="E21" s="180">
        <f ca="1"/>
        <v>0</v>
      </c>
      <c r="F21" s="180">
        <f ca="1"/>
        <v>0</v>
      </c>
      <c r="G21" s="180">
        <f ca="1"/>
        <v>8.6736173798840404E-16</v>
      </c>
      <c r="H21" s="180">
        <f ca="1"/>
        <v>9.8917452028519204E-5</v>
      </c>
      <c r="I21" s="180">
        <f ca="1"/>
        <v>1.08288378351112E-6</v>
      </c>
      <c r="J21" s="180">
        <f ca="1"/>
        <v>0</v>
      </c>
      <c r="K21" s="180">
        <f ca="1"/>
        <v>0</v>
      </c>
      <c r="L21" s="180">
        <f ca="1"/>
        <v>0</v>
      </c>
      <c r="M21" s="180">
        <f ca="1"/>
        <v>0</v>
      </c>
      <c r="N21" s="180">
        <f ca="1"/>
        <v>0</v>
      </c>
      <c r="O21" s="180">
        <f ca="1"/>
        <v>0</v>
      </c>
      <c r="P21" s="180">
        <f ca="1"/>
        <v>0</v>
      </c>
      <c r="Q21" s="180">
        <f ca="1"/>
        <v>0</v>
      </c>
      <c r="R21" s="180">
        <f ca="1"/>
        <v>0</v>
      </c>
      <c r="S21" s="180">
        <f ca="1"/>
        <v>0</v>
      </c>
      <c r="T21" s="180">
        <f ca="1"/>
        <v>0</v>
      </c>
      <c r="U21" s="180">
        <f ca="1"/>
        <v>0</v>
      </c>
      <c r="V21" s="180">
        <f ca="1"/>
        <v>0</v>
      </c>
      <c r="W21" s="180">
        <f ca="1"/>
        <v>0</v>
      </c>
      <c r="X21" s="180">
        <f ca="1"/>
        <v>0</v>
      </c>
      <c r="Y21" s="180">
        <f ca="1"/>
        <v>0</v>
      </c>
      <c r="Z21" s="180">
        <f ca="1"/>
        <v>0</v>
      </c>
      <c r="AA21" s="180" t="str">
        <f ca="1"/>
        <v/>
      </c>
      <c r="AB21" s="180" t="str">
        <f ca="1"/>
        <v/>
      </c>
      <c r="AC21" s="180" t="str">
        <f ca="1"/>
        <v/>
      </c>
      <c r="AD21" s="180" t="str">
        <f ca="1"/>
        <v/>
      </c>
      <c r="AE21" s="180" t="str">
        <f ca="1"/>
        <v/>
      </c>
      <c r="AF21" s="180" t="str">
        <f ca="1"/>
        <v/>
      </c>
      <c r="AG21" s="180" t="str">
        <f ca="1"/>
        <v/>
      </c>
      <c r="AH21" s="180" t="str">
        <f ca="1"/>
        <v/>
      </c>
      <c r="AI21" s="180" t="str">
        <f ca="1"/>
        <v/>
      </c>
      <c r="AJ21" s="180" t="str">
        <f ca="1"/>
        <v/>
      </c>
      <c r="AK21" s="180" t="str">
        <f ca="1"/>
        <v/>
      </c>
      <c r="AL21" s="180" t="str">
        <f ca="1"/>
        <v/>
      </c>
      <c r="AM21" s="180" t="str">
        <f ca="1"/>
        <v/>
      </c>
      <c r="AN21" s="180" t="str">
        <f ca="1"/>
        <v/>
      </c>
      <c r="AO21" s="180" t="str">
        <f ca="1"/>
        <v/>
      </c>
      <c r="AP21" s="180" t="str">
        <f ca="1"/>
        <v/>
      </c>
      <c r="AQ21" s="187" t="str">
        <f ca="1"/>
        <v/>
      </c>
    </row>
    <row r="22" spans="2:43" x14ac:dyDescent="0.25">
      <c r="B22" s="179">
        <f ca="1"/>
        <v>43999</v>
      </c>
      <c r="C22" s="180">
        <f ca="1"/>
        <v>0</v>
      </c>
      <c r="D22" s="180">
        <f ca="1"/>
        <v>0</v>
      </c>
      <c r="E22" s="180">
        <f ca="1"/>
        <v>0</v>
      </c>
      <c r="F22" s="180">
        <f ca="1"/>
        <v>0</v>
      </c>
      <c r="G22" s="180">
        <f ca="1"/>
        <v>-8.7083118494035696E-16</v>
      </c>
      <c r="H22" s="180">
        <f ca="1"/>
        <v>0</v>
      </c>
      <c r="I22" s="180">
        <f ca="1"/>
        <v>9.8917245078409405E-5</v>
      </c>
      <c r="J22" s="180">
        <f ca="1"/>
        <v>1.0872049912499799E-6</v>
      </c>
      <c r="K22" s="180">
        <f ca="1"/>
        <v>0</v>
      </c>
      <c r="L22" s="180">
        <f ca="1"/>
        <v>0</v>
      </c>
      <c r="M22" s="180">
        <f ca="1"/>
        <v>0</v>
      </c>
      <c r="N22" s="180">
        <f ca="1"/>
        <v>0</v>
      </c>
      <c r="O22" s="180">
        <f ca="1"/>
        <v>0</v>
      </c>
      <c r="P22" s="180">
        <f ca="1"/>
        <v>0</v>
      </c>
      <c r="Q22" s="180">
        <f ca="1"/>
        <v>0</v>
      </c>
      <c r="R22" s="180">
        <f ca="1"/>
        <v>0</v>
      </c>
      <c r="S22" s="180">
        <f ca="1"/>
        <v>0</v>
      </c>
      <c r="T22" s="180">
        <f ca="1"/>
        <v>0</v>
      </c>
      <c r="U22" s="180">
        <f ca="1"/>
        <v>0</v>
      </c>
      <c r="V22" s="180">
        <f ca="1"/>
        <v>0</v>
      </c>
      <c r="W22" s="180">
        <f ca="1"/>
        <v>0</v>
      </c>
      <c r="X22" s="180">
        <f ca="1"/>
        <v>0</v>
      </c>
      <c r="Y22" s="180">
        <f ca="1"/>
        <v>0</v>
      </c>
      <c r="Z22" s="180">
        <f ca="1"/>
        <v>0</v>
      </c>
      <c r="AA22" s="180" t="str">
        <f ca="1"/>
        <v/>
      </c>
      <c r="AB22" s="180" t="str">
        <f ca="1"/>
        <v/>
      </c>
      <c r="AC22" s="180" t="str">
        <f ca="1"/>
        <v/>
      </c>
      <c r="AD22" s="180" t="str">
        <f ca="1"/>
        <v/>
      </c>
      <c r="AE22" s="180" t="str">
        <f ca="1"/>
        <v/>
      </c>
      <c r="AF22" s="180" t="str">
        <f ca="1"/>
        <v/>
      </c>
      <c r="AG22" s="180" t="str">
        <f ca="1"/>
        <v/>
      </c>
      <c r="AH22" s="180" t="str">
        <f ca="1"/>
        <v/>
      </c>
      <c r="AI22" s="180" t="str">
        <f ca="1"/>
        <v/>
      </c>
      <c r="AJ22" s="180" t="str">
        <f ca="1"/>
        <v/>
      </c>
      <c r="AK22" s="180" t="str">
        <f ca="1"/>
        <v/>
      </c>
      <c r="AL22" s="180" t="str">
        <f ca="1"/>
        <v/>
      </c>
      <c r="AM22" s="180" t="str">
        <f ca="1"/>
        <v/>
      </c>
      <c r="AN22" s="180" t="str">
        <f ca="1"/>
        <v/>
      </c>
      <c r="AO22" s="180" t="str">
        <f ca="1"/>
        <v/>
      </c>
      <c r="AP22" s="180" t="str">
        <f ca="1"/>
        <v/>
      </c>
      <c r="AQ22" s="187" t="str">
        <f ca="1"/>
        <v/>
      </c>
    </row>
    <row r="23" spans="2:43" x14ac:dyDescent="0.25">
      <c r="B23" s="179">
        <f ca="1"/>
        <v>44090</v>
      </c>
      <c r="C23" s="180">
        <f ca="1"/>
        <v>0</v>
      </c>
      <c r="D23" s="180">
        <f ca="1"/>
        <v>0</v>
      </c>
      <c r="E23" s="180">
        <f ca="1"/>
        <v>0</v>
      </c>
      <c r="F23" s="180">
        <f ca="1"/>
        <v>0</v>
      </c>
      <c r="G23" s="180">
        <f ca="1"/>
        <v>0</v>
      </c>
      <c r="H23" s="180">
        <f ca="1"/>
        <v>0</v>
      </c>
      <c r="I23" s="180">
        <f ca="1"/>
        <v>0</v>
      </c>
      <c r="J23" s="180">
        <f ca="1"/>
        <v>9.9999999999336703E-5</v>
      </c>
      <c r="K23" s="180">
        <f ca="1"/>
        <v>0</v>
      </c>
      <c r="L23" s="180">
        <f ca="1"/>
        <v>0</v>
      </c>
      <c r="M23" s="180">
        <f ca="1"/>
        <v>0</v>
      </c>
      <c r="N23" s="180">
        <f ca="1"/>
        <v>0</v>
      </c>
      <c r="O23" s="180">
        <f ca="1"/>
        <v>0</v>
      </c>
      <c r="P23" s="180">
        <f ca="1"/>
        <v>0</v>
      </c>
      <c r="Q23" s="180">
        <f ca="1"/>
        <v>0</v>
      </c>
      <c r="R23" s="180">
        <f ca="1"/>
        <v>0</v>
      </c>
      <c r="S23" s="180">
        <f ca="1"/>
        <v>0</v>
      </c>
      <c r="T23" s="180">
        <f ca="1"/>
        <v>0</v>
      </c>
      <c r="U23" s="180">
        <f ca="1"/>
        <v>0</v>
      </c>
      <c r="V23" s="180">
        <f ca="1"/>
        <v>0</v>
      </c>
      <c r="W23" s="180">
        <f ca="1"/>
        <v>0</v>
      </c>
      <c r="X23" s="180">
        <f ca="1"/>
        <v>0</v>
      </c>
      <c r="Y23" s="180">
        <f ca="1"/>
        <v>0</v>
      </c>
      <c r="Z23" s="180">
        <f ca="1"/>
        <v>0</v>
      </c>
      <c r="AA23" s="180" t="str">
        <f ca="1"/>
        <v/>
      </c>
      <c r="AB23" s="180" t="str">
        <f ca="1"/>
        <v/>
      </c>
      <c r="AC23" s="180" t="str">
        <f ca="1"/>
        <v/>
      </c>
      <c r="AD23" s="180" t="str">
        <f ca="1"/>
        <v/>
      </c>
      <c r="AE23" s="180" t="str">
        <f ca="1"/>
        <v/>
      </c>
      <c r="AF23" s="180" t="str">
        <f ca="1"/>
        <v/>
      </c>
      <c r="AG23" s="180" t="str">
        <f ca="1"/>
        <v/>
      </c>
      <c r="AH23" s="180" t="str">
        <f ca="1"/>
        <v/>
      </c>
      <c r="AI23" s="180" t="str">
        <f ca="1"/>
        <v/>
      </c>
      <c r="AJ23" s="180" t="str">
        <f ca="1"/>
        <v/>
      </c>
      <c r="AK23" s="180" t="str">
        <f ca="1"/>
        <v/>
      </c>
      <c r="AL23" s="180" t="str">
        <f ca="1"/>
        <v/>
      </c>
      <c r="AM23" s="180" t="str">
        <f ca="1"/>
        <v/>
      </c>
      <c r="AN23" s="180" t="str">
        <f ca="1"/>
        <v/>
      </c>
      <c r="AO23" s="180" t="str">
        <f ca="1"/>
        <v/>
      </c>
      <c r="AP23" s="180" t="str">
        <f ca="1"/>
        <v/>
      </c>
      <c r="AQ23" s="187" t="str">
        <f ca="1"/>
        <v/>
      </c>
    </row>
    <row r="24" spans="2:43" x14ac:dyDescent="0.25">
      <c r="B24" s="179">
        <f ca="1"/>
        <v>44091</v>
      </c>
      <c r="C24" s="180">
        <f ca="1"/>
        <v>0</v>
      </c>
      <c r="D24" s="180">
        <f ca="1"/>
        <v>0</v>
      </c>
      <c r="E24" s="180">
        <f ca="1"/>
        <v>0</v>
      </c>
      <c r="F24" s="180">
        <f ca="1"/>
        <v>0</v>
      </c>
      <c r="G24" s="180">
        <f ca="1"/>
        <v>0</v>
      </c>
      <c r="H24" s="180">
        <f ca="1"/>
        <v>0</v>
      </c>
      <c r="I24" s="180">
        <f ca="1"/>
        <v>8.79504802320241E-16</v>
      </c>
      <c r="J24" s="180">
        <f ca="1"/>
        <v>9.8901057681972202E-5</v>
      </c>
      <c r="K24" s="180">
        <f ca="1"/>
        <v>1.0989149502472301E-6</v>
      </c>
      <c r="L24" s="180">
        <f ca="1"/>
        <v>0</v>
      </c>
      <c r="M24" s="180">
        <f ca="1"/>
        <v>0</v>
      </c>
      <c r="N24" s="180">
        <f ca="1"/>
        <v>0</v>
      </c>
      <c r="O24" s="180">
        <f ca="1"/>
        <v>0</v>
      </c>
      <c r="P24" s="180">
        <f ca="1"/>
        <v>0</v>
      </c>
      <c r="Q24" s="180">
        <f ca="1"/>
        <v>0</v>
      </c>
      <c r="R24" s="180">
        <f ca="1"/>
        <v>0</v>
      </c>
      <c r="S24" s="180">
        <f ca="1"/>
        <v>0</v>
      </c>
      <c r="T24" s="180">
        <f ca="1"/>
        <v>0</v>
      </c>
      <c r="U24" s="180">
        <f ca="1"/>
        <v>0</v>
      </c>
      <c r="V24" s="180">
        <f ca="1"/>
        <v>0</v>
      </c>
      <c r="W24" s="180">
        <f ca="1"/>
        <v>0</v>
      </c>
      <c r="X24" s="180">
        <f ca="1"/>
        <v>0</v>
      </c>
      <c r="Y24" s="180">
        <f ca="1"/>
        <v>0</v>
      </c>
      <c r="Z24" s="180">
        <f ca="1"/>
        <v>0</v>
      </c>
      <c r="AA24" s="180" t="str">
        <f ca="1"/>
        <v/>
      </c>
      <c r="AB24" s="180" t="str">
        <f ca="1"/>
        <v/>
      </c>
      <c r="AC24" s="180" t="str">
        <f ca="1"/>
        <v/>
      </c>
      <c r="AD24" s="180" t="str">
        <f ca="1"/>
        <v/>
      </c>
      <c r="AE24" s="180" t="str">
        <f ca="1"/>
        <v/>
      </c>
      <c r="AF24" s="180" t="str">
        <f ca="1"/>
        <v/>
      </c>
      <c r="AG24" s="180" t="str">
        <f ca="1"/>
        <v/>
      </c>
      <c r="AH24" s="180" t="str">
        <f ca="1"/>
        <v/>
      </c>
      <c r="AI24" s="180" t="str">
        <f ca="1"/>
        <v/>
      </c>
      <c r="AJ24" s="180" t="str">
        <f ca="1"/>
        <v/>
      </c>
      <c r="AK24" s="180" t="str">
        <f ca="1"/>
        <v/>
      </c>
      <c r="AL24" s="180" t="str">
        <f ca="1"/>
        <v/>
      </c>
      <c r="AM24" s="180" t="str">
        <f ca="1"/>
        <v/>
      </c>
      <c r="AN24" s="180" t="str">
        <f ca="1"/>
        <v/>
      </c>
      <c r="AO24" s="180" t="str">
        <f ca="1"/>
        <v/>
      </c>
      <c r="AP24" s="180" t="str">
        <f ca="1"/>
        <v/>
      </c>
      <c r="AQ24" s="187" t="str">
        <f ca="1"/>
        <v/>
      </c>
    </row>
    <row r="25" spans="2:43" x14ac:dyDescent="0.25">
      <c r="B25" s="179">
        <f ca="1"/>
        <v>44181</v>
      </c>
      <c r="C25" s="180">
        <f ca="1"/>
        <v>0</v>
      </c>
      <c r="D25" s="180">
        <f ca="1"/>
        <v>0</v>
      </c>
      <c r="E25" s="180">
        <f ca="1"/>
        <v>0</v>
      </c>
      <c r="F25" s="180">
        <f ca="1"/>
        <v>0</v>
      </c>
      <c r="G25" s="180">
        <f ca="1"/>
        <v>0</v>
      </c>
      <c r="H25" s="180">
        <f ca="1"/>
        <v>0</v>
      </c>
      <c r="I25" s="180">
        <f ca="1"/>
        <v>0</v>
      </c>
      <c r="J25" s="180">
        <f ca="1"/>
        <v>0</v>
      </c>
      <c r="K25" s="180">
        <f ca="1"/>
        <v>9.9991564162849004E-5</v>
      </c>
      <c r="L25" s="180">
        <f ca="1"/>
        <v>0</v>
      </c>
      <c r="M25" s="180">
        <f ca="1"/>
        <v>0</v>
      </c>
      <c r="N25" s="180">
        <f ca="1"/>
        <v>0</v>
      </c>
      <c r="O25" s="180">
        <f ca="1"/>
        <v>0</v>
      </c>
      <c r="P25" s="180">
        <f ca="1"/>
        <v>0</v>
      </c>
      <c r="Q25" s="180">
        <f ca="1"/>
        <v>0</v>
      </c>
      <c r="R25" s="180">
        <f ca="1"/>
        <v>0</v>
      </c>
      <c r="S25" s="180">
        <f ca="1"/>
        <v>0</v>
      </c>
      <c r="T25" s="180">
        <f ca="1"/>
        <v>0</v>
      </c>
      <c r="U25" s="180">
        <f ca="1"/>
        <v>0</v>
      </c>
      <c r="V25" s="180">
        <f ca="1"/>
        <v>0</v>
      </c>
      <c r="W25" s="180">
        <f ca="1"/>
        <v>0</v>
      </c>
      <c r="X25" s="180">
        <f ca="1"/>
        <v>0</v>
      </c>
      <c r="Y25" s="180">
        <f ca="1"/>
        <v>0</v>
      </c>
      <c r="Z25" s="180">
        <f ca="1"/>
        <v>0</v>
      </c>
      <c r="AA25" s="180" t="str">
        <f ca="1"/>
        <v/>
      </c>
      <c r="AB25" s="180" t="str">
        <f ca="1"/>
        <v/>
      </c>
      <c r="AC25" s="180" t="str">
        <f ca="1"/>
        <v/>
      </c>
      <c r="AD25" s="180" t="str">
        <f ca="1"/>
        <v/>
      </c>
      <c r="AE25" s="180" t="str">
        <f ca="1"/>
        <v/>
      </c>
      <c r="AF25" s="180" t="str">
        <f ca="1"/>
        <v/>
      </c>
      <c r="AG25" s="180" t="str">
        <f ca="1"/>
        <v/>
      </c>
      <c r="AH25" s="180" t="str">
        <f ca="1"/>
        <v/>
      </c>
      <c r="AI25" s="180" t="str">
        <f ca="1"/>
        <v/>
      </c>
      <c r="AJ25" s="180" t="str">
        <f ca="1"/>
        <v/>
      </c>
      <c r="AK25" s="180" t="str">
        <f ca="1"/>
        <v/>
      </c>
      <c r="AL25" s="180" t="str">
        <f ca="1"/>
        <v/>
      </c>
      <c r="AM25" s="180" t="str">
        <f ca="1"/>
        <v/>
      </c>
      <c r="AN25" s="180" t="str">
        <f ca="1"/>
        <v/>
      </c>
      <c r="AO25" s="180" t="str">
        <f ca="1"/>
        <v/>
      </c>
      <c r="AP25" s="180" t="str">
        <f ca="1"/>
        <v/>
      </c>
      <c r="AQ25" s="187" t="str">
        <f ca="1"/>
        <v/>
      </c>
    </row>
    <row r="26" spans="2:43" x14ac:dyDescent="0.25">
      <c r="B26" s="179">
        <f ca="1"/>
        <v>44182</v>
      </c>
      <c r="C26" s="180">
        <f ca="1"/>
        <v>0</v>
      </c>
      <c r="D26" s="180">
        <f ca="1"/>
        <v>0</v>
      </c>
      <c r="E26" s="180">
        <f ca="1"/>
        <v>0</v>
      </c>
      <c r="F26" s="180">
        <f ca="1"/>
        <v>0</v>
      </c>
      <c r="G26" s="180">
        <f ca="1"/>
        <v>0</v>
      </c>
      <c r="H26" s="180">
        <f ca="1"/>
        <v>0</v>
      </c>
      <c r="I26" s="180">
        <f ca="1"/>
        <v>0</v>
      </c>
      <c r="J26" s="180">
        <f ca="1"/>
        <v>0</v>
      </c>
      <c r="K26" s="180">
        <f ca="1"/>
        <v>9.9995766413840697E-5</v>
      </c>
      <c r="L26" s="180">
        <f ca="1"/>
        <v>0</v>
      </c>
      <c r="M26" s="180">
        <f ca="1"/>
        <v>0</v>
      </c>
      <c r="N26" s="180">
        <f ca="1"/>
        <v>0</v>
      </c>
      <c r="O26" s="180">
        <f ca="1"/>
        <v>0</v>
      </c>
      <c r="P26" s="180">
        <f ca="1"/>
        <v>0</v>
      </c>
      <c r="Q26" s="180">
        <f ca="1"/>
        <v>0</v>
      </c>
      <c r="R26" s="180">
        <f ca="1"/>
        <v>0</v>
      </c>
      <c r="S26" s="180">
        <f ca="1"/>
        <v>0</v>
      </c>
      <c r="T26" s="180">
        <f ca="1"/>
        <v>0</v>
      </c>
      <c r="U26" s="180">
        <f ca="1"/>
        <v>0</v>
      </c>
      <c r="V26" s="180">
        <f ca="1"/>
        <v>0</v>
      </c>
      <c r="W26" s="180">
        <f ca="1"/>
        <v>0</v>
      </c>
      <c r="X26" s="180">
        <f ca="1"/>
        <v>0</v>
      </c>
      <c r="Y26" s="180">
        <f ca="1"/>
        <v>0</v>
      </c>
      <c r="Z26" s="180">
        <f ca="1"/>
        <v>0</v>
      </c>
      <c r="AA26" s="180" t="str">
        <f ca="1"/>
        <v/>
      </c>
      <c r="AB26" s="180" t="str">
        <f ca="1"/>
        <v/>
      </c>
      <c r="AC26" s="180" t="str">
        <f ca="1"/>
        <v/>
      </c>
      <c r="AD26" s="180" t="str">
        <f ca="1"/>
        <v/>
      </c>
      <c r="AE26" s="180" t="str">
        <f ca="1"/>
        <v/>
      </c>
      <c r="AF26" s="180" t="str">
        <f ca="1"/>
        <v/>
      </c>
      <c r="AG26" s="180" t="str">
        <f ca="1"/>
        <v/>
      </c>
      <c r="AH26" s="180" t="str">
        <f ca="1"/>
        <v/>
      </c>
      <c r="AI26" s="180" t="str">
        <f ca="1"/>
        <v/>
      </c>
      <c r="AJ26" s="180" t="str">
        <f ca="1"/>
        <v/>
      </c>
      <c r="AK26" s="180" t="str">
        <f ca="1"/>
        <v/>
      </c>
      <c r="AL26" s="180" t="str">
        <f ca="1"/>
        <v/>
      </c>
      <c r="AM26" s="180" t="str">
        <f ca="1"/>
        <v/>
      </c>
      <c r="AN26" s="180" t="str">
        <f ca="1"/>
        <v/>
      </c>
      <c r="AO26" s="180" t="str">
        <f ca="1"/>
        <v/>
      </c>
      <c r="AP26" s="180" t="str">
        <f ca="1"/>
        <v/>
      </c>
      <c r="AQ26" s="187" t="str">
        <f ca="1"/>
        <v/>
      </c>
    </row>
    <row r="27" spans="2:43" x14ac:dyDescent="0.25">
      <c r="B27" s="179">
        <f ca="1"/>
        <v>44272</v>
      </c>
      <c r="C27" s="180">
        <f ca="1"/>
        <v>0</v>
      </c>
      <c r="D27" s="180">
        <f ca="1"/>
        <v>0</v>
      </c>
      <c r="E27" s="180">
        <f ca="1"/>
        <v>0</v>
      </c>
      <c r="F27" s="180">
        <f ca="1"/>
        <v>0</v>
      </c>
      <c r="G27" s="180">
        <f ca="1"/>
        <v>0</v>
      </c>
      <c r="H27" s="180">
        <f ca="1"/>
        <v>0</v>
      </c>
      <c r="I27" s="180">
        <f ca="1"/>
        <v>0</v>
      </c>
      <c r="J27" s="180">
        <f ca="1"/>
        <v>0</v>
      </c>
      <c r="K27" s="180">
        <f ca="1"/>
        <v>0</v>
      </c>
      <c r="L27" s="180">
        <f ca="1"/>
        <v>9.8916988600095097E-5</v>
      </c>
      <c r="M27" s="180">
        <f ca="1"/>
        <v>1.08700657344869E-6</v>
      </c>
      <c r="N27" s="180">
        <f ca="1"/>
        <v>0</v>
      </c>
      <c r="O27" s="180">
        <f ca="1"/>
        <v>0</v>
      </c>
      <c r="P27" s="180">
        <f ca="1"/>
        <v>0</v>
      </c>
      <c r="Q27" s="180">
        <f ca="1"/>
        <v>0</v>
      </c>
      <c r="R27" s="180">
        <f ca="1"/>
        <v>0</v>
      </c>
      <c r="S27" s="180">
        <f ca="1"/>
        <v>0</v>
      </c>
      <c r="T27" s="180">
        <f ca="1"/>
        <v>0</v>
      </c>
      <c r="U27" s="180">
        <f ca="1"/>
        <v>0</v>
      </c>
      <c r="V27" s="180">
        <f ca="1"/>
        <v>0</v>
      </c>
      <c r="W27" s="180">
        <f ca="1"/>
        <v>0</v>
      </c>
      <c r="X27" s="180">
        <f ca="1"/>
        <v>0</v>
      </c>
      <c r="Y27" s="180">
        <f ca="1"/>
        <v>0</v>
      </c>
      <c r="Z27" s="180">
        <f ca="1"/>
        <v>0</v>
      </c>
      <c r="AA27" s="180" t="str">
        <f ca="1"/>
        <v/>
      </c>
      <c r="AB27" s="180" t="str">
        <f ca="1"/>
        <v/>
      </c>
      <c r="AC27" s="180" t="str">
        <f ca="1"/>
        <v/>
      </c>
      <c r="AD27" s="180" t="str">
        <f ca="1"/>
        <v/>
      </c>
      <c r="AE27" s="180" t="str">
        <f ca="1"/>
        <v/>
      </c>
      <c r="AF27" s="180" t="str">
        <f ca="1"/>
        <v/>
      </c>
      <c r="AG27" s="180" t="str">
        <f ca="1"/>
        <v/>
      </c>
      <c r="AH27" s="180" t="str">
        <f ca="1"/>
        <v/>
      </c>
      <c r="AI27" s="180" t="str">
        <f ca="1"/>
        <v/>
      </c>
      <c r="AJ27" s="180" t="str">
        <f ca="1"/>
        <v/>
      </c>
      <c r="AK27" s="180" t="str">
        <f ca="1"/>
        <v/>
      </c>
      <c r="AL27" s="180" t="str">
        <f ca="1"/>
        <v/>
      </c>
      <c r="AM27" s="180" t="str">
        <f ca="1"/>
        <v/>
      </c>
      <c r="AN27" s="180" t="str">
        <f ca="1"/>
        <v/>
      </c>
      <c r="AO27" s="180" t="str">
        <f ca="1"/>
        <v/>
      </c>
      <c r="AP27" s="180" t="str">
        <f ca="1"/>
        <v/>
      </c>
      <c r="AQ27" s="187" t="str">
        <f ca="1"/>
        <v/>
      </c>
    </row>
    <row r="28" spans="2:43" x14ac:dyDescent="0.25">
      <c r="B28" s="179">
        <f ca="1"/>
        <v>44363</v>
      </c>
      <c r="C28" s="180">
        <f ca="1"/>
        <v>0</v>
      </c>
      <c r="D28" s="180">
        <f ca="1"/>
        <v>2.6341457711257001E-8</v>
      </c>
      <c r="E28" s="180">
        <f ca="1"/>
        <v>8.6909646146437996E-16</v>
      </c>
      <c r="F28" s="180">
        <f ca="1"/>
        <v>0</v>
      </c>
      <c r="G28" s="180">
        <f ca="1"/>
        <v>2.88203374360085E-10</v>
      </c>
      <c r="H28" s="180">
        <f ca="1"/>
        <v>2.62433118708438E-8</v>
      </c>
      <c r="I28" s="180">
        <f ca="1"/>
        <v>2.6148756203728301E-8</v>
      </c>
      <c r="J28" s="180">
        <f ca="1"/>
        <v>2.60624973772577E-8</v>
      </c>
      <c r="K28" s="180">
        <f ca="1"/>
        <v>2.5979642784279602E-8</v>
      </c>
      <c r="L28" s="180">
        <f ca="1"/>
        <v>2.5898545048114201E-8</v>
      </c>
      <c r="M28" s="180">
        <f ca="1"/>
        <v>9.9208703259480099E-5</v>
      </c>
      <c r="N28" s="180">
        <f ca="1"/>
        <v>9.3435463714014497E-7</v>
      </c>
      <c r="O28" s="180">
        <f ca="1"/>
        <v>-3.68506083038914E-7</v>
      </c>
      <c r="P28" s="180">
        <f ca="1"/>
        <v>1.01759654615868E-7</v>
      </c>
      <c r="Q28" s="180">
        <f ca="1"/>
        <v>-2.7955405816626501E-8</v>
      </c>
      <c r="R28" s="180">
        <f ca="1"/>
        <v>6.3233027512016299E-9</v>
      </c>
      <c r="S28" s="180">
        <f ca="1"/>
        <v>-3.6353928565407999E-9</v>
      </c>
      <c r="T28" s="180">
        <f ca="1"/>
        <v>1.0738957553074701E-9</v>
      </c>
      <c r="U28" s="180">
        <f ca="1"/>
        <v>-2.6006675112044701E-10</v>
      </c>
      <c r="V28" s="180">
        <f ca="1"/>
        <v>3.0360930783346302E-11</v>
      </c>
      <c r="W28" s="180">
        <f ca="1"/>
        <v>-5.3800436328188499E-12</v>
      </c>
      <c r="X28" s="180">
        <f ca="1"/>
        <v>1.06610380246064E-12</v>
      </c>
      <c r="Y28" s="180">
        <f ca="1"/>
        <v>-3.4059734199676198E-13</v>
      </c>
      <c r="Z28" s="180">
        <f ca="1"/>
        <v>6.9510369682390698E-14</v>
      </c>
      <c r="AA28" s="180" t="str">
        <f ca="1"/>
        <v/>
      </c>
      <c r="AB28" s="180" t="str">
        <f ca="1"/>
        <v/>
      </c>
      <c r="AC28" s="180" t="str">
        <f ca="1"/>
        <v/>
      </c>
      <c r="AD28" s="180" t="str">
        <f ca="1"/>
        <v/>
      </c>
      <c r="AE28" s="180" t="str">
        <f ca="1"/>
        <v/>
      </c>
      <c r="AF28" s="180" t="str">
        <f ca="1"/>
        <v/>
      </c>
      <c r="AG28" s="180" t="str">
        <f ca="1"/>
        <v/>
      </c>
      <c r="AH28" s="180" t="str">
        <f ca="1"/>
        <v/>
      </c>
      <c r="AI28" s="180" t="str">
        <f ca="1"/>
        <v/>
      </c>
      <c r="AJ28" s="180" t="str">
        <f ca="1"/>
        <v/>
      </c>
      <c r="AK28" s="180" t="str">
        <f ca="1"/>
        <v/>
      </c>
      <c r="AL28" s="180" t="str">
        <f ca="1"/>
        <v/>
      </c>
      <c r="AM28" s="180" t="str">
        <f ca="1"/>
        <v/>
      </c>
      <c r="AN28" s="180" t="str">
        <f ca="1"/>
        <v/>
      </c>
      <c r="AO28" s="180" t="str">
        <f ca="1"/>
        <v/>
      </c>
      <c r="AP28" s="180" t="str">
        <f ca="1"/>
        <v/>
      </c>
      <c r="AQ28" s="187" t="str">
        <f ca="1"/>
        <v/>
      </c>
    </row>
    <row r="29" spans="2:43" x14ac:dyDescent="0.25">
      <c r="B29" s="179">
        <f ca="1"/>
        <v>44364</v>
      </c>
      <c r="C29" s="180">
        <f ca="1"/>
        <v>0</v>
      </c>
      <c r="D29" s="180">
        <f ca="1"/>
        <v>5.2670606136978597E-8</v>
      </c>
      <c r="E29" s="180">
        <f ca="1"/>
        <v>2.6055546609171599E-15</v>
      </c>
      <c r="F29" s="180">
        <f ca="1"/>
        <v>0</v>
      </c>
      <c r="G29" s="180">
        <f ca="1"/>
        <v>5.7627207346311296E-10</v>
      </c>
      <c r="H29" s="180">
        <f ca="1"/>
        <v>5.2474361376952899E-8</v>
      </c>
      <c r="I29" s="180">
        <f ca="1"/>
        <v>5.2285293485401798E-8</v>
      </c>
      <c r="J29" s="180">
        <f ca="1"/>
        <v>5.2112814933127902E-8</v>
      </c>
      <c r="K29" s="180">
        <f ca="1"/>
        <v>5.1947144846103998E-8</v>
      </c>
      <c r="L29" s="180">
        <f ca="1"/>
        <v>5.1784987601874397E-8</v>
      </c>
      <c r="M29" s="180">
        <f ca="1"/>
        <v>9.8395678239996496E-5</v>
      </c>
      <c r="N29" s="180">
        <f ca="1"/>
        <v>1.8863275063687999E-6</v>
      </c>
      <c r="O29" s="180">
        <f ca="1"/>
        <v>-7.36839890842084E-7</v>
      </c>
      <c r="P29" s="180">
        <f ca="1"/>
        <v>2.0347176031033899E-7</v>
      </c>
      <c r="Q29" s="180">
        <f ca="1"/>
        <v>-5.5897746431554698E-8</v>
      </c>
      <c r="R29" s="180">
        <f ca="1"/>
        <v>1.2643649604723899E-8</v>
      </c>
      <c r="S29" s="180">
        <f ca="1"/>
        <v>-7.2690870718539199E-9</v>
      </c>
      <c r="T29" s="180">
        <f ca="1"/>
        <v>2.14728843386802E-9</v>
      </c>
      <c r="U29" s="180">
        <f ca="1"/>
        <v>-5.2001185996131096E-10</v>
      </c>
      <c r="V29" s="180">
        <f ca="1"/>
        <v>6.0707959492756203E-11</v>
      </c>
      <c r="W29" s="180">
        <f ca="1"/>
        <v>-1.07574817109768E-11</v>
      </c>
      <c r="X29" s="180">
        <f ca="1"/>
        <v>2.13220760492128E-12</v>
      </c>
      <c r="Y29" s="180">
        <f ca="1"/>
        <v>-6.8119468399352497E-13</v>
      </c>
      <c r="Z29" s="180">
        <f ca="1"/>
        <v>1.3901900464130499E-13</v>
      </c>
      <c r="AA29" s="180" t="str">
        <f ca="1"/>
        <v/>
      </c>
      <c r="AB29" s="180" t="str">
        <f ca="1"/>
        <v/>
      </c>
      <c r="AC29" s="180" t="str">
        <f ca="1"/>
        <v/>
      </c>
      <c r="AD29" s="180" t="str">
        <f ca="1"/>
        <v/>
      </c>
      <c r="AE29" s="180" t="str">
        <f ca="1"/>
        <v/>
      </c>
      <c r="AF29" s="180" t="str">
        <f ca="1"/>
        <v/>
      </c>
      <c r="AG29" s="180" t="str">
        <f ca="1"/>
        <v/>
      </c>
      <c r="AH29" s="180" t="str">
        <f ca="1"/>
        <v/>
      </c>
      <c r="AI29" s="180" t="str">
        <f ca="1"/>
        <v/>
      </c>
      <c r="AJ29" s="180" t="str">
        <f ca="1"/>
        <v/>
      </c>
      <c r="AK29" s="180" t="str">
        <f ca="1"/>
        <v/>
      </c>
      <c r="AL29" s="180" t="str">
        <f ca="1"/>
        <v/>
      </c>
      <c r="AM29" s="180" t="str">
        <f ca="1"/>
        <v/>
      </c>
      <c r="AN29" s="180" t="str">
        <f ca="1"/>
        <v/>
      </c>
      <c r="AO29" s="180" t="str">
        <f ca="1"/>
        <v/>
      </c>
      <c r="AP29" s="180" t="str">
        <f ca="1"/>
        <v/>
      </c>
      <c r="AQ29" s="187" t="str">
        <f ca="1"/>
        <v/>
      </c>
    </row>
    <row r="30" spans="2:43" x14ac:dyDescent="0.25">
      <c r="B30" s="179">
        <f ca="1"/>
        <v>44454</v>
      </c>
      <c r="C30" s="180">
        <f ca="1"/>
        <v>0</v>
      </c>
      <c r="D30" s="180">
        <f ca="1"/>
        <v>0</v>
      </c>
      <c r="E30" s="180">
        <f ca="1"/>
        <v>0</v>
      </c>
      <c r="F30" s="180">
        <f ca="1"/>
        <v>0</v>
      </c>
      <c r="G30" s="180">
        <f ca="1"/>
        <v>0</v>
      </c>
      <c r="H30" s="180">
        <f ca="1"/>
        <v>0</v>
      </c>
      <c r="I30" s="180">
        <f ca="1"/>
        <v>0</v>
      </c>
      <c r="J30" s="180">
        <f ca="1"/>
        <v>0</v>
      </c>
      <c r="K30" s="180">
        <f ca="1"/>
        <v>0</v>
      </c>
      <c r="L30" s="180">
        <f ca="1"/>
        <v>0</v>
      </c>
      <c r="M30" s="180">
        <f ca="1"/>
        <v>0</v>
      </c>
      <c r="N30" s="180">
        <f ca="1"/>
        <v>1.00000000000216E-4</v>
      </c>
      <c r="O30" s="180">
        <f ca="1"/>
        <v>0</v>
      </c>
      <c r="P30" s="180">
        <f ca="1"/>
        <v>0</v>
      </c>
      <c r="Q30" s="180">
        <f ca="1"/>
        <v>0</v>
      </c>
      <c r="R30" s="180">
        <f ca="1"/>
        <v>0</v>
      </c>
      <c r="S30" s="180">
        <f ca="1"/>
        <v>0</v>
      </c>
      <c r="T30" s="180">
        <f ca="1"/>
        <v>0</v>
      </c>
      <c r="U30" s="180">
        <f ca="1"/>
        <v>0</v>
      </c>
      <c r="V30" s="180">
        <f ca="1"/>
        <v>0</v>
      </c>
      <c r="W30" s="180">
        <f ca="1"/>
        <v>0</v>
      </c>
      <c r="X30" s="180">
        <f ca="1"/>
        <v>0</v>
      </c>
      <c r="Y30" s="180">
        <f ca="1"/>
        <v>0</v>
      </c>
      <c r="Z30" s="180">
        <f ca="1"/>
        <v>0</v>
      </c>
      <c r="AA30" s="180" t="str">
        <f ca="1"/>
        <v/>
      </c>
      <c r="AB30" s="180" t="str">
        <f ca="1"/>
        <v/>
      </c>
      <c r="AC30" s="180" t="str">
        <f ca="1"/>
        <v/>
      </c>
      <c r="AD30" s="180" t="str">
        <f ca="1"/>
        <v/>
      </c>
      <c r="AE30" s="180" t="str">
        <f ca="1"/>
        <v/>
      </c>
      <c r="AF30" s="180" t="str">
        <f ca="1"/>
        <v/>
      </c>
      <c r="AG30" s="180" t="str">
        <f ca="1"/>
        <v/>
      </c>
      <c r="AH30" s="180" t="str">
        <f ca="1"/>
        <v/>
      </c>
      <c r="AI30" s="180" t="str">
        <f ca="1"/>
        <v/>
      </c>
      <c r="AJ30" s="180" t="str">
        <f ca="1"/>
        <v/>
      </c>
      <c r="AK30" s="180" t="str">
        <f ca="1"/>
        <v/>
      </c>
      <c r="AL30" s="180" t="str">
        <f ca="1"/>
        <v/>
      </c>
      <c r="AM30" s="180" t="str">
        <f ca="1"/>
        <v/>
      </c>
      <c r="AN30" s="180" t="str">
        <f ca="1"/>
        <v/>
      </c>
      <c r="AO30" s="180" t="str">
        <f ca="1"/>
        <v/>
      </c>
      <c r="AP30" s="180" t="str">
        <f ca="1"/>
        <v/>
      </c>
      <c r="AQ30" s="187" t="str">
        <f ca="1"/>
        <v/>
      </c>
    </row>
    <row r="31" spans="2:43" x14ac:dyDescent="0.25">
      <c r="B31" s="179">
        <f ca="1"/>
        <v>44456</v>
      </c>
      <c r="C31" s="180">
        <f ca="1"/>
        <v>-8.79504802320241E-16</v>
      </c>
      <c r="D31" s="180">
        <f ca="1"/>
        <v>-2.1474243306653101E-7</v>
      </c>
      <c r="E31" s="180">
        <f ca="1"/>
        <v>-8.7846396823465495E-15</v>
      </c>
      <c r="F31" s="180">
        <f ca="1"/>
        <v>-8.79504802320241E-16</v>
      </c>
      <c r="G31" s="180">
        <f ca="1"/>
        <v>-2.3495104767984299E-9</v>
      </c>
      <c r="H31" s="180">
        <f ca="1"/>
        <v>-2.13942324954822E-7</v>
      </c>
      <c r="I31" s="180">
        <f ca="1"/>
        <v>-2.1317147607703699E-7</v>
      </c>
      <c r="J31" s="180">
        <f ca="1"/>
        <v>-2.1246826979216799E-7</v>
      </c>
      <c r="K31" s="180">
        <f ca="1"/>
        <v>-2.1179281713135101E-7</v>
      </c>
      <c r="L31" s="180">
        <f ca="1"/>
        <v>-2.1113168883688001E-7</v>
      </c>
      <c r="M31" s="180">
        <f ca="1"/>
        <v>-7.39269005572626E-7</v>
      </c>
      <c r="N31" s="180">
        <f ca="1"/>
        <v>9.9641376391163995E-5</v>
      </c>
      <c r="O31" s="180">
        <f ca="1"/>
        <v>3.1415215984639802E-6</v>
      </c>
      <c r="P31" s="180">
        <f ca="1"/>
        <v>-1.05663753878493E-6</v>
      </c>
      <c r="Q31" s="180">
        <f ca="1"/>
        <v>2.9028062942249001E-7</v>
      </c>
      <c r="R31" s="180">
        <f ca="1"/>
        <v>-6.5659222236308405E-8</v>
      </c>
      <c r="S31" s="180">
        <f ca="1"/>
        <v>3.7748801886422503E-8</v>
      </c>
      <c r="T31" s="180">
        <f ca="1"/>
        <v>-1.1151004515597101E-8</v>
      </c>
      <c r="U31" s="180">
        <f ca="1"/>
        <v>2.7004455806917098E-9</v>
      </c>
      <c r="V31" s="180">
        <f ca="1"/>
        <v>-3.15258149446995E-10</v>
      </c>
      <c r="W31" s="180">
        <f ca="1"/>
        <v>5.5863005193890203E-11</v>
      </c>
      <c r="X31" s="180">
        <f ca="1"/>
        <v>-1.1075097436363799E-11</v>
      </c>
      <c r="Y31" s="180">
        <f ca="1"/>
        <v>3.5373891316137202E-12</v>
      </c>
      <c r="Z31" s="180">
        <f ca="1"/>
        <v>-7.2293906971943005E-13</v>
      </c>
      <c r="AA31" s="180" t="str">
        <f ca="1"/>
        <v/>
      </c>
      <c r="AB31" s="180" t="str">
        <f ca="1"/>
        <v/>
      </c>
      <c r="AC31" s="180" t="str">
        <f ca="1"/>
        <v/>
      </c>
      <c r="AD31" s="180" t="str">
        <f ca="1"/>
        <v/>
      </c>
      <c r="AE31" s="180" t="str">
        <f ca="1"/>
        <v/>
      </c>
      <c r="AF31" s="180" t="str">
        <f ca="1"/>
        <v/>
      </c>
      <c r="AG31" s="180" t="str">
        <f ca="1"/>
        <v/>
      </c>
      <c r="AH31" s="180" t="str">
        <f ca="1"/>
        <v/>
      </c>
      <c r="AI31" s="180" t="str">
        <f ca="1"/>
        <v/>
      </c>
      <c r="AJ31" s="180" t="str">
        <f ca="1"/>
        <v/>
      </c>
      <c r="AK31" s="180" t="str">
        <f ca="1"/>
        <v/>
      </c>
      <c r="AL31" s="180" t="str">
        <f ca="1"/>
        <v/>
      </c>
      <c r="AM31" s="180" t="str">
        <f ca="1"/>
        <v/>
      </c>
      <c r="AN31" s="180" t="str">
        <f ca="1"/>
        <v/>
      </c>
      <c r="AO31" s="180" t="str">
        <f ca="1"/>
        <v/>
      </c>
      <c r="AP31" s="180" t="str">
        <f ca="1"/>
        <v/>
      </c>
      <c r="AQ31" s="187" t="str">
        <f ca="1"/>
        <v/>
      </c>
    </row>
    <row r="32" spans="2:43" x14ac:dyDescent="0.25">
      <c r="B32" s="179">
        <f ca="1"/>
        <v>44545</v>
      </c>
      <c r="C32" s="180">
        <f ca="1"/>
        <v>-2.57571741713036E-14</v>
      </c>
      <c r="D32" s="180">
        <f ca="1"/>
        <v>-1.6254378291336001E-5</v>
      </c>
      <c r="E32" s="180">
        <f ca="1"/>
        <v>-7.0166095156309903E-13</v>
      </c>
      <c r="F32" s="180">
        <f ca="1"/>
        <v>-2.57571741713036E-14</v>
      </c>
      <c r="G32" s="180">
        <f ca="1"/>
        <v>-1.7784053962799399E-7</v>
      </c>
      <c r="H32" s="180">
        <f ca="1"/>
        <v>-1.6193816239962199E-5</v>
      </c>
      <c r="I32" s="180">
        <f ca="1"/>
        <v>-1.61354690124682E-5</v>
      </c>
      <c r="J32" s="180">
        <f ca="1"/>
        <v>-1.60822417170081E-5</v>
      </c>
      <c r="K32" s="180">
        <f ca="1"/>
        <v>-1.6031115167791702E-5</v>
      </c>
      <c r="L32" s="180">
        <f ca="1"/>
        <v>-1.59810728757037E-5</v>
      </c>
      <c r="M32" s="180">
        <f ca="1"/>
        <v>-1.61875916342424E-5</v>
      </c>
      <c r="N32" s="180">
        <f ca="1"/>
        <v>3.2727912416596901E-5</v>
      </c>
      <c r="O32" s="180">
        <f ca="1"/>
        <v>2.36440226620616E-4</v>
      </c>
      <c r="P32" s="180">
        <f ca="1"/>
        <v>-7.7736441900455602E-5</v>
      </c>
      <c r="Q32" s="180">
        <f ca="1"/>
        <v>2.1356094475955E-5</v>
      </c>
      <c r="R32" s="180">
        <f ca="1"/>
        <v>-4.8305676001447801E-6</v>
      </c>
      <c r="S32" s="180">
        <f ca="1"/>
        <v>2.7771926429664998E-6</v>
      </c>
      <c r="T32" s="180">
        <f ca="1"/>
        <v>-8.2038287185781698E-7</v>
      </c>
      <c r="U32" s="180">
        <f ca="1"/>
        <v>1.9867265788065001E-7</v>
      </c>
      <c r="V32" s="180">
        <f ca="1"/>
        <v>-2.3193668319265699E-8</v>
      </c>
      <c r="W32" s="180">
        <f ca="1"/>
        <v>4.1098671132999698E-9</v>
      </c>
      <c r="X32" s="180">
        <f ca="1"/>
        <v>-8.1483975122864597E-10</v>
      </c>
      <c r="Y32" s="180">
        <f ca="1"/>
        <v>2.6025581689736999E-10</v>
      </c>
      <c r="Z32" s="180">
        <f ca="1"/>
        <v>-5.31938937342602E-11</v>
      </c>
      <c r="AA32" s="180" t="str">
        <f ca="1"/>
        <v/>
      </c>
      <c r="AB32" s="180" t="str">
        <f ca="1"/>
        <v/>
      </c>
      <c r="AC32" s="180" t="str">
        <f ca="1"/>
        <v/>
      </c>
      <c r="AD32" s="180" t="str">
        <f ca="1"/>
        <v/>
      </c>
      <c r="AE32" s="180" t="str">
        <f ca="1"/>
        <v/>
      </c>
      <c r="AF32" s="180" t="str">
        <f ca="1"/>
        <v/>
      </c>
      <c r="AG32" s="180" t="str">
        <f ca="1"/>
        <v/>
      </c>
      <c r="AH32" s="180" t="str">
        <f ca="1"/>
        <v/>
      </c>
      <c r="AI32" s="180" t="str">
        <f ca="1"/>
        <v/>
      </c>
      <c r="AJ32" s="180" t="str">
        <f ca="1"/>
        <v/>
      </c>
      <c r="AK32" s="180" t="str">
        <f ca="1"/>
        <v/>
      </c>
      <c r="AL32" s="180" t="str">
        <f ca="1"/>
        <v/>
      </c>
      <c r="AM32" s="180" t="str">
        <f ca="1"/>
        <v/>
      </c>
      <c r="AN32" s="180" t="str">
        <f ca="1"/>
        <v/>
      </c>
      <c r="AO32" s="180" t="str">
        <f ca="1"/>
        <v/>
      </c>
      <c r="AP32" s="180" t="str">
        <f ca="1"/>
        <v/>
      </c>
      <c r="AQ32" s="187" t="str">
        <f ca="1"/>
        <v/>
      </c>
    </row>
    <row r="33" spans="2:43" x14ac:dyDescent="0.25">
      <c r="B33" s="179">
        <f ca="1"/>
        <v>44547</v>
      </c>
      <c r="C33" s="180">
        <f ca="1"/>
        <v>-2.6645352591003801E-14</v>
      </c>
      <c r="D33" s="180">
        <f ca="1"/>
        <v>-1.6624973484091801E-5</v>
      </c>
      <c r="E33" s="180">
        <f ca="1"/>
        <v>-7.2386541205560196E-13</v>
      </c>
      <c r="F33" s="180">
        <f ca="1"/>
        <v>-2.57571741713036E-14</v>
      </c>
      <c r="G33" s="180">
        <f ca="1"/>
        <v>-1.8189526151957101E-7</v>
      </c>
      <c r="H33" s="180">
        <f ca="1"/>
        <v>-1.6563030638572199E-5</v>
      </c>
      <c r="I33" s="180">
        <f ca="1"/>
        <v>-1.6503353119645701E-5</v>
      </c>
      <c r="J33" s="180">
        <f ca="1"/>
        <v>-1.64489122598255E-5</v>
      </c>
      <c r="K33" s="180">
        <f ca="1"/>
        <v>-1.6396620043046499E-5</v>
      </c>
      <c r="L33" s="180">
        <f ca="1"/>
        <v>-1.6345436802289699E-5</v>
      </c>
      <c r="M33" s="180">
        <f ca="1"/>
        <v>-1.6545274267087999E-5</v>
      </c>
      <c r="N33" s="180">
        <f ca="1"/>
        <v>3.11259218044313E-5</v>
      </c>
      <c r="O33" s="180">
        <f ca="1"/>
        <v>2.4161231161290401E-4</v>
      </c>
      <c r="P33" s="180">
        <f ca="1"/>
        <v>-7.9147062245432705E-5</v>
      </c>
      <c r="Q33" s="180">
        <f ca="1"/>
        <v>2.1743626775538898E-5</v>
      </c>
      <c r="R33" s="180">
        <f ca="1"/>
        <v>-4.9182239489908903E-6</v>
      </c>
      <c r="S33" s="180">
        <f ca="1"/>
        <v>2.8275881245321001E-6</v>
      </c>
      <c r="T33" s="180">
        <f ca="1"/>
        <v>-8.35269687193829E-7</v>
      </c>
      <c r="U33" s="180">
        <f ca="1"/>
        <v>2.0227781760695499E-7</v>
      </c>
      <c r="V33" s="180">
        <f ca="1"/>
        <v>-2.3614546762473801E-8</v>
      </c>
      <c r="W33" s="180">
        <f ca="1"/>
        <v>4.1844456788453499E-9</v>
      </c>
      <c r="X33" s="180">
        <f ca="1"/>
        <v>-8.2962614555981397E-10</v>
      </c>
      <c r="Y33" s="180">
        <f ca="1"/>
        <v>2.6497737337649601E-10</v>
      </c>
      <c r="Z33" s="180">
        <f ca="1"/>
        <v>-5.4159343676474198E-11</v>
      </c>
      <c r="AA33" s="180" t="str">
        <f ca="1"/>
        <v/>
      </c>
      <c r="AB33" s="180" t="str">
        <f ca="1"/>
        <v/>
      </c>
      <c r="AC33" s="180" t="str">
        <f ca="1"/>
        <v/>
      </c>
      <c r="AD33" s="180" t="str">
        <f ca="1"/>
        <v/>
      </c>
      <c r="AE33" s="180" t="str">
        <f ca="1"/>
        <v/>
      </c>
      <c r="AF33" s="180" t="str">
        <f ca="1"/>
        <v/>
      </c>
      <c r="AG33" s="180" t="str">
        <f ca="1"/>
        <v/>
      </c>
      <c r="AH33" s="180" t="str">
        <f ca="1"/>
        <v/>
      </c>
      <c r="AI33" s="180" t="str">
        <f ca="1"/>
        <v/>
      </c>
      <c r="AJ33" s="180" t="str">
        <f ca="1"/>
        <v/>
      </c>
      <c r="AK33" s="180" t="str">
        <f ca="1"/>
        <v/>
      </c>
      <c r="AL33" s="180" t="str">
        <f ca="1"/>
        <v/>
      </c>
      <c r="AM33" s="180" t="str">
        <f ca="1"/>
        <v/>
      </c>
      <c r="AN33" s="180" t="str">
        <f ca="1"/>
        <v/>
      </c>
      <c r="AO33" s="180" t="str">
        <f ca="1"/>
        <v/>
      </c>
      <c r="AP33" s="180" t="str">
        <f ca="1"/>
        <v/>
      </c>
      <c r="AQ33" s="187" t="str">
        <f ca="1"/>
        <v/>
      </c>
    </row>
    <row r="34" spans="2:43" x14ac:dyDescent="0.25">
      <c r="B34" s="179">
        <f ca="1"/>
        <v>44637</v>
      </c>
      <c r="C34" s="180">
        <f ca="1"/>
        <v>-7.3854117266236598E-14</v>
      </c>
      <c r="D34" s="180">
        <f ca="1"/>
        <v>-2.8756031714946201E-5</v>
      </c>
      <c r="E34" s="180">
        <f ca="1"/>
        <v>-2.0609607770394301E-12</v>
      </c>
      <c r="F34" s="180">
        <f ca="1"/>
        <v>-7.3854117266236598E-14</v>
      </c>
      <c r="G34" s="180">
        <f ca="1"/>
        <v>-3.1462272873962498E-7</v>
      </c>
      <c r="H34" s="180">
        <f ca="1"/>
        <v>-2.8648890138465599E-5</v>
      </c>
      <c r="I34" s="180">
        <f ca="1"/>
        <v>-2.8545667554941499E-5</v>
      </c>
      <c r="J34" s="180">
        <f ca="1"/>
        <v>-2.84515019387671E-5</v>
      </c>
      <c r="K34" s="180">
        <f ca="1"/>
        <v>-2.8361052800154201E-5</v>
      </c>
      <c r="L34" s="180">
        <f ca="1"/>
        <v>-2.8272521854102699E-5</v>
      </c>
      <c r="M34" s="180">
        <f ca="1"/>
        <v>-2.8193097371459101E-5</v>
      </c>
      <c r="N34" s="180">
        <f ca="1"/>
        <v>-2.6428253470872999E-5</v>
      </c>
      <c r="O34" s="180">
        <f ca="1"/>
        <v>3.9145254191956199E-4</v>
      </c>
      <c r="P34" s="180">
        <f ca="1"/>
        <v>-9.3145542208860496E-5</v>
      </c>
      <c r="Q34" s="180">
        <f ca="1"/>
        <v>2.5589229582246801E-5</v>
      </c>
      <c r="R34" s="180">
        <f ca="1"/>
        <v>-5.7880741008795702E-6</v>
      </c>
      <c r="S34" s="180">
        <f ca="1"/>
        <v>3.3276831229688002E-6</v>
      </c>
      <c r="T34" s="180">
        <f ca="1"/>
        <v>-9.8299690821923601E-7</v>
      </c>
      <c r="U34" s="180">
        <f ca="1"/>
        <v>2.3805417984600101E-7</v>
      </c>
      <c r="V34" s="180">
        <f ca="1"/>
        <v>-2.7791282318848101E-8</v>
      </c>
      <c r="W34" s="180">
        <f ca="1"/>
        <v>4.9245407751641299E-9</v>
      </c>
      <c r="X34" s="180">
        <f ca="1"/>
        <v>-9.7640069987581194E-10</v>
      </c>
      <c r="Y34" s="180">
        <f ca="1"/>
        <v>3.1163245942100701E-10</v>
      </c>
      <c r="Z34" s="180">
        <f ca="1"/>
        <v>-6.3692530416492601E-11</v>
      </c>
      <c r="AA34" s="180" t="str">
        <f ca="1"/>
        <v/>
      </c>
      <c r="AB34" s="180" t="str">
        <f ca="1"/>
        <v/>
      </c>
      <c r="AC34" s="180" t="str">
        <f ca="1"/>
        <v/>
      </c>
      <c r="AD34" s="180" t="str">
        <f ca="1"/>
        <v/>
      </c>
      <c r="AE34" s="180" t="str">
        <f ca="1"/>
        <v/>
      </c>
      <c r="AF34" s="180" t="str">
        <f ca="1"/>
        <v/>
      </c>
      <c r="AG34" s="180" t="str">
        <f ca="1"/>
        <v/>
      </c>
      <c r="AH34" s="180" t="str">
        <f ca="1"/>
        <v/>
      </c>
      <c r="AI34" s="180" t="str">
        <f ca="1"/>
        <v/>
      </c>
      <c r="AJ34" s="180" t="str">
        <f ca="1"/>
        <v/>
      </c>
      <c r="AK34" s="180" t="str">
        <f ca="1"/>
        <v/>
      </c>
      <c r="AL34" s="180" t="str">
        <f ca="1"/>
        <v/>
      </c>
      <c r="AM34" s="180" t="str">
        <f ca="1"/>
        <v/>
      </c>
      <c r="AN34" s="180" t="str">
        <f ca="1"/>
        <v/>
      </c>
      <c r="AO34" s="180" t="str">
        <f ca="1"/>
        <v/>
      </c>
      <c r="AP34" s="180" t="str">
        <f ca="1"/>
        <v/>
      </c>
      <c r="AQ34" s="187" t="str">
        <f ca="1"/>
        <v/>
      </c>
    </row>
    <row r="35" spans="2:43" x14ac:dyDescent="0.25">
      <c r="B35" s="179">
        <f ca="1"/>
        <v>44729</v>
      </c>
      <c r="C35" s="180">
        <f ca="1"/>
        <v>-1.38613079347927E-13</v>
      </c>
      <c r="D35" s="180">
        <f ca="1"/>
        <v>-3.1610004871491703E-5</v>
      </c>
      <c r="E35" s="180">
        <f ca="1"/>
        <v>-4.0418744740033897E-12</v>
      </c>
      <c r="F35" s="180">
        <f ca="1"/>
        <v>-1.39463093851155E-13</v>
      </c>
      <c r="G35" s="180">
        <f ca="1"/>
        <v>-3.45848547248645E-7</v>
      </c>
      <c r="H35" s="180">
        <f ca="1"/>
        <v>-3.1492230013540498E-5</v>
      </c>
      <c r="I35" s="180">
        <f ca="1"/>
        <v>-3.1378764606257103E-5</v>
      </c>
      <c r="J35" s="180">
        <f ca="1"/>
        <v>-3.1275253275687601E-5</v>
      </c>
      <c r="K35" s="180">
        <f ca="1"/>
        <v>-3.1175827278039101E-5</v>
      </c>
      <c r="L35" s="180">
        <f ca="1"/>
        <v>-3.1078509867738697E-5</v>
      </c>
      <c r="M35" s="180">
        <f ca="1"/>
        <v>-3.0857871881558697E-5</v>
      </c>
      <c r="N35" s="180">
        <f ca="1"/>
        <v>-5.4227312460835398E-5</v>
      </c>
      <c r="O35" s="180">
        <f ca="1"/>
        <v>3.7214106932621598E-4</v>
      </c>
      <c r="P35" s="180">
        <f ca="1"/>
        <v>-6.2518397607787996E-6</v>
      </c>
      <c r="Q35" s="180">
        <f ca="1"/>
        <v>1.7168998707843599E-6</v>
      </c>
      <c r="R35" s="180">
        <f ca="1"/>
        <v>-3.8838666240568999E-7</v>
      </c>
      <c r="S35" s="180">
        <f ca="1"/>
        <v>2.2328997374351799E-7</v>
      </c>
      <c r="T35" s="180">
        <f ca="1"/>
        <v>-6.5957330661406397E-8</v>
      </c>
      <c r="U35" s="180">
        <f ca="1"/>
        <v>1.5976741631062999E-8</v>
      </c>
      <c r="V35" s="180">
        <f ca="1"/>
        <v>-1.86547203379073E-9</v>
      </c>
      <c r="W35" s="180">
        <f ca="1"/>
        <v>3.3051688989871299E-10</v>
      </c>
      <c r="X35" s="180">
        <f ca="1"/>
        <v>-6.5658117831546305E-11</v>
      </c>
      <c r="Y35" s="180">
        <f ca="1"/>
        <v>2.0238278067297199E-11</v>
      </c>
      <c r="Z35" s="180">
        <f ca="1"/>
        <v>-4.1260623390160201E-12</v>
      </c>
      <c r="AA35" s="180" t="str">
        <f ca="1"/>
        <v/>
      </c>
      <c r="AB35" s="180" t="str">
        <f ca="1"/>
        <v/>
      </c>
      <c r="AC35" s="180" t="str">
        <f ca="1"/>
        <v/>
      </c>
      <c r="AD35" s="180" t="str">
        <f ca="1"/>
        <v/>
      </c>
      <c r="AE35" s="180" t="str">
        <f ca="1"/>
        <v/>
      </c>
      <c r="AF35" s="180" t="str">
        <f ca="1"/>
        <v/>
      </c>
      <c r="AG35" s="180" t="str">
        <f ca="1"/>
        <v/>
      </c>
      <c r="AH35" s="180" t="str">
        <f ca="1"/>
        <v/>
      </c>
      <c r="AI35" s="180" t="str">
        <f ca="1"/>
        <v/>
      </c>
      <c r="AJ35" s="180" t="str">
        <f ca="1"/>
        <v/>
      </c>
      <c r="AK35" s="180" t="str">
        <f ca="1"/>
        <v/>
      </c>
      <c r="AL35" s="180" t="str">
        <f ca="1"/>
        <v/>
      </c>
      <c r="AM35" s="180" t="str">
        <f ca="1"/>
        <v/>
      </c>
      <c r="AN35" s="180" t="str">
        <f ca="1"/>
        <v/>
      </c>
      <c r="AO35" s="180" t="str">
        <f ca="1"/>
        <v/>
      </c>
      <c r="AP35" s="180" t="str">
        <f ca="1"/>
        <v/>
      </c>
      <c r="AQ35" s="187" t="str">
        <f ca="1"/>
        <v/>
      </c>
    </row>
    <row r="36" spans="2:43" x14ac:dyDescent="0.25">
      <c r="B36" s="179">
        <f ca="1"/>
        <v>44823</v>
      </c>
      <c r="C36" s="180">
        <f ca="1"/>
        <v>-2.2399616883550499E-13</v>
      </c>
      <c r="D36" s="180">
        <f ca="1"/>
        <v>-2.4911736819333698E-5</v>
      </c>
      <c r="E36" s="180">
        <f ca="1"/>
        <v>-6.6250303853987398E-12</v>
      </c>
      <c r="F36" s="180">
        <f ca="1"/>
        <v>-2.2399616883550499E-13</v>
      </c>
      <c r="G36" s="180">
        <f ca="1"/>
        <v>-2.7256189042042202E-7</v>
      </c>
      <c r="H36" s="180">
        <f ca="1"/>
        <v>-2.4818919216060299E-5</v>
      </c>
      <c r="I36" s="180">
        <f ca="1"/>
        <v>-2.4729500802287901E-5</v>
      </c>
      <c r="J36" s="180">
        <f ca="1"/>
        <v>-2.4647923742455001E-5</v>
      </c>
      <c r="K36" s="180">
        <f ca="1"/>
        <v>-2.45695663304672E-5</v>
      </c>
      <c r="L36" s="180">
        <f ca="1"/>
        <v>-2.44928707320239E-5</v>
      </c>
      <c r="M36" s="180">
        <f ca="1"/>
        <v>-2.42758393773773E-5</v>
      </c>
      <c r="N36" s="180">
        <f ca="1"/>
        <v>-5.0883599415720002E-5</v>
      </c>
      <c r="O36" s="180">
        <f ca="1"/>
        <v>1.8068053442937501E-4</v>
      </c>
      <c r="P36" s="180">
        <f ca="1"/>
        <v>1.81196935207337E-4</v>
      </c>
      <c r="Q36" s="180">
        <f ca="1"/>
        <v>-4.9778415123505297E-5</v>
      </c>
      <c r="R36" s="180">
        <f ca="1"/>
        <v>1.1259501683541499E-5</v>
      </c>
      <c r="S36" s="180">
        <f ca="1"/>
        <v>-6.47330117245666E-6</v>
      </c>
      <c r="T36" s="180">
        <f ca="1"/>
        <v>1.9122217497363801E-6</v>
      </c>
      <c r="U36" s="180">
        <f ca="1"/>
        <v>-4.6307589674811398E-7</v>
      </c>
      <c r="V36" s="180">
        <f ca="1"/>
        <v>5.4060320177004599E-8</v>
      </c>
      <c r="W36" s="180">
        <f ca="1"/>
        <v>-9.5794528351400598E-9</v>
      </c>
      <c r="X36" s="180">
        <f ca="1"/>
        <v>1.89899612527966E-9</v>
      </c>
      <c r="Y36" s="180">
        <f ca="1"/>
        <v>-6.0804987433993298E-10</v>
      </c>
      <c r="Z36" s="180">
        <f ca="1"/>
        <v>1.24303204881993E-10</v>
      </c>
      <c r="AA36" s="180" t="str">
        <f ca="1"/>
        <v/>
      </c>
      <c r="AB36" s="180" t="str">
        <f ca="1"/>
        <v/>
      </c>
      <c r="AC36" s="180" t="str">
        <f ca="1"/>
        <v/>
      </c>
      <c r="AD36" s="180" t="str">
        <f ca="1"/>
        <v/>
      </c>
      <c r="AE36" s="180" t="str">
        <f ca="1"/>
        <v/>
      </c>
      <c r="AF36" s="180" t="str">
        <f ca="1"/>
        <v/>
      </c>
      <c r="AG36" s="180" t="str">
        <f ca="1"/>
        <v/>
      </c>
      <c r="AH36" s="180" t="str">
        <f ca="1"/>
        <v/>
      </c>
      <c r="AI36" s="180" t="str">
        <f ca="1"/>
        <v/>
      </c>
      <c r="AJ36" s="180" t="str">
        <f ca="1"/>
        <v/>
      </c>
      <c r="AK36" s="180" t="str">
        <f ca="1"/>
        <v/>
      </c>
      <c r="AL36" s="180" t="str">
        <f ca="1"/>
        <v/>
      </c>
      <c r="AM36" s="180" t="str">
        <f ca="1"/>
        <v/>
      </c>
      <c r="AN36" s="180" t="str">
        <f ca="1"/>
        <v/>
      </c>
      <c r="AO36" s="180" t="str">
        <f ca="1"/>
        <v/>
      </c>
      <c r="AP36" s="180" t="str">
        <f ca="1"/>
        <v/>
      </c>
      <c r="AQ36" s="187" t="str">
        <f ca="1"/>
        <v/>
      </c>
    </row>
    <row r="37" spans="2:43" x14ac:dyDescent="0.25">
      <c r="B37" s="179">
        <f ca="1"/>
        <v>44914</v>
      </c>
      <c r="C37" s="180">
        <f ca="1"/>
        <v>-2.8899972692730798E-13</v>
      </c>
      <c r="D37" s="180">
        <f ca="1"/>
        <v>-1.1361827475337899E-5</v>
      </c>
      <c r="E37" s="180">
        <f ca="1"/>
        <v>-8.8201980441571205E-12</v>
      </c>
      <c r="F37" s="180">
        <f ca="1"/>
        <v>-2.8899972692730798E-13</v>
      </c>
      <c r="G37" s="180">
        <f ca="1"/>
        <v>-1.2431087104830501E-7</v>
      </c>
      <c r="H37" s="180">
        <f ca="1"/>
        <v>-1.1319495602823599E-5</v>
      </c>
      <c r="I37" s="180">
        <f ca="1"/>
        <v>-1.12787189996306E-5</v>
      </c>
      <c r="J37" s="180">
        <f ca="1"/>
        <v>-1.1241512905601999E-5</v>
      </c>
      <c r="K37" s="180">
        <f ca="1"/>
        <v>-1.12057752554E-5</v>
      </c>
      <c r="L37" s="180">
        <f ca="1"/>
        <v>-1.1170795601939799E-5</v>
      </c>
      <c r="M37" s="180">
        <f ca="1"/>
        <v>-1.10675846316209E-5</v>
      </c>
      <c r="N37" s="180">
        <f ca="1"/>
        <v>-2.4006634213723199E-5</v>
      </c>
      <c r="O37" s="180">
        <f ca="1"/>
        <v>-1.2478490469145301E-4</v>
      </c>
      <c r="P37" s="180">
        <f ca="1"/>
        <v>4.1886546836110601E-4</v>
      </c>
      <c r="Q37" s="180">
        <f ca="1"/>
        <v>-1.08138426984851E-4</v>
      </c>
      <c r="R37" s="180">
        <f ca="1"/>
        <v>2.44603309299627E-5</v>
      </c>
      <c r="S37" s="180">
        <f ca="1"/>
        <v>-1.4062674618632199E-5</v>
      </c>
      <c r="T37" s="180">
        <f ca="1"/>
        <v>4.1541340064545099E-6</v>
      </c>
      <c r="U37" s="180">
        <f ca="1"/>
        <v>-1.0059961988717599E-6</v>
      </c>
      <c r="V37" s="180">
        <f ca="1"/>
        <v>1.17442614754742E-7</v>
      </c>
      <c r="W37" s="180">
        <f ca="1"/>
        <v>-2.0810892349676398E-8</v>
      </c>
      <c r="X37" s="180">
        <f ca="1"/>
        <v>4.1257169104691502E-9</v>
      </c>
      <c r="Y37" s="180">
        <f ca="1"/>
        <v>-1.3199393227719701E-9</v>
      </c>
      <c r="Z37" s="180">
        <f ca="1"/>
        <v>2.6991332259529401E-10</v>
      </c>
      <c r="AA37" s="180" t="str">
        <f ca="1"/>
        <v/>
      </c>
      <c r="AB37" s="180" t="str">
        <f ca="1"/>
        <v/>
      </c>
      <c r="AC37" s="180" t="str">
        <f ca="1"/>
        <v/>
      </c>
      <c r="AD37" s="180" t="str">
        <f ca="1"/>
        <v/>
      </c>
      <c r="AE37" s="180" t="str">
        <f ca="1"/>
        <v/>
      </c>
      <c r="AF37" s="180" t="str">
        <f ca="1"/>
        <v/>
      </c>
      <c r="AG37" s="180" t="str">
        <f ca="1"/>
        <v/>
      </c>
      <c r="AH37" s="180" t="str">
        <f ca="1"/>
        <v/>
      </c>
      <c r="AI37" s="180" t="str">
        <f ca="1"/>
        <v/>
      </c>
      <c r="AJ37" s="180" t="str">
        <f ca="1"/>
        <v/>
      </c>
      <c r="AK37" s="180" t="str">
        <f ca="1"/>
        <v/>
      </c>
      <c r="AL37" s="180" t="str">
        <f ca="1"/>
        <v/>
      </c>
      <c r="AM37" s="180" t="str">
        <f ca="1"/>
        <v/>
      </c>
      <c r="AN37" s="180" t="str">
        <f ca="1"/>
        <v/>
      </c>
      <c r="AO37" s="180" t="str">
        <f ca="1"/>
        <v/>
      </c>
      <c r="AP37" s="180" t="str">
        <f ca="1"/>
        <v/>
      </c>
      <c r="AQ37" s="187" t="str">
        <f ca="1"/>
        <v/>
      </c>
    </row>
    <row r="38" spans="2:43" x14ac:dyDescent="0.25">
      <c r="B38" s="179">
        <f ca="1"/>
        <v>45002</v>
      </c>
      <c r="C38" s="180">
        <f ca="1"/>
        <v>-1.86234708210442E-13</v>
      </c>
      <c r="D38" s="180">
        <f ca="1"/>
        <v>-6.1123739431706601E-7</v>
      </c>
      <c r="E38" s="180">
        <f ca="1"/>
        <v>-6.9374297972934999E-12</v>
      </c>
      <c r="F38" s="180">
        <f ca="1"/>
        <v>-1.8708472271367099E-13</v>
      </c>
      <c r="G38" s="180">
        <f ca="1"/>
        <v>-6.6877108104851401E-9</v>
      </c>
      <c r="H38" s="180">
        <f ca="1"/>
        <v>-6.0896090468137699E-7</v>
      </c>
      <c r="I38" s="180">
        <f ca="1"/>
        <v>-6.0677373848842798E-7</v>
      </c>
      <c r="J38" s="180">
        <f ca="1"/>
        <v>-6.0477202735130499E-7</v>
      </c>
      <c r="K38" s="180">
        <f ca="1"/>
        <v>-6.0284932960549798E-7</v>
      </c>
      <c r="L38" s="180">
        <f ca="1"/>
        <v>-6.0096749024060602E-7</v>
      </c>
      <c r="M38" s="180">
        <f ca="1"/>
        <v>-5.9541444795939403E-7</v>
      </c>
      <c r="N38" s="180">
        <f ca="1"/>
        <v>-1.29152806662217E-6</v>
      </c>
      <c r="O38" s="180">
        <f ca="1"/>
        <v>-3.3652151959689399E-4</v>
      </c>
      <c r="P38" s="180">
        <f ca="1"/>
        <v>5.2490642170279801E-4</v>
      </c>
      <c r="Q38" s="180">
        <f ca="1"/>
        <v>-9.6604159606241606E-5</v>
      </c>
      <c r="R38" s="180">
        <f ca="1"/>
        <v>2.18511335868029E-5</v>
      </c>
      <c r="S38" s="180">
        <f ca="1"/>
        <v>-1.25626350709358E-5</v>
      </c>
      <c r="T38" s="180">
        <f ca="1"/>
        <v>3.7110172203275899E-6</v>
      </c>
      <c r="U38" s="180">
        <f ca="1"/>
        <v>-8.9868543670656997E-7</v>
      </c>
      <c r="V38" s="180">
        <f ca="1"/>
        <v>1.0491715071205E-7</v>
      </c>
      <c r="W38" s="180">
        <f ca="1"/>
        <v>-1.8592519863969098E-8</v>
      </c>
      <c r="X38" s="180">
        <f ca="1"/>
        <v>3.6863227366457102E-9</v>
      </c>
      <c r="Y38" s="180">
        <f ca="1"/>
        <v>-1.1787617687497599E-9</v>
      </c>
      <c r="Z38" s="180">
        <f ca="1"/>
        <v>2.41602482811687E-10</v>
      </c>
      <c r="AA38" s="180" t="str">
        <f ca="1"/>
        <v/>
      </c>
      <c r="AB38" s="180" t="str">
        <f ca="1"/>
        <v/>
      </c>
      <c r="AC38" s="180" t="str">
        <f ca="1"/>
        <v/>
      </c>
      <c r="AD38" s="180" t="str">
        <f ca="1"/>
        <v/>
      </c>
      <c r="AE38" s="180" t="str">
        <f ca="1"/>
        <v/>
      </c>
      <c r="AF38" s="180" t="str">
        <f ca="1"/>
        <v/>
      </c>
      <c r="AG38" s="180" t="str">
        <f ca="1"/>
        <v/>
      </c>
      <c r="AH38" s="180" t="str">
        <f ca="1"/>
        <v/>
      </c>
      <c r="AI38" s="180" t="str">
        <f ca="1"/>
        <v/>
      </c>
      <c r="AJ38" s="180" t="str">
        <f ca="1"/>
        <v/>
      </c>
      <c r="AK38" s="180" t="str">
        <f ca="1"/>
        <v/>
      </c>
      <c r="AL38" s="180" t="str">
        <f ca="1"/>
        <v/>
      </c>
      <c r="AM38" s="180" t="str">
        <f ca="1"/>
        <v/>
      </c>
      <c r="AN38" s="180" t="str">
        <f ca="1"/>
        <v/>
      </c>
      <c r="AO38" s="180" t="str">
        <f ca="1"/>
        <v/>
      </c>
      <c r="AP38" s="180" t="str">
        <f ca="1"/>
        <v/>
      </c>
      <c r="AQ38" s="187" t="str">
        <f ca="1"/>
        <v/>
      </c>
    </row>
    <row r="39" spans="2:43" x14ac:dyDescent="0.25">
      <c r="B39" s="179">
        <f ca="1"/>
        <v>45096</v>
      </c>
      <c r="C39" s="180">
        <f ca="1"/>
        <v>1.32067967673066E-13</v>
      </c>
      <c r="D39" s="180">
        <f ca="1"/>
        <v>5.4369862985698802E-6</v>
      </c>
      <c r="E39" s="180">
        <f ca="1"/>
        <v>2.09396736061684E-13</v>
      </c>
      <c r="F39" s="180">
        <f ca="1"/>
        <v>1.31198871211602E-13</v>
      </c>
      <c r="G39" s="180">
        <f ca="1"/>
        <v>5.9486560894175797E-8</v>
      </c>
      <c r="H39" s="180">
        <f ca="1"/>
        <v>5.4167285726373898E-6</v>
      </c>
      <c r="I39" s="180">
        <f ca="1"/>
        <v>5.3972112196865701E-6</v>
      </c>
      <c r="J39" s="180">
        <f ca="1"/>
        <v>5.3794070102759798E-6</v>
      </c>
      <c r="K39" s="180">
        <f ca="1"/>
        <v>5.36230548659963E-6</v>
      </c>
      <c r="L39" s="180">
        <f ca="1"/>
        <v>5.3455666345573299E-6</v>
      </c>
      <c r="M39" s="180">
        <f ca="1"/>
        <v>5.2961732938342603E-6</v>
      </c>
      <c r="N39" s="180">
        <f ca="1"/>
        <v>1.1487925690723001E-5</v>
      </c>
      <c r="O39" s="180">
        <f ca="1"/>
        <v>-4.1108053649965999E-4</v>
      </c>
      <c r="P39" s="180">
        <f ca="1"/>
        <v>4.5479801609086201E-4</v>
      </c>
      <c r="Q39" s="180">
        <f ca="1"/>
        <v>7.2950558611274002E-6</v>
      </c>
      <c r="R39" s="180">
        <f ca="1"/>
        <v>-1.6507180926519201E-6</v>
      </c>
      <c r="S39" s="180">
        <f ca="1"/>
        <v>9.48937709278896E-7</v>
      </c>
      <c r="T39" s="180">
        <f ca="1"/>
        <v>-2.8032200126426599E-7</v>
      </c>
      <c r="U39" s="180">
        <f ca="1"/>
        <v>6.7895649102922601E-8</v>
      </c>
      <c r="V39" s="180">
        <f ca="1"/>
        <v>-7.9192748018985792E-9</v>
      </c>
      <c r="W39" s="180">
        <f ca="1"/>
        <v>1.39958740083546E-9</v>
      </c>
      <c r="X39" s="180">
        <f ca="1"/>
        <v>-2.7631810034511898E-10</v>
      </c>
      <c r="Y39" s="180">
        <f ca="1"/>
        <v>8.9700420702332195E-11</v>
      </c>
      <c r="Z39" s="180">
        <f ca="1"/>
        <v>-1.65450275008139E-11</v>
      </c>
      <c r="AA39" s="180" t="str">
        <f ca="1"/>
        <v/>
      </c>
      <c r="AB39" s="180" t="str">
        <f ca="1"/>
        <v/>
      </c>
      <c r="AC39" s="180" t="str">
        <f ca="1"/>
        <v/>
      </c>
      <c r="AD39" s="180" t="str">
        <f ca="1"/>
        <v/>
      </c>
      <c r="AE39" s="180" t="str">
        <f ca="1"/>
        <v/>
      </c>
      <c r="AF39" s="180" t="str">
        <f ca="1"/>
        <v/>
      </c>
      <c r="AG39" s="180" t="str">
        <f ca="1"/>
        <v/>
      </c>
      <c r="AH39" s="180" t="str">
        <f ca="1"/>
        <v/>
      </c>
      <c r="AI39" s="180" t="str">
        <f ca="1"/>
        <v/>
      </c>
      <c r="AJ39" s="180" t="str">
        <f ca="1"/>
        <v/>
      </c>
      <c r="AK39" s="180" t="str">
        <f ca="1"/>
        <v/>
      </c>
      <c r="AL39" s="180" t="str">
        <f ca="1"/>
        <v/>
      </c>
      <c r="AM39" s="180" t="str">
        <f ca="1"/>
        <v/>
      </c>
      <c r="AN39" s="180" t="str">
        <f ca="1"/>
        <v/>
      </c>
      <c r="AO39" s="180" t="str">
        <f ca="1"/>
        <v/>
      </c>
      <c r="AP39" s="180" t="str">
        <f ca="1"/>
        <v/>
      </c>
      <c r="AQ39" s="187" t="str">
        <f ca="1"/>
        <v/>
      </c>
    </row>
    <row r="40" spans="2:43" x14ac:dyDescent="0.25">
      <c r="B40" s="179">
        <f ca="1"/>
        <v>45187</v>
      </c>
      <c r="C40" s="180">
        <f ca="1"/>
        <v>6.5090988154992096E-13</v>
      </c>
      <c r="D40" s="180">
        <f ca="1"/>
        <v>6.28145306670255E-6</v>
      </c>
      <c r="E40" s="180">
        <f ca="1"/>
        <v>1.2268866478315501E-11</v>
      </c>
      <c r="F40" s="180">
        <f ca="1"/>
        <v>6.5090988154992096E-13</v>
      </c>
      <c r="G40" s="180">
        <f ca="1"/>
        <v>6.8726424991977204E-8</v>
      </c>
      <c r="H40" s="180">
        <f ca="1"/>
        <v>6.2580504681629401E-6</v>
      </c>
      <c r="I40" s="180">
        <f ca="1"/>
        <v>6.2355131010272099E-6</v>
      </c>
      <c r="J40" s="180">
        <f ca="1"/>
        <v>6.2149433845484803E-6</v>
      </c>
      <c r="K40" s="180">
        <f ca="1"/>
        <v>6.1951855215083797E-6</v>
      </c>
      <c r="L40" s="180">
        <f ca="1"/>
        <v>6.1758467983577502E-6</v>
      </c>
      <c r="M40" s="180">
        <f ca="1"/>
        <v>6.1187817643401601E-6</v>
      </c>
      <c r="N40" s="180">
        <f ca="1"/>
        <v>1.3272247977570701E-5</v>
      </c>
      <c r="O40" s="180">
        <f ca="1"/>
        <v>-3.40599973310976E-4</v>
      </c>
      <c r="P40" s="180">
        <f ca="1"/>
        <v>2.09322532612684E-4</v>
      </c>
      <c r="Q40" s="180">
        <f ca="1"/>
        <v>1.9881534456470801E-4</v>
      </c>
      <c r="R40" s="180">
        <f ca="1"/>
        <v>-4.4970132899259399E-5</v>
      </c>
      <c r="S40" s="180">
        <f ca="1"/>
        <v>2.58542839708699E-5</v>
      </c>
      <c r="T40" s="180">
        <f ca="1"/>
        <v>-7.6373509099343701E-6</v>
      </c>
      <c r="U40" s="180">
        <f ca="1"/>
        <v>1.84954627086356E-6</v>
      </c>
      <c r="V40" s="180">
        <f ca="1"/>
        <v>-2.1590672283008901E-7</v>
      </c>
      <c r="W40" s="180">
        <f ca="1"/>
        <v>3.8251226363444899E-8</v>
      </c>
      <c r="X40" s="180">
        <f ca="1"/>
        <v>-7.5810021975264397E-9</v>
      </c>
      <c r="Y40" s="180">
        <f ca="1"/>
        <v>2.4274393502221599E-9</v>
      </c>
      <c r="Z40" s="180">
        <f ca="1"/>
        <v>-4.9273200797284003E-10</v>
      </c>
      <c r="AA40" s="180" t="str">
        <f ca="1"/>
        <v/>
      </c>
      <c r="AB40" s="180" t="str">
        <f ca="1"/>
        <v/>
      </c>
      <c r="AC40" s="180" t="str">
        <f ca="1"/>
        <v/>
      </c>
      <c r="AD40" s="180" t="str">
        <f ca="1"/>
        <v/>
      </c>
      <c r="AE40" s="180" t="str">
        <f ca="1"/>
        <v/>
      </c>
      <c r="AF40" s="180" t="str">
        <f ca="1"/>
        <v/>
      </c>
      <c r="AG40" s="180" t="str">
        <f ca="1"/>
        <v/>
      </c>
      <c r="AH40" s="180" t="str">
        <f ca="1"/>
        <v/>
      </c>
      <c r="AI40" s="180" t="str">
        <f ca="1"/>
        <v/>
      </c>
      <c r="AJ40" s="180" t="str">
        <f ca="1"/>
        <v/>
      </c>
      <c r="AK40" s="180" t="str">
        <f ca="1"/>
        <v/>
      </c>
      <c r="AL40" s="180" t="str">
        <f ca="1"/>
        <v/>
      </c>
      <c r="AM40" s="180" t="str">
        <f ca="1"/>
        <v/>
      </c>
      <c r="AN40" s="180" t="str">
        <f ca="1"/>
        <v/>
      </c>
      <c r="AO40" s="180" t="str">
        <f ca="1"/>
        <v/>
      </c>
      <c r="AP40" s="180" t="str">
        <f ca="1"/>
        <v/>
      </c>
      <c r="AQ40" s="187" t="str">
        <f ca="1"/>
        <v/>
      </c>
    </row>
    <row r="41" spans="2:43" x14ac:dyDescent="0.25">
      <c r="B41" s="179">
        <f ca="1"/>
        <v>45278</v>
      </c>
      <c r="C41" s="180">
        <f ca="1"/>
        <v>1.29391289349634E-12</v>
      </c>
      <c r="D41" s="180">
        <f ca="1"/>
        <v>3.15996812540881E-6</v>
      </c>
      <c r="E41" s="180">
        <f ca="1"/>
        <v>2.7388202816780401E-11</v>
      </c>
      <c r="F41" s="180">
        <f ca="1"/>
        <v>1.29303165397054E-12</v>
      </c>
      <c r="G41" s="180">
        <f ca="1"/>
        <v>3.4574735165160402E-8</v>
      </c>
      <c r="H41" s="180">
        <f ca="1"/>
        <v>3.1481978219963202E-6</v>
      </c>
      <c r="I41" s="180">
        <f ca="1"/>
        <v>3.1368798714612199E-6</v>
      </c>
      <c r="J41" s="180">
        <f ca="1"/>
        <v>3.1265317236295302E-6</v>
      </c>
      <c r="K41" s="180">
        <f ca="1"/>
        <v>3.1165920306060199E-6</v>
      </c>
      <c r="L41" s="180">
        <f ca="1"/>
        <v>3.1068634328973401E-6</v>
      </c>
      <c r="M41" s="180">
        <f ca="1"/>
        <v>3.0781558559220302E-6</v>
      </c>
      <c r="N41" s="180">
        <f ca="1"/>
        <v>6.6768174532098904E-6</v>
      </c>
      <c r="O41" s="180">
        <f ca="1"/>
        <v>-1.6174500270566699E-4</v>
      </c>
      <c r="P41" s="180">
        <f ca="1"/>
        <v>-1.5867138463264099E-4</v>
      </c>
      <c r="Q41" s="180">
        <f ca="1"/>
        <v>4.4235449478435498E-4</v>
      </c>
      <c r="R41" s="180">
        <f ca="1"/>
        <v>-9.2923529986292704E-5</v>
      </c>
      <c r="S41" s="180">
        <f ca="1"/>
        <v>5.3424250474928798E-5</v>
      </c>
      <c r="T41" s="180">
        <f ca="1"/>
        <v>-1.57814472461527E-5</v>
      </c>
      <c r="U41" s="180">
        <f ca="1"/>
        <v>3.8218044641109796E-6</v>
      </c>
      <c r="V41" s="180">
        <f ca="1"/>
        <v>-4.46146538612274E-7</v>
      </c>
      <c r="W41" s="180">
        <f ca="1"/>
        <v>7.9046393167137006E-8</v>
      </c>
      <c r="X41" s="180">
        <f ca="1"/>
        <v>-1.5667549892878199E-8</v>
      </c>
      <c r="Y41" s="180">
        <f ca="1"/>
        <v>5.0150547464822298E-9</v>
      </c>
      <c r="Z41" s="180">
        <f ca="1"/>
        <v>-1.02007105887147E-9</v>
      </c>
      <c r="AA41" s="180" t="str">
        <f ca="1"/>
        <v/>
      </c>
      <c r="AB41" s="180" t="str">
        <f ca="1"/>
        <v/>
      </c>
      <c r="AC41" s="180" t="str">
        <f ca="1"/>
        <v/>
      </c>
      <c r="AD41" s="180" t="str">
        <f ca="1"/>
        <v/>
      </c>
      <c r="AE41" s="180" t="str">
        <f ca="1"/>
        <v/>
      </c>
      <c r="AF41" s="180" t="str">
        <f ca="1"/>
        <v/>
      </c>
      <c r="AG41" s="180" t="str">
        <f ca="1"/>
        <v/>
      </c>
      <c r="AH41" s="180" t="str">
        <f ca="1"/>
        <v/>
      </c>
      <c r="AI41" s="180" t="str">
        <f ca="1"/>
        <v/>
      </c>
      <c r="AJ41" s="180" t="str">
        <f ca="1"/>
        <v/>
      </c>
      <c r="AK41" s="180" t="str">
        <f ca="1"/>
        <v/>
      </c>
      <c r="AL41" s="180" t="str">
        <f ca="1"/>
        <v/>
      </c>
      <c r="AM41" s="180" t="str">
        <f ca="1"/>
        <v/>
      </c>
      <c r="AN41" s="180" t="str">
        <f ca="1"/>
        <v/>
      </c>
      <c r="AO41" s="180" t="str">
        <f ca="1"/>
        <v/>
      </c>
      <c r="AP41" s="180" t="str">
        <f ca="1"/>
        <v/>
      </c>
      <c r="AQ41" s="187" t="str">
        <f ca="1"/>
        <v/>
      </c>
    </row>
    <row r="42" spans="2:43" x14ac:dyDescent="0.25">
      <c r="B42" s="179">
        <f ca="1"/>
        <v>45369</v>
      </c>
      <c r="C42" s="180">
        <f ca="1"/>
        <v>1.7142814945359E-12</v>
      </c>
      <c r="D42" s="180">
        <f ca="1"/>
        <v>2.1860403313575501E-7</v>
      </c>
      <c r="E42" s="180">
        <f ca="1"/>
        <v>3.7197200181138302E-11</v>
      </c>
      <c r="F42" s="180">
        <f ca="1"/>
        <v>1.7125433016129701E-12</v>
      </c>
      <c r="G42" s="180">
        <f ca="1"/>
        <v>2.39351060499216E-9</v>
      </c>
      <c r="H42" s="180">
        <f ca="1"/>
        <v>2.17794227000412E-7</v>
      </c>
      <c r="I42" s="180">
        <f ca="1"/>
        <v>2.17044117459958E-7</v>
      </c>
      <c r="J42" s="180">
        <f ca="1"/>
        <v>2.1632776961086299E-7</v>
      </c>
      <c r="K42" s="180">
        <f ca="1"/>
        <v>2.15639750403285E-7</v>
      </c>
      <c r="L42" s="180">
        <f ca="1"/>
        <v>2.1496673137042E-7</v>
      </c>
      <c r="M42" s="180">
        <f ca="1"/>
        <v>2.1298032902572499E-7</v>
      </c>
      <c r="N42" s="180">
        <f ca="1"/>
        <v>4.6196284536961801E-7</v>
      </c>
      <c r="O42" s="180">
        <f ca="1"/>
        <v>-1.1192577390992799E-5</v>
      </c>
      <c r="P42" s="180">
        <f ca="1"/>
        <v>-4.2853815770743002E-4</v>
      </c>
      <c r="Q42" s="180">
        <f ca="1"/>
        <v>5.8123391370944503E-4</v>
      </c>
      <c r="R42" s="180">
        <f ca="1"/>
        <v>-8.1165266480005799E-5</v>
      </c>
      <c r="S42" s="180">
        <f ca="1"/>
        <v>4.66635544804639E-5</v>
      </c>
      <c r="T42" s="180">
        <f ca="1"/>
        <v>-1.3784424885011899E-5</v>
      </c>
      <c r="U42" s="180">
        <f ca="1"/>
        <v>3.3381799559376001E-6</v>
      </c>
      <c r="V42" s="180">
        <f ca="1"/>
        <v>-3.8969253997669902E-7</v>
      </c>
      <c r="W42" s="180">
        <f ca="1"/>
        <v>6.9046782204956694E-8</v>
      </c>
      <c r="X42" s="180">
        <f ca="1"/>
        <v>-1.36858654860295E-8</v>
      </c>
      <c r="Y42" s="180">
        <f ca="1"/>
        <v>4.3799146913492404E-9</v>
      </c>
      <c r="Z42" s="180">
        <f ca="1"/>
        <v>-8.9131919206453196E-10</v>
      </c>
      <c r="AA42" s="180" t="str">
        <f ca="1"/>
        <v/>
      </c>
      <c r="AB42" s="180" t="str">
        <f ca="1"/>
        <v/>
      </c>
      <c r="AC42" s="180" t="str">
        <f ca="1"/>
        <v/>
      </c>
      <c r="AD42" s="180" t="str">
        <f ca="1"/>
        <v/>
      </c>
      <c r="AE42" s="180" t="str">
        <f ca="1"/>
        <v/>
      </c>
      <c r="AF42" s="180" t="str">
        <f ca="1"/>
        <v/>
      </c>
      <c r="AG42" s="180" t="str">
        <f ca="1"/>
        <v/>
      </c>
      <c r="AH42" s="180" t="str">
        <f ca="1"/>
        <v/>
      </c>
      <c r="AI42" s="180" t="str">
        <f ca="1"/>
        <v/>
      </c>
      <c r="AJ42" s="180" t="str">
        <f ca="1"/>
        <v/>
      </c>
      <c r="AK42" s="180" t="str">
        <f ca="1"/>
        <v/>
      </c>
      <c r="AL42" s="180" t="str">
        <f ca="1"/>
        <v/>
      </c>
      <c r="AM42" s="180" t="str">
        <f ca="1"/>
        <v/>
      </c>
      <c r="AN42" s="180" t="str">
        <f ca="1"/>
        <v/>
      </c>
      <c r="AO42" s="180" t="str">
        <f ca="1"/>
        <v/>
      </c>
      <c r="AP42" s="180" t="str">
        <f ca="1"/>
        <v/>
      </c>
      <c r="AQ42" s="187" t="str">
        <f ca="1"/>
        <v/>
      </c>
    </row>
    <row r="43" spans="2:43" x14ac:dyDescent="0.25">
      <c r="B43" s="179">
        <f ca="1"/>
        <v>45460</v>
      </c>
      <c r="C43" s="180">
        <f ca="1"/>
        <v>1.8220217001818599E-12</v>
      </c>
      <c r="D43" s="180">
        <f ca="1"/>
        <v>-1.46966705153601E-6</v>
      </c>
      <c r="E43" s="180">
        <f ca="1"/>
        <v>3.9512740301894699E-11</v>
      </c>
      <c r="F43" s="180">
        <f ca="1"/>
        <v>1.82028350725894E-12</v>
      </c>
      <c r="G43" s="180">
        <f ca="1"/>
        <v>-1.6077872946190799E-8</v>
      </c>
      <c r="H43" s="180">
        <f ca="1"/>
        <v>-1.46418622530564E-6</v>
      </c>
      <c r="I43" s="180">
        <f ca="1"/>
        <v>-1.45887375918932E-6</v>
      </c>
      <c r="J43" s="180">
        <f ca="1"/>
        <v>-1.45406164847942E-6</v>
      </c>
      <c r="K43" s="180">
        <f ca="1"/>
        <v>-1.44943939980879E-6</v>
      </c>
      <c r="L43" s="180">
        <f ca="1"/>
        <v>-1.44491473742445E-6</v>
      </c>
      <c r="M43" s="180">
        <f ca="1"/>
        <v>-1.43156381184062E-6</v>
      </c>
      <c r="N43" s="180">
        <f ca="1"/>
        <v>-3.10521572281439E-6</v>
      </c>
      <c r="O43" s="180">
        <f ca="1"/>
        <v>7.5223714321906402E-5</v>
      </c>
      <c r="P43" s="180">
        <f ca="1"/>
        <v>-5.4244022565186703E-4</v>
      </c>
      <c r="Q43" s="180">
        <f ca="1"/>
        <v>5.7510115408844096E-4</v>
      </c>
      <c r="R43" s="180">
        <f ca="1"/>
        <v>6.0116470714521897E-6</v>
      </c>
      <c r="S43" s="180">
        <f ca="1"/>
        <v>-3.4576677990332E-6</v>
      </c>
      <c r="T43" s="180">
        <f ca="1"/>
        <v>1.02119867344957E-6</v>
      </c>
      <c r="U43" s="180">
        <f ca="1"/>
        <v>-2.4730642490464199E-7</v>
      </c>
      <c r="V43" s="180">
        <f ca="1"/>
        <v>2.8865881858408699E-8</v>
      </c>
      <c r="W43" s="180">
        <f ca="1"/>
        <v>-5.1087030265850597E-9</v>
      </c>
      <c r="X43" s="180">
        <f ca="1"/>
        <v>1.01246054942661E-9</v>
      </c>
      <c r="Y43" s="180">
        <f ca="1"/>
        <v>-3.25609105650271E-10</v>
      </c>
      <c r="Z43" s="180">
        <f ca="1"/>
        <v>6.6162728074026195E-11</v>
      </c>
      <c r="AA43" s="180" t="str">
        <f ca="1"/>
        <v/>
      </c>
      <c r="AB43" s="180" t="str">
        <f ca="1"/>
        <v/>
      </c>
      <c r="AC43" s="180" t="str">
        <f ca="1"/>
        <v/>
      </c>
      <c r="AD43" s="180" t="str">
        <f ca="1"/>
        <v/>
      </c>
      <c r="AE43" s="180" t="str">
        <f ca="1"/>
        <v/>
      </c>
      <c r="AF43" s="180" t="str">
        <f ca="1"/>
        <v/>
      </c>
      <c r="AG43" s="180" t="str">
        <f ca="1"/>
        <v/>
      </c>
      <c r="AH43" s="180" t="str">
        <f ca="1"/>
        <v/>
      </c>
      <c r="AI43" s="180" t="str">
        <f ca="1"/>
        <v/>
      </c>
      <c r="AJ43" s="180" t="str">
        <f ca="1"/>
        <v/>
      </c>
      <c r="AK43" s="180" t="str">
        <f ca="1"/>
        <v/>
      </c>
      <c r="AL43" s="180" t="str">
        <f ca="1"/>
        <v/>
      </c>
      <c r="AM43" s="180" t="str">
        <f ca="1"/>
        <v/>
      </c>
      <c r="AN43" s="180" t="str">
        <f ca="1"/>
        <v/>
      </c>
      <c r="AO43" s="180" t="str">
        <f ca="1"/>
        <v/>
      </c>
      <c r="AP43" s="180" t="str">
        <f ca="1"/>
        <v/>
      </c>
      <c r="AQ43" s="187" t="str">
        <f ca="1"/>
        <v/>
      </c>
    </row>
    <row r="44" spans="2:43" x14ac:dyDescent="0.25">
      <c r="B44" s="179">
        <f ca="1"/>
        <v>45552</v>
      </c>
      <c r="C44" s="180">
        <f ca="1"/>
        <v>1.61804944442956E-12</v>
      </c>
      <c r="D44" s="180">
        <f ca="1"/>
        <v>-1.92297161842256E-6</v>
      </c>
      <c r="E44" s="180">
        <f ca="1"/>
        <v>3.4358450112792502E-11</v>
      </c>
      <c r="F44" s="180">
        <f ca="1"/>
        <v>1.61541266474607E-12</v>
      </c>
      <c r="G44" s="180">
        <f ca="1"/>
        <v>-2.1037721894406901E-8</v>
      </c>
      <c r="H44" s="180">
        <f ca="1"/>
        <v>-1.9158024731451301E-6</v>
      </c>
      <c r="I44" s="180">
        <f ca="1"/>
        <v>-1.90886760112821E-6</v>
      </c>
      <c r="J44" s="180">
        <f ca="1"/>
        <v>-1.9025710088702E-6</v>
      </c>
      <c r="K44" s="180">
        <f ca="1"/>
        <v>-1.89652287632333E-6</v>
      </c>
      <c r="L44" s="180">
        <f ca="1"/>
        <v>-1.8906026256621001E-6</v>
      </c>
      <c r="M44" s="180">
        <f ca="1"/>
        <v>-1.87313352169663E-6</v>
      </c>
      <c r="N44" s="180">
        <f ca="1"/>
        <v>-4.0630218301890303E-6</v>
      </c>
      <c r="O44" s="180">
        <f ca="1"/>
        <v>9.8427474092926305E-5</v>
      </c>
      <c r="P44" s="180">
        <f ca="1"/>
        <v>-5.0160419600963496E-4</v>
      </c>
      <c r="Q44" s="180">
        <f ca="1"/>
        <v>4.2387025353377402E-4</v>
      </c>
      <c r="R44" s="180">
        <f ca="1"/>
        <v>1.6956705015762401E-4</v>
      </c>
      <c r="S44" s="180">
        <f ca="1"/>
        <v>-9.7486687989835994E-5</v>
      </c>
      <c r="T44" s="180">
        <f ca="1"/>
        <v>2.8797723312806001E-5</v>
      </c>
      <c r="U44" s="180">
        <f ca="1"/>
        <v>-6.9739151763309496E-6</v>
      </c>
      <c r="V44" s="180">
        <f ca="1"/>
        <v>8.1411298537975595E-7</v>
      </c>
      <c r="W44" s="180">
        <f ca="1"/>
        <v>-1.4423222352566399E-7</v>
      </c>
      <c r="X44" s="180">
        <f ca="1"/>
        <v>2.8588407245677699E-8</v>
      </c>
      <c r="Y44" s="180">
        <f ca="1"/>
        <v>-9.1530554559293692E-9</v>
      </c>
      <c r="Z44" s="180">
        <f ca="1"/>
        <v>1.8628597588110599E-9</v>
      </c>
      <c r="AA44" s="180" t="str">
        <f ca="1"/>
        <v/>
      </c>
      <c r="AB44" s="180" t="str">
        <f ca="1"/>
        <v/>
      </c>
      <c r="AC44" s="180" t="str">
        <f ca="1"/>
        <v/>
      </c>
      <c r="AD44" s="180" t="str">
        <f ca="1"/>
        <v/>
      </c>
      <c r="AE44" s="180" t="str">
        <f ca="1"/>
        <v/>
      </c>
      <c r="AF44" s="180" t="str">
        <f ca="1"/>
        <v/>
      </c>
      <c r="AG44" s="180" t="str">
        <f ca="1"/>
        <v/>
      </c>
      <c r="AH44" s="180" t="str">
        <f ca="1"/>
        <v/>
      </c>
      <c r="AI44" s="180" t="str">
        <f ca="1"/>
        <v/>
      </c>
      <c r="AJ44" s="180" t="str">
        <f ca="1"/>
        <v/>
      </c>
      <c r="AK44" s="180" t="str">
        <f ca="1"/>
        <v/>
      </c>
      <c r="AL44" s="180" t="str">
        <f ca="1"/>
        <v/>
      </c>
      <c r="AM44" s="180" t="str">
        <f ca="1"/>
        <v/>
      </c>
      <c r="AN44" s="180" t="str">
        <f ca="1"/>
        <v/>
      </c>
      <c r="AO44" s="180" t="str">
        <f ca="1"/>
        <v/>
      </c>
      <c r="AP44" s="180" t="str">
        <f ca="1"/>
        <v/>
      </c>
      <c r="AQ44" s="187" t="str">
        <f ca="1"/>
        <v/>
      </c>
    </row>
    <row r="45" spans="2:43" x14ac:dyDescent="0.25">
      <c r="B45" s="179">
        <f ca="1"/>
        <v>45643</v>
      </c>
      <c r="C45" s="180">
        <f ca="1"/>
        <v>1.17150733558447E-12</v>
      </c>
      <c r="D45" s="180">
        <f ca="1"/>
        <v>-1.36594890776109E-6</v>
      </c>
      <c r="E45" s="180">
        <f ca="1"/>
        <v>2.34736674542546E-11</v>
      </c>
      <c r="F45" s="180">
        <f ca="1"/>
        <v>1.17150733558447E-12</v>
      </c>
      <c r="G45" s="180">
        <f ca="1"/>
        <v>-1.49437511254291E-8</v>
      </c>
      <c r="H45" s="180">
        <f ca="1"/>
        <v>-1.3608565581080301E-6</v>
      </c>
      <c r="I45" s="180">
        <f ca="1"/>
        <v>-1.3559314266942101E-6</v>
      </c>
      <c r="J45" s="180">
        <f ca="1"/>
        <v>-1.35145873958464E-6</v>
      </c>
      <c r="K45" s="180">
        <f ca="1"/>
        <v>-1.3471625432970301E-6</v>
      </c>
      <c r="L45" s="180">
        <f ca="1"/>
        <v>-1.34295719700361E-6</v>
      </c>
      <c r="M45" s="180">
        <f ca="1"/>
        <v>-1.3305483133052599E-6</v>
      </c>
      <c r="N45" s="180">
        <f ca="1"/>
        <v>-2.88609797838291E-6</v>
      </c>
      <c r="O45" s="180">
        <f ca="1"/>
        <v>6.9915998221148397E-5</v>
      </c>
      <c r="P45" s="180">
        <f ca="1"/>
        <v>-3.3835117545333299E-4</v>
      </c>
      <c r="Q45" s="180">
        <f ca="1"/>
        <v>1.6405641506178601E-4</v>
      </c>
      <c r="R45" s="180">
        <f ca="1"/>
        <v>3.8065854891034001E-4</v>
      </c>
      <c r="S45" s="180">
        <f ca="1"/>
        <v>-2.1569342783323001E-4</v>
      </c>
      <c r="T45" s="180">
        <f ca="1"/>
        <v>6.3717560516707294E-5</v>
      </c>
      <c r="U45" s="180">
        <f ca="1"/>
        <v>-1.5430334535437902E-5</v>
      </c>
      <c r="V45" s="180">
        <f ca="1"/>
        <v>1.80129687876729E-6</v>
      </c>
      <c r="W45" s="180">
        <f ca="1"/>
        <v>-3.1913421150164801E-7</v>
      </c>
      <c r="X45" s="180">
        <f ca="1"/>
        <v>6.3256216265017402E-8</v>
      </c>
      <c r="Y45" s="180">
        <f ca="1"/>
        <v>-2.0250408461208699E-8</v>
      </c>
      <c r="Z45" s="180">
        <f ca="1"/>
        <v>4.1217695923023703E-9</v>
      </c>
      <c r="AA45" s="180" t="str">
        <f ca="1"/>
        <v/>
      </c>
      <c r="AB45" s="180" t="str">
        <f ca="1"/>
        <v/>
      </c>
      <c r="AC45" s="180" t="str">
        <f ca="1"/>
        <v/>
      </c>
      <c r="AD45" s="180" t="str">
        <f ca="1"/>
        <v/>
      </c>
      <c r="AE45" s="180" t="str">
        <f ca="1"/>
        <v/>
      </c>
      <c r="AF45" s="180" t="str">
        <f ca="1"/>
        <v/>
      </c>
      <c r="AG45" s="180" t="str">
        <f ca="1"/>
        <v/>
      </c>
      <c r="AH45" s="180" t="str">
        <f ca="1"/>
        <v/>
      </c>
      <c r="AI45" s="180" t="str">
        <f ca="1"/>
        <v/>
      </c>
      <c r="AJ45" s="180" t="str">
        <f ca="1"/>
        <v/>
      </c>
      <c r="AK45" s="180" t="str">
        <f ca="1"/>
        <v/>
      </c>
      <c r="AL45" s="180" t="str">
        <f ca="1"/>
        <v/>
      </c>
      <c r="AM45" s="180" t="str">
        <f ca="1"/>
        <v/>
      </c>
      <c r="AN45" s="180" t="str">
        <f ca="1"/>
        <v/>
      </c>
      <c r="AO45" s="180" t="str">
        <f ca="1"/>
        <v/>
      </c>
      <c r="AP45" s="180" t="str">
        <f ca="1"/>
        <v/>
      </c>
      <c r="AQ45" s="187" t="str">
        <f ca="1"/>
        <v/>
      </c>
    </row>
    <row r="46" spans="2:43" x14ac:dyDescent="0.25">
      <c r="B46" s="179">
        <f ca="1"/>
        <v>45733</v>
      </c>
      <c r="C46" s="180">
        <f ca="1"/>
        <v>7.46361306092069E-13</v>
      </c>
      <c r="D46" s="180">
        <f ca="1"/>
        <v>-7.0953372308113504E-7</v>
      </c>
      <c r="E46" s="180">
        <f ca="1"/>
        <v>1.32676473973969E-11</v>
      </c>
      <c r="F46" s="180">
        <f ca="1"/>
        <v>7.4462311316914104E-13</v>
      </c>
      <c r="G46" s="180">
        <f ca="1"/>
        <v>-7.7623012358085697E-9</v>
      </c>
      <c r="H46" s="180">
        <f ca="1"/>
        <v>-7.0688840867611E-7</v>
      </c>
      <c r="I46" s="180">
        <f ca="1"/>
        <v>-7.0432916455739902E-7</v>
      </c>
      <c r="J46" s="180">
        <f ca="1"/>
        <v>-7.0200586821736498E-7</v>
      </c>
      <c r="K46" s="180">
        <f ca="1"/>
        <v>-6.9977424550435298E-7</v>
      </c>
      <c r="L46" s="180">
        <f ca="1"/>
        <v>-6.9758980504944202E-7</v>
      </c>
      <c r="M46" s="180">
        <f ca="1"/>
        <v>-6.9114409673512498E-7</v>
      </c>
      <c r="N46" s="180">
        <f ca="1"/>
        <v>-1.4991641945245901E-6</v>
      </c>
      <c r="O46" s="180">
        <f ca="1"/>
        <v>3.6317151685949498E-5</v>
      </c>
      <c r="P46" s="180">
        <f ca="1"/>
        <v>-1.75759746625453E-4</v>
      </c>
      <c r="Q46" s="180">
        <f ca="1"/>
        <v>-7.2990126961620204E-5</v>
      </c>
      <c r="R46" s="180">
        <f ca="1"/>
        <v>5.3757474378490397E-4</v>
      </c>
      <c r="S46" s="180">
        <f ca="1"/>
        <v>-2.8668586179785699E-4</v>
      </c>
      <c r="T46" s="180">
        <f ca="1"/>
        <v>8.4689966314617504E-5</v>
      </c>
      <c r="U46" s="180">
        <f ca="1"/>
        <v>-2.0509131056053301E-5</v>
      </c>
      <c r="V46" s="180">
        <f ca="1"/>
        <v>2.3941855437324701E-6</v>
      </c>
      <c r="W46" s="180">
        <f ca="1"/>
        <v>-4.2417862005511601E-7</v>
      </c>
      <c r="X46" s="180">
        <f ca="1"/>
        <v>8.4077403299936999E-8</v>
      </c>
      <c r="Y46" s="180">
        <f ca="1"/>
        <v>-2.6915326488408099E-8</v>
      </c>
      <c r="Z46" s="180">
        <f ca="1"/>
        <v>5.4785132957979599E-9</v>
      </c>
      <c r="AA46" s="180" t="str">
        <f ca="1"/>
        <v/>
      </c>
      <c r="AB46" s="180" t="str">
        <f ca="1"/>
        <v/>
      </c>
      <c r="AC46" s="180" t="str">
        <f ca="1"/>
        <v/>
      </c>
      <c r="AD46" s="180" t="str">
        <f ca="1"/>
        <v/>
      </c>
      <c r="AE46" s="180" t="str">
        <f ca="1"/>
        <v/>
      </c>
      <c r="AF46" s="180" t="str">
        <f ca="1"/>
        <v/>
      </c>
      <c r="AG46" s="180" t="str">
        <f ca="1"/>
        <v/>
      </c>
      <c r="AH46" s="180" t="str">
        <f ca="1"/>
        <v/>
      </c>
      <c r="AI46" s="180" t="str">
        <f ca="1"/>
        <v/>
      </c>
      <c r="AJ46" s="180" t="str">
        <f ca="1"/>
        <v/>
      </c>
      <c r="AK46" s="180" t="str">
        <f ca="1"/>
        <v/>
      </c>
      <c r="AL46" s="180" t="str">
        <f ca="1"/>
        <v/>
      </c>
      <c r="AM46" s="180" t="str">
        <f ca="1"/>
        <v/>
      </c>
      <c r="AN46" s="180" t="str">
        <f ca="1"/>
        <v/>
      </c>
      <c r="AO46" s="180" t="str">
        <f ca="1"/>
        <v/>
      </c>
      <c r="AP46" s="180" t="str">
        <f ca="1"/>
        <v/>
      </c>
      <c r="AQ46" s="187" t="str">
        <f ca="1"/>
        <v/>
      </c>
    </row>
    <row r="47" spans="2:43" x14ac:dyDescent="0.25">
      <c r="B47" s="179">
        <f ca="1"/>
        <v>45825</v>
      </c>
      <c r="C47" s="180">
        <f ca="1"/>
        <v>4.0402403644890198E-13</v>
      </c>
      <c r="D47" s="180">
        <f ca="1"/>
        <v>-1.8053229085615601E-7</v>
      </c>
      <c r="E47" s="180">
        <f ca="1"/>
        <v>5.3600596183756003E-12</v>
      </c>
      <c r="F47" s="180">
        <f ca="1"/>
        <v>4.0402403644890198E-13</v>
      </c>
      <c r="G47" s="180">
        <f ca="1"/>
        <v>-1.9748090142324099E-9</v>
      </c>
      <c r="H47" s="180">
        <f ca="1"/>
        <v>-1.79858984230424E-7</v>
      </c>
      <c r="I47" s="180">
        <f ca="1"/>
        <v>-1.7920609083829599E-7</v>
      </c>
      <c r="J47" s="180">
        <f ca="1"/>
        <v>-1.7861498019869399E-7</v>
      </c>
      <c r="K47" s="180">
        <f ca="1"/>
        <v>-1.78047191774777E-7</v>
      </c>
      <c r="L47" s="180">
        <f ca="1"/>
        <v>-1.77491385935924E-7</v>
      </c>
      <c r="M47" s="180">
        <f ca="1"/>
        <v>-1.7585137607190001E-7</v>
      </c>
      <c r="N47" s="180">
        <f ca="1"/>
        <v>-3.8144095447501001E-7</v>
      </c>
      <c r="O47" s="180">
        <f ca="1"/>
        <v>9.2402152937834398E-6</v>
      </c>
      <c r="P47" s="180">
        <f ca="1"/>
        <v>-4.4723367015862097E-5</v>
      </c>
      <c r="Q47" s="180">
        <f ca="1"/>
        <v>-2.5375914816656202E-4</v>
      </c>
      <c r="R47" s="180">
        <f ca="1"/>
        <v>6.1322984008216699E-4</v>
      </c>
      <c r="S47" s="180">
        <f ca="1"/>
        <v>-2.9119420319545199E-4</v>
      </c>
      <c r="T47" s="180">
        <f ca="1"/>
        <v>8.6020883057515206E-5</v>
      </c>
      <c r="U47" s="180">
        <f ca="1"/>
        <v>-2.0831497449635999E-5</v>
      </c>
      <c r="V47" s="180">
        <f ca="1"/>
        <v>2.43181732837577E-6</v>
      </c>
      <c r="W47" s="180">
        <f ca="1"/>
        <v>-4.3084751592467602E-7</v>
      </c>
      <c r="X47" s="180">
        <f ca="1"/>
        <v>8.5399329347729496E-8</v>
      </c>
      <c r="Y47" s="180">
        <f ca="1"/>
        <v>-2.7338413272765E-8</v>
      </c>
      <c r="Z47" s="180">
        <f ca="1"/>
        <v>5.5647616931109303E-9</v>
      </c>
      <c r="AA47" s="180" t="str">
        <f ca="1"/>
        <v/>
      </c>
      <c r="AB47" s="180" t="str">
        <f ca="1"/>
        <v/>
      </c>
      <c r="AC47" s="180" t="str">
        <f ca="1"/>
        <v/>
      </c>
      <c r="AD47" s="180" t="str">
        <f ca="1"/>
        <v/>
      </c>
      <c r="AE47" s="180" t="str">
        <f ca="1"/>
        <v/>
      </c>
      <c r="AF47" s="180" t="str">
        <f ca="1"/>
        <v/>
      </c>
      <c r="AG47" s="180" t="str">
        <f ca="1"/>
        <v/>
      </c>
      <c r="AH47" s="180" t="str">
        <f ca="1"/>
        <v/>
      </c>
      <c r="AI47" s="180" t="str">
        <f ca="1"/>
        <v/>
      </c>
      <c r="AJ47" s="180" t="str">
        <f ca="1"/>
        <v/>
      </c>
      <c r="AK47" s="180" t="str">
        <f ca="1"/>
        <v/>
      </c>
      <c r="AL47" s="180" t="str">
        <f ca="1"/>
        <v/>
      </c>
      <c r="AM47" s="180" t="str">
        <f ca="1"/>
        <v/>
      </c>
      <c r="AN47" s="180" t="str">
        <f ca="1"/>
        <v/>
      </c>
      <c r="AO47" s="180" t="str">
        <f ca="1"/>
        <v/>
      </c>
      <c r="AP47" s="180" t="str">
        <f ca="1"/>
        <v/>
      </c>
      <c r="AQ47" s="187" t="str">
        <f ca="1"/>
        <v/>
      </c>
    </row>
    <row r="48" spans="2:43" x14ac:dyDescent="0.25">
      <c r="B48" s="179">
        <f ca="1"/>
        <v>45917</v>
      </c>
      <c r="C48" s="180">
        <f ca="1"/>
        <v>1.54602025626005E-13</v>
      </c>
      <c r="D48" s="180">
        <f ca="1"/>
        <v>2.1106239657398001E-7</v>
      </c>
      <c r="E48" s="180">
        <f ca="1"/>
        <v>-9.39907873753754E-14</v>
      </c>
      <c r="F48" s="180">
        <f ca="1"/>
        <v>1.5548326515180099E-13</v>
      </c>
      <c r="G48" s="180">
        <f ca="1"/>
        <v>2.3094019023506298E-9</v>
      </c>
      <c r="H48" s="180">
        <f ca="1"/>
        <v>2.1027596982387E-7</v>
      </c>
      <c r="I48" s="180">
        <f ca="1"/>
        <v>2.09518070587444E-7</v>
      </c>
      <c r="J48" s="180">
        <f ca="1"/>
        <v>2.0882691971480001E-7</v>
      </c>
      <c r="K48" s="180">
        <f ca="1"/>
        <v>2.0816304636267499E-7</v>
      </c>
      <c r="L48" s="180">
        <f ca="1"/>
        <v>2.0751324790457799E-7</v>
      </c>
      <c r="M48" s="180">
        <f ca="1"/>
        <v>2.0559582432355701E-7</v>
      </c>
      <c r="N48" s="180">
        <f ca="1"/>
        <v>4.4595750916393001E-7</v>
      </c>
      <c r="O48" s="180">
        <f ca="1"/>
        <v>-1.0803448011350399E-5</v>
      </c>
      <c r="P48" s="180">
        <f ca="1"/>
        <v>5.22797117605764E-5</v>
      </c>
      <c r="Q48" s="180">
        <f ca="1"/>
        <v>-3.7473963530243503E-4</v>
      </c>
      <c r="R48" s="180">
        <f ca="1"/>
        <v>6.0563101127614595E-4</v>
      </c>
      <c r="S48" s="180">
        <f ca="1"/>
        <v>-2.2853685597758899E-4</v>
      </c>
      <c r="T48" s="180">
        <f ca="1"/>
        <v>6.7508898345791004E-5</v>
      </c>
      <c r="U48" s="180">
        <f ca="1"/>
        <v>-1.6348662451065601E-5</v>
      </c>
      <c r="V48" s="180">
        <f ca="1"/>
        <v>1.9084986646010502E-6</v>
      </c>
      <c r="W48" s="180">
        <f ca="1"/>
        <v>-3.3813213416028498E-7</v>
      </c>
      <c r="X48" s="180">
        <f ca="1"/>
        <v>6.7022048570730699E-8</v>
      </c>
      <c r="Y48" s="180">
        <f ca="1"/>
        <v>-2.14556627395335E-8</v>
      </c>
      <c r="Z48" s="180">
        <f ca="1"/>
        <v>4.36748659460306E-9</v>
      </c>
      <c r="AA48" s="180" t="str">
        <f ca="1"/>
        <v/>
      </c>
      <c r="AB48" s="180" t="str">
        <f ca="1"/>
        <v/>
      </c>
      <c r="AC48" s="180" t="str">
        <f ca="1"/>
        <v/>
      </c>
      <c r="AD48" s="180" t="str">
        <f ca="1"/>
        <v/>
      </c>
      <c r="AE48" s="180" t="str">
        <f ca="1"/>
        <v/>
      </c>
      <c r="AF48" s="180" t="str">
        <f ca="1"/>
        <v/>
      </c>
      <c r="AG48" s="180" t="str">
        <f ca="1"/>
        <v/>
      </c>
      <c r="AH48" s="180" t="str">
        <f ca="1"/>
        <v/>
      </c>
      <c r="AI48" s="180" t="str">
        <f ca="1"/>
        <v/>
      </c>
      <c r="AJ48" s="180" t="str">
        <f ca="1"/>
        <v/>
      </c>
      <c r="AK48" s="180" t="str">
        <f ca="1"/>
        <v/>
      </c>
      <c r="AL48" s="180" t="str">
        <f ca="1"/>
        <v/>
      </c>
      <c r="AM48" s="180" t="str">
        <f ca="1"/>
        <v/>
      </c>
      <c r="AN48" s="180" t="str">
        <f ca="1"/>
        <v/>
      </c>
      <c r="AO48" s="180" t="str">
        <f ca="1"/>
        <v/>
      </c>
      <c r="AP48" s="180" t="str">
        <f ca="1"/>
        <v/>
      </c>
      <c r="AQ48" s="187" t="str">
        <f ca="1"/>
        <v/>
      </c>
    </row>
    <row r="49" spans="2:43" x14ac:dyDescent="0.25">
      <c r="B49" s="179">
        <f ca="1"/>
        <v>46008</v>
      </c>
      <c r="C49" s="180">
        <f ca="1"/>
        <v>-4.4408920985006301E-15</v>
      </c>
      <c r="D49" s="180">
        <f ca="1"/>
        <v>4.6625563587809898E-7</v>
      </c>
      <c r="E49" s="180">
        <f ca="1"/>
        <v>-3.1228353236656399E-12</v>
      </c>
      <c r="F49" s="180">
        <f ca="1"/>
        <v>-4.4408920985006301E-15</v>
      </c>
      <c r="G49" s="180">
        <f ca="1"/>
        <v>5.1013264723565002E-9</v>
      </c>
      <c r="H49" s="180">
        <f ca="1"/>
        <v>4.6451800450597602E-7</v>
      </c>
      <c r="I49" s="180">
        <f ca="1"/>
        <v>4.6284123378370602E-7</v>
      </c>
      <c r="J49" s="180">
        <f ca="1"/>
        <v>4.6131445508024198E-7</v>
      </c>
      <c r="K49" s="180">
        <f ca="1"/>
        <v>4.5984792951259102E-7</v>
      </c>
      <c r="L49" s="180">
        <f ca="1"/>
        <v>4.5841246887334798E-7</v>
      </c>
      <c r="M49" s="180">
        <f ca="1"/>
        <v>4.5417673799619299E-7</v>
      </c>
      <c r="N49" s="180">
        <f ca="1"/>
        <v>9.851551681094859E-7</v>
      </c>
      <c r="O49" s="180">
        <f ca="1"/>
        <v>-2.3865404370937399E-5</v>
      </c>
      <c r="P49" s="180">
        <f ca="1"/>
        <v>1.1549597854188E-4</v>
      </c>
      <c r="Q49" s="180">
        <f ca="1"/>
        <v>-4.3666757466365202E-4</v>
      </c>
      <c r="R49" s="180">
        <f ca="1"/>
        <v>5.16800438025378E-4</v>
      </c>
      <c r="S49" s="180">
        <f ca="1"/>
        <v>-1.00650237306432E-4</v>
      </c>
      <c r="T49" s="180">
        <f ca="1"/>
        <v>2.9727367651055699E-5</v>
      </c>
      <c r="U49" s="180">
        <f ca="1"/>
        <v>-7.1993835959460697E-6</v>
      </c>
      <c r="V49" s="180">
        <f ca="1"/>
        <v>8.40430073090204E-7</v>
      </c>
      <c r="W49" s="180">
        <f ca="1"/>
        <v>-1.4890268662526301E-7</v>
      </c>
      <c r="X49" s="180">
        <f ca="1"/>
        <v>2.95144682027626E-8</v>
      </c>
      <c r="Y49" s="180">
        <f ca="1"/>
        <v>-9.4491916513561608E-9</v>
      </c>
      <c r="Z49" s="180">
        <f ca="1"/>
        <v>1.9237518245063302E-9</v>
      </c>
      <c r="AA49" s="180" t="str">
        <f ca="1"/>
        <v/>
      </c>
      <c r="AB49" s="180" t="str">
        <f ca="1"/>
        <v/>
      </c>
      <c r="AC49" s="180" t="str">
        <f ca="1"/>
        <v/>
      </c>
      <c r="AD49" s="180" t="str">
        <f ca="1"/>
        <v/>
      </c>
      <c r="AE49" s="180" t="str">
        <f ca="1"/>
        <v/>
      </c>
      <c r="AF49" s="180" t="str">
        <f ca="1"/>
        <v/>
      </c>
      <c r="AG49" s="180" t="str">
        <f ca="1"/>
        <v/>
      </c>
      <c r="AH49" s="180" t="str">
        <f ca="1"/>
        <v/>
      </c>
      <c r="AI49" s="180" t="str">
        <f ca="1"/>
        <v/>
      </c>
      <c r="AJ49" s="180" t="str">
        <f ca="1"/>
        <v/>
      </c>
      <c r="AK49" s="180" t="str">
        <f ca="1"/>
        <v/>
      </c>
      <c r="AL49" s="180" t="str">
        <f ca="1"/>
        <v/>
      </c>
      <c r="AM49" s="180" t="str">
        <f ca="1"/>
        <v/>
      </c>
      <c r="AN49" s="180" t="str">
        <f ca="1"/>
        <v/>
      </c>
      <c r="AO49" s="180" t="str">
        <f ca="1"/>
        <v/>
      </c>
      <c r="AP49" s="180" t="str">
        <f ca="1"/>
        <v/>
      </c>
      <c r="AQ49" s="187" t="str">
        <f ca="1"/>
        <v/>
      </c>
    </row>
    <row r="50" spans="2:43" x14ac:dyDescent="0.25">
      <c r="B50" s="179">
        <f ca="1"/>
        <v>46098</v>
      </c>
      <c r="C50" s="180">
        <f ca="1"/>
        <v>-7.2986755528248194E-14</v>
      </c>
      <c r="D50" s="180">
        <f ca="1"/>
        <v>5.9009551245381399E-7</v>
      </c>
      <c r="E50" s="180">
        <f ca="1"/>
        <v>-3.78740788731236E-12</v>
      </c>
      <c r="F50" s="180">
        <f ca="1"/>
        <v>-7.3854117266236598E-14</v>
      </c>
      <c r="G50" s="180">
        <f ca="1"/>
        <v>6.4561964455145401E-9</v>
      </c>
      <c r="H50" s="180">
        <f ca="1"/>
        <v>5.8789638722120396E-7</v>
      </c>
      <c r="I50" s="180">
        <f ca="1"/>
        <v>5.8577448717664296E-7</v>
      </c>
      <c r="J50" s="180">
        <f ca="1"/>
        <v>5.8384218416113198E-7</v>
      </c>
      <c r="K50" s="180">
        <f ca="1"/>
        <v>5.8198613841001202E-7</v>
      </c>
      <c r="L50" s="180">
        <f ca="1"/>
        <v>5.8016941251182196E-7</v>
      </c>
      <c r="M50" s="180">
        <f ca="1"/>
        <v>5.7480864502912301E-7</v>
      </c>
      <c r="N50" s="180">
        <f ca="1"/>
        <v>1.2468180435910901E-6</v>
      </c>
      <c r="O50" s="180">
        <f ca="1"/>
        <v>-3.02041032975917E-5</v>
      </c>
      <c r="P50" s="180">
        <f ca="1"/>
        <v>1.46174431282651E-4</v>
      </c>
      <c r="Q50" s="180">
        <f ca="1"/>
        <v>-4.40955121545437E-4</v>
      </c>
      <c r="R50" s="180">
        <f ca="1"/>
        <v>3.45772157870253E-4</v>
      </c>
      <c r="S50" s="180">
        <f ca="1"/>
        <v>9.4240906268312801E-5</v>
      </c>
      <c r="T50" s="180">
        <f ca="1"/>
        <v>-2.7845745094085699E-5</v>
      </c>
      <c r="U50" s="180">
        <f ca="1"/>
        <v>6.7429232719143404E-6</v>
      </c>
      <c r="V50" s="180">
        <f ca="1"/>
        <v>-7.8716139345971801E-7</v>
      </c>
      <c r="W50" s="180">
        <f ca="1"/>
        <v>1.3945823799932401E-7</v>
      </c>
      <c r="X50" s="180">
        <f ca="1"/>
        <v>-2.7642204178390799E-8</v>
      </c>
      <c r="Y50" s="180">
        <f ca="1"/>
        <v>8.8470787189265393E-9</v>
      </c>
      <c r="Z50" s="180">
        <f ca="1"/>
        <v>-1.8002390897442501E-9</v>
      </c>
      <c r="AA50" s="180" t="str">
        <f ca="1"/>
        <v/>
      </c>
      <c r="AB50" s="180" t="str">
        <f ca="1"/>
        <v/>
      </c>
      <c r="AC50" s="180" t="str">
        <f ca="1"/>
        <v/>
      </c>
      <c r="AD50" s="180" t="str">
        <f ca="1"/>
        <v/>
      </c>
      <c r="AE50" s="180" t="str">
        <f ca="1"/>
        <v/>
      </c>
      <c r="AF50" s="180" t="str">
        <f ca="1"/>
        <v/>
      </c>
      <c r="AG50" s="180" t="str">
        <f ca="1"/>
        <v/>
      </c>
      <c r="AH50" s="180" t="str">
        <f ca="1"/>
        <v/>
      </c>
      <c r="AI50" s="180" t="str">
        <f ca="1"/>
        <v/>
      </c>
      <c r="AJ50" s="180" t="str">
        <f ca="1"/>
        <v/>
      </c>
      <c r="AK50" s="180" t="str">
        <f ca="1"/>
        <v/>
      </c>
      <c r="AL50" s="180" t="str">
        <f ca="1"/>
        <v/>
      </c>
      <c r="AM50" s="180" t="str">
        <f ca="1"/>
        <v/>
      </c>
      <c r="AN50" s="180" t="str">
        <f ca="1"/>
        <v/>
      </c>
      <c r="AO50" s="180" t="str">
        <f ca="1"/>
        <v/>
      </c>
      <c r="AP50" s="180" t="str">
        <f ca="1"/>
        <v/>
      </c>
      <c r="AQ50" s="187" t="str">
        <f ca="1"/>
        <v/>
      </c>
    </row>
    <row r="51" spans="2:43" x14ac:dyDescent="0.25">
      <c r="B51" s="179">
        <f ca="1"/>
        <v>46190</v>
      </c>
      <c r="C51" s="180">
        <f ca="1"/>
        <v>-5.7343019221889297E-14</v>
      </c>
      <c r="D51" s="180">
        <f ca="1"/>
        <v>5.8043922538178504E-7</v>
      </c>
      <c r="E51" s="180">
        <f ca="1"/>
        <v>-2.0470569683794801E-12</v>
      </c>
      <c r="F51" s="180">
        <f ca="1"/>
        <v>-5.64756574839009E-14</v>
      </c>
      <c r="G51" s="180">
        <f ca="1"/>
        <v>6.3505652923845398E-9</v>
      </c>
      <c r="H51" s="180">
        <f ca="1"/>
        <v>5.7827630857779099E-7</v>
      </c>
      <c r="I51" s="180">
        <f ca="1"/>
        <v>5.7619075424092403E-7</v>
      </c>
      <c r="J51" s="180">
        <f ca="1"/>
        <v>5.7429004682307795E-7</v>
      </c>
      <c r="K51" s="180">
        <f ca="1"/>
        <v>5.7246435505170501E-7</v>
      </c>
      <c r="L51" s="180">
        <f ca="1"/>
        <v>5.7067735580868005E-7</v>
      </c>
      <c r="M51" s="180">
        <f ca="1"/>
        <v>5.65404290345239E-7</v>
      </c>
      <c r="N51" s="180">
        <f ca="1"/>
        <v>1.22641863013057E-6</v>
      </c>
      <c r="O51" s="180">
        <f ca="1"/>
        <v>-2.97099055418283E-5</v>
      </c>
      <c r="P51" s="180">
        <f ca="1"/>
        <v>1.4378339978203501E-4</v>
      </c>
      <c r="Q51" s="180">
        <f ca="1"/>
        <v>-3.8633990073089197E-4</v>
      </c>
      <c r="R51" s="180">
        <f ca="1"/>
        <v>8.9832010115805495E-5</v>
      </c>
      <c r="S51" s="180">
        <f ca="1"/>
        <v>3.5858536336774401E-4</v>
      </c>
      <c r="T51" s="180">
        <f ca="1"/>
        <v>-1.05929937543398E-4</v>
      </c>
      <c r="U51" s="180">
        <f ca="1"/>
        <v>2.5652764448311199E-5</v>
      </c>
      <c r="V51" s="180">
        <f ca="1"/>
        <v>-2.9946403887065598E-6</v>
      </c>
      <c r="W51" s="180">
        <f ca="1"/>
        <v>5.3055880384900199E-7</v>
      </c>
      <c r="X51" s="180">
        <f ca="1"/>
        <v>-1.05163154705268E-7</v>
      </c>
      <c r="Y51" s="180">
        <f ca="1"/>
        <v>3.3662073128937202E-8</v>
      </c>
      <c r="Z51" s="180">
        <f ca="1"/>
        <v>-6.8510883910466397E-9</v>
      </c>
      <c r="AA51" s="180" t="str">
        <f ca="1"/>
        <v/>
      </c>
      <c r="AB51" s="180" t="str">
        <f ca="1"/>
        <v/>
      </c>
      <c r="AC51" s="180" t="str">
        <f ca="1"/>
        <v/>
      </c>
      <c r="AD51" s="180" t="str">
        <f ca="1"/>
        <v/>
      </c>
      <c r="AE51" s="180" t="str">
        <f ca="1"/>
        <v/>
      </c>
      <c r="AF51" s="180" t="str">
        <f ca="1"/>
        <v/>
      </c>
      <c r="AG51" s="180" t="str">
        <f ca="1"/>
        <v/>
      </c>
      <c r="AH51" s="180" t="str">
        <f ca="1"/>
        <v/>
      </c>
      <c r="AI51" s="180" t="str">
        <f ca="1"/>
        <v/>
      </c>
      <c r="AJ51" s="180" t="str">
        <f ca="1"/>
        <v/>
      </c>
      <c r="AK51" s="180" t="str">
        <f ca="1"/>
        <v/>
      </c>
      <c r="AL51" s="180" t="str">
        <f ca="1"/>
        <v/>
      </c>
      <c r="AM51" s="180" t="str">
        <f ca="1"/>
        <v/>
      </c>
      <c r="AN51" s="180" t="str">
        <f ca="1"/>
        <v/>
      </c>
      <c r="AO51" s="180" t="str">
        <f ca="1"/>
        <v/>
      </c>
      <c r="AP51" s="180" t="str">
        <f ca="1"/>
        <v/>
      </c>
      <c r="AQ51" s="187" t="str">
        <f ca="1"/>
        <v/>
      </c>
    </row>
    <row r="52" spans="2:43" x14ac:dyDescent="0.25">
      <c r="B52" s="179">
        <f ca="1"/>
        <v>46282</v>
      </c>
      <c r="C52" s="180">
        <f ca="1"/>
        <v>5.1830068015234998E-14</v>
      </c>
      <c r="D52" s="180">
        <f ca="1"/>
        <v>4.3622476356489097E-7</v>
      </c>
      <c r="E52" s="180">
        <f ca="1"/>
        <v>2.0976657910676299E-12</v>
      </c>
      <c r="F52" s="180">
        <f ca="1"/>
        <v>5.1830068015234998E-14</v>
      </c>
      <c r="G52" s="180">
        <f ca="1"/>
        <v>4.7728186264306399E-9</v>
      </c>
      <c r="H52" s="180">
        <f ca="1"/>
        <v>4.3459971182588401E-7</v>
      </c>
      <c r="I52" s="180">
        <f ca="1"/>
        <v>4.3303578569145499E-7</v>
      </c>
      <c r="J52" s="180">
        <f ca="1"/>
        <v>4.31607273879142E-7</v>
      </c>
      <c r="K52" s="180">
        <f ca="1"/>
        <v>4.3023514421577898E-7</v>
      </c>
      <c r="L52" s="180">
        <f ca="1"/>
        <v>4.2889213938690501E-7</v>
      </c>
      <c r="M52" s="180">
        <f ca="1"/>
        <v>4.2492915823533201E-7</v>
      </c>
      <c r="N52" s="180">
        <f ca="1"/>
        <v>9.2171296265861101E-7</v>
      </c>
      <c r="O52" s="180">
        <f ca="1"/>
        <v>-2.2328448216521499E-5</v>
      </c>
      <c r="P52" s="180">
        <f ca="1"/>
        <v>1.08059868874508E-4</v>
      </c>
      <c r="Q52" s="180">
        <f ca="1"/>
        <v>-2.7319434713753799E-4</v>
      </c>
      <c r="R52" s="180">
        <f ca="1"/>
        <v>-2.4753575953127501E-4</v>
      </c>
      <c r="S52" s="180">
        <f ca="1"/>
        <v>6.8866493635249399E-4</v>
      </c>
      <c r="T52" s="180">
        <f ca="1"/>
        <v>-2.03421944254541E-4</v>
      </c>
      <c r="U52" s="180">
        <f ca="1"/>
        <v>4.9263299260575399E-5</v>
      </c>
      <c r="V52" s="180">
        <f ca="1"/>
        <v>-5.7508480825752004E-6</v>
      </c>
      <c r="W52" s="180">
        <f ca="1"/>
        <v>1.01887878178539E-6</v>
      </c>
      <c r="X52" s="180">
        <f ca="1"/>
        <v>-2.0195419139085201E-7</v>
      </c>
      <c r="Y52" s="180">
        <f ca="1"/>
        <v>6.4645545180819206E-8</v>
      </c>
      <c r="Z52" s="180">
        <f ca="1"/>
        <v>-1.3157502337657299E-8</v>
      </c>
      <c r="AA52" s="180" t="str">
        <f ca="1"/>
        <v/>
      </c>
      <c r="AB52" s="180" t="str">
        <f ca="1"/>
        <v/>
      </c>
      <c r="AC52" s="180" t="str">
        <f ca="1"/>
        <v/>
      </c>
      <c r="AD52" s="180" t="str">
        <f ca="1"/>
        <v/>
      </c>
      <c r="AE52" s="180" t="str">
        <f ca="1"/>
        <v/>
      </c>
      <c r="AF52" s="180" t="str">
        <f ca="1"/>
        <v/>
      </c>
      <c r="AG52" s="180" t="str">
        <f ca="1"/>
        <v/>
      </c>
      <c r="AH52" s="180" t="str">
        <f ca="1"/>
        <v/>
      </c>
      <c r="AI52" s="180" t="str">
        <f ca="1"/>
        <v/>
      </c>
      <c r="AJ52" s="180" t="str">
        <f ca="1"/>
        <v/>
      </c>
      <c r="AK52" s="180" t="str">
        <f ca="1"/>
        <v/>
      </c>
      <c r="AL52" s="180" t="str">
        <f ca="1"/>
        <v/>
      </c>
      <c r="AM52" s="180" t="str">
        <f ca="1"/>
        <v/>
      </c>
      <c r="AN52" s="180" t="str">
        <f ca="1"/>
        <v/>
      </c>
      <c r="AO52" s="180" t="str">
        <f ca="1"/>
        <v/>
      </c>
      <c r="AP52" s="180" t="str">
        <f ca="1"/>
        <v/>
      </c>
      <c r="AQ52" s="187" t="str">
        <f ca="1"/>
        <v/>
      </c>
    </row>
    <row r="53" spans="2:43" x14ac:dyDescent="0.25">
      <c r="B53" s="179">
        <f ca="1"/>
        <v>46373</v>
      </c>
      <c r="C53" s="180">
        <f ca="1"/>
        <v>2.1493917756743E-13</v>
      </c>
      <c r="D53" s="180">
        <f ca="1"/>
        <v>1.9736616874155299E-7</v>
      </c>
      <c r="E53" s="180">
        <f ca="1"/>
        <v>7.5957018452754694E-12</v>
      </c>
      <c r="F53" s="180">
        <f ca="1"/>
        <v>2.1405099914773E-13</v>
      </c>
      <c r="G53" s="180">
        <f ca="1"/>
        <v>2.1596182619987299E-9</v>
      </c>
      <c r="H53" s="180">
        <f ca="1"/>
        <v>1.96631788185186E-7</v>
      </c>
      <c r="I53" s="180">
        <f ca="1"/>
        <v>1.9593050648580899E-7</v>
      </c>
      <c r="J53" s="180">
        <f ca="1"/>
        <v>1.9528409644919999E-7</v>
      </c>
      <c r="K53" s="180">
        <f ca="1"/>
        <v>1.9466321088401599E-7</v>
      </c>
      <c r="L53" s="180">
        <f ca="1"/>
        <v>1.94055577829033E-7</v>
      </c>
      <c r="M53" s="180">
        <f ca="1"/>
        <v>1.9226247349735101E-7</v>
      </c>
      <c r="N53" s="180">
        <f ca="1"/>
        <v>4.1703427733352798E-7</v>
      </c>
      <c r="O53" s="180">
        <f ca="1"/>
        <v>-1.0102654683485899E-5</v>
      </c>
      <c r="P53" s="180">
        <f ca="1"/>
        <v>4.8891896757829998E-5</v>
      </c>
      <c r="Q53" s="180">
        <f ca="1"/>
        <v>-1.2180614996815099E-4</v>
      </c>
      <c r="R53" s="180">
        <f ca="1"/>
        <v>-6.1579341400808097E-4</v>
      </c>
      <c r="S53" s="180">
        <f ca="1"/>
        <v>1.0193098245290201E-3</v>
      </c>
      <c r="T53" s="180">
        <f ca="1"/>
        <v>-2.8611937388589597E-4</v>
      </c>
      <c r="U53" s="180">
        <f ca="1"/>
        <v>6.9291262261295103E-5</v>
      </c>
      <c r="V53" s="180">
        <f ca="1"/>
        <v>-8.0888303060078198E-6</v>
      </c>
      <c r="W53" s="180">
        <f ca="1"/>
        <v>1.43310203970515E-6</v>
      </c>
      <c r="X53" s="180">
        <f ca="1"/>
        <v>-2.8405856156155101E-7</v>
      </c>
      <c r="Y53" s="180">
        <f ca="1"/>
        <v>9.0927750662217503E-8</v>
      </c>
      <c r="Z53" s="180">
        <f ca="1"/>
        <v>-1.8507019916569301E-8</v>
      </c>
      <c r="AA53" s="180" t="str">
        <f ca="1"/>
        <v/>
      </c>
      <c r="AB53" s="180" t="str">
        <f ca="1"/>
        <v/>
      </c>
      <c r="AC53" s="180" t="str">
        <f ca="1"/>
        <v/>
      </c>
      <c r="AD53" s="180" t="str">
        <f ca="1"/>
        <v/>
      </c>
      <c r="AE53" s="180" t="str">
        <f ca="1"/>
        <v/>
      </c>
      <c r="AF53" s="180" t="str">
        <f ca="1"/>
        <v/>
      </c>
      <c r="AG53" s="180" t="str">
        <f ca="1"/>
        <v/>
      </c>
      <c r="AH53" s="180" t="str">
        <f ca="1"/>
        <v/>
      </c>
      <c r="AI53" s="180" t="str">
        <f ca="1"/>
        <v/>
      </c>
      <c r="AJ53" s="180" t="str">
        <f ca="1"/>
        <v/>
      </c>
      <c r="AK53" s="180" t="str">
        <f ca="1"/>
        <v/>
      </c>
      <c r="AL53" s="180" t="str">
        <f ca="1"/>
        <v/>
      </c>
      <c r="AM53" s="180" t="str">
        <f ca="1"/>
        <v/>
      </c>
      <c r="AN53" s="180" t="str">
        <f ca="1"/>
        <v/>
      </c>
      <c r="AO53" s="180" t="str">
        <f ca="1"/>
        <v/>
      </c>
      <c r="AP53" s="180" t="str">
        <f ca="1"/>
        <v/>
      </c>
      <c r="AQ53" s="187" t="str">
        <f ca="1"/>
        <v/>
      </c>
    </row>
    <row r="54" spans="2:43" x14ac:dyDescent="0.25">
      <c r="B54" s="179">
        <f ca="1"/>
        <v>46463</v>
      </c>
      <c r="C54" s="180">
        <f ca="1"/>
        <v>2.97154661987875E-13</v>
      </c>
      <c r="D54" s="180">
        <f ca="1"/>
        <v>7.7518687129074504E-9</v>
      </c>
      <c r="E54" s="180">
        <f ca="1"/>
        <v>1.0568938085819801E-11</v>
      </c>
      <c r="F54" s="180">
        <f ca="1"/>
        <v>2.97154661987875E-13</v>
      </c>
      <c r="G54" s="180">
        <f ca="1"/>
        <v>8.5122343201904397E-11</v>
      </c>
      <c r="H54" s="180">
        <f ca="1"/>
        <v>7.7243568069595997E-9</v>
      </c>
      <c r="I54" s="180">
        <f ca="1"/>
        <v>7.70655626119998E-9</v>
      </c>
      <c r="J54" s="180">
        <f ca="1"/>
        <v>7.6810253817061208E-9</v>
      </c>
      <c r="K54" s="180">
        <f ca="1"/>
        <v>7.6565188980581795E-9</v>
      </c>
      <c r="L54" s="180">
        <f ca="1"/>
        <v>7.6326527702341701E-9</v>
      </c>
      <c r="M54" s="180">
        <f ca="1"/>
        <v>7.5620900860662294E-9</v>
      </c>
      <c r="N54" s="180">
        <f ca="1"/>
        <v>1.6399996142363299E-8</v>
      </c>
      <c r="O54" s="180">
        <f ca="1"/>
        <v>-3.9729975917848802E-7</v>
      </c>
      <c r="P54" s="180">
        <f ca="1"/>
        <v>1.9225708312309302E-6</v>
      </c>
      <c r="Q54" s="180">
        <f ca="1"/>
        <v>-4.79095391793527E-6</v>
      </c>
      <c r="R54" s="180">
        <f ca="1"/>
        <v>-8.29456461794997E-4</v>
      </c>
      <c r="S54" s="180">
        <f ca="1"/>
        <v>1.10271085808262E-3</v>
      </c>
      <c r="T54" s="180">
        <f ca="1"/>
        <v>-2.1935379873103499E-4</v>
      </c>
      <c r="U54" s="180">
        <f ca="1"/>
        <v>5.31205063501669E-5</v>
      </c>
      <c r="V54" s="180">
        <f ca="1"/>
        <v>-6.2011544290849199E-6</v>
      </c>
      <c r="W54" s="180">
        <f ca="1"/>
        <v>1.09866153044647E-6</v>
      </c>
      <c r="X54" s="180">
        <f ca="1"/>
        <v>-2.1776967794317999E-7</v>
      </c>
      <c r="Y54" s="180">
        <f ca="1"/>
        <v>6.9708509398830305E-8</v>
      </c>
      <c r="Z54" s="180">
        <f ca="1"/>
        <v>-1.41879577635062E-8</v>
      </c>
      <c r="AA54" s="180" t="str">
        <f ca="1"/>
        <v/>
      </c>
      <c r="AB54" s="180" t="str">
        <f ca="1"/>
        <v/>
      </c>
      <c r="AC54" s="180" t="str">
        <f ca="1"/>
        <v/>
      </c>
      <c r="AD54" s="180" t="str">
        <f ca="1"/>
        <v/>
      </c>
      <c r="AE54" s="180" t="str">
        <f ca="1"/>
        <v/>
      </c>
      <c r="AF54" s="180" t="str">
        <f ca="1"/>
        <v/>
      </c>
      <c r="AG54" s="180" t="str">
        <f ca="1"/>
        <v/>
      </c>
      <c r="AH54" s="180" t="str">
        <f ca="1"/>
        <v/>
      </c>
      <c r="AI54" s="180" t="str">
        <f ca="1"/>
        <v/>
      </c>
      <c r="AJ54" s="180" t="str">
        <f ca="1"/>
        <v/>
      </c>
      <c r="AK54" s="180" t="str">
        <f ca="1"/>
        <v/>
      </c>
      <c r="AL54" s="180" t="str">
        <f ca="1"/>
        <v/>
      </c>
      <c r="AM54" s="180" t="str">
        <f ca="1"/>
        <v/>
      </c>
      <c r="AN54" s="180" t="str">
        <f ca="1"/>
        <v/>
      </c>
      <c r="AO54" s="180" t="str">
        <f ca="1"/>
        <v/>
      </c>
      <c r="AP54" s="180" t="str">
        <f ca="1"/>
        <v/>
      </c>
      <c r="AQ54" s="187" t="str">
        <f ca="1"/>
        <v/>
      </c>
    </row>
    <row r="55" spans="2:43" x14ac:dyDescent="0.25">
      <c r="B55" s="179">
        <f ca="1"/>
        <v>46555</v>
      </c>
      <c r="C55" s="180">
        <f ca="1"/>
        <v>2.6934704466796698E-13</v>
      </c>
      <c r="D55" s="180">
        <f ca="1"/>
        <v>-9.51858574564646E-8</v>
      </c>
      <c r="E55" s="180">
        <f ca="1"/>
        <v>9.9711523759982205E-12</v>
      </c>
      <c r="F55" s="180">
        <f ca="1"/>
        <v>2.6847968292997798E-13</v>
      </c>
      <c r="G55" s="180">
        <f ca="1"/>
        <v>-1.0411549886124599E-9</v>
      </c>
      <c r="H55" s="180">
        <f ca="1"/>
        <v>-9.4829910011334797E-8</v>
      </c>
      <c r="I55" s="180">
        <f ca="1"/>
        <v>-9.4478748303983298E-8</v>
      </c>
      <c r="J55" s="180">
        <f ca="1"/>
        <v>-9.4167186222293697E-8</v>
      </c>
      <c r="K55" s="180">
        <f ca="1"/>
        <v>-9.3867906492822702E-8</v>
      </c>
      <c r="L55" s="180">
        <f ca="1"/>
        <v>-9.3574858299472195E-8</v>
      </c>
      <c r="M55" s="180">
        <f ca="1"/>
        <v>-9.2710257731248897E-8</v>
      </c>
      <c r="N55" s="180">
        <f ca="1"/>
        <v>-2.0110048409155399E-7</v>
      </c>
      <c r="O55" s="180">
        <f ca="1"/>
        <v>4.8716553877892199E-6</v>
      </c>
      <c r="P55" s="180">
        <f ca="1"/>
        <v>-2.3576380661662801E-5</v>
      </c>
      <c r="Q55" s="180">
        <f ca="1"/>
        <v>5.8737011137507302E-5</v>
      </c>
      <c r="R55" s="180">
        <f ca="1"/>
        <v>-8.3763799359139505E-4</v>
      </c>
      <c r="S55" s="180">
        <f ca="1"/>
        <v>8.6948263376141605E-4</v>
      </c>
      <c r="T55" s="180">
        <f ca="1"/>
        <v>3.5016744495321903E-5</v>
      </c>
      <c r="U55" s="180">
        <f ca="1"/>
        <v>-8.4837746931951102E-6</v>
      </c>
      <c r="V55" s="180">
        <f ca="1"/>
        <v>9.9027770766174596E-7</v>
      </c>
      <c r="W55" s="180">
        <f ca="1"/>
        <v>-1.7544889628282E-7</v>
      </c>
      <c r="X55" s="180">
        <f ca="1"/>
        <v>3.4772036552194199E-8</v>
      </c>
      <c r="Y55" s="180">
        <f ca="1"/>
        <v>-1.11312202961955E-8</v>
      </c>
      <c r="Z55" s="180">
        <f ca="1"/>
        <v>2.26643399534043E-9</v>
      </c>
      <c r="AA55" s="180" t="str">
        <f ca="1"/>
        <v/>
      </c>
      <c r="AB55" s="180" t="str">
        <f ca="1"/>
        <v/>
      </c>
      <c r="AC55" s="180" t="str">
        <f ca="1"/>
        <v/>
      </c>
      <c r="AD55" s="180" t="str">
        <f ca="1"/>
        <v/>
      </c>
      <c r="AE55" s="180" t="str">
        <f ca="1"/>
        <v/>
      </c>
      <c r="AF55" s="180" t="str">
        <f ca="1"/>
        <v/>
      </c>
      <c r="AG55" s="180" t="str">
        <f ca="1"/>
        <v/>
      </c>
      <c r="AH55" s="180" t="str">
        <f ca="1"/>
        <v/>
      </c>
      <c r="AI55" s="180" t="str">
        <f ca="1"/>
        <v/>
      </c>
      <c r="AJ55" s="180" t="str">
        <f ca="1"/>
        <v/>
      </c>
      <c r="AK55" s="180" t="str">
        <f ca="1"/>
        <v/>
      </c>
      <c r="AL55" s="180" t="str">
        <f ca="1"/>
        <v/>
      </c>
      <c r="AM55" s="180" t="str">
        <f ca="1"/>
        <v/>
      </c>
      <c r="AN55" s="180" t="str">
        <f ca="1"/>
        <v/>
      </c>
      <c r="AO55" s="180" t="str">
        <f ca="1"/>
        <v/>
      </c>
      <c r="AP55" s="180" t="str">
        <f ca="1"/>
        <v/>
      </c>
      <c r="AQ55" s="187" t="str">
        <f ca="1"/>
        <v/>
      </c>
    </row>
    <row r="56" spans="2:43" x14ac:dyDescent="0.25">
      <c r="B56" s="179">
        <f ca="1"/>
        <v>46647</v>
      </c>
      <c r="C56" s="180">
        <f ca="1"/>
        <v>1.2561479634243301E-13</v>
      </c>
      <c r="D56" s="180">
        <f ca="1"/>
        <v>-1.08924906018493E-7</v>
      </c>
      <c r="E56" s="180">
        <f ca="1"/>
        <v>5.7799910690992099E-12</v>
      </c>
      <c r="F56" s="180">
        <f ca="1"/>
        <v>1.26492566421277E-13</v>
      </c>
      <c r="G56" s="180">
        <f ca="1"/>
        <v>-1.1916226234920401E-9</v>
      </c>
      <c r="H56" s="180">
        <f ca="1"/>
        <v>-1.08518306427691E-7</v>
      </c>
      <c r="I56" s="180">
        <f ca="1"/>
        <v>-1.08121777905867E-7</v>
      </c>
      <c r="J56" s="180">
        <f ca="1"/>
        <v>-1.07765168219642E-7</v>
      </c>
      <c r="K56" s="180">
        <f ca="1"/>
        <v>-1.07422622883796E-7</v>
      </c>
      <c r="L56" s="180">
        <f ca="1"/>
        <v>-1.07087277066709E-7</v>
      </c>
      <c r="M56" s="180">
        <f ca="1"/>
        <v>-1.06097808341005E-7</v>
      </c>
      <c r="N56" s="180">
        <f ca="1"/>
        <v>-2.30138210027125E-7</v>
      </c>
      <c r="O56" s="180">
        <f ca="1"/>
        <v>5.5750983240926396E-6</v>
      </c>
      <c r="P56" s="180">
        <f ca="1"/>
        <v>-2.6980622188289801E-5</v>
      </c>
      <c r="Q56" s="180">
        <f ca="1"/>
        <v>6.7218672597298094E-5</v>
      </c>
      <c r="R56" s="180">
        <f ca="1"/>
        <v>-6.3832225492848802E-4</v>
      </c>
      <c r="S56" s="180">
        <f ca="1"/>
        <v>3.2065498135230901E-4</v>
      </c>
      <c r="T56" s="180">
        <f ca="1"/>
        <v>4.7454295416885601E-4</v>
      </c>
      <c r="U56" s="180">
        <f ca="1"/>
        <v>-1.14917574928514E-4</v>
      </c>
      <c r="V56" s="180">
        <f ca="1"/>
        <v>1.34152320548954E-5</v>
      </c>
      <c r="W56" s="180">
        <f ca="1"/>
        <v>-2.3767798445865898E-6</v>
      </c>
      <c r="X56" s="180">
        <f ca="1"/>
        <v>4.71099200968772E-7</v>
      </c>
      <c r="Y56" s="180">
        <f ca="1"/>
        <v>-1.5080160768385399E-7</v>
      </c>
      <c r="Z56" s="180">
        <f ca="1"/>
        <v>3.0695391721458103E-8</v>
      </c>
      <c r="AA56" s="180" t="str">
        <f ca="1"/>
        <v/>
      </c>
      <c r="AB56" s="180" t="str">
        <f ca="1"/>
        <v/>
      </c>
      <c r="AC56" s="180" t="str">
        <f ca="1"/>
        <v/>
      </c>
      <c r="AD56" s="180" t="str">
        <f ca="1"/>
        <v/>
      </c>
      <c r="AE56" s="180" t="str">
        <f ca="1"/>
        <v/>
      </c>
      <c r="AF56" s="180" t="str">
        <f ca="1"/>
        <v/>
      </c>
      <c r="AG56" s="180" t="str">
        <f ca="1"/>
        <v/>
      </c>
      <c r="AH56" s="180" t="str">
        <f ca="1"/>
        <v/>
      </c>
      <c r="AI56" s="180" t="str">
        <f ca="1"/>
        <v/>
      </c>
      <c r="AJ56" s="180" t="str">
        <f ca="1"/>
        <v/>
      </c>
      <c r="AK56" s="180" t="str">
        <f ca="1"/>
        <v/>
      </c>
      <c r="AL56" s="180" t="str">
        <f ca="1"/>
        <v/>
      </c>
      <c r="AM56" s="180" t="str">
        <f ca="1"/>
        <v/>
      </c>
      <c r="AN56" s="180" t="str">
        <f ca="1"/>
        <v/>
      </c>
      <c r="AO56" s="180" t="str">
        <f ca="1"/>
        <v/>
      </c>
      <c r="AP56" s="180" t="str">
        <f ca="1"/>
        <v/>
      </c>
      <c r="AQ56" s="187" t="str">
        <f ca="1"/>
        <v/>
      </c>
    </row>
    <row r="57" spans="2:43" x14ac:dyDescent="0.25">
      <c r="B57" s="179">
        <f ca="1"/>
        <v>46738</v>
      </c>
      <c r="C57" s="180">
        <f ca="1"/>
        <v>-1.07167746898895E-13</v>
      </c>
      <c r="D57" s="180">
        <f ca="1"/>
        <v>-5.3217538507899198E-8</v>
      </c>
      <c r="E57" s="180">
        <f ca="1"/>
        <v>-1.2025554163575001E-12</v>
      </c>
      <c r="F57" s="180">
        <f ca="1"/>
        <v>-1.07167746898895E-13</v>
      </c>
      <c r="G57" s="180">
        <f ca="1"/>
        <v>-5.8236404934519596E-10</v>
      </c>
      <c r="H57" s="180">
        <f ca="1"/>
        <v>-5.3019397223269498E-8</v>
      </c>
      <c r="I57" s="180">
        <f ca="1"/>
        <v>-5.2829432259371403E-8</v>
      </c>
      <c r="J57" s="180">
        <f ca="1"/>
        <v>-5.2655147936286901E-8</v>
      </c>
      <c r="K57" s="180">
        <f ca="1"/>
        <v>-5.2487745139800903E-8</v>
      </c>
      <c r="L57" s="180">
        <f ca="1"/>
        <v>-5.2323904330825501E-8</v>
      </c>
      <c r="M57" s="180">
        <f ca="1"/>
        <v>-5.1840427336274899E-8</v>
      </c>
      <c r="N57" s="180">
        <f ca="1"/>
        <v>-1.1244658830456E-7</v>
      </c>
      <c r="O57" s="180">
        <f ca="1"/>
        <v>2.7240187380483898E-6</v>
      </c>
      <c r="P57" s="180">
        <f ca="1"/>
        <v>-1.3182884415746E-5</v>
      </c>
      <c r="Q57" s="180">
        <f ca="1"/>
        <v>3.2843209981099603E-5</v>
      </c>
      <c r="R57" s="180">
        <f ca="1"/>
        <v>-2.8977948339354101E-4</v>
      </c>
      <c r="S57" s="180">
        <f ca="1"/>
        <v>-4.2842293768695702E-4</v>
      </c>
      <c r="T57" s="180">
        <f ca="1"/>
        <v>9.9996356958391409E-4</v>
      </c>
      <c r="U57" s="180">
        <f ca="1"/>
        <v>-2.2814528945596499E-4</v>
      </c>
      <c r="V57" s="180">
        <f ca="1"/>
        <v>2.6633651942348899E-5</v>
      </c>
      <c r="W57" s="180">
        <f ca="1"/>
        <v>-4.7186819049950501E-6</v>
      </c>
      <c r="X57" s="180">
        <f ca="1"/>
        <v>9.3528992814104195E-7</v>
      </c>
      <c r="Y57" s="180">
        <f ca="1"/>
        <v>-2.9939145316723597E-7</v>
      </c>
      <c r="Z57" s="180">
        <f ca="1"/>
        <v>6.0939417029920504E-8</v>
      </c>
      <c r="AA57" s="180" t="str">
        <f ca="1"/>
        <v/>
      </c>
      <c r="AB57" s="180" t="str">
        <f ca="1"/>
        <v/>
      </c>
      <c r="AC57" s="180" t="str">
        <f ca="1"/>
        <v/>
      </c>
      <c r="AD57" s="180" t="str">
        <f ca="1"/>
        <v/>
      </c>
      <c r="AE57" s="180" t="str">
        <f ca="1"/>
        <v/>
      </c>
      <c r="AF57" s="180" t="str">
        <f ca="1"/>
        <v/>
      </c>
      <c r="AG57" s="180" t="str">
        <f ca="1"/>
        <v/>
      </c>
      <c r="AH57" s="180" t="str">
        <f ca="1"/>
        <v/>
      </c>
      <c r="AI57" s="180" t="str">
        <f ca="1"/>
        <v/>
      </c>
      <c r="AJ57" s="180" t="str">
        <f ca="1"/>
        <v/>
      </c>
      <c r="AK57" s="180" t="str">
        <f ca="1"/>
        <v/>
      </c>
      <c r="AL57" s="180" t="str">
        <f ca="1"/>
        <v/>
      </c>
      <c r="AM57" s="180" t="str">
        <f ca="1"/>
        <v/>
      </c>
      <c r="AN57" s="180" t="str">
        <f ca="1"/>
        <v/>
      </c>
      <c r="AO57" s="180" t="str">
        <f ca="1"/>
        <v/>
      </c>
      <c r="AP57" s="180" t="str">
        <f ca="1"/>
        <v/>
      </c>
      <c r="AQ57" s="187" t="str">
        <f ca="1"/>
        <v/>
      </c>
    </row>
    <row r="58" spans="2:43" x14ac:dyDescent="0.25">
      <c r="B58" s="179">
        <f ca="1"/>
        <v>46829</v>
      </c>
      <c r="C58" s="180">
        <f ca="1"/>
        <v>-3.5631220196563598E-13</v>
      </c>
      <c r="D58" s="180">
        <f ca="1"/>
        <v>-1.70563223267362E-9</v>
      </c>
      <c r="E58" s="180">
        <f ca="1"/>
        <v>-8.1007561769652593E-12</v>
      </c>
      <c r="F58" s="180">
        <f ca="1"/>
        <v>-3.5631220196563598E-13</v>
      </c>
      <c r="G58" s="180">
        <f ca="1"/>
        <v>-1.9024781749976699E-11</v>
      </c>
      <c r="H58" s="180">
        <f ca="1"/>
        <v>-1.7003028776607599E-9</v>
      </c>
      <c r="I58" s="180">
        <f ca="1"/>
        <v>-1.7017417267006799E-9</v>
      </c>
      <c r="J58" s="180">
        <f ca="1"/>
        <v>-1.69604670932633E-9</v>
      </c>
      <c r="K58" s="180">
        <f ca="1"/>
        <v>-1.69058979662684E-9</v>
      </c>
      <c r="L58" s="180">
        <f ca="1"/>
        <v>-1.6853369776137501E-9</v>
      </c>
      <c r="M58" s="180">
        <f ca="1"/>
        <v>-1.6697392427045301E-9</v>
      </c>
      <c r="N58" s="180">
        <f ca="1"/>
        <v>-3.6194128562316901E-9</v>
      </c>
      <c r="O58" s="180">
        <f ca="1"/>
        <v>8.7681604102329796E-8</v>
      </c>
      <c r="P58" s="180">
        <f ca="1"/>
        <v>-4.2434435370067297E-7</v>
      </c>
      <c r="Q58" s="180">
        <f ca="1"/>
        <v>1.05711079379303E-6</v>
      </c>
      <c r="R58" s="180">
        <f ca="1"/>
        <v>-9.33231986241859E-6</v>
      </c>
      <c r="S58" s="180">
        <f ca="1"/>
        <v>-9.4198475276455901E-4</v>
      </c>
      <c r="T58" s="180">
        <f ca="1"/>
        <v>1.2259447083181199E-3</v>
      </c>
      <c r="U58" s="180">
        <f ca="1"/>
        <v>-1.96592326378881E-4</v>
      </c>
      <c r="V58" s="180">
        <f ca="1"/>
        <v>2.2949686855580601E-5</v>
      </c>
      <c r="W58" s="180">
        <f ca="1"/>
        <v>-4.0660046954910101E-6</v>
      </c>
      <c r="X58" s="180">
        <f ca="1"/>
        <v>8.0592421246999903E-7</v>
      </c>
      <c r="Y58" s="180">
        <f ca="1"/>
        <v>-2.5798196430157302E-7</v>
      </c>
      <c r="Z58" s="180">
        <f ca="1"/>
        <v>5.2508213096991203E-8</v>
      </c>
      <c r="AA58" s="180" t="str">
        <f ca="1"/>
        <v/>
      </c>
      <c r="AB58" s="180" t="str">
        <f ca="1"/>
        <v/>
      </c>
      <c r="AC58" s="180" t="str">
        <f ca="1"/>
        <v/>
      </c>
      <c r="AD58" s="180" t="str">
        <f ca="1"/>
        <v/>
      </c>
      <c r="AE58" s="180" t="str">
        <f ca="1"/>
        <v/>
      </c>
      <c r="AF58" s="180" t="str">
        <f ca="1"/>
        <v/>
      </c>
      <c r="AG58" s="180" t="str">
        <f ca="1"/>
        <v/>
      </c>
      <c r="AH58" s="180" t="str">
        <f ca="1"/>
        <v/>
      </c>
      <c r="AI58" s="180" t="str">
        <f ca="1"/>
        <v/>
      </c>
      <c r="AJ58" s="180" t="str">
        <f ca="1"/>
        <v/>
      </c>
      <c r="AK58" s="180" t="str">
        <f ca="1"/>
        <v/>
      </c>
      <c r="AL58" s="180" t="str">
        <f ca="1"/>
        <v/>
      </c>
      <c r="AM58" s="180" t="str">
        <f ca="1"/>
        <v/>
      </c>
      <c r="AN58" s="180" t="str">
        <f ca="1"/>
        <v/>
      </c>
      <c r="AO58" s="180" t="str">
        <f ca="1"/>
        <v/>
      </c>
      <c r="AP58" s="180" t="str">
        <f ca="1"/>
        <v/>
      </c>
      <c r="AQ58" s="187" t="str">
        <f ca="1"/>
        <v/>
      </c>
    </row>
    <row r="59" spans="2:43" x14ac:dyDescent="0.25">
      <c r="B59" s="179">
        <f ca="1"/>
        <v>46923</v>
      </c>
      <c r="C59" s="180">
        <f ca="1"/>
        <v>-5.9778224037465597E-13</v>
      </c>
      <c r="D59" s="180">
        <f ca="1"/>
        <v>2.5992417784087599E-8</v>
      </c>
      <c r="E59" s="180">
        <f ca="1"/>
        <v>-1.4060055203435299E-11</v>
      </c>
      <c r="F59" s="180">
        <f ca="1"/>
        <v>-5.9778224037465597E-13</v>
      </c>
      <c r="G59" s="180">
        <f ca="1"/>
        <v>2.8377561411829798E-10</v>
      </c>
      <c r="H59" s="180">
        <f ca="1"/>
        <v>2.5893787985314899E-8</v>
      </c>
      <c r="I59" s="180">
        <f ca="1"/>
        <v>2.57873383549545E-8</v>
      </c>
      <c r="J59" s="180">
        <f ca="1"/>
        <v>2.5702411504680001E-8</v>
      </c>
      <c r="K59" s="180">
        <f ca="1"/>
        <v>2.5620816773708199E-8</v>
      </c>
      <c r="L59" s="180">
        <f ca="1"/>
        <v>2.55407938305752E-8</v>
      </c>
      <c r="M59" s="180">
        <f ca="1"/>
        <v>2.5304841701212499E-8</v>
      </c>
      <c r="N59" s="180">
        <f ca="1"/>
        <v>5.4892865038180798E-8</v>
      </c>
      <c r="O59" s="180">
        <f ca="1"/>
        <v>-1.3297771084275199E-6</v>
      </c>
      <c r="P59" s="180">
        <f ca="1"/>
        <v>6.4354599171416398E-6</v>
      </c>
      <c r="Q59" s="180">
        <f ca="1"/>
        <v>-1.6032966456205898E-5</v>
      </c>
      <c r="R59" s="180">
        <f ca="1"/>
        <v>1.4146230047710299E-4</v>
      </c>
      <c r="S59" s="180">
        <f ca="1"/>
        <v>-1.0945201193848901E-3</v>
      </c>
      <c r="T59" s="180">
        <f ca="1"/>
        <v>1.04249934971992E-3</v>
      </c>
      <c r="U59" s="180">
        <f ca="1"/>
        <v>2.1569093316627801E-5</v>
      </c>
      <c r="V59" s="180">
        <f ca="1"/>
        <v>-2.5192119738094701E-6</v>
      </c>
      <c r="W59" s="180">
        <f ca="1"/>
        <v>4.4630268263706799E-7</v>
      </c>
      <c r="X59" s="180">
        <f ca="1"/>
        <v>-8.84596283168282E-8</v>
      </c>
      <c r="Y59" s="180">
        <f ca="1"/>
        <v>2.8312417629100502E-8</v>
      </c>
      <c r="Z59" s="180">
        <f ca="1"/>
        <v>-5.7702520990521303E-9</v>
      </c>
      <c r="AA59" s="180" t="str">
        <f ca="1"/>
        <v/>
      </c>
      <c r="AB59" s="180" t="str">
        <f ca="1"/>
        <v/>
      </c>
      <c r="AC59" s="180" t="str">
        <f ca="1"/>
        <v/>
      </c>
      <c r="AD59" s="180" t="str">
        <f ca="1"/>
        <v/>
      </c>
      <c r="AE59" s="180" t="str">
        <f ca="1"/>
        <v/>
      </c>
      <c r="AF59" s="180" t="str">
        <f ca="1"/>
        <v/>
      </c>
      <c r="AG59" s="180" t="str">
        <f ca="1"/>
        <v/>
      </c>
      <c r="AH59" s="180" t="str">
        <f ca="1"/>
        <v/>
      </c>
      <c r="AI59" s="180" t="str">
        <f ca="1"/>
        <v/>
      </c>
      <c r="AJ59" s="180" t="str">
        <f ca="1"/>
        <v/>
      </c>
      <c r="AK59" s="180" t="str">
        <f ca="1"/>
        <v/>
      </c>
      <c r="AL59" s="180" t="str">
        <f ca="1"/>
        <v/>
      </c>
      <c r="AM59" s="180" t="str">
        <f ca="1"/>
        <v/>
      </c>
      <c r="AN59" s="180" t="str">
        <f ca="1"/>
        <v/>
      </c>
      <c r="AO59" s="180" t="str">
        <f ca="1"/>
        <v/>
      </c>
      <c r="AP59" s="180" t="str">
        <f ca="1"/>
        <v/>
      </c>
      <c r="AQ59" s="187" t="str">
        <f ca="1"/>
        <v/>
      </c>
    </row>
    <row r="60" spans="2:43" x14ac:dyDescent="0.25">
      <c r="B60" s="179">
        <f ca="1"/>
        <v>47014</v>
      </c>
      <c r="C60" s="180">
        <f ca="1"/>
        <v>-8.2132217693597899E-13</v>
      </c>
      <c r="D60" s="180">
        <f ca="1"/>
        <v>2.9620972046701101E-8</v>
      </c>
      <c r="E60" s="180">
        <f ca="1"/>
        <v>-1.89176174725247E-11</v>
      </c>
      <c r="F60" s="180">
        <f ca="1"/>
        <v>-8.2044440685713502E-13</v>
      </c>
      <c r="G60" s="180">
        <f ca="1"/>
        <v>3.2324824067453401E-10</v>
      </c>
      <c r="H60" s="180">
        <f ca="1"/>
        <v>2.9508206867562301E-8</v>
      </c>
      <c r="I60" s="180">
        <f ca="1"/>
        <v>2.9384206713667401E-8</v>
      </c>
      <c r="J60" s="180">
        <f ca="1"/>
        <v>2.92874638811724E-8</v>
      </c>
      <c r="K60" s="180">
        <f ca="1"/>
        <v>2.91945096674018E-8</v>
      </c>
      <c r="L60" s="180">
        <f ca="1"/>
        <v>2.9103318435752501E-8</v>
      </c>
      <c r="M60" s="180">
        <f ca="1"/>
        <v>2.8834461849452901E-8</v>
      </c>
      <c r="N60" s="180">
        <f ca="1"/>
        <v>6.2550407929629097E-8</v>
      </c>
      <c r="O60" s="180">
        <f ca="1"/>
        <v>-1.5152811085016E-6</v>
      </c>
      <c r="P60" s="180">
        <f ca="1"/>
        <v>7.33320845541785E-6</v>
      </c>
      <c r="Q60" s="180">
        <f ca="1"/>
        <v>-1.8269538529926799E-5</v>
      </c>
      <c r="R60" s="180">
        <f ca="1"/>
        <v>1.6119827427874E-4</v>
      </c>
      <c r="S60" s="180">
        <f ca="1"/>
        <v>-8.9110449096487302E-4</v>
      </c>
      <c r="T60" s="180">
        <f ca="1"/>
        <v>4.6695614663235999E-4</v>
      </c>
      <c r="U60" s="180">
        <f ca="1"/>
        <v>4.1427005383044098E-4</v>
      </c>
      <c r="V60" s="180">
        <f ca="1"/>
        <v>-4.8360138225386802E-5</v>
      </c>
      <c r="W60" s="180">
        <f ca="1"/>
        <v>8.5680004207958105E-6</v>
      </c>
      <c r="X60" s="180">
        <f ca="1"/>
        <v>-1.6982585579576599E-6</v>
      </c>
      <c r="Y60" s="180">
        <f ca="1"/>
        <v>5.4361383350701197E-7</v>
      </c>
      <c r="Z60" s="180">
        <f ca="1"/>
        <v>-1.1066389475275499E-7</v>
      </c>
      <c r="AA60" s="180" t="str">
        <f ca="1"/>
        <v/>
      </c>
      <c r="AB60" s="180" t="str">
        <f ca="1"/>
        <v/>
      </c>
      <c r="AC60" s="180" t="str">
        <f ca="1"/>
        <v/>
      </c>
      <c r="AD60" s="180" t="str">
        <f ca="1"/>
        <v/>
      </c>
      <c r="AE60" s="180" t="str">
        <f ca="1"/>
        <v/>
      </c>
      <c r="AF60" s="180" t="str">
        <f ca="1"/>
        <v/>
      </c>
      <c r="AG60" s="180" t="str">
        <f ca="1"/>
        <v/>
      </c>
      <c r="AH60" s="180" t="str">
        <f ca="1"/>
        <v/>
      </c>
      <c r="AI60" s="180" t="str">
        <f ca="1"/>
        <v/>
      </c>
      <c r="AJ60" s="180" t="str">
        <f ca="1"/>
        <v/>
      </c>
      <c r="AK60" s="180" t="str">
        <f ca="1"/>
        <v/>
      </c>
      <c r="AL60" s="180" t="str">
        <f ca="1"/>
        <v/>
      </c>
      <c r="AM60" s="180" t="str">
        <f ca="1"/>
        <v/>
      </c>
      <c r="AN60" s="180" t="str">
        <f ca="1"/>
        <v/>
      </c>
      <c r="AO60" s="180" t="str">
        <f ca="1"/>
        <v/>
      </c>
      <c r="AP60" s="180" t="str">
        <f ca="1"/>
        <v/>
      </c>
      <c r="AQ60" s="187" t="str">
        <f ca="1"/>
        <v/>
      </c>
    </row>
    <row r="61" spans="2:43" x14ac:dyDescent="0.25">
      <c r="B61" s="179">
        <f ca="1"/>
        <v>47105</v>
      </c>
      <c r="C61" s="180">
        <f ca="1"/>
        <v>-1.00930375168673E-12</v>
      </c>
      <c r="D61" s="180">
        <f ca="1"/>
        <v>1.4906226582928101E-8</v>
      </c>
      <c r="E61" s="180">
        <f ca="1"/>
        <v>-2.2455884374217299E-11</v>
      </c>
      <c r="F61" s="180">
        <f ca="1"/>
        <v>-1.00842598160789E-12</v>
      </c>
      <c r="G61" s="180">
        <f ca="1"/>
        <v>1.6206289088494001E-10</v>
      </c>
      <c r="H61" s="180">
        <f ca="1"/>
        <v>1.4847840758974699E-8</v>
      </c>
      <c r="I61" s="180">
        <f ca="1"/>
        <v>1.47733921797288E-8</v>
      </c>
      <c r="J61" s="180">
        <f ca="1"/>
        <v>1.4724882410610501E-8</v>
      </c>
      <c r="K61" s="180">
        <f ca="1"/>
        <v>1.4678253338479299E-8</v>
      </c>
      <c r="L61" s="180">
        <f ca="1"/>
        <v>1.4632363012218E-8</v>
      </c>
      <c r="M61" s="180">
        <f ca="1"/>
        <v>1.4497228910392801E-8</v>
      </c>
      <c r="N61" s="180">
        <f ca="1"/>
        <v>3.1452604916382099E-8</v>
      </c>
      <c r="O61" s="180">
        <f ca="1"/>
        <v>-7.6193807395375E-7</v>
      </c>
      <c r="P61" s="180">
        <f ca="1"/>
        <v>3.6873941535314801E-6</v>
      </c>
      <c r="Q61" s="180">
        <f ca="1"/>
        <v>-9.1865852876460396E-6</v>
      </c>
      <c r="R61" s="180">
        <f ca="1"/>
        <v>8.1055324697428696E-5</v>
      </c>
      <c r="S61" s="180">
        <f ca="1"/>
        <v>-4.2225546848611802E-4</v>
      </c>
      <c r="T61" s="180">
        <f ca="1"/>
        <v>-3.8198248519238898E-4</v>
      </c>
      <c r="U61" s="180">
        <f ca="1"/>
        <v>9.1119459434795295E-4</v>
      </c>
      <c r="V61" s="180">
        <f ca="1"/>
        <v>-9.8614164657471998E-5</v>
      </c>
      <c r="W61" s="180">
        <f ca="1"/>
        <v>1.7471683578587601E-5</v>
      </c>
      <c r="X61" s="180">
        <f ca="1"/>
        <v>-3.4630507173977199E-6</v>
      </c>
      <c r="Y61" s="180">
        <f ca="1"/>
        <v>1.1085300115204501E-6</v>
      </c>
      <c r="Z61" s="180">
        <f ca="1"/>
        <v>-2.2565561902734801E-7</v>
      </c>
      <c r="AA61" s="180" t="str">
        <f ca="1"/>
        <v/>
      </c>
      <c r="AB61" s="180" t="str">
        <f ca="1"/>
        <v/>
      </c>
      <c r="AC61" s="180" t="str">
        <f ca="1"/>
        <v/>
      </c>
      <c r="AD61" s="180" t="str">
        <f ca="1"/>
        <v/>
      </c>
      <c r="AE61" s="180" t="str">
        <f ca="1"/>
        <v/>
      </c>
      <c r="AF61" s="180" t="str">
        <f ca="1"/>
        <v/>
      </c>
      <c r="AG61" s="180" t="str">
        <f ca="1"/>
        <v/>
      </c>
      <c r="AH61" s="180" t="str">
        <f ca="1"/>
        <v/>
      </c>
      <c r="AI61" s="180" t="str">
        <f ca="1"/>
        <v/>
      </c>
      <c r="AJ61" s="180" t="str">
        <f ca="1"/>
        <v/>
      </c>
      <c r="AK61" s="180" t="str">
        <f ca="1"/>
        <v/>
      </c>
      <c r="AL61" s="180" t="str">
        <f ca="1"/>
        <v/>
      </c>
      <c r="AM61" s="180" t="str">
        <f ca="1"/>
        <v/>
      </c>
      <c r="AN61" s="180" t="str">
        <f ca="1"/>
        <v/>
      </c>
      <c r="AO61" s="180" t="str">
        <f ca="1"/>
        <v/>
      </c>
      <c r="AP61" s="180" t="str">
        <f ca="1"/>
        <v/>
      </c>
      <c r="AQ61" s="187" t="str">
        <f ca="1"/>
        <v/>
      </c>
    </row>
    <row r="62" spans="2:43" x14ac:dyDescent="0.25">
      <c r="B62" s="179">
        <f ca="1"/>
        <v>47196</v>
      </c>
      <c r="C62" s="180">
        <f ca="1"/>
        <v>-1.0513326320626999E-12</v>
      </c>
      <c r="D62" s="180">
        <f ca="1"/>
        <v>1.06647821129791E-9</v>
      </c>
      <c r="E62" s="180">
        <f ca="1"/>
        <v>-2.2997256876600099E-11</v>
      </c>
      <c r="F62" s="180">
        <f ca="1"/>
        <v>-1.0504652703247099E-12</v>
      </c>
      <c r="G62" s="180">
        <f ca="1"/>
        <v>1.05993477883537E-11</v>
      </c>
      <c r="H62" s="180">
        <f ca="1"/>
        <v>1.0595915429789701E-9</v>
      </c>
      <c r="I62" s="180">
        <f ca="1"/>
        <v>1.0343369633014601E-9</v>
      </c>
      <c r="J62" s="180">
        <f ca="1"/>
        <v>1.0311542904262201E-9</v>
      </c>
      <c r="K62" s="180">
        <f ca="1"/>
        <v>1.02806285012802E-9</v>
      </c>
      <c r="L62" s="180">
        <f ca="1"/>
        <v>1.02478112801174E-9</v>
      </c>
      <c r="M62" s="180">
        <f ca="1"/>
        <v>1.01538429747583E-9</v>
      </c>
      <c r="N62" s="180">
        <f ca="1"/>
        <v>2.20931707650696E-9</v>
      </c>
      <c r="O62" s="180">
        <f ca="1"/>
        <v>-5.3520358579001197E-8</v>
      </c>
      <c r="P62" s="180">
        <f ca="1"/>
        <v>2.5900111533597202E-7</v>
      </c>
      <c r="Q62" s="180">
        <f ca="1"/>
        <v>-6.4527729073254901E-7</v>
      </c>
      <c r="R62" s="180">
        <f ca="1"/>
        <v>5.6929788048928898E-6</v>
      </c>
      <c r="S62" s="180">
        <f ca="1"/>
        <v>-2.9669904077080099E-5</v>
      </c>
      <c r="T62" s="180">
        <f ca="1"/>
        <v>-1.0056853947224399E-3</v>
      </c>
      <c r="U62" s="180">
        <f ca="1"/>
        <v>1.20113604460278E-3</v>
      </c>
      <c r="V62" s="180">
        <f ca="1"/>
        <v>-8.5544516652064805E-5</v>
      </c>
      <c r="W62" s="180">
        <f ca="1"/>
        <v>1.5155964550327801E-5</v>
      </c>
      <c r="X62" s="180">
        <f ca="1"/>
        <v>-3.0040556242561001E-6</v>
      </c>
      <c r="Y62" s="180">
        <f ca="1"/>
        <v>9.6160652223592491E-7</v>
      </c>
      <c r="Z62" s="180">
        <f ca="1"/>
        <v>-1.9574373165756601E-7</v>
      </c>
      <c r="AA62" s="180" t="str">
        <f ca="1"/>
        <v/>
      </c>
      <c r="AB62" s="180" t="str">
        <f ca="1"/>
        <v/>
      </c>
      <c r="AC62" s="180" t="str">
        <f ca="1"/>
        <v/>
      </c>
      <c r="AD62" s="180" t="str">
        <f ca="1"/>
        <v/>
      </c>
      <c r="AE62" s="180" t="str">
        <f ca="1"/>
        <v/>
      </c>
      <c r="AF62" s="180" t="str">
        <f ca="1"/>
        <v/>
      </c>
      <c r="AG62" s="180" t="str">
        <f ca="1"/>
        <v/>
      </c>
      <c r="AH62" s="180" t="str">
        <f ca="1"/>
        <v/>
      </c>
      <c r="AI62" s="180" t="str">
        <f ca="1"/>
        <v/>
      </c>
      <c r="AJ62" s="180" t="str">
        <f ca="1"/>
        <v/>
      </c>
      <c r="AK62" s="180" t="str">
        <f ca="1"/>
        <v/>
      </c>
      <c r="AL62" s="180" t="str">
        <f ca="1"/>
        <v/>
      </c>
      <c r="AM62" s="180" t="str">
        <f ca="1"/>
        <v/>
      </c>
      <c r="AN62" s="180" t="str">
        <f ca="1"/>
        <v/>
      </c>
      <c r="AO62" s="180" t="str">
        <f ca="1"/>
        <v/>
      </c>
      <c r="AP62" s="180" t="str">
        <f ca="1"/>
        <v/>
      </c>
      <c r="AQ62" s="187" t="str">
        <f ca="1"/>
        <v/>
      </c>
    </row>
    <row r="63" spans="2:43" x14ac:dyDescent="0.25">
      <c r="B63" s="179">
        <f ca="1"/>
        <v>47287</v>
      </c>
      <c r="C63" s="180">
        <f ca="1"/>
        <v>-9.1665910972871205E-13</v>
      </c>
      <c r="D63" s="180">
        <f ca="1"/>
        <v>-6.9227580196118402E-9</v>
      </c>
      <c r="E63" s="180">
        <f ca="1"/>
        <v>-2.0124769906093598E-11</v>
      </c>
      <c r="F63" s="180">
        <f ca="1"/>
        <v>-9.1578827854377209E-13</v>
      </c>
      <c r="G63" s="180">
        <f ca="1"/>
        <v>-7.6674319671177203E-11</v>
      </c>
      <c r="H63" s="180">
        <f ca="1"/>
        <v>-6.89951487262142E-9</v>
      </c>
      <c r="I63" s="180">
        <f ca="1"/>
        <v>-6.8934180100233E-9</v>
      </c>
      <c r="J63" s="180">
        <f ca="1"/>
        <v>-6.8704772322736299E-9</v>
      </c>
      <c r="K63" s="180">
        <f ca="1"/>
        <v>-6.8484722233474998E-9</v>
      </c>
      <c r="L63" s="180">
        <f ca="1"/>
        <v>-6.8271579709011703E-9</v>
      </c>
      <c r="M63" s="180">
        <f ca="1"/>
        <v>-6.7640119581768903E-9</v>
      </c>
      <c r="N63" s="180">
        <f ca="1"/>
        <v>-1.46658285515855E-8</v>
      </c>
      <c r="O63" s="180">
        <f ca="1"/>
        <v>3.5527965612861E-7</v>
      </c>
      <c r="P63" s="180">
        <f ca="1"/>
        <v>-1.7193869076316501E-6</v>
      </c>
      <c r="Q63" s="180">
        <f ca="1"/>
        <v>4.2835821081540997E-6</v>
      </c>
      <c r="R63" s="180">
        <f ca="1"/>
        <v>-3.7794966940465899E-5</v>
      </c>
      <c r="S63" s="180">
        <f ca="1"/>
        <v>1.96893991616039E-4</v>
      </c>
      <c r="T63" s="180">
        <f ca="1"/>
        <v>-1.27338430537158E-3</v>
      </c>
      <c r="U63" s="180">
        <f ca="1"/>
        <v>1.2037291536745999E-3</v>
      </c>
      <c r="V63" s="180">
        <f ca="1"/>
        <v>7.37491729163944E-6</v>
      </c>
      <c r="W63" s="180">
        <f ca="1"/>
        <v>-1.3069955031308499E-6</v>
      </c>
      <c r="X63" s="180">
        <f ca="1"/>
        <v>2.5905794813485502E-7</v>
      </c>
      <c r="Y63" s="180">
        <f ca="1"/>
        <v>-8.2921794649498697E-8</v>
      </c>
      <c r="Z63" s="180">
        <f ca="1"/>
        <v>1.68861090318884E-8</v>
      </c>
      <c r="AA63" s="180" t="str">
        <f ca="1"/>
        <v/>
      </c>
      <c r="AB63" s="180" t="str">
        <f ca="1"/>
        <v/>
      </c>
      <c r="AC63" s="180" t="str">
        <f ca="1"/>
        <v/>
      </c>
      <c r="AD63" s="180" t="str">
        <f ca="1"/>
        <v/>
      </c>
      <c r="AE63" s="180" t="str">
        <f ca="1"/>
        <v/>
      </c>
      <c r="AF63" s="180" t="str">
        <f ca="1"/>
        <v/>
      </c>
      <c r="AG63" s="180" t="str">
        <f ca="1"/>
        <v/>
      </c>
      <c r="AH63" s="180" t="str">
        <f ca="1"/>
        <v/>
      </c>
      <c r="AI63" s="180" t="str">
        <f ca="1"/>
        <v/>
      </c>
      <c r="AJ63" s="180" t="str">
        <f ca="1"/>
        <v/>
      </c>
      <c r="AK63" s="180" t="str">
        <f ca="1"/>
        <v/>
      </c>
      <c r="AL63" s="180" t="str">
        <f ca="1"/>
        <v/>
      </c>
      <c r="AM63" s="180" t="str">
        <f ca="1"/>
        <v/>
      </c>
      <c r="AN63" s="180" t="str">
        <f ca="1"/>
        <v/>
      </c>
      <c r="AO63" s="180" t="str">
        <f ca="1"/>
        <v/>
      </c>
      <c r="AP63" s="180" t="str">
        <f ca="1"/>
        <v/>
      </c>
      <c r="AQ63" s="187" t="str">
        <f ca="1"/>
        <v/>
      </c>
    </row>
    <row r="64" spans="2:43" x14ac:dyDescent="0.25">
      <c r="B64" s="179">
        <f ca="1"/>
        <v>47378</v>
      </c>
      <c r="C64" s="180">
        <f ca="1"/>
        <v>-6.0874569274282899E-13</v>
      </c>
      <c r="D64" s="180">
        <f ca="1"/>
        <v>-9.1543722047227E-9</v>
      </c>
      <c r="E64" s="180">
        <f ca="1"/>
        <v>-1.38974561025851E-11</v>
      </c>
      <c r="F64" s="180">
        <f ca="1"/>
        <v>-6.0874569274282899E-13</v>
      </c>
      <c r="G64" s="180">
        <f ca="1"/>
        <v>-1.00779166262166E-10</v>
      </c>
      <c r="H64" s="180">
        <f ca="1"/>
        <v>-9.1220306031036796E-9</v>
      </c>
      <c r="I64" s="180">
        <f ca="1"/>
        <v>-9.1021414572178794E-9</v>
      </c>
      <c r="J64" s="180">
        <f ca="1"/>
        <v>-9.0719765762081706E-9</v>
      </c>
      <c r="K64" s="180">
        <f ca="1"/>
        <v>-9.0430230352544999E-9</v>
      </c>
      <c r="L64" s="180">
        <f ca="1"/>
        <v>-9.0148381086396795E-9</v>
      </c>
      <c r="M64" s="180">
        <f ca="1"/>
        <v>-8.9314973021614697E-9</v>
      </c>
      <c r="N64" s="180">
        <f ca="1"/>
        <v>-1.9369205142560901E-8</v>
      </c>
      <c r="O64" s="180">
        <f ca="1"/>
        <v>4.6921899332988398E-7</v>
      </c>
      <c r="P64" s="180">
        <f ca="1"/>
        <v>-2.27079418302009E-6</v>
      </c>
      <c r="Q64" s="180">
        <f ca="1"/>
        <v>5.6573355503540501E-6</v>
      </c>
      <c r="R64" s="180">
        <f ca="1"/>
        <v>-4.9915619094769603E-5</v>
      </c>
      <c r="S64" s="180">
        <f ca="1"/>
        <v>2.6004446305832201E-4</v>
      </c>
      <c r="T64" s="180">
        <f ca="1"/>
        <v>-1.1908633096163401E-3</v>
      </c>
      <c r="U64" s="180">
        <f ca="1"/>
        <v>9.2364076149541196E-4</v>
      </c>
      <c r="V64" s="180">
        <f ca="1"/>
        <v>1.78826222945232E-4</v>
      </c>
      <c r="W64" s="180">
        <f ca="1"/>
        <v>-3.1682511957252497E-5</v>
      </c>
      <c r="X64" s="180">
        <f ca="1"/>
        <v>6.2798145821912899E-6</v>
      </c>
      <c r="Y64" s="180">
        <f ca="1"/>
        <v>-2.0101751639078902E-6</v>
      </c>
      <c r="Z64" s="180">
        <f ca="1"/>
        <v>4.09205120777828E-7</v>
      </c>
      <c r="AA64" s="180" t="str">
        <f ca="1"/>
        <v/>
      </c>
      <c r="AB64" s="180" t="str">
        <f ca="1"/>
        <v/>
      </c>
      <c r="AC64" s="180" t="str">
        <f ca="1"/>
        <v/>
      </c>
      <c r="AD64" s="180" t="str">
        <f ca="1"/>
        <v/>
      </c>
      <c r="AE64" s="180" t="str">
        <f ca="1"/>
        <v/>
      </c>
      <c r="AF64" s="180" t="str">
        <f ca="1"/>
        <v/>
      </c>
      <c r="AG64" s="180" t="str">
        <f ca="1"/>
        <v/>
      </c>
      <c r="AH64" s="180" t="str">
        <f ca="1"/>
        <v/>
      </c>
      <c r="AI64" s="180" t="str">
        <f ca="1"/>
        <v/>
      </c>
      <c r="AJ64" s="180" t="str">
        <f ca="1"/>
        <v/>
      </c>
      <c r="AK64" s="180" t="str">
        <f ca="1"/>
        <v/>
      </c>
      <c r="AL64" s="180" t="str">
        <f ca="1"/>
        <v/>
      </c>
      <c r="AM64" s="180" t="str">
        <f ca="1"/>
        <v/>
      </c>
      <c r="AN64" s="180" t="str">
        <f ca="1"/>
        <v/>
      </c>
      <c r="AO64" s="180" t="str">
        <f ca="1"/>
        <v/>
      </c>
      <c r="AP64" s="180" t="str">
        <f ca="1"/>
        <v/>
      </c>
      <c r="AQ64" s="187" t="str">
        <f ca="1"/>
        <v/>
      </c>
    </row>
    <row r="65" spans="2:43" x14ac:dyDescent="0.25">
      <c r="B65" s="179">
        <f ca="1"/>
        <v>47469</v>
      </c>
      <c r="C65" s="180">
        <f ca="1"/>
        <v>-1.7129006546490201E-13</v>
      </c>
      <c r="D65" s="180">
        <f ca="1"/>
        <v>-6.6926719097248899E-9</v>
      </c>
      <c r="E65" s="180">
        <f ca="1"/>
        <v>-5.0737435086656299E-12</v>
      </c>
      <c r="F65" s="180">
        <f ca="1"/>
        <v>-1.7129006546490201E-13</v>
      </c>
      <c r="G65" s="180">
        <f ca="1"/>
        <v>-7.3400625855146702E-11</v>
      </c>
      <c r="H65" s="180">
        <f ca="1"/>
        <v>-6.6683897952113397E-9</v>
      </c>
      <c r="I65" s="180">
        <f ca="1"/>
        <v>-6.6491515592070902E-9</v>
      </c>
      <c r="J65" s="180">
        <f ca="1"/>
        <v>-6.6271665065398302E-9</v>
      </c>
      <c r="K65" s="180">
        <f ca="1"/>
        <v>-6.6060563581882298E-9</v>
      </c>
      <c r="L65" s="180">
        <f ca="1"/>
        <v>-6.58545042456216E-9</v>
      </c>
      <c r="M65" s="180">
        <f ca="1"/>
        <v>-6.5245830717375297E-9</v>
      </c>
      <c r="N65" s="180">
        <f ca="1"/>
        <v>-1.41510434134573E-8</v>
      </c>
      <c r="O65" s="180">
        <f ca="1"/>
        <v>3.4280935101715899E-7</v>
      </c>
      <c r="P65" s="180">
        <f ca="1"/>
        <v>-1.65903120867561E-6</v>
      </c>
      <c r="Q65" s="180">
        <f ca="1"/>
        <v>4.1332224377174704E-6</v>
      </c>
      <c r="R65" s="180">
        <f ca="1"/>
        <v>-3.6468180513196002E-5</v>
      </c>
      <c r="S65" s="180">
        <f ca="1"/>
        <v>1.89985568482539E-4</v>
      </c>
      <c r="T65" s="180">
        <f ca="1"/>
        <v>-8.2627750891515995E-4</v>
      </c>
      <c r="U65" s="180">
        <f ca="1"/>
        <v>4.2104919471601702E-4</v>
      </c>
      <c r="V65" s="180">
        <f ca="1"/>
        <v>4.0730112935031702E-4</v>
      </c>
      <c r="W65" s="180">
        <f ca="1"/>
        <v>-7.03770399636192E-5</v>
      </c>
      <c r="X65" s="180">
        <f ca="1"/>
        <v>1.39495643467179E-5</v>
      </c>
      <c r="Y65" s="180">
        <f ca="1"/>
        <v>-4.46526931034696E-6</v>
      </c>
      <c r="Z65" s="180">
        <f ca="1"/>
        <v>9.0897227766895096E-7</v>
      </c>
      <c r="AA65" s="180" t="str">
        <f ca="1"/>
        <v/>
      </c>
      <c r="AB65" s="180" t="str">
        <f ca="1"/>
        <v/>
      </c>
      <c r="AC65" s="180" t="str">
        <f ca="1"/>
        <v/>
      </c>
      <c r="AD65" s="180" t="str">
        <f ca="1"/>
        <v/>
      </c>
      <c r="AE65" s="180" t="str">
        <f ca="1"/>
        <v/>
      </c>
      <c r="AF65" s="180" t="str">
        <f ca="1"/>
        <v/>
      </c>
      <c r="AG65" s="180" t="str">
        <f ca="1"/>
        <v/>
      </c>
      <c r="AH65" s="180" t="str">
        <f ca="1"/>
        <v/>
      </c>
      <c r="AI65" s="180" t="str">
        <f ca="1"/>
        <v/>
      </c>
      <c r="AJ65" s="180" t="str">
        <f ca="1"/>
        <v/>
      </c>
      <c r="AK65" s="180" t="str">
        <f ca="1"/>
        <v/>
      </c>
      <c r="AL65" s="180" t="str">
        <f ca="1"/>
        <v/>
      </c>
      <c r="AM65" s="180" t="str">
        <f ca="1"/>
        <v/>
      </c>
      <c r="AN65" s="180" t="str">
        <f ca="1"/>
        <v/>
      </c>
      <c r="AO65" s="180" t="str">
        <f ca="1"/>
        <v/>
      </c>
      <c r="AP65" s="180" t="str">
        <f ca="1"/>
        <v/>
      </c>
      <c r="AQ65" s="187" t="str">
        <f ca="1"/>
        <v/>
      </c>
    </row>
    <row r="66" spans="2:43" x14ac:dyDescent="0.25">
      <c r="B66" s="179">
        <f ca="1"/>
        <v>47560</v>
      </c>
      <c r="C66" s="180">
        <f ca="1"/>
        <v>2.3285540162731902E-13</v>
      </c>
      <c r="D66" s="180">
        <f ca="1"/>
        <v>-3.6988151673467099E-9</v>
      </c>
      <c r="E66" s="180">
        <f ca="1"/>
        <v>3.0375701953744299E-12</v>
      </c>
      <c r="F66" s="180">
        <f ca="1"/>
        <v>2.3198803988933001E-13</v>
      </c>
      <c r="G66" s="180">
        <f ca="1"/>
        <v>-4.02356412076976E-11</v>
      </c>
      <c r="H66" s="180">
        <f ca="1"/>
        <v>-3.6846664851208902E-9</v>
      </c>
      <c r="I66" s="180">
        <f ca="1"/>
        <v>-3.66864973122549E-9</v>
      </c>
      <c r="J66" s="180">
        <f ca="1"/>
        <v>-3.6565759135853701E-9</v>
      </c>
      <c r="K66" s="180">
        <f ca="1"/>
        <v>-3.64497475605075E-9</v>
      </c>
      <c r="L66" s="180">
        <f ca="1"/>
        <v>-3.6335873442039401E-9</v>
      </c>
      <c r="M66" s="180">
        <f ca="1"/>
        <v>-3.6000211527109601E-9</v>
      </c>
      <c r="N66" s="180">
        <f ca="1"/>
        <v>-7.8098345186739004E-9</v>
      </c>
      <c r="O66" s="180">
        <f ca="1"/>
        <v>1.8919388838217799E-7</v>
      </c>
      <c r="P66" s="180">
        <f ca="1"/>
        <v>-9.1560568518320205E-7</v>
      </c>
      <c r="Q66" s="180">
        <f ca="1"/>
        <v>2.2810921534270599E-6</v>
      </c>
      <c r="R66" s="180">
        <f ca="1"/>
        <v>-2.0126561732877698E-5</v>
      </c>
      <c r="S66" s="180">
        <f ca="1"/>
        <v>1.04849812056086E-4</v>
      </c>
      <c r="T66" s="180">
        <f ca="1"/>
        <v>-4.5604830057984999E-4</v>
      </c>
      <c r="U66" s="180">
        <f ca="1"/>
        <v>-5.0772121368041601E-5</v>
      </c>
      <c r="V66" s="180">
        <f ca="1"/>
        <v>5.9857211274680399E-4</v>
      </c>
      <c r="W66" s="180">
        <f ca="1"/>
        <v>-9.3473149229503894E-5</v>
      </c>
      <c r="X66" s="180">
        <f ca="1"/>
        <v>1.8527524242632799E-5</v>
      </c>
      <c r="Y66" s="180">
        <f ca="1"/>
        <v>-5.9306779582983501E-6</v>
      </c>
      <c r="Z66" s="180">
        <f ca="1"/>
        <v>1.20727522587641E-6</v>
      </c>
      <c r="AA66" s="180" t="str">
        <f ca="1"/>
        <v/>
      </c>
      <c r="AB66" s="180" t="str">
        <f ca="1"/>
        <v/>
      </c>
      <c r="AC66" s="180" t="str">
        <f ca="1"/>
        <v/>
      </c>
      <c r="AD66" s="180" t="str">
        <f ca="1"/>
        <v/>
      </c>
      <c r="AE66" s="180" t="str">
        <f ca="1"/>
        <v/>
      </c>
      <c r="AF66" s="180" t="str">
        <f ca="1"/>
        <v/>
      </c>
      <c r="AG66" s="180" t="str">
        <f ca="1"/>
        <v/>
      </c>
      <c r="AH66" s="180" t="str">
        <f ca="1"/>
        <v/>
      </c>
      <c r="AI66" s="180" t="str">
        <f ca="1"/>
        <v/>
      </c>
      <c r="AJ66" s="180" t="str">
        <f ca="1"/>
        <v/>
      </c>
      <c r="AK66" s="180" t="str">
        <f ca="1"/>
        <v/>
      </c>
      <c r="AL66" s="180" t="str">
        <f ca="1"/>
        <v/>
      </c>
      <c r="AM66" s="180" t="str">
        <f ca="1"/>
        <v/>
      </c>
      <c r="AN66" s="180" t="str">
        <f ca="1"/>
        <v/>
      </c>
      <c r="AO66" s="180" t="str">
        <f ca="1"/>
        <v/>
      </c>
      <c r="AP66" s="180" t="str">
        <f ca="1"/>
        <v/>
      </c>
      <c r="AQ66" s="187" t="str">
        <f ca="1"/>
        <v/>
      </c>
    </row>
    <row r="67" spans="2:43" x14ac:dyDescent="0.25">
      <c r="B67" s="179">
        <f ca="1"/>
        <v>47651</v>
      </c>
      <c r="C67" s="180">
        <f ca="1"/>
        <v>5.4999407805844699E-13</v>
      </c>
      <c r="D67" s="180">
        <f ca="1"/>
        <v>-1.2537345085716901E-9</v>
      </c>
      <c r="E67" s="180">
        <f ca="1"/>
        <v>9.51499642964926E-12</v>
      </c>
      <c r="F67" s="180">
        <f ca="1"/>
        <v>5.4999407805844699E-13</v>
      </c>
      <c r="G67" s="180">
        <f ca="1"/>
        <v>-1.31616453846739E-11</v>
      </c>
      <c r="H67" s="180">
        <f ca="1"/>
        <v>-1.2478791923398201E-9</v>
      </c>
      <c r="I67" s="180">
        <f ca="1"/>
        <v>-1.2346254470163601E-9</v>
      </c>
      <c r="J67" s="180">
        <f ca="1"/>
        <v>-1.2306451517563001E-9</v>
      </c>
      <c r="K67" s="180">
        <f ca="1"/>
        <v>-1.22680909181438E-9</v>
      </c>
      <c r="L67" s="180">
        <f ca="1"/>
        <v>-1.22294956800273E-9</v>
      </c>
      <c r="M67" s="180">
        <f ca="1"/>
        <v>-1.2116759783020699E-9</v>
      </c>
      <c r="N67" s="180">
        <f ca="1"/>
        <v>-2.63123522969977E-9</v>
      </c>
      <c r="O67" s="180">
        <f ca="1"/>
        <v>6.37425225623323E-8</v>
      </c>
      <c r="P67" s="180">
        <f ca="1"/>
        <v>-3.0848086780832501E-7</v>
      </c>
      <c r="Q67" s="180">
        <f ca="1"/>
        <v>7.6853487486830397E-7</v>
      </c>
      <c r="R67" s="180">
        <f ca="1"/>
        <v>-6.7809901441798198E-6</v>
      </c>
      <c r="S67" s="180">
        <f ca="1"/>
        <v>3.5324322502736101E-5</v>
      </c>
      <c r="T67" s="180">
        <f ca="1"/>
        <v>-1.5367204353718101E-4</v>
      </c>
      <c r="U67" s="180">
        <f ca="1"/>
        <v>-4.2325218273752199E-4</v>
      </c>
      <c r="V67" s="180">
        <f ca="1"/>
        <v>7.2702001205672898E-4</v>
      </c>
      <c r="W67" s="180">
        <f ca="1"/>
        <v>-9.4790054255399603E-5</v>
      </c>
      <c r="X67" s="180">
        <f ca="1"/>
        <v>1.8788490227104201E-5</v>
      </c>
      <c r="Y67" s="180">
        <f ca="1"/>
        <v>-6.0142186239890696E-6</v>
      </c>
      <c r="Z67" s="180">
        <f ca="1"/>
        <v>1.2242797384556801E-6</v>
      </c>
      <c r="AA67" s="180" t="str">
        <f ca="1"/>
        <v/>
      </c>
      <c r="AB67" s="180" t="str">
        <f ca="1"/>
        <v/>
      </c>
      <c r="AC67" s="180" t="str">
        <f ca="1"/>
        <v/>
      </c>
      <c r="AD67" s="180" t="str">
        <f ca="1"/>
        <v/>
      </c>
      <c r="AE67" s="180" t="str">
        <f ca="1"/>
        <v/>
      </c>
      <c r="AF67" s="180" t="str">
        <f ca="1"/>
        <v/>
      </c>
      <c r="AG67" s="180" t="str">
        <f ca="1"/>
        <v/>
      </c>
      <c r="AH67" s="180" t="str">
        <f ca="1"/>
        <v/>
      </c>
      <c r="AI67" s="180" t="str">
        <f ca="1"/>
        <v/>
      </c>
      <c r="AJ67" s="180" t="str">
        <f ca="1"/>
        <v/>
      </c>
      <c r="AK67" s="180" t="str">
        <f ca="1"/>
        <v/>
      </c>
      <c r="AL67" s="180" t="str">
        <f ca="1"/>
        <v/>
      </c>
      <c r="AM67" s="180" t="str">
        <f ca="1"/>
        <v/>
      </c>
      <c r="AN67" s="180" t="str">
        <f ca="1"/>
        <v/>
      </c>
      <c r="AO67" s="180" t="str">
        <f ca="1"/>
        <v/>
      </c>
      <c r="AP67" s="180" t="str">
        <f ca="1"/>
        <v/>
      </c>
      <c r="AQ67" s="187" t="str">
        <f ca="1"/>
        <v/>
      </c>
    </row>
    <row r="68" spans="2:43" x14ac:dyDescent="0.25">
      <c r="B68" s="179">
        <f ca="1"/>
        <v>47743</v>
      </c>
      <c r="C68" s="180">
        <f ca="1"/>
        <v>7.8793915836428101E-13</v>
      </c>
      <c r="D68" s="180">
        <f ca="1"/>
        <v>6.6898486750233102E-10</v>
      </c>
      <c r="E68" s="180">
        <f ca="1"/>
        <v>1.44324101281068E-11</v>
      </c>
      <c r="F68" s="180">
        <f ca="1"/>
        <v>7.8706138828543705E-13</v>
      </c>
      <c r="G68" s="180">
        <f ca="1"/>
        <v>8.1174615640389208E-12</v>
      </c>
      <c r="H68" s="180">
        <f ca="1"/>
        <v>6.6829618575181497E-10</v>
      </c>
      <c r="I68" s="180">
        <f ca="1"/>
        <v>6.7921756066735603E-10</v>
      </c>
      <c r="J68" s="180">
        <f ca="1"/>
        <v>6.7683617044345102E-10</v>
      </c>
      <c r="K68" s="180">
        <f ca="1"/>
        <v>6.7456897012707597E-10</v>
      </c>
      <c r="L68" s="180">
        <f ca="1"/>
        <v>6.7250820190434299E-10</v>
      </c>
      <c r="M68" s="180">
        <f ca="1"/>
        <v>6.6625123126828899E-10</v>
      </c>
      <c r="N68" s="180">
        <f ca="1"/>
        <v>1.4406963538826599E-9</v>
      </c>
      <c r="O68" s="180">
        <f ca="1"/>
        <v>-3.4899901871221501E-8</v>
      </c>
      <c r="P68" s="180">
        <f ca="1"/>
        <v>1.6890151782744701E-7</v>
      </c>
      <c r="Q68" s="180">
        <f ca="1"/>
        <v>-4.2078881565960101E-7</v>
      </c>
      <c r="R68" s="180">
        <f ca="1"/>
        <v>3.7126687790038599E-6</v>
      </c>
      <c r="S68" s="180">
        <f ca="1"/>
        <v>-1.93426932457857E-5</v>
      </c>
      <c r="T68" s="180">
        <f ca="1"/>
        <v>8.4103410409174003E-5</v>
      </c>
      <c r="U68" s="180">
        <f ca="1"/>
        <v>-7.00441899387165E-4</v>
      </c>
      <c r="V68" s="180">
        <f ca="1"/>
        <v>7.94023385539491E-4</v>
      </c>
      <c r="W68" s="180">
        <f ca="1"/>
        <v>-7.4340756779488898E-5</v>
      </c>
      <c r="X68" s="180">
        <f ca="1"/>
        <v>1.47350333438122E-5</v>
      </c>
      <c r="Y68" s="180">
        <f ca="1"/>
        <v>-4.7167147321954001E-6</v>
      </c>
      <c r="Z68" s="180">
        <f ca="1"/>
        <v>9.6015340293742501E-7</v>
      </c>
      <c r="AA68" s="180" t="str">
        <f ca="1"/>
        <v/>
      </c>
      <c r="AB68" s="180" t="str">
        <f ca="1"/>
        <v/>
      </c>
      <c r="AC68" s="180" t="str">
        <f ca="1"/>
        <v/>
      </c>
      <c r="AD68" s="180" t="str">
        <f ca="1"/>
        <v/>
      </c>
      <c r="AE68" s="180" t="str">
        <f ca="1"/>
        <v/>
      </c>
      <c r="AF68" s="180" t="str">
        <f ca="1"/>
        <v/>
      </c>
      <c r="AG68" s="180" t="str">
        <f ca="1"/>
        <v/>
      </c>
      <c r="AH68" s="180" t="str">
        <f ca="1"/>
        <v/>
      </c>
      <c r="AI68" s="180" t="str">
        <f ca="1"/>
        <v/>
      </c>
      <c r="AJ68" s="180" t="str">
        <f ca="1"/>
        <v/>
      </c>
      <c r="AK68" s="180" t="str">
        <f ca="1"/>
        <v/>
      </c>
      <c r="AL68" s="180" t="str">
        <f ca="1"/>
        <v/>
      </c>
      <c r="AM68" s="180" t="str">
        <f ca="1"/>
        <v/>
      </c>
      <c r="AN68" s="180" t="str">
        <f ca="1"/>
        <v/>
      </c>
      <c r="AO68" s="180" t="str">
        <f ca="1"/>
        <v/>
      </c>
      <c r="AP68" s="180" t="str">
        <f ca="1"/>
        <v/>
      </c>
      <c r="AQ68" s="187" t="str">
        <f ca="1"/>
        <v/>
      </c>
    </row>
    <row r="69" spans="2:43" x14ac:dyDescent="0.25">
      <c r="B69" s="179">
        <f ca="1"/>
        <v>47834</v>
      </c>
      <c r="C69" s="180">
        <f ca="1"/>
        <v>9.4146912488213295E-13</v>
      </c>
      <c r="D69" s="180">
        <f ca="1"/>
        <v>2.0415660273442898E-9</v>
      </c>
      <c r="E69" s="180">
        <f ca="1"/>
        <v>1.7719159473017498E-11</v>
      </c>
      <c r="F69" s="180">
        <f ca="1"/>
        <v>9.3969276804273209E-13</v>
      </c>
      <c r="G69" s="180">
        <f ca="1"/>
        <v>2.32907026997964E-11</v>
      </c>
      <c r="H69" s="180">
        <f ca="1"/>
        <v>2.0361783370503901E-9</v>
      </c>
      <c r="I69" s="180">
        <f ca="1"/>
        <v>2.0452315396823902E-9</v>
      </c>
      <c r="J69" s="180">
        <f ca="1"/>
        <v>2.0383108534360901E-9</v>
      </c>
      <c r="K69" s="180">
        <f ca="1"/>
        <v>2.0316885951388002E-9</v>
      </c>
      <c r="L69" s="180">
        <f ca="1"/>
        <v>2.0254029564625898E-9</v>
      </c>
      <c r="M69" s="180">
        <f ca="1"/>
        <v>2.0066348582758999E-9</v>
      </c>
      <c r="N69" s="180">
        <f ca="1"/>
        <v>4.3471368726954998E-9</v>
      </c>
      <c r="O69" s="180">
        <f ca="1"/>
        <v>-1.05308409104055E-7</v>
      </c>
      <c r="P69" s="180">
        <f ca="1"/>
        <v>5.0964519715535104E-7</v>
      </c>
      <c r="Q69" s="180">
        <f ca="1"/>
        <v>-1.26969835267943E-6</v>
      </c>
      <c r="R69" s="180">
        <f ca="1"/>
        <v>1.12028008691922E-5</v>
      </c>
      <c r="S69" s="180">
        <f ca="1"/>
        <v>-5.8362161878378101E-5</v>
      </c>
      <c r="T69" s="180">
        <f ca="1"/>
        <v>2.53830981163716E-4</v>
      </c>
      <c r="U69" s="180">
        <f ca="1"/>
        <v>-8.7853712905161497E-4</v>
      </c>
      <c r="V69" s="180">
        <f ca="1"/>
        <v>7.9897269497486401E-4</v>
      </c>
      <c r="W69" s="180">
        <f ca="1"/>
        <v>-3.2626309040217898E-5</v>
      </c>
      <c r="X69" s="180">
        <f ca="1"/>
        <v>6.4665552752529703E-6</v>
      </c>
      <c r="Y69" s="180">
        <f ca="1"/>
        <v>-2.06997877061355E-6</v>
      </c>
      <c r="Z69" s="180">
        <f ca="1"/>
        <v>4.2137246225593101E-7</v>
      </c>
      <c r="AA69" s="180" t="str">
        <f ca="1"/>
        <v/>
      </c>
      <c r="AB69" s="180" t="str">
        <f ca="1"/>
        <v/>
      </c>
      <c r="AC69" s="180" t="str">
        <f ca="1"/>
        <v/>
      </c>
      <c r="AD69" s="180" t="str">
        <f ca="1"/>
        <v/>
      </c>
      <c r="AE69" s="180" t="str">
        <f ca="1"/>
        <v/>
      </c>
      <c r="AF69" s="180" t="str">
        <f ca="1"/>
        <v/>
      </c>
      <c r="AG69" s="180" t="str">
        <f ca="1"/>
        <v/>
      </c>
      <c r="AH69" s="180" t="str">
        <f ca="1"/>
        <v/>
      </c>
      <c r="AI69" s="180" t="str">
        <f ca="1"/>
        <v/>
      </c>
      <c r="AJ69" s="180" t="str">
        <f ca="1"/>
        <v/>
      </c>
      <c r="AK69" s="180" t="str">
        <f ca="1"/>
        <v/>
      </c>
      <c r="AL69" s="180" t="str">
        <f ca="1"/>
        <v/>
      </c>
      <c r="AM69" s="180" t="str">
        <f ca="1"/>
        <v/>
      </c>
      <c r="AN69" s="180" t="str">
        <f ca="1"/>
        <v/>
      </c>
      <c r="AO69" s="180" t="str">
        <f ca="1"/>
        <v/>
      </c>
      <c r="AP69" s="180" t="str">
        <f ca="1"/>
        <v/>
      </c>
      <c r="AQ69" s="187" t="str">
        <f ca="1"/>
        <v/>
      </c>
    </row>
    <row r="70" spans="2:43" x14ac:dyDescent="0.25">
      <c r="B70" s="179">
        <f ca="1"/>
        <v>47924</v>
      </c>
      <c r="C70" s="180">
        <f ca="1"/>
        <v>1.01484098902205E-12</v>
      </c>
      <c r="D70" s="180">
        <f ca="1"/>
        <v>2.8902254513296598E-9</v>
      </c>
      <c r="E70" s="180">
        <f ca="1"/>
        <v>1.9443578691547E-11</v>
      </c>
      <c r="F70" s="180">
        <f ca="1"/>
        <v>1.01484098902205E-12</v>
      </c>
      <c r="G70" s="180">
        <f ca="1"/>
        <v>3.26512740456142E-11</v>
      </c>
      <c r="H70" s="180">
        <f ca="1"/>
        <v>2.8818964610544101E-9</v>
      </c>
      <c r="I70" s="180">
        <f ca="1"/>
        <v>2.88951471430487E-9</v>
      </c>
      <c r="J70" s="180">
        <f ca="1"/>
        <v>2.8797911867661802E-9</v>
      </c>
      <c r="K70" s="180">
        <f ca="1"/>
        <v>2.8704803742285502E-9</v>
      </c>
      <c r="L70" s="180">
        <f ca="1"/>
        <v>2.8615805384990501E-9</v>
      </c>
      <c r="M70" s="180">
        <f ca="1"/>
        <v>2.8350817353473001E-9</v>
      </c>
      <c r="N70" s="180">
        <f ca="1"/>
        <v>6.14361170617195E-9</v>
      </c>
      <c r="O70" s="180">
        <f ca="1"/>
        <v>-1.48828087246505E-7</v>
      </c>
      <c r="P70" s="180">
        <f ca="1"/>
        <v>7.2025971013453496E-7</v>
      </c>
      <c r="Q70" s="180">
        <f ca="1"/>
        <v>-1.7944115219790899E-6</v>
      </c>
      <c r="R70" s="180">
        <f ca="1"/>
        <v>1.5832481852506199E-5</v>
      </c>
      <c r="S70" s="180">
        <f ca="1"/>
        <v>-8.2479943280474395E-5</v>
      </c>
      <c r="T70" s="180">
        <f ca="1"/>
        <v>3.5874498796302501E-4</v>
      </c>
      <c r="U70" s="180">
        <f ca="1"/>
        <v>-9.6120285727677504E-4</v>
      </c>
      <c r="V70" s="180">
        <f ca="1"/>
        <v>7.4242482359181496E-4</v>
      </c>
      <c r="W70" s="180">
        <f ca="1"/>
        <v>3.09287313620989E-5</v>
      </c>
      <c r="X70" s="180">
        <f ca="1"/>
        <v>-6.1308459587336397E-6</v>
      </c>
      <c r="Y70" s="180">
        <f ca="1"/>
        <v>1.9624604185170002E-6</v>
      </c>
      <c r="Z70" s="180">
        <f ca="1"/>
        <v>-3.9948664810884898E-7</v>
      </c>
      <c r="AA70" s="180" t="str">
        <f ca="1"/>
        <v/>
      </c>
      <c r="AB70" s="180" t="str">
        <f ca="1"/>
        <v/>
      </c>
      <c r="AC70" s="180" t="str">
        <f ca="1"/>
        <v/>
      </c>
      <c r="AD70" s="180" t="str">
        <f ca="1"/>
        <v/>
      </c>
      <c r="AE70" s="180" t="str">
        <f ca="1"/>
        <v/>
      </c>
      <c r="AF70" s="180" t="str">
        <f ca="1"/>
        <v/>
      </c>
      <c r="AG70" s="180" t="str">
        <f ca="1"/>
        <v/>
      </c>
      <c r="AH70" s="180" t="str">
        <f ca="1"/>
        <v/>
      </c>
      <c r="AI70" s="180" t="str">
        <f ca="1"/>
        <v/>
      </c>
      <c r="AJ70" s="180" t="str">
        <f ca="1"/>
        <v/>
      </c>
      <c r="AK70" s="180" t="str">
        <f ca="1"/>
        <v/>
      </c>
      <c r="AL70" s="180" t="str">
        <f ca="1"/>
        <v/>
      </c>
      <c r="AM70" s="180" t="str">
        <f ca="1"/>
        <v/>
      </c>
      <c r="AN70" s="180" t="str">
        <f ca="1"/>
        <v/>
      </c>
      <c r="AO70" s="180" t="str">
        <f ca="1"/>
        <v/>
      </c>
      <c r="AP70" s="180" t="str">
        <f ca="1"/>
        <v/>
      </c>
      <c r="AQ70" s="187" t="str">
        <f ca="1"/>
        <v/>
      </c>
    </row>
    <row r="71" spans="2:43" x14ac:dyDescent="0.25">
      <c r="B71" s="179">
        <f ca="1"/>
        <v>48016</v>
      </c>
      <c r="C71" s="180">
        <f ca="1"/>
        <v>1.00615349385436E-12</v>
      </c>
      <c r="D71" s="180">
        <f ca="1"/>
        <v>3.2082154328982899E-9</v>
      </c>
      <c r="E71" s="180">
        <f ca="1"/>
        <v>1.9575646659220099E-11</v>
      </c>
      <c r="F71" s="180">
        <f ca="1"/>
        <v>1.00441530093143E-12</v>
      </c>
      <c r="G71" s="180">
        <f ca="1"/>
        <v>3.61206724253105E-11</v>
      </c>
      <c r="H71" s="180">
        <f ca="1"/>
        <v>3.1987204204830802E-9</v>
      </c>
      <c r="I71" s="180">
        <f ca="1"/>
        <v>3.2053351292638002E-9</v>
      </c>
      <c r="J71" s="180">
        <f ca="1"/>
        <v>3.19456895658821E-9</v>
      </c>
      <c r="K71" s="180">
        <f ca="1"/>
        <v>3.1842554669425599E-9</v>
      </c>
      <c r="L71" s="180">
        <f ca="1"/>
        <v>3.17437728186709E-9</v>
      </c>
      <c r="M71" s="180">
        <f ca="1"/>
        <v>3.1449877493927601E-9</v>
      </c>
      <c r="N71" s="180">
        <f ca="1"/>
        <v>6.8158053125044699E-9</v>
      </c>
      <c r="O71" s="180">
        <f ca="1"/>
        <v>-1.6511221433493399E-7</v>
      </c>
      <c r="P71" s="180">
        <f ca="1"/>
        <v>7.9906706121346496E-7</v>
      </c>
      <c r="Q71" s="180">
        <f ca="1"/>
        <v>-1.9907480655230501E-6</v>
      </c>
      <c r="R71" s="180">
        <f ca="1"/>
        <v>1.7564815899155E-5</v>
      </c>
      <c r="S71" s="180">
        <f ca="1"/>
        <v>-9.1504191184199599E-5</v>
      </c>
      <c r="T71" s="180">
        <f ca="1"/>
        <v>3.9800389295166499E-4</v>
      </c>
      <c r="U71" s="180">
        <f ca="1"/>
        <v>-9.4669518966257504E-4</v>
      </c>
      <c r="V71" s="180">
        <f ca="1"/>
        <v>6.2259616812836496E-4</v>
      </c>
      <c r="W71" s="180">
        <f ca="1"/>
        <v>1.17118113489096E-4</v>
      </c>
      <c r="X71" s="180">
        <f ca="1"/>
        <v>-2.3214243966247102E-5</v>
      </c>
      <c r="Y71" s="180">
        <f ca="1"/>
        <v>7.4309002264516499E-6</v>
      </c>
      <c r="Z71" s="180">
        <f ca="1"/>
        <v>-1.5126615855558201E-6</v>
      </c>
      <c r="AA71" s="180" t="str">
        <f ca="1"/>
        <v/>
      </c>
      <c r="AB71" s="180" t="str">
        <f ca="1"/>
        <v/>
      </c>
      <c r="AC71" s="180" t="str">
        <f ca="1"/>
        <v/>
      </c>
      <c r="AD71" s="180" t="str">
        <f ca="1"/>
        <v/>
      </c>
      <c r="AE71" s="180" t="str">
        <f ca="1"/>
        <v/>
      </c>
      <c r="AF71" s="180" t="str">
        <f ca="1"/>
        <v/>
      </c>
      <c r="AG71" s="180" t="str">
        <f ca="1"/>
        <v/>
      </c>
      <c r="AH71" s="180" t="str">
        <f ca="1"/>
        <v/>
      </c>
      <c r="AI71" s="180" t="str">
        <f ca="1"/>
        <v/>
      </c>
      <c r="AJ71" s="180" t="str">
        <f ca="1"/>
        <v/>
      </c>
      <c r="AK71" s="180" t="str">
        <f ca="1"/>
        <v/>
      </c>
      <c r="AL71" s="180" t="str">
        <f ca="1"/>
        <v/>
      </c>
      <c r="AM71" s="180" t="str">
        <f ca="1"/>
        <v/>
      </c>
      <c r="AN71" s="180" t="str">
        <f ca="1"/>
        <v/>
      </c>
      <c r="AO71" s="180" t="str">
        <f ca="1"/>
        <v/>
      </c>
      <c r="AP71" s="180" t="str">
        <f ca="1"/>
        <v/>
      </c>
      <c r="AQ71" s="187" t="str">
        <f ca="1"/>
        <v/>
      </c>
    </row>
    <row r="72" spans="2:43" x14ac:dyDescent="0.25">
      <c r="B72" s="179">
        <f ca="1"/>
        <v>48108</v>
      </c>
      <c r="C72" s="180">
        <f ca="1"/>
        <v>9.126761846278699E-13</v>
      </c>
      <c r="D72" s="180">
        <f ca="1"/>
        <v>2.9855010755253102E-9</v>
      </c>
      <c r="E72" s="180">
        <f ca="1"/>
        <v>1.8100684145983001E-11</v>
      </c>
      <c r="F72" s="180">
        <f ca="1"/>
        <v>9.126761846278699E-13</v>
      </c>
      <c r="G72" s="180">
        <f ca="1"/>
        <v>3.3590710074582501E-11</v>
      </c>
      <c r="H72" s="180">
        <f ca="1"/>
        <v>2.97665276802195E-9</v>
      </c>
      <c r="I72" s="180">
        <f ca="1"/>
        <v>2.9827182460029401E-9</v>
      </c>
      <c r="J72" s="180">
        <f ca="1"/>
        <v>2.9726998883317099E-9</v>
      </c>
      <c r="K72" s="180">
        <f ca="1"/>
        <v>2.9631040468491899E-9</v>
      </c>
      <c r="L72" s="180">
        <f ca="1"/>
        <v>2.9539105224352098E-9</v>
      </c>
      <c r="M72" s="180">
        <f ca="1"/>
        <v>2.92656272826708E-9</v>
      </c>
      <c r="N72" s="180">
        <f ca="1"/>
        <v>6.3424896099006897E-9</v>
      </c>
      <c r="O72" s="180">
        <f ca="1"/>
        <v>-1.53646437992677E-7</v>
      </c>
      <c r="P72" s="180">
        <f ca="1"/>
        <v>7.4357802376870397E-7</v>
      </c>
      <c r="Q72" s="180">
        <f ca="1"/>
        <v>-1.8525065332286601E-6</v>
      </c>
      <c r="R72" s="180">
        <f ca="1"/>
        <v>1.63450816538686E-5</v>
      </c>
      <c r="S72" s="180">
        <f ca="1"/>
        <v>-8.5149967627203699E-5</v>
      </c>
      <c r="T72" s="180">
        <f ca="1"/>
        <v>3.7036572571011803E-4</v>
      </c>
      <c r="U72" s="180">
        <f ca="1"/>
        <v>-8.3440897852533902E-4</v>
      </c>
      <c r="V72" s="180">
        <f ca="1"/>
        <v>4.4094418981703901E-4</v>
      </c>
      <c r="W72" s="180">
        <f ca="1"/>
        <v>2.24720479272821E-4</v>
      </c>
      <c r="X72" s="180">
        <f ca="1"/>
        <v>-4.4541229667211003E-5</v>
      </c>
      <c r="Y72" s="180">
        <f ca="1"/>
        <v>1.42577677084456E-5</v>
      </c>
      <c r="Z72" s="180">
        <f ca="1"/>
        <v>-2.9023599690640398E-6</v>
      </c>
      <c r="AA72" s="180" t="str">
        <f ca="1"/>
        <v/>
      </c>
      <c r="AB72" s="180" t="str">
        <f ca="1"/>
        <v/>
      </c>
      <c r="AC72" s="180" t="str">
        <f ca="1"/>
        <v/>
      </c>
      <c r="AD72" s="180" t="str">
        <f ca="1"/>
        <v/>
      </c>
      <c r="AE72" s="180" t="str">
        <f ca="1"/>
        <v/>
      </c>
      <c r="AF72" s="180" t="str">
        <f ca="1"/>
        <v/>
      </c>
      <c r="AG72" s="180" t="str">
        <f ca="1"/>
        <v/>
      </c>
      <c r="AH72" s="180" t="str">
        <f ca="1"/>
        <v/>
      </c>
      <c r="AI72" s="180" t="str">
        <f ca="1"/>
        <v/>
      </c>
      <c r="AJ72" s="180" t="str">
        <f ca="1"/>
        <v/>
      </c>
      <c r="AK72" s="180" t="str">
        <f ca="1"/>
        <v/>
      </c>
      <c r="AL72" s="180" t="str">
        <f ca="1"/>
        <v/>
      </c>
      <c r="AM72" s="180" t="str">
        <f ca="1"/>
        <v/>
      </c>
      <c r="AN72" s="180" t="str">
        <f ca="1"/>
        <v/>
      </c>
      <c r="AO72" s="180" t="str">
        <f ca="1"/>
        <v/>
      </c>
      <c r="AP72" s="180" t="str">
        <f ca="1"/>
        <v/>
      </c>
      <c r="AQ72" s="187" t="str">
        <f ca="1"/>
        <v/>
      </c>
    </row>
    <row r="73" spans="2:43" x14ac:dyDescent="0.25">
      <c r="B73" s="179">
        <f ca="1"/>
        <v>48199</v>
      </c>
      <c r="C73" s="180">
        <f ca="1"/>
        <v>7.58074159001865E-13</v>
      </c>
      <c r="D73" s="180">
        <f ca="1"/>
        <v>2.3315485792041498E-9</v>
      </c>
      <c r="E73" s="180">
        <f ca="1"/>
        <v>1.5378465861859399E-11</v>
      </c>
      <c r="F73" s="180">
        <f ca="1"/>
        <v>7.5631514939722402E-13</v>
      </c>
      <c r="G73" s="180">
        <f ca="1"/>
        <v>2.6278756948272501E-11</v>
      </c>
      <c r="H73" s="180">
        <f ca="1"/>
        <v>2.3247979340224E-9</v>
      </c>
      <c r="I73" s="180">
        <f ca="1"/>
        <v>2.3307035398878499E-9</v>
      </c>
      <c r="J73" s="180">
        <f ca="1"/>
        <v>2.3228627805960101E-9</v>
      </c>
      <c r="K73" s="180">
        <f ca="1"/>
        <v>2.3153540612552699E-9</v>
      </c>
      <c r="L73" s="180">
        <f ca="1"/>
        <v>2.3081756263254602E-9</v>
      </c>
      <c r="M73" s="180">
        <f ca="1"/>
        <v>2.2868010748910999E-9</v>
      </c>
      <c r="N73" s="180">
        <f ca="1"/>
        <v>4.9556323870880698E-9</v>
      </c>
      <c r="O73" s="180">
        <f ca="1"/>
        <v>-1.20050200991956E-7</v>
      </c>
      <c r="P73" s="180">
        <f ca="1"/>
        <v>5.8098806117457002E-7</v>
      </c>
      <c r="Q73" s="180">
        <f ca="1"/>
        <v>-1.4474400201504301E-6</v>
      </c>
      <c r="R73" s="180">
        <f ca="1"/>
        <v>1.2771085166975901E-5</v>
      </c>
      <c r="S73" s="180">
        <f ca="1"/>
        <v>-6.6531385997801299E-5</v>
      </c>
      <c r="T73" s="180">
        <f ca="1"/>
        <v>2.8937879712608001E-4</v>
      </c>
      <c r="U73" s="180">
        <f ca="1"/>
        <v>-6.4544016322203696E-4</v>
      </c>
      <c r="V73" s="180">
        <f ca="1"/>
        <v>2.13408718546474E-4</v>
      </c>
      <c r="W73" s="180">
        <f ca="1"/>
        <v>3.4628383363843201E-4</v>
      </c>
      <c r="X73" s="180">
        <f ca="1"/>
        <v>-6.7881223699633994E-5</v>
      </c>
      <c r="Y73" s="180">
        <f ca="1"/>
        <v>2.17290613177268E-5</v>
      </c>
      <c r="Z73" s="180">
        <f ca="1"/>
        <v>-4.4232364136281801E-6</v>
      </c>
      <c r="AA73" s="180" t="str">
        <f ca="1"/>
        <v/>
      </c>
      <c r="AB73" s="180" t="str">
        <f ca="1"/>
        <v/>
      </c>
      <c r="AC73" s="180" t="str">
        <f ca="1"/>
        <v/>
      </c>
      <c r="AD73" s="180" t="str">
        <f ca="1"/>
        <v/>
      </c>
      <c r="AE73" s="180" t="str">
        <f ca="1"/>
        <v/>
      </c>
      <c r="AF73" s="180" t="str">
        <f ca="1"/>
        <v/>
      </c>
      <c r="AG73" s="180" t="str">
        <f ca="1"/>
        <v/>
      </c>
      <c r="AH73" s="180" t="str">
        <f ca="1"/>
        <v/>
      </c>
      <c r="AI73" s="180" t="str">
        <f ca="1"/>
        <v/>
      </c>
      <c r="AJ73" s="180" t="str">
        <f ca="1"/>
        <v/>
      </c>
      <c r="AK73" s="180" t="str">
        <f ca="1"/>
        <v/>
      </c>
      <c r="AL73" s="180" t="str">
        <f ca="1"/>
        <v/>
      </c>
      <c r="AM73" s="180" t="str">
        <f ca="1"/>
        <v/>
      </c>
      <c r="AN73" s="180" t="str">
        <f ca="1"/>
        <v/>
      </c>
      <c r="AO73" s="180" t="str">
        <f ca="1"/>
        <v/>
      </c>
      <c r="AP73" s="180" t="str">
        <f ca="1"/>
        <v/>
      </c>
      <c r="AQ73" s="187" t="str">
        <f ca="1"/>
        <v/>
      </c>
    </row>
    <row r="74" spans="2:43" x14ac:dyDescent="0.25">
      <c r="B74" s="179">
        <f ca="1"/>
        <v>48290</v>
      </c>
      <c r="C74" s="180">
        <f ca="1"/>
        <v>6.0647320498929998E-13</v>
      </c>
      <c r="D74" s="180">
        <f ca="1"/>
        <v>1.64858127149614E-9</v>
      </c>
      <c r="E74" s="180">
        <f ca="1"/>
        <v>1.2724606091030199E-11</v>
      </c>
      <c r="F74" s="180">
        <f ca="1"/>
        <v>6.0647320498929998E-13</v>
      </c>
      <c r="G74" s="180">
        <f ca="1"/>
        <v>1.8654643801907501E-11</v>
      </c>
      <c r="H74" s="180">
        <f ca="1"/>
        <v>1.6440431654940499E-9</v>
      </c>
      <c r="I74" s="180">
        <f ca="1"/>
        <v>1.64995756293806E-9</v>
      </c>
      <c r="J74" s="180">
        <f ca="1"/>
        <v>1.6443881048489E-9</v>
      </c>
      <c r="K74" s="180">
        <f ca="1"/>
        <v>1.63905845493306E-9</v>
      </c>
      <c r="L74" s="180">
        <f ca="1"/>
        <v>1.6339816479027401E-9</v>
      </c>
      <c r="M74" s="180">
        <f ca="1"/>
        <v>1.61884505800458E-9</v>
      </c>
      <c r="N74" s="180">
        <f ca="1"/>
        <v>3.50759421507973E-9</v>
      </c>
      <c r="O74" s="180">
        <f ca="1"/>
        <v>-8.4971819143408998E-8</v>
      </c>
      <c r="P74" s="180">
        <f ca="1"/>
        <v>4.1122526340739397E-7</v>
      </c>
      <c r="Q74" s="180">
        <f ca="1"/>
        <v>-1.0245033838646201E-6</v>
      </c>
      <c r="R74" s="180">
        <f ca="1"/>
        <v>9.0394195424552092E-6</v>
      </c>
      <c r="S74" s="180">
        <f ca="1"/>
        <v>-4.70913379621435E-5</v>
      </c>
      <c r="T74" s="180">
        <f ca="1"/>
        <v>2.0482053086014201E-4</v>
      </c>
      <c r="U74" s="180">
        <f ca="1"/>
        <v>-4.5685971641175999E-4</v>
      </c>
      <c r="V74" s="180">
        <f ca="1"/>
        <v>-2.04608123921882E-6</v>
      </c>
      <c r="W74" s="180">
        <f ca="1"/>
        <v>4.54235602010338E-4</v>
      </c>
      <c r="X74" s="180">
        <f ca="1"/>
        <v>-8.4714698660351404E-5</v>
      </c>
      <c r="Y74" s="180">
        <f ca="1"/>
        <v>2.7117592877299499E-5</v>
      </c>
      <c r="Z74" s="180">
        <f ca="1"/>
        <v>-5.5201389250920898E-6</v>
      </c>
      <c r="AA74" s="180" t="str">
        <f ca="1"/>
        <v/>
      </c>
      <c r="AB74" s="180" t="str">
        <f ca="1"/>
        <v/>
      </c>
      <c r="AC74" s="180" t="str">
        <f ca="1"/>
        <v/>
      </c>
      <c r="AD74" s="180" t="str">
        <f ca="1"/>
        <v/>
      </c>
      <c r="AE74" s="180" t="str">
        <f ca="1"/>
        <v/>
      </c>
      <c r="AF74" s="180" t="str">
        <f ca="1"/>
        <v/>
      </c>
      <c r="AG74" s="180" t="str">
        <f ca="1"/>
        <v/>
      </c>
      <c r="AH74" s="180" t="str">
        <f ca="1"/>
        <v/>
      </c>
      <c r="AI74" s="180" t="str">
        <f ca="1"/>
        <v/>
      </c>
      <c r="AJ74" s="180" t="str">
        <f ca="1"/>
        <v/>
      </c>
      <c r="AK74" s="180" t="str">
        <f ca="1"/>
        <v/>
      </c>
      <c r="AL74" s="180" t="str">
        <f ca="1"/>
        <v/>
      </c>
      <c r="AM74" s="180" t="str">
        <f ca="1"/>
        <v/>
      </c>
      <c r="AN74" s="180" t="str">
        <f ca="1"/>
        <v/>
      </c>
      <c r="AO74" s="180" t="str">
        <f ca="1"/>
        <v/>
      </c>
      <c r="AP74" s="180" t="str">
        <f ca="1"/>
        <v/>
      </c>
      <c r="AQ74" s="187" t="str">
        <f ca="1"/>
        <v/>
      </c>
    </row>
    <row r="75" spans="2:43" x14ac:dyDescent="0.25">
      <c r="B75" s="179">
        <f ca="1"/>
        <v>48382</v>
      </c>
      <c r="C75" s="180">
        <f ca="1"/>
        <v>4.8048717782300798E-13</v>
      </c>
      <c r="D75" s="180">
        <f ca="1"/>
        <v>1.03875516868634E-9</v>
      </c>
      <c r="E75" s="180">
        <f ca="1"/>
        <v>1.04777055087713E-11</v>
      </c>
      <c r="F75" s="180">
        <f ca="1"/>
        <v>4.8048717782300798E-13</v>
      </c>
      <c r="G75" s="180">
        <f ca="1"/>
        <v>1.1853996950694799E-11</v>
      </c>
      <c r="H75" s="180">
        <f ca="1"/>
        <v>1.0362085113568801E-9</v>
      </c>
      <c r="I75" s="180">
        <f ca="1"/>
        <v>1.0422419455258201E-9</v>
      </c>
      <c r="J75" s="180">
        <f ca="1"/>
        <v>1.03869956386005E-9</v>
      </c>
      <c r="K75" s="180">
        <f ca="1"/>
        <v>1.0353118362616E-9</v>
      </c>
      <c r="L75" s="180">
        <f ca="1"/>
        <v>1.0321126592272E-9</v>
      </c>
      <c r="M75" s="180">
        <f ca="1"/>
        <v>1.0225446600564699E-9</v>
      </c>
      <c r="N75" s="180">
        <f ca="1"/>
        <v>2.2148561248935798E-9</v>
      </c>
      <c r="O75" s="180">
        <f ca="1"/>
        <v>-5.3655517417983101E-8</v>
      </c>
      <c r="P75" s="180">
        <f ca="1"/>
        <v>2.5966921482836699E-7</v>
      </c>
      <c r="Q75" s="180">
        <f ca="1"/>
        <v>-6.4692581639227996E-7</v>
      </c>
      <c r="R75" s="180">
        <f ca="1"/>
        <v>5.7079703989493196E-6</v>
      </c>
      <c r="S75" s="180">
        <f ca="1"/>
        <v>-2.9736119220011299E-5</v>
      </c>
      <c r="T75" s="180">
        <f ca="1"/>
        <v>1.29332422429893E-4</v>
      </c>
      <c r="U75" s="180">
        <f ca="1"/>
        <v>-2.8849691419894502E-4</v>
      </c>
      <c r="V75" s="180">
        <f ca="1"/>
        <v>-1.90060700825438E-4</v>
      </c>
      <c r="W75" s="180">
        <f ca="1"/>
        <v>5.4106020182448399E-4</v>
      </c>
      <c r="X75" s="180">
        <f ca="1"/>
        <v>-9.2732824640912704E-5</v>
      </c>
      <c r="Y75" s="180">
        <f ca="1"/>
        <v>2.96842335564228E-5</v>
      </c>
      <c r="Z75" s="180">
        <f ca="1"/>
        <v>-6.0426118117864999E-6</v>
      </c>
      <c r="AA75" s="180" t="str">
        <f ca="1"/>
        <v/>
      </c>
      <c r="AB75" s="180" t="str">
        <f ca="1"/>
        <v/>
      </c>
      <c r="AC75" s="180" t="str">
        <f ca="1"/>
        <v/>
      </c>
      <c r="AD75" s="180" t="str">
        <f ca="1"/>
        <v/>
      </c>
      <c r="AE75" s="180" t="str">
        <f ca="1"/>
        <v/>
      </c>
      <c r="AF75" s="180" t="str">
        <f ca="1"/>
        <v/>
      </c>
      <c r="AG75" s="180" t="str">
        <f ca="1"/>
        <v/>
      </c>
      <c r="AH75" s="180" t="str">
        <f ca="1"/>
        <v/>
      </c>
      <c r="AI75" s="180" t="str">
        <f ca="1"/>
        <v/>
      </c>
      <c r="AJ75" s="180" t="str">
        <f ca="1"/>
        <v/>
      </c>
      <c r="AK75" s="180" t="str">
        <f ca="1"/>
        <v/>
      </c>
      <c r="AL75" s="180" t="str">
        <f ca="1"/>
        <v/>
      </c>
      <c r="AM75" s="180" t="str">
        <f ca="1"/>
        <v/>
      </c>
      <c r="AN75" s="180" t="str">
        <f ca="1"/>
        <v/>
      </c>
      <c r="AO75" s="180" t="str">
        <f ca="1"/>
        <v/>
      </c>
      <c r="AP75" s="180" t="str">
        <f ca="1"/>
        <v/>
      </c>
      <c r="AQ75" s="187" t="str">
        <f ca="1"/>
        <v/>
      </c>
    </row>
    <row r="76" spans="2:43" x14ac:dyDescent="0.25">
      <c r="B76" s="179">
        <f ca="1"/>
        <v>48474</v>
      </c>
      <c r="C76" s="180">
        <f ca="1"/>
        <v>3.8035546934267498E-13</v>
      </c>
      <c r="D76" s="180">
        <f ca="1"/>
        <v>5.0880003335529403E-10</v>
      </c>
      <c r="E76" s="180">
        <f ca="1"/>
        <v>8.6638370089264798E-12</v>
      </c>
      <c r="F76" s="180">
        <f ca="1"/>
        <v>3.7947422981687901E-13</v>
      </c>
      <c r="G76" s="180">
        <f ca="1"/>
        <v>5.9530401441687498E-12</v>
      </c>
      <c r="H76" s="180">
        <f ca="1"/>
        <v>5.0800155054764297E-10</v>
      </c>
      <c r="I76" s="180">
        <f ca="1"/>
        <v>5.1426291697298499E-10</v>
      </c>
      <c r="J76" s="180">
        <f ca="1"/>
        <v>5.1247972879253604E-10</v>
      </c>
      <c r="K76" s="180">
        <f ca="1"/>
        <v>5.1078086552025503E-10</v>
      </c>
      <c r="L76" s="180">
        <f ca="1"/>
        <v>5.0921376837376197E-10</v>
      </c>
      <c r="M76" s="180">
        <f ca="1"/>
        <v>5.0448173069539404E-10</v>
      </c>
      <c r="N76" s="180">
        <f ca="1"/>
        <v>1.0916902520863301E-9</v>
      </c>
      <c r="O76" s="180">
        <f ca="1"/>
        <v>-2.64470116154158E-8</v>
      </c>
      <c r="P76" s="180">
        <f ca="1"/>
        <v>1.2799301838187201E-7</v>
      </c>
      <c r="Q76" s="180">
        <f ca="1"/>
        <v>-3.1887559845400497E-7</v>
      </c>
      <c r="R76" s="180">
        <f ca="1"/>
        <v>2.8135144139740399E-6</v>
      </c>
      <c r="S76" s="180">
        <f ca="1"/>
        <v>-1.4657345626455801E-5</v>
      </c>
      <c r="T76" s="180">
        <f ca="1"/>
        <v>6.3747387958224002E-5</v>
      </c>
      <c r="U76" s="180">
        <f ca="1"/>
        <v>-1.4221255889561001E-4</v>
      </c>
      <c r="V76" s="180">
        <f ca="1"/>
        <v>-3.48563563560632E-4</v>
      </c>
      <c r="W76" s="180">
        <f ca="1"/>
        <v>6.05797085083154E-4</v>
      </c>
      <c r="X76" s="180">
        <f ca="1"/>
        <v>-9.1847004904468301E-5</v>
      </c>
      <c r="Y76" s="180">
        <f ca="1"/>
        <v>2.94005980756608E-5</v>
      </c>
      <c r="Z76" s="180">
        <f ca="1"/>
        <v>-5.9848783722296602E-6</v>
      </c>
      <c r="AA76" s="180" t="str">
        <f ca="1"/>
        <v/>
      </c>
      <c r="AB76" s="180" t="str">
        <f ca="1"/>
        <v/>
      </c>
      <c r="AC76" s="180" t="str">
        <f ca="1"/>
        <v/>
      </c>
      <c r="AD76" s="180" t="str">
        <f ca="1"/>
        <v/>
      </c>
      <c r="AE76" s="180" t="str">
        <f ca="1"/>
        <v/>
      </c>
      <c r="AF76" s="180" t="str">
        <f ca="1"/>
        <v/>
      </c>
      <c r="AG76" s="180" t="str">
        <f ca="1"/>
        <v/>
      </c>
      <c r="AH76" s="180" t="str">
        <f ca="1"/>
        <v/>
      </c>
      <c r="AI76" s="180" t="str">
        <f ca="1"/>
        <v/>
      </c>
      <c r="AJ76" s="180" t="str">
        <f ca="1"/>
        <v/>
      </c>
      <c r="AK76" s="180" t="str">
        <f ca="1"/>
        <v/>
      </c>
      <c r="AL76" s="180" t="str">
        <f ca="1"/>
        <v/>
      </c>
      <c r="AM76" s="180" t="str">
        <f ca="1"/>
        <v/>
      </c>
      <c r="AN76" s="180" t="str">
        <f ca="1"/>
        <v/>
      </c>
      <c r="AO76" s="180" t="str">
        <f ca="1"/>
        <v/>
      </c>
      <c r="AP76" s="180" t="str">
        <f ca="1"/>
        <v/>
      </c>
      <c r="AQ76" s="187" t="str">
        <f ca="1"/>
        <v/>
      </c>
    </row>
    <row r="77" spans="2:43" x14ac:dyDescent="0.25">
      <c r="B77" s="179">
        <f ca="1"/>
        <v>48565</v>
      </c>
      <c r="C77" s="180">
        <f ca="1"/>
        <v>3.0286884111774301E-13</v>
      </c>
      <c r="D77" s="180">
        <f ca="1"/>
        <v>5.9884541769861205E-11</v>
      </c>
      <c r="E77" s="180">
        <f ca="1"/>
        <v>7.2795103278622296E-12</v>
      </c>
      <c r="F77" s="180">
        <f ca="1"/>
        <v>3.0286884111774301E-13</v>
      </c>
      <c r="G77" s="180">
        <f ca="1"/>
        <v>9.64561763794336E-13</v>
      </c>
      <c r="H77" s="180">
        <f ca="1"/>
        <v>6.0587090899844004E-11</v>
      </c>
      <c r="I77" s="180">
        <f ca="1"/>
        <v>6.7184480201376599E-11</v>
      </c>
      <c r="J77" s="180">
        <f ca="1"/>
        <v>6.6890493144455806E-11</v>
      </c>
      <c r="K77" s="180">
        <f ca="1"/>
        <v>6.6618710548027606E-11</v>
      </c>
      <c r="L77" s="180">
        <f ca="1"/>
        <v>6.6433081258310306E-11</v>
      </c>
      <c r="M77" s="180">
        <f ca="1"/>
        <v>6.5796257331385303E-11</v>
      </c>
      <c r="N77" s="180">
        <f ca="1"/>
        <v>1.4056755759384001E-10</v>
      </c>
      <c r="O77" s="180">
        <f ca="1"/>
        <v>-3.4062184184335799E-9</v>
      </c>
      <c r="P77" s="180">
        <f ca="1"/>
        <v>1.6486620957323299E-8</v>
      </c>
      <c r="Q77" s="180">
        <f ca="1"/>
        <v>-4.1075124634915001E-8</v>
      </c>
      <c r="R77" s="180">
        <f ca="1"/>
        <v>3.62424344757528E-7</v>
      </c>
      <c r="S77" s="180">
        <f ca="1"/>
        <v>-1.8882467216485599E-6</v>
      </c>
      <c r="T77" s="180">
        <f ca="1"/>
        <v>8.2093653483994393E-6</v>
      </c>
      <c r="U77" s="180">
        <f ca="1"/>
        <v>-1.8331175686725501E-5</v>
      </c>
      <c r="V77" s="180">
        <f ca="1"/>
        <v>-4.7736815320398302E-4</v>
      </c>
      <c r="W77" s="180">
        <f ca="1"/>
        <v>6.4862966145806699E-4</v>
      </c>
      <c r="X77" s="180">
        <f ca="1"/>
        <v>-8.2277020202248306E-5</v>
      </c>
      <c r="Y77" s="180">
        <f ca="1"/>
        <v>2.6337050750946399E-5</v>
      </c>
      <c r="Z77" s="180">
        <f ca="1"/>
        <v>-5.3612615111831002E-6</v>
      </c>
      <c r="AA77" s="180" t="str">
        <f ca="1"/>
        <v/>
      </c>
      <c r="AB77" s="180" t="str">
        <f ca="1"/>
        <v/>
      </c>
      <c r="AC77" s="180" t="str">
        <f ca="1"/>
        <v/>
      </c>
      <c r="AD77" s="180" t="str">
        <f ca="1"/>
        <v/>
      </c>
      <c r="AE77" s="180" t="str">
        <f ca="1"/>
        <v/>
      </c>
      <c r="AF77" s="180" t="str">
        <f ca="1"/>
        <v/>
      </c>
      <c r="AG77" s="180" t="str">
        <f ca="1"/>
        <v/>
      </c>
      <c r="AH77" s="180" t="str">
        <f ca="1"/>
        <v/>
      </c>
      <c r="AI77" s="180" t="str">
        <f ca="1"/>
        <v/>
      </c>
      <c r="AJ77" s="180" t="str">
        <f ca="1"/>
        <v/>
      </c>
      <c r="AK77" s="180" t="str">
        <f ca="1"/>
        <v/>
      </c>
      <c r="AL77" s="180" t="str">
        <f ca="1"/>
        <v/>
      </c>
      <c r="AM77" s="180" t="str">
        <f ca="1"/>
        <v/>
      </c>
      <c r="AN77" s="180" t="str">
        <f ca="1"/>
        <v/>
      </c>
      <c r="AO77" s="180" t="str">
        <f ca="1"/>
        <v/>
      </c>
      <c r="AP77" s="180" t="str">
        <f ca="1"/>
        <v/>
      </c>
      <c r="AQ77" s="187" t="str">
        <f ca="1"/>
        <v/>
      </c>
    </row>
    <row r="78" spans="2:43" x14ac:dyDescent="0.25">
      <c r="B78" s="179">
        <f ca="1"/>
        <v>48655</v>
      </c>
      <c r="C78" s="180">
        <f ca="1"/>
        <v>2.5197205433258298E-13</v>
      </c>
      <c r="D78" s="180">
        <f ca="1"/>
        <v>-3.1590643295720302E-10</v>
      </c>
      <c r="E78" s="180">
        <f ca="1"/>
        <v>6.3079957923761802E-12</v>
      </c>
      <c r="F78" s="180">
        <f ca="1"/>
        <v>2.5197205433258298E-13</v>
      </c>
      <c r="G78" s="180">
        <f ca="1"/>
        <v>-3.20004786558137E-12</v>
      </c>
      <c r="H78" s="180">
        <f ca="1"/>
        <v>-3.13927144696136E-10</v>
      </c>
      <c r="I78" s="180">
        <f ca="1"/>
        <v>-3.0688060773109699E-10</v>
      </c>
      <c r="J78" s="180">
        <f ca="1"/>
        <v>-3.0593093336417401E-10</v>
      </c>
      <c r="K78" s="180">
        <f ca="1"/>
        <v>-3.0500993050686098E-10</v>
      </c>
      <c r="L78" s="180">
        <f ca="1"/>
        <v>-3.04037666570833E-10</v>
      </c>
      <c r="M78" s="180">
        <f ca="1"/>
        <v>-3.0124772468220798E-10</v>
      </c>
      <c r="N78" s="180">
        <f ca="1"/>
        <v>-6.5528973566819596E-10</v>
      </c>
      <c r="O78" s="180">
        <f ca="1"/>
        <v>1.5873417361783601E-8</v>
      </c>
      <c r="P78" s="180">
        <f ca="1"/>
        <v>-7.6817494105291302E-8</v>
      </c>
      <c r="Q78" s="180">
        <f ca="1"/>
        <v>1.9137736873356401E-7</v>
      </c>
      <c r="R78" s="180">
        <f ca="1"/>
        <v>-1.68854989469197E-6</v>
      </c>
      <c r="S78" s="180">
        <f ca="1"/>
        <v>8.7964646792691708E-6</v>
      </c>
      <c r="T78" s="180">
        <f ca="1"/>
        <v>-3.8262032893338099E-5</v>
      </c>
      <c r="U78" s="180">
        <f ca="1"/>
        <v>8.5331001363136302E-5</v>
      </c>
      <c r="V78" s="180">
        <f ca="1"/>
        <v>-5.7886832740260499E-4</v>
      </c>
      <c r="W78" s="180">
        <f ca="1"/>
        <v>6.7050405971522803E-4</v>
      </c>
      <c r="X78" s="180">
        <f ca="1"/>
        <v>-6.3924489374912006E-5</v>
      </c>
      <c r="Y78" s="180">
        <f ca="1"/>
        <v>2.0462133211308901E-5</v>
      </c>
      <c r="Z78" s="180">
        <f ca="1"/>
        <v>-4.1653554353551797E-6</v>
      </c>
      <c r="AA78" s="180" t="str">
        <f ca="1"/>
        <v/>
      </c>
      <c r="AB78" s="180" t="str">
        <f ca="1"/>
        <v/>
      </c>
      <c r="AC78" s="180" t="str">
        <f ca="1"/>
        <v/>
      </c>
      <c r="AD78" s="180" t="str">
        <f ca="1"/>
        <v/>
      </c>
      <c r="AE78" s="180" t="str">
        <f ca="1"/>
        <v/>
      </c>
      <c r="AF78" s="180" t="str">
        <f ca="1"/>
        <v/>
      </c>
      <c r="AG78" s="180" t="str">
        <f ca="1"/>
        <v/>
      </c>
      <c r="AH78" s="180" t="str">
        <f ca="1"/>
        <v/>
      </c>
      <c r="AI78" s="180" t="str">
        <f ca="1"/>
        <v/>
      </c>
      <c r="AJ78" s="180" t="str">
        <f ca="1"/>
        <v/>
      </c>
      <c r="AK78" s="180" t="str">
        <f ca="1"/>
        <v/>
      </c>
      <c r="AL78" s="180" t="str">
        <f ca="1"/>
        <v/>
      </c>
      <c r="AM78" s="180" t="str">
        <f ca="1"/>
        <v/>
      </c>
      <c r="AN78" s="180" t="str">
        <f ca="1"/>
        <v/>
      </c>
      <c r="AO78" s="180" t="str">
        <f ca="1"/>
        <v/>
      </c>
      <c r="AP78" s="180" t="str">
        <f ca="1"/>
        <v/>
      </c>
      <c r="AQ78" s="187" t="str">
        <f ca="1"/>
        <v/>
      </c>
    </row>
    <row r="79" spans="2:43" x14ac:dyDescent="0.25">
      <c r="B79" s="179">
        <f ca="1"/>
        <v>48747</v>
      </c>
      <c r="C79" s="180">
        <f ca="1"/>
        <v>2.2195092985732899E-13</v>
      </c>
      <c r="D79" s="180">
        <f ca="1"/>
        <v>-6.2190848304499703E-10</v>
      </c>
      <c r="E79" s="180">
        <f ca="1"/>
        <v>5.73838893069833E-12</v>
      </c>
      <c r="F79" s="180">
        <f ca="1"/>
        <v>2.2195092985732899E-13</v>
      </c>
      <c r="G79" s="180">
        <f ca="1"/>
        <v>-6.5768675228117198E-12</v>
      </c>
      <c r="H79" s="180">
        <f ca="1"/>
        <v>-6.1885985919163399E-10</v>
      </c>
      <c r="I79" s="180">
        <f ca="1"/>
        <v>-6.1124041939031305E-10</v>
      </c>
      <c r="J79" s="180">
        <f ca="1"/>
        <v>-6.0928198597487396E-10</v>
      </c>
      <c r="K79" s="180">
        <f ca="1"/>
        <v>-6.0739158494471604E-10</v>
      </c>
      <c r="L79" s="180">
        <f ca="1"/>
        <v>-6.0547822311463103E-10</v>
      </c>
      <c r="M79" s="180">
        <f ca="1"/>
        <v>-5.9990140632848496E-10</v>
      </c>
      <c r="N79" s="180">
        <f ca="1"/>
        <v>-1.3029237272421701E-9</v>
      </c>
      <c r="O79" s="180">
        <f ca="1"/>
        <v>3.1562353581399099E-8</v>
      </c>
      <c r="P79" s="180">
        <f ca="1"/>
        <v>-1.5274427935321699E-7</v>
      </c>
      <c r="Q79" s="180">
        <f ca="1"/>
        <v>3.8053709970273199E-7</v>
      </c>
      <c r="R79" s="180">
        <f ca="1"/>
        <v>-3.3575426294542299E-6</v>
      </c>
      <c r="S79" s="180">
        <f ca="1"/>
        <v>1.7491242326868301E-5</v>
      </c>
      <c r="T79" s="180">
        <f ca="1"/>
        <v>-7.6077977236264902E-5</v>
      </c>
      <c r="U79" s="180">
        <f ca="1"/>
        <v>1.6968905070867101E-4</v>
      </c>
      <c r="V79" s="180">
        <f ca="1"/>
        <v>-6.5358266808348403E-4</v>
      </c>
      <c r="W79" s="180">
        <f ca="1"/>
        <v>6.7084248092626501E-4</v>
      </c>
      <c r="X79" s="180">
        <f ca="1"/>
        <v>-3.61294624286225E-5</v>
      </c>
      <c r="Y79" s="180">
        <f ca="1"/>
        <v>1.1564624128962399E-5</v>
      </c>
      <c r="Z79" s="180">
        <f ca="1"/>
        <v>-2.3541613815812601E-6</v>
      </c>
      <c r="AA79" s="180" t="str">
        <f ca="1"/>
        <v/>
      </c>
      <c r="AB79" s="180" t="str">
        <f ca="1"/>
        <v/>
      </c>
      <c r="AC79" s="180" t="str">
        <f ca="1"/>
        <v/>
      </c>
      <c r="AD79" s="180" t="str">
        <f ca="1"/>
        <v/>
      </c>
      <c r="AE79" s="180" t="str">
        <f ca="1"/>
        <v/>
      </c>
      <c r="AF79" s="180" t="str">
        <f ca="1"/>
        <v/>
      </c>
      <c r="AG79" s="180" t="str">
        <f ca="1"/>
        <v/>
      </c>
      <c r="AH79" s="180" t="str">
        <f ca="1"/>
        <v/>
      </c>
      <c r="AI79" s="180" t="str">
        <f ca="1"/>
        <v/>
      </c>
      <c r="AJ79" s="180" t="str">
        <f ca="1"/>
        <v/>
      </c>
      <c r="AK79" s="180" t="str">
        <f ca="1"/>
        <v/>
      </c>
      <c r="AL79" s="180" t="str">
        <f ca="1"/>
        <v/>
      </c>
      <c r="AM79" s="180" t="str">
        <f ca="1"/>
        <v/>
      </c>
      <c r="AN79" s="180" t="str">
        <f ca="1"/>
        <v/>
      </c>
      <c r="AO79" s="180" t="str">
        <f ca="1"/>
        <v/>
      </c>
      <c r="AP79" s="180" t="str">
        <f ca="1"/>
        <v/>
      </c>
      <c r="AQ79" s="187" t="str">
        <f ca="1"/>
        <v/>
      </c>
    </row>
    <row r="80" spans="2:43" x14ac:dyDescent="0.25">
      <c r="B80" s="179">
        <f ca="1"/>
        <v>48841</v>
      </c>
      <c r="C80" s="180">
        <f ca="1"/>
        <v>2.18724344192012E-13</v>
      </c>
      <c r="D80" s="180">
        <f ca="1"/>
        <v>-8.48085560112288E-10</v>
      </c>
      <c r="E80" s="180">
        <f ca="1"/>
        <v>5.6007941340308097E-12</v>
      </c>
      <c r="F80" s="180">
        <f ca="1"/>
        <v>2.1784657411316701E-13</v>
      </c>
      <c r="G80" s="180">
        <f ca="1"/>
        <v>-9.0556138976349794E-12</v>
      </c>
      <c r="H80" s="180">
        <f ca="1"/>
        <v>-8.44211735240297E-10</v>
      </c>
      <c r="I80" s="180">
        <f ca="1"/>
        <v>-8.3591156219142704E-10</v>
      </c>
      <c r="J80" s="180">
        <f ca="1"/>
        <v>-8.3321042426698397E-10</v>
      </c>
      <c r="K80" s="180">
        <f ca="1"/>
        <v>-8.3060679167967798E-10</v>
      </c>
      <c r="L80" s="180">
        <f ca="1"/>
        <v>-8.2799613346229397E-10</v>
      </c>
      <c r="M80" s="180">
        <f ca="1"/>
        <v>-8.2036355833481303E-10</v>
      </c>
      <c r="N80" s="180">
        <f ca="1"/>
        <v>-1.7810886827895899E-9</v>
      </c>
      <c r="O80" s="180">
        <f ca="1"/>
        <v>4.3146010719058403E-8</v>
      </c>
      <c r="P80" s="180">
        <f ca="1"/>
        <v>-2.08803405336855E-7</v>
      </c>
      <c r="Q80" s="180">
        <f ca="1"/>
        <v>5.2019979444872799E-7</v>
      </c>
      <c r="R80" s="180">
        <f ca="1"/>
        <v>-4.5898130140512002E-6</v>
      </c>
      <c r="S80" s="180">
        <f ca="1"/>
        <v>2.39108881011432E-5</v>
      </c>
      <c r="T80" s="180">
        <f ca="1"/>
        <v>-1.03998463197683E-4</v>
      </c>
      <c r="U80" s="180">
        <f ca="1"/>
        <v>2.3197448743532401E-4</v>
      </c>
      <c r="V80" s="180">
        <f ca="1"/>
        <v>-6.9872842265524004E-4</v>
      </c>
      <c r="W80" s="180">
        <f ca="1"/>
        <v>6.4900817172519295E-4</v>
      </c>
      <c r="X80" s="180">
        <f ca="1"/>
        <v>5.4235074804787096E-7</v>
      </c>
      <c r="Y80" s="180">
        <f ca="1"/>
        <v>-1.7430073736071599E-7</v>
      </c>
      <c r="Z80" s="180">
        <f ca="1"/>
        <v>3.5445244978699099E-8</v>
      </c>
      <c r="AA80" s="180" t="str">
        <f ca="1"/>
        <v/>
      </c>
      <c r="AB80" s="180" t="str">
        <f ca="1"/>
        <v/>
      </c>
      <c r="AC80" s="180" t="str">
        <f ca="1"/>
        <v/>
      </c>
      <c r="AD80" s="180" t="str">
        <f ca="1"/>
        <v/>
      </c>
      <c r="AE80" s="180" t="str">
        <f ca="1"/>
        <v/>
      </c>
      <c r="AF80" s="180" t="str">
        <f ca="1"/>
        <v/>
      </c>
      <c r="AG80" s="180" t="str">
        <f ca="1"/>
        <v/>
      </c>
      <c r="AH80" s="180" t="str">
        <f ca="1"/>
        <v/>
      </c>
      <c r="AI80" s="180" t="str">
        <f ca="1"/>
        <v/>
      </c>
      <c r="AJ80" s="180" t="str">
        <f ca="1"/>
        <v/>
      </c>
      <c r="AK80" s="180" t="str">
        <f ca="1"/>
        <v/>
      </c>
      <c r="AL80" s="180" t="str">
        <f ca="1"/>
        <v/>
      </c>
      <c r="AM80" s="180" t="str">
        <f ca="1"/>
        <v/>
      </c>
      <c r="AN80" s="180" t="str">
        <f ca="1"/>
        <v/>
      </c>
      <c r="AO80" s="180" t="str">
        <f ca="1"/>
        <v/>
      </c>
      <c r="AP80" s="180" t="str">
        <f ca="1"/>
        <v/>
      </c>
      <c r="AQ80" s="187" t="str">
        <f ca="1"/>
        <v/>
      </c>
    </row>
    <row r="81" spans="2:43" x14ac:dyDescent="0.25">
      <c r="B81" s="179">
        <f ca="1"/>
        <v>48932</v>
      </c>
      <c r="C81" s="180">
        <f ca="1"/>
        <v>2.3980817331903401E-13</v>
      </c>
      <c r="D81" s="180">
        <f ca="1"/>
        <v>-9.94249956670634E-10</v>
      </c>
      <c r="E81" s="180">
        <f ca="1"/>
        <v>5.8853998063934702E-12</v>
      </c>
      <c r="F81" s="180">
        <f ca="1"/>
        <v>2.3980817331903401E-13</v>
      </c>
      <c r="G81" s="180">
        <f ca="1"/>
        <v>-1.0633254693415101E-11</v>
      </c>
      <c r="H81" s="180">
        <f ca="1"/>
        <v>-9.8979813581423493E-10</v>
      </c>
      <c r="I81" s="180">
        <f ca="1"/>
        <v>-9.8071441245739501E-10</v>
      </c>
      <c r="J81" s="180">
        <f ca="1"/>
        <v>-9.7753893174568104E-10</v>
      </c>
      <c r="K81" s="180">
        <f ca="1"/>
        <v>-9.7448027772117897E-10</v>
      </c>
      <c r="L81" s="180">
        <f ca="1"/>
        <v>-9.7141899038644099E-10</v>
      </c>
      <c r="M81" s="180">
        <f ca="1"/>
        <v>-9.6246175959602297E-10</v>
      </c>
      <c r="N81" s="180">
        <f ca="1"/>
        <v>-2.0894073311794599E-9</v>
      </c>
      <c r="O81" s="180">
        <f ca="1"/>
        <v>5.0615213117999298E-8</v>
      </c>
      <c r="P81" s="180">
        <f ca="1"/>
        <v>-2.4495046167458102E-7</v>
      </c>
      <c r="Q81" s="180">
        <f ca="1"/>
        <v>6.1025480932105903E-7</v>
      </c>
      <c r="R81" s="180">
        <f ca="1"/>
        <v>-5.3843851048132599E-6</v>
      </c>
      <c r="S81" s="180">
        <f ca="1"/>
        <v>2.8050308757940999E-5</v>
      </c>
      <c r="T81" s="180">
        <f ca="1"/>
        <v>-1.22001513900637E-4</v>
      </c>
      <c r="U81" s="180">
        <f ca="1"/>
        <v>2.7213726118206397E-4</v>
      </c>
      <c r="V81" s="180">
        <f ca="1"/>
        <v>-7.1484229354077495E-4</v>
      </c>
      <c r="W81" s="180">
        <f ca="1"/>
        <v>6.0609851807864195E-4</v>
      </c>
      <c r="X81" s="180">
        <f ca="1"/>
        <v>4.5453182036654E-5</v>
      </c>
      <c r="Y81" s="180">
        <f ca="1"/>
        <v>-1.45503839737333E-5</v>
      </c>
      <c r="Z81" s="180">
        <f ca="1"/>
        <v>2.9618914081791501E-6</v>
      </c>
      <c r="AA81" s="180" t="str">
        <f ca="1"/>
        <v/>
      </c>
      <c r="AB81" s="180" t="str">
        <f ca="1"/>
        <v/>
      </c>
      <c r="AC81" s="180" t="str">
        <f ca="1"/>
        <v/>
      </c>
      <c r="AD81" s="180" t="str">
        <f ca="1"/>
        <v/>
      </c>
      <c r="AE81" s="180" t="str">
        <f ca="1"/>
        <v/>
      </c>
      <c r="AF81" s="180" t="str">
        <f ca="1"/>
        <v/>
      </c>
      <c r="AG81" s="180" t="str">
        <f ca="1"/>
        <v/>
      </c>
      <c r="AH81" s="180" t="str">
        <f ca="1"/>
        <v/>
      </c>
      <c r="AI81" s="180" t="str">
        <f ca="1"/>
        <v/>
      </c>
      <c r="AJ81" s="180" t="str">
        <f ca="1"/>
        <v/>
      </c>
      <c r="AK81" s="180" t="str">
        <f ca="1"/>
        <v/>
      </c>
      <c r="AL81" s="180" t="str">
        <f ca="1"/>
        <v/>
      </c>
      <c r="AM81" s="180" t="str">
        <f ca="1"/>
        <v/>
      </c>
      <c r="AN81" s="180" t="str">
        <f ca="1"/>
        <v/>
      </c>
      <c r="AO81" s="180" t="str">
        <f ca="1"/>
        <v/>
      </c>
      <c r="AP81" s="180" t="str">
        <f ca="1"/>
        <v/>
      </c>
      <c r="AQ81" s="187" t="str">
        <f ca="1"/>
        <v/>
      </c>
    </row>
    <row r="82" spans="2:43" x14ac:dyDescent="0.25">
      <c r="B82" s="179">
        <f ca="1"/>
        <v>49020</v>
      </c>
      <c r="C82" s="180">
        <f ca="1"/>
        <v>2.8402974416863498E-13</v>
      </c>
      <c r="D82" s="180">
        <f ca="1"/>
        <v>-1.06422105156101E-9</v>
      </c>
      <c r="E82" s="180">
        <f ca="1"/>
        <v>6.5726139808486303E-12</v>
      </c>
      <c r="F82" s="180">
        <f ca="1"/>
        <v>2.8317972966540599E-13</v>
      </c>
      <c r="G82" s="180">
        <f ca="1"/>
        <v>-1.13543202617805E-11</v>
      </c>
      <c r="H82" s="180">
        <f ca="1"/>
        <v>-1.05942233805112E-9</v>
      </c>
      <c r="I82" s="180">
        <f ca="1"/>
        <v>-1.0494626452584E-9</v>
      </c>
      <c r="J82" s="180">
        <f ca="1"/>
        <v>-1.0460653628030501E-9</v>
      </c>
      <c r="K82" s="180">
        <f ca="1"/>
        <v>-1.0427939345358801E-9</v>
      </c>
      <c r="L82" s="180">
        <f ca="1"/>
        <v>-1.03951740618169E-9</v>
      </c>
      <c r="M82" s="180">
        <f ca="1"/>
        <v>-1.0299327328488999E-9</v>
      </c>
      <c r="N82" s="180">
        <f ca="1"/>
        <v>-2.2359782116121399E-9</v>
      </c>
      <c r="O82" s="180">
        <f ca="1"/>
        <v>5.4166116699588798E-8</v>
      </c>
      <c r="P82" s="180">
        <f ca="1"/>
        <v>-2.62134779414197E-7</v>
      </c>
      <c r="Q82" s="180">
        <f ca="1"/>
        <v>6.5306723773597697E-7</v>
      </c>
      <c r="R82" s="180">
        <f ca="1"/>
        <v>-5.7621268097357604E-6</v>
      </c>
      <c r="S82" s="180">
        <f ca="1"/>
        <v>3.0018212513992199E-5</v>
      </c>
      <c r="T82" s="180">
        <f ca="1"/>
        <v>-1.3056003115566301E-4</v>
      </c>
      <c r="U82" s="180">
        <f ca="1"/>
        <v>2.9123171163680101E-4</v>
      </c>
      <c r="V82" s="180">
        <f ca="1"/>
        <v>-7.0332241790623299E-4</v>
      </c>
      <c r="W82" s="180">
        <f ca="1"/>
        <v>5.4314566292823496E-4</v>
      </c>
      <c r="X82" s="180">
        <f ca="1"/>
        <v>9.8193993748874707E-5</v>
      </c>
      <c r="Y82" s="180">
        <f ca="1"/>
        <v>-3.1432562545126401E-5</v>
      </c>
      <c r="Z82" s="180">
        <f ca="1"/>
        <v>6.3985050551551604E-6</v>
      </c>
      <c r="AA82" s="180" t="str">
        <f ca="1"/>
        <v/>
      </c>
      <c r="AB82" s="180" t="str">
        <f ca="1"/>
        <v/>
      </c>
      <c r="AC82" s="180" t="str">
        <f ca="1"/>
        <v/>
      </c>
      <c r="AD82" s="180" t="str">
        <f ca="1"/>
        <v/>
      </c>
      <c r="AE82" s="180" t="str">
        <f ca="1"/>
        <v/>
      </c>
      <c r="AF82" s="180" t="str">
        <f ca="1"/>
        <v/>
      </c>
      <c r="AG82" s="180" t="str">
        <f ca="1"/>
        <v/>
      </c>
      <c r="AH82" s="180" t="str">
        <f ca="1"/>
        <v/>
      </c>
      <c r="AI82" s="180" t="str">
        <f ca="1"/>
        <v/>
      </c>
      <c r="AJ82" s="180" t="str">
        <f ca="1"/>
        <v/>
      </c>
      <c r="AK82" s="180" t="str">
        <f ca="1"/>
        <v/>
      </c>
      <c r="AL82" s="180" t="str">
        <f ca="1"/>
        <v/>
      </c>
      <c r="AM82" s="180" t="str">
        <f ca="1"/>
        <v/>
      </c>
      <c r="AN82" s="180" t="str">
        <f ca="1"/>
        <v/>
      </c>
      <c r="AO82" s="180" t="str">
        <f ca="1"/>
        <v/>
      </c>
      <c r="AP82" s="180" t="str">
        <f ca="1"/>
        <v/>
      </c>
      <c r="AQ82" s="187" t="str">
        <f ca="1"/>
        <v/>
      </c>
    </row>
    <row r="83" spans="2:43" x14ac:dyDescent="0.25">
      <c r="B83" s="179">
        <f ca="1"/>
        <v>49114</v>
      </c>
      <c r="C83" s="180">
        <f ca="1"/>
        <v>3.5449768120976398E-13</v>
      </c>
      <c r="D83" s="180">
        <f ca="1"/>
        <v>-1.0594872826286099E-9</v>
      </c>
      <c r="E83" s="180">
        <f ca="1"/>
        <v>7.7060094416658793E-12</v>
      </c>
      <c r="F83" s="180">
        <f ca="1"/>
        <v>3.5449768120976398E-13</v>
      </c>
      <c r="G83" s="180">
        <f ca="1"/>
        <v>-1.12310161171081E-11</v>
      </c>
      <c r="H83" s="180">
        <f ca="1"/>
        <v>-1.05456513313507E-9</v>
      </c>
      <c r="I83" s="180">
        <f ca="1"/>
        <v>-1.0435826126864399E-9</v>
      </c>
      <c r="J83" s="180">
        <f ca="1"/>
        <v>-1.04021747812655E-9</v>
      </c>
      <c r="K83" s="180">
        <f ca="1"/>
        <v>-1.03697224765331E-9</v>
      </c>
      <c r="L83" s="180">
        <f ca="1"/>
        <v>-1.0337113769132199E-9</v>
      </c>
      <c r="M83" s="180">
        <f ca="1"/>
        <v>-1.02418247840963E-9</v>
      </c>
      <c r="N83" s="180">
        <f ca="1"/>
        <v>-2.2238628334669801E-9</v>
      </c>
      <c r="O83" s="180">
        <f ca="1"/>
        <v>5.3872965217333097E-8</v>
      </c>
      <c r="P83" s="180">
        <f ca="1"/>
        <v>-2.6071561866000702E-7</v>
      </c>
      <c r="Q83" s="180">
        <f ca="1"/>
        <v>6.4953213677054798E-7</v>
      </c>
      <c r="R83" s="180">
        <f ca="1"/>
        <v>-5.73093587194831E-6</v>
      </c>
      <c r="S83" s="180">
        <f ca="1"/>
        <v>2.9855728547672299E-5</v>
      </c>
      <c r="T83" s="180">
        <f ca="1"/>
        <v>-1.2985318737062499E-4</v>
      </c>
      <c r="U83" s="180">
        <f ca="1"/>
        <v>2.8965582570657602E-4</v>
      </c>
      <c r="V83" s="180">
        <f ca="1"/>
        <v>-6.62486547584513E-4</v>
      </c>
      <c r="W83" s="180">
        <f ca="1"/>
        <v>4.5583072267980202E-4</v>
      </c>
      <c r="X83" s="180">
        <f ca="1"/>
        <v>1.6189197015741699E-4</v>
      </c>
      <c r="Y83" s="180">
        <f ca="1"/>
        <v>-5.1821715314578902E-5</v>
      </c>
      <c r="Z83" s="180">
        <f ca="1"/>
        <v>1.05490371750915E-5</v>
      </c>
      <c r="AA83" s="180" t="str">
        <f ca="1"/>
        <v/>
      </c>
      <c r="AB83" s="180" t="str">
        <f ca="1"/>
        <v/>
      </c>
      <c r="AC83" s="180" t="str">
        <f ca="1"/>
        <v/>
      </c>
      <c r="AD83" s="180" t="str">
        <f ca="1"/>
        <v/>
      </c>
      <c r="AE83" s="180" t="str">
        <f ca="1"/>
        <v/>
      </c>
      <c r="AF83" s="180" t="str">
        <f ca="1"/>
        <v/>
      </c>
      <c r="AG83" s="180" t="str">
        <f ca="1"/>
        <v/>
      </c>
      <c r="AH83" s="180" t="str">
        <f ca="1"/>
        <v/>
      </c>
      <c r="AI83" s="180" t="str">
        <f ca="1"/>
        <v/>
      </c>
      <c r="AJ83" s="180" t="str">
        <f ca="1"/>
        <v/>
      </c>
      <c r="AK83" s="180" t="str">
        <f ca="1"/>
        <v/>
      </c>
      <c r="AL83" s="180" t="str">
        <f ca="1"/>
        <v/>
      </c>
      <c r="AM83" s="180" t="str">
        <f ca="1"/>
        <v/>
      </c>
      <c r="AN83" s="180" t="str">
        <f ca="1"/>
        <v/>
      </c>
      <c r="AO83" s="180" t="str">
        <f ca="1"/>
        <v/>
      </c>
      <c r="AP83" s="180" t="str">
        <f ca="1"/>
        <v/>
      </c>
      <c r="AQ83" s="187" t="str">
        <f ca="1"/>
        <v/>
      </c>
    </row>
    <row r="84" spans="2:43" x14ac:dyDescent="0.25">
      <c r="B84" s="179">
        <f ca="1"/>
        <v>49205</v>
      </c>
      <c r="C84" s="180">
        <f ca="1"/>
        <v>4.4799233767100998E-13</v>
      </c>
      <c r="D84" s="180">
        <f ca="1"/>
        <v>-9.7904453988384391E-10</v>
      </c>
      <c r="E84" s="180">
        <f ca="1"/>
        <v>9.2286595032575698E-12</v>
      </c>
      <c r="F84" s="180">
        <f ca="1"/>
        <v>4.4799233767100998E-13</v>
      </c>
      <c r="G84" s="180">
        <f ca="1"/>
        <v>-1.02564103043878E-11</v>
      </c>
      <c r="H84" s="180">
        <f ca="1"/>
        <v>-9.7423256267825706E-10</v>
      </c>
      <c r="I84" s="180">
        <f ca="1"/>
        <v>-9.6214465214461399E-10</v>
      </c>
      <c r="J84" s="180">
        <f ca="1"/>
        <v>-9.5906228098074899E-10</v>
      </c>
      <c r="K84" s="180">
        <f ca="1"/>
        <v>-9.5608883657338793E-10</v>
      </c>
      <c r="L84" s="180">
        <f ca="1"/>
        <v>-9.5307410227785105E-10</v>
      </c>
      <c r="M84" s="180">
        <f ca="1"/>
        <v>-9.4429607189194797E-10</v>
      </c>
      <c r="N84" s="180">
        <f ca="1"/>
        <v>-2.0510626183578602E-9</v>
      </c>
      <c r="O84" s="180">
        <f ca="1"/>
        <v>4.9687274072951502E-8</v>
      </c>
      <c r="P84" s="180">
        <f ca="1"/>
        <v>-2.4045837760527901E-7</v>
      </c>
      <c r="Q84" s="180">
        <f ca="1"/>
        <v>5.9906500946699195E-7</v>
      </c>
      <c r="R84" s="180">
        <f ca="1"/>
        <v>-5.2856548702733003E-6</v>
      </c>
      <c r="S84" s="180">
        <f ca="1"/>
        <v>2.7535997156283298E-5</v>
      </c>
      <c r="T84" s="180">
        <f ca="1"/>
        <v>-1.1976399905295E-4</v>
      </c>
      <c r="U84" s="180">
        <f ca="1"/>
        <v>2.67149599882711E-4</v>
      </c>
      <c r="V84" s="180">
        <f ca="1"/>
        <v>-5.9458789855913003E-4</v>
      </c>
      <c r="W84" s="180">
        <f ca="1"/>
        <v>3.4951839525566202E-4</v>
      </c>
      <c r="X84" s="180">
        <f ca="1"/>
        <v>2.32652422219679E-4</v>
      </c>
      <c r="Y84" s="180">
        <f ca="1"/>
        <v>-7.4470998885821398E-5</v>
      </c>
      <c r="Z84" s="180">
        <f ca="1"/>
        <v>1.51596841014463E-5</v>
      </c>
      <c r="AA84" s="180" t="str">
        <f ca="1"/>
        <v/>
      </c>
      <c r="AB84" s="180" t="str">
        <f ca="1"/>
        <v/>
      </c>
      <c r="AC84" s="180" t="str">
        <f ca="1"/>
        <v/>
      </c>
      <c r="AD84" s="180" t="str">
        <f ca="1"/>
        <v/>
      </c>
      <c r="AE84" s="180" t="str">
        <f ca="1"/>
        <v/>
      </c>
      <c r="AF84" s="180" t="str">
        <f ca="1"/>
        <v/>
      </c>
      <c r="AG84" s="180" t="str">
        <f ca="1"/>
        <v/>
      </c>
      <c r="AH84" s="180" t="str">
        <f ca="1"/>
        <v/>
      </c>
      <c r="AI84" s="180" t="str">
        <f ca="1"/>
        <v/>
      </c>
      <c r="AJ84" s="180" t="str">
        <f ca="1"/>
        <v/>
      </c>
      <c r="AK84" s="180" t="str">
        <f ca="1"/>
        <v/>
      </c>
      <c r="AL84" s="180" t="str">
        <f ca="1"/>
        <v/>
      </c>
      <c r="AM84" s="180" t="str">
        <f ca="1"/>
        <v/>
      </c>
      <c r="AN84" s="180" t="str">
        <f ca="1"/>
        <v/>
      </c>
      <c r="AO84" s="180" t="str">
        <f ca="1"/>
        <v/>
      </c>
      <c r="AP84" s="180" t="str">
        <f ca="1"/>
        <v/>
      </c>
      <c r="AQ84" s="187" t="str">
        <f ca="1"/>
        <v/>
      </c>
    </row>
    <row r="85" spans="2:43" x14ac:dyDescent="0.25">
      <c r="B85" s="179">
        <f ca="1"/>
        <v>49296</v>
      </c>
      <c r="C85" s="180">
        <f ca="1"/>
        <v>5.59552404411079E-13</v>
      </c>
      <c r="D85" s="180">
        <f ca="1"/>
        <v>-8.3697971470231301E-10</v>
      </c>
      <c r="E85" s="180">
        <f ca="1"/>
        <v>1.10689478416415E-11</v>
      </c>
      <c r="F85" s="180">
        <f ca="1"/>
        <v>5.5867463433223504E-13</v>
      </c>
      <c r="G85" s="180">
        <f ca="1"/>
        <v>-8.5900522805992807E-12</v>
      </c>
      <c r="H85" s="180">
        <f ca="1"/>
        <v>-8.32469038147821E-10</v>
      </c>
      <c r="I85" s="180">
        <f ca="1"/>
        <v>-8.1920316710726304E-10</v>
      </c>
      <c r="J85" s="180">
        <f ca="1"/>
        <v>-8.1661007469979698E-10</v>
      </c>
      <c r="K85" s="180">
        <f ca="1"/>
        <v>-8.1410306967954996E-10</v>
      </c>
      <c r="L85" s="180">
        <f ca="1"/>
        <v>-8.1152754655144901E-10</v>
      </c>
      <c r="M85" s="180">
        <f ca="1"/>
        <v>-8.0406099139951296E-10</v>
      </c>
      <c r="N85" s="180">
        <f ca="1"/>
        <v>-1.74745668282683E-9</v>
      </c>
      <c r="O85" s="180">
        <f ca="1"/>
        <v>4.23328739111717E-8</v>
      </c>
      <c r="P85" s="180">
        <f ca="1"/>
        <v>-2.0486605115457899E-7</v>
      </c>
      <c r="Q85" s="180">
        <f ca="1"/>
        <v>5.1039301137215099E-7</v>
      </c>
      <c r="R85" s="180">
        <f ca="1"/>
        <v>-4.5032849818396597E-6</v>
      </c>
      <c r="S85" s="180">
        <f ca="1"/>
        <v>2.3460168653448299E-5</v>
      </c>
      <c r="T85" s="180">
        <f ca="1"/>
        <v>-1.02037073565868E-4</v>
      </c>
      <c r="U85" s="180">
        <f ca="1"/>
        <v>2.27605433167941E-4</v>
      </c>
      <c r="V85" s="180">
        <f ca="1"/>
        <v>-5.0400051604698401E-4</v>
      </c>
      <c r="W85" s="180">
        <f ca="1"/>
        <v>2.26516008571691E-4</v>
      </c>
      <c r="X85" s="180">
        <f ca="1"/>
        <v>3.095368543952E-4</v>
      </c>
      <c r="Y85" s="180">
        <f ca="1"/>
        <v>-9.8713341491248705E-5</v>
      </c>
      <c r="Z85" s="180">
        <f ca="1"/>
        <v>2.0094659470459199E-5</v>
      </c>
      <c r="AA85" s="180" t="str">
        <f ca="1"/>
        <v/>
      </c>
      <c r="AB85" s="180" t="str">
        <f ca="1"/>
        <v/>
      </c>
      <c r="AC85" s="180" t="str">
        <f ca="1"/>
        <v/>
      </c>
      <c r="AD85" s="180" t="str">
        <f ca="1"/>
        <v/>
      </c>
      <c r="AE85" s="180" t="str">
        <f ca="1"/>
        <v/>
      </c>
      <c r="AF85" s="180" t="str">
        <f ca="1"/>
        <v/>
      </c>
      <c r="AG85" s="180" t="str">
        <f ca="1"/>
        <v/>
      </c>
      <c r="AH85" s="180" t="str">
        <f ca="1"/>
        <v/>
      </c>
      <c r="AI85" s="180" t="str">
        <f ca="1"/>
        <v/>
      </c>
      <c r="AJ85" s="180" t="str">
        <f ca="1"/>
        <v/>
      </c>
      <c r="AK85" s="180" t="str">
        <f ca="1"/>
        <v/>
      </c>
      <c r="AL85" s="180" t="str">
        <f ca="1"/>
        <v/>
      </c>
      <c r="AM85" s="180" t="str">
        <f ca="1"/>
        <v/>
      </c>
      <c r="AN85" s="180" t="str">
        <f ca="1"/>
        <v/>
      </c>
      <c r="AO85" s="180" t="str">
        <f ca="1"/>
        <v/>
      </c>
      <c r="AP85" s="180" t="str">
        <f ca="1"/>
        <v/>
      </c>
      <c r="AQ85" s="187" t="str">
        <f ca="1"/>
        <v/>
      </c>
    </row>
    <row r="86" spans="2:43" x14ac:dyDescent="0.25">
      <c r="B86" s="179">
        <f ca="1"/>
        <v>49387</v>
      </c>
      <c r="C86" s="180">
        <f ca="1"/>
        <v>6.6555441713411797E-13</v>
      </c>
      <c r="D86" s="180">
        <f ca="1"/>
        <v>-6.8978301195898903E-10</v>
      </c>
      <c r="E86" s="180">
        <f ca="1"/>
        <v>1.28253935249845E-11</v>
      </c>
      <c r="F86" s="180">
        <f ca="1"/>
        <v>6.6642524831905803E-13</v>
      </c>
      <c r="G86" s="180">
        <f ca="1"/>
        <v>-6.8718919443711002E-12</v>
      </c>
      <c r="H86" s="180">
        <f ca="1"/>
        <v>-6.8560287655450303E-10</v>
      </c>
      <c r="I86" s="180">
        <f ca="1"/>
        <v>-6.7125435418424802E-10</v>
      </c>
      <c r="J86" s="180">
        <f ca="1"/>
        <v>-6.6916732918698204E-10</v>
      </c>
      <c r="K86" s="180">
        <f ca="1"/>
        <v>-6.67142861787706E-10</v>
      </c>
      <c r="L86" s="180">
        <f ca="1"/>
        <v>-6.6501934167795304E-10</v>
      </c>
      <c r="M86" s="180">
        <f ca="1"/>
        <v>-6.5891379158467E-10</v>
      </c>
      <c r="N86" s="180">
        <f ca="1"/>
        <v>-1.4331692325952899E-9</v>
      </c>
      <c r="O86" s="180">
        <f ca="1"/>
        <v>3.4719662797555497E-8</v>
      </c>
      <c r="P86" s="180">
        <f ca="1"/>
        <v>-1.6802125777509701E-7</v>
      </c>
      <c r="Q86" s="180">
        <f ca="1"/>
        <v>4.1860065587776002E-7</v>
      </c>
      <c r="R86" s="180">
        <f ca="1"/>
        <v>-3.6933834694947999E-6</v>
      </c>
      <c r="S86" s="180">
        <f ca="1"/>
        <v>1.9240916587830201E-5</v>
      </c>
      <c r="T86" s="180">
        <f ca="1"/>
        <v>-8.3686261664786502E-5</v>
      </c>
      <c r="U86" s="180">
        <f ca="1"/>
        <v>1.8667010620732801E-4</v>
      </c>
      <c r="V86" s="180">
        <f ca="1"/>
        <v>-4.1336344712541301E-4</v>
      </c>
      <c r="W86" s="180">
        <f ca="1"/>
        <v>1.0728921944260999E-4</v>
      </c>
      <c r="X86" s="180">
        <f ca="1"/>
        <v>3.8051160224097599E-4</v>
      </c>
      <c r="Y86" s="180">
        <f ca="1"/>
        <v>-1.19210645607111E-4</v>
      </c>
      <c r="Z86" s="180">
        <f ca="1"/>
        <v>2.4267285120525802E-5</v>
      </c>
      <c r="AA86" s="180" t="str">
        <f ca="1"/>
        <v/>
      </c>
      <c r="AB86" s="180" t="str">
        <f ca="1"/>
        <v/>
      </c>
      <c r="AC86" s="180" t="str">
        <f ca="1"/>
        <v/>
      </c>
      <c r="AD86" s="180" t="str">
        <f ca="1"/>
        <v/>
      </c>
      <c r="AE86" s="180" t="str">
        <f ca="1"/>
        <v/>
      </c>
      <c r="AF86" s="180" t="str">
        <f ca="1"/>
        <v/>
      </c>
      <c r="AG86" s="180" t="str">
        <f ca="1"/>
        <v/>
      </c>
      <c r="AH86" s="180" t="str">
        <f ca="1"/>
        <v/>
      </c>
      <c r="AI86" s="180" t="str">
        <f ca="1"/>
        <v/>
      </c>
      <c r="AJ86" s="180" t="str">
        <f ca="1"/>
        <v/>
      </c>
      <c r="AK86" s="180" t="str">
        <f ca="1"/>
        <v/>
      </c>
      <c r="AL86" s="180" t="str">
        <f ca="1"/>
        <v/>
      </c>
      <c r="AM86" s="180" t="str">
        <f ca="1"/>
        <v/>
      </c>
      <c r="AN86" s="180" t="str">
        <f ca="1"/>
        <v/>
      </c>
      <c r="AO86" s="180" t="str">
        <f ca="1"/>
        <v/>
      </c>
      <c r="AP86" s="180" t="str">
        <f ca="1"/>
        <v/>
      </c>
      <c r="AQ86" s="187" t="str">
        <f ca="1"/>
        <v/>
      </c>
    </row>
    <row r="87" spans="2:43" x14ac:dyDescent="0.25">
      <c r="B87" s="179">
        <f ca="1"/>
        <v>49478</v>
      </c>
      <c r="C87" s="180">
        <f ca="1"/>
        <v>7.6113074176653604E-13</v>
      </c>
      <c r="D87" s="180">
        <f ca="1"/>
        <v>-5.5320443712036895E-10</v>
      </c>
      <c r="E87" s="180">
        <f ca="1"/>
        <v>1.4374588325205601E-11</v>
      </c>
      <c r="F87" s="180">
        <f ca="1"/>
        <v>7.6025991058159497E-13</v>
      </c>
      <c r="G87" s="180">
        <f ca="1"/>
        <v>-5.2818617535255202E-12</v>
      </c>
      <c r="H87" s="180">
        <f ca="1"/>
        <v>-5.4933970566883903E-10</v>
      </c>
      <c r="I87" s="180">
        <f ca="1"/>
        <v>-5.3406236030784104E-10</v>
      </c>
      <c r="J87" s="180">
        <f ca="1"/>
        <v>-5.3244191694501504E-10</v>
      </c>
      <c r="K87" s="180">
        <f ca="1"/>
        <v>-5.3086404716573596E-10</v>
      </c>
      <c r="L87" s="180">
        <f ca="1"/>
        <v>-5.2916280038339803E-10</v>
      </c>
      <c r="M87" s="180">
        <f ca="1"/>
        <v>-5.2431450500711699E-10</v>
      </c>
      <c r="N87" s="180">
        <f ca="1"/>
        <v>-1.14170151457871E-9</v>
      </c>
      <c r="O87" s="180">
        <f ca="1"/>
        <v>2.7659265312146601E-8</v>
      </c>
      <c r="P87" s="180">
        <f ca="1"/>
        <v>-1.3385187393188899E-7</v>
      </c>
      <c r="Q87" s="180">
        <f ca="1"/>
        <v>3.3347360872682001E-7</v>
      </c>
      <c r="R87" s="180">
        <f ca="1"/>
        <v>-2.9422911524586102E-6</v>
      </c>
      <c r="S87" s="180">
        <f ca="1"/>
        <v>1.5328040186678901E-5</v>
      </c>
      <c r="T87" s="180">
        <f ca="1"/>
        <v>-6.6667891637662403E-5</v>
      </c>
      <c r="U87" s="180">
        <f ca="1"/>
        <v>1.4870753260787199E-4</v>
      </c>
      <c r="V87" s="180">
        <f ca="1"/>
        <v>-3.2930624112016699E-4</v>
      </c>
      <c r="W87" s="180">
        <f ca="1"/>
        <v>-1.7567925097265699E-6</v>
      </c>
      <c r="X87" s="180">
        <f ca="1"/>
        <v>4.4177089390205803E-4</v>
      </c>
      <c r="Y87" s="180">
        <f ca="1"/>
        <v>-1.3440694284159001E-4</v>
      </c>
      <c r="Z87" s="180">
        <f ca="1"/>
        <v>2.7360785725766299E-5</v>
      </c>
      <c r="AA87" s="180" t="str">
        <f ca="1"/>
        <v/>
      </c>
      <c r="AB87" s="180" t="str">
        <f ca="1"/>
        <v/>
      </c>
      <c r="AC87" s="180" t="str">
        <f ca="1"/>
        <v/>
      </c>
      <c r="AD87" s="180" t="str">
        <f ca="1"/>
        <v/>
      </c>
      <c r="AE87" s="180" t="str">
        <f ca="1"/>
        <v/>
      </c>
      <c r="AF87" s="180" t="str">
        <f ca="1"/>
        <v/>
      </c>
      <c r="AG87" s="180" t="str">
        <f ca="1"/>
        <v/>
      </c>
      <c r="AH87" s="180" t="str">
        <f ca="1"/>
        <v/>
      </c>
      <c r="AI87" s="180" t="str">
        <f ca="1"/>
        <v/>
      </c>
      <c r="AJ87" s="180" t="str">
        <f ca="1"/>
        <v/>
      </c>
      <c r="AK87" s="180" t="str">
        <f ca="1"/>
        <v/>
      </c>
      <c r="AL87" s="180" t="str">
        <f ca="1"/>
        <v/>
      </c>
      <c r="AM87" s="180" t="str">
        <f ca="1"/>
        <v/>
      </c>
      <c r="AN87" s="180" t="str">
        <f ca="1"/>
        <v/>
      </c>
      <c r="AO87" s="180" t="str">
        <f ca="1"/>
        <v/>
      </c>
      <c r="AP87" s="180" t="str">
        <f ca="1"/>
        <v/>
      </c>
      <c r="AQ87" s="187" t="str">
        <f ca="1"/>
        <v/>
      </c>
    </row>
    <row r="88" spans="2:43" x14ac:dyDescent="0.25">
      <c r="B88" s="179">
        <f ca="1"/>
        <v>49569</v>
      </c>
      <c r="C88" s="180">
        <f ca="1"/>
        <v>8.4416154622069003E-13</v>
      </c>
      <c r="D88" s="180">
        <f ca="1"/>
        <v>-4.2710274900103998E-10</v>
      </c>
      <c r="E88" s="180">
        <f ca="1"/>
        <v>1.5719293922078499E-11</v>
      </c>
      <c r="F88" s="180">
        <f ca="1"/>
        <v>8.4328377614184496E-13</v>
      </c>
      <c r="G88" s="180">
        <f ca="1"/>
        <v>-3.8184837236609996E-12</v>
      </c>
      <c r="H88" s="180">
        <f ca="1"/>
        <v>-4.2354252050014201E-10</v>
      </c>
      <c r="I88" s="180">
        <f ca="1"/>
        <v>-4.0748503529752799E-10</v>
      </c>
      <c r="J88" s="180">
        <f ca="1"/>
        <v>-4.0629565684069401E-10</v>
      </c>
      <c r="K88" s="180">
        <f ca="1"/>
        <v>-4.0512999552322302E-10</v>
      </c>
      <c r="L88" s="180">
        <f ca="1"/>
        <v>-4.0381588004012602E-10</v>
      </c>
      <c r="M88" s="180">
        <f ca="1"/>
        <v>-4.00130917982411E-10</v>
      </c>
      <c r="N88" s="180">
        <f ca="1"/>
        <v>-8.7275856680557595E-10</v>
      </c>
      <c r="O88" s="180">
        <f ca="1"/>
        <v>2.11444672777727E-8</v>
      </c>
      <c r="P88" s="180">
        <f ca="1"/>
        <v>-1.0232301072415901E-7</v>
      </c>
      <c r="Q88" s="180">
        <f ca="1"/>
        <v>2.5492493830117599E-7</v>
      </c>
      <c r="R88" s="180">
        <f ca="1"/>
        <v>-2.24924105538329E-6</v>
      </c>
      <c r="S88" s="180">
        <f ca="1"/>
        <v>1.1717543434881799E-5</v>
      </c>
      <c r="T88" s="180">
        <f ca="1"/>
        <v>-5.0964591427060702E-5</v>
      </c>
      <c r="U88" s="180">
        <f ca="1"/>
        <v>1.13678914556003E-4</v>
      </c>
      <c r="V88" s="180">
        <f ca="1"/>
        <v>-2.5174320562566501E-4</v>
      </c>
      <c r="W88" s="180">
        <f ca="1"/>
        <v>-1.00760536615879E-4</v>
      </c>
      <c r="X88" s="180">
        <f ca="1"/>
        <v>4.9345636346559798E-4</v>
      </c>
      <c r="Y88" s="180">
        <f ca="1"/>
        <v>-1.4438484188645701E-4</v>
      </c>
      <c r="Z88" s="180">
        <f ca="1"/>
        <v>2.9391959534351399E-5</v>
      </c>
      <c r="AA88" s="180" t="str">
        <f ca="1"/>
        <v/>
      </c>
      <c r="AB88" s="180" t="str">
        <f ca="1"/>
        <v/>
      </c>
      <c r="AC88" s="180" t="str">
        <f ca="1"/>
        <v/>
      </c>
      <c r="AD88" s="180" t="str">
        <f ca="1"/>
        <v/>
      </c>
      <c r="AE88" s="180" t="str">
        <f ca="1"/>
        <v/>
      </c>
      <c r="AF88" s="180" t="str">
        <f ca="1"/>
        <v/>
      </c>
      <c r="AG88" s="180" t="str">
        <f ca="1"/>
        <v/>
      </c>
      <c r="AH88" s="180" t="str">
        <f ca="1"/>
        <v/>
      </c>
      <c r="AI88" s="180" t="str">
        <f ca="1"/>
        <v/>
      </c>
      <c r="AJ88" s="180" t="str">
        <f ca="1"/>
        <v/>
      </c>
      <c r="AK88" s="180" t="str">
        <f ca="1"/>
        <v/>
      </c>
      <c r="AL88" s="180" t="str">
        <f ca="1"/>
        <v/>
      </c>
      <c r="AM88" s="180" t="str">
        <f ca="1"/>
        <v/>
      </c>
      <c r="AN88" s="180" t="str">
        <f ca="1"/>
        <v/>
      </c>
      <c r="AO88" s="180" t="str">
        <f ca="1"/>
        <v/>
      </c>
      <c r="AP88" s="180" t="str">
        <f ca="1"/>
        <v/>
      </c>
      <c r="AQ88" s="187" t="str">
        <f ca="1"/>
        <v/>
      </c>
    </row>
    <row r="89" spans="2:43" x14ac:dyDescent="0.25">
      <c r="B89" s="179">
        <f ca="1"/>
        <v>49660</v>
      </c>
      <c r="C89" s="180">
        <f ca="1"/>
        <v>9.1706850446904298E-13</v>
      </c>
      <c r="D89" s="180">
        <f ca="1"/>
        <v>-3.1016156656904503E-10</v>
      </c>
      <c r="E89" s="180">
        <f ca="1"/>
        <v>1.6876170599866601E-11</v>
      </c>
      <c r="F89" s="180">
        <f ca="1"/>
        <v>9.1619073439019892E-13</v>
      </c>
      <c r="G89" s="180">
        <f ca="1"/>
        <v>-2.4639630613609902E-12</v>
      </c>
      <c r="H89" s="180">
        <f ca="1"/>
        <v>-3.0689297284003401E-10</v>
      </c>
      <c r="I89" s="180">
        <f ca="1"/>
        <v>-2.9019688041476102E-10</v>
      </c>
      <c r="J89" s="180">
        <f ca="1"/>
        <v>-2.8940542323718798E-10</v>
      </c>
      <c r="K89" s="180">
        <f ca="1"/>
        <v>-2.8862011738906002E-10</v>
      </c>
      <c r="L89" s="180">
        <f ca="1"/>
        <v>-2.8766615478570401E-10</v>
      </c>
      <c r="M89" s="180">
        <f ca="1"/>
        <v>-2.8505813334800401E-10</v>
      </c>
      <c r="N89" s="180">
        <f ca="1"/>
        <v>-6.2352321222869399E-10</v>
      </c>
      <c r="O89" s="180">
        <f ca="1"/>
        <v>1.5107040892553501E-8</v>
      </c>
      <c r="P89" s="180">
        <f ca="1"/>
        <v>-7.3104453480327099E-8</v>
      </c>
      <c r="Q89" s="180">
        <f ca="1"/>
        <v>1.82131983338801E-7</v>
      </c>
      <c r="R89" s="180">
        <f ca="1"/>
        <v>-1.60697466147081E-6</v>
      </c>
      <c r="S89" s="180">
        <f ca="1"/>
        <v>8.3716121727153703E-6</v>
      </c>
      <c r="T89" s="180">
        <f ca="1"/>
        <v>-3.6411901477260998E-5</v>
      </c>
      <c r="U89" s="180">
        <f ca="1"/>
        <v>8.1217356916279306E-5</v>
      </c>
      <c r="V89" s="180">
        <f ca="1"/>
        <v>-1.7986215052982399E-4</v>
      </c>
      <c r="W89" s="180">
        <f ca="1"/>
        <v>-1.90805098672184E-4</v>
      </c>
      <c r="X89" s="180">
        <f ca="1"/>
        <v>5.3617626872634301E-4</v>
      </c>
      <c r="Y89" s="180">
        <f ca="1"/>
        <v>-1.49261263252504E-4</v>
      </c>
      <c r="Z89" s="180">
        <f ca="1"/>
        <v>3.0384611711072E-5</v>
      </c>
      <c r="AA89" s="180" t="str">
        <f ca="1"/>
        <v/>
      </c>
      <c r="AB89" s="180" t="str">
        <f ca="1"/>
        <v/>
      </c>
      <c r="AC89" s="180" t="str">
        <f ca="1"/>
        <v/>
      </c>
      <c r="AD89" s="180" t="str">
        <f ca="1"/>
        <v/>
      </c>
      <c r="AE89" s="180" t="str">
        <f ca="1"/>
        <v/>
      </c>
      <c r="AF89" s="180" t="str">
        <f ca="1"/>
        <v/>
      </c>
      <c r="AG89" s="180" t="str">
        <f ca="1"/>
        <v/>
      </c>
      <c r="AH89" s="180" t="str">
        <f ca="1"/>
        <v/>
      </c>
      <c r="AI89" s="180" t="str">
        <f ca="1"/>
        <v/>
      </c>
      <c r="AJ89" s="180" t="str">
        <f ca="1"/>
        <v/>
      </c>
      <c r="AK89" s="180" t="str">
        <f ca="1"/>
        <v/>
      </c>
      <c r="AL89" s="180" t="str">
        <f ca="1"/>
        <v/>
      </c>
      <c r="AM89" s="180" t="str">
        <f ca="1"/>
        <v/>
      </c>
      <c r="AN89" s="180" t="str">
        <f ca="1"/>
        <v/>
      </c>
      <c r="AO89" s="180" t="str">
        <f ca="1"/>
        <v/>
      </c>
      <c r="AP89" s="180" t="str">
        <f ca="1"/>
        <v/>
      </c>
      <c r="AQ89" s="187" t="str">
        <f ca="1"/>
        <v/>
      </c>
    </row>
    <row r="90" spans="2:43" x14ac:dyDescent="0.25">
      <c r="B90" s="179">
        <f ca="1"/>
        <v>49751</v>
      </c>
      <c r="C90" s="180">
        <f ca="1"/>
        <v>9.8008753890432802E-13</v>
      </c>
      <c r="D90" s="180">
        <f ca="1"/>
        <v>-2.02522346115508E-10</v>
      </c>
      <c r="E90" s="180">
        <f ca="1"/>
        <v>1.7843990174348799E-11</v>
      </c>
      <c r="F90" s="180">
        <f ca="1"/>
        <v>9.8008753890432802E-13</v>
      </c>
      <c r="G90" s="180">
        <f ca="1"/>
        <v>-1.22336862862227E-12</v>
      </c>
      <c r="H90" s="180">
        <f ca="1"/>
        <v>-1.9953516963711101E-10</v>
      </c>
      <c r="I90" s="180">
        <f ca="1"/>
        <v>-1.8234283527540599E-10</v>
      </c>
      <c r="J90" s="180">
        <f ca="1"/>
        <v>-1.8191621820040599E-10</v>
      </c>
      <c r="K90" s="180">
        <f ca="1"/>
        <v>-1.81480917099686E-10</v>
      </c>
      <c r="L90" s="180">
        <f ca="1"/>
        <v>-1.80857065434914E-10</v>
      </c>
      <c r="M90" s="180">
        <f ca="1"/>
        <v>-1.79239231096195E-10</v>
      </c>
      <c r="N90" s="180">
        <f ca="1"/>
        <v>-3.9429850356986798E-10</v>
      </c>
      <c r="O90" s="180">
        <f ca="1"/>
        <v>9.5544242101341903E-9</v>
      </c>
      <c r="P90" s="180">
        <f ca="1"/>
        <v>-4.6232205886537203E-8</v>
      </c>
      <c r="Q90" s="180">
        <f ca="1"/>
        <v>1.15184440249716E-7</v>
      </c>
      <c r="R90" s="180">
        <f ca="1"/>
        <v>-1.0162834313196E-6</v>
      </c>
      <c r="S90" s="180">
        <f ca="1"/>
        <v>5.2943684323604501E-6</v>
      </c>
      <c r="T90" s="180">
        <f ca="1"/>
        <v>-2.3027772262082501E-5</v>
      </c>
      <c r="U90" s="180">
        <f ca="1"/>
        <v>5.1362770113607501E-5</v>
      </c>
      <c r="V90" s="180">
        <f ca="1"/>
        <v>-1.13752090647769E-4</v>
      </c>
      <c r="W90" s="180">
        <f ca="1"/>
        <v>-2.7174915191238702E-4</v>
      </c>
      <c r="X90" s="180">
        <f ca="1"/>
        <v>5.6978445548359598E-4</v>
      </c>
      <c r="Y90" s="180">
        <f ca="1"/>
        <v>-1.4895173432671901E-4</v>
      </c>
      <c r="Z90" s="180">
        <f ca="1"/>
        <v>3.03215425359257E-5</v>
      </c>
      <c r="AA90" s="180" t="str">
        <f ca="1"/>
        <v/>
      </c>
      <c r="AB90" s="180" t="str">
        <f ca="1"/>
        <v/>
      </c>
      <c r="AC90" s="180" t="str">
        <f ca="1"/>
        <v/>
      </c>
      <c r="AD90" s="180" t="str">
        <f ca="1"/>
        <v/>
      </c>
      <c r="AE90" s="180" t="str">
        <f ca="1"/>
        <v/>
      </c>
      <c r="AF90" s="180" t="str">
        <f ca="1"/>
        <v/>
      </c>
      <c r="AG90" s="180" t="str">
        <f ca="1"/>
        <v/>
      </c>
      <c r="AH90" s="180" t="str">
        <f ca="1"/>
        <v/>
      </c>
      <c r="AI90" s="180" t="str">
        <f ca="1"/>
        <v/>
      </c>
      <c r="AJ90" s="180" t="str">
        <f ca="1"/>
        <v/>
      </c>
      <c r="AK90" s="180" t="str">
        <f ca="1"/>
        <v/>
      </c>
      <c r="AL90" s="180" t="str">
        <f ca="1"/>
        <v/>
      </c>
      <c r="AM90" s="180" t="str">
        <f ca="1"/>
        <v/>
      </c>
      <c r="AN90" s="180" t="str">
        <f ca="1"/>
        <v/>
      </c>
      <c r="AO90" s="180" t="str">
        <f ca="1"/>
        <v/>
      </c>
      <c r="AP90" s="180" t="str">
        <f ca="1"/>
        <v/>
      </c>
      <c r="AQ90" s="187" t="str">
        <f ca="1"/>
        <v/>
      </c>
    </row>
    <row r="91" spans="2:43" x14ac:dyDescent="0.25">
      <c r="B91" s="179">
        <f ca="1"/>
        <v>49843</v>
      </c>
      <c r="C91" s="180">
        <f ca="1"/>
        <v>1.03134861761944E-12</v>
      </c>
      <c r="D91" s="180">
        <f ca="1"/>
        <v>-1.04302653319843E-10</v>
      </c>
      <c r="E91" s="180">
        <f ca="1"/>
        <v>1.8613808411283001E-11</v>
      </c>
      <c r="F91" s="180">
        <f ca="1"/>
        <v>1.03134861761944E-12</v>
      </c>
      <c r="G91" s="180">
        <f ca="1"/>
        <v>-9.7311048108394996E-14</v>
      </c>
      <c r="H91" s="180">
        <f ca="1"/>
        <v>-1.01585694717299E-10</v>
      </c>
      <c r="I91" s="180">
        <f ca="1"/>
        <v>-8.4043206421968706E-11</v>
      </c>
      <c r="J91" s="180">
        <f ca="1"/>
        <v>-8.3949368290259204E-11</v>
      </c>
      <c r="K91" s="180">
        <f ca="1"/>
        <v>-8.38294642035997E-11</v>
      </c>
      <c r="L91" s="180">
        <f ca="1"/>
        <v>-8.3510587334245695E-11</v>
      </c>
      <c r="M91" s="180">
        <f ca="1"/>
        <v>-8.2793771838396398E-11</v>
      </c>
      <c r="N91" s="180">
        <f ca="1"/>
        <v>-1.8534651938240099E-10</v>
      </c>
      <c r="O91" s="180">
        <f ca="1"/>
        <v>4.4928052597703597E-9</v>
      </c>
      <c r="P91" s="180">
        <f ca="1"/>
        <v>-2.1736227599072899E-8</v>
      </c>
      <c r="Q91" s="180">
        <f ca="1"/>
        <v>5.41569319841007E-8</v>
      </c>
      <c r="R91" s="180">
        <f ca="1"/>
        <v>-4.7782585192723804E-7</v>
      </c>
      <c r="S91" s="180">
        <f ca="1"/>
        <v>2.4892417553323802E-6</v>
      </c>
      <c r="T91" s="180">
        <f ca="1"/>
        <v>-1.0827137215479999E-5</v>
      </c>
      <c r="U91" s="180">
        <f ca="1"/>
        <v>2.4148364865143198E-5</v>
      </c>
      <c r="V91" s="180">
        <f ca="1"/>
        <v>-5.34870580383012E-5</v>
      </c>
      <c r="W91" s="180">
        <f ca="1"/>
        <v>-3.4342579361605602E-4</v>
      </c>
      <c r="X91" s="180">
        <f ca="1"/>
        <v>5.9407886660034503E-4</v>
      </c>
      <c r="Y91" s="180">
        <f ca="1"/>
        <v>-1.43362696197021E-4</v>
      </c>
      <c r="Z91" s="180">
        <f ca="1"/>
        <v>2.9183690669284299E-5</v>
      </c>
      <c r="AA91" s="180" t="str">
        <f ca="1"/>
        <v/>
      </c>
      <c r="AB91" s="180" t="str">
        <f ca="1"/>
        <v/>
      </c>
      <c r="AC91" s="180" t="str">
        <f ca="1"/>
        <v/>
      </c>
      <c r="AD91" s="180" t="str">
        <f ca="1"/>
        <v/>
      </c>
      <c r="AE91" s="180" t="str">
        <f ca="1"/>
        <v/>
      </c>
      <c r="AF91" s="180" t="str">
        <f ca="1"/>
        <v/>
      </c>
      <c r="AG91" s="180" t="str">
        <f ca="1"/>
        <v/>
      </c>
      <c r="AH91" s="180" t="str">
        <f ca="1"/>
        <v/>
      </c>
      <c r="AI91" s="180" t="str">
        <f ca="1"/>
        <v/>
      </c>
      <c r="AJ91" s="180" t="str">
        <f ca="1"/>
        <v/>
      </c>
      <c r="AK91" s="180" t="str">
        <f ca="1"/>
        <v/>
      </c>
      <c r="AL91" s="180" t="str">
        <f ca="1"/>
        <v/>
      </c>
      <c r="AM91" s="180" t="str">
        <f ca="1"/>
        <v/>
      </c>
      <c r="AN91" s="180" t="str">
        <f ca="1"/>
        <v/>
      </c>
      <c r="AO91" s="180" t="str">
        <f ca="1"/>
        <v/>
      </c>
      <c r="AP91" s="180" t="str">
        <f ca="1"/>
        <v/>
      </c>
      <c r="AQ91" s="187" t="str">
        <f ca="1"/>
        <v/>
      </c>
    </row>
    <row r="92" spans="2:43" x14ac:dyDescent="0.25">
      <c r="B92" s="179">
        <f ca="1"/>
        <v>49935</v>
      </c>
      <c r="C92" s="180">
        <f ca="1"/>
        <v>1.0707892905692499E-12</v>
      </c>
      <c r="D92" s="180">
        <f ca="1"/>
        <v>-1.6587172607662701E-11</v>
      </c>
      <c r="E92" s="180">
        <f ca="1"/>
        <v>1.9178502536076901E-11</v>
      </c>
      <c r="F92" s="180">
        <f ca="1"/>
        <v>1.06903375041156E-12</v>
      </c>
      <c r="G92" s="180">
        <f ca="1"/>
        <v>9.01254765262038E-13</v>
      </c>
      <c r="H92" s="180">
        <f ca="1"/>
        <v>-1.41284796362218E-11</v>
      </c>
      <c r="I92" s="180">
        <f ca="1"/>
        <v>3.6129328695455598E-12</v>
      </c>
      <c r="J92" s="180">
        <f ca="1"/>
        <v>3.4135298754289798E-12</v>
      </c>
      <c r="K92" s="180">
        <f ca="1"/>
        <v>3.2492689094887299E-12</v>
      </c>
      <c r="L92" s="180">
        <f ca="1"/>
        <v>3.3010955080570198E-12</v>
      </c>
      <c r="M92" s="180">
        <f ca="1"/>
        <v>3.2132525806804998E-12</v>
      </c>
      <c r="N92" s="180">
        <f ca="1"/>
        <v>1.0277473316833201E-12</v>
      </c>
      <c r="O92" s="180">
        <f ca="1"/>
        <v>-2.1914779019249799E-11</v>
      </c>
      <c r="P92" s="180">
        <f ca="1"/>
        <v>1.12946135083503E-10</v>
      </c>
      <c r="Q92" s="180">
        <f ca="1"/>
        <v>-2.7654011025557398E-10</v>
      </c>
      <c r="R92" s="180">
        <f ca="1"/>
        <v>2.4512708321489099E-9</v>
      </c>
      <c r="S92" s="180">
        <f ca="1"/>
        <v>-1.27882285004544E-8</v>
      </c>
      <c r="T92" s="180">
        <f ca="1"/>
        <v>5.5248651365663599E-8</v>
      </c>
      <c r="U92" s="180">
        <f ca="1"/>
        <v>-1.2534839188837999E-7</v>
      </c>
      <c r="V92" s="180">
        <f ca="1"/>
        <v>2.6713477320125501E-7</v>
      </c>
      <c r="W92" s="180">
        <f ca="1"/>
        <v>-4.05044127434844E-4</v>
      </c>
      <c r="X92" s="180">
        <f ca="1"/>
        <v>6.0879091762502599E-4</v>
      </c>
      <c r="Y92" s="180">
        <f ca="1"/>
        <v>-1.32555853852974E-4</v>
      </c>
      <c r="Z92" s="180">
        <f ca="1"/>
        <v>2.6983625451858201E-5</v>
      </c>
      <c r="AA92" s="180" t="str">
        <f ca="1"/>
        <v/>
      </c>
      <c r="AB92" s="180" t="str">
        <f ca="1"/>
        <v/>
      </c>
      <c r="AC92" s="180" t="str">
        <f ca="1"/>
        <v/>
      </c>
      <c r="AD92" s="180" t="str">
        <f ca="1"/>
        <v/>
      </c>
      <c r="AE92" s="180" t="str">
        <f ca="1"/>
        <v/>
      </c>
      <c r="AF92" s="180" t="str">
        <f ca="1"/>
        <v/>
      </c>
      <c r="AG92" s="180" t="str">
        <f ca="1"/>
        <v/>
      </c>
      <c r="AH92" s="180" t="str">
        <f ca="1"/>
        <v/>
      </c>
      <c r="AI92" s="180" t="str">
        <f ca="1"/>
        <v/>
      </c>
      <c r="AJ92" s="180" t="str">
        <f ca="1"/>
        <v/>
      </c>
      <c r="AK92" s="180" t="str">
        <f ca="1"/>
        <v/>
      </c>
      <c r="AL92" s="180" t="str">
        <f ca="1"/>
        <v/>
      </c>
      <c r="AM92" s="180" t="str">
        <f ca="1"/>
        <v/>
      </c>
      <c r="AN92" s="180" t="str">
        <f ca="1"/>
        <v/>
      </c>
      <c r="AO92" s="180" t="str">
        <f ca="1"/>
        <v/>
      </c>
      <c r="AP92" s="180" t="str">
        <f ca="1"/>
        <v/>
      </c>
      <c r="AQ92" s="187" t="str">
        <f ca="1"/>
        <v/>
      </c>
    </row>
    <row r="93" spans="2:43" x14ac:dyDescent="0.25">
      <c r="B93" s="179">
        <f ca="1"/>
        <v>50026</v>
      </c>
      <c r="C93" s="180">
        <f ca="1"/>
        <v>1.0995648835887601E-12</v>
      </c>
      <c r="D93" s="180">
        <f ca="1"/>
        <v>6.03730399006963E-11</v>
      </c>
      <c r="E93" s="180">
        <f ca="1"/>
        <v>1.9545254303921001E-11</v>
      </c>
      <c r="F93" s="180">
        <f ca="1"/>
        <v>1.0986767051690501E-12</v>
      </c>
      <c r="G93" s="180">
        <f ca="1"/>
        <v>1.7736923041411501E-12</v>
      </c>
      <c r="H93" s="180">
        <f ca="1"/>
        <v>6.2589045057848099E-11</v>
      </c>
      <c r="I93" s="180">
        <f ca="1"/>
        <v>8.0382811518120395E-11</v>
      </c>
      <c r="J93" s="180">
        <f ca="1"/>
        <v>7.9925399631974895E-11</v>
      </c>
      <c r="K93" s="180">
        <f ca="1"/>
        <v>7.9516837558912799E-11</v>
      </c>
      <c r="L93" s="180">
        <f ca="1"/>
        <v>7.9329431912356098E-11</v>
      </c>
      <c r="M93" s="180">
        <f ca="1"/>
        <v>7.8538953118823E-11</v>
      </c>
      <c r="N93" s="180">
        <f ca="1"/>
        <v>1.64294355897709E-10</v>
      </c>
      <c r="O93" s="180">
        <f ca="1"/>
        <v>-3.97684818409516E-9</v>
      </c>
      <c r="P93" s="180">
        <f ca="1"/>
        <v>1.9252965444138701E-8</v>
      </c>
      <c r="Q93" s="180">
        <f ca="1"/>
        <v>-4.7960636351263E-8</v>
      </c>
      <c r="R93" s="180">
        <f ca="1"/>
        <v>4.23177300312716E-7</v>
      </c>
      <c r="S93" s="180">
        <f ca="1"/>
        <v>-2.2045818122151702E-6</v>
      </c>
      <c r="T93" s="180">
        <f ca="1"/>
        <v>9.5883177495537097E-6</v>
      </c>
      <c r="U93" s="180">
        <f ca="1"/>
        <v>-2.1389153748607698E-5</v>
      </c>
      <c r="V93" s="180">
        <f ca="1"/>
        <v>4.7356806345710802E-5</v>
      </c>
      <c r="W93" s="180">
        <f ca="1"/>
        <v>-4.5651233002619302E-4</v>
      </c>
      <c r="X93" s="180">
        <f ca="1"/>
        <v>6.1409676231871701E-4</v>
      </c>
      <c r="Y93" s="180">
        <f ca="1"/>
        <v>-1.16723222199688E-4</v>
      </c>
      <c r="Z93" s="180">
        <f ca="1"/>
        <v>2.3760455350796399E-5</v>
      </c>
      <c r="AA93" s="180" t="str">
        <f ca="1"/>
        <v/>
      </c>
      <c r="AB93" s="180" t="str">
        <f ca="1"/>
        <v/>
      </c>
      <c r="AC93" s="180" t="str">
        <f ca="1"/>
        <v/>
      </c>
      <c r="AD93" s="180" t="str">
        <f ca="1"/>
        <v/>
      </c>
      <c r="AE93" s="180" t="str">
        <f ca="1"/>
        <v/>
      </c>
      <c r="AF93" s="180" t="str">
        <f ca="1"/>
        <v/>
      </c>
      <c r="AG93" s="180" t="str">
        <f ca="1"/>
        <v/>
      </c>
      <c r="AH93" s="180" t="str">
        <f ca="1"/>
        <v/>
      </c>
      <c r="AI93" s="180" t="str">
        <f ca="1"/>
        <v/>
      </c>
      <c r="AJ93" s="180" t="str">
        <f ca="1"/>
        <v/>
      </c>
      <c r="AK93" s="180" t="str">
        <f ca="1"/>
        <v/>
      </c>
      <c r="AL93" s="180" t="str">
        <f ca="1"/>
        <v/>
      </c>
      <c r="AM93" s="180" t="str">
        <f ca="1"/>
        <v/>
      </c>
      <c r="AN93" s="180" t="str">
        <f ca="1"/>
        <v/>
      </c>
      <c r="AO93" s="180" t="str">
        <f ca="1"/>
        <v/>
      </c>
      <c r="AP93" s="180" t="str">
        <f ca="1"/>
        <v/>
      </c>
      <c r="AQ93" s="187" t="str">
        <f ca="1"/>
        <v/>
      </c>
    </row>
    <row r="94" spans="2:43" x14ac:dyDescent="0.25">
      <c r="B94" s="179">
        <f ca="1"/>
        <v>50116</v>
      </c>
      <c r="C94" s="180">
        <f ca="1"/>
        <v>1.1156284229763001E-12</v>
      </c>
      <c r="D94" s="180">
        <f ca="1"/>
        <v>1.27924629222953E-10</v>
      </c>
      <c r="E94" s="180">
        <f ca="1"/>
        <v>1.97172729532458E-11</v>
      </c>
      <c r="F94" s="180">
        <f ca="1"/>
        <v>1.1156284229763001E-12</v>
      </c>
      <c r="G94" s="180">
        <f ca="1"/>
        <v>2.5275441462024901E-12</v>
      </c>
      <c r="H94" s="180">
        <f ca="1"/>
        <v>1.2991086678626499E-10</v>
      </c>
      <c r="I94" s="180">
        <f ca="1"/>
        <v>1.4761409455887899E-10</v>
      </c>
      <c r="J94" s="180">
        <f ca="1"/>
        <v>1.4693377070606999E-10</v>
      </c>
      <c r="K94" s="180">
        <f ca="1"/>
        <v>1.4630992251074601E-10</v>
      </c>
      <c r="L94" s="180">
        <f ca="1"/>
        <v>1.4591545333120201E-10</v>
      </c>
      <c r="M94" s="180">
        <f ca="1"/>
        <v>1.44508752186745E-10</v>
      </c>
      <c r="N94" s="180">
        <f ca="1"/>
        <v>3.07328076182278E-10</v>
      </c>
      <c r="O94" s="180">
        <f ca="1"/>
        <v>-7.4417281017980002E-9</v>
      </c>
      <c r="P94" s="180">
        <f ca="1"/>
        <v>3.60212859540354E-8</v>
      </c>
      <c r="Q94" s="180">
        <f ca="1"/>
        <v>-8.9736077697050205E-8</v>
      </c>
      <c r="R94" s="180">
        <f ca="1"/>
        <v>7.9177004083663704E-7</v>
      </c>
      <c r="S94" s="180">
        <f ca="1"/>
        <v>-4.1247830012448903E-6</v>
      </c>
      <c r="T94" s="180">
        <f ca="1"/>
        <v>1.7940139233306499E-5</v>
      </c>
      <c r="U94" s="180">
        <f ca="1"/>
        <v>-4.0017996273254697E-5</v>
      </c>
      <c r="V94" s="180">
        <f ca="1"/>
        <v>8.8611986827323602E-5</v>
      </c>
      <c r="W94" s="180">
        <f ca="1"/>
        <v>-4.9882270076779004E-4</v>
      </c>
      <c r="X94" s="180">
        <f ca="1"/>
        <v>6.1024394494233998E-4</v>
      </c>
      <c r="Y94" s="180">
        <f ca="1"/>
        <v>-9.5648214246294604E-5</v>
      </c>
      <c r="Z94" s="180">
        <f ca="1"/>
        <v>1.94701128393739E-5</v>
      </c>
      <c r="AA94" s="180" t="str">
        <f ca="1"/>
        <v/>
      </c>
      <c r="AB94" s="180" t="str">
        <f ca="1"/>
        <v/>
      </c>
      <c r="AC94" s="180" t="str">
        <f ca="1"/>
        <v/>
      </c>
      <c r="AD94" s="180" t="str">
        <f ca="1"/>
        <v/>
      </c>
      <c r="AE94" s="180" t="str">
        <f ca="1"/>
        <v/>
      </c>
      <c r="AF94" s="180" t="str">
        <f ca="1"/>
        <v/>
      </c>
      <c r="AG94" s="180" t="str">
        <f ca="1"/>
        <v/>
      </c>
      <c r="AH94" s="180" t="str">
        <f ca="1"/>
        <v/>
      </c>
      <c r="AI94" s="180" t="str">
        <f ca="1"/>
        <v/>
      </c>
      <c r="AJ94" s="180" t="str">
        <f ca="1"/>
        <v/>
      </c>
      <c r="AK94" s="180" t="str">
        <f ca="1"/>
        <v/>
      </c>
      <c r="AL94" s="180" t="str">
        <f ca="1"/>
        <v/>
      </c>
      <c r="AM94" s="180" t="str">
        <f ca="1"/>
        <v/>
      </c>
      <c r="AN94" s="180" t="str">
        <f ca="1"/>
        <v/>
      </c>
      <c r="AO94" s="180" t="str">
        <f ca="1"/>
        <v/>
      </c>
      <c r="AP94" s="180" t="str">
        <f ca="1"/>
        <v/>
      </c>
      <c r="AQ94" s="187" t="str">
        <f ca="1"/>
        <v/>
      </c>
    </row>
    <row r="95" spans="2:43" x14ac:dyDescent="0.25">
      <c r="B95" s="179">
        <f ca="1"/>
        <v>50208</v>
      </c>
      <c r="C95" s="180">
        <f ca="1"/>
        <v>1.12258119466802E-12</v>
      </c>
      <c r="D95" s="180">
        <f ca="1"/>
        <v>1.8622408129442801E-10</v>
      </c>
      <c r="E95" s="180">
        <f ca="1"/>
        <v>1.96903361671108E-11</v>
      </c>
      <c r="F95" s="180">
        <f ca="1"/>
        <v>1.12084300174509E-12</v>
      </c>
      <c r="G95" s="180">
        <f ca="1"/>
        <v>3.1722471871553601E-12</v>
      </c>
      <c r="H95" s="180">
        <f ca="1"/>
        <v>1.87987889144203E-10</v>
      </c>
      <c r="I95" s="180">
        <f ca="1"/>
        <v>2.0545044138176E-10</v>
      </c>
      <c r="J95" s="180">
        <f ca="1"/>
        <v>2.04579832241425E-10</v>
      </c>
      <c r="K95" s="180">
        <f ca="1"/>
        <v>2.0377265153026501E-10</v>
      </c>
      <c r="L95" s="180">
        <f ca="1"/>
        <v>2.0319832969018E-10</v>
      </c>
      <c r="M95" s="180">
        <f ca="1"/>
        <v>2.0126335667503E-10</v>
      </c>
      <c r="N95" s="180">
        <f ca="1"/>
        <v>4.3043568709322198E-10</v>
      </c>
      <c r="O95" s="180">
        <f ca="1"/>
        <v>-1.0423866117492699E-8</v>
      </c>
      <c r="P95" s="180">
        <f ca="1"/>
        <v>5.0453291981777902E-8</v>
      </c>
      <c r="Q95" s="180">
        <f ca="1"/>
        <v>-1.2569101759396501E-7</v>
      </c>
      <c r="R95" s="180">
        <f ca="1"/>
        <v>1.1090072955625999E-6</v>
      </c>
      <c r="S95" s="180">
        <f ca="1"/>
        <v>-5.7774442699491702E-6</v>
      </c>
      <c r="T95" s="180">
        <f ca="1"/>
        <v>2.5128329199170701E-5</v>
      </c>
      <c r="U95" s="180">
        <f ca="1"/>
        <v>-5.6051227276976403E-5</v>
      </c>
      <c r="V95" s="180">
        <f ca="1"/>
        <v>1.2411953615073E-4</v>
      </c>
      <c r="W95" s="180">
        <f ca="1"/>
        <v>-5.3188336848863601E-4</v>
      </c>
      <c r="X95" s="180">
        <f ca="1"/>
        <v>5.9684473551945699E-4</v>
      </c>
      <c r="Y95" s="180">
        <f ca="1"/>
        <v>-6.9078151094029803E-5</v>
      </c>
      <c r="Z95" s="180">
        <f ca="1"/>
        <v>1.40611589928147E-5</v>
      </c>
      <c r="AA95" s="180" t="str">
        <f ca="1"/>
        <v/>
      </c>
      <c r="AB95" s="180" t="str">
        <f ca="1"/>
        <v/>
      </c>
      <c r="AC95" s="180" t="str">
        <f ca="1"/>
        <v/>
      </c>
      <c r="AD95" s="180" t="str">
        <f ca="1"/>
        <v/>
      </c>
      <c r="AE95" s="180" t="str">
        <f ca="1"/>
        <v/>
      </c>
      <c r="AF95" s="180" t="str">
        <f ca="1"/>
        <v/>
      </c>
      <c r="AG95" s="180" t="str">
        <f ca="1"/>
        <v/>
      </c>
      <c r="AH95" s="180" t="str">
        <f ca="1"/>
        <v/>
      </c>
      <c r="AI95" s="180" t="str">
        <f ca="1"/>
        <v/>
      </c>
      <c r="AJ95" s="180" t="str">
        <f ca="1"/>
        <v/>
      </c>
      <c r="AK95" s="180" t="str">
        <f ca="1"/>
        <v/>
      </c>
      <c r="AL95" s="180" t="str">
        <f ca="1"/>
        <v/>
      </c>
      <c r="AM95" s="180" t="str">
        <f ca="1"/>
        <v/>
      </c>
      <c r="AN95" s="180" t="str">
        <f ca="1"/>
        <v/>
      </c>
      <c r="AO95" s="180" t="str">
        <f ca="1"/>
        <v/>
      </c>
      <c r="AP95" s="180" t="str">
        <f ca="1"/>
        <v/>
      </c>
      <c r="AQ95" s="187" t="str">
        <f ca="1"/>
        <v/>
      </c>
    </row>
    <row r="96" spans="2:43" x14ac:dyDescent="0.25">
      <c r="B96" s="179">
        <f ca="1"/>
        <v>50300</v>
      </c>
      <c r="C96" s="180">
        <f ca="1"/>
        <v>1.11647149858562E-12</v>
      </c>
      <c r="D96" s="180">
        <f ca="1"/>
        <v>2.3422231168468401E-10</v>
      </c>
      <c r="E96" s="180">
        <f ca="1"/>
        <v>1.9463992917412302E-11</v>
      </c>
      <c r="F96" s="180">
        <f ca="1"/>
        <v>1.11647149858562E-12</v>
      </c>
      <c r="G96" s="180">
        <f ca="1"/>
        <v>3.6928723967655198E-12</v>
      </c>
      <c r="H96" s="180">
        <f ca="1"/>
        <v>2.3577799088125902E-10</v>
      </c>
      <c r="I96" s="180">
        <f ca="1"/>
        <v>2.5285180546563701E-10</v>
      </c>
      <c r="J96" s="180">
        <f ca="1"/>
        <v>2.5182756921426902E-10</v>
      </c>
      <c r="K96" s="180">
        <f ca="1"/>
        <v>2.5087272884083401E-10</v>
      </c>
      <c r="L96" s="180">
        <f ca="1"/>
        <v>2.5015067101064001E-10</v>
      </c>
      <c r="M96" s="180">
        <f ca="1"/>
        <v>2.4778245427681302E-10</v>
      </c>
      <c r="N96" s="180">
        <f ca="1"/>
        <v>5.3139997957529803E-10</v>
      </c>
      <c r="O96" s="180">
        <f ca="1"/>
        <v>-1.28696385423566E-8</v>
      </c>
      <c r="P96" s="180">
        <f ca="1"/>
        <v>6.2289488733657805E-8</v>
      </c>
      <c r="Q96" s="180">
        <f ca="1"/>
        <v>-1.5517896594097199E-7</v>
      </c>
      <c r="R96" s="180">
        <f ca="1"/>
        <v>1.36918493773633E-6</v>
      </c>
      <c r="S96" s="180">
        <f ca="1"/>
        <v>-7.1328502251923096E-6</v>
      </c>
      <c r="T96" s="180">
        <f ca="1"/>
        <v>3.1023632094933501E-5</v>
      </c>
      <c r="U96" s="180">
        <f ca="1"/>
        <v>-6.9200598620158802E-5</v>
      </c>
      <c r="V96" s="180">
        <f ca="1"/>
        <v>1.53240818857116E-4</v>
      </c>
      <c r="W96" s="180">
        <f ca="1"/>
        <v>-5.5508841709063202E-4</v>
      </c>
      <c r="X96" s="180">
        <f ca="1"/>
        <v>5.7407051007731696E-4</v>
      </c>
      <c r="Y96" s="180">
        <f ca="1"/>
        <v>-3.7409907194009598E-5</v>
      </c>
      <c r="Z96" s="180">
        <f ca="1"/>
        <v>7.6144217533401201E-6</v>
      </c>
      <c r="AA96" s="180" t="str">
        <f ca="1"/>
        <v/>
      </c>
      <c r="AB96" s="180" t="str">
        <f ca="1"/>
        <v/>
      </c>
      <c r="AC96" s="180" t="str">
        <f ca="1"/>
        <v/>
      </c>
      <c r="AD96" s="180" t="str">
        <f ca="1"/>
        <v/>
      </c>
      <c r="AE96" s="180" t="str">
        <f ca="1"/>
        <v/>
      </c>
      <c r="AF96" s="180" t="str">
        <f ca="1"/>
        <v/>
      </c>
      <c r="AG96" s="180" t="str">
        <f ca="1"/>
        <v/>
      </c>
      <c r="AH96" s="180" t="str">
        <f ca="1"/>
        <v/>
      </c>
      <c r="AI96" s="180" t="str">
        <f ca="1"/>
        <v/>
      </c>
      <c r="AJ96" s="180" t="str">
        <f ca="1"/>
        <v/>
      </c>
      <c r="AK96" s="180" t="str">
        <f ca="1"/>
        <v/>
      </c>
      <c r="AL96" s="180" t="str">
        <f ca="1"/>
        <v/>
      </c>
      <c r="AM96" s="180" t="str">
        <f ca="1"/>
        <v/>
      </c>
      <c r="AN96" s="180" t="str">
        <f ca="1"/>
        <v/>
      </c>
      <c r="AO96" s="180" t="str">
        <f ca="1"/>
        <v/>
      </c>
      <c r="AP96" s="180" t="str">
        <f ca="1"/>
        <v/>
      </c>
      <c r="AQ96" s="187" t="str">
        <f ca="1"/>
        <v/>
      </c>
    </row>
    <row r="97" spans="2:43" x14ac:dyDescent="0.25">
      <c r="B97" s="179">
        <f ca="1"/>
        <v>50391</v>
      </c>
      <c r="C97" s="180">
        <f ca="1"/>
        <v>1.1013412404281599E-12</v>
      </c>
      <c r="D97" s="180">
        <f ca="1"/>
        <v>2.7190072415805802E-10</v>
      </c>
      <c r="E97" s="180">
        <f ca="1"/>
        <v>1.9046098032049498E-11</v>
      </c>
      <c r="F97" s="180">
        <f ca="1"/>
        <v>1.10045306200846E-12</v>
      </c>
      <c r="G97" s="180">
        <f ca="1"/>
        <v>4.0891734442993798E-12</v>
      </c>
      <c r="H97" s="180">
        <f ca="1"/>
        <v>2.7326230167545899E-10</v>
      </c>
      <c r="I97" s="180">
        <f ca="1"/>
        <v>2.89808177456052E-10</v>
      </c>
      <c r="J97" s="180">
        <f ca="1"/>
        <v>2.88665980008318E-10</v>
      </c>
      <c r="K97" s="180">
        <f ca="1"/>
        <v>2.87596613190999E-10</v>
      </c>
      <c r="L97" s="180">
        <f ca="1"/>
        <v>2.8675817276280198E-10</v>
      </c>
      <c r="M97" s="180">
        <f ca="1"/>
        <v>2.8405278129639602E-10</v>
      </c>
      <c r="N97" s="180">
        <f ca="1"/>
        <v>6.1019722608080005E-10</v>
      </c>
      <c r="O97" s="180">
        <f ca="1"/>
        <v>-1.47784513515603E-8</v>
      </c>
      <c r="P97" s="180">
        <f ca="1"/>
        <v>7.1526986999970203E-8</v>
      </c>
      <c r="Q97" s="180">
        <f ca="1"/>
        <v>-1.78192725464044E-7</v>
      </c>
      <c r="R97" s="180">
        <f ca="1"/>
        <v>1.5722394577366599E-6</v>
      </c>
      <c r="S97" s="180">
        <f ca="1"/>
        <v>-8.1906703517375894E-6</v>
      </c>
      <c r="T97" s="180">
        <f ca="1"/>
        <v>3.5624603643036303E-5</v>
      </c>
      <c r="U97" s="180">
        <f ca="1"/>
        <v>-7.9462927986995196E-5</v>
      </c>
      <c r="V97" s="180">
        <f ca="1"/>
        <v>1.7596859494428701E-4</v>
      </c>
      <c r="W97" s="180">
        <f ca="1"/>
        <v>-5.6856846986708099E-4</v>
      </c>
      <c r="X97" s="180">
        <f ca="1"/>
        <v>5.4230503226016002E-4</v>
      </c>
      <c r="Y97" s="180">
        <f ca="1"/>
        <v>-9.4649579995831303E-7</v>
      </c>
      <c r="Z97" s="180">
        <f ca="1"/>
        <v>1.9161611586326899E-7</v>
      </c>
      <c r="AA97" s="180" t="str">
        <f ca="1"/>
        <v/>
      </c>
      <c r="AB97" s="180" t="str">
        <f ca="1"/>
        <v/>
      </c>
      <c r="AC97" s="180" t="str">
        <f ca="1"/>
        <v/>
      </c>
      <c r="AD97" s="180" t="str">
        <f ca="1"/>
        <v/>
      </c>
      <c r="AE97" s="180" t="str">
        <f ca="1"/>
        <v/>
      </c>
      <c r="AF97" s="180" t="str">
        <f ca="1"/>
        <v/>
      </c>
      <c r="AG97" s="180" t="str">
        <f ca="1"/>
        <v/>
      </c>
      <c r="AH97" s="180" t="str">
        <f ca="1"/>
        <v/>
      </c>
      <c r="AI97" s="180" t="str">
        <f ca="1"/>
        <v/>
      </c>
      <c r="AJ97" s="180" t="str">
        <f ca="1"/>
        <v/>
      </c>
      <c r="AK97" s="180" t="str">
        <f ca="1"/>
        <v/>
      </c>
      <c r="AL97" s="180" t="str">
        <f ca="1"/>
        <v/>
      </c>
      <c r="AM97" s="180" t="str">
        <f ca="1"/>
        <v/>
      </c>
      <c r="AN97" s="180" t="str">
        <f ca="1"/>
        <v/>
      </c>
      <c r="AO97" s="180" t="str">
        <f ca="1"/>
        <v/>
      </c>
      <c r="AP97" s="180" t="str">
        <f ca="1"/>
        <v/>
      </c>
      <c r="AQ97" s="187" t="str">
        <f ca="1"/>
        <v/>
      </c>
    </row>
    <row r="98" spans="2:43" x14ac:dyDescent="0.25">
      <c r="B98" s="179">
        <f ca="1"/>
        <v>50481</v>
      </c>
      <c r="C98" s="180">
        <f ca="1"/>
        <v>1.0739222011668699E-12</v>
      </c>
      <c r="D98" s="180">
        <f ca="1"/>
        <v>2.9999133385749702E-10</v>
      </c>
      <c r="E98" s="180">
        <f ca="1"/>
        <v>1.8429605064262899E-11</v>
      </c>
      <c r="F98" s="180">
        <f ca="1"/>
        <v>1.0721840082439399E-12</v>
      </c>
      <c r="G98" s="180">
        <f ca="1"/>
        <v>4.36694083671973E-12</v>
      </c>
      <c r="H98" s="180">
        <f ca="1"/>
        <v>3.0117039070964899E-10</v>
      </c>
      <c r="I98" s="180">
        <f ca="1"/>
        <v>3.1704030720169902E-10</v>
      </c>
      <c r="J98" s="180">
        <f ca="1"/>
        <v>3.1581432954896899E-10</v>
      </c>
      <c r="K98" s="180">
        <f ca="1"/>
        <v>3.1466481503761301E-10</v>
      </c>
      <c r="L98" s="180">
        <f ca="1"/>
        <v>3.1374033579445501E-10</v>
      </c>
      <c r="M98" s="180">
        <f ca="1"/>
        <v>3.1078704540443702E-10</v>
      </c>
      <c r="N98" s="180">
        <f ca="1"/>
        <v>6.6836796860925099E-10</v>
      </c>
      <c r="O98" s="180">
        <f ca="1"/>
        <v>-1.6187629497260701E-8</v>
      </c>
      <c r="P98" s="180">
        <f ca="1"/>
        <v>7.8346427605929803E-8</v>
      </c>
      <c r="Q98" s="180">
        <f ca="1"/>
        <v>-1.9518233464535501E-7</v>
      </c>
      <c r="R98" s="180">
        <f ca="1"/>
        <v>1.7221416171373001E-6</v>
      </c>
      <c r="S98" s="180">
        <f ca="1"/>
        <v>-8.9715903584461405E-6</v>
      </c>
      <c r="T98" s="180">
        <f ca="1"/>
        <v>3.9021218525087102E-5</v>
      </c>
      <c r="U98" s="180">
        <f ca="1"/>
        <v>-8.7038886442583605E-5</v>
      </c>
      <c r="V98" s="180">
        <f ca="1"/>
        <v>1.9274735917514099E-4</v>
      </c>
      <c r="W98" s="180">
        <f ca="1"/>
        <v>-5.7269808217654298E-4</v>
      </c>
      <c r="X98" s="180">
        <f ca="1"/>
        <v>5.0116214571858605E-4</v>
      </c>
      <c r="Y98" s="180">
        <f ca="1"/>
        <v>4.0894040094219298E-5</v>
      </c>
      <c r="Z98" s="180">
        <f ca="1"/>
        <v>-8.3256929055350298E-6</v>
      </c>
      <c r="AA98" s="180" t="str">
        <f ca="1"/>
        <v/>
      </c>
      <c r="AB98" s="180" t="str">
        <f ca="1"/>
        <v/>
      </c>
      <c r="AC98" s="180" t="str">
        <f ca="1"/>
        <v/>
      </c>
      <c r="AD98" s="180" t="str">
        <f ca="1"/>
        <v/>
      </c>
      <c r="AE98" s="180" t="str">
        <f ca="1"/>
        <v/>
      </c>
      <c r="AF98" s="180" t="str">
        <f ca="1"/>
        <v/>
      </c>
      <c r="AG98" s="180" t="str">
        <f ca="1"/>
        <v/>
      </c>
      <c r="AH98" s="180" t="str">
        <f ca="1"/>
        <v/>
      </c>
      <c r="AI98" s="180" t="str">
        <f ca="1"/>
        <v/>
      </c>
      <c r="AJ98" s="180" t="str">
        <f ca="1"/>
        <v/>
      </c>
      <c r="AK98" s="180" t="str">
        <f ca="1"/>
        <v/>
      </c>
      <c r="AL98" s="180" t="str">
        <f ca="1"/>
        <v/>
      </c>
      <c r="AM98" s="180" t="str">
        <f ca="1"/>
        <v/>
      </c>
      <c r="AN98" s="180" t="str">
        <f ca="1"/>
        <v/>
      </c>
      <c r="AO98" s="180" t="str">
        <f ca="1"/>
        <v/>
      </c>
      <c r="AP98" s="180" t="str">
        <f ca="1"/>
        <v/>
      </c>
      <c r="AQ98" s="187" t="str">
        <f ca="1"/>
        <v/>
      </c>
    </row>
    <row r="99" spans="2:43" x14ac:dyDescent="0.25">
      <c r="B99" s="179">
        <f ca="1"/>
        <v>50573</v>
      </c>
      <c r="C99" s="180">
        <f ca="1"/>
        <v>1.0348250034653E-12</v>
      </c>
      <c r="D99" s="180">
        <f ca="1"/>
        <v>3.1836881048130598E-10</v>
      </c>
      <c r="E99" s="180">
        <f ca="1"/>
        <v>1.76059167245057E-11</v>
      </c>
      <c r="F99" s="180">
        <f ca="1"/>
        <v>1.03395764172731E-12</v>
      </c>
      <c r="G99" s="180">
        <f ca="1"/>
        <v>4.5302893381116101E-12</v>
      </c>
      <c r="H99" s="180">
        <f ca="1"/>
        <v>3.1937409314397602E-10</v>
      </c>
      <c r="I99" s="180">
        <f ca="1"/>
        <v>3.3441336852457801E-10</v>
      </c>
      <c r="J99" s="180">
        <f ca="1"/>
        <v>3.33138735347793E-10</v>
      </c>
      <c r="K99" s="180">
        <f ca="1"/>
        <v>3.3193969448119799E-10</v>
      </c>
      <c r="L99" s="180">
        <f ca="1"/>
        <v>3.3095873958055598E-10</v>
      </c>
      <c r="M99" s="180">
        <f ca="1"/>
        <v>3.2784992082257602E-10</v>
      </c>
      <c r="N99" s="180">
        <f ca="1"/>
        <v>7.05625995134351E-10</v>
      </c>
      <c r="O99" s="180">
        <f ca="1"/>
        <v>-1.7090244872064499E-8</v>
      </c>
      <c r="P99" s="180">
        <f ca="1"/>
        <v>8.2714264135891296E-8</v>
      </c>
      <c r="Q99" s="180">
        <f ca="1"/>
        <v>-2.0606422133917499E-7</v>
      </c>
      <c r="R99" s="180">
        <f ca="1"/>
        <v>1.8181540030054499E-6</v>
      </c>
      <c r="S99" s="180">
        <f ca="1"/>
        <v>-9.4717694322544993E-6</v>
      </c>
      <c r="T99" s="180">
        <f ca="1"/>
        <v>4.11967563158748E-5</v>
      </c>
      <c r="U99" s="180">
        <f ca="1"/>
        <v>-9.1891266843550896E-5</v>
      </c>
      <c r="V99" s="180">
        <f ca="1"/>
        <v>2.0349428076257099E-4</v>
      </c>
      <c r="W99" s="180">
        <f ca="1"/>
        <v>-5.6714710806139398E-4</v>
      </c>
      <c r="X99" s="180">
        <f ca="1"/>
        <v>4.5007380811735E-4</v>
      </c>
      <c r="Y99" s="180">
        <f ca="1"/>
        <v>8.8444115437489505E-5</v>
      </c>
      <c r="Z99" s="180">
        <f ca="1"/>
        <v>-1.8005129294461999E-5</v>
      </c>
      <c r="AA99" s="180" t="str">
        <f ca="1"/>
        <v/>
      </c>
      <c r="AB99" s="180" t="str">
        <f ca="1"/>
        <v/>
      </c>
      <c r="AC99" s="180" t="str">
        <f ca="1"/>
        <v/>
      </c>
      <c r="AD99" s="180" t="str">
        <f ca="1"/>
        <v/>
      </c>
      <c r="AE99" s="180" t="str">
        <f ca="1"/>
        <v/>
      </c>
      <c r="AF99" s="180" t="str">
        <f ca="1"/>
        <v/>
      </c>
      <c r="AG99" s="180" t="str">
        <f ca="1"/>
        <v/>
      </c>
      <c r="AH99" s="180" t="str">
        <f ca="1"/>
        <v/>
      </c>
      <c r="AI99" s="180" t="str">
        <f ca="1"/>
        <v/>
      </c>
      <c r="AJ99" s="180" t="str">
        <f ca="1"/>
        <v/>
      </c>
      <c r="AK99" s="180" t="str">
        <f ca="1"/>
        <v/>
      </c>
      <c r="AL99" s="180" t="str">
        <f ca="1"/>
        <v/>
      </c>
      <c r="AM99" s="180" t="str">
        <f ca="1"/>
        <v/>
      </c>
      <c r="AN99" s="180" t="str">
        <f ca="1"/>
        <v/>
      </c>
      <c r="AO99" s="180" t="str">
        <f ca="1"/>
        <v/>
      </c>
      <c r="AP99" s="180" t="str">
        <f ca="1"/>
        <v/>
      </c>
      <c r="AQ99" s="187" t="str">
        <f ca="1"/>
        <v/>
      </c>
    </row>
    <row r="100" spans="2:43" x14ac:dyDescent="0.25">
      <c r="B100" s="179">
        <f ca="1"/>
        <v>50665</v>
      </c>
      <c r="C100" s="180">
        <f ca="1"/>
        <v>9.8470537279737909E-13</v>
      </c>
      <c r="D100" s="180">
        <f ca="1"/>
        <v>3.2665738169956902E-10</v>
      </c>
      <c r="E100" s="180">
        <f ca="1"/>
        <v>1.6587169138215801E-11</v>
      </c>
      <c r="F100" s="180">
        <f ca="1"/>
        <v>9.8382760271853402E-13</v>
      </c>
      <c r="G100" s="180">
        <f ca="1"/>
        <v>4.5677732429805202E-12</v>
      </c>
      <c r="H100" s="180">
        <f ca="1"/>
        <v>3.2750505432610499E-10</v>
      </c>
      <c r="I100" s="180">
        <f ca="1"/>
        <v>3.4156677486407701E-10</v>
      </c>
      <c r="J100" s="180">
        <f ca="1"/>
        <v>3.40278135529948E-10</v>
      </c>
      <c r="K100" s="180">
        <f ca="1"/>
        <v>3.39065917703829E-10</v>
      </c>
      <c r="L100" s="180">
        <f ca="1"/>
        <v>3.3805925073182601E-10</v>
      </c>
      <c r="M100" s="180">
        <f ca="1"/>
        <v>3.3488815887050498E-10</v>
      </c>
      <c r="N100" s="180">
        <f ca="1"/>
        <v>7.21199801267947E-10</v>
      </c>
      <c r="O100" s="180">
        <f ca="1"/>
        <v>-1.7467566733320199E-8</v>
      </c>
      <c r="P100" s="180">
        <f ca="1"/>
        <v>8.4539873122790903E-8</v>
      </c>
      <c r="Q100" s="180">
        <f ca="1"/>
        <v>-2.1061260779484101E-7</v>
      </c>
      <c r="R100" s="180">
        <f ca="1"/>
        <v>1.85828457500981E-6</v>
      </c>
      <c r="S100" s="180">
        <f ca="1"/>
        <v>-9.6808300180627194E-6</v>
      </c>
      <c r="T100" s="180">
        <f ca="1"/>
        <v>4.2106078498145599E-5</v>
      </c>
      <c r="U100" s="180">
        <f ca="1"/>
        <v>-9.3919397792095697E-5</v>
      </c>
      <c r="V100" s="180">
        <f ca="1"/>
        <v>2.07986361890483E-4</v>
      </c>
      <c r="W100" s="180">
        <f ca="1"/>
        <v>-5.5195178965548495E-4</v>
      </c>
      <c r="X100" s="180">
        <f ca="1"/>
        <v>3.8982864187236602E-4</v>
      </c>
      <c r="Y100" s="180">
        <f ca="1"/>
        <v>1.4096779182289399E-4</v>
      </c>
      <c r="Z100" s="180">
        <f ca="1"/>
        <v>-2.8696842686755399E-5</v>
      </c>
      <c r="AA100" s="180" t="str">
        <f ca="1"/>
        <v/>
      </c>
      <c r="AB100" s="180" t="str">
        <f ca="1"/>
        <v/>
      </c>
      <c r="AC100" s="180" t="str">
        <f ca="1"/>
        <v/>
      </c>
      <c r="AD100" s="180" t="str">
        <f ca="1"/>
        <v/>
      </c>
      <c r="AE100" s="180" t="str">
        <f ca="1"/>
        <v/>
      </c>
      <c r="AF100" s="180" t="str">
        <f ca="1"/>
        <v/>
      </c>
      <c r="AG100" s="180" t="str">
        <f ca="1"/>
        <v/>
      </c>
      <c r="AH100" s="180" t="str">
        <f ca="1"/>
        <v/>
      </c>
      <c r="AI100" s="180" t="str">
        <f ca="1"/>
        <v/>
      </c>
      <c r="AJ100" s="180" t="str">
        <f ca="1"/>
        <v/>
      </c>
      <c r="AK100" s="180" t="str">
        <f ca="1"/>
        <v/>
      </c>
      <c r="AL100" s="180" t="str">
        <f ca="1"/>
        <v/>
      </c>
      <c r="AM100" s="180" t="str">
        <f ca="1"/>
        <v/>
      </c>
      <c r="AN100" s="180" t="str">
        <f ca="1"/>
        <v/>
      </c>
      <c r="AO100" s="180" t="str">
        <f ca="1"/>
        <v/>
      </c>
      <c r="AP100" s="180" t="str">
        <f ca="1"/>
        <v/>
      </c>
      <c r="AQ100" s="187" t="str">
        <f ca="1"/>
        <v/>
      </c>
    </row>
    <row r="101" spans="2:43" x14ac:dyDescent="0.25">
      <c r="B101" s="179">
        <f ca="1"/>
        <v>50756</v>
      </c>
      <c r="C101" s="180">
        <f ca="1"/>
        <v>9.2370555648813004E-13</v>
      </c>
      <c r="D101" s="180">
        <f ca="1"/>
        <v>3.25065308004469E-10</v>
      </c>
      <c r="E101" s="180">
        <f ca="1"/>
        <v>1.5385914764465298E-11</v>
      </c>
      <c r="F101" s="180">
        <f ca="1"/>
        <v>9.2370555648813004E-13</v>
      </c>
      <c r="G101" s="180">
        <f ca="1"/>
        <v>4.4906300900038299E-12</v>
      </c>
      <c r="H101" s="180">
        <f ca="1"/>
        <v>3.2576608077761198E-10</v>
      </c>
      <c r="I101" s="180">
        <f ca="1"/>
        <v>3.3872105120735801E-10</v>
      </c>
      <c r="J101" s="180">
        <f ca="1"/>
        <v>3.3745273242402603E-10</v>
      </c>
      <c r="K101" s="180">
        <f ca="1"/>
        <v>3.3625813244952998E-10</v>
      </c>
      <c r="L101" s="180">
        <f ca="1"/>
        <v>3.3525715537052701E-10</v>
      </c>
      <c r="M101" s="180">
        <f ca="1"/>
        <v>3.3211478012162801E-10</v>
      </c>
      <c r="N101" s="180">
        <f ca="1"/>
        <v>7.1555028569036897E-10</v>
      </c>
      <c r="O101" s="180">
        <f ca="1"/>
        <v>-1.7330806123538901E-8</v>
      </c>
      <c r="P101" s="180">
        <f ca="1"/>
        <v>8.3877505829832404E-8</v>
      </c>
      <c r="Q101" s="180">
        <f ca="1"/>
        <v>-2.0896264629755E-7</v>
      </c>
      <c r="R101" s="180">
        <f ca="1"/>
        <v>1.8437258022530001E-6</v>
      </c>
      <c r="S101" s="180">
        <f ca="1"/>
        <v>-9.6049842595036205E-6</v>
      </c>
      <c r="T101" s="180">
        <f ca="1"/>
        <v>4.1776206542998302E-5</v>
      </c>
      <c r="U101" s="180">
        <f ca="1"/>
        <v>-9.3183538869112694E-5</v>
      </c>
      <c r="V101" s="180">
        <f ca="1"/>
        <v>2.0635711228145199E-4</v>
      </c>
      <c r="W101" s="180">
        <f ca="1"/>
        <v>-5.2745640700457798E-4</v>
      </c>
      <c r="X101" s="180">
        <f ca="1"/>
        <v>3.2100898602571698E-4</v>
      </c>
      <c r="Y101" s="180">
        <f ca="1"/>
        <v>1.9805582180954E-4</v>
      </c>
      <c r="Z101" s="180">
        <f ca="1"/>
        <v>-4.0317486648788799E-5</v>
      </c>
      <c r="AA101" s="180" t="str">
        <f ca="1"/>
        <v/>
      </c>
      <c r="AB101" s="180" t="str">
        <f ca="1"/>
        <v/>
      </c>
      <c r="AC101" s="180" t="str">
        <f ca="1"/>
        <v/>
      </c>
      <c r="AD101" s="180" t="str">
        <f ca="1"/>
        <v/>
      </c>
      <c r="AE101" s="180" t="str">
        <f ca="1"/>
        <v/>
      </c>
      <c r="AF101" s="180" t="str">
        <f ca="1"/>
        <v/>
      </c>
      <c r="AG101" s="180" t="str">
        <f ca="1"/>
        <v/>
      </c>
      <c r="AH101" s="180" t="str">
        <f ca="1"/>
        <v/>
      </c>
      <c r="AI101" s="180" t="str">
        <f ca="1"/>
        <v/>
      </c>
      <c r="AJ101" s="180" t="str">
        <f ca="1"/>
        <v/>
      </c>
      <c r="AK101" s="180" t="str">
        <f ca="1"/>
        <v/>
      </c>
      <c r="AL101" s="180" t="str">
        <f ca="1"/>
        <v/>
      </c>
      <c r="AM101" s="180" t="str">
        <f ca="1"/>
        <v/>
      </c>
      <c r="AN101" s="180" t="str">
        <f ca="1"/>
        <v/>
      </c>
      <c r="AO101" s="180" t="str">
        <f ca="1"/>
        <v/>
      </c>
      <c r="AP101" s="180" t="str">
        <f ca="1"/>
        <v/>
      </c>
      <c r="AQ101" s="187" t="str">
        <f ca="1"/>
        <v/>
      </c>
    </row>
    <row r="102" spans="2:43" x14ac:dyDescent="0.25">
      <c r="B102" s="179">
        <f ca="1"/>
        <v>50846</v>
      </c>
      <c r="C102" s="180">
        <f ca="1"/>
        <v>8.5323068055309597E-13</v>
      </c>
      <c r="D102" s="180">
        <f ca="1"/>
        <v>3.1367604347298799E-10</v>
      </c>
      <c r="E102" s="180">
        <f ca="1"/>
        <v>1.39809899768473E-11</v>
      </c>
      <c r="F102" s="180">
        <f ca="1"/>
        <v>8.5149248763016802E-13</v>
      </c>
      <c r="G102" s="180">
        <f ca="1"/>
        <v>4.2930901889004502E-12</v>
      </c>
      <c r="H102" s="180">
        <f ca="1"/>
        <v>3.1424428337256702E-10</v>
      </c>
      <c r="I102" s="180">
        <f ca="1"/>
        <v>3.2593667001479301E-10</v>
      </c>
      <c r="J102" s="180">
        <f ca="1"/>
        <v>3.2472546526718398E-10</v>
      </c>
      <c r="K102" s="180">
        <f ca="1"/>
        <v>3.2358290005807302E-10</v>
      </c>
      <c r="L102" s="180">
        <f ca="1"/>
        <v>3.2261671806255202E-10</v>
      </c>
      <c r="M102" s="180">
        <f ca="1"/>
        <v>3.1959565549577498E-10</v>
      </c>
      <c r="N102" s="180">
        <f ca="1"/>
        <v>6.8882204454223702E-10</v>
      </c>
      <c r="O102" s="180">
        <f ca="1"/>
        <v>-1.6683459828914501E-8</v>
      </c>
      <c r="P102" s="180">
        <f ca="1"/>
        <v>8.0744073167188195E-8</v>
      </c>
      <c r="Q102" s="180">
        <f ca="1"/>
        <v>-2.0115648190557899E-7</v>
      </c>
      <c r="R102" s="180">
        <f ca="1"/>
        <v>1.7748495290854899E-6</v>
      </c>
      <c r="S102" s="180">
        <f ca="1"/>
        <v>-9.2461687966928496E-6</v>
      </c>
      <c r="T102" s="180">
        <f ca="1"/>
        <v>4.0215573228055003E-5</v>
      </c>
      <c r="U102" s="180">
        <f ca="1"/>
        <v>-8.9702444345515802E-5</v>
      </c>
      <c r="V102" s="180">
        <f ca="1"/>
        <v>1.9864833599884599E-4</v>
      </c>
      <c r="W102" s="180">
        <f ca="1"/>
        <v>-4.93392079284841E-4</v>
      </c>
      <c r="X102" s="180">
        <f ca="1"/>
        <v>2.4256939502857399E-4</v>
      </c>
      <c r="Y102" s="180">
        <f ca="1"/>
        <v>2.60669569145486E-4</v>
      </c>
      <c r="Z102" s="180">
        <f ca="1"/>
        <v>-5.3062639672630397E-5</v>
      </c>
      <c r="AA102" s="180" t="str">
        <f ca="1"/>
        <v/>
      </c>
      <c r="AB102" s="180" t="str">
        <f ca="1"/>
        <v/>
      </c>
      <c r="AC102" s="180" t="str">
        <f ca="1"/>
        <v/>
      </c>
      <c r="AD102" s="180" t="str">
        <f ca="1"/>
        <v/>
      </c>
      <c r="AE102" s="180" t="str">
        <f ca="1"/>
        <v/>
      </c>
      <c r="AF102" s="180" t="str">
        <f ca="1"/>
        <v/>
      </c>
      <c r="AG102" s="180" t="str">
        <f ca="1"/>
        <v/>
      </c>
      <c r="AH102" s="180" t="str">
        <f ca="1"/>
        <v/>
      </c>
      <c r="AI102" s="180" t="str">
        <f ca="1"/>
        <v/>
      </c>
      <c r="AJ102" s="180" t="str">
        <f ca="1"/>
        <v/>
      </c>
      <c r="AK102" s="180" t="str">
        <f ca="1"/>
        <v/>
      </c>
      <c r="AL102" s="180" t="str">
        <f ca="1"/>
        <v/>
      </c>
      <c r="AM102" s="180" t="str">
        <f ca="1"/>
        <v/>
      </c>
      <c r="AN102" s="180" t="str">
        <f ca="1"/>
        <v/>
      </c>
      <c r="AO102" s="180" t="str">
        <f ca="1"/>
        <v/>
      </c>
      <c r="AP102" s="180" t="str">
        <f ca="1"/>
        <v/>
      </c>
      <c r="AQ102" s="187" t="str">
        <f ca="1"/>
        <v/>
      </c>
    </row>
    <row r="103" spans="2:43" x14ac:dyDescent="0.25">
      <c r="B103" s="179">
        <f ca="1"/>
        <v>50938</v>
      </c>
      <c r="C103" s="180">
        <f ca="1"/>
        <v>7.6704614881961705E-13</v>
      </c>
      <c r="D103" s="180">
        <f ca="1"/>
        <v>2.9186100064526599E-10</v>
      </c>
      <c r="E103" s="180">
        <f ca="1"/>
        <v>1.2343317340457501E-11</v>
      </c>
      <c r="F103" s="180">
        <f ca="1"/>
        <v>7.6619266486943596E-13</v>
      </c>
      <c r="G103" s="180">
        <f ca="1"/>
        <v>3.9670385032497503E-12</v>
      </c>
      <c r="H103" s="180">
        <f ca="1"/>
        <v>2.9230490250498101E-10</v>
      </c>
      <c r="I103" s="180">
        <f ca="1"/>
        <v>3.0256052871435698E-10</v>
      </c>
      <c r="J103" s="180">
        <f ca="1"/>
        <v>3.01442273920038E-10</v>
      </c>
      <c r="K103" s="180">
        <f ca="1"/>
        <v>3.0038694795453402E-10</v>
      </c>
      <c r="L103" s="180">
        <f ca="1"/>
        <v>2.9948724056261302E-10</v>
      </c>
      <c r="M103" s="180">
        <f ca="1"/>
        <v>2.9668607848254399E-10</v>
      </c>
      <c r="N103" s="180">
        <f ca="1"/>
        <v>6.3962707352871503E-10</v>
      </c>
      <c r="O103" s="180">
        <f ca="1"/>
        <v>-1.54918520581249E-8</v>
      </c>
      <c r="P103" s="180">
        <f ca="1"/>
        <v>7.4976601097814801E-8</v>
      </c>
      <c r="Q103" s="180">
        <f ca="1"/>
        <v>-1.86788080322464E-7</v>
      </c>
      <c r="R103" s="180">
        <f ca="1"/>
        <v>1.64807323107738E-6</v>
      </c>
      <c r="S103" s="180">
        <f ca="1"/>
        <v>-8.5857207173592499E-6</v>
      </c>
      <c r="T103" s="180">
        <f ca="1"/>
        <v>3.7342996911736399E-5</v>
      </c>
      <c r="U103" s="180">
        <f ca="1"/>
        <v>-8.32950860464136E-5</v>
      </c>
      <c r="V103" s="180">
        <f ca="1"/>
        <v>1.8445889220234201E-4</v>
      </c>
      <c r="W103" s="180">
        <f ca="1"/>
        <v>-4.4873219838904198E-4</v>
      </c>
      <c r="X103" s="180">
        <f ca="1"/>
        <v>1.5278772894781301E-4</v>
      </c>
      <c r="Y103" s="180">
        <f ca="1"/>
        <v>3.3001871246837402E-4</v>
      </c>
      <c r="Z103" s="180">
        <f ca="1"/>
        <v>-6.7178461409009294E-5</v>
      </c>
      <c r="AA103" s="180" t="str">
        <f ca="1"/>
        <v/>
      </c>
      <c r="AB103" s="180" t="str">
        <f ca="1"/>
        <v/>
      </c>
      <c r="AC103" s="180" t="str">
        <f ca="1"/>
        <v/>
      </c>
      <c r="AD103" s="180" t="str">
        <f ca="1"/>
        <v/>
      </c>
      <c r="AE103" s="180" t="str">
        <f ca="1"/>
        <v/>
      </c>
      <c r="AF103" s="180" t="str">
        <f ca="1"/>
        <v/>
      </c>
      <c r="AG103" s="180" t="str">
        <f ca="1"/>
        <v/>
      </c>
      <c r="AH103" s="180" t="str">
        <f ca="1"/>
        <v/>
      </c>
      <c r="AI103" s="180" t="str">
        <f ca="1"/>
        <v/>
      </c>
      <c r="AJ103" s="180" t="str">
        <f ca="1"/>
        <v/>
      </c>
      <c r="AK103" s="180" t="str">
        <f ca="1"/>
        <v/>
      </c>
      <c r="AL103" s="180" t="str">
        <f ca="1"/>
        <v/>
      </c>
      <c r="AM103" s="180" t="str">
        <f ca="1"/>
        <v/>
      </c>
      <c r="AN103" s="180" t="str">
        <f ca="1"/>
        <v/>
      </c>
      <c r="AO103" s="180" t="str">
        <f ca="1"/>
        <v/>
      </c>
      <c r="AP103" s="180" t="str">
        <f ca="1"/>
        <v/>
      </c>
      <c r="AQ103" s="187" t="str">
        <f ca="1"/>
        <v/>
      </c>
    </row>
    <row r="104" spans="2:43" x14ac:dyDescent="0.25">
      <c r="B104" s="179">
        <f ca="1"/>
        <v>51032</v>
      </c>
      <c r="C104" s="180">
        <f ca="1"/>
        <v>6.7111247115114696E-13</v>
      </c>
      <c r="D104" s="180">
        <f ca="1"/>
        <v>2.5993185728823101E-10</v>
      </c>
      <c r="E104" s="180">
        <f ca="1"/>
        <v>1.05076398970727E-11</v>
      </c>
      <c r="F104" s="180">
        <f ca="1"/>
        <v>6.7023123162535104E-13</v>
      </c>
      <c r="G104" s="180">
        <f ca="1"/>
        <v>3.5207010917748201E-12</v>
      </c>
      <c r="H104" s="180">
        <f ca="1"/>
        <v>2.6026301946924199E-10</v>
      </c>
      <c r="I104" s="180">
        <f ca="1"/>
        <v>2.6893652235737702E-10</v>
      </c>
      <c r="J104" s="180">
        <f ca="1"/>
        <v>2.67947421195291E-10</v>
      </c>
      <c r="K104" s="180">
        <f ca="1"/>
        <v>2.6701278688090499E-10</v>
      </c>
      <c r="L104" s="180">
        <f ca="1"/>
        <v>2.6621166729356998E-10</v>
      </c>
      <c r="M104" s="180">
        <f ca="1"/>
        <v>2.6372223155268801E-10</v>
      </c>
      <c r="N104" s="180">
        <f ca="1"/>
        <v>5.6868883213656605E-10</v>
      </c>
      <c r="O104" s="180">
        <f ca="1"/>
        <v>-1.37735950110629E-8</v>
      </c>
      <c r="P104" s="180">
        <f ca="1"/>
        <v>6.6660324732348299E-8</v>
      </c>
      <c r="Q104" s="180">
        <f ca="1"/>
        <v>-1.66069806697977E-7</v>
      </c>
      <c r="R104" s="180">
        <f ca="1"/>
        <v>1.4652706134162E-6</v>
      </c>
      <c r="S104" s="180">
        <f ca="1"/>
        <v>-7.6334015425109908E-6</v>
      </c>
      <c r="T104" s="180">
        <f ca="1"/>
        <v>3.3200927886504299E-5</v>
      </c>
      <c r="U104" s="180">
        <f ca="1"/>
        <v>-7.4056190100698499E-5</v>
      </c>
      <c r="V104" s="180">
        <f ca="1"/>
        <v>1.6399836238737201E-4</v>
      </c>
      <c r="W104" s="180">
        <f ca="1"/>
        <v>-3.9437196013551002E-4</v>
      </c>
      <c r="X104" s="180">
        <f ca="1"/>
        <v>5.3871739354286602E-5</v>
      </c>
      <c r="Y104" s="180">
        <f ca="1"/>
        <v>4.0423260621187999E-4</v>
      </c>
      <c r="Z104" s="180">
        <f ca="1"/>
        <v>-8.2284359002964699E-5</v>
      </c>
      <c r="AA104" s="180" t="str">
        <f ca="1"/>
        <v/>
      </c>
      <c r="AB104" s="180" t="str">
        <f ca="1"/>
        <v/>
      </c>
      <c r="AC104" s="180" t="str">
        <f ca="1"/>
        <v/>
      </c>
      <c r="AD104" s="180" t="str">
        <f ca="1"/>
        <v/>
      </c>
      <c r="AE104" s="180" t="str">
        <f ca="1"/>
        <v/>
      </c>
      <c r="AF104" s="180" t="str">
        <f ca="1"/>
        <v/>
      </c>
      <c r="AG104" s="180" t="str">
        <f ca="1"/>
        <v/>
      </c>
      <c r="AH104" s="180" t="str">
        <f ca="1"/>
        <v/>
      </c>
      <c r="AI104" s="180" t="str">
        <f ca="1"/>
        <v/>
      </c>
      <c r="AJ104" s="180" t="str">
        <f ca="1"/>
        <v/>
      </c>
      <c r="AK104" s="180" t="str">
        <f ca="1"/>
        <v/>
      </c>
      <c r="AL104" s="180" t="str">
        <f ca="1"/>
        <v/>
      </c>
      <c r="AM104" s="180" t="str">
        <f ca="1"/>
        <v/>
      </c>
      <c r="AN104" s="180" t="str">
        <f ca="1"/>
        <v/>
      </c>
      <c r="AO104" s="180" t="str">
        <f ca="1"/>
        <v/>
      </c>
      <c r="AP104" s="180" t="str">
        <f ca="1"/>
        <v/>
      </c>
      <c r="AQ104" s="187" t="str">
        <f ca="1"/>
        <v/>
      </c>
    </row>
    <row r="105" spans="2:43" x14ac:dyDescent="0.25">
      <c r="B105" s="179">
        <f ca="1"/>
        <v>51123</v>
      </c>
      <c r="C105" s="180">
        <f ca="1"/>
        <v>5.6745580456762903E-13</v>
      </c>
      <c r="D105" s="180">
        <f ca="1"/>
        <v>2.20692911861997E-10</v>
      </c>
      <c r="E105" s="180">
        <f ca="1"/>
        <v>8.5566692620275798E-12</v>
      </c>
      <c r="F105" s="180">
        <f ca="1"/>
        <v>5.6657803448878497E-13</v>
      </c>
      <c r="G105" s="180">
        <f ca="1"/>
        <v>2.9866213668849899E-12</v>
      </c>
      <c r="H105" s="180">
        <f ca="1"/>
        <v>2.2092481663516E-10</v>
      </c>
      <c r="I105" s="180">
        <f ca="1"/>
        <v>2.27933713570216E-10</v>
      </c>
      <c r="J105" s="180">
        <f ca="1"/>
        <v>2.2709921790320399E-10</v>
      </c>
      <c r="K105" s="180">
        <f ca="1"/>
        <v>2.2631039750531399E-10</v>
      </c>
      <c r="L105" s="180">
        <f ca="1"/>
        <v>2.2563138163400601E-10</v>
      </c>
      <c r="M105" s="180">
        <f ca="1"/>
        <v>2.2352229789302E-10</v>
      </c>
      <c r="N105" s="180">
        <f ca="1"/>
        <v>4.8208821309958495E-10</v>
      </c>
      <c r="O105" s="180">
        <f ca="1"/>
        <v>-1.1675924404402899E-8</v>
      </c>
      <c r="P105" s="180">
        <f ca="1"/>
        <v>5.6507832257163297E-8</v>
      </c>
      <c r="Q105" s="180">
        <f ca="1"/>
        <v>-1.4077692506511699E-7</v>
      </c>
      <c r="R105" s="180">
        <f ca="1"/>
        <v>1.24210530300442E-6</v>
      </c>
      <c r="S105" s="180">
        <f ca="1"/>
        <v>-6.4708105010531596E-6</v>
      </c>
      <c r="T105" s="180">
        <f ca="1"/>
        <v>2.8144301568836699E-5</v>
      </c>
      <c r="U105" s="180">
        <f ca="1"/>
        <v>-6.2777305641335102E-5</v>
      </c>
      <c r="V105" s="180">
        <f ca="1"/>
        <v>1.3902038221877099E-4</v>
      </c>
      <c r="W105" s="180">
        <f ca="1"/>
        <v>-3.3358649838839699E-4</v>
      </c>
      <c r="X105" s="180">
        <f ca="1"/>
        <v>-4.9836088438424297E-5</v>
      </c>
      <c r="Y105" s="180">
        <f ca="1"/>
        <v>4.8008039657500599E-4</v>
      </c>
      <c r="Z105" s="180">
        <f ca="1"/>
        <v>-9.7416651986467802E-5</v>
      </c>
      <c r="AA105" s="180" t="str">
        <f ca="1"/>
        <v/>
      </c>
      <c r="AB105" s="180" t="str">
        <f ca="1"/>
        <v/>
      </c>
      <c r="AC105" s="180" t="str">
        <f ca="1"/>
        <v/>
      </c>
      <c r="AD105" s="180" t="str">
        <f ca="1"/>
        <v/>
      </c>
      <c r="AE105" s="180" t="str">
        <f ca="1"/>
        <v/>
      </c>
      <c r="AF105" s="180" t="str">
        <f ca="1"/>
        <v/>
      </c>
      <c r="AG105" s="180" t="str">
        <f ca="1"/>
        <v/>
      </c>
      <c r="AH105" s="180" t="str">
        <f ca="1"/>
        <v/>
      </c>
      <c r="AI105" s="180" t="str">
        <f ca="1"/>
        <v/>
      </c>
      <c r="AJ105" s="180" t="str">
        <f ca="1"/>
        <v/>
      </c>
      <c r="AK105" s="180" t="str">
        <f ca="1"/>
        <v/>
      </c>
      <c r="AL105" s="180" t="str">
        <f ca="1"/>
        <v/>
      </c>
      <c r="AM105" s="180" t="str">
        <f ca="1"/>
        <v/>
      </c>
      <c r="AN105" s="180" t="str">
        <f ca="1"/>
        <v/>
      </c>
      <c r="AO105" s="180" t="str">
        <f ca="1"/>
        <v/>
      </c>
      <c r="AP105" s="180" t="str">
        <f ca="1"/>
        <v/>
      </c>
      <c r="AQ105" s="187" t="str">
        <f ca="1"/>
        <v/>
      </c>
    </row>
    <row r="106" spans="2:43" x14ac:dyDescent="0.25">
      <c r="B106" s="179">
        <f ca="1"/>
        <v>51214</v>
      </c>
      <c r="C106" s="180">
        <f ca="1"/>
        <v>4.6571427270158899E-13</v>
      </c>
      <c r="D106" s="180">
        <f ca="1"/>
        <v>1.8178328287099501E-10</v>
      </c>
      <c r="E106" s="180">
        <f ca="1"/>
        <v>6.6555441713411799E-12</v>
      </c>
      <c r="F106" s="180">
        <f ca="1"/>
        <v>4.66581634439578E-13</v>
      </c>
      <c r="G106" s="180">
        <f ca="1"/>
        <v>2.4597684999960702E-12</v>
      </c>
      <c r="H106" s="180">
        <f ca="1"/>
        <v>1.8192230361036E-10</v>
      </c>
      <c r="I106" s="180">
        <f ca="1"/>
        <v>1.87314511124193E-10</v>
      </c>
      <c r="J106" s="180">
        <f ca="1"/>
        <v>1.86631578247276E-10</v>
      </c>
      <c r="K106" s="180">
        <f ca="1"/>
        <v>1.85986875206323E-10</v>
      </c>
      <c r="L106" s="180">
        <f ca="1"/>
        <v>1.8542732280191199E-10</v>
      </c>
      <c r="M106" s="180">
        <f ca="1"/>
        <v>1.8369653367877901E-10</v>
      </c>
      <c r="N106" s="180">
        <f ca="1"/>
        <v>3.96283873771441E-10</v>
      </c>
      <c r="O106" s="180">
        <f ca="1"/>
        <v>-9.5975158272143502E-9</v>
      </c>
      <c r="P106" s="180">
        <f ca="1"/>
        <v>4.6448578896324302E-8</v>
      </c>
      <c r="Q106" s="180">
        <f ca="1"/>
        <v>-1.15716339121885E-7</v>
      </c>
      <c r="R106" s="180">
        <f ca="1"/>
        <v>1.0209896006904699E-6</v>
      </c>
      <c r="S106" s="180">
        <f ca="1"/>
        <v>-5.3188966474722296E-6</v>
      </c>
      <c r="T106" s="180">
        <f ca="1"/>
        <v>2.31341230163724E-5</v>
      </c>
      <c r="U106" s="180">
        <f ca="1"/>
        <v>-5.1601976335392798E-5</v>
      </c>
      <c r="V106" s="180">
        <f ca="1"/>
        <v>1.1427196568644E-4</v>
      </c>
      <c r="W106" s="180">
        <f ca="1"/>
        <v>-2.7420501684293299E-4</v>
      </c>
      <c r="X106" s="180">
        <f ca="1"/>
        <v>-1.4851113235181401E-4</v>
      </c>
      <c r="Y106" s="180">
        <f ca="1"/>
        <v>5.4923884433553895E-4</v>
      </c>
      <c r="Z106" s="180">
        <f ca="1"/>
        <v>-1.0964152639879E-4</v>
      </c>
      <c r="AA106" s="180" t="str">
        <f ca="1"/>
        <v/>
      </c>
      <c r="AB106" s="180" t="str">
        <f ca="1"/>
        <v/>
      </c>
      <c r="AC106" s="180" t="str">
        <f ca="1"/>
        <v/>
      </c>
      <c r="AD106" s="180" t="str">
        <f ca="1"/>
        <v/>
      </c>
      <c r="AE106" s="180" t="str">
        <f ca="1"/>
        <v/>
      </c>
      <c r="AF106" s="180" t="str">
        <f ca="1"/>
        <v/>
      </c>
      <c r="AG106" s="180" t="str">
        <f ca="1"/>
        <v/>
      </c>
      <c r="AH106" s="180" t="str">
        <f ca="1"/>
        <v/>
      </c>
      <c r="AI106" s="180" t="str">
        <f ca="1"/>
        <v/>
      </c>
      <c r="AJ106" s="180" t="str">
        <f ca="1"/>
        <v/>
      </c>
      <c r="AK106" s="180" t="str">
        <f ca="1"/>
        <v/>
      </c>
      <c r="AL106" s="180" t="str">
        <f ca="1"/>
        <v/>
      </c>
      <c r="AM106" s="180" t="str">
        <f ca="1"/>
        <v/>
      </c>
      <c r="AN106" s="180" t="str">
        <f ca="1"/>
        <v/>
      </c>
      <c r="AO106" s="180" t="str">
        <f ca="1"/>
        <v/>
      </c>
      <c r="AP106" s="180" t="str">
        <f ca="1"/>
        <v/>
      </c>
      <c r="AQ106" s="187" t="str">
        <f ca="1"/>
        <v/>
      </c>
    </row>
    <row r="107" spans="2:43" x14ac:dyDescent="0.25">
      <c r="B107" s="179">
        <f ca="1"/>
        <v>51305</v>
      </c>
      <c r="C107" s="180">
        <f ca="1"/>
        <v>3.7274697217703999E-13</v>
      </c>
      <c r="D107" s="180">
        <f ca="1"/>
        <v>1.4567738335080601E-10</v>
      </c>
      <c r="E107" s="180">
        <f ca="1"/>
        <v>4.8760995241536899E-12</v>
      </c>
      <c r="F107" s="180">
        <f ca="1"/>
        <v>3.7100877925411199E-13</v>
      </c>
      <c r="G107" s="180">
        <f ca="1"/>
        <v>1.96799174179141E-12</v>
      </c>
      <c r="H107" s="180">
        <f ca="1"/>
        <v>1.4572778053723001E-10</v>
      </c>
      <c r="I107" s="180">
        <f ca="1"/>
        <v>1.4960207031511399E-10</v>
      </c>
      <c r="J107" s="180">
        <f ca="1"/>
        <v>1.4906250192514601E-10</v>
      </c>
      <c r="K107" s="180">
        <f ca="1"/>
        <v>1.4855073768305101E-10</v>
      </c>
      <c r="L107" s="180">
        <f ca="1"/>
        <v>1.4810326923187E-10</v>
      </c>
      <c r="M107" s="180">
        <f ca="1"/>
        <v>1.46720899318886E-10</v>
      </c>
      <c r="N107" s="180">
        <f ca="1"/>
        <v>3.16627595670083E-10</v>
      </c>
      <c r="O107" s="180">
        <f ca="1"/>
        <v>-7.6680957208918893E-9</v>
      </c>
      <c r="P107" s="180">
        <f ca="1"/>
        <v>3.7110409530083397E-8</v>
      </c>
      <c r="Q107" s="180">
        <f ca="1"/>
        <v>-9.2452211102045405E-8</v>
      </c>
      <c r="R107" s="180">
        <f ca="1"/>
        <v>8.1572444364519402E-7</v>
      </c>
      <c r="S107" s="180">
        <f ca="1"/>
        <v>-4.24955680209879E-6</v>
      </c>
      <c r="T107" s="180">
        <f ca="1"/>
        <v>1.8483100841154599E-5</v>
      </c>
      <c r="U107" s="180">
        <f ca="1"/>
        <v>-4.1227719977943201E-5</v>
      </c>
      <c r="V107" s="180">
        <f ca="1"/>
        <v>9.12977408100146E-5</v>
      </c>
      <c r="W107" s="180">
        <f ca="1"/>
        <v>-2.19079592339529E-4</v>
      </c>
      <c r="X107" s="180">
        <f ca="1"/>
        <v>-2.3811311443013399E-4</v>
      </c>
      <c r="Y107" s="180">
        <f ca="1"/>
        <v>6.0846401892185298E-4</v>
      </c>
      <c r="Z107" s="180">
        <f ca="1"/>
        <v>-1.18017025168102E-4</v>
      </c>
      <c r="AA107" s="180" t="str">
        <f ca="1"/>
        <v/>
      </c>
      <c r="AB107" s="180" t="str">
        <f ca="1"/>
        <v/>
      </c>
      <c r="AC107" s="180" t="str">
        <f ca="1"/>
        <v/>
      </c>
      <c r="AD107" s="180" t="str">
        <f ca="1"/>
        <v/>
      </c>
      <c r="AE107" s="180" t="str">
        <f ca="1"/>
        <v/>
      </c>
      <c r="AF107" s="180" t="str">
        <f ca="1"/>
        <v/>
      </c>
      <c r="AG107" s="180" t="str">
        <f ca="1"/>
        <v/>
      </c>
      <c r="AH107" s="180" t="str">
        <f ca="1"/>
        <v/>
      </c>
      <c r="AI107" s="180" t="str">
        <f ca="1"/>
        <v/>
      </c>
      <c r="AJ107" s="180" t="str">
        <f ca="1"/>
        <v/>
      </c>
      <c r="AK107" s="180" t="str">
        <f ca="1"/>
        <v/>
      </c>
      <c r="AL107" s="180" t="str">
        <f ca="1"/>
        <v/>
      </c>
      <c r="AM107" s="180" t="str">
        <f ca="1"/>
        <v/>
      </c>
      <c r="AN107" s="180" t="str">
        <f ca="1"/>
        <v/>
      </c>
      <c r="AO107" s="180" t="str">
        <f ca="1"/>
        <v/>
      </c>
      <c r="AP107" s="180" t="str">
        <f ca="1"/>
        <v/>
      </c>
      <c r="AQ107" s="187" t="str">
        <f ca="1"/>
        <v/>
      </c>
    </row>
    <row r="108" spans="2:43" x14ac:dyDescent="0.25">
      <c r="B108" s="179">
        <f ca="1"/>
        <v>51396</v>
      </c>
      <c r="C108" s="180">
        <f ca="1"/>
        <v>2.8285013220497E-13</v>
      </c>
      <c r="D108" s="180">
        <f ca="1"/>
        <v>1.1233563732004901E-10</v>
      </c>
      <c r="E108" s="180">
        <f ca="1"/>
        <v>3.21237481060166E-12</v>
      </c>
      <c r="F108" s="180">
        <f ca="1"/>
        <v>2.8197236212612598E-13</v>
      </c>
      <c r="G108" s="180">
        <f ca="1"/>
        <v>1.5117594676095101E-12</v>
      </c>
      <c r="H108" s="180">
        <f ca="1"/>
        <v>1.12301376531398E-10</v>
      </c>
      <c r="I108" s="180">
        <f ca="1"/>
        <v>1.14760947272918E-10</v>
      </c>
      <c r="J108" s="180">
        <f ca="1"/>
        <v>1.14351604574292E-10</v>
      </c>
      <c r="K108" s="180">
        <f ca="1"/>
        <v>1.13964223474872E-10</v>
      </c>
      <c r="L108" s="180">
        <f ca="1"/>
        <v>1.1361900309481101E-10</v>
      </c>
      <c r="M108" s="180">
        <f ca="1"/>
        <v>1.12561390763766E-10</v>
      </c>
      <c r="N108" s="180">
        <f ca="1"/>
        <v>2.4304250972884098E-10</v>
      </c>
      <c r="O108" s="180">
        <f ca="1"/>
        <v>-5.8857086218666596E-9</v>
      </c>
      <c r="P108" s="180">
        <f ca="1"/>
        <v>2.8483855274430399E-8</v>
      </c>
      <c r="Q108" s="180">
        <f ca="1"/>
        <v>-7.0960954036414199E-8</v>
      </c>
      <c r="R108" s="180">
        <f ca="1"/>
        <v>6.2610168829677103E-7</v>
      </c>
      <c r="S108" s="180">
        <f ca="1"/>
        <v>-3.2617066761768398E-6</v>
      </c>
      <c r="T108" s="180">
        <f ca="1"/>
        <v>1.4186518425930001E-5</v>
      </c>
      <c r="U108" s="180">
        <f ca="1"/>
        <v>-3.1644019289733802E-5</v>
      </c>
      <c r="V108" s="180">
        <f ca="1"/>
        <v>7.0074400589842405E-5</v>
      </c>
      <c r="W108" s="180">
        <f ca="1"/>
        <v>-1.6815438753689499E-4</v>
      </c>
      <c r="X108" s="180">
        <f ca="1"/>
        <v>-3.1876871613795502E-4</v>
      </c>
      <c r="Y108" s="180">
        <f ca="1"/>
        <v>6.5790287392898303E-4</v>
      </c>
      <c r="Z108" s="180">
        <f ca="1"/>
        <v>-1.22604161503666E-4</v>
      </c>
      <c r="AA108" s="180" t="str">
        <f ca="1"/>
        <v/>
      </c>
      <c r="AB108" s="180" t="str">
        <f ca="1"/>
        <v/>
      </c>
      <c r="AC108" s="180" t="str">
        <f ca="1"/>
        <v/>
      </c>
      <c r="AD108" s="180" t="str">
        <f ca="1"/>
        <v/>
      </c>
      <c r="AE108" s="180" t="str">
        <f ca="1"/>
        <v/>
      </c>
      <c r="AF108" s="180" t="str">
        <f ca="1"/>
        <v/>
      </c>
      <c r="AG108" s="180" t="str">
        <f ca="1"/>
        <v/>
      </c>
      <c r="AH108" s="180" t="str">
        <f ca="1"/>
        <v/>
      </c>
      <c r="AI108" s="180" t="str">
        <f ca="1"/>
        <v/>
      </c>
      <c r="AJ108" s="180" t="str">
        <f ca="1"/>
        <v/>
      </c>
      <c r="AK108" s="180" t="str">
        <f ca="1"/>
        <v/>
      </c>
      <c r="AL108" s="180" t="str">
        <f ca="1"/>
        <v/>
      </c>
      <c r="AM108" s="180" t="str">
        <f ca="1"/>
        <v/>
      </c>
      <c r="AN108" s="180" t="str">
        <f ca="1"/>
        <v/>
      </c>
      <c r="AO108" s="180" t="str">
        <f ca="1"/>
        <v/>
      </c>
      <c r="AP108" s="180" t="str">
        <f ca="1"/>
        <v/>
      </c>
      <c r="AQ108" s="187" t="str">
        <f ca="1"/>
        <v/>
      </c>
    </row>
    <row r="109" spans="2:43" x14ac:dyDescent="0.25">
      <c r="B109" s="179">
        <f ca="1"/>
        <v>51487</v>
      </c>
      <c r="C109" s="180">
        <f ca="1"/>
        <v>1.9852175459078601E-13</v>
      </c>
      <c r="D109" s="180">
        <f ca="1"/>
        <v>8.1410041902207895E-11</v>
      </c>
      <c r="E109" s="180">
        <f ca="1"/>
        <v>1.6523032941862001E-12</v>
      </c>
      <c r="F109" s="180">
        <f ca="1"/>
        <v>1.9764398451194199E-13</v>
      </c>
      <c r="G109" s="180">
        <f ca="1"/>
        <v>1.08835856993394E-12</v>
      </c>
      <c r="H109" s="180">
        <f ca="1"/>
        <v>8.1297604065388995E-11</v>
      </c>
      <c r="I109" s="180">
        <f ca="1"/>
        <v>8.2426371283972305E-11</v>
      </c>
      <c r="J109" s="180">
        <f ca="1"/>
        <v>8.21391288319262E-11</v>
      </c>
      <c r="K109" s="180">
        <f ca="1"/>
        <v>8.1866818879561304E-11</v>
      </c>
      <c r="L109" s="180">
        <f ca="1"/>
        <v>8.1615592756323404E-11</v>
      </c>
      <c r="M109" s="180">
        <f ca="1"/>
        <v>8.0858396367400306E-11</v>
      </c>
      <c r="N109" s="180">
        <f ca="1"/>
        <v>1.74755154791484E-10</v>
      </c>
      <c r="O109" s="180">
        <f ca="1"/>
        <v>-4.2316541486175902E-9</v>
      </c>
      <c r="P109" s="180">
        <f ca="1"/>
        <v>2.04784128092494E-8</v>
      </c>
      <c r="Q109" s="180">
        <f ca="1"/>
        <v>-5.1017090333532698E-8</v>
      </c>
      <c r="R109" s="180">
        <f ca="1"/>
        <v>4.5013194050966302E-7</v>
      </c>
      <c r="S109" s="180">
        <f ca="1"/>
        <v>-2.3449824060571598E-6</v>
      </c>
      <c r="T109" s="180">
        <f ca="1"/>
        <v>1.0199298428242901E-5</v>
      </c>
      <c r="U109" s="180">
        <f ca="1"/>
        <v>-2.27503303352125E-5</v>
      </c>
      <c r="V109" s="180">
        <f ca="1"/>
        <v>5.0379273674988602E-5</v>
      </c>
      <c r="W109" s="180">
        <f ca="1"/>
        <v>-1.20895186904908E-4</v>
      </c>
      <c r="X109" s="180">
        <f ca="1"/>
        <v>-3.9138576225488498E-4</v>
      </c>
      <c r="Y109" s="180">
        <f ca="1"/>
        <v>6.9815654907201498E-4</v>
      </c>
      <c r="Z109" s="180">
        <f ca="1"/>
        <v>-1.2346042731708299E-4</v>
      </c>
      <c r="AA109" s="180" t="str">
        <f ca="1"/>
        <v/>
      </c>
      <c r="AB109" s="180" t="str">
        <f ca="1"/>
        <v/>
      </c>
      <c r="AC109" s="180" t="str">
        <f ca="1"/>
        <v/>
      </c>
      <c r="AD109" s="180" t="str">
        <f ca="1"/>
        <v/>
      </c>
      <c r="AE109" s="180" t="str">
        <f ca="1"/>
        <v/>
      </c>
      <c r="AF109" s="180" t="str">
        <f ca="1"/>
        <v/>
      </c>
      <c r="AG109" s="180" t="str">
        <f ca="1"/>
        <v/>
      </c>
      <c r="AH109" s="180" t="str">
        <f ca="1"/>
        <v/>
      </c>
      <c r="AI109" s="180" t="str">
        <f ca="1"/>
        <v/>
      </c>
      <c r="AJ109" s="180" t="str">
        <f ca="1"/>
        <v/>
      </c>
      <c r="AK109" s="180" t="str">
        <f ca="1"/>
        <v/>
      </c>
      <c r="AL109" s="180" t="str">
        <f ca="1"/>
        <v/>
      </c>
      <c r="AM109" s="180" t="str">
        <f ca="1"/>
        <v/>
      </c>
      <c r="AN109" s="180" t="str">
        <f ca="1"/>
        <v/>
      </c>
      <c r="AO109" s="180" t="str">
        <f ca="1"/>
        <v/>
      </c>
      <c r="AP109" s="180" t="str">
        <f ca="1"/>
        <v/>
      </c>
      <c r="AQ109" s="187" t="str">
        <f ca="1"/>
        <v/>
      </c>
    </row>
    <row r="110" spans="2:43" x14ac:dyDescent="0.25">
      <c r="B110" s="179">
        <f ca="1"/>
        <v>51578</v>
      </c>
      <c r="C110" s="180">
        <f ca="1"/>
        <v>1.1643117026061101E-13</v>
      </c>
      <c r="D110" s="180">
        <f ca="1"/>
        <v>5.29367868984387E-11</v>
      </c>
      <c r="E110" s="180">
        <f ca="1"/>
        <v>1.9202001100282501E-13</v>
      </c>
      <c r="F110" s="180">
        <f ca="1"/>
        <v>1.1643117026061101E-13</v>
      </c>
      <c r="G110" s="180">
        <f ca="1"/>
        <v>6.9422939619201399E-13</v>
      </c>
      <c r="H110" s="180">
        <f ca="1"/>
        <v>5.2746505080358797E-11</v>
      </c>
      <c r="I110" s="180">
        <f ca="1"/>
        <v>5.2630944741283198E-11</v>
      </c>
      <c r="J110" s="180">
        <f ca="1"/>
        <v>5.2456299720615698E-11</v>
      </c>
      <c r="K110" s="180">
        <f ca="1"/>
        <v>5.22894783028249E-11</v>
      </c>
      <c r="L110" s="180">
        <f ca="1"/>
        <v>5.2128735356094002E-11</v>
      </c>
      <c r="M110" s="180">
        <f ca="1"/>
        <v>5.16482516477179E-11</v>
      </c>
      <c r="N110" s="180">
        <f ca="1"/>
        <v>1.1184531772956401E-10</v>
      </c>
      <c r="O110" s="180">
        <f ca="1"/>
        <v>-2.7079260569995401E-9</v>
      </c>
      <c r="P110" s="180">
        <f ca="1"/>
        <v>1.31037102904519E-8</v>
      </c>
      <c r="Q110" s="180">
        <f ca="1"/>
        <v>-3.2644618310623303E-8</v>
      </c>
      <c r="R110" s="180">
        <f ca="1"/>
        <v>2.88026885821024E-7</v>
      </c>
      <c r="S110" s="180">
        <f ca="1"/>
        <v>-1.50048690516005E-6</v>
      </c>
      <c r="T110" s="180">
        <f ca="1"/>
        <v>6.5262361888564196E-6</v>
      </c>
      <c r="U110" s="180">
        <f ca="1"/>
        <v>-1.45573590781822E-5</v>
      </c>
      <c r="V110" s="180">
        <f ca="1"/>
        <v>3.2236020780555798E-5</v>
      </c>
      <c r="W110" s="180">
        <f ca="1"/>
        <v>-7.7359033017681406E-5</v>
      </c>
      <c r="X110" s="180">
        <f ca="1"/>
        <v>-4.55836529971838E-4</v>
      </c>
      <c r="Y110" s="180">
        <f ca="1"/>
        <v>7.29075031796318E-4</v>
      </c>
      <c r="Z110" s="180">
        <f ca="1"/>
        <v>-1.20523936202512E-4</v>
      </c>
      <c r="AA110" s="180" t="str">
        <f ca="1"/>
        <v/>
      </c>
      <c r="AB110" s="180" t="str">
        <f ca="1"/>
        <v/>
      </c>
      <c r="AC110" s="180" t="str">
        <f ca="1"/>
        <v/>
      </c>
      <c r="AD110" s="180" t="str">
        <f ca="1"/>
        <v/>
      </c>
      <c r="AE110" s="180" t="str">
        <f ca="1"/>
        <v/>
      </c>
      <c r="AF110" s="180" t="str">
        <f ca="1"/>
        <v/>
      </c>
      <c r="AG110" s="180" t="str">
        <f ca="1"/>
        <v/>
      </c>
      <c r="AH110" s="180" t="str">
        <f ca="1"/>
        <v/>
      </c>
      <c r="AI110" s="180" t="str">
        <f ca="1"/>
        <v/>
      </c>
      <c r="AJ110" s="180" t="str">
        <f ca="1"/>
        <v/>
      </c>
      <c r="AK110" s="180" t="str">
        <f ca="1"/>
        <v/>
      </c>
      <c r="AL110" s="180" t="str">
        <f ca="1"/>
        <v/>
      </c>
      <c r="AM110" s="180" t="str">
        <f ca="1"/>
        <v/>
      </c>
      <c r="AN110" s="180" t="str">
        <f ca="1"/>
        <v/>
      </c>
      <c r="AO110" s="180" t="str">
        <f ca="1"/>
        <v/>
      </c>
      <c r="AP110" s="180" t="str">
        <f ca="1"/>
        <v/>
      </c>
      <c r="AQ110" s="187" t="str">
        <f ca="1"/>
        <v/>
      </c>
    </row>
    <row r="111" spans="2:43" x14ac:dyDescent="0.25">
      <c r="B111" s="179">
        <f ca="1"/>
        <v>51669</v>
      </c>
      <c r="C111" s="180">
        <f ca="1"/>
        <v>4.4311776470351598E-14</v>
      </c>
      <c r="D111" s="180">
        <f ca="1"/>
        <v>2.72208332263713E-11</v>
      </c>
      <c r="E111" s="180">
        <f ca="1"/>
        <v>-1.1451707637721899E-12</v>
      </c>
      <c r="F111" s="180">
        <f ca="1"/>
        <v>4.5182607655291899E-14</v>
      </c>
      <c r="G111" s="180">
        <f ca="1"/>
        <v>3.4059907672023801E-13</v>
      </c>
      <c r="H111" s="180">
        <f ca="1"/>
        <v>2.6957568122210101E-11</v>
      </c>
      <c r="I111" s="180">
        <f ca="1"/>
        <v>2.5699442574023101E-11</v>
      </c>
      <c r="J111" s="180">
        <f ca="1"/>
        <v>2.56273266496798E-11</v>
      </c>
      <c r="K111" s="180">
        <f ca="1"/>
        <v>2.55560780870745E-11</v>
      </c>
      <c r="L111" s="180">
        <f ca="1"/>
        <v>2.5472669112902599E-11</v>
      </c>
      <c r="M111" s="180">
        <f ca="1"/>
        <v>2.52424157964892E-11</v>
      </c>
      <c r="N111" s="180">
        <f ca="1"/>
        <v>5.4982105673895302E-11</v>
      </c>
      <c r="O111" s="180">
        <f ca="1"/>
        <v>-1.3305348108005899E-9</v>
      </c>
      <c r="P111" s="180">
        <f ca="1"/>
        <v>6.4372880949348199E-9</v>
      </c>
      <c r="Q111" s="180">
        <f ca="1"/>
        <v>-1.6036690236170799E-8</v>
      </c>
      <c r="R111" s="180">
        <f ca="1"/>
        <v>1.4149081211181601E-7</v>
      </c>
      <c r="S111" s="180">
        <f ca="1"/>
        <v>-7.3709877332350803E-7</v>
      </c>
      <c r="T111" s="180">
        <f ca="1"/>
        <v>3.2059471590517598E-6</v>
      </c>
      <c r="U111" s="180">
        <f ca="1"/>
        <v>-7.1512471952819803E-6</v>
      </c>
      <c r="V111" s="180">
        <f ca="1"/>
        <v>1.58353635943097E-5</v>
      </c>
      <c r="W111" s="180">
        <f ca="1"/>
        <v>-3.8003792247946102E-5</v>
      </c>
      <c r="X111" s="180">
        <f ca="1"/>
        <v>-5.11386603423421E-4</v>
      </c>
      <c r="Y111" s="180">
        <f ca="1"/>
        <v>7.5025779587912405E-4</v>
      </c>
      <c r="Z111" s="180">
        <f ca="1"/>
        <v>-1.13820284978822E-4</v>
      </c>
      <c r="AA111" s="180" t="str">
        <f ca="1"/>
        <v/>
      </c>
      <c r="AB111" s="180" t="str">
        <f ca="1"/>
        <v/>
      </c>
      <c r="AC111" s="180" t="str">
        <f ca="1"/>
        <v/>
      </c>
      <c r="AD111" s="180" t="str">
        <f ca="1"/>
        <v/>
      </c>
      <c r="AE111" s="180" t="str">
        <f ca="1"/>
        <v/>
      </c>
      <c r="AF111" s="180" t="str">
        <f ca="1"/>
        <v/>
      </c>
      <c r="AG111" s="180" t="str">
        <f ca="1"/>
        <v/>
      </c>
      <c r="AH111" s="180" t="str">
        <f ca="1"/>
        <v/>
      </c>
      <c r="AI111" s="180" t="str">
        <f ca="1"/>
        <v/>
      </c>
      <c r="AJ111" s="180" t="str">
        <f ca="1"/>
        <v/>
      </c>
      <c r="AK111" s="180" t="str">
        <f ca="1"/>
        <v/>
      </c>
      <c r="AL111" s="180" t="str">
        <f ca="1"/>
        <v/>
      </c>
      <c r="AM111" s="180" t="str">
        <f ca="1"/>
        <v/>
      </c>
      <c r="AN111" s="180" t="str">
        <f ca="1"/>
        <v/>
      </c>
      <c r="AO111" s="180" t="str">
        <f ca="1"/>
        <v/>
      </c>
      <c r="AP111" s="180" t="str">
        <f ca="1"/>
        <v/>
      </c>
      <c r="AQ111" s="187" t="str">
        <f ca="1"/>
        <v/>
      </c>
    </row>
    <row r="112" spans="2:43" x14ac:dyDescent="0.25">
      <c r="B112" s="179">
        <f ca="1"/>
        <v>51761</v>
      </c>
      <c r="C112" s="180">
        <f ca="1"/>
        <v>-2.5472679521243401E-14</v>
      </c>
      <c r="D112" s="180">
        <f ca="1"/>
        <v>3.9739635193658497E-12</v>
      </c>
      <c r="E112" s="180">
        <f ca="1"/>
        <v>-2.3822679939833299E-12</v>
      </c>
      <c r="F112" s="180">
        <f ca="1"/>
        <v>-2.4594909442399199E-14</v>
      </c>
      <c r="G112" s="180">
        <f ca="1"/>
        <v>1.49324996812084E-14</v>
      </c>
      <c r="H112" s="180">
        <f ca="1"/>
        <v>3.6436791084337703E-12</v>
      </c>
      <c r="I112" s="180">
        <f ca="1"/>
        <v>1.32817021269993E-12</v>
      </c>
      <c r="J112" s="180">
        <f ca="1"/>
        <v>1.34925057238E-12</v>
      </c>
      <c r="K112" s="180">
        <f ca="1"/>
        <v>1.36506084214005E-12</v>
      </c>
      <c r="L112" s="180">
        <f ca="1"/>
        <v>1.35276512214233E-12</v>
      </c>
      <c r="M112" s="180">
        <f ca="1"/>
        <v>1.3501283424588499E-12</v>
      </c>
      <c r="N112" s="180">
        <f ca="1"/>
        <v>3.54090368137605E-12</v>
      </c>
      <c r="O112" s="180">
        <f ca="1"/>
        <v>-8.4575863673608305E-11</v>
      </c>
      <c r="P112" s="180">
        <f ca="1"/>
        <v>4.06951836812164E-10</v>
      </c>
      <c r="Q112" s="180">
        <f ca="1"/>
        <v>-1.0134794080351999E-9</v>
      </c>
      <c r="R112" s="180">
        <f ca="1"/>
        <v>8.9370216713180495E-9</v>
      </c>
      <c r="S112" s="180">
        <f ca="1"/>
        <v>-4.6552104587815897E-8</v>
      </c>
      <c r="T112" s="180">
        <f ca="1"/>
        <v>2.0247859037689201E-7</v>
      </c>
      <c r="U112" s="180">
        <f ca="1"/>
        <v>-4.5180496530822202E-7</v>
      </c>
      <c r="V112" s="180">
        <f ca="1"/>
        <v>9.9969879232067502E-7</v>
      </c>
      <c r="W112" s="180">
        <f ca="1"/>
        <v>-2.4034261956462599E-6</v>
      </c>
      <c r="X112" s="180">
        <f ca="1"/>
        <v>-5.5863844712232904E-4</v>
      </c>
      <c r="Y112" s="180">
        <f ca="1"/>
        <v>7.61934589671998E-4</v>
      </c>
      <c r="Z112" s="180">
        <f ca="1"/>
        <v>-1.03277096676877E-4</v>
      </c>
      <c r="AA112" s="180" t="str">
        <f ca="1"/>
        <v/>
      </c>
      <c r="AB112" s="180" t="str">
        <f ca="1"/>
        <v/>
      </c>
      <c r="AC112" s="180" t="str">
        <f ca="1"/>
        <v/>
      </c>
      <c r="AD112" s="180" t="str">
        <f ca="1"/>
        <v/>
      </c>
      <c r="AE112" s="180" t="str">
        <f ca="1"/>
        <v/>
      </c>
      <c r="AF112" s="180" t="str">
        <f ca="1"/>
        <v/>
      </c>
      <c r="AG112" s="180" t="str">
        <f ca="1"/>
        <v/>
      </c>
      <c r="AH112" s="180" t="str">
        <f ca="1"/>
        <v/>
      </c>
      <c r="AI112" s="180" t="str">
        <f ca="1"/>
        <v/>
      </c>
      <c r="AJ112" s="180" t="str">
        <f ca="1"/>
        <v/>
      </c>
      <c r="AK112" s="180" t="str">
        <f ca="1"/>
        <v/>
      </c>
      <c r="AL112" s="180" t="str">
        <f ca="1"/>
        <v/>
      </c>
      <c r="AM112" s="180" t="str">
        <f ca="1"/>
        <v/>
      </c>
      <c r="AN112" s="180" t="str">
        <f ca="1"/>
        <v/>
      </c>
      <c r="AO112" s="180" t="str">
        <f ca="1"/>
        <v/>
      </c>
      <c r="AP112" s="180" t="str">
        <f ca="1"/>
        <v/>
      </c>
      <c r="AQ112" s="187" t="str">
        <f ca="1"/>
        <v/>
      </c>
    </row>
    <row r="113" spans="2:43" x14ac:dyDescent="0.25">
      <c r="B113" s="179">
        <f ca="1"/>
        <v>51852</v>
      </c>
      <c r="C113" s="180">
        <f ca="1"/>
        <v>-8.7929663550312398E-14</v>
      </c>
      <c r="D113" s="180">
        <f ca="1"/>
        <v>-1.6433077121291701E-11</v>
      </c>
      <c r="E113" s="180">
        <f ca="1"/>
        <v>-3.4958702599396901E-12</v>
      </c>
      <c r="F113" s="180">
        <f ca="1"/>
        <v>-8.7929663550312398E-14</v>
      </c>
      <c r="G113" s="180">
        <f ca="1"/>
        <v>-2.7089441800853799E-13</v>
      </c>
      <c r="H113" s="180">
        <f ca="1"/>
        <v>-1.6825651982799201E-11</v>
      </c>
      <c r="I113" s="180">
        <f ca="1"/>
        <v>-2.0094148567295601E-11</v>
      </c>
      <c r="J113" s="180">
        <f ca="1"/>
        <v>-1.9992008049030099E-11</v>
      </c>
      <c r="K113" s="180">
        <f ca="1"/>
        <v>-1.9898749314961599E-11</v>
      </c>
      <c r="L113" s="180">
        <f ca="1"/>
        <v>-1.9847234966618998E-11</v>
      </c>
      <c r="M113" s="180">
        <f ca="1"/>
        <v>-1.96527238927047E-11</v>
      </c>
      <c r="N113" s="180">
        <f ca="1"/>
        <v>-4.1669778738651101E-11</v>
      </c>
      <c r="O113" s="180">
        <f ca="1"/>
        <v>1.01042196831713E-9</v>
      </c>
      <c r="P113" s="180">
        <f ca="1"/>
        <v>-4.8927590867720003E-9</v>
      </c>
      <c r="Q113" s="180">
        <f ca="1"/>
        <v>1.21895080695822E-8</v>
      </c>
      <c r="R113" s="180">
        <f ca="1"/>
        <v>-1.07556556550037E-7</v>
      </c>
      <c r="S113" s="180">
        <f ca="1"/>
        <v>5.6032797335348103E-7</v>
      </c>
      <c r="T113" s="180">
        <f ca="1"/>
        <v>-2.4370875850721101E-6</v>
      </c>
      <c r="U113" s="180">
        <f ca="1"/>
        <v>5.4359424206396099E-6</v>
      </c>
      <c r="V113" s="180">
        <f ca="1"/>
        <v>-1.20384273651908E-5</v>
      </c>
      <c r="W113" s="180">
        <f ca="1"/>
        <v>2.8883878088414901E-5</v>
      </c>
      <c r="X113" s="180">
        <f ca="1"/>
        <v>-5.9690628252528899E-4</v>
      </c>
      <c r="Y113" s="180">
        <f ca="1"/>
        <v>7.6402581634216205E-4</v>
      </c>
      <c r="Z113" s="180">
        <f ca="1"/>
        <v>-8.9102061629375799E-5</v>
      </c>
      <c r="AA113" s="180" t="str">
        <f ca="1"/>
        <v/>
      </c>
      <c r="AB113" s="180" t="str">
        <f ca="1"/>
        <v/>
      </c>
      <c r="AC113" s="180" t="str">
        <f ca="1"/>
        <v/>
      </c>
      <c r="AD113" s="180" t="str">
        <f ca="1"/>
        <v/>
      </c>
      <c r="AE113" s="180" t="str">
        <f ca="1"/>
        <v/>
      </c>
      <c r="AF113" s="180" t="str">
        <f ca="1"/>
        <v/>
      </c>
      <c r="AG113" s="180" t="str">
        <f ca="1"/>
        <v/>
      </c>
      <c r="AH113" s="180" t="str">
        <f ca="1"/>
        <v/>
      </c>
      <c r="AI113" s="180" t="str">
        <f ca="1"/>
        <v/>
      </c>
      <c r="AJ113" s="180" t="str">
        <f ca="1"/>
        <v/>
      </c>
      <c r="AK113" s="180" t="str">
        <f ca="1"/>
        <v/>
      </c>
      <c r="AL113" s="180" t="str">
        <f ca="1"/>
        <v/>
      </c>
      <c r="AM113" s="180" t="str">
        <f ca="1"/>
        <v/>
      </c>
      <c r="AN113" s="180" t="str">
        <f ca="1"/>
        <v/>
      </c>
      <c r="AO113" s="180" t="str">
        <f ca="1"/>
        <v/>
      </c>
      <c r="AP113" s="180" t="str">
        <f ca="1"/>
        <v/>
      </c>
      <c r="AQ113" s="187" t="str">
        <f ca="1"/>
        <v/>
      </c>
    </row>
    <row r="114" spans="2:43" x14ac:dyDescent="0.25">
      <c r="B114" s="179">
        <f ca="1"/>
        <v>51942</v>
      </c>
      <c r="C114" s="180">
        <f ca="1"/>
        <v>-1.4683740334753299E-13</v>
      </c>
      <c r="D114" s="180">
        <f ca="1"/>
        <v>-3.4361208323119298E-11</v>
      </c>
      <c r="E114" s="180">
        <f ca="1"/>
        <v>-4.5050907448995799E-12</v>
      </c>
      <c r="F114" s="180">
        <f ca="1"/>
        <v>-1.4683740334753299E-13</v>
      </c>
      <c r="G114" s="180">
        <f ca="1"/>
        <v>-5.2653367776933605E-13</v>
      </c>
      <c r="H114" s="180">
        <f ca="1"/>
        <v>-3.4813887883622398E-11</v>
      </c>
      <c r="I114" s="180">
        <f ca="1"/>
        <v>-3.8945367764053897E-11</v>
      </c>
      <c r="J114" s="180">
        <f ca="1"/>
        <v>-3.8771593574571403E-11</v>
      </c>
      <c r="K114" s="180">
        <f ca="1"/>
        <v>-3.8610850627840401E-11</v>
      </c>
      <c r="L114" s="180">
        <f ca="1"/>
        <v>-3.85039812533794E-11</v>
      </c>
      <c r="M114" s="180">
        <f ca="1"/>
        <v>-3.8133843305310203E-11</v>
      </c>
      <c r="N114" s="180">
        <f ca="1"/>
        <v>-8.1440940796761994E-11</v>
      </c>
      <c r="O114" s="180">
        <f ca="1"/>
        <v>1.9737237955119699E-9</v>
      </c>
      <c r="P114" s="180">
        <f ca="1"/>
        <v>-9.5550697770674392E-9</v>
      </c>
      <c r="Q114" s="180">
        <f ca="1"/>
        <v>2.38045174891233E-8</v>
      </c>
      <c r="R114" s="180">
        <f ca="1"/>
        <v>-2.1003908351468999E-7</v>
      </c>
      <c r="S114" s="180">
        <f ca="1"/>
        <v>1.09421663469292E-6</v>
      </c>
      <c r="T114" s="180">
        <f ca="1"/>
        <v>-4.7591827930723602E-6</v>
      </c>
      <c r="U114" s="180">
        <f ca="1"/>
        <v>1.06155590491909E-5</v>
      </c>
      <c r="V114" s="180">
        <f ca="1"/>
        <v>-2.3508375283809399E-5</v>
      </c>
      <c r="W114" s="180">
        <f ca="1"/>
        <v>5.6408383290438403E-5</v>
      </c>
      <c r="X114" s="180">
        <f ca="1"/>
        <v>-6.2697458315542605E-4</v>
      </c>
      <c r="Y114" s="180">
        <f ca="1"/>
        <v>7.5674717646158698E-4</v>
      </c>
      <c r="Z114" s="180">
        <f ca="1"/>
        <v>-7.1093324526500703E-5</v>
      </c>
      <c r="AA114" s="180" t="str">
        <f ca="1"/>
        <v/>
      </c>
      <c r="AB114" s="180" t="str">
        <f ca="1"/>
        <v/>
      </c>
      <c r="AC114" s="180" t="str">
        <f ca="1"/>
        <v/>
      </c>
      <c r="AD114" s="180" t="str">
        <f ca="1"/>
        <v/>
      </c>
      <c r="AE114" s="180" t="str">
        <f ca="1"/>
        <v/>
      </c>
      <c r="AF114" s="180" t="str">
        <f ca="1"/>
        <v/>
      </c>
      <c r="AG114" s="180" t="str">
        <f ca="1"/>
        <v/>
      </c>
      <c r="AH114" s="180" t="str">
        <f ca="1"/>
        <v/>
      </c>
      <c r="AI114" s="180" t="str">
        <f ca="1"/>
        <v/>
      </c>
      <c r="AJ114" s="180" t="str">
        <f ca="1"/>
        <v/>
      </c>
      <c r="AK114" s="180" t="str">
        <f ca="1"/>
        <v/>
      </c>
      <c r="AL114" s="180" t="str">
        <f ca="1"/>
        <v/>
      </c>
      <c r="AM114" s="180" t="str">
        <f ca="1"/>
        <v/>
      </c>
      <c r="AN114" s="180" t="str">
        <f ca="1"/>
        <v/>
      </c>
      <c r="AO114" s="180" t="str">
        <f ca="1"/>
        <v/>
      </c>
      <c r="AP114" s="180" t="str">
        <f ca="1"/>
        <v/>
      </c>
      <c r="AQ114" s="187" t="str">
        <f ca="1"/>
        <v/>
      </c>
    </row>
    <row r="115" spans="2:43" x14ac:dyDescent="0.25">
      <c r="B115" s="179">
        <f ca="1"/>
        <v>52034</v>
      </c>
      <c r="C115" s="180">
        <f ca="1"/>
        <v>-1.9897278269454E-13</v>
      </c>
      <c r="D115" s="180">
        <f ca="1"/>
        <v>-4.9849690347825198E-11</v>
      </c>
      <c r="E115" s="180">
        <f ca="1"/>
        <v>-5.4121915282756601E-12</v>
      </c>
      <c r="F115" s="180">
        <f ca="1"/>
        <v>-1.9897278269454E-13</v>
      </c>
      <c r="G115" s="180">
        <f ca="1"/>
        <v>-7.4896686075298596E-13</v>
      </c>
      <c r="H115" s="180">
        <f ca="1"/>
        <v>-5.0356240011151198E-11</v>
      </c>
      <c r="I115" s="180">
        <f ca="1"/>
        <v>-5.5267963816607597E-11</v>
      </c>
      <c r="J115" s="180">
        <f ca="1"/>
        <v>-5.50307611979495E-11</v>
      </c>
      <c r="K115" s="180">
        <f ca="1"/>
        <v>-5.4810937039073699E-11</v>
      </c>
      <c r="L115" s="180">
        <f ca="1"/>
        <v>-5.46571468640344E-11</v>
      </c>
      <c r="M115" s="180">
        <f ca="1"/>
        <v>-5.4135827765033901E-11</v>
      </c>
      <c r="N115" s="180">
        <f ca="1"/>
        <v>-1.15866448380242E-10</v>
      </c>
      <c r="O115" s="180">
        <f ca="1"/>
        <v>2.80750379541561E-9</v>
      </c>
      <c r="P115" s="180">
        <f ca="1"/>
        <v>-1.35905174059037E-8</v>
      </c>
      <c r="Q115" s="180">
        <f ca="1"/>
        <v>3.3857804386527903E-8</v>
      </c>
      <c r="R115" s="180">
        <f ca="1"/>
        <v>-2.98742192723217E-7</v>
      </c>
      <c r="S115" s="180">
        <f ca="1"/>
        <v>1.55632057328298E-6</v>
      </c>
      <c r="T115" s="180">
        <f ca="1"/>
        <v>-6.7690561703671898E-6</v>
      </c>
      <c r="U115" s="180">
        <f ca="1"/>
        <v>1.50987492256761E-5</v>
      </c>
      <c r="V115" s="180">
        <f ca="1"/>
        <v>-3.3436084619291998E-5</v>
      </c>
      <c r="W115" s="180">
        <f ca="1"/>
        <v>8.0232217983280298E-5</v>
      </c>
      <c r="X115" s="180">
        <f ca="1"/>
        <v>-6.4867439658418099E-4</v>
      </c>
      <c r="Y115" s="180">
        <f ca="1"/>
        <v>7.3965385322560502E-4</v>
      </c>
      <c r="Z115" s="180">
        <f ca="1"/>
        <v>-4.9052366063787698E-5</v>
      </c>
      <c r="AA115" s="180" t="str">
        <f ca="1"/>
        <v/>
      </c>
      <c r="AB115" s="180" t="str">
        <f ca="1"/>
        <v/>
      </c>
      <c r="AC115" s="180" t="str">
        <f ca="1"/>
        <v/>
      </c>
      <c r="AD115" s="180" t="str">
        <f ca="1"/>
        <v/>
      </c>
      <c r="AE115" s="180" t="str">
        <f ca="1"/>
        <v/>
      </c>
      <c r="AF115" s="180" t="str">
        <f ca="1"/>
        <v/>
      </c>
      <c r="AG115" s="180" t="str">
        <f ca="1"/>
        <v/>
      </c>
      <c r="AH115" s="180" t="str">
        <f ca="1"/>
        <v/>
      </c>
      <c r="AI115" s="180" t="str">
        <f ca="1"/>
        <v/>
      </c>
      <c r="AJ115" s="180" t="str">
        <f ca="1"/>
        <v/>
      </c>
      <c r="AK115" s="180" t="str">
        <f ca="1"/>
        <v/>
      </c>
      <c r="AL115" s="180" t="str">
        <f ca="1"/>
        <v/>
      </c>
      <c r="AM115" s="180" t="str">
        <f ca="1"/>
        <v/>
      </c>
      <c r="AN115" s="180" t="str">
        <f ca="1"/>
        <v/>
      </c>
      <c r="AO115" s="180" t="str">
        <f ca="1"/>
        <v/>
      </c>
      <c r="AP115" s="180" t="str">
        <f ca="1"/>
        <v/>
      </c>
      <c r="AQ115" s="187" t="str">
        <f ca="1"/>
        <v/>
      </c>
    </row>
    <row r="116" spans="2:43" x14ac:dyDescent="0.25">
      <c r="B116" s="179">
        <f ca="1"/>
        <v>52126</v>
      </c>
      <c r="C116" s="180">
        <f ca="1"/>
        <v>-2.4683380339673998E-13</v>
      </c>
      <c r="D116" s="180">
        <f ca="1"/>
        <v>-6.2620676005709099E-11</v>
      </c>
      <c r="E116" s="180">
        <f ca="1"/>
        <v>-6.2051440374855097E-12</v>
      </c>
      <c r="F116" s="180">
        <f ca="1"/>
        <v>-2.4683380339673998E-13</v>
      </c>
      <c r="G116" s="180">
        <f ca="1"/>
        <v>-9.3727109407026908E-13</v>
      </c>
      <c r="H116" s="180">
        <f ca="1"/>
        <v>-6.3179350640041295E-11</v>
      </c>
      <c r="I116" s="180">
        <f ca="1"/>
        <v>-6.8771360134389794E-11</v>
      </c>
      <c r="J116" s="180">
        <f ca="1"/>
        <v>-6.8482362142185897E-11</v>
      </c>
      <c r="K116" s="180">
        <f ca="1"/>
        <v>-6.8214444509662199E-11</v>
      </c>
      <c r="L116" s="180">
        <f ca="1"/>
        <v>-6.8020311605465596E-11</v>
      </c>
      <c r="M116" s="180">
        <f ca="1"/>
        <v>-6.7371160733520302E-11</v>
      </c>
      <c r="N116" s="180">
        <f ca="1"/>
        <v>-1.44327626239171E-10</v>
      </c>
      <c r="O116" s="180">
        <f ca="1"/>
        <v>3.4968256866496599E-9</v>
      </c>
      <c r="P116" s="180">
        <f ca="1"/>
        <v>-1.6926815112755501E-8</v>
      </c>
      <c r="Q116" s="180">
        <f ca="1"/>
        <v>4.2169272910369498E-8</v>
      </c>
      <c r="R116" s="180">
        <f ca="1"/>
        <v>-3.7207688358825703E-7</v>
      </c>
      <c r="S116" s="180">
        <f ca="1"/>
        <v>1.9383617339795198E-6</v>
      </c>
      <c r="T116" s="180">
        <f ca="1"/>
        <v>-8.4307038941203206E-6</v>
      </c>
      <c r="U116" s="180">
        <f ca="1"/>
        <v>1.88051992009129E-5</v>
      </c>
      <c r="V116" s="180">
        <f ca="1"/>
        <v>-4.1643726913436597E-5</v>
      </c>
      <c r="W116" s="180">
        <f ca="1"/>
        <v>9.9928525340180194E-5</v>
      </c>
      <c r="X116" s="180">
        <f ca="1"/>
        <v>-6.6160313454030303E-4</v>
      </c>
      <c r="Y116" s="180">
        <f ca="1"/>
        <v>7.1298330537737295E-4</v>
      </c>
      <c r="Z116" s="180">
        <f ca="1"/>
        <v>-2.33123922021503E-5</v>
      </c>
      <c r="AA116" s="180" t="str">
        <f ca="1"/>
        <v/>
      </c>
      <c r="AB116" s="180" t="str">
        <f ca="1"/>
        <v/>
      </c>
      <c r="AC116" s="180" t="str">
        <f ca="1"/>
        <v/>
      </c>
      <c r="AD116" s="180" t="str">
        <f ca="1"/>
        <v/>
      </c>
      <c r="AE116" s="180" t="str">
        <f ca="1"/>
        <v/>
      </c>
      <c r="AF116" s="180" t="str">
        <f ca="1"/>
        <v/>
      </c>
      <c r="AG116" s="180" t="str">
        <f ca="1"/>
        <v/>
      </c>
      <c r="AH116" s="180" t="str">
        <f ca="1"/>
        <v/>
      </c>
      <c r="AI116" s="180" t="str">
        <f ca="1"/>
        <v/>
      </c>
      <c r="AJ116" s="180" t="str">
        <f ca="1"/>
        <v/>
      </c>
      <c r="AK116" s="180" t="str">
        <f ca="1"/>
        <v/>
      </c>
      <c r="AL116" s="180" t="str">
        <f ca="1"/>
        <v/>
      </c>
      <c r="AM116" s="180" t="str">
        <f ca="1"/>
        <v/>
      </c>
      <c r="AN116" s="180" t="str">
        <f ca="1"/>
        <v/>
      </c>
      <c r="AO116" s="180" t="str">
        <f ca="1"/>
        <v/>
      </c>
      <c r="AP116" s="180" t="str">
        <f ca="1"/>
        <v/>
      </c>
      <c r="AQ116" s="187" t="str">
        <f ca="1"/>
        <v/>
      </c>
    </row>
    <row r="117" spans="2:43" x14ac:dyDescent="0.25">
      <c r="B117" s="179">
        <f ca="1"/>
        <v>52217</v>
      </c>
      <c r="C117" s="180">
        <f ca="1"/>
        <v>-2.8954616482224098E-13</v>
      </c>
      <c r="D117" s="180">
        <f ca="1"/>
        <v>-7.2670758299864195E-11</v>
      </c>
      <c r="E117" s="180">
        <f ca="1"/>
        <v>-6.8789418605774699E-12</v>
      </c>
      <c r="F117" s="180">
        <f ca="1"/>
        <v>-2.8954616482224098E-13</v>
      </c>
      <c r="G117" s="180">
        <f ca="1"/>
        <v>-1.08979492097205E-12</v>
      </c>
      <c r="H117" s="180">
        <f ca="1"/>
        <v>-7.3275607803680006E-11</v>
      </c>
      <c r="I117" s="180">
        <f ca="1"/>
        <v>-7.9448447820595902E-11</v>
      </c>
      <c r="J117" s="180">
        <f ca="1"/>
        <v>-7.9117157270047794E-11</v>
      </c>
      <c r="K117" s="180">
        <f ca="1"/>
        <v>-7.8809847536831499E-11</v>
      </c>
      <c r="L117" s="180">
        <f ca="1"/>
        <v>-7.8585138396647406E-11</v>
      </c>
      <c r="M117" s="180">
        <f ca="1"/>
        <v>-7.7837292167259901E-11</v>
      </c>
      <c r="N117" s="180">
        <f ca="1"/>
        <v>-1.66814118074399E-10</v>
      </c>
      <c r="O117" s="180">
        <f ca="1"/>
        <v>4.0413556945395604E-9</v>
      </c>
      <c r="P117" s="180">
        <f ca="1"/>
        <v>-1.95623419685376E-8</v>
      </c>
      <c r="Q117" s="180">
        <f ca="1"/>
        <v>4.8734891677781902E-8</v>
      </c>
      <c r="R117" s="180">
        <f ca="1"/>
        <v>-4.3000757798949999E-7</v>
      </c>
      <c r="S117" s="180">
        <f ca="1"/>
        <v>2.2401547621342401E-6</v>
      </c>
      <c r="T117" s="180">
        <f ca="1"/>
        <v>-9.7433202963515003E-6</v>
      </c>
      <c r="U117" s="180">
        <f ca="1"/>
        <v>2.1733108870769499E-5</v>
      </c>
      <c r="V117" s="180">
        <f ca="1"/>
        <v>-4.8127330718905598E-5</v>
      </c>
      <c r="W117" s="180">
        <f ca="1"/>
        <v>1.15487692025518E-4</v>
      </c>
      <c r="X117" s="180">
        <f ca="1"/>
        <v>-6.6592862648917595E-4</v>
      </c>
      <c r="Y117" s="180">
        <f ca="1"/>
        <v>6.7715229402942601E-4</v>
      </c>
      <c r="Z117" s="180">
        <f ca="1"/>
        <v>5.8914406739774003E-6</v>
      </c>
      <c r="AA117" s="180" t="str">
        <f ca="1"/>
        <v/>
      </c>
      <c r="AB117" s="180" t="str">
        <f ca="1"/>
        <v/>
      </c>
      <c r="AC117" s="180" t="str">
        <f ca="1"/>
        <v/>
      </c>
      <c r="AD117" s="180" t="str">
        <f ca="1"/>
        <v/>
      </c>
      <c r="AE117" s="180" t="str">
        <f ca="1"/>
        <v/>
      </c>
      <c r="AF117" s="180" t="str">
        <f ca="1"/>
        <v/>
      </c>
      <c r="AG117" s="180" t="str">
        <f ca="1"/>
        <v/>
      </c>
      <c r="AH117" s="180" t="str">
        <f ca="1"/>
        <v/>
      </c>
      <c r="AI117" s="180" t="str">
        <f ca="1"/>
        <v/>
      </c>
      <c r="AJ117" s="180" t="str">
        <f ca="1"/>
        <v/>
      </c>
      <c r="AK117" s="180" t="str">
        <f ca="1"/>
        <v/>
      </c>
      <c r="AL117" s="180" t="str">
        <f ca="1"/>
        <v/>
      </c>
      <c r="AM117" s="180" t="str">
        <f ca="1"/>
        <v/>
      </c>
      <c r="AN117" s="180" t="str">
        <f ca="1"/>
        <v/>
      </c>
      <c r="AO117" s="180" t="str">
        <f ca="1"/>
        <v/>
      </c>
      <c r="AP117" s="180" t="str">
        <f ca="1"/>
        <v/>
      </c>
      <c r="AQ117" s="187" t="str">
        <f ca="1"/>
        <v/>
      </c>
    </row>
    <row r="118" spans="2:43" x14ac:dyDescent="0.25">
      <c r="B118" s="179">
        <f ca="1"/>
        <v>52307</v>
      </c>
      <c r="C118" s="180">
        <f ca="1"/>
        <v>-3.2495534041387901E-13</v>
      </c>
      <c r="D118" s="180">
        <f ca="1"/>
        <v>-8.01923735749277E-11</v>
      </c>
      <c r="E118" s="180">
        <f ca="1"/>
        <v>-7.4462172539036008E-12</v>
      </c>
      <c r="F118" s="180">
        <f ca="1"/>
        <v>-3.2408797867589101E-13</v>
      </c>
      <c r="G118" s="180">
        <f ca="1"/>
        <v>-1.2085991929478001E-12</v>
      </c>
      <c r="H118" s="180">
        <f ca="1"/>
        <v>-8.0837943977618604E-11</v>
      </c>
      <c r="I118" s="180">
        <f ca="1"/>
        <v>-8.7502179113574398E-11</v>
      </c>
      <c r="J118" s="180">
        <f ca="1"/>
        <v>-8.7139861298934905E-11</v>
      </c>
      <c r="K118" s="180">
        <f ca="1"/>
        <v>-8.6801867776875596E-11</v>
      </c>
      <c r="L118" s="180">
        <f ca="1"/>
        <v>-8.6554239470126898E-11</v>
      </c>
      <c r="M118" s="180">
        <f ca="1"/>
        <v>-8.5731421961554601E-11</v>
      </c>
      <c r="N118" s="180">
        <f ca="1"/>
        <v>-1.8375561836037099E-10</v>
      </c>
      <c r="O118" s="180">
        <f ca="1"/>
        <v>4.45162949905265E-9</v>
      </c>
      <c r="P118" s="180">
        <f ca="1"/>
        <v>-2.1548092005163601E-8</v>
      </c>
      <c r="Q118" s="180">
        <f ca="1"/>
        <v>5.36817034296755E-8</v>
      </c>
      <c r="R118" s="180">
        <f ca="1"/>
        <v>-4.7365518724557002E-7</v>
      </c>
      <c r="S118" s="180">
        <f ca="1"/>
        <v>2.4675391156470101E-6</v>
      </c>
      <c r="T118" s="180">
        <f ca="1"/>
        <v>-1.0732303261748501E-5</v>
      </c>
      <c r="U118" s="180">
        <f ca="1"/>
        <v>2.3939131586613698E-5</v>
      </c>
      <c r="V118" s="180">
        <f ca="1"/>
        <v>-5.3012344738326298E-5</v>
      </c>
      <c r="W118" s="180">
        <f ca="1"/>
        <v>1.2721079583721801E-4</v>
      </c>
      <c r="X118" s="180">
        <f ca="1"/>
        <v>-6.6187692310665203E-4</v>
      </c>
      <c r="Y118" s="180">
        <f ca="1"/>
        <v>6.3172584178717401E-4</v>
      </c>
      <c r="Z118" s="180">
        <f ca="1"/>
        <v>3.9028184297396801E-5</v>
      </c>
      <c r="AA118" s="180" t="str">
        <f ca="1"/>
        <v/>
      </c>
      <c r="AB118" s="180" t="str">
        <f ca="1"/>
        <v/>
      </c>
      <c r="AC118" s="180" t="str">
        <f ca="1"/>
        <v/>
      </c>
      <c r="AD118" s="180" t="str">
        <f ca="1"/>
        <v/>
      </c>
      <c r="AE118" s="180" t="str">
        <f ca="1"/>
        <v/>
      </c>
      <c r="AF118" s="180" t="str">
        <f ca="1"/>
        <v/>
      </c>
      <c r="AG118" s="180" t="str">
        <f ca="1"/>
        <v/>
      </c>
      <c r="AH118" s="180" t="str">
        <f ca="1"/>
        <v/>
      </c>
      <c r="AI118" s="180" t="str">
        <f ca="1"/>
        <v/>
      </c>
      <c r="AJ118" s="180" t="str">
        <f ca="1"/>
        <v/>
      </c>
      <c r="AK118" s="180" t="str">
        <f ca="1"/>
        <v/>
      </c>
      <c r="AL118" s="180" t="str">
        <f ca="1"/>
        <v/>
      </c>
      <c r="AM118" s="180" t="str">
        <f ca="1"/>
        <v/>
      </c>
      <c r="AN118" s="180" t="str">
        <f ca="1"/>
        <v/>
      </c>
      <c r="AO118" s="180" t="str">
        <f ca="1"/>
        <v/>
      </c>
      <c r="AP118" s="180" t="str">
        <f ca="1"/>
        <v/>
      </c>
      <c r="AQ118" s="187" t="str">
        <f ca="1"/>
        <v/>
      </c>
    </row>
    <row r="119" spans="2:43" x14ac:dyDescent="0.25">
      <c r="B119" s="179">
        <f ca="1"/>
        <v>52399</v>
      </c>
      <c r="C119" s="180">
        <f ca="1"/>
        <v>-3.5797406705562201E-13</v>
      </c>
      <c r="D119" s="180">
        <f ca="1"/>
        <v>-8.5155358459099201E-11</v>
      </c>
      <c r="E119" s="180">
        <f ca="1"/>
        <v>-7.9084551407593295E-12</v>
      </c>
      <c r="F119" s="180">
        <f ca="1"/>
        <v>-3.5710323587068201E-13</v>
      </c>
      <c r="G119" s="180">
        <f ca="1"/>
        <v>-1.2954845529655801E-12</v>
      </c>
      <c r="H119" s="180">
        <f ca="1"/>
        <v>-8.5839158697753604E-11</v>
      </c>
      <c r="I119" s="180">
        <f ca="1"/>
        <v>-9.2905683146682298E-11</v>
      </c>
      <c r="J119" s="180">
        <f ca="1"/>
        <v>-9.2520772293491799E-11</v>
      </c>
      <c r="K119" s="180">
        <f ca="1"/>
        <v>-9.2161927395251197E-11</v>
      </c>
      <c r="L119" s="180">
        <f ca="1"/>
        <v>-9.1899529652827994E-11</v>
      </c>
      <c r="M119" s="180">
        <f ca="1"/>
        <v>-9.1026314957831606E-11</v>
      </c>
      <c r="N119" s="180">
        <f ca="1"/>
        <v>-1.9508829274261801E-10</v>
      </c>
      <c r="O119" s="180">
        <f ca="1"/>
        <v>4.72599611875402E-9</v>
      </c>
      <c r="P119" s="180">
        <f ca="1"/>
        <v>-2.2876081029465899E-8</v>
      </c>
      <c r="Q119" s="180">
        <f ca="1"/>
        <v>5.6989805052171099E-8</v>
      </c>
      <c r="R119" s="180">
        <f ca="1"/>
        <v>-5.0284415327103704E-7</v>
      </c>
      <c r="S119" s="180">
        <f ca="1"/>
        <v>2.6196001437633902E-6</v>
      </c>
      <c r="T119" s="180">
        <f ca="1"/>
        <v>-1.1393675780235799E-5</v>
      </c>
      <c r="U119" s="180">
        <f ca="1"/>
        <v>2.5414389642330198E-5</v>
      </c>
      <c r="V119" s="180">
        <f ca="1"/>
        <v>-5.6279142596638701E-5</v>
      </c>
      <c r="W119" s="180">
        <f ca="1"/>
        <v>1.35050555059895E-4</v>
      </c>
      <c r="X119" s="180">
        <f ca="1"/>
        <v>-6.4907665971480899E-4</v>
      </c>
      <c r="Y119" s="180">
        <f ca="1"/>
        <v>5.76078376620031E-4</v>
      </c>
      <c r="Z119" s="180">
        <f ca="1"/>
        <v>7.6352812662820694E-5</v>
      </c>
      <c r="AA119" s="180" t="str">
        <f ca="1"/>
        <v/>
      </c>
      <c r="AB119" s="180" t="str">
        <f ca="1"/>
        <v/>
      </c>
      <c r="AC119" s="180" t="str">
        <f ca="1"/>
        <v/>
      </c>
      <c r="AD119" s="180" t="str">
        <f ca="1"/>
        <v/>
      </c>
      <c r="AE119" s="180" t="str">
        <f ca="1"/>
        <v/>
      </c>
      <c r="AF119" s="180" t="str">
        <f ca="1"/>
        <v/>
      </c>
      <c r="AG119" s="180" t="str">
        <f ca="1"/>
        <v/>
      </c>
      <c r="AH119" s="180" t="str">
        <f ca="1"/>
        <v/>
      </c>
      <c r="AI119" s="180" t="str">
        <f ca="1"/>
        <v/>
      </c>
      <c r="AJ119" s="180" t="str">
        <f ca="1"/>
        <v/>
      </c>
      <c r="AK119" s="180" t="str">
        <f ca="1"/>
        <v/>
      </c>
      <c r="AL119" s="180" t="str">
        <f ca="1"/>
        <v/>
      </c>
      <c r="AM119" s="180" t="str">
        <f ca="1"/>
        <v/>
      </c>
      <c r="AN119" s="180" t="str">
        <f ca="1"/>
        <v/>
      </c>
      <c r="AO119" s="180" t="str">
        <f ca="1"/>
        <v/>
      </c>
      <c r="AP119" s="180" t="str">
        <f ca="1"/>
        <v/>
      </c>
      <c r="AQ119" s="187" t="str">
        <f ca="1"/>
        <v/>
      </c>
    </row>
    <row r="120" spans="2:43" x14ac:dyDescent="0.25">
      <c r="B120" s="179">
        <f ca="1"/>
        <v>52491</v>
      </c>
      <c r="C120" s="180">
        <f ca="1"/>
        <v>-3.82111009500363E-13</v>
      </c>
      <c r="D120" s="180">
        <f ca="1"/>
        <v>-8.7455317293594296E-11</v>
      </c>
      <c r="E120" s="180">
        <f ca="1"/>
        <v>-8.25361654022139E-12</v>
      </c>
      <c r="F120" s="180">
        <f ca="1"/>
        <v>-3.8299224902615902E-13</v>
      </c>
      <c r="G120" s="180">
        <f ca="1"/>
        <v>-1.3466137926965201E-12</v>
      </c>
      <c r="H120" s="180">
        <f ca="1"/>
        <v>-8.8173864043472605E-11</v>
      </c>
      <c r="I120" s="180">
        <f ca="1"/>
        <v>-9.5546428408033205E-11</v>
      </c>
      <c r="J120" s="180">
        <f ca="1"/>
        <v>-9.5147625889247006E-11</v>
      </c>
      <c r="K120" s="180">
        <f ca="1"/>
        <v>-9.4778691839270098E-11</v>
      </c>
      <c r="L120" s="180">
        <f ca="1"/>
        <v>-9.4509015197141696E-11</v>
      </c>
      <c r="M120" s="180">
        <f ca="1"/>
        <v>-9.3609515972037397E-11</v>
      </c>
      <c r="N120" s="180">
        <f ca="1"/>
        <v>-2.00578893772008E-10</v>
      </c>
      <c r="O120" s="180">
        <f ca="1"/>
        <v>4.8589000947729699E-9</v>
      </c>
      <c r="P120" s="180">
        <f ca="1"/>
        <v>-2.3519390390108802E-8</v>
      </c>
      <c r="Q120" s="180">
        <f ca="1"/>
        <v>5.8592153545644601E-8</v>
      </c>
      <c r="R120" s="180">
        <f ca="1"/>
        <v>-5.1698286882353995E-7</v>
      </c>
      <c r="S120" s="180">
        <f ca="1"/>
        <v>2.6932558442778501E-6</v>
      </c>
      <c r="T120" s="180">
        <f ca="1"/>
        <v>-1.17140331316254E-5</v>
      </c>
      <c r="U120" s="180">
        <f ca="1"/>
        <v>2.6128981799308798E-5</v>
      </c>
      <c r="V120" s="180">
        <f ca="1"/>
        <v>-5.7861514520356199E-5</v>
      </c>
      <c r="W120" s="180">
        <f ca="1"/>
        <v>1.3884805919435101E-4</v>
      </c>
      <c r="X120" s="180">
        <f ca="1"/>
        <v>-6.2769612810871902E-4</v>
      </c>
      <c r="Y120" s="180">
        <f ca="1"/>
        <v>5.1107713873877999E-4</v>
      </c>
      <c r="Z120" s="180">
        <f ca="1"/>
        <v>1.1728577619086E-4</v>
      </c>
      <c r="AA120" s="180" t="str">
        <f ca="1"/>
        <v/>
      </c>
      <c r="AB120" s="180" t="str">
        <f ca="1"/>
        <v/>
      </c>
      <c r="AC120" s="180" t="str">
        <f ca="1"/>
        <v/>
      </c>
      <c r="AD120" s="180" t="str">
        <f ca="1"/>
        <v/>
      </c>
      <c r="AE120" s="180" t="str">
        <f ca="1"/>
        <v/>
      </c>
      <c r="AF120" s="180" t="str">
        <f ca="1"/>
        <v/>
      </c>
      <c r="AG120" s="180" t="str">
        <f ca="1"/>
        <v/>
      </c>
      <c r="AH120" s="180" t="str">
        <f ca="1"/>
        <v/>
      </c>
      <c r="AI120" s="180" t="str">
        <f ca="1"/>
        <v/>
      </c>
      <c r="AJ120" s="180" t="str">
        <f ca="1"/>
        <v/>
      </c>
      <c r="AK120" s="180" t="str">
        <f ca="1"/>
        <v/>
      </c>
      <c r="AL120" s="180" t="str">
        <f ca="1"/>
        <v/>
      </c>
      <c r="AM120" s="180" t="str">
        <f ca="1"/>
        <v/>
      </c>
      <c r="AN120" s="180" t="str">
        <f ca="1"/>
        <v/>
      </c>
      <c r="AO120" s="180" t="str">
        <f ca="1"/>
        <v/>
      </c>
      <c r="AP120" s="180" t="str">
        <f ca="1"/>
        <v/>
      </c>
      <c r="AQ120" s="187" t="str">
        <f ca="1"/>
        <v/>
      </c>
    </row>
    <row r="121" spans="2:43" x14ac:dyDescent="0.25">
      <c r="B121" s="179">
        <f ca="1"/>
        <v>52582</v>
      </c>
      <c r="C121" s="180">
        <f ca="1"/>
        <v>-4.04950378785074E-13</v>
      </c>
      <c r="D121" s="180">
        <f ca="1"/>
        <v>-8.7146994481868095E-11</v>
      </c>
      <c r="E121" s="180">
        <f ca="1"/>
        <v>-8.4899136332250403E-12</v>
      </c>
      <c r="F121" s="180">
        <f ca="1"/>
        <v>-4.04950378785074E-13</v>
      </c>
      <c r="G121" s="180">
        <f ca="1"/>
        <v>-1.36418307206121E-12</v>
      </c>
      <c r="H121" s="180">
        <f ca="1"/>
        <v>-8.7892769451425297E-11</v>
      </c>
      <c r="I121" s="180">
        <f ca="1"/>
        <v>-9.5474399219863696E-11</v>
      </c>
      <c r="J121" s="180">
        <f ca="1"/>
        <v>-9.5076474471156303E-11</v>
      </c>
      <c r="K121" s="180">
        <f ca="1"/>
        <v>-9.4704903641496E-11</v>
      </c>
      <c r="L121" s="180">
        <f ca="1"/>
        <v>-9.4436986008972199E-11</v>
      </c>
      <c r="M121" s="180">
        <f ca="1"/>
        <v>-9.3538364553946694E-11</v>
      </c>
      <c r="N121" s="180">
        <f ca="1"/>
        <v>-2.0033820782860999E-10</v>
      </c>
      <c r="O121" s="180">
        <f ca="1"/>
        <v>4.8528925912505502E-9</v>
      </c>
      <c r="P121" s="180">
        <f ca="1"/>
        <v>-2.3490415765325999E-8</v>
      </c>
      <c r="Q121" s="180">
        <f ca="1"/>
        <v>5.8519609377055699E-8</v>
      </c>
      <c r="R121" s="180">
        <f ca="1"/>
        <v>-5.16343689565407E-7</v>
      </c>
      <c r="S121" s="180">
        <f ca="1"/>
        <v>2.6899250870696099E-6</v>
      </c>
      <c r="T121" s="180">
        <f ca="1"/>
        <v>-1.16995461775724E-5</v>
      </c>
      <c r="U121" s="180">
        <f ca="1"/>
        <v>2.6096674824633401E-5</v>
      </c>
      <c r="V121" s="180">
        <f ca="1"/>
        <v>-5.7789935472611597E-5</v>
      </c>
      <c r="W121" s="180">
        <f ca="1"/>
        <v>1.3867649945387099E-4</v>
      </c>
      <c r="X121" s="180">
        <f ca="1"/>
        <v>-5.97928769506054E-4</v>
      </c>
      <c r="Y121" s="180">
        <f ca="1"/>
        <v>4.3692266859463703E-4</v>
      </c>
      <c r="Z121" s="180">
        <f ca="1"/>
        <v>1.61781843310081E-4</v>
      </c>
      <c r="AA121" s="180" t="str">
        <f ca="1"/>
        <v/>
      </c>
      <c r="AB121" s="180" t="str">
        <f ca="1"/>
        <v/>
      </c>
      <c r="AC121" s="180" t="str">
        <f ca="1"/>
        <v/>
      </c>
      <c r="AD121" s="180" t="str">
        <f ca="1"/>
        <v/>
      </c>
      <c r="AE121" s="180" t="str">
        <f ca="1"/>
        <v/>
      </c>
      <c r="AF121" s="180" t="str">
        <f ca="1"/>
        <v/>
      </c>
      <c r="AG121" s="180" t="str">
        <f ca="1"/>
        <v/>
      </c>
      <c r="AH121" s="180" t="str">
        <f ca="1"/>
        <v/>
      </c>
      <c r="AI121" s="180" t="str">
        <f ca="1"/>
        <v/>
      </c>
      <c r="AJ121" s="180" t="str">
        <f ca="1"/>
        <v/>
      </c>
      <c r="AK121" s="180" t="str">
        <f ca="1"/>
        <v/>
      </c>
      <c r="AL121" s="180" t="str">
        <f ca="1"/>
        <v/>
      </c>
      <c r="AM121" s="180" t="str">
        <f ca="1"/>
        <v/>
      </c>
      <c r="AN121" s="180" t="str">
        <f ca="1"/>
        <v/>
      </c>
      <c r="AO121" s="180" t="str">
        <f ca="1"/>
        <v/>
      </c>
      <c r="AP121" s="180" t="str">
        <f ca="1"/>
        <v/>
      </c>
      <c r="AQ121" s="187" t="str">
        <f ca="1"/>
        <v/>
      </c>
    </row>
    <row r="122" spans="2:43" x14ac:dyDescent="0.25">
      <c r="B122" s="179">
        <f ca="1"/>
        <v>52673</v>
      </c>
      <c r="C122" s="180">
        <f ca="1"/>
        <v>-4.1966430330830902E-13</v>
      </c>
      <c r="D122" s="180">
        <f ca="1"/>
        <v>-8.4219586166112098E-11</v>
      </c>
      <c r="E122" s="180">
        <f ca="1"/>
        <v>-8.61571577970288E-12</v>
      </c>
      <c r="F122" s="180">
        <f ca="1"/>
        <v>-4.1966430330830902E-13</v>
      </c>
      <c r="G122" s="180">
        <f ca="1"/>
        <v>-1.34761646286563E-12</v>
      </c>
      <c r="H122" s="180">
        <f ca="1"/>
        <v>-8.4991142595969306E-11</v>
      </c>
      <c r="I122" s="180">
        <f ca="1"/>
        <v>-9.2691073566575394E-11</v>
      </c>
      <c r="J122" s="180">
        <f ca="1"/>
        <v>-9.2300080772878003E-11</v>
      </c>
      <c r="K122" s="180">
        <f ca="1"/>
        <v>-9.1936892127053595E-11</v>
      </c>
      <c r="L122" s="180">
        <f ca="1"/>
        <v>-9.1675361746368406E-11</v>
      </c>
      <c r="M122" s="180">
        <f ca="1"/>
        <v>-9.0803017882556997E-11</v>
      </c>
      <c r="N122" s="180">
        <f ca="1"/>
        <v>-1.9435844253457E-10</v>
      </c>
      <c r="O122" s="180">
        <f ca="1"/>
        <v>4.7079157967921898E-9</v>
      </c>
      <c r="P122" s="180">
        <f ca="1"/>
        <v>-2.2788842118925999E-8</v>
      </c>
      <c r="Q122" s="180">
        <f ca="1"/>
        <v>5.67714006256825E-8</v>
      </c>
      <c r="R122" s="180">
        <f ca="1"/>
        <v>-5.0091977783078802E-7</v>
      </c>
      <c r="S122" s="180">
        <f ca="1"/>
        <v>2.6095722261351702E-6</v>
      </c>
      <c r="T122" s="180">
        <f ca="1"/>
        <v>-1.13500598797819E-5</v>
      </c>
      <c r="U122" s="180">
        <f ca="1"/>
        <v>2.5317123000630899E-5</v>
      </c>
      <c r="V122" s="180">
        <f ca="1"/>
        <v>-5.6063639378760299E-5</v>
      </c>
      <c r="W122" s="180">
        <f ca="1"/>
        <v>1.3453404027590599E-4</v>
      </c>
      <c r="X122" s="180">
        <f ca="1"/>
        <v>-5.5944264117083903E-4</v>
      </c>
      <c r="Y122" s="180">
        <f ca="1"/>
        <v>3.52788402847436E-4</v>
      </c>
      <c r="Z122" s="180">
        <f ca="1"/>
        <v>2.1033723919464101E-4</v>
      </c>
      <c r="AA122" s="180" t="str">
        <f ca="1"/>
        <v/>
      </c>
      <c r="AB122" s="180" t="str">
        <f ca="1"/>
        <v/>
      </c>
      <c r="AC122" s="180" t="str">
        <f ca="1"/>
        <v/>
      </c>
      <c r="AD122" s="180" t="str">
        <f ca="1"/>
        <v/>
      </c>
      <c r="AE122" s="180" t="str">
        <f ca="1"/>
        <v/>
      </c>
      <c r="AF122" s="180" t="str">
        <f ca="1"/>
        <v/>
      </c>
      <c r="AG122" s="180" t="str">
        <f ca="1"/>
        <v/>
      </c>
      <c r="AH122" s="180" t="str">
        <f ca="1"/>
        <v/>
      </c>
      <c r="AI122" s="180" t="str">
        <f ca="1"/>
        <v/>
      </c>
      <c r="AJ122" s="180" t="str">
        <f ca="1"/>
        <v/>
      </c>
      <c r="AK122" s="180" t="str">
        <f ca="1"/>
        <v/>
      </c>
      <c r="AL122" s="180" t="str">
        <f ca="1"/>
        <v/>
      </c>
      <c r="AM122" s="180" t="str">
        <f ca="1"/>
        <v/>
      </c>
      <c r="AN122" s="180" t="str">
        <f ca="1"/>
        <v/>
      </c>
      <c r="AO122" s="180" t="str">
        <f ca="1"/>
        <v/>
      </c>
      <c r="AP122" s="180" t="str">
        <f ca="1"/>
        <v/>
      </c>
      <c r="AQ122" s="187" t="str">
        <f ca="1"/>
        <v/>
      </c>
    </row>
    <row r="123" spans="2:43" x14ac:dyDescent="0.25">
      <c r="B123" s="179">
        <f ca="1"/>
        <v>52765</v>
      </c>
      <c r="C123" s="180">
        <f ca="1"/>
        <v>-4.2944467426586601E-13</v>
      </c>
      <c r="D123" s="180">
        <f ca="1"/>
        <v>-7.8554183990942102E-11</v>
      </c>
      <c r="E123" s="180">
        <f ca="1"/>
        <v>-8.6296907120253508E-12</v>
      </c>
      <c r="F123" s="180">
        <f ca="1"/>
        <v>-4.2859119031568602E-13</v>
      </c>
      <c r="G123" s="180">
        <f ca="1"/>
        <v>-1.2951341388234299E-12</v>
      </c>
      <c r="H123" s="180">
        <f ca="1"/>
        <v>-7.93484410122058E-11</v>
      </c>
      <c r="I123" s="180">
        <f ca="1"/>
        <v>-8.70724777002341E-11</v>
      </c>
      <c r="J123" s="180">
        <f ca="1"/>
        <v>-8.6700008283813203E-11</v>
      </c>
      <c r="K123" s="180">
        <f ca="1"/>
        <v>-8.6354753209283404E-11</v>
      </c>
      <c r="L123" s="180">
        <f ca="1"/>
        <v>-8.61132450069579E-11</v>
      </c>
      <c r="M123" s="180">
        <f ca="1"/>
        <v>-8.5290073614796595E-11</v>
      </c>
      <c r="N123" s="180">
        <f ca="1"/>
        <v>-1.8238516946711401E-10</v>
      </c>
      <c r="O123" s="180">
        <f ca="1"/>
        <v>4.41774701889774E-9</v>
      </c>
      <c r="P123" s="180">
        <f ca="1"/>
        <v>-2.13845562542503E-8</v>
      </c>
      <c r="Q123" s="180">
        <f ca="1"/>
        <v>5.3272500452616902E-8</v>
      </c>
      <c r="R123" s="180">
        <f ca="1"/>
        <v>-4.7004913153111901E-7</v>
      </c>
      <c r="S123" s="180">
        <f ca="1"/>
        <v>2.4487485486141E-6</v>
      </c>
      <c r="T123" s="180">
        <f ca="1"/>
        <v>-1.06505743824314E-5</v>
      </c>
      <c r="U123" s="180">
        <f ca="1"/>
        <v>2.37568680880734E-5</v>
      </c>
      <c r="V123" s="180">
        <f ca="1"/>
        <v>-5.2608534367986501E-5</v>
      </c>
      <c r="W123" s="180">
        <f ca="1"/>
        <v>1.26242886388031E-4</v>
      </c>
      <c r="X123" s="180">
        <f ca="1"/>
        <v>-5.1152594310449303E-4</v>
      </c>
      <c r="Y123" s="180">
        <f ca="1"/>
        <v>2.5742343907487298E-4</v>
      </c>
      <c r="Z123" s="180">
        <f ca="1"/>
        <v>2.6361661816358802E-4</v>
      </c>
      <c r="AA123" s="180" t="str">
        <f ca="1"/>
        <v/>
      </c>
      <c r="AB123" s="180" t="str">
        <f ca="1"/>
        <v/>
      </c>
      <c r="AC123" s="180" t="str">
        <f ca="1"/>
        <v/>
      </c>
      <c r="AD123" s="180" t="str">
        <f ca="1"/>
        <v/>
      </c>
      <c r="AE123" s="180" t="str">
        <f ca="1"/>
        <v/>
      </c>
      <c r="AF123" s="180" t="str">
        <f ca="1"/>
        <v/>
      </c>
      <c r="AG123" s="180" t="str">
        <f ca="1"/>
        <v/>
      </c>
      <c r="AH123" s="180" t="str">
        <f ca="1"/>
        <v/>
      </c>
      <c r="AI123" s="180" t="str">
        <f ca="1"/>
        <v/>
      </c>
      <c r="AJ123" s="180" t="str">
        <f ca="1"/>
        <v/>
      </c>
      <c r="AK123" s="180" t="str">
        <f ca="1"/>
        <v/>
      </c>
      <c r="AL123" s="180" t="str">
        <f ca="1"/>
        <v/>
      </c>
      <c r="AM123" s="180" t="str">
        <f ca="1"/>
        <v/>
      </c>
      <c r="AN123" s="180" t="str">
        <f ca="1"/>
        <v/>
      </c>
      <c r="AO123" s="180" t="str">
        <f ca="1"/>
        <v/>
      </c>
      <c r="AP123" s="180" t="str">
        <f ca="1"/>
        <v/>
      </c>
      <c r="AQ123" s="187" t="str">
        <f ca="1"/>
        <v/>
      </c>
    </row>
    <row r="124" spans="2:43" x14ac:dyDescent="0.25">
      <c r="B124" s="179">
        <f ca="1"/>
        <v>52859</v>
      </c>
      <c r="C124" s="180">
        <f ca="1"/>
        <v>-4.3481884759444301E-13</v>
      </c>
      <c r="D124" s="180">
        <f ca="1"/>
        <v>-7.0226900683589794E-11</v>
      </c>
      <c r="E124" s="180">
        <f ca="1"/>
        <v>-8.5268077321121199E-12</v>
      </c>
      <c r="F124" s="180">
        <f ca="1"/>
        <v>-4.3394107751559799E-13</v>
      </c>
      <c r="G124" s="180">
        <f ca="1"/>
        <v>-1.210462285961E-12</v>
      </c>
      <c r="H124" s="180">
        <f ca="1"/>
        <v>-7.1035923671081097E-11</v>
      </c>
      <c r="I124" s="180">
        <f ca="1"/>
        <v>-7.8686068077926702E-11</v>
      </c>
      <c r="J124" s="180">
        <f ca="1"/>
        <v>-7.8341728937392206E-11</v>
      </c>
      <c r="K124" s="180">
        <f ca="1"/>
        <v>-7.8024621485983697E-11</v>
      </c>
      <c r="L124" s="180">
        <f ca="1"/>
        <v>-7.7807652681949296E-11</v>
      </c>
      <c r="M124" s="180">
        <f ca="1"/>
        <v>-7.7063629783102896E-11</v>
      </c>
      <c r="N124" s="180">
        <f ca="1"/>
        <v>-1.6455672241511E-10</v>
      </c>
      <c r="O124" s="180">
        <f ca="1"/>
        <v>3.9857304262591597E-9</v>
      </c>
      <c r="P124" s="180">
        <f ca="1"/>
        <v>-1.9293762192063001E-8</v>
      </c>
      <c r="Q124" s="180">
        <f ca="1"/>
        <v>4.8063277312965198E-8</v>
      </c>
      <c r="R124" s="180">
        <f ca="1"/>
        <v>-4.2408798319251701E-7</v>
      </c>
      <c r="S124" s="180">
        <f ca="1"/>
        <v>2.2093098076270101E-6</v>
      </c>
      <c r="T124" s="180">
        <f ca="1"/>
        <v>-9.6091619593216498E-6</v>
      </c>
      <c r="U124" s="180">
        <f ca="1"/>
        <v>2.14339108808893E-5</v>
      </c>
      <c r="V124" s="180">
        <f ca="1"/>
        <v>-4.7464506905948299E-5</v>
      </c>
      <c r="W124" s="180">
        <f ca="1"/>
        <v>1.13898614309774E-4</v>
      </c>
      <c r="X124" s="180">
        <f ca="1"/>
        <v>-4.5496119170765998E-4</v>
      </c>
      <c r="Y124" s="180">
        <f ca="1"/>
        <v>1.5270665732013499E-4</v>
      </c>
      <c r="Z124" s="180">
        <f ca="1"/>
        <v>3.2042336395539698E-4</v>
      </c>
      <c r="AA124" s="180" t="str">
        <f ca="1"/>
        <v/>
      </c>
      <c r="AB124" s="180" t="str">
        <f ca="1"/>
        <v/>
      </c>
      <c r="AC124" s="180" t="str">
        <f ca="1"/>
        <v/>
      </c>
      <c r="AD124" s="180" t="str">
        <f ca="1"/>
        <v/>
      </c>
      <c r="AE124" s="180" t="str">
        <f ca="1"/>
        <v/>
      </c>
      <c r="AF124" s="180" t="str">
        <f ca="1"/>
        <v/>
      </c>
      <c r="AG124" s="180" t="str">
        <f ca="1"/>
        <v/>
      </c>
      <c r="AH124" s="180" t="str">
        <f ca="1"/>
        <v/>
      </c>
      <c r="AI124" s="180" t="str">
        <f ca="1"/>
        <v/>
      </c>
      <c r="AJ124" s="180" t="str">
        <f ca="1"/>
        <v/>
      </c>
      <c r="AK124" s="180" t="str">
        <f ca="1"/>
        <v/>
      </c>
      <c r="AL124" s="180" t="str">
        <f ca="1"/>
        <v/>
      </c>
      <c r="AM124" s="180" t="str">
        <f ca="1"/>
        <v/>
      </c>
      <c r="AN124" s="180" t="str">
        <f ca="1"/>
        <v/>
      </c>
      <c r="AO124" s="180" t="str">
        <f ca="1"/>
        <v/>
      </c>
      <c r="AP124" s="180" t="str">
        <f ca="1"/>
        <v/>
      </c>
      <c r="AQ124" s="187" t="str">
        <f ca="1"/>
        <v/>
      </c>
    </row>
    <row r="125" spans="2:43" x14ac:dyDescent="0.25">
      <c r="B125" s="179">
        <f ca="1"/>
        <v>52950</v>
      </c>
      <c r="C125" s="180">
        <f ca="1"/>
        <v>-4.3393760806864599E-13</v>
      </c>
      <c r="D125" s="180">
        <f ca="1"/>
        <v>-5.9944136460155003E-11</v>
      </c>
      <c r="E125" s="180">
        <f ca="1"/>
        <v>-8.3370671477567303E-12</v>
      </c>
      <c r="F125" s="180">
        <f ca="1"/>
        <v>-4.3481537814749101E-13</v>
      </c>
      <c r="G125" s="180">
        <f ca="1"/>
        <v>-1.09714320961629E-12</v>
      </c>
      <c r="H125" s="180">
        <f ca="1"/>
        <v>-6.0765458637090904E-11</v>
      </c>
      <c r="I125" s="180">
        <f ca="1"/>
        <v>-6.8267148878309301E-11</v>
      </c>
      <c r="J125" s="180">
        <f ca="1"/>
        <v>-6.7959703836661906E-11</v>
      </c>
      <c r="K125" s="180">
        <f ca="1"/>
        <v>-6.7676853704457E-11</v>
      </c>
      <c r="L125" s="180">
        <f ca="1"/>
        <v>-6.7491505439942795E-11</v>
      </c>
      <c r="M125" s="180">
        <f ca="1"/>
        <v>-6.6841476797918605E-11</v>
      </c>
      <c r="N125" s="180">
        <f ca="1"/>
        <v>-1.42432877991983E-10</v>
      </c>
      <c r="O125" s="180">
        <f ca="1"/>
        <v>3.4496607757839001E-9</v>
      </c>
      <c r="P125" s="180">
        <f ca="1"/>
        <v>-1.6699368041162001E-8</v>
      </c>
      <c r="Q125" s="180">
        <f ca="1"/>
        <v>4.1599428957095302E-8</v>
      </c>
      <c r="R125" s="180">
        <f ca="1"/>
        <v>-3.6705698348849001E-7</v>
      </c>
      <c r="S125" s="180">
        <f ca="1"/>
        <v>1.9122019800574302E-6</v>
      </c>
      <c r="T125" s="180">
        <f ca="1"/>
        <v>-8.3169230693617996E-6</v>
      </c>
      <c r="U125" s="180">
        <f ca="1"/>
        <v>1.8551469218829101E-5</v>
      </c>
      <c r="V125" s="180">
        <f ca="1"/>
        <v>-4.1081516296035501E-5</v>
      </c>
      <c r="W125" s="180">
        <f ca="1"/>
        <v>9.8581299440108502E-5</v>
      </c>
      <c r="X125" s="180">
        <f ca="1"/>
        <v>-3.9274422200133398E-4</v>
      </c>
      <c r="Y125" s="180">
        <f ca="1"/>
        <v>4.2643242075063301E-5</v>
      </c>
      <c r="Z125" s="180">
        <f ca="1"/>
        <v>3.7903644392562501E-4</v>
      </c>
      <c r="AA125" s="180" t="str">
        <f ca="1"/>
        <v/>
      </c>
      <c r="AB125" s="180" t="str">
        <f ca="1"/>
        <v/>
      </c>
      <c r="AC125" s="180" t="str">
        <f ca="1"/>
        <v/>
      </c>
      <c r="AD125" s="180" t="str">
        <f ca="1"/>
        <v/>
      </c>
      <c r="AE125" s="180" t="str">
        <f ca="1"/>
        <v/>
      </c>
      <c r="AF125" s="180" t="str">
        <f ca="1"/>
        <v/>
      </c>
      <c r="AG125" s="180" t="str">
        <f ca="1"/>
        <v/>
      </c>
      <c r="AH125" s="180" t="str">
        <f ca="1"/>
        <v/>
      </c>
      <c r="AI125" s="180" t="str">
        <f ca="1"/>
        <v/>
      </c>
      <c r="AJ125" s="180" t="str">
        <f ca="1"/>
        <v/>
      </c>
      <c r="AK125" s="180" t="str">
        <f ca="1"/>
        <v/>
      </c>
      <c r="AL125" s="180" t="str">
        <f ca="1"/>
        <v/>
      </c>
      <c r="AM125" s="180" t="str">
        <f ca="1"/>
        <v/>
      </c>
      <c r="AN125" s="180" t="str">
        <f ca="1"/>
        <v/>
      </c>
      <c r="AO125" s="180" t="str">
        <f ca="1"/>
        <v/>
      </c>
      <c r="AP125" s="180" t="str">
        <f ca="1"/>
        <v/>
      </c>
      <c r="AQ125" s="187" t="str">
        <f ca="1"/>
        <v/>
      </c>
    </row>
    <row r="126" spans="2:43" x14ac:dyDescent="0.25">
      <c r="B126" s="179">
        <f ca="1"/>
        <v>53038</v>
      </c>
      <c r="C126" s="180">
        <f ca="1"/>
        <v>-4.3539824523541901E-13</v>
      </c>
      <c r="D126" s="180">
        <f ca="1"/>
        <v>-4.98520391634116E-11</v>
      </c>
      <c r="E126" s="180">
        <f ca="1"/>
        <v>-8.1424242348582303E-12</v>
      </c>
      <c r="F126" s="180">
        <f ca="1"/>
        <v>-4.3539824523541901E-13</v>
      </c>
      <c r="G126" s="180">
        <f ca="1"/>
        <v>-9.8559702066403097E-13</v>
      </c>
      <c r="H126" s="180">
        <f ca="1"/>
        <v>-5.0686264213561901E-11</v>
      </c>
      <c r="I126" s="180">
        <f ca="1"/>
        <v>-5.8033577943206202E-11</v>
      </c>
      <c r="J126" s="180">
        <f ca="1"/>
        <v>-5.7762305355479901E-11</v>
      </c>
      <c r="K126" s="180">
        <f ca="1"/>
        <v>-5.7512293538675197E-11</v>
      </c>
      <c r="L126" s="180">
        <f ca="1"/>
        <v>-5.7359225008601898E-11</v>
      </c>
      <c r="M126" s="180">
        <f ca="1"/>
        <v>-5.6804776160657201E-11</v>
      </c>
      <c r="N126" s="180">
        <f ca="1"/>
        <v>-1.2070600075020399E-10</v>
      </c>
      <c r="O126" s="180">
        <f ca="1"/>
        <v>2.9231987039302101E-9</v>
      </c>
      <c r="P126" s="180">
        <f ca="1"/>
        <v>-1.4151458730543601E-8</v>
      </c>
      <c r="Q126" s="180">
        <f ca="1"/>
        <v>3.5251406897696098E-8</v>
      </c>
      <c r="R126" s="180">
        <f ca="1"/>
        <v>-3.1104789807723201E-7</v>
      </c>
      <c r="S126" s="180">
        <f ca="1"/>
        <v>1.6204179810706799E-6</v>
      </c>
      <c r="T126" s="180">
        <f ca="1"/>
        <v>-7.04783885720206E-6</v>
      </c>
      <c r="U126" s="180">
        <f ca="1"/>
        <v>1.57206800300916E-5</v>
      </c>
      <c r="V126" s="180">
        <f ca="1"/>
        <v>-3.4812886710387798E-5</v>
      </c>
      <c r="W126" s="180">
        <f ca="1"/>
        <v>8.3538531301007704E-5</v>
      </c>
      <c r="X126" s="180">
        <f ca="1"/>
        <v>-3.3281784313094999E-4</v>
      </c>
      <c r="Y126" s="180">
        <f ca="1"/>
        <v>-6.2595799752051401E-5</v>
      </c>
      <c r="Z126" s="180">
        <f ca="1"/>
        <v>4.3494434591652799E-4</v>
      </c>
      <c r="AA126" s="180" t="str">
        <f ca="1"/>
        <v/>
      </c>
      <c r="AB126" s="180" t="str">
        <f ca="1"/>
        <v/>
      </c>
      <c r="AC126" s="180" t="str">
        <f ca="1"/>
        <v/>
      </c>
      <c r="AD126" s="180" t="str">
        <f ca="1"/>
        <v/>
      </c>
      <c r="AE126" s="180" t="str">
        <f ca="1"/>
        <v/>
      </c>
      <c r="AF126" s="180" t="str">
        <f ca="1"/>
        <v/>
      </c>
      <c r="AG126" s="180" t="str">
        <f ca="1"/>
        <v/>
      </c>
      <c r="AH126" s="180" t="str">
        <f ca="1"/>
        <v/>
      </c>
      <c r="AI126" s="180" t="str">
        <f ca="1"/>
        <v/>
      </c>
      <c r="AJ126" s="180" t="str">
        <f ca="1"/>
        <v/>
      </c>
      <c r="AK126" s="180" t="str">
        <f ca="1"/>
        <v/>
      </c>
      <c r="AL126" s="180" t="str">
        <f ca="1"/>
        <v/>
      </c>
      <c r="AM126" s="180" t="str">
        <f ca="1"/>
        <v/>
      </c>
      <c r="AN126" s="180" t="str">
        <f ca="1"/>
        <v/>
      </c>
      <c r="AO126" s="180" t="str">
        <f ca="1"/>
        <v/>
      </c>
      <c r="AP126" s="180" t="str">
        <f ca="1"/>
        <v/>
      </c>
      <c r="AQ126" s="187" t="str">
        <f ca="1"/>
        <v/>
      </c>
    </row>
    <row r="127" spans="2:43" x14ac:dyDescent="0.25">
      <c r="B127" s="179">
        <f ca="1"/>
        <v>53132</v>
      </c>
      <c r="C127" s="180">
        <f ca="1"/>
        <v>-4.33566377244787E-13</v>
      </c>
      <c r="D127" s="180">
        <f ca="1"/>
        <v>-3.9901994902669102E-11</v>
      </c>
      <c r="E127" s="180">
        <f ca="1"/>
        <v>-7.94755580790785E-12</v>
      </c>
      <c r="F127" s="180">
        <f ca="1"/>
        <v>-4.32695546059847E-13</v>
      </c>
      <c r="G127" s="180">
        <f ca="1"/>
        <v>-8.7582024965726595E-13</v>
      </c>
      <c r="H127" s="180">
        <f ca="1"/>
        <v>-4.07465346186076E-11</v>
      </c>
      <c r="I127" s="180">
        <f ca="1"/>
        <v>-4.7938174263517697E-11</v>
      </c>
      <c r="J127" s="180">
        <f ca="1"/>
        <v>-4.7701842476044502E-11</v>
      </c>
      <c r="K127" s="180">
        <f ca="1"/>
        <v>-4.7487229426490497E-11</v>
      </c>
      <c r="L127" s="180">
        <f ca="1"/>
        <v>-4.73638524234321E-11</v>
      </c>
      <c r="M127" s="180">
        <f ca="1"/>
        <v>-4.6903349260052397E-11</v>
      </c>
      <c r="N127" s="180">
        <f ca="1"/>
        <v>-9.9277974729972104E-11</v>
      </c>
      <c r="O127" s="180">
        <f ca="1"/>
        <v>2.4040213292275701E-9</v>
      </c>
      <c r="P127" s="180">
        <f ca="1"/>
        <v>-1.1638807306812999E-8</v>
      </c>
      <c r="Q127" s="180">
        <f ca="1"/>
        <v>2.8991233760877801E-8</v>
      </c>
      <c r="R127" s="180">
        <f ca="1"/>
        <v>-2.5581389354392702E-7</v>
      </c>
      <c r="S127" s="180">
        <f ca="1"/>
        <v>1.3326718424459801E-6</v>
      </c>
      <c r="T127" s="180">
        <f ca="1"/>
        <v>-5.79631685518334E-6</v>
      </c>
      <c r="U127" s="180">
        <f ca="1"/>
        <v>1.29290649569062E-5</v>
      </c>
      <c r="V127" s="180">
        <f ca="1"/>
        <v>-2.8631004790478199E-5</v>
      </c>
      <c r="W127" s="180">
        <f ca="1"/>
        <v>6.8703937892735504E-5</v>
      </c>
      <c r="X127" s="180">
        <f ca="1"/>
        <v>-2.7372068974015901E-4</v>
      </c>
      <c r="Y127" s="180">
        <f ca="1"/>
        <v>-1.6620540219592199E-4</v>
      </c>
      <c r="Z127" s="180">
        <f ca="1"/>
        <v>4.8988186322702204E-4</v>
      </c>
      <c r="AA127" s="180" t="str">
        <f ca="1"/>
        <v/>
      </c>
      <c r="AB127" s="180" t="str">
        <f ca="1"/>
        <v/>
      </c>
      <c r="AC127" s="180" t="str">
        <f ca="1"/>
        <v/>
      </c>
      <c r="AD127" s="180" t="str">
        <f ca="1"/>
        <v/>
      </c>
      <c r="AE127" s="180" t="str">
        <f ca="1"/>
        <v/>
      </c>
      <c r="AF127" s="180" t="str">
        <f ca="1"/>
        <v/>
      </c>
      <c r="AG127" s="180" t="str">
        <f ca="1"/>
        <v/>
      </c>
      <c r="AH127" s="180" t="str">
        <f ca="1"/>
        <v/>
      </c>
      <c r="AI127" s="180" t="str">
        <f ca="1"/>
        <v/>
      </c>
      <c r="AJ127" s="180" t="str">
        <f ca="1"/>
        <v/>
      </c>
      <c r="AK127" s="180" t="str">
        <f ca="1"/>
        <v/>
      </c>
      <c r="AL127" s="180" t="str">
        <f ca="1"/>
        <v/>
      </c>
      <c r="AM127" s="180" t="str">
        <f ca="1"/>
        <v/>
      </c>
      <c r="AN127" s="180" t="str">
        <f ca="1"/>
        <v/>
      </c>
      <c r="AO127" s="180" t="str">
        <f ca="1"/>
        <v/>
      </c>
      <c r="AP127" s="180" t="str">
        <f ca="1"/>
        <v/>
      </c>
      <c r="AQ127" s="187" t="str">
        <f ca="1"/>
        <v/>
      </c>
    </row>
    <row r="128" spans="2:43" x14ac:dyDescent="0.25">
      <c r="B128" s="179">
        <f ca="1"/>
        <v>53223</v>
      </c>
      <c r="C128" s="180">
        <f ca="1"/>
        <v>-4.3306330743675398E-13</v>
      </c>
      <c r="D128" s="180">
        <f ca="1"/>
        <v>-3.0762208752532797E-11</v>
      </c>
      <c r="E128" s="180">
        <f ca="1"/>
        <v>-7.7687335731102504E-12</v>
      </c>
      <c r="F128" s="180">
        <f ca="1"/>
        <v>-4.3306330743675398E-13</v>
      </c>
      <c r="G128" s="180">
        <f ca="1"/>
        <v>-7.75643438366558E-13</v>
      </c>
      <c r="H128" s="180">
        <f ca="1"/>
        <v>-3.1617788248672302E-11</v>
      </c>
      <c r="I128" s="180">
        <f ca="1"/>
        <v>-3.8670608382140902E-11</v>
      </c>
      <c r="J128" s="180">
        <f ca="1"/>
        <v>-3.8467690838261997E-11</v>
      </c>
      <c r="K128" s="180">
        <f ca="1"/>
        <v>-3.8283223813273498E-11</v>
      </c>
      <c r="L128" s="180">
        <f ca="1"/>
        <v>-3.8188355255819298E-11</v>
      </c>
      <c r="M128" s="180">
        <f ca="1"/>
        <v>-3.7811514336238997E-11</v>
      </c>
      <c r="N128" s="180">
        <f ca="1"/>
        <v>-7.9599625502080303E-11</v>
      </c>
      <c r="O128" s="180">
        <f ca="1"/>
        <v>1.9272355135380199E-9</v>
      </c>
      <c r="P128" s="180">
        <f ca="1"/>
        <v>-9.3313155015428695E-9</v>
      </c>
      <c r="Q128" s="180">
        <f ca="1"/>
        <v>2.3242207276841202E-8</v>
      </c>
      <c r="R128" s="180">
        <f ca="1"/>
        <v>-2.0508979306152499E-7</v>
      </c>
      <c r="S128" s="180">
        <f ca="1"/>
        <v>1.06842044047054E-6</v>
      </c>
      <c r="T128" s="180">
        <f ca="1"/>
        <v>-4.6469822293469798E-6</v>
      </c>
      <c r="U128" s="180">
        <f ca="1"/>
        <v>1.03653898167952E-5</v>
      </c>
      <c r="V128" s="180">
        <f ca="1"/>
        <v>-2.29538678280065E-5</v>
      </c>
      <c r="W128" s="180">
        <f ca="1"/>
        <v>5.5080664225701203E-5</v>
      </c>
      <c r="X128" s="180">
        <f ca="1"/>
        <v>-2.19447872148289E-4</v>
      </c>
      <c r="Y128" s="180">
        <f ca="1"/>
        <v>-2.6138171685700598E-4</v>
      </c>
      <c r="Z128" s="180">
        <f ca="1"/>
        <v>5.4036767170751604E-4</v>
      </c>
      <c r="AA128" s="180" t="str">
        <f ca="1"/>
        <v/>
      </c>
      <c r="AB128" s="180" t="str">
        <f ca="1"/>
        <v/>
      </c>
      <c r="AC128" s="180" t="str">
        <f ca="1"/>
        <v/>
      </c>
      <c r="AD128" s="180" t="str">
        <f ca="1"/>
        <v/>
      </c>
      <c r="AE128" s="180" t="str">
        <f ca="1"/>
        <v/>
      </c>
      <c r="AF128" s="180" t="str">
        <f ca="1"/>
        <v/>
      </c>
      <c r="AG128" s="180" t="str">
        <f ca="1"/>
        <v/>
      </c>
      <c r="AH128" s="180" t="str">
        <f ca="1"/>
        <v/>
      </c>
      <c r="AI128" s="180" t="str">
        <f ca="1"/>
        <v/>
      </c>
      <c r="AJ128" s="180" t="str">
        <f ca="1"/>
        <v/>
      </c>
      <c r="AK128" s="180" t="str">
        <f ca="1"/>
        <v/>
      </c>
      <c r="AL128" s="180" t="str">
        <f ca="1"/>
        <v/>
      </c>
      <c r="AM128" s="180" t="str">
        <f ca="1"/>
        <v/>
      </c>
      <c r="AN128" s="180" t="str">
        <f ca="1"/>
        <v/>
      </c>
      <c r="AO128" s="180" t="str">
        <f ca="1"/>
        <v/>
      </c>
      <c r="AP128" s="180" t="str">
        <f ca="1"/>
        <v/>
      </c>
      <c r="AQ128" s="187" t="str">
        <f ca="1"/>
        <v/>
      </c>
    </row>
    <row r="129" spans="2:43" x14ac:dyDescent="0.25">
      <c r="B129" s="179">
        <f ca="1"/>
        <v>53314</v>
      </c>
      <c r="C129" s="180">
        <f ca="1"/>
        <v>-4.3393760806864599E-13</v>
      </c>
      <c r="D129" s="180">
        <f ca="1"/>
        <v>-2.21141785439194E-11</v>
      </c>
      <c r="E129" s="180">
        <f ca="1"/>
        <v>-7.6000733484349293E-12</v>
      </c>
      <c r="F129" s="180">
        <f ca="1"/>
        <v>-4.31300828385162E-13</v>
      </c>
      <c r="G129" s="180">
        <f ca="1"/>
        <v>-6.8077488091233797E-13</v>
      </c>
      <c r="H129" s="180">
        <f ca="1"/>
        <v>-2.29785426797413E-11</v>
      </c>
      <c r="I129" s="180">
        <f ca="1"/>
        <v>-2.9898718917342703E-11</v>
      </c>
      <c r="J129" s="180">
        <f ca="1"/>
        <v>-2.97247920721944E-11</v>
      </c>
      <c r="K129" s="180">
        <f ca="1"/>
        <v>-2.9570190046568402E-11</v>
      </c>
      <c r="L129" s="180">
        <f ca="1"/>
        <v>-2.95007976380823E-11</v>
      </c>
      <c r="M129" s="180">
        <f ca="1"/>
        <v>-2.9207403856590401E-11</v>
      </c>
      <c r="N129" s="180">
        <f ca="1"/>
        <v>-6.0978912891362898E-11</v>
      </c>
      <c r="O129" s="180">
        <f ca="1"/>
        <v>1.4760236990984899E-9</v>
      </c>
      <c r="P129" s="180">
        <f ca="1"/>
        <v>-7.1475906512907797E-9</v>
      </c>
      <c r="Q129" s="180">
        <f ca="1"/>
        <v>1.78015422194755E-8</v>
      </c>
      <c r="R129" s="180">
        <f ca="1"/>
        <v>-1.5708637028308299E-7</v>
      </c>
      <c r="S129" s="180">
        <f ca="1"/>
        <v>8.1834266659960895E-7</v>
      </c>
      <c r="T129" s="180">
        <f ca="1"/>
        <v>-3.5592939171789902E-6</v>
      </c>
      <c r="U129" s="180">
        <f ca="1"/>
        <v>7.9392238199020599E-6</v>
      </c>
      <c r="V129" s="180">
        <f ca="1"/>
        <v>-1.7581225950243799E-5</v>
      </c>
      <c r="W129" s="180">
        <f ca="1"/>
        <v>4.2188148867989398E-5</v>
      </c>
      <c r="X129" s="180">
        <f ca="1"/>
        <v>-1.68085296926739E-4</v>
      </c>
      <c r="Y129" s="180">
        <f ca="1"/>
        <v>-3.5148337743175602E-4</v>
      </c>
      <c r="Z129" s="180">
        <f ca="1"/>
        <v>5.8818385923216398E-4</v>
      </c>
      <c r="AA129" s="180" t="str">
        <f ca="1"/>
        <v/>
      </c>
      <c r="AB129" s="180" t="str">
        <f ca="1"/>
        <v/>
      </c>
      <c r="AC129" s="180" t="str">
        <f ca="1"/>
        <v/>
      </c>
      <c r="AD129" s="180" t="str">
        <f ca="1"/>
        <v/>
      </c>
      <c r="AE129" s="180" t="str">
        <f ca="1"/>
        <v/>
      </c>
      <c r="AF129" s="180" t="str">
        <f ca="1"/>
        <v/>
      </c>
      <c r="AG129" s="180" t="str">
        <f ca="1"/>
        <v/>
      </c>
      <c r="AH129" s="180" t="str">
        <f ca="1"/>
        <v/>
      </c>
      <c r="AI129" s="180" t="str">
        <f ca="1"/>
        <v/>
      </c>
      <c r="AJ129" s="180" t="str">
        <f ca="1"/>
        <v/>
      </c>
      <c r="AK129" s="180" t="str">
        <f ca="1"/>
        <v/>
      </c>
      <c r="AL129" s="180" t="str">
        <f ca="1"/>
        <v/>
      </c>
      <c r="AM129" s="180" t="str">
        <f ca="1"/>
        <v/>
      </c>
      <c r="AN129" s="180" t="str">
        <f ca="1"/>
        <v/>
      </c>
      <c r="AO129" s="180" t="str">
        <f ca="1"/>
        <v/>
      </c>
      <c r="AP129" s="180" t="str">
        <f ca="1"/>
        <v/>
      </c>
      <c r="AQ129" s="187" t="str">
        <f ca="1"/>
        <v/>
      </c>
    </row>
    <row r="130" spans="2:43" x14ac:dyDescent="0.25">
      <c r="B130" s="179">
        <f ca="1"/>
        <v>53405</v>
      </c>
      <c r="C130" s="180">
        <f ca="1"/>
        <v>-4.32699015506799E-13</v>
      </c>
      <c r="D130" s="180">
        <f ca="1"/>
        <v>-1.39644823482499E-11</v>
      </c>
      <c r="E130" s="180">
        <f ca="1"/>
        <v>-7.4427443375046904E-12</v>
      </c>
      <c r="F130" s="180">
        <f ca="1"/>
        <v>-4.33566377244787E-13</v>
      </c>
      <c r="G130" s="180">
        <f ca="1"/>
        <v>-5.9083293812989298E-13</v>
      </c>
      <c r="H130" s="180">
        <f ca="1"/>
        <v>-1.4836829681508199E-11</v>
      </c>
      <c r="I130" s="180">
        <f ca="1"/>
        <v>-2.1631394592214199E-11</v>
      </c>
      <c r="J130" s="180">
        <f ca="1"/>
        <v>-2.1488897467003599E-11</v>
      </c>
      <c r="K130" s="180">
        <f ca="1"/>
        <v>-2.1361173246914301E-11</v>
      </c>
      <c r="L130" s="180">
        <f ca="1"/>
        <v>-2.1316861470444001E-11</v>
      </c>
      <c r="M130" s="180">
        <f ca="1"/>
        <v>-2.11005136974141E-11</v>
      </c>
      <c r="N130" s="180">
        <f ca="1"/>
        <v>-4.3428739771034198E-11</v>
      </c>
      <c r="O130" s="180">
        <f ca="1"/>
        <v>1.05077338150017E-9</v>
      </c>
      <c r="P130" s="180">
        <f ca="1"/>
        <v>-5.0895235872983099E-9</v>
      </c>
      <c r="Q130" s="180">
        <f ca="1"/>
        <v>1.26739427633304E-8</v>
      </c>
      <c r="R130" s="180">
        <f ca="1"/>
        <v>-1.11845172255653E-7</v>
      </c>
      <c r="S130" s="180">
        <f ca="1"/>
        <v>5.8265493299569595E-7</v>
      </c>
      <c r="T130" s="180">
        <f ca="1"/>
        <v>-2.5341933151956699E-6</v>
      </c>
      <c r="U130" s="180">
        <f ca="1"/>
        <v>5.6526661777432703E-6</v>
      </c>
      <c r="V130" s="180">
        <f ca="1"/>
        <v>-1.25177309092152E-5</v>
      </c>
      <c r="W130" s="180">
        <f ca="1"/>
        <v>3.00375368465222E-5</v>
      </c>
      <c r="X130" s="180">
        <f ca="1"/>
        <v>-1.19677610926568E-4</v>
      </c>
      <c r="Y130" s="180">
        <f ca="1"/>
        <v>-4.3643238247869899E-4</v>
      </c>
      <c r="Z130" s="180">
        <f ca="1"/>
        <v>6.3328899680043004E-4</v>
      </c>
      <c r="AA130" s="180" t="str">
        <f ca="1"/>
        <v/>
      </c>
      <c r="AB130" s="180" t="str">
        <f ca="1"/>
        <v/>
      </c>
      <c r="AC130" s="180" t="str">
        <f ca="1"/>
        <v/>
      </c>
      <c r="AD130" s="180" t="str">
        <f ca="1"/>
        <v/>
      </c>
      <c r="AE130" s="180" t="str">
        <f ca="1"/>
        <v/>
      </c>
      <c r="AF130" s="180" t="str">
        <f ca="1"/>
        <v/>
      </c>
      <c r="AG130" s="180" t="str">
        <f ca="1"/>
        <v/>
      </c>
      <c r="AH130" s="180" t="str">
        <f ca="1"/>
        <v/>
      </c>
      <c r="AI130" s="180" t="str">
        <f ca="1"/>
        <v/>
      </c>
      <c r="AJ130" s="180" t="str">
        <f ca="1"/>
        <v/>
      </c>
      <c r="AK130" s="180" t="str">
        <f ca="1"/>
        <v/>
      </c>
      <c r="AL130" s="180" t="str">
        <f ca="1"/>
        <v/>
      </c>
      <c r="AM130" s="180" t="str">
        <f ca="1"/>
        <v/>
      </c>
      <c r="AN130" s="180" t="str">
        <f ca="1"/>
        <v/>
      </c>
      <c r="AO130" s="180" t="str">
        <f ca="1"/>
        <v/>
      </c>
      <c r="AP130" s="180" t="str">
        <f ca="1"/>
        <v/>
      </c>
      <c r="AQ130" s="187" t="str">
        <f ca="1"/>
        <v/>
      </c>
    </row>
    <row r="131" spans="2:43" x14ac:dyDescent="0.25">
      <c r="B131" s="179">
        <f ca="1"/>
        <v>53496</v>
      </c>
      <c r="C131" s="180">
        <f ca="1"/>
        <v>-4.33566377244787E-13</v>
      </c>
      <c r="D131" s="180">
        <f ca="1"/>
        <v>-6.3966228147638296E-12</v>
      </c>
      <c r="E131" s="180">
        <f ca="1"/>
        <v>-7.2959034647102105E-12</v>
      </c>
      <c r="F131" s="180">
        <f ca="1"/>
        <v>-4.31828184321859E-13</v>
      </c>
      <c r="G131" s="180">
        <f ca="1"/>
        <v>-5.0655313277303498E-13</v>
      </c>
      <c r="H131" s="180">
        <f ca="1"/>
        <v>-7.2776576431898799E-12</v>
      </c>
      <c r="I131" s="180">
        <f ca="1"/>
        <v>-1.3957529576558201E-11</v>
      </c>
      <c r="J131" s="180">
        <f ca="1"/>
        <v>-1.38402345140065E-11</v>
      </c>
      <c r="K131" s="180">
        <f ca="1"/>
        <v>-1.37377054176824E-11</v>
      </c>
      <c r="L131" s="180">
        <f ca="1"/>
        <v>-1.37194595961621E-11</v>
      </c>
      <c r="M131" s="180">
        <f ca="1"/>
        <v>-1.35691458069687E-11</v>
      </c>
      <c r="N131" s="180">
        <f ca="1"/>
        <v>-2.71339478663535E-11</v>
      </c>
      <c r="O131" s="180">
        <f ca="1"/>
        <v>6.5595181369948505E-10</v>
      </c>
      <c r="P131" s="180">
        <f ca="1"/>
        <v>-3.17871381300128E-9</v>
      </c>
      <c r="Q131" s="180">
        <f ca="1"/>
        <v>7.9132344149579498E-9</v>
      </c>
      <c r="R131" s="180">
        <f ca="1"/>
        <v>-6.9841067710379998E-8</v>
      </c>
      <c r="S131" s="180">
        <f ca="1"/>
        <v>3.6383112262186601E-7</v>
      </c>
      <c r="T131" s="180">
        <f ca="1"/>
        <v>-1.58244041088135E-6</v>
      </c>
      <c r="U131" s="180">
        <f ca="1"/>
        <v>3.5297172471804301E-6</v>
      </c>
      <c r="V131" s="180">
        <f ca="1"/>
        <v>-7.8165332432732198E-6</v>
      </c>
      <c r="W131" s="180">
        <f ca="1"/>
        <v>1.8756355871060001E-5</v>
      </c>
      <c r="X131" s="180">
        <f ca="1"/>
        <v>-7.4733090441255604E-5</v>
      </c>
      <c r="Y131" s="180">
        <f ca="1"/>
        <v>-5.1526991079039704E-4</v>
      </c>
      <c r="Z131" s="180">
        <f ca="1"/>
        <v>6.7513023775326404E-4</v>
      </c>
      <c r="AA131" s="180" t="str">
        <f ca="1"/>
        <v/>
      </c>
      <c r="AB131" s="180" t="str">
        <f ca="1"/>
        <v/>
      </c>
      <c r="AC131" s="180" t="str">
        <f ca="1"/>
        <v/>
      </c>
      <c r="AD131" s="180" t="str">
        <f ca="1"/>
        <v/>
      </c>
      <c r="AE131" s="180" t="str">
        <f ca="1"/>
        <v/>
      </c>
      <c r="AF131" s="180" t="str">
        <f ca="1"/>
        <v/>
      </c>
      <c r="AG131" s="180" t="str">
        <f ca="1"/>
        <v/>
      </c>
      <c r="AH131" s="180" t="str">
        <f ca="1"/>
        <v/>
      </c>
      <c r="AI131" s="180" t="str">
        <f ca="1"/>
        <v/>
      </c>
      <c r="AJ131" s="180" t="str">
        <f ca="1"/>
        <v/>
      </c>
      <c r="AK131" s="180" t="str">
        <f ca="1"/>
        <v/>
      </c>
      <c r="AL131" s="180" t="str">
        <f ca="1"/>
        <v/>
      </c>
      <c r="AM131" s="180" t="str">
        <f ca="1"/>
        <v/>
      </c>
      <c r="AN131" s="180" t="str">
        <f ca="1"/>
        <v/>
      </c>
      <c r="AO131" s="180" t="str">
        <f ca="1"/>
        <v/>
      </c>
      <c r="AP131" s="180" t="str">
        <f ca="1"/>
        <v/>
      </c>
      <c r="AQ131" s="187" t="str">
        <f ca="1"/>
        <v/>
      </c>
    </row>
    <row r="132" spans="2:43" x14ac:dyDescent="0.25">
      <c r="B132" s="179">
        <f ca="1"/>
        <v>53587</v>
      </c>
      <c r="C132" s="180">
        <f ca="1"/>
        <v>-4.2954875767442502E-13</v>
      </c>
      <c r="D132" s="180">
        <f ca="1"/>
        <v>5.9820204345584196E-13</v>
      </c>
      <c r="E132" s="180">
        <f ca="1"/>
        <v>-7.1564733306051002E-12</v>
      </c>
      <c r="F132" s="180">
        <f ca="1"/>
        <v>-4.2954875767442502E-13</v>
      </c>
      <c r="G132" s="180">
        <f ca="1"/>
        <v>-4.2867098759558101E-13</v>
      </c>
      <c r="H132" s="180">
        <f ca="1"/>
        <v>-2.9339378149195698E-13</v>
      </c>
      <c r="I132" s="180">
        <f ca="1"/>
        <v>-6.86308301856009E-12</v>
      </c>
      <c r="J132" s="180">
        <f ca="1"/>
        <v>-6.7708477713423999E-12</v>
      </c>
      <c r="K132" s="180">
        <f ca="1"/>
        <v>-6.6935484932528798E-12</v>
      </c>
      <c r="L132" s="180">
        <f ca="1"/>
        <v>-6.69530403341057E-12</v>
      </c>
      <c r="M132" s="180">
        <f ca="1"/>
        <v>-6.6127346654010203E-12</v>
      </c>
      <c r="N132" s="180">
        <f ca="1"/>
        <v>-1.20756148136447E-11</v>
      </c>
      <c r="O132" s="180">
        <f ca="1"/>
        <v>2.91156987408669E-10</v>
      </c>
      <c r="P132" s="180">
        <f ca="1"/>
        <v>-1.4132167970581901E-9</v>
      </c>
      <c r="Q132" s="180">
        <f ca="1"/>
        <v>3.5145688546955898E-9</v>
      </c>
      <c r="R132" s="180">
        <f ca="1"/>
        <v>-3.1031285672999999E-8</v>
      </c>
      <c r="S132" s="180">
        <f ca="1"/>
        <v>1.6164842651239501E-7</v>
      </c>
      <c r="T132" s="180">
        <f ca="1"/>
        <v>-7.0306615738285904E-7</v>
      </c>
      <c r="U132" s="180">
        <f ca="1"/>
        <v>1.5682152473307799E-6</v>
      </c>
      <c r="V132" s="180">
        <f ca="1"/>
        <v>-3.4728470332465199E-6</v>
      </c>
      <c r="W132" s="180">
        <f ca="1"/>
        <v>8.3331142566520095E-6</v>
      </c>
      <c r="X132" s="180">
        <f ca="1"/>
        <v>-3.3206053164293301E-5</v>
      </c>
      <c r="Y132" s="180">
        <f ca="1"/>
        <v>-5.8807703805257097E-4</v>
      </c>
      <c r="Z132" s="180">
        <f ca="1"/>
        <v>7.1375000828864004E-4</v>
      </c>
      <c r="AA132" s="180" t="str">
        <f ca="1"/>
        <v/>
      </c>
      <c r="AB132" s="180" t="str">
        <f ca="1"/>
        <v/>
      </c>
      <c r="AC132" s="180" t="str">
        <f ca="1"/>
        <v/>
      </c>
      <c r="AD132" s="180" t="str">
        <f ca="1"/>
        <v/>
      </c>
      <c r="AE132" s="180" t="str">
        <f ca="1"/>
        <v/>
      </c>
      <c r="AF132" s="180" t="str">
        <f ca="1"/>
        <v/>
      </c>
      <c r="AG132" s="180" t="str">
        <f ca="1"/>
        <v/>
      </c>
      <c r="AH132" s="180" t="str">
        <f ca="1"/>
        <v/>
      </c>
      <c r="AI132" s="180" t="str">
        <f ca="1"/>
        <v/>
      </c>
      <c r="AJ132" s="180" t="str">
        <f ca="1"/>
        <v/>
      </c>
      <c r="AK132" s="180" t="str">
        <f ca="1"/>
        <v/>
      </c>
      <c r="AL132" s="180" t="str">
        <f ca="1"/>
        <v/>
      </c>
      <c r="AM132" s="180" t="str">
        <f ca="1"/>
        <v/>
      </c>
      <c r="AN132" s="180" t="str">
        <f ca="1"/>
        <v/>
      </c>
      <c r="AO132" s="180" t="str">
        <f ca="1"/>
        <v/>
      </c>
      <c r="AP132" s="180" t="str">
        <f ca="1"/>
        <v/>
      </c>
      <c r="AQ132" s="187" t="str">
        <f ca="1"/>
        <v/>
      </c>
    </row>
    <row r="133" spans="2:43" x14ac:dyDescent="0.25">
      <c r="B133" s="179">
        <f ca="1"/>
        <v>53678</v>
      </c>
      <c r="C133" s="180">
        <f ca="1"/>
        <v>-4.3218206791095801E-13</v>
      </c>
      <c r="D133" s="180">
        <f ca="1"/>
        <v>7.08707745267212E-12</v>
      </c>
      <c r="E133" s="180">
        <f ca="1"/>
        <v>-7.0326175438673001E-12</v>
      </c>
      <c r="F133" s="180">
        <f ca="1"/>
        <v>-4.3042652775326898E-13</v>
      </c>
      <c r="G133" s="180">
        <f ca="1"/>
        <v>-3.5839733958376E-13</v>
      </c>
      <c r="H133" s="180">
        <f ca="1"/>
        <v>6.1910893078831496E-12</v>
      </c>
      <c r="I133" s="180">
        <f ca="1"/>
        <v>-2.8109459204728202E-13</v>
      </c>
      <c r="J133" s="180">
        <f ca="1"/>
        <v>-2.1082094403546099E-13</v>
      </c>
      <c r="K133" s="180">
        <f ca="1"/>
        <v>-1.54602025626005E-13</v>
      </c>
      <c r="L133" s="180">
        <f ca="1"/>
        <v>-1.76563624831871E-13</v>
      </c>
      <c r="M133" s="180">
        <f ca="1"/>
        <v>-1.54602025626005E-13</v>
      </c>
      <c r="N133" s="180">
        <f ca="1"/>
        <v>1.9008961071875798E-12</v>
      </c>
      <c r="O133" s="180">
        <f ca="1"/>
        <v>-4.7546144105181699E-11</v>
      </c>
      <c r="P133" s="180">
        <f ca="1"/>
        <v>2.25991531044301E-10</v>
      </c>
      <c r="Q133" s="180">
        <f ca="1"/>
        <v>-5.6945657217477595E-10</v>
      </c>
      <c r="R133" s="180">
        <f ca="1"/>
        <v>5.00238268169584E-9</v>
      </c>
      <c r="S133" s="180">
        <f ca="1"/>
        <v>-2.6071889265566499E-8</v>
      </c>
      <c r="T133" s="180">
        <f ca="1"/>
        <v>1.1340556625369399E-7</v>
      </c>
      <c r="U133" s="180">
        <f ca="1"/>
        <v>-2.52977264632998E-7</v>
      </c>
      <c r="V133" s="180">
        <f ca="1"/>
        <v>5.6013437492452599E-7</v>
      </c>
      <c r="W133" s="180">
        <f ca="1"/>
        <v>-1.3445153878161E-6</v>
      </c>
      <c r="X133" s="180">
        <f ca="1"/>
        <v>5.3509002257631802E-6</v>
      </c>
      <c r="Y133" s="180">
        <f ca="1"/>
        <v>-6.5570629175392195E-4</v>
      </c>
      <c r="Z133" s="180">
        <f ca="1"/>
        <v>7.4964464059509503E-4</v>
      </c>
      <c r="AA133" s="180" t="str">
        <f ca="1"/>
        <v/>
      </c>
      <c r="AB133" s="180" t="str">
        <f ca="1"/>
        <v/>
      </c>
      <c r="AC133" s="180" t="str">
        <f ca="1"/>
        <v/>
      </c>
      <c r="AD133" s="180" t="str">
        <f ca="1"/>
        <v/>
      </c>
      <c r="AE133" s="180" t="str">
        <f ca="1"/>
        <v/>
      </c>
      <c r="AF133" s="180" t="str">
        <f ca="1"/>
        <v/>
      </c>
      <c r="AG133" s="180" t="str">
        <f ca="1"/>
        <v/>
      </c>
      <c r="AH133" s="180" t="str">
        <f ca="1"/>
        <v/>
      </c>
      <c r="AI133" s="180" t="str">
        <f ca="1"/>
        <v/>
      </c>
      <c r="AJ133" s="180" t="str">
        <f ca="1"/>
        <v/>
      </c>
      <c r="AK133" s="180" t="str">
        <f ca="1"/>
        <v/>
      </c>
      <c r="AL133" s="180" t="str">
        <f ca="1"/>
        <v/>
      </c>
      <c r="AM133" s="180" t="str">
        <f ca="1"/>
        <v/>
      </c>
      <c r="AN133" s="180" t="str">
        <f ca="1"/>
        <v/>
      </c>
      <c r="AO133" s="180" t="str">
        <f ca="1"/>
        <v/>
      </c>
      <c r="AP133" s="180" t="str">
        <f ca="1"/>
        <v/>
      </c>
      <c r="AQ133" s="187" t="str">
        <f ca="1"/>
        <v/>
      </c>
    </row>
    <row r="134" spans="2:43" x14ac:dyDescent="0.25">
      <c r="B134" s="179">
        <f ca="1"/>
        <v>53769</v>
      </c>
      <c r="C134" s="180">
        <f ca="1"/>
        <v>-4.31828184321859E-13</v>
      </c>
      <c r="D134" s="180">
        <f ca="1"/>
        <v>1.3071283638810301E-11</v>
      </c>
      <c r="E134" s="180">
        <f ca="1"/>
        <v>-6.9162071902883997E-12</v>
      </c>
      <c r="F134" s="180">
        <f ca="1"/>
        <v>-4.3009346084588199E-13</v>
      </c>
      <c r="G134" s="180">
        <f ca="1"/>
        <v>-2.9194008321908902E-13</v>
      </c>
      <c r="H134" s="180">
        <f ca="1"/>
        <v>1.2168526603018E-11</v>
      </c>
      <c r="I134" s="180">
        <f ca="1"/>
        <v>5.7884114168515997E-12</v>
      </c>
      <c r="J134" s="180">
        <f ca="1"/>
        <v>5.8361995791678104E-12</v>
      </c>
      <c r="K134" s="180">
        <f ca="1"/>
        <v>5.8726912222084601E-12</v>
      </c>
      <c r="L134" s="180">
        <f ca="1"/>
        <v>5.8318558315839701E-12</v>
      </c>
      <c r="M134" s="180">
        <f ca="1"/>
        <v>5.7971023814662499E-12</v>
      </c>
      <c r="N134" s="180">
        <f ca="1"/>
        <v>1.47855616638992E-11</v>
      </c>
      <c r="O134" s="180">
        <f ca="1"/>
        <v>-3.5974440787400799E-10</v>
      </c>
      <c r="P134" s="180">
        <f ca="1"/>
        <v>1.7369297285185801E-9</v>
      </c>
      <c r="Q134" s="180">
        <f ca="1"/>
        <v>-4.3339054081603698E-9</v>
      </c>
      <c r="R134" s="180">
        <f ca="1"/>
        <v>3.8216403954599602E-8</v>
      </c>
      <c r="S134" s="180">
        <f ca="1"/>
        <v>-1.9910301841952199E-7</v>
      </c>
      <c r="T134" s="180">
        <f ca="1"/>
        <v>8.6598825154229897E-7</v>
      </c>
      <c r="U134" s="180">
        <f ca="1"/>
        <v>-1.9316600997007498E-6</v>
      </c>
      <c r="V134" s="180">
        <f ca="1"/>
        <v>4.2775372626584199E-6</v>
      </c>
      <c r="W134" s="180">
        <f ca="1"/>
        <v>-1.0264846223455301E-5</v>
      </c>
      <c r="X134" s="180">
        <f ca="1"/>
        <v>4.0891092184476597E-5</v>
      </c>
      <c r="Y134" s="180">
        <f ca="1"/>
        <v>-7.1807577074044899E-4</v>
      </c>
      <c r="Z134" s="180">
        <f ca="1"/>
        <v>7.8277077795098002E-4</v>
      </c>
      <c r="AA134" s="180" t="str">
        <f ca="1"/>
        <v/>
      </c>
      <c r="AB134" s="180" t="str">
        <f ca="1"/>
        <v/>
      </c>
      <c r="AC134" s="180" t="str">
        <f ca="1"/>
        <v/>
      </c>
      <c r="AD134" s="180" t="str">
        <f ca="1"/>
        <v/>
      </c>
      <c r="AE134" s="180" t="str">
        <f ca="1"/>
        <v/>
      </c>
      <c r="AF134" s="180" t="str">
        <f ca="1"/>
        <v/>
      </c>
      <c r="AG134" s="180" t="str">
        <f ca="1"/>
        <v/>
      </c>
      <c r="AH134" s="180" t="str">
        <f ca="1"/>
        <v/>
      </c>
      <c r="AI134" s="180" t="str">
        <f ca="1"/>
        <v/>
      </c>
      <c r="AJ134" s="180" t="str">
        <f ca="1"/>
        <v/>
      </c>
      <c r="AK134" s="180" t="str">
        <f ca="1"/>
        <v/>
      </c>
      <c r="AL134" s="180" t="str">
        <f ca="1"/>
        <v/>
      </c>
      <c r="AM134" s="180" t="str">
        <f ca="1"/>
        <v/>
      </c>
      <c r="AN134" s="180" t="str">
        <f ca="1"/>
        <v/>
      </c>
      <c r="AO134" s="180" t="str">
        <f ca="1"/>
        <v/>
      </c>
      <c r="AP134" s="180" t="str">
        <f ca="1"/>
        <v/>
      </c>
      <c r="AQ134" s="187" t="str">
        <f ca="1"/>
        <v/>
      </c>
    </row>
    <row r="135" spans="2:43" x14ac:dyDescent="0.25">
      <c r="B135" s="179">
        <f ca="1"/>
        <v>53860</v>
      </c>
      <c r="C135" s="180">
        <f ca="1"/>
        <v>-4.31828184321859E-13</v>
      </c>
      <c r="D135" s="180">
        <f ca="1"/>
        <v>1.8483478636532899E-11</v>
      </c>
      <c r="E135" s="180">
        <f ca="1"/>
        <v>-6.8102017081184097E-12</v>
      </c>
      <c r="F135" s="180">
        <f ca="1"/>
        <v>-4.3008999139892998E-13</v>
      </c>
      <c r="G135" s="180">
        <f ca="1"/>
        <v>-2.3198803988933001E-13</v>
      </c>
      <c r="H135" s="180">
        <f ca="1"/>
        <v>1.7573768829048901E-11</v>
      </c>
      <c r="I135" s="180">
        <f ca="1"/>
        <v>1.1277066086501399E-11</v>
      </c>
      <c r="J135" s="180">
        <f ca="1"/>
        <v>1.1305741065559299E-11</v>
      </c>
      <c r="K135" s="180">
        <f ca="1"/>
        <v>1.1323116055894601E-11</v>
      </c>
      <c r="L135" s="180">
        <f ca="1"/>
        <v>1.12666403984107E-11</v>
      </c>
      <c r="M135" s="180">
        <f ca="1"/>
        <v>1.1181493231315899E-11</v>
      </c>
      <c r="N135" s="180">
        <f ca="1"/>
        <v>2.6437116384947501E-11</v>
      </c>
      <c r="O135" s="180">
        <f ca="1"/>
        <v>-6.4205770908265503E-10</v>
      </c>
      <c r="P135" s="180">
        <f ca="1"/>
        <v>3.1032315848944499E-9</v>
      </c>
      <c r="Q135" s="180">
        <f ca="1"/>
        <v>-7.7379919832809596E-9</v>
      </c>
      <c r="R135" s="180">
        <f ca="1"/>
        <v>6.8250935340852195E-8</v>
      </c>
      <c r="S135" s="180">
        <f ca="1"/>
        <v>-3.55570312322168E-7</v>
      </c>
      <c r="T135" s="180">
        <f ca="1"/>
        <v>1.54652824373158E-6</v>
      </c>
      <c r="U135" s="180">
        <f ca="1"/>
        <v>-3.4496462981772899E-6</v>
      </c>
      <c r="V135" s="180">
        <f ca="1"/>
        <v>7.6390857005302592E-6</v>
      </c>
      <c r="W135" s="180">
        <f ca="1"/>
        <v>-1.8331239145758698E-5</v>
      </c>
      <c r="X135" s="180">
        <f ca="1"/>
        <v>7.30293891820534E-5</v>
      </c>
      <c r="Y135" s="180">
        <f ca="1"/>
        <v>-7.7444371615956501E-4</v>
      </c>
      <c r="Z135" s="180">
        <f ca="1"/>
        <v>8.1268994430322102E-4</v>
      </c>
      <c r="AA135" s="180" t="str">
        <f ca="1"/>
        <v/>
      </c>
      <c r="AB135" s="180" t="str">
        <f ca="1"/>
        <v/>
      </c>
      <c r="AC135" s="180" t="str">
        <f ca="1"/>
        <v/>
      </c>
      <c r="AD135" s="180" t="str">
        <f ca="1"/>
        <v/>
      </c>
      <c r="AE135" s="180" t="str">
        <f ca="1"/>
        <v/>
      </c>
      <c r="AF135" s="180" t="str">
        <f ca="1"/>
        <v/>
      </c>
      <c r="AG135" s="180" t="str">
        <f ca="1"/>
        <v/>
      </c>
      <c r="AH135" s="180" t="str">
        <f ca="1"/>
        <v/>
      </c>
      <c r="AI135" s="180" t="str">
        <f ca="1"/>
        <v/>
      </c>
      <c r="AJ135" s="180" t="str">
        <f ca="1"/>
        <v/>
      </c>
      <c r="AK135" s="180" t="str">
        <f ca="1"/>
        <v/>
      </c>
      <c r="AL135" s="180" t="str">
        <f ca="1"/>
        <v/>
      </c>
      <c r="AM135" s="180" t="str">
        <f ca="1"/>
        <v/>
      </c>
      <c r="AN135" s="180" t="str">
        <f ca="1"/>
        <v/>
      </c>
      <c r="AO135" s="180" t="str">
        <f ca="1"/>
        <v/>
      </c>
      <c r="AP135" s="180" t="str">
        <f ca="1"/>
        <v/>
      </c>
      <c r="AQ135" s="187" t="str">
        <f ca="1"/>
        <v/>
      </c>
    </row>
    <row r="136" spans="2:43" x14ac:dyDescent="0.25">
      <c r="B136" s="179">
        <f ca="1"/>
        <v>53952</v>
      </c>
      <c r="C136" s="180">
        <f ca="1"/>
        <v>-4.2954875767442502E-13</v>
      </c>
      <c r="D136" s="180">
        <f ca="1"/>
        <v>2.33799785087641E-11</v>
      </c>
      <c r="E136" s="180">
        <f ca="1"/>
        <v>-6.7163878625375897E-12</v>
      </c>
      <c r="F136" s="180">
        <f ca="1"/>
        <v>-4.31304297832114E-13</v>
      </c>
      <c r="G136" s="180">
        <f ca="1"/>
        <v>-1.79200404515356E-13</v>
      </c>
      <c r="H136" s="180">
        <f ca="1"/>
        <v>2.2463787774373901E-11</v>
      </c>
      <c r="I136" s="180">
        <f ca="1"/>
        <v>1.6243707767760201E-11</v>
      </c>
      <c r="J136" s="180">
        <f ca="1"/>
        <v>1.6254247947600201E-11</v>
      </c>
      <c r="K136" s="180">
        <f ca="1"/>
        <v>1.6256006957204899E-11</v>
      </c>
      <c r="L136" s="180">
        <f ca="1"/>
        <v>1.61839742995884E-11</v>
      </c>
      <c r="M136" s="180">
        <f ca="1"/>
        <v>1.6053092882772901E-11</v>
      </c>
      <c r="N136" s="180">
        <f ca="1"/>
        <v>3.6980526280094798E-11</v>
      </c>
      <c r="O136" s="180">
        <f ca="1"/>
        <v>-8.9754226273441904E-10</v>
      </c>
      <c r="P136" s="180">
        <f ca="1"/>
        <v>4.3396951934782102E-9</v>
      </c>
      <c r="Q136" s="180">
        <f ca="1"/>
        <v>-1.08185978855979E-8</v>
      </c>
      <c r="R136" s="180">
        <f ca="1"/>
        <v>9.5431355123798398E-8</v>
      </c>
      <c r="S136" s="180">
        <f ca="1"/>
        <v>-4.9716889769998995E-7</v>
      </c>
      <c r="T136" s="180">
        <f ca="1"/>
        <v>2.1623982762626602E-6</v>
      </c>
      <c r="U136" s="180">
        <f ca="1"/>
        <v>-4.8233815016819598E-6</v>
      </c>
      <c r="V136" s="180">
        <f ca="1"/>
        <v>1.06811967200623E-5</v>
      </c>
      <c r="W136" s="180">
        <f ca="1"/>
        <v>-2.56310890665544E-5</v>
      </c>
      <c r="X136" s="180">
        <f ca="1"/>
        <v>1.0211387459558101E-4</v>
      </c>
      <c r="Y136" s="180">
        <f ca="1"/>
        <v>-8.2542148862227796E-4</v>
      </c>
      <c r="Z136" s="180">
        <f ca="1"/>
        <v>8.3972611738553798E-4</v>
      </c>
      <c r="AA136" s="180" t="str">
        <f ca="1"/>
        <v/>
      </c>
      <c r="AB136" s="180" t="str">
        <f ca="1"/>
        <v/>
      </c>
      <c r="AC136" s="180" t="str">
        <f ca="1"/>
        <v/>
      </c>
      <c r="AD136" s="180" t="str">
        <f ca="1"/>
        <v/>
      </c>
      <c r="AE136" s="180" t="str">
        <f ca="1"/>
        <v/>
      </c>
      <c r="AF136" s="180" t="str">
        <f ca="1"/>
        <v/>
      </c>
      <c r="AG136" s="180" t="str">
        <f ca="1"/>
        <v/>
      </c>
      <c r="AH136" s="180" t="str">
        <f ca="1"/>
        <v/>
      </c>
      <c r="AI136" s="180" t="str">
        <f ca="1"/>
        <v/>
      </c>
      <c r="AJ136" s="180" t="str">
        <f ca="1"/>
        <v/>
      </c>
      <c r="AK136" s="180" t="str">
        <f ca="1"/>
        <v/>
      </c>
      <c r="AL136" s="180" t="str">
        <f ca="1"/>
        <v/>
      </c>
      <c r="AM136" s="180" t="str">
        <f ca="1"/>
        <v/>
      </c>
      <c r="AN136" s="180" t="str">
        <f ca="1"/>
        <v/>
      </c>
      <c r="AO136" s="180" t="str">
        <f ca="1"/>
        <v/>
      </c>
      <c r="AP136" s="180" t="str">
        <f ca="1"/>
        <v/>
      </c>
      <c r="AQ136" s="187" t="str">
        <f ca="1"/>
        <v/>
      </c>
    </row>
    <row r="137" spans="2:43" x14ac:dyDescent="0.25">
      <c r="B137" s="179">
        <f ca="1"/>
        <v>54043</v>
      </c>
      <c r="C137" s="180">
        <f ca="1"/>
        <v>-4.3042305830631698E-13</v>
      </c>
      <c r="D137" s="180">
        <f ca="1"/>
        <v>2.77088248179513E-11</v>
      </c>
      <c r="E137" s="180">
        <f ca="1"/>
        <v>-6.6303004753187598E-12</v>
      </c>
      <c r="F137" s="180">
        <f ca="1"/>
        <v>-4.28667518148629E-13</v>
      </c>
      <c r="G137" s="180">
        <f ca="1"/>
        <v>-1.3000711618360601E-13</v>
      </c>
      <c r="H137" s="180">
        <f ca="1"/>
        <v>2.67899973038777E-11</v>
      </c>
      <c r="I137" s="180">
        <f ca="1"/>
        <v>2.06358020948816E-11</v>
      </c>
      <c r="J137" s="180">
        <f ca="1"/>
        <v>2.06314097750404E-11</v>
      </c>
      <c r="K137" s="180">
        <f ca="1"/>
        <v>2.0617355045438001E-11</v>
      </c>
      <c r="L137" s="180">
        <f ca="1"/>
        <v>2.0532148897745001E-11</v>
      </c>
      <c r="M137" s="180">
        <f ca="1"/>
        <v>2.0360855362833199E-11</v>
      </c>
      <c r="N137" s="180">
        <f ca="1"/>
        <v>4.6304939049779399E-11</v>
      </c>
      <c r="O137" s="180">
        <f ca="1"/>
        <v>-1.1234380439817399E-9</v>
      </c>
      <c r="P137" s="180">
        <f ca="1"/>
        <v>5.4329613342896099E-9</v>
      </c>
      <c r="Q137" s="180">
        <f ca="1"/>
        <v>-1.35424252020733E-8</v>
      </c>
      <c r="R137" s="180">
        <f ca="1"/>
        <v>1.1946391216891001E-7</v>
      </c>
      <c r="S137" s="180">
        <f ca="1"/>
        <v>-6.22368418780328E-7</v>
      </c>
      <c r="T137" s="180">
        <f ca="1"/>
        <v>2.7069421983071098E-6</v>
      </c>
      <c r="U137" s="180">
        <f ca="1"/>
        <v>-6.0380189165036602E-6</v>
      </c>
      <c r="V137" s="180">
        <f ca="1"/>
        <v>1.3370991574605799E-5</v>
      </c>
      <c r="W137" s="180">
        <f ca="1"/>
        <v>-3.2085504698846397E-5</v>
      </c>
      <c r="X137" s="180">
        <f ca="1"/>
        <v>1.27830161295701E-4</v>
      </c>
      <c r="Y137" s="180">
        <f ca="1"/>
        <v>-8.7052406510466896E-4</v>
      </c>
      <c r="Z137" s="180">
        <f ca="1"/>
        <v>8.6366666523738495E-4</v>
      </c>
      <c r="AA137" s="180" t="str">
        <f ca="1"/>
        <v/>
      </c>
      <c r="AB137" s="180" t="str">
        <f ca="1"/>
        <v/>
      </c>
      <c r="AC137" s="180" t="str">
        <f ca="1"/>
        <v/>
      </c>
      <c r="AD137" s="180" t="str">
        <f ca="1"/>
        <v/>
      </c>
      <c r="AE137" s="180" t="str">
        <f ca="1"/>
        <v/>
      </c>
      <c r="AF137" s="180" t="str">
        <f ca="1"/>
        <v/>
      </c>
      <c r="AG137" s="180" t="str">
        <f ca="1"/>
        <v/>
      </c>
      <c r="AH137" s="180" t="str">
        <f ca="1"/>
        <v/>
      </c>
      <c r="AI137" s="180" t="str">
        <f ca="1"/>
        <v/>
      </c>
      <c r="AJ137" s="180" t="str">
        <f ca="1"/>
        <v/>
      </c>
      <c r="AK137" s="180" t="str">
        <f ca="1"/>
        <v/>
      </c>
      <c r="AL137" s="180" t="str">
        <f ca="1"/>
        <v/>
      </c>
      <c r="AM137" s="180" t="str">
        <f ca="1"/>
        <v/>
      </c>
      <c r="AN137" s="180" t="str">
        <f ca="1"/>
        <v/>
      </c>
      <c r="AO137" s="180" t="str">
        <f ca="1"/>
        <v/>
      </c>
      <c r="AP137" s="180" t="str">
        <f ca="1"/>
        <v/>
      </c>
      <c r="AQ137" s="187" t="str">
        <f ca="1"/>
        <v/>
      </c>
    </row>
    <row r="138" spans="2:43" x14ac:dyDescent="0.25">
      <c r="B138" s="179">
        <f ca="1"/>
        <v>54134</v>
      </c>
      <c r="C138" s="180">
        <f ca="1"/>
        <v>-4.31828184321859E-13</v>
      </c>
      <c r="D138" s="180">
        <f ca="1"/>
        <v>3.1520005355778499E-11</v>
      </c>
      <c r="E138" s="180">
        <f ca="1"/>
        <v>-6.5573622920478398E-12</v>
      </c>
      <c r="F138" s="180">
        <f ca="1"/>
        <v>-4.2921916021398902E-13</v>
      </c>
      <c r="G138" s="180">
        <f ca="1"/>
        <v>-8.9490914678691499E-14</v>
      </c>
      <c r="H138" s="180">
        <f ca="1"/>
        <v>3.0596396943804998E-11</v>
      </c>
      <c r="I138" s="180">
        <f ca="1"/>
        <v>2.4499534345689998E-11</v>
      </c>
      <c r="J138" s="180">
        <f ca="1"/>
        <v>2.4482155885907601E-11</v>
      </c>
      <c r="K138" s="180">
        <f ca="1"/>
        <v>2.4455222569219598E-11</v>
      </c>
      <c r="L138" s="180">
        <f ca="1"/>
        <v>2.43579080516643E-11</v>
      </c>
      <c r="M138" s="180">
        <f ca="1"/>
        <v>2.4151985966725E-11</v>
      </c>
      <c r="N138" s="180">
        <f ca="1"/>
        <v>5.4510309460686899E-11</v>
      </c>
      <c r="O138" s="180">
        <f ca="1"/>
        <v>-1.3222657725686601E-9</v>
      </c>
      <c r="P138" s="180">
        <f ca="1"/>
        <v>6.3952165299530097E-9</v>
      </c>
      <c r="Q138" s="180">
        <f ca="1"/>
        <v>-1.5939846831347601E-8</v>
      </c>
      <c r="R138" s="180">
        <f ca="1"/>
        <v>1.4061654362782E-7</v>
      </c>
      <c r="S138" s="180">
        <f ca="1"/>
        <v>-7.3256474190930298E-7</v>
      </c>
      <c r="T138" s="180">
        <f ca="1"/>
        <v>3.1862311641282798E-6</v>
      </c>
      <c r="U138" s="180">
        <f ca="1"/>
        <v>-7.1071007609474499E-6</v>
      </c>
      <c r="V138" s="180">
        <f ca="1"/>
        <v>1.5738458641553098E-5</v>
      </c>
      <c r="W138" s="180">
        <f ca="1"/>
        <v>-3.7766449459044497E-5</v>
      </c>
      <c r="X138" s="180">
        <f ca="1"/>
        <v>1.50464923837804E-4</v>
      </c>
      <c r="Y138" s="180">
        <f ca="1"/>
        <v>-9.1025410090297596E-4</v>
      </c>
      <c r="Z138" s="180">
        <f ca="1"/>
        <v>8.8477853119441801E-4</v>
      </c>
      <c r="AA138" s="180" t="str">
        <f ca="1"/>
        <v/>
      </c>
      <c r="AB138" s="180" t="str">
        <f ca="1"/>
        <v/>
      </c>
      <c r="AC138" s="180" t="str">
        <f ca="1"/>
        <v/>
      </c>
      <c r="AD138" s="180" t="str">
        <f ca="1"/>
        <v/>
      </c>
      <c r="AE138" s="180" t="str">
        <f ca="1"/>
        <v/>
      </c>
      <c r="AF138" s="180" t="str">
        <f ca="1"/>
        <v/>
      </c>
      <c r="AG138" s="180" t="str">
        <f ca="1"/>
        <v/>
      </c>
      <c r="AH138" s="180" t="str">
        <f ca="1"/>
        <v/>
      </c>
      <c r="AI138" s="180" t="str">
        <f ca="1"/>
        <v/>
      </c>
      <c r="AJ138" s="180" t="str">
        <f ca="1"/>
        <v/>
      </c>
      <c r="AK138" s="180" t="str">
        <f ca="1"/>
        <v/>
      </c>
      <c r="AL138" s="180" t="str">
        <f ca="1"/>
        <v/>
      </c>
      <c r="AM138" s="180" t="str">
        <f ca="1"/>
        <v/>
      </c>
      <c r="AN138" s="180" t="str">
        <f ca="1"/>
        <v/>
      </c>
      <c r="AO138" s="180" t="str">
        <f ca="1"/>
        <v/>
      </c>
      <c r="AP138" s="180" t="str">
        <f ca="1"/>
        <v/>
      </c>
      <c r="AQ138" s="187" t="str">
        <f ca="1"/>
        <v/>
      </c>
    </row>
    <row r="139" spans="2:43" x14ac:dyDescent="0.25">
      <c r="B139" s="179">
        <f ca="1"/>
        <v>54226</v>
      </c>
      <c r="C139" s="180">
        <f ca="1"/>
        <v>-4.2922262966094098E-13</v>
      </c>
      <c r="D139" s="180">
        <f ca="1"/>
        <v>3.4804333026716699E-11</v>
      </c>
      <c r="E139" s="180">
        <f ca="1"/>
        <v>-6.4921956699492999E-12</v>
      </c>
      <c r="F139" s="180">
        <f ca="1"/>
        <v>-4.3008999139892998E-13</v>
      </c>
      <c r="G139" s="180">
        <f ca="1"/>
        <v>-5.2131909900055E-14</v>
      </c>
      <c r="H139" s="180">
        <f ca="1"/>
        <v>3.3873775312498499E-11</v>
      </c>
      <c r="I139" s="180">
        <f ca="1"/>
        <v>2.7828173793098501E-11</v>
      </c>
      <c r="J139" s="180">
        <f ca="1"/>
        <v>2.7799502283487601E-11</v>
      </c>
      <c r="K139" s="180">
        <f ca="1"/>
        <v>2.7763010640446999E-11</v>
      </c>
      <c r="L139" s="180">
        <f ca="1"/>
        <v>2.7655270434800999E-11</v>
      </c>
      <c r="M139" s="180">
        <f ca="1"/>
        <v>2.74172004544049E-11</v>
      </c>
      <c r="N139" s="180">
        <f ca="1"/>
        <v>6.1575963078430705E-11</v>
      </c>
      <c r="O139" s="180">
        <f ca="1"/>
        <v>-1.49347664443744E-9</v>
      </c>
      <c r="P139" s="180">
        <f ca="1"/>
        <v>7.2238310992733804E-9</v>
      </c>
      <c r="Q139" s="180">
        <f ca="1"/>
        <v>-1.80043076107583E-8</v>
      </c>
      <c r="R139" s="180">
        <f ca="1"/>
        <v>1.5883144712652799E-7</v>
      </c>
      <c r="S139" s="180">
        <f ca="1"/>
        <v>-8.2745672314033001E-7</v>
      </c>
      <c r="T139" s="180">
        <f ca="1"/>
        <v>3.5989553233244098E-6</v>
      </c>
      <c r="U139" s="180">
        <f ca="1"/>
        <v>-8.02770566195668E-6</v>
      </c>
      <c r="V139" s="180">
        <f ca="1"/>
        <v>1.7777126920092599E-5</v>
      </c>
      <c r="W139" s="180">
        <f ca="1"/>
        <v>-4.2658405093536098E-5</v>
      </c>
      <c r="X139" s="180">
        <f ca="1"/>
        <v>1.6995619946782699E-4</v>
      </c>
      <c r="Y139" s="180">
        <f ca="1"/>
        <v>-9.4443773228501996E-4</v>
      </c>
      <c r="Z139" s="180">
        <f ca="1"/>
        <v>9.0292391273087702E-4</v>
      </c>
      <c r="AA139" s="180" t="str">
        <f ca="1"/>
        <v/>
      </c>
      <c r="AB139" s="180" t="str">
        <f ca="1"/>
        <v/>
      </c>
      <c r="AC139" s="180" t="str">
        <f ca="1"/>
        <v/>
      </c>
      <c r="AD139" s="180" t="str">
        <f ca="1"/>
        <v/>
      </c>
      <c r="AE139" s="180" t="str">
        <f ca="1"/>
        <v/>
      </c>
      <c r="AF139" s="180" t="str">
        <f ca="1"/>
        <v/>
      </c>
      <c r="AG139" s="180" t="str">
        <f ca="1"/>
        <v/>
      </c>
      <c r="AH139" s="180" t="str">
        <f ca="1"/>
        <v/>
      </c>
      <c r="AI139" s="180" t="str">
        <f ca="1"/>
        <v/>
      </c>
      <c r="AJ139" s="180" t="str">
        <f ca="1"/>
        <v/>
      </c>
      <c r="AK139" s="180" t="str">
        <f ca="1"/>
        <v/>
      </c>
      <c r="AL139" s="180" t="str">
        <f ca="1"/>
        <v/>
      </c>
      <c r="AM139" s="180" t="str">
        <f ca="1"/>
        <v/>
      </c>
      <c r="AN139" s="180" t="str">
        <f ca="1"/>
        <v/>
      </c>
      <c r="AO139" s="180" t="str">
        <f ca="1"/>
        <v/>
      </c>
      <c r="AP139" s="180" t="str">
        <f ca="1"/>
        <v/>
      </c>
      <c r="AQ139" s="187" t="str">
        <f ca="1"/>
        <v/>
      </c>
    </row>
    <row r="140" spans="2:43" x14ac:dyDescent="0.25">
      <c r="B140" s="179">
        <f ca="1"/>
        <v>54318</v>
      </c>
      <c r="C140" s="180">
        <f ca="1"/>
        <v>-4.3042652775326898E-13</v>
      </c>
      <c r="D140" s="180">
        <f ca="1"/>
        <v>3.7517239315221199E-11</v>
      </c>
      <c r="E140" s="180">
        <f ca="1"/>
        <v>-6.4405633604103197E-12</v>
      </c>
      <c r="F140" s="180">
        <f ca="1"/>
        <v>-4.2954875767442502E-13</v>
      </c>
      <c r="G140" s="180">
        <f ca="1"/>
        <v>-2.37171393635549E-14</v>
      </c>
      <c r="H140" s="180">
        <f ca="1"/>
        <v>3.6587875090754503E-11</v>
      </c>
      <c r="I140" s="180">
        <f ca="1"/>
        <v>3.0583886118096298E-11</v>
      </c>
      <c r="J140" s="180">
        <f ca="1"/>
        <v>3.05443552395257E-11</v>
      </c>
      <c r="K140" s="180">
        <f ca="1"/>
        <v>3.0496920960798603E-11</v>
      </c>
      <c r="L140" s="180">
        <f ca="1"/>
        <v>3.03818498137431E-11</v>
      </c>
      <c r="M140" s="180">
        <f ca="1"/>
        <v>3.01192022711394E-11</v>
      </c>
      <c r="N140" s="180">
        <f ca="1"/>
        <v>6.7423868571614395E-11</v>
      </c>
      <c r="O140" s="180">
        <f ca="1"/>
        <v>-1.63519044485416E-9</v>
      </c>
      <c r="P140" s="180">
        <f ca="1"/>
        <v>7.9096702798597801E-9</v>
      </c>
      <c r="Q140" s="180">
        <f ca="1"/>
        <v>-1.9713054046771601E-8</v>
      </c>
      <c r="R140" s="180">
        <f ca="1"/>
        <v>1.7390783933757301E-7</v>
      </c>
      <c r="S140" s="180">
        <f ca="1"/>
        <v>-9.0599839542779302E-7</v>
      </c>
      <c r="T140" s="180">
        <f ca="1"/>
        <v>3.9405652912140304E-6</v>
      </c>
      <c r="U140" s="180">
        <f ca="1"/>
        <v>-8.7896861991065799E-6</v>
      </c>
      <c r="V140" s="180">
        <f ca="1"/>
        <v>1.9464523890698501E-5</v>
      </c>
      <c r="W140" s="180">
        <f ca="1"/>
        <v>-4.6707453454811899E-5</v>
      </c>
      <c r="X140" s="180">
        <f ca="1"/>
        <v>1.8608906752767799E-4</v>
      </c>
      <c r="Y140" s="180">
        <f ca="1"/>
        <v>-9.7269862682590805E-4</v>
      </c>
      <c r="Z140" s="180">
        <f ca="1"/>
        <v>9.1790268814619796E-4</v>
      </c>
      <c r="AA140" s="180" t="str">
        <f ca="1"/>
        <v/>
      </c>
      <c r="AB140" s="180" t="str">
        <f ca="1"/>
        <v/>
      </c>
      <c r="AC140" s="180" t="str">
        <f ca="1"/>
        <v/>
      </c>
      <c r="AD140" s="180" t="str">
        <f ca="1"/>
        <v/>
      </c>
      <c r="AE140" s="180" t="str">
        <f ca="1"/>
        <v/>
      </c>
      <c r="AF140" s="180" t="str">
        <f ca="1"/>
        <v/>
      </c>
      <c r="AG140" s="180" t="str">
        <f ca="1"/>
        <v/>
      </c>
      <c r="AH140" s="180" t="str">
        <f ca="1"/>
        <v/>
      </c>
      <c r="AI140" s="180" t="str">
        <f ca="1"/>
        <v/>
      </c>
      <c r="AJ140" s="180" t="str">
        <f ca="1"/>
        <v/>
      </c>
      <c r="AK140" s="180" t="str">
        <f ca="1"/>
        <v/>
      </c>
      <c r="AL140" s="180" t="str">
        <f ca="1"/>
        <v/>
      </c>
      <c r="AM140" s="180" t="str">
        <f ca="1"/>
        <v/>
      </c>
      <c r="AN140" s="180" t="str">
        <f ca="1"/>
        <v/>
      </c>
      <c r="AO140" s="180" t="str">
        <f ca="1"/>
        <v/>
      </c>
      <c r="AP140" s="180" t="str">
        <f ca="1"/>
        <v/>
      </c>
      <c r="AQ140" s="187" t="str">
        <f ca="1"/>
        <v/>
      </c>
    </row>
    <row r="141" spans="2:43" x14ac:dyDescent="0.25">
      <c r="B141" s="179">
        <f ca="1"/>
        <v>54409</v>
      </c>
      <c r="C141" s="180">
        <f ca="1"/>
        <v>-4.2899017671515998E-13</v>
      </c>
      <c r="D141" s="180">
        <f ca="1"/>
        <v>3.96696009374864E-11</v>
      </c>
      <c r="E141" s="180">
        <f ca="1"/>
        <v>-6.3957728002606002E-12</v>
      </c>
      <c r="F141" s="180">
        <f ca="1"/>
        <v>-4.2899017671515998E-13</v>
      </c>
      <c r="G141" s="180">
        <f ca="1"/>
        <v>2.66453525910038E-15</v>
      </c>
      <c r="H141" s="180">
        <f ca="1"/>
        <v>3.87352372399619E-11</v>
      </c>
      <c r="I141" s="180">
        <f ca="1"/>
        <v>3.27640137243179E-11</v>
      </c>
      <c r="J141" s="180">
        <f ca="1"/>
        <v>3.27187166249132E-11</v>
      </c>
      <c r="K141" s="180">
        <f ca="1"/>
        <v>3.2664537741311499E-11</v>
      </c>
      <c r="L141" s="180">
        <f ca="1"/>
        <v>3.2542857297812601E-11</v>
      </c>
      <c r="M141" s="180">
        <f ca="1"/>
        <v>3.2259528381928197E-11</v>
      </c>
      <c r="N141" s="180">
        <f ca="1"/>
        <v>7.2055250655012098E-11</v>
      </c>
      <c r="O141" s="180">
        <f ca="1"/>
        <v>-1.74737113667334E-9</v>
      </c>
      <c r="P141" s="180">
        <f ca="1"/>
        <v>8.4526003973906005E-9</v>
      </c>
      <c r="Q141" s="180">
        <f ca="1"/>
        <v>-2.1065734934211401E-8</v>
      </c>
      <c r="R141" s="180">
        <f ca="1"/>
        <v>1.8584266925358901E-7</v>
      </c>
      <c r="S141" s="180">
        <f ca="1"/>
        <v>-9.6817382999603296E-7</v>
      </c>
      <c r="T141" s="180">
        <f ca="1"/>
        <v>4.2109917908206302E-6</v>
      </c>
      <c r="U141" s="180">
        <f ca="1"/>
        <v>-9.3928878657223402E-6</v>
      </c>
      <c r="V141" s="180">
        <f ca="1"/>
        <v>2.0800307291679601E-5</v>
      </c>
      <c r="W141" s="180">
        <f ca="1"/>
        <v>-4.9912773914861903E-5</v>
      </c>
      <c r="X141" s="180">
        <f ca="1"/>
        <v>1.98860248992183E-4</v>
      </c>
      <c r="Y141" s="180">
        <f ca="1"/>
        <v>-9.950638431881491E-4</v>
      </c>
      <c r="Z141" s="180">
        <f ca="1"/>
        <v>9.2975188583821499E-4</v>
      </c>
      <c r="AA141" s="180" t="str">
        <f ca="1"/>
        <v/>
      </c>
      <c r="AB141" s="180" t="str">
        <f ca="1"/>
        <v/>
      </c>
      <c r="AC141" s="180" t="str">
        <f ca="1"/>
        <v/>
      </c>
      <c r="AD141" s="180" t="str">
        <f ca="1"/>
        <v/>
      </c>
      <c r="AE141" s="180" t="str">
        <f ca="1"/>
        <v/>
      </c>
      <c r="AF141" s="180" t="str">
        <f ca="1"/>
        <v/>
      </c>
      <c r="AG141" s="180" t="str">
        <f ca="1"/>
        <v/>
      </c>
      <c r="AH141" s="180" t="str">
        <f ca="1"/>
        <v/>
      </c>
      <c r="AI141" s="180" t="str">
        <f ca="1"/>
        <v/>
      </c>
      <c r="AJ141" s="180" t="str">
        <f ca="1"/>
        <v/>
      </c>
      <c r="AK141" s="180" t="str">
        <f ca="1"/>
        <v/>
      </c>
      <c r="AL141" s="180" t="str">
        <f ca="1"/>
        <v/>
      </c>
      <c r="AM141" s="180" t="str">
        <f ca="1"/>
        <v/>
      </c>
      <c r="AN141" s="180" t="str">
        <f ca="1"/>
        <v/>
      </c>
      <c r="AO141" s="180" t="str">
        <f ca="1"/>
        <v/>
      </c>
      <c r="AP141" s="180" t="str">
        <f ca="1"/>
        <v/>
      </c>
      <c r="AQ141" s="187" t="str">
        <f ca="1"/>
        <v/>
      </c>
    </row>
    <row r="142" spans="2:43" x14ac:dyDescent="0.25">
      <c r="B142" s="179">
        <f ca="1"/>
        <v>54499</v>
      </c>
      <c r="C142" s="180">
        <f ca="1"/>
        <v>-4.3009346084588199E-13</v>
      </c>
      <c r="D142" s="180">
        <f ca="1"/>
        <v>4.1297399527850897E-11</v>
      </c>
      <c r="E142" s="180">
        <f ca="1"/>
        <v>-6.3662131122299602E-12</v>
      </c>
      <c r="F142" s="180">
        <f ca="1"/>
        <v>-4.2835526792295298E-13</v>
      </c>
      <c r="G142" s="180">
        <f ca="1"/>
        <v>1.8245821520324101E-14</v>
      </c>
      <c r="H142" s="180">
        <f ca="1"/>
        <v>4.0362494596601899E-11</v>
      </c>
      <c r="I142" s="180">
        <f ca="1"/>
        <v>3.4415945787680303E-11</v>
      </c>
      <c r="J142" s="180">
        <f ca="1"/>
        <v>3.4363813877780203E-11</v>
      </c>
      <c r="K142" s="180">
        <f ca="1"/>
        <v>3.4303861834450399E-11</v>
      </c>
      <c r="L142" s="180">
        <f ca="1"/>
        <v>3.4177008445546203E-11</v>
      </c>
      <c r="M142" s="180">
        <f ca="1"/>
        <v>3.3878115590635399E-11</v>
      </c>
      <c r="N142" s="180">
        <f ca="1"/>
        <v>7.5561296802861794E-11</v>
      </c>
      <c r="O142" s="180">
        <f ca="1"/>
        <v>-1.83233341694011E-9</v>
      </c>
      <c r="P142" s="180">
        <f ca="1"/>
        <v>8.8637810112535098E-9</v>
      </c>
      <c r="Q142" s="180">
        <f ca="1"/>
        <v>-2.2090180122613699E-8</v>
      </c>
      <c r="R142" s="180">
        <f ca="1"/>
        <v>1.9488142230170099E-7</v>
      </c>
      <c r="S142" s="180">
        <f ca="1"/>
        <v>-1.0152619388699399E-6</v>
      </c>
      <c r="T142" s="180">
        <f ca="1"/>
        <v>4.4157974094689898E-6</v>
      </c>
      <c r="U142" s="180">
        <f ca="1"/>
        <v>-9.8497178483009096E-6</v>
      </c>
      <c r="V142" s="180">
        <f ca="1"/>
        <v>2.18119551090405E-5</v>
      </c>
      <c r="W142" s="180">
        <f ca="1"/>
        <v>-5.2340288545022603E-5</v>
      </c>
      <c r="X142" s="180">
        <f ca="1"/>
        <v>2.0853259227839E-4</v>
      </c>
      <c r="Y142" s="180">
        <f ca="1"/>
        <v>-1.0120913018089601E-3</v>
      </c>
      <c r="Z142" s="180">
        <f ca="1"/>
        <v>9.3883654471647903E-4</v>
      </c>
      <c r="AA142" s="180" t="str">
        <f ca="1"/>
        <v/>
      </c>
      <c r="AB142" s="180" t="str">
        <f ca="1"/>
        <v/>
      </c>
      <c r="AC142" s="180" t="str">
        <f ca="1"/>
        <v/>
      </c>
      <c r="AD142" s="180" t="str">
        <f ca="1"/>
        <v/>
      </c>
      <c r="AE142" s="180" t="str">
        <f ca="1"/>
        <v/>
      </c>
      <c r="AF142" s="180" t="str">
        <f ca="1"/>
        <v/>
      </c>
      <c r="AG142" s="180" t="str">
        <f ca="1"/>
        <v/>
      </c>
      <c r="AH142" s="180" t="str">
        <f ca="1"/>
        <v/>
      </c>
      <c r="AI142" s="180" t="str">
        <f ca="1"/>
        <v/>
      </c>
      <c r="AJ142" s="180" t="str">
        <f ca="1"/>
        <v/>
      </c>
      <c r="AK142" s="180" t="str">
        <f ca="1"/>
        <v/>
      </c>
      <c r="AL142" s="180" t="str">
        <f ca="1"/>
        <v/>
      </c>
      <c r="AM142" s="180" t="str">
        <f ca="1"/>
        <v/>
      </c>
      <c r="AN142" s="180" t="str">
        <f ca="1"/>
        <v/>
      </c>
      <c r="AO142" s="180" t="str">
        <f ca="1"/>
        <v/>
      </c>
      <c r="AP142" s="180" t="str">
        <f ca="1"/>
        <v/>
      </c>
      <c r="AQ142" s="187" t="str">
        <f ca="1"/>
        <v/>
      </c>
    </row>
    <row r="143" spans="2:43" x14ac:dyDescent="0.25">
      <c r="B143" s="179">
        <f ca="1"/>
        <v>54591</v>
      </c>
      <c r="C143" s="180">
        <f ca="1"/>
        <v>-4.2922262966094098E-13</v>
      </c>
      <c r="D143" s="180">
        <f ca="1"/>
        <v>4.2394782129306899E-11</v>
      </c>
      <c r="E143" s="180">
        <f ca="1"/>
        <v>-6.3453582666017598E-12</v>
      </c>
      <c r="F143" s="180">
        <f ca="1"/>
        <v>-4.3008999139892998E-13</v>
      </c>
      <c r="G143" s="180">
        <f ca="1"/>
        <v>3.1280533718813798E-14</v>
      </c>
      <c r="H143" s="180">
        <f ca="1"/>
        <v>4.1457271643396997E-11</v>
      </c>
      <c r="I143" s="180">
        <f ca="1"/>
        <v>3.5528101294257698E-11</v>
      </c>
      <c r="J143" s="180">
        <f ca="1"/>
        <v>3.5470758275035802E-11</v>
      </c>
      <c r="K143" s="180">
        <f ca="1"/>
        <v>3.5408197207598103E-11</v>
      </c>
      <c r="L143" s="180">
        <f ca="1"/>
        <v>3.5277000071110003E-11</v>
      </c>
      <c r="M143" s="180">
        <f ca="1"/>
        <v>3.4970287082769502E-11</v>
      </c>
      <c r="N143" s="180">
        <f ca="1"/>
        <v>7.7921148700088594E-11</v>
      </c>
      <c r="O143" s="180">
        <f ca="1"/>
        <v>-1.8895068114310701E-9</v>
      </c>
      <c r="P143" s="180">
        <f ca="1"/>
        <v>9.1404857606447503E-9</v>
      </c>
      <c r="Q143" s="180">
        <f ca="1"/>
        <v>-2.27795799619124E-8</v>
      </c>
      <c r="R143" s="180">
        <f ca="1"/>
        <v>2.0096405061939501E-7</v>
      </c>
      <c r="S143" s="180">
        <f ca="1"/>
        <v>-1.0469498624571201E-6</v>
      </c>
      <c r="T143" s="180">
        <f ca="1"/>
        <v>4.5536212461595701E-6</v>
      </c>
      <c r="U143" s="180">
        <f ca="1"/>
        <v>-1.01571415400195E-5</v>
      </c>
      <c r="V143" s="180">
        <f ca="1"/>
        <v>2.24927424642279E-5</v>
      </c>
      <c r="W143" s="180">
        <f ca="1"/>
        <v>-5.3973887319536098E-5</v>
      </c>
      <c r="X143" s="180">
        <f ca="1"/>
        <v>2.1504153243741999E-4</v>
      </c>
      <c r="Y143" s="180">
        <f ca="1"/>
        <v>-1.0235062125716599E-3</v>
      </c>
      <c r="Z143" s="180">
        <f ca="1"/>
        <v>9.4489602988315604E-4</v>
      </c>
      <c r="AA143" s="180" t="str">
        <f ca="1"/>
        <v/>
      </c>
      <c r="AB143" s="180" t="str">
        <f ca="1"/>
        <v/>
      </c>
      <c r="AC143" s="180" t="str">
        <f ca="1"/>
        <v/>
      </c>
      <c r="AD143" s="180" t="str">
        <f ca="1"/>
        <v/>
      </c>
      <c r="AE143" s="180" t="str">
        <f ca="1"/>
        <v/>
      </c>
      <c r="AF143" s="180" t="str">
        <f ca="1"/>
        <v/>
      </c>
      <c r="AG143" s="180" t="str">
        <f ca="1"/>
        <v/>
      </c>
      <c r="AH143" s="180" t="str">
        <f ca="1"/>
        <v/>
      </c>
      <c r="AI143" s="180" t="str">
        <f ca="1"/>
        <v/>
      </c>
      <c r="AJ143" s="180" t="str">
        <f ca="1"/>
        <v/>
      </c>
      <c r="AK143" s="180" t="str">
        <f ca="1"/>
        <v/>
      </c>
      <c r="AL143" s="180" t="str">
        <f ca="1"/>
        <v/>
      </c>
      <c r="AM143" s="180" t="str">
        <f ca="1"/>
        <v/>
      </c>
      <c r="AN143" s="180" t="str">
        <f ca="1"/>
        <v/>
      </c>
      <c r="AO143" s="180" t="str">
        <f ca="1"/>
        <v/>
      </c>
      <c r="AP143" s="180" t="str">
        <f ca="1"/>
        <v/>
      </c>
      <c r="AQ143" s="187" t="str">
        <f ca="1"/>
        <v/>
      </c>
    </row>
    <row r="144" spans="2:43" x14ac:dyDescent="0.25">
      <c r="B144" s="179">
        <f ca="1"/>
        <v>54683</v>
      </c>
      <c r="C144" s="180">
        <f ca="1"/>
        <v>-4.28667518148629E-13</v>
      </c>
      <c r="D144" s="180">
        <f ca="1"/>
        <v>4.2934447663789399E-11</v>
      </c>
      <c r="E144" s="180">
        <f ca="1"/>
        <v>-6.3342733835902696E-12</v>
      </c>
      <c r="F144" s="180">
        <f ca="1"/>
        <v>-4.2691197799094002E-13</v>
      </c>
      <c r="G144" s="180">
        <f ca="1"/>
        <v>3.6894098887074702E-14</v>
      </c>
      <c r="H144" s="180">
        <f ca="1"/>
        <v>4.1997176569719098E-11</v>
      </c>
      <c r="I144" s="180">
        <f ca="1"/>
        <v>3.6077515974675097E-11</v>
      </c>
      <c r="J144" s="180">
        <f ca="1"/>
        <v>3.6019541516107997E-11</v>
      </c>
      <c r="K144" s="180">
        <f ca="1"/>
        <v>3.5954537958016201E-11</v>
      </c>
      <c r="L144" s="180">
        <f ca="1"/>
        <v>3.58227753016749E-11</v>
      </c>
      <c r="M144" s="180">
        <f ca="1"/>
        <v>3.5508301160502898E-11</v>
      </c>
      <c r="N144" s="180">
        <f ca="1"/>
        <v>7.9088385146475204E-11</v>
      </c>
      <c r="O144" s="180">
        <f ca="1"/>
        <v>-1.91778724845104E-9</v>
      </c>
      <c r="P144" s="180">
        <f ca="1"/>
        <v>9.2773498779063996E-9</v>
      </c>
      <c r="Q144" s="180">
        <f ca="1"/>
        <v>-2.31205727098394E-8</v>
      </c>
      <c r="R144" s="180">
        <f ca="1"/>
        <v>2.03972654152368E-7</v>
      </c>
      <c r="S144" s="180">
        <f ca="1"/>
        <v>-1.0626234292487901E-6</v>
      </c>
      <c r="T144" s="180">
        <f ca="1"/>
        <v>4.62179200142257E-6</v>
      </c>
      <c r="U144" s="180">
        <f ca="1"/>
        <v>-1.03092003821553E-5</v>
      </c>
      <c r="V144" s="180">
        <f ca="1"/>
        <v>2.2829474604375099E-5</v>
      </c>
      <c r="W144" s="180">
        <f ca="1"/>
        <v>-5.4781906054093097E-5</v>
      </c>
      <c r="X144" s="180">
        <f ca="1"/>
        <v>2.1826094003437799E-4</v>
      </c>
      <c r="Y144" s="180">
        <f ca="1"/>
        <v>-1.0291199397478401E-3</v>
      </c>
      <c r="Z144" s="180">
        <f ca="1"/>
        <v>9.47853010872718E-4</v>
      </c>
      <c r="AA144" s="180" t="str">
        <f ca="1"/>
        <v/>
      </c>
      <c r="AB144" s="180" t="str">
        <f ca="1"/>
        <v/>
      </c>
      <c r="AC144" s="180" t="str">
        <f ca="1"/>
        <v/>
      </c>
      <c r="AD144" s="180" t="str">
        <f ca="1"/>
        <v/>
      </c>
      <c r="AE144" s="180" t="str">
        <f ca="1"/>
        <v/>
      </c>
      <c r="AF144" s="180" t="str">
        <f ca="1"/>
        <v/>
      </c>
      <c r="AG144" s="180" t="str">
        <f ca="1"/>
        <v/>
      </c>
      <c r="AH144" s="180" t="str">
        <f ca="1"/>
        <v/>
      </c>
      <c r="AI144" s="180" t="str">
        <f ca="1"/>
        <v/>
      </c>
      <c r="AJ144" s="180" t="str">
        <f ca="1"/>
        <v/>
      </c>
      <c r="AK144" s="180" t="str">
        <f ca="1"/>
        <v/>
      </c>
      <c r="AL144" s="180" t="str">
        <f ca="1"/>
        <v/>
      </c>
      <c r="AM144" s="180" t="str">
        <f ca="1"/>
        <v/>
      </c>
      <c r="AN144" s="180" t="str">
        <f ca="1"/>
        <v/>
      </c>
      <c r="AO144" s="180" t="str">
        <f ca="1"/>
        <v/>
      </c>
      <c r="AP144" s="180" t="str">
        <f ca="1"/>
        <v/>
      </c>
      <c r="AQ144" s="187" t="str">
        <f ca="1"/>
        <v/>
      </c>
    </row>
    <row r="145" spans="2:43" x14ac:dyDescent="0.25">
      <c r="B145" s="179">
        <f ca="1"/>
        <v>54774</v>
      </c>
      <c r="C145" s="180">
        <f ca="1"/>
        <v>-4.3343106881366101E-13</v>
      </c>
      <c r="D145" s="180">
        <f ca="1"/>
        <v>4.3343106881366098E-11</v>
      </c>
      <c r="E145" s="180">
        <f ca="1"/>
        <v>-6.3939964434211999E-12</v>
      </c>
      <c r="F145" s="180">
        <f ca="1"/>
        <v>-4.3165471197426101E-13</v>
      </c>
      <c r="G145" s="180">
        <f ca="1"/>
        <v>3.8191672047105398E-14</v>
      </c>
      <c r="H145" s="180">
        <f ca="1"/>
        <v>4.2395420507546097E-11</v>
      </c>
      <c r="I145" s="180">
        <f ca="1"/>
        <v>3.6421532456643003E-11</v>
      </c>
      <c r="J145" s="180">
        <f ca="1"/>
        <v>3.6362912680942801E-11</v>
      </c>
      <c r="K145" s="180">
        <f ca="1"/>
        <v>3.6296299299465298E-11</v>
      </c>
      <c r="L145" s="180">
        <f ca="1"/>
        <v>3.6163072536510299E-11</v>
      </c>
      <c r="M145" s="180">
        <f ca="1"/>
        <v>3.58477691975168E-11</v>
      </c>
      <c r="N145" s="180">
        <f ca="1"/>
        <v>7.9841910860523096E-11</v>
      </c>
      <c r="O145" s="180">
        <f ca="1"/>
        <v>-1.93602556208816E-9</v>
      </c>
      <c r="P145" s="180">
        <f ca="1"/>
        <v>9.3655891930666307E-9</v>
      </c>
      <c r="Q145" s="180">
        <f ca="1"/>
        <v>-2.3340476218436399E-8</v>
      </c>
      <c r="R145" s="180">
        <f ca="1"/>
        <v>2.0591268867775601E-7</v>
      </c>
      <c r="S145" s="180">
        <f ca="1"/>
        <v>-1.0727299635249199E-6</v>
      </c>
      <c r="T145" s="180">
        <f ca="1"/>
        <v>4.6657561654228596E-6</v>
      </c>
      <c r="U145" s="180">
        <f ca="1"/>
        <v>-1.04072263846788E-5</v>
      </c>
      <c r="V145" s="180">
        <f ca="1"/>
        <v>2.30467417781099E-5</v>
      </c>
      <c r="W145" s="180">
        <f ca="1"/>
        <v>-5.5302190017592102E-5</v>
      </c>
      <c r="X145" s="180">
        <f ca="1"/>
        <v>2.2034888795463599E-4</v>
      </c>
      <c r="Y145" s="180">
        <f ca="1"/>
        <v>-1.03860598518146E-3</v>
      </c>
      <c r="Z145" s="180">
        <f ca="1"/>
        <v>9.5705483376651301E-4</v>
      </c>
      <c r="AA145" s="180" t="str">
        <f ca="1"/>
        <v/>
      </c>
      <c r="AB145" s="180" t="str">
        <f ca="1"/>
        <v/>
      </c>
      <c r="AC145" s="180" t="str">
        <f ca="1"/>
        <v/>
      </c>
      <c r="AD145" s="180" t="str">
        <f ca="1"/>
        <v/>
      </c>
      <c r="AE145" s="180" t="str">
        <f ca="1"/>
        <v/>
      </c>
      <c r="AF145" s="180" t="str">
        <f ca="1"/>
        <v/>
      </c>
      <c r="AG145" s="180" t="str">
        <f ca="1"/>
        <v/>
      </c>
      <c r="AH145" s="180" t="str">
        <f ca="1"/>
        <v/>
      </c>
      <c r="AI145" s="180" t="str">
        <f ca="1"/>
        <v/>
      </c>
      <c r="AJ145" s="180" t="str">
        <f ca="1"/>
        <v/>
      </c>
      <c r="AK145" s="180" t="str">
        <f ca="1"/>
        <v/>
      </c>
      <c r="AL145" s="180" t="str">
        <f ca="1"/>
        <v/>
      </c>
      <c r="AM145" s="180" t="str">
        <f ca="1"/>
        <v/>
      </c>
      <c r="AN145" s="180" t="str">
        <f ca="1"/>
        <v/>
      </c>
      <c r="AO145" s="180" t="str">
        <f ca="1"/>
        <v/>
      </c>
      <c r="AP145" s="180" t="str">
        <f ca="1"/>
        <v/>
      </c>
      <c r="AQ145" s="187" t="str">
        <f ca="1"/>
        <v/>
      </c>
    </row>
    <row r="146" spans="2:43" x14ac:dyDescent="0.25">
      <c r="B146" s="179" t="str">
        <f ca="1"/>
        <v/>
      </c>
      <c r="C146" s="180" t="str">
        <f ca="1"/>
        <v/>
      </c>
      <c r="D146" s="180" t="str">
        <f ca="1"/>
        <v/>
      </c>
      <c r="E146" s="180" t="str">
        <f ca="1"/>
        <v/>
      </c>
      <c r="F146" s="180" t="str">
        <f ca="1"/>
        <v/>
      </c>
      <c r="G146" s="180" t="str">
        <f ca="1"/>
        <v/>
      </c>
      <c r="H146" s="180" t="str">
        <f ca="1"/>
        <v/>
      </c>
      <c r="I146" s="180" t="str">
        <f ca="1"/>
        <v/>
      </c>
      <c r="J146" s="180" t="str">
        <f ca="1"/>
        <v/>
      </c>
      <c r="K146" s="180" t="str">
        <f ca="1"/>
        <v/>
      </c>
      <c r="L146" s="180" t="str">
        <f ca="1"/>
        <v/>
      </c>
      <c r="M146" s="180" t="str">
        <f ca="1"/>
        <v/>
      </c>
      <c r="N146" s="180" t="str">
        <f ca="1"/>
        <v/>
      </c>
      <c r="O146" s="180" t="str">
        <f ca="1"/>
        <v/>
      </c>
      <c r="P146" s="180" t="str">
        <f ca="1"/>
        <v/>
      </c>
      <c r="Q146" s="180" t="str">
        <f ca="1"/>
        <v/>
      </c>
      <c r="R146" s="180" t="str">
        <f ca="1"/>
        <v/>
      </c>
      <c r="S146" s="180" t="str">
        <f ca="1"/>
        <v/>
      </c>
      <c r="T146" s="180" t="str">
        <f ca="1"/>
        <v/>
      </c>
      <c r="U146" s="180" t="str">
        <f ca="1"/>
        <v/>
      </c>
      <c r="V146" s="180" t="str">
        <f ca="1"/>
        <v/>
      </c>
      <c r="W146" s="180" t="str">
        <f ca="1"/>
        <v/>
      </c>
      <c r="X146" s="180" t="str">
        <f ca="1"/>
        <v/>
      </c>
      <c r="Y146" s="180" t="str">
        <f ca="1"/>
        <v/>
      </c>
      <c r="Z146" s="180" t="str">
        <f ca="1"/>
        <v/>
      </c>
      <c r="AA146" s="180" t="str">
        <f ca="1"/>
        <v/>
      </c>
      <c r="AB146" s="180" t="str">
        <f ca="1"/>
        <v/>
      </c>
      <c r="AC146" s="180" t="str">
        <f ca="1"/>
        <v/>
      </c>
      <c r="AD146" s="180" t="str">
        <f ca="1"/>
        <v/>
      </c>
      <c r="AE146" s="180" t="str">
        <f ca="1"/>
        <v/>
      </c>
      <c r="AF146" s="180" t="str">
        <f ca="1"/>
        <v/>
      </c>
      <c r="AG146" s="180" t="str">
        <f ca="1"/>
        <v/>
      </c>
      <c r="AH146" s="180" t="str">
        <f ca="1"/>
        <v/>
      </c>
      <c r="AI146" s="180" t="str">
        <f ca="1"/>
        <v/>
      </c>
      <c r="AJ146" s="180" t="str">
        <f ca="1"/>
        <v/>
      </c>
      <c r="AK146" s="180" t="str">
        <f ca="1"/>
        <v/>
      </c>
      <c r="AL146" s="180" t="str">
        <f ca="1"/>
        <v/>
      </c>
      <c r="AM146" s="180" t="str">
        <f ca="1"/>
        <v/>
      </c>
      <c r="AN146" s="180" t="str">
        <f ca="1"/>
        <v/>
      </c>
      <c r="AO146" s="180" t="str">
        <f ca="1"/>
        <v/>
      </c>
      <c r="AP146" s="180" t="str">
        <f ca="1"/>
        <v/>
      </c>
      <c r="AQ146" s="187" t="str">
        <f ca="1"/>
        <v/>
      </c>
    </row>
    <row r="147" spans="2:43" x14ac:dyDescent="0.25">
      <c r="B147" s="179" t="str">
        <f ca="1"/>
        <v/>
      </c>
      <c r="C147" s="180" t="str">
        <f ca="1"/>
        <v/>
      </c>
      <c r="D147" s="180" t="str">
        <f ca="1"/>
        <v/>
      </c>
      <c r="E147" s="180" t="str">
        <f ca="1"/>
        <v/>
      </c>
      <c r="F147" s="180" t="str">
        <f ca="1"/>
        <v/>
      </c>
      <c r="G147" s="180" t="str">
        <f ca="1"/>
        <v/>
      </c>
      <c r="H147" s="180" t="str">
        <f ca="1"/>
        <v/>
      </c>
      <c r="I147" s="180" t="str">
        <f ca="1"/>
        <v/>
      </c>
      <c r="J147" s="180" t="str">
        <f ca="1"/>
        <v/>
      </c>
      <c r="K147" s="180" t="str">
        <f ca="1"/>
        <v/>
      </c>
      <c r="L147" s="180" t="str">
        <f ca="1"/>
        <v/>
      </c>
      <c r="M147" s="180" t="str">
        <f ca="1"/>
        <v/>
      </c>
      <c r="N147" s="180" t="str">
        <f ca="1"/>
        <v/>
      </c>
      <c r="O147" s="180" t="str">
        <f ca="1"/>
        <v/>
      </c>
      <c r="P147" s="180" t="str">
        <f ca="1"/>
        <v/>
      </c>
      <c r="Q147" s="180" t="str">
        <f ca="1"/>
        <v/>
      </c>
      <c r="R147" s="180" t="str">
        <f ca="1"/>
        <v/>
      </c>
      <c r="S147" s="180" t="str">
        <f ca="1"/>
        <v/>
      </c>
      <c r="T147" s="180" t="str">
        <f ca="1"/>
        <v/>
      </c>
      <c r="U147" s="180" t="str">
        <f ca="1"/>
        <v/>
      </c>
      <c r="V147" s="180" t="str">
        <f ca="1"/>
        <v/>
      </c>
      <c r="W147" s="180" t="str">
        <f ca="1"/>
        <v/>
      </c>
      <c r="X147" s="180" t="str">
        <f ca="1"/>
        <v/>
      </c>
      <c r="Y147" s="180" t="str">
        <f ca="1"/>
        <v/>
      </c>
      <c r="Z147" s="180" t="str">
        <f ca="1"/>
        <v/>
      </c>
      <c r="AA147" s="180" t="str">
        <f ca="1"/>
        <v/>
      </c>
      <c r="AB147" s="180" t="str">
        <f ca="1"/>
        <v/>
      </c>
      <c r="AC147" s="180" t="str">
        <f ca="1"/>
        <v/>
      </c>
      <c r="AD147" s="180" t="str">
        <f ca="1"/>
        <v/>
      </c>
      <c r="AE147" s="180" t="str">
        <f ca="1"/>
        <v/>
      </c>
      <c r="AF147" s="180" t="str">
        <f ca="1"/>
        <v/>
      </c>
      <c r="AG147" s="180" t="str">
        <f ca="1"/>
        <v/>
      </c>
      <c r="AH147" s="180" t="str">
        <f ca="1"/>
        <v/>
      </c>
      <c r="AI147" s="180" t="str">
        <f ca="1"/>
        <v/>
      </c>
      <c r="AJ147" s="180" t="str">
        <f ca="1"/>
        <v/>
      </c>
      <c r="AK147" s="180" t="str">
        <f ca="1"/>
        <v/>
      </c>
      <c r="AL147" s="180" t="str">
        <f ca="1"/>
        <v/>
      </c>
      <c r="AM147" s="180" t="str">
        <f ca="1"/>
        <v/>
      </c>
      <c r="AN147" s="180" t="str">
        <f ca="1"/>
        <v/>
      </c>
      <c r="AO147" s="180" t="str">
        <f ca="1"/>
        <v/>
      </c>
      <c r="AP147" s="180" t="str">
        <f ca="1"/>
        <v/>
      </c>
      <c r="AQ147" s="187" t="str">
        <f ca="1"/>
        <v/>
      </c>
    </row>
    <row r="148" spans="2:43" x14ac:dyDescent="0.25">
      <c r="B148" s="179" t="str">
        <f ca="1"/>
        <v/>
      </c>
      <c r="C148" s="180" t="str">
        <f ca="1"/>
        <v/>
      </c>
      <c r="D148" s="180" t="str">
        <f ca="1"/>
        <v/>
      </c>
      <c r="E148" s="180" t="str">
        <f ca="1"/>
        <v/>
      </c>
      <c r="F148" s="180" t="str">
        <f ca="1"/>
        <v/>
      </c>
      <c r="G148" s="180" t="str">
        <f ca="1"/>
        <v/>
      </c>
      <c r="H148" s="180" t="str">
        <f ca="1"/>
        <v/>
      </c>
      <c r="I148" s="180" t="str">
        <f ca="1"/>
        <v/>
      </c>
      <c r="J148" s="180" t="str">
        <f ca="1"/>
        <v/>
      </c>
      <c r="K148" s="180" t="str">
        <f ca="1"/>
        <v/>
      </c>
      <c r="L148" s="180" t="str">
        <f ca="1"/>
        <v/>
      </c>
      <c r="M148" s="180" t="str">
        <f ca="1"/>
        <v/>
      </c>
      <c r="N148" s="180" t="str">
        <f ca="1"/>
        <v/>
      </c>
      <c r="O148" s="180" t="str">
        <f ca="1"/>
        <v/>
      </c>
      <c r="P148" s="180" t="str">
        <f ca="1"/>
        <v/>
      </c>
      <c r="Q148" s="180" t="str">
        <f ca="1"/>
        <v/>
      </c>
      <c r="R148" s="180" t="str">
        <f ca="1"/>
        <v/>
      </c>
      <c r="S148" s="180" t="str">
        <f ca="1"/>
        <v/>
      </c>
      <c r="T148" s="180" t="str">
        <f ca="1"/>
        <v/>
      </c>
      <c r="U148" s="180" t="str">
        <f ca="1"/>
        <v/>
      </c>
      <c r="V148" s="180" t="str">
        <f ca="1"/>
        <v/>
      </c>
      <c r="W148" s="180" t="str">
        <f ca="1"/>
        <v/>
      </c>
      <c r="X148" s="180" t="str">
        <f ca="1"/>
        <v/>
      </c>
      <c r="Y148" s="180" t="str">
        <f ca="1"/>
        <v/>
      </c>
      <c r="Z148" s="180" t="str">
        <f ca="1"/>
        <v/>
      </c>
      <c r="AA148" s="180" t="str">
        <f ca="1"/>
        <v/>
      </c>
      <c r="AB148" s="180" t="str">
        <f ca="1"/>
        <v/>
      </c>
      <c r="AC148" s="180" t="str">
        <f ca="1"/>
        <v/>
      </c>
      <c r="AD148" s="180" t="str">
        <f ca="1"/>
        <v/>
      </c>
      <c r="AE148" s="180" t="str">
        <f ca="1"/>
        <v/>
      </c>
      <c r="AF148" s="180" t="str">
        <f ca="1"/>
        <v/>
      </c>
      <c r="AG148" s="180" t="str">
        <f ca="1"/>
        <v/>
      </c>
      <c r="AH148" s="180" t="str">
        <f ca="1"/>
        <v/>
      </c>
      <c r="AI148" s="180" t="str">
        <f ca="1"/>
        <v/>
      </c>
      <c r="AJ148" s="180" t="str">
        <f ca="1"/>
        <v/>
      </c>
      <c r="AK148" s="180" t="str">
        <f ca="1"/>
        <v/>
      </c>
      <c r="AL148" s="180" t="str">
        <f ca="1"/>
        <v/>
      </c>
      <c r="AM148" s="180" t="str">
        <f ca="1"/>
        <v/>
      </c>
      <c r="AN148" s="180" t="str">
        <f ca="1"/>
        <v/>
      </c>
      <c r="AO148" s="180" t="str">
        <f ca="1"/>
        <v/>
      </c>
      <c r="AP148" s="180" t="str">
        <f ca="1"/>
        <v/>
      </c>
      <c r="AQ148" s="187" t="str">
        <f ca="1"/>
        <v/>
      </c>
    </row>
    <row r="149" spans="2:43" x14ac:dyDescent="0.25">
      <c r="B149" s="179" t="str">
        <f ca="1"/>
        <v/>
      </c>
      <c r="C149" s="180" t="str">
        <f ca="1"/>
        <v/>
      </c>
      <c r="D149" s="180" t="str">
        <f ca="1"/>
        <v/>
      </c>
      <c r="E149" s="180" t="str">
        <f ca="1"/>
        <v/>
      </c>
      <c r="F149" s="180" t="str">
        <f ca="1"/>
        <v/>
      </c>
      <c r="G149" s="180" t="str">
        <f ca="1"/>
        <v/>
      </c>
      <c r="H149" s="180" t="str">
        <f ca="1"/>
        <v/>
      </c>
      <c r="I149" s="180" t="str">
        <f ca="1"/>
        <v/>
      </c>
      <c r="J149" s="180" t="str">
        <f ca="1"/>
        <v/>
      </c>
      <c r="K149" s="180" t="str">
        <f ca="1"/>
        <v/>
      </c>
      <c r="L149" s="180" t="str">
        <f ca="1"/>
        <v/>
      </c>
      <c r="M149" s="180" t="str">
        <f ca="1"/>
        <v/>
      </c>
      <c r="N149" s="180" t="str">
        <f ca="1"/>
        <v/>
      </c>
      <c r="O149" s="180" t="str">
        <f ca="1"/>
        <v/>
      </c>
      <c r="P149" s="180" t="str">
        <f ca="1"/>
        <v/>
      </c>
      <c r="Q149" s="180" t="str">
        <f ca="1"/>
        <v/>
      </c>
      <c r="R149" s="180" t="str">
        <f ca="1"/>
        <v/>
      </c>
      <c r="S149" s="180" t="str">
        <f ca="1"/>
        <v/>
      </c>
      <c r="T149" s="180" t="str">
        <f ca="1"/>
        <v/>
      </c>
      <c r="U149" s="180" t="str">
        <f ca="1"/>
        <v/>
      </c>
      <c r="V149" s="180" t="str">
        <f ca="1"/>
        <v/>
      </c>
      <c r="W149" s="180" t="str">
        <f ca="1"/>
        <v/>
      </c>
      <c r="X149" s="180" t="str">
        <f ca="1"/>
        <v/>
      </c>
      <c r="Y149" s="180" t="str">
        <f ca="1"/>
        <v/>
      </c>
      <c r="Z149" s="180" t="str">
        <f ca="1"/>
        <v/>
      </c>
      <c r="AA149" s="180" t="str">
        <f ca="1"/>
        <v/>
      </c>
      <c r="AB149" s="180" t="str">
        <f ca="1"/>
        <v/>
      </c>
      <c r="AC149" s="180" t="str">
        <f ca="1"/>
        <v/>
      </c>
      <c r="AD149" s="180" t="str">
        <f ca="1"/>
        <v/>
      </c>
      <c r="AE149" s="180" t="str">
        <f ca="1"/>
        <v/>
      </c>
      <c r="AF149" s="180" t="str">
        <f ca="1"/>
        <v/>
      </c>
      <c r="AG149" s="180" t="str">
        <f ca="1"/>
        <v/>
      </c>
      <c r="AH149" s="180" t="str">
        <f ca="1"/>
        <v/>
      </c>
      <c r="AI149" s="180" t="str">
        <f ca="1"/>
        <v/>
      </c>
      <c r="AJ149" s="180" t="str">
        <f ca="1"/>
        <v/>
      </c>
      <c r="AK149" s="180" t="str">
        <f ca="1"/>
        <v/>
      </c>
      <c r="AL149" s="180" t="str">
        <f ca="1"/>
        <v/>
      </c>
      <c r="AM149" s="180" t="str">
        <f ca="1"/>
        <v/>
      </c>
      <c r="AN149" s="180" t="str">
        <f ca="1"/>
        <v/>
      </c>
      <c r="AO149" s="180" t="str">
        <f ca="1"/>
        <v/>
      </c>
      <c r="AP149" s="180" t="str">
        <f ca="1"/>
        <v/>
      </c>
      <c r="AQ149" s="187" t="str">
        <f ca="1"/>
        <v/>
      </c>
    </row>
    <row r="150" spans="2:43" x14ac:dyDescent="0.25">
      <c r="B150" s="179" t="str">
        <f ca="1"/>
        <v/>
      </c>
      <c r="C150" s="180" t="str">
        <f ca="1"/>
        <v/>
      </c>
      <c r="D150" s="180" t="str">
        <f ca="1"/>
        <v/>
      </c>
      <c r="E150" s="180" t="str">
        <f ca="1"/>
        <v/>
      </c>
      <c r="F150" s="180" t="str">
        <f ca="1"/>
        <v/>
      </c>
      <c r="G150" s="180" t="str">
        <f ca="1"/>
        <v/>
      </c>
      <c r="H150" s="180" t="str">
        <f ca="1"/>
        <v/>
      </c>
      <c r="I150" s="180" t="str">
        <f ca="1"/>
        <v/>
      </c>
      <c r="J150" s="180" t="str">
        <f ca="1"/>
        <v/>
      </c>
      <c r="K150" s="180" t="str">
        <f ca="1"/>
        <v/>
      </c>
      <c r="L150" s="180" t="str">
        <f ca="1"/>
        <v/>
      </c>
      <c r="M150" s="180" t="str">
        <f ca="1"/>
        <v/>
      </c>
      <c r="N150" s="180" t="str">
        <f ca="1"/>
        <v/>
      </c>
      <c r="O150" s="180" t="str">
        <f ca="1"/>
        <v/>
      </c>
      <c r="P150" s="180" t="str">
        <f ca="1"/>
        <v/>
      </c>
      <c r="Q150" s="180" t="str">
        <f ca="1"/>
        <v/>
      </c>
      <c r="R150" s="180" t="str">
        <f ca="1"/>
        <v/>
      </c>
      <c r="S150" s="180" t="str">
        <f ca="1"/>
        <v/>
      </c>
      <c r="T150" s="180" t="str">
        <f ca="1"/>
        <v/>
      </c>
      <c r="U150" s="180" t="str">
        <f ca="1"/>
        <v/>
      </c>
      <c r="V150" s="180" t="str">
        <f ca="1"/>
        <v/>
      </c>
      <c r="W150" s="180" t="str">
        <f ca="1"/>
        <v/>
      </c>
      <c r="X150" s="180" t="str">
        <f ca="1"/>
        <v/>
      </c>
      <c r="Y150" s="180" t="str">
        <f ca="1"/>
        <v/>
      </c>
      <c r="Z150" s="180" t="str">
        <f ca="1"/>
        <v/>
      </c>
      <c r="AA150" s="180" t="str">
        <f ca="1"/>
        <v/>
      </c>
      <c r="AB150" s="180" t="str">
        <f ca="1"/>
        <v/>
      </c>
      <c r="AC150" s="180" t="str">
        <f ca="1"/>
        <v/>
      </c>
      <c r="AD150" s="180" t="str">
        <f ca="1"/>
        <v/>
      </c>
      <c r="AE150" s="180" t="str">
        <f ca="1"/>
        <v/>
      </c>
      <c r="AF150" s="180" t="str">
        <f ca="1"/>
        <v/>
      </c>
      <c r="AG150" s="180" t="str">
        <f ca="1"/>
        <v/>
      </c>
      <c r="AH150" s="180" t="str">
        <f ca="1"/>
        <v/>
      </c>
      <c r="AI150" s="180" t="str">
        <f ca="1"/>
        <v/>
      </c>
      <c r="AJ150" s="180" t="str">
        <f ca="1"/>
        <v/>
      </c>
      <c r="AK150" s="180" t="str">
        <f ca="1"/>
        <v/>
      </c>
      <c r="AL150" s="180" t="str">
        <f ca="1"/>
        <v/>
      </c>
      <c r="AM150" s="180" t="str">
        <f ca="1"/>
        <v/>
      </c>
      <c r="AN150" s="180" t="str">
        <f ca="1"/>
        <v/>
      </c>
      <c r="AO150" s="180" t="str">
        <f ca="1"/>
        <v/>
      </c>
      <c r="AP150" s="180" t="str">
        <f ca="1"/>
        <v/>
      </c>
      <c r="AQ150" s="187" t="str">
        <f ca="1"/>
        <v/>
      </c>
    </row>
    <row r="151" spans="2:43" x14ac:dyDescent="0.25">
      <c r="B151" s="179" t="str">
        <f ca="1"/>
        <v/>
      </c>
      <c r="C151" s="180" t="str">
        <f ca="1"/>
        <v/>
      </c>
      <c r="D151" s="180" t="str">
        <f ca="1"/>
        <v/>
      </c>
      <c r="E151" s="180" t="str">
        <f ca="1"/>
        <v/>
      </c>
      <c r="F151" s="180" t="str">
        <f ca="1"/>
        <v/>
      </c>
      <c r="G151" s="180" t="str">
        <f ca="1"/>
        <v/>
      </c>
      <c r="H151" s="180" t="str">
        <f ca="1"/>
        <v/>
      </c>
      <c r="I151" s="180" t="str">
        <f ca="1"/>
        <v/>
      </c>
      <c r="J151" s="180" t="str">
        <f ca="1"/>
        <v/>
      </c>
      <c r="K151" s="180" t="str">
        <f ca="1"/>
        <v/>
      </c>
      <c r="L151" s="180" t="str">
        <f ca="1"/>
        <v/>
      </c>
      <c r="M151" s="180" t="str">
        <f ca="1"/>
        <v/>
      </c>
      <c r="N151" s="180" t="str">
        <f ca="1"/>
        <v/>
      </c>
      <c r="O151" s="180" t="str">
        <f ca="1"/>
        <v/>
      </c>
      <c r="P151" s="180" t="str">
        <f ca="1"/>
        <v/>
      </c>
      <c r="Q151" s="180" t="str">
        <f ca="1"/>
        <v/>
      </c>
      <c r="R151" s="180" t="str">
        <f ca="1"/>
        <v/>
      </c>
      <c r="S151" s="180" t="str">
        <f ca="1"/>
        <v/>
      </c>
      <c r="T151" s="180" t="str">
        <f ca="1"/>
        <v/>
      </c>
      <c r="U151" s="180" t="str">
        <f ca="1"/>
        <v/>
      </c>
      <c r="V151" s="180" t="str">
        <f ca="1"/>
        <v/>
      </c>
      <c r="W151" s="180" t="str">
        <f ca="1"/>
        <v/>
      </c>
      <c r="X151" s="180" t="str">
        <f ca="1"/>
        <v/>
      </c>
      <c r="Y151" s="180" t="str">
        <f ca="1"/>
        <v/>
      </c>
      <c r="Z151" s="180" t="str">
        <f ca="1"/>
        <v/>
      </c>
      <c r="AA151" s="180" t="str">
        <f ca="1"/>
        <v/>
      </c>
      <c r="AB151" s="180" t="str">
        <f ca="1"/>
        <v/>
      </c>
      <c r="AC151" s="180" t="str">
        <f ca="1"/>
        <v/>
      </c>
      <c r="AD151" s="180" t="str">
        <f ca="1"/>
        <v/>
      </c>
      <c r="AE151" s="180" t="str">
        <f ca="1"/>
        <v/>
      </c>
      <c r="AF151" s="180" t="str">
        <f ca="1"/>
        <v/>
      </c>
      <c r="AG151" s="180" t="str">
        <f ca="1"/>
        <v/>
      </c>
      <c r="AH151" s="180" t="str">
        <f ca="1"/>
        <v/>
      </c>
      <c r="AI151" s="180" t="str">
        <f ca="1"/>
        <v/>
      </c>
      <c r="AJ151" s="180" t="str">
        <f ca="1"/>
        <v/>
      </c>
      <c r="AK151" s="180" t="str">
        <f ca="1"/>
        <v/>
      </c>
      <c r="AL151" s="180" t="str">
        <f ca="1"/>
        <v/>
      </c>
      <c r="AM151" s="180" t="str">
        <f ca="1"/>
        <v/>
      </c>
      <c r="AN151" s="180" t="str">
        <f ca="1"/>
        <v/>
      </c>
      <c r="AO151" s="180" t="str">
        <f ca="1"/>
        <v/>
      </c>
      <c r="AP151" s="180" t="str">
        <f ca="1"/>
        <v/>
      </c>
      <c r="AQ151" s="187" t="str">
        <f ca="1"/>
        <v/>
      </c>
    </row>
    <row r="152" spans="2:43" x14ac:dyDescent="0.25">
      <c r="B152" s="179" t="str">
        <f ca="1"/>
        <v/>
      </c>
      <c r="C152" s="180" t="str">
        <f ca="1"/>
        <v/>
      </c>
      <c r="D152" s="180" t="str">
        <f ca="1"/>
        <v/>
      </c>
      <c r="E152" s="180" t="str">
        <f ca="1"/>
        <v/>
      </c>
      <c r="F152" s="180" t="str">
        <f ca="1"/>
        <v/>
      </c>
      <c r="G152" s="180" t="str">
        <f ca="1"/>
        <v/>
      </c>
      <c r="H152" s="180" t="str">
        <f ca="1"/>
        <v/>
      </c>
      <c r="I152" s="180" t="str">
        <f ca="1"/>
        <v/>
      </c>
      <c r="J152" s="180" t="str">
        <f ca="1"/>
        <v/>
      </c>
      <c r="K152" s="180" t="str">
        <f ca="1"/>
        <v/>
      </c>
      <c r="L152" s="180" t="str">
        <f ca="1"/>
        <v/>
      </c>
      <c r="M152" s="180" t="str">
        <f ca="1"/>
        <v/>
      </c>
      <c r="N152" s="180" t="str">
        <f ca="1"/>
        <v/>
      </c>
      <c r="O152" s="180" t="str">
        <f ca="1"/>
        <v/>
      </c>
      <c r="P152" s="180" t="str">
        <f ca="1"/>
        <v/>
      </c>
      <c r="Q152" s="180" t="str">
        <f ca="1"/>
        <v/>
      </c>
      <c r="R152" s="180" t="str">
        <f ca="1"/>
        <v/>
      </c>
      <c r="S152" s="180" t="str">
        <f ca="1"/>
        <v/>
      </c>
      <c r="T152" s="180" t="str">
        <f ca="1"/>
        <v/>
      </c>
      <c r="U152" s="180" t="str">
        <f ca="1"/>
        <v/>
      </c>
      <c r="V152" s="180" t="str">
        <f ca="1"/>
        <v/>
      </c>
      <c r="W152" s="180" t="str">
        <f ca="1"/>
        <v/>
      </c>
      <c r="X152" s="180" t="str">
        <f ca="1"/>
        <v/>
      </c>
      <c r="Y152" s="180" t="str">
        <f ca="1"/>
        <v/>
      </c>
      <c r="Z152" s="180" t="str">
        <f ca="1"/>
        <v/>
      </c>
      <c r="AA152" s="180" t="str">
        <f ca="1"/>
        <v/>
      </c>
      <c r="AB152" s="180" t="str">
        <f ca="1"/>
        <v/>
      </c>
      <c r="AC152" s="180" t="str">
        <f ca="1"/>
        <v/>
      </c>
      <c r="AD152" s="180" t="str">
        <f ca="1"/>
        <v/>
      </c>
      <c r="AE152" s="180" t="str">
        <f ca="1"/>
        <v/>
      </c>
      <c r="AF152" s="180" t="str">
        <f ca="1"/>
        <v/>
      </c>
      <c r="AG152" s="180" t="str">
        <f ca="1"/>
        <v/>
      </c>
      <c r="AH152" s="180" t="str">
        <f ca="1"/>
        <v/>
      </c>
      <c r="AI152" s="180" t="str">
        <f ca="1"/>
        <v/>
      </c>
      <c r="AJ152" s="180" t="str">
        <f ca="1"/>
        <v/>
      </c>
      <c r="AK152" s="180" t="str">
        <f ca="1"/>
        <v/>
      </c>
      <c r="AL152" s="180" t="str">
        <f ca="1"/>
        <v/>
      </c>
      <c r="AM152" s="180" t="str">
        <f ca="1"/>
        <v/>
      </c>
      <c r="AN152" s="180" t="str">
        <f ca="1"/>
        <v/>
      </c>
      <c r="AO152" s="180" t="str">
        <f ca="1"/>
        <v/>
      </c>
      <c r="AP152" s="180" t="str">
        <f ca="1"/>
        <v/>
      </c>
      <c r="AQ152" s="187" t="str">
        <f ca="1"/>
        <v/>
      </c>
    </row>
    <row r="153" spans="2:43" x14ac:dyDescent="0.25">
      <c r="B153" s="179" t="str">
        <f ca="1"/>
        <v/>
      </c>
      <c r="C153" s="180" t="str">
        <f ca="1"/>
        <v/>
      </c>
      <c r="D153" s="180" t="str">
        <f ca="1"/>
        <v/>
      </c>
      <c r="E153" s="180" t="str">
        <f ca="1"/>
        <v/>
      </c>
      <c r="F153" s="180" t="str">
        <f ca="1"/>
        <v/>
      </c>
      <c r="G153" s="180" t="str">
        <f ca="1"/>
        <v/>
      </c>
      <c r="H153" s="180" t="str">
        <f ca="1"/>
        <v/>
      </c>
      <c r="I153" s="180" t="str">
        <f ca="1"/>
        <v/>
      </c>
      <c r="J153" s="180" t="str">
        <f ca="1"/>
        <v/>
      </c>
      <c r="K153" s="180" t="str">
        <f ca="1"/>
        <v/>
      </c>
      <c r="L153" s="180" t="str">
        <f ca="1"/>
        <v/>
      </c>
      <c r="M153" s="180" t="str">
        <f ca="1"/>
        <v/>
      </c>
      <c r="N153" s="180" t="str">
        <f ca="1"/>
        <v/>
      </c>
      <c r="O153" s="180" t="str">
        <f ca="1"/>
        <v/>
      </c>
      <c r="P153" s="180" t="str">
        <f ca="1"/>
        <v/>
      </c>
      <c r="Q153" s="180" t="str">
        <f ca="1"/>
        <v/>
      </c>
      <c r="R153" s="180" t="str">
        <f ca="1"/>
        <v/>
      </c>
      <c r="S153" s="180" t="str">
        <f ca="1"/>
        <v/>
      </c>
      <c r="T153" s="180" t="str">
        <f ca="1"/>
        <v/>
      </c>
      <c r="U153" s="180" t="str">
        <f ca="1"/>
        <v/>
      </c>
      <c r="V153" s="180" t="str">
        <f ca="1"/>
        <v/>
      </c>
      <c r="W153" s="180" t="str">
        <f ca="1"/>
        <v/>
      </c>
      <c r="X153" s="180" t="str">
        <f ca="1"/>
        <v/>
      </c>
      <c r="Y153" s="180" t="str">
        <f ca="1"/>
        <v/>
      </c>
      <c r="Z153" s="180" t="str">
        <f ca="1"/>
        <v/>
      </c>
      <c r="AA153" s="180" t="str">
        <f ca="1"/>
        <v/>
      </c>
      <c r="AB153" s="180" t="str">
        <f ca="1"/>
        <v/>
      </c>
      <c r="AC153" s="180" t="str">
        <f ca="1"/>
        <v/>
      </c>
      <c r="AD153" s="180" t="str">
        <f ca="1"/>
        <v/>
      </c>
      <c r="AE153" s="180" t="str">
        <f ca="1"/>
        <v/>
      </c>
      <c r="AF153" s="180" t="str">
        <f ca="1"/>
        <v/>
      </c>
      <c r="AG153" s="180" t="str">
        <f ca="1"/>
        <v/>
      </c>
      <c r="AH153" s="180" t="str">
        <f ca="1"/>
        <v/>
      </c>
      <c r="AI153" s="180" t="str">
        <f ca="1"/>
        <v/>
      </c>
      <c r="AJ153" s="180" t="str">
        <f ca="1"/>
        <v/>
      </c>
      <c r="AK153" s="180" t="str">
        <f ca="1"/>
        <v/>
      </c>
      <c r="AL153" s="180" t="str">
        <f ca="1"/>
        <v/>
      </c>
      <c r="AM153" s="180" t="str">
        <f ca="1"/>
        <v/>
      </c>
      <c r="AN153" s="180" t="str">
        <f ca="1"/>
        <v/>
      </c>
      <c r="AO153" s="180" t="str">
        <f ca="1"/>
        <v/>
      </c>
      <c r="AP153" s="180" t="str">
        <f ca="1"/>
        <v/>
      </c>
      <c r="AQ153" s="187" t="str">
        <f ca="1"/>
        <v/>
      </c>
    </row>
    <row r="154" spans="2:43" x14ac:dyDescent="0.25">
      <c r="B154" s="179" t="str">
        <f ca="1"/>
        <v/>
      </c>
      <c r="C154" s="180" t="str">
        <f ca="1"/>
        <v/>
      </c>
      <c r="D154" s="180" t="str">
        <f ca="1"/>
        <v/>
      </c>
      <c r="E154" s="180" t="str">
        <f ca="1"/>
        <v/>
      </c>
      <c r="F154" s="180" t="str">
        <f ca="1"/>
        <v/>
      </c>
      <c r="G154" s="180" t="str">
        <f ca="1"/>
        <v/>
      </c>
      <c r="H154" s="180" t="str">
        <f ca="1"/>
        <v/>
      </c>
      <c r="I154" s="180" t="str">
        <f ca="1"/>
        <v/>
      </c>
      <c r="J154" s="180" t="str">
        <f ca="1"/>
        <v/>
      </c>
      <c r="K154" s="180" t="str">
        <f ca="1"/>
        <v/>
      </c>
      <c r="L154" s="180" t="str">
        <f ca="1"/>
        <v/>
      </c>
      <c r="M154" s="180" t="str">
        <f ca="1"/>
        <v/>
      </c>
      <c r="N154" s="180" t="str">
        <f ca="1"/>
        <v/>
      </c>
      <c r="O154" s="180" t="str">
        <f ca="1"/>
        <v/>
      </c>
      <c r="P154" s="180" t="str">
        <f ca="1"/>
        <v/>
      </c>
      <c r="Q154" s="180" t="str">
        <f ca="1"/>
        <v/>
      </c>
      <c r="R154" s="180" t="str">
        <f ca="1"/>
        <v/>
      </c>
      <c r="S154" s="180" t="str">
        <f ca="1"/>
        <v/>
      </c>
      <c r="T154" s="180" t="str">
        <f ca="1"/>
        <v/>
      </c>
      <c r="U154" s="180" t="str">
        <f ca="1"/>
        <v/>
      </c>
      <c r="V154" s="180" t="str">
        <f ca="1"/>
        <v/>
      </c>
      <c r="W154" s="180" t="str">
        <f ca="1"/>
        <v/>
      </c>
      <c r="X154" s="180" t="str">
        <f ca="1"/>
        <v/>
      </c>
      <c r="Y154" s="180" t="str">
        <f ca="1"/>
        <v/>
      </c>
      <c r="Z154" s="180" t="str">
        <f ca="1"/>
        <v/>
      </c>
      <c r="AA154" s="180" t="str">
        <f ca="1"/>
        <v/>
      </c>
      <c r="AB154" s="180" t="str">
        <f ca="1"/>
        <v/>
      </c>
      <c r="AC154" s="180" t="str">
        <f ca="1"/>
        <v/>
      </c>
      <c r="AD154" s="180" t="str">
        <f ca="1"/>
        <v/>
      </c>
      <c r="AE154" s="180" t="str">
        <f ca="1"/>
        <v/>
      </c>
      <c r="AF154" s="180" t="str">
        <f ca="1"/>
        <v/>
      </c>
      <c r="AG154" s="180" t="str">
        <f ca="1"/>
        <v/>
      </c>
      <c r="AH154" s="180" t="str">
        <f ca="1"/>
        <v/>
      </c>
      <c r="AI154" s="180" t="str">
        <f ca="1"/>
        <v/>
      </c>
      <c r="AJ154" s="180" t="str">
        <f ca="1"/>
        <v/>
      </c>
      <c r="AK154" s="180" t="str">
        <f ca="1"/>
        <v/>
      </c>
      <c r="AL154" s="180" t="str">
        <f ca="1"/>
        <v/>
      </c>
      <c r="AM154" s="180" t="str">
        <f ca="1"/>
        <v/>
      </c>
      <c r="AN154" s="180" t="str">
        <f ca="1"/>
        <v/>
      </c>
      <c r="AO154" s="180" t="str">
        <f ca="1"/>
        <v/>
      </c>
      <c r="AP154" s="180" t="str">
        <f ca="1"/>
        <v/>
      </c>
      <c r="AQ154" s="187" t="str">
        <f ca="1"/>
        <v/>
      </c>
    </row>
    <row r="155" spans="2:43" x14ac:dyDescent="0.25">
      <c r="B155" s="179" t="str">
        <f ca="1"/>
        <v/>
      </c>
      <c r="C155" s="180" t="str">
        <f ca="1"/>
        <v/>
      </c>
      <c r="D155" s="180" t="str">
        <f ca="1"/>
        <v/>
      </c>
      <c r="E155" s="180" t="str">
        <f ca="1"/>
        <v/>
      </c>
      <c r="F155" s="180" t="str">
        <f ca="1"/>
        <v/>
      </c>
      <c r="G155" s="180" t="str">
        <f ca="1"/>
        <v/>
      </c>
      <c r="H155" s="180" t="str">
        <f ca="1"/>
        <v/>
      </c>
      <c r="I155" s="180" t="str">
        <f ca="1"/>
        <v/>
      </c>
      <c r="J155" s="180" t="str">
        <f ca="1"/>
        <v/>
      </c>
      <c r="K155" s="180" t="str">
        <f ca="1"/>
        <v/>
      </c>
      <c r="L155" s="180" t="str">
        <f ca="1"/>
        <v/>
      </c>
      <c r="M155" s="180" t="str">
        <f ca="1"/>
        <v/>
      </c>
      <c r="N155" s="180" t="str">
        <f ca="1"/>
        <v/>
      </c>
      <c r="O155" s="180" t="str">
        <f ca="1"/>
        <v/>
      </c>
      <c r="P155" s="180" t="str">
        <f ca="1"/>
        <v/>
      </c>
      <c r="Q155" s="180" t="str">
        <f ca="1"/>
        <v/>
      </c>
      <c r="R155" s="180" t="str">
        <f ca="1"/>
        <v/>
      </c>
      <c r="S155" s="180" t="str">
        <f ca="1"/>
        <v/>
      </c>
      <c r="T155" s="180" t="str">
        <f ca="1"/>
        <v/>
      </c>
      <c r="U155" s="180" t="str">
        <f ca="1"/>
        <v/>
      </c>
      <c r="V155" s="180" t="str">
        <f ca="1"/>
        <v/>
      </c>
      <c r="W155" s="180" t="str">
        <f ca="1"/>
        <v/>
      </c>
      <c r="X155" s="180" t="str">
        <f ca="1"/>
        <v/>
      </c>
      <c r="Y155" s="180" t="str">
        <f ca="1"/>
        <v/>
      </c>
      <c r="Z155" s="180" t="str">
        <f ca="1"/>
        <v/>
      </c>
      <c r="AA155" s="180" t="str">
        <f ca="1"/>
        <v/>
      </c>
      <c r="AB155" s="180" t="str">
        <f ca="1"/>
        <v/>
      </c>
      <c r="AC155" s="180" t="str">
        <f ca="1"/>
        <v/>
      </c>
      <c r="AD155" s="180" t="str">
        <f ca="1"/>
        <v/>
      </c>
      <c r="AE155" s="180" t="str">
        <f ca="1"/>
        <v/>
      </c>
      <c r="AF155" s="180" t="str">
        <f ca="1"/>
        <v/>
      </c>
      <c r="AG155" s="180" t="str">
        <f ca="1"/>
        <v/>
      </c>
      <c r="AH155" s="180" t="str">
        <f ca="1"/>
        <v/>
      </c>
      <c r="AI155" s="180" t="str">
        <f ca="1"/>
        <v/>
      </c>
      <c r="AJ155" s="180" t="str">
        <f ca="1"/>
        <v/>
      </c>
      <c r="AK155" s="180" t="str">
        <f ca="1"/>
        <v/>
      </c>
      <c r="AL155" s="180" t="str">
        <f ca="1"/>
        <v/>
      </c>
      <c r="AM155" s="180" t="str">
        <f ca="1"/>
        <v/>
      </c>
      <c r="AN155" s="180" t="str">
        <f ca="1"/>
        <v/>
      </c>
      <c r="AO155" s="180" t="str">
        <f ca="1"/>
        <v/>
      </c>
      <c r="AP155" s="180" t="str">
        <f ca="1"/>
        <v/>
      </c>
      <c r="AQ155" s="187" t="str">
        <f ca="1"/>
        <v/>
      </c>
    </row>
    <row r="156" spans="2:43" x14ac:dyDescent="0.25">
      <c r="B156" s="179" t="str">
        <f ca="1"/>
        <v/>
      </c>
      <c r="C156" s="180" t="str">
        <f ca="1"/>
        <v/>
      </c>
      <c r="D156" s="180" t="str">
        <f ca="1"/>
        <v/>
      </c>
      <c r="E156" s="180" t="str">
        <f ca="1"/>
        <v/>
      </c>
      <c r="F156" s="180" t="str">
        <f ca="1"/>
        <v/>
      </c>
      <c r="G156" s="180" t="str">
        <f ca="1"/>
        <v/>
      </c>
      <c r="H156" s="180" t="str">
        <f ca="1"/>
        <v/>
      </c>
      <c r="I156" s="180" t="str">
        <f ca="1"/>
        <v/>
      </c>
      <c r="J156" s="180" t="str">
        <f ca="1"/>
        <v/>
      </c>
      <c r="K156" s="180" t="str">
        <f ca="1"/>
        <v/>
      </c>
      <c r="L156" s="180" t="str">
        <f ca="1"/>
        <v/>
      </c>
      <c r="M156" s="180" t="str">
        <f ca="1"/>
        <v/>
      </c>
      <c r="N156" s="180" t="str">
        <f ca="1"/>
        <v/>
      </c>
      <c r="O156" s="180" t="str">
        <f ca="1"/>
        <v/>
      </c>
      <c r="P156" s="180" t="str">
        <f ca="1"/>
        <v/>
      </c>
      <c r="Q156" s="180" t="str">
        <f ca="1"/>
        <v/>
      </c>
      <c r="R156" s="180" t="str">
        <f ca="1"/>
        <v/>
      </c>
      <c r="S156" s="180" t="str">
        <f ca="1"/>
        <v/>
      </c>
      <c r="T156" s="180" t="str">
        <f ca="1"/>
        <v/>
      </c>
      <c r="U156" s="180" t="str">
        <f ca="1"/>
        <v/>
      </c>
      <c r="V156" s="180" t="str">
        <f ca="1"/>
        <v/>
      </c>
      <c r="W156" s="180" t="str">
        <f ca="1"/>
        <v/>
      </c>
      <c r="X156" s="180" t="str">
        <f ca="1"/>
        <v/>
      </c>
      <c r="Y156" s="180" t="str">
        <f ca="1"/>
        <v/>
      </c>
      <c r="Z156" s="180" t="str">
        <f ca="1"/>
        <v/>
      </c>
      <c r="AA156" s="180" t="str">
        <f ca="1"/>
        <v/>
      </c>
      <c r="AB156" s="180" t="str">
        <f ca="1"/>
        <v/>
      </c>
      <c r="AC156" s="180" t="str">
        <f ca="1"/>
        <v/>
      </c>
      <c r="AD156" s="180" t="str">
        <f ca="1"/>
        <v/>
      </c>
      <c r="AE156" s="180" t="str">
        <f ca="1"/>
        <v/>
      </c>
      <c r="AF156" s="180" t="str">
        <f ca="1"/>
        <v/>
      </c>
      <c r="AG156" s="180" t="str">
        <f ca="1"/>
        <v/>
      </c>
      <c r="AH156" s="180" t="str">
        <f ca="1"/>
        <v/>
      </c>
      <c r="AI156" s="180" t="str">
        <f ca="1"/>
        <v/>
      </c>
      <c r="AJ156" s="180" t="str">
        <f ca="1"/>
        <v/>
      </c>
      <c r="AK156" s="180" t="str">
        <f ca="1"/>
        <v/>
      </c>
      <c r="AL156" s="180" t="str">
        <f ca="1"/>
        <v/>
      </c>
      <c r="AM156" s="180" t="str">
        <f ca="1"/>
        <v/>
      </c>
      <c r="AN156" s="180" t="str">
        <f ca="1"/>
        <v/>
      </c>
      <c r="AO156" s="180" t="str">
        <f ca="1"/>
        <v/>
      </c>
      <c r="AP156" s="180" t="str">
        <f ca="1"/>
        <v/>
      </c>
      <c r="AQ156" s="187" t="str">
        <f ca="1"/>
        <v/>
      </c>
    </row>
    <row r="157" spans="2:43" x14ac:dyDescent="0.25">
      <c r="B157" s="179" t="str">
        <f ca="1"/>
        <v/>
      </c>
      <c r="C157" s="180" t="str">
        <f ca="1"/>
        <v/>
      </c>
      <c r="D157" s="180" t="str">
        <f ca="1"/>
        <v/>
      </c>
      <c r="E157" s="180" t="str">
        <f ca="1"/>
        <v/>
      </c>
      <c r="F157" s="180" t="str">
        <f ca="1"/>
        <v/>
      </c>
      <c r="G157" s="180" t="str">
        <f ca="1"/>
        <v/>
      </c>
      <c r="H157" s="180" t="str">
        <f ca="1"/>
        <v/>
      </c>
      <c r="I157" s="180" t="str">
        <f ca="1"/>
        <v/>
      </c>
      <c r="J157" s="180" t="str">
        <f ca="1"/>
        <v/>
      </c>
      <c r="K157" s="180" t="str">
        <f ca="1"/>
        <v/>
      </c>
      <c r="L157" s="180" t="str">
        <f ca="1"/>
        <v/>
      </c>
      <c r="M157" s="180" t="str">
        <f ca="1"/>
        <v/>
      </c>
      <c r="N157" s="180" t="str">
        <f ca="1"/>
        <v/>
      </c>
      <c r="O157" s="180" t="str">
        <f ca="1"/>
        <v/>
      </c>
      <c r="P157" s="180" t="str">
        <f ca="1"/>
        <v/>
      </c>
      <c r="Q157" s="180" t="str">
        <f ca="1"/>
        <v/>
      </c>
      <c r="R157" s="180" t="str">
        <f ca="1"/>
        <v/>
      </c>
      <c r="S157" s="180" t="str">
        <f ca="1"/>
        <v/>
      </c>
      <c r="T157" s="180" t="str">
        <f ca="1"/>
        <v/>
      </c>
      <c r="U157" s="180" t="str">
        <f ca="1"/>
        <v/>
      </c>
      <c r="V157" s="180" t="str">
        <f ca="1"/>
        <v/>
      </c>
      <c r="W157" s="180" t="str">
        <f ca="1"/>
        <v/>
      </c>
      <c r="X157" s="180" t="str">
        <f ca="1"/>
        <v/>
      </c>
      <c r="Y157" s="180" t="str">
        <f ca="1"/>
        <v/>
      </c>
      <c r="Z157" s="180" t="str">
        <f ca="1"/>
        <v/>
      </c>
      <c r="AA157" s="180" t="str">
        <f ca="1"/>
        <v/>
      </c>
      <c r="AB157" s="180" t="str">
        <f ca="1"/>
        <v/>
      </c>
      <c r="AC157" s="180" t="str">
        <f ca="1"/>
        <v/>
      </c>
      <c r="AD157" s="180" t="str">
        <f ca="1"/>
        <v/>
      </c>
      <c r="AE157" s="180" t="str">
        <f ca="1"/>
        <v/>
      </c>
      <c r="AF157" s="180" t="str">
        <f ca="1"/>
        <v/>
      </c>
      <c r="AG157" s="180" t="str">
        <f ca="1"/>
        <v/>
      </c>
      <c r="AH157" s="180" t="str">
        <f ca="1"/>
        <v/>
      </c>
      <c r="AI157" s="180" t="str">
        <f ca="1"/>
        <v/>
      </c>
      <c r="AJ157" s="180" t="str">
        <f ca="1"/>
        <v/>
      </c>
      <c r="AK157" s="180" t="str">
        <f ca="1"/>
        <v/>
      </c>
      <c r="AL157" s="180" t="str">
        <f ca="1"/>
        <v/>
      </c>
      <c r="AM157" s="180" t="str">
        <f ca="1"/>
        <v/>
      </c>
      <c r="AN157" s="180" t="str">
        <f ca="1"/>
        <v/>
      </c>
      <c r="AO157" s="180" t="str">
        <f ca="1"/>
        <v/>
      </c>
      <c r="AP157" s="180" t="str">
        <f ca="1"/>
        <v/>
      </c>
      <c r="AQ157" s="187" t="str">
        <f ca="1"/>
        <v/>
      </c>
    </row>
    <row r="158" spans="2:43" x14ac:dyDescent="0.25">
      <c r="B158" s="179" t="str">
        <f ca="1"/>
        <v/>
      </c>
      <c r="C158" s="180" t="str">
        <f ca="1"/>
        <v/>
      </c>
      <c r="D158" s="180" t="str">
        <f ca="1"/>
        <v/>
      </c>
      <c r="E158" s="180" t="str">
        <f ca="1"/>
        <v/>
      </c>
      <c r="F158" s="180" t="str">
        <f ca="1"/>
        <v/>
      </c>
      <c r="G158" s="180" t="str">
        <f ca="1"/>
        <v/>
      </c>
      <c r="H158" s="180" t="str">
        <f ca="1"/>
        <v/>
      </c>
      <c r="I158" s="180" t="str">
        <f ca="1"/>
        <v/>
      </c>
      <c r="J158" s="180" t="str">
        <f ca="1"/>
        <v/>
      </c>
      <c r="K158" s="180" t="str">
        <f ca="1"/>
        <v/>
      </c>
      <c r="L158" s="180" t="str">
        <f ca="1"/>
        <v/>
      </c>
      <c r="M158" s="180" t="str">
        <f ca="1"/>
        <v/>
      </c>
      <c r="N158" s="180" t="str">
        <f ca="1"/>
        <v/>
      </c>
      <c r="O158" s="180" t="str">
        <f ca="1"/>
        <v/>
      </c>
      <c r="P158" s="180" t="str">
        <f ca="1"/>
        <v/>
      </c>
      <c r="Q158" s="180" t="str">
        <f ca="1"/>
        <v/>
      </c>
      <c r="R158" s="180" t="str">
        <f ca="1"/>
        <v/>
      </c>
      <c r="S158" s="180" t="str">
        <f ca="1"/>
        <v/>
      </c>
      <c r="T158" s="180" t="str">
        <f ca="1"/>
        <v/>
      </c>
      <c r="U158" s="180" t="str">
        <f ca="1"/>
        <v/>
      </c>
      <c r="V158" s="180" t="str">
        <f ca="1"/>
        <v/>
      </c>
      <c r="W158" s="180" t="str">
        <f ca="1"/>
        <v/>
      </c>
      <c r="X158" s="180" t="str">
        <f ca="1"/>
        <v/>
      </c>
      <c r="Y158" s="180" t="str">
        <f ca="1"/>
        <v/>
      </c>
      <c r="Z158" s="180" t="str">
        <f ca="1"/>
        <v/>
      </c>
      <c r="AA158" s="180" t="str">
        <f ca="1"/>
        <v/>
      </c>
      <c r="AB158" s="180" t="str">
        <f ca="1"/>
        <v/>
      </c>
      <c r="AC158" s="180" t="str">
        <f ca="1"/>
        <v/>
      </c>
      <c r="AD158" s="180" t="str">
        <f ca="1"/>
        <v/>
      </c>
      <c r="AE158" s="180" t="str">
        <f ca="1"/>
        <v/>
      </c>
      <c r="AF158" s="180" t="str">
        <f ca="1"/>
        <v/>
      </c>
      <c r="AG158" s="180" t="str">
        <f ca="1"/>
        <v/>
      </c>
      <c r="AH158" s="180" t="str">
        <f ca="1"/>
        <v/>
      </c>
      <c r="AI158" s="180" t="str">
        <f ca="1"/>
        <v/>
      </c>
      <c r="AJ158" s="180" t="str">
        <f ca="1"/>
        <v/>
      </c>
      <c r="AK158" s="180" t="str">
        <f ca="1"/>
        <v/>
      </c>
      <c r="AL158" s="180" t="str">
        <f ca="1"/>
        <v/>
      </c>
      <c r="AM158" s="180" t="str">
        <f ca="1"/>
        <v/>
      </c>
      <c r="AN158" s="180" t="str">
        <f ca="1"/>
        <v/>
      </c>
      <c r="AO158" s="180" t="str">
        <f ca="1"/>
        <v/>
      </c>
      <c r="AP158" s="180" t="str">
        <f ca="1"/>
        <v/>
      </c>
      <c r="AQ158" s="187" t="str">
        <f ca="1"/>
        <v/>
      </c>
    </row>
    <row r="159" spans="2:43" x14ac:dyDescent="0.25">
      <c r="B159" s="179" t="str">
        <f ca="1"/>
        <v/>
      </c>
      <c r="C159" s="180" t="str">
        <f ca="1"/>
        <v/>
      </c>
      <c r="D159" s="180" t="str">
        <f ca="1"/>
        <v/>
      </c>
      <c r="E159" s="180" t="str">
        <f ca="1"/>
        <v/>
      </c>
      <c r="F159" s="180" t="str">
        <f ca="1"/>
        <v/>
      </c>
      <c r="G159" s="180" t="str">
        <f ca="1"/>
        <v/>
      </c>
      <c r="H159" s="180" t="str">
        <f ca="1"/>
        <v/>
      </c>
      <c r="I159" s="180" t="str">
        <f ca="1"/>
        <v/>
      </c>
      <c r="J159" s="180" t="str">
        <f ca="1"/>
        <v/>
      </c>
      <c r="K159" s="180" t="str">
        <f ca="1"/>
        <v/>
      </c>
      <c r="L159" s="180" t="str">
        <f ca="1"/>
        <v/>
      </c>
      <c r="M159" s="180" t="str">
        <f ca="1"/>
        <v/>
      </c>
      <c r="N159" s="180" t="str">
        <f ca="1"/>
        <v/>
      </c>
      <c r="O159" s="180" t="str">
        <f ca="1"/>
        <v/>
      </c>
      <c r="P159" s="180" t="str">
        <f ca="1"/>
        <v/>
      </c>
      <c r="Q159" s="180" t="str">
        <f ca="1"/>
        <v/>
      </c>
      <c r="R159" s="180" t="str">
        <f ca="1"/>
        <v/>
      </c>
      <c r="S159" s="180" t="str">
        <f ca="1"/>
        <v/>
      </c>
      <c r="T159" s="180" t="str">
        <f ca="1"/>
        <v/>
      </c>
      <c r="U159" s="180" t="str">
        <f ca="1"/>
        <v/>
      </c>
      <c r="V159" s="180" t="str">
        <f ca="1"/>
        <v/>
      </c>
      <c r="W159" s="180" t="str">
        <f ca="1"/>
        <v/>
      </c>
      <c r="X159" s="180" t="str">
        <f ca="1"/>
        <v/>
      </c>
      <c r="Y159" s="180" t="str">
        <f ca="1"/>
        <v/>
      </c>
      <c r="Z159" s="180" t="str">
        <f ca="1"/>
        <v/>
      </c>
      <c r="AA159" s="180" t="str">
        <f ca="1"/>
        <v/>
      </c>
      <c r="AB159" s="180" t="str">
        <f ca="1"/>
        <v/>
      </c>
      <c r="AC159" s="180" t="str">
        <f ca="1"/>
        <v/>
      </c>
      <c r="AD159" s="180" t="str">
        <f ca="1"/>
        <v/>
      </c>
      <c r="AE159" s="180" t="str">
        <f ca="1"/>
        <v/>
      </c>
      <c r="AF159" s="180" t="str">
        <f ca="1"/>
        <v/>
      </c>
      <c r="AG159" s="180" t="str">
        <f ca="1"/>
        <v/>
      </c>
      <c r="AH159" s="180" t="str">
        <f ca="1"/>
        <v/>
      </c>
      <c r="AI159" s="180" t="str">
        <f ca="1"/>
        <v/>
      </c>
      <c r="AJ159" s="180" t="str">
        <f ca="1"/>
        <v/>
      </c>
      <c r="AK159" s="180" t="str">
        <f ca="1"/>
        <v/>
      </c>
      <c r="AL159" s="180" t="str">
        <f ca="1"/>
        <v/>
      </c>
      <c r="AM159" s="180" t="str">
        <f ca="1"/>
        <v/>
      </c>
      <c r="AN159" s="180" t="str">
        <f ca="1"/>
        <v/>
      </c>
      <c r="AO159" s="180" t="str">
        <f ca="1"/>
        <v/>
      </c>
      <c r="AP159" s="180" t="str">
        <f ca="1"/>
        <v/>
      </c>
      <c r="AQ159" s="187" t="str">
        <f ca="1"/>
        <v/>
      </c>
    </row>
    <row r="160" spans="2:43" x14ac:dyDescent="0.25">
      <c r="B160" s="179" t="str">
        <f ca="1"/>
        <v/>
      </c>
      <c r="C160" s="180" t="str">
        <f ca="1"/>
        <v/>
      </c>
      <c r="D160" s="180" t="str">
        <f ca="1"/>
        <v/>
      </c>
      <c r="E160" s="180" t="str">
        <f ca="1"/>
        <v/>
      </c>
      <c r="F160" s="180" t="str">
        <f ca="1"/>
        <v/>
      </c>
      <c r="G160" s="180" t="str">
        <f ca="1"/>
        <v/>
      </c>
      <c r="H160" s="180" t="str">
        <f ca="1"/>
        <v/>
      </c>
      <c r="I160" s="180" t="str">
        <f ca="1"/>
        <v/>
      </c>
      <c r="J160" s="180" t="str">
        <f ca="1"/>
        <v/>
      </c>
      <c r="K160" s="180" t="str">
        <f ca="1"/>
        <v/>
      </c>
      <c r="L160" s="180" t="str">
        <f ca="1"/>
        <v/>
      </c>
      <c r="M160" s="180" t="str">
        <f ca="1"/>
        <v/>
      </c>
      <c r="N160" s="180" t="str">
        <f ca="1"/>
        <v/>
      </c>
      <c r="O160" s="180" t="str">
        <f ca="1"/>
        <v/>
      </c>
      <c r="P160" s="180" t="str">
        <f ca="1"/>
        <v/>
      </c>
      <c r="Q160" s="180" t="str">
        <f ca="1"/>
        <v/>
      </c>
      <c r="R160" s="180" t="str">
        <f ca="1"/>
        <v/>
      </c>
      <c r="S160" s="180" t="str">
        <f ca="1"/>
        <v/>
      </c>
      <c r="T160" s="180" t="str">
        <f ca="1"/>
        <v/>
      </c>
      <c r="U160" s="180" t="str">
        <f ca="1"/>
        <v/>
      </c>
      <c r="V160" s="180" t="str">
        <f ca="1"/>
        <v/>
      </c>
      <c r="W160" s="180" t="str">
        <f ca="1"/>
        <v/>
      </c>
      <c r="X160" s="180" t="str">
        <f ca="1"/>
        <v/>
      </c>
      <c r="Y160" s="180" t="str">
        <f ca="1"/>
        <v/>
      </c>
      <c r="Z160" s="180" t="str">
        <f ca="1"/>
        <v/>
      </c>
      <c r="AA160" s="180" t="str">
        <f ca="1"/>
        <v/>
      </c>
      <c r="AB160" s="180" t="str">
        <f ca="1"/>
        <v/>
      </c>
      <c r="AC160" s="180" t="str">
        <f ca="1"/>
        <v/>
      </c>
      <c r="AD160" s="180" t="str">
        <f ca="1"/>
        <v/>
      </c>
      <c r="AE160" s="180" t="str">
        <f ca="1"/>
        <v/>
      </c>
      <c r="AF160" s="180" t="str">
        <f ca="1"/>
        <v/>
      </c>
      <c r="AG160" s="180" t="str">
        <f ca="1"/>
        <v/>
      </c>
      <c r="AH160" s="180" t="str">
        <f ca="1"/>
        <v/>
      </c>
      <c r="AI160" s="180" t="str">
        <f ca="1"/>
        <v/>
      </c>
      <c r="AJ160" s="180" t="str">
        <f ca="1"/>
        <v/>
      </c>
      <c r="AK160" s="180" t="str">
        <f ca="1"/>
        <v/>
      </c>
      <c r="AL160" s="180" t="str">
        <f ca="1"/>
        <v/>
      </c>
      <c r="AM160" s="180" t="str">
        <f ca="1"/>
        <v/>
      </c>
      <c r="AN160" s="180" t="str">
        <f ca="1"/>
        <v/>
      </c>
      <c r="AO160" s="180" t="str">
        <f ca="1"/>
        <v/>
      </c>
      <c r="AP160" s="180" t="str">
        <f ca="1"/>
        <v/>
      </c>
      <c r="AQ160" s="187" t="str">
        <f ca="1"/>
        <v/>
      </c>
    </row>
    <row r="161" spans="2:43" x14ac:dyDescent="0.25">
      <c r="B161" s="179" t="str">
        <f ca="1"/>
        <v/>
      </c>
      <c r="C161" s="180" t="str">
        <f ca="1"/>
        <v/>
      </c>
      <c r="D161" s="180" t="str">
        <f ca="1"/>
        <v/>
      </c>
      <c r="E161" s="180" t="str">
        <f ca="1"/>
        <v/>
      </c>
      <c r="F161" s="180" t="str">
        <f ca="1"/>
        <v/>
      </c>
      <c r="G161" s="180" t="str">
        <f ca="1"/>
        <v/>
      </c>
      <c r="H161" s="180" t="str">
        <f ca="1"/>
        <v/>
      </c>
      <c r="I161" s="180" t="str">
        <f ca="1"/>
        <v/>
      </c>
      <c r="J161" s="180" t="str">
        <f ca="1"/>
        <v/>
      </c>
      <c r="K161" s="180" t="str">
        <f ca="1"/>
        <v/>
      </c>
      <c r="L161" s="180" t="str">
        <f ca="1"/>
        <v/>
      </c>
      <c r="M161" s="180" t="str">
        <f ca="1"/>
        <v/>
      </c>
      <c r="N161" s="180" t="str">
        <f ca="1"/>
        <v/>
      </c>
      <c r="O161" s="180" t="str">
        <f ca="1"/>
        <v/>
      </c>
      <c r="P161" s="180" t="str">
        <f ca="1"/>
        <v/>
      </c>
      <c r="Q161" s="180" t="str">
        <f ca="1"/>
        <v/>
      </c>
      <c r="R161" s="180" t="str">
        <f ca="1"/>
        <v/>
      </c>
      <c r="S161" s="180" t="str">
        <f ca="1"/>
        <v/>
      </c>
      <c r="T161" s="180" t="str">
        <f ca="1"/>
        <v/>
      </c>
      <c r="U161" s="180" t="str">
        <f ca="1"/>
        <v/>
      </c>
      <c r="V161" s="180" t="str">
        <f ca="1"/>
        <v/>
      </c>
      <c r="W161" s="180" t="str">
        <f ca="1"/>
        <v/>
      </c>
      <c r="X161" s="180" t="str">
        <f ca="1"/>
        <v/>
      </c>
      <c r="Y161" s="180" t="str">
        <f ca="1"/>
        <v/>
      </c>
      <c r="Z161" s="180" t="str">
        <f ca="1"/>
        <v/>
      </c>
      <c r="AA161" s="180" t="str">
        <f ca="1"/>
        <v/>
      </c>
      <c r="AB161" s="180" t="str">
        <f ca="1"/>
        <v/>
      </c>
      <c r="AC161" s="180" t="str">
        <f ca="1"/>
        <v/>
      </c>
      <c r="AD161" s="180" t="str">
        <f ca="1"/>
        <v/>
      </c>
      <c r="AE161" s="180" t="str">
        <f ca="1"/>
        <v/>
      </c>
      <c r="AF161" s="180" t="str">
        <f ca="1"/>
        <v/>
      </c>
      <c r="AG161" s="180" t="str">
        <f ca="1"/>
        <v/>
      </c>
      <c r="AH161" s="180" t="str">
        <f ca="1"/>
        <v/>
      </c>
      <c r="AI161" s="180" t="str">
        <f ca="1"/>
        <v/>
      </c>
      <c r="AJ161" s="180" t="str">
        <f ca="1"/>
        <v/>
      </c>
      <c r="AK161" s="180" t="str">
        <f ca="1"/>
        <v/>
      </c>
      <c r="AL161" s="180" t="str">
        <f ca="1"/>
        <v/>
      </c>
      <c r="AM161" s="180" t="str">
        <f ca="1"/>
        <v/>
      </c>
      <c r="AN161" s="180" t="str">
        <f ca="1"/>
        <v/>
      </c>
      <c r="AO161" s="180" t="str">
        <f ca="1"/>
        <v/>
      </c>
      <c r="AP161" s="180" t="str">
        <f ca="1"/>
        <v/>
      </c>
      <c r="AQ161" s="187" t="str">
        <f ca="1"/>
        <v/>
      </c>
    </row>
    <row r="162" spans="2:43" x14ac:dyDescent="0.25">
      <c r="B162" s="179" t="str">
        <f ca="1"/>
        <v/>
      </c>
      <c r="C162" s="180" t="str">
        <f ca="1"/>
        <v/>
      </c>
      <c r="D162" s="180" t="str">
        <f ca="1"/>
        <v/>
      </c>
      <c r="E162" s="180" t="str">
        <f ca="1"/>
        <v/>
      </c>
      <c r="F162" s="180" t="str">
        <f ca="1"/>
        <v/>
      </c>
      <c r="G162" s="180" t="str">
        <f ca="1"/>
        <v/>
      </c>
      <c r="H162" s="180" t="str">
        <f ca="1"/>
        <v/>
      </c>
      <c r="I162" s="180" t="str">
        <f ca="1"/>
        <v/>
      </c>
      <c r="J162" s="180" t="str">
        <f ca="1"/>
        <v/>
      </c>
      <c r="K162" s="180" t="str">
        <f ca="1"/>
        <v/>
      </c>
      <c r="L162" s="180" t="str">
        <f ca="1"/>
        <v/>
      </c>
      <c r="M162" s="180" t="str">
        <f ca="1"/>
        <v/>
      </c>
      <c r="N162" s="180" t="str">
        <f ca="1"/>
        <v/>
      </c>
      <c r="O162" s="180" t="str">
        <f ca="1"/>
        <v/>
      </c>
      <c r="P162" s="180" t="str">
        <f ca="1"/>
        <v/>
      </c>
      <c r="Q162" s="180" t="str">
        <f ca="1"/>
        <v/>
      </c>
      <c r="R162" s="180" t="str">
        <f ca="1"/>
        <v/>
      </c>
      <c r="S162" s="180" t="str">
        <f ca="1"/>
        <v/>
      </c>
      <c r="T162" s="180" t="str">
        <f ca="1"/>
        <v/>
      </c>
      <c r="U162" s="180" t="str">
        <f ca="1"/>
        <v/>
      </c>
      <c r="V162" s="180" t="str">
        <f ca="1"/>
        <v/>
      </c>
      <c r="W162" s="180" t="str">
        <f ca="1"/>
        <v/>
      </c>
      <c r="X162" s="180" t="str">
        <f ca="1"/>
        <v/>
      </c>
      <c r="Y162" s="180" t="str">
        <f ca="1"/>
        <v/>
      </c>
      <c r="Z162" s="180" t="str">
        <f ca="1"/>
        <v/>
      </c>
      <c r="AA162" s="180" t="str">
        <f ca="1"/>
        <v/>
      </c>
      <c r="AB162" s="180" t="str">
        <f ca="1"/>
        <v/>
      </c>
      <c r="AC162" s="180" t="str">
        <f ca="1"/>
        <v/>
      </c>
      <c r="AD162" s="180" t="str">
        <f ca="1"/>
        <v/>
      </c>
      <c r="AE162" s="180" t="str">
        <f ca="1"/>
        <v/>
      </c>
      <c r="AF162" s="180" t="str">
        <f ca="1"/>
        <v/>
      </c>
      <c r="AG162" s="180" t="str">
        <f ca="1"/>
        <v/>
      </c>
      <c r="AH162" s="180" t="str">
        <f ca="1"/>
        <v/>
      </c>
      <c r="AI162" s="180" t="str">
        <f ca="1"/>
        <v/>
      </c>
      <c r="AJ162" s="180" t="str">
        <f ca="1"/>
        <v/>
      </c>
      <c r="AK162" s="180" t="str">
        <f ca="1"/>
        <v/>
      </c>
      <c r="AL162" s="180" t="str">
        <f ca="1"/>
        <v/>
      </c>
      <c r="AM162" s="180" t="str">
        <f ca="1"/>
        <v/>
      </c>
      <c r="AN162" s="180" t="str">
        <f ca="1"/>
        <v/>
      </c>
      <c r="AO162" s="180" t="str">
        <f ca="1"/>
        <v/>
      </c>
      <c r="AP162" s="180" t="str">
        <f ca="1"/>
        <v/>
      </c>
      <c r="AQ162" s="187" t="str">
        <f ca="1"/>
        <v/>
      </c>
    </row>
    <row r="163" spans="2:43" x14ac:dyDescent="0.25">
      <c r="B163" s="179" t="str">
        <f ca="1"/>
        <v/>
      </c>
      <c r="C163" s="180" t="str">
        <f ca="1"/>
        <v/>
      </c>
      <c r="D163" s="180" t="str">
        <f ca="1"/>
        <v/>
      </c>
      <c r="E163" s="180" t="str">
        <f ca="1"/>
        <v/>
      </c>
      <c r="F163" s="180" t="str">
        <f ca="1"/>
        <v/>
      </c>
      <c r="G163" s="180" t="str">
        <f ca="1"/>
        <v/>
      </c>
      <c r="H163" s="180" t="str">
        <f ca="1"/>
        <v/>
      </c>
      <c r="I163" s="180" t="str">
        <f ca="1"/>
        <v/>
      </c>
      <c r="J163" s="180" t="str">
        <f ca="1"/>
        <v/>
      </c>
      <c r="K163" s="180" t="str">
        <f ca="1"/>
        <v/>
      </c>
      <c r="L163" s="180" t="str">
        <f ca="1"/>
        <v/>
      </c>
      <c r="M163" s="180" t="str">
        <f ca="1"/>
        <v/>
      </c>
      <c r="N163" s="180" t="str">
        <f ca="1"/>
        <v/>
      </c>
      <c r="O163" s="180" t="str">
        <f ca="1"/>
        <v/>
      </c>
      <c r="P163" s="180" t="str">
        <f ca="1"/>
        <v/>
      </c>
      <c r="Q163" s="180" t="str">
        <f ca="1"/>
        <v/>
      </c>
      <c r="R163" s="180" t="str">
        <f ca="1"/>
        <v/>
      </c>
      <c r="S163" s="180" t="str">
        <f ca="1"/>
        <v/>
      </c>
      <c r="T163" s="180" t="str">
        <f ca="1"/>
        <v/>
      </c>
      <c r="U163" s="180" t="str">
        <f ca="1"/>
        <v/>
      </c>
      <c r="V163" s="180" t="str">
        <f ca="1"/>
        <v/>
      </c>
      <c r="W163" s="180" t="str">
        <f ca="1"/>
        <v/>
      </c>
      <c r="X163" s="180" t="str">
        <f ca="1"/>
        <v/>
      </c>
      <c r="Y163" s="180" t="str">
        <f ca="1"/>
        <v/>
      </c>
      <c r="Z163" s="180" t="str">
        <f ca="1"/>
        <v/>
      </c>
      <c r="AA163" s="180" t="str">
        <f ca="1"/>
        <v/>
      </c>
      <c r="AB163" s="180" t="str">
        <f ca="1"/>
        <v/>
      </c>
      <c r="AC163" s="180" t="str">
        <f ca="1"/>
        <v/>
      </c>
      <c r="AD163" s="180" t="str">
        <f ca="1"/>
        <v/>
      </c>
      <c r="AE163" s="180" t="str">
        <f ca="1"/>
        <v/>
      </c>
      <c r="AF163" s="180" t="str">
        <f ca="1"/>
        <v/>
      </c>
      <c r="AG163" s="180" t="str">
        <f ca="1"/>
        <v/>
      </c>
      <c r="AH163" s="180" t="str">
        <f ca="1"/>
        <v/>
      </c>
      <c r="AI163" s="180" t="str">
        <f ca="1"/>
        <v/>
      </c>
      <c r="AJ163" s="180" t="str">
        <f ca="1"/>
        <v/>
      </c>
      <c r="AK163" s="180" t="str">
        <f ca="1"/>
        <v/>
      </c>
      <c r="AL163" s="180" t="str">
        <f ca="1"/>
        <v/>
      </c>
      <c r="AM163" s="180" t="str">
        <f ca="1"/>
        <v/>
      </c>
      <c r="AN163" s="180" t="str">
        <f ca="1"/>
        <v/>
      </c>
      <c r="AO163" s="180" t="str">
        <f ca="1"/>
        <v/>
      </c>
      <c r="AP163" s="180" t="str">
        <f ca="1"/>
        <v/>
      </c>
      <c r="AQ163" s="187" t="str">
        <f ca="1"/>
        <v/>
      </c>
    </row>
    <row r="164" spans="2:43" x14ac:dyDescent="0.25">
      <c r="B164" s="179" t="str">
        <f ca="1"/>
        <v/>
      </c>
      <c r="C164" s="180" t="str">
        <f ca="1"/>
        <v/>
      </c>
      <c r="D164" s="180" t="str">
        <f ca="1"/>
        <v/>
      </c>
      <c r="E164" s="180" t="str">
        <f ca="1"/>
        <v/>
      </c>
      <c r="F164" s="180" t="str">
        <f ca="1"/>
        <v/>
      </c>
      <c r="G164" s="180" t="str">
        <f ca="1"/>
        <v/>
      </c>
      <c r="H164" s="180" t="str">
        <f ca="1"/>
        <v/>
      </c>
      <c r="I164" s="180" t="str">
        <f ca="1"/>
        <v/>
      </c>
      <c r="J164" s="180" t="str">
        <f ca="1"/>
        <v/>
      </c>
      <c r="K164" s="180" t="str">
        <f ca="1"/>
        <v/>
      </c>
      <c r="L164" s="180" t="str">
        <f ca="1"/>
        <v/>
      </c>
      <c r="M164" s="180" t="str">
        <f ca="1"/>
        <v/>
      </c>
      <c r="N164" s="180" t="str">
        <f ca="1"/>
        <v/>
      </c>
      <c r="O164" s="180" t="str">
        <f ca="1"/>
        <v/>
      </c>
      <c r="P164" s="180" t="str">
        <f ca="1"/>
        <v/>
      </c>
      <c r="Q164" s="180" t="str">
        <f ca="1"/>
        <v/>
      </c>
      <c r="R164" s="180" t="str">
        <f ca="1"/>
        <v/>
      </c>
      <c r="S164" s="180" t="str">
        <f ca="1"/>
        <v/>
      </c>
      <c r="T164" s="180" t="str">
        <f ca="1"/>
        <v/>
      </c>
      <c r="U164" s="180" t="str">
        <f ca="1"/>
        <v/>
      </c>
      <c r="V164" s="180" t="str">
        <f ca="1"/>
        <v/>
      </c>
      <c r="W164" s="180" t="str">
        <f ca="1"/>
        <v/>
      </c>
      <c r="X164" s="180" t="str">
        <f ca="1"/>
        <v/>
      </c>
      <c r="Y164" s="180" t="str">
        <f ca="1"/>
        <v/>
      </c>
      <c r="Z164" s="180" t="str">
        <f ca="1"/>
        <v/>
      </c>
      <c r="AA164" s="180" t="str">
        <f ca="1"/>
        <v/>
      </c>
      <c r="AB164" s="180" t="str">
        <f ca="1"/>
        <v/>
      </c>
      <c r="AC164" s="180" t="str">
        <f ca="1"/>
        <v/>
      </c>
      <c r="AD164" s="180" t="str">
        <f ca="1"/>
        <v/>
      </c>
      <c r="AE164" s="180" t="str">
        <f ca="1"/>
        <v/>
      </c>
      <c r="AF164" s="180" t="str">
        <f ca="1"/>
        <v/>
      </c>
      <c r="AG164" s="180" t="str">
        <f ca="1"/>
        <v/>
      </c>
      <c r="AH164" s="180" t="str">
        <f ca="1"/>
        <v/>
      </c>
      <c r="AI164" s="180" t="str">
        <f ca="1"/>
        <v/>
      </c>
      <c r="AJ164" s="180" t="str">
        <f ca="1"/>
        <v/>
      </c>
      <c r="AK164" s="180" t="str">
        <f ca="1"/>
        <v/>
      </c>
      <c r="AL164" s="180" t="str">
        <f ca="1"/>
        <v/>
      </c>
      <c r="AM164" s="180" t="str">
        <f ca="1"/>
        <v/>
      </c>
      <c r="AN164" s="180" t="str">
        <f ca="1"/>
        <v/>
      </c>
      <c r="AO164" s="180" t="str">
        <f ca="1"/>
        <v/>
      </c>
      <c r="AP164" s="180" t="str">
        <f ca="1"/>
        <v/>
      </c>
      <c r="AQ164" s="187" t="str">
        <f ca="1"/>
        <v/>
      </c>
    </row>
    <row r="165" spans="2:43" x14ac:dyDescent="0.25">
      <c r="B165" s="179" t="str">
        <f ca="1"/>
        <v/>
      </c>
      <c r="C165" s="180" t="str">
        <f ca="1"/>
        <v/>
      </c>
      <c r="D165" s="180" t="str">
        <f ca="1"/>
        <v/>
      </c>
      <c r="E165" s="180" t="str">
        <f ca="1"/>
        <v/>
      </c>
      <c r="F165" s="180" t="str">
        <f ca="1"/>
        <v/>
      </c>
      <c r="G165" s="180" t="str">
        <f ca="1"/>
        <v/>
      </c>
      <c r="H165" s="180" t="str">
        <f ca="1"/>
        <v/>
      </c>
      <c r="I165" s="180" t="str">
        <f ca="1"/>
        <v/>
      </c>
      <c r="J165" s="180" t="str">
        <f ca="1"/>
        <v/>
      </c>
      <c r="K165" s="180" t="str">
        <f ca="1"/>
        <v/>
      </c>
      <c r="L165" s="180" t="str">
        <f ca="1"/>
        <v/>
      </c>
      <c r="M165" s="180" t="str">
        <f ca="1"/>
        <v/>
      </c>
      <c r="N165" s="180" t="str">
        <f ca="1"/>
        <v/>
      </c>
      <c r="O165" s="180" t="str">
        <f ca="1"/>
        <v/>
      </c>
      <c r="P165" s="180" t="str">
        <f ca="1"/>
        <v/>
      </c>
      <c r="Q165" s="180" t="str">
        <f ca="1"/>
        <v/>
      </c>
      <c r="R165" s="180" t="str">
        <f ca="1"/>
        <v/>
      </c>
      <c r="S165" s="180" t="str">
        <f ca="1"/>
        <v/>
      </c>
      <c r="T165" s="180" t="str">
        <f ca="1"/>
        <v/>
      </c>
      <c r="U165" s="180" t="str">
        <f ca="1"/>
        <v/>
      </c>
      <c r="V165" s="180" t="str">
        <f ca="1"/>
        <v/>
      </c>
      <c r="W165" s="180" t="str">
        <f ca="1"/>
        <v/>
      </c>
      <c r="X165" s="180" t="str">
        <f ca="1"/>
        <v/>
      </c>
      <c r="Y165" s="180" t="str">
        <f ca="1"/>
        <v/>
      </c>
      <c r="Z165" s="180" t="str">
        <f ca="1"/>
        <v/>
      </c>
      <c r="AA165" s="180" t="str">
        <f ca="1"/>
        <v/>
      </c>
      <c r="AB165" s="180" t="str">
        <f ca="1"/>
        <v/>
      </c>
      <c r="AC165" s="180" t="str">
        <f ca="1"/>
        <v/>
      </c>
      <c r="AD165" s="180" t="str">
        <f ca="1"/>
        <v/>
      </c>
      <c r="AE165" s="180" t="str">
        <f ca="1"/>
        <v/>
      </c>
      <c r="AF165" s="180" t="str">
        <f ca="1"/>
        <v/>
      </c>
      <c r="AG165" s="180" t="str">
        <f ca="1"/>
        <v/>
      </c>
      <c r="AH165" s="180" t="str">
        <f ca="1"/>
        <v/>
      </c>
      <c r="AI165" s="180" t="str">
        <f ca="1"/>
        <v/>
      </c>
      <c r="AJ165" s="180" t="str">
        <f ca="1"/>
        <v/>
      </c>
      <c r="AK165" s="180" t="str">
        <f ca="1"/>
        <v/>
      </c>
      <c r="AL165" s="180" t="str">
        <f ca="1"/>
        <v/>
      </c>
      <c r="AM165" s="180" t="str">
        <f ca="1"/>
        <v/>
      </c>
      <c r="AN165" s="180" t="str">
        <f ca="1"/>
        <v/>
      </c>
      <c r="AO165" s="180" t="str">
        <f ca="1"/>
        <v/>
      </c>
      <c r="AP165" s="180" t="str">
        <f ca="1"/>
        <v/>
      </c>
      <c r="AQ165" s="187" t="str">
        <f ca="1"/>
        <v/>
      </c>
    </row>
    <row r="166" spans="2:43" x14ac:dyDescent="0.25">
      <c r="B166" s="179" t="str">
        <f ca="1"/>
        <v/>
      </c>
      <c r="C166" s="180" t="str">
        <f ca="1"/>
        <v/>
      </c>
      <c r="D166" s="180" t="str">
        <f ca="1"/>
        <v/>
      </c>
      <c r="E166" s="180" t="str">
        <f ca="1"/>
        <v/>
      </c>
      <c r="F166" s="180" t="str">
        <f ca="1"/>
        <v/>
      </c>
      <c r="G166" s="180" t="str">
        <f ca="1"/>
        <v/>
      </c>
      <c r="H166" s="180" t="str">
        <f ca="1"/>
        <v/>
      </c>
      <c r="I166" s="180" t="str">
        <f ca="1"/>
        <v/>
      </c>
      <c r="J166" s="180" t="str">
        <f ca="1"/>
        <v/>
      </c>
      <c r="K166" s="180" t="str">
        <f ca="1"/>
        <v/>
      </c>
      <c r="L166" s="180" t="str">
        <f ca="1"/>
        <v/>
      </c>
      <c r="M166" s="180" t="str">
        <f ca="1"/>
        <v/>
      </c>
      <c r="N166" s="180" t="str">
        <f ca="1"/>
        <v/>
      </c>
      <c r="O166" s="180" t="str">
        <f ca="1"/>
        <v/>
      </c>
      <c r="P166" s="180" t="str">
        <f ca="1"/>
        <v/>
      </c>
      <c r="Q166" s="180" t="str">
        <f ca="1"/>
        <v/>
      </c>
      <c r="R166" s="180" t="str">
        <f ca="1"/>
        <v/>
      </c>
      <c r="S166" s="180" t="str">
        <f ca="1"/>
        <v/>
      </c>
      <c r="T166" s="180" t="str">
        <f ca="1"/>
        <v/>
      </c>
      <c r="U166" s="180" t="str">
        <f ca="1"/>
        <v/>
      </c>
      <c r="V166" s="180" t="str">
        <f ca="1"/>
        <v/>
      </c>
      <c r="W166" s="180" t="str">
        <f ca="1"/>
        <v/>
      </c>
      <c r="X166" s="180" t="str">
        <f ca="1"/>
        <v/>
      </c>
      <c r="Y166" s="180" t="str">
        <f ca="1"/>
        <v/>
      </c>
      <c r="Z166" s="180" t="str">
        <f ca="1"/>
        <v/>
      </c>
      <c r="AA166" s="180" t="str">
        <f ca="1"/>
        <v/>
      </c>
      <c r="AB166" s="180" t="str">
        <f ca="1"/>
        <v/>
      </c>
      <c r="AC166" s="180" t="str">
        <f ca="1"/>
        <v/>
      </c>
      <c r="AD166" s="180" t="str">
        <f ca="1"/>
        <v/>
      </c>
      <c r="AE166" s="180" t="str">
        <f ca="1"/>
        <v/>
      </c>
      <c r="AF166" s="180" t="str">
        <f ca="1"/>
        <v/>
      </c>
      <c r="AG166" s="180" t="str">
        <f ca="1"/>
        <v/>
      </c>
      <c r="AH166" s="180" t="str">
        <f ca="1"/>
        <v/>
      </c>
      <c r="AI166" s="180" t="str">
        <f ca="1"/>
        <v/>
      </c>
      <c r="AJ166" s="180" t="str">
        <f ca="1"/>
        <v/>
      </c>
      <c r="AK166" s="180" t="str">
        <f ca="1"/>
        <v/>
      </c>
      <c r="AL166" s="180" t="str">
        <f ca="1"/>
        <v/>
      </c>
      <c r="AM166" s="180" t="str">
        <f ca="1"/>
        <v/>
      </c>
      <c r="AN166" s="180" t="str">
        <f ca="1"/>
        <v/>
      </c>
      <c r="AO166" s="180" t="str">
        <f ca="1"/>
        <v/>
      </c>
      <c r="AP166" s="180" t="str">
        <f ca="1"/>
        <v/>
      </c>
      <c r="AQ166" s="187" t="str">
        <f ca="1"/>
        <v/>
      </c>
    </row>
    <row r="167" spans="2:43" x14ac:dyDescent="0.25">
      <c r="B167" s="179" t="str">
        <f ca="1"/>
        <v/>
      </c>
      <c r="C167" s="180" t="str">
        <f ca="1"/>
        <v/>
      </c>
      <c r="D167" s="180" t="str">
        <f ca="1"/>
        <v/>
      </c>
      <c r="E167" s="180" t="str">
        <f ca="1"/>
        <v/>
      </c>
      <c r="F167" s="180" t="str">
        <f ca="1"/>
        <v/>
      </c>
      <c r="G167" s="180" t="str">
        <f ca="1"/>
        <v/>
      </c>
      <c r="H167" s="180" t="str">
        <f ca="1"/>
        <v/>
      </c>
      <c r="I167" s="180" t="str">
        <f ca="1"/>
        <v/>
      </c>
      <c r="J167" s="180" t="str">
        <f ca="1"/>
        <v/>
      </c>
      <c r="K167" s="180" t="str">
        <f ca="1"/>
        <v/>
      </c>
      <c r="L167" s="180" t="str">
        <f ca="1"/>
        <v/>
      </c>
      <c r="M167" s="180" t="str">
        <f ca="1"/>
        <v/>
      </c>
      <c r="N167" s="180" t="str">
        <f ca="1"/>
        <v/>
      </c>
      <c r="O167" s="180" t="str">
        <f ca="1"/>
        <v/>
      </c>
      <c r="P167" s="180" t="str">
        <f ca="1"/>
        <v/>
      </c>
      <c r="Q167" s="180" t="str">
        <f ca="1"/>
        <v/>
      </c>
      <c r="R167" s="180" t="str">
        <f ca="1"/>
        <v/>
      </c>
      <c r="S167" s="180" t="str">
        <f ca="1"/>
        <v/>
      </c>
      <c r="T167" s="180" t="str">
        <f ca="1"/>
        <v/>
      </c>
      <c r="U167" s="180" t="str">
        <f ca="1"/>
        <v/>
      </c>
      <c r="V167" s="180" t="str">
        <f ca="1"/>
        <v/>
      </c>
      <c r="W167" s="180" t="str">
        <f ca="1"/>
        <v/>
      </c>
      <c r="X167" s="180" t="str">
        <f ca="1"/>
        <v/>
      </c>
      <c r="Y167" s="180" t="str">
        <f ca="1"/>
        <v/>
      </c>
      <c r="Z167" s="180" t="str">
        <f ca="1"/>
        <v/>
      </c>
      <c r="AA167" s="180" t="str">
        <f ca="1"/>
        <v/>
      </c>
      <c r="AB167" s="180" t="str">
        <f ca="1"/>
        <v/>
      </c>
      <c r="AC167" s="180" t="str">
        <f ca="1"/>
        <v/>
      </c>
      <c r="AD167" s="180" t="str">
        <f ca="1"/>
        <v/>
      </c>
      <c r="AE167" s="180" t="str">
        <f ca="1"/>
        <v/>
      </c>
      <c r="AF167" s="180" t="str">
        <f ca="1"/>
        <v/>
      </c>
      <c r="AG167" s="180" t="str">
        <f ca="1"/>
        <v/>
      </c>
      <c r="AH167" s="180" t="str">
        <f ca="1"/>
        <v/>
      </c>
      <c r="AI167" s="180" t="str">
        <f ca="1"/>
        <v/>
      </c>
      <c r="AJ167" s="180" t="str">
        <f ca="1"/>
        <v/>
      </c>
      <c r="AK167" s="180" t="str">
        <f ca="1"/>
        <v/>
      </c>
      <c r="AL167" s="180" t="str">
        <f ca="1"/>
        <v/>
      </c>
      <c r="AM167" s="180" t="str">
        <f ca="1"/>
        <v/>
      </c>
      <c r="AN167" s="180" t="str">
        <f ca="1"/>
        <v/>
      </c>
      <c r="AO167" s="180" t="str">
        <f ca="1"/>
        <v/>
      </c>
      <c r="AP167" s="180" t="str">
        <f ca="1"/>
        <v/>
      </c>
      <c r="AQ167" s="187" t="str">
        <f ca="1"/>
        <v/>
      </c>
    </row>
    <row r="168" spans="2:43" x14ac:dyDescent="0.25">
      <c r="B168" s="179" t="str">
        <f ca="1"/>
        <v/>
      </c>
      <c r="C168" s="180" t="str">
        <f ca="1"/>
        <v/>
      </c>
      <c r="D168" s="180" t="str">
        <f ca="1"/>
        <v/>
      </c>
      <c r="E168" s="180" t="str">
        <f ca="1"/>
        <v/>
      </c>
      <c r="F168" s="180" t="str">
        <f ca="1"/>
        <v/>
      </c>
      <c r="G168" s="180" t="str">
        <f ca="1"/>
        <v/>
      </c>
      <c r="H168" s="180" t="str">
        <f ca="1"/>
        <v/>
      </c>
      <c r="I168" s="180" t="str">
        <f ca="1"/>
        <v/>
      </c>
      <c r="J168" s="180" t="str">
        <f ca="1"/>
        <v/>
      </c>
      <c r="K168" s="180" t="str">
        <f ca="1"/>
        <v/>
      </c>
      <c r="L168" s="180" t="str">
        <f ca="1"/>
        <v/>
      </c>
      <c r="M168" s="180" t="str">
        <f ca="1"/>
        <v/>
      </c>
      <c r="N168" s="180" t="str">
        <f ca="1"/>
        <v/>
      </c>
      <c r="O168" s="180" t="str">
        <f ca="1"/>
        <v/>
      </c>
      <c r="P168" s="180" t="str">
        <f ca="1"/>
        <v/>
      </c>
      <c r="Q168" s="180" t="str">
        <f ca="1"/>
        <v/>
      </c>
      <c r="R168" s="180" t="str">
        <f ca="1"/>
        <v/>
      </c>
      <c r="S168" s="180" t="str">
        <f ca="1"/>
        <v/>
      </c>
      <c r="T168" s="180" t="str">
        <f ca="1"/>
        <v/>
      </c>
      <c r="U168" s="180" t="str">
        <f ca="1"/>
        <v/>
      </c>
      <c r="V168" s="180" t="str">
        <f ca="1"/>
        <v/>
      </c>
      <c r="W168" s="180" t="str">
        <f ca="1"/>
        <v/>
      </c>
      <c r="X168" s="180" t="str">
        <f ca="1"/>
        <v/>
      </c>
      <c r="Y168" s="180" t="str">
        <f ca="1"/>
        <v/>
      </c>
      <c r="Z168" s="180" t="str">
        <f ca="1"/>
        <v/>
      </c>
      <c r="AA168" s="180" t="str">
        <f ca="1"/>
        <v/>
      </c>
      <c r="AB168" s="180" t="str">
        <f ca="1"/>
        <v/>
      </c>
      <c r="AC168" s="180" t="str">
        <f ca="1"/>
        <v/>
      </c>
      <c r="AD168" s="180" t="str">
        <f ca="1"/>
        <v/>
      </c>
      <c r="AE168" s="180" t="str">
        <f ca="1"/>
        <v/>
      </c>
      <c r="AF168" s="180" t="str">
        <f ca="1"/>
        <v/>
      </c>
      <c r="AG168" s="180" t="str">
        <f ca="1"/>
        <v/>
      </c>
      <c r="AH168" s="180" t="str">
        <f ca="1"/>
        <v/>
      </c>
      <c r="AI168" s="180" t="str">
        <f ca="1"/>
        <v/>
      </c>
      <c r="AJ168" s="180" t="str">
        <f ca="1"/>
        <v/>
      </c>
      <c r="AK168" s="180" t="str">
        <f ca="1"/>
        <v/>
      </c>
      <c r="AL168" s="180" t="str">
        <f ca="1"/>
        <v/>
      </c>
      <c r="AM168" s="180" t="str">
        <f ca="1"/>
        <v/>
      </c>
      <c r="AN168" s="180" t="str">
        <f ca="1"/>
        <v/>
      </c>
      <c r="AO168" s="180" t="str">
        <f ca="1"/>
        <v/>
      </c>
      <c r="AP168" s="180" t="str">
        <f ca="1"/>
        <v/>
      </c>
      <c r="AQ168" s="187" t="str">
        <f ca="1"/>
        <v/>
      </c>
    </row>
    <row r="169" spans="2:43" x14ac:dyDescent="0.25">
      <c r="B169" s="179" t="str">
        <f ca="1"/>
        <v/>
      </c>
      <c r="C169" s="180" t="str">
        <f ca="1"/>
        <v/>
      </c>
      <c r="D169" s="180" t="str">
        <f ca="1"/>
        <v/>
      </c>
      <c r="E169" s="180" t="str">
        <f ca="1"/>
        <v/>
      </c>
      <c r="F169" s="180" t="str">
        <f ca="1"/>
        <v/>
      </c>
      <c r="G169" s="180" t="str">
        <f ca="1"/>
        <v/>
      </c>
      <c r="H169" s="180" t="str">
        <f ca="1"/>
        <v/>
      </c>
      <c r="I169" s="180" t="str">
        <f ca="1"/>
        <v/>
      </c>
      <c r="J169" s="180" t="str">
        <f ca="1"/>
        <v/>
      </c>
      <c r="K169" s="180" t="str">
        <f ca="1"/>
        <v/>
      </c>
      <c r="L169" s="180" t="str">
        <f ca="1"/>
        <v/>
      </c>
      <c r="M169" s="180" t="str">
        <f ca="1"/>
        <v/>
      </c>
      <c r="N169" s="180" t="str">
        <f ca="1"/>
        <v/>
      </c>
      <c r="O169" s="180" t="str">
        <f ca="1"/>
        <v/>
      </c>
      <c r="P169" s="180" t="str">
        <f ca="1"/>
        <v/>
      </c>
      <c r="Q169" s="180" t="str">
        <f ca="1"/>
        <v/>
      </c>
      <c r="R169" s="180" t="str">
        <f ca="1"/>
        <v/>
      </c>
      <c r="S169" s="180" t="str">
        <f ca="1"/>
        <v/>
      </c>
      <c r="T169" s="180" t="str">
        <f ca="1"/>
        <v/>
      </c>
      <c r="U169" s="180" t="str">
        <f ca="1"/>
        <v/>
      </c>
      <c r="V169" s="180" t="str">
        <f ca="1"/>
        <v/>
      </c>
      <c r="W169" s="180" t="str">
        <f ca="1"/>
        <v/>
      </c>
      <c r="X169" s="180" t="str">
        <f ca="1"/>
        <v/>
      </c>
      <c r="Y169" s="180" t="str">
        <f ca="1"/>
        <v/>
      </c>
      <c r="Z169" s="180" t="str">
        <f ca="1"/>
        <v/>
      </c>
      <c r="AA169" s="180" t="str">
        <f ca="1"/>
        <v/>
      </c>
      <c r="AB169" s="180" t="str">
        <f ca="1"/>
        <v/>
      </c>
      <c r="AC169" s="180" t="str">
        <f ca="1"/>
        <v/>
      </c>
      <c r="AD169" s="180" t="str">
        <f ca="1"/>
        <v/>
      </c>
      <c r="AE169" s="180" t="str">
        <f ca="1"/>
        <v/>
      </c>
      <c r="AF169" s="180" t="str">
        <f ca="1"/>
        <v/>
      </c>
      <c r="AG169" s="180" t="str">
        <f ca="1"/>
        <v/>
      </c>
      <c r="AH169" s="180" t="str">
        <f ca="1"/>
        <v/>
      </c>
      <c r="AI169" s="180" t="str">
        <f ca="1"/>
        <v/>
      </c>
      <c r="AJ169" s="180" t="str">
        <f ca="1"/>
        <v/>
      </c>
      <c r="AK169" s="180" t="str">
        <f ca="1"/>
        <v/>
      </c>
      <c r="AL169" s="180" t="str">
        <f ca="1"/>
        <v/>
      </c>
      <c r="AM169" s="180" t="str">
        <f ca="1"/>
        <v/>
      </c>
      <c r="AN169" s="180" t="str">
        <f ca="1"/>
        <v/>
      </c>
      <c r="AO169" s="180" t="str">
        <f ca="1"/>
        <v/>
      </c>
      <c r="AP169" s="180" t="str">
        <f ca="1"/>
        <v/>
      </c>
      <c r="AQ169" s="187" t="str">
        <f ca="1"/>
        <v/>
      </c>
    </row>
    <row r="170" spans="2:43" x14ac:dyDescent="0.25">
      <c r="B170" s="179" t="str">
        <f ca="1"/>
        <v/>
      </c>
      <c r="C170" s="180" t="str">
        <f ca="1"/>
        <v/>
      </c>
      <c r="D170" s="180" t="str">
        <f ca="1"/>
        <v/>
      </c>
      <c r="E170" s="180" t="str">
        <f ca="1"/>
        <v/>
      </c>
      <c r="F170" s="180" t="str">
        <f ca="1"/>
        <v/>
      </c>
      <c r="G170" s="180" t="str">
        <f ca="1"/>
        <v/>
      </c>
      <c r="H170" s="180" t="str">
        <f ca="1"/>
        <v/>
      </c>
      <c r="I170" s="180" t="str">
        <f ca="1"/>
        <v/>
      </c>
      <c r="J170" s="180" t="str">
        <f ca="1"/>
        <v/>
      </c>
      <c r="K170" s="180" t="str">
        <f ca="1"/>
        <v/>
      </c>
      <c r="L170" s="180" t="str">
        <f ca="1"/>
        <v/>
      </c>
      <c r="M170" s="180" t="str">
        <f ca="1"/>
        <v/>
      </c>
      <c r="N170" s="180" t="str">
        <f ca="1"/>
        <v/>
      </c>
      <c r="O170" s="180" t="str">
        <f ca="1"/>
        <v/>
      </c>
      <c r="P170" s="180" t="str">
        <f ca="1"/>
        <v/>
      </c>
      <c r="Q170" s="180" t="str">
        <f ca="1"/>
        <v/>
      </c>
      <c r="R170" s="180" t="str">
        <f ca="1"/>
        <v/>
      </c>
      <c r="S170" s="180" t="str">
        <f ca="1"/>
        <v/>
      </c>
      <c r="T170" s="180" t="str">
        <f ca="1"/>
        <v/>
      </c>
      <c r="U170" s="180" t="str">
        <f ca="1"/>
        <v/>
      </c>
      <c r="V170" s="180" t="str">
        <f ca="1"/>
        <v/>
      </c>
      <c r="W170" s="180" t="str">
        <f ca="1"/>
        <v/>
      </c>
      <c r="X170" s="180" t="str">
        <f ca="1"/>
        <v/>
      </c>
      <c r="Y170" s="180" t="str">
        <f ca="1"/>
        <v/>
      </c>
      <c r="Z170" s="180" t="str">
        <f ca="1"/>
        <v/>
      </c>
      <c r="AA170" s="180" t="str">
        <f ca="1"/>
        <v/>
      </c>
      <c r="AB170" s="180" t="str">
        <f ca="1"/>
        <v/>
      </c>
      <c r="AC170" s="180" t="str">
        <f ca="1"/>
        <v/>
      </c>
      <c r="AD170" s="180" t="str">
        <f ca="1"/>
        <v/>
      </c>
      <c r="AE170" s="180" t="str">
        <f ca="1"/>
        <v/>
      </c>
      <c r="AF170" s="180" t="str">
        <f ca="1"/>
        <v/>
      </c>
      <c r="AG170" s="180" t="str">
        <f ca="1"/>
        <v/>
      </c>
      <c r="AH170" s="180" t="str">
        <f ca="1"/>
        <v/>
      </c>
      <c r="AI170" s="180" t="str">
        <f ca="1"/>
        <v/>
      </c>
      <c r="AJ170" s="180" t="str">
        <f ca="1"/>
        <v/>
      </c>
      <c r="AK170" s="180" t="str">
        <f ca="1"/>
        <v/>
      </c>
      <c r="AL170" s="180" t="str">
        <f ca="1"/>
        <v/>
      </c>
      <c r="AM170" s="180" t="str">
        <f ca="1"/>
        <v/>
      </c>
      <c r="AN170" s="180" t="str">
        <f ca="1"/>
        <v/>
      </c>
      <c r="AO170" s="180" t="str">
        <f ca="1"/>
        <v/>
      </c>
      <c r="AP170" s="180" t="str">
        <f ca="1"/>
        <v/>
      </c>
      <c r="AQ170" s="187" t="str">
        <f ca="1"/>
        <v/>
      </c>
    </row>
    <row r="171" spans="2:43" x14ac:dyDescent="0.25">
      <c r="B171" s="179" t="str">
        <f ca="1"/>
        <v/>
      </c>
      <c r="C171" s="180" t="str">
        <f ca="1"/>
        <v/>
      </c>
      <c r="D171" s="180" t="str">
        <f ca="1"/>
        <v/>
      </c>
      <c r="E171" s="180" t="str">
        <f ca="1"/>
        <v/>
      </c>
      <c r="F171" s="180" t="str">
        <f ca="1"/>
        <v/>
      </c>
      <c r="G171" s="180" t="str">
        <f ca="1"/>
        <v/>
      </c>
      <c r="H171" s="180" t="str">
        <f ca="1"/>
        <v/>
      </c>
      <c r="I171" s="180" t="str">
        <f ca="1"/>
        <v/>
      </c>
      <c r="J171" s="180" t="str">
        <f ca="1"/>
        <v/>
      </c>
      <c r="K171" s="180" t="str">
        <f ca="1"/>
        <v/>
      </c>
      <c r="L171" s="180" t="str">
        <f ca="1"/>
        <v/>
      </c>
      <c r="M171" s="180" t="str">
        <f ca="1"/>
        <v/>
      </c>
      <c r="N171" s="180" t="str">
        <f ca="1"/>
        <v/>
      </c>
      <c r="O171" s="180" t="str">
        <f ca="1"/>
        <v/>
      </c>
      <c r="P171" s="180" t="str">
        <f ca="1"/>
        <v/>
      </c>
      <c r="Q171" s="180" t="str">
        <f ca="1"/>
        <v/>
      </c>
      <c r="R171" s="180" t="str">
        <f ca="1"/>
        <v/>
      </c>
      <c r="S171" s="180" t="str">
        <f ca="1"/>
        <v/>
      </c>
      <c r="T171" s="180" t="str">
        <f ca="1"/>
        <v/>
      </c>
      <c r="U171" s="180" t="str">
        <f ca="1"/>
        <v/>
      </c>
      <c r="V171" s="180" t="str">
        <f ca="1"/>
        <v/>
      </c>
      <c r="W171" s="180" t="str">
        <f ca="1"/>
        <v/>
      </c>
      <c r="X171" s="180" t="str">
        <f ca="1"/>
        <v/>
      </c>
      <c r="Y171" s="180" t="str">
        <f ca="1"/>
        <v/>
      </c>
      <c r="Z171" s="180" t="str">
        <f ca="1"/>
        <v/>
      </c>
      <c r="AA171" s="180" t="str">
        <f ca="1"/>
        <v/>
      </c>
      <c r="AB171" s="180" t="str">
        <f ca="1"/>
        <v/>
      </c>
      <c r="AC171" s="180" t="str">
        <f ca="1"/>
        <v/>
      </c>
      <c r="AD171" s="180" t="str">
        <f ca="1"/>
        <v/>
      </c>
      <c r="AE171" s="180" t="str">
        <f ca="1"/>
        <v/>
      </c>
      <c r="AF171" s="180" t="str">
        <f ca="1"/>
        <v/>
      </c>
      <c r="AG171" s="180" t="str">
        <f ca="1"/>
        <v/>
      </c>
      <c r="AH171" s="180" t="str">
        <f ca="1"/>
        <v/>
      </c>
      <c r="AI171" s="180" t="str">
        <f ca="1"/>
        <v/>
      </c>
      <c r="AJ171" s="180" t="str">
        <f ca="1"/>
        <v/>
      </c>
      <c r="AK171" s="180" t="str">
        <f ca="1"/>
        <v/>
      </c>
      <c r="AL171" s="180" t="str">
        <f ca="1"/>
        <v/>
      </c>
      <c r="AM171" s="180" t="str">
        <f ca="1"/>
        <v/>
      </c>
      <c r="AN171" s="180" t="str">
        <f ca="1"/>
        <v/>
      </c>
      <c r="AO171" s="180" t="str">
        <f ca="1"/>
        <v/>
      </c>
      <c r="AP171" s="180" t="str">
        <f ca="1"/>
        <v/>
      </c>
      <c r="AQ171" s="187" t="str">
        <f ca="1"/>
        <v/>
      </c>
    </row>
    <row r="172" spans="2:43" x14ac:dyDescent="0.25">
      <c r="B172" s="179" t="str">
        <f ca="1"/>
        <v/>
      </c>
      <c r="C172" s="180" t="str">
        <f ca="1"/>
        <v/>
      </c>
      <c r="D172" s="180" t="str">
        <f ca="1"/>
        <v/>
      </c>
      <c r="E172" s="180" t="str">
        <f ca="1"/>
        <v/>
      </c>
      <c r="F172" s="180" t="str">
        <f ca="1"/>
        <v/>
      </c>
      <c r="G172" s="180" t="str">
        <f ca="1"/>
        <v/>
      </c>
      <c r="H172" s="180" t="str">
        <f ca="1"/>
        <v/>
      </c>
      <c r="I172" s="180" t="str">
        <f ca="1"/>
        <v/>
      </c>
      <c r="J172" s="180" t="str">
        <f ca="1"/>
        <v/>
      </c>
      <c r="K172" s="180" t="str">
        <f ca="1"/>
        <v/>
      </c>
      <c r="L172" s="180" t="str">
        <f ca="1"/>
        <v/>
      </c>
      <c r="M172" s="180" t="str">
        <f ca="1"/>
        <v/>
      </c>
      <c r="N172" s="180" t="str">
        <f ca="1"/>
        <v/>
      </c>
      <c r="O172" s="180" t="str">
        <f ca="1"/>
        <v/>
      </c>
      <c r="P172" s="180" t="str">
        <f ca="1"/>
        <v/>
      </c>
      <c r="Q172" s="180" t="str">
        <f ca="1"/>
        <v/>
      </c>
      <c r="R172" s="180" t="str">
        <f ca="1"/>
        <v/>
      </c>
      <c r="S172" s="180" t="str">
        <f ca="1"/>
        <v/>
      </c>
      <c r="T172" s="180" t="str">
        <f ca="1"/>
        <v/>
      </c>
      <c r="U172" s="180" t="str">
        <f ca="1"/>
        <v/>
      </c>
      <c r="V172" s="180" t="str">
        <f ca="1"/>
        <v/>
      </c>
      <c r="W172" s="180" t="str">
        <f ca="1"/>
        <v/>
      </c>
      <c r="X172" s="180" t="str">
        <f ca="1"/>
        <v/>
      </c>
      <c r="Y172" s="180" t="str">
        <f ca="1"/>
        <v/>
      </c>
      <c r="Z172" s="180" t="str">
        <f ca="1"/>
        <v/>
      </c>
      <c r="AA172" s="180" t="str">
        <f ca="1"/>
        <v/>
      </c>
      <c r="AB172" s="180" t="str">
        <f ca="1"/>
        <v/>
      </c>
      <c r="AC172" s="180" t="str">
        <f ca="1"/>
        <v/>
      </c>
      <c r="AD172" s="180" t="str">
        <f ca="1"/>
        <v/>
      </c>
      <c r="AE172" s="180" t="str">
        <f ca="1"/>
        <v/>
      </c>
      <c r="AF172" s="180" t="str">
        <f ca="1"/>
        <v/>
      </c>
      <c r="AG172" s="180" t="str">
        <f ca="1"/>
        <v/>
      </c>
      <c r="AH172" s="180" t="str">
        <f ca="1"/>
        <v/>
      </c>
      <c r="AI172" s="180" t="str">
        <f ca="1"/>
        <v/>
      </c>
      <c r="AJ172" s="180" t="str">
        <f ca="1"/>
        <v/>
      </c>
      <c r="AK172" s="180" t="str">
        <f ca="1"/>
        <v/>
      </c>
      <c r="AL172" s="180" t="str">
        <f ca="1"/>
        <v/>
      </c>
      <c r="AM172" s="180" t="str">
        <f ca="1"/>
        <v/>
      </c>
      <c r="AN172" s="180" t="str">
        <f ca="1"/>
        <v/>
      </c>
      <c r="AO172" s="180" t="str">
        <f ca="1"/>
        <v/>
      </c>
      <c r="AP172" s="180" t="str">
        <f ca="1"/>
        <v/>
      </c>
      <c r="AQ172" s="187" t="str">
        <f ca="1"/>
        <v/>
      </c>
    </row>
    <row r="173" spans="2:43" x14ac:dyDescent="0.25">
      <c r="B173" s="179" t="str">
        <f ca="1"/>
        <v/>
      </c>
      <c r="C173" s="180" t="str">
        <f ca="1"/>
        <v/>
      </c>
      <c r="D173" s="180" t="str">
        <f ca="1"/>
        <v/>
      </c>
      <c r="E173" s="180" t="str">
        <f ca="1"/>
        <v/>
      </c>
      <c r="F173" s="180" t="str">
        <f ca="1"/>
        <v/>
      </c>
      <c r="G173" s="180" t="str">
        <f ca="1"/>
        <v/>
      </c>
      <c r="H173" s="180" t="str">
        <f ca="1"/>
        <v/>
      </c>
      <c r="I173" s="180" t="str">
        <f ca="1"/>
        <v/>
      </c>
      <c r="J173" s="180" t="str">
        <f ca="1"/>
        <v/>
      </c>
      <c r="K173" s="180" t="str">
        <f ca="1"/>
        <v/>
      </c>
      <c r="L173" s="180" t="str">
        <f ca="1"/>
        <v/>
      </c>
      <c r="M173" s="180" t="str">
        <f ca="1"/>
        <v/>
      </c>
      <c r="N173" s="180" t="str">
        <f ca="1"/>
        <v/>
      </c>
      <c r="O173" s="180" t="str">
        <f ca="1"/>
        <v/>
      </c>
      <c r="P173" s="180" t="str">
        <f ca="1"/>
        <v/>
      </c>
      <c r="Q173" s="180" t="str">
        <f ca="1"/>
        <v/>
      </c>
      <c r="R173" s="180" t="str">
        <f ca="1"/>
        <v/>
      </c>
      <c r="S173" s="180" t="str">
        <f ca="1"/>
        <v/>
      </c>
      <c r="T173" s="180" t="str">
        <f ca="1"/>
        <v/>
      </c>
      <c r="U173" s="180" t="str">
        <f ca="1"/>
        <v/>
      </c>
      <c r="V173" s="180" t="str">
        <f ca="1"/>
        <v/>
      </c>
      <c r="W173" s="180" t="str">
        <f ca="1"/>
        <v/>
      </c>
      <c r="X173" s="180" t="str">
        <f ca="1"/>
        <v/>
      </c>
      <c r="Y173" s="180" t="str">
        <f ca="1"/>
        <v/>
      </c>
      <c r="Z173" s="180" t="str">
        <f ca="1"/>
        <v/>
      </c>
      <c r="AA173" s="180" t="str">
        <f ca="1"/>
        <v/>
      </c>
      <c r="AB173" s="180" t="str">
        <f ca="1"/>
        <v/>
      </c>
      <c r="AC173" s="180" t="str">
        <f ca="1"/>
        <v/>
      </c>
      <c r="AD173" s="180" t="str">
        <f ca="1"/>
        <v/>
      </c>
      <c r="AE173" s="180" t="str">
        <f ca="1"/>
        <v/>
      </c>
      <c r="AF173" s="180" t="str">
        <f ca="1"/>
        <v/>
      </c>
      <c r="AG173" s="180" t="str">
        <f ca="1"/>
        <v/>
      </c>
      <c r="AH173" s="180" t="str">
        <f ca="1"/>
        <v/>
      </c>
      <c r="AI173" s="180" t="str">
        <f ca="1"/>
        <v/>
      </c>
      <c r="AJ173" s="180" t="str">
        <f ca="1"/>
        <v/>
      </c>
      <c r="AK173" s="180" t="str">
        <f ca="1"/>
        <v/>
      </c>
      <c r="AL173" s="180" t="str">
        <f ca="1"/>
        <v/>
      </c>
      <c r="AM173" s="180" t="str">
        <f ca="1"/>
        <v/>
      </c>
      <c r="AN173" s="180" t="str">
        <f ca="1"/>
        <v/>
      </c>
      <c r="AO173" s="180" t="str">
        <f ca="1"/>
        <v/>
      </c>
      <c r="AP173" s="180" t="str">
        <f ca="1"/>
        <v/>
      </c>
      <c r="AQ173" s="187" t="str">
        <f ca="1"/>
        <v/>
      </c>
    </row>
    <row r="174" spans="2:43" x14ac:dyDescent="0.25">
      <c r="B174" s="179" t="str">
        <f ca="1"/>
        <v/>
      </c>
      <c r="C174" s="180" t="str">
        <f ca="1"/>
        <v/>
      </c>
      <c r="D174" s="180" t="str">
        <f ca="1"/>
        <v/>
      </c>
      <c r="E174" s="180" t="str">
        <f ca="1"/>
        <v/>
      </c>
      <c r="F174" s="180" t="str">
        <f ca="1"/>
        <v/>
      </c>
      <c r="G174" s="180" t="str">
        <f ca="1"/>
        <v/>
      </c>
      <c r="H174" s="180" t="str">
        <f ca="1"/>
        <v/>
      </c>
      <c r="I174" s="180" t="str">
        <f ca="1"/>
        <v/>
      </c>
      <c r="J174" s="180" t="str">
        <f ca="1"/>
        <v/>
      </c>
      <c r="K174" s="180" t="str">
        <f ca="1"/>
        <v/>
      </c>
      <c r="L174" s="180" t="str">
        <f ca="1"/>
        <v/>
      </c>
      <c r="M174" s="180" t="str">
        <f ca="1"/>
        <v/>
      </c>
      <c r="N174" s="180" t="str">
        <f ca="1"/>
        <v/>
      </c>
      <c r="O174" s="180" t="str">
        <f ca="1"/>
        <v/>
      </c>
      <c r="P174" s="180" t="str">
        <f ca="1"/>
        <v/>
      </c>
      <c r="Q174" s="180" t="str">
        <f ca="1"/>
        <v/>
      </c>
      <c r="R174" s="180" t="str">
        <f ca="1"/>
        <v/>
      </c>
      <c r="S174" s="180" t="str">
        <f ca="1"/>
        <v/>
      </c>
      <c r="T174" s="180" t="str">
        <f ca="1"/>
        <v/>
      </c>
      <c r="U174" s="180" t="str">
        <f ca="1"/>
        <v/>
      </c>
      <c r="V174" s="180" t="str">
        <f ca="1"/>
        <v/>
      </c>
      <c r="W174" s="180" t="str">
        <f ca="1"/>
        <v/>
      </c>
      <c r="X174" s="180" t="str">
        <f ca="1"/>
        <v/>
      </c>
      <c r="Y174" s="180" t="str">
        <f ca="1"/>
        <v/>
      </c>
      <c r="Z174" s="180" t="str">
        <f ca="1"/>
        <v/>
      </c>
      <c r="AA174" s="180" t="str">
        <f ca="1"/>
        <v/>
      </c>
      <c r="AB174" s="180" t="str">
        <f ca="1"/>
        <v/>
      </c>
      <c r="AC174" s="180" t="str">
        <f ca="1"/>
        <v/>
      </c>
      <c r="AD174" s="180" t="str">
        <f ca="1"/>
        <v/>
      </c>
      <c r="AE174" s="180" t="str">
        <f ca="1"/>
        <v/>
      </c>
      <c r="AF174" s="180" t="str">
        <f ca="1"/>
        <v/>
      </c>
      <c r="AG174" s="180" t="str">
        <f ca="1"/>
        <v/>
      </c>
      <c r="AH174" s="180" t="str">
        <f ca="1"/>
        <v/>
      </c>
      <c r="AI174" s="180" t="str">
        <f ca="1"/>
        <v/>
      </c>
      <c r="AJ174" s="180" t="str">
        <f ca="1"/>
        <v/>
      </c>
      <c r="AK174" s="180" t="str">
        <f ca="1"/>
        <v/>
      </c>
      <c r="AL174" s="180" t="str">
        <f ca="1"/>
        <v/>
      </c>
      <c r="AM174" s="180" t="str">
        <f ca="1"/>
        <v/>
      </c>
      <c r="AN174" s="180" t="str">
        <f ca="1"/>
        <v/>
      </c>
      <c r="AO174" s="180" t="str">
        <f ca="1"/>
        <v/>
      </c>
      <c r="AP174" s="180" t="str">
        <f ca="1"/>
        <v/>
      </c>
      <c r="AQ174" s="187" t="str">
        <f ca="1"/>
        <v/>
      </c>
    </row>
    <row r="175" spans="2:43" x14ac:dyDescent="0.25">
      <c r="B175" s="179" t="str">
        <f ca="1"/>
        <v/>
      </c>
      <c r="C175" s="180" t="str">
        <f ca="1"/>
        <v/>
      </c>
      <c r="D175" s="180" t="str">
        <f ca="1"/>
        <v/>
      </c>
      <c r="E175" s="180" t="str">
        <f ca="1"/>
        <v/>
      </c>
      <c r="F175" s="180" t="str">
        <f ca="1"/>
        <v/>
      </c>
      <c r="G175" s="180" t="str">
        <f ca="1"/>
        <v/>
      </c>
      <c r="H175" s="180" t="str">
        <f ca="1"/>
        <v/>
      </c>
      <c r="I175" s="180" t="str">
        <f ca="1"/>
        <v/>
      </c>
      <c r="J175" s="180" t="str">
        <f ca="1"/>
        <v/>
      </c>
      <c r="K175" s="180" t="str">
        <f ca="1"/>
        <v/>
      </c>
      <c r="L175" s="180" t="str">
        <f ca="1"/>
        <v/>
      </c>
      <c r="M175" s="180" t="str">
        <f ca="1"/>
        <v/>
      </c>
      <c r="N175" s="180" t="str">
        <f ca="1"/>
        <v/>
      </c>
      <c r="O175" s="180" t="str">
        <f ca="1"/>
        <v/>
      </c>
      <c r="P175" s="180" t="str">
        <f ca="1"/>
        <v/>
      </c>
      <c r="Q175" s="180" t="str">
        <f ca="1"/>
        <v/>
      </c>
      <c r="R175" s="180" t="str">
        <f ca="1"/>
        <v/>
      </c>
      <c r="S175" s="180" t="str">
        <f ca="1"/>
        <v/>
      </c>
      <c r="T175" s="180" t="str">
        <f ca="1"/>
        <v/>
      </c>
      <c r="U175" s="180" t="str">
        <f ca="1"/>
        <v/>
      </c>
      <c r="V175" s="180" t="str">
        <f ca="1"/>
        <v/>
      </c>
      <c r="W175" s="180" t="str">
        <f ca="1"/>
        <v/>
      </c>
      <c r="X175" s="180" t="str">
        <f ca="1"/>
        <v/>
      </c>
      <c r="Y175" s="180" t="str">
        <f ca="1"/>
        <v/>
      </c>
      <c r="Z175" s="180" t="str">
        <f ca="1"/>
        <v/>
      </c>
      <c r="AA175" s="180" t="str">
        <f ca="1"/>
        <v/>
      </c>
      <c r="AB175" s="180" t="str">
        <f ca="1"/>
        <v/>
      </c>
      <c r="AC175" s="180" t="str">
        <f ca="1"/>
        <v/>
      </c>
      <c r="AD175" s="180" t="str">
        <f ca="1"/>
        <v/>
      </c>
      <c r="AE175" s="180" t="str">
        <f ca="1"/>
        <v/>
      </c>
      <c r="AF175" s="180" t="str">
        <f ca="1"/>
        <v/>
      </c>
      <c r="AG175" s="180" t="str">
        <f ca="1"/>
        <v/>
      </c>
      <c r="AH175" s="180" t="str">
        <f ca="1"/>
        <v/>
      </c>
      <c r="AI175" s="180" t="str">
        <f ca="1"/>
        <v/>
      </c>
      <c r="AJ175" s="180" t="str">
        <f ca="1"/>
        <v/>
      </c>
      <c r="AK175" s="180" t="str">
        <f ca="1"/>
        <v/>
      </c>
      <c r="AL175" s="180" t="str">
        <f ca="1"/>
        <v/>
      </c>
      <c r="AM175" s="180" t="str">
        <f ca="1"/>
        <v/>
      </c>
      <c r="AN175" s="180" t="str">
        <f ca="1"/>
        <v/>
      </c>
      <c r="AO175" s="180" t="str">
        <f ca="1"/>
        <v/>
      </c>
      <c r="AP175" s="180" t="str">
        <f ca="1"/>
        <v/>
      </c>
      <c r="AQ175" s="187" t="str">
        <f ca="1"/>
        <v/>
      </c>
    </row>
    <row r="176" spans="2:43" x14ac:dyDescent="0.25">
      <c r="B176" s="179" t="str">
        <f ca="1"/>
        <v/>
      </c>
      <c r="C176" s="180" t="str">
        <f ca="1"/>
        <v/>
      </c>
      <c r="D176" s="180" t="str">
        <f ca="1"/>
        <v/>
      </c>
      <c r="E176" s="180" t="str">
        <f ca="1"/>
        <v/>
      </c>
      <c r="F176" s="180" t="str">
        <f ca="1"/>
        <v/>
      </c>
      <c r="G176" s="180" t="str">
        <f ca="1"/>
        <v/>
      </c>
      <c r="H176" s="180" t="str">
        <f ca="1"/>
        <v/>
      </c>
      <c r="I176" s="180" t="str">
        <f ca="1"/>
        <v/>
      </c>
      <c r="J176" s="180" t="str">
        <f ca="1"/>
        <v/>
      </c>
      <c r="K176" s="180" t="str">
        <f ca="1"/>
        <v/>
      </c>
      <c r="L176" s="180" t="str">
        <f ca="1"/>
        <v/>
      </c>
      <c r="M176" s="180" t="str">
        <f ca="1"/>
        <v/>
      </c>
      <c r="N176" s="180" t="str">
        <f ca="1"/>
        <v/>
      </c>
      <c r="O176" s="180" t="str">
        <f ca="1"/>
        <v/>
      </c>
      <c r="P176" s="180" t="str">
        <f ca="1"/>
        <v/>
      </c>
      <c r="Q176" s="180" t="str">
        <f ca="1"/>
        <v/>
      </c>
      <c r="R176" s="180" t="str">
        <f ca="1"/>
        <v/>
      </c>
      <c r="S176" s="180" t="str">
        <f ca="1"/>
        <v/>
      </c>
      <c r="T176" s="180" t="str">
        <f ca="1"/>
        <v/>
      </c>
      <c r="U176" s="180" t="str">
        <f ca="1"/>
        <v/>
      </c>
      <c r="V176" s="180" t="str">
        <f ca="1"/>
        <v/>
      </c>
      <c r="W176" s="180" t="str">
        <f ca="1"/>
        <v/>
      </c>
      <c r="X176" s="180" t="str">
        <f ca="1"/>
        <v/>
      </c>
      <c r="Y176" s="180" t="str">
        <f ca="1"/>
        <v/>
      </c>
      <c r="Z176" s="180" t="str">
        <f ca="1"/>
        <v/>
      </c>
      <c r="AA176" s="180" t="str">
        <f ca="1"/>
        <v/>
      </c>
      <c r="AB176" s="180" t="str">
        <f ca="1"/>
        <v/>
      </c>
      <c r="AC176" s="180" t="str">
        <f ca="1"/>
        <v/>
      </c>
      <c r="AD176" s="180" t="str">
        <f ca="1"/>
        <v/>
      </c>
      <c r="AE176" s="180" t="str">
        <f ca="1"/>
        <v/>
      </c>
      <c r="AF176" s="180" t="str">
        <f ca="1"/>
        <v/>
      </c>
      <c r="AG176" s="180" t="str">
        <f ca="1"/>
        <v/>
      </c>
      <c r="AH176" s="180" t="str">
        <f ca="1"/>
        <v/>
      </c>
      <c r="AI176" s="180" t="str">
        <f ca="1"/>
        <v/>
      </c>
      <c r="AJ176" s="180" t="str">
        <f ca="1"/>
        <v/>
      </c>
      <c r="AK176" s="180" t="str">
        <f ca="1"/>
        <v/>
      </c>
      <c r="AL176" s="180" t="str">
        <f ca="1"/>
        <v/>
      </c>
      <c r="AM176" s="180" t="str">
        <f ca="1"/>
        <v/>
      </c>
      <c r="AN176" s="180" t="str">
        <f ca="1"/>
        <v/>
      </c>
      <c r="AO176" s="180" t="str">
        <f ca="1"/>
        <v/>
      </c>
      <c r="AP176" s="180" t="str">
        <f ca="1"/>
        <v/>
      </c>
      <c r="AQ176" s="187" t="str">
        <f ca="1"/>
        <v/>
      </c>
    </row>
    <row r="177" spans="2:43" x14ac:dyDescent="0.25">
      <c r="B177" s="179" t="str">
        <f ca="1"/>
        <v/>
      </c>
      <c r="C177" s="180" t="str">
        <f ca="1"/>
        <v/>
      </c>
      <c r="D177" s="180" t="str">
        <f ca="1"/>
        <v/>
      </c>
      <c r="E177" s="180" t="str">
        <f ca="1"/>
        <v/>
      </c>
      <c r="F177" s="180" t="str">
        <f ca="1"/>
        <v/>
      </c>
      <c r="G177" s="180" t="str">
        <f ca="1"/>
        <v/>
      </c>
      <c r="H177" s="180" t="str">
        <f ca="1"/>
        <v/>
      </c>
      <c r="I177" s="180" t="str">
        <f ca="1"/>
        <v/>
      </c>
      <c r="J177" s="180" t="str">
        <f ca="1"/>
        <v/>
      </c>
      <c r="K177" s="180" t="str">
        <f ca="1"/>
        <v/>
      </c>
      <c r="L177" s="180" t="str">
        <f ca="1"/>
        <v/>
      </c>
      <c r="M177" s="180" t="str">
        <f ca="1"/>
        <v/>
      </c>
      <c r="N177" s="180" t="str">
        <f ca="1"/>
        <v/>
      </c>
      <c r="O177" s="180" t="str">
        <f ca="1"/>
        <v/>
      </c>
      <c r="P177" s="180" t="str">
        <f ca="1"/>
        <v/>
      </c>
      <c r="Q177" s="180" t="str">
        <f ca="1"/>
        <v/>
      </c>
      <c r="R177" s="180" t="str">
        <f ca="1"/>
        <v/>
      </c>
      <c r="S177" s="180" t="str">
        <f ca="1"/>
        <v/>
      </c>
      <c r="T177" s="180" t="str">
        <f ca="1"/>
        <v/>
      </c>
      <c r="U177" s="180" t="str">
        <f ca="1"/>
        <v/>
      </c>
      <c r="V177" s="180" t="str">
        <f ca="1"/>
        <v/>
      </c>
      <c r="W177" s="180" t="str">
        <f ca="1"/>
        <v/>
      </c>
      <c r="X177" s="180" t="str">
        <f ca="1"/>
        <v/>
      </c>
      <c r="Y177" s="180" t="str">
        <f ca="1"/>
        <v/>
      </c>
      <c r="Z177" s="180" t="str">
        <f ca="1"/>
        <v/>
      </c>
      <c r="AA177" s="180" t="str">
        <f ca="1"/>
        <v/>
      </c>
      <c r="AB177" s="180" t="str">
        <f ca="1"/>
        <v/>
      </c>
      <c r="AC177" s="180" t="str">
        <f ca="1"/>
        <v/>
      </c>
      <c r="AD177" s="180" t="str">
        <f ca="1"/>
        <v/>
      </c>
      <c r="AE177" s="180" t="str">
        <f ca="1"/>
        <v/>
      </c>
      <c r="AF177" s="180" t="str">
        <f ca="1"/>
        <v/>
      </c>
      <c r="AG177" s="180" t="str">
        <f ca="1"/>
        <v/>
      </c>
      <c r="AH177" s="180" t="str">
        <f ca="1"/>
        <v/>
      </c>
      <c r="AI177" s="180" t="str">
        <f ca="1"/>
        <v/>
      </c>
      <c r="AJ177" s="180" t="str">
        <f ca="1"/>
        <v/>
      </c>
      <c r="AK177" s="180" t="str">
        <f ca="1"/>
        <v/>
      </c>
      <c r="AL177" s="180" t="str">
        <f ca="1"/>
        <v/>
      </c>
      <c r="AM177" s="180" t="str">
        <f ca="1"/>
        <v/>
      </c>
      <c r="AN177" s="180" t="str">
        <f ca="1"/>
        <v/>
      </c>
      <c r="AO177" s="180" t="str">
        <f ca="1"/>
        <v/>
      </c>
      <c r="AP177" s="180" t="str">
        <f ca="1"/>
        <v/>
      </c>
      <c r="AQ177" s="187" t="str">
        <f ca="1"/>
        <v/>
      </c>
    </row>
    <row r="178" spans="2:43" x14ac:dyDescent="0.25">
      <c r="B178" s="179" t="str">
        <f ca="1"/>
        <v/>
      </c>
      <c r="C178" s="180" t="str">
        <f ca="1"/>
        <v/>
      </c>
      <c r="D178" s="180" t="str">
        <f ca="1"/>
        <v/>
      </c>
      <c r="E178" s="180" t="str">
        <f ca="1"/>
        <v/>
      </c>
      <c r="F178" s="180" t="str">
        <f ca="1"/>
        <v/>
      </c>
      <c r="G178" s="180" t="str">
        <f ca="1"/>
        <v/>
      </c>
      <c r="H178" s="180" t="str">
        <f ca="1"/>
        <v/>
      </c>
      <c r="I178" s="180" t="str">
        <f ca="1"/>
        <v/>
      </c>
      <c r="J178" s="180" t="str">
        <f ca="1"/>
        <v/>
      </c>
      <c r="K178" s="180" t="str">
        <f ca="1"/>
        <v/>
      </c>
      <c r="L178" s="180" t="str">
        <f ca="1"/>
        <v/>
      </c>
      <c r="M178" s="180" t="str">
        <f ca="1"/>
        <v/>
      </c>
      <c r="N178" s="180" t="str">
        <f ca="1"/>
        <v/>
      </c>
      <c r="O178" s="180" t="str">
        <f ca="1"/>
        <v/>
      </c>
      <c r="P178" s="180" t="str">
        <f ca="1"/>
        <v/>
      </c>
      <c r="Q178" s="180" t="str">
        <f ca="1"/>
        <v/>
      </c>
      <c r="R178" s="180" t="str">
        <f ca="1"/>
        <v/>
      </c>
      <c r="S178" s="180" t="str">
        <f ca="1"/>
        <v/>
      </c>
      <c r="T178" s="180" t="str">
        <f ca="1"/>
        <v/>
      </c>
      <c r="U178" s="180" t="str">
        <f ca="1"/>
        <v/>
      </c>
      <c r="V178" s="180" t="str">
        <f ca="1"/>
        <v/>
      </c>
      <c r="W178" s="180" t="str">
        <f ca="1"/>
        <v/>
      </c>
      <c r="X178" s="180" t="str">
        <f ca="1"/>
        <v/>
      </c>
      <c r="Y178" s="180" t="str">
        <f ca="1"/>
        <v/>
      </c>
      <c r="Z178" s="180" t="str">
        <f ca="1"/>
        <v/>
      </c>
      <c r="AA178" s="180" t="str">
        <f ca="1"/>
        <v/>
      </c>
      <c r="AB178" s="180" t="str">
        <f ca="1"/>
        <v/>
      </c>
      <c r="AC178" s="180" t="str">
        <f ca="1"/>
        <v/>
      </c>
      <c r="AD178" s="180" t="str">
        <f ca="1"/>
        <v/>
      </c>
      <c r="AE178" s="180" t="str">
        <f ca="1"/>
        <v/>
      </c>
      <c r="AF178" s="180" t="str">
        <f ca="1"/>
        <v/>
      </c>
      <c r="AG178" s="180" t="str">
        <f ca="1"/>
        <v/>
      </c>
      <c r="AH178" s="180" t="str">
        <f ca="1"/>
        <v/>
      </c>
      <c r="AI178" s="180" t="str">
        <f ca="1"/>
        <v/>
      </c>
      <c r="AJ178" s="180" t="str">
        <f ca="1"/>
        <v/>
      </c>
      <c r="AK178" s="180" t="str">
        <f ca="1"/>
        <v/>
      </c>
      <c r="AL178" s="180" t="str">
        <f ca="1"/>
        <v/>
      </c>
      <c r="AM178" s="180" t="str">
        <f ca="1"/>
        <v/>
      </c>
      <c r="AN178" s="180" t="str">
        <f ca="1"/>
        <v/>
      </c>
      <c r="AO178" s="180" t="str">
        <f ca="1"/>
        <v/>
      </c>
      <c r="AP178" s="180" t="str">
        <f ca="1"/>
        <v/>
      </c>
      <c r="AQ178" s="187" t="str">
        <f ca="1"/>
        <v/>
      </c>
    </row>
    <row r="179" spans="2:43" x14ac:dyDescent="0.25">
      <c r="B179" s="179" t="str">
        <f ca="1"/>
        <v/>
      </c>
      <c r="C179" s="180" t="str">
        <f ca="1"/>
        <v/>
      </c>
      <c r="D179" s="180" t="str">
        <f ca="1"/>
        <v/>
      </c>
      <c r="E179" s="180" t="str">
        <f ca="1"/>
        <v/>
      </c>
      <c r="F179" s="180" t="str">
        <f ca="1"/>
        <v/>
      </c>
      <c r="G179" s="180" t="str">
        <f ca="1"/>
        <v/>
      </c>
      <c r="H179" s="180" t="str">
        <f ca="1"/>
        <v/>
      </c>
      <c r="I179" s="180" t="str">
        <f ca="1"/>
        <v/>
      </c>
      <c r="J179" s="180" t="str">
        <f ca="1"/>
        <v/>
      </c>
      <c r="K179" s="180" t="str">
        <f ca="1"/>
        <v/>
      </c>
      <c r="L179" s="180" t="str">
        <f ca="1"/>
        <v/>
      </c>
      <c r="M179" s="180" t="str">
        <f ca="1"/>
        <v/>
      </c>
      <c r="N179" s="180" t="str">
        <f ca="1"/>
        <v/>
      </c>
      <c r="O179" s="180" t="str">
        <f ca="1"/>
        <v/>
      </c>
      <c r="P179" s="180" t="str">
        <f ca="1"/>
        <v/>
      </c>
      <c r="Q179" s="180" t="str">
        <f ca="1"/>
        <v/>
      </c>
      <c r="R179" s="180" t="str">
        <f ca="1"/>
        <v/>
      </c>
      <c r="S179" s="180" t="str">
        <f ca="1"/>
        <v/>
      </c>
      <c r="T179" s="180" t="str">
        <f ca="1"/>
        <v/>
      </c>
      <c r="U179" s="180" t="str">
        <f ca="1"/>
        <v/>
      </c>
      <c r="V179" s="180" t="str">
        <f ca="1"/>
        <v/>
      </c>
      <c r="W179" s="180" t="str">
        <f ca="1"/>
        <v/>
      </c>
      <c r="X179" s="180" t="str">
        <f ca="1"/>
        <v/>
      </c>
      <c r="Y179" s="180" t="str">
        <f ca="1"/>
        <v/>
      </c>
      <c r="Z179" s="180" t="str">
        <f ca="1"/>
        <v/>
      </c>
      <c r="AA179" s="180" t="str">
        <f ca="1"/>
        <v/>
      </c>
      <c r="AB179" s="180" t="str">
        <f ca="1"/>
        <v/>
      </c>
      <c r="AC179" s="180" t="str">
        <f ca="1"/>
        <v/>
      </c>
      <c r="AD179" s="180" t="str">
        <f ca="1"/>
        <v/>
      </c>
      <c r="AE179" s="180" t="str">
        <f ca="1"/>
        <v/>
      </c>
      <c r="AF179" s="180" t="str">
        <f ca="1"/>
        <v/>
      </c>
      <c r="AG179" s="180" t="str">
        <f ca="1"/>
        <v/>
      </c>
      <c r="AH179" s="180" t="str">
        <f ca="1"/>
        <v/>
      </c>
      <c r="AI179" s="180" t="str">
        <f ca="1"/>
        <v/>
      </c>
      <c r="AJ179" s="180" t="str">
        <f ca="1"/>
        <v/>
      </c>
      <c r="AK179" s="180" t="str">
        <f ca="1"/>
        <v/>
      </c>
      <c r="AL179" s="180" t="str">
        <f ca="1"/>
        <v/>
      </c>
      <c r="AM179" s="180" t="str">
        <f ca="1"/>
        <v/>
      </c>
      <c r="AN179" s="180" t="str">
        <f ca="1"/>
        <v/>
      </c>
      <c r="AO179" s="180" t="str">
        <f ca="1"/>
        <v/>
      </c>
      <c r="AP179" s="180" t="str">
        <f ca="1"/>
        <v/>
      </c>
      <c r="AQ179" s="187" t="str">
        <f ca="1"/>
        <v/>
      </c>
    </row>
    <row r="180" spans="2:43" x14ac:dyDescent="0.25">
      <c r="B180" s="179" t="str">
        <f ca="1"/>
        <v/>
      </c>
      <c r="C180" s="180" t="str">
        <f ca="1"/>
        <v/>
      </c>
      <c r="D180" s="180" t="str">
        <f ca="1"/>
        <v/>
      </c>
      <c r="E180" s="180" t="str">
        <f ca="1"/>
        <v/>
      </c>
      <c r="F180" s="180" t="str">
        <f ca="1"/>
        <v/>
      </c>
      <c r="G180" s="180" t="str">
        <f ca="1"/>
        <v/>
      </c>
      <c r="H180" s="180" t="str">
        <f ca="1"/>
        <v/>
      </c>
      <c r="I180" s="180" t="str">
        <f ca="1"/>
        <v/>
      </c>
      <c r="J180" s="180" t="str">
        <f ca="1"/>
        <v/>
      </c>
      <c r="K180" s="180" t="str">
        <f ca="1"/>
        <v/>
      </c>
      <c r="L180" s="180" t="str">
        <f ca="1"/>
        <v/>
      </c>
      <c r="M180" s="180" t="str">
        <f ca="1"/>
        <v/>
      </c>
      <c r="N180" s="180" t="str">
        <f ca="1"/>
        <v/>
      </c>
      <c r="O180" s="180" t="str">
        <f ca="1"/>
        <v/>
      </c>
      <c r="P180" s="180" t="str">
        <f ca="1"/>
        <v/>
      </c>
      <c r="Q180" s="180" t="str">
        <f ca="1"/>
        <v/>
      </c>
      <c r="R180" s="180" t="str">
        <f ca="1"/>
        <v/>
      </c>
      <c r="S180" s="180" t="str">
        <f ca="1"/>
        <v/>
      </c>
      <c r="T180" s="180" t="str">
        <f ca="1"/>
        <v/>
      </c>
      <c r="U180" s="180" t="str">
        <f ca="1"/>
        <v/>
      </c>
      <c r="V180" s="180" t="str">
        <f ca="1"/>
        <v/>
      </c>
      <c r="W180" s="180" t="str">
        <f ca="1"/>
        <v/>
      </c>
      <c r="X180" s="180" t="str">
        <f ca="1"/>
        <v/>
      </c>
      <c r="Y180" s="180" t="str">
        <f ca="1"/>
        <v/>
      </c>
      <c r="Z180" s="180" t="str">
        <f ca="1"/>
        <v/>
      </c>
      <c r="AA180" s="180" t="str">
        <f ca="1"/>
        <v/>
      </c>
      <c r="AB180" s="180" t="str">
        <f ca="1"/>
        <v/>
      </c>
      <c r="AC180" s="180" t="str">
        <f ca="1"/>
        <v/>
      </c>
      <c r="AD180" s="180" t="str">
        <f ca="1"/>
        <v/>
      </c>
      <c r="AE180" s="180" t="str">
        <f ca="1"/>
        <v/>
      </c>
      <c r="AF180" s="180" t="str">
        <f ca="1"/>
        <v/>
      </c>
      <c r="AG180" s="180" t="str">
        <f ca="1"/>
        <v/>
      </c>
      <c r="AH180" s="180" t="str">
        <f ca="1"/>
        <v/>
      </c>
      <c r="AI180" s="180" t="str">
        <f ca="1"/>
        <v/>
      </c>
      <c r="AJ180" s="180" t="str">
        <f ca="1"/>
        <v/>
      </c>
      <c r="AK180" s="180" t="str">
        <f ca="1"/>
        <v/>
      </c>
      <c r="AL180" s="180" t="str">
        <f ca="1"/>
        <v/>
      </c>
      <c r="AM180" s="180" t="str">
        <f ca="1"/>
        <v/>
      </c>
      <c r="AN180" s="180" t="str">
        <f ca="1"/>
        <v/>
      </c>
      <c r="AO180" s="180" t="str">
        <f ca="1"/>
        <v/>
      </c>
      <c r="AP180" s="180" t="str">
        <f ca="1"/>
        <v/>
      </c>
      <c r="AQ180" s="187" t="str">
        <f ca="1"/>
        <v/>
      </c>
    </row>
    <row r="181" spans="2:43" x14ac:dyDescent="0.25">
      <c r="B181" s="179" t="str">
        <f ca="1"/>
        <v/>
      </c>
      <c r="C181" s="180" t="str">
        <f ca="1"/>
        <v/>
      </c>
      <c r="D181" s="180" t="str">
        <f ca="1"/>
        <v/>
      </c>
      <c r="E181" s="180" t="str">
        <f ca="1"/>
        <v/>
      </c>
      <c r="F181" s="180" t="str">
        <f ca="1"/>
        <v/>
      </c>
      <c r="G181" s="180" t="str">
        <f ca="1"/>
        <v/>
      </c>
      <c r="H181" s="180" t="str">
        <f ca="1"/>
        <v/>
      </c>
      <c r="I181" s="180" t="str">
        <f ca="1"/>
        <v/>
      </c>
      <c r="J181" s="180" t="str">
        <f ca="1"/>
        <v/>
      </c>
      <c r="K181" s="180" t="str">
        <f ca="1"/>
        <v/>
      </c>
      <c r="L181" s="180" t="str">
        <f ca="1"/>
        <v/>
      </c>
      <c r="M181" s="180" t="str">
        <f ca="1"/>
        <v/>
      </c>
      <c r="N181" s="180" t="str">
        <f ca="1"/>
        <v/>
      </c>
      <c r="O181" s="180" t="str">
        <f ca="1"/>
        <v/>
      </c>
      <c r="P181" s="180" t="str">
        <f ca="1"/>
        <v/>
      </c>
      <c r="Q181" s="180" t="str">
        <f ca="1"/>
        <v/>
      </c>
      <c r="R181" s="180" t="str">
        <f ca="1"/>
        <v/>
      </c>
      <c r="S181" s="180" t="str">
        <f ca="1"/>
        <v/>
      </c>
      <c r="T181" s="180" t="str">
        <f ca="1"/>
        <v/>
      </c>
      <c r="U181" s="180" t="str">
        <f ca="1"/>
        <v/>
      </c>
      <c r="V181" s="180" t="str">
        <f ca="1"/>
        <v/>
      </c>
      <c r="W181" s="180" t="str">
        <f ca="1"/>
        <v/>
      </c>
      <c r="X181" s="180" t="str">
        <f ca="1"/>
        <v/>
      </c>
      <c r="Y181" s="180" t="str">
        <f ca="1"/>
        <v/>
      </c>
      <c r="Z181" s="180" t="str">
        <f ca="1"/>
        <v/>
      </c>
      <c r="AA181" s="180" t="str">
        <f ca="1"/>
        <v/>
      </c>
      <c r="AB181" s="180" t="str">
        <f ca="1"/>
        <v/>
      </c>
      <c r="AC181" s="180" t="str">
        <f ca="1"/>
        <v/>
      </c>
      <c r="AD181" s="180" t="str">
        <f ca="1"/>
        <v/>
      </c>
      <c r="AE181" s="180" t="str">
        <f ca="1"/>
        <v/>
      </c>
      <c r="AF181" s="180" t="str">
        <f ca="1"/>
        <v/>
      </c>
      <c r="AG181" s="180" t="str">
        <f ca="1"/>
        <v/>
      </c>
      <c r="AH181" s="180" t="str">
        <f ca="1"/>
        <v/>
      </c>
      <c r="AI181" s="180" t="str">
        <f ca="1"/>
        <v/>
      </c>
      <c r="AJ181" s="180" t="str">
        <f ca="1"/>
        <v/>
      </c>
      <c r="AK181" s="180" t="str">
        <f ca="1"/>
        <v/>
      </c>
      <c r="AL181" s="180" t="str">
        <f ca="1"/>
        <v/>
      </c>
      <c r="AM181" s="180" t="str">
        <f ca="1"/>
        <v/>
      </c>
      <c r="AN181" s="180" t="str">
        <f ca="1"/>
        <v/>
      </c>
      <c r="AO181" s="180" t="str">
        <f ca="1"/>
        <v/>
      </c>
      <c r="AP181" s="180" t="str">
        <f ca="1"/>
        <v/>
      </c>
      <c r="AQ181" s="187" t="str">
        <f ca="1"/>
        <v/>
      </c>
    </row>
    <row r="182" spans="2:43" x14ac:dyDescent="0.25">
      <c r="B182" s="179" t="str">
        <f ca="1"/>
        <v/>
      </c>
      <c r="C182" s="180" t="str">
        <f ca="1"/>
        <v/>
      </c>
      <c r="D182" s="180" t="str">
        <f ca="1"/>
        <v/>
      </c>
      <c r="E182" s="180" t="str">
        <f ca="1"/>
        <v/>
      </c>
      <c r="F182" s="180" t="str">
        <f ca="1"/>
        <v/>
      </c>
      <c r="G182" s="180" t="str">
        <f ca="1"/>
        <v/>
      </c>
      <c r="H182" s="180" t="str">
        <f ca="1"/>
        <v/>
      </c>
      <c r="I182" s="180" t="str">
        <f ca="1"/>
        <v/>
      </c>
      <c r="J182" s="180" t="str">
        <f ca="1"/>
        <v/>
      </c>
      <c r="K182" s="180" t="str">
        <f ca="1"/>
        <v/>
      </c>
      <c r="L182" s="180" t="str">
        <f ca="1"/>
        <v/>
      </c>
      <c r="M182" s="180" t="str">
        <f ca="1"/>
        <v/>
      </c>
      <c r="N182" s="180" t="str">
        <f ca="1"/>
        <v/>
      </c>
      <c r="O182" s="180" t="str">
        <f ca="1"/>
        <v/>
      </c>
      <c r="P182" s="180" t="str">
        <f ca="1"/>
        <v/>
      </c>
      <c r="Q182" s="180" t="str">
        <f ca="1"/>
        <v/>
      </c>
      <c r="R182" s="180" t="str">
        <f ca="1"/>
        <v/>
      </c>
      <c r="S182" s="180" t="str">
        <f ca="1"/>
        <v/>
      </c>
      <c r="T182" s="180" t="str">
        <f ca="1"/>
        <v/>
      </c>
      <c r="U182" s="180" t="str">
        <f ca="1"/>
        <v/>
      </c>
      <c r="V182" s="180" t="str">
        <f ca="1"/>
        <v/>
      </c>
      <c r="W182" s="180" t="str">
        <f ca="1"/>
        <v/>
      </c>
      <c r="X182" s="180" t="str">
        <f ca="1"/>
        <v/>
      </c>
      <c r="Y182" s="180" t="str">
        <f ca="1"/>
        <v/>
      </c>
      <c r="Z182" s="180" t="str">
        <f ca="1"/>
        <v/>
      </c>
      <c r="AA182" s="180" t="str">
        <f ca="1"/>
        <v/>
      </c>
      <c r="AB182" s="180" t="str">
        <f ca="1"/>
        <v/>
      </c>
      <c r="AC182" s="180" t="str">
        <f ca="1"/>
        <v/>
      </c>
      <c r="AD182" s="180" t="str">
        <f ca="1"/>
        <v/>
      </c>
      <c r="AE182" s="180" t="str">
        <f ca="1"/>
        <v/>
      </c>
      <c r="AF182" s="180" t="str">
        <f ca="1"/>
        <v/>
      </c>
      <c r="AG182" s="180" t="str">
        <f ca="1"/>
        <v/>
      </c>
      <c r="AH182" s="180" t="str">
        <f ca="1"/>
        <v/>
      </c>
      <c r="AI182" s="180" t="str">
        <f ca="1"/>
        <v/>
      </c>
      <c r="AJ182" s="180" t="str">
        <f ca="1"/>
        <v/>
      </c>
      <c r="AK182" s="180" t="str">
        <f ca="1"/>
        <v/>
      </c>
      <c r="AL182" s="180" t="str">
        <f ca="1"/>
        <v/>
      </c>
      <c r="AM182" s="180" t="str">
        <f ca="1"/>
        <v/>
      </c>
      <c r="AN182" s="180" t="str">
        <f ca="1"/>
        <v/>
      </c>
      <c r="AO182" s="180" t="str">
        <f ca="1"/>
        <v/>
      </c>
      <c r="AP182" s="180" t="str">
        <f ca="1"/>
        <v/>
      </c>
      <c r="AQ182" s="187" t="str">
        <f ca="1"/>
        <v/>
      </c>
    </row>
    <row r="183" spans="2:43" x14ac:dyDescent="0.25">
      <c r="B183" s="179" t="str">
        <f ca="1"/>
        <v/>
      </c>
      <c r="C183" s="180" t="str">
        <f ca="1"/>
        <v/>
      </c>
      <c r="D183" s="180" t="str">
        <f ca="1"/>
        <v/>
      </c>
      <c r="E183" s="180" t="str">
        <f ca="1"/>
        <v/>
      </c>
      <c r="F183" s="180" t="str">
        <f ca="1"/>
        <v/>
      </c>
      <c r="G183" s="180" t="str">
        <f ca="1"/>
        <v/>
      </c>
      <c r="H183" s="180" t="str">
        <f ca="1"/>
        <v/>
      </c>
      <c r="I183" s="180" t="str">
        <f ca="1"/>
        <v/>
      </c>
      <c r="J183" s="180" t="str">
        <f ca="1"/>
        <v/>
      </c>
      <c r="K183" s="180" t="str">
        <f ca="1"/>
        <v/>
      </c>
      <c r="L183" s="180" t="str">
        <f ca="1"/>
        <v/>
      </c>
      <c r="M183" s="180" t="str">
        <f ca="1"/>
        <v/>
      </c>
      <c r="N183" s="180" t="str">
        <f ca="1"/>
        <v/>
      </c>
      <c r="O183" s="180" t="str">
        <f ca="1"/>
        <v/>
      </c>
      <c r="P183" s="180" t="str">
        <f ca="1"/>
        <v/>
      </c>
      <c r="Q183" s="180" t="str">
        <f ca="1"/>
        <v/>
      </c>
      <c r="R183" s="180" t="str">
        <f ca="1"/>
        <v/>
      </c>
      <c r="S183" s="180" t="str">
        <f ca="1"/>
        <v/>
      </c>
      <c r="T183" s="180" t="str">
        <f ca="1"/>
        <v/>
      </c>
      <c r="U183" s="180" t="str">
        <f ca="1"/>
        <v/>
      </c>
      <c r="V183" s="180" t="str">
        <f ca="1"/>
        <v/>
      </c>
      <c r="W183" s="180" t="str">
        <f ca="1"/>
        <v/>
      </c>
      <c r="X183" s="180" t="str">
        <f ca="1"/>
        <v/>
      </c>
      <c r="Y183" s="180" t="str">
        <f ca="1"/>
        <v/>
      </c>
      <c r="Z183" s="180" t="str">
        <f ca="1"/>
        <v/>
      </c>
      <c r="AA183" s="180" t="str">
        <f ca="1"/>
        <v/>
      </c>
      <c r="AB183" s="180" t="str">
        <f ca="1"/>
        <v/>
      </c>
      <c r="AC183" s="180" t="str">
        <f ca="1"/>
        <v/>
      </c>
      <c r="AD183" s="180" t="str">
        <f ca="1"/>
        <v/>
      </c>
      <c r="AE183" s="180" t="str">
        <f ca="1"/>
        <v/>
      </c>
      <c r="AF183" s="180" t="str">
        <f ca="1"/>
        <v/>
      </c>
      <c r="AG183" s="180" t="str">
        <f ca="1"/>
        <v/>
      </c>
      <c r="AH183" s="180" t="str">
        <f ca="1"/>
        <v/>
      </c>
      <c r="AI183" s="180" t="str">
        <f ca="1"/>
        <v/>
      </c>
      <c r="AJ183" s="180" t="str">
        <f ca="1"/>
        <v/>
      </c>
      <c r="AK183" s="180" t="str">
        <f ca="1"/>
        <v/>
      </c>
      <c r="AL183" s="180" t="str">
        <f ca="1"/>
        <v/>
      </c>
      <c r="AM183" s="180" t="str">
        <f ca="1"/>
        <v/>
      </c>
      <c r="AN183" s="180" t="str">
        <f ca="1"/>
        <v/>
      </c>
      <c r="AO183" s="180" t="str">
        <f ca="1"/>
        <v/>
      </c>
      <c r="AP183" s="180" t="str">
        <f ca="1"/>
        <v/>
      </c>
      <c r="AQ183" s="187" t="str">
        <f ca="1"/>
        <v/>
      </c>
    </row>
    <row r="184" spans="2:43" x14ac:dyDescent="0.25">
      <c r="B184" s="179" t="str">
        <f ca="1"/>
        <v/>
      </c>
      <c r="C184" s="180" t="str">
        <f ca="1"/>
        <v/>
      </c>
      <c r="D184" s="180" t="str">
        <f ca="1"/>
        <v/>
      </c>
      <c r="E184" s="180" t="str">
        <f ca="1"/>
        <v/>
      </c>
      <c r="F184" s="180" t="str">
        <f ca="1"/>
        <v/>
      </c>
      <c r="G184" s="180" t="str">
        <f ca="1"/>
        <v/>
      </c>
      <c r="H184" s="180" t="str">
        <f ca="1"/>
        <v/>
      </c>
      <c r="I184" s="180" t="str">
        <f ca="1"/>
        <v/>
      </c>
      <c r="J184" s="180" t="str">
        <f ca="1"/>
        <v/>
      </c>
      <c r="K184" s="180" t="str">
        <f ca="1"/>
        <v/>
      </c>
      <c r="L184" s="180" t="str">
        <f ca="1"/>
        <v/>
      </c>
      <c r="M184" s="180" t="str">
        <f ca="1"/>
        <v/>
      </c>
      <c r="N184" s="180" t="str">
        <f ca="1"/>
        <v/>
      </c>
      <c r="O184" s="180" t="str">
        <f ca="1"/>
        <v/>
      </c>
      <c r="P184" s="180" t="str">
        <f ca="1"/>
        <v/>
      </c>
      <c r="Q184" s="180" t="str">
        <f ca="1"/>
        <v/>
      </c>
      <c r="R184" s="180" t="str">
        <f ca="1"/>
        <v/>
      </c>
      <c r="S184" s="180" t="str">
        <f ca="1"/>
        <v/>
      </c>
      <c r="T184" s="180" t="str">
        <f ca="1"/>
        <v/>
      </c>
      <c r="U184" s="180" t="str">
        <f ca="1"/>
        <v/>
      </c>
      <c r="V184" s="180" t="str">
        <f ca="1"/>
        <v/>
      </c>
      <c r="W184" s="180" t="str">
        <f ca="1"/>
        <v/>
      </c>
      <c r="X184" s="180" t="str">
        <f ca="1"/>
        <v/>
      </c>
      <c r="Y184" s="180" t="str">
        <f ca="1"/>
        <v/>
      </c>
      <c r="Z184" s="180" t="str">
        <f ca="1"/>
        <v/>
      </c>
      <c r="AA184" s="180" t="str">
        <f ca="1"/>
        <v/>
      </c>
      <c r="AB184" s="180" t="str">
        <f ca="1"/>
        <v/>
      </c>
      <c r="AC184" s="180" t="str">
        <f ca="1"/>
        <v/>
      </c>
      <c r="AD184" s="180" t="str">
        <f ca="1"/>
        <v/>
      </c>
      <c r="AE184" s="180" t="str">
        <f ca="1"/>
        <v/>
      </c>
      <c r="AF184" s="180" t="str">
        <f ca="1"/>
        <v/>
      </c>
      <c r="AG184" s="180" t="str">
        <f ca="1"/>
        <v/>
      </c>
      <c r="AH184" s="180" t="str">
        <f ca="1"/>
        <v/>
      </c>
      <c r="AI184" s="180" t="str">
        <f ca="1"/>
        <v/>
      </c>
      <c r="AJ184" s="180" t="str">
        <f ca="1"/>
        <v/>
      </c>
      <c r="AK184" s="180" t="str">
        <f ca="1"/>
        <v/>
      </c>
      <c r="AL184" s="180" t="str">
        <f ca="1"/>
        <v/>
      </c>
      <c r="AM184" s="180" t="str">
        <f ca="1"/>
        <v/>
      </c>
      <c r="AN184" s="180" t="str">
        <f ca="1"/>
        <v/>
      </c>
      <c r="AO184" s="180" t="str">
        <f ca="1"/>
        <v/>
      </c>
      <c r="AP184" s="180" t="str">
        <f ca="1"/>
        <v/>
      </c>
      <c r="AQ184" s="187" t="str">
        <f ca="1"/>
        <v/>
      </c>
    </row>
    <row r="185" spans="2:43" x14ac:dyDescent="0.25">
      <c r="B185" s="179" t="str">
        <f ca="1"/>
        <v/>
      </c>
      <c r="C185" s="180" t="str">
        <f ca="1"/>
        <v/>
      </c>
      <c r="D185" s="180" t="str">
        <f ca="1"/>
        <v/>
      </c>
      <c r="E185" s="180" t="str">
        <f ca="1"/>
        <v/>
      </c>
      <c r="F185" s="180" t="str">
        <f ca="1"/>
        <v/>
      </c>
      <c r="G185" s="180" t="str">
        <f ca="1"/>
        <v/>
      </c>
      <c r="H185" s="180" t="str">
        <f ca="1"/>
        <v/>
      </c>
      <c r="I185" s="180" t="str">
        <f ca="1"/>
        <v/>
      </c>
      <c r="J185" s="180" t="str">
        <f ca="1"/>
        <v/>
      </c>
      <c r="K185" s="180" t="str">
        <f ca="1"/>
        <v/>
      </c>
      <c r="L185" s="180" t="str">
        <f ca="1"/>
        <v/>
      </c>
      <c r="M185" s="180" t="str">
        <f ca="1"/>
        <v/>
      </c>
      <c r="N185" s="180" t="str">
        <f ca="1"/>
        <v/>
      </c>
      <c r="O185" s="180" t="str">
        <f ca="1"/>
        <v/>
      </c>
      <c r="P185" s="180" t="str">
        <f ca="1"/>
        <v/>
      </c>
      <c r="Q185" s="180" t="str">
        <f ca="1"/>
        <v/>
      </c>
      <c r="R185" s="180" t="str">
        <f ca="1"/>
        <v/>
      </c>
      <c r="S185" s="180" t="str">
        <f ca="1"/>
        <v/>
      </c>
      <c r="T185" s="180" t="str">
        <f ca="1"/>
        <v/>
      </c>
      <c r="U185" s="180" t="str">
        <f ca="1"/>
        <v/>
      </c>
      <c r="V185" s="180" t="str">
        <f ca="1"/>
        <v/>
      </c>
      <c r="W185" s="180" t="str">
        <f ca="1"/>
        <v/>
      </c>
      <c r="X185" s="180" t="str">
        <f ca="1"/>
        <v/>
      </c>
      <c r="Y185" s="180" t="str">
        <f ca="1"/>
        <v/>
      </c>
      <c r="Z185" s="180" t="str">
        <f ca="1"/>
        <v/>
      </c>
      <c r="AA185" s="180" t="str">
        <f ca="1"/>
        <v/>
      </c>
      <c r="AB185" s="180" t="str">
        <f ca="1"/>
        <v/>
      </c>
      <c r="AC185" s="180" t="str">
        <f ca="1"/>
        <v/>
      </c>
      <c r="AD185" s="180" t="str">
        <f ca="1"/>
        <v/>
      </c>
      <c r="AE185" s="180" t="str">
        <f ca="1"/>
        <v/>
      </c>
      <c r="AF185" s="180" t="str">
        <f ca="1"/>
        <v/>
      </c>
      <c r="AG185" s="180" t="str">
        <f ca="1"/>
        <v/>
      </c>
      <c r="AH185" s="180" t="str">
        <f ca="1"/>
        <v/>
      </c>
      <c r="AI185" s="180" t="str">
        <f ca="1"/>
        <v/>
      </c>
      <c r="AJ185" s="180" t="str">
        <f ca="1"/>
        <v/>
      </c>
      <c r="AK185" s="180" t="str">
        <f ca="1"/>
        <v/>
      </c>
      <c r="AL185" s="180" t="str">
        <f ca="1"/>
        <v/>
      </c>
      <c r="AM185" s="180" t="str">
        <f ca="1"/>
        <v/>
      </c>
      <c r="AN185" s="180" t="str">
        <f ca="1"/>
        <v/>
      </c>
      <c r="AO185" s="180" t="str">
        <f ca="1"/>
        <v/>
      </c>
      <c r="AP185" s="180" t="str">
        <f ca="1"/>
        <v/>
      </c>
      <c r="AQ185" s="187" t="str">
        <f ca="1"/>
        <v/>
      </c>
    </row>
    <row r="186" spans="2:43" x14ac:dyDescent="0.25">
      <c r="B186" s="179" t="str">
        <f ca="1"/>
        <v/>
      </c>
      <c r="C186" s="180" t="str">
        <f ca="1"/>
        <v/>
      </c>
      <c r="D186" s="180" t="str">
        <f ca="1"/>
        <v/>
      </c>
      <c r="E186" s="180" t="str">
        <f ca="1"/>
        <v/>
      </c>
      <c r="F186" s="180" t="str">
        <f ca="1"/>
        <v/>
      </c>
      <c r="G186" s="180" t="str">
        <f ca="1"/>
        <v/>
      </c>
      <c r="H186" s="180" t="str">
        <f ca="1"/>
        <v/>
      </c>
      <c r="I186" s="180" t="str">
        <f ca="1"/>
        <v/>
      </c>
      <c r="J186" s="180" t="str">
        <f ca="1"/>
        <v/>
      </c>
      <c r="K186" s="180" t="str">
        <f ca="1"/>
        <v/>
      </c>
      <c r="L186" s="180" t="str">
        <f ca="1"/>
        <v/>
      </c>
      <c r="M186" s="180" t="str">
        <f ca="1"/>
        <v/>
      </c>
      <c r="N186" s="180" t="str">
        <f ca="1"/>
        <v/>
      </c>
      <c r="O186" s="180" t="str">
        <f ca="1"/>
        <v/>
      </c>
      <c r="P186" s="180" t="str">
        <f ca="1"/>
        <v/>
      </c>
      <c r="Q186" s="180" t="str">
        <f ca="1"/>
        <v/>
      </c>
      <c r="R186" s="180" t="str">
        <f ca="1"/>
        <v/>
      </c>
      <c r="S186" s="180" t="str">
        <f ca="1"/>
        <v/>
      </c>
      <c r="T186" s="180" t="str">
        <f ca="1"/>
        <v/>
      </c>
      <c r="U186" s="180" t="str">
        <f ca="1"/>
        <v/>
      </c>
      <c r="V186" s="180" t="str">
        <f ca="1"/>
        <v/>
      </c>
      <c r="W186" s="180" t="str">
        <f ca="1"/>
        <v/>
      </c>
      <c r="X186" s="180" t="str">
        <f ca="1"/>
        <v/>
      </c>
      <c r="Y186" s="180" t="str">
        <f ca="1"/>
        <v/>
      </c>
      <c r="Z186" s="180" t="str">
        <f ca="1"/>
        <v/>
      </c>
      <c r="AA186" s="180" t="str">
        <f ca="1"/>
        <v/>
      </c>
      <c r="AB186" s="180" t="str">
        <f ca="1"/>
        <v/>
      </c>
      <c r="AC186" s="180" t="str">
        <f ca="1"/>
        <v/>
      </c>
      <c r="AD186" s="180" t="str">
        <f ca="1"/>
        <v/>
      </c>
      <c r="AE186" s="180" t="str">
        <f ca="1"/>
        <v/>
      </c>
      <c r="AF186" s="180" t="str">
        <f ca="1"/>
        <v/>
      </c>
      <c r="AG186" s="180" t="str">
        <f ca="1"/>
        <v/>
      </c>
      <c r="AH186" s="180" t="str">
        <f ca="1"/>
        <v/>
      </c>
      <c r="AI186" s="180" t="str">
        <f ca="1"/>
        <v/>
      </c>
      <c r="AJ186" s="180" t="str">
        <f ca="1"/>
        <v/>
      </c>
      <c r="AK186" s="180" t="str">
        <f ca="1"/>
        <v/>
      </c>
      <c r="AL186" s="180" t="str">
        <f ca="1"/>
        <v/>
      </c>
      <c r="AM186" s="180" t="str">
        <f ca="1"/>
        <v/>
      </c>
      <c r="AN186" s="180" t="str">
        <f ca="1"/>
        <v/>
      </c>
      <c r="AO186" s="180" t="str">
        <f ca="1"/>
        <v/>
      </c>
      <c r="AP186" s="180" t="str">
        <f ca="1"/>
        <v/>
      </c>
      <c r="AQ186" s="187" t="str">
        <f ca="1"/>
        <v/>
      </c>
    </row>
    <row r="187" spans="2:43" x14ac:dyDescent="0.25">
      <c r="B187" s="179" t="str">
        <f ca="1"/>
        <v/>
      </c>
      <c r="C187" s="180" t="str">
        <f ca="1"/>
        <v/>
      </c>
      <c r="D187" s="180" t="str">
        <f ca="1"/>
        <v/>
      </c>
      <c r="E187" s="180" t="str">
        <f ca="1"/>
        <v/>
      </c>
      <c r="F187" s="180" t="str">
        <f ca="1"/>
        <v/>
      </c>
      <c r="G187" s="180" t="str">
        <f ca="1"/>
        <v/>
      </c>
      <c r="H187" s="180" t="str">
        <f ca="1"/>
        <v/>
      </c>
      <c r="I187" s="180" t="str">
        <f ca="1"/>
        <v/>
      </c>
      <c r="J187" s="180" t="str">
        <f ca="1"/>
        <v/>
      </c>
      <c r="K187" s="180" t="str">
        <f ca="1"/>
        <v/>
      </c>
      <c r="L187" s="180" t="str">
        <f ca="1"/>
        <v/>
      </c>
      <c r="M187" s="180" t="str">
        <f ca="1"/>
        <v/>
      </c>
      <c r="N187" s="180" t="str">
        <f ca="1"/>
        <v/>
      </c>
      <c r="O187" s="180" t="str">
        <f ca="1"/>
        <v/>
      </c>
      <c r="P187" s="180" t="str">
        <f ca="1"/>
        <v/>
      </c>
      <c r="Q187" s="180" t="str">
        <f ca="1"/>
        <v/>
      </c>
      <c r="R187" s="180" t="str">
        <f ca="1"/>
        <v/>
      </c>
      <c r="S187" s="180" t="str">
        <f ca="1"/>
        <v/>
      </c>
      <c r="T187" s="180" t="str">
        <f ca="1"/>
        <v/>
      </c>
      <c r="U187" s="180" t="str">
        <f ca="1"/>
        <v/>
      </c>
      <c r="V187" s="180" t="str">
        <f ca="1"/>
        <v/>
      </c>
      <c r="W187" s="180" t="str">
        <f ca="1"/>
        <v/>
      </c>
      <c r="X187" s="180" t="str">
        <f ca="1"/>
        <v/>
      </c>
      <c r="Y187" s="180" t="str">
        <f ca="1"/>
        <v/>
      </c>
      <c r="Z187" s="180" t="str">
        <f ca="1"/>
        <v/>
      </c>
      <c r="AA187" s="180" t="str">
        <f ca="1"/>
        <v/>
      </c>
      <c r="AB187" s="180" t="str">
        <f ca="1"/>
        <v/>
      </c>
      <c r="AC187" s="180" t="str">
        <f ca="1"/>
        <v/>
      </c>
      <c r="AD187" s="180" t="str">
        <f ca="1"/>
        <v/>
      </c>
      <c r="AE187" s="180" t="str">
        <f ca="1"/>
        <v/>
      </c>
      <c r="AF187" s="180" t="str">
        <f ca="1"/>
        <v/>
      </c>
      <c r="AG187" s="180" t="str">
        <f ca="1"/>
        <v/>
      </c>
      <c r="AH187" s="180" t="str">
        <f ca="1"/>
        <v/>
      </c>
      <c r="AI187" s="180" t="str">
        <f ca="1"/>
        <v/>
      </c>
      <c r="AJ187" s="180" t="str">
        <f ca="1"/>
        <v/>
      </c>
      <c r="AK187" s="180" t="str">
        <f ca="1"/>
        <v/>
      </c>
      <c r="AL187" s="180" t="str">
        <f ca="1"/>
        <v/>
      </c>
      <c r="AM187" s="180" t="str">
        <f ca="1"/>
        <v/>
      </c>
      <c r="AN187" s="180" t="str">
        <f ca="1"/>
        <v/>
      </c>
      <c r="AO187" s="180" t="str">
        <f ca="1"/>
        <v/>
      </c>
      <c r="AP187" s="180" t="str">
        <f ca="1"/>
        <v/>
      </c>
      <c r="AQ187" s="187" t="str">
        <f ca="1"/>
        <v/>
      </c>
    </row>
    <row r="188" spans="2:43" x14ac:dyDescent="0.25">
      <c r="B188" s="179" t="str">
        <f ca="1"/>
        <v/>
      </c>
      <c r="C188" s="180" t="str">
        <f ca="1"/>
        <v/>
      </c>
      <c r="D188" s="180" t="str">
        <f ca="1"/>
        <v/>
      </c>
      <c r="E188" s="180" t="str">
        <f ca="1"/>
        <v/>
      </c>
      <c r="F188" s="180" t="str">
        <f ca="1"/>
        <v/>
      </c>
      <c r="G188" s="180" t="str">
        <f ca="1"/>
        <v/>
      </c>
      <c r="H188" s="180" t="str">
        <f ca="1"/>
        <v/>
      </c>
      <c r="I188" s="180" t="str">
        <f ca="1"/>
        <v/>
      </c>
      <c r="J188" s="180" t="str">
        <f ca="1"/>
        <v/>
      </c>
      <c r="K188" s="180" t="str">
        <f ca="1"/>
        <v/>
      </c>
      <c r="L188" s="180" t="str">
        <f ca="1"/>
        <v/>
      </c>
      <c r="M188" s="180" t="str">
        <f ca="1"/>
        <v/>
      </c>
      <c r="N188" s="180" t="str">
        <f ca="1"/>
        <v/>
      </c>
      <c r="O188" s="180" t="str">
        <f ca="1"/>
        <v/>
      </c>
      <c r="P188" s="180" t="str">
        <f ca="1"/>
        <v/>
      </c>
      <c r="Q188" s="180" t="str">
        <f ca="1"/>
        <v/>
      </c>
      <c r="R188" s="180" t="str">
        <f ca="1"/>
        <v/>
      </c>
      <c r="S188" s="180" t="str">
        <f ca="1"/>
        <v/>
      </c>
      <c r="T188" s="180" t="str">
        <f ca="1"/>
        <v/>
      </c>
      <c r="U188" s="180" t="str">
        <f ca="1"/>
        <v/>
      </c>
      <c r="V188" s="180" t="str">
        <f ca="1"/>
        <v/>
      </c>
      <c r="W188" s="180" t="str">
        <f ca="1"/>
        <v/>
      </c>
      <c r="X188" s="180" t="str">
        <f ca="1"/>
        <v/>
      </c>
      <c r="Y188" s="180" t="str">
        <f ca="1"/>
        <v/>
      </c>
      <c r="Z188" s="180" t="str">
        <f ca="1"/>
        <v/>
      </c>
      <c r="AA188" s="180" t="str">
        <f ca="1"/>
        <v/>
      </c>
      <c r="AB188" s="180" t="str">
        <f ca="1"/>
        <v/>
      </c>
      <c r="AC188" s="180" t="str">
        <f ca="1"/>
        <v/>
      </c>
      <c r="AD188" s="180" t="str">
        <f ca="1"/>
        <v/>
      </c>
      <c r="AE188" s="180" t="str">
        <f ca="1"/>
        <v/>
      </c>
      <c r="AF188" s="180" t="str">
        <f ca="1"/>
        <v/>
      </c>
      <c r="AG188" s="180" t="str">
        <f ca="1"/>
        <v/>
      </c>
      <c r="AH188" s="180" t="str">
        <f ca="1"/>
        <v/>
      </c>
      <c r="AI188" s="180" t="str">
        <f ca="1"/>
        <v/>
      </c>
      <c r="AJ188" s="180" t="str">
        <f ca="1"/>
        <v/>
      </c>
      <c r="AK188" s="180" t="str">
        <f ca="1"/>
        <v/>
      </c>
      <c r="AL188" s="180" t="str">
        <f ca="1"/>
        <v/>
      </c>
      <c r="AM188" s="180" t="str">
        <f ca="1"/>
        <v/>
      </c>
      <c r="AN188" s="180" t="str">
        <f ca="1"/>
        <v/>
      </c>
      <c r="AO188" s="180" t="str">
        <f ca="1"/>
        <v/>
      </c>
      <c r="AP188" s="180" t="str">
        <f ca="1"/>
        <v/>
      </c>
      <c r="AQ188" s="187" t="str">
        <f ca="1"/>
        <v/>
      </c>
    </row>
    <row r="189" spans="2:43" x14ac:dyDescent="0.25">
      <c r="B189" s="179" t="str">
        <f ca="1"/>
        <v/>
      </c>
      <c r="C189" s="180" t="str">
        <f ca="1"/>
        <v/>
      </c>
      <c r="D189" s="180" t="str">
        <f ca="1"/>
        <v/>
      </c>
      <c r="E189" s="180" t="str">
        <f ca="1"/>
        <v/>
      </c>
      <c r="F189" s="180" t="str">
        <f ca="1"/>
        <v/>
      </c>
      <c r="G189" s="180" t="str">
        <f ca="1"/>
        <v/>
      </c>
      <c r="H189" s="180" t="str">
        <f ca="1"/>
        <v/>
      </c>
      <c r="I189" s="180" t="str">
        <f ca="1"/>
        <v/>
      </c>
      <c r="J189" s="180" t="str">
        <f ca="1"/>
        <v/>
      </c>
      <c r="K189" s="180" t="str">
        <f ca="1"/>
        <v/>
      </c>
      <c r="L189" s="180" t="str">
        <f ca="1"/>
        <v/>
      </c>
      <c r="M189" s="180" t="str">
        <f ca="1"/>
        <v/>
      </c>
      <c r="N189" s="180" t="str">
        <f ca="1"/>
        <v/>
      </c>
      <c r="O189" s="180" t="str">
        <f ca="1"/>
        <v/>
      </c>
      <c r="P189" s="180" t="str">
        <f ca="1"/>
        <v/>
      </c>
      <c r="Q189" s="180" t="str">
        <f ca="1"/>
        <v/>
      </c>
      <c r="R189" s="180" t="str">
        <f ca="1"/>
        <v/>
      </c>
      <c r="S189" s="180" t="str">
        <f ca="1"/>
        <v/>
      </c>
      <c r="T189" s="180" t="str">
        <f ca="1"/>
        <v/>
      </c>
      <c r="U189" s="180" t="str">
        <f ca="1"/>
        <v/>
      </c>
      <c r="V189" s="180" t="str">
        <f ca="1"/>
        <v/>
      </c>
      <c r="W189" s="180" t="str">
        <f ca="1"/>
        <v/>
      </c>
      <c r="X189" s="180" t="str">
        <f ca="1"/>
        <v/>
      </c>
      <c r="Y189" s="180" t="str">
        <f ca="1"/>
        <v/>
      </c>
      <c r="Z189" s="180" t="str">
        <f ca="1"/>
        <v/>
      </c>
      <c r="AA189" s="180" t="str">
        <f ca="1"/>
        <v/>
      </c>
      <c r="AB189" s="180" t="str">
        <f ca="1"/>
        <v/>
      </c>
      <c r="AC189" s="180" t="str">
        <f ca="1"/>
        <v/>
      </c>
      <c r="AD189" s="180" t="str">
        <f ca="1"/>
        <v/>
      </c>
      <c r="AE189" s="180" t="str">
        <f ca="1"/>
        <v/>
      </c>
      <c r="AF189" s="180" t="str">
        <f ca="1"/>
        <v/>
      </c>
      <c r="AG189" s="180" t="str">
        <f ca="1"/>
        <v/>
      </c>
      <c r="AH189" s="180" t="str">
        <f ca="1"/>
        <v/>
      </c>
      <c r="AI189" s="180" t="str">
        <f ca="1"/>
        <v/>
      </c>
      <c r="AJ189" s="180" t="str">
        <f ca="1"/>
        <v/>
      </c>
      <c r="AK189" s="180" t="str">
        <f ca="1"/>
        <v/>
      </c>
      <c r="AL189" s="180" t="str">
        <f ca="1"/>
        <v/>
      </c>
      <c r="AM189" s="180" t="str">
        <f ca="1"/>
        <v/>
      </c>
      <c r="AN189" s="180" t="str">
        <f ca="1"/>
        <v/>
      </c>
      <c r="AO189" s="180" t="str">
        <f ca="1"/>
        <v/>
      </c>
      <c r="AP189" s="180" t="str">
        <f ca="1"/>
        <v/>
      </c>
      <c r="AQ189" s="187" t="str">
        <f ca="1"/>
        <v/>
      </c>
    </row>
    <row r="190" spans="2:43" x14ac:dyDescent="0.25">
      <c r="B190" s="179" t="str">
        <f ca="1"/>
        <v/>
      </c>
      <c r="C190" s="180" t="str">
        <f ca="1"/>
        <v/>
      </c>
      <c r="D190" s="180" t="str">
        <f ca="1"/>
        <v/>
      </c>
      <c r="E190" s="180" t="str">
        <f ca="1"/>
        <v/>
      </c>
      <c r="F190" s="180" t="str">
        <f ca="1"/>
        <v/>
      </c>
      <c r="G190" s="180" t="str">
        <f ca="1"/>
        <v/>
      </c>
      <c r="H190" s="180" t="str">
        <f ca="1"/>
        <v/>
      </c>
      <c r="I190" s="180" t="str">
        <f ca="1"/>
        <v/>
      </c>
      <c r="J190" s="180" t="str">
        <f ca="1"/>
        <v/>
      </c>
      <c r="K190" s="180" t="str">
        <f ca="1"/>
        <v/>
      </c>
      <c r="L190" s="180" t="str">
        <f ca="1"/>
        <v/>
      </c>
      <c r="M190" s="180" t="str">
        <f ca="1"/>
        <v/>
      </c>
      <c r="N190" s="180" t="str">
        <f ca="1"/>
        <v/>
      </c>
      <c r="O190" s="180" t="str">
        <f ca="1"/>
        <v/>
      </c>
      <c r="P190" s="180" t="str">
        <f ca="1"/>
        <v/>
      </c>
      <c r="Q190" s="180" t="str">
        <f ca="1"/>
        <v/>
      </c>
      <c r="R190" s="180" t="str">
        <f ca="1"/>
        <v/>
      </c>
      <c r="S190" s="180" t="str">
        <f ca="1"/>
        <v/>
      </c>
      <c r="T190" s="180" t="str">
        <f ca="1"/>
        <v/>
      </c>
      <c r="U190" s="180" t="str">
        <f ca="1"/>
        <v/>
      </c>
      <c r="V190" s="180" t="str">
        <f ca="1"/>
        <v/>
      </c>
      <c r="W190" s="180" t="str">
        <f ca="1"/>
        <v/>
      </c>
      <c r="X190" s="180" t="str">
        <f ca="1"/>
        <v/>
      </c>
      <c r="Y190" s="180" t="str">
        <f ca="1"/>
        <v/>
      </c>
      <c r="Z190" s="180" t="str">
        <f ca="1"/>
        <v/>
      </c>
      <c r="AA190" s="180" t="str">
        <f ca="1"/>
        <v/>
      </c>
      <c r="AB190" s="180" t="str">
        <f ca="1"/>
        <v/>
      </c>
      <c r="AC190" s="180" t="str">
        <f ca="1"/>
        <v/>
      </c>
      <c r="AD190" s="180" t="str">
        <f ca="1"/>
        <v/>
      </c>
      <c r="AE190" s="180" t="str">
        <f ca="1"/>
        <v/>
      </c>
      <c r="AF190" s="180" t="str">
        <f ca="1"/>
        <v/>
      </c>
      <c r="AG190" s="180" t="str">
        <f ca="1"/>
        <v/>
      </c>
      <c r="AH190" s="180" t="str">
        <f ca="1"/>
        <v/>
      </c>
      <c r="AI190" s="180" t="str">
        <f ca="1"/>
        <v/>
      </c>
      <c r="AJ190" s="180" t="str">
        <f ca="1"/>
        <v/>
      </c>
      <c r="AK190" s="180" t="str">
        <f ca="1"/>
        <v/>
      </c>
      <c r="AL190" s="180" t="str">
        <f ca="1"/>
        <v/>
      </c>
      <c r="AM190" s="180" t="str">
        <f ca="1"/>
        <v/>
      </c>
      <c r="AN190" s="180" t="str">
        <f ca="1"/>
        <v/>
      </c>
      <c r="AO190" s="180" t="str">
        <f ca="1"/>
        <v/>
      </c>
      <c r="AP190" s="180" t="str">
        <f ca="1"/>
        <v/>
      </c>
      <c r="AQ190" s="187" t="str">
        <f ca="1"/>
        <v/>
      </c>
    </row>
    <row r="191" spans="2:43" x14ac:dyDescent="0.25">
      <c r="B191" s="179" t="str">
        <f ca="1"/>
        <v/>
      </c>
      <c r="C191" s="180" t="str">
        <f ca="1"/>
        <v/>
      </c>
      <c r="D191" s="180" t="str">
        <f ca="1"/>
        <v/>
      </c>
      <c r="E191" s="180" t="str">
        <f ca="1"/>
        <v/>
      </c>
      <c r="F191" s="180" t="str">
        <f ca="1"/>
        <v/>
      </c>
      <c r="G191" s="180" t="str">
        <f ca="1"/>
        <v/>
      </c>
      <c r="H191" s="180" t="str">
        <f ca="1"/>
        <v/>
      </c>
      <c r="I191" s="180" t="str">
        <f ca="1"/>
        <v/>
      </c>
      <c r="J191" s="180" t="str">
        <f ca="1"/>
        <v/>
      </c>
      <c r="K191" s="180" t="str">
        <f ca="1"/>
        <v/>
      </c>
      <c r="L191" s="180" t="str">
        <f ca="1"/>
        <v/>
      </c>
      <c r="M191" s="180" t="str">
        <f ca="1"/>
        <v/>
      </c>
      <c r="N191" s="180" t="str">
        <f ca="1"/>
        <v/>
      </c>
      <c r="O191" s="180" t="str">
        <f ca="1"/>
        <v/>
      </c>
      <c r="P191" s="180" t="str">
        <f ca="1"/>
        <v/>
      </c>
      <c r="Q191" s="180" t="str">
        <f ca="1"/>
        <v/>
      </c>
      <c r="R191" s="180" t="str">
        <f ca="1"/>
        <v/>
      </c>
      <c r="S191" s="180" t="str">
        <f ca="1"/>
        <v/>
      </c>
      <c r="T191" s="180" t="str">
        <f ca="1"/>
        <v/>
      </c>
      <c r="U191" s="180" t="str">
        <f ca="1"/>
        <v/>
      </c>
      <c r="V191" s="180" t="str">
        <f ca="1"/>
        <v/>
      </c>
      <c r="W191" s="180" t="str">
        <f ca="1"/>
        <v/>
      </c>
      <c r="X191" s="180" t="str">
        <f ca="1"/>
        <v/>
      </c>
      <c r="Y191" s="180" t="str">
        <f ca="1"/>
        <v/>
      </c>
      <c r="Z191" s="180" t="str">
        <f ca="1"/>
        <v/>
      </c>
      <c r="AA191" s="180" t="str">
        <f ca="1"/>
        <v/>
      </c>
      <c r="AB191" s="180" t="str">
        <f ca="1"/>
        <v/>
      </c>
      <c r="AC191" s="180" t="str">
        <f ca="1"/>
        <v/>
      </c>
      <c r="AD191" s="180" t="str">
        <f ca="1"/>
        <v/>
      </c>
      <c r="AE191" s="180" t="str">
        <f ca="1"/>
        <v/>
      </c>
      <c r="AF191" s="180" t="str">
        <f ca="1"/>
        <v/>
      </c>
      <c r="AG191" s="180" t="str">
        <f ca="1"/>
        <v/>
      </c>
      <c r="AH191" s="180" t="str">
        <f ca="1"/>
        <v/>
      </c>
      <c r="AI191" s="180" t="str">
        <f ca="1"/>
        <v/>
      </c>
      <c r="AJ191" s="180" t="str">
        <f ca="1"/>
        <v/>
      </c>
      <c r="AK191" s="180" t="str">
        <f ca="1"/>
        <v/>
      </c>
      <c r="AL191" s="180" t="str">
        <f ca="1"/>
        <v/>
      </c>
      <c r="AM191" s="180" t="str">
        <f ca="1"/>
        <v/>
      </c>
      <c r="AN191" s="180" t="str">
        <f ca="1"/>
        <v/>
      </c>
      <c r="AO191" s="180" t="str">
        <f ca="1"/>
        <v/>
      </c>
      <c r="AP191" s="180" t="str">
        <f ca="1"/>
        <v/>
      </c>
      <c r="AQ191" s="187" t="str">
        <f ca="1"/>
        <v/>
      </c>
    </row>
    <row r="192" spans="2:43" x14ac:dyDescent="0.25">
      <c r="B192" s="179" t="str">
        <f ca="1"/>
        <v/>
      </c>
      <c r="C192" s="180" t="str">
        <f ca="1"/>
        <v/>
      </c>
      <c r="D192" s="180" t="str">
        <f ca="1"/>
        <v/>
      </c>
      <c r="E192" s="180" t="str">
        <f ca="1"/>
        <v/>
      </c>
      <c r="F192" s="180" t="str">
        <f ca="1"/>
        <v/>
      </c>
      <c r="G192" s="180" t="str">
        <f ca="1"/>
        <v/>
      </c>
      <c r="H192" s="180" t="str">
        <f ca="1"/>
        <v/>
      </c>
      <c r="I192" s="180" t="str">
        <f ca="1"/>
        <v/>
      </c>
      <c r="J192" s="180" t="str">
        <f ca="1"/>
        <v/>
      </c>
      <c r="K192" s="180" t="str">
        <f ca="1"/>
        <v/>
      </c>
      <c r="L192" s="180" t="str">
        <f ca="1"/>
        <v/>
      </c>
      <c r="M192" s="180" t="str">
        <f ca="1"/>
        <v/>
      </c>
      <c r="N192" s="180" t="str">
        <f ca="1"/>
        <v/>
      </c>
      <c r="O192" s="180" t="str">
        <f ca="1"/>
        <v/>
      </c>
      <c r="P192" s="180" t="str">
        <f ca="1"/>
        <v/>
      </c>
      <c r="Q192" s="180" t="str">
        <f ca="1"/>
        <v/>
      </c>
      <c r="R192" s="180" t="str">
        <f ca="1"/>
        <v/>
      </c>
      <c r="S192" s="180" t="str">
        <f ca="1"/>
        <v/>
      </c>
      <c r="T192" s="180" t="str">
        <f ca="1"/>
        <v/>
      </c>
      <c r="U192" s="180" t="str">
        <f ca="1"/>
        <v/>
      </c>
      <c r="V192" s="180" t="str">
        <f ca="1"/>
        <v/>
      </c>
      <c r="W192" s="180" t="str">
        <f ca="1"/>
        <v/>
      </c>
      <c r="X192" s="180" t="str">
        <f ca="1"/>
        <v/>
      </c>
      <c r="Y192" s="180" t="str">
        <f ca="1"/>
        <v/>
      </c>
      <c r="Z192" s="180" t="str">
        <f ca="1"/>
        <v/>
      </c>
      <c r="AA192" s="180" t="str">
        <f ca="1"/>
        <v/>
      </c>
      <c r="AB192" s="180" t="str">
        <f ca="1"/>
        <v/>
      </c>
      <c r="AC192" s="180" t="str">
        <f ca="1"/>
        <v/>
      </c>
      <c r="AD192" s="180" t="str">
        <f ca="1"/>
        <v/>
      </c>
      <c r="AE192" s="180" t="str">
        <f ca="1"/>
        <v/>
      </c>
      <c r="AF192" s="180" t="str">
        <f ca="1"/>
        <v/>
      </c>
      <c r="AG192" s="180" t="str">
        <f ca="1"/>
        <v/>
      </c>
      <c r="AH192" s="180" t="str">
        <f ca="1"/>
        <v/>
      </c>
      <c r="AI192" s="180" t="str">
        <f ca="1"/>
        <v/>
      </c>
      <c r="AJ192" s="180" t="str">
        <f ca="1"/>
        <v/>
      </c>
      <c r="AK192" s="180" t="str">
        <f ca="1"/>
        <v/>
      </c>
      <c r="AL192" s="180" t="str">
        <f ca="1"/>
        <v/>
      </c>
      <c r="AM192" s="180" t="str">
        <f ca="1"/>
        <v/>
      </c>
      <c r="AN192" s="180" t="str">
        <f ca="1"/>
        <v/>
      </c>
      <c r="AO192" s="180" t="str">
        <f ca="1"/>
        <v/>
      </c>
      <c r="AP192" s="180" t="str">
        <f ca="1"/>
        <v/>
      </c>
      <c r="AQ192" s="187" t="str">
        <f ca="1"/>
        <v/>
      </c>
    </row>
    <row r="193" spans="2:43" x14ac:dyDescent="0.25">
      <c r="B193" s="179" t="str">
        <f ca="1"/>
        <v/>
      </c>
      <c r="C193" s="180" t="str">
        <f ca="1"/>
        <v/>
      </c>
      <c r="D193" s="180" t="str">
        <f ca="1"/>
        <v/>
      </c>
      <c r="E193" s="180" t="str">
        <f ca="1"/>
        <v/>
      </c>
      <c r="F193" s="180" t="str">
        <f ca="1"/>
        <v/>
      </c>
      <c r="G193" s="180" t="str">
        <f ca="1"/>
        <v/>
      </c>
      <c r="H193" s="180" t="str">
        <f ca="1"/>
        <v/>
      </c>
      <c r="I193" s="180" t="str">
        <f ca="1"/>
        <v/>
      </c>
      <c r="J193" s="180" t="str">
        <f ca="1"/>
        <v/>
      </c>
      <c r="K193" s="180" t="str">
        <f ca="1"/>
        <v/>
      </c>
      <c r="L193" s="180" t="str">
        <f ca="1"/>
        <v/>
      </c>
      <c r="M193" s="180" t="str">
        <f ca="1"/>
        <v/>
      </c>
      <c r="N193" s="180" t="str">
        <f ca="1"/>
        <v/>
      </c>
      <c r="O193" s="180" t="str">
        <f ca="1"/>
        <v/>
      </c>
      <c r="P193" s="180" t="str">
        <f ca="1"/>
        <v/>
      </c>
      <c r="Q193" s="180" t="str">
        <f ca="1"/>
        <v/>
      </c>
      <c r="R193" s="180" t="str">
        <f ca="1"/>
        <v/>
      </c>
      <c r="S193" s="180" t="str">
        <f ca="1"/>
        <v/>
      </c>
      <c r="T193" s="180" t="str">
        <f ca="1"/>
        <v/>
      </c>
      <c r="U193" s="180" t="str">
        <f ca="1"/>
        <v/>
      </c>
      <c r="V193" s="180" t="str">
        <f ca="1"/>
        <v/>
      </c>
      <c r="W193" s="180" t="str">
        <f ca="1"/>
        <v/>
      </c>
      <c r="X193" s="180" t="str">
        <f ca="1"/>
        <v/>
      </c>
      <c r="Y193" s="180" t="str">
        <f ca="1"/>
        <v/>
      </c>
      <c r="Z193" s="180" t="str">
        <f ca="1"/>
        <v/>
      </c>
      <c r="AA193" s="180" t="str">
        <f ca="1"/>
        <v/>
      </c>
      <c r="AB193" s="180" t="str">
        <f ca="1"/>
        <v/>
      </c>
      <c r="AC193" s="180" t="str">
        <f ca="1"/>
        <v/>
      </c>
      <c r="AD193" s="180" t="str">
        <f ca="1"/>
        <v/>
      </c>
      <c r="AE193" s="180" t="str">
        <f ca="1"/>
        <v/>
      </c>
      <c r="AF193" s="180" t="str">
        <f ca="1"/>
        <v/>
      </c>
      <c r="AG193" s="180" t="str">
        <f ca="1"/>
        <v/>
      </c>
      <c r="AH193" s="180" t="str">
        <f ca="1"/>
        <v/>
      </c>
      <c r="AI193" s="180" t="str">
        <f ca="1"/>
        <v/>
      </c>
      <c r="AJ193" s="180" t="str">
        <f ca="1"/>
        <v/>
      </c>
      <c r="AK193" s="180" t="str">
        <f ca="1"/>
        <v/>
      </c>
      <c r="AL193" s="180" t="str">
        <f ca="1"/>
        <v/>
      </c>
      <c r="AM193" s="180" t="str">
        <f ca="1"/>
        <v/>
      </c>
      <c r="AN193" s="180" t="str">
        <f ca="1"/>
        <v/>
      </c>
      <c r="AO193" s="180" t="str">
        <f ca="1"/>
        <v/>
      </c>
      <c r="AP193" s="180" t="str">
        <f ca="1"/>
        <v/>
      </c>
      <c r="AQ193" s="187" t="str">
        <f ca="1"/>
        <v/>
      </c>
    </row>
    <row r="194" spans="2:43" x14ac:dyDescent="0.25">
      <c r="B194" s="179" t="str">
        <f ca="1"/>
        <v/>
      </c>
      <c r="C194" s="180" t="str">
        <f ca="1"/>
        <v/>
      </c>
      <c r="D194" s="180" t="str">
        <f ca="1"/>
        <v/>
      </c>
      <c r="E194" s="180" t="str">
        <f ca="1"/>
        <v/>
      </c>
      <c r="F194" s="180" t="str">
        <f ca="1"/>
        <v/>
      </c>
      <c r="G194" s="180" t="str">
        <f ca="1"/>
        <v/>
      </c>
      <c r="H194" s="180" t="str">
        <f ca="1"/>
        <v/>
      </c>
      <c r="I194" s="180" t="str">
        <f ca="1"/>
        <v/>
      </c>
      <c r="J194" s="180" t="str">
        <f ca="1"/>
        <v/>
      </c>
      <c r="K194" s="180" t="str">
        <f ca="1"/>
        <v/>
      </c>
      <c r="L194" s="180" t="str">
        <f ca="1"/>
        <v/>
      </c>
      <c r="M194" s="180" t="str">
        <f ca="1"/>
        <v/>
      </c>
      <c r="N194" s="180" t="str">
        <f ca="1"/>
        <v/>
      </c>
      <c r="O194" s="180" t="str">
        <f ca="1"/>
        <v/>
      </c>
      <c r="P194" s="180" t="str">
        <f ca="1"/>
        <v/>
      </c>
      <c r="Q194" s="180" t="str">
        <f ca="1"/>
        <v/>
      </c>
      <c r="R194" s="180" t="str">
        <f ca="1"/>
        <v/>
      </c>
      <c r="S194" s="180" t="str">
        <f ca="1"/>
        <v/>
      </c>
      <c r="T194" s="180" t="str">
        <f ca="1"/>
        <v/>
      </c>
      <c r="U194" s="180" t="str">
        <f ca="1"/>
        <v/>
      </c>
      <c r="V194" s="180" t="str">
        <f ca="1"/>
        <v/>
      </c>
      <c r="W194" s="180" t="str">
        <f ca="1"/>
        <v/>
      </c>
      <c r="X194" s="180" t="str">
        <f ca="1"/>
        <v/>
      </c>
      <c r="Y194" s="180" t="str">
        <f ca="1"/>
        <v/>
      </c>
      <c r="Z194" s="180" t="str">
        <f ca="1"/>
        <v/>
      </c>
      <c r="AA194" s="180" t="str">
        <f ca="1"/>
        <v/>
      </c>
      <c r="AB194" s="180" t="str">
        <f ca="1"/>
        <v/>
      </c>
      <c r="AC194" s="180" t="str">
        <f ca="1"/>
        <v/>
      </c>
      <c r="AD194" s="180" t="str">
        <f ca="1"/>
        <v/>
      </c>
      <c r="AE194" s="180" t="str">
        <f ca="1"/>
        <v/>
      </c>
      <c r="AF194" s="180" t="str">
        <f ca="1"/>
        <v/>
      </c>
      <c r="AG194" s="180" t="str">
        <f ca="1"/>
        <v/>
      </c>
      <c r="AH194" s="180" t="str">
        <f ca="1"/>
        <v/>
      </c>
      <c r="AI194" s="180" t="str">
        <f ca="1"/>
        <v/>
      </c>
      <c r="AJ194" s="180" t="str">
        <f ca="1"/>
        <v/>
      </c>
      <c r="AK194" s="180" t="str">
        <f ca="1"/>
        <v/>
      </c>
      <c r="AL194" s="180" t="str">
        <f ca="1"/>
        <v/>
      </c>
      <c r="AM194" s="180" t="str">
        <f ca="1"/>
        <v/>
      </c>
      <c r="AN194" s="180" t="str">
        <f ca="1"/>
        <v/>
      </c>
      <c r="AO194" s="180" t="str">
        <f ca="1"/>
        <v/>
      </c>
      <c r="AP194" s="180" t="str">
        <f ca="1"/>
        <v/>
      </c>
      <c r="AQ194" s="187" t="str">
        <f ca="1"/>
        <v/>
      </c>
    </row>
    <row r="195" spans="2:43" x14ac:dyDescent="0.25">
      <c r="B195" s="179" t="str">
        <f ca="1"/>
        <v/>
      </c>
      <c r="C195" s="180" t="str">
        <f ca="1"/>
        <v/>
      </c>
      <c r="D195" s="180" t="str">
        <f ca="1"/>
        <v/>
      </c>
      <c r="E195" s="180" t="str">
        <f ca="1"/>
        <v/>
      </c>
      <c r="F195" s="180" t="str">
        <f ca="1"/>
        <v/>
      </c>
      <c r="G195" s="180" t="str">
        <f ca="1"/>
        <v/>
      </c>
      <c r="H195" s="180" t="str">
        <f ca="1"/>
        <v/>
      </c>
      <c r="I195" s="180" t="str">
        <f ca="1"/>
        <v/>
      </c>
      <c r="J195" s="180" t="str">
        <f ca="1"/>
        <v/>
      </c>
      <c r="K195" s="180" t="str">
        <f ca="1"/>
        <v/>
      </c>
      <c r="L195" s="180" t="str">
        <f ca="1"/>
        <v/>
      </c>
      <c r="M195" s="180" t="str">
        <f ca="1"/>
        <v/>
      </c>
      <c r="N195" s="180" t="str">
        <f ca="1"/>
        <v/>
      </c>
      <c r="O195" s="180" t="str">
        <f ca="1"/>
        <v/>
      </c>
      <c r="P195" s="180" t="str">
        <f ca="1"/>
        <v/>
      </c>
      <c r="Q195" s="180" t="str">
        <f ca="1"/>
        <v/>
      </c>
      <c r="R195" s="180" t="str">
        <f ca="1"/>
        <v/>
      </c>
      <c r="S195" s="180" t="str">
        <f ca="1"/>
        <v/>
      </c>
      <c r="T195" s="180" t="str">
        <f ca="1"/>
        <v/>
      </c>
      <c r="U195" s="180" t="str">
        <f ca="1"/>
        <v/>
      </c>
      <c r="V195" s="180" t="str">
        <f ca="1"/>
        <v/>
      </c>
      <c r="W195" s="180" t="str">
        <f ca="1"/>
        <v/>
      </c>
      <c r="X195" s="180" t="str">
        <f ca="1"/>
        <v/>
      </c>
      <c r="Y195" s="180" t="str">
        <f ca="1"/>
        <v/>
      </c>
      <c r="Z195" s="180" t="str">
        <f ca="1"/>
        <v/>
      </c>
      <c r="AA195" s="180" t="str">
        <f ca="1"/>
        <v/>
      </c>
      <c r="AB195" s="180" t="str">
        <f ca="1"/>
        <v/>
      </c>
      <c r="AC195" s="180" t="str">
        <f ca="1"/>
        <v/>
      </c>
      <c r="AD195" s="180" t="str">
        <f ca="1"/>
        <v/>
      </c>
      <c r="AE195" s="180" t="str">
        <f ca="1"/>
        <v/>
      </c>
      <c r="AF195" s="180" t="str">
        <f ca="1"/>
        <v/>
      </c>
      <c r="AG195" s="180" t="str">
        <f ca="1"/>
        <v/>
      </c>
      <c r="AH195" s="180" t="str">
        <f ca="1"/>
        <v/>
      </c>
      <c r="AI195" s="180" t="str">
        <f ca="1"/>
        <v/>
      </c>
      <c r="AJ195" s="180" t="str">
        <f ca="1"/>
        <v/>
      </c>
      <c r="AK195" s="180" t="str">
        <f ca="1"/>
        <v/>
      </c>
      <c r="AL195" s="180" t="str">
        <f ca="1"/>
        <v/>
      </c>
      <c r="AM195" s="180" t="str">
        <f ca="1"/>
        <v/>
      </c>
      <c r="AN195" s="180" t="str">
        <f ca="1"/>
        <v/>
      </c>
      <c r="AO195" s="180" t="str">
        <f ca="1"/>
        <v/>
      </c>
      <c r="AP195" s="180" t="str">
        <f ca="1"/>
        <v/>
      </c>
      <c r="AQ195" s="187" t="str">
        <f ca="1"/>
        <v/>
      </c>
    </row>
    <row r="196" spans="2:43" x14ac:dyDescent="0.25">
      <c r="B196" s="179" t="str">
        <f ca="1"/>
        <v/>
      </c>
      <c r="C196" s="180" t="str">
        <f ca="1"/>
        <v/>
      </c>
      <c r="D196" s="180" t="str">
        <f ca="1"/>
        <v/>
      </c>
      <c r="E196" s="180" t="str">
        <f ca="1"/>
        <v/>
      </c>
      <c r="F196" s="180" t="str">
        <f ca="1"/>
        <v/>
      </c>
      <c r="G196" s="180" t="str">
        <f ca="1"/>
        <v/>
      </c>
      <c r="H196" s="180" t="str">
        <f ca="1"/>
        <v/>
      </c>
      <c r="I196" s="180" t="str">
        <f ca="1"/>
        <v/>
      </c>
      <c r="J196" s="180" t="str">
        <f ca="1"/>
        <v/>
      </c>
      <c r="K196" s="180" t="str">
        <f ca="1"/>
        <v/>
      </c>
      <c r="L196" s="180" t="str">
        <f ca="1"/>
        <v/>
      </c>
      <c r="M196" s="180" t="str">
        <f ca="1"/>
        <v/>
      </c>
      <c r="N196" s="180" t="str">
        <f ca="1"/>
        <v/>
      </c>
      <c r="O196" s="180" t="str">
        <f ca="1"/>
        <v/>
      </c>
      <c r="P196" s="180" t="str">
        <f ca="1"/>
        <v/>
      </c>
      <c r="Q196" s="180" t="str">
        <f ca="1"/>
        <v/>
      </c>
      <c r="R196" s="180" t="str">
        <f ca="1"/>
        <v/>
      </c>
      <c r="S196" s="180" t="str">
        <f ca="1"/>
        <v/>
      </c>
      <c r="T196" s="180" t="str">
        <f ca="1"/>
        <v/>
      </c>
      <c r="U196" s="180" t="str">
        <f ca="1"/>
        <v/>
      </c>
      <c r="V196" s="180" t="str">
        <f ca="1"/>
        <v/>
      </c>
      <c r="W196" s="180" t="str">
        <f ca="1"/>
        <v/>
      </c>
      <c r="X196" s="180" t="str">
        <f ca="1"/>
        <v/>
      </c>
      <c r="Y196" s="180" t="str">
        <f ca="1"/>
        <v/>
      </c>
      <c r="Z196" s="180" t="str">
        <f ca="1"/>
        <v/>
      </c>
      <c r="AA196" s="180" t="str">
        <f ca="1"/>
        <v/>
      </c>
      <c r="AB196" s="180" t="str">
        <f ca="1"/>
        <v/>
      </c>
      <c r="AC196" s="180" t="str">
        <f ca="1"/>
        <v/>
      </c>
      <c r="AD196" s="180" t="str">
        <f ca="1"/>
        <v/>
      </c>
      <c r="AE196" s="180" t="str">
        <f ca="1"/>
        <v/>
      </c>
      <c r="AF196" s="180" t="str">
        <f ca="1"/>
        <v/>
      </c>
      <c r="AG196" s="180" t="str">
        <f ca="1"/>
        <v/>
      </c>
      <c r="AH196" s="180" t="str">
        <f ca="1"/>
        <v/>
      </c>
      <c r="AI196" s="180" t="str">
        <f ca="1"/>
        <v/>
      </c>
      <c r="AJ196" s="180" t="str">
        <f ca="1"/>
        <v/>
      </c>
      <c r="AK196" s="180" t="str">
        <f ca="1"/>
        <v/>
      </c>
      <c r="AL196" s="180" t="str">
        <f ca="1"/>
        <v/>
      </c>
      <c r="AM196" s="180" t="str">
        <f ca="1"/>
        <v/>
      </c>
      <c r="AN196" s="180" t="str">
        <f ca="1"/>
        <v/>
      </c>
      <c r="AO196" s="180" t="str">
        <f ca="1"/>
        <v/>
      </c>
      <c r="AP196" s="180" t="str">
        <f ca="1"/>
        <v/>
      </c>
      <c r="AQ196" s="187" t="str">
        <f ca="1"/>
        <v/>
      </c>
    </row>
    <row r="197" spans="2:43" x14ac:dyDescent="0.25">
      <c r="B197" s="179" t="str">
        <f ca="1"/>
        <v/>
      </c>
      <c r="C197" s="180" t="str">
        <f ca="1"/>
        <v/>
      </c>
      <c r="D197" s="180" t="str">
        <f ca="1"/>
        <v/>
      </c>
      <c r="E197" s="180" t="str">
        <f ca="1"/>
        <v/>
      </c>
      <c r="F197" s="180" t="str">
        <f ca="1"/>
        <v/>
      </c>
      <c r="G197" s="180" t="str">
        <f ca="1"/>
        <v/>
      </c>
      <c r="H197" s="180" t="str">
        <f ca="1"/>
        <v/>
      </c>
      <c r="I197" s="180" t="str">
        <f ca="1"/>
        <v/>
      </c>
      <c r="J197" s="180" t="str">
        <f ca="1"/>
        <v/>
      </c>
      <c r="K197" s="180" t="str">
        <f ca="1"/>
        <v/>
      </c>
      <c r="L197" s="180" t="str">
        <f ca="1"/>
        <v/>
      </c>
      <c r="M197" s="180" t="str">
        <f ca="1"/>
        <v/>
      </c>
      <c r="N197" s="180" t="str">
        <f ca="1"/>
        <v/>
      </c>
      <c r="O197" s="180" t="str">
        <f ca="1"/>
        <v/>
      </c>
      <c r="P197" s="180" t="str">
        <f ca="1"/>
        <v/>
      </c>
      <c r="Q197" s="180" t="str">
        <f ca="1"/>
        <v/>
      </c>
      <c r="R197" s="180" t="str">
        <f ca="1"/>
        <v/>
      </c>
      <c r="S197" s="180" t="str">
        <f ca="1"/>
        <v/>
      </c>
      <c r="T197" s="180" t="str">
        <f ca="1"/>
        <v/>
      </c>
      <c r="U197" s="180" t="str">
        <f ca="1"/>
        <v/>
      </c>
      <c r="V197" s="180" t="str">
        <f ca="1"/>
        <v/>
      </c>
      <c r="W197" s="180" t="str">
        <f ca="1"/>
        <v/>
      </c>
      <c r="X197" s="180" t="str">
        <f ca="1"/>
        <v/>
      </c>
      <c r="Y197" s="180" t="str">
        <f ca="1"/>
        <v/>
      </c>
      <c r="Z197" s="180" t="str">
        <f ca="1"/>
        <v/>
      </c>
      <c r="AA197" s="180" t="str">
        <f ca="1"/>
        <v/>
      </c>
      <c r="AB197" s="180" t="str">
        <f ca="1"/>
        <v/>
      </c>
      <c r="AC197" s="180" t="str">
        <f ca="1"/>
        <v/>
      </c>
      <c r="AD197" s="180" t="str">
        <f ca="1"/>
        <v/>
      </c>
      <c r="AE197" s="180" t="str">
        <f ca="1"/>
        <v/>
      </c>
      <c r="AF197" s="180" t="str">
        <f ca="1"/>
        <v/>
      </c>
      <c r="AG197" s="180" t="str">
        <f ca="1"/>
        <v/>
      </c>
      <c r="AH197" s="180" t="str">
        <f ca="1"/>
        <v/>
      </c>
      <c r="AI197" s="180" t="str">
        <f ca="1"/>
        <v/>
      </c>
      <c r="AJ197" s="180" t="str">
        <f ca="1"/>
        <v/>
      </c>
      <c r="AK197" s="180" t="str">
        <f ca="1"/>
        <v/>
      </c>
      <c r="AL197" s="180" t="str">
        <f ca="1"/>
        <v/>
      </c>
      <c r="AM197" s="180" t="str">
        <f ca="1"/>
        <v/>
      </c>
      <c r="AN197" s="180" t="str">
        <f ca="1"/>
        <v/>
      </c>
      <c r="AO197" s="180" t="str">
        <f ca="1"/>
        <v/>
      </c>
      <c r="AP197" s="180" t="str">
        <f ca="1"/>
        <v/>
      </c>
      <c r="AQ197" s="187" t="str">
        <f ca="1"/>
        <v/>
      </c>
    </row>
    <row r="198" spans="2:43" x14ac:dyDescent="0.25">
      <c r="B198" s="179" t="str">
        <f ca="1"/>
        <v/>
      </c>
      <c r="C198" s="180" t="str">
        <f ca="1"/>
        <v/>
      </c>
      <c r="D198" s="180" t="str">
        <f ca="1"/>
        <v/>
      </c>
      <c r="E198" s="180" t="str">
        <f ca="1"/>
        <v/>
      </c>
      <c r="F198" s="180" t="str">
        <f ca="1"/>
        <v/>
      </c>
      <c r="G198" s="180" t="str">
        <f ca="1"/>
        <v/>
      </c>
      <c r="H198" s="180" t="str">
        <f ca="1"/>
        <v/>
      </c>
      <c r="I198" s="180" t="str">
        <f ca="1"/>
        <v/>
      </c>
      <c r="J198" s="180" t="str">
        <f ca="1"/>
        <v/>
      </c>
      <c r="K198" s="180" t="str">
        <f ca="1"/>
        <v/>
      </c>
      <c r="L198" s="180" t="str">
        <f ca="1"/>
        <v/>
      </c>
      <c r="M198" s="180" t="str">
        <f ca="1"/>
        <v/>
      </c>
      <c r="N198" s="180" t="str">
        <f ca="1"/>
        <v/>
      </c>
      <c r="O198" s="180" t="str">
        <f ca="1"/>
        <v/>
      </c>
      <c r="P198" s="180" t="str">
        <f ca="1"/>
        <v/>
      </c>
      <c r="Q198" s="180" t="str">
        <f ca="1"/>
        <v/>
      </c>
      <c r="R198" s="180" t="str">
        <f ca="1"/>
        <v/>
      </c>
      <c r="S198" s="180" t="str">
        <f ca="1"/>
        <v/>
      </c>
      <c r="T198" s="180" t="str">
        <f ca="1"/>
        <v/>
      </c>
      <c r="U198" s="180" t="str">
        <f ca="1"/>
        <v/>
      </c>
      <c r="V198" s="180" t="str">
        <f ca="1"/>
        <v/>
      </c>
      <c r="W198" s="180" t="str">
        <f ca="1"/>
        <v/>
      </c>
      <c r="X198" s="180" t="str">
        <f ca="1"/>
        <v/>
      </c>
      <c r="Y198" s="180" t="str">
        <f ca="1"/>
        <v/>
      </c>
      <c r="Z198" s="180" t="str">
        <f ca="1"/>
        <v/>
      </c>
      <c r="AA198" s="180" t="str">
        <f ca="1"/>
        <v/>
      </c>
      <c r="AB198" s="180" t="str">
        <f ca="1"/>
        <v/>
      </c>
      <c r="AC198" s="180" t="str">
        <f ca="1"/>
        <v/>
      </c>
      <c r="AD198" s="180" t="str">
        <f ca="1"/>
        <v/>
      </c>
      <c r="AE198" s="180" t="str">
        <f ca="1"/>
        <v/>
      </c>
      <c r="AF198" s="180" t="str">
        <f ca="1"/>
        <v/>
      </c>
      <c r="AG198" s="180" t="str">
        <f ca="1"/>
        <v/>
      </c>
      <c r="AH198" s="180" t="str">
        <f ca="1"/>
        <v/>
      </c>
      <c r="AI198" s="180" t="str">
        <f ca="1"/>
        <v/>
      </c>
      <c r="AJ198" s="180" t="str">
        <f ca="1"/>
        <v/>
      </c>
      <c r="AK198" s="180" t="str">
        <f ca="1"/>
        <v/>
      </c>
      <c r="AL198" s="180" t="str">
        <f ca="1"/>
        <v/>
      </c>
      <c r="AM198" s="180" t="str">
        <f ca="1"/>
        <v/>
      </c>
      <c r="AN198" s="180" t="str">
        <f ca="1"/>
        <v/>
      </c>
      <c r="AO198" s="180" t="str">
        <f ca="1"/>
        <v/>
      </c>
      <c r="AP198" s="180" t="str">
        <f ca="1"/>
        <v/>
      </c>
      <c r="AQ198" s="187" t="str">
        <f ca="1"/>
        <v/>
      </c>
    </row>
    <row r="199" spans="2:43" x14ac:dyDescent="0.25">
      <c r="B199" s="179" t="str">
        <f ca="1"/>
        <v/>
      </c>
      <c r="C199" s="180" t="str">
        <f ca="1"/>
        <v/>
      </c>
      <c r="D199" s="180" t="str">
        <f ca="1"/>
        <v/>
      </c>
      <c r="E199" s="180" t="str">
        <f ca="1"/>
        <v/>
      </c>
      <c r="F199" s="180" t="str">
        <f ca="1"/>
        <v/>
      </c>
      <c r="G199" s="180" t="str">
        <f ca="1"/>
        <v/>
      </c>
      <c r="H199" s="180" t="str">
        <f ca="1"/>
        <v/>
      </c>
      <c r="I199" s="180" t="str">
        <f ca="1"/>
        <v/>
      </c>
      <c r="J199" s="180" t="str">
        <f ca="1"/>
        <v/>
      </c>
      <c r="K199" s="180" t="str">
        <f ca="1"/>
        <v/>
      </c>
      <c r="L199" s="180" t="str">
        <f ca="1"/>
        <v/>
      </c>
      <c r="M199" s="180" t="str">
        <f ca="1"/>
        <v/>
      </c>
      <c r="N199" s="180" t="str">
        <f ca="1"/>
        <v/>
      </c>
      <c r="O199" s="180" t="str">
        <f ca="1"/>
        <v/>
      </c>
      <c r="P199" s="180" t="str">
        <f ca="1"/>
        <v/>
      </c>
      <c r="Q199" s="180" t="str">
        <f ca="1"/>
        <v/>
      </c>
      <c r="R199" s="180" t="str">
        <f ca="1"/>
        <v/>
      </c>
      <c r="S199" s="180" t="str">
        <f ca="1"/>
        <v/>
      </c>
      <c r="T199" s="180" t="str">
        <f ca="1"/>
        <v/>
      </c>
      <c r="U199" s="180" t="str">
        <f ca="1"/>
        <v/>
      </c>
      <c r="V199" s="180" t="str">
        <f ca="1"/>
        <v/>
      </c>
      <c r="W199" s="180" t="str">
        <f ca="1"/>
        <v/>
      </c>
      <c r="X199" s="180" t="str">
        <f ca="1"/>
        <v/>
      </c>
      <c r="Y199" s="180" t="str">
        <f ca="1"/>
        <v/>
      </c>
      <c r="Z199" s="180" t="str">
        <f ca="1"/>
        <v/>
      </c>
      <c r="AA199" s="180" t="str">
        <f ca="1"/>
        <v/>
      </c>
      <c r="AB199" s="180" t="str">
        <f ca="1"/>
        <v/>
      </c>
      <c r="AC199" s="180" t="str">
        <f ca="1"/>
        <v/>
      </c>
      <c r="AD199" s="180" t="str">
        <f ca="1"/>
        <v/>
      </c>
      <c r="AE199" s="180" t="str">
        <f ca="1"/>
        <v/>
      </c>
      <c r="AF199" s="180" t="str">
        <f ca="1"/>
        <v/>
      </c>
      <c r="AG199" s="180" t="str">
        <f ca="1"/>
        <v/>
      </c>
      <c r="AH199" s="180" t="str">
        <f ca="1"/>
        <v/>
      </c>
      <c r="AI199" s="180" t="str">
        <f ca="1"/>
        <v/>
      </c>
      <c r="AJ199" s="180" t="str">
        <f ca="1"/>
        <v/>
      </c>
      <c r="AK199" s="180" t="str">
        <f ca="1"/>
        <v/>
      </c>
      <c r="AL199" s="180" t="str">
        <f ca="1"/>
        <v/>
      </c>
      <c r="AM199" s="180" t="str">
        <f ca="1"/>
        <v/>
      </c>
      <c r="AN199" s="180" t="str">
        <f ca="1"/>
        <v/>
      </c>
      <c r="AO199" s="180" t="str">
        <f ca="1"/>
        <v/>
      </c>
      <c r="AP199" s="180" t="str">
        <f ca="1"/>
        <v/>
      </c>
      <c r="AQ199" s="187" t="str">
        <f ca="1"/>
        <v/>
      </c>
    </row>
    <row r="200" spans="2:43" x14ac:dyDescent="0.25">
      <c r="B200" s="179" t="str">
        <f ca="1"/>
        <v/>
      </c>
      <c r="C200" s="180" t="str">
        <f ca="1"/>
        <v/>
      </c>
      <c r="D200" s="180" t="str">
        <f ca="1"/>
        <v/>
      </c>
      <c r="E200" s="180" t="str">
        <f ca="1"/>
        <v/>
      </c>
      <c r="F200" s="180" t="str">
        <f ca="1"/>
        <v/>
      </c>
      <c r="G200" s="180" t="str">
        <f ca="1"/>
        <v/>
      </c>
      <c r="H200" s="180" t="str">
        <f ca="1"/>
        <v/>
      </c>
      <c r="I200" s="180" t="str">
        <f ca="1"/>
        <v/>
      </c>
      <c r="J200" s="180" t="str">
        <f ca="1"/>
        <v/>
      </c>
      <c r="K200" s="180" t="str">
        <f ca="1"/>
        <v/>
      </c>
      <c r="L200" s="180" t="str">
        <f ca="1"/>
        <v/>
      </c>
      <c r="M200" s="180" t="str">
        <f ca="1"/>
        <v/>
      </c>
      <c r="N200" s="180" t="str">
        <f ca="1"/>
        <v/>
      </c>
      <c r="O200" s="180" t="str">
        <f ca="1"/>
        <v/>
      </c>
      <c r="P200" s="180" t="str">
        <f ca="1"/>
        <v/>
      </c>
      <c r="Q200" s="180" t="str">
        <f ca="1"/>
        <v/>
      </c>
      <c r="R200" s="180" t="str">
        <f ca="1"/>
        <v/>
      </c>
      <c r="S200" s="180" t="str">
        <f ca="1"/>
        <v/>
      </c>
      <c r="T200" s="180" t="str">
        <f ca="1"/>
        <v/>
      </c>
      <c r="U200" s="180" t="str">
        <f ca="1"/>
        <v/>
      </c>
      <c r="V200" s="180" t="str">
        <f ca="1"/>
        <v/>
      </c>
      <c r="W200" s="180" t="str">
        <f ca="1"/>
        <v/>
      </c>
      <c r="X200" s="180" t="str">
        <f ca="1"/>
        <v/>
      </c>
      <c r="Y200" s="180" t="str">
        <f ca="1"/>
        <v/>
      </c>
      <c r="Z200" s="180" t="str">
        <f ca="1"/>
        <v/>
      </c>
      <c r="AA200" s="180" t="str">
        <f ca="1"/>
        <v/>
      </c>
      <c r="AB200" s="180" t="str">
        <f ca="1"/>
        <v/>
      </c>
      <c r="AC200" s="180" t="str">
        <f ca="1"/>
        <v/>
      </c>
      <c r="AD200" s="180" t="str">
        <f ca="1"/>
        <v/>
      </c>
      <c r="AE200" s="180" t="str">
        <f ca="1"/>
        <v/>
      </c>
      <c r="AF200" s="180" t="str">
        <f ca="1"/>
        <v/>
      </c>
      <c r="AG200" s="180" t="str">
        <f ca="1"/>
        <v/>
      </c>
      <c r="AH200" s="180" t="str">
        <f ca="1"/>
        <v/>
      </c>
      <c r="AI200" s="180" t="str">
        <f ca="1"/>
        <v/>
      </c>
      <c r="AJ200" s="180" t="str">
        <f ca="1"/>
        <v/>
      </c>
      <c r="AK200" s="180" t="str">
        <f ca="1"/>
        <v/>
      </c>
      <c r="AL200" s="180" t="str">
        <f ca="1"/>
        <v/>
      </c>
      <c r="AM200" s="180" t="str">
        <f ca="1"/>
        <v/>
      </c>
      <c r="AN200" s="180" t="str">
        <f ca="1"/>
        <v/>
      </c>
      <c r="AO200" s="180" t="str">
        <f ca="1"/>
        <v/>
      </c>
      <c r="AP200" s="180" t="str">
        <f ca="1"/>
        <v/>
      </c>
      <c r="AQ200" s="187" t="str">
        <f ca="1"/>
        <v/>
      </c>
    </row>
    <row r="201" spans="2:43" x14ac:dyDescent="0.25">
      <c r="B201" s="179" t="str">
        <f ca="1"/>
        <v/>
      </c>
      <c r="C201" s="180" t="str">
        <f ca="1"/>
        <v/>
      </c>
      <c r="D201" s="180" t="str">
        <f ca="1"/>
        <v/>
      </c>
      <c r="E201" s="180" t="str">
        <f ca="1"/>
        <v/>
      </c>
      <c r="F201" s="180" t="str">
        <f ca="1"/>
        <v/>
      </c>
      <c r="G201" s="180" t="str">
        <f ca="1"/>
        <v/>
      </c>
      <c r="H201" s="180" t="str">
        <f ca="1"/>
        <v/>
      </c>
      <c r="I201" s="180" t="str">
        <f ca="1"/>
        <v/>
      </c>
      <c r="J201" s="180" t="str">
        <f ca="1"/>
        <v/>
      </c>
      <c r="K201" s="180" t="str">
        <f ca="1"/>
        <v/>
      </c>
      <c r="L201" s="180" t="str">
        <f ca="1"/>
        <v/>
      </c>
      <c r="M201" s="180" t="str">
        <f ca="1"/>
        <v/>
      </c>
      <c r="N201" s="180" t="str">
        <f ca="1"/>
        <v/>
      </c>
      <c r="O201" s="180" t="str">
        <f ca="1"/>
        <v/>
      </c>
      <c r="P201" s="180" t="str">
        <f ca="1"/>
        <v/>
      </c>
      <c r="Q201" s="180" t="str">
        <f ca="1"/>
        <v/>
      </c>
      <c r="R201" s="180" t="str">
        <f ca="1"/>
        <v/>
      </c>
      <c r="S201" s="180" t="str">
        <f ca="1"/>
        <v/>
      </c>
      <c r="T201" s="180" t="str">
        <f ca="1"/>
        <v/>
      </c>
      <c r="U201" s="180" t="str">
        <f ca="1"/>
        <v/>
      </c>
      <c r="V201" s="180" t="str">
        <f ca="1"/>
        <v/>
      </c>
      <c r="W201" s="180" t="str">
        <f ca="1"/>
        <v/>
      </c>
      <c r="X201" s="180" t="str">
        <f ca="1"/>
        <v/>
      </c>
      <c r="Y201" s="180" t="str">
        <f ca="1"/>
        <v/>
      </c>
      <c r="Z201" s="180" t="str">
        <f ca="1"/>
        <v/>
      </c>
      <c r="AA201" s="180" t="str">
        <f ca="1"/>
        <v/>
      </c>
      <c r="AB201" s="180" t="str">
        <f ca="1"/>
        <v/>
      </c>
      <c r="AC201" s="180" t="str">
        <f ca="1"/>
        <v/>
      </c>
      <c r="AD201" s="180" t="str">
        <f ca="1"/>
        <v/>
      </c>
      <c r="AE201" s="180" t="str">
        <f ca="1"/>
        <v/>
      </c>
      <c r="AF201" s="180" t="str">
        <f ca="1"/>
        <v/>
      </c>
      <c r="AG201" s="180" t="str">
        <f ca="1"/>
        <v/>
      </c>
      <c r="AH201" s="180" t="str">
        <f ca="1"/>
        <v/>
      </c>
      <c r="AI201" s="180" t="str">
        <f ca="1"/>
        <v/>
      </c>
      <c r="AJ201" s="180" t="str">
        <f ca="1"/>
        <v/>
      </c>
      <c r="AK201" s="180" t="str">
        <f ca="1"/>
        <v/>
      </c>
      <c r="AL201" s="180" t="str">
        <f ca="1"/>
        <v/>
      </c>
      <c r="AM201" s="180" t="str">
        <f ca="1"/>
        <v/>
      </c>
      <c r="AN201" s="180" t="str">
        <f ca="1"/>
        <v/>
      </c>
      <c r="AO201" s="180" t="str">
        <f ca="1"/>
        <v/>
      </c>
      <c r="AP201" s="180" t="str">
        <f ca="1"/>
        <v/>
      </c>
      <c r="AQ201" s="187" t="str">
        <f ca="1"/>
        <v/>
      </c>
    </row>
    <row r="202" spans="2:43" x14ac:dyDescent="0.25">
      <c r="B202" s="179" t="str">
        <f ca="1"/>
        <v/>
      </c>
      <c r="C202" s="180" t="str">
        <f ca="1"/>
        <v/>
      </c>
      <c r="D202" s="180" t="str">
        <f ca="1"/>
        <v/>
      </c>
      <c r="E202" s="180" t="str">
        <f ca="1"/>
        <v/>
      </c>
      <c r="F202" s="180" t="str">
        <f ca="1"/>
        <v/>
      </c>
      <c r="G202" s="180" t="str">
        <f ca="1"/>
        <v/>
      </c>
      <c r="H202" s="180" t="str">
        <f ca="1"/>
        <v/>
      </c>
      <c r="I202" s="180" t="str">
        <f ca="1"/>
        <v/>
      </c>
      <c r="J202" s="180" t="str">
        <f ca="1"/>
        <v/>
      </c>
      <c r="K202" s="180" t="str">
        <f ca="1"/>
        <v/>
      </c>
      <c r="L202" s="180" t="str">
        <f ca="1"/>
        <v/>
      </c>
      <c r="M202" s="180" t="str">
        <f ca="1"/>
        <v/>
      </c>
      <c r="N202" s="180" t="str">
        <f ca="1"/>
        <v/>
      </c>
      <c r="O202" s="180" t="str">
        <f ca="1"/>
        <v/>
      </c>
      <c r="P202" s="180" t="str">
        <f ca="1"/>
        <v/>
      </c>
      <c r="Q202" s="180" t="str">
        <f ca="1"/>
        <v/>
      </c>
      <c r="R202" s="180" t="str">
        <f ca="1"/>
        <v/>
      </c>
      <c r="S202" s="180" t="str">
        <f ca="1"/>
        <v/>
      </c>
      <c r="T202" s="180" t="str">
        <f ca="1"/>
        <v/>
      </c>
      <c r="U202" s="180" t="str">
        <f ca="1"/>
        <v/>
      </c>
      <c r="V202" s="180" t="str">
        <f ca="1"/>
        <v/>
      </c>
      <c r="W202" s="180" t="str">
        <f ca="1"/>
        <v/>
      </c>
      <c r="X202" s="180" t="str">
        <f ca="1"/>
        <v/>
      </c>
      <c r="Y202" s="180" t="str">
        <f ca="1"/>
        <v/>
      </c>
      <c r="Z202" s="180" t="str">
        <f ca="1"/>
        <v/>
      </c>
      <c r="AA202" s="180" t="str">
        <f ca="1"/>
        <v/>
      </c>
      <c r="AB202" s="180" t="str">
        <f ca="1"/>
        <v/>
      </c>
      <c r="AC202" s="180" t="str">
        <f ca="1"/>
        <v/>
      </c>
      <c r="AD202" s="180" t="str">
        <f ca="1"/>
        <v/>
      </c>
      <c r="AE202" s="180" t="str">
        <f ca="1"/>
        <v/>
      </c>
      <c r="AF202" s="180" t="str">
        <f ca="1"/>
        <v/>
      </c>
      <c r="AG202" s="180" t="str">
        <f ca="1"/>
        <v/>
      </c>
      <c r="AH202" s="180" t="str">
        <f ca="1"/>
        <v/>
      </c>
      <c r="AI202" s="180" t="str">
        <f ca="1"/>
        <v/>
      </c>
      <c r="AJ202" s="180" t="str">
        <f ca="1"/>
        <v/>
      </c>
      <c r="AK202" s="180" t="str">
        <f ca="1"/>
        <v/>
      </c>
      <c r="AL202" s="180" t="str">
        <f ca="1"/>
        <v/>
      </c>
      <c r="AM202" s="180" t="str">
        <f ca="1"/>
        <v/>
      </c>
      <c r="AN202" s="180" t="str">
        <f ca="1"/>
        <v/>
      </c>
      <c r="AO202" s="180" t="str">
        <f ca="1"/>
        <v/>
      </c>
      <c r="AP202" s="180" t="str">
        <f ca="1"/>
        <v/>
      </c>
      <c r="AQ202" s="187" t="str">
        <f ca="1"/>
        <v/>
      </c>
    </row>
    <row r="203" spans="2:43" x14ac:dyDescent="0.25">
      <c r="B203" s="179" t="str">
        <f ca="1"/>
        <v/>
      </c>
      <c r="C203" s="180" t="str">
        <f ca="1"/>
        <v/>
      </c>
      <c r="D203" s="180" t="str">
        <f ca="1"/>
        <v/>
      </c>
      <c r="E203" s="180" t="str">
        <f ca="1"/>
        <v/>
      </c>
      <c r="F203" s="180" t="str">
        <f ca="1"/>
        <v/>
      </c>
      <c r="G203" s="180" t="str">
        <f ca="1"/>
        <v/>
      </c>
      <c r="H203" s="180" t="str">
        <f ca="1"/>
        <v/>
      </c>
      <c r="I203" s="180" t="str">
        <f ca="1"/>
        <v/>
      </c>
      <c r="J203" s="180" t="str">
        <f ca="1"/>
        <v/>
      </c>
      <c r="K203" s="180" t="str">
        <f ca="1"/>
        <v/>
      </c>
      <c r="L203" s="180" t="str">
        <f ca="1"/>
        <v/>
      </c>
      <c r="M203" s="180" t="str">
        <f ca="1"/>
        <v/>
      </c>
      <c r="N203" s="180" t="str">
        <f ca="1"/>
        <v/>
      </c>
      <c r="O203" s="180" t="str">
        <f ca="1"/>
        <v/>
      </c>
      <c r="P203" s="180" t="str">
        <f ca="1"/>
        <v/>
      </c>
      <c r="Q203" s="180" t="str">
        <f ca="1"/>
        <v/>
      </c>
      <c r="R203" s="180" t="str">
        <f ca="1"/>
        <v/>
      </c>
      <c r="S203" s="180" t="str">
        <f ca="1"/>
        <v/>
      </c>
      <c r="T203" s="180" t="str">
        <f ca="1"/>
        <v/>
      </c>
      <c r="U203" s="180" t="str">
        <f ca="1"/>
        <v/>
      </c>
      <c r="V203" s="180" t="str">
        <f ca="1"/>
        <v/>
      </c>
      <c r="W203" s="180" t="str">
        <f ca="1"/>
        <v/>
      </c>
      <c r="X203" s="180" t="str">
        <f ca="1"/>
        <v/>
      </c>
      <c r="Y203" s="180" t="str">
        <f ca="1"/>
        <v/>
      </c>
      <c r="Z203" s="180" t="str">
        <f ca="1"/>
        <v/>
      </c>
      <c r="AA203" s="180" t="str">
        <f ca="1"/>
        <v/>
      </c>
      <c r="AB203" s="180" t="str">
        <f ca="1"/>
        <v/>
      </c>
      <c r="AC203" s="180" t="str">
        <f ca="1"/>
        <v/>
      </c>
      <c r="AD203" s="180" t="str">
        <f ca="1"/>
        <v/>
      </c>
      <c r="AE203" s="180" t="str">
        <f ca="1"/>
        <v/>
      </c>
      <c r="AF203" s="180" t="str">
        <f ca="1"/>
        <v/>
      </c>
      <c r="AG203" s="180" t="str">
        <f ca="1"/>
        <v/>
      </c>
      <c r="AH203" s="180" t="str">
        <f ca="1"/>
        <v/>
      </c>
      <c r="AI203" s="180" t="str">
        <f ca="1"/>
        <v/>
      </c>
      <c r="AJ203" s="180" t="str">
        <f ca="1"/>
        <v/>
      </c>
      <c r="AK203" s="180" t="str">
        <f ca="1"/>
        <v/>
      </c>
      <c r="AL203" s="180" t="str">
        <f ca="1"/>
        <v/>
      </c>
      <c r="AM203" s="180" t="str">
        <f ca="1"/>
        <v/>
      </c>
      <c r="AN203" s="180" t="str">
        <f ca="1"/>
        <v/>
      </c>
      <c r="AO203" s="180" t="str">
        <f ca="1"/>
        <v/>
      </c>
      <c r="AP203" s="180" t="str">
        <f ca="1"/>
        <v/>
      </c>
      <c r="AQ203" s="187" t="str">
        <f ca="1"/>
        <v/>
      </c>
    </row>
    <row r="204" spans="2:43" x14ac:dyDescent="0.25">
      <c r="B204" s="179" t="str">
        <f ca="1"/>
        <v/>
      </c>
      <c r="C204" s="180" t="str">
        <f ca="1"/>
        <v/>
      </c>
      <c r="D204" s="180" t="str">
        <f ca="1"/>
        <v/>
      </c>
      <c r="E204" s="180" t="str">
        <f ca="1"/>
        <v/>
      </c>
      <c r="F204" s="180" t="str">
        <f ca="1"/>
        <v/>
      </c>
      <c r="G204" s="180" t="str">
        <f ca="1"/>
        <v/>
      </c>
      <c r="H204" s="180" t="str">
        <f ca="1"/>
        <v/>
      </c>
      <c r="I204" s="180" t="str">
        <f ca="1"/>
        <v/>
      </c>
      <c r="J204" s="180" t="str">
        <f ca="1"/>
        <v/>
      </c>
      <c r="K204" s="180" t="str">
        <f ca="1"/>
        <v/>
      </c>
      <c r="L204" s="180" t="str">
        <f ca="1"/>
        <v/>
      </c>
      <c r="M204" s="180" t="str">
        <f ca="1"/>
        <v/>
      </c>
      <c r="N204" s="180" t="str">
        <f ca="1"/>
        <v/>
      </c>
      <c r="O204" s="180" t="str">
        <f ca="1"/>
        <v/>
      </c>
      <c r="P204" s="180" t="str">
        <f ca="1"/>
        <v/>
      </c>
      <c r="Q204" s="180" t="str">
        <f ca="1"/>
        <v/>
      </c>
      <c r="R204" s="180" t="str">
        <f ca="1"/>
        <v/>
      </c>
      <c r="S204" s="180" t="str">
        <f ca="1"/>
        <v/>
      </c>
      <c r="T204" s="180" t="str">
        <f ca="1"/>
        <v/>
      </c>
      <c r="U204" s="180" t="str">
        <f ca="1"/>
        <v/>
      </c>
      <c r="V204" s="180" t="str">
        <f ca="1"/>
        <v/>
      </c>
      <c r="W204" s="180" t="str">
        <f ca="1"/>
        <v/>
      </c>
      <c r="X204" s="180" t="str">
        <f ca="1"/>
        <v/>
      </c>
      <c r="Y204" s="180" t="str">
        <f ca="1"/>
        <v/>
      </c>
      <c r="Z204" s="180" t="str">
        <f ca="1"/>
        <v/>
      </c>
      <c r="AA204" s="180" t="str">
        <f ca="1"/>
        <v/>
      </c>
      <c r="AB204" s="180" t="str">
        <f ca="1"/>
        <v/>
      </c>
      <c r="AC204" s="180" t="str">
        <f ca="1"/>
        <v/>
      </c>
      <c r="AD204" s="180" t="str">
        <f ca="1"/>
        <v/>
      </c>
      <c r="AE204" s="180" t="str">
        <f ca="1"/>
        <v/>
      </c>
      <c r="AF204" s="180" t="str">
        <f ca="1"/>
        <v/>
      </c>
      <c r="AG204" s="180" t="str">
        <f ca="1"/>
        <v/>
      </c>
      <c r="AH204" s="180" t="str">
        <f ca="1"/>
        <v/>
      </c>
      <c r="AI204" s="180" t="str">
        <f ca="1"/>
        <v/>
      </c>
      <c r="AJ204" s="180" t="str">
        <f ca="1"/>
        <v/>
      </c>
      <c r="AK204" s="180" t="str">
        <f ca="1"/>
        <v/>
      </c>
      <c r="AL204" s="180" t="str">
        <f ca="1"/>
        <v/>
      </c>
      <c r="AM204" s="180" t="str">
        <f ca="1"/>
        <v/>
      </c>
      <c r="AN204" s="180" t="str">
        <f ca="1"/>
        <v/>
      </c>
      <c r="AO204" s="180" t="str">
        <f ca="1"/>
        <v/>
      </c>
      <c r="AP204" s="180" t="str">
        <f ca="1"/>
        <v/>
      </c>
      <c r="AQ204" s="187" t="str">
        <f ca="1"/>
        <v/>
      </c>
    </row>
    <row r="205" spans="2:43" x14ac:dyDescent="0.25">
      <c r="B205" s="179" t="str">
        <f ca="1"/>
        <v/>
      </c>
      <c r="C205" s="180" t="str">
        <f ca="1"/>
        <v/>
      </c>
      <c r="D205" s="180" t="str">
        <f ca="1"/>
        <v/>
      </c>
      <c r="E205" s="180" t="str">
        <f ca="1"/>
        <v/>
      </c>
      <c r="F205" s="180" t="str">
        <f ca="1"/>
        <v/>
      </c>
      <c r="G205" s="180" t="str">
        <f ca="1"/>
        <v/>
      </c>
      <c r="H205" s="180" t="str">
        <f ca="1"/>
        <v/>
      </c>
      <c r="I205" s="180" t="str">
        <f ca="1"/>
        <v/>
      </c>
      <c r="J205" s="180" t="str">
        <f ca="1"/>
        <v/>
      </c>
      <c r="K205" s="180" t="str">
        <f ca="1"/>
        <v/>
      </c>
      <c r="L205" s="180" t="str">
        <f ca="1"/>
        <v/>
      </c>
      <c r="M205" s="180" t="str">
        <f ca="1"/>
        <v/>
      </c>
      <c r="N205" s="180" t="str">
        <f ca="1"/>
        <v/>
      </c>
      <c r="O205" s="180" t="str">
        <f ca="1"/>
        <v/>
      </c>
      <c r="P205" s="180" t="str">
        <f ca="1"/>
        <v/>
      </c>
      <c r="Q205" s="180" t="str">
        <f ca="1"/>
        <v/>
      </c>
      <c r="R205" s="180" t="str">
        <f ca="1"/>
        <v/>
      </c>
      <c r="S205" s="180" t="str">
        <f ca="1"/>
        <v/>
      </c>
      <c r="T205" s="180" t="str">
        <f ca="1"/>
        <v/>
      </c>
      <c r="U205" s="180" t="str">
        <f ca="1"/>
        <v/>
      </c>
      <c r="V205" s="180" t="str">
        <f ca="1"/>
        <v/>
      </c>
      <c r="W205" s="180" t="str">
        <f ca="1"/>
        <v/>
      </c>
      <c r="X205" s="180" t="str">
        <f ca="1"/>
        <v/>
      </c>
      <c r="Y205" s="180" t="str">
        <f ca="1"/>
        <v/>
      </c>
      <c r="Z205" s="180" t="str">
        <f ca="1"/>
        <v/>
      </c>
      <c r="AA205" s="180" t="str">
        <f ca="1"/>
        <v/>
      </c>
      <c r="AB205" s="180" t="str">
        <f ca="1"/>
        <v/>
      </c>
      <c r="AC205" s="180" t="str">
        <f ca="1"/>
        <v/>
      </c>
      <c r="AD205" s="180" t="str">
        <f ca="1"/>
        <v/>
      </c>
      <c r="AE205" s="180" t="str">
        <f ca="1"/>
        <v/>
      </c>
      <c r="AF205" s="180" t="str">
        <f ca="1"/>
        <v/>
      </c>
      <c r="AG205" s="180" t="str">
        <f ca="1"/>
        <v/>
      </c>
      <c r="AH205" s="180" t="str">
        <f ca="1"/>
        <v/>
      </c>
      <c r="AI205" s="180" t="str">
        <f ca="1"/>
        <v/>
      </c>
      <c r="AJ205" s="180" t="str">
        <f ca="1"/>
        <v/>
      </c>
      <c r="AK205" s="180" t="str">
        <f ca="1"/>
        <v/>
      </c>
      <c r="AL205" s="180" t="str">
        <f ca="1"/>
        <v/>
      </c>
      <c r="AM205" s="180" t="str">
        <f ca="1"/>
        <v/>
      </c>
      <c r="AN205" s="180" t="str">
        <f ca="1"/>
        <v/>
      </c>
      <c r="AO205" s="180" t="str">
        <f ca="1"/>
        <v/>
      </c>
      <c r="AP205" s="180" t="str">
        <f ca="1"/>
        <v/>
      </c>
      <c r="AQ205" s="187" t="str">
        <f ca="1"/>
        <v/>
      </c>
    </row>
    <row r="206" spans="2:43" x14ac:dyDescent="0.25">
      <c r="B206" s="179" t="str">
        <f ca="1"/>
        <v/>
      </c>
      <c r="C206" s="180" t="str">
        <f ca="1"/>
        <v/>
      </c>
      <c r="D206" s="180" t="str">
        <f ca="1"/>
        <v/>
      </c>
      <c r="E206" s="180" t="str">
        <f ca="1"/>
        <v/>
      </c>
      <c r="F206" s="180" t="str">
        <f ca="1"/>
        <v/>
      </c>
      <c r="G206" s="180" t="str">
        <f ca="1"/>
        <v/>
      </c>
      <c r="H206" s="180" t="str">
        <f ca="1"/>
        <v/>
      </c>
      <c r="I206" s="180" t="str">
        <f ca="1"/>
        <v/>
      </c>
      <c r="J206" s="180" t="str">
        <f ca="1"/>
        <v/>
      </c>
      <c r="K206" s="180" t="str">
        <f ca="1"/>
        <v/>
      </c>
      <c r="L206" s="180" t="str">
        <f ca="1"/>
        <v/>
      </c>
      <c r="M206" s="180" t="str">
        <f ca="1"/>
        <v/>
      </c>
      <c r="N206" s="180" t="str">
        <f ca="1"/>
        <v/>
      </c>
      <c r="O206" s="180" t="str">
        <f ca="1"/>
        <v/>
      </c>
      <c r="P206" s="180" t="str">
        <f ca="1"/>
        <v/>
      </c>
      <c r="Q206" s="180" t="str">
        <f ca="1"/>
        <v/>
      </c>
      <c r="R206" s="180" t="str">
        <f ca="1"/>
        <v/>
      </c>
      <c r="S206" s="180" t="str">
        <f ca="1"/>
        <v/>
      </c>
      <c r="T206" s="180" t="str">
        <f ca="1"/>
        <v/>
      </c>
      <c r="U206" s="180" t="str">
        <f ca="1"/>
        <v/>
      </c>
      <c r="V206" s="180" t="str">
        <f ca="1"/>
        <v/>
      </c>
      <c r="W206" s="180" t="str">
        <f ca="1"/>
        <v/>
      </c>
      <c r="X206" s="180" t="str">
        <f ca="1"/>
        <v/>
      </c>
      <c r="Y206" s="180" t="str">
        <f ca="1"/>
        <v/>
      </c>
      <c r="Z206" s="180" t="str">
        <f ca="1"/>
        <v/>
      </c>
      <c r="AA206" s="180" t="str">
        <f ca="1"/>
        <v/>
      </c>
      <c r="AB206" s="180" t="str">
        <f ca="1"/>
        <v/>
      </c>
      <c r="AC206" s="180" t="str">
        <f ca="1"/>
        <v/>
      </c>
      <c r="AD206" s="180" t="str">
        <f ca="1"/>
        <v/>
      </c>
      <c r="AE206" s="180" t="str">
        <f ca="1"/>
        <v/>
      </c>
      <c r="AF206" s="180" t="str">
        <f ca="1"/>
        <v/>
      </c>
      <c r="AG206" s="180" t="str">
        <f ca="1"/>
        <v/>
      </c>
      <c r="AH206" s="180" t="str">
        <f ca="1"/>
        <v/>
      </c>
      <c r="AI206" s="180" t="str">
        <f ca="1"/>
        <v/>
      </c>
      <c r="AJ206" s="180" t="str">
        <f ca="1"/>
        <v/>
      </c>
      <c r="AK206" s="180" t="str">
        <f ca="1"/>
        <v/>
      </c>
      <c r="AL206" s="180" t="str">
        <f ca="1"/>
        <v/>
      </c>
      <c r="AM206" s="180" t="str">
        <f ca="1"/>
        <v/>
      </c>
      <c r="AN206" s="180" t="str">
        <f ca="1"/>
        <v/>
      </c>
      <c r="AO206" s="180" t="str">
        <f ca="1"/>
        <v/>
      </c>
      <c r="AP206" s="180" t="str">
        <f ca="1"/>
        <v/>
      </c>
      <c r="AQ206" s="187" t="str">
        <f ca="1"/>
        <v/>
      </c>
    </row>
    <row r="207" spans="2:43" x14ac:dyDescent="0.25">
      <c r="B207" s="179" t="str">
        <f ca="1"/>
        <v/>
      </c>
      <c r="C207" s="180" t="str">
        <f ca="1"/>
        <v/>
      </c>
      <c r="D207" s="180" t="str">
        <f ca="1"/>
        <v/>
      </c>
      <c r="E207" s="180" t="str">
        <f ca="1"/>
        <v/>
      </c>
      <c r="F207" s="180" t="str">
        <f ca="1"/>
        <v/>
      </c>
      <c r="G207" s="180" t="str">
        <f ca="1"/>
        <v/>
      </c>
      <c r="H207" s="180" t="str">
        <f ca="1"/>
        <v/>
      </c>
      <c r="I207" s="180" t="str">
        <f ca="1"/>
        <v/>
      </c>
      <c r="J207" s="180" t="str">
        <f ca="1"/>
        <v/>
      </c>
      <c r="K207" s="180" t="str">
        <f ca="1"/>
        <v/>
      </c>
      <c r="L207" s="180" t="str">
        <f ca="1"/>
        <v/>
      </c>
      <c r="M207" s="180" t="str">
        <f ca="1"/>
        <v/>
      </c>
      <c r="N207" s="180" t="str">
        <f ca="1"/>
        <v/>
      </c>
      <c r="O207" s="180" t="str">
        <f ca="1"/>
        <v/>
      </c>
      <c r="P207" s="180" t="str">
        <f ca="1"/>
        <v/>
      </c>
      <c r="Q207" s="180" t="str">
        <f ca="1"/>
        <v/>
      </c>
      <c r="R207" s="180" t="str">
        <f ca="1"/>
        <v/>
      </c>
      <c r="S207" s="180" t="str">
        <f ca="1"/>
        <v/>
      </c>
      <c r="T207" s="180" t="str">
        <f ca="1"/>
        <v/>
      </c>
      <c r="U207" s="180" t="str">
        <f ca="1"/>
        <v/>
      </c>
      <c r="V207" s="180" t="str">
        <f ca="1"/>
        <v/>
      </c>
      <c r="W207" s="180" t="str">
        <f ca="1"/>
        <v/>
      </c>
      <c r="X207" s="180" t="str">
        <f ca="1"/>
        <v/>
      </c>
      <c r="Y207" s="180" t="str">
        <f ca="1"/>
        <v/>
      </c>
      <c r="Z207" s="180" t="str">
        <f ca="1"/>
        <v/>
      </c>
      <c r="AA207" s="180" t="str">
        <f ca="1"/>
        <v/>
      </c>
      <c r="AB207" s="180" t="str">
        <f ca="1"/>
        <v/>
      </c>
      <c r="AC207" s="180" t="str">
        <f ca="1"/>
        <v/>
      </c>
      <c r="AD207" s="180" t="str">
        <f ca="1"/>
        <v/>
      </c>
      <c r="AE207" s="180" t="str">
        <f ca="1"/>
        <v/>
      </c>
      <c r="AF207" s="180" t="str">
        <f ca="1"/>
        <v/>
      </c>
      <c r="AG207" s="180" t="str">
        <f ca="1"/>
        <v/>
      </c>
      <c r="AH207" s="180" t="str">
        <f ca="1"/>
        <v/>
      </c>
      <c r="AI207" s="180" t="str">
        <f ca="1"/>
        <v/>
      </c>
      <c r="AJ207" s="180" t="str">
        <f ca="1"/>
        <v/>
      </c>
      <c r="AK207" s="180" t="str">
        <f ca="1"/>
        <v/>
      </c>
      <c r="AL207" s="180" t="str">
        <f ca="1"/>
        <v/>
      </c>
      <c r="AM207" s="180" t="str">
        <f ca="1"/>
        <v/>
      </c>
      <c r="AN207" s="180" t="str">
        <f ca="1"/>
        <v/>
      </c>
      <c r="AO207" s="180" t="str">
        <f ca="1"/>
        <v/>
      </c>
      <c r="AP207" s="180" t="str">
        <f ca="1"/>
        <v/>
      </c>
      <c r="AQ207" s="187" t="str">
        <f ca="1"/>
        <v/>
      </c>
    </row>
    <row r="208" spans="2:43" x14ac:dyDescent="0.25">
      <c r="B208" s="179" t="str">
        <f ca="1"/>
        <v/>
      </c>
      <c r="C208" s="180" t="str">
        <f ca="1"/>
        <v/>
      </c>
      <c r="D208" s="180" t="str">
        <f ca="1"/>
        <v/>
      </c>
      <c r="E208" s="180" t="str">
        <f ca="1"/>
        <v/>
      </c>
      <c r="F208" s="180" t="str">
        <f ca="1"/>
        <v/>
      </c>
      <c r="G208" s="180" t="str">
        <f ca="1"/>
        <v/>
      </c>
      <c r="H208" s="180" t="str">
        <f ca="1"/>
        <v/>
      </c>
      <c r="I208" s="180" t="str">
        <f ca="1"/>
        <v/>
      </c>
      <c r="J208" s="180" t="str">
        <f ca="1"/>
        <v/>
      </c>
      <c r="K208" s="180" t="str">
        <f ca="1"/>
        <v/>
      </c>
      <c r="L208" s="180" t="str">
        <f ca="1"/>
        <v/>
      </c>
      <c r="M208" s="180" t="str">
        <f ca="1"/>
        <v/>
      </c>
      <c r="N208" s="180" t="str">
        <f ca="1"/>
        <v/>
      </c>
      <c r="O208" s="180" t="str">
        <f ca="1"/>
        <v/>
      </c>
      <c r="P208" s="180" t="str">
        <f ca="1"/>
        <v/>
      </c>
      <c r="Q208" s="180" t="str">
        <f ca="1"/>
        <v/>
      </c>
      <c r="R208" s="180" t="str">
        <f ca="1"/>
        <v/>
      </c>
      <c r="S208" s="180" t="str">
        <f ca="1"/>
        <v/>
      </c>
      <c r="T208" s="180" t="str">
        <f ca="1"/>
        <v/>
      </c>
      <c r="U208" s="180" t="str">
        <f ca="1"/>
        <v/>
      </c>
      <c r="V208" s="180" t="str">
        <f ca="1"/>
        <v/>
      </c>
      <c r="W208" s="180" t="str">
        <f ca="1"/>
        <v/>
      </c>
      <c r="X208" s="180" t="str">
        <f ca="1"/>
        <v/>
      </c>
      <c r="Y208" s="180" t="str">
        <f ca="1"/>
        <v/>
      </c>
      <c r="Z208" s="180" t="str">
        <f ca="1"/>
        <v/>
      </c>
      <c r="AA208" s="180" t="str">
        <f ca="1"/>
        <v/>
      </c>
      <c r="AB208" s="180" t="str">
        <f ca="1"/>
        <v/>
      </c>
      <c r="AC208" s="180" t="str">
        <f ca="1"/>
        <v/>
      </c>
      <c r="AD208" s="180" t="str">
        <f ca="1"/>
        <v/>
      </c>
      <c r="AE208" s="180" t="str">
        <f ca="1"/>
        <v/>
      </c>
      <c r="AF208" s="180" t="str">
        <f ca="1"/>
        <v/>
      </c>
      <c r="AG208" s="180" t="str">
        <f ca="1"/>
        <v/>
      </c>
      <c r="AH208" s="180" t="str">
        <f ca="1"/>
        <v/>
      </c>
      <c r="AI208" s="180" t="str">
        <f ca="1"/>
        <v/>
      </c>
      <c r="AJ208" s="180" t="str">
        <f ca="1"/>
        <v/>
      </c>
      <c r="AK208" s="180" t="str">
        <f ca="1"/>
        <v/>
      </c>
      <c r="AL208" s="180" t="str">
        <f ca="1"/>
        <v/>
      </c>
      <c r="AM208" s="180" t="str">
        <f ca="1"/>
        <v/>
      </c>
      <c r="AN208" s="180" t="str">
        <f ca="1"/>
        <v/>
      </c>
      <c r="AO208" s="180" t="str">
        <f ca="1"/>
        <v/>
      </c>
      <c r="AP208" s="180" t="str">
        <f ca="1"/>
        <v/>
      </c>
      <c r="AQ208" s="187" t="str">
        <f ca="1"/>
        <v/>
      </c>
    </row>
    <row r="209" spans="2:43" x14ac:dyDescent="0.25">
      <c r="B209" s="179" t="str">
        <f ca="1"/>
        <v/>
      </c>
      <c r="C209" s="180" t="str">
        <f ca="1"/>
        <v/>
      </c>
      <c r="D209" s="180" t="str">
        <f ca="1"/>
        <v/>
      </c>
      <c r="E209" s="180" t="str">
        <f ca="1"/>
        <v/>
      </c>
      <c r="F209" s="180" t="str">
        <f ca="1"/>
        <v/>
      </c>
      <c r="G209" s="180" t="str">
        <f ca="1"/>
        <v/>
      </c>
      <c r="H209" s="180" t="str">
        <f ca="1"/>
        <v/>
      </c>
      <c r="I209" s="180" t="str">
        <f ca="1"/>
        <v/>
      </c>
      <c r="J209" s="180" t="str">
        <f ca="1"/>
        <v/>
      </c>
      <c r="K209" s="180" t="str">
        <f ca="1"/>
        <v/>
      </c>
      <c r="L209" s="180" t="str">
        <f ca="1"/>
        <v/>
      </c>
      <c r="M209" s="180" t="str">
        <f ca="1"/>
        <v/>
      </c>
      <c r="N209" s="180" t="str">
        <f ca="1"/>
        <v/>
      </c>
      <c r="O209" s="180" t="str">
        <f ca="1"/>
        <v/>
      </c>
      <c r="P209" s="180" t="str">
        <f ca="1"/>
        <v/>
      </c>
      <c r="Q209" s="180" t="str">
        <f ca="1"/>
        <v/>
      </c>
      <c r="R209" s="180" t="str">
        <f ca="1"/>
        <v/>
      </c>
      <c r="S209" s="180" t="str">
        <f ca="1"/>
        <v/>
      </c>
      <c r="T209" s="180" t="str">
        <f ca="1"/>
        <v/>
      </c>
      <c r="U209" s="180" t="str">
        <f ca="1"/>
        <v/>
      </c>
      <c r="V209" s="180" t="str">
        <f ca="1"/>
        <v/>
      </c>
      <c r="W209" s="180" t="str">
        <f ca="1"/>
        <v/>
      </c>
      <c r="X209" s="180" t="str">
        <f ca="1"/>
        <v/>
      </c>
      <c r="Y209" s="180" t="str">
        <f ca="1"/>
        <v/>
      </c>
      <c r="Z209" s="180" t="str">
        <f ca="1"/>
        <v/>
      </c>
      <c r="AA209" s="180" t="str">
        <f ca="1"/>
        <v/>
      </c>
      <c r="AB209" s="180" t="str">
        <f ca="1"/>
        <v/>
      </c>
      <c r="AC209" s="180" t="str">
        <f ca="1"/>
        <v/>
      </c>
      <c r="AD209" s="180" t="str">
        <f ca="1"/>
        <v/>
      </c>
      <c r="AE209" s="180" t="str">
        <f ca="1"/>
        <v/>
      </c>
      <c r="AF209" s="180" t="str">
        <f ca="1"/>
        <v/>
      </c>
      <c r="AG209" s="180" t="str">
        <f ca="1"/>
        <v/>
      </c>
      <c r="AH209" s="180" t="str">
        <f ca="1"/>
        <v/>
      </c>
      <c r="AI209" s="180" t="str">
        <f ca="1"/>
        <v/>
      </c>
      <c r="AJ209" s="180" t="str">
        <f ca="1"/>
        <v/>
      </c>
      <c r="AK209" s="180" t="str">
        <f ca="1"/>
        <v/>
      </c>
      <c r="AL209" s="180" t="str">
        <f ca="1"/>
        <v/>
      </c>
      <c r="AM209" s="180" t="str">
        <f ca="1"/>
        <v/>
      </c>
      <c r="AN209" s="180" t="str">
        <f ca="1"/>
        <v/>
      </c>
      <c r="AO209" s="180" t="str">
        <f ca="1"/>
        <v/>
      </c>
      <c r="AP209" s="180" t="str">
        <f ca="1"/>
        <v/>
      </c>
      <c r="AQ209" s="187" t="str">
        <f ca="1"/>
        <v/>
      </c>
    </row>
    <row r="210" spans="2:43" x14ac:dyDescent="0.25">
      <c r="B210" s="179" t="str">
        <f ca="1"/>
        <v/>
      </c>
      <c r="C210" s="180" t="str">
        <f ca="1"/>
        <v/>
      </c>
      <c r="D210" s="180" t="str">
        <f ca="1"/>
        <v/>
      </c>
      <c r="E210" s="180" t="str">
        <f ca="1"/>
        <v/>
      </c>
      <c r="F210" s="180" t="str">
        <f ca="1"/>
        <v/>
      </c>
      <c r="G210" s="180" t="str">
        <f ca="1"/>
        <v/>
      </c>
      <c r="H210" s="180" t="str">
        <f ca="1"/>
        <v/>
      </c>
      <c r="I210" s="180" t="str">
        <f ca="1"/>
        <v/>
      </c>
      <c r="J210" s="180" t="str">
        <f ca="1"/>
        <v/>
      </c>
      <c r="K210" s="180" t="str">
        <f ca="1"/>
        <v/>
      </c>
      <c r="L210" s="180" t="str">
        <f ca="1"/>
        <v/>
      </c>
      <c r="M210" s="180" t="str">
        <f ca="1"/>
        <v/>
      </c>
      <c r="N210" s="180" t="str">
        <f ca="1"/>
        <v/>
      </c>
      <c r="O210" s="180" t="str">
        <f ca="1"/>
        <v/>
      </c>
      <c r="P210" s="180" t="str">
        <f ca="1"/>
        <v/>
      </c>
      <c r="Q210" s="180" t="str">
        <f ca="1"/>
        <v/>
      </c>
      <c r="R210" s="180" t="str">
        <f ca="1"/>
        <v/>
      </c>
      <c r="S210" s="180" t="str">
        <f ca="1"/>
        <v/>
      </c>
      <c r="T210" s="180" t="str">
        <f ca="1"/>
        <v/>
      </c>
      <c r="U210" s="180" t="str">
        <f ca="1"/>
        <v/>
      </c>
      <c r="V210" s="180" t="str">
        <f ca="1"/>
        <v/>
      </c>
      <c r="W210" s="180" t="str">
        <f ca="1"/>
        <v/>
      </c>
      <c r="X210" s="180" t="str">
        <f ca="1"/>
        <v/>
      </c>
      <c r="Y210" s="180" t="str">
        <f ca="1"/>
        <v/>
      </c>
      <c r="Z210" s="180" t="str">
        <f ca="1"/>
        <v/>
      </c>
      <c r="AA210" s="180" t="str">
        <f ca="1"/>
        <v/>
      </c>
      <c r="AB210" s="180" t="str">
        <f ca="1"/>
        <v/>
      </c>
      <c r="AC210" s="180" t="str">
        <f ca="1"/>
        <v/>
      </c>
      <c r="AD210" s="180" t="str">
        <f ca="1"/>
        <v/>
      </c>
      <c r="AE210" s="180" t="str">
        <f ca="1"/>
        <v/>
      </c>
      <c r="AF210" s="180" t="str">
        <f ca="1"/>
        <v/>
      </c>
      <c r="AG210" s="180" t="str">
        <f ca="1"/>
        <v/>
      </c>
      <c r="AH210" s="180" t="str">
        <f ca="1"/>
        <v/>
      </c>
      <c r="AI210" s="180" t="str">
        <f ca="1"/>
        <v/>
      </c>
      <c r="AJ210" s="180" t="str">
        <f ca="1"/>
        <v/>
      </c>
      <c r="AK210" s="180" t="str">
        <f ca="1"/>
        <v/>
      </c>
      <c r="AL210" s="180" t="str">
        <f ca="1"/>
        <v/>
      </c>
      <c r="AM210" s="180" t="str">
        <f ca="1"/>
        <v/>
      </c>
      <c r="AN210" s="180" t="str">
        <f ca="1"/>
        <v/>
      </c>
      <c r="AO210" s="180" t="str">
        <f ca="1"/>
        <v/>
      </c>
      <c r="AP210" s="180" t="str">
        <f ca="1"/>
        <v/>
      </c>
      <c r="AQ210" s="187" t="str">
        <f ca="1"/>
        <v/>
      </c>
    </row>
    <row r="211" spans="2:43" x14ac:dyDescent="0.25">
      <c r="B211" s="179" t="str">
        <f ca="1"/>
        <v/>
      </c>
      <c r="C211" s="180" t="str">
        <f ca="1"/>
        <v/>
      </c>
      <c r="D211" s="180" t="str">
        <f ca="1"/>
        <v/>
      </c>
      <c r="E211" s="180" t="str">
        <f ca="1"/>
        <v/>
      </c>
      <c r="F211" s="180" t="str">
        <f ca="1"/>
        <v/>
      </c>
      <c r="G211" s="180" t="str">
        <f ca="1"/>
        <v/>
      </c>
      <c r="H211" s="180" t="str">
        <f ca="1"/>
        <v/>
      </c>
      <c r="I211" s="180" t="str">
        <f ca="1"/>
        <v/>
      </c>
      <c r="J211" s="180" t="str">
        <f ca="1"/>
        <v/>
      </c>
      <c r="K211" s="180" t="str">
        <f ca="1"/>
        <v/>
      </c>
      <c r="L211" s="180" t="str">
        <f ca="1"/>
        <v/>
      </c>
      <c r="M211" s="180" t="str">
        <f ca="1"/>
        <v/>
      </c>
      <c r="N211" s="180" t="str">
        <f ca="1"/>
        <v/>
      </c>
      <c r="O211" s="180" t="str">
        <f ca="1"/>
        <v/>
      </c>
      <c r="P211" s="180" t="str">
        <f ca="1"/>
        <v/>
      </c>
      <c r="Q211" s="180" t="str">
        <f ca="1"/>
        <v/>
      </c>
      <c r="R211" s="180" t="str">
        <f ca="1"/>
        <v/>
      </c>
      <c r="S211" s="180" t="str">
        <f ca="1"/>
        <v/>
      </c>
      <c r="T211" s="180" t="str">
        <f ca="1"/>
        <v/>
      </c>
      <c r="U211" s="180" t="str">
        <f ca="1"/>
        <v/>
      </c>
      <c r="V211" s="180" t="str">
        <f ca="1"/>
        <v/>
      </c>
      <c r="W211" s="180" t="str">
        <f ca="1"/>
        <v/>
      </c>
      <c r="X211" s="180" t="str">
        <f ca="1"/>
        <v/>
      </c>
      <c r="Y211" s="180" t="str">
        <f ca="1"/>
        <v/>
      </c>
      <c r="Z211" s="180" t="str">
        <f ca="1"/>
        <v/>
      </c>
      <c r="AA211" s="180" t="str">
        <f ca="1"/>
        <v/>
      </c>
      <c r="AB211" s="180" t="str">
        <f ca="1"/>
        <v/>
      </c>
      <c r="AC211" s="180" t="str">
        <f ca="1"/>
        <v/>
      </c>
      <c r="AD211" s="180" t="str">
        <f ca="1"/>
        <v/>
      </c>
      <c r="AE211" s="180" t="str">
        <f ca="1"/>
        <v/>
      </c>
      <c r="AF211" s="180" t="str">
        <f ca="1"/>
        <v/>
      </c>
      <c r="AG211" s="180" t="str">
        <f ca="1"/>
        <v/>
      </c>
      <c r="AH211" s="180" t="str">
        <f ca="1"/>
        <v/>
      </c>
      <c r="AI211" s="180" t="str">
        <f ca="1"/>
        <v/>
      </c>
      <c r="AJ211" s="180" t="str">
        <f ca="1"/>
        <v/>
      </c>
      <c r="AK211" s="180" t="str">
        <f ca="1"/>
        <v/>
      </c>
      <c r="AL211" s="180" t="str">
        <f ca="1"/>
        <v/>
      </c>
      <c r="AM211" s="180" t="str">
        <f ca="1"/>
        <v/>
      </c>
      <c r="AN211" s="180" t="str">
        <f ca="1"/>
        <v/>
      </c>
      <c r="AO211" s="180" t="str">
        <f ca="1"/>
        <v/>
      </c>
      <c r="AP211" s="180" t="str">
        <f ca="1"/>
        <v/>
      </c>
      <c r="AQ211" s="187" t="str">
        <f ca="1"/>
        <v/>
      </c>
    </row>
    <row r="212" spans="2:43" x14ac:dyDescent="0.25">
      <c r="B212" s="179" t="str">
        <f ca="1"/>
        <v/>
      </c>
      <c r="C212" s="180" t="str">
        <f ca="1"/>
        <v/>
      </c>
      <c r="D212" s="180" t="str">
        <f ca="1"/>
        <v/>
      </c>
      <c r="E212" s="180" t="str">
        <f ca="1"/>
        <v/>
      </c>
      <c r="F212" s="180" t="str">
        <f ca="1"/>
        <v/>
      </c>
      <c r="G212" s="180" t="str">
        <f ca="1"/>
        <v/>
      </c>
      <c r="H212" s="180" t="str">
        <f ca="1"/>
        <v/>
      </c>
      <c r="I212" s="180" t="str">
        <f ca="1"/>
        <v/>
      </c>
      <c r="J212" s="180" t="str">
        <f ca="1"/>
        <v/>
      </c>
      <c r="K212" s="180" t="str">
        <f ca="1"/>
        <v/>
      </c>
      <c r="L212" s="180" t="str">
        <f ca="1"/>
        <v/>
      </c>
      <c r="M212" s="180" t="str">
        <f ca="1"/>
        <v/>
      </c>
      <c r="N212" s="180" t="str">
        <f ca="1"/>
        <v/>
      </c>
      <c r="O212" s="180" t="str">
        <f ca="1"/>
        <v/>
      </c>
      <c r="P212" s="180" t="str">
        <f ca="1"/>
        <v/>
      </c>
      <c r="Q212" s="180" t="str">
        <f ca="1"/>
        <v/>
      </c>
      <c r="R212" s="180" t="str">
        <f ca="1"/>
        <v/>
      </c>
      <c r="S212" s="180" t="str">
        <f ca="1"/>
        <v/>
      </c>
      <c r="T212" s="180" t="str">
        <f ca="1"/>
        <v/>
      </c>
      <c r="U212" s="180" t="str">
        <f ca="1"/>
        <v/>
      </c>
      <c r="V212" s="180" t="str">
        <f ca="1"/>
        <v/>
      </c>
      <c r="W212" s="180" t="str">
        <f ca="1"/>
        <v/>
      </c>
      <c r="X212" s="180" t="str">
        <f ca="1"/>
        <v/>
      </c>
      <c r="Y212" s="180" t="str">
        <f ca="1"/>
        <v/>
      </c>
      <c r="Z212" s="180" t="str">
        <f ca="1"/>
        <v/>
      </c>
      <c r="AA212" s="180" t="str">
        <f ca="1"/>
        <v/>
      </c>
      <c r="AB212" s="180" t="str">
        <f ca="1"/>
        <v/>
      </c>
      <c r="AC212" s="180" t="str">
        <f ca="1"/>
        <v/>
      </c>
      <c r="AD212" s="180" t="str">
        <f ca="1"/>
        <v/>
      </c>
      <c r="AE212" s="180" t="str">
        <f ca="1"/>
        <v/>
      </c>
      <c r="AF212" s="180" t="str">
        <f ca="1"/>
        <v/>
      </c>
      <c r="AG212" s="180" t="str">
        <f ca="1"/>
        <v/>
      </c>
      <c r="AH212" s="180" t="str">
        <f ca="1"/>
        <v/>
      </c>
      <c r="AI212" s="180" t="str">
        <f ca="1"/>
        <v/>
      </c>
      <c r="AJ212" s="180" t="str">
        <f ca="1"/>
        <v/>
      </c>
      <c r="AK212" s="180" t="str">
        <f ca="1"/>
        <v/>
      </c>
      <c r="AL212" s="180" t="str">
        <f ca="1"/>
        <v/>
      </c>
      <c r="AM212" s="180" t="str">
        <f ca="1"/>
        <v/>
      </c>
      <c r="AN212" s="180" t="str">
        <f ca="1"/>
        <v/>
      </c>
      <c r="AO212" s="180" t="str">
        <f ca="1"/>
        <v/>
      </c>
      <c r="AP212" s="180" t="str">
        <f ca="1"/>
        <v/>
      </c>
      <c r="AQ212" s="187" t="str">
        <f ca="1"/>
        <v/>
      </c>
    </row>
    <row r="213" spans="2:43" x14ac:dyDescent="0.25">
      <c r="B213" s="179" t="str">
        <f ca="1"/>
        <v/>
      </c>
      <c r="C213" s="180" t="str">
        <f ca="1"/>
        <v/>
      </c>
      <c r="D213" s="180" t="str">
        <f ca="1"/>
        <v/>
      </c>
      <c r="E213" s="180" t="str">
        <f ca="1"/>
        <v/>
      </c>
      <c r="F213" s="180" t="str">
        <f ca="1"/>
        <v/>
      </c>
      <c r="G213" s="180" t="str">
        <f ca="1"/>
        <v/>
      </c>
      <c r="H213" s="180" t="str">
        <f ca="1"/>
        <v/>
      </c>
      <c r="I213" s="180" t="str">
        <f ca="1"/>
        <v/>
      </c>
      <c r="J213" s="180" t="str">
        <f ca="1"/>
        <v/>
      </c>
      <c r="K213" s="180" t="str">
        <f ca="1"/>
        <v/>
      </c>
      <c r="L213" s="180" t="str">
        <f ca="1"/>
        <v/>
      </c>
      <c r="M213" s="180" t="str">
        <f ca="1"/>
        <v/>
      </c>
      <c r="N213" s="180" t="str">
        <f ca="1"/>
        <v/>
      </c>
      <c r="O213" s="180" t="str">
        <f ca="1"/>
        <v/>
      </c>
      <c r="P213" s="180" t="str">
        <f ca="1"/>
        <v/>
      </c>
      <c r="Q213" s="180" t="str">
        <f ca="1"/>
        <v/>
      </c>
      <c r="R213" s="180" t="str">
        <f ca="1"/>
        <v/>
      </c>
      <c r="S213" s="180" t="str">
        <f ca="1"/>
        <v/>
      </c>
      <c r="T213" s="180" t="str">
        <f ca="1"/>
        <v/>
      </c>
      <c r="U213" s="180" t="str">
        <f ca="1"/>
        <v/>
      </c>
      <c r="V213" s="180" t="str">
        <f ca="1"/>
        <v/>
      </c>
      <c r="W213" s="180" t="str">
        <f ca="1"/>
        <v/>
      </c>
      <c r="X213" s="180" t="str">
        <f ca="1"/>
        <v/>
      </c>
      <c r="Y213" s="180" t="str">
        <f ca="1"/>
        <v/>
      </c>
      <c r="Z213" s="180" t="str">
        <f ca="1"/>
        <v/>
      </c>
      <c r="AA213" s="180" t="str">
        <f ca="1"/>
        <v/>
      </c>
      <c r="AB213" s="180" t="str">
        <f ca="1"/>
        <v/>
      </c>
      <c r="AC213" s="180" t="str">
        <f ca="1"/>
        <v/>
      </c>
      <c r="AD213" s="180" t="str">
        <f ca="1"/>
        <v/>
      </c>
      <c r="AE213" s="180" t="str">
        <f ca="1"/>
        <v/>
      </c>
      <c r="AF213" s="180" t="str">
        <f ca="1"/>
        <v/>
      </c>
      <c r="AG213" s="180" t="str">
        <f ca="1"/>
        <v/>
      </c>
      <c r="AH213" s="180" t="str">
        <f ca="1"/>
        <v/>
      </c>
      <c r="AI213" s="180" t="str">
        <f ca="1"/>
        <v/>
      </c>
      <c r="AJ213" s="180" t="str">
        <f ca="1"/>
        <v/>
      </c>
      <c r="AK213" s="180" t="str">
        <f ca="1"/>
        <v/>
      </c>
      <c r="AL213" s="180" t="str">
        <f ca="1"/>
        <v/>
      </c>
      <c r="AM213" s="180" t="str">
        <f ca="1"/>
        <v/>
      </c>
      <c r="AN213" s="180" t="str">
        <f ca="1"/>
        <v/>
      </c>
      <c r="AO213" s="180" t="str">
        <f ca="1"/>
        <v/>
      </c>
      <c r="AP213" s="180" t="str">
        <f ca="1"/>
        <v/>
      </c>
      <c r="AQ213" s="187" t="str">
        <f ca="1"/>
        <v/>
      </c>
    </row>
    <row r="214" spans="2:43" x14ac:dyDescent="0.25">
      <c r="B214" s="179" t="str">
        <f ca="1"/>
        <v/>
      </c>
      <c r="C214" s="180" t="str">
        <f ca="1"/>
        <v/>
      </c>
      <c r="D214" s="180" t="str">
        <f ca="1"/>
        <v/>
      </c>
      <c r="E214" s="180" t="str">
        <f ca="1"/>
        <v/>
      </c>
      <c r="F214" s="180" t="str">
        <f ca="1"/>
        <v/>
      </c>
      <c r="G214" s="180" t="str">
        <f ca="1"/>
        <v/>
      </c>
      <c r="H214" s="180" t="str">
        <f ca="1"/>
        <v/>
      </c>
      <c r="I214" s="180" t="str">
        <f ca="1"/>
        <v/>
      </c>
      <c r="J214" s="180" t="str">
        <f ca="1"/>
        <v/>
      </c>
      <c r="K214" s="180" t="str">
        <f ca="1"/>
        <v/>
      </c>
      <c r="L214" s="180" t="str">
        <f ca="1"/>
        <v/>
      </c>
      <c r="M214" s="180" t="str">
        <f ca="1"/>
        <v/>
      </c>
      <c r="N214" s="180" t="str">
        <f ca="1"/>
        <v/>
      </c>
      <c r="O214" s="180" t="str">
        <f ca="1"/>
        <v/>
      </c>
      <c r="P214" s="180" t="str">
        <f ca="1"/>
        <v/>
      </c>
      <c r="Q214" s="180" t="str">
        <f ca="1"/>
        <v/>
      </c>
      <c r="R214" s="180" t="str">
        <f ca="1"/>
        <v/>
      </c>
      <c r="S214" s="180" t="str">
        <f ca="1"/>
        <v/>
      </c>
      <c r="T214" s="180" t="str">
        <f ca="1"/>
        <v/>
      </c>
      <c r="U214" s="180" t="str">
        <f ca="1"/>
        <v/>
      </c>
      <c r="V214" s="180" t="str">
        <f ca="1"/>
        <v/>
      </c>
      <c r="W214" s="180" t="str">
        <f ca="1"/>
        <v/>
      </c>
      <c r="X214" s="180" t="str">
        <f ca="1"/>
        <v/>
      </c>
      <c r="Y214" s="180" t="str">
        <f ca="1"/>
        <v/>
      </c>
      <c r="Z214" s="180" t="str">
        <f ca="1"/>
        <v/>
      </c>
      <c r="AA214" s="180" t="str">
        <f ca="1"/>
        <v/>
      </c>
      <c r="AB214" s="180" t="str">
        <f ca="1"/>
        <v/>
      </c>
      <c r="AC214" s="180" t="str">
        <f ca="1"/>
        <v/>
      </c>
      <c r="AD214" s="180" t="str">
        <f ca="1"/>
        <v/>
      </c>
      <c r="AE214" s="180" t="str">
        <f ca="1"/>
        <v/>
      </c>
      <c r="AF214" s="180" t="str">
        <f ca="1"/>
        <v/>
      </c>
      <c r="AG214" s="180" t="str">
        <f ca="1"/>
        <v/>
      </c>
      <c r="AH214" s="180" t="str">
        <f ca="1"/>
        <v/>
      </c>
      <c r="AI214" s="180" t="str">
        <f ca="1"/>
        <v/>
      </c>
      <c r="AJ214" s="180" t="str">
        <f ca="1"/>
        <v/>
      </c>
      <c r="AK214" s="180" t="str">
        <f ca="1"/>
        <v/>
      </c>
      <c r="AL214" s="180" t="str">
        <f ca="1"/>
        <v/>
      </c>
      <c r="AM214" s="180" t="str">
        <f ca="1"/>
        <v/>
      </c>
      <c r="AN214" s="180" t="str">
        <f ca="1"/>
        <v/>
      </c>
      <c r="AO214" s="180" t="str">
        <f ca="1"/>
        <v/>
      </c>
      <c r="AP214" s="180" t="str">
        <f ca="1"/>
        <v/>
      </c>
      <c r="AQ214" s="187" t="str">
        <f ca="1"/>
        <v/>
      </c>
    </row>
    <row r="215" spans="2:43" x14ac:dyDescent="0.25">
      <c r="B215" s="179" t="str">
        <f ca="1"/>
        <v/>
      </c>
      <c r="C215" s="180" t="str">
        <f ca="1"/>
        <v/>
      </c>
      <c r="D215" s="180" t="str">
        <f ca="1"/>
        <v/>
      </c>
      <c r="E215" s="180" t="str">
        <f ca="1"/>
        <v/>
      </c>
      <c r="F215" s="180" t="str">
        <f ca="1"/>
        <v/>
      </c>
      <c r="G215" s="180" t="str">
        <f ca="1"/>
        <v/>
      </c>
      <c r="H215" s="180" t="str">
        <f ca="1"/>
        <v/>
      </c>
      <c r="I215" s="180" t="str">
        <f ca="1"/>
        <v/>
      </c>
      <c r="J215" s="180" t="str">
        <f ca="1"/>
        <v/>
      </c>
      <c r="K215" s="180" t="str">
        <f ca="1"/>
        <v/>
      </c>
      <c r="L215" s="180" t="str">
        <f ca="1"/>
        <v/>
      </c>
      <c r="M215" s="180" t="str">
        <f ca="1"/>
        <v/>
      </c>
      <c r="N215" s="180" t="str">
        <f ca="1"/>
        <v/>
      </c>
      <c r="O215" s="180" t="str">
        <f ca="1"/>
        <v/>
      </c>
      <c r="P215" s="180" t="str">
        <f ca="1"/>
        <v/>
      </c>
      <c r="Q215" s="180" t="str">
        <f ca="1"/>
        <v/>
      </c>
      <c r="R215" s="180" t="str">
        <f ca="1"/>
        <v/>
      </c>
      <c r="S215" s="180" t="str">
        <f ca="1"/>
        <v/>
      </c>
      <c r="T215" s="180" t="str">
        <f ca="1"/>
        <v/>
      </c>
      <c r="U215" s="180" t="str">
        <f ca="1"/>
        <v/>
      </c>
      <c r="V215" s="180" t="str">
        <f ca="1"/>
        <v/>
      </c>
      <c r="W215" s="180" t="str">
        <f ca="1"/>
        <v/>
      </c>
      <c r="X215" s="180" t="str">
        <f ca="1"/>
        <v/>
      </c>
      <c r="Y215" s="180" t="str">
        <f ca="1"/>
        <v/>
      </c>
      <c r="Z215" s="180" t="str">
        <f ca="1"/>
        <v/>
      </c>
      <c r="AA215" s="180" t="str">
        <f ca="1"/>
        <v/>
      </c>
      <c r="AB215" s="180" t="str">
        <f ca="1"/>
        <v/>
      </c>
      <c r="AC215" s="180" t="str">
        <f ca="1"/>
        <v/>
      </c>
      <c r="AD215" s="180" t="str">
        <f ca="1"/>
        <v/>
      </c>
      <c r="AE215" s="180" t="str">
        <f ca="1"/>
        <v/>
      </c>
      <c r="AF215" s="180" t="str">
        <f ca="1"/>
        <v/>
      </c>
      <c r="AG215" s="180" t="str">
        <f ca="1"/>
        <v/>
      </c>
      <c r="AH215" s="180" t="str">
        <f ca="1"/>
        <v/>
      </c>
      <c r="AI215" s="180" t="str">
        <f ca="1"/>
        <v/>
      </c>
      <c r="AJ215" s="180" t="str">
        <f ca="1"/>
        <v/>
      </c>
      <c r="AK215" s="180" t="str">
        <f ca="1"/>
        <v/>
      </c>
      <c r="AL215" s="180" t="str">
        <f ca="1"/>
        <v/>
      </c>
      <c r="AM215" s="180" t="str">
        <f ca="1"/>
        <v/>
      </c>
      <c r="AN215" s="180" t="str">
        <f ca="1"/>
        <v/>
      </c>
      <c r="AO215" s="180" t="str">
        <f ca="1"/>
        <v/>
      </c>
      <c r="AP215" s="180" t="str">
        <f ca="1"/>
        <v/>
      </c>
      <c r="AQ215" s="187" t="str">
        <f ca="1"/>
        <v/>
      </c>
    </row>
    <row r="216" spans="2:43" x14ac:dyDescent="0.25">
      <c r="B216" s="179" t="str">
        <f ca="1"/>
        <v/>
      </c>
      <c r="C216" s="180" t="str">
        <f ca="1"/>
        <v/>
      </c>
      <c r="D216" s="180" t="str">
        <f ca="1"/>
        <v/>
      </c>
      <c r="E216" s="180" t="str">
        <f ca="1"/>
        <v/>
      </c>
      <c r="F216" s="180" t="str">
        <f ca="1"/>
        <v/>
      </c>
      <c r="G216" s="180" t="str">
        <f ca="1"/>
        <v/>
      </c>
      <c r="H216" s="180" t="str">
        <f ca="1"/>
        <v/>
      </c>
      <c r="I216" s="180" t="str">
        <f ca="1"/>
        <v/>
      </c>
      <c r="J216" s="180" t="str">
        <f ca="1"/>
        <v/>
      </c>
      <c r="K216" s="180" t="str">
        <f ca="1"/>
        <v/>
      </c>
      <c r="L216" s="180" t="str">
        <f ca="1"/>
        <v/>
      </c>
      <c r="M216" s="180" t="str">
        <f ca="1"/>
        <v/>
      </c>
      <c r="N216" s="180" t="str">
        <f ca="1"/>
        <v/>
      </c>
      <c r="O216" s="180" t="str">
        <f ca="1"/>
        <v/>
      </c>
      <c r="P216" s="180" t="str">
        <f ca="1"/>
        <v/>
      </c>
      <c r="Q216" s="180" t="str">
        <f ca="1"/>
        <v/>
      </c>
      <c r="R216" s="180" t="str">
        <f ca="1"/>
        <v/>
      </c>
      <c r="S216" s="180" t="str">
        <f ca="1"/>
        <v/>
      </c>
      <c r="T216" s="180" t="str">
        <f ca="1"/>
        <v/>
      </c>
      <c r="U216" s="180" t="str">
        <f ca="1"/>
        <v/>
      </c>
      <c r="V216" s="180" t="str">
        <f ca="1"/>
        <v/>
      </c>
      <c r="W216" s="180" t="str">
        <f ca="1"/>
        <v/>
      </c>
      <c r="X216" s="180" t="str">
        <f ca="1"/>
        <v/>
      </c>
      <c r="Y216" s="180" t="str">
        <f ca="1"/>
        <v/>
      </c>
      <c r="Z216" s="180" t="str">
        <f ca="1"/>
        <v/>
      </c>
      <c r="AA216" s="180" t="str">
        <f ca="1"/>
        <v/>
      </c>
      <c r="AB216" s="180" t="str">
        <f ca="1"/>
        <v/>
      </c>
      <c r="AC216" s="180" t="str">
        <f ca="1"/>
        <v/>
      </c>
      <c r="AD216" s="180" t="str">
        <f ca="1"/>
        <v/>
      </c>
      <c r="AE216" s="180" t="str">
        <f ca="1"/>
        <v/>
      </c>
      <c r="AF216" s="180" t="str">
        <f ca="1"/>
        <v/>
      </c>
      <c r="AG216" s="180" t="str">
        <f ca="1"/>
        <v/>
      </c>
      <c r="AH216" s="180" t="str">
        <f ca="1"/>
        <v/>
      </c>
      <c r="AI216" s="180" t="str">
        <f ca="1"/>
        <v/>
      </c>
      <c r="AJ216" s="180" t="str">
        <f ca="1"/>
        <v/>
      </c>
      <c r="AK216" s="180" t="str">
        <f ca="1"/>
        <v/>
      </c>
      <c r="AL216" s="180" t="str">
        <f ca="1"/>
        <v/>
      </c>
      <c r="AM216" s="180" t="str">
        <f ca="1"/>
        <v/>
      </c>
      <c r="AN216" s="180" t="str">
        <f ca="1"/>
        <v/>
      </c>
      <c r="AO216" s="180" t="str">
        <f ca="1"/>
        <v/>
      </c>
      <c r="AP216" s="180" t="str">
        <f ca="1"/>
        <v/>
      </c>
      <c r="AQ216" s="187" t="str">
        <f ca="1"/>
        <v/>
      </c>
    </row>
    <row r="217" spans="2:43" x14ac:dyDescent="0.25">
      <c r="B217" s="179" t="str">
        <f ca="1"/>
        <v/>
      </c>
      <c r="C217" s="180" t="str">
        <f ca="1"/>
        <v/>
      </c>
      <c r="D217" s="180" t="str">
        <f ca="1"/>
        <v/>
      </c>
      <c r="E217" s="180" t="str">
        <f ca="1"/>
        <v/>
      </c>
      <c r="F217" s="180" t="str">
        <f ca="1"/>
        <v/>
      </c>
      <c r="G217" s="180" t="str">
        <f ca="1"/>
        <v/>
      </c>
      <c r="H217" s="180" t="str">
        <f ca="1"/>
        <v/>
      </c>
      <c r="I217" s="180" t="str">
        <f ca="1"/>
        <v/>
      </c>
      <c r="J217" s="180" t="str">
        <f ca="1"/>
        <v/>
      </c>
      <c r="K217" s="180" t="str">
        <f ca="1"/>
        <v/>
      </c>
      <c r="L217" s="180" t="str">
        <f ca="1"/>
        <v/>
      </c>
      <c r="M217" s="180" t="str">
        <f ca="1"/>
        <v/>
      </c>
      <c r="N217" s="180" t="str">
        <f ca="1"/>
        <v/>
      </c>
      <c r="O217" s="180" t="str">
        <f ca="1"/>
        <v/>
      </c>
      <c r="P217" s="180" t="str">
        <f ca="1"/>
        <v/>
      </c>
      <c r="Q217" s="180" t="str">
        <f ca="1"/>
        <v/>
      </c>
      <c r="R217" s="180" t="str">
        <f ca="1"/>
        <v/>
      </c>
      <c r="S217" s="180" t="str">
        <f ca="1"/>
        <v/>
      </c>
      <c r="T217" s="180" t="str">
        <f ca="1"/>
        <v/>
      </c>
      <c r="U217" s="180" t="str">
        <f ca="1"/>
        <v/>
      </c>
      <c r="V217" s="180" t="str">
        <f ca="1"/>
        <v/>
      </c>
      <c r="W217" s="180" t="str">
        <f ca="1"/>
        <v/>
      </c>
      <c r="X217" s="180" t="str">
        <f ca="1"/>
        <v/>
      </c>
      <c r="Y217" s="180" t="str">
        <f ca="1"/>
        <v/>
      </c>
      <c r="Z217" s="180" t="str">
        <f ca="1"/>
        <v/>
      </c>
      <c r="AA217" s="180" t="str">
        <f ca="1"/>
        <v/>
      </c>
      <c r="AB217" s="180" t="str">
        <f ca="1"/>
        <v/>
      </c>
      <c r="AC217" s="180" t="str">
        <f ca="1"/>
        <v/>
      </c>
      <c r="AD217" s="180" t="str">
        <f ca="1"/>
        <v/>
      </c>
      <c r="AE217" s="180" t="str">
        <f ca="1"/>
        <v/>
      </c>
      <c r="AF217" s="180" t="str">
        <f ca="1"/>
        <v/>
      </c>
      <c r="AG217" s="180" t="str">
        <f ca="1"/>
        <v/>
      </c>
      <c r="AH217" s="180" t="str">
        <f ca="1"/>
        <v/>
      </c>
      <c r="AI217" s="180" t="str">
        <f ca="1"/>
        <v/>
      </c>
      <c r="AJ217" s="180" t="str">
        <f ca="1"/>
        <v/>
      </c>
      <c r="AK217" s="180" t="str">
        <f ca="1"/>
        <v/>
      </c>
      <c r="AL217" s="180" t="str">
        <f ca="1"/>
        <v/>
      </c>
      <c r="AM217" s="180" t="str">
        <f ca="1"/>
        <v/>
      </c>
      <c r="AN217" s="180" t="str">
        <f ca="1"/>
        <v/>
      </c>
      <c r="AO217" s="180" t="str">
        <f ca="1"/>
        <v/>
      </c>
      <c r="AP217" s="180" t="str">
        <f ca="1"/>
        <v/>
      </c>
      <c r="AQ217" s="187" t="str">
        <f ca="1"/>
        <v/>
      </c>
    </row>
    <row r="218" spans="2:43" x14ac:dyDescent="0.25">
      <c r="B218" s="179" t="str">
        <f ca="1"/>
        <v/>
      </c>
      <c r="C218" s="180" t="str">
        <f ca="1"/>
        <v/>
      </c>
      <c r="D218" s="180" t="str">
        <f ca="1"/>
        <v/>
      </c>
      <c r="E218" s="180" t="str">
        <f ca="1"/>
        <v/>
      </c>
      <c r="F218" s="180" t="str">
        <f ca="1"/>
        <v/>
      </c>
      <c r="G218" s="180" t="str">
        <f ca="1"/>
        <v/>
      </c>
      <c r="H218" s="180" t="str">
        <f ca="1"/>
        <v/>
      </c>
      <c r="I218" s="180" t="str">
        <f ca="1"/>
        <v/>
      </c>
      <c r="J218" s="180" t="str">
        <f ca="1"/>
        <v/>
      </c>
      <c r="K218" s="180" t="str">
        <f ca="1"/>
        <v/>
      </c>
      <c r="L218" s="180" t="str">
        <f ca="1"/>
        <v/>
      </c>
      <c r="M218" s="180" t="str">
        <f ca="1"/>
        <v/>
      </c>
      <c r="N218" s="180" t="str">
        <f ca="1"/>
        <v/>
      </c>
      <c r="O218" s="180" t="str">
        <f ca="1"/>
        <v/>
      </c>
      <c r="P218" s="180" t="str">
        <f ca="1"/>
        <v/>
      </c>
      <c r="Q218" s="180" t="str">
        <f ca="1"/>
        <v/>
      </c>
      <c r="R218" s="180" t="str">
        <f ca="1"/>
        <v/>
      </c>
      <c r="S218" s="180" t="str">
        <f ca="1"/>
        <v/>
      </c>
      <c r="T218" s="180" t="str">
        <f ca="1"/>
        <v/>
      </c>
      <c r="U218" s="180" t="str">
        <f ca="1"/>
        <v/>
      </c>
      <c r="V218" s="180" t="str">
        <f ca="1"/>
        <v/>
      </c>
      <c r="W218" s="180" t="str">
        <f ca="1"/>
        <v/>
      </c>
      <c r="X218" s="180" t="str">
        <f ca="1"/>
        <v/>
      </c>
      <c r="Y218" s="180" t="str">
        <f ca="1"/>
        <v/>
      </c>
      <c r="Z218" s="180" t="str">
        <f ca="1"/>
        <v/>
      </c>
      <c r="AA218" s="180" t="str">
        <f ca="1"/>
        <v/>
      </c>
      <c r="AB218" s="180" t="str">
        <f ca="1"/>
        <v/>
      </c>
      <c r="AC218" s="180" t="str">
        <f ca="1"/>
        <v/>
      </c>
      <c r="AD218" s="180" t="str">
        <f ca="1"/>
        <v/>
      </c>
      <c r="AE218" s="180" t="str">
        <f ca="1"/>
        <v/>
      </c>
      <c r="AF218" s="180" t="str">
        <f ca="1"/>
        <v/>
      </c>
      <c r="AG218" s="180" t="str">
        <f ca="1"/>
        <v/>
      </c>
      <c r="AH218" s="180" t="str">
        <f ca="1"/>
        <v/>
      </c>
      <c r="AI218" s="180" t="str">
        <f ca="1"/>
        <v/>
      </c>
      <c r="AJ218" s="180" t="str">
        <f ca="1"/>
        <v/>
      </c>
      <c r="AK218" s="180" t="str">
        <f ca="1"/>
        <v/>
      </c>
      <c r="AL218" s="180" t="str">
        <f ca="1"/>
        <v/>
      </c>
      <c r="AM218" s="180" t="str">
        <f ca="1"/>
        <v/>
      </c>
      <c r="AN218" s="180" t="str">
        <f ca="1"/>
        <v/>
      </c>
      <c r="AO218" s="180" t="str">
        <f ca="1"/>
        <v/>
      </c>
      <c r="AP218" s="180" t="str">
        <f ca="1"/>
        <v/>
      </c>
      <c r="AQ218" s="187" t="str">
        <f ca="1"/>
        <v/>
      </c>
    </row>
    <row r="219" spans="2:43" x14ac:dyDescent="0.25">
      <c r="B219" s="179" t="str">
        <f ca="1"/>
        <v/>
      </c>
      <c r="C219" s="180" t="str">
        <f ca="1"/>
        <v/>
      </c>
      <c r="D219" s="180" t="str">
        <f ca="1"/>
        <v/>
      </c>
      <c r="E219" s="180" t="str">
        <f ca="1"/>
        <v/>
      </c>
      <c r="F219" s="180" t="str">
        <f ca="1"/>
        <v/>
      </c>
      <c r="G219" s="180" t="str">
        <f ca="1"/>
        <v/>
      </c>
      <c r="H219" s="180" t="str">
        <f ca="1"/>
        <v/>
      </c>
      <c r="I219" s="180" t="str">
        <f ca="1"/>
        <v/>
      </c>
      <c r="J219" s="180" t="str">
        <f ca="1"/>
        <v/>
      </c>
      <c r="K219" s="180" t="str">
        <f ca="1"/>
        <v/>
      </c>
      <c r="L219" s="180" t="str">
        <f ca="1"/>
        <v/>
      </c>
      <c r="M219" s="180" t="str">
        <f ca="1"/>
        <v/>
      </c>
      <c r="N219" s="180" t="str">
        <f ca="1"/>
        <v/>
      </c>
      <c r="O219" s="180" t="str">
        <f ca="1"/>
        <v/>
      </c>
      <c r="P219" s="180" t="str">
        <f ca="1"/>
        <v/>
      </c>
      <c r="Q219" s="180" t="str">
        <f ca="1"/>
        <v/>
      </c>
      <c r="R219" s="180" t="str">
        <f ca="1"/>
        <v/>
      </c>
      <c r="S219" s="180" t="str">
        <f ca="1"/>
        <v/>
      </c>
      <c r="T219" s="180" t="str">
        <f ca="1"/>
        <v/>
      </c>
      <c r="U219" s="180" t="str">
        <f ca="1"/>
        <v/>
      </c>
      <c r="V219" s="180" t="str">
        <f ca="1"/>
        <v/>
      </c>
      <c r="W219" s="180" t="str">
        <f ca="1"/>
        <v/>
      </c>
      <c r="X219" s="180" t="str">
        <f ca="1"/>
        <v/>
      </c>
      <c r="Y219" s="180" t="str">
        <f ca="1"/>
        <v/>
      </c>
      <c r="Z219" s="180" t="str">
        <f ca="1"/>
        <v/>
      </c>
      <c r="AA219" s="180" t="str">
        <f ca="1"/>
        <v/>
      </c>
      <c r="AB219" s="180" t="str">
        <f ca="1"/>
        <v/>
      </c>
      <c r="AC219" s="180" t="str">
        <f ca="1"/>
        <v/>
      </c>
      <c r="AD219" s="180" t="str">
        <f ca="1"/>
        <v/>
      </c>
      <c r="AE219" s="180" t="str">
        <f ca="1"/>
        <v/>
      </c>
      <c r="AF219" s="180" t="str">
        <f ca="1"/>
        <v/>
      </c>
      <c r="AG219" s="180" t="str">
        <f ca="1"/>
        <v/>
      </c>
      <c r="AH219" s="180" t="str">
        <f ca="1"/>
        <v/>
      </c>
      <c r="AI219" s="180" t="str">
        <f ca="1"/>
        <v/>
      </c>
      <c r="AJ219" s="180" t="str">
        <f ca="1"/>
        <v/>
      </c>
      <c r="AK219" s="180" t="str">
        <f ca="1"/>
        <v/>
      </c>
      <c r="AL219" s="180" t="str">
        <f ca="1"/>
        <v/>
      </c>
      <c r="AM219" s="180" t="str">
        <f ca="1"/>
        <v/>
      </c>
      <c r="AN219" s="180" t="str">
        <f ca="1"/>
        <v/>
      </c>
      <c r="AO219" s="180" t="str">
        <f ca="1"/>
        <v/>
      </c>
      <c r="AP219" s="180" t="str">
        <f ca="1"/>
        <v/>
      </c>
      <c r="AQ219" s="187" t="str">
        <f ca="1"/>
        <v/>
      </c>
    </row>
    <row r="220" spans="2:43" x14ac:dyDescent="0.25">
      <c r="B220" s="179" t="str">
        <f ca="1"/>
        <v/>
      </c>
      <c r="C220" s="180" t="str">
        <f ca="1"/>
        <v/>
      </c>
      <c r="D220" s="180" t="str">
        <f ca="1"/>
        <v/>
      </c>
      <c r="E220" s="180" t="str">
        <f ca="1"/>
        <v/>
      </c>
      <c r="F220" s="180" t="str">
        <f ca="1"/>
        <v/>
      </c>
      <c r="G220" s="180" t="str">
        <f ca="1"/>
        <v/>
      </c>
      <c r="H220" s="180" t="str">
        <f ca="1"/>
        <v/>
      </c>
      <c r="I220" s="180" t="str">
        <f ca="1"/>
        <v/>
      </c>
      <c r="J220" s="180" t="str">
        <f ca="1"/>
        <v/>
      </c>
      <c r="K220" s="180" t="str">
        <f ca="1"/>
        <v/>
      </c>
      <c r="L220" s="180" t="str">
        <f ca="1"/>
        <v/>
      </c>
      <c r="M220" s="180" t="str">
        <f ca="1"/>
        <v/>
      </c>
      <c r="N220" s="180" t="str">
        <f ca="1"/>
        <v/>
      </c>
      <c r="O220" s="180" t="str">
        <f ca="1"/>
        <v/>
      </c>
      <c r="P220" s="180" t="str">
        <f ca="1"/>
        <v/>
      </c>
      <c r="Q220" s="180" t="str">
        <f ca="1"/>
        <v/>
      </c>
      <c r="R220" s="180" t="str">
        <f ca="1"/>
        <v/>
      </c>
      <c r="S220" s="180" t="str">
        <f ca="1"/>
        <v/>
      </c>
      <c r="T220" s="180" t="str">
        <f ca="1"/>
        <v/>
      </c>
      <c r="U220" s="180" t="str">
        <f ca="1"/>
        <v/>
      </c>
      <c r="V220" s="180" t="str">
        <f ca="1"/>
        <v/>
      </c>
      <c r="W220" s="180" t="str">
        <f ca="1"/>
        <v/>
      </c>
      <c r="X220" s="180" t="str">
        <f ca="1"/>
        <v/>
      </c>
      <c r="Y220" s="180" t="str">
        <f ca="1"/>
        <v/>
      </c>
      <c r="Z220" s="180" t="str">
        <f ca="1"/>
        <v/>
      </c>
      <c r="AA220" s="180" t="str">
        <f ca="1"/>
        <v/>
      </c>
      <c r="AB220" s="180" t="str">
        <f ca="1"/>
        <v/>
      </c>
      <c r="AC220" s="180" t="str">
        <f ca="1"/>
        <v/>
      </c>
      <c r="AD220" s="180" t="str">
        <f ca="1"/>
        <v/>
      </c>
      <c r="AE220" s="180" t="str">
        <f ca="1"/>
        <v/>
      </c>
      <c r="AF220" s="180" t="str">
        <f ca="1"/>
        <v/>
      </c>
      <c r="AG220" s="180" t="str">
        <f ca="1"/>
        <v/>
      </c>
      <c r="AH220" s="180" t="str">
        <f ca="1"/>
        <v/>
      </c>
      <c r="AI220" s="180" t="str">
        <f ca="1"/>
        <v/>
      </c>
      <c r="AJ220" s="180" t="str">
        <f ca="1"/>
        <v/>
      </c>
      <c r="AK220" s="180" t="str">
        <f ca="1"/>
        <v/>
      </c>
      <c r="AL220" s="180" t="str">
        <f ca="1"/>
        <v/>
      </c>
      <c r="AM220" s="180" t="str">
        <f ca="1"/>
        <v/>
      </c>
      <c r="AN220" s="180" t="str">
        <f ca="1"/>
        <v/>
      </c>
      <c r="AO220" s="180" t="str">
        <f ca="1"/>
        <v/>
      </c>
      <c r="AP220" s="180" t="str">
        <f ca="1"/>
        <v/>
      </c>
      <c r="AQ220" s="187" t="str">
        <f ca="1"/>
        <v/>
      </c>
    </row>
    <row r="221" spans="2:43" x14ac:dyDescent="0.25">
      <c r="B221" s="179" t="str">
        <f ca="1"/>
        <v/>
      </c>
      <c r="C221" s="180" t="str">
        <f ca="1"/>
        <v/>
      </c>
      <c r="D221" s="180" t="str">
        <f ca="1"/>
        <v/>
      </c>
      <c r="E221" s="180" t="str">
        <f ca="1"/>
        <v/>
      </c>
      <c r="F221" s="180" t="str">
        <f ca="1"/>
        <v/>
      </c>
      <c r="G221" s="180" t="str">
        <f ca="1"/>
        <v/>
      </c>
      <c r="H221" s="180" t="str">
        <f ca="1"/>
        <v/>
      </c>
      <c r="I221" s="180" t="str">
        <f ca="1"/>
        <v/>
      </c>
      <c r="J221" s="180" t="str">
        <f ca="1"/>
        <v/>
      </c>
      <c r="K221" s="180" t="str">
        <f ca="1"/>
        <v/>
      </c>
      <c r="L221" s="180" t="str">
        <f ca="1"/>
        <v/>
      </c>
      <c r="M221" s="180" t="str">
        <f ca="1"/>
        <v/>
      </c>
      <c r="N221" s="180" t="str">
        <f ca="1"/>
        <v/>
      </c>
      <c r="O221" s="180" t="str">
        <f ca="1"/>
        <v/>
      </c>
      <c r="P221" s="180" t="str">
        <f ca="1"/>
        <v/>
      </c>
      <c r="Q221" s="180" t="str">
        <f ca="1"/>
        <v/>
      </c>
      <c r="R221" s="180" t="str">
        <f ca="1"/>
        <v/>
      </c>
      <c r="S221" s="180" t="str">
        <f ca="1"/>
        <v/>
      </c>
      <c r="T221" s="180" t="str">
        <f ca="1"/>
        <v/>
      </c>
      <c r="U221" s="180" t="str">
        <f ca="1"/>
        <v/>
      </c>
      <c r="V221" s="180" t="str">
        <f ca="1"/>
        <v/>
      </c>
      <c r="W221" s="180" t="str">
        <f ca="1"/>
        <v/>
      </c>
      <c r="X221" s="180" t="str">
        <f ca="1"/>
        <v/>
      </c>
      <c r="Y221" s="180" t="str">
        <f ca="1"/>
        <v/>
      </c>
      <c r="Z221" s="180" t="str">
        <f ca="1"/>
        <v/>
      </c>
      <c r="AA221" s="180" t="str">
        <f ca="1"/>
        <v/>
      </c>
      <c r="AB221" s="180" t="str">
        <f ca="1"/>
        <v/>
      </c>
      <c r="AC221" s="180" t="str">
        <f ca="1"/>
        <v/>
      </c>
      <c r="AD221" s="180" t="str">
        <f ca="1"/>
        <v/>
      </c>
      <c r="AE221" s="180" t="str">
        <f ca="1"/>
        <v/>
      </c>
      <c r="AF221" s="180" t="str">
        <f ca="1"/>
        <v/>
      </c>
      <c r="AG221" s="180" t="str">
        <f ca="1"/>
        <v/>
      </c>
      <c r="AH221" s="180" t="str">
        <f ca="1"/>
        <v/>
      </c>
      <c r="AI221" s="180" t="str">
        <f ca="1"/>
        <v/>
      </c>
      <c r="AJ221" s="180" t="str">
        <f ca="1"/>
        <v/>
      </c>
      <c r="AK221" s="180" t="str">
        <f ca="1"/>
        <v/>
      </c>
      <c r="AL221" s="180" t="str">
        <f ca="1"/>
        <v/>
      </c>
      <c r="AM221" s="180" t="str">
        <f ca="1"/>
        <v/>
      </c>
      <c r="AN221" s="180" t="str">
        <f ca="1"/>
        <v/>
      </c>
      <c r="AO221" s="180" t="str">
        <f ca="1"/>
        <v/>
      </c>
      <c r="AP221" s="180" t="str">
        <f ca="1"/>
        <v/>
      </c>
      <c r="AQ221" s="187" t="str">
        <f ca="1"/>
        <v/>
      </c>
    </row>
    <row r="222" spans="2:43" x14ac:dyDescent="0.25">
      <c r="B222" s="179" t="str">
        <f ca="1"/>
        <v/>
      </c>
      <c r="C222" s="180" t="str">
        <f ca="1"/>
        <v/>
      </c>
      <c r="D222" s="180" t="str">
        <f ca="1"/>
        <v/>
      </c>
      <c r="E222" s="180" t="str">
        <f ca="1"/>
        <v/>
      </c>
      <c r="F222" s="180" t="str">
        <f ca="1"/>
        <v/>
      </c>
      <c r="G222" s="180" t="str">
        <f ca="1"/>
        <v/>
      </c>
      <c r="H222" s="180" t="str">
        <f ca="1"/>
        <v/>
      </c>
      <c r="I222" s="180" t="str">
        <f ca="1"/>
        <v/>
      </c>
      <c r="J222" s="180" t="str">
        <f ca="1"/>
        <v/>
      </c>
      <c r="K222" s="180" t="str">
        <f ca="1"/>
        <v/>
      </c>
      <c r="L222" s="180" t="str">
        <f ca="1"/>
        <v/>
      </c>
      <c r="M222" s="180" t="str">
        <f ca="1"/>
        <v/>
      </c>
      <c r="N222" s="180" t="str">
        <f ca="1"/>
        <v/>
      </c>
      <c r="O222" s="180" t="str">
        <f ca="1"/>
        <v/>
      </c>
      <c r="P222" s="180" t="str">
        <f ca="1"/>
        <v/>
      </c>
      <c r="Q222" s="180" t="str">
        <f ca="1"/>
        <v/>
      </c>
      <c r="R222" s="180" t="str">
        <f ca="1"/>
        <v/>
      </c>
      <c r="S222" s="180" t="str">
        <f ca="1"/>
        <v/>
      </c>
      <c r="T222" s="180" t="str">
        <f ca="1"/>
        <v/>
      </c>
      <c r="U222" s="180" t="str">
        <f ca="1"/>
        <v/>
      </c>
      <c r="V222" s="180" t="str">
        <f ca="1"/>
        <v/>
      </c>
      <c r="W222" s="180" t="str">
        <f ca="1"/>
        <v/>
      </c>
      <c r="X222" s="180" t="str">
        <f ca="1"/>
        <v/>
      </c>
      <c r="Y222" s="180" t="str">
        <f ca="1"/>
        <v/>
      </c>
      <c r="Z222" s="180" t="str">
        <f ca="1"/>
        <v/>
      </c>
      <c r="AA222" s="180" t="str">
        <f ca="1"/>
        <v/>
      </c>
      <c r="AB222" s="180" t="str">
        <f ca="1"/>
        <v/>
      </c>
      <c r="AC222" s="180" t="str">
        <f ca="1"/>
        <v/>
      </c>
      <c r="AD222" s="180" t="str">
        <f ca="1"/>
        <v/>
      </c>
      <c r="AE222" s="180" t="str">
        <f ca="1"/>
        <v/>
      </c>
      <c r="AF222" s="180" t="str">
        <f ca="1"/>
        <v/>
      </c>
      <c r="AG222" s="180" t="str">
        <f ca="1"/>
        <v/>
      </c>
      <c r="AH222" s="180" t="str">
        <f ca="1"/>
        <v/>
      </c>
      <c r="AI222" s="180" t="str">
        <f ca="1"/>
        <v/>
      </c>
      <c r="AJ222" s="180" t="str">
        <f ca="1"/>
        <v/>
      </c>
      <c r="AK222" s="180" t="str">
        <f ca="1"/>
        <v/>
      </c>
      <c r="AL222" s="180" t="str">
        <f ca="1"/>
        <v/>
      </c>
      <c r="AM222" s="180" t="str">
        <f ca="1"/>
        <v/>
      </c>
      <c r="AN222" s="180" t="str">
        <f ca="1"/>
        <v/>
      </c>
      <c r="AO222" s="180" t="str">
        <f ca="1"/>
        <v/>
      </c>
      <c r="AP222" s="180" t="str">
        <f ca="1"/>
        <v/>
      </c>
      <c r="AQ222" s="187" t="str">
        <f ca="1"/>
        <v/>
      </c>
    </row>
    <row r="223" spans="2:43" x14ac:dyDescent="0.25">
      <c r="B223" s="179" t="str">
        <f ca="1"/>
        <v/>
      </c>
      <c r="C223" s="180" t="str">
        <f ca="1"/>
        <v/>
      </c>
      <c r="D223" s="180" t="str">
        <f ca="1"/>
        <v/>
      </c>
      <c r="E223" s="180" t="str">
        <f ca="1"/>
        <v/>
      </c>
      <c r="F223" s="180" t="str">
        <f ca="1"/>
        <v/>
      </c>
      <c r="G223" s="180" t="str">
        <f ca="1"/>
        <v/>
      </c>
      <c r="H223" s="180" t="str">
        <f ca="1"/>
        <v/>
      </c>
      <c r="I223" s="180" t="str">
        <f ca="1"/>
        <v/>
      </c>
      <c r="J223" s="180" t="str">
        <f ca="1"/>
        <v/>
      </c>
      <c r="K223" s="180" t="str">
        <f ca="1"/>
        <v/>
      </c>
      <c r="L223" s="180" t="str">
        <f ca="1"/>
        <v/>
      </c>
      <c r="M223" s="180" t="str">
        <f ca="1"/>
        <v/>
      </c>
      <c r="N223" s="180" t="str">
        <f ca="1"/>
        <v/>
      </c>
      <c r="O223" s="180" t="str">
        <f ca="1"/>
        <v/>
      </c>
      <c r="P223" s="180" t="str">
        <f ca="1"/>
        <v/>
      </c>
      <c r="Q223" s="180" t="str">
        <f ca="1"/>
        <v/>
      </c>
      <c r="R223" s="180" t="str">
        <f ca="1"/>
        <v/>
      </c>
      <c r="S223" s="180" t="str">
        <f ca="1"/>
        <v/>
      </c>
      <c r="T223" s="180" t="str">
        <f ca="1"/>
        <v/>
      </c>
      <c r="U223" s="180" t="str">
        <f ca="1"/>
        <v/>
      </c>
      <c r="V223" s="180" t="str">
        <f ca="1"/>
        <v/>
      </c>
      <c r="W223" s="180" t="str">
        <f ca="1"/>
        <v/>
      </c>
      <c r="X223" s="180" t="str">
        <f ca="1"/>
        <v/>
      </c>
      <c r="Y223" s="180" t="str">
        <f ca="1"/>
        <v/>
      </c>
      <c r="Z223" s="180" t="str">
        <f ca="1"/>
        <v/>
      </c>
      <c r="AA223" s="180" t="str">
        <f ca="1"/>
        <v/>
      </c>
      <c r="AB223" s="180" t="str">
        <f ca="1"/>
        <v/>
      </c>
      <c r="AC223" s="180" t="str">
        <f ca="1"/>
        <v/>
      </c>
      <c r="AD223" s="180" t="str">
        <f ca="1"/>
        <v/>
      </c>
      <c r="AE223" s="180" t="str">
        <f ca="1"/>
        <v/>
      </c>
      <c r="AF223" s="180" t="str">
        <f ca="1"/>
        <v/>
      </c>
      <c r="AG223" s="180" t="str">
        <f ca="1"/>
        <v/>
      </c>
      <c r="AH223" s="180" t="str">
        <f ca="1"/>
        <v/>
      </c>
      <c r="AI223" s="180" t="str">
        <f ca="1"/>
        <v/>
      </c>
      <c r="AJ223" s="180" t="str">
        <f ca="1"/>
        <v/>
      </c>
      <c r="AK223" s="180" t="str">
        <f ca="1"/>
        <v/>
      </c>
      <c r="AL223" s="180" t="str">
        <f ca="1"/>
        <v/>
      </c>
      <c r="AM223" s="180" t="str">
        <f ca="1"/>
        <v/>
      </c>
      <c r="AN223" s="180" t="str">
        <f ca="1"/>
        <v/>
      </c>
      <c r="AO223" s="180" t="str">
        <f ca="1"/>
        <v/>
      </c>
      <c r="AP223" s="180" t="str">
        <f ca="1"/>
        <v/>
      </c>
      <c r="AQ223" s="187" t="str">
        <f ca="1"/>
        <v/>
      </c>
    </row>
    <row r="224" spans="2:43" x14ac:dyDescent="0.25">
      <c r="B224" s="179" t="str">
        <f ca="1"/>
        <v/>
      </c>
      <c r="C224" s="180" t="str">
        <f ca="1"/>
        <v/>
      </c>
      <c r="D224" s="180" t="str">
        <f ca="1"/>
        <v/>
      </c>
      <c r="E224" s="180" t="str">
        <f ca="1"/>
        <v/>
      </c>
      <c r="F224" s="180" t="str">
        <f ca="1"/>
        <v/>
      </c>
      <c r="G224" s="180" t="str">
        <f ca="1"/>
        <v/>
      </c>
      <c r="H224" s="180" t="str">
        <f ca="1"/>
        <v/>
      </c>
      <c r="I224" s="180" t="str">
        <f ca="1"/>
        <v/>
      </c>
      <c r="J224" s="180" t="str">
        <f ca="1"/>
        <v/>
      </c>
      <c r="K224" s="180" t="str">
        <f ca="1"/>
        <v/>
      </c>
      <c r="L224" s="180" t="str">
        <f ca="1"/>
        <v/>
      </c>
      <c r="M224" s="180" t="str">
        <f ca="1"/>
        <v/>
      </c>
      <c r="N224" s="180" t="str">
        <f ca="1"/>
        <v/>
      </c>
      <c r="O224" s="180" t="str">
        <f ca="1"/>
        <v/>
      </c>
      <c r="P224" s="180" t="str">
        <f ca="1"/>
        <v/>
      </c>
      <c r="Q224" s="180" t="str">
        <f ca="1"/>
        <v/>
      </c>
      <c r="R224" s="180" t="str">
        <f ca="1"/>
        <v/>
      </c>
      <c r="S224" s="180" t="str">
        <f ca="1"/>
        <v/>
      </c>
      <c r="T224" s="180" t="str">
        <f ca="1"/>
        <v/>
      </c>
      <c r="U224" s="180" t="str">
        <f ca="1"/>
        <v/>
      </c>
      <c r="V224" s="180" t="str">
        <f ca="1"/>
        <v/>
      </c>
      <c r="W224" s="180" t="str">
        <f ca="1"/>
        <v/>
      </c>
      <c r="X224" s="180" t="str">
        <f ca="1"/>
        <v/>
      </c>
      <c r="Y224" s="180" t="str">
        <f ca="1"/>
        <v/>
      </c>
      <c r="Z224" s="180" t="str">
        <f ca="1"/>
        <v/>
      </c>
      <c r="AA224" s="180" t="str">
        <f ca="1"/>
        <v/>
      </c>
      <c r="AB224" s="180" t="str">
        <f ca="1"/>
        <v/>
      </c>
      <c r="AC224" s="180" t="str">
        <f ca="1"/>
        <v/>
      </c>
      <c r="AD224" s="180" t="str">
        <f ca="1"/>
        <v/>
      </c>
      <c r="AE224" s="180" t="str">
        <f ca="1"/>
        <v/>
      </c>
      <c r="AF224" s="180" t="str">
        <f ca="1"/>
        <v/>
      </c>
      <c r="AG224" s="180" t="str">
        <f ca="1"/>
        <v/>
      </c>
      <c r="AH224" s="180" t="str">
        <f ca="1"/>
        <v/>
      </c>
      <c r="AI224" s="180" t="str">
        <f ca="1"/>
        <v/>
      </c>
      <c r="AJ224" s="180" t="str">
        <f ca="1"/>
        <v/>
      </c>
      <c r="AK224" s="180" t="str">
        <f ca="1"/>
        <v/>
      </c>
      <c r="AL224" s="180" t="str">
        <f ca="1"/>
        <v/>
      </c>
      <c r="AM224" s="180" t="str">
        <f ca="1"/>
        <v/>
      </c>
      <c r="AN224" s="180" t="str">
        <f ca="1"/>
        <v/>
      </c>
      <c r="AO224" s="180" t="str">
        <f ca="1"/>
        <v/>
      </c>
      <c r="AP224" s="180" t="str">
        <f ca="1"/>
        <v/>
      </c>
      <c r="AQ224" s="187" t="str">
        <f ca="1"/>
        <v/>
      </c>
    </row>
    <row r="225" spans="2:43" x14ac:dyDescent="0.25">
      <c r="B225" s="179" t="str">
        <f ca="1"/>
        <v/>
      </c>
      <c r="C225" s="180" t="str">
        <f ca="1"/>
        <v/>
      </c>
      <c r="D225" s="180" t="str">
        <f ca="1"/>
        <v/>
      </c>
      <c r="E225" s="180" t="str">
        <f ca="1"/>
        <v/>
      </c>
      <c r="F225" s="180" t="str">
        <f ca="1"/>
        <v/>
      </c>
      <c r="G225" s="180" t="str">
        <f ca="1"/>
        <v/>
      </c>
      <c r="H225" s="180" t="str">
        <f ca="1"/>
        <v/>
      </c>
      <c r="I225" s="180" t="str">
        <f ca="1"/>
        <v/>
      </c>
      <c r="J225" s="180" t="str">
        <f ca="1"/>
        <v/>
      </c>
      <c r="K225" s="180" t="str">
        <f ca="1"/>
        <v/>
      </c>
      <c r="L225" s="180" t="str">
        <f ca="1"/>
        <v/>
      </c>
      <c r="M225" s="180" t="str">
        <f ca="1"/>
        <v/>
      </c>
      <c r="N225" s="180" t="str">
        <f ca="1"/>
        <v/>
      </c>
      <c r="O225" s="180" t="str">
        <f ca="1"/>
        <v/>
      </c>
      <c r="P225" s="180" t="str">
        <f ca="1"/>
        <v/>
      </c>
      <c r="Q225" s="180" t="str">
        <f ca="1"/>
        <v/>
      </c>
      <c r="R225" s="180" t="str">
        <f ca="1"/>
        <v/>
      </c>
      <c r="S225" s="180" t="str">
        <f ca="1"/>
        <v/>
      </c>
      <c r="T225" s="180" t="str">
        <f ca="1"/>
        <v/>
      </c>
      <c r="U225" s="180" t="str">
        <f ca="1"/>
        <v/>
      </c>
      <c r="V225" s="180" t="str">
        <f ca="1"/>
        <v/>
      </c>
      <c r="W225" s="180" t="str">
        <f ca="1"/>
        <v/>
      </c>
      <c r="X225" s="180" t="str">
        <f ca="1"/>
        <v/>
      </c>
      <c r="Y225" s="180" t="str">
        <f ca="1"/>
        <v/>
      </c>
      <c r="Z225" s="180" t="str">
        <f ca="1"/>
        <v/>
      </c>
      <c r="AA225" s="180" t="str">
        <f ca="1"/>
        <v/>
      </c>
      <c r="AB225" s="180" t="str">
        <f ca="1"/>
        <v/>
      </c>
      <c r="AC225" s="180" t="str">
        <f ca="1"/>
        <v/>
      </c>
      <c r="AD225" s="180" t="str">
        <f ca="1"/>
        <v/>
      </c>
      <c r="AE225" s="180" t="str">
        <f ca="1"/>
        <v/>
      </c>
      <c r="AF225" s="180" t="str">
        <f ca="1"/>
        <v/>
      </c>
      <c r="AG225" s="180" t="str">
        <f ca="1"/>
        <v/>
      </c>
      <c r="AH225" s="180" t="str">
        <f ca="1"/>
        <v/>
      </c>
      <c r="AI225" s="180" t="str">
        <f ca="1"/>
        <v/>
      </c>
      <c r="AJ225" s="180" t="str">
        <f ca="1"/>
        <v/>
      </c>
      <c r="AK225" s="180" t="str">
        <f ca="1"/>
        <v/>
      </c>
      <c r="AL225" s="180" t="str">
        <f ca="1"/>
        <v/>
      </c>
      <c r="AM225" s="180" t="str">
        <f ca="1"/>
        <v/>
      </c>
      <c r="AN225" s="180" t="str">
        <f ca="1"/>
        <v/>
      </c>
      <c r="AO225" s="180" t="str">
        <f ca="1"/>
        <v/>
      </c>
      <c r="AP225" s="180" t="str">
        <f ca="1"/>
        <v/>
      </c>
      <c r="AQ225" s="187" t="str">
        <f ca="1"/>
        <v/>
      </c>
    </row>
    <row r="226" spans="2:43" x14ac:dyDescent="0.25">
      <c r="B226" s="179" t="str">
        <f ca="1"/>
        <v/>
      </c>
      <c r="C226" s="180" t="str">
        <f ca="1"/>
        <v/>
      </c>
      <c r="D226" s="180" t="str">
        <f ca="1"/>
        <v/>
      </c>
      <c r="E226" s="180" t="str">
        <f ca="1"/>
        <v/>
      </c>
      <c r="F226" s="180" t="str">
        <f ca="1"/>
        <v/>
      </c>
      <c r="G226" s="180" t="str">
        <f ca="1"/>
        <v/>
      </c>
      <c r="H226" s="180" t="str">
        <f ca="1"/>
        <v/>
      </c>
      <c r="I226" s="180" t="str">
        <f ca="1"/>
        <v/>
      </c>
      <c r="J226" s="180" t="str">
        <f ca="1"/>
        <v/>
      </c>
      <c r="K226" s="180" t="str">
        <f ca="1"/>
        <v/>
      </c>
      <c r="L226" s="180" t="str">
        <f ca="1"/>
        <v/>
      </c>
      <c r="M226" s="180" t="str">
        <f ca="1"/>
        <v/>
      </c>
      <c r="N226" s="180" t="str">
        <f ca="1"/>
        <v/>
      </c>
      <c r="O226" s="180" t="str">
        <f ca="1"/>
        <v/>
      </c>
      <c r="P226" s="180" t="str">
        <f ca="1"/>
        <v/>
      </c>
      <c r="Q226" s="180" t="str">
        <f ca="1"/>
        <v/>
      </c>
      <c r="R226" s="180" t="str">
        <f ca="1"/>
        <v/>
      </c>
      <c r="S226" s="180" t="str">
        <f ca="1"/>
        <v/>
      </c>
      <c r="T226" s="180" t="str">
        <f ca="1"/>
        <v/>
      </c>
      <c r="U226" s="180" t="str">
        <f ca="1"/>
        <v/>
      </c>
      <c r="V226" s="180" t="str">
        <f ca="1"/>
        <v/>
      </c>
      <c r="W226" s="180" t="str">
        <f ca="1"/>
        <v/>
      </c>
      <c r="X226" s="180" t="str">
        <f ca="1"/>
        <v/>
      </c>
      <c r="Y226" s="180" t="str">
        <f ca="1"/>
        <v/>
      </c>
      <c r="Z226" s="180" t="str">
        <f ca="1"/>
        <v/>
      </c>
      <c r="AA226" s="180" t="str">
        <f ca="1"/>
        <v/>
      </c>
      <c r="AB226" s="180" t="str">
        <f ca="1"/>
        <v/>
      </c>
      <c r="AC226" s="180" t="str">
        <f ca="1"/>
        <v/>
      </c>
      <c r="AD226" s="180" t="str">
        <f ca="1"/>
        <v/>
      </c>
      <c r="AE226" s="180" t="str">
        <f ca="1"/>
        <v/>
      </c>
      <c r="AF226" s="180" t="str">
        <f ca="1"/>
        <v/>
      </c>
      <c r="AG226" s="180" t="str">
        <f ca="1"/>
        <v/>
      </c>
      <c r="AH226" s="180" t="str">
        <f ca="1"/>
        <v/>
      </c>
      <c r="AI226" s="180" t="str">
        <f ca="1"/>
        <v/>
      </c>
      <c r="AJ226" s="180" t="str">
        <f ca="1"/>
        <v/>
      </c>
      <c r="AK226" s="180" t="str">
        <f ca="1"/>
        <v/>
      </c>
      <c r="AL226" s="180" t="str">
        <f ca="1"/>
        <v/>
      </c>
      <c r="AM226" s="180" t="str">
        <f ca="1"/>
        <v/>
      </c>
      <c r="AN226" s="180" t="str">
        <f ca="1"/>
        <v/>
      </c>
      <c r="AO226" s="180" t="str">
        <f ca="1"/>
        <v/>
      </c>
      <c r="AP226" s="180" t="str">
        <f ca="1"/>
        <v/>
      </c>
      <c r="AQ226" s="187" t="str">
        <f ca="1"/>
        <v/>
      </c>
    </row>
    <row r="227" spans="2:43" x14ac:dyDescent="0.25">
      <c r="B227" s="179" t="str">
        <f ca="1"/>
        <v/>
      </c>
      <c r="C227" s="180" t="str">
        <f ca="1"/>
        <v/>
      </c>
      <c r="D227" s="180" t="str">
        <f ca="1"/>
        <v/>
      </c>
      <c r="E227" s="180" t="str">
        <f ca="1"/>
        <v/>
      </c>
      <c r="F227" s="180" t="str">
        <f ca="1"/>
        <v/>
      </c>
      <c r="G227" s="180" t="str">
        <f ca="1"/>
        <v/>
      </c>
      <c r="H227" s="180" t="str">
        <f ca="1"/>
        <v/>
      </c>
      <c r="I227" s="180" t="str">
        <f ca="1"/>
        <v/>
      </c>
      <c r="J227" s="180" t="str">
        <f ca="1"/>
        <v/>
      </c>
      <c r="K227" s="180" t="str">
        <f ca="1"/>
        <v/>
      </c>
      <c r="L227" s="180" t="str">
        <f ca="1"/>
        <v/>
      </c>
      <c r="M227" s="180" t="str">
        <f ca="1"/>
        <v/>
      </c>
      <c r="N227" s="180" t="str">
        <f ca="1"/>
        <v/>
      </c>
      <c r="O227" s="180" t="str">
        <f ca="1"/>
        <v/>
      </c>
      <c r="P227" s="180" t="str">
        <f ca="1"/>
        <v/>
      </c>
      <c r="Q227" s="180" t="str">
        <f ca="1"/>
        <v/>
      </c>
      <c r="R227" s="180" t="str">
        <f ca="1"/>
        <v/>
      </c>
      <c r="S227" s="180" t="str">
        <f ca="1"/>
        <v/>
      </c>
      <c r="T227" s="180" t="str">
        <f ca="1"/>
        <v/>
      </c>
      <c r="U227" s="180" t="str">
        <f ca="1"/>
        <v/>
      </c>
      <c r="V227" s="180" t="str">
        <f ca="1"/>
        <v/>
      </c>
      <c r="W227" s="180" t="str">
        <f ca="1"/>
        <v/>
      </c>
      <c r="X227" s="180" t="str">
        <f ca="1"/>
        <v/>
      </c>
      <c r="Y227" s="180" t="str">
        <f ca="1"/>
        <v/>
      </c>
      <c r="Z227" s="180" t="str">
        <f ca="1"/>
        <v/>
      </c>
      <c r="AA227" s="180" t="str">
        <f ca="1"/>
        <v/>
      </c>
      <c r="AB227" s="180" t="str">
        <f ca="1"/>
        <v/>
      </c>
      <c r="AC227" s="180" t="str">
        <f ca="1"/>
        <v/>
      </c>
      <c r="AD227" s="180" t="str">
        <f ca="1"/>
        <v/>
      </c>
      <c r="AE227" s="180" t="str">
        <f ca="1"/>
        <v/>
      </c>
      <c r="AF227" s="180" t="str">
        <f ca="1"/>
        <v/>
      </c>
      <c r="AG227" s="180" t="str">
        <f ca="1"/>
        <v/>
      </c>
      <c r="AH227" s="180" t="str">
        <f ca="1"/>
        <v/>
      </c>
      <c r="AI227" s="180" t="str">
        <f ca="1"/>
        <v/>
      </c>
      <c r="AJ227" s="180" t="str">
        <f ca="1"/>
        <v/>
      </c>
      <c r="AK227" s="180" t="str">
        <f ca="1"/>
        <v/>
      </c>
      <c r="AL227" s="180" t="str">
        <f ca="1"/>
        <v/>
      </c>
      <c r="AM227" s="180" t="str">
        <f ca="1"/>
        <v/>
      </c>
      <c r="AN227" s="180" t="str">
        <f ca="1"/>
        <v/>
      </c>
      <c r="AO227" s="180" t="str">
        <f ca="1"/>
        <v/>
      </c>
      <c r="AP227" s="180" t="str">
        <f ca="1"/>
        <v/>
      </c>
      <c r="AQ227" s="187" t="str">
        <f ca="1"/>
        <v/>
      </c>
    </row>
    <row r="228" spans="2:43" x14ac:dyDescent="0.25">
      <c r="B228" s="179" t="str">
        <f ca="1"/>
        <v/>
      </c>
      <c r="C228" s="180" t="str">
        <f ca="1"/>
        <v/>
      </c>
      <c r="D228" s="180" t="str">
        <f ca="1"/>
        <v/>
      </c>
      <c r="E228" s="180" t="str">
        <f ca="1"/>
        <v/>
      </c>
      <c r="F228" s="180" t="str">
        <f ca="1"/>
        <v/>
      </c>
      <c r="G228" s="180" t="str">
        <f ca="1"/>
        <v/>
      </c>
      <c r="H228" s="180" t="str">
        <f ca="1"/>
        <v/>
      </c>
      <c r="I228" s="180" t="str">
        <f ca="1"/>
        <v/>
      </c>
      <c r="J228" s="180" t="str">
        <f ca="1"/>
        <v/>
      </c>
      <c r="K228" s="180" t="str">
        <f ca="1"/>
        <v/>
      </c>
      <c r="L228" s="180" t="str">
        <f ca="1"/>
        <v/>
      </c>
      <c r="M228" s="180" t="str">
        <f ca="1"/>
        <v/>
      </c>
      <c r="N228" s="180" t="str">
        <f ca="1"/>
        <v/>
      </c>
      <c r="O228" s="180" t="str">
        <f ca="1"/>
        <v/>
      </c>
      <c r="P228" s="180" t="str">
        <f ca="1"/>
        <v/>
      </c>
      <c r="Q228" s="180" t="str">
        <f ca="1"/>
        <v/>
      </c>
      <c r="R228" s="180" t="str">
        <f ca="1"/>
        <v/>
      </c>
      <c r="S228" s="180" t="str">
        <f ca="1"/>
        <v/>
      </c>
      <c r="T228" s="180" t="str">
        <f ca="1"/>
        <v/>
      </c>
      <c r="U228" s="180" t="str">
        <f ca="1"/>
        <v/>
      </c>
      <c r="V228" s="180" t="str">
        <f ca="1"/>
        <v/>
      </c>
      <c r="W228" s="180" t="str">
        <f ca="1"/>
        <v/>
      </c>
      <c r="X228" s="180" t="str">
        <f ca="1"/>
        <v/>
      </c>
      <c r="Y228" s="180" t="str">
        <f ca="1"/>
        <v/>
      </c>
      <c r="Z228" s="180" t="str">
        <f ca="1"/>
        <v/>
      </c>
      <c r="AA228" s="180" t="str">
        <f ca="1"/>
        <v/>
      </c>
      <c r="AB228" s="180" t="str">
        <f ca="1"/>
        <v/>
      </c>
      <c r="AC228" s="180" t="str">
        <f ca="1"/>
        <v/>
      </c>
      <c r="AD228" s="180" t="str">
        <f ca="1"/>
        <v/>
      </c>
      <c r="AE228" s="180" t="str">
        <f ca="1"/>
        <v/>
      </c>
      <c r="AF228" s="180" t="str">
        <f ca="1"/>
        <v/>
      </c>
      <c r="AG228" s="180" t="str">
        <f ca="1"/>
        <v/>
      </c>
      <c r="AH228" s="180" t="str">
        <f ca="1"/>
        <v/>
      </c>
      <c r="AI228" s="180" t="str">
        <f ca="1"/>
        <v/>
      </c>
      <c r="AJ228" s="180" t="str">
        <f ca="1"/>
        <v/>
      </c>
      <c r="AK228" s="180" t="str">
        <f ca="1"/>
        <v/>
      </c>
      <c r="AL228" s="180" t="str">
        <f ca="1"/>
        <v/>
      </c>
      <c r="AM228" s="180" t="str">
        <f ca="1"/>
        <v/>
      </c>
      <c r="AN228" s="180" t="str">
        <f ca="1"/>
        <v/>
      </c>
      <c r="AO228" s="180" t="str">
        <f ca="1"/>
        <v/>
      </c>
      <c r="AP228" s="180" t="str">
        <f ca="1"/>
        <v/>
      </c>
      <c r="AQ228" s="187" t="str">
        <f ca="1"/>
        <v/>
      </c>
    </row>
    <row r="229" spans="2:43" x14ac:dyDescent="0.25">
      <c r="B229" s="179" t="str">
        <f ca="1"/>
        <v/>
      </c>
      <c r="C229" s="180" t="str">
        <f ca="1"/>
        <v/>
      </c>
      <c r="D229" s="180" t="str">
        <f ca="1"/>
        <v/>
      </c>
      <c r="E229" s="180" t="str">
        <f ca="1"/>
        <v/>
      </c>
      <c r="F229" s="180" t="str">
        <f ca="1"/>
        <v/>
      </c>
      <c r="G229" s="180" t="str">
        <f ca="1"/>
        <v/>
      </c>
      <c r="H229" s="180" t="str">
        <f ca="1"/>
        <v/>
      </c>
      <c r="I229" s="180" t="str">
        <f ca="1"/>
        <v/>
      </c>
      <c r="J229" s="180" t="str">
        <f ca="1"/>
        <v/>
      </c>
      <c r="K229" s="180" t="str">
        <f ca="1"/>
        <v/>
      </c>
      <c r="L229" s="180" t="str">
        <f ca="1"/>
        <v/>
      </c>
      <c r="M229" s="180" t="str">
        <f ca="1"/>
        <v/>
      </c>
      <c r="N229" s="180" t="str">
        <f ca="1"/>
        <v/>
      </c>
      <c r="O229" s="180" t="str">
        <f ca="1"/>
        <v/>
      </c>
      <c r="P229" s="180" t="str">
        <f ca="1"/>
        <v/>
      </c>
      <c r="Q229" s="180" t="str">
        <f ca="1"/>
        <v/>
      </c>
      <c r="R229" s="180" t="str">
        <f ca="1"/>
        <v/>
      </c>
      <c r="S229" s="180" t="str">
        <f ca="1"/>
        <v/>
      </c>
      <c r="T229" s="180" t="str">
        <f ca="1"/>
        <v/>
      </c>
      <c r="U229" s="180" t="str">
        <f ca="1"/>
        <v/>
      </c>
      <c r="V229" s="180" t="str">
        <f ca="1"/>
        <v/>
      </c>
      <c r="W229" s="180" t="str">
        <f ca="1"/>
        <v/>
      </c>
      <c r="X229" s="180" t="str">
        <f ca="1"/>
        <v/>
      </c>
      <c r="Y229" s="180" t="str">
        <f ca="1"/>
        <v/>
      </c>
      <c r="Z229" s="180" t="str">
        <f ca="1"/>
        <v/>
      </c>
      <c r="AA229" s="180" t="str">
        <f ca="1"/>
        <v/>
      </c>
      <c r="AB229" s="180" t="str">
        <f ca="1"/>
        <v/>
      </c>
      <c r="AC229" s="180" t="str">
        <f ca="1"/>
        <v/>
      </c>
      <c r="AD229" s="180" t="str">
        <f ca="1"/>
        <v/>
      </c>
      <c r="AE229" s="180" t="str">
        <f ca="1"/>
        <v/>
      </c>
      <c r="AF229" s="180" t="str">
        <f ca="1"/>
        <v/>
      </c>
      <c r="AG229" s="180" t="str">
        <f ca="1"/>
        <v/>
      </c>
      <c r="AH229" s="180" t="str">
        <f ca="1"/>
        <v/>
      </c>
      <c r="AI229" s="180" t="str">
        <f ca="1"/>
        <v/>
      </c>
      <c r="AJ229" s="180" t="str">
        <f ca="1"/>
        <v/>
      </c>
      <c r="AK229" s="180" t="str">
        <f ca="1"/>
        <v/>
      </c>
      <c r="AL229" s="180" t="str">
        <f ca="1"/>
        <v/>
      </c>
      <c r="AM229" s="180" t="str">
        <f ca="1"/>
        <v/>
      </c>
      <c r="AN229" s="180" t="str">
        <f ca="1"/>
        <v/>
      </c>
      <c r="AO229" s="180" t="str">
        <f ca="1"/>
        <v/>
      </c>
      <c r="AP229" s="180" t="str">
        <f ca="1"/>
        <v/>
      </c>
      <c r="AQ229" s="187" t="str">
        <f ca="1"/>
        <v/>
      </c>
    </row>
    <row r="230" spans="2:43" x14ac:dyDescent="0.25">
      <c r="B230" s="179" t="str">
        <f ca="1"/>
        <v/>
      </c>
      <c r="C230" s="180" t="str">
        <f ca="1"/>
        <v/>
      </c>
      <c r="D230" s="180" t="str">
        <f ca="1"/>
        <v/>
      </c>
      <c r="E230" s="180" t="str">
        <f ca="1"/>
        <v/>
      </c>
      <c r="F230" s="180" t="str">
        <f ca="1"/>
        <v/>
      </c>
      <c r="G230" s="180" t="str">
        <f ca="1"/>
        <v/>
      </c>
      <c r="H230" s="180" t="str">
        <f ca="1"/>
        <v/>
      </c>
      <c r="I230" s="180" t="str">
        <f ca="1"/>
        <v/>
      </c>
      <c r="J230" s="180" t="str">
        <f ca="1"/>
        <v/>
      </c>
      <c r="K230" s="180" t="str">
        <f ca="1"/>
        <v/>
      </c>
      <c r="L230" s="180" t="str">
        <f ca="1"/>
        <v/>
      </c>
      <c r="M230" s="180" t="str">
        <f ca="1"/>
        <v/>
      </c>
      <c r="N230" s="180" t="str">
        <f ca="1"/>
        <v/>
      </c>
      <c r="O230" s="180" t="str">
        <f ca="1"/>
        <v/>
      </c>
      <c r="P230" s="180" t="str">
        <f ca="1"/>
        <v/>
      </c>
      <c r="Q230" s="180" t="str">
        <f ca="1"/>
        <v/>
      </c>
      <c r="R230" s="180" t="str">
        <f ca="1"/>
        <v/>
      </c>
      <c r="S230" s="180" t="str">
        <f ca="1"/>
        <v/>
      </c>
      <c r="T230" s="180" t="str">
        <f ca="1"/>
        <v/>
      </c>
      <c r="U230" s="180" t="str">
        <f ca="1"/>
        <v/>
      </c>
      <c r="V230" s="180" t="str">
        <f ca="1"/>
        <v/>
      </c>
      <c r="W230" s="180" t="str">
        <f ca="1"/>
        <v/>
      </c>
      <c r="X230" s="180" t="str">
        <f ca="1"/>
        <v/>
      </c>
      <c r="Y230" s="180" t="str">
        <f ca="1"/>
        <v/>
      </c>
      <c r="Z230" s="180" t="str">
        <f ca="1"/>
        <v/>
      </c>
      <c r="AA230" s="180" t="str">
        <f ca="1"/>
        <v/>
      </c>
      <c r="AB230" s="180" t="str">
        <f ca="1"/>
        <v/>
      </c>
      <c r="AC230" s="180" t="str">
        <f ca="1"/>
        <v/>
      </c>
      <c r="AD230" s="180" t="str">
        <f ca="1"/>
        <v/>
      </c>
      <c r="AE230" s="180" t="str">
        <f ca="1"/>
        <v/>
      </c>
      <c r="AF230" s="180" t="str">
        <f ca="1"/>
        <v/>
      </c>
      <c r="AG230" s="180" t="str">
        <f ca="1"/>
        <v/>
      </c>
      <c r="AH230" s="180" t="str">
        <f ca="1"/>
        <v/>
      </c>
      <c r="AI230" s="180" t="str">
        <f ca="1"/>
        <v/>
      </c>
      <c r="AJ230" s="180" t="str">
        <f ca="1"/>
        <v/>
      </c>
      <c r="AK230" s="180" t="str">
        <f ca="1"/>
        <v/>
      </c>
      <c r="AL230" s="180" t="str">
        <f ca="1"/>
        <v/>
      </c>
      <c r="AM230" s="180" t="str">
        <f ca="1"/>
        <v/>
      </c>
      <c r="AN230" s="180" t="str">
        <f ca="1"/>
        <v/>
      </c>
      <c r="AO230" s="180" t="str">
        <f ca="1"/>
        <v/>
      </c>
      <c r="AP230" s="180" t="str">
        <f ca="1"/>
        <v/>
      </c>
      <c r="AQ230" s="187" t="str">
        <f ca="1"/>
        <v/>
      </c>
    </row>
    <row r="231" spans="2:43" x14ac:dyDescent="0.25">
      <c r="B231" s="179" t="str">
        <f ca="1"/>
        <v/>
      </c>
      <c r="C231" s="180" t="str">
        <f ca="1"/>
        <v/>
      </c>
      <c r="D231" s="180" t="str">
        <f ca="1"/>
        <v/>
      </c>
      <c r="E231" s="180" t="str">
        <f ca="1"/>
        <v/>
      </c>
      <c r="F231" s="180" t="str">
        <f ca="1"/>
        <v/>
      </c>
      <c r="G231" s="180" t="str">
        <f ca="1"/>
        <v/>
      </c>
      <c r="H231" s="180" t="str">
        <f ca="1"/>
        <v/>
      </c>
      <c r="I231" s="180" t="str">
        <f ca="1"/>
        <v/>
      </c>
      <c r="J231" s="180" t="str">
        <f ca="1"/>
        <v/>
      </c>
      <c r="K231" s="180" t="str">
        <f ca="1"/>
        <v/>
      </c>
      <c r="L231" s="180" t="str">
        <f ca="1"/>
        <v/>
      </c>
      <c r="M231" s="180" t="str">
        <f ca="1"/>
        <v/>
      </c>
      <c r="N231" s="180" t="str">
        <f ca="1"/>
        <v/>
      </c>
      <c r="O231" s="180" t="str">
        <f ca="1"/>
        <v/>
      </c>
      <c r="P231" s="180" t="str">
        <f ca="1"/>
        <v/>
      </c>
      <c r="Q231" s="180" t="str">
        <f ca="1"/>
        <v/>
      </c>
      <c r="R231" s="180" t="str">
        <f ca="1"/>
        <v/>
      </c>
      <c r="S231" s="180" t="str">
        <f ca="1"/>
        <v/>
      </c>
      <c r="T231" s="180" t="str">
        <f ca="1"/>
        <v/>
      </c>
      <c r="U231" s="180" t="str">
        <f ca="1"/>
        <v/>
      </c>
      <c r="V231" s="180" t="str">
        <f ca="1"/>
        <v/>
      </c>
      <c r="W231" s="180" t="str">
        <f ca="1"/>
        <v/>
      </c>
      <c r="X231" s="180" t="str">
        <f ca="1"/>
        <v/>
      </c>
      <c r="Y231" s="180" t="str">
        <f ca="1"/>
        <v/>
      </c>
      <c r="Z231" s="180" t="str">
        <f ca="1"/>
        <v/>
      </c>
      <c r="AA231" s="180" t="str">
        <f ca="1"/>
        <v/>
      </c>
      <c r="AB231" s="180" t="str">
        <f ca="1"/>
        <v/>
      </c>
      <c r="AC231" s="180" t="str">
        <f ca="1"/>
        <v/>
      </c>
      <c r="AD231" s="180" t="str">
        <f ca="1"/>
        <v/>
      </c>
      <c r="AE231" s="180" t="str">
        <f ca="1"/>
        <v/>
      </c>
      <c r="AF231" s="180" t="str">
        <f ca="1"/>
        <v/>
      </c>
      <c r="AG231" s="180" t="str">
        <f ca="1"/>
        <v/>
      </c>
      <c r="AH231" s="180" t="str">
        <f ca="1"/>
        <v/>
      </c>
      <c r="AI231" s="180" t="str">
        <f ca="1"/>
        <v/>
      </c>
      <c r="AJ231" s="180" t="str">
        <f ca="1"/>
        <v/>
      </c>
      <c r="AK231" s="180" t="str">
        <f ca="1"/>
        <v/>
      </c>
      <c r="AL231" s="180" t="str">
        <f ca="1"/>
        <v/>
      </c>
      <c r="AM231" s="180" t="str">
        <f ca="1"/>
        <v/>
      </c>
      <c r="AN231" s="180" t="str">
        <f ca="1"/>
        <v/>
      </c>
      <c r="AO231" s="180" t="str">
        <f ca="1"/>
        <v/>
      </c>
      <c r="AP231" s="180" t="str">
        <f ca="1"/>
        <v/>
      </c>
      <c r="AQ231" s="187" t="str">
        <f ca="1"/>
        <v/>
      </c>
    </row>
    <row r="232" spans="2:43" x14ac:dyDescent="0.25">
      <c r="B232" s="179" t="str">
        <f ca="1"/>
        <v/>
      </c>
      <c r="C232" s="180" t="str">
        <f ca="1"/>
        <v/>
      </c>
      <c r="D232" s="180" t="str">
        <f ca="1"/>
        <v/>
      </c>
      <c r="E232" s="180" t="str">
        <f ca="1"/>
        <v/>
      </c>
      <c r="F232" s="180" t="str">
        <f ca="1"/>
        <v/>
      </c>
      <c r="G232" s="180" t="str">
        <f ca="1"/>
        <v/>
      </c>
      <c r="H232" s="180" t="str">
        <f ca="1"/>
        <v/>
      </c>
      <c r="I232" s="180" t="str">
        <f ca="1"/>
        <v/>
      </c>
      <c r="J232" s="180" t="str">
        <f ca="1"/>
        <v/>
      </c>
      <c r="K232" s="180" t="str">
        <f ca="1"/>
        <v/>
      </c>
      <c r="L232" s="180" t="str">
        <f ca="1"/>
        <v/>
      </c>
      <c r="M232" s="180" t="str">
        <f ca="1"/>
        <v/>
      </c>
      <c r="N232" s="180" t="str">
        <f ca="1"/>
        <v/>
      </c>
      <c r="O232" s="180" t="str">
        <f ca="1"/>
        <v/>
      </c>
      <c r="P232" s="180" t="str">
        <f ca="1"/>
        <v/>
      </c>
      <c r="Q232" s="180" t="str">
        <f ca="1"/>
        <v/>
      </c>
      <c r="R232" s="180" t="str">
        <f ca="1"/>
        <v/>
      </c>
      <c r="S232" s="180" t="str">
        <f ca="1"/>
        <v/>
      </c>
      <c r="T232" s="180" t="str">
        <f ca="1"/>
        <v/>
      </c>
      <c r="U232" s="180" t="str">
        <f ca="1"/>
        <v/>
      </c>
      <c r="V232" s="180" t="str">
        <f ca="1"/>
        <v/>
      </c>
      <c r="W232" s="180" t="str">
        <f ca="1"/>
        <v/>
      </c>
      <c r="X232" s="180" t="str">
        <f ca="1"/>
        <v/>
      </c>
      <c r="Y232" s="180" t="str">
        <f ca="1"/>
        <v/>
      </c>
      <c r="Z232" s="180" t="str">
        <f ca="1"/>
        <v/>
      </c>
      <c r="AA232" s="180" t="str">
        <f ca="1"/>
        <v/>
      </c>
      <c r="AB232" s="180" t="str">
        <f ca="1"/>
        <v/>
      </c>
      <c r="AC232" s="180" t="str">
        <f ca="1"/>
        <v/>
      </c>
      <c r="AD232" s="180" t="str">
        <f ca="1"/>
        <v/>
      </c>
      <c r="AE232" s="180" t="str">
        <f ca="1"/>
        <v/>
      </c>
      <c r="AF232" s="180" t="str">
        <f ca="1"/>
        <v/>
      </c>
      <c r="AG232" s="180" t="str">
        <f ca="1"/>
        <v/>
      </c>
      <c r="AH232" s="180" t="str">
        <f ca="1"/>
        <v/>
      </c>
      <c r="AI232" s="180" t="str">
        <f ca="1"/>
        <v/>
      </c>
      <c r="AJ232" s="180" t="str">
        <f ca="1"/>
        <v/>
      </c>
      <c r="AK232" s="180" t="str">
        <f ca="1"/>
        <v/>
      </c>
      <c r="AL232" s="180" t="str">
        <f ca="1"/>
        <v/>
      </c>
      <c r="AM232" s="180" t="str">
        <f ca="1"/>
        <v/>
      </c>
      <c r="AN232" s="180" t="str">
        <f ca="1"/>
        <v/>
      </c>
      <c r="AO232" s="180" t="str">
        <f ca="1"/>
        <v/>
      </c>
      <c r="AP232" s="180" t="str">
        <f ca="1"/>
        <v/>
      </c>
      <c r="AQ232" s="187" t="str">
        <f ca="1"/>
        <v/>
      </c>
    </row>
    <row r="233" spans="2:43" x14ac:dyDescent="0.25">
      <c r="B233" s="179" t="str">
        <f ca="1"/>
        <v/>
      </c>
      <c r="C233" s="180" t="str">
        <f ca="1"/>
        <v/>
      </c>
      <c r="D233" s="180" t="str">
        <f ca="1"/>
        <v/>
      </c>
      <c r="E233" s="180" t="str">
        <f ca="1"/>
        <v/>
      </c>
      <c r="F233" s="180" t="str">
        <f ca="1"/>
        <v/>
      </c>
      <c r="G233" s="180" t="str">
        <f ca="1"/>
        <v/>
      </c>
      <c r="H233" s="180" t="str">
        <f ca="1"/>
        <v/>
      </c>
      <c r="I233" s="180" t="str">
        <f ca="1"/>
        <v/>
      </c>
      <c r="J233" s="180" t="str">
        <f ca="1"/>
        <v/>
      </c>
      <c r="K233" s="180" t="str">
        <f ca="1"/>
        <v/>
      </c>
      <c r="L233" s="180" t="str">
        <f ca="1"/>
        <v/>
      </c>
      <c r="M233" s="180" t="str">
        <f ca="1"/>
        <v/>
      </c>
      <c r="N233" s="180" t="str">
        <f ca="1"/>
        <v/>
      </c>
      <c r="O233" s="180" t="str">
        <f ca="1"/>
        <v/>
      </c>
      <c r="P233" s="180" t="str">
        <f ca="1"/>
        <v/>
      </c>
      <c r="Q233" s="180" t="str">
        <f ca="1"/>
        <v/>
      </c>
      <c r="R233" s="180" t="str">
        <f ca="1"/>
        <v/>
      </c>
      <c r="S233" s="180" t="str">
        <f ca="1"/>
        <v/>
      </c>
      <c r="T233" s="180" t="str">
        <f ca="1"/>
        <v/>
      </c>
      <c r="U233" s="180" t="str">
        <f ca="1"/>
        <v/>
      </c>
      <c r="V233" s="180" t="str">
        <f ca="1"/>
        <v/>
      </c>
      <c r="W233" s="180" t="str">
        <f ca="1"/>
        <v/>
      </c>
      <c r="X233" s="180" t="str">
        <f ca="1"/>
        <v/>
      </c>
      <c r="Y233" s="180" t="str">
        <f ca="1"/>
        <v/>
      </c>
      <c r="Z233" s="180" t="str">
        <f ca="1"/>
        <v/>
      </c>
      <c r="AA233" s="180" t="str">
        <f ca="1"/>
        <v/>
      </c>
      <c r="AB233" s="180" t="str">
        <f ca="1"/>
        <v/>
      </c>
      <c r="AC233" s="180" t="str">
        <f ca="1"/>
        <v/>
      </c>
      <c r="AD233" s="180" t="str">
        <f ca="1"/>
        <v/>
      </c>
      <c r="AE233" s="180" t="str">
        <f ca="1"/>
        <v/>
      </c>
      <c r="AF233" s="180" t="str">
        <f ca="1"/>
        <v/>
      </c>
      <c r="AG233" s="180" t="str">
        <f ca="1"/>
        <v/>
      </c>
      <c r="AH233" s="180" t="str">
        <f ca="1"/>
        <v/>
      </c>
      <c r="AI233" s="180" t="str">
        <f ca="1"/>
        <v/>
      </c>
      <c r="AJ233" s="180" t="str">
        <f ca="1"/>
        <v/>
      </c>
      <c r="AK233" s="180" t="str">
        <f ca="1"/>
        <v/>
      </c>
      <c r="AL233" s="180" t="str">
        <f ca="1"/>
        <v/>
      </c>
      <c r="AM233" s="180" t="str">
        <f ca="1"/>
        <v/>
      </c>
      <c r="AN233" s="180" t="str">
        <f ca="1"/>
        <v/>
      </c>
      <c r="AO233" s="180" t="str">
        <f ca="1"/>
        <v/>
      </c>
      <c r="AP233" s="180" t="str">
        <f ca="1"/>
        <v/>
      </c>
      <c r="AQ233" s="187" t="str">
        <f ca="1"/>
        <v/>
      </c>
    </row>
    <row r="234" spans="2:43" x14ac:dyDescent="0.25">
      <c r="B234" s="179" t="str">
        <f ca="1"/>
        <v/>
      </c>
      <c r="C234" s="180" t="str">
        <f ca="1"/>
        <v/>
      </c>
      <c r="D234" s="180" t="str">
        <f ca="1"/>
        <v/>
      </c>
      <c r="E234" s="180" t="str">
        <f ca="1"/>
        <v/>
      </c>
      <c r="F234" s="180" t="str">
        <f ca="1"/>
        <v/>
      </c>
      <c r="G234" s="180" t="str">
        <f ca="1"/>
        <v/>
      </c>
      <c r="H234" s="180" t="str">
        <f ca="1"/>
        <v/>
      </c>
      <c r="I234" s="180" t="str">
        <f ca="1"/>
        <v/>
      </c>
      <c r="J234" s="180" t="str">
        <f ca="1"/>
        <v/>
      </c>
      <c r="K234" s="180" t="str">
        <f ca="1"/>
        <v/>
      </c>
      <c r="L234" s="180" t="str">
        <f ca="1"/>
        <v/>
      </c>
      <c r="M234" s="180" t="str">
        <f ca="1"/>
        <v/>
      </c>
      <c r="N234" s="180" t="str">
        <f ca="1"/>
        <v/>
      </c>
      <c r="O234" s="180" t="str">
        <f ca="1"/>
        <v/>
      </c>
      <c r="P234" s="180" t="str">
        <f ca="1"/>
        <v/>
      </c>
      <c r="Q234" s="180" t="str">
        <f ca="1"/>
        <v/>
      </c>
      <c r="R234" s="180" t="str">
        <f ca="1"/>
        <v/>
      </c>
      <c r="S234" s="180" t="str">
        <f ca="1"/>
        <v/>
      </c>
      <c r="T234" s="180" t="str">
        <f ca="1"/>
        <v/>
      </c>
      <c r="U234" s="180" t="str">
        <f ca="1"/>
        <v/>
      </c>
      <c r="V234" s="180" t="str">
        <f ca="1"/>
        <v/>
      </c>
      <c r="W234" s="180" t="str">
        <f ca="1"/>
        <v/>
      </c>
      <c r="X234" s="180" t="str">
        <f ca="1"/>
        <v/>
      </c>
      <c r="Y234" s="180" t="str">
        <f ca="1"/>
        <v/>
      </c>
      <c r="Z234" s="180" t="str">
        <f ca="1"/>
        <v/>
      </c>
      <c r="AA234" s="180" t="str">
        <f ca="1"/>
        <v/>
      </c>
      <c r="AB234" s="180" t="str">
        <f ca="1"/>
        <v/>
      </c>
      <c r="AC234" s="180" t="str">
        <f ca="1"/>
        <v/>
      </c>
      <c r="AD234" s="180" t="str">
        <f ca="1"/>
        <v/>
      </c>
      <c r="AE234" s="180" t="str">
        <f ca="1"/>
        <v/>
      </c>
      <c r="AF234" s="180" t="str">
        <f ca="1"/>
        <v/>
      </c>
      <c r="AG234" s="180" t="str">
        <f ca="1"/>
        <v/>
      </c>
      <c r="AH234" s="180" t="str">
        <f ca="1"/>
        <v/>
      </c>
      <c r="AI234" s="180" t="str">
        <f ca="1"/>
        <v/>
      </c>
      <c r="AJ234" s="180" t="str">
        <f ca="1"/>
        <v/>
      </c>
      <c r="AK234" s="180" t="str">
        <f ca="1"/>
        <v/>
      </c>
      <c r="AL234" s="180" t="str">
        <f ca="1"/>
        <v/>
      </c>
      <c r="AM234" s="180" t="str">
        <f ca="1"/>
        <v/>
      </c>
      <c r="AN234" s="180" t="str">
        <f ca="1"/>
        <v/>
      </c>
      <c r="AO234" s="180" t="str">
        <f ca="1"/>
        <v/>
      </c>
      <c r="AP234" s="180" t="str">
        <f ca="1"/>
        <v/>
      </c>
      <c r="AQ234" s="187" t="str">
        <f ca="1"/>
        <v/>
      </c>
    </row>
    <row r="235" spans="2:43" x14ac:dyDescent="0.25">
      <c r="B235" s="179" t="str">
        <f ca="1"/>
        <v/>
      </c>
      <c r="C235" s="180" t="str">
        <f ca="1"/>
        <v/>
      </c>
      <c r="D235" s="180" t="str">
        <f ca="1"/>
        <v/>
      </c>
      <c r="E235" s="180" t="str">
        <f ca="1"/>
        <v/>
      </c>
      <c r="F235" s="180" t="str">
        <f ca="1"/>
        <v/>
      </c>
      <c r="G235" s="180" t="str">
        <f ca="1"/>
        <v/>
      </c>
      <c r="H235" s="180" t="str">
        <f ca="1"/>
        <v/>
      </c>
      <c r="I235" s="180" t="str">
        <f ca="1"/>
        <v/>
      </c>
      <c r="J235" s="180" t="str">
        <f ca="1"/>
        <v/>
      </c>
      <c r="K235" s="180" t="str">
        <f ca="1"/>
        <v/>
      </c>
      <c r="L235" s="180" t="str">
        <f ca="1"/>
        <v/>
      </c>
      <c r="M235" s="180" t="str">
        <f ca="1"/>
        <v/>
      </c>
      <c r="N235" s="180" t="str">
        <f ca="1"/>
        <v/>
      </c>
      <c r="O235" s="180" t="str">
        <f ca="1"/>
        <v/>
      </c>
      <c r="P235" s="180" t="str">
        <f ca="1"/>
        <v/>
      </c>
      <c r="Q235" s="180" t="str">
        <f ca="1"/>
        <v/>
      </c>
      <c r="R235" s="180" t="str">
        <f ca="1"/>
        <v/>
      </c>
      <c r="S235" s="180" t="str">
        <f ca="1"/>
        <v/>
      </c>
      <c r="T235" s="180" t="str">
        <f ca="1"/>
        <v/>
      </c>
      <c r="U235" s="180" t="str">
        <f ca="1"/>
        <v/>
      </c>
      <c r="V235" s="180" t="str">
        <f ca="1"/>
        <v/>
      </c>
      <c r="W235" s="180" t="str">
        <f ca="1"/>
        <v/>
      </c>
      <c r="X235" s="180" t="str">
        <f ca="1"/>
        <v/>
      </c>
      <c r="Y235" s="180" t="str">
        <f ca="1"/>
        <v/>
      </c>
      <c r="Z235" s="180" t="str">
        <f ca="1"/>
        <v/>
      </c>
      <c r="AA235" s="180" t="str">
        <f ca="1"/>
        <v/>
      </c>
      <c r="AB235" s="180" t="str">
        <f ca="1"/>
        <v/>
      </c>
      <c r="AC235" s="180" t="str">
        <f ca="1"/>
        <v/>
      </c>
      <c r="AD235" s="180" t="str">
        <f ca="1"/>
        <v/>
      </c>
      <c r="AE235" s="180" t="str">
        <f ca="1"/>
        <v/>
      </c>
      <c r="AF235" s="180" t="str">
        <f ca="1"/>
        <v/>
      </c>
      <c r="AG235" s="180" t="str">
        <f ca="1"/>
        <v/>
      </c>
      <c r="AH235" s="180" t="str">
        <f ca="1"/>
        <v/>
      </c>
      <c r="AI235" s="180" t="str">
        <f ca="1"/>
        <v/>
      </c>
      <c r="AJ235" s="180" t="str">
        <f ca="1"/>
        <v/>
      </c>
      <c r="AK235" s="180" t="str">
        <f ca="1"/>
        <v/>
      </c>
      <c r="AL235" s="180" t="str">
        <f ca="1"/>
        <v/>
      </c>
      <c r="AM235" s="180" t="str">
        <f ca="1"/>
        <v/>
      </c>
      <c r="AN235" s="180" t="str">
        <f ca="1"/>
        <v/>
      </c>
      <c r="AO235" s="180" t="str">
        <f ca="1"/>
        <v/>
      </c>
      <c r="AP235" s="180" t="str">
        <f ca="1"/>
        <v/>
      </c>
      <c r="AQ235" s="187" t="str">
        <f ca="1"/>
        <v/>
      </c>
    </row>
    <row r="236" spans="2:43" x14ac:dyDescent="0.25">
      <c r="B236" s="179" t="str">
        <f ca="1"/>
        <v/>
      </c>
      <c r="C236" s="180" t="str">
        <f ca="1"/>
        <v/>
      </c>
      <c r="D236" s="180" t="str">
        <f ca="1"/>
        <v/>
      </c>
      <c r="E236" s="180" t="str">
        <f ca="1"/>
        <v/>
      </c>
      <c r="F236" s="180" t="str">
        <f ca="1"/>
        <v/>
      </c>
      <c r="G236" s="180" t="str">
        <f ca="1"/>
        <v/>
      </c>
      <c r="H236" s="180" t="str">
        <f ca="1"/>
        <v/>
      </c>
      <c r="I236" s="180" t="str">
        <f ca="1"/>
        <v/>
      </c>
      <c r="J236" s="180" t="str">
        <f ca="1"/>
        <v/>
      </c>
      <c r="K236" s="180" t="str">
        <f ca="1"/>
        <v/>
      </c>
      <c r="L236" s="180" t="str">
        <f ca="1"/>
        <v/>
      </c>
      <c r="M236" s="180" t="str">
        <f ca="1"/>
        <v/>
      </c>
      <c r="N236" s="180" t="str">
        <f ca="1"/>
        <v/>
      </c>
      <c r="O236" s="180" t="str">
        <f ca="1"/>
        <v/>
      </c>
      <c r="P236" s="180" t="str">
        <f ca="1"/>
        <v/>
      </c>
      <c r="Q236" s="180" t="str">
        <f ca="1"/>
        <v/>
      </c>
      <c r="R236" s="180" t="str">
        <f ca="1"/>
        <v/>
      </c>
      <c r="S236" s="180" t="str">
        <f ca="1"/>
        <v/>
      </c>
      <c r="T236" s="180" t="str">
        <f ca="1"/>
        <v/>
      </c>
      <c r="U236" s="180" t="str">
        <f ca="1"/>
        <v/>
      </c>
      <c r="V236" s="180" t="str">
        <f ca="1"/>
        <v/>
      </c>
      <c r="W236" s="180" t="str">
        <f ca="1"/>
        <v/>
      </c>
      <c r="X236" s="180" t="str">
        <f ca="1"/>
        <v/>
      </c>
      <c r="Y236" s="180" t="str">
        <f ca="1"/>
        <v/>
      </c>
      <c r="Z236" s="180" t="str">
        <f ca="1"/>
        <v/>
      </c>
      <c r="AA236" s="180" t="str">
        <f ca="1"/>
        <v/>
      </c>
      <c r="AB236" s="180" t="str">
        <f ca="1"/>
        <v/>
      </c>
      <c r="AC236" s="180" t="str">
        <f ca="1"/>
        <v/>
      </c>
      <c r="AD236" s="180" t="str">
        <f ca="1"/>
        <v/>
      </c>
      <c r="AE236" s="180" t="str">
        <f ca="1"/>
        <v/>
      </c>
      <c r="AF236" s="180" t="str">
        <f ca="1"/>
        <v/>
      </c>
      <c r="AG236" s="180" t="str">
        <f ca="1"/>
        <v/>
      </c>
      <c r="AH236" s="180" t="str">
        <f ca="1"/>
        <v/>
      </c>
      <c r="AI236" s="180" t="str">
        <f ca="1"/>
        <v/>
      </c>
      <c r="AJ236" s="180" t="str">
        <f ca="1"/>
        <v/>
      </c>
      <c r="AK236" s="180" t="str">
        <f ca="1"/>
        <v/>
      </c>
      <c r="AL236" s="180" t="str">
        <f ca="1"/>
        <v/>
      </c>
      <c r="AM236" s="180" t="str">
        <f ca="1"/>
        <v/>
      </c>
      <c r="AN236" s="180" t="str">
        <f ca="1"/>
        <v/>
      </c>
      <c r="AO236" s="180" t="str">
        <f ca="1"/>
        <v/>
      </c>
      <c r="AP236" s="180" t="str">
        <f ca="1"/>
        <v/>
      </c>
      <c r="AQ236" s="187" t="str">
        <f ca="1"/>
        <v/>
      </c>
    </row>
    <row r="237" spans="2:43" x14ac:dyDescent="0.25">
      <c r="B237" s="179" t="str">
        <f ca="1"/>
        <v/>
      </c>
      <c r="C237" s="180" t="str">
        <f ca="1"/>
        <v/>
      </c>
      <c r="D237" s="180" t="str">
        <f ca="1"/>
        <v/>
      </c>
      <c r="E237" s="180" t="str">
        <f ca="1"/>
        <v/>
      </c>
      <c r="F237" s="180" t="str">
        <f ca="1"/>
        <v/>
      </c>
      <c r="G237" s="180" t="str">
        <f ca="1"/>
        <v/>
      </c>
      <c r="H237" s="180" t="str">
        <f ca="1"/>
        <v/>
      </c>
      <c r="I237" s="180" t="str">
        <f ca="1"/>
        <v/>
      </c>
      <c r="J237" s="180" t="str">
        <f ca="1"/>
        <v/>
      </c>
      <c r="K237" s="180" t="str">
        <f ca="1"/>
        <v/>
      </c>
      <c r="L237" s="180" t="str">
        <f ca="1"/>
        <v/>
      </c>
      <c r="M237" s="180" t="str">
        <f ca="1"/>
        <v/>
      </c>
      <c r="N237" s="180" t="str">
        <f ca="1"/>
        <v/>
      </c>
      <c r="O237" s="180" t="str">
        <f ca="1"/>
        <v/>
      </c>
      <c r="P237" s="180" t="str">
        <f ca="1"/>
        <v/>
      </c>
      <c r="Q237" s="180" t="str">
        <f ca="1"/>
        <v/>
      </c>
      <c r="R237" s="180" t="str">
        <f ca="1"/>
        <v/>
      </c>
      <c r="S237" s="180" t="str">
        <f ca="1"/>
        <v/>
      </c>
      <c r="T237" s="180" t="str">
        <f ca="1"/>
        <v/>
      </c>
      <c r="U237" s="180" t="str">
        <f ca="1"/>
        <v/>
      </c>
      <c r="V237" s="180" t="str">
        <f ca="1"/>
        <v/>
      </c>
      <c r="W237" s="180" t="str">
        <f ca="1"/>
        <v/>
      </c>
      <c r="X237" s="180" t="str">
        <f ca="1"/>
        <v/>
      </c>
      <c r="Y237" s="180" t="str">
        <f ca="1"/>
        <v/>
      </c>
      <c r="Z237" s="180" t="str">
        <f ca="1"/>
        <v/>
      </c>
      <c r="AA237" s="180" t="str">
        <f ca="1"/>
        <v/>
      </c>
      <c r="AB237" s="180" t="str">
        <f ca="1"/>
        <v/>
      </c>
      <c r="AC237" s="180" t="str">
        <f ca="1"/>
        <v/>
      </c>
      <c r="AD237" s="180" t="str">
        <f ca="1"/>
        <v/>
      </c>
      <c r="AE237" s="180" t="str">
        <f ca="1"/>
        <v/>
      </c>
      <c r="AF237" s="180" t="str">
        <f ca="1"/>
        <v/>
      </c>
      <c r="AG237" s="180" t="str">
        <f ca="1"/>
        <v/>
      </c>
      <c r="AH237" s="180" t="str">
        <f ca="1"/>
        <v/>
      </c>
      <c r="AI237" s="180" t="str">
        <f ca="1"/>
        <v/>
      </c>
      <c r="AJ237" s="180" t="str">
        <f ca="1"/>
        <v/>
      </c>
      <c r="AK237" s="180" t="str">
        <f ca="1"/>
        <v/>
      </c>
      <c r="AL237" s="180" t="str">
        <f ca="1"/>
        <v/>
      </c>
      <c r="AM237" s="180" t="str">
        <f ca="1"/>
        <v/>
      </c>
      <c r="AN237" s="180" t="str">
        <f ca="1"/>
        <v/>
      </c>
      <c r="AO237" s="180" t="str">
        <f ca="1"/>
        <v/>
      </c>
      <c r="AP237" s="180" t="str">
        <f ca="1"/>
        <v/>
      </c>
      <c r="AQ237" s="187" t="str">
        <f ca="1"/>
        <v/>
      </c>
    </row>
    <row r="238" spans="2:43" x14ac:dyDescent="0.25">
      <c r="B238" s="179" t="str">
        <f ca="1"/>
        <v/>
      </c>
      <c r="C238" s="180" t="str">
        <f ca="1"/>
        <v/>
      </c>
      <c r="D238" s="180" t="str">
        <f ca="1"/>
        <v/>
      </c>
      <c r="E238" s="180" t="str">
        <f ca="1"/>
        <v/>
      </c>
      <c r="F238" s="180" t="str">
        <f ca="1"/>
        <v/>
      </c>
      <c r="G238" s="180" t="str">
        <f ca="1"/>
        <v/>
      </c>
      <c r="H238" s="180" t="str">
        <f ca="1"/>
        <v/>
      </c>
      <c r="I238" s="180" t="str">
        <f ca="1"/>
        <v/>
      </c>
      <c r="J238" s="180" t="str">
        <f ca="1"/>
        <v/>
      </c>
      <c r="K238" s="180" t="str">
        <f ca="1"/>
        <v/>
      </c>
      <c r="L238" s="180" t="str">
        <f ca="1"/>
        <v/>
      </c>
      <c r="M238" s="180" t="str">
        <f ca="1"/>
        <v/>
      </c>
      <c r="N238" s="180" t="str">
        <f ca="1"/>
        <v/>
      </c>
      <c r="O238" s="180" t="str">
        <f ca="1"/>
        <v/>
      </c>
      <c r="P238" s="180" t="str">
        <f ca="1"/>
        <v/>
      </c>
      <c r="Q238" s="180" t="str">
        <f ca="1"/>
        <v/>
      </c>
      <c r="R238" s="180" t="str">
        <f ca="1"/>
        <v/>
      </c>
      <c r="S238" s="180" t="str">
        <f ca="1"/>
        <v/>
      </c>
      <c r="T238" s="180" t="str">
        <f ca="1"/>
        <v/>
      </c>
      <c r="U238" s="180" t="str">
        <f ca="1"/>
        <v/>
      </c>
      <c r="V238" s="180" t="str">
        <f ca="1"/>
        <v/>
      </c>
      <c r="W238" s="180" t="str">
        <f ca="1"/>
        <v/>
      </c>
      <c r="X238" s="180" t="str">
        <f ca="1"/>
        <v/>
      </c>
      <c r="Y238" s="180" t="str">
        <f ca="1"/>
        <v/>
      </c>
      <c r="Z238" s="180" t="str">
        <f ca="1"/>
        <v/>
      </c>
      <c r="AA238" s="180" t="str">
        <f ca="1"/>
        <v/>
      </c>
      <c r="AB238" s="180" t="str">
        <f ca="1"/>
        <v/>
      </c>
      <c r="AC238" s="180" t="str">
        <f ca="1"/>
        <v/>
      </c>
      <c r="AD238" s="180" t="str">
        <f ca="1"/>
        <v/>
      </c>
      <c r="AE238" s="180" t="str">
        <f ca="1"/>
        <v/>
      </c>
      <c r="AF238" s="180" t="str">
        <f ca="1"/>
        <v/>
      </c>
      <c r="AG238" s="180" t="str">
        <f ca="1"/>
        <v/>
      </c>
      <c r="AH238" s="180" t="str">
        <f ca="1"/>
        <v/>
      </c>
      <c r="AI238" s="180" t="str">
        <f ca="1"/>
        <v/>
      </c>
      <c r="AJ238" s="180" t="str">
        <f ca="1"/>
        <v/>
      </c>
      <c r="AK238" s="180" t="str">
        <f ca="1"/>
        <v/>
      </c>
      <c r="AL238" s="180" t="str">
        <f ca="1"/>
        <v/>
      </c>
      <c r="AM238" s="180" t="str">
        <f ca="1"/>
        <v/>
      </c>
      <c r="AN238" s="180" t="str">
        <f ca="1"/>
        <v/>
      </c>
      <c r="AO238" s="180" t="str">
        <f ca="1"/>
        <v/>
      </c>
      <c r="AP238" s="180" t="str">
        <f ca="1"/>
        <v/>
      </c>
      <c r="AQ238" s="187" t="str">
        <f ca="1"/>
        <v/>
      </c>
    </row>
    <row r="239" spans="2:43" x14ac:dyDescent="0.25">
      <c r="B239" s="179" t="str">
        <f ca="1"/>
        <v/>
      </c>
      <c r="C239" s="180" t="str">
        <f ca="1"/>
        <v/>
      </c>
      <c r="D239" s="180" t="str">
        <f ca="1"/>
        <v/>
      </c>
      <c r="E239" s="180" t="str">
        <f ca="1"/>
        <v/>
      </c>
      <c r="F239" s="180" t="str">
        <f ca="1"/>
        <v/>
      </c>
      <c r="G239" s="180" t="str">
        <f ca="1"/>
        <v/>
      </c>
      <c r="H239" s="180" t="str">
        <f ca="1"/>
        <v/>
      </c>
      <c r="I239" s="180" t="str">
        <f ca="1"/>
        <v/>
      </c>
      <c r="J239" s="180" t="str">
        <f ca="1"/>
        <v/>
      </c>
      <c r="K239" s="180" t="str">
        <f ca="1"/>
        <v/>
      </c>
      <c r="L239" s="180" t="str">
        <f ca="1"/>
        <v/>
      </c>
      <c r="M239" s="180" t="str">
        <f ca="1"/>
        <v/>
      </c>
      <c r="N239" s="180" t="str">
        <f ca="1"/>
        <v/>
      </c>
      <c r="O239" s="180" t="str">
        <f ca="1"/>
        <v/>
      </c>
      <c r="P239" s="180" t="str">
        <f ca="1"/>
        <v/>
      </c>
      <c r="Q239" s="180" t="str">
        <f ca="1"/>
        <v/>
      </c>
      <c r="R239" s="180" t="str">
        <f ca="1"/>
        <v/>
      </c>
      <c r="S239" s="180" t="str">
        <f ca="1"/>
        <v/>
      </c>
      <c r="T239" s="180" t="str">
        <f ca="1"/>
        <v/>
      </c>
      <c r="U239" s="180" t="str">
        <f ca="1"/>
        <v/>
      </c>
      <c r="V239" s="180" t="str">
        <f ca="1"/>
        <v/>
      </c>
      <c r="W239" s="180" t="str">
        <f ca="1"/>
        <v/>
      </c>
      <c r="X239" s="180" t="str">
        <f ca="1"/>
        <v/>
      </c>
      <c r="Y239" s="180" t="str">
        <f ca="1"/>
        <v/>
      </c>
      <c r="Z239" s="180" t="str">
        <f ca="1"/>
        <v/>
      </c>
      <c r="AA239" s="180" t="str">
        <f ca="1"/>
        <v/>
      </c>
      <c r="AB239" s="180" t="str">
        <f ca="1"/>
        <v/>
      </c>
      <c r="AC239" s="180" t="str">
        <f ca="1"/>
        <v/>
      </c>
      <c r="AD239" s="180" t="str">
        <f ca="1"/>
        <v/>
      </c>
      <c r="AE239" s="180" t="str">
        <f ca="1"/>
        <v/>
      </c>
      <c r="AF239" s="180" t="str">
        <f ca="1"/>
        <v/>
      </c>
      <c r="AG239" s="180" t="str">
        <f ca="1"/>
        <v/>
      </c>
      <c r="AH239" s="180" t="str">
        <f ca="1"/>
        <v/>
      </c>
      <c r="AI239" s="180" t="str">
        <f ca="1"/>
        <v/>
      </c>
      <c r="AJ239" s="180" t="str">
        <f ca="1"/>
        <v/>
      </c>
      <c r="AK239" s="180" t="str">
        <f ca="1"/>
        <v/>
      </c>
      <c r="AL239" s="180" t="str">
        <f ca="1"/>
        <v/>
      </c>
      <c r="AM239" s="180" t="str">
        <f ca="1"/>
        <v/>
      </c>
      <c r="AN239" s="180" t="str">
        <f ca="1"/>
        <v/>
      </c>
      <c r="AO239" s="180" t="str">
        <f ca="1"/>
        <v/>
      </c>
      <c r="AP239" s="180" t="str">
        <f ca="1"/>
        <v/>
      </c>
      <c r="AQ239" s="187" t="str">
        <f ca="1"/>
        <v/>
      </c>
    </row>
    <row r="240" spans="2:43" x14ac:dyDescent="0.25">
      <c r="B240" s="179" t="str">
        <f ca="1"/>
        <v/>
      </c>
      <c r="C240" s="180" t="str">
        <f ca="1"/>
        <v/>
      </c>
      <c r="D240" s="180" t="str">
        <f ca="1"/>
        <v/>
      </c>
      <c r="E240" s="180" t="str">
        <f ca="1"/>
        <v/>
      </c>
      <c r="F240" s="180" t="str">
        <f ca="1"/>
        <v/>
      </c>
      <c r="G240" s="180" t="str">
        <f ca="1"/>
        <v/>
      </c>
      <c r="H240" s="180" t="str">
        <f ca="1"/>
        <v/>
      </c>
      <c r="I240" s="180" t="str">
        <f ca="1"/>
        <v/>
      </c>
      <c r="J240" s="180" t="str">
        <f ca="1"/>
        <v/>
      </c>
      <c r="K240" s="180" t="str">
        <f ca="1"/>
        <v/>
      </c>
      <c r="L240" s="180" t="str">
        <f ca="1"/>
        <v/>
      </c>
      <c r="M240" s="180" t="str">
        <f ca="1"/>
        <v/>
      </c>
      <c r="N240" s="180" t="str">
        <f ca="1"/>
        <v/>
      </c>
      <c r="O240" s="180" t="str">
        <f ca="1"/>
        <v/>
      </c>
      <c r="P240" s="180" t="str">
        <f ca="1"/>
        <v/>
      </c>
      <c r="Q240" s="180" t="str">
        <f ca="1"/>
        <v/>
      </c>
      <c r="R240" s="180" t="str">
        <f ca="1"/>
        <v/>
      </c>
      <c r="S240" s="180" t="str">
        <f ca="1"/>
        <v/>
      </c>
      <c r="T240" s="180" t="str">
        <f ca="1"/>
        <v/>
      </c>
      <c r="U240" s="180" t="str">
        <f ca="1"/>
        <v/>
      </c>
      <c r="V240" s="180" t="str">
        <f ca="1"/>
        <v/>
      </c>
      <c r="W240" s="180" t="str">
        <f ca="1"/>
        <v/>
      </c>
      <c r="X240" s="180" t="str">
        <f ca="1"/>
        <v/>
      </c>
      <c r="Y240" s="180" t="str">
        <f ca="1"/>
        <v/>
      </c>
      <c r="Z240" s="180" t="str">
        <f ca="1"/>
        <v/>
      </c>
      <c r="AA240" s="180" t="str">
        <f ca="1"/>
        <v/>
      </c>
      <c r="AB240" s="180" t="str">
        <f ca="1"/>
        <v/>
      </c>
      <c r="AC240" s="180" t="str">
        <f ca="1"/>
        <v/>
      </c>
      <c r="AD240" s="180" t="str">
        <f ca="1"/>
        <v/>
      </c>
      <c r="AE240" s="180" t="str">
        <f ca="1"/>
        <v/>
      </c>
      <c r="AF240" s="180" t="str">
        <f ca="1"/>
        <v/>
      </c>
      <c r="AG240" s="180" t="str">
        <f ca="1"/>
        <v/>
      </c>
      <c r="AH240" s="180" t="str">
        <f ca="1"/>
        <v/>
      </c>
      <c r="AI240" s="180" t="str">
        <f ca="1"/>
        <v/>
      </c>
      <c r="AJ240" s="180" t="str">
        <f ca="1"/>
        <v/>
      </c>
      <c r="AK240" s="180" t="str">
        <f ca="1"/>
        <v/>
      </c>
      <c r="AL240" s="180" t="str">
        <f ca="1"/>
        <v/>
      </c>
      <c r="AM240" s="180" t="str">
        <f ca="1"/>
        <v/>
      </c>
      <c r="AN240" s="180" t="str">
        <f ca="1"/>
        <v/>
      </c>
      <c r="AO240" s="180" t="str">
        <f ca="1"/>
        <v/>
      </c>
      <c r="AP240" s="180" t="str">
        <f ca="1"/>
        <v/>
      </c>
      <c r="AQ240" s="187" t="str">
        <f ca="1"/>
        <v/>
      </c>
    </row>
    <row r="241" spans="2:43" x14ac:dyDescent="0.25">
      <c r="B241" s="179" t="str">
        <f ca="1"/>
        <v/>
      </c>
      <c r="C241" s="180" t="str">
        <f ca="1"/>
        <v/>
      </c>
      <c r="D241" s="180" t="str">
        <f ca="1"/>
        <v/>
      </c>
      <c r="E241" s="180" t="str">
        <f ca="1"/>
        <v/>
      </c>
      <c r="F241" s="180" t="str">
        <f ca="1"/>
        <v/>
      </c>
      <c r="G241" s="180" t="str">
        <f ca="1"/>
        <v/>
      </c>
      <c r="H241" s="180" t="str">
        <f ca="1"/>
        <v/>
      </c>
      <c r="I241" s="180" t="str">
        <f ca="1"/>
        <v/>
      </c>
      <c r="J241" s="180" t="str">
        <f ca="1"/>
        <v/>
      </c>
      <c r="K241" s="180" t="str">
        <f ca="1"/>
        <v/>
      </c>
      <c r="L241" s="180" t="str">
        <f ca="1"/>
        <v/>
      </c>
      <c r="M241" s="180" t="str">
        <f ca="1"/>
        <v/>
      </c>
      <c r="N241" s="180" t="str">
        <f ca="1"/>
        <v/>
      </c>
      <c r="O241" s="180" t="str">
        <f ca="1"/>
        <v/>
      </c>
      <c r="P241" s="180" t="str">
        <f ca="1"/>
        <v/>
      </c>
      <c r="Q241" s="180" t="str">
        <f ca="1"/>
        <v/>
      </c>
      <c r="R241" s="180" t="str">
        <f ca="1"/>
        <v/>
      </c>
      <c r="S241" s="180" t="str">
        <f ca="1"/>
        <v/>
      </c>
      <c r="T241" s="180" t="str">
        <f ca="1"/>
        <v/>
      </c>
      <c r="U241" s="180" t="str">
        <f ca="1"/>
        <v/>
      </c>
      <c r="V241" s="180" t="str">
        <f ca="1"/>
        <v/>
      </c>
      <c r="W241" s="180" t="str">
        <f ca="1"/>
        <v/>
      </c>
      <c r="X241" s="180" t="str">
        <f ca="1"/>
        <v/>
      </c>
      <c r="Y241" s="180" t="str">
        <f ca="1"/>
        <v/>
      </c>
      <c r="Z241" s="180" t="str">
        <f ca="1"/>
        <v/>
      </c>
      <c r="AA241" s="180" t="str">
        <f ca="1"/>
        <v/>
      </c>
      <c r="AB241" s="180" t="str">
        <f ca="1"/>
        <v/>
      </c>
      <c r="AC241" s="180" t="str">
        <f ca="1"/>
        <v/>
      </c>
      <c r="AD241" s="180" t="str">
        <f ca="1"/>
        <v/>
      </c>
      <c r="AE241" s="180" t="str">
        <f ca="1"/>
        <v/>
      </c>
      <c r="AF241" s="180" t="str">
        <f ca="1"/>
        <v/>
      </c>
      <c r="AG241" s="180" t="str">
        <f ca="1"/>
        <v/>
      </c>
      <c r="AH241" s="180" t="str">
        <f ca="1"/>
        <v/>
      </c>
      <c r="AI241" s="180" t="str">
        <f ca="1"/>
        <v/>
      </c>
      <c r="AJ241" s="180" t="str">
        <f ca="1"/>
        <v/>
      </c>
      <c r="AK241" s="180" t="str">
        <f ca="1"/>
        <v/>
      </c>
      <c r="AL241" s="180" t="str">
        <f ca="1"/>
        <v/>
      </c>
      <c r="AM241" s="180" t="str">
        <f ca="1"/>
        <v/>
      </c>
      <c r="AN241" s="180" t="str">
        <f ca="1"/>
        <v/>
      </c>
      <c r="AO241" s="180" t="str">
        <f ca="1"/>
        <v/>
      </c>
      <c r="AP241" s="180" t="str">
        <f ca="1"/>
        <v/>
      </c>
      <c r="AQ241" s="187" t="str">
        <f ca="1"/>
        <v/>
      </c>
    </row>
    <row r="242" spans="2:43" x14ac:dyDescent="0.25">
      <c r="B242" s="179" t="str">
        <f ca="1"/>
        <v/>
      </c>
      <c r="C242" s="180" t="str">
        <f ca="1"/>
        <v/>
      </c>
      <c r="D242" s="180" t="str">
        <f ca="1"/>
        <v/>
      </c>
      <c r="E242" s="180" t="str">
        <f ca="1"/>
        <v/>
      </c>
      <c r="F242" s="180" t="str">
        <f ca="1"/>
        <v/>
      </c>
      <c r="G242" s="180" t="str">
        <f ca="1"/>
        <v/>
      </c>
      <c r="H242" s="180" t="str">
        <f ca="1"/>
        <v/>
      </c>
      <c r="I242" s="180" t="str">
        <f ca="1"/>
        <v/>
      </c>
      <c r="J242" s="180" t="str">
        <f ca="1"/>
        <v/>
      </c>
      <c r="K242" s="180" t="str">
        <f ca="1"/>
        <v/>
      </c>
      <c r="L242" s="180" t="str">
        <f ca="1"/>
        <v/>
      </c>
      <c r="M242" s="180" t="str">
        <f ca="1"/>
        <v/>
      </c>
      <c r="N242" s="180" t="str">
        <f ca="1"/>
        <v/>
      </c>
      <c r="O242" s="180" t="str">
        <f ca="1"/>
        <v/>
      </c>
      <c r="P242" s="180" t="str">
        <f ca="1"/>
        <v/>
      </c>
      <c r="Q242" s="180" t="str">
        <f ca="1"/>
        <v/>
      </c>
      <c r="R242" s="180" t="str">
        <f ca="1"/>
        <v/>
      </c>
      <c r="S242" s="180" t="str">
        <f ca="1"/>
        <v/>
      </c>
      <c r="T242" s="180" t="str">
        <f ca="1"/>
        <v/>
      </c>
      <c r="U242" s="180" t="str">
        <f ca="1"/>
        <v/>
      </c>
      <c r="V242" s="180" t="str">
        <f ca="1"/>
        <v/>
      </c>
      <c r="W242" s="180" t="str">
        <f ca="1"/>
        <v/>
      </c>
      <c r="X242" s="180" t="str">
        <f ca="1"/>
        <v/>
      </c>
      <c r="Y242" s="180" t="str">
        <f ca="1"/>
        <v/>
      </c>
      <c r="Z242" s="180" t="str">
        <f ca="1"/>
        <v/>
      </c>
      <c r="AA242" s="180" t="str">
        <f ca="1"/>
        <v/>
      </c>
      <c r="AB242" s="180" t="str">
        <f ca="1"/>
        <v/>
      </c>
      <c r="AC242" s="180" t="str">
        <f ca="1"/>
        <v/>
      </c>
      <c r="AD242" s="180" t="str">
        <f ca="1"/>
        <v/>
      </c>
      <c r="AE242" s="180" t="str">
        <f ca="1"/>
        <v/>
      </c>
      <c r="AF242" s="180" t="str">
        <f ca="1"/>
        <v/>
      </c>
      <c r="AG242" s="180" t="str">
        <f ca="1"/>
        <v/>
      </c>
      <c r="AH242" s="180" t="str">
        <f ca="1"/>
        <v/>
      </c>
      <c r="AI242" s="180" t="str">
        <f ca="1"/>
        <v/>
      </c>
      <c r="AJ242" s="180" t="str">
        <f ca="1"/>
        <v/>
      </c>
      <c r="AK242" s="180" t="str">
        <f ca="1"/>
        <v/>
      </c>
      <c r="AL242" s="180" t="str">
        <f ca="1"/>
        <v/>
      </c>
      <c r="AM242" s="180" t="str">
        <f ca="1"/>
        <v/>
      </c>
      <c r="AN242" s="180" t="str">
        <f ca="1"/>
        <v/>
      </c>
      <c r="AO242" s="180" t="str">
        <f ca="1"/>
        <v/>
      </c>
      <c r="AP242" s="180" t="str">
        <f ca="1"/>
        <v/>
      </c>
      <c r="AQ242" s="187" t="str">
        <f ca="1"/>
        <v/>
      </c>
    </row>
    <row r="243" spans="2:43" x14ac:dyDescent="0.25">
      <c r="B243" s="179" t="str">
        <f ca="1"/>
        <v/>
      </c>
      <c r="C243" s="180" t="str">
        <f ca="1"/>
        <v/>
      </c>
      <c r="D243" s="180" t="str">
        <f ca="1"/>
        <v/>
      </c>
      <c r="E243" s="180" t="str">
        <f ca="1"/>
        <v/>
      </c>
      <c r="F243" s="180" t="str">
        <f ca="1"/>
        <v/>
      </c>
      <c r="G243" s="180" t="str">
        <f ca="1"/>
        <v/>
      </c>
      <c r="H243" s="180" t="str">
        <f ca="1"/>
        <v/>
      </c>
      <c r="I243" s="180" t="str">
        <f ca="1"/>
        <v/>
      </c>
      <c r="J243" s="180" t="str">
        <f ca="1"/>
        <v/>
      </c>
      <c r="K243" s="180" t="str">
        <f ca="1"/>
        <v/>
      </c>
      <c r="L243" s="180" t="str">
        <f ca="1"/>
        <v/>
      </c>
      <c r="M243" s="180" t="str">
        <f ca="1"/>
        <v/>
      </c>
      <c r="N243" s="180" t="str">
        <f ca="1"/>
        <v/>
      </c>
      <c r="O243" s="180" t="str">
        <f ca="1"/>
        <v/>
      </c>
      <c r="P243" s="180" t="str">
        <f ca="1"/>
        <v/>
      </c>
      <c r="Q243" s="180" t="str">
        <f ca="1"/>
        <v/>
      </c>
      <c r="R243" s="180" t="str">
        <f ca="1"/>
        <v/>
      </c>
      <c r="S243" s="180" t="str">
        <f ca="1"/>
        <v/>
      </c>
      <c r="T243" s="180" t="str">
        <f ca="1"/>
        <v/>
      </c>
      <c r="U243" s="180" t="str">
        <f ca="1"/>
        <v/>
      </c>
      <c r="V243" s="180" t="str">
        <f ca="1"/>
        <v/>
      </c>
      <c r="W243" s="180" t="str">
        <f ca="1"/>
        <v/>
      </c>
      <c r="X243" s="180" t="str">
        <f ca="1"/>
        <v/>
      </c>
      <c r="Y243" s="180" t="str">
        <f ca="1"/>
        <v/>
      </c>
      <c r="Z243" s="180" t="str">
        <f ca="1"/>
        <v/>
      </c>
      <c r="AA243" s="180" t="str">
        <f ca="1"/>
        <v/>
      </c>
      <c r="AB243" s="180" t="str">
        <f ca="1"/>
        <v/>
      </c>
      <c r="AC243" s="180" t="str">
        <f ca="1"/>
        <v/>
      </c>
      <c r="AD243" s="180" t="str">
        <f ca="1"/>
        <v/>
      </c>
      <c r="AE243" s="180" t="str">
        <f ca="1"/>
        <v/>
      </c>
      <c r="AF243" s="180" t="str">
        <f ca="1"/>
        <v/>
      </c>
      <c r="AG243" s="180" t="str">
        <f ca="1"/>
        <v/>
      </c>
      <c r="AH243" s="180" t="str">
        <f ca="1"/>
        <v/>
      </c>
      <c r="AI243" s="180" t="str">
        <f ca="1"/>
        <v/>
      </c>
      <c r="AJ243" s="180" t="str">
        <f ca="1"/>
        <v/>
      </c>
      <c r="AK243" s="180" t="str">
        <f ca="1"/>
        <v/>
      </c>
      <c r="AL243" s="180" t="str">
        <f ca="1"/>
        <v/>
      </c>
      <c r="AM243" s="180" t="str">
        <f ca="1"/>
        <v/>
      </c>
      <c r="AN243" s="180" t="str">
        <f ca="1"/>
        <v/>
      </c>
      <c r="AO243" s="180" t="str">
        <f ca="1"/>
        <v/>
      </c>
      <c r="AP243" s="180" t="str">
        <f ca="1"/>
        <v/>
      </c>
      <c r="AQ243" s="187" t="str">
        <f ca="1"/>
        <v/>
      </c>
    </row>
    <row r="244" spans="2:43" x14ac:dyDescent="0.25">
      <c r="B244" s="179" t="str">
        <f ca="1"/>
        <v/>
      </c>
      <c r="C244" s="180" t="str">
        <f ca="1"/>
        <v/>
      </c>
      <c r="D244" s="180" t="str">
        <f ca="1"/>
        <v/>
      </c>
      <c r="E244" s="180" t="str">
        <f ca="1"/>
        <v/>
      </c>
      <c r="F244" s="180" t="str">
        <f ca="1"/>
        <v/>
      </c>
      <c r="G244" s="180" t="str">
        <f ca="1"/>
        <v/>
      </c>
      <c r="H244" s="180" t="str">
        <f ca="1"/>
        <v/>
      </c>
      <c r="I244" s="180" t="str">
        <f ca="1"/>
        <v/>
      </c>
      <c r="J244" s="180" t="str">
        <f ca="1"/>
        <v/>
      </c>
      <c r="K244" s="180" t="str">
        <f ca="1"/>
        <v/>
      </c>
      <c r="L244" s="180" t="str">
        <f ca="1"/>
        <v/>
      </c>
      <c r="M244" s="180" t="str">
        <f ca="1"/>
        <v/>
      </c>
      <c r="N244" s="180" t="str">
        <f ca="1"/>
        <v/>
      </c>
      <c r="O244" s="180" t="str">
        <f ca="1"/>
        <v/>
      </c>
      <c r="P244" s="180" t="str">
        <f ca="1"/>
        <v/>
      </c>
      <c r="Q244" s="180" t="str">
        <f ca="1"/>
        <v/>
      </c>
      <c r="R244" s="180" t="str">
        <f ca="1"/>
        <v/>
      </c>
      <c r="S244" s="180" t="str">
        <f ca="1"/>
        <v/>
      </c>
      <c r="T244" s="180" t="str">
        <f ca="1"/>
        <v/>
      </c>
      <c r="U244" s="180" t="str">
        <f ca="1"/>
        <v/>
      </c>
      <c r="V244" s="180" t="str">
        <f ca="1"/>
        <v/>
      </c>
      <c r="W244" s="180" t="str">
        <f ca="1"/>
        <v/>
      </c>
      <c r="X244" s="180" t="str">
        <f ca="1"/>
        <v/>
      </c>
      <c r="Y244" s="180" t="str">
        <f ca="1"/>
        <v/>
      </c>
      <c r="Z244" s="180" t="str">
        <f ca="1"/>
        <v/>
      </c>
      <c r="AA244" s="180" t="str">
        <f ca="1"/>
        <v/>
      </c>
      <c r="AB244" s="180" t="str">
        <f ca="1"/>
        <v/>
      </c>
      <c r="AC244" s="180" t="str">
        <f ca="1"/>
        <v/>
      </c>
      <c r="AD244" s="180" t="str">
        <f ca="1"/>
        <v/>
      </c>
      <c r="AE244" s="180" t="str">
        <f ca="1"/>
        <v/>
      </c>
      <c r="AF244" s="180" t="str">
        <f ca="1"/>
        <v/>
      </c>
      <c r="AG244" s="180" t="str">
        <f ca="1"/>
        <v/>
      </c>
      <c r="AH244" s="180" t="str">
        <f ca="1"/>
        <v/>
      </c>
      <c r="AI244" s="180" t="str">
        <f ca="1"/>
        <v/>
      </c>
      <c r="AJ244" s="180" t="str">
        <f ca="1"/>
        <v/>
      </c>
      <c r="AK244" s="180" t="str">
        <f ca="1"/>
        <v/>
      </c>
      <c r="AL244" s="180" t="str">
        <f ca="1"/>
        <v/>
      </c>
      <c r="AM244" s="180" t="str">
        <f ca="1"/>
        <v/>
      </c>
      <c r="AN244" s="180" t="str">
        <f ca="1"/>
        <v/>
      </c>
      <c r="AO244" s="180" t="str">
        <f ca="1"/>
        <v/>
      </c>
      <c r="AP244" s="180" t="str">
        <f ca="1"/>
        <v/>
      </c>
      <c r="AQ244" s="187" t="str">
        <f ca="1"/>
        <v/>
      </c>
    </row>
    <row r="245" spans="2:43" x14ac:dyDescent="0.25">
      <c r="B245" s="179" t="str">
        <f ca="1"/>
        <v/>
      </c>
      <c r="C245" s="180" t="str">
        <f ca="1"/>
        <v/>
      </c>
      <c r="D245" s="180" t="str">
        <f ca="1"/>
        <v/>
      </c>
      <c r="E245" s="180" t="str">
        <f ca="1"/>
        <v/>
      </c>
      <c r="F245" s="180" t="str">
        <f ca="1"/>
        <v/>
      </c>
      <c r="G245" s="180" t="str">
        <f ca="1"/>
        <v/>
      </c>
      <c r="H245" s="180" t="str">
        <f ca="1"/>
        <v/>
      </c>
      <c r="I245" s="180" t="str">
        <f ca="1"/>
        <v/>
      </c>
      <c r="J245" s="180" t="str">
        <f ca="1"/>
        <v/>
      </c>
      <c r="K245" s="180" t="str">
        <f ca="1"/>
        <v/>
      </c>
      <c r="L245" s="180" t="str">
        <f ca="1"/>
        <v/>
      </c>
      <c r="M245" s="180" t="str">
        <f ca="1"/>
        <v/>
      </c>
      <c r="N245" s="180" t="str">
        <f ca="1"/>
        <v/>
      </c>
      <c r="O245" s="180" t="str">
        <f ca="1"/>
        <v/>
      </c>
      <c r="P245" s="180" t="str">
        <f ca="1"/>
        <v/>
      </c>
      <c r="Q245" s="180" t="str">
        <f ca="1"/>
        <v/>
      </c>
      <c r="R245" s="180" t="str">
        <f ca="1"/>
        <v/>
      </c>
      <c r="S245" s="180" t="str">
        <f ca="1"/>
        <v/>
      </c>
      <c r="T245" s="180" t="str">
        <f ca="1"/>
        <v/>
      </c>
      <c r="U245" s="180" t="str">
        <f ca="1"/>
        <v/>
      </c>
      <c r="V245" s="180" t="str">
        <f ca="1"/>
        <v/>
      </c>
      <c r="W245" s="180" t="str">
        <f ca="1"/>
        <v/>
      </c>
      <c r="X245" s="180" t="str">
        <f ca="1"/>
        <v/>
      </c>
      <c r="Y245" s="180" t="str">
        <f ca="1"/>
        <v/>
      </c>
      <c r="Z245" s="180" t="str">
        <f ca="1"/>
        <v/>
      </c>
      <c r="AA245" s="180" t="str">
        <f ca="1"/>
        <v/>
      </c>
      <c r="AB245" s="180" t="str">
        <f ca="1"/>
        <v/>
      </c>
      <c r="AC245" s="180" t="str">
        <f ca="1"/>
        <v/>
      </c>
      <c r="AD245" s="180" t="str">
        <f ca="1"/>
        <v/>
      </c>
      <c r="AE245" s="180" t="str">
        <f ca="1"/>
        <v/>
      </c>
      <c r="AF245" s="180" t="str">
        <f ca="1"/>
        <v/>
      </c>
      <c r="AG245" s="180" t="str">
        <f ca="1"/>
        <v/>
      </c>
      <c r="AH245" s="180" t="str">
        <f ca="1"/>
        <v/>
      </c>
      <c r="AI245" s="180" t="str">
        <f ca="1"/>
        <v/>
      </c>
      <c r="AJ245" s="180" t="str">
        <f ca="1"/>
        <v/>
      </c>
      <c r="AK245" s="180" t="str">
        <f ca="1"/>
        <v/>
      </c>
      <c r="AL245" s="180" t="str">
        <f ca="1"/>
        <v/>
      </c>
      <c r="AM245" s="180" t="str">
        <f ca="1"/>
        <v/>
      </c>
      <c r="AN245" s="180" t="str">
        <f ca="1"/>
        <v/>
      </c>
      <c r="AO245" s="180" t="str">
        <f ca="1"/>
        <v/>
      </c>
      <c r="AP245" s="180" t="str">
        <f ca="1"/>
        <v/>
      </c>
      <c r="AQ245" s="187" t="str">
        <f ca="1"/>
        <v/>
      </c>
    </row>
    <row r="246" spans="2:43" x14ac:dyDescent="0.25">
      <c r="B246" s="179" t="str">
        <f ca="1"/>
        <v/>
      </c>
      <c r="C246" s="180" t="str">
        <f ca="1"/>
        <v/>
      </c>
      <c r="D246" s="180" t="str">
        <f ca="1"/>
        <v/>
      </c>
      <c r="E246" s="180" t="str">
        <f ca="1"/>
        <v/>
      </c>
      <c r="F246" s="180" t="str">
        <f ca="1"/>
        <v/>
      </c>
      <c r="G246" s="180" t="str">
        <f ca="1"/>
        <v/>
      </c>
      <c r="H246" s="180" t="str">
        <f ca="1"/>
        <v/>
      </c>
      <c r="I246" s="180" t="str">
        <f ca="1"/>
        <v/>
      </c>
      <c r="J246" s="180" t="str">
        <f ca="1"/>
        <v/>
      </c>
      <c r="K246" s="180" t="str">
        <f ca="1"/>
        <v/>
      </c>
      <c r="L246" s="180" t="str">
        <f ca="1"/>
        <v/>
      </c>
      <c r="M246" s="180" t="str">
        <f ca="1"/>
        <v/>
      </c>
      <c r="N246" s="180" t="str">
        <f ca="1"/>
        <v/>
      </c>
      <c r="O246" s="180" t="str">
        <f ca="1"/>
        <v/>
      </c>
      <c r="P246" s="180" t="str">
        <f ca="1"/>
        <v/>
      </c>
      <c r="Q246" s="180" t="str">
        <f ca="1"/>
        <v/>
      </c>
      <c r="R246" s="180" t="str">
        <f ca="1"/>
        <v/>
      </c>
      <c r="S246" s="180" t="str">
        <f ca="1"/>
        <v/>
      </c>
      <c r="T246" s="180" t="str">
        <f ca="1"/>
        <v/>
      </c>
      <c r="U246" s="180" t="str">
        <f ca="1"/>
        <v/>
      </c>
      <c r="V246" s="180" t="str">
        <f ca="1"/>
        <v/>
      </c>
      <c r="W246" s="180" t="str">
        <f ca="1"/>
        <v/>
      </c>
      <c r="X246" s="180" t="str">
        <f ca="1"/>
        <v/>
      </c>
      <c r="Y246" s="180" t="str">
        <f ca="1"/>
        <v/>
      </c>
      <c r="Z246" s="180" t="str">
        <f ca="1"/>
        <v/>
      </c>
      <c r="AA246" s="180" t="str">
        <f ca="1"/>
        <v/>
      </c>
      <c r="AB246" s="180" t="str">
        <f ca="1"/>
        <v/>
      </c>
      <c r="AC246" s="180" t="str">
        <f ca="1"/>
        <v/>
      </c>
      <c r="AD246" s="180" t="str">
        <f ca="1"/>
        <v/>
      </c>
      <c r="AE246" s="180" t="str">
        <f ca="1"/>
        <v/>
      </c>
      <c r="AF246" s="180" t="str">
        <f ca="1"/>
        <v/>
      </c>
      <c r="AG246" s="180" t="str">
        <f ca="1"/>
        <v/>
      </c>
      <c r="AH246" s="180" t="str">
        <f ca="1"/>
        <v/>
      </c>
      <c r="AI246" s="180" t="str">
        <f ca="1"/>
        <v/>
      </c>
      <c r="AJ246" s="180" t="str">
        <f ca="1"/>
        <v/>
      </c>
      <c r="AK246" s="180" t="str">
        <f ca="1"/>
        <v/>
      </c>
      <c r="AL246" s="180" t="str">
        <f ca="1"/>
        <v/>
      </c>
      <c r="AM246" s="180" t="str">
        <f ca="1"/>
        <v/>
      </c>
      <c r="AN246" s="180" t="str">
        <f ca="1"/>
        <v/>
      </c>
      <c r="AO246" s="180" t="str">
        <f ca="1"/>
        <v/>
      </c>
      <c r="AP246" s="180" t="str">
        <f ca="1"/>
        <v/>
      </c>
      <c r="AQ246" s="187" t="str">
        <f ca="1"/>
        <v/>
      </c>
    </row>
    <row r="247" spans="2:43" x14ac:dyDescent="0.25">
      <c r="B247" s="179" t="str">
        <f ca="1"/>
        <v/>
      </c>
      <c r="C247" s="180" t="str">
        <f ca="1"/>
        <v/>
      </c>
      <c r="D247" s="180" t="str">
        <f ca="1"/>
        <v/>
      </c>
      <c r="E247" s="180" t="str">
        <f ca="1"/>
        <v/>
      </c>
      <c r="F247" s="180" t="str">
        <f ca="1"/>
        <v/>
      </c>
      <c r="G247" s="180" t="str">
        <f ca="1"/>
        <v/>
      </c>
      <c r="H247" s="180" t="str">
        <f ca="1"/>
        <v/>
      </c>
      <c r="I247" s="180" t="str">
        <f ca="1"/>
        <v/>
      </c>
      <c r="J247" s="180" t="str">
        <f ca="1"/>
        <v/>
      </c>
      <c r="K247" s="180" t="str">
        <f ca="1"/>
        <v/>
      </c>
      <c r="L247" s="180" t="str">
        <f ca="1"/>
        <v/>
      </c>
      <c r="M247" s="180" t="str">
        <f ca="1"/>
        <v/>
      </c>
      <c r="N247" s="180" t="str">
        <f ca="1"/>
        <v/>
      </c>
      <c r="O247" s="180" t="str">
        <f ca="1"/>
        <v/>
      </c>
      <c r="P247" s="180" t="str">
        <f ca="1"/>
        <v/>
      </c>
      <c r="Q247" s="180" t="str">
        <f ca="1"/>
        <v/>
      </c>
      <c r="R247" s="180" t="str">
        <f ca="1"/>
        <v/>
      </c>
      <c r="S247" s="180" t="str">
        <f ca="1"/>
        <v/>
      </c>
      <c r="T247" s="180" t="str">
        <f ca="1"/>
        <v/>
      </c>
      <c r="U247" s="180" t="str">
        <f ca="1"/>
        <v/>
      </c>
      <c r="V247" s="180" t="str">
        <f ca="1"/>
        <v/>
      </c>
      <c r="W247" s="180" t="str">
        <f ca="1"/>
        <v/>
      </c>
      <c r="X247" s="180" t="str">
        <f ca="1"/>
        <v/>
      </c>
      <c r="Y247" s="180" t="str">
        <f ca="1"/>
        <v/>
      </c>
      <c r="Z247" s="180" t="str">
        <f ca="1"/>
        <v/>
      </c>
      <c r="AA247" s="180" t="str">
        <f ca="1"/>
        <v/>
      </c>
      <c r="AB247" s="180" t="str">
        <f ca="1"/>
        <v/>
      </c>
      <c r="AC247" s="180" t="str">
        <f ca="1"/>
        <v/>
      </c>
      <c r="AD247" s="180" t="str">
        <f ca="1"/>
        <v/>
      </c>
      <c r="AE247" s="180" t="str">
        <f ca="1"/>
        <v/>
      </c>
      <c r="AF247" s="180" t="str">
        <f ca="1"/>
        <v/>
      </c>
      <c r="AG247" s="180" t="str">
        <f ca="1"/>
        <v/>
      </c>
      <c r="AH247" s="180" t="str">
        <f ca="1"/>
        <v/>
      </c>
      <c r="AI247" s="180" t="str">
        <f ca="1"/>
        <v/>
      </c>
      <c r="AJ247" s="180" t="str">
        <f ca="1"/>
        <v/>
      </c>
      <c r="AK247" s="180" t="str">
        <f ca="1"/>
        <v/>
      </c>
      <c r="AL247" s="180" t="str">
        <f ca="1"/>
        <v/>
      </c>
      <c r="AM247" s="180" t="str">
        <f ca="1"/>
        <v/>
      </c>
      <c r="AN247" s="180" t="str">
        <f ca="1"/>
        <v/>
      </c>
      <c r="AO247" s="180" t="str">
        <f ca="1"/>
        <v/>
      </c>
      <c r="AP247" s="180" t="str">
        <f ca="1"/>
        <v/>
      </c>
      <c r="AQ247" s="187" t="str">
        <f ca="1"/>
        <v/>
      </c>
    </row>
    <row r="248" spans="2:43" x14ac:dyDescent="0.25">
      <c r="B248" s="179" t="str">
        <f ca="1"/>
        <v/>
      </c>
      <c r="C248" s="180" t="str">
        <f ca="1"/>
        <v/>
      </c>
      <c r="D248" s="180" t="str">
        <f ca="1"/>
        <v/>
      </c>
      <c r="E248" s="180" t="str">
        <f ca="1"/>
        <v/>
      </c>
      <c r="F248" s="180" t="str">
        <f ca="1"/>
        <v/>
      </c>
      <c r="G248" s="180" t="str">
        <f ca="1"/>
        <v/>
      </c>
      <c r="H248" s="180" t="str">
        <f ca="1"/>
        <v/>
      </c>
      <c r="I248" s="180" t="str">
        <f ca="1"/>
        <v/>
      </c>
      <c r="J248" s="180" t="str">
        <f ca="1"/>
        <v/>
      </c>
      <c r="K248" s="180" t="str">
        <f ca="1"/>
        <v/>
      </c>
      <c r="L248" s="180" t="str">
        <f ca="1"/>
        <v/>
      </c>
      <c r="M248" s="180" t="str">
        <f ca="1"/>
        <v/>
      </c>
      <c r="N248" s="180" t="str">
        <f ca="1"/>
        <v/>
      </c>
      <c r="O248" s="180" t="str">
        <f ca="1"/>
        <v/>
      </c>
      <c r="P248" s="180" t="str">
        <f ca="1"/>
        <v/>
      </c>
      <c r="Q248" s="180" t="str">
        <f ca="1"/>
        <v/>
      </c>
      <c r="R248" s="180" t="str">
        <f ca="1"/>
        <v/>
      </c>
      <c r="S248" s="180" t="str">
        <f ca="1"/>
        <v/>
      </c>
      <c r="T248" s="180" t="str">
        <f ca="1"/>
        <v/>
      </c>
      <c r="U248" s="180" t="str">
        <f ca="1"/>
        <v/>
      </c>
      <c r="V248" s="180" t="str">
        <f ca="1"/>
        <v/>
      </c>
      <c r="W248" s="180" t="str">
        <f ca="1"/>
        <v/>
      </c>
      <c r="X248" s="180" t="str">
        <f ca="1"/>
        <v/>
      </c>
      <c r="Y248" s="180" t="str">
        <f ca="1"/>
        <v/>
      </c>
      <c r="Z248" s="180" t="str">
        <f ca="1"/>
        <v/>
      </c>
      <c r="AA248" s="180" t="str">
        <f ca="1"/>
        <v/>
      </c>
      <c r="AB248" s="180" t="str">
        <f ca="1"/>
        <v/>
      </c>
      <c r="AC248" s="180" t="str">
        <f ca="1"/>
        <v/>
      </c>
      <c r="AD248" s="180" t="str">
        <f ca="1"/>
        <v/>
      </c>
      <c r="AE248" s="180" t="str">
        <f ca="1"/>
        <v/>
      </c>
      <c r="AF248" s="180" t="str">
        <f ca="1"/>
        <v/>
      </c>
      <c r="AG248" s="180" t="str">
        <f ca="1"/>
        <v/>
      </c>
      <c r="AH248" s="180" t="str">
        <f ca="1"/>
        <v/>
      </c>
      <c r="AI248" s="180" t="str">
        <f ca="1"/>
        <v/>
      </c>
      <c r="AJ248" s="180" t="str">
        <f ca="1"/>
        <v/>
      </c>
      <c r="AK248" s="180" t="str">
        <f ca="1"/>
        <v/>
      </c>
      <c r="AL248" s="180" t="str">
        <f ca="1"/>
        <v/>
      </c>
      <c r="AM248" s="180" t="str">
        <f ca="1"/>
        <v/>
      </c>
      <c r="AN248" s="180" t="str">
        <f ca="1"/>
        <v/>
      </c>
      <c r="AO248" s="180" t="str">
        <f ca="1"/>
        <v/>
      </c>
      <c r="AP248" s="180" t="str">
        <f ca="1"/>
        <v/>
      </c>
      <c r="AQ248" s="187" t="str">
        <f ca="1"/>
        <v/>
      </c>
    </row>
    <row r="249" spans="2:43" x14ac:dyDescent="0.25">
      <c r="B249" s="179" t="str">
        <f ca="1"/>
        <v/>
      </c>
      <c r="C249" s="180" t="str">
        <f ca="1"/>
        <v/>
      </c>
      <c r="D249" s="180" t="str">
        <f ca="1"/>
        <v/>
      </c>
      <c r="E249" s="180" t="str">
        <f ca="1"/>
        <v/>
      </c>
      <c r="F249" s="180" t="str">
        <f ca="1"/>
        <v/>
      </c>
      <c r="G249" s="180" t="str">
        <f ca="1"/>
        <v/>
      </c>
      <c r="H249" s="180" t="str">
        <f ca="1"/>
        <v/>
      </c>
      <c r="I249" s="180" t="str">
        <f ca="1"/>
        <v/>
      </c>
      <c r="J249" s="180" t="str">
        <f ca="1"/>
        <v/>
      </c>
      <c r="K249" s="180" t="str">
        <f ca="1"/>
        <v/>
      </c>
      <c r="L249" s="180" t="str">
        <f ca="1"/>
        <v/>
      </c>
      <c r="M249" s="180" t="str">
        <f ca="1"/>
        <v/>
      </c>
      <c r="N249" s="180" t="str">
        <f ca="1"/>
        <v/>
      </c>
      <c r="O249" s="180" t="str">
        <f ca="1"/>
        <v/>
      </c>
      <c r="P249" s="180" t="str">
        <f ca="1"/>
        <v/>
      </c>
      <c r="Q249" s="180" t="str">
        <f ca="1"/>
        <v/>
      </c>
      <c r="R249" s="180" t="str">
        <f ca="1"/>
        <v/>
      </c>
      <c r="S249" s="180" t="str">
        <f ca="1"/>
        <v/>
      </c>
      <c r="T249" s="180" t="str">
        <f ca="1"/>
        <v/>
      </c>
      <c r="U249" s="180" t="str">
        <f ca="1"/>
        <v/>
      </c>
      <c r="V249" s="180" t="str">
        <f ca="1"/>
        <v/>
      </c>
      <c r="W249" s="180" t="str">
        <f ca="1"/>
        <v/>
      </c>
      <c r="X249" s="180" t="str">
        <f ca="1"/>
        <v/>
      </c>
      <c r="Y249" s="180" t="str">
        <f ca="1"/>
        <v/>
      </c>
      <c r="Z249" s="180" t="str">
        <f ca="1"/>
        <v/>
      </c>
      <c r="AA249" s="180" t="str">
        <f ca="1"/>
        <v/>
      </c>
      <c r="AB249" s="180" t="str">
        <f ca="1"/>
        <v/>
      </c>
      <c r="AC249" s="180" t="str">
        <f ca="1"/>
        <v/>
      </c>
      <c r="AD249" s="180" t="str">
        <f ca="1"/>
        <v/>
      </c>
      <c r="AE249" s="180" t="str">
        <f ca="1"/>
        <v/>
      </c>
      <c r="AF249" s="180" t="str">
        <f ca="1"/>
        <v/>
      </c>
      <c r="AG249" s="180" t="str">
        <f ca="1"/>
        <v/>
      </c>
      <c r="AH249" s="180" t="str">
        <f ca="1"/>
        <v/>
      </c>
      <c r="AI249" s="180" t="str">
        <f ca="1"/>
        <v/>
      </c>
      <c r="AJ249" s="180" t="str">
        <f ca="1"/>
        <v/>
      </c>
      <c r="AK249" s="180" t="str">
        <f ca="1"/>
        <v/>
      </c>
      <c r="AL249" s="180" t="str">
        <f ca="1"/>
        <v/>
      </c>
      <c r="AM249" s="180" t="str">
        <f ca="1"/>
        <v/>
      </c>
      <c r="AN249" s="180" t="str">
        <f ca="1"/>
        <v/>
      </c>
      <c r="AO249" s="180" t="str">
        <f ca="1"/>
        <v/>
      </c>
      <c r="AP249" s="180" t="str">
        <f ca="1"/>
        <v/>
      </c>
      <c r="AQ249" s="187" t="str">
        <f ca="1"/>
        <v/>
      </c>
    </row>
    <row r="250" spans="2:43" x14ac:dyDescent="0.25">
      <c r="B250" s="179" t="str">
        <f ca="1"/>
        <v/>
      </c>
      <c r="C250" s="180" t="str">
        <f ca="1"/>
        <v/>
      </c>
      <c r="D250" s="180" t="str">
        <f ca="1"/>
        <v/>
      </c>
      <c r="E250" s="180" t="str">
        <f ca="1"/>
        <v/>
      </c>
      <c r="F250" s="180" t="str">
        <f ca="1"/>
        <v/>
      </c>
      <c r="G250" s="180" t="str">
        <f ca="1"/>
        <v/>
      </c>
      <c r="H250" s="180" t="str">
        <f ca="1"/>
        <v/>
      </c>
      <c r="I250" s="180" t="str">
        <f ca="1"/>
        <v/>
      </c>
      <c r="J250" s="180" t="str">
        <f ca="1"/>
        <v/>
      </c>
      <c r="K250" s="180" t="str">
        <f ca="1"/>
        <v/>
      </c>
      <c r="L250" s="180" t="str">
        <f ca="1"/>
        <v/>
      </c>
      <c r="M250" s="180" t="str">
        <f ca="1"/>
        <v/>
      </c>
      <c r="N250" s="180" t="str">
        <f ca="1"/>
        <v/>
      </c>
      <c r="O250" s="180" t="str">
        <f ca="1"/>
        <v/>
      </c>
      <c r="P250" s="180" t="str">
        <f ca="1"/>
        <v/>
      </c>
      <c r="Q250" s="180" t="str">
        <f ca="1"/>
        <v/>
      </c>
      <c r="R250" s="180" t="str">
        <f ca="1"/>
        <v/>
      </c>
      <c r="S250" s="180" t="str">
        <f ca="1"/>
        <v/>
      </c>
      <c r="T250" s="180" t="str">
        <f ca="1"/>
        <v/>
      </c>
      <c r="U250" s="180" t="str">
        <f ca="1"/>
        <v/>
      </c>
      <c r="V250" s="180" t="str">
        <f ca="1"/>
        <v/>
      </c>
      <c r="W250" s="180" t="str">
        <f ca="1"/>
        <v/>
      </c>
      <c r="X250" s="180" t="str">
        <f ca="1"/>
        <v/>
      </c>
      <c r="Y250" s="180" t="str">
        <f ca="1"/>
        <v/>
      </c>
      <c r="Z250" s="180" t="str">
        <f ca="1"/>
        <v/>
      </c>
      <c r="AA250" s="180" t="str">
        <f ca="1"/>
        <v/>
      </c>
      <c r="AB250" s="180" t="str">
        <f ca="1"/>
        <v/>
      </c>
      <c r="AC250" s="180" t="str">
        <f ca="1"/>
        <v/>
      </c>
      <c r="AD250" s="180" t="str">
        <f ca="1"/>
        <v/>
      </c>
      <c r="AE250" s="180" t="str">
        <f ca="1"/>
        <v/>
      </c>
      <c r="AF250" s="180" t="str">
        <f ca="1"/>
        <v/>
      </c>
      <c r="AG250" s="180" t="str">
        <f ca="1"/>
        <v/>
      </c>
      <c r="AH250" s="180" t="str">
        <f ca="1"/>
        <v/>
      </c>
      <c r="AI250" s="180" t="str">
        <f ca="1"/>
        <v/>
      </c>
      <c r="AJ250" s="180" t="str">
        <f ca="1"/>
        <v/>
      </c>
      <c r="AK250" s="180" t="str">
        <f ca="1"/>
        <v/>
      </c>
      <c r="AL250" s="180" t="str">
        <f ca="1"/>
        <v/>
      </c>
      <c r="AM250" s="180" t="str">
        <f ca="1"/>
        <v/>
      </c>
      <c r="AN250" s="180" t="str">
        <f ca="1"/>
        <v/>
      </c>
      <c r="AO250" s="180" t="str">
        <f ca="1"/>
        <v/>
      </c>
      <c r="AP250" s="180" t="str">
        <f ca="1"/>
        <v/>
      </c>
      <c r="AQ250" s="187" t="str">
        <f ca="1"/>
        <v/>
      </c>
    </row>
    <row r="251" spans="2:43" x14ac:dyDescent="0.25">
      <c r="B251" s="179" t="str">
        <f ca="1"/>
        <v/>
      </c>
      <c r="C251" s="180" t="str">
        <f ca="1"/>
        <v/>
      </c>
      <c r="D251" s="180" t="str">
        <f ca="1"/>
        <v/>
      </c>
      <c r="E251" s="180" t="str">
        <f ca="1"/>
        <v/>
      </c>
      <c r="F251" s="180" t="str">
        <f ca="1"/>
        <v/>
      </c>
      <c r="G251" s="180" t="str">
        <f ca="1"/>
        <v/>
      </c>
      <c r="H251" s="180" t="str">
        <f ca="1"/>
        <v/>
      </c>
      <c r="I251" s="180" t="str">
        <f ca="1"/>
        <v/>
      </c>
      <c r="J251" s="180" t="str">
        <f ca="1"/>
        <v/>
      </c>
      <c r="K251" s="180" t="str">
        <f ca="1"/>
        <v/>
      </c>
      <c r="L251" s="180" t="str">
        <f ca="1"/>
        <v/>
      </c>
      <c r="M251" s="180" t="str">
        <f ca="1"/>
        <v/>
      </c>
      <c r="N251" s="180" t="str">
        <f ca="1"/>
        <v/>
      </c>
      <c r="O251" s="180" t="str">
        <f ca="1"/>
        <v/>
      </c>
      <c r="P251" s="180" t="str">
        <f ca="1"/>
        <v/>
      </c>
      <c r="Q251" s="180" t="str">
        <f ca="1"/>
        <v/>
      </c>
      <c r="R251" s="180" t="str">
        <f ca="1"/>
        <v/>
      </c>
      <c r="S251" s="180" t="str">
        <f ca="1"/>
        <v/>
      </c>
      <c r="T251" s="180" t="str">
        <f ca="1"/>
        <v/>
      </c>
      <c r="U251" s="180" t="str">
        <f ca="1"/>
        <v/>
      </c>
      <c r="V251" s="180" t="str">
        <f ca="1"/>
        <v/>
      </c>
      <c r="W251" s="180" t="str">
        <f ca="1"/>
        <v/>
      </c>
      <c r="X251" s="180" t="str">
        <f ca="1"/>
        <v/>
      </c>
      <c r="Y251" s="180" t="str">
        <f ca="1"/>
        <v/>
      </c>
      <c r="Z251" s="180" t="str">
        <f ca="1"/>
        <v/>
      </c>
      <c r="AA251" s="180" t="str">
        <f ca="1"/>
        <v/>
      </c>
      <c r="AB251" s="180" t="str">
        <f ca="1"/>
        <v/>
      </c>
      <c r="AC251" s="180" t="str">
        <f ca="1"/>
        <v/>
      </c>
      <c r="AD251" s="180" t="str">
        <f ca="1"/>
        <v/>
      </c>
      <c r="AE251" s="180" t="str">
        <f ca="1"/>
        <v/>
      </c>
      <c r="AF251" s="180" t="str">
        <f ca="1"/>
        <v/>
      </c>
      <c r="AG251" s="180" t="str">
        <f ca="1"/>
        <v/>
      </c>
      <c r="AH251" s="180" t="str">
        <f ca="1"/>
        <v/>
      </c>
      <c r="AI251" s="180" t="str">
        <f ca="1"/>
        <v/>
      </c>
      <c r="AJ251" s="180" t="str">
        <f ca="1"/>
        <v/>
      </c>
      <c r="AK251" s="180" t="str">
        <f ca="1"/>
        <v/>
      </c>
      <c r="AL251" s="180" t="str">
        <f ca="1"/>
        <v/>
      </c>
      <c r="AM251" s="180" t="str">
        <f ca="1"/>
        <v/>
      </c>
      <c r="AN251" s="180" t="str">
        <f ca="1"/>
        <v/>
      </c>
      <c r="AO251" s="180" t="str">
        <f ca="1"/>
        <v/>
      </c>
      <c r="AP251" s="180" t="str">
        <f ca="1"/>
        <v/>
      </c>
      <c r="AQ251" s="187" t="str">
        <f ca="1"/>
        <v/>
      </c>
    </row>
    <row r="252" spans="2:43" x14ac:dyDescent="0.25">
      <c r="B252" s="179" t="str">
        <f ca="1"/>
        <v/>
      </c>
      <c r="C252" s="180" t="str">
        <f ca="1"/>
        <v/>
      </c>
      <c r="D252" s="180" t="str">
        <f ca="1"/>
        <v/>
      </c>
      <c r="E252" s="180" t="str">
        <f ca="1"/>
        <v/>
      </c>
      <c r="F252" s="180" t="str">
        <f ca="1"/>
        <v/>
      </c>
      <c r="G252" s="180" t="str">
        <f ca="1"/>
        <v/>
      </c>
      <c r="H252" s="180" t="str">
        <f ca="1"/>
        <v/>
      </c>
      <c r="I252" s="180" t="str">
        <f ca="1"/>
        <v/>
      </c>
      <c r="J252" s="180" t="str">
        <f ca="1"/>
        <v/>
      </c>
      <c r="K252" s="180" t="str">
        <f ca="1"/>
        <v/>
      </c>
      <c r="L252" s="180" t="str">
        <f ca="1"/>
        <v/>
      </c>
      <c r="M252" s="180" t="str">
        <f ca="1"/>
        <v/>
      </c>
      <c r="N252" s="180" t="str">
        <f ca="1"/>
        <v/>
      </c>
      <c r="O252" s="180" t="str">
        <f ca="1"/>
        <v/>
      </c>
      <c r="P252" s="180" t="str">
        <f ca="1"/>
        <v/>
      </c>
      <c r="Q252" s="180" t="str">
        <f ca="1"/>
        <v/>
      </c>
      <c r="R252" s="180" t="str">
        <f ca="1"/>
        <v/>
      </c>
      <c r="S252" s="180" t="str">
        <f ca="1"/>
        <v/>
      </c>
      <c r="T252" s="180" t="str">
        <f ca="1"/>
        <v/>
      </c>
      <c r="U252" s="180" t="str">
        <f ca="1"/>
        <v/>
      </c>
      <c r="V252" s="180" t="str">
        <f ca="1"/>
        <v/>
      </c>
      <c r="W252" s="180" t="str">
        <f ca="1"/>
        <v/>
      </c>
      <c r="X252" s="180" t="str">
        <f ca="1"/>
        <v/>
      </c>
      <c r="Y252" s="180" t="str">
        <f ca="1"/>
        <v/>
      </c>
      <c r="Z252" s="180" t="str">
        <f ca="1"/>
        <v/>
      </c>
      <c r="AA252" s="180" t="str">
        <f ca="1"/>
        <v/>
      </c>
      <c r="AB252" s="180" t="str">
        <f ca="1"/>
        <v/>
      </c>
      <c r="AC252" s="180" t="str">
        <f ca="1"/>
        <v/>
      </c>
      <c r="AD252" s="180" t="str">
        <f ca="1"/>
        <v/>
      </c>
      <c r="AE252" s="180" t="str">
        <f ca="1"/>
        <v/>
      </c>
      <c r="AF252" s="180" t="str">
        <f ca="1"/>
        <v/>
      </c>
      <c r="AG252" s="180" t="str">
        <f ca="1"/>
        <v/>
      </c>
      <c r="AH252" s="180" t="str">
        <f ca="1"/>
        <v/>
      </c>
      <c r="AI252" s="180" t="str">
        <f ca="1"/>
        <v/>
      </c>
      <c r="AJ252" s="180" t="str">
        <f ca="1"/>
        <v/>
      </c>
      <c r="AK252" s="180" t="str">
        <f ca="1"/>
        <v/>
      </c>
      <c r="AL252" s="180" t="str">
        <f ca="1"/>
        <v/>
      </c>
      <c r="AM252" s="180" t="str">
        <f ca="1"/>
        <v/>
      </c>
      <c r="AN252" s="180" t="str">
        <f ca="1"/>
        <v/>
      </c>
      <c r="AO252" s="180" t="str">
        <f ca="1"/>
        <v/>
      </c>
      <c r="AP252" s="180" t="str">
        <f ca="1"/>
        <v/>
      </c>
      <c r="AQ252" s="187" t="str">
        <f ca="1"/>
        <v/>
      </c>
    </row>
    <row r="253" spans="2:43" x14ac:dyDescent="0.25">
      <c r="B253" s="179" t="str">
        <f ca="1"/>
        <v/>
      </c>
      <c r="C253" s="180" t="str">
        <f ca="1"/>
        <v/>
      </c>
      <c r="D253" s="180" t="str">
        <f ca="1"/>
        <v/>
      </c>
      <c r="E253" s="180" t="str">
        <f ca="1"/>
        <v/>
      </c>
      <c r="F253" s="180" t="str">
        <f ca="1"/>
        <v/>
      </c>
      <c r="G253" s="180" t="str">
        <f ca="1"/>
        <v/>
      </c>
      <c r="H253" s="180" t="str">
        <f ca="1"/>
        <v/>
      </c>
      <c r="I253" s="180" t="str">
        <f ca="1"/>
        <v/>
      </c>
      <c r="J253" s="180" t="str">
        <f ca="1"/>
        <v/>
      </c>
      <c r="K253" s="180" t="str">
        <f ca="1"/>
        <v/>
      </c>
      <c r="L253" s="180" t="str">
        <f ca="1"/>
        <v/>
      </c>
      <c r="M253" s="180" t="str">
        <f ca="1"/>
        <v/>
      </c>
      <c r="N253" s="180" t="str">
        <f ca="1"/>
        <v/>
      </c>
      <c r="O253" s="180" t="str">
        <f ca="1"/>
        <v/>
      </c>
      <c r="P253" s="180" t="str">
        <f ca="1"/>
        <v/>
      </c>
      <c r="Q253" s="180" t="str">
        <f ca="1"/>
        <v/>
      </c>
      <c r="R253" s="180" t="str">
        <f ca="1"/>
        <v/>
      </c>
      <c r="S253" s="180" t="str">
        <f ca="1"/>
        <v/>
      </c>
      <c r="T253" s="180" t="str">
        <f ca="1"/>
        <v/>
      </c>
      <c r="U253" s="180" t="str">
        <f ca="1"/>
        <v/>
      </c>
      <c r="V253" s="180" t="str">
        <f ca="1"/>
        <v/>
      </c>
      <c r="W253" s="180" t="str">
        <f ca="1"/>
        <v/>
      </c>
      <c r="X253" s="180" t="str">
        <f ca="1"/>
        <v/>
      </c>
      <c r="Y253" s="180" t="str">
        <f ca="1"/>
        <v/>
      </c>
      <c r="Z253" s="180" t="str">
        <f ca="1"/>
        <v/>
      </c>
      <c r="AA253" s="180" t="str">
        <f ca="1"/>
        <v/>
      </c>
      <c r="AB253" s="180" t="str">
        <f ca="1"/>
        <v/>
      </c>
      <c r="AC253" s="180" t="str">
        <f ca="1"/>
        <v/>
      </c>
      <c r="AD253" s="180" t="str">
        <f ca="1"/>
        <v/>
      </c>
      <c r="AE253" s="180" t="str">
        <f ca="1"/>
        <v/>
      </c>
      <c r="AF253" s="180" t="str">
        <f ca="1"/>
        <v/>
      </c>
      <c r="AG253" s="180" t="str">
        <f ca="1"/>
        <v/>
      </c>
      <c r="AH253" s="180" t="str">
        <f ca="1"/>
        <v/>
      </c>
      <c r="AI253" s="180" t="str">
        <f ca="1"/>
        <v/>
      </c>
      <c r="AJ253" s="180" t="str">
        <f ca="1"/>
        <v/>
      </c>
      <c r="AK253" s="180" t="str">
        <f ca="1"/>
        <v/>
      </c>
      <c r="AL253" s="180" t="str">
        <f ca="1"/>
        <v/>
      </c>
      <c r="AM253" s="180" t="str">
        <f ca="1"/>
        <v/>
      </c>
      <c r="AN253" s="180" t="str">
        <f ca="1"/>
        <v/>
      </c>
      <c r="AO253" s="180" t="str">
        <f ca="1"/>
        <v/>
      </c>
      <c r="AP253" s="180" t="str">
        <f ca="1"/>
        <v/>
      </c>
      <c r="AQ253" s="187" t="str">
        <f ca="1"/>
        <v/>
      </c>
    </row>
    <row r="254" spans="2:43" x14ac:dyDescent="0.25">
      <c r="B254" s="179" t="str">
        <f ca="1"/>
        <v/>
      </c>
      <c r="C254" s="180" t="str">
        <f ca="1"/>
        <v/>
      </c>
      <c r="D254" s="180" t="str">
        <f ca="1"/>
        <v/>
      </c>
      <c r="E254" s="180" t="str">
        <f ca="1"/>
        <v/>
      </c>
      <c r="F254" s="180" t="str">
        <f ca="1"/>
        <v/>
      </c>
      <c r="G254" s="180" t="str">
        <f ca="1"/>
        <v/>
      </c>
      <c r="H254" s="180" t="str">
        <f ca="1"/>
        <v/>
      </c>
      <c r="I254" s="180" t="str">
        <f ca="1"/>
        <v/>
      </c>
      <c r="J254" s="180" t="str">
        <f ca="1"/>
        <v/>
      </c>
      <c r="K254" s="180" t="str">
        <f ca="1"/>
        <v/>
      </c>
      <c r="L254" s="180" t="str">
        <f ca="1"/>
        <v/>
      </c>
      <c r="M254" s="180" t="str">
        <f ca="1"/>
        <v/>
      </c>
      <c r="N254" s="180" t="str">
        <f ca="1"/>
        <v/>
      </c>
      <c r="O254" s="180" t="str">
        <f ca="1"/>
        <v/>
      </c>
      <c r="P254" s="180" t="str">
        <f ca="1"/>
        <v/>
      </c>
      <c r="Q254" s="180" t="str">
        <f ca="1"/>
        <v/>
      </c>
      <c r="R254" s="180" t="str">
        <f ca="1"/>
        <v/>
      </c>
      <c r="S254" s="180" t="str">
        <f ca="1"/>
        <v/>
      </c>
      <c r="T254" s="180" t="str">
        <f ca="1"/>
        <v/>
      </c>
      <c r="U254" s="180" t="str">
        <f ca="1"/>
        <v/>
      </c>
      <c r="V254" s="180" t="str">
        <f ca="1"/>
        <v/>
      </c>
      <c r="W254" s="180" t="str">
        <f ca="1"/>
        <v/>
      </c>
      <c r="X254" s="180" t="str">
        <f ca="1"/>
        <v/>
      </c>
      <c r="Y254" s="180" t="str">
        <f ca="1"/>
        <v/>
      </c>
      <c r="Z254" s="180" t="str">
        <f ca="1"/>
        <v/>
      </c>
      <c r="AA254" s="180" t="str">
        <f ca="1"/>
        <v/>
      </c>
      <c r="AB254" s="180" t="str">
        <f ca="1"/>
        <v/>
      </c>
      <c r="AC254" s="180" t="str">
        <f ca="1"/>
        <v/>
      </c>
      <c r="AD254" s="180" t="str">
        <f ca="1"/>
        <v/>
      </c>
      <c r="AE254" s="180" t="str">
        <f ca="1"/>
        <v/>
      </c>
      <c r="AF254" s="180" t="str">
        <f ca="1"/>
        <v/>
      </c>
      <c r="AG254" s="180" t="str">
        <f ca="1"/>
        <v/>
      </c>
      <c r="AH254" s="180" t="str">
        <f ca="1"/>
        <v/>
      </c>
      <c r="AI254" s="180" t="str">
        <f ca="1"/>
        <v/>
      </c>
      <c r="AJ254" s="180" t="str">
        <f ca="1"/>
        <v/>
      </c>
      <c r="AK254" s="180" t="str">
        <f ca="1"/>
        <v/>
      </c>
      <c r="AL254" s="180" t="str">
        <f ca="1"/>
        <v/>
      </c>
      <c r="AM254" s="180" t="str">
        <f ca="1"/>
        <v/>
      </c>
      <c r="AN254" s="180" t="str">
        <f ca="1"/>
        <v/>
      </c>
      <c r="AO254" s="180" t="str">
        <f ca="1"/>
        <v/>
      </c>
      <c r="AP254" s="180" t="str">
        <f ca="1"/>
        <v/>
      </c>
      <c r="AQ254" s="187" t="str">
        <f ca="1"/>
        <v/>
      </c>
    </row>
    <row r="255" spans="2:43" x14ac:dyDescent="0.25">
      <c r="B255" s="179" t="str">
        <f ca="1"/>
        <v/>
      </c>
      <c r="C255" s="180" t="str">
        <f ca="1"/>
        <v/>
      </c>
      <c r="D255" s="180" t="str">
        <f ca="1"/>
        <v/>
      </c>
      <c r="E255" s="180" t="str">
        <f ca="1"/>
        <v/>
      </c>
      <c r="F255" s="180" t="str">
        <f ca="1"/>
        <v/>
      </c>
      <c r="G255" s="180" t="str">
        <f ca="1"/>
        <v/>
      </c>
      <c r="H255" s="180" t="str">
        <f ca="1"/>
        <v/>
      </c>
      <c r="I255" s="180" t="str">
        <f ca="1"/>
        <v/>
      </c>
      <c r="J255" s="180" t="str">
        <f ca="1"/>
        <v/>
      </c>
      <c r="K255" s="180" t="str">
        <f ca="1"/>
        <v/>
      </c>
      <c r="L255" s="180" t="str">
        <f ca="1"/>
        <v/>
      </c>
      <c r="M255" s="180" t="str">
        <f ca="1"/>
        <v/>
      </c>
      <c r="N255" s="180" t="str">
        <f ca="1"/>
        <v/>
      </c>
      <c r="O255" s="180" t="str">
        <f ca="1"/>
        <v/>
      </c>
      <c r="P255" s="180" t="str">
        <f ca="1"/>
        <v/>
      </c>
      <c r="Q255" s="180" t="str">
        <f ca="1"/>
        <v/>
      </c>
      <c r="R255" s="180" t="str">
        <f ca="1"/>
        <v/>
      </c>
      <c r="S255" s="180" t="str">
        <f ca="1"/>
        <v/>
      </c>
      <c r="T255" s="180" t="str">
        <f ca="1"/>
        <v/>
      </c>
      <c r="U255" s="180" t="str">
        <f ca="1"/>
        <v/>
      </c>
      <c r="V255" s="180" t="str">
        <f ca="1"/>
        <v/>
      </c>
      <c r="W255" s="180" t="str">
        <f ca="1"/>
        <v/>
      </c>
      <c r="X255" s="180" t="str">
        <f ca="1"/>
        <v/>
      </c>
      <c r="Y255" s="180" t="str">
        <f ca="1"/>
        <v/>
      </c>
      <c r="Z255" s="180" t="str">
        <f ca="1"/>
        <v/>
      </c>
      <c r="AA255" s="180" t="str">
        <f ca="1"/>
        <v/>
      </c>
      <c r="AB255" s="180" t="str">
        <f ca="1"/>
        <v/>
      </c>
      <c r="AC255" s="180" t="str">
        <f ca="1"/>
        <v/>
      </c>
      <c r="AD255" s="180" t="str">
        <f ca="1"/>
        <v/>
      </c>
      <c r="AE255" s="180" t="str">
        <f ca="1"/>
        <v/>
      </c>
      <c r="AF255" s="180" t="str">
        <f ca="1"/>
        <v/>
      </c>
      <c r="AG255" s="180" t="str">
        <f ca="1"/>
        <v/>
      </c>
      <c r="AH255" s="180" t="str">
        <f ca="1"/>
        <v/>
      </c>
      <c r="AI255" s="180" t="str">
        <f ca="1"/>
        <v/>
      </c>
      <c r="AJ255" s="180" t="str">
        <f ca="1"/>
        <v/>
      </c>
      <c r="AK255" s="180" t="str">
        <f ca="1"/>
        <v/>
      </c>
      <c r="AL255" s="180" t="str">
        <f ca="1"/>
        <v/>
      </c>
      <c r="AM255" s="180" t="str">
        <f ca="1"/>
        <v/>
      </c>
      <c r="AN255" s="180" t="str">
        <f ca="1"/>
        <v/>
      </c>
      <c r="AO255" s="180" t="str">
        <f ca="1"/>
        <v/>
      </c>
      <c r="AP255" s="180" t="str">
        <f ca="1"/>
        <v/>
      </c>
      <c r="AQ255" s="187" t="str">
        <f ca="1"/>
        <v/>
      </c>
    </row>
    <row r="256" spans="2:43" x14ac:dyDescent="0.25">
      <c r="B256" s="179" t="str">
        <f ca="1"/>
        <v/>
      </c>
      <c r="C256" s="180" t="str">
        <f ca="1"/>
        <v/>
      </c>
      <c r="D256" s="180" t="str">
        <f ca="1"/>
        <v/>
      </c>
      <c r="E256" s="180" t="str">
        <f ca="1"/>
        <v/>
      </c>
      <c r="F256" s="180" t="str">
        <f ca="1"/>
        <v/>
      </c>
      <c r="G256" s="180" t="str">
        <f ca="1"/>
        <v/>
      </c>
      <c r="H256" s="180" t="str">
        <f ca="1"/>
        <v/>
      </c>
      <c r="I256" s="180" t="str">
        <f ca="1"/>
        <v/>
      </c>
      <c r="J256" s="180" t="str">
        <f ca="1"/>
        <v/>
      </c>
      <c r="K256" s="180" t="str">
        <f ca="1"/>
        <v/>
      </c>
      <c r="L256" s="180" t="str">
        <f ca="1"/>
        <v/>
      </c>
      <c r="M256" s="180" t="str">
        <f ca="1"/>
        <v/>
      </c>
      <c r="N256" s="180" t="str">
        <f ca="1"/>
        <v/>
      </c>
      <c r="O256" s="180" t="str">
        <f ca="1"/>
        <v/>
      </c>
      <c r="P256" s="180" t="str">
        <f ca="1"/>
        <v/>
      </c>
      <c r="Q256" s="180" t="str">
        <f ca="1"/>
        <v/>
      </c>
      <c r="R256" s="180" t="str">
        <f ca="1"/>
        <v/>
      </c>
      <c r="S256" s="180" t="str">
        <f ca="1"/>
        <v/>
      </c>
      <c r="T256" s="180" t="str">
        <f ca="1"/>
        <v/>
      </c>
      <c r="U256" s="180" t="str">
        <f ca="1"/>
        <v/>
      </c>
      <c r="V256" s="180" t="str">
        <f ca="1"/>
        <v/>
      </c>
      <c r="W256" s="180" t="str">
        <f ca="1"/>
        <v/>
      </c>
      <c r="X256" s="180" t="str">
        <f ca="1"/>
        <v/>
      </c>
      <c r="Y256" s="180" t="str">
        <f ca="1"/>
        <v/>
      </c>
      <c r="Z256" s="180" t="str">
        <f ca="1"/>
        <v/>
      </c>
      <c r="AA256" s="180" t="str">
        <f ca="1"/>
        <v/>
      </c>
      <c r="AB256" s="180" t="str">
        <f ca="1"/>
        <v/>
      </c>
      <c r="AC256" s="180" t="str">
        <f ca="1"/>
        <v/>
      </c>
      <c r="AD256" s="180" t="str">
        <f ca="1"/>
        <v/>
      </c>
      <c r="AE256" s="180" t="str">
        <f ca="1"/>
        <v/>
      </c>
      <c r="AF256" s="180" t="str">
        <f ca="1"/>
        <v/>
      </c>
      <c r="AG256" s="180" t="str">
        <f ca="1"/>
        <v/>
      </c>
      <c r="AH256" s="180" t="str">
        <f ca="1"/>
        <v/>
      </c>
      <c r="AI256" s="180" t="str">
        <f ca="1"/>
        <v/>
      </c>
      <c r="AJ256" s="180" t="str">
        <f ca="1"/>
        <v/>
      </c>
      <c r="AK256" s="180" t="str">
        <f ca="1"/>
        <v/>
      </c>
      <c r="AL256" s="180" t="str">
        <f ca="1"/>
        <v/>
      </c>
      <c r="AM256" s="180" t="str">
        <f ca="1"/>
        <v/>
      </c>
      <c r="AN256" s="180" t="str">
        <f ca="1"/>
        <v/>
      </c>
      <c r="AO256" s="180" t="str">
        <f ca="1"/>
        <v/>
      </c>
      <c r="AP256" s="180" t="str">
        <f ca="1"/>
        <v/>
      </c>
      <c r="AQ256" s="187" t="str">
        <f ca="1"/>
        <v/>
      </c>
    </row>
    <row r="257" spans="2:43" x14ac:dyDescent="0.25">
      <c r="B257" s="179" t="str">
        <f ca="1"/>
        <v/>
      </c>
      <c r="C257" s="180" t="str">
        <f ca="1"/>
        <v/>
      </c>
      <c r="D257" s="180" t="str">
        <f ca="1"/>
        <v/>
      </c>
      <c r="E257" s="180" t="str">
        <f ca="1"/>
        <v/>
      </c>
      <c r="F257" s="180" t="str">
        <f ca="1"/>
        <v/>
      </c>
      <c r="G257" s="180" t="str">
        <f ca="1"/>
        <v/>
      </c>
      <c r="H257" s="180" t="str">
        <f ca="1"/>
        <v/>
      </c>
      <c r="I257" s="180" t="str">
        <f ca="1"/>
        <v/>
      </c>
      <c r="J257" s="180" t="str">
        <f ca="1"/>
        <v/>
      </c>
      <c r="K257" s="180" t="str">
        <f ca="1"/>
        <v/>
      </c>
      <c r="L257" s="180" t="str">
        <f ca="1"/>
        <v/>
      </c>
      <c r="M257" s="180" t="str">
        <f ca="1"/>
        <v/>
      </c>
      <c r="N257" s="180" t="str">
        <f ca="1"/>
        <v/>
      </c>
      <c r="O257" s="180" t="str">
        <f ca="1"/>
        <v/>
      </c>
      <c r="P257" s="180" t="str">
        <f ca="1"/>
        <v/>
      </c>
      <c r="Q257" s="180" t="str">
        <f ca="1"/>
        <v/>
      </c>
      <c r="R257" s="180" t="str">
        <f ca="1"/>
        <v/>
      </c>
      <c r="S257" s="180" t="str">
        <f ca="1"/>
        <v/>
      </c>
      <c r="T257" s="180" t="str">
        <f ca="1"/>
        <v/>
      </c>
      <c r="U257" s="180" t="str">
        <f ca="1"/>
        <v/>
      </c>
      <c r="V257" s="180" t="str">
        <f ca="1"/>
        <v/>
      </c>
      <c r="W257" s="180" t="str">
        <f ca="1"/>
        <v/>
      </c>
      <c r="X257" s="180" t="str">
        <f ca="1"/>
        <v/>
      </c>
      <c r="Y257" s="180" t="str">
        <f ca="1"/>
        <v/>
      </c>
      <c r="Z257" s="180" t="str">
        <f ca="1"/>
        <v/>
      </c>
      <c r="AA257" s="180" t="str">
        <f ca="1"/>
        <v/>
      </c>
      <c r="AB257" s="180" t="str">
        <f ca="1"/>
        <v/>
      </c>
      <c r="AC257" s="180" t="str">
        <f ca="1"/>
        <v/>
      </c>
      <c r="AD257" s="180" t="str">
        <f ca="1"/>
        <v/>
      </c>
      <c r="AE257" s="180" t="str">
        <f ca="1"/>
        <v/>
      </c>
      <c r="AF257" s="180" t="str">
        <f ca="1"/>
        <v/>
      </c>
      <c r="AG257" s="180" t="str">
        <f ca="1"/>
        <v/>
      </c>
      <c r="AH257" s="180" t="str">
        <f ca="1"/>
        <v/>
      </c>
      <c r="AI257" s="180" t="str">
        <f ca="1"/>
        <v/>
      </c>
      <c r="AJ257" s="180" t="str">
        <f ca="1"/>
        <v/>
      </c>
      <c r="AK257" s="180" t="str">
        <f ca="1"/>
        <v/>
      </c>
      <c r="AL257" s="180" t="str">
        <f ca="1"/>
        <v/>
      </c>
      <c r="AM257" s="180" t="str">
        <f ca="1"/>
        <v/>
      </c>
      <c r="AN257" s="180" t="str">
        <f ca="1"/>
        <v/>
      </c>
      <c r="AO257" s="180" t="str">
        <f ca="1"/>
        <v/>
      </c>
      <c r="AP257" s="180" t="str">
        <f ca="1"/>
        <v/>
      </c>
      <c r="AQ257" s="187" t="str">
        <f ca="1"/>
        <v/>
      </c>
    </row>
    <row r="258" spans="2:43" x14ac:dyDescent="0.25">
      <c r="B258" s="179" t="str">
        <f ca="1"/>
        <v/>
      </c>
      <c r="C258" s="180" t="str">
        <f ca="1"/>
        <v/>
      </c>
      <c r="D258" s="180" t="str">
        <f ca="1"/>
        <v/>
      </c>
      <c r="E258" s="180" t="str">
        <f ca="1"/>
        <v/>
      </c>
      <c r="F258" s="180" t="str">
        <f ca="1"/>
        <v/>
      </c>
      <c r="G258" s="180" t="str">
        <f ca="1"/>
        <v/>
      </c>
      <c r="H258" s="180" t="str">
        <f ca="1"/>
        <v/>
      </c>
      <c r="I258" s="180" t="str">
        <f ca="1"/>
        <v/>
      </c>
      <c r="J258" s="180" t="str">
        <f ca="1"/>
        <v/>
      </c>
      <c r="K258" s="180" t="str">
        <f ca="1"/>
        <v/>
      </c>
      <c r="L258" s="180" t="str">
        <f ca="1"/>
        <v/>
      </c>
      <c r="M258" s="180" t="str">
        <f ca="1"/>
        <v/>
      </c>
      <c r="N258" s="180" t="str">
        <f ca="1"/>
        <v/>
      </c>
      <c r="O258" s="180" t="str">
        <f ca="1"/>
        <v/>
      </c>
      <c r="P258" s="180" t="str">
        <f ca="1"/>
        <v/>
      </c>
      <c r="Q258" s="180" t="str">
        <f ca="1"/>
        <v/>
      </c>
      <c r="R258" s="180" t="str">
        <f ca="1"/>
        <v/>
      </c>
      <c r="S258" s="180" t="str">
        <f ca="1"/>
        <v/>
      </c>
      <c r="T258" s="180" t="str">
        <f ca="1"/>
        <v/>
      </c>
      <c r="U258" s="180" t="str">
        <f ca="1"/>
        <v/>
      </c>
      <c r="V258" s="180" t="str">
        <f ca="1"/>
        <v/>
      </c>
      <c r="W258" s="180" t="str">
        <f ca="1"/>
        <v/>
      </c>
      <c r="X258" s="180" t="str">
        <f ca="1"/>
        <v/>
      </c>
      <c r="Y258" s="180" t="str">
        <f ca="1"/>
        <v/>
      </c>
      <c r="Z258" s="180" t="str">
        <f ca="1"/>
        <v/>
      </c>
      <c r="AA258" s="180" t="str">
        <f ca="1"/>
        <v/>
      </c>
      <c r="AB258" s="180" t="str">
        <f ca="1"/>
        <v/>
      </c>
      <c r="AC258" s="180" t="str">
        <f ca="1"/>
        <v/>
      </c>
      <c r="AD258" s="180" t="str">
        <f ca="1"/>
        <v/>
      </c>
      <c r="AE258" s="180" t="str">
        <f ca="1"/>
        <v/>
      </c>
      <c r="AF258" s="180" t="str">
        <f ca="1"/>
        <v/>
      </c>
      <c r="AG258" s="180" t="str">
        <f ca="1"/>
        <v/>
      </c>
      <c r="AH258" s="180" t="str">
        <f ca="1"/>
        <v/>
      </c>
      <c r="AI258" s="180" t="str">
        <f ca="1"/>
        <v/>
      </c>
      <c r="AJ258" s="180" t="str">
        <f ca="1"/>
        <v/>
      </c>
      <c r="AK258" s="180" t="str">
        <f ca="1"/>
        <v/>
      </c>
      <c r="AL258" s="180" t="str">
        <f ca="1"/>
        <v/>
      </c>
      <c r="AM258" s="180" t="str">
        <f ca="1"/>
        <v/>
      </c>
      <c r="AN258" s="180" t="str">
        <f ca="1"/>
        <v/>
      </c>
      <c r="AO258" s="180" t="str">
        <f ca="1"/>
        <v/>
      </c>
      <c r="AP258" s="180" t="str">
        <f ca="1"/>
        <v/>
      </c>
      <c r="AQ258" s="187" t="str">
        <f ca="1"/>
        <v/>
      </c>
    </row>
    <row r="259" spans="2:43" x14ac:dyDescent="0.25">
      <c r="B259" s="179" t="str">
        <f ca="1"/>
        <v/>
      </c>
      <c r="C259" s="180" t="str">
        <f ca="1"/>
        <v/>
      </c>
      <c r="D259" s="180" t="str">
        <f ca="1"/>
        <v/>
      </c>
      <c r="E259" s="180" t="str">
        <f ca="1"/>
        <v/>
      </c>
      <c r="F259" s="180" t="str">
        <f ca="1"/>
        <v/>
      </c>
      <c r="G259" s="180" t="str">
        <f ca="1"/>
        <v/>
      </c>
      <c r="H259" s="180" t="str">
        <f ca="1"/>
        <v/>
      </c>
      <c r="I259" s="180" t="str">
        <f ca="1"/>
        <v/>
      </c>
      <c r="J259" s="180" t="str">
        <f ca="1"/>
        <v/>
      </c>
      <c r="K259" s="180" t="str">
        <f ca="1"/>
        <v/>
      </c>
      <c r="L259" s="180" t="str">
        <f ca="1"/>
        <v/>
      </c>
      <c r="M259" s="180" t="str">
        <f ca="1"/>
        <v/>
      </c>
      <c r="N259" s="180" t="str">
        <f ca="1"/>
        <v/>
      </c>
      <c r="O259" s="180" t="str">
        <f ca="1"/>
        <v/>
      </c>
      <c r="P259" s="180" t="str">
        <f ca="1"/>
        <v/>
      </c>
      <c r="Q259" s="180" t="str">
        <f ca="1"/>
        <v/>
      </c>
      <c r="R259" s="180" t="str">
        <f ca="1"/>
        <v/>
      </c>
      <c r="S259" s="180" t="str">
        <f ca="1"/>
        <v/>
      </c>
      <c r="T259" s="180" t="str">
        <f ca="1"/>
        <v/>
      </c>
      <c r="U259" s="180" t="str">
        <f ca="1"/>
        <v/>
      </c>
      <c r="V259" s="180" t="str">
        <f ca="1"/>
        <v/>
      </c>
      <c r="W259" s="180" t="str">
        <f ca="1"/>
        <v/>
      </c>
      <c r="X259" s="180" t="str">
        <f ca="1"/>
        <v/>
      </c>
      <c r="Y259" s="180" t="str">
        <f ca="1"/>
        <v/>
      </c>
      <c r="Z259" s="180" t="str">
        <f ca="1"/>
        <v/>
      </c>
      <c r="AA259" s="180" t="str">
        <f ca="1"/>
        <v/>
      </c>
      <c r="AB259" s="180" t="str">
        <f ca="1"/>
        <v/>
      </c>
      <c r="AC259" s="180" t="str">
        <f ca="1"/>
        <v/>
      </c>
      <c r="AD259" s="180" t="str">
        <f ca="1"/>
        <v/>
      </c>
      <c r="AE259" s="180" t="str">
        <f ca="1"/>
        <v/>
      </c>
      <c r="AF259" s="180" t="str">
        <f ca="1"/>
        <v/>
      </c>
      <c r="AG259" s="180" t="str">
        <f ca="1"/>
        <v/>
      </c>
      <c r="AH259" s="180" t="str">
        <f ca="1"/>
        <v/>
      </c>
      <c r="AI259" s="180" t="str">
        <f ca="1"/>
        <v/>
      </c>
      <c r="AJ259" s="180" t="str">
        <f ca="1"/>
        <v/>
      </c>
      <c r="AK259" s="180" t="str">
        <f ca="1"/>
        <v/>
      </c>
      <c r="AL259" s="180" t="str">
        <f ca="1"/>
        <v/>
      </c>
      <c r="AM259" s="180" t="str">
        <f ca="1"/>
        <v/>
      </c>
      <c r="AN259" s="180" t="str">
        <f ca="1"/>
        <v/>
      </c>
      <c r="AO259" s="180" t="str">
        <f ca="1"/>
        <v/>
      </c>
      <c r="AP259" s="180" t="str">
        <f ca="1"/>
        <v/>
      </c>
      <c r="AQ259" s="187" t="str">
        <f ca="1"/>
        <v/>
      </c>
    </row>
    <row r="260" spans="2:43" x14ac:dyDescent="0.25">
      <c r="B260" s="179" t="str">
        <f ca="1"/>
        <v/>
      </c>
      <c r="C260" s="180" t="str">
        <f ca="1"/>
        <v/>
      </c>
      <c r="D260" s="180" t="str">
        <f ca="1"/>
        <v/>
      </c>
      <c r="E260" s="180" t="str">
        <f ca="1"/>
        <v/>
      </c>
      <c r="F260" s="180" t="str">
        <f ca="1"/>
        <v/>
      </c>
      <c r="G260" s="180" t="str">
        <f ca="1"/>
        <v/>
      </c>
      <c r="H260" s="180" t="str">
        <f ca="1"/>
        <v/>
      </c>
      <c r="I260" s="180" t="str">
        <f ca="1"/>
        <v/>
      </c>
      <c r="J260" s="180" t="str">
        <f ca="1"/>
        <v/>
      </c>
      <c r="K260" s="180" t="str">
        <f ca="1"/>
        <v/>
      </c>
      <c r="L260" s="180" t="str">
        <f ca="1"/>
        <v/>
      </c>
      <c r="M260" s="180" t="str">
        <f ca="1"/>
        <v/>
      </c>
      <c r="N260" s="180" t="str">
        <f ca="1"/>
        <v/>
      </c>
      <c r="O260" s="180" t="str">
        <f ca="1"/>
        <v/>
      </c>
      <c r="P260" s="180" t="str">
        <f ca="1"/>
        <v/>
      </c>
      <c r="Q260" s="180" t="str">
        <f ca="1"/>
        <v/>
      </c>
      <c r="R260" s="180" t="str">
        <f ca="1"/>
        <v/>
      </c>
      <c r="S260" s="180" t="str">
        <f ca="1"/>
        <v/>
      </c>
      <c r="T260" s="180" t="str">
        <f ca="1"/>
        <v/>
      </c>
      <c r="U260" s="180" t="str">
        <f ca="1"/>
        <v/>
      </c>
      <c r="V260" s="180" t="str">
        <f ca="1"/>
        <v/>
      </c>
      <c r="W260" s="180" t="str">
        <f ca="1"/>
        <v/>
      </c>
      <c r="X260" s="180" t="str">
        <f ca="1"/>
        <v/>
      </c>
      <c r="Y260" s="180" t="str">
        <f ca="1"/>
        <v/>
      </c>
      <c r="Z260" s="180" t="str">
        <f ca="1"/>
        <v/>
      </c>
      <c r="AA260" s="180" t="str">
        <f ca="1"/>
        <v/>
      </c>
      <c r="AB260" s="180" t="str">
        <f ca="1"/>
        <v/>
      </c>
      <c r="AC260" s="180" t="str">
        <f ca="1"/>
        <v/>
      </c>
      <c r="AD260" s="180" t="str">
        <f ca="1"/>
        <v/>
      </c>
      <c r="AE260" s="180" t="str">
        <f ca="1"/>
        <v/>
      </c>
      <c r="AF260" s="180" t="str">
        <f ca="1"/>
        <v/>
      </c>
      <c r="AG260" s="180" t="str">
        <f ca="1"/>
        <v/>
      </c>
      <c r="AH260" s="180" t="str">
        <f ca="1"/>
        <v/>
      </c>
      <c r="AI260" s="180" t="str">
        <f ca="1"/>
        <v/>
      </c>
      <c r="AJ260" s="180" t="str">
        <f ca="1"/>
        <v/>
      </c>
      <c r="AK260" s="180" t="str">
        <f ca="1"/>
        <v/>
      </c>
      <c r="AL260" s="180" t="str">
        <f ca="1"/>
        <v/>
      </c>
      <c r="AM260" s="180" t="str">
        <f ca="1"/>
        <v/>
      </c>
      <c r="AN260" s="180" t="str">
        <f ca="1"/>
        <v/>
      </c>
      <c r="AO260" s="180" t="str">
        <f ca="1"/>
        <v/>
      </c>
      <c r="AP260" s="180" t="str">
        <f ca="1"/>
        <v/>
      </c>
      <c r="AQ260" s="187" t="str">
        <f ca="1"/>
        <v/>
      </c>
    </row>
    <row r="261" spans="2:43" x14ac:dyDescent="0.25">
      <c r="B261" s="179" t="str">
        <f ca="1"/>
        <v/>
      </c>
      <c r="C261" s="180" t="str">
        <f ca="1"/>
        <v/>
      </c>
      <c r="D261" s="180" t="str">
        <f ca="1"/>
        <v/>
      </c>
      <c r="E261" s="180" t="str">
        <f ca="1"/>
        <v/>
      </c>
      <c r="F261" s="180" t="str">
        <f ca="1"/>
        <v/>
      </c>
      <c r="G261" s="180" t="str">
        <f ca="1"/>
        <v/>
      </c>
      <c r="H261" s="180" t="str">
        <f ca="1"/>
        <v/>
      </c>
      <c r="I261" s="180" t="str">
        <f ca="1"/>
        <v/>
      </c>
      <c r="J261" s="180" t="str">
        <f ca="1"/>
        <v/>
      </c>
      <c r="K261" s="180" t="str">
        <f ca="1"/>
        <v/>
      </c>
      <c r="L261" s="180" t="str">
        <f ca="1"/>
        <v/>
      </c>
      <c r="M261" s="180" t="str">
        <f ca="1"/>
        <v/>
      </c>
      <c r="N261" s="180" t="str">
        <f ca="1"/>
        <v/>
      </c>
      <c r="O261" s="180" t="str">
        <f ca="1"/>
        <v/>
      </c>
      <c r="P261" s="180" t="str">
        <f ca="1"/>
        <v/>
      </c>
      <c r="Q261" s="180" t="str">
        <f ca="1"/>
        <v/>
      </c>
      <c r="R261" s="180" t="str">
        <f ca="1"/>
        <v/>
      </c>
      <c r="S261" s="180" t="str">
        <f ca="1"/>
        <v/>
      </c>
      <c r="T261" s="180" t="str">
        <f ca="1"/>
        <v/>
      </c>
      <c r="U261" s="180" t="str">
        <f ca="1"/>
        <v/>
      </c>
      <c r="V261" s="180" t="str">
        <f ca="1"/>
        <v/>
      </c>
      <c r="W261" s="180" t="str">
        <f ca="1"/>
        <v/>
      </c>
      <c r="X261" s="180" t="str">
        <f ca="1"/>
        <v/>
      </c>
      <c r="Y261" s="180" t="str">
        <f ca="1"/>
        <v/>
      </c>
      <c r="Z261" s="180" t="str">
        <f ca="1"/>
        <v/>
      </c>
      <c r="AA261" s="180" t="str">
        <f ca="1"/>
        <v/>
      </c>
      <c r="AB261" s="180" t="str">
        <f ca="1"/>
        <v/>
      </c>
      <c r="AC261" s="180" t="str">
        <f ca="1"/>
        <v/>
      </c>
      <c r="AD261" s="180" t="str">
        <f ca="1"/>
        <v/>
      </c>
      <c r="AE261" s="180" t="str">
        <f ca="1"/>
        <v/>
      </c>
      <c r="AF261" s="180" t="str">
        <f ca="1"/>
        <v/>
      </c>
      <c r="AG261" s="180" t="str">
        <f ca="1"/>
        <v/>
      </c>
      <c r="AH261" s="180" t="str">
        <f ca="1"/>
        <v/>
      </c>
      <c r="AI261" s="180" t="str">
        <f ca="1"/>
        <v/>
      </c>
      <c r="AJ261" s="180" t="str">
        <f ca="1"/>
        <v/>
      </c>
      <c r="AK261" s="180" t="str">
        <f ca="1"/>
        <v/>
      </c>
      <c r="AL261" s="180" t="str">
        <f ca="1"/>
        <v/>
      </c>
      <c r="AM261" s="180" t="str">
        <f ca="1"/>
        <v/>
      </c>
      <c r="AN261" s="180" t="str">
        <f ca="1"/>
        <v/>
      </c>
      <c r="AO261" s="180" t="str">
        <f ca="1"/>
        <v/>
      </c>
      <c r="AP261" s="180" t="str">
        <f ca="1"/>
        <v/>
      </c>
      <c r="AQ261" s="187" t="str">
        <f ca="1"/>
        <v/>
      </c>
    </row>
    <row r="262" spans="2:43" x14ac:dyDescent="0.25">
      <c r="B262" s="179" t="str">
        <f ca="1"/>
        <v/>
      </c>
      <c r="C262" s="180" t="str">
        <f ca="1"/>
        <v/>
      </c>
      <c r="D262" s="180" t="str">
        <f ca="1"/>
        <v/>
      </c>
      <c r="E262" s="180" t="str">
        <f ca="1"/>
        <v/>
      </c>
      <c r="F262" s="180" t="str">
        <f ca="1"/>
        <v/>
      </c>
      <c r="G262" s="180" t="str">
        <f ca="1"/>
        <v/>
      </c>
      <c r="H262" s="180" t="str">
        <f ca="1"/>
        <v/>
      </c>
      <c r="I262" s="180" t="str">
        <f ca="1"/>
        <v/>
      </c>
      <c r="J262" s="180" t="str">
        <f ca="1"/>
        <v/>
      </c>
      <c r="K262" s="180" t="str">
        <f ca="1"/>
        <v/>
      </c>
      <c r="L262" s="180" t="str">
        <f ca="1"/>
        <v/>
      </c>
      <c r="M262" s="180" t="str">
        <f ca="1"/>
        <v/>
      </c>
      <c r="N262" s="180" t="str">
        <f ca="1"/>
        <v/>
      </c>
      <c r="O262" s="180" t="str">
        <f ca="1"/>
        <v/>
      </c>
      <c r="P262" s="180" t="str">
        <f ca="1"/>
        <v/>
      </c>
      <c r="Q262" s="180" t="str">
        <f ca="1"/>
        <v/>
      </c>
      <c r="R262" s="180" t="str">
        <f ca="1"/>
        <v/>
      </c>
      <c r="S262" s="180" t="str">
        <f ca="1"/>
        <v/>
      </c>
      <c r="T262" s="180" t="str">
        <f ca="1"/>
        <v/>
      </c>
      <c r="U262" s="180" t="str">
        <f ca="1"/>
        <v/>
      </c>
      <c r="V262" s="180" t="str">
        <f ca="1"/>
        <v/>
      </c>
      <c r="W262" s="180" t="str">
        <f ca="1"/>
        <v/>
      </c>
      <c r="X262" s="180" t="str">
        <f ca="1"/>
        <v/>
      </c>
      <c r="Y262" s="180" t="str">
        <f ca="1"/>
        <v/>
      </c>
      <c r="Z262" s="180" t="str">
        <f ca="1"/>
        <v/>
      </c>
      <c r="AA262" s="180" t="str">
        <f ca="1"/>
        <v/>
      </c>
      <c r="AB262" s="180" t="str">
        <f ca="1"/>
        <v/>
      </c>
      <c r="AC262" s="180" t="str">
        <f ca="1"/>
        <v/>
      </c>
      <c r="AD262" s="180" t="str">
        <f ca="1"/>
        <v/>
      </c>
      <c r="AE262" s="180" t="str">
        <f ca="1"/>
        <v/>
      </c>
      <c r="AF262" s="180" t="str">
        <f ca="1"/>
        <v/>
      </c>
      <c r="AG262" s="180" t="str">
        <f ca="1"/>
        <v/>
      </c>
      <c r="AH262" s="180" t="str">
        <f ca="1"/>
        <v/>
      </c>
      <c r="AI262" s="180" t="str">
        <f ca="1"/>
        <v/>
      </c>
      <c r="AJ262" s="180" t="str">
        <f ca="1"/>
        <v/>
      </c>
      <c r="AK262" s="180" t="str">
        <f ca="1"/>
        <v/>
      </c>
      <c r="AL262" s="180" t="str">
        <f ca="1"/>
        <v/>
      </c>
      <c r="AM262" s="180" t="str">
        <f ca="1"/>
        <v/>
      </c>
      <c r="AN262" s="180" t="str">
        <f ca="1"/>
        <v/>
      </c>
      <c r="AO262" s="180" t="str">
        <f ca="1"/>
        <v/>
      </c>
      <c r="AP262" s="180" t="str">
        <f ca="1"/>
        <v/>
      </c>
      <c r="AQ262" s="187" t="str">
        <f ca="1"/>
        <v/>
      </c>
    </row>
    <row r="263" spans="2:43" x14ac:dyDescent="0.25">
      <c r="B263" s="179" t="str">
        <f ca="1"/>
        <v/>
      </c>
      <c r="C263" s="180" t="str">
        <f ca="1"/>
        <v/>
      </c>
      <c r="D263" s="180" t="str">
        <f ca="1"/>
        <v/>
      </c>
      <c r="E263" s="180" t="str">
        <f ca="1"/>
        <v/>
      </c>
      <c r="F263" s="180" t="str">
        <f ca="1"/>
        <v/>
      </c>
      <c r="G263" s="180" t="str">
        <f ca="1"/>
        <v/>
      </c>
      <c r="H263" s="180" t="str">
        <f ca="1"/>
        <v/>
      </c>
      <c r="I263" s="180" t="str">
        <f ca="1"/>
        <v/>
      </c>
      <c r="J263" s="180" t="str">
        <f ca="1"/>
        <v/>
      </c>
      <c r="K263" s="180" t="str">
        <f ca="1"/>
        <v/>
      </c>
      <c r="L263" s="180" t="str">
        <f ca="1"/>
        <v/>
      </c>
      <c r="M263" s="180" t="str">
        <f ca="1"/>
        <v/>
      </c>
      <c r="N263" s="180" t="str">
        <f ca="1"/>
        <v/>
      </c>
      <c r="O263" s="180" t="str">
        <f ca="1"/>
        <v/>
      </c>
      <c r="P263" s="180" t="str">
        <f ca="1"/>
        <v/>
      </c>
      <c r="Q263" s="180" t="str">
        <f ca="1"/>
        <v/>
      </c>
      <c r="R263" s="180" t="str">
        <f ca="1"/>
        <v/>
      </c>
      <c r="S263" s="180" t="str">
        <f ca="1"/>
        <v/>
      </c>
      <c r="T263" s="180" t="str">
        <f ca="1"/>
        <v/>
      </c>
      <c r="U263" s="180" t="str">
        <f ca="1"/>
        <v/>
      </c>
      <c r="V263" s="180" t="str">
        <f ca="1"/>
        <v/>
      </c>
      <c r="W263" s="180" t="str">
        <f ca="1"/>
        <v/>
      </c>
      <c r="X263" s="180" t="str">
        <f ca="1"/>
        <v/>
      </c>
      <c r="Y263" s="180" t="str">
        <f ca="1"/>
        <v/>
      </c>
      <c r="Z263" s="180" t="str">
        <f ca="1"/>
        <v/>
      </c>
      <c r="AA263" s="180" t="str">
        <f ca="1"/>
        <v/>
      </c>
      <c r="AB263" s="180" t="str">
        <f ca="1"/>
        <v/>
      </c>
      <c r="AC263" s="180" t="str">
        <f ca="1"/>
        <v/>
      </c>
      <c r="AD263" s="180" t="str">
        <f ca="1"/>
        <v/>
      </c>
      <c r="AE263" s="180" t="str">
        <f ca="1"/>
        <v/>
      </c>
      <c r="AF263" s="180" t="str">
        <f ca="1"/>
        <v/>
      </c>
      <c r="AG263" s="180" t="str">
        <f ca="1"/>
        <v/>
      </c>
      <c r="AH263" s="180" t="str">
        <f ca="1"/>
        <v/>
      </c>
      <c r="AI263" s="180" t="str">
        <f ca="1"/>
        <v/>
      </c>
      <c r="AJ263" s="180" t="str">
        <f ca="1"/>
        <v/>
      </c>
      <c r="AK263" s="180" t="str">
        <f ca="1"/>
        <v/>
      </c>
      <c r="AL263" s="180" t="str">
        <f ca="1"/>
        <v/>
      </c>
      <c r="AM263" s="180" t="str">
        <f ca="1"/>
        <v/>
      </c>
      <c r="AN263" s="180" t="str">
        <f ca="1"/>
        <v/>
      </c>
      <c r="AO263" s="180" t="str">
        <f ca="1"/>
        <v/>
      </c>
      <c r="AP263" s="180" t="str">
        <f ca="1"/>
        <v/>
      </c>
      <c r="AQ263" s="187" t="str">
        <f ca="1"/>
        <v/>
      </c>
    </row>
    <row r="264" spans="2:43" x14ac:dyDescent="0.25">
      <c r="B264" s="179" t="str">
        <f ca="1"/>
        <v/>
      </c>
      <c r="C264" s="180" t="str">
        <f ca="1"/>
        <v/>
      </c>
      <c r="D264" s="180" t="str">
        <f ca="1"/>
        <v/>
      </c>
      <c r="E264" s="180" t="str">
        <f ca="1"/>
        <v/>
      </c>
      <c r="F264" s="180" t="str">
        <f ca="1"/>
        <v/>
      </c>
      <c r="G264" s="180" t="str">
        <f ca="1"/>
        <v/>
      </c>
      <c r="H264" s="180" t="str">
        <f ca="1"/>
        <v/>
      </c>
      <c r="I264" s="180" t="str">
        <f ca="1"/>
        <v/>
      </c>
      <c r="J264" s="180" t="str">
        <f ca="1"/>
        <v/>
      </c>
      <c r="K264" s="180" t="str">
        <f ca="1"/>
        <v/>
      </c>
      <c r="L264" s="180" t="str">
        <f ca="1"/>
        <v/>
      </c>
      <c r="M264" s="180" t="str">
        <f ca="1"/>
        <v/>
      </c>
      <c r="N264" s="180" t="str">
        <f ca="1"/>
        <v/>
      </c>
      <c r="O264" s="180" t="str">
        <f ca="1"/>
        <v/>
      </c>
      <c r="P264" s="180" t="str">
        <f ca="1"/>
        <v/>
      </c>
      <c r="Q264" s="180" t="str">
        <f ca="1"/>
        <v/>
      </c>
      <c r="R264" s="180" t="str">
        <f ca="1"/>
        <v/>
      </c>
      <c r="S264" s="180" t="str">
        <f ca="1"/>
        <v/>
      </c>
      <c r="T264" s="180" t="str">
        <f ca="1"/>
        <v/>
      </c>
      <c r="U264" s="180" t="str">
        <f ca="1"/>
        <v/>
      </c>
      <c r="V264" s="180" t="str">
        <f ca="1"/>
        <v/>
      </c>
      <c r="W264" s="180" t="str">
        <f ca="1"/>
        <v/>
      </c>
      <c r="X264" s="180" t="str">
        <f ca="1"/>
        <v/>
      </c>
      <c r="Y264" s="180" t="str">
        <f ca="1"/>
        <v/>
      </c>
      <c r="Z264" s="180" t="str">
        <f ca="1"/>
        <v/>
      </c>
      <c r="AA264" s="180" t="str">
        <f ca="1"/>
        <v/>
      </c>
      <c r="AB264" s="180" t="str">
        <f ca="1"/>
        <v/>
      </c>
      <c r="AC264" s="180" t="str">
        <f ca="1"/>
        <v/>
      </c>
      <c r="AD264" s="180" t="str">
        <f ca="1"/>
        <v/>
      </c>
      <c r="AE264" s="180" t="str">
        <f ca="1"/>
        <v/>
      </c>
      <c r="AF264" s="180" t="str">
        <f ca="1"/>
        <v/>
      </c>
      <c r="AG264" s="180" t="str">
        <f ca="1"/>
        <v/>
      </c>
      <c r="AH264" s="180" t="str">
        <f ca="1"/>
        <v/>
      </c>
      <c r="AI264" s="180" t="str">
        <f ca="1"/>
        <v/>
      </c>
      <c r="AJ264" s="180" t="str">
        <f ca="1"/>
        <v/>
      </c>
      <c r="AK264" s="180" t="str">
        <f ca="1"/>
        <v/>
      </c>
      <c r="AL264" s="180" t="str">
        <f ca="1"/>
        <v/>
      </c>
      <c r="AM264" s="180" t="str">
        <f ca="1"/>
        <v/>
      </c>
      <c r="AN264" s="180" t="str">
        <f ca="1"/>
        <v/>
      </c>
      <c r="AO264" s="180" t="str">
        <f ca="1"/>
        <v/>
      </c>
      <c r="AP264" s="180" t="str">
        <f ca="1"/>
        <v/>
      </c>
      <c r="AQ264" s="187" t="str">
        <f ca="1"/>
        <v/>
      </c>
    </row>
    <row r="265" spans="2:43" x14ac:dyDescent="0.25">
      <c r="B265" s="179" t="str">
        <f ca="1"/>
        <v/>
      </c>
      <c r="C265" s="180" t="str">
        <f ca="1"/>
        <v/>
      </c>
      <c r="D265" s="180" t="str">
        <f ca="1"/>
        <v/>
      </c>
      <c r="E265" s="180" t="str">
        <f ca="1"/>
        <v/>
      </c>
      <c r="F265" s="180" t="str">
        <f ca="1"/>
        <v/>
      </c>
      <c r="G265" s="180" t="str">
        <f ca="1"/>
        <v/>
      </c>
      <c r="H265" s="180" t="str">
        <f ca="1"/>
        <v/>
      </c>
      <c r="I265" s="180" t="str">
        <f ca="1"/>
        <v/>
      </c>
      <c r="J265" s="180" t="str">
        <f ca="1"/>
        <v/>
      </c>
      <c r="K265" s="180" t="str">
        <f ca="1"/>
        <v/>
      </c>
      <c r="L265" s="180" t="str">
        <f ca="1"/>
        <v/>
      </c>
      <c r="M265" s="180" t="str">
        <f ca="1"/>
        <v/>
      </c>
      <c r="N265" s="180" t="str">
        <f ca="1"/>
        <v/>
      </c>
      <c r="O265" s="180" t="str">
        <f ca="1"/>
        <v/>
      </c>
      <c r="P265" s="180" t="str">
        <f ca="1"/>
        <v/>
      </c>
      <c r="Q265" s="180" t="str">
        <f ca="1"/>
        <v/>
      </c>
      <c r="R265" s="180" t="str">
        <f ca="1"/>
        <v/>
      </c>
      <c r="S265" s="180" t="str">
        <f ca="1"/>
        <v/>
      </c>
      <c r="T265" s="180" t="str">
        <f ca="1"/>
        <v/>
      </c>
      <c r="U265" s="180" t="str">
        <f ca="1"/>
        <v/>
      </c>
      <c r="V265" s="180" t="str">
        <f ca="1"/>
        <v/>
      </c>
      <c r="W265" s="180" t="str">
        <f ca="1"/>
        <v/>
      </c>
      <c r="X265" s="180" t="str">
        <f ca="1"/>
        <v/>
      </c>
      <c r="Y265" s="180" t="str">
        <f ca="1"/>
        <v/>
      </c>
      <c r="Z265" s="180" t="str">
        <f ca="1"/>
        <v/>
      </c>
      <c r="AA265" s="180" t="str">
        <f ca="1"/>
        <v/>
      </c>
      <c r="AB265" s="180" t="str">
        <f ca="1"/>
        <v/>
      </c>
      <c r="AC265" s="180" t="str">
        <f ca="1"/>
        <v/>
      </c>
      <c r="AD265" s="180" t="str">
        <f ca="1"/>
        <v/>
      </c>
      <c r="AE265" s="180" t="str">
        <f ca="1"/>
        <v/>
      </c>
      <c r="AF265" s="180" t="str">
        <f ca="1"/>
        <v/>
      </c>
      <c r="AG265" s="180" t="str">
        <f ca="1"/>
        <v/>
      </c>
      <c r="AH265" s="180" t="str">
        <f ca="1"/>
        <v/>
      </c>
      <c r="AI265" s="180" t="str">
        <f ca="1"/>
        <v/>
      </c>
      <c r="AJ265" s="180" t="str">
        <f ca="1"/>
        <v/>
      </c>
      <c r="AK265" s="180" t="str">
        <f ca="1"/>
        <v/>
      </c>
      <c r="AL265" s="180" t="str">
        <f ca="1"/>
        <v/>
      </c>
      <c r="AM265" s="180" t="str">
        <f ca="1"/>
        <v/>
      </c>
      <c r="AN265" s="180" t="str">
        <f ca="1"/>
        <v/>
      </c>
      <c r="AO265" s="180" t="str">
        <f ca="1"/>
        <v/>
      </c>
      <c r="AP265" s="180" t="str">
        <f ca="1"/>
        <v/>
      </c>
      <c r="AQ265" s="187" t="str">
        <f ca="1"/>
        <v/>
      </c>
    </row>
    <row r="266" spans="2:43" x14ac:dyDescent="0.25">
      <c r="B266" s="179" t="str">
        <f ca="1"/>
        <v/>
      </c>
      <c r="C266" s="180" t="str">
        <f ca="1"/>
        <v/>
      </c>
      <c r="D266" s="180" t="str">
        <f ca="1"/>
        <v/>
      </c>
      <c r="E266" s="180" t="str">
        <f ca="1"/>
        <v/>
      </c>
      <c r="F266" s="180" t="str">
        <f ca="1"/>
        <v/>
      </c>
      <c r="G266" s="180" t="str">
        <f ca="1"/>
        <v/>
      </c>
      <c r="H266" s="180" t="str">
        <f ca="1"/>
        <v/>
      </c>
      <c r="I266" s="180" t="str">
        <f ca="1"/>
        <v/>
      </c>
      <c r="J266" s="180" t="str">
        <f ca="1"/>
        <v/>
      </c>
      <c r="K266" s="180" t="str">
        <f ca="1"/>
        <v/>
      </c>
      <c r="L266" s="180" t="str">
        <f ca="1"/>
        <v/>
      </c>
      <c r="M266" s="180" t="str">
        <f ca="1"/>
        <v/>
      </c>
      <c r="N266" s="180" t="str">
        <f ca="1"/>
        <v/>
      </c>
      <c r="O266" s="180" t="str">
        <f ca="1"/>
        <v/>
      </c>
      <c r="P266" s="180" t="str">
        <f ca="1"/>
        <v/>
      </c>
      <c r="Q266" s="180" t="str">
        <f ca="1"/>
        <v/>
      </c>
      <c r="R266" s="180" t="str">
        <f ca="1"/>
        <v/>
      </c>
      <c r="S266" s="180" t="str">
        <f ca="1"/>
        <v/>
      </c>
      <c r="T266" s="180" t="str">
        <f ca="1"/>
        <v/>
      </c>
      <c r="U266" s="180" t="str">
        <f ca="1"/>
        <v/>
      </c>
      <c r="V266" s="180" t="str">
        <f ca="1"/>
        <v/>
      </c>
      <c r="W266" s="180" t="str">
        <f ca="1"/>
        <v/>
      </c>
      <c r="X266" s="180" t="str">
        <f ca="1"/>
        <v/>
      </c>
      <c r="Y266" s="180" t="str">
        <f ca="1"/>
        <v/>
      </c>
      <c r="Z266" s="180" t="str">
        <f ca="1"/>
        <v/>
      </c>
      <c r="AA266" s="180" t="str">
        <f ca="1"/>
        <v/>
      </c>
      <c r="AB266" s="180" t="str">
        <f ca="1"/>
        <v/>
      </c>
      <c r="AC266" s="180" t="str">
        <f ca="1"/>
        <v/>
      </c>
      <c r="AD266" s="180" t="str">
        <f ca="1"/>
        <v/>
      </c>
      <c r="AE266" s="180" t="str">
        <f ca="1"/>
        <v/>
      </c>
      <c r="AF266" s="180" t="str">
        <f ca="1"/>
        <v/>
      </c>
      <c r="AG266" s="180" t="str">
        <f ca="1"/>
        <v/>
      </c>
      <c r="AH266" s="180" t="str">
        <f ca="1"/>
        <v/>
      </c>
      <c r="AI266" s="180" t="str">
        <f ca="1"/>
        <v/>
      </c>
      <c r="AJ266" s="180" t="str">
        <f ca="1"/>
        <v/>
      </c>
      <c r="AK266" s="180" t="str">
        <f ca="1"/>
        <v/>
      </c>
      <c r="AL266" s="180" t="str">
        <f ca="1"/>
        <v/>
      </c>
      <c r="AM266" s="180" t="str">
        <f ca="1"/>
        <v/>
      </c>
      <c r="AN266" s="180" t="str">
        <f ca="1"/>
        <v/>
      </c>
      <c r="AO266" s="180" t="str">
        <f ca="1"/>
        <v/>
      </c>
      <c r="AP266" s="180" t="str">
        <f ca="1"/>
        <v/>
      </c>
      <c r="AQ266" s="187" t="str">
        <f ca="1"/>
        <v/>
      </c>
    </row>
    <row r="267" spans="2:43" x14ac:dyDescent="0.25">
      <c r="B267" s="179" t="str">
        <f ca="1"/>
        <v/>
      </c>
      <c r="C267" s="180" t="str">
        <f ca="1"/>
        <v/>
      </c>
      <c r="D267" s="180" t="str">
        <f ca="1"/>
        <v/>
      </c>
      <c r="E267" s="180" t="str">
        <f ca="1"/>
        <v/>
      </c>
      <c r="F267" s="180" t="str">
        <f ca="1"/>
        <v/>
      </c>
      <c r="G267" s="180" t="str">
        <f ca="1"/>
        <v/>
      </c>
      <c r="H267" s="180" t="str">
        <f ca="1"/>
        <v/>
      </c>
      <c r="I267" s="180" t="str">
        <f ca="1"/>
        <v/>
      </c>
      <c r="J267" s="180" t="str">
        <f ca="1"/>
        <v/>
      </c>
      <c r="K267" s="180" t="str">
        <f ca="1"/>
        <v/>
      </c>
      <c r="L267" s="180" t="str">
        <f ca="1"/>
        <v/>
      </c>
      <c r="M267" s="180" t="str">
        <f ca="1"/>
        <v/>
      </c>
      <c r="N267" s="180" t="str">
        <f ca="1"/>
        <v/>
      </c>
      <c r="O267" s="180" t="str">
        <f ca="1"/>
        <v/>
      </c>
      <c r="P267" s="180" t="str">
        <f ca="1"/>
        <v/>
      </c>
      <c r="Q267" s="180" t="str">
        <f ca="1"/>
        <v/>
      </c>
      <c r="R267" s="180" t="str">
        <f ca="1"/>
        <v/>
      </c>
      <c r="S267" s="180" t="str">
        <f ca="1"/>
        <v/>
      </c>
      <c r="T267" s="180" t="str">
        <f ca="1"/>
        <v/>
      </c>
      <c r="U267" s="180" t="str">
        <f ca="1"/>
        <v/>
      </c>
      <c r="V267" s="180" t="str">
        <f ca="1"/>
        <v/>
      </c>
      <c r="W267" s="180" t="str">
        <f ca="1"/>
        <v/>
      </c>
      <c r="X267" s="180" t="str">
        <f ca="1"/>
        <v/>
      </c>
      <c r="Y267" s="180" t="str">
        <f ca="1"/>
        <v/>
      </c>
      <c r="Z267" s="180" t="str">
        <f ca="1"/>
        <v/>
      </c>
      <c r="AA267" s="180" t="str">
        <f ca="1"/>
        <v/>
      </c>
      <c r="AB267" s="180" t="str">
        <f ca="1"/>
        <v/>
      </c>
      <c r="AC267" s="180" t="str">
        <f ca="1"/>
        <v/>
      </c>
      <c r="AD267" s="180" t="str">
        <f ca="1"/>
        <v/>
      </c>
      <c r="AE267" s="180" t="str">
        <f ca="1"/>
        <v/>
      </c>
      <c r="AF267" s="180" t="str">
        <f ca="1"/>
        <v/>
      </c>
      <c r="AG267" s="180" t="str">
        <f ca="1"/>
        <v/>
      </c>
      <c r="AH267" s="180" t="str">
        <f ca="1"/>
        <v/>
      </c>
      <c r="AI267" s="180" t="str">
        <f ca="1"/>
        <v/>
      </c>
      <c r="AJ267" s="180" t="str">
        <f ca="1"/>
        <v/>
      </c>
      <c r="AK267" s="180" t="str">
        <f ca="1"/>
        <v/>
      </c>
      <c r="AL267" s="180" t="str">
        <f ca="1"/>
        <v/>
      </c>
      <c r="AM267" s="180" t="str">
        <f ca="1"/>
        <v/>
      </c>
      <c r="AN267" s="180" t="str">
        <f ca="1"/>
        <v/>
      </c>
      <c r="AO267" s="180" t="str">
        <f ca="1"/>
        <v/>
      </c>
      <c r="AP267" s="180" t="str">
        <f ca="1"/>
        <v/>
      </c>
      <c r="AQ267" s="187" t="str">
        <f ca="1"/>
        <v/>
      </c>
    </row>
    <row r="268" spans="2:43" x14ac:dyDescent="0.25">
      <c r="B268" s="179" t="str">
        <f ca="1"/>
        <v/>
      </c>
      <c r="C268" s="180" t="str">
        <f ca="1"/>
        <v/>
      </c>
      <c r="D268" s="180" t="str">
        <f ca="1"/>
        <v/>
      </c>
      <c r="E268" s="180" t="str">
        <f ca="1"/>
        <v/>
      </c>
      <c r="F268" s="180" t="str">
        <f ca="1"/>
        <v/>
      </c>
      <c r="G268" s="180" t="str">
        <f ca="1"/>
        <v/>
      </c>
      <c r="H268" s="180" t="str">
        <f ca="1"/>
        <v/>
      </c>
      <c r="I268" s="180" t="str">
        <f ca="1"/>
        <v/>
      </c>
      <c r="J268" s="180" t="str">
        <f ca="1"/>
        <v/>
      </c>
      <c r="K268" s="180" t="str">
        <f ca="1"/>
        <v/>
      </c>
      <c r="L268" s="180" t="str">
        <f ca="1"/>
        <v/>
      </c>
      <c r="M268" s="180" t="str">
        <f ca="1"/>
        <v/>
      </c>
      <c r="N268" s="180" t="str">
        <f ca="1"/>
        <v/>
      </c>
      <c r="O268" s="180" t="str">
        <f ca="1"/>
        <v/>
      </c>
      <c r="P268" s="180" t="str">
        <f ca="1"/>
        <v/>
      </c>
      <c r="Q268" s="180" t="str">
        <f ca="1"/>
        <v/>
      </c>
      <c r="R268" s="180" t="str">
        <f ca="1"/>
        <v/>
      </c>
      <c r="S268" s="180" t="str">
        <f ca="1"/>
        <v/>
      </c>
      <c r="T268" s="180" t="str">
        <f ca="1"/>
        <v/>
      </c>
      <c r="U268" s="180" t="str">
        <f ca="1"/>
        <v/>
      </c>
      <c r="V268" s="180" t="str">
        <f ca="1"/>
        <v/>
      </c>
      <c r="W268" s="180" t="str">
        <f ca="1"/>
        <v/>
      </c>
      <c r="X268" s="180" t="str">
        <f ca="1"/>
        <v/>
      </c>
      <c r="Y268" s="180" t="str">
        <f ca="1"/>
        <v/>
      </c>
      <c r="Z268" s="180" t="str">
        <f ca="1"/>
        <v/>
      </c>
      <c r="AA268" s="180" t="str">
        <f ca="1"/>
        <v/>
      </c>
      <c r="AB268" s="180" t="str">
        <f ca="1"/>
        <v/>
      </c>
      <c r="AC268" s="180" t="str">
        <f ca="1"/>
        <v/>
      </c>
      <c r="AD268" s="180" t="str">
        <f ca="1"/>
        <v/>
      </c>
      <c r="AE268" s="180" t="str">
        <f ca="1"/>
        <v/>
      </c>
      <c r="AF268" s="180" t="str">
        <f ca="1"/>
        <v/>
      </c>
      <c r="AG268" s="180" t="str">
        <f ca="1"/>
        <v/>
      </c>
      <c r="AH268" s="180" t="str">
        <f ca="1"/>
        <v/>
      </c>
      <c r="AI268" s="180" t="str">
        <f ca="1"/>
        <v/>
      </c>
      <c r="AJ268" s="180" t="str">
        <f ca="1"/>
        <v/>
      </c>
      <c r="AK268" s="180" t="str">
        <f ca="1"/>
        <v/>
      </c>
      <c r="AL268" s="180" t="str">
        <f ca="1"/>
        <v/>
      </c>
      <c r="AM268" s="180" t="str">
        <f ca="1"/>
        <v/>
      </c>
      <c r="AN268" s="180" t="str">
        <f ca="1"/>
        <v/>
      </c>
      <c r="AO268" s="180" t="str">
        <f ca="1"/>
        <v/>
      </c>
      <c r="AP268" s="180" t="str">
        <f ca="1"/>
        <v/>
      </c>
      <c r="AQ268" s="187" t="str">
        <f ca="1"/>
        <v/>
      </c>
    </row>
    <row r="269" spans="2:43" x14ac:dyDescent="0.25">
      <c r="B269" s="179" t="str">
        <f ca="1"/>
        <v/>
      </c>
      <c r="C269" s="180" t="str">
        <f ca="1"/>
        <v/>
      </c>
      <c r="D269" s="180" t="str">
        <f ca="1"/>
        <v/>
      </c>
      <c r="E269" s="180" t="str">
        <f ca="1"/>
        <v/>
      </c>
      <c r="F269" s="180" t="str">
        <f ca="1"/>
        <v/>
      </c>
      <c r="G269" s="180" t="str">
        <f ca="1"/>
        <v/>
      </c>
      <c r="H269" s="180" t="str">
        <f ca="1"/>
        <v/>
      </c>
      <c r="I269" s="180" t="str">
        <f ca="1"/>
        <v/>
      </c>
      <c r="J269" s="180" t="str">
        <f ca="1"/>
        <v/>
      </c>
      <c r="K269" s="180" t="str">
        <f ca="1"/>
        <v/>
      </c>
      <c r="L269" s="180" t="str">
        <f ca="1"/>
        <v/>
      </c>
      <c r="M269" s="180" t="str">
        <f ca="1"/>
        <v/>
      </c>
      <c r="N269" s="180" t="str">
        <f ca="1"/>
        <v/>
      </c>
      <c r="O269" s="180" t="str">
        <f ca="1"/>
        <v/>
      </c>
      <c r="P269" s="180" t="str">
        <f ca="1"/>
        <v/>
      </c>
      <c r="Q269" s="180" t="str">
        <f ca="1"/>
        <v/>
      </c>
      <c r="R269" s="180" t="str">
        <f ca="1"/>
        <v/>
      </c>
      <c r="S269" s="180" t="str">
        <f ca="1"/>
        <v/>
      </c>
      <c r="T269" s="180" t="str">
        <f ca="1"/>
        <v/>
      </c>
      <c r="U269" s="180" t="str">
        <f ca="1"/>
        <v/>
      </c>
      <c r="V269" s="180" t="str">
        <f ca="1"/>
        <v/>
      </c>
      <c r="W269" s="180" t="str">
        <f ca="1"/>
        <v/>
      </c>
      <c r="X269" s="180" t="str">
        <f ca="1"/>
        <v/>
      </c>
      <c r="Y269" s="180" t="str">
        <f ca="1"/>
        <v/>
      </c>
      <c r="Z269" s="180" t="str">
        <f ca="1"/>
        <v/>
      </c>
      <c r="AA269" s="180" t="str">
        <f ca="1"/>
        <v/>
      </c>
      <c r="AB269" s="180" t="str">
        <f ca="1"/>
        <v/>
      </c>
      <c r="AC269" s="180" t="str">
        <f ca="1"/>
        <v/>
      </c>
      <c r="AD269" s="180" t="str">
        <f ca="1"/>
        <v/>
      </c>
      <c r="AE269" s="180" t="str">
        <f ca="1"/>
        <v/>
      </c>
      <c r="AF269" s="180" t="str">
        <f ca="1"/>
        <v/>
      </c>
      <c r="AG269" s="180" t="str">
        <f ca="1"/>
        <v/>
      </c>
      <c r="AH269" s="180" t="str">
        <f ca="1"/>
        <v/>
      </c>
      <c r="AI269" s="180" t="str">
        <f ca="1"/>
        <v/>
      </c>
      <c r="AJ269" s="180" t="str">
        <f ca="1"/>
        <v/>
      </c>
      <c r="AK269" s="180" t="str">
        <f ca="1"/>
        <v/>
      </c>
      <c r="AL269" s="180" t="str">
        <f ca="1"/>
        <v/>
      </c>
      <c r="AM269" s="180" t="str">
        <f ca="1"/>
        <v/>
      </c>
      <c r="AN269" s="180" t="str">
        <f ca="1"/>
        <v/>
      </c>
      <c r="AO269" s="180" t="str">
        <f ca="1"/>
        <v/>
      </c>
      <c r="AP269" s="180" t="str">
        <f ca="1"/>
        <v/>
      </c>
      <c r="AQ269" s="187" t="str">
        <f ca="1"/>
        <v/>
      </c>
    </row>
    <row r="270" spans="2:43" x14ac:dyDescent="0.25">
      <c r="B270" s="179" t="str">
        <f ca="1"/>
        <v/>
      </c>
      <c r="C270" s="180" t="str">
        <f ca="1"/>
        <v/>
      </c>
      <c r="D270" s="180" t="str">
        <f ca="1"/>
        <v/>
      </c>
      <c r="E270" s="180" t="str">
        <f ca="1"/>
        <v/>
      </c>
      <c r="F270" s="180" t="str">
        <f ca="1"/>
        <v/>
      </c>
      <c r="G270" s="180" t="str">
        <f ca="1"/>
        <v/>
      </c>
      <c r="H270" s="180" t="str">
        <f ca="1"/>
        <v/>
      </c>
      <c r="I270" s="180" t="str">
        <f ca="1"/>
        <v/>
      </c>
      <c r="J270" s="180" t="str">
        <f ca="1"/>
        <v/>
      </c>
      <c r="K270" s="180" t="str">
        <f ca="1"/>
        <v/>
      </c>
      <c r="L270" s="180" t="str">
        <f ca="1"/>
        <v/>
      </c>
      <c r="M270" s="180" t="str">
        <f ca="1"/>
        <v/>
      </c>
      <c r="N270" s="180" t="str">
        <f ca="1"/>
        <v/>
      </c>
      <c r="O270" s="180" t="str">
        <f ca="1"/>
        <v/>
      </c>
      <c r="P270" s="180" t="str">
        <f ca="1"/>
        <v/>
      </c>
      <c r="Q270" s="180" t="str">
        <f ca="1"/>
        <v/>
      </c>
      <c r="R270" s="180" t="str">
        <f ca="1"/>
        <v/>
      </c>
      <c r="S270" s="180" t="str">
        <f ca="1"/>
        <v/>
      </c>
      <c r="T270" s="180" t="str">
        <f ca="1"/>
        <v/>
      </c>
      <c r="U270" s="180" t="str">
        <f ca="1"/>
        <v/>
      </c>
      <c r="V270" s="180" t="str">
        <f ca="1"/>
        <v/>
      </c>
      <c r="W270" s="180" t="str">
        <f ca="1"/>
        <v/>
      </c>
      <c r="X270" s="180" t="str">
        <f ca="1"/>
        <v/>
      </c>
      <c r="Y270" s="180" t="str">
        <f ca="1"/>
        <v/>
      </c>
      <c r="Z270" s="180" t="str">
        <f ca="1"/>
        <v/>
      </c>
      <c r="AA270" s="180" t="str">
        <f ca="1"/>
        <v/>
      </c>
      <c r="AB270" s="180" t="str">
        <f ca="1"/>
        <v/>
      </c>
      <c r="AC270" s="180" t="str">
        <f ca="1"/>
        <v/>
      </c>
      <c r="AD270" s="180" t="str">
        <f ca="1"/>
        <v/>
      </c>
      <c r="AE270" s="180" t="str">
        <f ca="1"/>
        <v/>
      </c>
      <c r="AF270" s="180" t="str">
        <f ca="1"/>
        <v/>
      </c>
      <c r="AG270" s="180" t="str">
        <f ca="1"/>
        <v/>
      </c>
      <c r="AH270" s="180" t="str">
        <f ca="1"/>
        <v/>
      </c>
      <c r="AI270" s="180" t="str">
        <f ca="1"/>
        <v/>
      </c>
      <c r="AJ270" s="180" t="str">
        <f ca="1"/>
        <v/>
      </c>
      <c r="AK270" s="180" t="str">
        <f ca="1"/>
        <v/>
      </c>
      <c r="AL270" s="180" t="str">
        <f ca="1"/>
        <v/>
      </c>
      <c r="AM270" s="180" t="str">
        <f ca="1"/>
        <v/>
      </c>
      <c r="AN270" s="180" t="str">
        <f ca="1"/>
        <v/>
      </c>
      <c r="AO270" s="180" t="str">
        <f ca="1"/>
        <v/>
      </c>
      <c r="AP270" s="180" t="str">
        <f ca="1"/>
        <v/>
      </c>
      <c r="AQ270" s="187" t="str">
        <f ca="1"/>
        <v/>
      </c>
    </row>
    <row r="271" spans="2:43" x14ac:dyDescent="0.25">
      <c r="B271" s="179" t="str">
        <f ca="1"/>
        <v/>
      </c>
      <c r="C271" s="180" t="str">
        <f ca="1"/>
        <v/>
      </c>
      <c r="D271" s="180" t="str">
        <f ca="1"/>
        <v/>
      </c>
      <c r="E271" s="180" t="str">
        <f ca="1"/>
        <v/>
      </c>
      <c r="F271" s="180" t="str">
        <f ca="1"/>
        <v/>
      </c>
      <c r="G271" s="180" t="str">
        <f ca="1"/>
        <v/>
      </c>
      <c r="H271" s="180" t="str">
        <f ca="1"/>
        <v/>
      </c>
      <c r="I271" s="180" t="str">
        <f ca="1"/>
        <v/>
      </c>
      <c r="J271" s="180" t="str">
        <f ca="1"/>
        <v/>
      </c>
      <c r="K271" s="180" t="str">
        <f ca="1"/>
        <v/>
      </c>
      <c r="L271" s="180" t="str">
        <f ca="1"/>
        <v/>
      </c>
      <c r="M271" s="180" t="str">
        <f ca="1"/>
        <v/>
      </c>
      <c r="N271" s="180" t="str">
        <f ca="1"/>
        <v/>
      </c>
      <c r="O271" s="180" t="str">
        <f ca="1"/>
        <v/>
      </c>
      <c r="P271" s="180" t="str">
        <f ca="1"/>
        <v/>
      </c>
      <c r="Q271" s="180" t="str">
        <f ca="1"/>
        <v/>
      </c>
      <c r="R271" s="180" t="str">
        <f ca="1"/>
        <v/>
      </c>
      <c r="S271" s="180" t="str">
        <f ca="1"/>
        <v/>
      </c>
      <c r="T271" s="180" t="str">
        <f ca="1"/>
        <v/>
      </c>
      <c r="U271" s="180" t="str">
        <f ca="1"/>
        <v/>
      </c>
      <c r="V271" s="180" t="str">
        <f ca="1"/>
        <v/>
      </c>
      <c r="W271" s="180" t="str">
        <f ca="1"/>
        <v/>
      </c>
      <c r="X271" s="180" t="str">
        <f ca="1"/>
        <v/>
      </c>
      <c r="Y271" s="180" t="str">
        <f ca="1"/>
        <v/>
      </c>
      <c r="Z271" s="180" t="str">
        <f ca="1"/>
        <v/>
      </c>
      <c r="AA271" s="180" t="str">
        <f ca="1"/>
        <v/>
      </c>
      <c r="AB271" s="180" t="str">
        <f ca="1"/>
        <v/>
      </c>
      <c r="AC271" s="180" t="str">
        <f ca="1"/>
        <v/>
      </c>
      <c r="AD271" s="180" t="str">
        <f ca="1"/>
        <v/>
      </c>
      <c r="AE271" s="180" t="str">
        <f ca="1"/>
        <v/>
      </c>
      <c r="AF271" s="180" t="str">
        <f ca="1"/>
        <v/>
      </c>
      <c r="AG271" s="180" t="str">
        <f ca="1"/>
        <v/>
      </c>
      <c r="AH271" s="180" t="str">
        <f ca="1"/>
        <v/>
      </c>
      <c r="AI271" s="180" t="str">
        <f ca="1"/>
        <v/>
      </c>
      <c r="AJ271" s="180" t="str">
        <f ca="1"/>
        <v/>
      </c>
      <c r="AK271" s="180" t="str">
        <f ca="1"/>
        <v/>
      </c>
      <c r="AL271" s="180" t="str">
        <f ca="1"/>
        <v/>
      </c>
      <c r="AM271" s="180" t="str">
        <f ca="1"/>
        <v/>
      </c>
      <c r="AN271" s="180" t="str">
        <f ca="1"/>
        <v/>
      </c>
      <c r="AO271" s="180" t="str">
        <f ca="1"/>
        <v/>
      </c>
      <c r="AP271" s="180" t="str">
        <f ca="1"/>
        <v/>
      </c>
      <c r="AQ271" s="187" t="str">
        <f ca="1"/>
        <v/>
      </c>
    </row>
    <row r="272" spans="2:43" x14ac:dyDescent="0.25">
      <c r="B272" s="179" t="str">
        <f ca="1"/>
        <v/>
      </c>
      <c r="C272" s="180" t="str">
        <f ca="1"/>
        <v/>
      </c>
      <c r="D272" s="180" t="str">
        <f ca="1"/>
        <v/>
      </c>
      <c r="E272" s="180" t="str">
        <f ca="1"/>
        <v/>
      </c>
      <c r="F272" s="180" t="str">
        <f ca="1"/>
        <v/>
      </c>
      <c r="G272" s="180" t="str">
        <f ca="1"/>
        <v/>
      </c>
      <c r="H272" s="180" t="str">
        <f ca="1"/>
        <v/>
      </c>
      <c r="I272" s="180" t="str">
        <f ca="1"/>
        <v/>
      </c>
      <c r="J272" s="180" t="str">
        <f ca="1"/>
        <v/>
      </c>
      <c r="K272" s="180" t="str">
        <f ca="1"/>
        <v/>
      </c>
      <c r="L272" s="180" t="str">
        <f ca="1"/>
        <v/>
      </c>
      <c r="M272" s="180" t="str">
        <f ca="1"/>
        <v/>
      </c>
      <c r="N272" s="180" t="str">
        <f ca="1"/>
        <v/>
      </c>
      <c r="O272" s="180" t="str">
        <f ca="1"/>
        <v/>
      </c>
      <c r="P272" s="180" t="str">
        <f ca="1"/>
        <v/>
      </c>
      <c r="Q272" s="180" t="str">
        <f ca="1"/>
        <v/>
      </c>
      <c r="R272" s="180" t="str">
        <f ca="1"/>
        <v/>
      </c>
      <c r="S272" s="180" t="str">
        <f ca="1"/>
        <v/>
      </c>
      <c r="T272" s="180" t="str">
        <f ca="1"/>
        <v/>
      </c>
      <c r="U272" s="180" t="str">
        <f ca="1"/>
        <v/>
      </c>
      <c r="V272" s="180" t="str">
        <f ca="1"/>
        <v/>
      </c>
      <c r="W272" s="180" t="str">
        <f ca="1"/>
        <v/>
      </c>
      <c r="X272" s="180" t="str">
        <f ca="1"/>
        <v/>
      </c>
      <c r="Y272" s="180" t="str">
        <f ca="1"/>
        <v/>
      </c>
      <c r="Z272" s="180" t="str">
        <f ca="1"/>
        <v/>
      </c>
      <c r="AA272" s="180" t="str">
        <f ca="1"/>
        <v/>
      </c>
      <c r="AB272" s="180" t="str">
        <f ca="1"/>
        <v/>
      </c>
      <c r="AC272" s="180" t="str">
        <f ca="1"/>
        <v/>
      </c>
      <c r="AD272" s="180" t="str">
        <f ca="1"/>
        <v/>
      </c>
      <c r="AE272" s="180" t="str">
        <f ca="1"/>
        <v/>
      </c>
      <c r="AF272" s="180" t="str">
        <f ca="1"/>
        <v/>
      </c>
      <c r="AG272" s="180" t="str">
        <f ca="1"/>
        <v/>
      </c>
      <c r="AH272" s="180" t="str">
        <f ca="1"/>
        <v/>
      </c>
      <c r="AI272" s="180" t="str">
        <f ca="1"/>
        <v/>
      </c>
      <c r="AJ272" s="180" t="str">
        <f ca="1"/>
        <v/>
      </c>
      <c r="AK272" s="180" t="str">
        <f ca="1"/>
        <v/>
      </c>
      <c r="AL272" s="180" t="str">
        <f ca="1"/>
        <v/>
      </c>
      <c r="AM272" s="180" t="str">
        <f ca="1"/>
        <v/>
      </c>
      <c r="AN272" s="180" t="str">
        <f ca="1"/>
        <v/>
      </c>
      <c r="AO272" s="180" t="str">
        <f ca="1"/>
        <v/>
      </c>
      <c r="AP272" s="180" t="str">
        <f ca="1"/>
        <v/>
      </c>
      <c r="AQ272" s="187" t="str">
        <f ca="1"/>
        <v/>
      </c>
    </row>
    <row r="273" spans="2:43" x14ac:dyDescent="0.25">
      <c r="B273" s="179" t="str">
        <f ca="1"/>
        <v/>
      </c>
      <c r="C273" s="180" t="str">
        <f ca="1"/>
        <v/>
      </c>
      <c r="D273" s="180" t="str">
        <f ca="1"/>
        <v/>
      </c>
      <c r="E273" s="180" t="str">
        <f ca="1"/>
        <v/>
      </c>
      <c r="F273" s="180" t="str">
        <f ca="1"/>
        <v/>
      </c>
      <c r="G273" s="180" t="str">
        <f ca="1"/>
        <v/>
      </c>
      <c r="H273" s="180" t="str">
        <f ca="1"/>
        <v/>
      </c>
      <c r="I273" s="180" t="str">
        <f ca="1"/>
        <v/>
      </c>
      <c r="J273" s="180" t="str">
        <f ca="1"/>
        <v/>
      </c>
      <c r="K273" s="180" t="str">
        <f ca="1"/>
        <v/>
      </c>
      <c r="L273" s="180" t="str">
        <f ca="1"/>
        <v/>
      </c>
      <c r="M273" s="180" t="str">
        <f ca="1"/>
        <v/>
      </c>
      <c r="N273" s="180" t="str">
        <f ca="1"/>
        <v/>
      </c>
      <c r="O273" s="180" t="str">
        <f ca="1"/>
        <v/>
      </c>
      <c r="P273" s="180" t="str">
        <f ca="1"/>
        <v/>
      </c>
      <c r="Q273" s="180" t="str">
        <f ca="1"/>
        <v/>
      </c>
      <c r="R273" s="180" t="str">
        <f ca="1"/>
        <v/>
      </c>
      <c r="S273" s="180" t="str">
        <f ca="1"/>
        <v/>
      </c>
      <c r="T273" s="180" t="str">
        <f ca="1"/>
        <v/>
      </c>
      <c r="U273" s="180" t="str">
        <f ca="1"/>
        <v/>
      </c>
      <c r="V273" s="180" t="str">
        <f ca="1"/>
        <v/>
      </c>
      <c r="W273" s="180" t="str">
        <f ca="1"/>
        <v/>
      </c>
      <c r="X273" s="180" t="str">
        <f ca="1"/>
        <v/>
      </c>
      <c r="Y273" s="180" t="str">
        <f ca="1"/>
        <v/>
      </c>
      <c r="Z273" s="180" t="str">
        <f ca="1"/>
        <v/>
      </c>
      <c r="AA273" s="180" t="str">
        <f ca="1"/>
        <v/>
      </c>
      <c r="AB273" s="180" t="str">
        <f ca="1"/>
        <v/>
      </c>
      <c r="AC273" s="180" t="str">
        <f ca="1"/>
        <v/>
      </c>
      <c r="AD273" s="180" t="str">
        <f ca="1"/>
        <v/>
      </c>
      <c r="AE273" s="180" t="str">
        <f ca="1"/>
        <v/>
      </c>
      <c r="AF273" s="180" t="str">
        <f ca="1"/>
        <v/>
      </c>
      <c r="AG273" s="180" t="str">
        <f ca="1"/>
        <v/>
      </c>
      <c r="AH273" s="180" t="str">
        <f ca="1"/>
        <v/>
      </c>
      <c r="AI273" s="180" t="str">
        <f ca="1"/>
        <v/>
      </c>
      <c r="AJ273" s="180" t="str">
        <f ca="1"/>
        <v/>
      </c>
      <c r="AK273" s="180" t="str">
        <f ca="1"/>
        <v/>
      </c>
      <c r="AL273" s="180" t="str">
        <f ca="1"/>
        <v/>
      </c>
      <c r="AM273" s="180" t="str">
        <f ca="1"/>
        <v/>
      </c>
      <c r="AN273" s="180" t="str">
        <f ca="1"/>
        <v/>
      </c>
      <c r="AO273" s="180" t="str">
        <f ca="1"/>
        <v/>
      </c>
      <c r="AP273" s="180" t="str">
        <f ca="1"/>
        <v/>
      </c>
      <c r="AQ273" s="187" t="str">
        <f ca="1"/>
        <v/>
      </c>
    </row>
    <row r="274" spans="2:43" x14ac:dyDescent="0.25">
      <c r="B274" s="179" t="str">
        <f ca="1"/>
        <v/>
      </c>
      <c r="C274" s="180" t="str">
        <f ca="1"/>
        <v/>
      </c>
      <c r="D274" s="180" t="str">
        <f ca="1"/>
        <v/>
      </c>
      <c r="E274" s="180" t="str">
        <f ca="1"/>
        <v/>
      </c>
      <c r="F274" s="180" t="str">
        <f ca="1"/>
        <v/>
      </c>
      <c r="G274" s="180" t="str">
        <f ca="1"/>
        <v/>
      </c>
      <c r="H274" s="180" t="str">
        <f ca="1"/>
        <v/>
      </c>
      <c r="I274" s="180" t="str">
        <f ca="1"/>
        <v/>
      </c>
      <c r="J274" s="180" t="str">
        <f ca="1"/>
        <v/>
      </c>
      <c r="K274" s="180" t="str">
        <f ca="1"/>
        <v/>
      </c>
      <c r="L274" s="180" t="str">
        <f ca="1"/>
        <v/>
      </c>
      <c r="M274" s="180" t="str">
        <f ca="1"/>
        <v/>
      </c>
      <c r="N274" s="180" t="str">
        <f ca="1"/>
        <v/>
      </c>
      <c r="O274" s="180" t="str">
        <f ca="1"/>
        <v/>
      </c>
      <c r="P274" s="180" t="str">
        <f ca="1"/>
        <v/>
      </c>
      <c r="Q274" s="180" t="str">
        <f ca="1"/>
        <v/>
      </c>
      <c r="R274" s="180" t="str">
        <f ca="1"/>
        <v/>
      </c>
      <c r="S274" s="180" t="str">
        <f ca="1"/>
        <v/>
      </c>
      <c r="T274" s="180" t="str">
        <f ca="1"/>
        <v/>
      </c>
      <c r="U274" s="180" t="str">
        <f ca="1"/>
        <v/>
      </c>
      <c r="V274" s="180" t="str">
        <f ca="1"/>
        <v/>
      </c>
      <c r="W274" s="180" t="str">
        <f ca="1"/>
        <v/>
      </c>
      <c r="X274" s="180" t="str">
        <f ca="1"/>
        <v/>
      </c>
      <c r="Y274" s="180" t="str">
        <f ca="1"/>
        <v/>
      </c>
      <c r="Z274" s="180" t="str">
        <f ca="1"/>
        <v/>
      </c>
      <c r="AA274" s="180" t="str">
        <f ca="1"/>
        <v/>
      </c>
      <c r="AB274" s="180" t="str">
        <f ca="1"/>
        <v/>
      </c>
      <c r="AC274" s="180" t="str">
        <f ca="1"/>
        <v/>
      </c>
      <c r="AD274" s="180" t="str">
        <f ca="1"/>
        <v/>
      </c>
      <c r="AE274" s="180" t="str">
        <f ca="1"/>
        <v/>
      </c>
      <c r="AF274" s="180" t="str">
        <f ca="1"/>
        <v/>
      </c>
      <c r="AG274" s="180" t="str">
        <f ca="1"/>
        <v/>
      </c>
      <c r="AH274" s="180" t="str">
        <f ca="1"/>
        <v/>
      </c>
      <c r="AI274" s="180" t="str">
        <f ca="1"/>
        <v/>
      </c>
      <c r="AJ274" s="180" t="str">
        <f ca="1"/>
        <v/>
      </c>
      <c r="AK274" s="180" t="str">
        <f ca="1"/>
        <v/>
      </c>
      <c r="AL274" s="180" t="str">
        <f ca="1"/>
        <v/>
      </c>
      <c r="AM274" s="180" t="str">
        <f ca="1"/>
        <v/>
      </c>
      <c r="AN274" s="180" t="str">
        <f ca="1"/>
        <v/>
      </c>
      <c r="AO274" s="180" t="str">
        <f ca="1"/>
        <v/>
      </c>
      <c r="AP274" s="180" t="str">
        <f ca="1"/>
        <v/>
      </c>
      <c r="AQ274" s="187" t="str">
        <f ca="1"/>
        <v/>
      </c>
    </row>
    <row r="275" spans="2:43" x14ac:dyDescent="0.25">
      <c r="B275" s="179" t="str">
        <f ca="1"/>
        <v/>
      </c>
      <c r="C275" s="180" t="str">
        <f ca="1"/>
        <v/>
      </c>
      <c r="D275" s="180" t="str">
        <f ca="1"/>
        <v/>
      </c>
      <c r="E275" s="180" t="str">
        <f ca="1"/>
        <v/>
      </c>
      <c r="F275" s="180" t="str">
        <f ca="1"/>
        <v/>
      </c>
      <c r="G275" s="180" t="str">
        <f ca="1"/>
        <v/>
      </c>
      <c r="H275" s="180" t="str">
        <f ca="1"/>
        <v/>
      </c>
      <c r="I275" s="180" t="str">
        <f ca="1"/>
        <v/>
      </c>
      <c r="J275" s="180" t="str">
        <f ca="1"/>
        <v/>
      </c>
      <c r="K275" s="180" t="str">
        <f ca="1"/>
        <v/>
      </c>
      <c r="L275" s="180" t="str">
        <f ca="1"/>
        <v/>
      </c>
      <c r="M275" s="180" t="str">
        <f ca="1"/>
        <v/>
      </c>
      <c r="N275" s="180" t="str">
        <f ca="1"/>
        <v/>
      </c>
      <c r="O275" s="180" t="str">
        <f ca="1"/>
        <v/>
      </c>
      <c r="P275" s="180" t="str">
        <f ca="1"/>
        <v/>
      </c>
      <c r="Q275" s="180" t="str">
        <f ca="1"/>
        <v/>
      </c>
      <c r="R275" s="180" t="str">
        <f ca="1"/>
        <v/>
      </c>
      <c r="S275" s="180" t="str">
        <f ca="1"/>
        <v/>
      </c>
      <c r="T275" s="180" t="str">
        <f ca="1"/>
        <v/>
      </c>
      <c r="U275" s="180" t="str">
        <f ca="1"/>
        <v/>
      </c>
      <c r="V275" s="180" t="str">
        <f ca="1"/>
        <v/>
      </c>
      <c r="W275" s="180" t="str">
        <f ca="1"/>
        <v/>
      </c>
      <c r="X275" s="180" t="str">
        <f ca="1"/>
        <v/>
      </c>
      <c r="Y275" s="180" t="str">
        <f ca="1"/>
        <v/>
      </c>
      <c r="Z275" s="180" t="str">
        <f ca="1"/>
        <v/>
      </c>
      <c r="AA275" s="180" t="str">
        <f ca="1"/>
        <v/>
      </c>
      <c r="AB275" s="180" t="str">
        <f ca="1"/>
        <v/>
      </c>
      <c r="AC275" s="180" t="str">
        <f ca="1"/>
        <v/>
      </c>
      <c r="AD275" s="180" t="str">
        <f ca="1"/>
        <v/>
      </c>
      <c r="AE275" s="180" t="str">
        <f ca="1"/>
        <v/>
      </c>
      <c r="AF275" s="180" t="str">
        <f ca="1"/>
        <v/>
      </c>
      <c r="AG275" s="180" t="str">
        <f ca="1"/>
        <v/>
      </c>
      <c r="AH275" s="180" t="str">
        <f ca="1"/>
        <v/>
      </c>
      <c r="AI275" s="180" t="str">
        <f ca="1"/>
        <v/>
      </c>
      <c r="AJ275" s="180" t="str">
        <f ca="1"/>
        <v/>
      </c>
      <c r="AK275" s="180" t="str">
        <f ca="1"/>
        <v/>
      </c>
      <c r="AL275" s="180" t="str">
        <f ca="1"/>
        <v/>
      </c>
      <c r="AM275" s="180" t="str">
        <f ca="1"/>
        <v/>
      </c>
      <c r="AN275" s="180" t="str">
        <f ca="1"/>
        <v/>
      </c>
      <c r="AO275" s="180" t="str">
        <f ca="1"/>
        <v/>
      </c>
      <c r="AP275" s="180" t="str">
        <f ca="1"/>
        <v/>
      </c>
      <c r="AQ275" s="187" t="str">
        <f ca="1"/>
        <v/>
      </c>
    </row>
    <row r="276" spans="2:43" x14ac:dyDescent="0.25">
      <c r="B276" s="179" t="str">
        <f ca="1"/>
        <v/>
      </c>
      <c r="C276" s="180" t="str">
        <f ca="1"/>
        <v/>
      </c>
      <c r="D276" s="180" t="str">
        <f ca="1"/>
        <v/>
      </c>
      <c r="E276" s="180" t="str">
        <f ca="1"/>
        <v/>
      </c>
      <c r="F276" s="180" t="str">
        <f ca="1"/>
        <v/>
      </c>
      <c r="G276" s="180" t="str">
        <f ca="1"/>
        <v/>
      </c>
      <c r="H276" s="180" t="str">
        <f ca="1"/>
        <v/>
      </c>
      <c r="I276" s="180" t="str">
        <f ca="1"/>
        <v/>
      </c>
      <c r="J276" s="180" t="str">
        <f ca="1"/>
        <v/>
      </c>
      <c r="K276" s="180" t="str">
        <f ca="1"/>
        <v/>
      </c>
      <c r="L276" s="180" t="str">
        <f ca="1"/>
        <v/>
      </c>
      <c r="M276" s="180" t="str">
        <f ca="1"/>
        <v/>
      </c>
      <c r="N276" s="180" t="str">
        <f ca="1"/>
        <v/>
      </c>
      <c r="O276" s="180" t="str">
        <f ca="1"/>
        <v/>
      </c>
      <c r="P276" s="180" t="str">
        <f ca="1"/>
        <v/>
      </c>
      <c r="Q276" s="180" t="str">
        <f ca="1"/>
        <v/>
      </c>
      <c r="R276" s="180" t="str">
        <f ca="1"/>
        <v/>
      </c>
      <c r="S276" s="180" t="str">
        <f ca="1"/>
        <v/>
      </c>
      <c r="T276" s="180" t="str">
        <f ca="1"/>
        <v/>
      </c>
      <c r="U276" s="180" t="str">
        <f ca="1"/>
        <v/>
      </c>
      <c r="V276" s="180" t="str">
        <f ca="1"/>
        <v/>
      </c>
      <c r="W276" s="180" t="str">
        <f ca="1"/>
        <v/>
      </c>
      <c r="X276" s="180" t="str">
        <f ca="1"/>
        <v/>
      </c>
      <c r="Y276" s="180" t="str">
        <f ca="1"/>
        <v/>
      </c>
      <c r="Z276" s="180" t="str">
        <f ca="1"/>
        <v/>
      </c>
      <c r="AA276" s="180" t="str">
        <f ca="1"/>
        <v/>
      </c>
      <c r="AB276" s="180" t="str">
        <f ca="1"/>
        <v/>
      </c>
      <c r="AC276" s="180" t="str">
        <f ca="1"/>
        <v/>
      </c>
      <c r="AD276" s="180" t="str">
        <f ca="1"/>
        <v/>
      </c>
      <c r="AE276" s="180" t="str">
        <f ca="1"/>
        <v/>
      </c>
      <c r="AF276" s="180" t="str">
        <f ca="1"/>
        <v/>
      </c>
      <c r="AG276" s="180" t="str">
        <f ca="1"/>
        <v/>
      </c>
      <c r="AH276" s="180" t="str">
        <f ca="1"/>
        <v/>
      </c>
      <c r="AI276" s="180" t="str">
        <f ca="1"/>
        <v/>
      </c>
      <c r="AJ276" s="180" t="str">
        <f ca="1"/>
        <v/>
      </c>
      <c r="AK276" s="180" t="str">
        <f ca="1"/>
        <v/>
      </c>
      <c r="AL276" s="180" t="str">
        <f ca="1"/>
        <v/>
      </c>
      <c r="AM276" s="180" t="str">
        <f ca="1"/>
        <v/>
      </c>
      <c r="AN276" s="180" t="str">
        <f ca="1"/>
        <v/>
      </c>
      <c r="AO276" s="180" t="str">
        <f ca="1"/>
        <v/>
      </c>
      <c r="AP276" s="180" t="str">
        <f ca="1"/>
        <v/>
      </c>
      <c r="AQ276" s="187" t="str">
        <f ca="1"/>
        <v/>
      </c>
    </row>
    <row r="277" spans="2:43" x14ac:dyDescent="0.25">
      <c r="B277" s="179" t="str">
        <f ca="1"/>
        <v/>
      </c>
      <c r="C277" s="180" t="str">
        <f ca="1"/>
        <v/>
      </c>
      <c r="D277" s="180" t="str">
        <f ca="1"/>
        <v/>
      </c>
      <c r="E277" s="180" t="str">
        <f ca="1"/>
        <v/>
      </c>
      <c r="F277" s="180" t="str">
        <f ca="1"/>
        <v/>
      </c>
      <c r="G277" s="180" t="str">
        <f ca="1"/>
        <v/>
      </c>
      <c r="H277" s="180" t="str">
        <f ca="1"/>
        <v/>
      </c>
      <c r="I277" s="180" t="str">
        <f ca="1"/>
        <v/>
      </c>
      <c r="J277" s="180" t="str">
        <f ca="1"/>
        <v/>
      </c>
      <c r="K277" s="180" t="str">
        <f ca="1"/>
        <v/>
      </c>
      <c r="L277" s="180" t="str">
        <f ca="1"/>
        <v/>
      </c>
      <c r="M277" s="180" t="str">
        <f ca="1"/>
        <v/>
      </c>
      <c r="N277" s="180" t="str">
        <f ca="1"/>
        <v/>
      </c>
      <c r="O277" s="180" t="str">
        <f ca="1"/>
        <v/>
      </c>
      <c r="P277" s="180" t="str">
        <f ca="1"/>
        <v/>
      </c>
      <c r="Q277" s="180" t="str">
        <f ca="1"/>
        <v/>
      </c>
      <c r="R277" s="180" t="str">
        <f ca="1"/>
        <v/>
      </c>
      <c r="S277" s="180" t="str">
        <f ca="1"/>
        <v/>
      </c>
      <c r="T277" s="180" t="str">
        <f ca="1"/>
        <v/>
      </c>
      <c r="U277" s="180" t="str">
        <f ca="1"/>
        <v/>
      </c>
      <c r="V277" s="180" t="str">
        <f ca="1"/>
        <v/>
      </c>
      <c r="W277" s="180" t="str">
        <f ca="1"/>
        <v/>
      </c>
      <c r="X277" s="180" t="str">
        <f ca="1"/>
        <v/>
      </c>
      <c r="Y277" s="180" t="str">
        <f ca="1"/>
        <v/>
      </c>
      <c r="Z277" s="180" t="str">
        <f ca="1"/>
        <v/>
      </c>
      <c r="AA277" s="180" t="str">
        <f ca="1"/>
        <v/>
      </c>
      <c r="AB277" s="180" t="str">
        <f ca="1"/>
        <v/>
      </c>
      <c r="AC277" s="180" t="str">
        <f ca="1"/>
        <v/>
      </c>
      <c r="AD277" s="180" t="str">
        <f ca="1"/>
        <v/>
      </c>
      <c r="AE277" s="180" t="str">
        <f ca="1"/>
        <v/>
      </c>
      <c r="AF277" s="180" t="str">
        <f ca="1"/>
        <v/>
      </c>
      <c r="AG277" s="180" t="str">
        <f ca="1"/>
        <v/>
      </c>
      <c r="AH277" s="180" t="str">
        <f ca="1"/>
        <v/>
      </c>
      <c r="AI277" s="180" t="str">
        <f ca="1"/>
        <v/>
      </c>
      <c r="AJ277" s="180" t="str">
        <f ca="1"/>
        <v/>
      </c>
      <c r="AK277" s="180" t="str">
        <f ca="1"/>
        <v/>
      </c>
      <c r="AL277" s="180" t="str">
        <f ca="1"/>
        <v/>
      </c>
      <c r="AM277" s="180" t="str">
        <f ca="1"/>
        <v/>
      </c>
      <c r="AN277" s="180" t="str">
        <f ca="1"/>
        <v/>
      </c>
      <c r="AO277" s="180" t="str">
        <f ca="1"/>
        <v/>
      </c>
      <c r="AP277" s="180" t="str">
        <f ca="1"/>
        <v/>
      </c>
      <c r="AQ277" s="187" t="str">
        <f ca="1"/>
        <v/>
      </c>
    </row>
    <row r="278" spans="2:43" x14ac:dyDescent="0.25">
      <c r="B278" s="179" t="str">
        <f ca="1"/>
        <v/>
      </c>
      <c r="C278" s="180" t="str">
        <f ca="1"/>
        <v/>
      </c>
      <c r="D278" s="180" t="str">
        <f ca="1"/>
        <v/>
      </c>
      <c r="E278" s="180" t="str">
        <f ca="1"/>
        <v/>
      </c>
      <c r="F278" s="180" t="str">
        <f ca="1"/>
        <v/>
      </c>
      <c r="G278" s="180" t="str">
        <f ca="1"/>
        <v/>
      </c>
      <c r="H278" s="180" t="str">
        <f ca="1"/>
        <v/>
      </c>
      <c r="I278" s="180" t="str">
        <f ca="1"/>
        <v/>
      </c>
      <c r="J278" s="180" t="str">
        <f ca="1"/>
        <v/>
      </c>
      <c r="K278" s="180" t="str">
        <f ca="1"/>
        <v/>
      </c>
      <c r="L278" s="180" t="str">
        <f ca="1"/>
        <v/>
      </c>
      <c r="M278" s="180" t="str">
        <f ca="1"/>
        <v/>
      </c>
      <c r="N278" s="180" t="str">
        <f ca="1"/>
        <v/>
      </c>
      <c r="O278" s="180" t="str">
        <f ca="1"/>
        <v/>
      </c>
      <c r="P278" s="180" t="str">
        <f ca="1"/>
        <v/>
      </c>
      <c r="Q278" s="180" t="str">
        <f ca="1"/>
        <v/>
      </c>
      <c r="R278" s="180" t="str">
        <f ca="1"/>
        <v/>
      </c>
      <c r="S278" s="180" t="str">
        <f ca="1"/>
        <v/>
      </c>
      <c r="T278" s="180" t="str">
        <f ca="1"/>
        <v/>
      </c>
      <c r="U278" s="180" t="str">
        <f ca="1"/>
        <v/>
      </c>
      <c r="V278" s="180" t="str">
        <f ca="1"/>
        <v/>
      </c>
      <c r="W278" s="180" t="str">
        <f ca="1"/>
        <v/>
      </c>
      <c r="X278" s="180" t="str">
        <f ca="1"/>
        <v/>
      </c>
      <c r="Y278" s="180" t="str">
        <f ca="1"/>
        <v/>
      </c>
      <c r="Z278" s="180" t="str">
        <f ca="1"/>
        <v/>
      </c>
      <c r="AA278" s="180" t="str">
        <f ca="1"/>
        <v/>
      </c>
      <c r="AB278" s="180" t="str">
        <f ca="1"/>
        <v/>
      </c>
      <c r="AC278" s="180" t="str">
        <f ca="1"/>
        <v/>
      </c>
      <c r="AD278" s="180" t="str">
        <f ca="1"/>
        <v/>
      </c>
      <c r="AE278" s="180" t="str">
        <f ca="1"/>
        <v/>
      </c>
      <c r="AF278" s="180" t="str">
        <f ca="1"/>
        <v/>
      </c>
      <c r="AG278" s="180" t="str">
        <f ca="1"/>
        <v/>
      </c>
      <c r="AH278" s="180" t="str">
        <f ca="1"/>
        <v/>
      </c>
      <c r="AI278" s="180" t="str">
        <f ca="1"/>
        <v/>
      </c>
      <c r="AJ278" s="180" t="str">
        <f ca="1"/>
        <v/>
      </c>
      <c r="AK278" s="180" t="str">
        <f ca="1"/>
        <v/>
      </c>
      <c r="AL278" s="180" t="str">
        <f ca="1"/>
        <v/>
      </c>
      <c r="AM278" s="180" t="str">
        <f ca="1"/>
        <v/>
      </c>
      <c r="AN278" s="180" t="str">
        <f ca="1"/>
        <v/>
      </c>
      <c r="AO278" s="180" t="str">
        <f ca="1"/>
        <v/>
      </c>
      <c r="AP278" s="180" t="str">
        <f ca="1"/>
        <v/>
      </c>
      <c r="AQ278" s="187" t="str">
        <f ca="1"/>
        <v/>
      </c>
    </row>
    <row r="279" spans="2:43" x14ac:dyDescent="0.25">
      <c r="B279" s="179" t="str">
        <f ca="1"/>
        <v/>
      </c>
      <c r="C279" s="180" t="str">
        <f ca="1"/>
        <v/>
      </c>
      <c r="D279" s="180" t="str">
        <f ca="1"/>
        <v/>
      </c>
      <c r="E279" s="180" t="str">
        <f ca="1"/>
        <v/>
      </c>
      <c r="F279" s="180" t="str">
        <f ca="1"/>
        <v/>
      </c>
      <c r="G279" s="180" t="str">
        <f ca="1"/>
        <v/>
      </c>
      <c r="H279" s="180" t="str">
        <f ca="1"/>
        <v/>
      </c>
      <c r="I279" s="180" t="str">
        <f ca="1"/>
        <v/>
      </c>
      <c r="J279" s="180" t="str">
        <f ca="1"/>
        <v/>
      </c>
      <c r="K279" s="180" t="str">
        <f ca="1"/>
        <v/>
      </c>
      <c r="L279" s="180" t="str">
        <f ca="1"/>
        <v/>
      </c>
      <c r="M279" s="180" t="str">
        <f ca="1"/>
        <v/>
      </c>
      <c r="N279" s="180" t="str">
        <f ca="1"/>
        <v/>
      </c>
      <c r="O279" s="180" t="str">
        <f ca="1"/>
        <v/>
      </c>
      <c r="P279" s="180" t="str">
        <f ca="1"/>
        <v/>
      </c>
      <c r="Q279" s="180" t="str">
        <f ca="1"/>
        <v/>
      </c>
      <c r="R279" s="180" t="str">
        <f ca="1"/>
        <v/>
      </c>
      <c r="S279" s="180" t="str">
        <f ca="1"/>
        <v/>
      </c>
      <c r="T279" s="180" t="str">
        <f ca="1"/>
        <v/>
      </c>
      <c r="U279" s="180" t="str">
        <f ca="1"/>
        <v/>
      </c>
      <c r="V279" s="180" t="str">
        <f ca="1"/>
        <v/>
      </c>
      <c r="W279" s="180" t="str">
        <f ca="1"/>
        <v/>
      </c>
      <c r="X279" s="180" t="str">
        <f ca="1"/>
        <v/>
      </c>
      <c r="Y279" s="180" t="str">
        <f ca="1"/>
        <v/>
      </c>
      <c r="Z279" s="180" t="str">
        <f ca="1"/>
        <v/>
      </c>
      <c r="AA279" s="180" t="str">
        <f ca="1"/>
        <v/>
      </c>
      <c r="AB279" s="180" t="str">
        <f ca="1"/>
        <v/>
      </c>
      <c r="AC279" s="180" t="str">
        <f ca="1"/>
        <v/>
      </c>
      <c r="AD279" s="180" t="str">
        <f ca="1"/>
        <v/>
      </c>
      <c r="AE279" s="180" t="str">
        <f ca="1"/>
        <v/>
      </c>
      <c r="AF279" s="180" t="str">
        <f ca="1"/>
        <v/>
      </c>
      <c r="AG279" s="180" t="str">
        <f ca="1"/>
        <v/>
      </c>
      <c r="AH279" s="180" t="str">
        <f ca="1"/>
        <v/>
      </c>
      <c r="AI279" s="180" t="str">
        <f ca="1"/>
        <v/>
      </c>
      <c r="AJ279" s="180" t="str">
        <f ca="1"/>
        <v/>
      </c>
      <c r="AK279" s="180" t="str">
        <f ca="1"/>
        <v/>
      </c>
      <c r="AL279" s="180" t="str">
        <f ca="1"/>
        <v/>
      </c>
      <c r="AM279" s="180" t="str">
        <f ca="1"/>
        <v/>
      </c>
      <c r="AN279" s="180" t="str">
        <f ca="1"/>
        <v/>
      </c>
      <c r="AO279" s="180" t="str">
        <f ca="1"/>
        <v/>
      </c>
      <c r="AP279" s="180" t="str">
        <f ca="1"/>
        <v/>
      </c>
      <c r="AQ279" s="187" t="str">
        <f ca="1"/>
        <v/>
      </c>
    </row>
    <row r="280" spans="2:43" x14ac:dyDescent="0.25">
      <c r="B280" s="179" t="str">
        <f ca="1"/>
        <v/>
      </c>
      <c r="C280" s="180" t="str">
        <f ca="1"/>
        <v/>
      </c>
      <c r="D280" s="180" t="str">
        <f ca="1"/>
        <v/>
      </c>
      <c r="E280" s="180" t="str">
        <f ca="1"/>
        <v/>
      </c>
      <c r="F280" s="180" t="str">
        <f ca="1"/>
        <v/>
      </c>
      <c r="G280" s="180" t="str">
        <f ca="1"/>
        <v/>
      </c>
      <c r="H280" s="180" t="str">
        <f ca="1"/>
        <v/>
      </c>
      <c r="I280" s="180" t="str">
        <f ca="1"/>
        <v/>
      </c>
      <c r="J280" s="180" t="str">
        <f ca="1"/>
        <v/>
      </c>
      <c r="K280" s="180" t="str">
        <f ca="1"/>
        <v/>
      </c>
      <c r="L280" s="180" t="str">
        <f ca="1"/>
        <v/>
      </c>
      <c r="M280" s="180" t="str">
        <f ca="1"/>
        <v/>
      </c>
      <c r="N280" s="180" t="str">
        <f ca="1"/>
        <v/>
      </c>
      <c r="O280" s="180" t="str">
        <f ca="1"/>
        <v/>
      </c>
      <c r="P280" s="180" t="str">
        <f ca="1"/>
        <v/>
      </c>
      <c r="Q280" s="180" t="str">
        <f ca="1"/>
        <v/>
      </c>
      <c r="R280" s="180" t="str">
        <f ca="1"/>
        <v/>
      </c>
      <c r="S280" s="180" t="str">
        <f ca="1"/>
        <v/>
      </c>
      <c r="T280" s="180" t="str">
        <f ca="1"/>
        <v/>
      </c>
      <c r="U280" s="180" t="str">
        <f ca="1"/>
        <v/>
      </c>
      <c r="V280" s="180" t="str">
        <f ca="1"/>
        <v/>
      </c>
      <c r="W280" s="180" t="str">
        <f ca="1"/>
        <v/>
      </c>
      <c r="X280" s="180" t="str">
        <f ca="1"/>
        <v/>
      </c>
      <c r="Y280" s="180" t="str">
        <f ca="1"/>
        <v/>
      </c>
      <c r="Z280" s="180" t="str">
        <f ca="1"/>
        <v/>
      </c>
      <c r="AA280" s="180" t="str">
        <f ca="1"/>
        <v/>
      </c>
      <c r="AB280" s="180" t="str">
        <f ca="1"/>
        <v/>
      </c>
      <c r="AC280" s="180" t="str">
        <f ca="1"/>
        <v/>
      </c>
      <c r="AD280" s="180" t="str">
        <f ca="1"/>
        <v/>
      </c>
      <c r="AE280" s="180" t="str">
        <f ca="1"/>
        <v/>
      </c>
      <c r="AF280" s="180" t="str">
        <f ca="1"/>
        <v/>
      </c>
      <c r="AG280" s="180" t="str">
        <f ca="1"/>
        <v/>
      </c>
      <c r="AH280" s="180" t="str">
        <f ca="1"/>
        <v/>
      </c>
      <c r="AI280" s="180" t="str">
        <f ca="1"/>
        <v/>
      </c>
      <c r="AJ280" s="180" t="str">
        <f ca="1"/>
        <v/>
      </c>
      <c r="AK280" s="180" t="str">
        <f ca="1"/>
        <v/>
      </c>
      <c r="AL280" s="180" t="str">
        <f ca="1"/>
        <v/>
      </c>
      <c r="AM280" s="180" t="str">
        <f ca="1"/>
        <v/>
      </c>
      <c r="AN280" s="180" t="str">
        <f ca="1"/>
        <v/>
      </c>
      <c r="AO280" s="180" t="str">
        <f ca="1"/>
        <v/>
      </c>
      <c r="AP280" s="180" t="str">
        <f ca="1"/>
        <v/>
      </c>
      <c r="AQ280" s="187" t="str">
        <f ca="1"/>
        <v/>
      </c>
    </row>
    <row r="281" spans="2:43" x14ac:dyDescent="0.25">
      <c r="B281" s="179" t="str">
        <f ca="1"/>
        <v/>
      </c>
      <c r="C281" s="180" t="str">
        <f ca="1"/>
        <v/>
      </c>
      <c r="D281" s="180" t="str">
        <f ca="1"/>
        <v/>
      </c>
      <c r="E281" s="180" t="str">
        <f ca="1"/>
        <v/>
      </c>
      <c r="F281" s="180" t="str">
        <f ca="1"/>
        <v/>
      </c>
      <c r="G281" s="180" t="str">
        <f ca="1"/>
        <v/>
      </c>
      <c r="H281" s="180" t="str">
        <f ca="1"/>
        <v/>
      </c>
      <c r="I281" s="180" t="str">
        <f ca="1"/>
        <v/>
      </c>
      <c r="J281" s="180" t="str">
        <f ca="1"/>
        <v/>
      </c>
      <c r="K281" s="180" t="str">
        <f ca="1"/>
        <v/>
      </c>
      <c r="L281" s="180" t="str">
        <f ca="1"/>
        <v/>
      </c>
      <c r="M281" s="180" t="str">
        <f ca="1"/>
        <v/>
      </c>
      <c r="N281" s="180" t="str">
        <f ca="1"/>
        <v/>
      </c>
      <c r="O281" s="180" t="str">
        <f ca="1"/>
        <v/>
      </c>
      <c r="P281" s="180" t="str">
        <f ca="1"/>
        <v/>
      </c>
      <c r="Q281" s="180" t="str">
        <f ca="1"/>
        <v/>
      </c>
      <c r="R281" s="180" t="str">
        <f ca="1"/>
        <v/>
      </c>
      <c r="S281" s="180" t="str">
        <f ca="1"/>
        <v/>
      </c>
      <c r="T281" s="180" t="str">
        <f ca="1"/>
        <v/>
      </c>
      <c r="U281" s="180" t="str">
        <f ca="1"/>
        <v/>
      </c>
      <c r="V281" s="180" t="str">
        <f ca="1"/>
        <v/>
      </c>
      <c r="W281" s="180" t="str">
        <f ca="1"/>
        <v/>
      </c>
      <c r="X281" s="180" t="str">
        <f ca="1"/>
        <v/>
      </c>
      <c r="Y281" s="180" t="str">
        <f ca="1"/>
        <v/>
      </c>
      <c r="Z281" s="180" t="str">
        <f ca="1"/>
        <v/>
      </c>
      <c r="AA281" s="180" t="str">
        <f ca="1"/>
        <v/>
      </c>
      <c r="AB281" s="180" t="str">
        <f ca="1"/>
        <v/>
      </c>
      <c r="AC281" s="180" t="str">
        <f ca="1"/>
        <v/>
      </c>
      <c r="AD281" s="180" t="str">
        <f ca="1"/>
        <v/>
      </c>
      <c r="AE281" s="180" t="str">
        <f ca="1"/>
        <v/>
      </c>
      <c r="AF281" s="180" t="str">
        <f ca="1"/>
        <v/>
      </c>
      <c r="AG281" s="180" t="str">
        <f ca="1"/>
        <v/>
      </c>
      <c r="AH281" s="180" t="str">
        <f ca="1"/>
        <v/>
      </c>
      <c r="AI281" s="180" t="str">
        <f ca="1"/>
        <v/>
      </c>
      <c r="AJ281" s="180" t="str">
        <f ca="1"/>
        <v/>
      </c>
      <c r="AK281" s="180" t="str">
        <f ca="1"/>
        <v/>
      </c>
      <c r="AL281" s="180" t="str">
        <f ca="1"/>
        <v/>
      </c>
      <c r="AM281" s="180" t="str">
        <f ca="1"/>
        <v/>
      </c>
      <c r="AN281" s="180" t="str">
        <f ca="1"/>
        <v/>
      </c>
      <c r="AO281" s="180" t="str">
        <f ca="1"/>
        <v/>
      </c>
      <c r="AP281" s="180" t="str">
        <f ca="1"/>
        <v/>
      </c>
      <c r="AQ281" s="187" t="str">
        <f ca="1"/>
        <v/>
      </c>
    </row>
    <row r="282" spans="2:43" x14ac:dyDescent="0.25">
      <c r="B282" s="179" t="str">
        <f ca="1"/>
        <v/>
      </c>
      <c r="C282" s="180" t="str">
        <f ca="1"/>
        <v/>
      </c>
      <c r="D282" s="180" t="str">
        <f ca="1"/>
        <v/>
      </c>
      <c r="E282" s="180" t="str">
        <f ca="1"/>
        <v/>
      </c>
      <c r="F282" s="180" t="str">
        <f ca="1"/>
        <v/>
      </c>
      <c r="G282" s="180" t="str">
        <f ca="1"/>
        <v/>
      </c>
      <c r="H282" s="180" t="str">
        <f ca="1"/>
        <v/>
      </c>
      <c r="I282" s="180" t="str">
        <f ca="1"/>
        <v/>
      </c>
      <c r="J282" s="180" t="str">
        <f ca="1"/>
        <v/>
      </c>
      <c r="K282" s="180" t="str">
        <f ca="1"/>
        <v/>
      </c>
      <c r="L282" s="180" t="str">
        <f ca="1"/>
        <v/>
      </c>
      <c r="M282" s="180" t="str">
        <f ca="1"/>
        <v/>
      </c>
      <c r="N282" s="180" t="str">
        <f ca="1"/>
        <v/>
      </c>
      <c r="O282" s="180" t="str">
        <f ca="1"/>
        <v/>
      </c>
      <c r="P282" s="180" t="str">
        <f ca="1"/>
        <v/>
      </c>
      <c r="Q282" s="180" t="str">
        <f ca="1"/>
        <v/>
      </c>
      <c r="R282" s="180" t="str">
        <f ca="1"/>
        <v/>
      </c>
      <c r="S282" s="180" t="str">
        <f ca="1"/>
        <v/>
      </c>
      <c r="T282" s="180" t="str">
        <f ca="1"/>
        <v/>
      </c>
      <c r="U282" s="180" t="str">
        <f ca="1"/>
        <v/>
      </c>
      <c r="V282" s="180" t="str">
        <f ca="1"/>
        <v/>
      </c>
      <c r="W282" s="180" t="str">
        <f ca="1"/>
        <v/>
      </c>
      <c r="X282" s="180" t="str">
        <f ca="1"/>
        <v/>
      </c>
      <c r="Y282" s="180" t="str">
        <f ca="1"/>
        <v/>
      </c>
      <c r="Z282" s="180" t="str">
        <f ca="1"/>
        <v/>
      </c>
      <c r="AA282" s="180" t="str">
        <f ca="1"/>
        <v/>
      </c>
      <c r="AB282" s="180" t="str">
        <f ca="1"/>
        <v/>
      </c>
      <c r="AC282" s="180" t="str">
        <f ca="1"/>
        <v/>
      </c>
      <c r="AD282" s="180" t="str">
        <f ca="1"/>
        <v/>
      </c>
      <c r="AE282" s="180" t="str">
        <f ca="1"/>
        <v/>
      </c>
      <c r="AF282" s="180" t="str">
        <f ca="1"/>
        <v/>
      </c>
      <c r="AG282" s="180" t="str">
        <f ca="1"/>
        <v/>
      </c>
      <c r="AH282" s="180" t="str">
        <f ca="1"/>
        <v/>
      </c>
      <c r="AI282" s="180" t="str">
        <f ca="1"/>
        <v/>
      </c>
      <c r="AJ282" s="180" t="str">
        <f ca="1"/>
        <v/>
      </c>
      <c r="AK282" s="180" t="str">
        <f ca="1"/>
        <v/>
      </c>
      <c r="AL282" s="180" t="str">
        <f ca="1"/>
        <v/>
      </c>
      <c r="AM282" s="180" t="str">
        <f ca="1"/>
        <v/>
      </c>
      <c r="AN282" s="180" t="str">
        <f ca="1"/>
        <v/>
      </c>
      <c r="AO282" s="180" t="str">
        <f ca="1"/>
        <v/>
      </c>
      <c r="AP282" s="180" t="str">
        <f ca="1"/>
        <v/>
      </c>
      <c r="AQ282" s="187" t="str">
        <f ca="1"/>
        <v/>
      </c>
    </row>
    <row r="283" spans="2:43" x14ac:dyDescent="0.25">
      <c r="B283" s="179" t="str">
        <f ca="1"/>
        <v/>
      </c>
      <c r="C283" s="180" t="str">
        <f ca="1"/>
        <v/>
      </c>
      <c r="D283" s="180" t="str">
        <f ca="1"/>
        <v/>
      </c>
      <c r="E283" s="180" t="str">
        <f ca="1"/>
        <v/>
      </c>
      <c r="F283" s="180" t="str">
        <f ca="1"/>
        <v/>
      </c>
      <c r="G283" s="180" t="str">
        <f ca="1"/>
        <v/>
      </c>
      <c r="H283" s="180" t="str">
        <f ca="1"/>
        <v/>
      </c>
      <c r="I283" s="180" t="str">
        <f ca="1"/>
        <v/>
      </c>
      <c r="J283" s="180" t="str">
        <f ca="1"/>
        <v/>
      </c>
      <c r="K283" s="180" t="str">
        <f ca="1"/>
        <v/>
      </c>
      <c r="L283" s="180" t="str">
        <f ca="1"/>
        <v/>
      </c>
      <c r="M283" s="180" t="str">
        <f ca="1"/>
        <v/>
      </c>
      <c r="N283" s="180" t="str">
        <f ca="1"/>
        <v/>
      </c>
      <c r="O283" s="180" t="str">
        <f ca="1"/>
        <v/>
      </c>
      <c r="P283" s="180" t="str">
        <f ca="1"/>
        <v/>
      </c>
      <c r="Q283" s="180" t="str">
        <f ca="1"/>
        <v/>
      </c>
      <c r="R283" s="180" t="str">
        <f ca="1"/>
        <v/>
      </c>
      <c r="S283" s="180" t="str">
        <f ca="1"/>
        <v/>
      </c>
      <c r="T283" s="180" t="str">
        <f ca="1"/>
        <v/>
      </c>
      <c r="U283" s="180" t="str">
        <f ca="1"/>
        <v/>
      </c>
      <c r="V283" s="180" t="str">
        <f ca="1"/>
        <v/>
      </c>
      <c r="W283" s="180" t="str">
        <f ca="1"/>
        <v/>
      </c>
      <c r="X283" s="180" t="str">
        <f ca="1"/>
        <v/>
      </c>
      <c r="Y283" s="180" t="str">
        <f ca="1"/>
        <v/>
      </c>
      <c r="Z283" s="180" t="str">
        <f ca="1"/>
        <v/>
      </c>
      <c r="AA283" s="180" t="str">
        <f ca="1"/>
        <v/>
      </c>
      <c r="AB283" s="180" t="str">
        <f ca="1"/>
        <v/>
      </c>
      <c r="AC283" s="180" t="str">
        <f ca="1"/>
        <v/>
      </c>
      <c r="AD283" s="180" t="str">
        <f ca="1"/>
        <v/>
      </c>
      <c r="AE283" s="180" t="str">
        <f ca="1"/>
        <v/>
      </c>
      <c r="AF283" s="180" t="str">
        <f ca="1"/>
        <v/>
      </c>
      <c r="AG283" s="180" t="str">
        <f ca="1"/>
        <v/>
      </c>
      <c r="AH283" s="180" t="str">
        <f ca="1"/>
        <v/>
      </c>
      <c r="AI283" s="180" t="str">
        <f ca="1"/>
        <v/>
      </c>
      <c r="AJ283" s="180" t="str">
        <f ca="1"/>
        <v/>
      </c>
      <c r="AK283" s="180" t="str">
        <f ca="1"/>
        <v/>
      </c>
      <c r="AL283" s="180" t="str">
        <f ca="1"/>
        <v/>
      </c>
      <c r="AM283" s="180" t="str">
        <f ca="1"/>
        <v/>
      </c>
      <c r="AN283" s="180" t="str">
        <f ca="1"/>
        <v/>
      </c>
      <c r="AO283" s="180" t="str">
        <f ca="1"/>
        <v/>
      </c>
      <c r="AP283" s="180" t="str">
        <f ca="1"/>
        <v/>
      </c>
      <c r="AQ283" s="187" t="str">
        <f ca="1"/>
        <v/>
      </c>
    </row>
    <row r="284" spans="2:43" x14ac:dyDescent="0.25">
      <c r="B284" s="179" t="str">
        <f ca="1"/>
        <v/>
      </c>
      <c r="C284" s="180" t="str">
        <f ca="1"/>
        <v/>
      </c>
      <c r="D284" s="180" t="str">
        <f ca="1"/>
        <v/>
      </c>
      <c r="E284" s="180" t="str">
        <f ca="1"/>
        <v/>
      </c>
      <c r="F284" s="180" t="str">
        <f ca="1"/>
        <v/>
      </c>
      <c r="G284" s="180" t="str">
        <f ca="1"/>
        <v/>
      </c>
      <c r="H284" s="180" t="str">
        <f ca="1"/>
        <v/>
      </c>
      <c r="I284" s="180" t="str">
        <f ca="1"/>
        <v/>
      </c>
      <c r="J284" s="180" t="str">
        <f ca="1"/>
        <v/>
      </c>
      <c r="K284" s="180" t="str">
        <f ca="1"/>
        <v/>
      </c>
      <c r="L284" s="180" t="str">
        <f ca="1"/>
        <v/>
      </c>
      <c r="M284" s="180" t="str">
        <f ca="1"/>
        <v/>
      </c>
      <c r="N284" s="180" t="str">
        <f ca="1"/>
        <v/>
      </c>
      <c r="O284" s="180" t="str">
        <f ca="1"/>
        <v/>
      </c>
      <c r="P284" s="180" t="str">
        <f ca="1"/>
        <v/>
      </c>
      <c r="Q284" s="180" t="str">
        <f ca="1"/>
        <v/>
      </c>
      <c r="R284" s="180" t="str">
        <f ca="1"/>
        <v/>
      </c>
      <c r="S284" s="180" t="str">
        <f ca="1"/>
        <v/>
      </c>
      <c r="T284" s="180" t="str">
        <f ca="1"/>
        <v/>
      </c>
      <c r="U284" s="180" t="str">
        <f ca="1"/>
        <v/>
      </c>
      <c r="V284" s="180" t="str">
        <f ca="1"/>
        <v/>
      </c>
      <c r="W284" s="180" t="str">
        <f ca="1"/>
        <v/>
      </c>
      <c r="X284" s="180" t="str">
        <f ca="1"/>
        <v/>
      </c>
      <c r="Y284" s="180" t="str">
        <f ca="1"/>
        <v/>
      </c>
      <c r="Z284" s="180" t="str">
        <f ca="1"/>
        <v/>
      </c>
      <c r="AA284" s="180" t="str">
        <f ca="1"/>
        <v/>
      </c>
      <c r="AB284" s="180" t="str">
        <f ca="1"/>
        <v/>
      </c>
      <c r="AC284" s="180" t="str">
        <f ca="1"/>
        <v/>
      </c>
      <c r="AD284" s="180" t="str">
        <f ca="1"/>
        <v/>
      </c>
      <c r="AE284" s="180" t="str">
        <f ca="1"/>
        <v/>
      </c>
      <c r="AF284" s="180" t="str">
        <f ca="1"/>
        <v/>
      </c>
      <c r="AG284" s="180" t="str">
        <f ca="1"/>
        <v/>
      </c>
      <c r="AH284" s="180" t="str">
        <f ca="1"/>
        <v/>
      </c>
      <c r="AI284" s="180" t="str">
        <f ca="1"/>
        <v/>
      </c>
      <c r="AJ284" s="180" t="str">
        <f ca="1"/>
        <v/>
      </c>
      <c r="AK284" s="180" t="str">
        <f ca="1"/>
        <v/>
      </c>
      <c r="AL284" s="180" t="str">
        <f ca="1"/>
        <v/>
      </c>
      <c r="AM284" s="180" t="str">
        <f ca="1"/>
        <v/>
      </c>
      <c r="AN284" s="180" t="str">
        <f ca="1"/>
        <v/>
      </c>
      <c r="AO284" s="180" t="str">
        <f ca="1"/>
        <v/>
      </c>
      <c r="AP284" s="180" t="str">
        <f ca="1"/>
        <v/>
      </c>
      <c r="AQ284" s="187" t="str">
        <f ca="1"/>
        <v/>
      </c>
    </row>
    <row r="285" spans="2:43" x14ac:dyDescent="0.25">
      <c r="B285" s="179" t="str">
        <f ca="1"/>
        <v/>
      </c>
      <c r="C285" s="180" t="str">
        <f ca="1"/>
        <v/>
      </c>
      <c r="D285" s="180" t="str">
        <f ca="1"/>
        <v/>
      </c>
      <c r="E285" s="180" t="str">
        <f ca="1"/>
        <v/>
      </c>
      <c r="F285" s="180" t="str">
        <f ca="1"/>
        <v/>
      </c>
      <c r="G285" s="180" t="str">
        <f ca="1"/>
        <v/>
      </c>
      <c r="H285" s="180" t="str">
        <f ca="1"/>
        <v/>
      </c>
      <c r="I285" s="180" t="str">
        <f ca="1"/>
        <v/>
      </c>
      <c r="J285" s="180" t="str">
        <f ca="1"/>
        <v/>
      </c>
      <c r="K285" s="180" t="str">
        <f ca="1"/>
        <v/>
      </c>
      <c r="L285" s="180" t="str">
        <f ca="1"/>
        <v/>
      </c>
      <c r="M285" s="180" t="str">
        <f ca="1"/>
        <v/>
      </c>
      <c r="N285" s="180" t="str">
        <f ca="1"/>
        <v/>
      </c>
      <c r="O285" s="180" t="str">
        <f ca="1"/>
        <v/>
      </c>
      <c r="P285" s="180" t="str">
        <f ca="1"/>
        <v/>
      </c>
      <c r="Q285" s="180" t="str">
        <f ca="1"/>
        <v/>
      </c>
      <c r="R285" s="180" t="str">
        <f ca="1"/>
        <v/>
      </c>
      <c r="S285" s="180" t="str">
        <f ca="1"/>
        <v/>
      </c>
      <c r="T285" s="180" t="str">
        <f ca="1"/>
        <v/>
      </c>
      <c r="U285" s="180" t="str">
        <f ca="1"/>
        <v/>
      </c>
      <c r="V285" s="180" t="str">
        <f ca="1"/>
        <v/>
      </c>
      <c r="W285" s="180" t="str">
        <f ca="1"/>
        <v/>
      </c>
      <c r="X285" s="180" t="str">
        <f ca="1"/>
        <v/>
      </c>
      <c r="Y285" s="180" t="str">
        <f ca="1"/>
        <v/>
      </c>
      <c r="Z285" s="180" t="str">
        <f ca="1"/>
        <v/>
      </c>
      <c r="AA285" s="180" t="str">
        <f ca="1"/>
        <v/>
      </c>
      <c r="AB285" s="180" t="str">
        <f ca="1"/>
        <v/>
      </c>
      <c r="AC285" s="180" t="str">
        <f ca="1"/>
        <v/>
      </c>
      <c r="AD285" s="180" t="str">
        <f ca="1"/>
        <v/>
      </c>
      <c r="AE285" s="180" t="str">
        <f ca="1"/>
        <v/>
      </c>
      <c r="AF285" s="180" t="str">
        <f ca="1"/>
        <v/>
      </c>
      <c r="AG285" s="180" t="str">
        <f ca="1"/>
        <v/>
      </c>
      <c r="AH285" s="180" t="str">
        <f ca="1"/>
        <v/>
      </c>
      <c r="AI285" s="180" t="str">
        <f ca="1"/>
        <v/>
      </c>
      <c r="AJ285" s="180" t="str">
        <f ca="1"/>
        <v/>
      </c>
      <c r="AK285" s="180" t="str">
        <f ca="1"/>
        <v/>
      </c>
      <c r="AL285" s="180" t="str">
        <f ca="1"/>
        <v/>
      </c>
      <c r="AM285" s="180" t="str">
        <f ca="1"/>
        <v/>
      </c>
      <c r="AN285" s="180" t="str">
        <f ca="1"/>
        <v/>
      </c>
      <c r="AO285" s="180" t="str">
        <f ca="1"/>
        <v/>
      </c>
      <c r="AP285" s="180" t="str">
        <f ca="1"/>
        <v/>
      </c>
      <c r="AQ285" s="187" t="str">
        <f ca="1"/>
        <v/>
      </c>
    </row>
    <row r="286" spans="2:43" x14ac:dyDescent="0.25">
      <c r="B286" s="179" t="str">
        <f ca="1"/>
        <v/>
      </c>
      <c r="C286" s="180" t="str">
        <f ca="1"/>
        <v/>
      </c>
      <c r="D286" s="180" t="str">
        <f ca="1"/>
        <v/>
      </c>
      <c r="E286" s="180" t="str">
        <f ca="1"/>
        <v/>
      </c>
      <c r="F286" s="180" t="str">
        <f ca="1"/>
        <v/>
      </c>
      <c r="G286" s="180" t="str">
        <f ca="1"/>
        <v/>
      </c>
      <c r="H286" s="180" t="str">
        <f ca="1"/>
        <v/>
      </c>
      <c r="I286" s="180" t="str">
        <f ca="1"/>
        <v/>
      </c>
      <c r="J286" s="180" t="str">
        <f ca="1"/>
        <v/>
      </c>
      <c r="K286" s="180" t="str">
        <f ca="1"/>
        <v/>
      </c>
      <c r="L286" s="180" t="str">
        <f ca="1"/>
        <v/>
      </c>
      <c r="M286" s="180" t="str">
        <f ca="1"/>
        <v/>
      </c>
      <c r="N286" s="180" t="str">
        <f ca="1"/>
        <v/>
      </c>
      <c r="O286" s="180" t="str">
        <f ca="1"/>
        <v/>
      </c>
      <c r="P286" s="180" t="str">
        <f ca="1"/>
        <v/>
      </c>
      <c r="Q286" s="180" t="str">
        <f ca="1"/>
        <v/>
      </c>
      <c r="R286" s="180" t="str">
        <f ca="1"/>
        <v/>
      </c>
      <c r="S286" s="180" t="str">
        <f ca="1"/>
        <v/>
      </c>
      <c r="T286" s="180" t="str">
        <f ca="1"/>
        <v/>
      </c>
      <c r="U286" s="180" t="str">
        <f ca="1"/>
        <v/>
      </c>
      <c r="V286" s="180" t="str">
        <f ca="1"/>
        <v/>
      </c>
      <c r="W286" s="180" t="str">
        <f ca="1"/>
        <v/>
      </c>
      <c r="X286" s="180" t="str">
        <f ca="1"/>
        <v/>
      </c>
      <c r="Y286" s="180" t="str">
        <f ca="1"/>
        <v/>
      </c>
      <c r="Z286" s="180" t="str">
        <f ca="1"/>
        <v/>
      </c>
      <c r="AA286" s="180" t="str">
        <f ca="1"/>
        <v/>
      </c>
      <c r="AB286" s="180" t="str">
        <f ca="1"/>
        <v/>
      </c>
      <c r="AC286" s="180" t="str">
        <f ca="1"/>
        <v/>
      </c>
      <c r="AD286" s="180" t="str">
        <f ca="1"/>
        <v/>
      </c>
      <c r="AE286" s="180" t="str">
        <f ca="1"/>
        <v/>
      </c>
      <c r="AF286" s="180" t="str">
        <f ca="1"/>
        <v/>
      </c>
      <c r="AG286" s="180" t="str">
        <f ca="1"/>
        <v/>
      </c>
      <c r="AH286" s="180" t="str">
        <f ca="1"/>
        <v/>
      </c>
      <c r="AI286" s="180" t="str">
        <f ca="1"/>
        <v/>
      </c>
      <c r="AJ286" s="180" t="str">
        <f ca="1"/>
        <v/>
      </c>
      <c r="AK286" s="180" t="str">
        <f ca="1"/>
        <v/>
      </c>
      <c r="AL286" s="180" t="str">
        <f ca="1"/>
        <v/>
      </c>
      <c r="AM286" s="180" t="str">
        <f ca="1"/>
        <v/>
      </c>
      <c r="AN286" s="180" t="str">
        <f ca="1"/>
        <v/>
      </c>
      <c r="AO286" s="180" t="str">
        <f ca="1"/>
        <v/>
      </c>
      <c r="AP286" s="180" t="str">
        <f ca="1"/>
        <v/>
      </c>
      <c r="AQ286" s="187" t="str">
        <f ca="1"/>
        <v/>
      </c>
    </row>
    <row r="287" spans="2:43" x14ac:dyDescent="0.25">
      <c r="B287" s="179" t="str">
        <f ca="1"/>
        <v/>
      </c>
      <c r="C287" s="180" t="str">
        <f ca="1"/>
        <v/>
      </c>
      <c r="D287" s="180" t="str">
        <f ca="1"/>
        <v/>
      </c>
      <c r="E287" s="180" t="str">
        <f ca="1"/>
        <v/>
      </c>
      <c r="F287" s="180" t="str">
        <f ca="1"/>
        <v/>
      </c>
      <c r="G287" s="180" t="str">
        <f ca="1"/>
        <v/>
      </c>
      <c r="H287" s="180" t="str">
        <f ca="1"/>
        <v/>
      </c>
      <c r="I287" s="180" t="str">
        <f ca="1"/>
        <v/>
      </c>
      <c r="J287" s="180" t="str">
        <f ca="1"/>
        <v/>
      </c>
      <c r="K287" s="180" t="str">
        <f ca="1"/>
        <v/>
      </c>
      <c r="L287" s="180" t="str">
        <f ca="1"/>
        <v/>
      </c>
      <c r="M287" s="180" t="str">
        <f ca="1"/>
        <v/>
      </c>
      <c r="N287" s="180" t="str">
        <f ca="1"/>
        <v/>
      </c>
      <c r="O287" s="180" t="str">
        <f ca="1"/>
        <v/>
      </c>
      <c r="P287" s="180" t="str">
        <f ca="1"/>
        <v/>
      </c>
      <c r="Q287" s="180" t="str">
        <f ca="1"/>
        <v/>
      </c>
      <c r="R287" s="180" t="str">
        <f ca="1"/>
        <v/>
      </c>
      <c r="S287" s="180" t="str">
        <f ca="1"/>
        <v/>
      </c>
      <c r="T287" s="180" t="str">
        <f ca="1"/>
        <v/>
      </c>
      <c r="U287" s="180" t="str">
        <f ca="1"/>
        <v/>
      </c>
      <c r="V287" s="180" t="str">
        <f ca="1"/>
        <v/>
      </c>
      <c r="W287" s="180" t="str">
        <f ca="1"/>
        <v/>
      </c>
      <c r="X287" s="180" t="str">
        <f ca="1"/>
        <v/>
      </c>
      <c r="Y287" s="180" t="str">
        <f ca="1"/>
        <v/>
      </c>
      <c r="Z287" s="180" t="str">
        <f ca="1"/>
        <v/>
      </c>
      <c r="AA287" s="180" t="str">
        <f ca="1"/>
        <v/>
      </c>
      <c r="AB287" s="180" t="str">
        <f ca="1"/>
        <v/>
      </c>
      <c r="AC287" s="180" t="str">
        <f ca="1"/>
        <v/>
      </c>
      <c r="AD287" s="180" t="str">
        <f ca="1"/>
        <v/>
      </c>
      <c r="AE287" s="180" t="str">
        <f ca="1"/>
        <v/>
      </c>
      <c r="AF287" s="180" t="str">
        <f ca="1"/>
        <v/>
      </c>
      <c r="AG287" s="180" t="str">
        <f ca="1"/>
        <v/>
      </c>
      <c r="AH287" s="180" t="str">
        <f ca="1"/>
        <v/>
      </c>
      <c r="AI287" s="180" t="str">
        <f ca="1"/>
        <v/>
      </c>
      <c r="AJ287" s="180" t="str">
        <f ca="1"/>
        <v/>
      </c>
      <c r="AK287" s="180" t="str">
        <f ca="1"/>
        <v/>
      </c>
      <c r="AL287" s="180" t="str">
        <f ca="1"/>
        <v/>
      </c>
      <c r="AM287" s="180" t="str">
        <f ca="1"/>
        <v/>
      </c>
      <c r="AN287" s="180" t="str">
        <f ca="1"/>
        <v/>
      </c>
      <c r="AO287" s="180" t="str">
        <f ca="1"/>
        <v/>
      </c>
      <c r="AP287" s="180" t="str">
        <f ca="1"/>
        <v/>
      </c>
      <c r="AQ287" s="187" t="str">
        <f ca="1"/>
        <v/>
      </c>
    </row>
    <row r="288" spans="2:43" x14ac:dyDescent="0.25">
      <c r="B288" s="179" t="str">
        <f ca="1"/>
        <v/>
      </c>
      <c r="C288" s="180" t="str">
        <f ca="1"/>
        <v/>
      </c>
      <c r="D288" s="180" t="str">
        <f ca="1"/>
        <v/>
      </c>
      <c r="E288" s="180" t="str">
        <f ca="1"/>
        <v/>
      </c>
      <c r="F288" s="180" t="str">
        <f ca="1"/>
        <v/>
      </c>
      <c r="G288" s="180" t="str">
        <f ca="1"/>
        <v/>
      </c>
      <c r="H288" s="180" t="str">
        <f ca="1"/>
        <v/>
      </c>
      <c r="I288" s="180" t="str">
        <f ca="1"/>
        <v/>
      </c>
      <c r="J288" s="180" t="str">
        <f ca="1"/>
        <v/>
      </c>
      <c r="K288" s="180" t="str">
        <f ca="1"/>
        <v/>
      </c>
      <c r="L288" s="180" t="str">
        <f ca="1"/>
        <v/>
      </c>
      <c r="M288" s="180" t="str">
        <f ca="1"/>
        <v/>
      </c>
      <c r="N288" s="180" t="str">
        <f ca="1"/>
        <v/>
      </c>
      <c r="O288" s="180" t="str">
        <f ca="1"/>
        <v/>
      </c>
      <c r="P288" s="180" t="str">
        <f ca="1"/>
        <v/>
      </c>
      <c r="Q288" s="180" t="str">
        <f ca="1"/>
        <v/>
      </c>
      <c r="R288" s="180" t="str">
        <f ca="1"/>
        <v/>
      </c>
      <c r="S288" s="180" t="str">
        <f ca="1"/>
        <v/>
      </c>
      <c r="T288" s="180" t="str">
        <f ca="1"/>
        <v/>
      </c>
      <c r="U288" s="180" t="str">
        <f ca="1"/>
        <v/>
      </c>
      <c r="V288" s="180" t="str">
        <f ca="1"/>
        <v/>
      </c>
      <c r="W288" s="180" t="str">
        <f ca="1"/>
        <v/>
      </c>
      <c r="X288" s="180" t="str">
        <f ca="1"/>
        <v/>
      </c>
      <c r="Y288" s="180" t="str">
        <f ca="1"/>
        <v/>
      </c>
      <c r="Z288" s="180" t="str">
        <f ca="1"/>
        <v/>
      </c>
      <c r="AA288" s="180" t="str">
        <f ca="1"/>
        <v/>
      </c>
      <c r="AB288" s="180" t="str">
        <f ca="1"/>
        <v/>
      </c>
      <c r="AC288" s="180" t="str">
        <f ca="1"/>
        <v/>
      </c>
      <c r="AD288" s="180" t="str">
        <f ca="1"/>
        <v/>
      </c>
      <c r="AE288" s="180" t="str">
        <f ca="1"/>
        <v/>
      </c>
      <c r="AF288" s="180" t="str">
        <f ca="1"/>
        <v/>
      </c>
      <c r="AG288" s="180" t="str">
        <f ca="1"/>
        <v/>
      </c>
      <c r="AH288" s="180" t="str">
        <f ca="1"/>
        <v/>
      </c>
      <c r="AI288" s="180" t="str">
        <f ca="1"/>
        <v/>
      </c>
      <c r="AJ288" s="180" t="str">
        <f ca="1"/>
        <v/>
      </c>
      <c r="AK288" s="180" t="str">
        <f ca="1"/>
        <v/>
      </c>
      <c r="AL288" s="180" t="str">
        <f ca="1"/>
        <v/>
      </c>
      <c r="AM288" s="180" t="str">
        <f ca="1"/>
        <v/>
      </c>
      <c r="AN288" s="180" t="str">
        <f ca="1"/>
        <v/>
      </c>
      <c r="AO288" s="180" t="str">
        <f ca="1"/>
        <v/>
      </c>
      <c r="AP288" s="180" t="str">
        <f ca="1"/>
        <v/>
      </c>
      <c r="AQ288" s="187" t="str">
        <f ca="1"/>
        <v/>
      </c>
    </row>
    <row r="289" spans="2:43" x14ac:dyDescent="0.25">
      <c r="B289" s="179" t="str">
        <f ca="1"/>
        <v/>
      </c>
      <c r="C289" s="180" t="str">
        <f ca="1"/>
        <v/>
      </c>
      <c r="D289" s="180" t="str">
        <f ca="1"/>
        <v/>
      </c>
      <c r="E289" s="180" t="str">
        <f ca="1"/>
        <v/>
      </c>
      <c r="F289" s="180" t="str">
        <f ca="1"/>
        <v/>
      </c>
      <c r="G289" s="180" t="str">
        <f ca="1"/>
        <v/>
      </c>
      <c r="H289" s="180" t="str">
        <f ca="1"/>
        <v/>
      </c>
      <c r="I289" s="180" t="str">
        <f ca="1"/>
        <v/>
      </c>
      <c r="J289" s="180" t="str">
        <f ca="1"/>
        <v/>
      </c>
      <c r="K289" s="180" t="str">
        <f ca="1"/>
        <v/>
      </c>
      <c r="L289" s="180" t="str">
        <f ca="1"/>
        <v/>
      </c>
      <c r="M289" s="180" t="str">
        <f ca="1"/>
        <v/>
      </c>
      <c r="N289" s="180" t="str">
        <f ca="1"/>
        <v/>
      </c>
      <c r="O289" s="180" t="str">
        <f ca="1"/>
        <v/>
      </c>
      <c r="P289" s="180" t="str">
        <f ca="1"/>
        <v/>
      </c>
      <c r="Q289" s="180" t="str">
        <f ca="1"/>
        <v/>
      </c>
      <c r="R289" s="180" t="str">
        <f ca="1"/>
        <v/>
      </c>
      <c r="S289" s="180" t="str">
        <f ca="1"/>
        <v/>
      </c>
      <c r="T289" s="180" t="str">
        <f ca="1"/>
        <v/>
      </c>
      <c r="U289" s="180" t="str">
        <f ca="1"/>
        <v/>
      </c>
      <c r="V289" s="180" t="str">
        <f ca="1"/>
        <v/>
      </c>
      <c r="W289" s="180" t="str">
        <f ca="1"/>
        <v/>
      </c>
      <c r="X289" s="180" t="str">
        <f ca="1"/>
        <v/>
      </c>
      <c r="Y289" s="180" t="str">
        <f ca="1"/>
        <v/>
      </c>
      <c r="Z289" s="180" t="str">
        <f ca="1"/>
        <v/>
      </c>
      <c r="AA289" s="180" t="str">
        <f ca="1"/>
        <v/>
      </c>
      <c r="AB289" s="180" t="str">
        <f ca="1"/>
        <v/>
      </c>
      <c r="AC289" s="180" t="str">
        <f ca="1"/>
        <v/>
      </c>
      <c r="AD289" s="180" t="str">
        <f ca="1"/>
        <v/>
      </c>
      <c r="AE289" s="180" t="str">
        <f ca="1"/>
        <v/>
      </c>
      <c r="AF289" s="180" t="str">
        <f ca="1"/>
        <v/>
      </c>
      <c r="AG289" s="180" t="str">
        <f ca="1"/>
        <v/>
      </c>
      <c r="AH289" s="180" t="str">
        <f ca="1"/>
        <v/>
      </c>
      <c r="AI289" s="180" t="str">
        <f ca="1"/>
        <v/>
      </c>
      <c r="AJ289" s="180" t="str">
        <f ca="1"/>
        <v/>
      </c>
      <c r="AK289" s="180" t="str">
        <f ca="1"/>
        <v/>
      </c>
      <c r="AL289" s="180" t="str">
        <f ca="1"/>
        <v/>
      </c>
      <c r="AM289" s="180" t="str">
        <f ca="1"/>
        <v/>
      </c>
      <c r="AN289" s="180" t="str">
        <f ca="1"/>
        <v/>
      </c>
      <c r="AO289" s="180" t="str">
        <f ca="1"/>
        <v/>
      </c>
      <c r="AP289" s="180" t="str">
        <f ca="1"/>
        <v/>
      </c>
      <c r="AQ289" s="187" t="str">
        <f ca="1"/>
        <v/>
      </c>
    </row>
    <row r="290" spans="2:43" x14ac:dyDescent="0.25">
      <c r="B290" s="179" t="str">
        <f ca="1"/>
        <v/>
      </c>
      <c r="C290" s="180" t="str">
        <f ca="1"/>
        <v/>
      </c>
      <c r="D290" s="180" t="str">
        <f ca="1"/>
        <v/>
      </c>
      <c r="E290" s="180" t="str">
        <f ca="1"/>
        <v/>
      </c>
      <c r="F290" s="180" t="str">
        <f ca="1"/>
        <v/>
      </c>
      <c r="G290" s="180" t="str">
        <f ca="1"/>
        <v/>
      </c>
      <c r="H290" s="180" t="str">
        <f ca="1"/>
        <v/>
      </c>
      <c r="I290" s="180" t="str">
        <f ca="1"/>
        <v/>
      </c>
      <c r="J290" s="180" t="str">
        <f ca="1"/>
        <v/>
      </c>
      <c r="K290" s="180" t="str">
        <f ca="1"/>
        <v/>
      </c>
      <c r="L290" s="180" t="str">
        <f ca="1"/>
        <v/>
      </c>
      <c r="M290" s="180" t="str">
        <f ca="1"/>
        <v/>
      </c>
      <c r="N290" s="180" t="str">
        <f ca="1"/>
        <v/>
      </c>
      <c r="O290" s="180" t="str">
        <f ca="1"/>
        <v/>
      </c>
      <c r="P290" s="180" t="str">
        <f ca="1"/>
        <v/>
      </c>
      <c r="Q290" s="180" t="str">
        <f ca="1"/>
        <v/>
      </c>
      <c r="R290" s="180" t="str">
        <f ca="1"/>
        <v/>
      </c>
      <c r="S290" s="180" t="str">
        <f ca="1"/>
        <v/>
      </c>
      <c r="T290" s="180" t="str">
        <f ca="1"/>
        <v/>
      </c>
      <c r="U290" s="180" t="str">
        <f ca="1"/>
        <v/>
      </c>
      <c r="V290" s="180" t="str">
        <f ca="1"/>
        <v/>
      </c>
      <c r="W290" s="180" t="str">
        <f ca="1"/>
        <v/>
      </c>
      <c r="X290" s="180" t="str">
        <f ca="1"/>
        <v/>
      </c>
      <c r="Y290" s="180" t="str">
        <f ca="1"/>
        <v/>
      </c>
      <c r="Z290" s="180" t="str">
        <f ca="1"/>
        <v/>
      </c>
      <c r="AA290" s="180" t="str">
        <f ca="1"/>
        <v/>
      </c>
      <c r="AB290" s="180" t="str">
        <f ca="1"/>
        <v/>
      </c>
      <c r="AC290" s="180" t="str">
        <f ca="1"/>
        <v/>
      </c>
      <c r="AD290" s="180" t="str">
        <f ca="1"/>
        <v/>
      </c>
      <c r="AE290" s="180" t="str">
        <f ca="1"/>
        <v/>
      </c>
      <c r="AF290" s="180" t="str">
        <f ca="1"/>
        <v/>
      </c>
      <c r="AG290" s="180" t="str">
        <f ca="1"/>
        <v/>
      </c>
      <c r="AH290" s="180" t="str">
        <f ca="1"/>
        <v/>
      </c>
      <c r="AI290" s="180" t="str">
        <f ca="1"/>
        <v/>
      </c>
      <c r="AJ290" s="180" t="str">
        <f ca="1"/>
        <v/>
      </c>
      <c r="AK290" s="180" t="str">
        <f ca="1"/>
        <v/>
      </c>
      <c r="AL290" s="180" t="str">
        <f ca="1"/>
        <v/>
      </c>
      <c r="AM290" s="180" t="str">
        <f ca="1"/>
        <v/>
      </c>
      <c r="AN290" s="180" t="str">
        <f ca="1"/>
        <v/>
      </c>
      <c r="AO290" s="180" t="str">
        <f ca="1"/>
        <v/>
      </c>
      <c r="AP290" s="180" t="str">
        <f ca="1"/>
        <v/>
      </c>
      <c r="AQ290" s="187" t="str">
        <f ca="1"/>
        <v/>
      </c>
    </row>
    <row r="291" spans="2:43" x14ac:dyDescent="0.25">
      <c r="B291" s="179" t="str">
        <f ca="1"/>
        <v/>
      </c>
      <c r="C291" s="180" t="str">
        <f ca="1"/>
        <v/>
      </c>
      <c r="D291" s="180" t="str">
        <f ca="1"/>
        <v/>
      </c>
      <c r="E291" s="180" t="str">
        <f ca="1"/>
        <v/>
      </c>
      <c r="F291" s="180" t="str">
        <f ca="1"/>
        <v/>
      </c>
      <c r="G291" s="180" t="str">
        <f ca="1"/>
        <v/>
      </c>
      <c r="H291" s="180" t="str">
        <f ca="1"/>
        <v/>
      </c>
      <c r="I291" s="180" t="str">
        <f ca="1"/>
        <v/>
      </c>
      <c r="J291" s="180" t="str">
        <f ca="1"/>
        <v/>
      </c>
      <c r="K291" s="180" t="str">
        <f ca="1"/>
        <v/>
      </c>
      <c r="L291" s="180" t="str">
        <f ca="1"/>
        <v/>
      </c>
      <c r="M291" s="180" t="str">
        <f ca="1"/>
        <v/>
      </c>
      <c r="N291" s="180" t="str">
        <f ca="1"/>
        <v/>
      </c>
      <c r="O291" s="180" t="str">
        <f ca="1"/>
        <v/>
      </c>
      <c r="P291" s="180" t="str">
        <f ca="1"/>
        <v/>
      </c>
      <c r="Q291" s="180" t="str">
        <f ca="1"/>
        <v/>
      </c>
      <c r="R291" s="180" t="str">
        <f ca="1"/>
        <v/>
      </c>
      <c r="S291" s="180" t="str">
        <f ca="1"/>
        <v/>
      </c>
      <c r="T291" s="180" t="str">
        <f ca="1"/>
        <v/>
      </c>
      <c r="U291" s="180" t="str">
        <f ca="1"/>
        <v/>
      </c>
      <c r="V291" s="180" t="str">
        <f ca="1"/>
        <v/>
      </c>
      <c r="W291" s="180" t="str">
        <f ca="1"/>
        <v/>
      </c>
      <c r="X291" s="180" t="str">
        <f ca="1"/>
        <v/>
      </c>
      <c r="Y291" s="180" t="str">
        <f ca="1"/>
        <v/>
      </c>
      <c r="Z291" s="180" t="str">
        <f ca="1"/>
        <v/>
      </c>
      <c r="AA291" s="180" t="str">
        <f ca="1"/>
        <v/>
      </c>
      <c r="AB291" s="180" t="str">
        <f ca="1"/>
        <v/>
      </c>
      <c r="AC291" s="180" t="str">
        <f ca="1"/>
        <v/>
      </c>
      <c r="AD291" s="180" t="str">
        <f ca="1"/>
        <v/>
      </c>
      <c r="AE291" s="180" t="str">
        <f ca="1"/>
        <v/>
      </c>
      <c r="AF291" s="180" t="str">
        <f ca="1"/>
        <v/>
      </c>
      <c r="AG291" s="180" t="str">
        <f ca="1"/>
        <v/>
      </c>
      <c r="AH291" s="180" t="str">
        <f ca="1"/>
        <v/>
      </c>
      <c r="AI291" s="180" t="str">
        <f ca="1"/>
        <v/>
      </c>
      <c r="AJ291" s="180" t="str">
        <f ca="1"/>
        <v/>
      </c>
      <c r="AK291" s="180" t="str">
        <f ca="1"/>
        <v/>
      </c>
      <c r="AL291" s="180" t="str">
        <f ca="1"/>
        <v/>
      </c>
      <c r="AM291" s="180" t="str">
        <f ca="1"/>
        <v/>
      </c>
      <c r="AN291" s="180" t="str">
        <f ca="1"/>
        <v/>
      </c>
      <c r="AO291" s="180" t="str">
        <f ca="1"/>
        <v/>
      </c>
      <c r="AP291" s="180" t="str">
        <f ca="1"/>
        <v/>
      </c>
      <c r="AQ291" s="187" t="str">
        <f ca="1"/>
        <v/>
      </c>
    </row>
    <row r="292" spans="2:43" x14ac:dyDescent="0.25">
      <c r="B292" s="179" t="str">
        <f ca="1"/>
        <v/>
      </c>
      <c r="C292" s="180" t="str">
        <f ca="1"/>
        <v/>
      </c>
      <c r="D292" s="180" t="str">
        <f ca="1"/>
        <v/>
      </c>
      <c r="E292" s="180" t="str">
        <f ca="1"/>
        <v/>
      </c>
      <c r="F292" s="180" t="str">
        <f ca="1"/>
        <v/>
      </c>
      <c r="G292" s="180" t="str">
        <f ca="1"/>
        <v/>
      </c>
      <c r="H292" s="180" t="str">
        <f ca="1"/>
        <v/>
      </c>
      <c r="I292" s="180" t="str">
        <f ca="1"/>
        <v/>
      </c>
      <c r="J292" s="180" t="str">
        <f ca="1"/>
        <v/>
      </c>
      <c r="K292" s="180" t="str">
        <f ca="1"/>
        <v/>
      </c>
      <c r="L292" s="180" t="str">
        <f ca="1"/>
        <v/>
      </c>
      <c r="M292" s="180" t="str">
        <f ca="1"/>
        <v/>
      </c>
      <c r="N292" s="180" t="str">
        <f ca="1"/>
        <v/>
      </c>
      <c r="O292" s="180" t="str">
        <f ca="1"/>
        <v/>
      </c>
      <c r="P292" s="180" t="str">
        <f ca="1"/>
        <v/>
      </c>
      <c r="Q292" s="180" t="str">
        <f ca="1"/>
        <v/>
      </c>
      <c r="R292" s="180" t="str">
        <f ca="1"/>
        <v/>
      </c>
      <c r="S292" s="180" t="str">
        <f ca="1"/>
        <v/>
      </c>
      <c r="T292" s="180" t="str">
        <f ca="1"/>
        <v/>
      </c>
      <c r="U292" s="180" t="str">
        <f ca="1"/>
        <v/>
      </c>
      <c r="V292" s="180" t="str">
        <f ca="1"/>
        <v/>
      </c>
      <c r="W292" s="180" t="str">
        <f ca="1"/>
        <v/>
      </c>
      <c r="X292" s="180" t="str">
        <f ca="1"/>
        <v/>
      </c>
      <c r="Y292" s="180" t="str">
        <f ca="1"/>
        <v/>
      </c>
      <c r="Z292" s="180" t="str">
        <f ca="1"/>
        <v/>
      </c>
      <c r="AA292" s="180" t="str">
        <f ca="1"/>
        <v/>
      </c>
      <c r="AB292" s="180" t="str">
        <f ca="1"/>
        <v/>
      </c>
      <c r="AC292" s="180" t="str">
        <f ca="1"/>
        <v/>
      </c>
      <c r="AD292" s="180" t="str">
        <f ca="1"/>
        <v/>
      </c>
      <c r="AE292" s="180" t="str">
        <f ca="1"/>
        <v/>
      </c>
      <c r="AF292" s="180" t="str">
        <f ca="1"/>
        <v/>
      </c>
      <c r="AG292" s="180" t="str">
        <f ca="1"/>
        <v/>
      </c>
      <c r="AH292" s="180" t="str">
        <f ca="1"/>
        <v/>
      </c>
      <c r="AI292" s="180" t="str">
        <f ca="1"/>
        <v/>
      </c>
      <c r="AJ292" s="180" t="str">
        <f ca="1"/>
        <v/>
      </c>
      <c r="AK292" s="180" t="str">
        <f ca="1"/>
        <v/>
      </c>
      <c r="AL292" s="180" t="str">
        <f ca="1"/>
        <v/>
      </c>
      <c r="AM292" s="180" t="str">
        <f ca="1"/>
        <v/>
      </c>
      <c r="AN292" s="180" t="str">
        <f ca="1"/>
        <v/>
      </c>
      <c r="AO292" s="180" t="str">
        <f ca="1"/>
        <v/>
      </c>
      <c r="AP292" s="180" t="str">
        <f ca="1"/>
        <v/>
      </c>
      <c r="AQ292" s="187" t="str">
        <f ca="1"/>
        <v/>
      </c>
    </row>
    <row r="293" spans="2:43" x14ac:dyDescent="0.25">
      <c r="B293" s="179" t="str">
        <f ca="1"/>
        <v/>
      </c>
      <c r="C293" s="180" t="str">
        <f ca="1"/>
        <v/>
      </c>
      <c r="D293" s="180" t="str">
        <f ca="1"/>
        <v/>
      </c>
      <c r="E293" s="180" t="str">
        <f ca="1"/>
        <v/>
      </c>
      <c r="F293" s="180" t="str">
        <f ca="1"/>
        <v/>
      </c>
      <c r="G293" s="180" t="str">
        <f ca="1"/>
        <v/>
      </c>
      <c r="H293" s="180" t="str">
        <f ca="1"/>
        <v/>
      </c>
      <c r="I293" s="180" t="str">
        <f ca="1"/>
        <v/>
      </c>
      <c r="J293" s="180" t="str">
        <f ca="1"/>
        <v/>
      </c>
      <c r="K293" s="180" t="str">
        <f ca="1"/>
        <v/>
      </c>
      <c r="L293" s="180" t="str">
        <f ca="1"/>
        <v/>
      </c>
      <c r="M293" s="180" t="str">
        <f ca="1"/>
        <v/>
      </c>
      <c r="N293" s="180" t="str">
        <f ca="1"/>
        <v/>
      </c>
      <c r="O293" s="180" t="str">
        <f ca="1"/>
        <v/>
      </c>
      <c r="P293" s="180" t="str">
        <f ca="1"/>
        <v/>
      </c>
      <c r="Q293" s="180" t="str">
        <f ca="1"/>
        <v/>
      </c>
      <c r="R293" s="180" t="str">
        <f ca="1"/>
        <v/>
      </c>
      <c r="S293" s="180" t="str">
        <f ca="1"/>
        <v/>
      </c>
      <c r="T293" s="180" t="str">
        <f ca="1"/>
        <v/>
      </c>
      <c r="U293" s="180" t="str">
        <f ca="1"/>
        <v/>
      </c>
      <c r="V293" s="180" t="str">
        <f ca="1"/>
        <v/>
      </c>
      <c r="W293" s="180" t="str">
        <f ca="1"/>
        <v/>
      </c>
      <c r="X293" s="180" t="str">
        <f ca="1"/>
        <v/>
      </c>
      <c r="Y293" s="180" t="str">
        <f ca="1"/>
        <v/>
      </c>
      <c r="Z293" s="180" t="str">
        <f ca="1"/>
        <v/>
      </c>
      <c r="AA293" s="180" t="str">
        <f ca="1"/>
        <v/>
      </c>
      <c r="AB293" s="180" t="str">
        <f ca="1"/>
        <v/>
      </c>
      <c r="AC293" s="180" t="str">
        <f ca="1"/>
        <v/>
      </c>
      <c r="AD293" s="180" t="str">
        <f ca="1"/>
        <v/>
      </c>
      <c r="AE293" s="180" t="str">
        <f ca="1"/>
        <v/>
      </c>
      <c r="AF293" s="180" t="str">
        <f ca="1"/>
        <v/>
      </c>
      <c r="AG293" s="180" t="str">
        <f ca="1"/>
        <v/>
      </c>
      <c r="AH293" s="180" t="str">
        <f ca="1"/>
        <v/>
      </c>
      <c r="AI293" s="180" t="str">
        <f ca="1"/>
        <v/>
      </c>
      <c r="AJ293" s="180" t="str">
        <f ca="1"/>
        <v/>
      </c>
      <c r="AK293" s="180" t="str">
        <f ca="1"/>
        <v/>
      </c>
      <c r="AL293" s="180" t="str">
        <f ca="1"/>
        <v/>
      </c>
      <c r="AM293" s="180" t="str">
        <f ca="1"/>
        <v/>
      </c>
      <c r="AN293" s="180" t="str">
        <f ca="1"/>
        <v/>
      </c>
      <c r="AO293" s="180" t="str">
        <f ca="1"/>
        <v/>
      </c>
      <c r="AP293" s="180" t="str">
        <f ca="1"/>
        <v/>
      </c>
      <c r="AQ293" s="187" t="str">
        <f ca="1"/>
        <v/>
      </c>
    </row>
    <row r="294" spans="2:43" x14ac:dyDescent="0.25">
      <c r="B294" s="179" t="str">
        <f ca="1"/>
        <v/>
      </c>
      <c r="C294" s="180" t="str">
        <f ca="1"/>
        <v/>
      </c>
      <c r="D294" s="180" t="str">
        <f ca="1"/>
        <v/>
      </c>
      <c r="E294" s="180" t="str">
        <f ca="1"/>
        <v/>
      </c>
      <c r="F294" s="180" t="str">
        <f ca="1"/>
        <v/>
      </c>
      <c r="G294" s="180" t="str">
        <f ca="1"/>
        <v/>
      </c>
      <c r="H294" s="180" t="str">
        <f ca="1"/>
        <v/>
      </c>
      <c r="I294" s="180" t="str">
        <f ca="1"/>
        <v/>
      </c>
      <c r="J294" s="180" t="str">
        <f ca="1"/>
        <v/>
      </c>
      <c r="K294" s="180" t="str">
        <f ca="1"/>
        <v/>
      </c>
      <c r="L294" s="180" t="str">
        <f ca="1"/>
        <v/>
      </c>
      <c r="M294" s="180" t="str">
        <f ca="1"/>
        <v/>
      </c>
      <c r="N294" s="180" t="str">
        <f ca="1"/>
        <v/>
      </c>
      <c r="O294" s="180" t="str">
        <f ca="1"/>
        <v/>
      </c>
      <c r="P294" s="180" t="str">
        <f ca="1"/>
        <v/>
      </c>
      <c r="Q294" s="180" t="str">
        <f ca="1"/>
        <v/>
      </c>
      <c r="R294" s="180" t="str">
        <f ca="1"/>
        <v/>
      </c>
      <c r="S294" s="180" t="str">
        <f ca="1"/>
        <v/>
      </c>
      <c r="T294" s="180" t="str">
        <f ca="1"/>
        <v/>
      </c>
      <c r="U294" s="180" t="str">
        <f ca="1"/>
        <v/>
      </c>
      <c r="V294" s="180" t="str">
        <f ca="1"/>
        <v/>
      </c>
      <c r="W294" s="180" t="str">
        <f ca="1"/>
        <v/>
      </c>
      <c r="X294" s="180" t="str">
        <f ca="1"/>
        <v/>
      </c>
      <c r="Y294" s="180" t="str">
        <f ca="1"/>
        <v/>
      </c>
      <c r="Z294" s="180" t="str">
        <f ca="1"/>
        <v/>
      </c>
      <c r="AA294" s="180" t="str">
        <f ca="1"/>
        <v/>
      </c>
      <c r="AB294" s="180" t="str">
        <f ca="1"/>
        <v/>
      </c>
      <c r="AC294" s="180" t="str">
        <f ca="1"/>
        <v/>
      </c>
      <c r="AD294" s="180" t="str">
        <f ca="1"/>
        <v/>
      </c>
      <c r="AE294" s="180" t="str">
        <f ca="1"/>
        <v/>
      </c>
      <c r="AF294" s="180" t="str">
        <f ca="1"/>
        <v/>
      </c>
      <c r="AG294" s="180" t="str">
        <f ca="1"/>
        <v/>
      </c>
      <c r="AH294" s="180" t="str">
        <f ca="1"/>
        <v/>
      </c>
      <c r="AI294" s="180" t="str">
        <f ca="1"/>
        <v/>
      </c>
      <c r="AJ294" s="180" t="str">
        <f ca="1"/>
        <v/>
      </c>
      <c r="AK294" s="180" t="str">
        <f ca="1"/>
        <v/>
      </c>
      <c r="AL294" s="180" t="str">
        <f ca="1"/>
        <v/>
      </c>
      <c r="AM294" s="180" t="str">
        <f ca="1"/>
        <v/>
      </c>
      <c r="AN294" s="180" t="str">
        <f ca="1"/>
        <v/>
      </c>
      <c r="AO294" s="180" t="str">
        <f ca="1"/>
        <v/>
      </c>
      <c r="AP294" s="180" t="str">
        <f ca="1"/>
        <v/>
      </c>
      <c r="AQ294" s="187" t="str">
        <f ca="1"/>
        <v/>
      </c>
    </row>
    <row r="295" spans="2:43" x14ac:dyDescent="0.25">
      <c r="B295" s="179" t="str">
        <f ca="1"/>
        <v/>
      </c>
      <c r="C295" s="180" t="str">
        <f ca="1"/>
        <v/>
      </c>
      <c r="D295" s="180" t="str">
        <f ca="1"/>
        <v/>
      </c>
      <c r="E295" s="180" t="str">
        <f ca="1"/>
        <v/>
      </c>
      <c r="F295" s="180" t="str">
        <f ca="1"/>
        <v/>
      </c>
      <c r="G295" s="180" t="str">
        <f ca="1"/>
        <v/>
      </c>
      <c r="H295" s="180" t="str">
        <f ca="1"/>
        <v/>
      </c>
      <c r="I295" s="180" t="str">
        <f ca="1"/>
        <v/>
      </c>
      <c r="J295" s="180" t="str">
        <f ca="1"/>
        <v/>
      </c>
      <c r="K295" s="180" t="str">
        <f ca="1"/>
        <v/>
      </c>
      <c r="L295" s="180" t="str">
        <f ca="1"/>
        <v/>
      </c>
      <c r="M295" s="180" t="str">
        <f ca="1"/>
        <v/>
      </c>
      <c r="N295" s="180" t="str">
        <f ca="1"/>
        <v/>
      </c>
      <c r="O295" s="180" t="str">
        <f ca="1"/>
        <v/>
      </c>
      <c r="P295" s="180" t="str">
        <f ca="1"/>
        <v/>
      </c>
      <c r="Q295" s="180" t="str">
        <f ca="1"/>
        <v/>
      </c>
      <c r="R295" s="180" t="str">
        <f ca="1"/>
        <v/>
      </c>
      <c r="S295" s="180" t="str">
        <f ca="1"/>
        <v/>
      </c>
      <c r="T295" s="180" t="str">
        <f ca="1"/>
        <v/>
      </c>
      <c r="U295" s="180" t="str">
        <f ca="1"/>
        <v/>
      </c>
      <c r="V295" s="180" t="str">
        <f ca="1"/>
        <v/>
      </c>
      <c r="W295" s="180" t="str">
        <f ca="1"/>
        <v/>
      </c>
      <c r="X295" s="180" t="str">
        <f ca="1"/>
        <v/>
      </c>
      <c r="Y295" s="180" t="str">
        <f ca="1"/>
        <v/>
      </c>
      <c r="Z295" s="180" t="str">
        <f ca="1"/>
        <v/>
      </c>
      <c r="AA295" s="180" t="str">
        <f ca="1"/>
        <v/>
      </c>
      <c r="AB295" s="180" t="str">
        <f ca="1"/>
        <v/>
      </c>
      <c r="AC295" s="180" t="str">
        <f ca="1"/>
        <v/>
      </c>
      <c r="AD295" s="180" t="str">
        <f ca="1"/>
        <v/>
      </c>
      <c r="AE295" s="180" t="str">
        <f ca="1"/>
        <v/>
      </c>
      <c r="AF295" s="180" t="str">
        <f ca="1"/>
        <v/>
      </c>
      <c r="AG295" s="180" t="str">
        <f ca="1"/>
        <v/>
      </c>
      <c r="AH295" s="180" t="str">
        <f ca="1"/>
        <v/>
      </c>
      <c r="AI295" s="180" t="str">
        <f ca="1"/>
        <v/>
      </c>
      <c r="AJ295" s="180" t="str">
        <f ca="1"/>
        <v/>
      </c>
      <c r="AK295" s="180" t="str">
        <f ca="1"/>
        <v/>
      </c>
      <c r="AL295" s="180" t="str">
        <f ca="1"/>
        <v/>
      </c>
      <c r="AM295" s="180" t="str">
        <f ca="1"/>
        <v/>
      </c>
      <c r="AN295" s="180" t="str">
        <f ca="1"/>
        <v/>
      </c>
      <c r="AO295" s="180" t="str">
        <f ca="1"/>
        <v/>
      </c>
      <c r="AP295" s="180" t="str">
        <f ca="1"/>
        <v/>
      </c>
      <c r="AQ295" s="187" t="str">
        <f ca="1"/>
        <v/>
      </c>
    </row>
    <row r="296" spans="2:43" x14ac:dyDescent="0.25">
      <c r="B296" s="179" t="str">
        <f ca="1"/>
        <v/>
      </c>
      <c r="C296" s="180" t="str">
        <f ca="1"/>
        <v/>
      </c>
      <c r="D296" s="180" t="str">
        <f ca="1"/>
        <v/>
      </c>
      <c r="E296" s="180" t="str">
        <f ca="1"/>
        <v/>
      </c>
      <c r="F296" s="180" t="str">
        <f ca="1"/>
        <v/>
      </c>
      <c r="G296" s="180" t="str">
        <f ca="1"/>
        <v/>
      </c>
      <c r="H296" s="180" t="str">
        <f ca="1"/>
        <v/>
      </c>
      <c r="I296" s="180" t="str">
        <f ca="1"/>
        <v/>
      </c>
      <c r="J296" s="180" t="str">
        <f ca="1"/>
        <v/>
      </c>
      <c r="K296" s="180" t="str">
        <f ca="1"/>
        <v/>
      </c>
      <c r="L296" s="180" t="str">
        <f ca="1"/>
        <v/>
      </c>
      <c r="M296" s="180" t="str">
        <f ca="1"/>
        <v/>
      </c>
      <c r="N296" s="180" t="str">
        <f ca="1"/>
        <v/>
      </c>
      <c r="O296" s="180" t="str">
        <f ca="1"/>
        <v/>
      </c>
      <c r="P296" s="180" t="str">
        <f ca="1"/>
        <v/>
      </c>
      <c r="Q296" s="180" t="str">
        <f ca="1"/>
        <v/>
      </c>
      <c r="R296" s="180" t="str">
        <f ca="1"/>
        <v/>
      </c>
      <c r="S296" s="180" t="str">
        <f ca="1"/>
        <v/>
      </c>
      <c r="T296" s="180" t="str">
        <f ca="1"/>
        <v/>
      </c>
      <c r="U296" s="180" t="str">
        <f ca="1"/>
        <v/>
      </c>
      <c r="V296" s="180" t="str">
        <f ca="1"/>
        <v/>
      </c>
      <c r="W296" s="180" t="str">
        <f ca="1"/>
        <v/>
      </c>
      <c r="X296" s="180" t="str">
        <f ca="1"/>
        <v/>
      </c>
      <c r="Y296" s="180" t="str">
        <f ca="1"/>
        <v/>
      </c>
      <c r="Z296" s="180" t="str">
        <f ca="1"/>
        <v/>
      </c>
      <c r="AA296" s="180" t="str">
        <f ca="1"/>
        <v/>
      </c>
      <c r="AB296" s="180" t="str">
        <f ca="1"/>
        <v/>
      </c>
      <c r="AC296" s="180" t="str">
        <f ca="1"/>
        <v/>
      </c>
      <c r="AD296" s="180" t="str">
        <f ca="1"/>
        <v/>
      </c>
      <c r="AE296" s="180" t="str">
        <f ca="1"/>
        <v/>
      </c>
      <c r="AF296" s="180" t="str">
        <f ca="1"/>
        <v/>
      </c>
      <c r="AG296" s="180" t="str">
        <f ca="1"/>
        <v/>
      </c>
      <c r="AH296" s="180" t="str">
        <f ca="1"/>
        <v/>
      </c>
      <c r="AI296" s="180" t="str">
        <f ca="1"/>
        <v/>
      </c>
      <c r="AJ296" s="180" t="str">
        <f ca="1"/>
        <v/>
      </c>
      <c r="AK296" s="180" t="str">
        <f ca="1"/>
        <v/>
      </c>
      <c r="AL296" s="180" t="str">
        <f ca="1"/>
        <v/>
      </c>
      <c r="AM296" s="180" t="str">
        <f ca="1"/>
        <v/>
      </c>
      <c r="AN296" s="180" t="str">
        <f ca="1"/>
        <v/>
      </c>
      <c r="AO296" s="180" t="str">
        <f ca="1"/>
        <v/>
      </c>
      <c r="AP296" s="180" t="str">
        <f ca="1"/>
        <v/>
      </c>
      <c r="AQ296" s="187" t="str">
        <f ca="1"/>
        <v/>
      </c>
    </row>
    <row r="297" spans="2:43" x14ac:dyDescent="0.25">
      <c r="B297" s="179" t="str">
        <f ca="1"/>
        <v/>
      </c>
      <c r="C297" s="180" t="str">
        <f ca="1"/>
        <v/>
      </c>
      <c r="D297" s="180" t="str">
        <f ca="1"/>
        <v/>
      </c>
      <c r="E297" s="180" t="str">
        <f ca="1"/>
        <v/>
      </c>
      <c r="F297" s="180" t="str">
        <f ca="1"/>
        <v/>
      </c>
      <c r="G297" s="180" t="str">
        <f ca="1"/>
        <v/>
      </c>
      <c r="H297" s="180" t="str">
        <f ca="1"/>
        <v/>
      </c>
      <c r="I297" s="180" t="str">
        <f ca="1"/>
        <v/>
      </c>
      <c r="J297" s="180" t="str">
        <f ca="1"/>
        <v/>
      </c>
      <c r="K297" s="180" t="str">
        <f ca="1"/>
        <v/>
      </c>
      <c r="L297" s="180" t="str">
        <f ca="1"/>
        <v/>
      </c>
      <c r="M297" s="180" t="str">
        <f ca="1"/>
        <v/>
      </c>
      <c r="N297" s="180" t="str">
        <f ca="1"/>
        <v/>
      </c>
      <c r="O297" s="180" t="str">
        <f ca="1"/>
        <v/>
      </c>
      <c r="P297" s="180" t="str">
        <f ca="1"/>
        <v/>
      </c>
      <c r="Q297" s="180" t="str">
        <f ca="1"/>
        <v/>
      </c>
      <c r="R297" s="180" t="str">
        <f ca="1"/>
        <v/>
      </c>
      <c r="S297" s="180" t="str">
        <f ca="1"/>
        <v/>
      </c>
      <c r="T297" s="180" t="str">
        <f ca="1"/>
        <v/>
      </c>
      <c r="U297" s="180" t="str">
        <f ca="1"/>
        <v/>
      </c>
      <c r="V297" s="180" t="str">
        <f ca="1"/>
        <v/>
      </c>
      <c r="W297" s="180" t="str">
        <f ca="1"/>
        <v/>
      </c>
      <c r="X297" s="180" t="str">
        <f ca="1"/>
        <v/>
      </c>
      <c r="Y297" s="180" t="str">
        <f ca="1"/>
        <v/>
      </c>
      <c r="Z297" s="180" t="str">
        <f ca="1"/>
        <v/>
      </c>
      <c r="AA297" s="180" t="str">
        <f ca="1"/>
        <v/>
      </c>
      <c r="AB297" s="180" t="str">
        <f ca="1"/>
        <v/>
      </c>
      <c r="AC297" s="180" t="str">
        <f ca="1"/>
        <v/>
      </c>
      <c r="AD297" s="180" t="str">
        <f ca="1"/>
        <v/>
      </c>
      <c r="AE297" s="180" t="str">
        <f ca="1"/>
        <v/>
      </c>
      <c r="AF297" s="180" t="str">
        <f ca="1"/>
        <v/>
      </c>
      <c r="AG297" s="180" t="str">
        <f ca="1"/>
        <v/>
      </c>
      <c r="AH297" s="180" t="str">
        <f ca="1"/>
        <v/>
      </c>
      <c r="AI297" s="180" t="str">
        <f ca="1"/>
        <v/>
      </c>
      <c r="AJ297" s="180" t="str">
        <f ca="1"/>
        <v/>
      </c>
      <c r="AK297" s="180" t="str">
        <f ca="1"/>
        <v/>
      </c>
      <c r="AL297" s="180" t="str">
        <f ca="1"/>
        <v/>
      </c>
      <c r="AM297" s="180" t="str">
        <f ca="1"/>
        <v/>
      </c>
      <c r="AN297" s="180" t="str">
        <f ca="1"/>
        <v/>
      </c>
      <c r="AO297" s="180" t="str">
        <f ca="1"/>
        <v/>
      </c>
      <c r="AP297" s="180" t="str">
        <f ca="1"/>
        <v/>
      </c>
      <c r="AQ297" s="187" t="str">
        <f ca="1"/>
        <v/>
      </c>
    </row>
    <row r="298" spans="2:43" x14ac:dyDescent="0.25">
      <c r="B298" s="179" t="str">
        <f ca="1"/>
        <v/>
      </c>
      <c r="C298" s="180" t="str">
        <f ca="1"/>
        <v/>
      </c>
      <c r="D298" s="180" t="str">
        <f ca="1"/>
        <v/>
      </c>
      <c r="E298" s="180" t="str">
        <f ca="1"/>
        <v/>
      </c>
      <c r="F298" s="180" t="str">
        <f ca="1"/>
        <v/>
      </c>
      <c r="G298" s="180" t="str">
        <f ca="1"/>
        <v/>
      </c>
      <c r="H298" s="180" t="str">
        <f ca="1"/>
        <v/>
      </c>
      <c r="I298" s="180" t="str">
        <f ca="1"/>
        <v/>
      </c>
      <c r="J298" s="180" t="str">
        <f ca="1"/>
        <v/>
      </c>
      <c r="K298" s="180" t="str">
        <f ca="1"/>
        <v/>
      </c>
      <c r="L298" s="180" t="str">
        <f ca="1"/>
        <v/>
      </c>
      <c r="M298" s="180" t="str">
        <f ca="1"/>
        <v/>
      </c>
      <c r="N298" s="180" t="str">
        <f ca="1"/>
        <v/>
      </c>
      <c r="O298" s="180" t="str">
        <f ca="1"/>
        <v/>
      </c>
      <c r="P298" s="180" t="str">
        <f ca="1"/>
        <v/>
      </c>
      <c r="Q298" s="180" t="str">
        <f ca="1"/>
        <v/>
      </c>
      <c r="R298" s="180" t="str">
        <f ca="1"/>
        <v/>
      </c>
      <c r="S298" s="180" t="str">
        <f ca="1"/>
        <v/>
      </c>
      <c r="T298" s="180" t="str">
        <f ca="1"/>
        <v/>
      </c>
      <c r="U298" s="180" t="str">
        <f ca="1"/>
        <v/>
      </c>
      <c r="V298" s="180" t="str">
        <f ca="1"/>
        <v/>
      </c>
      <c r="W298" s="180" t="str">
        <f ca="1"/>
        <v/>
      </c>
      <c r="X298" s="180" t="str">
        <f ca="1"/>
        <v/>
      </c>
      <c r="Y298" s="180" t="str">
        <f ca="1"/>
        <v/>
      </c>
      <c r="Z298" s="180" t="str">
        <f ca="1"/>
        <v/>
      </c>
      <c r="AA298" s="180" t="str">
        <f ca="1"/>
        <v/>
      </c>
      <c r="AB298" s="180" t="str">
        <f ca="1"/>
        <v/>
      </c>
      <c r="AC298" s="180" t="str">
        <f ca="1"/>
        <v/>
      </c>
      <c r="AD298" s="180" t="str">
        <f ca="1"/>
        <v/>
      </c>
      <c r="AE298" s="180" t="str">
        <f ca="1"/>
        <v/>
      </c>
      <c r="AF298" s="180" t="str">
        <f ca="1"/>
        <v/>
      </c>
      <c r="AG298" s="180" t="str">
        <f ca="1"/>
        <v/>
      </c>
      <c r="AH298" s="180" t="str">
        <f ca="1"/>
        <v/>
      </c>
      <c r="AI298" s="180" t="str">
        <f ca="1"/>
        <v/>
      </c>
      <c r="AJ298" s="180" t="str">
        <f ca="1"/>
        <v/>
      </c>
      <c r="AK298" s="180" t="str">
        <f ca="1"/>
        <v/>
      </c>
      <c r="AL298" s="180" t="str">
        <f ca="1"/>
        <v/>
      </c>
      <c r="AM298" s="180" t="str">
        <f ca="1"/>
        <v/>
      </c>
      <c r="AN298" s="180" t="str">
        <f ca="1"/>
        <v/>
      </c>
      <c r="AO298" s="180" t="str">
        <f ca="1"/>
        <v/>
      </c>
      <c r="AP298" s="180" t="str">
        <f ca="1"/>
        <v/>
      </c>
      <c r="AQ298" s="187" t="str">
        <f ca="1"/>
        <v/>
      </c>
    </row>
    <row r="299" spans="2:43" x14ac:dyDescent="0.25">
      <c r="B299" s="179" t="str">
        <f ca="1"/>
        <v/>
      </c>
      <c r="C299" s="180" t="str">
        <f ca="1"/>
        <v/>
      </c>
      <c r="D299" s="180" t="str">
        <f ca="1"/>
        <v/>
      </c>
      <c r="E299" s="180" t="str">
        <f ca="1"/>
        <v/>
      </c>
      <c r="F299" s="180" t="str">
        <f ca="1"/>
        <v/>
      </c>
      <c r="G299" s="180" t="str">
        <f ca="1"/>
        <v/>
      </c>
      <c r="H299" s="180" t="str">
        <f ca="1"/>
        <v/>
      </c>
      <c r="I299" s="180" t="str">
        <f ca="1"/>
        <v/>
      </c>
      <c r="J299" s="180" t="str">
        <f ca="1"/>
        <v/>
      </c>
      <c r="K299" s="180" t="str">
        <f ca="1"/>
        <v/>
      </c>
      <c r="L299" s="180" t="str">
        <f ca="1"/>
        <v/>
      </c>
      <c r="M299" s="180" t="str">
        <f ca="1"/>
        <v/>
      </c>
      <c r="N299" s="180" t="str">
        <f ca="1"/>
        <v/>
      </c>
      <c r="O299" s="180" t="str">
        <f ca="1"/>
        <v/>
      </c>
      <c r="P299" s="180" t="str">
        <f ca="1"/>
        <v/>
      </c>
      <c r="Q299" s="180" t="str">
        <f ca="1"/>
        <v/>
      </c>
      <c r="R299" s="180" t="str">
        <f ca="1"/>
        <v/>
      </c>
      <c r="S299" s="180" t="str">
        <f ca="1"/>
        <v/>
      </c>
      <c r="T299" s="180" t="str">
        <f ca="1"/>
        <v/>
      </c>
      <c r="U299" s="180" t="str">
        <f ca="1"/>
        <v/>
      </c>
      <c r="V299" s="180" t="str">
        <f ca="1"/>
        <v/>
      </c>
      <c r="W299" s="180" t="str">
        <f ca="1"/>
        <v/>
      </c>
      <c r="X299" s="180" t="str">
        <f ca="1"/>
        <v/>
      </c>
      <c r="Y299" s="180" t="str">
        <f ca="1"/>
        <v/>
      </c>
      <c r="Z299" s="180" t="str">
        <f ca="1"/>
        <v/>
      </c>
      <c r="AA299" s="180" t="str">
        <f ca="1"/>
        <v/>
      </c>
      <c r="AB299" s="180" t="str">
        <f ca="1"/>
        <v/>
      </c>
      <c r="AC299" s="180" t="str">
        <f ca="1"/>
        <v/>
      </c>
      <c r="AD299" s="180" t="str">
        <f ca="1"/>
        <v/>
      </c>
      <c r="AE299" s="180" t="str">
        <f ca="1"/>
        <v/>
      </c>
      <c r="AF299" s="180" t="str">
        <f ca="1"/>
        <v/>
      </c>
      <c r="AG299" s="180" t="str">
        <f ca="1"/>
        <v/>
      </c>
      <c r="AH299" s="180" t="str">
        <f ca="1"/>
        <v/>
      </c>
      <c r="AI299" s="180" t="str">
        <f ca="1"/>
        <v/>
      </c>
      <c r="AJ299" s="180" t="str">
        <f ca="1"/>
        <v/>
      </c>
      <c r="AK299" s="180" t="str">
        <f ca="1"/>
        <v/>
      </c>
      <c r="AL299" s="180" t="str">
        <f ca="1"/>
        <v/>
      </c>
      <c r="AM299" s="180" t="str">
        <f ca="1"/>
        <v/>
      </c>
      <c r="AN299" s="180" t="str">
        <f ca="1"/>
        <v/>
      </c>
      <c r="AO299" s="180" t="str">
        <f ca="1"/>
        <v/>
      </c>
      <c r="AP299" s="180" t="str">
        <f ca="1"/>
        <v/>
      </c>
      <c r="AQ299" s="187" t="str">
        <f ca="1"/>
        <v/>
      </c>
    </row>
    <row r="300" spans="2:43" x14ac:dyDescent="0.25">
      <c r="B300" s="179" t="str">
        <f ca="1"/>
        <v/>
      </c>
      <c r="C300" s="180" t="str">
        <f ca="1"/>
        <v/>
      </c>
      <c r="D300" s="180" t="str">
        <f ca="1"/>
        <v/>
      </c>
      <c r="E300" s="180" t="str">
        <f ca="1"/>
        <v/>
      </c>
      <c r="F300" s="180" t="str">
        <f ca="1"/>
        <v/>
      </c>
      <c r="G300" s="180" t="str">
        <f ca="1"/>
        <v/>
      </c>
      <c r="H300" s="180" t="str">
        <f ca="1"/>
        <v/>
      </c>
      <c r="I300" s="180" t="str">
        <f ca="1"/>
        <v/>
      </c>
      <c r="J300" s="180" t="str">
        <f ca="1"/>
        <v/>
      </c>
      <c r="K300" s="180" t="str">
        <f ca="1"/>
        <v/>
      </c>
      <c r="L300" s="180" t="str">
        <f ca="1"/>
        <v/>
      </c>
      <c r="M300" s="180" t="str">
        <f ca="1"/>
        <v/>
      </c>
      <c r="N300" s="180" t="str">
        <f ca="1"/>
        <v/>
      </c>
      <c r="O300" s="180" t="str">
        <f ca="1"/>
        <v/>
      </c>
      <c r="P300" s="180" t="str">
        <f ca="1"/>
        <v/>
      </c>
      <c r="Q300" s="180" t="str">
        <f ca="1"/>
        <v/>
      </c>
      <c r="R300" s="180" t="str">
        <f ca="1"/>
        <v/>
      </c>
      <c r="S300" s="180" t="str">
        <f ca="1"/>
        <v/>
      </c>
      <c r="T300" s="180" t="str">
        <f ca="1"/>
        <v/>
      </c>
      <c r="U300" s="180" t="str">
        <f ca="1"/>
        <v/>
      </c>
      <c r="V300" s="180" t="str">
        <f ca="1"/>
        <v/>
      </c>
      <c r="W300" s="180" t="str">
        <f ca="1"/>
        <v/>
      </c>
      <c r="X300" s="180" t="str">
        <f ca="1"/>
        <v/>
      </c>
      <c r="Y300" s="180" t="str">
        <f ca="1"/>
        <v/>
      </c>
      <c r="Z300" s="180" t="str">
        <f ca="1"/>
        <v/>
      </c>
      <c r="AA300" s="180" t="str">
        <f ca="1"/>
        <v/>
      </c>
      <c r="AB300" s="180" t="str">
        <f ca="1"/>
        <v/>
      </c>
      <c r="AC300" s="180" t="str">
        <f ca="1"/>
        <v/>
      </c>
      <c r="AD300" s="180" t="str">
        <f ca="1"/>
        <v/>
      </c>
      <c r="AE300" s="180" t="str">
        <f ca="1"/>
        <v/>
      </c>
      <c r="AF300" s="180" t="str">
        <f ca="1"/>
        <v/>
      </c>
      <c r="AG300" s="180" t="str">
        <f ca="1"/>
        <v/>
      </c>
      <c r="AH300" s="180" t="str">
        <f ca="1"/>
        <v/>
      </c>
      <c r="AI300" s="180" t="str">
        <f ca="1"/>
        <v/>
      </c>
      <c r="AJ300" s="180" t="str">
        <f ca="1"/>
        <v/>
      </c>
      <c r="AK300" s="180" t="str">
        <f ca="1"/>
        <v/>
      </c>
      <c r="AL300" s="180" t="str">
        <f ca="1"/>
        <v/>
      </c>
      <c r="AM300" s="180" t="str">
        <f ca="1"/>
        <v/>
      </c>
      <c r="AN300" s="180" t="str">
        <f ca="1"/>
        <v/>
      </c>
      <c r="AO300" s="180" t="str">
        <f ca="1"/>
        <v/>
      </c>
      <c r="AP300" s="180" t="str">
        <f ca="1"/>
        <v/>
      </c>
      <c r="AQ300" s="187" t="str">
        <f ca="1"/>
        <v/>
      </c>
    </row>
    <row r="301" spans="2:43" x14ac:dyDescent="0.25">
      <c r="B301" s="179" t="str">
        <f ca="1"/>
        <v/>
      </c>
      <c r="C301" s="180" t="str">
        <f ca="1"/>
        <v/>
      </c>
      <c r="D301" s="180" t="str">
        <f ca="1"/>
        <v/>
      </c>
      <c r="E301" s="180" t="str">
        <f ca="1"/>
        <v/>
      </c>
      <c r="F301" s="180" t="str">
        <f ca="1"/>
        <v/>
      </c>
      <c r="G301" s="180" t="str">
        <f ca="1"/>
        <v/>
      </c>
      <c r="H301" s="180" t="str">
        <f ca="1"/>
        <v/>
      </c>
      <c r="I301" s="180" t="str">
        <f ca="1"/>
        <v/>
      </c>
      <c r="J301" s="180" t="str">
        <f ca="1"/>
        <v/>
      </c>
      <c r="K301" s="180" t="str">
        <f ca="1"/>
        <v/>
      </c>
      <c r="L301" s="180" t="str">
        <f ca="1"/>
        <v/>
      </c>
      <c r="M301" s="180" t="str">
        <f ca="1"/>
        <v/>
      </c>
      <c r="N301" s="180" t="str">
        <f ca="1"/>
        <v/>
      </c>
      <c r="O301" s="180" t="str">
        <f ca="1"/>
        <v/>
      </c>
      <c r="P301" s="180" t="str">
        <f ca="1"/>
        <v/>
      </c>
      <c r="Q301" s="180" t="str">
        <f ca="1"/>
        <v/>
      </c>
      <c r="R301" s="180" t="str">
        <f ca="1"/>
        <v/>
      </c>
      <c r="S301" s="180" t="str">
        <f ca="1"/>
        <v/>
      </c>
      <c r="T301" s="180" t="str">
        <f ca="1"/>
        <v/>
      </c>
      <c r="U301" s="180" t="str">
        <f ca="1"/>
        <v/>
      </c>
      <c r="V301" s="180" t="str">
        <f ca="1"/>
        <v/>
      </c>
      <c r="W301" s="180" t="str">
        <f ca="1"/>
        <v/>
      </c>
      <c r="X301" s="180" t="str">
        <f ca="1"/>
        <v/>
      </c>
      <c r="Y301" s="180" t="str">
        <f ca="1"/>
        <v/>
      </c>
      <c r="Z301" s="180" t="str">
        <f ca="1"/>
        <v/>
      </c>
      <c r="AA301" s="180" t="str">
        <f ca="1"/>
        <v/>
      </c>
      <c r="AB301" s="180" t="str">
        <f ca="1"/>
        <v/>
      </c>
      <c r="AC301" s="180" t="str">
        <f ca="1"/>
        <v/>
      </c>
      <c r="AD301" s="180" t="str">
        <f ca="1"/>
        <v/>
      </c>
      <c r="AE301" s="180" t="str">
        <f ca="1"/>
        <v/>
      </c>
      <c r="AF301" s="180" t="str">
        <f ca="1"/>
        <v/>
      </c>
      <c r="AG301" s="180" t="str">
        <f ca="1"/>
        <v/>
      </c>
      <c r="AH301" s="180" t="str">
        <f ca="1"/>
        <v/>
      </c>
      <c r="AI301" s="180" t="str">
        <f ca="1"/>
        <v/>
      </c>
      <c r="AJ301" s="180" t="str">
        <f ca="1"/>
        <v/>
      </c>
      <c r="AK301" s="180" t="str">
        <f ca="1"/>
        <v/>
      </c>
      <c r="AL301" s="180" t="str">
        <f ca="1"/>
        <v/>
      </c>
      <c r="AM301" s="180" t="str">
        <f ca="1"/>
        <v/>
      </c>
      <c r="AN301" s="180" t="str">
        <f ca="1"/>
        <v/>
      </c>
      <c r="AO301" s="180" t="str">
        <f ca="1"/>
        <v/>
      </c>
      <c r="AP301" s="180" t="str">
        <f ca="1"/>
        <v/>
      </c>
      <c r="AQ301" s="187" t="str">
        <f ca="1"/>
        <v/>
      </c>
    </row>
    <row r="302" spans="2:43" x14ac:dyDescent="0.25">
      <c r="B302" s="179" t="str">
        <f ca="1"/>
        <v/>
      </c>
      <c r="C302" s="180" t="str">
        <f ca="1"/>
        <v/>
      </c>
      <c r="D302" s="180" t="str">
        <f ca="1"/>
        <v/>
      </c>
      <c r="E302" s="180" t="str">
        <f ca="1"/>
        <v/>
      </c>
      <c r="F302" s="180" t="str">
        <f ca="1"/>
        <v/>
      </c>
      <c r="G302" s="180" t="str">
        <f ca="1"/>
        <v/>
      </c>
      <c r="H302" s="180" t="str">
        <f ca="1"/>
        <v/>
      </c>
      <c r="I302" s="180" t="str">
        <f ca="1"/>
        <v/>
      </c>
      <c r="J302" s="180" t="str">
        <f ca="1"/>
        <v/>
      </c>
      <c r="K302" s="180" t="str">
        <f ca="1"/>
        <v/>
      </c>
      <c r="L302" s="180" t="str">
        <f ca="1"/>
        <v/>
      </c>
      <c r="M302" s="180" t="str">
        <f ca="1"/>
        <v/>
      </c>
      <c r="N302" s="180" t="str">
        <f ca="1"/>
        <v/>
      </c>
      <c r="O302" s="180" t="str">
        <f ca="1"/>
        <v/>
      </c>
      <c r="P302" s="180" t="str">
        <f ca="1"/>
        <v/>
      </c>
      <c r="Q302" s="180" t="str">
        <f ca="1"/>
        <v/>
      </c>
      <c r="R302" s="180" t="str">
        <f ca="1"/>
        <v/>
      </c>
      <c r="S302" s="180" t="str">
        <f ca="1"/>
        <v/>
      </c>
      <c r="T302" s="180" t="str">
        <f ca="1"/>
        <v/>
      </c>
      <c r="U302" s="180" t="str">
        <f ca="1"/>
        <v/>
      </c>
      <c r="V302" s="180" t="str">
        <f ca="1"/>
        <v/>
      </c>
      <c r="W302" s="180" t="str">
        <f ca="1"/>
        <v/>
      </c>
      <c r="X302" s="180" t="str">
        <f ca="1"/>
        <v/>
      </c>
      <c r="Y302" s="180" t="str">
        <f ca="1"/>
        <v/>
      </c>
      <c r="Z302" s="180" t="str">
        <f ca="1"/>
        <v/>
      </c>
      <c r="AA302" s="180" t="str">
        <f ca="1"/>
        <v/>
      </c>
      <c r="AB302" s="180" t="str">
        <f ca="1"/>
        <v/>
      </c>
      <c r="AC302" s="180" t="str">
        <f ca="1"/>
        <v/>
      </c>
      <c r="AD302" s="180" t="str">
        <f ca="1"/>
        <v/>
      </c>
      <c r="AE302" s="180" t="str">
        <f ca="1"/>
        <v/>
      </c>
      <c r="AF302" s="180" t="str">
        <f ca="1"/>
        <v/>
      </c>
      <c r="AG302" s="180" t="str">
        <f ca="1"/>
        <v/>
      </c>
      <c r="AH302" s="180" t="str">
        <f ca="1"/>
        <v/>
      </c>
      <c r="AI302" s="180" t="str">
        <f ca="1"/>
        <v/>
      </c>
      <c r="AJ302" s="180" t="str">
        <f ca="1"/>
        <v/>
      </c>
      <c r="AK302" s="180" t="str">
        <f ca="1"/>
        <v/>
      </c>
      <c r="AL302" s="180" t="str">
        <f ca="1"/>
        <v/>
      </c>
      <c r="AM302" s="180" t="str">
        <f ca="1"/>
        <v/>
      </c>
      <c r="AN302" s="180" t="str">
        <f ca="1"/>
        <v/>
      </c>
      <c r="AO302" s="180" t="str">
        <f ca="1"/>
        <v/>
      </c>
      <c r="AP302" s="180" t="str">
        <f ca="1"/>
        <v/>
      </c>
      <c r="AQ302" s="187" t="str">
        <f ca="1"/>
        <v/>
      </c>
    </row>
    <row r="303" spans="2:43" x14ac:dyDescent="0.25">
      <c r="B303" s="179" t="str">
        <f ca="1"/>
        <v/>
      </c>
      <c r="C303" s="180" t="str">
        <f ca="1"/>
        <v/>
      </c>
      <c r="D303" s="180" t="str">
        <f ca="1"/>
        <v/>
      </c>
      <c r="E303" s="180" t="str">
        <f ca="1"/>
        <v/>
      </c>
      <c r="F303" s="180" t="str">
        <f ca="1"/>
        <v/>
      </c>
      <c r="G303" s="180" t="str">
        <f ca="1"/>
        <v/>
      </c>
      <c r="H303" s="180" t="str">
        <f ca="1"/>
        <v/>
      </c>
      <c r="I303" s="180" t="str">
        <f ca="1"/>
        <v/>
      </c>
      <c r="J303" s="180" t="str">
        <f ca="1"/>
        <v/>
      </c>
      <c r="K303" s="180" t="str">
        <f ca="1"/>
        <v/>
      </c>
      <c r="L303" s="180" t="str">
        <f ca="1"/>
        <v/>
      </c>
      <c r="M303" s="180" t="str">
        <f ca="1"/>
        <v/>
      </c>
      <c r="N303" s="180" t="str">
        <f ca="1"/>
        <v/>
      </c>
      <c r="O303" s="180" t="str">
        <f ca="1"/>
        <v/>
      </c>
      <c r="P303" s="180" t="str">
        <f ca="1"/>
        <v/>
      </c>
      <c r="Q303" s="180" t="str">
        <f ca="1"/>
        <v/>
      </c>
      <c r="R303" s="180" t="str">
        <f ca="1"/>
        <v/>
      </c>
      <c r="S303" s="180" t="str">
        <f ca="1"/>
        <v/>
      </c>
      <c r="T303" s="180" t="str">
        <f ca="1"/>
        <v/>
      </c>
      <c r="U303" s="180" t="str">
        <f ca="1"/>
        <v/>
      </c>
      <c r="V303" s="180" t="str">
        <f ca="1"/>
        <v/>
      </c>
      <c r="W303" s="180" t="str">
        <f ca="1"/>
        <v/>
      </c>
      <c r="X303" s="180" t="str">
        <f ca="1"/>
        <v/>
      </c>
      <c r="Y303" s="180" t="str">
        <f ca="1"/>
        <v/>
      </c>
      <c r="Z303" s="180" t="str">
        <f ca="1"/>
        <v/>
      </c>
      <c r="AA303" s="180" t="str">
        <f ca="1"/>
        <v/>
      </c>
      <c r="AB303" s="180" t="str">
        <f ca="1"/>
        <v/>
      </c>
      <c r="AC303" s="180" t="str">
        <f ca="1"/>
        <v/>
      </c>
      <c r="AD303" s="180" t="str">
        <f ca="1"/>
        <v/>
      </c>
      <c r="AE303" s="180" t="str">
        <f ca="1"/>
        <v/>
      </c>
      <c r="AF303" s="180" t="str">
        <f ca="1"/>
        <v/>
      </c>
      <c r="AG303" s="180" t="str">
        <f ca="1"/>
        <v/>
      </c>
      <c r="AH303" s="180" t="str">
        <f ca="1"/>
        <v/>
      </c>
      <c r="AI303" s="180" t="str">
        <f ca="1"/>
        <v/>
      </c>
      <c r="AJ303" s="180" t="str">
        <f ca="1"/>
        <v/>
      </c>
      <c r="AK303" s="180" t="str">
        <f ca="1"/>
        <v/>
      </c>
      <c r="AL303" s="180" t="str">
        <f ca="1"/>
        <v/>
      </c>
      <c r="AM303" s="180" t="str">
        <f ca="1"/>
        <v/>
      </c>
      <c r="AN303" s="180" t="str">
        <f ca="1"/>
        <v/>
      </c>
      <c r="AO303" s="180" t="str">
        <f ca="1"/>
        <v/>
      </c>
      <c r="AP303" s="180" t="str">
        <f ca="1"/>
        <v/>
      </c>
      <c r="AQ303" s="187" t="str">
        <f ca="1"/>
        <v/>
      </c>
    </row>
    <row r="304" spans="2:43" x14ac:dyDescent="0.25">
      <c r="B304" s="179" t="str">
        <f ca="1"/>
        <v/>
      </c>
      <c r="C304" s="180" t="str">
        <f ca="1"/>
        <v/>
      </c>
      <c r="D304" s="180" t="str">
        <f ca="1"/>
        <v/>
      </c>
      <c r="E304" s="180" t="str">
        <f ca="1"/>
        <v/>
      </c>
      <c r="F304" s="180" t="str">
        <f ca="1"/>
        <v/>
      </c>
      <c r="G304" s="180" t="str">
        <f ca="1"/>
        <v/>
      </c>
      <c r="H304" s="180" t="str">
        <f ca="1"/>
        <v/>
      </c>
      <c r="I304" s="180" t="str">
        <f ca="1"/>
        <v/>
      </c>
      <c r="J304" s="180" t="str">
        <f ca="1"/>
        <v/>
      </c>
      <c r="K304" s="180" t="str">
        <f ca="1"/>
        <v/>
      </c>
      <c r="L304" s="180" t="str">
        <f ca="1"/>
        <v/>
      </c>
      <c r="M304" s="180" t="str">
        <f ca="1"/>
        <v/>
      </c>
      <c r="N304" s="180" t="str">
        <f ca="1"/>
        <v/>
      </c>
      <c r="O304" s="180" t="str">
        <f ca="1"/>
        <v/>
      </c>
      <c r="P304" s="180" t="str">
        <f ca="1"/>
        <v/>
      </c>
      <c r="Q304" s="180" t="str">
        <f ca="1"/>
        <v/>
      </c>
      <c r="R304" s="180" t="str">
        <f ca="1"/>
        <v/>
      </c>
      <c r="S304" s="180" t="str">
        <f ca="1"/>
        <v/>
      </c>
      <c r="T304" s="180" t="str">
        <f ca="1"/>
        <v/>
      </c>
      <c r="U304" s="180" t="str">
        <f ca="1"/>
        <v/>
      </c>
      <c r="V304" s="180" t="str">
        <f ca="1"/>
        <v/>
      </c>
      <c r="W304" s="180" t="str">
        <f ca="1"/>
        <v/>
      </c>
      <c r="X304" s="180" t="str">
        <f ca="1"/>
        <v/>
      </c>
      <c r="Y304" s="180" t="str">
        <f ca="1"/>
        <v/>
      </c>
      <c r="Z304" s="180" t="str">
        <f ca="1"/>
        <v/>
      </c>
      <c r="AA304" s="180" t="str">
        <f ca="1"/>
        <v/>
      </c>
      <c r="AB304" s="180" t="str">
        <f ca="1"/>
        <v/>
      </c>
      <c r="AC304" s="180" t="str">
        <f ca="1"/>
        <v/>
      </c>
      <c r="AD304" s="180" t="str">
        <f ca="1"/>
        <v/>
      </c>
      <c r="AE304" s="180" t="str">
        <f ca="1"/>
        <v/>
      </c>
      <c r="AF304" s="180" t="str">
        <f ca="1"/>
        <v/>
      </c>
      <c r="AG304" s="180" t="str">
        <f ca="1"/>
        <v/>
      </c>
      <c r="AH304" s="180" t="str">
        <f ca="1"/>
        <v/>
      </c>
      <c r="AI304" s="180" t="str">
        <f ca="1"/>
        <v/>
      </c>
      <c r="AJ304" s="180" t="str">
        <f ca="1"/>
        <v/>
      </c>
      <c r="AK304" s="180" t="str">
        <f ca="1"/>
        <v/>
      </c>
      <c r="AL304" s="180" t="str">
        <f ca="1"/>
        <v/>
      </c>
      <c r="AM304" s="180" t="str">
        <f ca="1"/>
        <v/>
      </c>
      <c r="AN304" s="180" t="str">
        <f ca="1"/>
        <v/>
      </c>
      <c r="AO304" s="180" t="str">
        <f ca="1"/>
        <v/>
      </c>
      <c r="AP304" s="180" t="str">
        <f ca="1"/>
        <v/>
      </c>
      <c r="AQ304" s="187" t="str">
        <f ca="1"/>
        <v/>
      </c>
    </row>
    <row r="305" spans="2:43" x14ac:dyDescent="0.25">
      <c r="B305" s="179" t="str">
        <f ca="1"/>
        <v/>
      </c>
      <c r="C305" s="180" t="str">
        <f ca="1"/>
        <v/>
      </c>
      <c r="D305" s="180" t="str">
        <f ca="1"/>
        <v/>
      </c>
      <c r="E305" s="180" t="str">
        <f ca="1"/>
        <v/>
      </c>
      <c r="F305" s="180" t="str">
        <f ca="1"/>
        <v/>
      </c>
      <c r="G305" s="180" t="str">
        <f ca="1"/>
        <v/>
      </c>
      <c r="H305" s="180" t="str">
        <f ca="1"/>
        <v/>
      </c>
      <c r="I305" s="180" t="str">
        <f ca="1"/>
        <v/>
      </c>
      <c r="J305" s="180" t="str">
        <f ca="1"/>
        <v/>
      </c>
      <c r="K305" s="180" t="str">
        <f ca="1"/>
        <v/>
      </c>
      <c r="L305" s="180" t="str">
        <f ca="1"/>
        <v/>
      </c>
      <c r="M305" s="180" t="str">
        <f ca="1"/>
        <v/>
      </c>
      <c r="N305" s="180" t="str">
        <f ca="1"/>
        <v/>
      </c>
      <c r="O305" s="180" t="str">
        <f ca="1"/>
        <v/>
      </c>
      <c r="P305" s="180" t="str">
        <f ca="1"/>
        <v/>
      </c>
      <c r="Q305" s="180" t="str">
        <f ca="1"/>
        <v/>
      </c>
      <c r="R305" s="180" t="str">
        <f ca="1"/>
        <v/>
      </c>
      <c r="S305" s="180" t="str">
        <f ca="1"/>
        <v/>
      </c>
      <c r="T305" s="180" t="str">
        <f ca="1"/>
        <v/>
      </c>
      <c r="U305" s="180" t="str">
        <f ca="1"/>
        <v/>
      </c>
      <c r="V305" s="180" t="str">
        <f ca="1"/>
        <v/>
      </c>
      <c r="W305" s="180" t="str">
        <f ca="1"/>
        <v/>
      </c>
      <c r="X305" s="180" t="str">
        <f ca="1"/>
        <v/>
      </c>
      <c r="Y305" s="180" t="str">
        <f ca="1"/>
        <v/>
      </c>
      <c r="Z305" s="180" t="str">
        <f ca="1"/>
        <v/>
      </c>
      <c r="AA305" s="180" t="str">
        <f ca="1"/>
        <v/>
      </c>
      <c r="AB305" s="180" t="str">
        <f ca="1"/>
        <v/>
      </c>
      <c r="AC305" s="180" t="str">
        <f ca="1"/>
        <v/>
      </c>
      <c r="AD305" s="180" t="str">
        <f ca="1"/>
        <v/>
      </c>
      <c r="AE305" s="180" t="str">
        <f ca="1"/>
        <v/>
      </c>
      <c r="AF305" s="180" t="str">
        <f ca="1"/>
        <v/>
      </c>
      <c r="AG305" s="180" t="str">
        <f ca="1"/>
        <v/>
      </c>
      <c r="AH305" s="180" t="str">
        <f ca="1"/>
        <v/>
      </c>
      <c r="AI305" s="180" t="str">
        <f ca="1"/>
        <v/>
      </c>
      <c r="AJ305" s="180" t="str">
        <f ca="1"/>
        <v/>
      </c>
      <c r="AK305" s="180" t="str">
        <f ca="1"/>
        <v/>
      </c>
      <c r="AL305" s="180" t="str">
        <f ca="1"/>
        <v/>
      </c>
      <c r="AM305" s="180" t="str">
        <f ca="1"/>
        <v/>
      </c>
      <c r="AN305" s="180" t="str">
        <f ca="1"/>
        <v/>
      </c>
      <c r="AO305" s="180" t="str">
        <f ca="1"/>
        <v/>
      </c>
      <c r="AP305" s="180" t="str">
        <f ca="1"/>
        <v/>
      </c>
      <c r="AQ305" s="187" t="str">
        <f ca="1"/>
        <v/>
      </c>
    </row>
    <row r="306" spans="2:43" x14ac:dyDescent="0.25">
      <c r="B306" s="179" t="str">
        <f ca="1"/>
        <v/>
      </c>
      <c r="C306" s="180" t="str">
        <f ca="1"/>
        <v/>
      </c>
      <c r="D306" s="180" t="str">
        <f ca="1"/>
        <v/>
      </c>
      <c r="E306" s="180" t="str">
        <f ca="1"/>
        <v/>
      </c>
      <c r="F306" s="180" t="str">
        <f ca="1"/>
        <v/>
      </c>
      <c r="G306" s="180" t="str">
        <f ca="1"/>
        <v/>
      </c>
      <c r="H306" s="180" t="str">
        <f ca="1"/>
        <v/>
      </c>
      <c r="I306" s="180" t="str">
        <f ca="1"/>
        <v/>
      </c>
      <c r="J306" s="180" t="str">
        <f ca="1"/>
        <v/>
      </c>
      <c r="K306" s="180" t="str">
        <f ca="1"/>
        <v/>
      </c>
      <c r="L306" s="180" t="str">
        <f ca="1"/>
        <v/>
      </c>
      <c r="M306" s="180" t="str">
        <f ca="1"/>
        <v/>
      </c>
      <c r="N306" s="180" t="str">
        <f ca="1"/>
        <v/>
      </c>
      <c r="O306" s="180" t="str">
        <f ca="1"/>
        <v/>
      </c>
      <c r="P306" s="180" t="str">
        <f ca="1"/>
        <v/>
      </c>
      <c r="Q306" s="180" t="str">
        <f ca="1"/>
        <v/>
      </c>
      <c r="R306" s="180" t="str">
        <f ca="1"/>
        <v/>
      </c>
      <c r="S306" s="180" t="str">
        <f ca="1"/>
        <v/>
      </c>
      <c r="T306" s="180" t="str">
        <f ca="1"/>
        <v/>
      </c>
      <c r="U306" s="180" t="str">
        <f ca="1"/>
        <v/>
      </c>
      <c r="V306" s="180" t="str">
        <f ca="1"/>
        <v/>
      </c>
      <c r="W306" s="180" t="str">
        <f ca="1"/>
        <v/>
      </c>
      <c r="X306" s="180" t="str">
        <f ca="1"/>
        <v/>
      </c>
      <c r="Y306" s="180" t="str">
        <f ca="1"/>
        <v/>
      </c>
      <c r="Z306" s="180" t="str">
        <f ca="1"/>
        <v/>
      </c>
      <c r="AA306" s="180" t="str">
        <f ca="1"/>
        <v/>
      </c>
      <c r="AB306" s="180" t="str">
        <f ca="1"/>
        <v/>
      </c>
      <c r="AC306" s="180" t="str">
        <f ca="1"/>
        <v/>
      </c>
      <c r="AD306" s="180" t="str">
        <f ca="1"/>
        <v/>
      </c>
      <c r="AE306" s="180" t="str">
        <f ca="1"/>
        <v/>
      </c>
      <c r="AF306" s="180" t="str">
        <f ca="1"/>
        <v/>
      </c>
      <c r="AG306" s="180" t="str">
        <f ca="1"/>
        <v/>
      </c>
      <c r="AH306" s="180" t="str">
        <f ca="1"/>
        <v/>
      </c>
      <c r="AI306" s="180" t="str">
        <f ca="1"/>
        <v/>
      </c>
      <c r="AJ306" s="180" t="str">
        <f ca="1"/>
        <v/>
      </c>
      <c r="AK306" s="180" t="str">
        <f ca="1"/>
        <v/>
      </c>
      <c r="AL306" s="180" t="str">
        <f ca="1"/>
        <v/>
      </c>
      <c r="AM306" s="180" t="str">
        <f ca="1"/>
        <v/>
      </c>
      <c r="AN306" s="180" t="str">
        <f ca="1"/>
        <v/>
      </c>
      <c r="AO306" s="180" t="str">
        <f ca="1"/>
        <v/>
      </c>
      <c r="AP306" s="180" t="str">
        <f ca="1"/>
        <v/>
      </c>
      <c r="AQ306" s="187" t="str">
        <f ca="1"/>
        <v/>
      </c>
    </row>
    <row r="307" spans="2:43" x14ac:dyDescent="0.25">
      <c r="B307" s="179" t="str">
        <f ca="1"/>
        <v/>
      </c>
      <c r="C307" s="180" t="str">
        <f ca="1"/>
        <v/>
      </c>
      <c r="D307" s="180" t="str">
        <f ca="1"/>
        <v/>
      </c>
      <c r="E307" s="180" t="str">
        <f ca="1"/>
        <v/>
      </c>
      <c r="F307" s="180" t="str">
        <f ca="1"/>
        <v/>
      </c>
      <c r="G307" s="180" t="str">
        <f ca="1"/>
        <v/>
      </c>
      <c r="H307" s="180" t="str">
        <f ca="1"/>
        <v/>
      </c>
      <c r="I307" s="180" t="str">
        <f ca="1"/>
        <v/>
      </c>
      <c r="J307" s="180" t="str">
        <f ca="1"/>
        <v/>
      </c>
      <c r="K307" s="180" t="str">
        <f ca="1"/>
        <v/>
      </c>
      <c r="L307" s="180" t="str">
        <f ca="1"/>
        <v/>
      </c>
      <c r="M307" s="180" t="str">
        <f ca="1"/>
        <v/>
      </c>
      <c r="N307" s="180" t="str">
        <f ca="1"/>
        <v/>
      </c>
      <c r="O307" s="180" t="str">
        <f ca="1"/>
        <v/>
      </c>
      <c r="P307" s="180" t="str">
        <f ca="1"/>
        <v/>
      </c>
      <c r="Q307" s="180" t="str">
        <f ca="1"/>
        <v/>
      </c>
      <c r="R307" s="180" t="str">
        <f ca="1"/>
        <v/>
      </c>
      <c r="S307" s="180" t="str">
        <f ca="1"/>
        <v/>
      </c>
      <c r="T307" s="180" t="str">
        <f ca="1"/>
        <v/>
      </c>
      <c r="U307" s="180" t="str">
        <f ca="1"/>
        <v/>
      </c>
      <c r="V307" s="180" t="str">
        <f ca="1"/>
        <v/>
      </c>
      <c r="W307" s="180" t="str">
        <f ca="1"/>
        <v/>
      </c>
      <c r="X307" s="180" t="str">
        <f ca="1"/>
        <v/>
      </c>
      <c r="Y307" s="180" t="str">
        <f ca="1"/>
        <v/>
      </c>
      <c r="Z307" s="180" t="str">
        <f ca="1"/>
        <v/>
      </c>
      <c r="AA307" s="180" t="str">
        <f ca="1"/>
        <v/>
      </c>
      <c r="AB307" s="180" t="str">
        <f ca="1"/>
        <v/>
      </c>
      <c r="AC307" s="180" t="str">
        <f ca="1"/>
        <v/>
      </c>
      <c r="AD307" s="180" t="str">
        <f ca="1"/>
        <v/>
      </c>
      <c r="AE307" s="180" t="str">
        <f ca="1"/>
        <v/>
      </c>
      <c r="AF307" s="180" t="str">
        <f ca="1"/>
        <v/>
      </c>
      <c r="AG307" s="180" t="str">
        <f ca="1"/>
        <v/>
      </c>
      <c r="AH307" s="180" t="str">
        <f ca="1"/>
        <v/>
      </c>
      <c r="AI307" s="180" t="str">
        <f ca="1"/>
        <v/>
      </c>
      <c r="AJ307" s="180" t="str">
        <f ca="1"/>
        <v/>
      </c>
      <c r="AK307" s="180" t="str">
        <f ca="1"/>
        <v/>
      </c>
      <c r="AL307" s="180" t="str">
        <f ca="1"/>
        <v/>
      </c>
      <c r="AM307" s="180" t="str">
        <f ca="1"/>
        <v/>
      </c>
      <c r="AN307" s="180" t="str">
        <f ca="1"/>
        <v/>
      </c>
      <c r="AO307" s="180" t="str">
        <f ca="1"/>
        <v/>
      </c>
      <c r="AP307" s="180" t="str">
        <f ca="1"/>
        <v/>
      </c>
      <c r="AQ307" s="187" t="str">
        <f ca="1"/>
        <v/>
      </c>
    </row>
    <row r="308" spans="2:43" x14ac:dyDescent="0.25">
      <c r="B308" s="179" t="str">
        <f ca="1"/>
        <v/>
      </c>
      <c r="C308" s="180" t="str">
        <f ca="1"/>
        <v/>
      </c>
      <c r="D308" s="180" t="str">
        <f ca="1"/>
        <v/>
      </c>
      <c r="E308" s="180" t="str">
        <f ca="1"/>
        <v/>
      </c>
      <c r="F308" s="180" t="str">
        <f ca="1"/>
        <v/>
      </c>
      <c r="G308" s="180" t="str">
        <f ca="1"/>
        <v/>
      </c>
      <c r="H308" s="180" t="str">
        <f ca="1"/>
        <v/>
      </c>
      <c r="I308" s="180" t="str">
        <f ca="1"/>
        <v/>
      </c>
      <c r="J308" s="180" t="str">
        <f ca="1"/>
        <v/>
      </c>
      <c r="K308" s="180" t="str">
        <f ca="1"/>
        <v/>
      </c>
      <c r="L308" s="180" t="str">
        <f ca="1"/>
        <v/>
      </c>
      <c r="M308" s="180" t="str">
        <f ca="1"/>
        <v/>
      </c>
      <c r="N308" s="180" t="str">
        <f ca="1"/>
        <v/>
      </c>
      <c r="O308" s="180" t="str">
        <f ca="1"/>
        <v/>
      </c>
      <c r="P308" s="180" t="str">
        <f ca="1"/>
        <v/>
      </c>
      <c r="Q308" s="180" t="str">
        <f ca="1"/>
        <v/>
      </c>
      <c r="R308" s="180" t="str">
        <f ca="1"/>
        <v/>
      </c>
      <c r="S308" s="180" t="str">
        <f ca="1"/>
        <v/>
      </c>
      <c r="T308" s="180" t="str">
        <f ca="1"/>
        <v/>
      </c>
      <c r="U308" s="180" t="str">
        <f ca="1"/>
        <v/>
      </c>
      <c r="V308" s="180" t="str">
        <f ca="1"/>
        <v/>
      </c>
      <c r="W308" s="180" t="str">
        <f ca="1"/>
        <v/>
      </c>
      <c r="X308" s="180" t="str">
        <f ca="1"/>
        <v/>
      </c>
      <c r="Y308" s="180" t="str">
        <f ca="1"/>
        <v/>
      </c>
      <c r="Z308" s="180" t="str">
        <f ca="1"/>
        <v/>
      </c>
      <c r="AA308" s="180" t="str">
        <f ca="1"/>
        <v/>
      </c>
      <c r="AB308" s="180" t="str">
        <f ca="1"/>
        <v/>
      </c>
      <c r="AC308" s="180" t="str">
        <f ca="1"/>
        <v/>
      </c>
      <c r="AD308" s="180" t="str">
        <f ca="1"/>
        <v/>
      </c>
      <c r="AE308" s="180" t="str">
        <f ca="1"/>
        <v/>
      </c>
      <c r="AF308" s="180" t="str">
        <f ca="1"/>
        <v/>
      </c>
      <c r="AG308" s="180" t="str">
        <f ca="1"/>
        <v/>
      </c>
      <c r="AH308" s="180" t="str">
        <f ca="1"/>
        <v/>
      </c>
      <c r="AI308" s="180" t="str">
        <f ca="1"/>
        <v/>
      </c>
      <c r="AJ308" s="180" t="str">
        <f ca="1"/>
        <v/>
      </c>
      <c r="AK308" s="180" t="str">
        <f ca="1"/>
        <v/>
      </c>
      <c r="AL308" s="180" t="str">
        <f ca="1"/>
        <v/>
      </c>
      <c r="AM308" s="180" t="str">
        <f ca="1"/>
        <v/>
      </c>
      <c r="AN308" s="180" t="str">
        <f ca="1"/>
        <v/>
      </c>
      <c r="AO308" s="180" t="str">
        <f ca="1"/>
        <v/>
      </c>
      <c r="AP308" s="180" t="str">
        <f ca="1"/>
        <v/>
      </c>
      <c r="AQ308" s="187" t="str">
        <f ca="1"/>
        <v/>
      </c>
    </row>
    <row r="309" spans="2:43" x14ac:dyDescent="0.25">
      <c r="B309" s="179" t="str">
        <f ca="1"/>
        <v/>
      </c>
      <c r="C309" s="180" t="str">
        <f ca="1"/>
        <v/>
      </c>
      <c r="D309" s="180" t="str">
        <f ca="1"/>
        <v/>
      </c>
      <c r="E309" s="180" t="str">
        <f ca="1"/>
        <v/>
      </c>
      <c r="F309" s="180" t="str">
        <f ca="1"/>
        <v/>
      </c>
      <c r="G309" s="180" t="str">
        <f ca="1"/>
        <v/>
      </c>
      <c r="H309" s="180" t="str">
        <f ca="1"/>
        <v/>
      </c>
      <c r="I309" s="180" t="str">
        <f ca="1"/>
        <v/>
      </c>
      <c r="J309" s="180" t="str">
        <f ca="1"/>
        <v/>
      </c>
      <c r="K309" s="180" t="str">
        <f ca="1"/>
        <v/>
      </c>
      <c r="L309" s="180" t="str">
        <f ca="1"/>
        <v/>
      </c>
      <c r="M309" s="180" t="str">
        <f ca="1"/>
        <v/>
      </c>
      <c r="N309" s="180" t="str">
        <f ca="1"/>
        <v/>
      </c>
      <c r="O309" s="180" t="str">
        <f ca="1"/>
        <v/>
      </c>
      <c r="P309" s="180" t="str">
        <f ca="1"/>
        <v/>
      </c>
      <c r="Q309" s="180" t="str">
        <f ca="1"/>
        <v/>
      </c>
      <c r="R309" s="180" t="str">
        <f ca="1"/>
        <v/>
      </c>
      <c r="S309" s="180" t="str">
        <f ca="1"/>
        <v/>
      </c>
      <c r="T309" s="180" t="str">
        <f ca="1"/>
        <v/>
      </c>
      <c r="U309" s="180" t="str">
        <f ca="1"/>
        <v/>
      </c>
      <c r="V309" s="180" t="str">
        <f ca="1"/>
        <v/>
      </c>
      <c r="W309" s="180" t="str">
        <f ca="1"/>
        <v/>
      </c>
      <c r="X309" s="180" t="str">
        <f ca="1"/>
        <v/>
      </c>
      <c r="Y309" s="180" t="str">
        <f ca="1"/>
        <v/>
      </c>
      <c r="Z309" s="180" t="str">
        <f ca="1"/>
        <v/>
      </c>
      <c r="AA309" s="180" t="str">
        <f ca="1"/>
        <v/>
      </c>
      <c r="AB309" s="180" t="str">
        <f ca="1"/>
        <v/>
      </c>
      <c r="AC309" s="180" t="str">
        <f ca="1"/>
        <v/>
      </c>
      <c r="AD309" s="180" t="str">
        <f ca="1"/>
        <v/>
      </c>
      <c r="AE309" s="180" t="str">
        <f ca="1"/>
        <v/>
      </c>
      <c r="AF309" s="180" t="str">
        <f ca="1"/>
        <v/>
      </c>
      <c r="AG309" s="180" t="str">
        <f ca="1"/>
        <v/>
      </c>
      <c r="AH309" s="180" t="str">
        <f ca="1"/>
        <v/>
      </c>
      <c r="AI309" s="180" t="str">
        <f ca="1"/>
        <v/>
      </c>
      <c r="AJ309" s="180" t="str">
        <f ca="1"/>
        <v/>
      </c>
      <c r="AK309" s="180" t="str">
        <f ca="1"/>
        <v/>
      </c>
      <c r="AL309" s="180" t="str">
        <f ca="1"/>
        <v/>
      </c>
      <c r="AM309" s="180" t="str">
        <f ca="1"/>
        <v/>
      </c>
      <c r="AN309" s="180" t="str">
        <f ca="1"/>
        <v/>
      </c>
      <c r="AO309" s="180" t="str">
        <f ca="1"/>
        <v/>
      </c>
      <c r="AP309" s="180" t="str">
        <f ca="1"/>
        <v/>
      </c>
      <c r="AQ309" s="187" t="str">
        <f ca="1"/>
        <v/>
      </c>
    </row>
    <row r="310" spans="2:43" x14ac:dyDescent="0.25">
      <c r="B310" s="179" t="str">
        <f ca="1"/>
        <v/>
      </c>
      <c r="C310" s="180" t="str">
        <f ca="1"/>
        <v/>
      </c>
      <c r="D310" s="180" t="str">
        <f ca="1"/>
        <v/>
      </c>
      <c r="E310" s="180" t="str">
        <f ca="1"/>
        <v/>
      </c>
      <c r="F310" s="180" t="str">
        <f ca="1"/>
        <v/>
      </c>
      <c r="G310" s="180" t="str">
        <f ca="1"/>
        <v/>
      </c>
      <c r="H310" s="180" t="str">
        <f ca="1"/>
        <v/>
      </c>
      <c r="I310" s="180" t="str">
        <f ca="1"/>
        <v/>
      </c>
      <c r="J310" s="180" t="str">
        <f ca="1"/>
        <v/>
      </c>
      <c r="K310" s="180" t="str">
        <f ca="1"/>
        <v/>
      </c>
      <c r="L310" s="180" t="str">
        <f ca="1"/>
        <v/>
      </c>
      <c r="M310" s="180" t="str">
        <f ca="1"/>
        <v/>
      </c>
      <c r="N310" s="180" t="str">
        <f ca="1"/>
        <v/>
      </c>
      <c r="O310" s="180" t="str">
        <f ca="1"/>
        <v/>
      </c>
      <c r="P310" s="180" t="str">
        <f ca="1"/>
        <v/>
      </c>
      <c r="Q310" s="180" t="str">
        <f ca="1"/>
        <v/>
      </c>
      <c r="R310" s="180" t="str">
        <f ca="1"/>
        <v/>
      </c>
      <c r="S310" s="180" t="str">
        <f ca="1"/>
        <v/>
      </c>
      <c r="T310" s="180" t="str">
        <f ca="1"/>
        <v/>
      </c>
      <c r="U310" s="180" t="str">
        <f ca="1"/>
        <v/>
      </c>
      <c r="V310" s="180" t="str">
        <f ca="1"/>
        <v/>
      </c>
      <c r="W310" s="180" t="str">
        <f ca="1"/>
        <v/>
      </c>
      <c r="X310" s="180" t="str">
        <f ca="1"/>
        <v/>
      </c>
      <c r="Y310" s="180" t="str">
        <f ca="1"/>
        <v/>
      </c>
      <c r="Z310" s="180" t="str">
        <f ca="1"/>
        <v/>
      </c>
      <c r="AA310" s="180" t="str">
        <f ca="1"/>
        <v/>
      </c>
      <c r="AB310" s="180" t="str">
        <f ca="1"/>
        <v/>
      </c>
      <c r="AC310" s="180" t="str">
        <f ca="1"/>
        <v/>
      </c>
      <c r="AD310" s="180" t="str">
        <f ca="1"/>
        <v/>
      </c>
      <c r="AE310" s="180" t="str">
        <f ca="1"/>
        <v/>
      </c>
      <c r="AF310" s="180" t="str">
        <f ca="1"/>
        <v/>
      </c>
      <c r="AG310" s="180" t="str">
        <f ca="1"/>
        <v/>
      </c>
      <c r="AH310" s="180" t="str">
        <f ca="1"/>
        <v/>
      </c>
      <c r="AI310" s="180" t="str">
        <f ca="1"/>
        <v/>
      </c>
      <c r="AJ310" s="180" t="str">
        <f ca="1"/>
        <v/>
      </c>
      <c r="AK310" s="180" t="str">
        <f ca="1"/>
        <v/>
      </c>
      <c r="AL310" s="180" t="str">
        <f ca="1"/>
        <v/>
      </c>
      <c r="AM310" s="180" t="str">
        <f ca="1"/>
        <v/>
      </c>
      <c r="AN310" s="180" t="str">
        <f ca="1"/>
        <v/>
      </c>
      <c r="AO310" s="180" t="str">
        <f ca="1"/>
        <v/>
      </c>
      <c r="AP310" s="180" t="str">
        <f ca="1"/>
        <v/>
      </c>
      <c r="AQ310" s="187" t="str">
        <f ca="1"/>
        <v/>
      </c>
    </row>
    <row r="311" spans="2:43" x14ac:dyDescent="0.25">
      <c r="B311" s="179" t="str">
        <f ca="1"/>
        <v/>
      </c>
      <c r="C311" s="180" t="str">
        <f ca="1"/>
        <v/>
      </c>
      <c r="D311" s="180" t="str">
        <f ca="1"/>
        <v/>
      </c>
      <c r="E311" s="180" t="str">
        <f ca="1"/>
        <v/>
      </c>
      <c r="F311" s="180" t="str">
        <f ca="1"/>
        <v/>
      </c>
      <c r="G311" s="180" t="str">
        <f ca="1"/>
        <v/>
      </c>
      <c r="H311" s="180" t="str">
        <f ca="1"/>
        <v/>
      </c>
      <c r="I311" s="180" t="str">
        <f ca="1"/>
        <v/>
      </c>
      <c r="J311" s="180" t="str">
        <f ca="1"/>
        <v/>
      </c>
      <c r="K311" s="180" t="str">
        <f ca="1"/>
        <v/>
      </c>
      <c r="L311" s="180" t="str">
        <f ca="1"/>
        <v/>
      </c>
      <c r="M311" s="180" t="str">
        <f ca="1"/>
        <v/>
      </c>
      <c r="N311" s="180" t="str">
        <f ca="1"/>
        <v/>
      </c>
      <c r="O311" s="180" t="str">
        <f ca="1"/>
        <v/>
      </c>
      <c r="P311" s="180" t="str">
        <f ca="1"/>
        <v/>
      </c>
      <c r="Q311" s="180" t="str">
        <f ca="1"/>
        <v/>
      </c>
      <c r="R311" s="180" t="str">
        <f ca="1"/>
        <v/>
      </c>
      <c r="S311" s="180" t="str">
        <f ca="1"/>
        <v/>
      </c>
      <c r="T311" s="180" t="str">
        <f ca="1"/>
        <v/>
      </c>
      <c r="U311" s="180" t="str">
        <f ca="1"/>
        <v/>
      </c>
      <c r="V311" s="180" t="str">
        <f ca="1"/>
        <v/>
      </c>
      <c r="W311" s="180" t="str">
        <f ca="1"/>
        <v/>
      </c>
      <c r="X311" s="180" t="str">
        <f ca="1"/>
        <v/>
      </c>
      <c r="Y311" s="180" t="str">
        <f ca="1"/>
        <v/>
      </c>
      <c r="Z311" s="180" t="str">
        <f ca="1"/>
        <v/>
      </c>
      <c r="AA311" s="180" t="str">
        <f ca="1"/>
        <v/>
      </c>
      <c r="AB311" s="180" t="str">
        <f ca="1"/>
        <v/>
      </c>
      <c r="AC311" s="180" t="str">
        <f ca="1"/>
        <v/>
      </c>
      <c r="AD311" s="180" t="str">
        <f ca="1"/>
        <v/>
      </c>
      <c r="AE311" s="180" t="str">
        <f ca="1"/>
        <v/>
      </c>
      <c r="AF311" s="180" t="str">
        <f ca="1"/>
        <v/>
      </c>
      <c r="AG311" s="180" t="str">
        <f ca="1"/>
        <v/>
      </c>
      <c r="AH311" s="180" t="str">
        <f ca="1"/>
        <v/>
      </c>
      <c r="AI311" s="180" t="str">
        <f ca="1"/>
        <v/>
      </c>
      <c r="AJ311" s="180" t="str">
        <f ca="1"/>
        <v/>
      </c>
      <c r="AK311" s="180" t="str">
        <f ca="1"/>
        <v/>
      </c>
      <c r="AL311" s="180" t="str">
        <f ca="1"/>
        <v/>
      </c>
      <c r="AM311" s="180" t="str">
        <f ca="1"/>
        <v/>
      </c>
      <c r="AN311" s="180" t="str">
        <f ca="1"/>
        <v/>
      </c>
      <c r="AO311" s="180" t="str">
        <f ca="1"/>
        <v/>
      </c>
      <c r="AP311" s="180" t="str">
        <f ca="1"/>
        <v/>
      </c>
      <c r="AQ311" s="187" t="str">
        <f ca="1"/>
        <v/>
      </c>
    </row>
    <row r="312" spans="2:43" x14ac:dyDescent="0.25">
      <c r="B312" s="179" t="str">
        <f ca="1"/>
        <v/>
      </c>
      <c r="C312" s="180" t="str">
        <f ca="1"/>
        <v/>
      </c>
      <c r="D312" s="180" t="str">
        <f ca="1"/>
        <v/>
      </c>
      <c r="E312" s="180" t="str">
        <f ca="1"/>
        <v/>
      </c>
      <c r="F312" s="180" t="str">
        <f ca="1"/>
        <v/>
      </c>
      <c r="G312" s="180" t="str">
        <f ca="1"/>
        <v/>
      </c>
      <c r="H312" s="180" t="str">
        <f ca="1"/>
        <v/>
      </c>
      <c r="I312" s="180" t="str">
        <f ca="1"/>
        <v/>
      </c>
      <c r="J312" s="180" t="str">
        <f ca="1"/>
        <v/>
      </c>
      <c r="K312" s="180" t="str">
        <f ca="1"/>
        <v/>
      </c>
      <c r="L312" s="180" t="str">
        <f ca="1"/>
        <v/>
      </c>
      <c r="M312" s="180" t="str">
        <f ca="1"/>
        <v/>
      </c>
      <c r="N312" s="180" t="str">
        <f ca="1"/>
        <v/>
      </c>
      <c r="O312" s="180" t="str">
        <f ca="1"/>
        <v/>
      </c>
      <c r="P312" s="180" t="str">
        <f ca="1"/>
        <v/>
      </c>
      <c r="Q312" s="180" t="str">
        <f ca="1"/>
        <v/>
      </c>
      <c r="R312" s="180" t="str">
        <f ca="1"/>
        <v/>
      </c>
      <c r="S312" s="180" t="str">
        <f ca="1"/>
        <v/>
      </c>
      <c r="T312" s="180" t="str">
        <f ca="1"/>
        <v/>
      </c>
      <c r="U312" s="180" t="str">
        <f ca="1"/>
        <v/>
      </c>
      <c r="V312" s="180" t="str">
        <f ca="1"/>
        <v/>
      </c>
      <c r="W312" s="180" t="str">
        <f ca="1"/>
        <v/>
      </c>
      <c r="X312" s="180" t="str">
        <f ca="1"/>
        <v/>
      </c>
      <c r="Y312" s="180" t="str">
        <f ca="1"/>
        <v/>
      </c>
      <c r="Z312" s="180" t="str">
        <f ca="1"/>
        <v/>
      </c>
      <c r="AA312" s="180" t="str">
        <f ca="1"/>
        <v/>
      </c>
      <c r="AB312" s="180" t="str">
        <f ca="1"/>
        <v/>
      </c>
      <c r="AC312" s="180" t="str">
        <f ca="1"/>
        <v/>
      </c>
      <c r="AD312" s="180" t="str">
        <f ca="1"/>
        <v/>
      </c>
      <c r="AE312" s="180" t="str">
        <f ca="1"/>
        <v/>
      </c>
      <c r="AF312" s="180" t="str">
        <f ca="1"/>
        <v/>
      </c>
      <c r="AG312" s="180" t="str">
        <f ca="1"/>
        <v/>
      </c>
      <c r="AH312" s="180" t="str">
        <f ca="1"/>
        <v/>
      </c>
      <c r="AI312" s="180" t="str">
        <f ca="1"/>
        <v/>
      </c>
      <c r="AJ312" s="180" t="str">
        <f ca="1"/>
        <v/>
      </c>
      <c r="AK312" s="180" t="str">
        <f ca="1"/>
        <v/>
      </c>
      <c r="AL312" s="180" t="str">
        <f ca="1"/>
        <v/>
      </c>
      <c r="AM312" s="180" t="str">
        <f ca="1"/>
        <v/>
      </c>
      <c r="AN312" s="180" t="str">
        <f ca="1"/>
        <v/>
      </c>
      <c r="AO312" s="180" t="str">
        <f ca="1"/>
        <v/>
      </c>
      <c r="AP312" s="180" t="str">
        <f ca="1"/>
        <v/>
      </c>
      <c r="AQ312" s="187" t="str">
        <f ca="1"/>
        <v/>
      </c>
    </row>
    <row r="313" spans="2:43" x14ac:dyDescent="0.25">
      <c r="B313" s="179" t="str">
        <f ca="1"/>
        <v/>
      </c>
      <c r="C313" s="180" t="str">
        <f ca="1"/>
        <v/>
      </c>
      <c r="D313" s="180" t="str">
        <f ca="1"/>
        <v/>
      </c>
      <c r="E313" s="180" t="str">
        <f ca="1"/>
        <v/>
      </c>
      <c r="F313" s="180" t="str">
        <f ca="1"/>
        <v/>
      </c>
      <c r="G313" s="180" t="str">
        <f ca="1"/>
        <v/>
      </c>
      <c r="H313" s="180" t="str">
        <f ca="1"/>
        <v/>
      </c>
      <c r="I313" s="180" t="str">
        <f ca="1"/>
        <v/>
      </c>
      <c r="J313" s="180" t="str">
        <f ca="1"/>
        <v/>
      </c>
      <c r="K313" s="180" t="str">
        <f ca="1"/>
        <v/>
      </c>
      <c r="L313" s="180" t="str">
        <f ca="1"/>
        <v/>
      </c>
      <c r="M313" s="180" t="str">
        <f ca="1"/>
        <v/>
      </c>
      <c r="N313" s="180" t="str">
        <f ca="1"/>
        <v/>
      </c>
      <c r="O313" s="180" t="str">
        <f ca="1"/>
        <v/>
      </c>
      <c r="P313" s="180" t="str">
        <f ca="1"/>
        <v/>
      </c>
      <c r="Q313" s="180" t="str">
        <f ca="1"/>
        <v/>
      </c>
      <c r="R313" s="180" t="str">
        <f ca="1"/>
        <v/>
      </c>
      <c r="S313" s="180" t="str">
        <f ca="1"/>
        <v/>
      </c>
      <c r="T313" s="180" t="str">
        <f ca="1"/>
        <v/>
      </c>
      <c r="U313" s="180" t="str">
        <f ca="1"/>
        <v/>
      </c>
      <c r="V313" s="180" t="str">
        <f ca="1"/>
        <v/>
      </c>
      <c r="W313" s="180" t="str">
        <f ca="1"/>
        <v/>
      </c>
      <c r="X313" s="180" t="str">
        <f ca="1"/>
        <v/>
      </c>
      <c r="Y313" s="180" t="str">
        <f ca="1"/>
        <v/>
      </c>
      <c r="Z313" s="180" t="str">
        <f ca="1"/>
        <v/>
      </c>
      <c r="AA313" s="180" t="str">
        <f ca="1"/>
        <v/>
      </c>
      <c r="AB313" s="180" t="str">
        <f ca="1"/>
        <v/>
      </c>
      <c r="AC313" s="180" t="str">
        <f ca="1"/>
        <v/>
      </c>
      <c r="AD313" s="180" t="str">
        <f ca="1"/>
        <v/>
      </c>
      <c r="AE313" s="180" t="str">
        <f ca="1"/>
        <v/>
      </c>
      <c r="AF313" s="180" t="str">
        <f ca="1"/>
        <v/>
      </c>
      <c r="AG313" s="180" t="str">
        <f ca="1"/>
        <v/>
      </c>
      <c r="AH313" s="180" t="str">
        <f ca="1"/>
        <v/>
      </c>
      <c r="AI313" s="180" t="str">
        <f ca="1"/>
        <v/>
      </c>
      <c r="AJ313" s="180" t="str">
        <f ca="1"/>
        <v/>
      </c>
      <c r="AK313" s="180" t="str">
        <f ca="1"/>
        <v/>
      </c>
      <c r="AL313" s="180" t="str">
        <f ca="1"/>
        <v/>
      </c>
      <c r="AM313" s="180" t="str">
        <f ca="1"/>
        <v/>
      </c>
      <c r="AN313" s="180" t="str">
        <f ca="1"/>
        <v/>
      </c>
      <c r="AO313" s="180" t="str">
        <f ca="1"/>
        <v/>
      </c>
      <c r="AP313" s="180" t="str">
        <f ca="1"/>
        <v/>
      </c>
      <c r="AQ313" s="187" t="str">
        <f ca="1"/>
        <v/>
      </c>
    </row>
    <row r="314" spans="2:43" x14ac:dyDescent="0.25">
      <c r="B314" s="179" t="str">
        <f ca="1"/>
        <v/>
      </c>
      <c r="C314" s="180" t="str">
        <f ca="1"/>
        <v/>
      </c>
      <c r="D314" s="180" t="str">
        <f ca="1"/>
        <v/>
      </c>
      <c r="E314" s="180" t="str">
        <f ca="1"/>
        <v/>
      </c>
      <c r="F314" s="180" t="str">
        <f ca="1"/>
        <v/>
      </c>
      <c r="G314" s="180" t="str">
        <f ca="1"/>
        <v/>
      </c>
      <c r="H314" s="180" t="str">
        <f ca="1"/>
        <v/>
      </c>
      <c r="I314" s="180" t="str">
        <f ca="1"/>
        <v/>
      </c>
      <c r="J314" s="180" t="str">
        <f ca="1"/>
        <v/>
      </c>
      <c r="K314" s="180" t="str">
        <f ca="1"/>
        <v/>
      </c>
      <c r="L314" s="180" t="str">
        <f ca="1"/>
        <v/>
      </c>
      <c r="M314" s="180" t="str">
        <f ca="1"/>
        <v/>
      </c>
      <c r="N314" s="180" t="str">
        <f ca="1"/>
        <v/>
      </c>
      <c r="O314" s="180" t="str">
        <f ca="1"/>
        <v/>
      </c>
      <c r="P314" s="180" t="str">
        <f ca="1"/>
        <v/>
      </c>
      <c r="Q314" s="180" t="str">
        <f ca="1"/>
        <v/>
      </c>
      <c r="R314" s="180" t="str">
        <f ca="1"/>
        <v/>
      </c>
      <c r="S314" s="180" t="str">
        <f ca="1"/>
        <v/>
      </c>
      <c r="T314" s="180" t="str">
        <f ca="1"/>
        <v/>
      </c>
      <c r="U314" s="180" t="str">
        <f ca="1"/>
        <v/>
      </c>
      <c r="V314" s="180" t="str">
        <f ca="1"/>
        <v/>
      </c>
      <c r="W314" s="180" t="str">
        <f ca="1"/>
        <v/>
      </c>
      <c r="X314" s="180" t="str">
        <f ca="1"/>
        <v/>
      </c>
      <c r="Y314" s="180" t="str">
        <f ca="1"/>
        <v/>
      </c>
      <c r="Z314" s="180" t="str">
        <f ca="1"/>
        <v/>
      </c>
      <c r="AA314" s="180" t="str">
        <f ca="1"/>
        <v/>
      </c>
      <c r="AB314" s="180" t="str">
        <f ca="1"/>
        <v/>
      </c>
      <c r="AC314" s="180" t="str">
        <f ca="1"/>
        <v/>
      </c>
      <c r="AD314" s="180" t="str">
        <f ca="1"/>
        <v/>
      </c>
      <c r="AE314" s="180" t="str">
        <f ca="1"/>
        <v/>
      </c>
      <c r="AF314" s="180" t="str">
        <f ca="1"/>
        <v/>
      </c>
      <c r="AG314" s="180" t="str">
        <f ca="1"/>
        <v/>
      </c>
      <c r="AH314" s="180" t="str">
        <f ca="1"/>
        <v/>
      </c>
      <c r="AI314" s="180" t="str">
        <f ca="1"/>
        <v/>
      </c>
      <c r="AJ314" s="180" t="str">
        <f ca="1"/>
        <v/>
      </c>
      <c r="AK314" s="180" t="str">
        <f ca="1"/>
        <v/>
      </c>
      <c r="AL314" s="180" t="str">
        <f ca="1"/>
        <v/>
      </c>
      <c r="AM314" s="180" t="str">
        <f ca="1"/>
        <v/>
      </c>
      <c r="AN314" s="180" t="str">
        <f ca="1"/>
        <v/>
      </c>
      <c r="AO314" s="180" t="str">
        <f ca="1"/>
        <v/>
      </c>
      <c r="AP314" s="180" t="str">
        <f ca="1"/>
        <v/>
      </c>
      <c r="AQ314" s="187" t="str">
        <f ca="1"/>
        <v/>
      </c>
    </row>
    <row r="315" spans="2:43" x14ac:dyDescent="0.25">
      <c r="B315" s="179" t="str">
        <f ca="1"/>
        <v/>
      </c>
      <c r="C315" s="180" t="str">
        <f ca="1"/>
        <v/>
      </c>
      <c r="D315" s="180" t="str">
        <f ca="1"/>
        <v/>
      </c>
      <c r="E315" s="180" t="str">
        <f ca="1"/>
        <v/>
      </c>
      <c r="F315" s="180" t="str">
        <f ca="1"/>
        <v/>
      </c>
      <c r="G315" s="180" t="str">
        <f ca="1"/>
        <v/>
      </c>
      <c r="H315" s="180" t="str">
        <f ca="1"/>
        <v/>
      </c>
      <c r="I315" s="180" t="str">
        <f ca="1"/>
        <v/>
      </c>
      <c r="J315" s="180" t="str">
        <f ca="1"/>
        <v/>
      </c>
      <c r="K315" s="180" t="str">
        <f ca="1"/>
        <v/>
      </c>
      <c r="L315" s="180" t="str">
        <f ca="1"/>
        <v/>
      </c>
      <c r="M315" s="180" t="str">
        <f ca="1"/>
        <v/>
      </c>
      <c r="N315" s="180" t="str">
        <f ca="1"/>
        <v/>
      </c>
      <c r="O315" s="180" t="str">
        <f ca="1"/>
        <v/>
      </c>
      <c r="P315" s="180" t="str">
        <f ca="1"/>
        <v/>
      </c>
      <c r="Q315" s="180" t="str">
        <f ca="1"/>
        <v/>
      </c>
      <c r="R315" s="180" t="str">
        <f ca="1"/>
        <v/>
      </c>
      <c r="S315" s="180" t="str">
        <f ca="1"/>
        <v/>
      </c>
      <c r="T315" s="180" t="str">
        <f ca="1"/>
        <v/>
      </c>
      <c r="U315" s="180" t="str">
        <f ca="1"/>
        <v/>
      </c>
      <c r="V315" s="180" t="str">
        <f ca="1"/>
        <v/>
      </c>
      <c r="W315" s="180" t="str">
        <f ca="1"/>
        <v/>
      </c>
      <c r="X315" s="180" t="str">
        <f ca="1"/>
        <v/>
      </c>
      <c r="Y315" s="180" t="str">
        <f ca="1"/>
        <v/>
      </c>
      <c r="Z315" s="180" t="str">
        <f ca="1"/>
        <v/>
      </c>
      <c r="AA315" s="180" t="str">
        <f ca="1"/>
        <v/>
      </c>
      <c r="AB315" s="180" t="str">
        <f ca="1"/>
        <v/>
      </c>
      <c r="AC315" s="180" t="str">
        <f ca="1"/>
        <v/>
      </c>
      <c r="AD315" s="180" t="str">
        <f ca="1"/>
        <v/>
      </c>
      <c r="AE315" s="180" t="str">
        <f ca="1"/>
        <v/>
      </c>
      <c r="AF315" s="180" t="str">
        <f ca="1"/>
        <v/>
      </c>
      <c r="AG315" s="180" t="str">
        <f ca="1"/>
        <v/>
      </c>
      <c r="AH315" s="180" t="str">
        <f ca="1"/>
        <v/>
      </c>
      <c r="AI315" s="180" t="str">
        <f ca="1"/>
        <v/>
      </c>
      <c r="AJ315" s="180" t="str">
        <f ca="1"/>
        <v/>
      </c>
      <c r="AK315" s="180" t="str">
        <f ca="1"/>
        <v/>
      </c>
      <c r="AL315" s="180" t="str">
        <f ca="1"/>
        <v/>
      </c>
      <c r="AM315" s="180" t="str">
        <f ca="1"/>
        <v/>
      </c>
      <c r="AN315" s="180" t="str">
        <f ca="1"/>
        <v/>
      </c>
      <c r="AO315" s="180" t="str">
        <f ca="1"/>
        <v/>
      </c>
      <c r="AP315" s="180" t="str">
        <f ca="1"/>
        <v/>
      </c>
      <c r="AQ315" s="187" t="str">
        <f ca="1"/>
        <v/>
      </c>
    </row>
    <row r="316" spans="2:43" x14ac:dyDescent="0.25">
      <c r="B316" s="179" t="str">
        <f ca="1"/>
        <v/>
      </c>
      <c r="C316" s="180" t="str">
        <f ca="1"/>
        <v/>
      </c>
      <c r="D316" s="180" t="str">
        <f ca="1"/>
        <v/>
      </c>
      <c r="E316" s="180" t="str">
        <f ca="1"/>
        <v/>
      </c>
      <c r="F316" s="180" t="str">
        <f ca="1"/>
        <v/>
      </c>
      <c r="G316" s="180" t="str">
        <f ca="1"/>
        <v/>
      </c>
      <c r="H316" s="180" t="str">
        <f ca="1"/>
        <v/>
      </c>
      <c r="I316" s="180" t="str">
        <f ca="1"/>
        <v/>
      </c>
      <c r="J316" s="180" t="str">
        <f ca="1"/>
        <v/>
      </c>
      <c r="K316" s="180" t="str">
        <f ca="1"/>
        <v/>
      </c>
      <c r="L316" s="180" t="str">
        <f ca="1"/>
        <v/>
      </c>
      <c r="M316" s="180" t="str">
        <f ca="1"/>
        <v/>
      </c>
      <c r="N316" s="180" t="str">
        <f ca="1"/>
        <v/>
      </c>
      <c r="O316" s="180" t="str">
        <f ca="1"/>
        <v/>
      </c>
      <c r="P316" s="180" t="str">
        <f ca="1"/>
        <v/>
      </c>
      <c r="Q316" s="180" t="str">
        <f ca="1"/>
        <v/>
      </c>
      <c r="R316" s="180" t="str">
        <f ca="1"/>
        <v/>
      </c>
      <c r="S316" s="180" t="str">
        <f ca="1"/>
        <v/>
      </c>
      <c r="T316" s="180" t="str">
        <f ca="1"/>
        <v/>
      </c>
      <c r="U316" s="180" t="str">
        <f ca="1"/>
        <v/>
      </c>
      <c r="V316" s="180" t="str">
        <f ca="1"/>
        <v/>
      </c>
      <c r="W316" s="180" t="str">
        <f ca="1"/>
        <v/>
      </c>
      <c r="X316" s="180" t="str">
        <f ca="1"/>
        <v/>
      </c>
      <c r="Y316" s="180" t="str">
        <f ca="1"/>
        <v/>
      </c>
      <c r="Z316" s="180" t="str">
        <f ca="1"/>
        <v/>
      </c>
      <c r="AA316" s="180" t="str">
        <f ca="1"/>
        <v/>
      </c>
      <c r="AB316" s="180" t="str">
        <f ca="1"/>
        <v/>
      </c>
      <c r="AC316" s="180" t="str">
        <f ca="1"/>
        <v/>
      </c>
      <c r="AD316" s="180" t="str">
        <f ca="1"/>
        <v/>
      </c>
      <c r="AE316" s="180" t="str">
        <f ca="1"/>
        <v/>
      </c>
      <c r="AF316" s="180" t="str">
        <f ca="1"/>
        <v/>
      </c>
      <c r="AG316" s="180" t="str">
        <f ca="1"/>
        <v/>
      </c>
      <c r="AH316" s="180" t="str">
        <f ca="1"/>
        <v/>
      </c>
      <c r="AI316" s="180" t="str">
        <f ca="1"/>
        <v/>
      </c>
      <c r="AJ316" s="180" t="str">
        <f ca="1"/>
        <v/>
      </c>
      <c r="AK316" s="180" t="str">
        <f ca="1"/>
        <v/>
      </c>
      <c r="AL316" s="180" t="str">
        <f ca="1"/>
        <v/>
      </c>
      <c r="AM316" s="180" t="str">
        <f ca="1"/>
        <v/>
      </c>
      <c r="AN316" s="180" t="str">
        <f ca="1"/>
        <v/>
      </c>
      <c r="AO316" s="180" t="str">
        <f ca="1"/>
        <v/>
      </c>
      <c r="AP316" s="180" t="str">
        <f ca="1"/>
        <v/>
      </c>
      <c r="AQ316" s="187" t="str">
        <f ca="1"/>
        <v/>
      </c>
    </row>
    <row r="317" spans="2:43" x14ac:dyDescent="0.25">
      <c r="B317" s="179" t="str">
        <f ca="1"/>
        <v/>
      </c>
      <c r="C317" s="180" t="str">
        <f ca="1"/>
        <v/>
      </c>
      <c r="D317" s="180" t="str">
        <f ca="1"/>
        <v/>
      </c>
      <c r="E317" s="180" t="str">
        <f ca="1"/>
        <v/>
      </c>
      <c r="F317" s="180" t="str">
        <f ca="1"/>
        <v/>
      </c>
      <c r="G317" s="180" t="str">
        <f ca="1"/>
        <v/>
      </c>
      <c r="H317" s="180" t="str">
        <f ca="1"/>
        <v/>
      </c>
      <c r="I317" s="180" t="str">
        <f ca="1"/>
        <v/>
      </c>
      <c r="J317" s="180" t="str">
        <f ca="1"/>
        <v/>
      </c>
      <c r="K317" s="180" t="str">
        <f ca="1"/>
        <v/>
      </c>
      <c r="L317" s="180" t="str">
        <f ca="1"/>
        <v/>
      </c>
      <c r="M317" s="180" t="str">
        <f ca="1"/>
        <v/>
      </c>
      <c r="N317" s="180" t="str">
        <f ca="1"/>
        <v/>
      </c>
      <c r="O317" s="180" t="str">
        <f ca="1"/>
        <v/>
      </c>
      <c r="P317" s="180" t="str">
        <f ca="1"/>
        <v/>
      </c>
      <c r="Q317" s="180" t="str">
        <f ca="1"/>
        <v/>
      </c>
      <c r="R317" s="180" t="str">
        <f ca="1"/>
        <v/>
      </c>
      <c r="S317" s="180" t="str">
        <f ca="1"/>
        <v/>
      </c>
      <c r="T317" s="180" t="str">
        <f ca="1"/>
        <v/>
      </c>
      <c r="U317" s="180" t="str">
        <f ca="1"/>
        <v/>
      </c>
      <c r="V317" s="180" t="str">
        <f ca="1"/>
        <v/>
      </c>
      <c r="W317" s="180" t="str">
        <f ca="1"/>
        <v/>
      </c>
      <c r="X317" s="180" t="str">
        <f ca="1"/>
        <v/>
      </c>
      <c r="Y317" s="180" t="str">
        <f ca="1"/>
        <v/>
      </c>
      <c r="Z317" s="180" t="str">
        <f ca="1"/>
        <v/>
      </c>
      <c r="AA317" s="180" t="str">
        <f ca="1"/>
        <v/>
      </c>
      <c r="AB317" s="180" t="str">
        <f ca="1"/>
        <v/>
      </c>
      <c r="AC317" s="180" t="str">
        <f ca="1"/>
        <v/>
      </c>
      <c r="AD317" s="180" t="str">
        <f ca="1"/>
        <v/>
      </c>
      <c r="AE317" s="180" t="str">
        <f ca="1"/>
        <v/>
      </c>
      <c r="AF317" s="180" t="str">
        <f ca="1"/>
        <v/>
      </c>
      <c r="AG317" s="180" t="str">
        <f ca="1"/>
        <v/>
      </c>
      <c r="AH317" s="180" t="str">
        <f ca="1"/>
        <v/>
      </c>
      <c r="AI317" s="180" t="str">
        <f ca="1"/>
        <v/>
      </c>
      <c r="AJ317" s="180" t="str">
        <f ca="1"/>
        <v/>
      </c>
      <c r="AK317" s="180" t="str">
        <f ca="1"/>
        <v/>
      </c>
      <c r="AL317" s="180" t="str">
        <f ca="1"/>
        <v/>
      </c>
      <c r="AM317" s="180" t="str">
        <f ca="1"/>
        <v/>
      </c>
      <c r="AN317" s="180" t="str">
        <f ca="1"/>
        <v/>
      </c>
      <c r="AO317" s="180" t="str">
        <f ca="1"/>
        <v/>
      </c>
      <c r="AP317" s="180" t="str">
        <f ca="1"/>
        <v/>
      </c>
      <c r="AQ317" s="187" t="str">
        <f ca="1"/>
        <v/>
      </c>
    </row>
    <row r="318" spans="2:43" x14ac:dyDescent="0.25">
      <c r="B318" s="179" t="str">
        <f ca="1"/>
        <v/>
      </c>
      <c r="C318" s="180" t="str">
        <f ca="1"/>
        <v/>
      </c>
      <c r="D318" s="180" t="str">
        <f ca="1"/>
        <v/>
      </c>
      <c r="E318" s="180" t="str">
        <f ca="1"/>
        <v/>
      </c>
      <c r="F318" s="180" t="str">
        <f ca="1"/>
        <v/>
      </c>
      <c r="G318" s="180" t="str">
        <f ca="1"/>
        <v/>
      </c>
      <c r="H318" s="180" t="str">
        <f ca="1"/>
        <v/>
      </c>
      <c r="I318" s="180" t="str">
        <f ca="1"/>
        <v/>
      </c>
      <c r="J318" s="180" t="str">
        <f ca="1"/>
        <v/>
      </c>
      <c r="K318" s="180" t="str">
        <f ca="1"/>
        <v/>
      </c>
      <c r="L318" s="180" t="str">
        <f ca="1"/>
        <v/>
      </c>
      <c r="M318" s="180" t="str">
        <f ca="1"/>
        <v/>
      </c>
      <c r="N318" s="180" t="str">
        <f ca="1"/>
        <v/>
      </c>
      <c r="O318" s="180" t="str">
        <f ca="1"/>
        <v/>
      </c>
      <c r="P318" s="180" t="str">
        <f ca="1"/>
        <v/>
      </c>
      <c r="Q318" s="180" t="str">
        <f ca="1"/>
        <v/>
      </c>
      <c r="R318" s="180" t="str">
        <f ca="1"/>
        <v/>
      </c>
      <c r="S318" s="180" t="str">
        <f ca="1"/>
        <v/>
      </c>
      <c r="T318" s="180" t="str">
        <f ca="1"/>
        <v/>
      </c>
      <c r="U318" s="180" t="str">
        <f ca="1"/>
        <v/>
      </c>
      <c r="V318" s="180" t="str">
        <f ca="1"/>
        <v/>
      </c>
      <c r="W318" s="180" t="str">
        <f ca="1"/>
        <v/>
      </c>
      <c r="X318" s="180" t="str">
        <f ca="1"/>
        <v/>
      </c>
      <c r="Y318" s="180" t="str">
        <f ca="1"/>
        <v/>
      </c>
      <c r="Z318" s="180" t="str">
        <f ca="1"/>
        <v/>
      </c>
      <c r="AA318" s="180" t="str">
        <f ca="1"/>
        <v/>
      </c>
      <c r="AB318" s="180" t="str">
        <f ca="1"/>
        <v/>
      </c>
      <c r="AC318" s="180" t="str">
        <f ca="1"/>
        <v/>
      </c>
      <c r="AD318" s="180" t="str">
        <f ca="1"/>
        <v/>
      </c>
      <c r="AE318" s="180" t="str">
        <f ca="1"/>
        <v/>
      </c>
      <c r="AF318" s="180" t="str">
        <f ca="1"/>
        <v/>
      </c>
      <c r="AG318" s="180" t="str">
        <f ca="1"/>
        <v/>
      </c>
      <c r="AH318" s="180" t="str">
        <f ca="1"/>
        <v/>
      </c>
      <c r="AI318" s="180" t="str">
        <f ca="1"/>
        <v/>
      </c>
      <c r="AJ318" s="180" t="str">
        <f ca="1"/>
        <v/>
      </c>
      <c r="AK318" s="180" t="str">
        <f ca="1"/>
        <v/>
      </c>
      <c r="AL318" s="180" t="str">
        <f ca="1"/>
        <v/>
      </c>
      <c r="AM318" s="180" t="str">
        <f ca="1"/>
        <v/>
      </c>
      <c r="AN318" s="180" t="str">
        <f ca="1"/>
        <v/>
      </c>
      <c r="AO318" s="180" t="str">
        <f ca="1"/>
        <v/>
      </c>
      <c r="AP318" s="180" t="str">
        <f ca="1"/>
        <v/>
      </c>
      <c r="AQ318" s="187" t="str">
        <f ca="1"/>
        <v/>
      </c>
    </row>
    <row r="319" spans="2:43" x14ac:dyDescent="0.25">
      <c r="B319" s="179" t="str">
        <f ca="1"/>
        <v/>
      </c>
      <c r="C319" s="180" t="str">
        <f ca="1"/>
        <v/>
      </c>
      <c r="D319" s="180" t="str">
        <f ca="1"/>
        <v/>
      </c>
      <c r="E319" s="180" t="str">
        <f ca="1"/>
        <v/>
      </c>
      <c r="F319" s="180" t="str">
        <f ca="1"/>
        <v/>
      </c>
      <c r="G319" s="180" t="str">
        <f ca="1"/>
        <v/>
      </c>
      <c r="H319" s="180" t="str">
        <f ca="1"/>
        <v/>
      </c>
      <c r="I319" s="180" t="str">
        <f ca="1"/>
        <v/>
      </c>
      <c r="J319" s="180" t="str">
        <f ca="1"/>
        <v/>
      </c>
      <c r="K319" s="180" t="str">
        <f ca="1"/>
        <v/>
      </c>
      <c r="L319" s="180" t="str">
        <f ca="1"/>
        <v/>
      </c>
      <c r="M319" s="180" t="str">
        <f ca="1"/>
        <v/>
      </c>
      <c r="N319" s="180" t="str">
        <f ca="1"/>
        <v/>
      </c>
      <c r="O319" s="180" t="str">
        <f ca="1"/>
        <v/>
      </c>
      <c r="P319" s="180" t="str">
        <f ca="1"/>
        <v/>
      </c>
      <c r="Q319" s="180" t="str">
        <f ca="1"/>
        <v/>
      </c>
      <c r="R319" s="180" t="str">
        <f ca="1"/>
        <v/>
      </c>
      <c r="S319" s="180" t="str">
        <f ca="1"/>
        <v/>
      </c>
      <c r="T319" s="180" t="str">
        <f ca="1"/>
        <v/>
      </c>
      <c r="U319" s="180" t="str">
        <f ca="1"/>
        <v/>
      </c>
      <c r="V319" s="180" t="str">
        <f ca="1"/>
        <v/>
      </c>
      <c r="W319" s="180" t="str">
        <f ca="1"/>
        <v/>
      </c>
      <c r="X319" s="180" t="str">
        <f ca="1"/>
        <v/>
      </c>
      <c r="Y319" s="180" t="str">
        <f ca="1"/>
        <v/>
      </c>
      <c r="Z319" s="180" t="str">
        <f ca="1"/>
        <v/>
      </c>
      <c r="AA319" s="180" t="str">
        <f ca="1"/>
        <v/>
      </c>
      <c r="AB319" s="180" t="str">
        <f ca="1"/>
        <v/>
      </c>
      <c r="AC319" s="180" t="str">
        <f ca="1"/>
        <v/>
      </c>
      <c r="AD319" s="180" t="str">
        <f ca="1"/>
        <v/>
      </c>
      <c r="AE319" s="180" t="str">
        <f ca="1"/>
        <v/>
      </c>
      <c r="AF319" s="180" t="str">
        <f ca="1"/>
        <v/>
      </c>
      <c r="AG319" s="180" t="str">
        <f ca="1"/>
        <v/>
      </c>
      <c r="AH319" s="180" t="str">
        <f ca="1"/>
        <v/>
      </c>
      <c r="AI319" s="180" t="str">
        <f ca="1"/>
        <v/>
      </c>
      <c r="AJ319" s="180" t="str">
        <f ca="1"/>
        <v/>
      </c>
      <c r="AK319" s="180" t="str">
        <f ca="1"/>
        <v/>
      </c>
      <c r="AL319" s="180" t="str">
        <f ca="1"/>
        <v/>
      </c>
      <c r="AM319" s="180" t="str">
        <f ca="1"/>
        <v/>
      </c>
      <c r="AN319" s="180" t="str">
        <f ca="1"/>
        <v/>
      </c>
      <c r="AO319" s="180" t="str">
        <f ca="1"/>
        <v/>
      </c>
      <c r="AP319" s="180" t="str">
        <f ca="1"/>
        <v/>
      </c>
      <c r="AQ319" s="187" t="str">
        <f ca="1"/>
        <v/>
      </c>
    </row>
    <row r="320" spans="2:43" x14ac:dyDescent="0.25">
      <c r="B320" s="179" t="str">
        <f ca="1"/>
        <v/>
      </c>
      <c r="C320" s="180" t="str">
        <f ca="1"/>
        <v/>
      </c>
      <c r="D320" s="180" t="str">
        <f ca="1"/>
        <v/>
      </c>
      <c r="E320" s="180" t="str">
        <f ca="1"/>
        <v/>
      </c>
      <c r="F320" s="180" t="str">
        <f ca="1"/>
        <v/>
      </c>
      <c r="G320" s="180" t="str">
        <f ca="1"/>
        <v/>
      </c>
      <c r="H320" s="180" t="str">
        <f ca="1"/>
        <v/>
      </c>
      <c r="I320" s="180" t="str">
        <f ca="1"/>
        <v/>
      </c>
      <c r="J320" s="180" t="str">
        <f ca="1"/>
        <v/>
      </c>
      <c r="K320" s="180" t="str">
        <f ca="1"/>
        <v/>
      </c>
      <c r="L320" s="180" t="str">
        <f ca="1"/>
        <v/>
      </c>
      <c r="M320" s="180" t="str">
        <f ca="1"/>
        <v/>
      </c>
      <c r="N320" s="180" t="str">
        <f ca="1"/>
        <v/>
      </c>
      <c r="O320" s="180" t="str">
        <f ca="1"/>
        <v/>
      </c>
      <c r="P320" s="180" t="str">
        <f ca="1"/>
        <v/>
      </c>
      <c r="Q320" s="180" t="str">
        <f ca="1"/>
        <v/>
      </c>
      <c r="R320" s="180" t="str">
        <f ca="1"/>
        <v/>
      </c>
      <c r="S320" s="180" t="str">
        <f ca="1"/>
        <v/>
      </c>
      <c r="T320" s="180" t="str">
        <f ca="1"/>
        <v/>
      </c>
      <c r="U320" s="180" t="str">
        <f ca="1"/>
        <v/>
      </c>
      <c r="V320" s="180" t="str">
        <f ca="1"/>
        <v/>
      </c>
      <c r="W320" s="180" t="str">
        <f ca="1"/>
        <v/>
      </c>
      <c r="X320" s="180" t="str">
        <f ca="1"/>
        <v/>
      </c>
      <c r="Y320" s="180" t="str">
        <f ca="1"/>
        <v/>
      </c>
      <c r="Z320" s="180" t="str">
        <f ca="1"/>
        <v/>
      </c>
      <c r="AA320" s="180" t="str">
        <f ca="1"/>
        <v/>
      </c>
      <c r="AB320" s="180" t="str">
        <f ca="1"/>
        <v/>
      </c>
      <c r="AC320" s="180" t="str">
        <f ca="1"/>
        <v/>
      </c>
      <c r="AD320" s="180" t="str">
        <f ca="1"/>
        <v/>
      </c>
      <c r="AE320" s="180" t="str">
        <f ca="1"/>
        <v/>
      </c>
      <c r="AF320" s="180" t="str">
        <f ca="1"/>
        <v/>
      </c>
      <c r="AG320" s="180" t="str">
        <f ca="1"/>
        <v/>
      </c>
      <c r="AH320" s="180" t="str">
        <f ca="1"/>
        <v/>
      </c>
      <c r="AI320" s="180" t="str">
        <f ca="1"/>
        <v/>
      </c>
      <c r="AJ320" s="180" t="str">
        <f ca="1"/>
        <v/>
      </c>
      <c r="AK320" s="180" t="str">
        <f ca="1"/>
        <v/>
      </c>
      <c r="AL320" s="180" t="str">
        <f ca="1"/>
        <v/>
      </c>
      <c r="AM320" s="180" t="str">
        <f ca="1"/>
        <v/>
      </c>
      <c r="AN320" s="180" t="str">
        <f ca="1"/>
        <v/>
      </c>
      <c r="AO320" s="180" t="str">
        <f ca="1"/>
        <v/>
      </c>
      <c r="AP320" s="180" t="str">
        <f ca="1"/>
        <v/>
      </c>
      <c r="AQ320" s="187" t="str">
        <f ca="1"/>
        <v/>
      </c>
    </row>
    <row r="321" spans="2:43" x14ac:dyDescent="0.25">
      <c r="B321" s="179" t="str">
        <f ca="1"/>
        <v/>
      </c>
      <c r="C321" s="180" t="str">
        <f ca="1"/>
        <v/>
      </c>
      <c r="D321" s="180" t="str">
        <f ca="1"/>
        <v/>
      </c>
      <c r="E321" s="180" t="str">
        <f ca="1"/>
        <v/>
      </c>
      <c r="F321" s="180" t="str">
        <f ca="1"/>
        <v/>
      </c>
      <c r="G321" s="180" t="str">
        <f ca="1"/>
        <v/>
      </c>
      <c r="H321" s="180" t="str">
        <f ca="1"/>
        <v/>
      </c>
      <c r="I321" s="180" t="str">
        <f ca="1"/>
        <v/>
      </c>
      <c r="J321" s="180" t="str">
        <f ca="1"/>
        <v/>
      </c>
      <c r="K321" s="180" t="str">
        <f ca="1"/>
        <v/>
      </c>
      <c r="L321" s="180" t="str">
        <f ca="1"/>
        <v/>
      </c>
      <c r="M321" s="180" t="str">
        <f ca="1"/>
        <v/>
      </c>
      <c r="N321" s="180" t="str">
        <f ca="1"/>
        <v/>
      </c>
      <c r="O321" s="180" t="str">
        <f ca="1"/>
        <v/>
      </c>
      <c r="P321" s="180" t="str">
        <f ca="1"/>
        <v/>
      </c>
      <c r="Q321" s="180" t="str">
        <f ca="1"/>
        <v/>
      </c>
      <c r="R321" s="180" t="str">
        <f ca="1"/>
        <v/>
      </c>
      <c r="S321" s="180" t="str">
        <f ca="1"/>
        <v/>
      </c>
      <c r="T321" s="180" t="str">
        <f ca="1"/>
        <v/>
      </c>
      <c r="U321" s="180" t="str">
        <f ca="1"/>
        <v/>
      </c>
      <c r="V321" s="180" t="str">
        <f ca="1"/>
        <v/>
      </c>
      <c r="W321" s="180" t="str">
        <f ca="1"/>
        <v/>
      </c>
      <c r="X321" s="180" t="str">
        <f ca="1"/>
        <v/>
      </c>
      <c r="Y321" s="180" t="str">
        <f ca="1"/>
        <v/>
      </c>
      <c r="Z321" s="180" t="str">
        <f ca="1"/>
        <v/>
      </c>
      <c r="AA321" s="180" t="str">
        <f ca="1"/>
        <v/>
      </c>
      <c r="AB321" s="180" t="str">
        <f ca="1"/>
        <v/>
      </c>
      <c r="AC321" s="180" t="str">
        <f ca="1"/>
        <v/>
      </c>
      <c r="AD321" s="180" t="str">
        <f ca="1"/>
        <v/>
      </c>
      <c r="AE321" s="180" t="str">
        <f ca="1"/>
        <v/>
      </c>
      <c r="AF321" s="180" t="str">
        <f ca="1"/>
        <v/>
      </c>
      <c r="AG321" s="180" t="str">
        <f ca="1"/>
        <v/>
      </c>
      <c r="AH321" s="180" t="str">
        <f ca="1"/>
        <v/>
      </c>
      <c r="AI321" s="180" t="str">
        <f ca="1"/>
        <v/>
      </c>
      <c r="AJ321" s="180" t="str">
        <f ca="1"/>
        <v/>
      </c>
      <c r="AK321" s="180" t="str">
        <f ca="1"/>
        <v/>
      </c>
      <c r="AL321" s="180" t="str">
        <f ca="1"/>
        <v/>
      </c>
      <c r="AM321" s="180" t="str">
        <f ca="1"/>
        <v/>
      </c>
      <c r="AN321" s="180" t="str">
        <f ca="1"/>
        <v/>
      </c>
      <c r="AO321" s="180" t="str">
        <f ca="1"/>
        <v/>
      </c>
      <c r="AP321" s="180" t="str">
        <f ca="1"/>
        <v/>
      </c>
      <c r="AQ321" s="187" t="str">
        <f ca="1"/>
        <v/>
      </c>
    </row>
    <row r="322" spans="2:43" x14ac:dyDescent="0.25">
      <c r="B322" s="179" t="str">
        <f ca="1"/>
        <v/>
      </c>
      <c r="C322" s="180" t="str">
        <f ca="1"/>
        <v/>
      </c>
      <c r="D322" s="180" t="str">
        <f ca="1"/>
        <v/>
      </c>
      <c r="E322" s="180" t="str">
        <f ca="1"/>
        <v/>
      </c>
      <c r="F322" s="180" t="str">
        <f ca="1"/>
        <v/>
      </c>
      <c r="G322" s="180" t="str">
        <f ca="1"/>
        <v/>
      </c>
      <c r="H322" s="180" t="str">
        <f ca="1"/>
        <v/>
      </c>
      <c r="I322" s="180" t="str">
        <f ca="1"/>
        <v/>
      </c>
      <c r="J322" s="180" t="str">
        <f ca="1"/>
        <v/>
      </c>
      <c r="K322" s="180" t="str">
        <f ca="1"/>
        <v/>
      </c>
      <c r="L322" s="180" t="str">
        <f ca="1"/>
        <v/>
      </c>
      <c r="M322" s="180" t="str">
        <f ca="1"/>
        <v/>
      </c>
      <c r="N322" s="180" t="str">
        <f ca="1"/>
        <v/>
      </c>
      <c r="O322" s="180" t="str">
        <f ca="1"/>
        <v/>
      </c>
      <c r="P322" s="180" t="str">
        <f ca="1"/>
        <v/>
      </c>
      <c r="Q322" s="180" t="str">
        <f ca="1"/>
        <v/>
      </c>
      <c r="R322" s="180" t="str">
        <f ca="1"/>
        <v/>
      </c>
      <c r="S322" s="180" t="str">
        <f ca="1"/>
        <v/>
      </c>
      <c r="T322" s="180" t="str">
        <f ca="1"/>
        <v/>
      </c>
      <c r="U322" s="180" t="str">
        <f ca="1"/>
        <v/>
      </c>
      <c r="V322" s="180" t="str">
        <f ca="1"/>
        <v/>
      </c>
      <c r="W322" s="180" t="str">
        <f ca="1"/>
        <v/>
      </c>
      <c r="X322" s="180" t="str">
        <f ca="1"/>
        <v/>
      </c>
      <c r="Y322" s="180" t="str">
        <f ca="1"/>
        <v/>
      </c>
      <c r="Z322" s="180" t="str">
        <f ca="1"/>
        <v/>
      </c>
      <c r="AA322" s="180" t="str">
        <f ca="1"/>
        <v/>
      </c>
      <c r="AB322" s="180" t="str">
        <f ca="1"/>
        <v/>
      </c>
      <c r="AC322" s="180" t="str">
        <f ca="1"/>
        <v/>
      </c>
      <c r="AD322" s="180" t="str">
        <f ca="1"/>
        <v/>
      </c>
      <c r="AE322" s="180" t="str">
        <f ca="1"/>
        <v/>
      </c>
      <c r="AF322" s="180" t="str">
        <f ca="1"/>
        <v/>
      </c>
      <c r="AG322" s="180" t="str">
        <f ca="1"/>
        <v/>
      </c>
      <c r="AH322" s="180" t="str">
        <f ca="1"/>
        <v/>
      </c>
      <c r="AI322" s="180" t="str">
        <f ca="1"/>
        <v/>
      </c>
      <c r="AJ322" s="180" t="str">
        <f ca="1"/>
        <v/>
      </c>
      <c r="AK322" s="180" t="str">
        <f ca="1"/>
        <v/>
      </c>
      <c r="AL322" s="180" t="str">
        <f ca="1"/>
        <v/>
      </c>
      <c r="AM322" s="180" t="str">
        <f ca="1"/>
        <v/>
      </c>
      <c r="AN322" s="180" t="str">
        <f ca="1"/>
        <v/>
      </c>
      <c r="AO322" s="180" t="str">
        <f ca="1"/>
        <v/>
      </c>
      <c r="AP322" s="180" t="str">
        <f ca="1"/>
        <v/>
      </c>
      <c r="AQ322" s="187" t="str">
        <f ca="1"/>
        <v/>
      </c>
    </row>
    <row r="323" spans="2:43" x14ac:dyDescent="0.25">
      <c r="B323" s="179" t="str">
        <f ca="1"/>
        <v/>
      </c>
      <c r="C323" s="180" t="str">
        <f ca="1"/>
        <v/>
      </c>
      <c r="D323" s="180" t="str">
        <f ca="1"/>
        <v/>
      </c>
      <c r="E323" s="180" t="str">
        <f ca="1"/>
        <v/>
      </c>
      <c r="F323" s="180" t="str">
        <f ca="1"/>
        <v/>
      </c>
      <c r="G323" s="180" t="str">
        <f ca="1"/>
        <v/>
      </c>
      <c r="H323" s="180" t="str">
        <f ca="1"/>
        <v/>
      </c>
      <c r="I323" s="180" t="str">
        <f ca="1"/>
        <v/>
      </c>
      <c r="J323" s="180" t="str">
        <f ca="1"/>
        <v/>
      </c>
      <c r="K323" s="180" t="str">
        <f ca="1"/>
        <v/>
      </c>
      <c r="L323" s="180" t="str">
        <f ca="1"/>
        <v/>
      </c>
      <c r="M323" s="180" t="str">
        <f ca="1"/>
        <v/>
      </c>
      <c r="N323" s="180" t="str">
        <f ca="1"/>
        <v/>
      </c>
      <c r="O323" s="180" t="str">
        <f ca="1"/>
        <v/>
      </c>
      <c r="P323" s="180" t="str">
        <f ca="1"/>
        <v/>
      </c>
      <c r="Q323" s="180" t="str">
        <f ca="1"/>
        <v/>
      </c>
      <c r="R323" s="180" t="str">
        <f ca="1"/>
        <v/>
      </c>
      <c r="S323" s="180" t="str">
        <f ca="1"/>
        <v/>
      </c>
      <c r="T323" s="180" t="str">
        <f ca="1"/>
        <v/>
      </c>
      <c r="U323" s="180" t="str">
        <f ca="1"/>
        <v/>
      </c>
      <c r="V323" s="180" t="str">
        <f ca="1"/>
        <v/>
      </c>
      <c r="W323" s="180" t="str">
        <f ca="1"/>
        <v/>
      </c>
      <c r="X323" s="180" t="str">
        <f ca="1"/>
        <v/>
      </c>
      <c r="Y323" s="180" t="str">
        <f ca="1"/>
        <v/>
      </c>
      <c r="Z323" s="180" t="str">
        <f ca="1"/>
        <v/>
      </c>
      <c r="AA323" s="180" t="str">
        <f ca="1"/>
        <v/>
      </c>
      <c r="AB323" s="180" t="str">
        <f ca="1"/>
        <v/>
      </c>
      <c r="AC323" s="180" t="str">
        <f ca="1"/>
        <v/>
      </c>
      <c r="AD323" s="180" t="str">
        <f ca="1"/>
        <v/>
      </c>
      <c r="AE323" s="180" t="str">
        <f ca="1"/>
        <v/>
      </c>
      <c r="AF323" s="180" t="str">
        <f ca="1"/>
        <v/>
      </c>
      <c r="AG323" s="180" t="str">
        <f ca="1"/>
        <v/>
      </c>
      <c r="AH323" s="180" t="str">
        <f ca="1"/>
        <v/>
      </c>
      <c r="AI323" s="180" t="str">
        <f ca="1"/>
        <v/>
      </c>
      <c r="AJ323" s="180" t="str">
        <f ca="1"/>
        <v/>
      </c>
      <c r="AK323" s="180" t="str">
        <f ca="1"/>
        <v/>
      </c>
      <c r="AL323" s="180" t="str">
        <f ca="1"/>
        <v/>
      </c>
      <c r="AM323" s="180" t="str">
        <f ca="1"/>
        <v/>
      </c>
      <c r="AN323" s="180" t="str">
        <f ca="1"/>
        <v/>
      </c>
      <c r="AO323" s="180" t="str">
        <f ca="1"/>
        <v/>
      </c>
      <c r="AP323" s="180" t="str">
        <f ca="1"/>
        <v/>
      </c>
      <c r="AQ323" s="187" t="str">
        <f ca="1"/>
        <v/>
      </c>
    </row>
    <row r="324" spans="2:43" x14ac:dyDescent="0.25">
      <c r="B324" s="179" t="str">
        <f ca="1"/>
        <v/>
      </c>
      <c r="C324" s="180" t="str">
        <f ca="1"/>
        <v/>
      </c>
      <c r="D324" s="180" t="str">
        <f ca="1"/>
        <v/>
      </c>
      <c r="E324" s="180" t="str">
        <f ca="1"/>
        <v/>
      </c>
      <c r="F324" s="180" t="str">
        <f ca="1"/>
        <v/>
      </c>
      <c r="G324" s="180" t="str">
        <f ca="1"/>
        <v/>
      </c>
      <c r="H324" s="180" t="str">
        <f ca="1"/>
        <v/>
      </c>
      <c r="I324" s="180" t="str">
        <f ca="1"/>
        <v/>
      </c>
      <c r="J324" s="180" t="str">
        <f ca="1"/>
        <v/>
      </c>
      <c r="K324" s="180" t="str">
        <f ca="1"/>
        <v/>
      </c>
      <c r="L324" s="180" t="str">
        <f ca="1"/>
        <v/>
      </c>
      <c r="M324" s="180" t="str">
        <f ca="1"/>
        <v/>
      </c>
      <c r="N324" s="180" t="str">
        <f ca="1"/>
        <v/>
      </c>
      <c r="O324" s="180" t="str">
        <f ca="1"/>
        <v/>
      </c>
      <c r="P324" s="180" t="str">
        <f ca="1"/>
        <v/>
      </c>
      <c r="Q324" s="180" t="str">
        <f ca="1"/>
        <v/>
      </c>
      <c r="R324" s="180" t="str">
        <f ca="1"/>
        <v/>
      </c>
      <c r="S324" s="180" t="str">
        <f ca="1"/>
        <v/>
      </c>
      <c r="T324" s="180" t="str">
        <f ca="1"/>
        <v/>
      </c>
      <c r="U324" s="180" t="str">
        <f ca="1"/>
        <v/>
      </c>
      <c r="V324" s="180" t="str">
        <f ca="1"/>
        <v/>
      </c>
      <c r="W324" s="180" t="str">
        <f ca="1"/>
        <v/>
      </c>
      <c r="X324" s="180" t="str">
        <f ca="1"/>
        <v/>
      </c>
      <c r="Y324" s="180" t="str">
        <f ca="1"/>
        <v/>
      </c>
      <c r="Z324" s="180" t="str">
        <f ca="1"/>
        <v/>
      </c>
      <c r="AA324" s="180" t="str">
        <f ca="1"/>
        <v/>
      </c>
      <c r="AB324" s="180" t="str">
        <f ca="1"/>
        <v/>
      </c>
      <c r="AC324" s="180" t="str">
        <f ca="1"/>
        <v/>
      </c>
      <c r="AD324" s="180" t="str">
        <f ca="1"/>
        <v/>
      </c>
      <c r="AE324" s="180" t="str">
        <f ca="1"/>
        <v/>
      </c>
      <c r="AF324" s="180" t="str">
        <f ca="1"/>
        <v/>
      </c>
      <c r="AG324" s="180" t="str">
        <f ca="1"/>
        <v/>
      </c>
      <c r="AH324" s="180" t="str">
        <f ca="1"/>
        <v/>
      </c>
      <c r="AI324" s="180" t="str">
        <f ca="1"/>
        <v/>
      </c>
      <c r="AJ324" s="180" t="str">
        <f ca="1"/>
        <v/>
      </c>
      <c r="AK324" s="180" t="str">
        <f ca="1"/>
        <v/>
      </c>
      <c r="AL324" s="180" t="str">
        <f ca="1"/>
        <v/>
      </c>
      <c r="AM324" s="180" t="str">
        <f ca="1"/>
        <v/>
      </c>
      <c r="AN324" s="180" t="str">
        <f ca="1"/>
        <v/>
      </c>
      <c r="AO324" s="180" t="str">
        <f ca="1"/>
        <v/>
      </c>
      <c r="AP324" s="180" t="str">
        <f ca="1"/>
        <v/>
      </c>
      <c r="AQ324" s="187" t="str">
        <f ca="1"/>
        <v/>
      </c>
    </row>
    <row r="325" spans="2:43" x14ac:dyDescent="0.25">
      <c r="B325" s="179" t="str">
        <f ca="1"/>
        <v/>
      </c>
      <c r="C325" s="180" t="str">
        <f ca="1"/>
        <v/>
      </c>
      <c r="D325" s="180" t="str">
        <f ca="1"/>
        <v/>
      </c>
      <c r="E325" s="180" t="str">
        <f ca="1"/>
        <v/>
      </c>
      <c r="F325" s="180" t="str">
        <f ca="1"/>
        <v/>
      </c>
      <c r="G325" s="180" t="str">
        <f ca="1"/>
        <v/>
      </c>
      <c r="H325" s="180" t="str">
        <f ca="1"/>
        <v/>
      </c>
      <c r="I325" s="180" t="str">
        <f ca="1"/>
        <v/>
      </c>
      <c r="J325" s="180" t="str">
        <f ca="1"/>
        <v/>
      </c>
      <c r="K325" s="180" t="str">
        <f ca="1"/>
        <v/>
      </c>
      <c r="L325" s="180" t="str">
        <f ca="1"/>
        <v/>
      </c>
      <c r="M325" s="180" t="str">
        <f ca="1"/>
        <v/>
      </c>
      <c r="N325" s="180" t="str">
        <f ca="1"/>
        <v/>
      </c>
      <c r="O325" s="180" t="str">
        <f ca="1"/>
        <v/>
      </c>
      <c r="P325" s="180" t="str">
        <f ca="1"/>
        <v/>
      </c>
      <c r="Q325" s="180" t="str">
        <f ca="1"/>
        <v/>
      </c>
      <c r="R325" s="180" t="str">
        <f ca="1"/>
        <v/>
      </c>
      <c r="S325" s="180" t="str">
        <f ca="1"/>
        <v/>
      </c>
      <c r="T325" s="180" t="str">
        <f ca="1"/>
        <v/>
      </c>
      <c r="U325" s="180" t="str">
        <f ca="1"/>
        <v/>
      </c>
      <c r="V325" s="180" t="str">
        <f ca="1"/>
        <v/>
      </c>
      <c r="W325" s="180" t="str">
        <f ca="1"/>
        <v/>
      </c>
      <c r="X325" s="180" t="str">
        <f ca="1"/>
        <v/>
      </c>
      <c r="Y325" s="180" t="str">
        <f ca="1"/>
        <v/>
      </c>
      <c r="Z325" s="180" t="str">
        <f ca="1"/>
        <v/>
      </c>
      <c r="AA325" s="180" t="str">
        <f ca="1"/>
        <v/>
      </c>
      <c r="AB325" s="180" t="str">
        <f ca="1"/>
        <v/>
      </c>
      <c r="AC325" s="180" t="str">
        <f ca="1"/>
        <v/>
      </c>
      <c r="AD325" s="180" t="str">
        <f ca="1"/>
        <v/>
      </c>
      <c r="AE325" s="180" t="str">
        <f ca="1"/>
        <v/>
      </c>
      <c r="AF325" s="180" t="str">
        <f ca="1"/>
        <v/>
      </c>
      <c r="AG325" s="180" t="str">
        <f ca="1"/>
        <v/>
      </c>
      <c r="AH325" s="180" t="str">
        <f ca="1"/>
        <v/>
      </c>
      <c r="AI325" s="180" t="str">
        <f ca="1"/>
        <v/>
      </c>
      <c r="AJ325" s="180" t="str">
        <f ca="1"/>
        <v/>
      </c>
      <c r="AK325" s="180" t="str">
        <f ca="1"/>
        <v/>
      </c>
      <c r="AL325" s="180" t="str">
        <f ca="1"/>
        <v/>
      </c>
      <c r="AM325" s="180" t="str">
        <f ca="1"/>
        <v/>
      </c>
      <c r="AN325" s="180" t="str">
        <f ca="1"/>
        <v/>
      </c>
      <c r="AO325" s="180" t="str">
        <f ca="1"/>
        <v/>
      </c>
      <c r="AP325" s="180" t="str">
        <f ca="1"/>
        <v/>
      </c>
      <c r="AQ325" s="187" t="str">
        <f ca="1"/>
        <v/>
      </c>
    </row>
    <row r="326" spans="2:43" x14ac:dyDescent="0.25">
      <c r="B326" s="179" t="str">
        <f ca="1"/>
        <v/>
      </c>
      <c r="C326" s="180" t="str">
        <f ca="1"/>
        <v/>
      </c>
      <c r="D326" s="180" t="str">
        <f ca="1"/>
        <v/>
      </c>
      <c r="E326" s="180" t="str">
        <f ca="1"/>
        <v/>
      </c>
      <c r="F326" s="180" t="str">
        <f ca="1"/>
        <v/>
      </c>
      <c r="G326" s="180" t="str">
        <f ca="1"/>
        <v/>
      </c>
      <c r="H326" s="180" t="str">
        <f ca="1"/>
        <v/>
      </c>
      <c r="I326" s="180" t="str">
        <f ca="1"/>
        <v/>
      </c>
      <c r="J326" s="180" t="str">
        <f ca="1"/>
        <v/>
      </c>
      <c r="K326" s="180" t="str">
        <f ca="1"/>
        <v/>
      </c>
      <c r="L326" s="180" t="str">
        <f ca="1"/>
        <v/>
      </c>
      <c r="M326" s="180" t="str">
        <f ca="1"/>
        <v/>
      </c>
      <c r="N326" s="180" t="str">
        <f ca="1"/>
        <v/>
      </c>
      <c r="O326" s="180" t="str">
        <f ca="1"/>
        <v/>
      </c>
      <c r="P326" s="180" t="str">
        <f ca="1"/>
        <v/>
      </c>
      <c r="Q326" s="180" t="str">
        <f ca="1"/>
        <v/>
      </c>
      <c r="R326" s="180" t="str">
        <f ca="1"/>
        <v/>
      </c>
      <c r="S326" s="180" t="str">
        <f ca="1"/>
        <v/>
      </c>
      <c r="T326" s="180" t="str">
        <f ca="1"/>
        <v/>
      </c>
      <c r="U326" s="180" t="str">
        <f ca="1"/>
        <v/>
      </c>
      <c r="V326" s="180" t="str">
        <f ca="1"/>
        <v/>
      </c>
      <c r="W326" s="180" t="str">
        <f ca="1"/>
        <v/>
      </c>
      <c r="X326" s="180" t="str">
        <f ca="1"/>
        <v/>
      </c>
      <c r="Y326" s="180" t="str">
        <f ca="1"/>
        <v/>
      </c>
      <c r="Z326" s="180" t="str">
        <f ca="1"/>
        <v/>
      </c>
      <c r="AA326" s="180" t="str">
        <f ca="1"/>
        <v/>
      </c>
      <c r="AB326" s="180" t="str">
        <f ca="1"/>
        <v/>
      </c>
      <c r="AC326" s="180" t="str">
        <f ca="1"/>
        <v/>
      </c>
      <c r="AD326" s="180" t="str">
        <f ca="1"/>
        <v/>
      </c>
      <c r="AE326" s="180" t="str">
        <f ca="1"/>
        <v/>
      </c>
      <c r="AF326" s="180" t="str">
        <f ca="1"/>
        <v/>
      </c>
      <c r="AG326" s="180" t="str">
        <f ca="1"/>
        <v/>
      </c>
      <c r="AH326" s="180" t="str">
        <f ca="1"/>
        <v/>
      </c>
      <c r="AI326" s="180" t="str">
        <f ca="1"/>
        <v/>
      </c>
      <c r="AJ326" s="180" t="str">
        <f ca="1"/>
        <v/>
      </c>
      <c r="AK326" s="180" t="str">
        <f ca="1"/>
        <v/>
      </c>
      <c r="AL326" s="180" t="str">
        <f ca="1"/>
        <v/>
      </c>
      <c r="AM326" s="180" t="str">
        <f ca="1"/>
        <v/>
      </c>
      <c r="AN326" s="180" t="str">
        <f ca="1"/>
        <v/>
      </c>
      <c r="AO326" s="180" t="str">
        <f ca="1"/>
        <v/>
      </c>
      <c r="AP326" s="180" t="str">
        <f ca="1"/>
        <v/>
      </c>
      <c r="AQ326" s="187" t="str">
        <f ca="1"/>
        <v/>
      </c>
    </row>
    <row r="327" spans="2:43" x14ac:dyDescent="0.25">
      <c r="B327" s="179" t="str">
        <f ca="1"/>
        <v/>
      </c>
      <c r="C327" s="180" t="str">
        <f ca="1"/>
        <v/>
      </c>
      <c r="D327" s="180" t="str">
        <f ca="1"/>
        <v/>
      </c>
      <c r="E327" s="180" t="str">
        <f ca="1"/>
        <v/>
      </c>
      <c r="F327" s="180" t="str">
        <f ca="1"/>
        <v/>
      </c>
      <c r="G327" s="180" t="str">
        <f ca="1"/>
        <v/>
      </c>
      <c r="H327" s="180" t="str">
        <f ca="1"/>
        <v/>
      </c>
      <c r="I327" s="180" t="str">
        <f ca="1"/>
        <v/>
      </c>
      <c r="J327" s="180" t="str">
        <f ca="1"/>
        <v/>
      </c>
      <c r="K327" s="180" t="str">
        <f ca="1"/>
        <v/>
      </c>
      <c r="L327" s="180" t="str">
        <f ca="1"/>
        <v/>
      </c>
      <c r="M327" s="180" t="str">
        <f ca="1"/>
        <v/>
      </c>
      <c r="N327" s="180" t="str">
        <f ca="1"/>
        <v/>
      </c>
      <c r="O327" s="180" t="str">
        <f ca="1"/>
        <v/>
      </c>
      <c r="P327" s="180" t="str">
        <f ca="1"/>
        <v/>
      </c>
      <c r="Q327" s="180" t="str">
        <f ca="1"/>
        <v/>
      </c>
      <c r="R327" s="180" t="str">
        <f ca="1"/>
        <v/>
      </c>
      <c r="S327" s="180" t="str">
        <f ca="1"/>
        <v/>
      </c>
      <c r="T327" s="180" t="str">
        <f ca="1"/>
        <v/>
      </c>
      <c r="U327" s="180" t="str">
        <f ca="1"/>
        <v/>
      </c>
      <c r="V327" s="180" t="str">
        <f ca="1"/>
        <v/>
      </c>
      <c r="W327" s="180" t="str">
        <f ca="1"/>
        <v/>
      </c>
      <c r="X327" s="180" t="str">
        <f ca="1"/>
        <v/>
      </c>
      <c r="Y327" s="180" t="str">
        <f ca="1"/>
        <v/>
      </c>
      <c r="Z327" s="180" t="str">
        <f ca="1"/>
        <v/>
      </c>
      <c r="AA327" s="180" t="str">
        <f ca="1"/>
        <v/>
      </c>
      <c r="AB327" s="180" t="str">
        <f ca="1"/>
        <v/>
      </c>
      <c r="AC327" s="180" t="str">
        <f ca="1"/>
        <v/>
      </c>
      <c r="AD327" s="180" t="str">
        <f ca="1"/>
        <v/>
      </c>
      <c r="AE327" s="180" t="str">
        <f ca="1"/>
        <v/>
      </c>
      <c r="AF327" s="180" t="str">
        <f ca="1"/>
        <v/>
      </c>
      <c r="AG327" s="180" t="str">
        <f ca="1"/>
        <v/>
      </c>
      <c r="AH327" s="180" t="str">
        <f ca="1"/>
        <v/>
      </c>
      <c r="AI327" s="180" t="str">
        <f ca="1"/>
        <v/>
      </c>
      <c r="AJ327" s="180" t="str">
        <f ca="1"/>
        <v/>
      </c>
      <c r="AK327" s="180" t="str">
        <f ca="1"/>
        <v/>
      </c>
      <c r="AL327" s="180" t="str">
        <f ca="1"/>
        <v/>
      </c>
      <c r="AM327" s="180" t="str">
        <f ca="1"/>
        <v/>
      </c>
      <c r="AN327" s="180" t="str">
        <f ca="1"/>
        <v/>
      </c>
      <c r="AO327" s="180" t="str">
        <f ca="1"/>
        <v/>
      </c>
      <c r="AP327" s="180" t="str">
        <f ca="1"/>
        <v/>
      </c>
      <c r="AQ327" s="187" t="str">
        <f ca="1"/>
        <v/>
      </c>
    </row>
    <row r="328" spans="2:43" x14ac:dyDescent="0.25">
      <c r="B328" s="179" t="str">
        <f ca="1"/>
        <v/>
      </c>
      <c r="C328" s="180" t="str">
        <f ca="1"/>
        <v/>
      </c>
      <c r="D328" s="180" t="str">
        <f ca="1"/>
        <v/>
      </c>
      <c r="E328" s="180" t="str">
        <f ca="1"/>
        <v/>
      </c>
      <c r="F328" s="180" t="str">
        <f ca="1"/>
        <v/>
      </c>
      <c r="G328" s="180" t="str">
        <f ca="1"/>
        <v/>
      </c>
      <c r="H328" s="180" t="str">
        <f ca="1"/>
        <v/>
      </c>
      <c r="I328" s="180" t="str">
        <f ca="1"/>
        <v/>
      </c>
      <c r="J328" s="180" t="str">
        <f ca="1"/>
        <v/>
      </c>
      <c r="K328" s="180" t="str">
        <f ca="1"/>
        <v/>
      </c>
      <c r="L328" s="180" t="str">
        <f ca="1"/>
        <v/>
      </c>
      <c r="M328" s="180" t="str">
        <f ca="1"/>
        <v/>
      </c>
      <c r="N328" s="180" t="str">
        <f ca="1"/>
        <v/>
      </c>
      <c r="O328" s="180" t="str">
        <f ca="1"/>
        <v/>
      </c>
      <c r="P328" s="180" t="str">
        <f ca="1"/>
        <v/>
      </c>
      <c r="Q328" s="180" t="str">
        <f ca="1"/>
        <v/>
      </c>
      <c r="R328" s="180" t="str">
        <f ca="1"/>
        <v/>
      </c>
      <c r="S328" s="180" t="str">
        <f ca="1"/>
        <v/>
      </c>
      <c r="T328" s="180" t="str">
        <f ca="1"/>
        <v/>
      </c>
      <c r="U328" s="180" t="str">
        <f ca="1"/>
        <v/>
      </c>
      <c r="V328" s="180" t="str">
        <f ca="1"/>
        <v/>
      </c>
      <c r="W328" s="180" t="str">
        <f ca="1"/>
        <v/>
      </c>
      <c r="X328" s="180" t="str">
        <f ca="1"/>
        <v/>
      </c>
      <c r="Y328" s="180" t="str">
        <f ca="1"/>
        <v/>
      </c>
      <c r="Z328" s="180" t="str">
        <f ca="1"/>
        <v/>
      </c>
      <c r="AA328" s="180" t="str">
        <f ca="1"/>
        <v/>
      </c>
      <c r="AB328" s="180" t="str">
        <f ca="1"/>
        <v/>
      </c>
      <c r="AC328" s="180" t="str">
        <f ca="1"/>
        <v/>
      </c>
      <c r="AD328" s="180" t="str">
        <f ca="1"/>
        <v/>
      </c>
      <c r="AE328" s="180" t="str">
        <f ca="1"/>
        <v/>
      </c>
      <c r="AF328" s="180" t="str">
        <f ca="1"/>
        <v/>
      </c>
      <c r="AG328" s="180" t="str">
        <f ca="1"/>
        <v/>
      </c>
      <c r="AH328" s="180" t="str">
        <f ca="1"/>
        <v/>
      </c>
      <c r="AI328" s="180" t="str">
        <f ca="1"/>
        <v/>
      </c>
      <c r="AJ328" s="180" t="str">
        <f ca="1"/>
        <v/>
      </c>
      <c r="AK328" s="180" t="str">
        <f ca="1"/>
        <v/>
      </c>
      <c r="AL328" s="180" t="str">
        <f ca="1"/>
        <v/>
      </c>
      <c r="AM328" s="180" t="str">
        <f ca="1"/>
        <v/>
      </c>
      <c r="AN328" s="180" t="str">
        <f ca="1"/>
        <v/>
      </c>
      <c r="AO328" s="180" t="str">
        <f ca="1"/>
        <v/>
      </c>
      <c r="AP328" s="180" t="str">
        <f ca="1"/>
        <v/>
      </c>
      <c r="AQ328" s="187" t="str">
        <f ca="1"/>
        <v/>
      </c>
    </row>
    <row r="329" spans="2:43" x14ac:dyDescent="0.25">
      <c r="B329" s="179" t="str">
        <f ca="1"/>
        <v/>
      </c>
      <c r="C329" s="180" t="str">
        <f ca="1"/>
        <v/>
      </c>
      <c r="D329" s="180" t="str">
        <f ca="1"/>
        <v/>
      </c>
      <c r="E329" s="180" t="str">
        <f ca="1"/>
        <v/>
      </c>
      <c r="F329" s="180" t="str">
        <f ca="1"/>
        <v/>
      </c>
      <c r="G329" s="180" t="str">
        <f ca="1"/>
        <v/>
      </c>
      <c r="H329" s="180" t="str">
        <f ca="1"/>
        <v/>
      </c>
      <c r="I329" s="180" t="str">
        <f ca="1"/>
        <v/>
      </c>
      <c r="J329" s="180" t="str">
        <f ca="1"/>
        <v/>
      </c>
      <c r="K329" s="180" t="str">
        <f ca="1"/>
        <v/>
      </c>
      <c r="L329" s="180" t="str">
        <f ca="1"/>
        <v/>
      </c>
      <c r="M329" s="180" t="str">
        <f ca="1"/>
        <v/>
      </c>
      <c r="N329" s="180" t="str">
        <f ca="1"/>
        <v/>
      </c>
      <c r="O329" s="180" t="str">
        <f ca="1"/>
        <v/>
      </c>
      <c r="P329" s="180" t="str">
        <f ca="1"/>
        <v/>
      </c>
      <c r="Q329" s="180" t="str">
        <f ca="1"/>
        <v/>
      </c>
      <c r="R329" s="180" t="str">
        <f ca="1"/>
        <v/>
      </c>
      <c r="S329" s="180" t="str">
        <f ca="1"/>
        <v/>
      </c>
      <c r="T329" s="180" t="str">
        <f ca="1"/>
        <v/>
      </c>
      <c r="U329" s="180" t="str">
        <f ca="1"/>
        <v/>
      </c>
      <c r="V329" s="180" t="str">
        <f ca="1"/>
        <v/>
      </c>
      <c r="W329" s="180" t="str">
        <f ca="1"/>
        <v/>
      </c>
      <c r="X329" s="180" t="str">
        <f ca="1"/>
        <v/>
      </c>
      <c r="Y329" s="180" t="str">
        <f ca="1"/>
        <v/>
      </c>
      <c r="Z329" s="180" t="str">
        <f ca="1"/>
        <v/>
      </c>
      <c r="AA329" s="180" t="str">
        <f ca="1"/>
        <v/>
      </c>
      <c r="AB329" s="180" t="str">
        <f ca="1"/>
        <v/>
      </c>
      <c r="AC329" s="180" t="str">
        <f ca="1"/>
        <v/>
      </c>
      <c r="AD329" s="180" t="str">
        <f ca="1"/>
        <v/>
      </c>
      <c r="AE329" s="180" t="str">
        <f ca="1"/>
        <v/>
      </c>
      <c r="AF329" s="180" t="str">
        <f ca="1"/>
        <v/>
      </c>
      <c r="AG329" s="180" t="str">
        <f ca="1"/>
        <v/>
      </c>
      <c r="AH329" s="180" t="str">
        <f ca="1"/>
        <v/>
      </c>
      <c r="AI329" s="180" t="str">
        <f ca="1"/>
        <v/>
      </c>
      <c r="AJ329" s="180" t="str">
        <f ca="1"/>
        <v/>
      </c>
      <c r="AK329" s="180" t="str">
        <f ca="1"/>
        <v/>
      </c>
      <c r="AL329" s="180" t="str">
        <f ca="1"/>
        <v/>
      </c>
      <c r="AM329" s="180" t="str">
        <f ca="1"/>
        <v/>
      </c>
      <c r="AN329" s="180" t="str">
        <f ca="1"/>
        <v/>
      </c>
      <c r="AO329" s="180" t="str">
        <f ca="1"/>
        <v/>
      </c>
      <c r="AP329" s="180" t="str">
        <f ca="1"/>
        <v/>
      </c>
      <c r="AQ329" s="187" t="str">
        <f ca="1"/>
        <v/>
      </c>
    </row>
    <row r="330" spans="2:43" x14ac:dyDescent="0.25">
      <c r="B330" s="179" t="str">
        <f ca="1"/>
        <v/>
      </c>
      <c r="C330" s="180" t="str">
        <f ca="1"/>
        <v/>
      </c>
      <c r="D330" s="180" t="str">
        <f ca="1"/>
        <v/>
      </c>
      <c r="E330" s="180" t="str">
        <f ca="1"/>
        <v/>
      </c>
      <c r="F330" s="180" t="str">
        <f ca="1"/>
        <v/>
      </c>
      <c r="G330" s="180" t="str">
        <f ca="1"/>
        <v/>
      </c>
      <c r="H330" s="180" t="str">
        <f ca="1"/>
        <v/>
      </c>
      <c r="I330" s="180" t="str">
        <f ca="1"/>
        <v/>
      </c>
      <c r="J330" s="180" t="str">
        <f ca="1"/>
        <v/>
      </c>
      <c r="K330" s="180" t="str">
        <f ca="1"/>
        <v/>
      </c>
      <c r="L330" s="180" t="str">
        <f ca="1"/>
        <v/>
      </c>
      <c r="M330" s="180" t="str">
        <f ca="1"/>
        <v/>
      </c>
      <c r="N330" s="180" t="str">
        <f ca="1"/>
        <v/>
      </c>
      <c r="O330" s="180" t="str">
        <f ca="1"/>
        <v/>
      </c>
      <c r="P330" s="180" t="str">
        <f ca="1"/>
        <v/>
      </c>
      <c r="Q330" s="180" t="str">
        <f ca="1"/>
        <v/>
      </c>
      <c r="R330" s="180" t="str">
        <f ca="1"/>
        <v/>
      </c>
      <c r="S330" s="180" t="str">
        <f ca="1"/>
        <v/>
      </c>
      <c r="T330" s="180" t="str">
        <f ca="1"/>
        <v/>
      </c>
      <c r="U330" s="180" t="str">
        <f ca="1"/>
        <v/>
      </c>
      <c r="V330" s="180" t="str">
        <f ca="1"/>
        <v/>
      </c>
      <c r="W330" s="180" t="str">
        <f ca="1"/>
        <v/>
      </c>
      <c r="X330" s="180" t="str">
        <f ca="1"/>
        <v/>
      </c>
      <c r="Y330" s="180" t="str">
        <f ca="1"/>
        <v/>
      </c>
      <c r="Z330" s="180" t="str">
        <f ca="1"/>
        <v/>
      </c>
      <c r="AA330" s="180" t="str">
        <f ca="1"/>
        <v/>
      </c>
      <c r="AB330" s="180" t="str">
        <f ca="1"/>
        <v/>
      </c>
      <c r="AC330" s="180" t="str">
        <f ca="1"/>
        <v/>
      </c>
      <c r="AD330" s="180" t="str">
        <f ca="1"/>
        <v/>
      </c>
      <c r="AE330" s="180" t="str">
        <f ca="1"/>
        <v/>
      </c>
      <c r="AF330" s="180" t="str">
        <f ca="1"/>
        <v/>
      </c>
      <c r="AG330" s="180" t="str">
        <f ca="1"/>
        <v/>
      </c>
      <c r="AH330" s="180" t="str">
        <f ca="1"/>
        <v/>
      </c>
      <c r="AI330" s="180" t="str">
        <f ca="1"/>
        <v/>
      </c>
      <c r="AJ330" s="180" t="str">
        <f ca="1"/>
        <v/>
      </c>
      <c r="AK330" s="180" t="str">
        <f ca="1"/>
        <v/>
      </c>
      <c r="AL330" s="180" t="str">
        <f ca="1"/>
        <v/>
      </c>
      <c r="AM330" s="180" t="str">
        <f ca="1"/>
        <v/>
      </c>
      <c r="AN330" s="180" t="str">
        <f ca="1"/>
        <v/>
      </c>
      <c r="AO330" s="180" t="str">
        <f ca="1"/>
        <v/>
      </c>
      <c r="AP330" s="180" t="str">
        <f ca="1"/>
        <v/>
      </c>
      <c r="AQ330" s="187" t="str">
        <f ca="1"/>
        <v/>
      </c>
    </row>
    <row r="331" spans="2:43" x14ac:dyDescent="0.25">
      <c r="B331" s="179" t="str">
        <f ca="1"/>
        <v/>
      </c>
      <c r="C331" s="180" t="str">
        <f ca="1"/>
        <v/>
      </c>
      <c r="D331" s="180" t="str">
        <f ca="1"/>
        <v/>
      </c>
      <c r="E331" s="180" t="str">
        <f ca="1"/>
        <v/>
      </c>
      <c r="F331" s="180" t="str">
        <f ca="1"/>
        <v/>
      </c>
      <c r="G331" s="180" t="str">
        <f ca="1"/>
        <v/>
      </c>
      <c r="H331" s="180" t="str">
        <f ca="1"/>
        <v/>
      </c>
      <c r="I331" s="180" t="str">
        <f ca="1"/>
        <v/>
      </c>
      <c r="J331" s="180" t="str">
        <f ca="1"/>
        <v/>
      </c>
      <c r="K331" s="180" t="str">
        <f ca="1"/>
        <v/>
      </c>
      <c r="L331" s="180" t="str">
        <f ca="1"/>
        <v/>
      </c>
      <c r="M331" s="180" t="str">
        <f ca="1"/>
        <v/>
      </c>
      <c r="N331" s="180" t="str">
        <f ca="1"/>
        <v/>
      </c>
      <c r="O331" s="180" t="str">
        <f ca="1"/>
        <v/>
      </c>
      <c r="P331" s="180" t="str">
        <f ca="1"/>
        <v/>
      </c>
      <c r="Q331" s="180" t="str">
        <f ca="1"/>
        <v/>
      </c>
      <c r="R331" s="180" t="str">
        <f ca="1"/>
        <v/>
      </c>
      <c r="S331" s="180" t="str">
        <f ca="1"/>
        <v/>
      </c>
      <c r="T331" s="180" t="str">
        <f ca="1"/>
        <v/>
      </c>
      <c r="U331" s="180" t="str">
        <f ca="1"/>
        <v/>
      </c>
      <c r="V331" s="180" t="str">
        <f ca="1"/>
        <v/>
      </c>
      <c r="W331" s="180" t="str">
        <f ca="1"/>
        <v/>
      </c>
      <c r="X331" s="180" t="str">
        <f ca="1"/>
        <v/>
      </c>
      <c r="Y331" s="180" t="str">
        <f ca="1"/>
        <v/>
      </c>
      <c r="Z331" s="180" t="str">
        <f ca="1"/>
        <v/>
      </c>
      <c r="AA331" s="180" t="str">
        <f ca="1"/>
        <v/>
      </c>
      <c r="AB331" s="180" t="str">
        <f ca="1"/>
        <v/>
      </c>
      <c r="AC331" s="180" t="str">
        <f ca="1"/>
        <v/>
      </c>
      <c r="AD331" s="180" t="str">
        <f ca="1"/>
        <v/>
      </c>
      <c r="AE331" s="180" t="str">
        <f ca="1"/>
        <v/>
      </c>
      <c r="AF331" s="180" t="str">
        <f ca="1"/>
        <v/>
      </c>
      <c r="AG331" s="180" t="str">
        <f ca="1"/>
        <v/>
      </c>
      <c r="AH331" s="180" t="str">
        <f ca="1"/>
        <v/>
      </c>
      <c r="AI331" s="180" t="str">
        <f ca="1"/>
        <v/>
      </c>
      <c r="AJ331" s="180" t="str">
        <f ca="1"/>
        <v/>
      </c>
      <c r="AK331" s="180" t="str">
        <f ca="1"/>
        <v/>
      </c>
      <c r="AL331" s="180" t="str">
        <f ca="1"/>
        <v/>
      </c>
      <c r="AM331" s="180" t="str">
        <f ca="1"/>
        <v/>
      </c>
      <c r="AN331" s="180" t="str">
        <f ca="1"/>
        <v/>
      </c>
      <c r="AO331" s="180" t="str">
        <f ca="1"/>
        <v/>
      </c>
      <c r="AP331" s="180" t="str">
        <f ca="1"/>
        <v/>
      </c>
      <c r="AQ331" s="187" t="str">
        <f ca="1"/>
        <v/>
      </c>
    </row>
    <row r="332" spans="2:43" x14ac:dyDescent="0.25">
      <c r="B332" s="179" t="str">
        <f ca="1"/>
        <v/>
      </c>
      <c r="C332" s="180" t="str">
        <f ca="1"/>
        <v/>
      </c>
      <c r="D332" s="180" t="str">
        <f ca="1"/>
        <v/>
      </c>
      <c r="E332" s="180" t="str">
        <f ca="1"/>
        <v/>
      </c>
      <c r="F332" s="180" t="str">
        <f ca="1"/>
        <v/>
      </c>
      <c r="G332" s="180" t="str">
        <f ca="1"/>
        <v/>
      </c>
      <c r="H332" s="180" t="str">
        <f ca="1"/>
        <v/>
      </c>
      <c r="I332" s="180" t="str">
        <f ca="1"/>
        <v/>
      </c>
      <c r="J332" s="180" t="str">
        <f ca="1"/>
        <v/>
      </c>
      <c r="K332" s="180" t="str">
        <f ca="1"/>
        <v/>
      </c>
      <c r="L332" s="180" t="str">
        <f ca="1"/>
        <v/>
      </c>
      <c r="M332" s="180" t="str">
        <f ca="1"/>
        <v/>
      </c>
      <c r="N332" s="180" t="str">
        <f ca="1"/>
        <v/>
      </c>
      <c r="O332" s="180" t="str">
        <f ca="1"/>
        <v/>
      </c>
      <c r="P332" s="180" t="str">
        <f ca="1"/>
        <v/>
      </c>
      <c r="Q332" s="180" t="str">
        <f ca="1"/>
        <v/>
      </c>
      <c r="R332" s="180" t="str">
        <f ca="1"/>
        <v/>
      </c>
      <c r="S332" s="180" t="str">
        <f ca="1"/>
        <v/>
      </c>
      <c r="T332" s="180" t="str">
        <f ca="1"/>
        <v/>
      </c>
      <c r="U332" s="180" t="str">
        <f ca="1"/>
        <v/>
      </c>
      <c r="V332" s="180" t="str">
        <f ca="1"/>
        <v/>
      </c>
      <c r="W332" s="180" t="str">
        <f ca="1"/>
        <v/>
      </c>
      <c r="X332" s="180" t="str">
        <f ca="1"/>
        <v/>
      </c>
      <c r="Y332" s="180" t="str">
        <f ca="1"/>
        <v/>
      </c>
      <c r="Z332" s="180" t="str">
        <f ca="1"/>
        <v/>
      </c>
      <c r="AA332" s="180" t="str">
        <f ca="1"/>
        <v/>
      </c>
      <c r="AB332" s="180" t="str">
        <f ca="1"/>
        <v/>
      </c>
      <c r="AC332" s="180" t="str">
        <f ca="1"/>
        <v/>
      </c>
      <c r="AD332" s="180" t="str">
        <f ca="1"/>
        <v/>
      </c>
      <c r="AE332" s="180" t="str">
        <f ca="1"/>
        <v/>
      </c>
      <c r="AF332" s="180" t="str">
        <f ca="1"/>
        <v/>
      </c>
      <c r="AG332" s="180" t="str">
        <f ca="1"/>
        <v/>
      </c>
      <c r="AH332" s="180" t="str">
        <f ca="1"/>
        <v/>
      </c>
      <c r="AI332" s="180" t="str">
        <f ca="1"/>
        <v/>
      </c>
      <c r="AJ332" s="180" t="str">
        <f ca="1"/>
        <v/>
      </c>
      <c r="AK332" s="180" t="str">
        <f ca="1"/>
        <v/>
      </c>
      <c r="AL332" s="180" t="str">
        <f ca="1"/>
        <v/>
      </c>
      <c r="AM332" s="180" t="str">
        <f ca="1"/>
        <v/>
      </c>
      <c r="AN332" s="180" t="str">
        <f ca="1"/>
        <v/>
      </c>
      <c r="AO332" s="180" t="str">
        <f ca="1"/>
        <v/>
      </c>
      <c r="AP332" s="180" t="str">
        <f ca="1"/>
        <v/>
      </c>
      <c r="AQ332" s="187" t="str">
        <f ca="1"/>
        <v/>
      </c>
    </row>
    <row r="333" spans="2:43" x14ac:dyDescent="0.25">
      <c r="B333" s="179" t="str">
        <f ca="1"/>
        <v/>
      </c>
      <c r="C333" s="180" t="str">
        <f ca="1"/>
        <v/>
      </c>
      <c r="D333" s="180" t="str">
        <f ca="1"/>
        <v/>
      </c>
      <c r="E333" s="180" t="str">
        <f ca="1"/>
        <v/>
      </c>
      <c r="F333" s="180" t="str">
        <f ca="1"/>
        <v/>
      </c>
      <c r="G333" s="180" t="str">
        <f ca="1"/>
        <v/>
      </c>
      <c r="H333" s="180" t="str">
        <f ca="1"/>
        <v/>
      </c>
      <c r="I333" s="180" t="str">
        <f ca="1"/>
        <v/>
      </c>
      <c r="J333" s="180" t="str">
        <f ca="1"/>
        <v/>
      </c>
      <c r="K333" s="180" t="str">
        <f ca="1"/>
        <v/>
      </c>
      <c r="L333" s="180" t="str">
        <f ca="1"/>
        <v/>
      </c>
      <c r="M333" s="180" t="str">
        <f ca="1"/>
        <v/>
      </c>
      <c r="N333" s="180" t="str">
        <f ca="1"/>
        <v/>
      </c>
      <c r="O333" s="180" t="str">
        <f ca="1"/>
        <v/>
      </c>
      <c r="P333" s="180" t="str">
        <f ca="1"/>
        <v/>
      </c>
      <c r="Q333" s="180" t="str">
        <f ca="1"/>
        <v/>
      </c>
      <c r="R333" s="180" t="str">
        <f ca="1"/>
        <v/>
      </c>
      <c r="S333" s="180" t="str">
        <f ca="1"/>
        <v/>
      </c>
      <c r="T333" s="180" t="str">
        <f ca="1"/>
        <v/>
      </c>
      <c r="U333" s="180" t="str">
        <f ca="1"/>
        <v/>
      </c>
      <c r="V333" s="180" t="str">
        <f ca="1"/>
        <v/>
      </c>
      <c r="W333" s="180" t="str">
        <f ca="1"/>
        <v/>
      </c>
      <c r="X333" s="180" t="str">
        <f ca="1"/>
        <v/>
      </c>
      <c r="Y333" s="180" t="str">
        <f ca="1"/>
        <v/>
      </c>
      <c r="Z333" s="180" t="str">
        <f ca="1"/>
        <v/>
      </c>
      <c r="AA333" s="180" t="str">
        <f ca="1"/>
        <v/>
      </c>
      <c r="AB333" s="180" t="str">
        <f ca="1"/>
        <v/>
      </c>
      <c r="AC333" s="180" t="str">
        <f ca="1"/>
        <v/>
      </c>
      <c r="AD333" s="180" t="str">
        <f ca="1"/>
        <v/>
      </c>
      <c r="AE333" s="180" t="str">
        <f ca="1"/>
        <v/>
      </c>
      <c r="AF333" s="180" t="str">
        <f ca="1"/>
        <v/>
      </c>
      <c r="AG333" s="180" t="str">
        <f ca="1"/>
        <v/>
      </c>
      <c r="AH333" s="180" t="str">
        <f ca="1"/>
        <v/>
      </c>
      <c r="AI333" s="180" t="str">
        <f ca="1"/>
        <v/>
      </c>
      <c r="AJ333" s="180" t="str">
        <f ca="1"/>
        <v/>
      </c>
      <c r="AK333" s="180" t="str">
        <f ca="1"/>
        <v/>
      </c>
      <c r="AL333" s="180" t="str">
        <f ca="1"/>
        <v/>
      </c>
      <c r="AM333" s="180" t="str">
        <f ca="1"/>
        <v/>
      </c>
      <c r="AN333" s="180" t="str">
        <f ca="1"/>
        <v/>
      </c>
      <c r="AO333" s="180" t="str">
        <f ca="1"/>
        <v/>
      </c>
      <c r="AP333" s="180" t="str">
        <f ca="1"/>
        <v/>
      </c>
      <c r="AQ333" s="187" t="str">
        <f ca="1"/>
        <v/>
      </c>
    </row>
    <row r="334" spans="2:43" x14ac:dyDescent="0.25">
      <c r="B334" s="179" t="str">
        <f ca="1"/>
        <v/>
      </c>
      <c r="C334" s="180" t="str">
        <f ca="1"/>
        <v/>
      </c>
      <c r="D334" s="180" t="str">
        <f ca="1"/>
        <v/>
      </c>
      <c r="E334" s="180" t="str">
        <f ca="1"/>
        <v/>
      </c>
      <c r="F334" s="180" t="str">
        <f ca="1"/>
        <v/>
      </c>
      <c r="G334" s="180" t="str">
        <f ca="1"/>
        <v/>
      </c>
      <c r="H334" s="180" t="str">
        <f ca="1"/>
        <v/>
      </c>
      <c r="I334" s="180" t="str">
        <f ca="1"/>
        <v/>
      </c>
      <c r="J334" s="180" t="str">
        <f ca="1"/>
        <v/>
      </c>
      <c r="K334" s="180" t="str">
        <f ca="1"/>
        <v/>
      </c>
      <c r="L334" s="180" t="str">
        <f ca="1"/>
        <v/>
      </c>
      <c r="M334" s="180" t="str">
        <f ca="1"/>
        <v/>
      </c>
      <c r="N334" s="180" t="str">
        <f ca="1"/>
        <v/>
      </c>
      <c r="O334" s="180" t="str">
        <f ca="1"/>
        <v/>
      </c>
      <c r="P334" s="180" t="str">
        <f ca="1"/>
        <v/>
      </c>
      <c r="Q334" s="180" t="str">
        <f ca="1"/>
        <v/>
      </c>
      <c r="R334" s="180" t="str">
        <f ca="1"/>
        <v/>
      </c>
      <c r="S334" s="180" t="str">
        <f ca="1"/>
        <v/>
      </c>
      <c r="T334" s="180" t="str">
        <f ca="1"/>
        <v/>
      </c>
      <c r="U334" s="180" t="str">
        <f ca="1"/>
        <v/>
      </c>
      <c r="V334" s="180" t="str">
        <f ca="1"/>
        <v/>
      </c>
      <c r="W334" s="180" t="str">
        <f ca="1"/>
        <v/>
      </c>
      <c r="X334" s="180" t="str">
        <f ca="1"/>
        <v/>
      </c>
      <c r="Y334" s="180" t="str">
        <f ca="1"/>
        <v/>
      </c>
      <c r="Z334" s="180" t="str">
        <f ca="1"/>
        <v/>
      </c>
      <c r="AA334" s="180" t="str">
        <f ca="1"/>
        <v/>
      </c>
      <c r="AB334" s="180" t="str">
        <f ca="1"/>
        <v/>
      </c>
      <c r="AC334" s="180" t="str">
        <f ca="1"/>
        <v/>
      </c>
      <c r="AD334" s="180" t="str">
        <f ca="1"/>
        <v/>
      </c>
      <c r="AE334" s="180" t="str">
        <f ca="1"/>
        <v/>
      </c>
      <c r="AF334" s="180" t="str">
        <f ca="1"/>
        <v/>
      </c>
      <c r="AG334" s="180" t="str">
        <f ca="1"/>
        <v/>
      </c>
      <c r="AH334" s="180" t="str">
        <f ca="1"/>
        <v/>
      </c>
      <c r="AI334" s="180" t="str">
        <f ca="1"/>
        <v/>
      </c>
      <c r="AJ334" s="180" t="str">
        <f ca="1"/>
        <v/>
      </c>
      <c r="AK334" s="180" t="str">
        <f ca="1"/>
        <v/>
      </c>
      <c r="AL334" s="180" t="str">
        <f ca="1"/>
        <v/>
      </c>
      <c r="AM334" s="180" t="str">
        <f ca="1"/>
        <v/>
      </c>
      <c r="AN334" s="180" t="str">
        <f ca="1"/>
        <v/>
      </c>
      <c r="AO334" s="180" t="str">
        <f ca="1"/>
        <v/>
      </c>
      <c r="AP334" s="180" t="str">
        <f ca="1"/>
        <v/>
      </c>
      <c r="AQ334" s="187" t="str">
        <f ca="1"/>
        <v/>
      </c>
    </row>
    <row r="335" spans="2:43" x14ac:dyDescent="0.25">
      <c r="B335" s="179" t="str">
        <f ca="1"/>
        <v/>
      </c>
      <c r="C335" s="180" t="str">
        <f ca="1"/>
        <v/>
      </c>
      <c r="D335" s="180" t="str">
        <f ca="1"/>
        <v/>
      </c>
      <c r="E335" s="180" t="str">
        <f ca="1"/>
        <v/>
      </c>
      <c r="F335" s="180" t="str">
        <f ca="1"/>
        <v/>
      </c>
      <c r="G335" s="180" t="str">
        <f ca="1"/>
        <v/>
      </c>
      <c r="H335" s="180" t="str">
        <f ca="1"/>
        <v/>
      </c>
      <c r="I335" s="180" t="str">
        <f ca="1"/>
        <v/>
      </c>
      <c r="J335" s="180" t="str">
        <f ca="1"/>
        <v/>
      </c>
      <c r="K335" s="180" t="str">
        <f ca="1"/>
        <v/>
      </c>
      <c r="L335" s="180" t="str">
        <f ca="1"/>
        <v/>
      </c>
      <c r="M335" s="180" t="str">
        <f ca="1"/>
        <v/>
      </c>
      <c r="N335" s="180" t="str">
        <f ca="1"/>
        <v/>
      </c>
      <c r="O335" s="180" t="str">
        <f ca="1"/>
        <v/>
      </c>
      <c r="P335" s="180" t="str">
        <f ca="1"/>
        <v/>
      </c>
      <c r="Q335" s="180" t="str">
        <f ca="1"/>
        <v/>
      </c>
      <c r="R335" s="180" t="str">
        <f ca="1"/>
        <v/>
      </c>
      <c r="S335" s="180" t="str">
        <f ca="1"/>
        <v/>
      </c>
      <c r="T335" s="180" t="str">
        <f ca="1"/>
        <v/>
      </c>
      <c r="U335" s="180" t="str">
        <f ca="1"/>
        <v/>
      </c>
      <c r="V335" s="180" t="str">
        <f ca="1"/>
        <v/>
      </c>
      <c r="W335" s="180" t="str">
        <f ca="1"/>
        <v/>
      </c>
      <c r="X335" s="180" t="str">
        <f ca="1"/>
        <v/>
      </c>
      <c r="Y335" s="180" t="str">
        <f ca="1"/>
        <v/>
      </c>
      <c r="Z335" s="180" t="str">
        <f ca="1"/>
        <v/>
      </c>
      <c r="AA335" s="180" t="str">
        <f ca="1"/>
        <v/>
      </c>
      <c r="AB335" s="180" t="str">
        <f ca="1"/>
        <v/>
      </c>
      <c r="AC335" s="180" t="str">
        <f ca="1"/>
        <v/>
      </c>
      <c r="AD335" s="180" t="str">
        <f ca="1"/>
        <v/>
      </c>
      <c r="AE335" s="180" t="str">
        <f ca="1"/>
        <v/>
      </c>
      <c r="AF335" s="180" t="str">
        <f ca="1"/>
        <v/>
      </c>
      <c r="AG335" s="180" t="str">
        <f ca="1"/>
        <v/>
      </c>
      <c r="AH335" s="180" t="str">
        <f ca="1"/>
        <v/>
      </c>
      <c r="AI335" s="180" t="str">
        <f ca="1"/>
        <v/>
      </c>
      <c r="AJ335" s="180" t="str">
        <f ca="1"/>
        <v/>
      </c>
      <c r="AK335" s="180" t="str">
        <f ca="1"/>
        <v/>
      </c>
      <c r="AL335" s="180" t="str">
        <f ca="1"/>
        <v/>
      </c>
      <c r="AM335" s="180" t="str">
        <f ca="1"/>
        <v/>
      </c>
      <c r="AN335" s="180" t="str">
        <f ca="1"/>
        <v/>
      </c>
      <c r="AO335" s="180" t="str">
        <f ca="1"/>
        <v/>
      </c>
      <c r="AP335" s="180" t="str">
        <f ca="1"/>
        <v/>
      </c>
      <c r="AQ335" s="187" t="str">
        <f ca="1"/>
        <v/>
      </c>
    </row>
    <row r="336" spans="2:43" x14ac:dyDescent="0.25">
      <c r="B336" s="179" t="str">
        <f ca="1"/>
        <v/>
      </c>
      <c r="C336" s="180" t="str">
        <f ca="1"/>
        <v/>
      </c>
      <c r="D336" s="180" t="str">
        <f ca="1"/>
        <v/>
      </c>
      <c r="E336" s="180" t="str">
        <f ca="1"/>
        <v/>
      </c>
      <c r="F336" s="180" t="str">
        <f ca="1"/>
        <v/>
      </c>
      <c r="G336" s="180" t="str">
        <f ca="1"/>
        <v/>
      </c>
      <c r="H336" s="180" t="str">
        <f ca="1"/>
        <v/>
      </c>
      <c r="I336" s="180" t="str">
        <f ca="1"/>
        <v/>
      </c>
      <c r="J336" s="180" t="str">
        <f ca="1"/>
        <v/>
      </c>
      <c r="K336" s="180" t="str">
        <f ca="1"/>
        <v/>
      </c>
      <c r="L336" s="180" t="str">
        <f ca="1"/>
        <v/>
      </c>
      <c r="M336" s="180" t="str">
        <f ca="1"/>
        <v/>
      </c>
      <c r="N336" s="180" t="str">
        <f ca="1"/>
        <v/>
      </c>
      <c r="O336" s="180" t="str">
        <f ca="1"/>
        <v/>
      </c>
      <c r="P336" s="180" t="str">
        <f ca="1"/>
        <v/>
      </c>
      <c r="Q336" s="180" t="str">
        <f ca="1"/>
        <v/>
      </c>
      <c r="R336" s="180" t="str">
        <f ca="1"/>
        <v/>
      </c>
      <c r="S336" s="180" t="str">
        <f ca="1"/>
        <v/>
      </c>
      <c r="T336" s="180" t="str">
        <f ca="1"/>
        <v/>
      </c>
      <c r="U336" s="180" t="str">
        <f ca="1"/>
        <v/>
      </c>
      <c r="V336" s="180" t="str">
        <f ca="1"/>
        <v/>
      </c>
      <c r="W336" s="180" t="str">
        <f ca="1"/>
        <v/>
      </c>
      <c r="X336" s="180" t="str">
        <f ca="1"/>
        <v/>
      </c>
      <c r="Y336" s="180" t="str">
        <f ca="1"/>
        <v/>
      </c>
      <c r="Z336" s="180" t="str">
        <f ca="1"/>
        <v/>
      </c>
      <c r="AA336" s="180" t="str">
        <f ca="1"/>
        <v/>
      </c>
      <c r="AB336" s="180" t="str">
        <f ca="1"/>
        <v/>
      </c>
      <c r="AC336" s="180" t="str">
        <f ca="1"/>
        <v/>
      </c>
      <c r="AD336" s="180" t="str">
        <f ca="1"/>
        <v/>
      </c>
      <c r="AE336" s="180" t="str">
        <f ca="1"/>
        <v/>
      </c>
      <c r="AF336" s="180" t="str">
        <f ca="1"/>
        <v/>
      </c>
      <c r="AG336" s="180" t="str">
        <f ca="1"/>
        <v/>
      </c>
      <c r="AH336" s="180" t="str">
        <f ca="1"/>
        <v/>
      </c>
      <c r="AI336" s="180" t="str">
        <f ca="1"/>
        <v/>
      </c>
      <c r="AJ336" s="180" t="str">
        <f ca="1"/>
        <v/>
      </c>
      <c r="AK336" s="180" t="str">
        <f ca="1"/>
        <v/>
      </c>
      <c r="AL336" s="180" t="str">
        <f ca="1"/>
        <v/>
      </c>
      <c r="AM336" s="180" t="str">
        <f ca="1"/>
        <v/>
      </c>
      <c r="AN336" s="180" t="str">
        <f ca="1"/>
        <v/>
      </c>
      <c r="AO336" s="180" t="str">
        <f ca="1"/>
        <v/>
      </c>
      <c r="AP336" s="180" t="str">
        <f ca="1"/>
        <v/>
      </c>
      <c r="AQ336" s="187" t="str">
        <f ca="1"/>
        <v/>
      </c>
    </row>
    <row r="337" spans="2:43" x14ac:dyDescent="0.25">
      <c r="B337" s="179" t="str">
        <f ca="1"/>
        <v/>
      </c>
      <c r="C337" s="180" t="str">
        <f ca="1"/>
        <v/>
      </c>
      <c r="D337" s="180" t="str">
        <f ca="1"/>
        <v/>
      </c>
      <c r="E337" s="180" t="str">
        <f ca="1"/>
        <v/>
      </c>
      <c r="F337" s="180" t="str">
        <f ca="1"/>
        <v/>
      </c>
      <c r="G337" s="180" t="str">
        <f ca="1"/>
        <v/>
      </c>
      <c r="H337" s="180" t="str">
        <f ca="1"/>
        <v/>
      </c>
      <c r="I337" s="180" t="str">
        <f ca="1"/>
        <v/>
      </c>
      <c r="J337" s="180" t="str">
        <f ca="1"/>
        <v/>
      </c>
      <c r="K337" s="180" t="str">
        <f ca="1"/>
        <v/>
      </c>
      <c r="L337" s="180" t="str">
        <f ca="1"/>
        <v/>
      </c>
      <c r="M337" s="180" t="str">
        <f ca="1"/>
        <v/>
      </c>
      <c r="N337" s="180" t="str">
        <f ca="1"/>
        <v/>
      </c>
      <c r="O337" s="180" t="str">
        <f ca="1"/>
        <v/>
      </c>
      <c r="P337" s="180" t="str">
        <f ca="1"/>
        <v/>
      </c>
      <c r="Q337" s="180" t="str">
        <f ca="1"/>
        <v/>
      </c>
      <c r="R337" s="180" t="str">
        <f ca="1"/>
        <v/>
      </c>
      <c r="S337" s="180" t="str">
        <f ca="1"/>
        <v/>
      </c>
      <c r="T337" s="180" t="str">
        <f ca="1"/>
        <v/>
      </c>
      <c r="U337" s="180" t="str">
        <f ca="1"/>
        <v/>
      </c>
      <c r="V337" s="180" t="str">
        <f ca="1"/>
        <v/>
      </c>
      <c r="W337" s="180" t="str">
        <f ca="1"/>
        <v/>
      </c>
      <c r="X337" s="180" t="str">
        <f ca="1"/>
        <v/>
      </c>
      <c r="Y337" s="180" t="str">
        <f ca="1"/>
        <v/>
      </c>
      <c r="Z337" s="180" t="str">
        <f ca="1"/>
        <v/>
      </c>
      <c r="AA337" s="180" t="str">
        <f ca="1"/>
        <v/>
      </c>
      <c r="AB337" s="180" t="str">
        <f ca="1"/>
        <v/>
      </c>
      <c r="AC337" s="180" t="str">
        <f ca="1"/>
        <v/>
      </c>
      <c r="AD337" s="180" t="str">
        <f ca="1"/>
        <v/>
      </c>
      <c r="AE337" s="180" t="str">
        <f ca="1"/>
        <v/>
      </c>
      <c r="AF337" s="180" t="str">
        <f ca="1"/>
        <v/>
      </c>
      <c r="AG337" s="180" t="str">
        <f ca="1"/>
        <v/>
      </c>
      <c r="AH337" s="180" t="str">
        <f ca="1"/>
        <v/>
      </c>
      <c r="AI337" s="180" t="str">
        <f ca="1"/>
        <v/>
      </c>
      <c r="AJ337" s="180" t="str">
        <f ca="1"/>
        <v/>
      </c>
      <c r="AK337" s="180" t="str">
        <f ca="1"/>
        <v/>
      </c>
      <c r="AL337" s="180" t="str">
        <f ca="1"/>
        <v/>
      </c>
      <c r="AM337" s="180" t="str">
        <f ca="1"/>
        <v/>
      </c>
      <c r="AN337" s="180" t="str">
        <f ca="1"/>
        <v/>
      </c>
      <c r="AO337" s="180" t="str">
        <f ca="1"/>
        <v/>
      </c>
      <c r="AP337" s="180" t="str">
        <f ca="1"/>
        <v/>
      </c>
      <c r="AQ337" s="187" t="str">
        <f ca="1"/>
        <v/>
      </c>
    </row>
    <row r="338" spans="2:43" x14ac:dyDescent="0.25">
      <c r="B338" s="179" t="str">
        <f ca="1"/>
        <v/>
      </c>
      <c r="C338" s="180" t="str">
        <f ca="1"/>
        <v/>
      </c>
      <c r="D338" s="180" t="str">
        <f ca="1"/>
        <v/>
      </c>
      <c r="E338" s="180" t="str">
        <f ca="1"/>
        <v/>
      </c>
      <c r="F338" s="180" t="str">
        <f ca="1"/>
        <v/>
      </c>
      <c r="G338" s="180" t="str">
        <f ca="1"/>
        <v/>
      </c>
      <c r="H338" s="180" t="str">
        <f ca="1"/>
        <v/>
      </c>
      <c r="I338" s="180" t="str">
        <f ca="1"/>
        <v/>
      </c>
      <c r="J338" s="180" t="str">
        <f ca="1"/>
        <v/>
      </c>
      <c r="K338" s="180" t="str">
        <f ca="1"/>
        <v/>
      </c>
      <c r="L338" s="180" t="str">
        <f ca="1"/>
        <v/>
      </c>
      <c r="M338" s="180" t="str">
        <f ca="1"/>
        <v/>
      </c>
      <c r="N338" s="180" t="str">
        <f ca="1"/>
        <v/>
      </c>
      <c r="O338" s="180" t="str">
        <f ca="1"/>
        <v/>
      </c>
      <c r="P338" s="180" t="str">
        <f ca="1"/>
        <v/>
      </c>
      <c r="Q338" s="180" t="str">
        <f ca="1"/>
        <v/>
      </c>
      <c r="R338" s="180" t="str">
        <f ca="1"/>
        <v/>
      </c>
      <c r="S338" s="180" t="str">
        <f ca="1"/>
        <v/>
      </c>
      <c r="T338" s="180" t="str">
        <f ca="1"/>
        <v/>
      </c>
      <c r="U338" s="180" t="str">
        <f ca="1"/>
        <v/>
      </c>
      <c r="V338" s="180" t="str">
        <f ca="1"/>
        <v/>
      </c>
      <c r="W338" s="180" t="str">
        <f ca="1"/>
        <v/>
      </c>
      <c r="X338" s="180" t="str">
        <f ca="1"/>
        <v/>
      </c>
      <c r="Y338" s="180" t="str">
        <f ca="1"/>
        <v/>
      </c>
      <c r="Z338" s="180" t="str">
        <f ca="1"/>
        <v/>
      </c>
      <c r="AA338" s="180" t="str">
        <f ca="1"/>
        <v/>
      </c>
      <c r="AB338" s="180" t="str">
        <f ca="1"/>
        <v/>
      </c>
      <c r="AC338" s="180" t="str">
        <f ca="1"/>
        <v/>
      </c>
      <c r="AD338" s="180" t="str">
        <f ca="1"/>
        <v/>
      </c>
      <c r="AE338" s="180" t="str">
        <f ca="1"/>
        <v/>
      </c>
      <c r="AF338" s="180" t="str">
        <f ca="1"/>
        <v/>
      </c>
      <c r="AG338" s="180" t="str">
        <f ca="1"/>
        <v/>
      </c>
      <c r="AH338" s="180" t="str">
        <f ca="1"/>
        <v/>
      </c>
      <c r="AI338" s="180" t="str">
        <f ca="1"/>
        <v/>
      </c>
      <c r="AJ338" s="180" t="str">
        <f ca="1"/>
        <v/>
      </c>
      <c r="AK338" s="180" t="str">
        <f ca="1"/>
        <v/>
      </c>
      <c r="AL338" s="180" t="str">
        <f ca="1"/>
        <v/>
      </c>
      <c r="AM338" s="180" t="str">
        <f ca="1"/>
        <v/>
      </c>
      <c r="AN338" s="180" t="str">
        <f ca="1"/>
        <v/>
      </c>
      <c r="AO338" s="180" t="str">
        <f ca="1"/>
        <v/>
      </c>
      <c r="AP338" s="180" t="str">
        <f ca="1"/>
        <v/>
      </c>
      <c r="AQ338" s="187" t="str">
        <f ca="1"/>
        <v/>
      </c>
    </row>
    <row r="339" spans="2:43" x14ac:dyDescent="0.25">
      <c r="B339" s="179" t="str">
        <f ca="1"/>
        <v/>
      </c>
      <c r="C339" s="180" t="str">
        <f ca="1"/>
        <v/>
      </c>
      <c r="D339" s="180" t="str">
        <f ca="1"/>
        <v/>
      </c>
      <c r="E339" s="180" t="str">
        <f ca="1"/>
        <v/>
      </c>
      <c r="F339" s="180" t="str">
        <f ca="1"/>
        <v/>
      </c>
      <c r="G339" s="180" t="str">
        <f ca="1"/>
        <v/>
      </c>
      <c r="H339" s="180" t="str">
        <f ca="1"/>
        <v/>
      </c>
      <c r="I339" s="180" t="str">
        <f ca="1"/>
        <v/>
      </c>
      <c r="J339" s="180" t="str">
        <f ca="1"/>
        <v/>
      </c>
      <c r="K339" s="180" t="str">
        <f ca="1"/>
        <v/>
      </c>
      <c r="L339" s="180" t="str">
        <f ca="1"/>
        <v/>
      </c>
      <c r="M339" s="180" t="str">
        <f ca="1"/>
        <v/>
      </c>
      <c r="N339" s="180" t="str">
        <f ca="1"/>
        <v/>
      </c>
      <c r="O339" s="180" t="str">
        <f ca="1"/>
        <v/>
      </c>
      <c r="P339" s="180" t="str">
        <f ca="1"/>
        <v/>
      </c>
      <c r="Q339" s="180" t="str">
        <f ca="1"/>
        <v/>
      </c>
      <c r="R339" s="180" t="str">
        <f ca="1"/>
        <v/>
      </c>
      <c r="S339" s="180" t="str">
        <f ca="1"/>
        <v/>
      </c>
      <c r="T339" s="180" t="str">
        <f ca="1"/>
        <v/>
      </c>
      <c r="U339" s="180" t="str">
        <f ca="1"/>
        <v/>
      </c>
      <c r="V339" s="180" t="str">
        <f ca="1"/>
        <v/>
      </c>
      <c r="W339" s="180" t="str">
        <f ca="1"/>
        <v/>
      </c>
      <c r="X339" s="180" t="str">
        <f ca="1"/>
        <v/>
      </c>
      <c r="Y339" s="180" t="str">
        <f ca="1"/>
        <v/>
      </c>
      <c r="Z339" s="180" t="str">
        <f ca="1"/>
        <v/>
      </c>
      <c r="AA339" s="180" t="str">
        <f ca="1"/>
        <v/>
      </c>
      <c r="AB339" s="180" t="str">
        <f ca="1"/>
        <v/>
      </c>
      <c r="AC339" s="180" t="str">
        <f ca="1"/>
        <v/>
      </c>
      <c r="AD339" s="180" t="str">
        <f ca="1"/>
        <v/>
      </c>
      <c r="AE339" s="180" t="str">
        <f ca="1"/>
        <v/>
      </c>
      <c r="AF339" s="180" t="str">
        <f ca="1"/>
        <v/>
      </c>
      <c r="AG339" s="180" t="str">
        <f ca="1"/>
        <v/>
      </c>
      <c r="AH339" s="180" t="str">
        <f ca="1"/>
        <v/>
      </c>
      <c r="AI339" s="180" t="str">
        <f ca="1"/>
        <v/>
      </c>
      <c r="AJ339" s="180" t="str">
        <f ca="1"/>
        <v/>
      </c>
      <c r="AK339" s="180" t="str">
        <f ca="1"/>
        <v/>
      </c>
      <c r="AL339" s="180" t="str">
        <f ca="1"/>
        <v/>
      </c>
      <c r="AM339" s="180" t="str">
        <f ca="1"/>
        <v/>
      </c>
      <c r="AN339" s="180" t="str">
        <f ca="1"/>
        <v/>
      </c>
      <c r="AO339" s="180" t="str">
        <f ca="1"/>
        <v/>
      </c>
      <c r="AP339" s="180" t="str">
        <f ca="1"/>
        <v/>
      </c>
      <c r="AQ339" s="187" t="str">
        <f ca="1"/>
        <v/>
      </c>
    </row>
    <row r="340" spans="2:43" x14ac:dyDescent="0.25">
      <c r="B340" s="179" t="str">
        <f ca="1"/>
        <v/>
      </c>
      <c r="C340" s="180" t="str">
        <f ca="1"/>
        <v/>
      </c>
      <c r="D340" s="180" t="str">
        <f ca="1"/>
        <v/>
      </c>
      <c r="E340" s="180" t="str">
        <f ca="1"/>
        <v/>
      </c>
      <c r="F340" s="180" t="str">
        <f ca="1"/>
        <v/>
      </c>
      <c r="G340" s="180" t="str">
        <f ca="1"/>
        <v/>
      </c>
      <c r="H340" s="180" t="str">
        <f ca="1"/>
        <v/>
      </c>
      <c r="I340" s="180" t="str">
        <f ca="1"/>
        <v/>
      </c>
      <c r="J340" s="180" t="str">
        <f ca="1"/>
        <v/>
      </c>
      <c r="K340" s="180" t="str">
        <f ca="1"/>
        <v/>
      </c>
      <c r="L340" s="180" t="str">
        <f ca="1"/>
        <v/>
      </c>
      <c r="M340" s="180" t="str">
        <f ca="1"/>
        <v/>
      </c>
      <c r="N340" s="180" t="str">
        <f ca="1"/>
        <v/>
      </c>
      <c r="O340" s="180" t="str">
        <f ca="1"/>
        <v/>
      </c>
      <c r="P340" s="180" t="str">
        <f ca="1"/>
        <v/>
      </c>
      <c r="Q340" s="180" t="str">
        <f ca="1"/>
        <v/>
      </c>
      <c r="R340" s="180" t="str">
        <f ca="1"/>
        <v/>
      </c>
      <c r="S340" s="180" t="str">
        <f ca="1"/>
        <v/>
      </c>
      <c r="T340" s="180" t="str">
        <f ca="1"/>
        <v/>
      </c>
      <c r="U340" s="180" t="str">
        <f ca="1"/>
        <v/>
      </c>
      <c r="V340" s="180" t="str">
        <f ca="1"/>
        <v/>
      </c>
      <c r="W340" s="180" t="str">
        <f ca="1"/>
        <v/>
      </c>
      <c r="X340" s="180" t="str">
        <f ca="1"/>
        <v/>
      </c>
      <c r="Y340" s="180" t="str">
        <f ca="1"/>
        <v/>
      </c>
      <c r="Z340" s="180" t="str">
        <f ca="1"/>
        <v/>
      </c>
      <c r="AA340" s="180" t="str">
        <f ca="1"/>
        <v/>
      </c>
      <c r="AB340" s="180" t="str">
        <f ca="1"/>
        <v/>
      </c>
      <c r="AC340" s="180" t="str">
        <f ca="1"/>
        <v/>
      </c>
      <c r="AD340" s="180" t="str">
        <f ca="1"/>
        <v/>
      </c>
      <c r="AE340" s="180" t="str">
        <f ca="1"/>
        <v/>
      </c>
      <c r="AF340" s="180" t="str">
        <f ca="1"/>
        <v/>
      </c>
      <c r="AG340" s="180" t="str">
        <f ca="1"/>
        <v/>
      </c>
      <c r="AH340" s="180" t="str">
        <f ca="1"/>
        <v/>
      </c>
      <c r="AI340" s="180" t="str">
        <f ca="1"/>
        <v/>
      </c>
      <c r="AJ340" s="180" t="str">
        <f ca="1"/>
        <v/>
      </c>
      <c r="AK340" s="180" t="str">
        <f ca="1"/>
        <v/>
      </c>
      <c r="AL340" s="180" t="str">
        <f ca="1"/>
        <v/>
      </c>
      <c r="AM340" s="180" t="str">
        <f ca="1"/>
        <v/>
      </c>
      <c r="AN340" s="180" t="str">
        <f ca="1"/>
        <v/>
      </c>
      <c r="AO340" s="180" t="str">
        <f ca="1"/>
        <v/>
      </c>
      <c r="AP340" s="180" t="str">
        <f ca="1"/>
        <v/>
      </c>
      <c r="AQ340" s="187" t="str">
        <f ca="1"/>
        <v/>
      </c>
    </row>
    <row r="341" spans="2:43" x14ac:dyDescent="0.25">
      <c r="B341" s="179" t="str">
        <f ca="1"/>
        <v/>
      </c>
      <c r="C341" s="180" t="str">
        <f ca="1"/>
        <v/>
      </c>
      <c r="D341" s="180" t="str">
        <f ca="1"/>
        <v/>
      </c>
      <c r="E341" s="180" t="str">
        <f ca="1"/>
        <v/>
      </c>
      <c r="F341" s="180" t="str">
        <f ca="1"/>
        <v/>
      </c>
      <c r="G341" s="180" t="str">
        <f ca="1"/>
        <v/>
      </c>
      <c r="H341" s="180" t="str">
        <f ca="1"/>
        <v/>
      </c>
      <c r="I341" s="180" t="str">
        <f ca="1"/>
        <v/>
      </c>
      <c r="J341" s="180" t="str">
        <f ca="1"/>
        <v/>
      </c>
      <c r="K341" s="180" t="str">
        <f ca="1"/>
        <v/>
      </c>
      <c r="L341" s="180" t="str">
        <f ca="1"/>
        <v/>
      </c>
      <c r="M341" s="180" t="str">
        <f ca="1"/>
        <v/>
      </c>
      <c r="N341" s="180" t="str">
        <f ca="1"/>
        <v/>
      </c>
      <c r="O341" s="180" t="str">
        <f ca="1"/>
        <v/>
      </c>
      <c r="P341" s="180" t="str">
        <f ca="1"/>
        <v/>
      </c>
      <c r="Q341" s="180" t="str">
        <f ca="1"/>
        <v/>
      </c>
      <c r="R341" s="180" t="str">
        <f ca="1"/>
        <v/>
      </c>
      <c r="S341" s="180" t="str">
        <f ca="1"/>
        <v/>
      </c>
      <c r="T341" s="180" t="str">
        <f ca="1"/>
        <v/>
      </c>
      <c r="U341" s="180" t="str">
        <f ca="1"/>
        <v/>
      </c>
      <c r="V341" s="180" t="str">
        <f ca="1"/>
        <v/>
      </c>
      <c r="W341" s="180" t="str">
        <f ca="1"/>
        <v/>
      </c>
      <c r="X341" s="180" t="str">
        <f ca="1"/>
        <v/>
      </c>
      <c r="Y341" s="180" t="str">
        <f ca="1"/>
        <v/>
      </c>
      <c r="Z341" s="180" t="str">
        <f ca="1"/>
        <v/>
      </c>
      <c r="AA341" s="180" t="str">
        <f ca="1"/>
        <v/>
      </c>
      <c r="AB341" s="180" t="str">
        <f ca="1"/>
        <v/>
      </c>
      <c r="AC341" s="180" t="str">
        <f ca="1"/>
        <v/>
      </c>
      <c r="AD341" s="180" t="str">
        <f ca="1"/>
        <v/>
      </c>
      <c r="AE341" s="180" t="str">
        <f ca="1"/>
        <v/>
      </c>
      <c r="AF341" s="180" t="str">
        <f ca="1"/>
        <v/>
      </c>
      <c r="AG341" s="180" t="str">
        <f ca="1"/>
        <v/>
      </c>
      <c r="AH341" s="180" t="str">
        <f ca="1"/>
        <v/>
      </c>
      <c r="AI341" s="180" t="str">
        <f ca="1"/>
        <v/>
      </c>
      <c r="AJ341" s="180" t="str">
        <f ca="1"/>
        <v/>
      </c>
      <c r="AK341" s="180" t="str">
        <f ca="1"/>
        <v/>
      </c>
      <c r="AL341" s="180" t="str">
        <f ca="1"/>
        <v/>
      </c>
      <c r="AM341" s="180" t="str">
        <f ca="1"/>
        <v/>
      </c>
      <c r="AN341" s="180" t="str">
        <f ca="1"/>
        <v/>
      </c>
      <c r="AO341" s="180" t="str">
        <f ca="1"/>
        <v/>
      </c>
      <c r="AP341" s="180" t="str">
        <f ca="1"/>
        <v/>
      </c>
      <c r="AQ341" s="187" t="str">
        <f ca="1"/>
        <v/>
      </c>
    </row>
    <row r="342" spans="2:43" x14ac:dyDescent="0.25">
      <c r="B342" s="179" t="str">
        <f ca="1"/>
        <v/>
      </c>
      <c r="C342" s="180" t="str">
        <f ca="1"/>
        <v/>
      </c>
      <c r="D342" s="180" t="str">
        <f ca="1"/>
        <v/>
      </c>
      <c r="E342" s="180" t="str">
        <f ca="1"/>
        <v/>
      </c>
      <c r="F342" s="180" t="str">
        <f ca="1"/>
        <v/>
      </c>
      <c r="G342" s="180" t="str">
        <f ca="1"/>
        <v/>
      </c>
      <c r="H342" s="180" t="str">
        <f ca="1"/>
        <v/>
      </c>
      <c r="I342" s="180" t="str">
        <f ca="1"/>
        <v/>
      </c>
      <c r="J342" s="180" t="str">
        <f ca="1"/>
        <v/>
      </c>
      <c r="K342" s="180" t="str">
        <f ca="1"/>
        <v/>
      </c>
      <c r="L342" s="180" t="str">
        <f ca="1"/>
        <v/>
      </c>
      <c r="M342" s="180" t="str">
        <f ca="1"/>
        <v/>
      </c>
      <c r="N342" s="180" t="str">
        <f ca="1"/>
        <v/>
      </c>
      <c r="O342" s="180" t="str">
        <f ca="1"/>
        <v/>
      </c>
      <c r="P342" s="180" t="str">
        <f ca="1"/>
        <v/>
      </c>
      <c r="Q342" s="180" t="str">
        <f ca="1"/>
        <v/>
      </c>
      <c r="R342" s="180" t="str">
        <f ca="1"/>
        <v/>
      </c>
      <c r="S342" s="180" t="str">
        <f ca="1"/>
        <v/>
      </c>
      <c r="T342" s="180" t="str">
        <f ca="1"/>
        <v/>
      </c>
      <c r="U342" s="180" t="str">
        <f ca="1"/>
        <v/>
      </c>
      <c r="V342" s="180" t="str">
        <f ca="1"/>
        <v/>
      </c>
      <c r="W342" s="180" t="str">
        <f ca="1"/>
        <v/>
      </c>
      <c r="X342" s="180" t="str">
        <f ca="1"/>
        <v/>
      </c>
      <c r="Y342" s="180" t="str">
        <f ca="1"/>
        <v/>
      </c>
      <c r="Z342" s="180" t="str">
        <f ca="1"/>
        <v/>
      </c>
      <c r="AA342" s="180" t="str">
        <f ca="1"/>
        <v/>
      </c>
      <c r="AB342" s="180" t="str">
        <f ca="1"/>
        <v/>
      </c>
      <c r="AC342" s="180" t="str">
        <f ca="1"/>
        <v/>
      </c>
      <c r="AD342" s="180" t="str">
        <f ca="1"/>
        <v/>
      </c>
      <c r="AE342" s="180" t="str">
        <f ca="1"/>
        <v/>
      </c>
      <c r="AF342" s="180" t="str">
        <f ca="1"/>
        <v/>
      </c>
      <c r="AG342" s="180" t="str">
        <f ca="1"/>
        <v/>
      </c>
      <c r="AH342" s="180" t="str">
        <f ca="1"/>
        <v/>
      </c>
      <c r="AI342" s="180" t="str">
        <f ca="1"/>
        <v/>
      </c>
      <c r="AJ342" s="180" t="str">
        <f ca="1"/>
        <v/>
      </c>
      <c r="AK342" s="180" t="str">
        <f ca="1"/>
        <v/>
      </c>
      <c r="AL342" s="180" t="str">
        <f ca="1"/>
        <v/>
      </c>
      <c r="AM342" s="180" t="str">
        <f ca="1"/>
        <v/>
      </c>
      <c r="AN342" s="180" t="str">
        <f ca="1"/>
        <v/>
      </c>
      <c r="AO342" s="180" t="str">
        <f ca="1"/>
        <v/>
      </c>
      <c r="AP342" s="180" t="str">
        <f ca="1"/>
        <v/>
      </c>
      <c r="AQ342" s="187" t="str">
        <f ca="1"/>
        <v/>
      </c>
    </row>
    <row r="343" spans="2:43" x14ac:dyDescent="0.25">
      <c r="B343" s="179" t="str">
        <f ca="1"/>
        <v/>
      </c>
      <c r="C343" s="180" t="str">
        <f ca="1"/>
        <v/>
      </c>
      <c r="D343" s="180" t="str">
        <f ca="1"/>
        <v/>
      </c>
      <c r="E343" s="180" t="str">
        <f ca="1"/>
        <v/>
      </c>
      <c r="F343" s="180" t="str">
        <f ca="1"/>
        <v/>
      </c>
      <c r="G343" s="180" t="str">
        <f ca="1"/>
        <v/>
      </c>
      <c r="H343" s="180" t="str">
        <f ca="1"/>
        <v/>
      </c>
      <c r="I343" s="180" t="str">
        <f ca="1"/>
        <v/>
      </c>
      <c r="J343" s="180" t="str">
        <f ca="1"/>
        <v/>
      </c>
      <c r="K343" s="180" t="str">
        <f ca="1"/>
        <v/>
      </c>
      <c r="L343" s="180" t="str">
        <f ca="1"/>
        <v/>
      </c>
      <c r="M343" s="180" t="str">
        <f ca="1"/>
        <v/>
      </c>
      <c r="N343" s="180" t="str">
        <f ca="1"/>
        <v/>
      </c>
      <c r="O343" s="180" t="str">
        <f ca="1"/>
        <v/>
      </c>
      <c r="P343" s="180" t="str">
        <f ca="1"/>
        <v/>
      </c>
      <c r="Q343" s="180" t="str">
        <f ca="1"/>
        <v/>
      </c>
      <c r="R343" s="180" t="str">
        <f ca="1"/>
        <v/>
      </c>
      <c r="S343" s="180" t="str">
        <f ca="1"/>
        <v/>
      </c>
      <c r="T343" s="180" t="str">
        <f ca="1"/>
        <v/>
      </c>
      <c r="U343" s="180" t="str">
        <f ca="1"/>
        <v/>
      </c>
      <c r="V343" s="180" t="str">
        <f ca="1"/>
        <v/>
      </c>
      <c r="W343" s="180" t="str">
        <f ca="1"/>
        <v/>
      </c>
      <c r="X343" s="180" t="str">
        <f ca="1"/>
        <v/>
      </c>
      <c r="Y343" s="180" t="str">
        <f ca="1"/>
        <v/>
      </c>
      <c r="Z343" s="180" t="str">
        <f ca="1"/>
        <v/>
      </c>
      <c r="AA343" s="180" t="str">
        <f ca="1"/>
        <v/>
      </c>
      <c r="AB343" s="180" t="str">
        <f ca="1"/>
        <v/>
      </c>
      <c r="AC343" s="180" t="str">
        <f ca="1"/>
        <v/>
      </c>
      <c r="AD343" s="180" t="str">
        <f ca="1"/>
        <v/>
      </c>
      <c r="AE343" s="180" t="str">
        <f ca="1"/>
        <v/>
      </c>
      <c r="AF343" s="180" t="str">
        <f ca="1"/>
        <v/>
      </c>
      <c r="AG343" s="180" t="str">
        <f ca="1"/>
        <v/>
      </c>
      <c r="AH343" s="180" t="str">
        <f ca="1"/>
        <v/>
      </c>
      <c r="AI343" s="180" t="str">
        <f ca="1"/>
        <v/>
      </c>
      <c r="AJ343" s="180" t="str">
        <f ca="1"/>
        <v/>
      </c>
      <c r="AK343" s="180" t="str">
        <f ca="1"/>
        <v/>
      </c>
      <c r="AL343" s="180" t="str">
        <f ca="1"/>
        <v/>
      </c>
      <c r="AM343" s="180" t="str">
        <f ca="1"/>
        <v/>
      </c>
      <c r="AN343" s="180" t="str">
        <f ca="1"/>
        <v/>
      </c>
      <c r="AO343" s="180" t="str">
        <f ca="1"/>
        <v/>
      </c>
      <c r="AP343" s="180" t="str">
        <f ca="1"/>
        <v/>
      </c>
      <c r="AQ343" s="187" t="str">
        <f ca="1"/>
        <v/>
      </c>
    </row>
    <row r="344" spans="2:43" x14ac:dyDescent="0.25">
      <c r="B344" s="179" t="str">
        <f ca="1"/>
        <v/>
      </c>
      <c r="C344" s="180" t="str">
        <f ca="1"/>
        <v/>
      </c>
      <c r="D344" s="180" t="str">
        <f ca="1"/>
        <v/>
      </c>
      <c r="E344" s="180" t="str">
        <f ca="1"/>
        <v/>
      </c>
      <c r="F344" s="180" t="str">
        <f ca="1"/>
        <v/>
      </c>
      <c r="G344" s="180" t="str">
        <f ca="1"/>
        <v/>
      </c>
      <c r="H344" s="180" t="str">
        <f ca="1"/>
        <v/>
      </c>
      <c r="I344" s="180" t="str">
        <f ca="1"/>
        <v/>
      </c>
      <c r="J344" s="180" t="str">
        <f ca="1"/>
        <v/>
      </c>
      <c r="K344" s="180" t="str">
        <f ca="1"/>
        <v/>
      </c>
      <c r="L344" s="180" t="str">
        <f ca="1"/>
        <v/>
      </c>
      <c r="M344" s="180" t="str">
        <f ca="1"/>
        <v/>
      </c>
      <c r="N344" s="180" t="str">
        <f ca="1"/>
        <v/>
      </c>
      <c r="O344" s="180" t="str">
        <f ca="1"/>
        <v/>
      </c>
      <c r="P344" s="180" t="str">
        <f ca="1"/>
        <v/>
      </c>
      <c r="Q344" s="180" t="str">
        <f ca="1"/>
        <v/>
      </c>
      <c r="R344" s="180" t="str">
        <f ca="1"/>
        <v/>
      </c>
      <c r="S344" s="180" t="str">
        <f ca="1"/>
        <v/>
      </c>
      <c r="T344" s="180" t="str">
        <f ca="1"/>
        <v/>
      </c>
      <c r="U344" s="180" t="str">
        <f ca="1"/>
        <v/>
      </c>
      <c r="V344" s="180" t="str">
        <f ca="1"/>
        <v/>
      </c>
      <c r="W344" s="180" t="str">
        <f ca="1"/>
        <v/>
      </c>
      <c r="X344" s="180" t="str">
        <f ca="1"/>
        <v/>
      </c>
      <c r="Y344" s="180" t="str">
        <f ca="1"/>
        <v/>
      </c>
      <c r="Z344" s="180" t="str">
        <f ca="1"/>
        <v/>
      </c>
      <c r="AA344" s="180" t="str">
        <f ca="1"/>
        <v/>
      </c>
      <c r="AB344" s="180" t="str">
        <f ca="1"/>
        <v/>
      </c>
      <c r="AC344" s="180" t="str">
        <f ca="1"/>
        <v/>
      </c>
      <c r="AD344" s="180" t="str">
        <f ca="1"/>
        <v/>
      </c>
      <c r="AE344" s="180" t="str">
        <f ca="1"/>
        <v/>
      </c>
      <c r="AF344" s="180" t="str">
        <f ca="1"/>
        <v/>
      </c>
      <c r="AG344" s="180" t="str">
        <f ca="1"/>
        <v/>
      </c>
      <c r="AH344" s="180" t="str">
        <f ca="1"/>
        <v/>
      </c>
      <c r="AI344" s="180" t="str">
        <f ca="1"/>
        <v/>
      </c>
      <c r="AJ344" s="180" t="str">
        <f ca="1"/>
        <v/>
      </c>
      <c r="AK344" s="180" t="str">
        <f ca="1"/>
        <v/>
      </c>
      <c r="AL344" s="180" t="str">
        <f ca="1"/>
        <v/>
      </c>
      <c r="AM344" s="180" t="str">
        <f ca="1"/>
        <v/>
      </c>
      <c r="AN344" s="180" t="str">
        <f ca="1"/>
        <v/>
      </c>
      <c r="AO344" s="180" t="str">
        <f ca="1"/>
        <v/>
      </c>
      <c r="AP344" s="180" t="str">
        <f ca="1"/>
        <v/>
      </c>
      <c r="AQ344" s="187" t="str">
        <f ca="1"/>
        <v/>
      </c>
    </row>
    <row r="345" spans="2:43" x14ac:dyDescent="0.25">
      <c r="B345" s="179" t="str">
        <f ca="1"/>
        <v/>
      </c>
      <c r="C345" s="180" t="str">
        <f ca="1"/>
        <v/>
      </c>
      <c r="D345" s="180" t="str">
        <f ca="1"/>
        <v/>
      </c>
      <c r="E345" s="180" t="str">
        <f ca="1"/>
        <v/>
      </c>
      <c r="F345" s="180" t="str">
        <f ca="1"/>
        <v/>
      </c>
      <c r="G345" s="180" t="str">
        <f ca="1"/>
        <v/>
      </c>
      <c r="H345" s="180" t="str">
        <f ca="1"/>
        <v/>
      </c>
      <c r="I345" s="180" t="str">
        <f ca="1"/>
        <v/>
      </c>
      <c r="J345" s="180" t="str">
        <f ca="1"/>
        <v/>
      </c>
      <c r="K345" s="180" t="str">
        <f ca="1"/>
        <v/>
      </c>
      <c r="L345" s="180" t="str">
        <f ca="1"/>
        <v/>
      </c>
      <c r="M345" s="180" t="str">
        <f ca="1"/>
        <v/>
      </c>
      <c r="N345" s="180" t="str">
        <f ca="1"/>
        <v/>
      </c>
      <c r="O345" s="180" t="str">
        <f ca="1"/>
        <v/>
      </c>
      <c r="P345" s="180" t="str">
        <f ca="1"/>
        <v/>
      </c>
      <c r="Q345" s="180" t="str">
        <f ca="1"/>
        <v/>
      </c>
      <c r="R345" s="180" t="str">
        <f ca="1"/>
        <v/>
      </c>
      <c r="S345" s="180" t="str">
        <f ca="1"/>
        <v/>
      </c>
      <c r="T345" s="180" t="str">
        <f ca="1"/>
        <v/>
      </c>
      <c r="U345" s="180" t="str">
        <f ca="1"/>
        <v/>
      </c>
      <c r="V345" s="180" t="str">
        <f ca="1"/>
        <v/>
      </c>
      <c r="W345" s="180" t="str">
        <f ca="1"/>
        <v/>
      </c>
      <c r="X345" s="180" t="str">
        <f ca="1"/>
        <v/>
      </c>
      <c r="Y345" s="180" t="str">
        <f ca="1"/>
        <v/>
      </c>
      <c r="Z345" s="180" t="str">
        <f ca="1"/>
        <v/>
      </c>
      <c r="AA345" s="180" t="str">
        <f ca="1"/>
        <v/>
      </c>
      <c r="AB345" s="180" t="str">
        <f ca="1"/>
        <v/>
      </c>
      <c r="AC345" s="180" t="str">
        <f ca="1"/>
        <v/>
      </c>
      <c r="AD345" s="180" t="str">
        <f ca="1"/>
        <v/>
      </c>
      <c r="AE345" s="180" t="str">
        <f ca="1"/>
        <v/>
      </c>
      <c r="AF345" s="180" t="str">
        <f ca="1"/>
        <v/>
      </c>
      <c r="AG345" s="180" t="str">
        <f ca="1"/>
        <v/>
      </c>
      <c r="AH345" s="180" t="str">
        <f ca="1"/>
        <v/>
      </c>
      <c r="AI345" s="180" t="str">
        <f ca="1"/>
        <v/>
      </c>
      <c r="AJ345" s="180" t="str">
        <f ca="1"/>
        <v/>
      </c>
      <c r="AK345" s="180" t="str">
        <f ca="1"/>
        <v/>
      </c>
      <c r="AL345" s="180" t="str">
        <f ca="1"/>
        <v/>
      </c>
      <c r="AM345" s="180" t="str">
        <f ca="1"/>
        <v/>
      </c>
      <c r="AN345" s="180" t="str">
        <f ca="1"/>
        <v/>
      </c>
      <c r="AO345" s="180" t="str">
        <f ca="1"/>
        <v/>
      </c>
      <c r="AP345" s="180" t="str">
        <f ca="1"/>
        <v/>
      </c>
      <c r="AQ345" s="187" t="str">
        <f ca="1"/>
        <v/>
      </c>
    </row>
    <row r="346" spans="2:43" x14ac:dyDescent="0.25">
      <c r="B346" s="179" t="str">
        <f ca="1"/>
        <v/>
      </c>
      <c r="C346" s="180" t="str">
        <f ca="1"/>
        <v/>
      </c>
      <c r="D346" s="180" t="str">
        <f ca="1"/>
        <v/>
      </c>
      <c r="E346" s="180" t="str">
        <f ca="1"/>
        <v/>
      </c>
      <c r="F346" s="180" t="str">
        <f ca="1"/>
        <v/>
      </c>
      <c r="G346" s="180" t="str">
        <f ca="1"/>
        <v/>
      </c>
      <c r="H346" s="180" t="str">
        <f ca="1"/>
        <v/>
      </c>
      <c r="I346" s="180" t="str">
        <f ca="1"/>
        <v/>
      </c>
      <c r="J346" s="180" t="str">
        <f ca="1"/>
        <v/>
      </c>
      <c r="K346" s="180" t="str">
        <f ca="1"/>
        <v/>
      </c>
      <c r="L346" s="180" t="str">
        <f ca="1"/>
        <v/>
      </c>
      <c r="M346" s="180" t="str">
        <f ca="1"/>
        <v/>
      </c>
      <c r="N346" s="180" t="str">
        <f ca="1"/>
        <v/>
      </c>
      <c r="O346" s="180" t="str">
        <f ca="1"/>
        <v/>
      </c>
      <c r="P346" s="180" t="str">
        <f ca="1"/>
        <v/>
      </c>
      <c r="Q346" s="180" t="str">
        <f ca="1"/>
        <v/>
      </c>
      <c r="R346" s="180" t="str">
        <f ca="1"/>
        <v/>
      </c>
      <c r="S346" s="180" t="str">
        <f ca="1"/>
        <v/>
      </c>
      <c r="T346" s="180" t="str">
        <f ca="1"/>
        <v/>
      </c>
      <c r="U346" s="180" t="str">
        <f ca="1"/>
        <v/>
      </c>
      <c r="V346" s="180" t="str">
        <f ca="1"/>
        <v/>
      </c>
      <c r="W346" s="180" t="str">
        <f ca="1"/>
        <v/>
      </c>
      <c r="X346" s="180" t="str">
        <f ca="1"/>
        <v/>
      </c>
      <c r="Y346" s="180" t="str">
        <f ca="1"/>
        <v/>
      </c>
      <c r="Z346" s="180" t="str">
        <f ca="1"/>
        <v/>
      </c>
      <c r="AA346" s="180" t="str">
        <f ca="1"/>
        <v/>
      </c>
      <c r="AB346" s="180" t="str">
        <f ca="1"/>
        <v/>
      </c>
      <c r="AC346" s="180" t="str">
        <f ca="1"/>
        <v/>
      </c>
      <c r="AD346" s="180" t="str">
        <f ca="1"/>
        <v/>
      </c>
      <c r="AE346" s="180" t="str">
        <f ca="1"/>
        <v/>
      </c>
      <c r="AF346" s="180" t="str">
        <f ca="1"/>
        <v/>
      </c>
      <c r="AG346" s="180" t="str">
        <f ca="1"/>
        <v/>
      </c>
      <c r="AH346" s="180" t="str">
        <f ca="1"/>
        <v/>
      </c>
      <c r="AI346" s="180" t="str">
        <f ca="1"/>
        <v/>
      </c>
      <c r="AJ346" s="180" t="str">
        <f ca="1"/>
        <v/>
      </c>
      <c r="AK346" s="180" t="str">
        <f ca="1"/>
        <v/>
      </c>
      <c r="AL346" s="180" t="str">
        <f ca="1"/>
        <v/>
      </c>
      <c r="AM346" s="180" t="str">
        <f ca="1"/>
        <v/>
      </c>
      <c r="AN346" s="180" t="str">
        <f ca="1"/>
        <v/>
      </c>
      <c r="AO346" s="180" t="str">
        <f ca="1"/>
        <v/>
      </c>
      <c r="AP346" s="180" t="str">
        <f ca="1"/>
        <v/>
      </c>
      <c r="AQ346" s="187" t="str">
        <f ca="1"/>
        <v/>
      </c>
    </row>
    <row r="347" spans="2:43" x14ac:dyDescent="0.25">
      <c r="B347" s="179" t="str">
        <f ca="1"/>
        <v/>
      </c>
      <c r="C347" s="180" t="str">
        <f ca="1"/>
        <v/>
      </c>
      <c r="D347" s="180" t="str">
        <f ca="1"/>
        <v/>
      </c>
      <c r="E347" s="180" t="str">
        <f ca="1"/>
        <v/>
      </c>
      <c r="F347" s="180" t="str">
        <f ca="1"/>
        <v/>
      </c>
      <c r="G347" s="180" t="str">
        <f ca="1"/>
        <v/>
      </c>
      <c r="H347" s="180" t="str">
        <f ca="1"/>
        <v/>
      </c>
      <c r="I347" s="180" t="str">
        <f ca="1"/>
        <v/>
      </c>
      <c r="J347" s="180" t="str">
        <f ca="1"/>
        <v/>
      </c>
      <c r="K347" s="180" t="str">
        <f ca="1"/>
        <v/>
      </c>
      <c r="L347" s="180" t="str">
        <f ca="1"/>
        <v/>
      </c>
      <c r="M347" s="180" t="str">
        <f ca="1"/>
        <v/>
      </c>
      <c r="N347" s="180" t="str">
        <f ca="1"/>
        <v/>
      </c>
      <c r="O347" s="180" t="str">
        <f ca="1"/>
        <v/>
      </c>
      <c r="P347" s="180" t="str">
        <f ca="1"/>
        <v/>
      </c>
      <c r="Q347" s="180" t="str">
        <f ca="1"/>
        <v/>
      </c>
      <c r="R347" s="180" t="str">
        <f ca="1"/>
        <v/>
      </c>
      <c r="S347" s="180" t="str">
        <f ca="1"/>
        <v/>
      </c>
      <c r="T347" s="180" t="str">
        <f ca="1"/>
        <v/>
      </c>
      <c r="U347" s="180" t="str">
        <f ca="1"/>
        <v/>
      </c>
      <c r="V347" s="180" t="str">
        <f ca="1"/>
        <v/>
      </c>
      <c r="W347" s="180" t="str">
        <f ca="1"/>
        <v/>
      </c>
      <c r="X347" s="180" t="str">
        <f ca="1"/>
        <v/>
      </c>
      <c r="Y347" s="180" t="str">
        <f ca="1"/>
        <v/>
      </c>
      <c r="Z347" s="180" t="str">
        <f ca="1"/>
        <v/>
      </c>
      <c r="AA347" s="180" t="str">
        <f ca="1"/>
        <v/>
      </c>
      <c r="AB347" s="180" t="str">
        <f ca="1"/>
        <v/>
      </c>
      <c r="AC347" s="180" t="str">
        <f ca="1"/>
        <v/>
      </c>
      <c r="AD347" s="180" t="str">
        <f ca="1"/>
        <v/>
      </c>
      <c r="AE347" s="180" t="str">
        <f ca="1"/>
        <v/>
      </c>
      <c r="AF347" s="180" t="str">
        <f ca="1"/>
        <v/>
      </c>
      <c r="AG347" s="180" t="str">
        <f ca="1"/>
        <v/>
      </c>
      <c r="AH347" s="180" t="str">
        <f ca="1"/>
        <v/>
      </c>
      <c r="AI347" s="180" t="str">
        <f ca="1"/>
        <v/>
      </c>
      <c r="AJ347" s="180" t="str">
        <f ca="1"/>
        <v/>
      </c>
      <c r="AK347" s="180" t="str">
        <f ca="1"/>
        <v/>
      </c>
      <c r="AL347" s="180" t="str">
        <f ca="1"/>
        <v/>
      </c>
      <c r="AM347" s="180" t="str">
        <f ca="1"/>
        <v/>
      </c>
      <c r="AN347" s="180" t="str">
        <f ca="1"/>
        <v/>
      </c>
      <c r="AO347" s="180" t="str">
        <f ca="1"/>
        <v/>
      </c>
      <c r="AP347" s="180" t="str">
        <f ca="1"/>
        <v/>
      </c>
      <c r="AQ347" s="187" t="str">
        <f ca="1"/>
        <v/>
      </c>
    </row>
    <row r="348" spans="2:43" x14ac:dyDescent="0.25">
      <c r="B348" s="179" t="str">
        <f ca="1"/>
        <v/>
      </c>
      <c r="C348" s="180" t="str">
        <f ca="1"/>
        <v/>
      </c>
      <c r="D348" s="180" t="str">
        <f ca="1"/>
        <v/>
      </c>
      <c r="E348" s="180" t="str">
        <f ca="1"/>
        <v/>
      </c>
      <c r="F348" s="180" t="str">
        <f ca="1"/>
        <v/>
      </c>
      <c r="G348" s="180" t="str">
        <f ca="1"/>
        <v/>
      </c>
      <c r="H348" s="180" t="str">
        <f ca="1"/>
        <v/>
      </c>
      <c r="I348" s="180" t="str">
        <f ca="1"/>
        <v/>
      </c>
      <c r="J348" s="180" t="str">
        <f ca="1"/>
        <v/>
      </c>
      <c r="K348" s="180" t="str">
        <f ca="1"/>
        <v/>
      </c>
      <c r="L348" s="180" t="str">
        <f ca="1"/>
        <v/>
      </c>
      <c r="M348" s="180" t="str">
        <f ca="1"/>
        <v/>
      </c>
      <c r="N348" s="180" t="str">
        <f ca="1"/>
        <v/>
      </c>
      <c r="O348" s="180" t="str">
        <f ca="1"/>
        <v/>
      </c>
      <c r="P348" s="180" t="str">
        <f ca="1"/>
        <v/>
      </c>
      <c r="Q348" s="180" t="str">
        <f ca="1"/>
        <v/>
      </c>
      <c r="R348" s="180" t="str">
        <f ca="1"/>
        <v/>
      </c>
      <c r="S348" s="180" t="str">
        <f ca="1"/>
        <v/>
      </c>
      <c r="T348" s="180" t="str">
        <f ca="1"/>
        <v/>
      </c>
      <c r="U348" s="180" t="str">
        <f ca="1"/>
        <v/>
      </c>
      <c r="V348" s="180" t="str">
        <f ca="1"/>
        <v/>
      </c>
      <c r="W348" s="180" t="str">
        <f ca="1"/>
        <v/>
      </c>
      <c r="X348" s="180" t="str">
        <f ca="1"/>
        <v/>
      </c>
      <c r="Y348" s="180" t="str">
        <f ca="1"/>
        <v/>
      </c>
      <c r="Z348" s="180" t="str">
        <f ca="1"/>
        <v/>
      </c>
      <c r="AA348" s="180" t="str">
        <f ca="1"/>
        <v/>
      </c>
      <c r="AB348" s="180" t="str">
        <f ca="1"/>
        <v/>
      </c>
      <c r="AC348" s="180" t="str">
        <f ca="1"/>
        <v/>
      </c>
      <c r="AD348" s="180" t="str">
        <f ca="1"/>
        <v/>
      </c>
      <c r="AE348" s="180" t="str">
        <f ca="1"/>
        <v/>
      </c>
      <c r="AF348" s="180" t="str">
        <f ca="1"/>
        <v/>
      </c>
      <c r="AG348" s="180" t="str">
        <f ca="1"/>
        <v/>
      </c>
      <c r="AH348" s="180" t="str">
        <f ca="1"/>
        <v/>
      </c>
      <c r="AI348" s="180" t="str">
        <f ca="1"/>
        <v/>
      </c>
      <c r="AJ348" s="180" t="str">
        <f ca="1"/>
        <v/>
      </c>
      <c r="AK348" s="180" t="str">
        <f ca="1"/>
        <v/>
      </c>
      <c r="AL348" s="180" t="str">
        <f ca="1"/>
        <v/>
      </c>
      <c r="AM348" s="180" t="str">
        <f ca="1"/>
        <v/>
      </c>
      <c r="AN348" s="180" t="str">
        <f ca="1"/>
        <v/>
      </c>
      <c r="AO348" s="180" t="str">
        <f ca="1"/>
        <v/>
      </c>
      <c r="AP348" s="180" t="str">
        <f ca="1"/>
        <v/>
      </c>
      <c r="AQ348" s="187" t="str">
        <f ca="1"/>
        <v/>
      </c>
    </row>
    <row r="349" spans="2:43" x14ac:dyDescent="0.25">
      <c r="B349" s="179" t="str">
        <f ca="1"/>
        <v/>
      </c>
      <c r="C349" s="180" t="str">
        <f ca="1"/>
        <v/>
      </c>
      <c r="D349" s="180" t="str">
        <f ca="1"/>
        <v/>
      </c>
      <c r="E349" s="180" t="str">
        <f ca="1"/>
        <v/>
      </c>
      <c r="F349" s="180" t="str">
        <f ca="1"/>
        <v/>
      </c>
      <c r="G349" s="180" t="str">
        <f ca="1"/>
        <v/>
      </c>
      <c r="H349" s="180" t="str">
        <f ca="1"/>
        <v/>
      </c>
      <c r="I349" s="180" t="str">
        <f ca="1"/>
        <v/>
      </c>
      <c r="J349" s="180" t="str">
        <f ca="1"/>
        <v/>
      </c>
      <c r="K349" s="180" t="str">
        <f ca="1"/>
        <v/>
      </c>
      <c r="L349" s="180" t="str">
        <f ca="1"/>
        <v/>
      </c>
      <c r="M349" s="180" t="str">
        <f ca="1"/>
        <v/>
      </c>
      <c r="N349" s="180" t="str">
        <f ca="1"/>
        <v/>
      </c>
      <c r="O349" s="180" t="str">
        <f ca="1"/>
        <v/>
      </c>
      <c r="P349" s="180" t="str">
        <f ca="1"/>
        <v/>
      </c>
      <c r="Q349" s="180" t="str">
        <f ca="1"/>
        <v/>
      </c>
      <c r="R349" s="180" t="str">
        <f ca="1"/>
        <v/>
      </c>
      <c r="S349" s="180" t="str">
        <f ca="1"/>
        <v/>
      </c>
      <c r="T349" s="180" t="str">
        <f ca="1"/>
        <v/>
      </c>
      <c r="U349" s="180" t="str">
        <f ca="1"/>
        <v/>
      </c>
      <c r="V349" s="180" t="str">
        <f ca="1"/>
        <v/>
      </c>
      <c r="W349" s="180" t="str">
        <f ca="1"/>
        <v/>
      </c>
      <c r="X349" s="180" t="str">
        <f ca="1"/>
        <v/>
      </c>
      <c r="Y349" s="180" t="str">
        <f ca="1"/>
        <v/>
      </c>
      <c r="Z349" s="180" t="str">
        <f ca="1"/>
        <v/>
      </c>
      <c r="AA349" s="180" t="str">
        <f ca="1"/>
        <v/>
      </c>
      <c r="AB349" s="180" t="str">
        <f ca="1"/>
        <v/>
      </c>
      <c r="AC349" s="180" t="str">
        <f ca="1"/>
        <v/>
      </c>
      <c r="AD349" s="180" t="str">
        <f ca="1"/>
        <v/>
      </c>
      <c r="AE349" s="180" t="str">
        <f ca="1"/>
        <v/>
      </c>
      <c r="AF349" s="180" t="str">
        <f ca="1"/>
        <v/>
      </c>
      <c r="AG349" s="180" t="str">
        <f ca="1"/>
        <v/>
      </c>
      <c r="AH349" s="180" t="str">
        <f ca="1"/>
        <v/>
      </c>
      <c r="AI349" s="180" t="str">
        <f ca="1"/>
        <v/>
      </c>
      <c r="AJ349" s="180" t="str">
        <f ca="1"/>
        <v/>
      </c>
      <c r="AK349" s="180" t="str">
        <f ca="1"/>
        <v/>
      </c>
      <c r="AL349" s="180" t="str">
        <f ca="1"/>
        <v/>
      </c>
      <c r="AM349" s="180" t="str">
        <f ca="1"/>
        <v/>
      </c>
      <c r="AN349" s="180" t="str">
        <f ca="1"/>
        <v/>
      </c>
      <c r="AO349" s="180" t="str">
        <f ca="1"/>
        <v/>
      </c>
      <c r="AP349" s="180" t="str">
        <f ca="1"/>
        <v/>
      </c>
      <c r="AQ349" s="187" t="str">
        <f ca="1"/>
        <v/>
      </c>
    </row>
    <row r="350" spans="2:43" x14ac:dyDescent="0.25">
      <c r="B350" s="179" t="str">
        <f ca="1"/>
        <v/>
      </c>
      <c r="C350" s="180" t="str">
        <f ca="1"/>
        <v/>
      </c>
      <c r="D350" s="180" t="str">
        <f ca="1"/>
        <v/>
      </c>
      <c r="E350" s="180" t="str">
        <f ca="1"/>
        <v/>
      </c>
      <c r="F350" s="180" t="str">
        <f ca="1"/>
        <v/>
      </c>
      <c r="G350" s="180" t="str">
        <f ca="1"/>
        <v/>
      </c>
      <c r="H350" s="180" t="str">
        <f ca="1"/>
        <v/>
      </c>
      <c r="I350" s="180" t="str">
        <f ca="1"/>
        <v/>
      </c>
      <c r="J350" s="180" t="str">
        <f ca="1"/>
        <v/>
      </c>
      <c r="K350" s="180" t="str">
        <f ca="1"/>
        <v/>
      </c>
      <c r="L350" s="180" t="str">
        <f ca="1"/>
        <v/>
      </c>
      <c r="M350" s="180" t="str">
        <f ca="1"/>
        <v/>
      </c>
      <c r="N350" s="180" t="str">
        <f ca="1"/>
        <v/>
      </c>
      <c r="O350" s="180" t="str">
        <f ca="1"/>
        <v/>
      </c>
      <c r="P350" s="180" t="str">
        <f ca="1"/>
        <v/>
      </c>
      <c r="Q350" s="180" t="str">
        <f ca="1"/>
        <v/>
      </c>
      <c r="R350" s="180" t="str">
        <f ca="1"/>
        <v/>
      </c>
      <c r="S350" s="180" t="str">
        <f ca="1"/>
        <v/>
      </c>
      <c r="T350" s="180" t="str">
        <f ca="1"/>
        <v/>
      </c>
      <c r="U350" s="180" t="str">
        <f ca="1"/>
        <v/>
      </c>
      <c r="V350" s="180" t="str">
        <f ca="1"/>
        <v/>
      </c>
      <c r="W350" s="180" t="str">
        <f ca="1"/>
        <v/>
      </c>
      <c r="X350" s="180" t="str">
        <f ca="1"/>
        <v/>
      </c>
      <c r="Y350" s="180" t="str">
        <f ca="1"/>
        <v/>
      </c>
      <c r="Z350" s="180" t="str">
        <f ca="1"/>
        <v/>
      </c>
      <c r="AA350" s="180" t="str">
        <f ca="1"/>
        <v/>
      </c>
      <c r="AB350" s="180" t="str">
        <f ca="1"/>
        <v/>
      </c>
      <c r="AC350" s="180" t="str">
        <f ca="1"/>
        <v/>
      </c>
      <c r="AD350" s="180" t="str">
        <f ca="1"/>
        <v/>
      </c>
      <c r="AE350" s="180" t="str">
        <f ca="1"/>
        <v/>
      </c>
      <c r="AF350" s="180" t="str">
        <f ca="1"/>
        <v/>
      </c>
      <c r="AG350" s="180" t="str">
        <f ca="1"/>
        <v/>
      </c>
      <c r="AH350" s="180" t="str">
        <f ca="1"/>
        <v/>
      </c>
      <c r="AI350" s="180" t="str">
        <f ca="1"/>
        <v/>
      </c>
      <c r="AJ350" s="180" t="str">
        <f ca="1"/>
        <v/>
      </c>
      <c r="AK350" s="180" t="str">
        <f ca="1"/>
        <v/>
      </c>
      <c r="AL350" s="180" t="str">
        <f ca="1"/>
        <v/>
      </c>
      <c r="AM350" s="180" t="str">
        <f ca="1"/>
        <v/>
      </c>
      <c r="AN350" s="180" t="str">
        <f ca="1"/>
        <v/>
      </c>
      <c r="AO350" s="180" t="str">
        <f ca="1"/>
        <v/>
      </c>
      <c r="AP350" s="180" t="str">
        <f ca="1"/>
        <v/>
      </c>
      <c r="AQ350" s="187" t="str">
        <f ca="1"/>
        <v/>
      </c>
    </row>
    <row r="351" spans="2:43" x14ac:dyDescent="0.25">
      <c r="B351" s="179" t="str">
        <f ca="1"/>
        <v/>
      </c>
      <c r="C351" s="180" t="str">
        <f ca="1"/>
        <v/>
      </c>
      <c r="D351" s="180" t="str">
        <f ca="1"/>
        <v/>
      </c>
      <c r="E351" s="180" t="str">
        <f ca="1"/>
        <v/>
      </c>
      <c r="F351" s="180" t="str">
        <f ca="1"/>
        <v/>
      </c>
      <c r="G351" s="180" t="str">
        <f ca="1"/>
        <v/>
      </c>
      <c r="H351" s="180" t="str">
        <f ca="1"/>
        <v/>
      </c>
      <c r="I351" s="180" t="str">
        <f ca="1"/>
        <v/>
      </c>
      <c r="J351" s="180" t="str">
        <f ca="1"/>
        <v/>
      </c>
      <c r="K351" s="180" t="str">
        <f ca="1"/>
        <v/>
      </c>
      <c r="L351" s="180" t="str">
        <f ca="1"/>
        <v/>
      </c>
      <c r="M351" s="180" t="str">
        <f ca="1"/>
        <v/>
      </c>
      <c r="N351" s="180" t="str">
        <f ca="1"/>
        <v/>
      </c>
      <c r="O351" s="180" t="str">
        <f ca="1"/>
        <v/>
      </c>
      <c r="P351" s="180" t="str">
        <f ca="1"/>
        <v/>
      </c>
      <c r="Q351" s="180" t="str">
        <f ca="1"/>
        <v/>
      </c>
      <c r="R351" s="180" t="str">
        <f ca="1"/>
        <v/>
      </c>
      <c r="S351" s="180" t="str">
        <f ca="1"/>
        <v/>
      </c>
      <c r="T351" s="180" t="str">
        <f ca="1"/>
        <v/>
      </c>
      <c r="U351" s="180" t="str">
        <f ca="1"/>
        <v/>
      </c>
      <c r="V351" s="180" t="str">
        <f ca="1"/>
        <v/>
      </c>
      <c r="W351" s="180" t="str">
        <f ca="1"/>
        <v/>
      </c>
      <c r="X351" s="180" t="str">
        <f ca="1"/>
        <v/>
      </c>
      <c r="Y351" s="180" t="str">
        <f ca="1"/>
        <v/>
      </c>
      <c r="Z351" s="180" t="str">
        <f ca="1"/>
        <v/>
      </c>
      <c r="AA351" s="180" t="str">
        <f ca="1"/>
        <v/>
      </c>
      <c r="AB351" s="180" t="str">
        <f ca="1"/>
        <v/>
      </c>
      <c r="AC351" s="180" t="str">
        <f ca="1"/>
        <v/>
      </c>
      <c r="AD351" s="180" t="str">
        <f ca="1"/>
        <v/>
      </c>
      <c r="AE351" s="180" t="str">
        <f ca="1"/>
        <v/>
      </c>
      <c r="AF351" s="180" t="str">
        <f ca="1"/>
        <v/>
      </c>
      <c r="AG351" s="180" t="str">
        <f ca="1"/>
        <v/>
      </c>
      <c r="AH351" s="180" t="str">
        <f ca="1"/>
        <v/>
      </c>
      <c r="AI351" s="180" t="str">
        <f ca="1"/>
        <v/>
      </c>
      <c r="AJ351" s="180" t="str">
        <f ca="1"/>
        <v/>
      </c>
      <c r="AK351" s="180" t="str">
        <f ca="1"/>
        <v/>
      </c>
      <c r="AL351" s="180" t="str">
        <f ca="1"/>
        <v/>
      </c>
      <c r="AM351" s="180" t="str">
        <f ca="1"/>
        <v/>
      </c>
      <c r="AN351" s="180" t="str">
        <f ca="1"/>
        <v/>
      </c>
      <c r="AO351" s="180" t="str">
        <f ca="1"/>
        <v/>
      </c>
      <c r="AP351" s="180" t="str">
        <f ca="1"/>
        <v/>
      </c>
      <c r="AQ351" s="187" t="str">
        <f ca="1"/>
        <v/>
      </c>
    </row>
    <row r="352" spans="2:43" x14ac:dyDescent="0.25">
      <c r="B352" s="179" t="str">
        <f ca="1"/>
        <v/>
      </c>
      <c r="C352" s="180" t="str">
        <f ca="1"/>
        <v/>
      </c>
      <c r="D352" s="180" t="str">
        <f ca="1"/>
        <v/>
      </c>
      <c r="E352" s="180" t="str">
        <f ca="1"/>
        <v/>
      </c>
      <c r="F352" s="180" t="str">
        <f ca="1"/>
        <v/>
      </c>
      <c r="G352" s="180" t="str">
        <f ca="1"/>
        <v/>
      </c>
      <c r="H352" s="180" t="str">
        <f ca="1"/>
        <v/>
      </c>
      <c r="I352" s="180" t="str">
        <f ca="1"/>
        <v/>
      </c>
      <c r="J352" s="180" t="str">
        <f ca="1"/>
        <v/>
      </c>
      <c r="K352" s="180" t="str">
        <f ca="1"/>
        <v/>
      </c>
      <c r="L352" s="180" t="str">
        <f ca="1"/>
        <v/>
      </c>
      <c r="M352" s="180" t="str">
        <f ca="1"/>
        <v/>
      </c>
      <c r="N352" s="180" t="str">
        <f ca="1"/>
        <v/>
      </c>
      <c r="O352" s="180" t="str">
        <f ca="1"/>
        <v/>
      </c>
      <c r="P352" s="180" t="str">
        <f ca="1"/>
        <v/>
      </c>
      <c r="Q352" s="180" t="str">
        <f ca="1"/>
        <v/>
      </c>
      <c r="R352" s="180" t="str">
        <f ca="1"/>
        <v/>
      </c>
      <c r="S352" s="180" t="str">
        <f ca="1"/>
        <v/>
      </c>
      <c r="T352" s="180" t="str">
        <f ca="1"/>
        <v/>
      </c>
      <c r="U352" s="180" t="str">
        <f ca="1"/>
        <v/>
      </c>
      <c r="V352" s="180" t="str">
        <f ca="1"/>
        <v/>
      </c>
      <c r="W352" s="180" t="str">
        <f ca="1"/>
        <v/>
      </c>
      <c r="X352" s="180" t="str">
        <f ca="1"/>
        <v/>
      </c>
      <c r="Y352" s="180" t="str">
        <f ca="1"/>
        <v/>
      </c>
      <c r="Z352" s="180" t="str">
        <f ca="1"/>
        <v/>
      </c>
      <c r="AA352" s="180" t="str">
        <f ca="1"/>
        <v/>
      </c>
      <c r="AB352" s="180" t="str">
        <f ca="1"/>
        <v/>
      </c>
      <c r="AC352" s="180" t="str">
        <f ca="1"/>
        <v/>
      </c>
      <c r="AD352" s="180" t="str">
        <f ca="1"/>
        <v/>
      </c>
      <c r="AE352" s="180" t="str">
        <f ca="1"/>
        <v/>
      </c>
      <c r="AF352" s="180" t="str">
        <f ca="1"/>
        <v/>
      </c>
      <c r="AG352" s="180" t="str">
        <f ca="1"/>
        <v/>
      </c>
      <c r="AH352" s="180" t="str">
        <f ca="1"/>
        <v/>
      </c>
      <c r="AI352" s="180" t="str">
        <f ca="1"/>
        <v/>
      </c>
      <c r="AJ352" s="180" t="str">
        <f ca="1"/>
        <v/>
      </c>
      <c r="AK352" s="180" t="str">
        <f ca="1"/>
        <v/>
      </c>
      <c r="AL352" s="180" t="str">
        <f ca="1"/>
        <v/>
      </c>
      <c r="AM352" s="180" t="str">
        <f ca="1"/>
        <v/>
      </c>
      <c r="AN352" s="180" t="str">
        <f ca="1"/>
        <v/>
      </c>
      <c r="AO352" s="180" t="str">
        <f ca="1"/>
        <v/>
      </c>
      <c r="AP352" s="180" t="str">
        <f ca="1"/>
        <v/>
      </c>
      <c r="AQ352" s="187" t="str">
        <f ca="1"/>
        <v/>
      </c>
    </row>
    <row r="353" spans="2:43" x14ac:dyDescent="0.25">
      <c r="B353" s="179" t="str">
        <f ca="1"/>
        <v/>
      </c>
      <c r="C353" s="180" t="str">
        <f ca="1"/>
        <v/>
      </c>
      <c r="D353" s="180" t="str">
        <f ca="1"/>
        <v/>
      </c>
      <c r="E353" s="180" t="str">
        <f ca="1"/>
        <v/>
      </c>
      <c r="F353" s="180" t="str">
        <f ca="1"/>
        <v/>
      </c>
      <c r="G353" s="180" t="str">
        <f ca="1"/>
        <v/>
      </c>
      <c r="H353" s="180" t="str">
        <f ca="1"/>
        <v/>
      </c>
      <c r="I353" s="180" t="str">
        <f ca="1"/>
        <v/>
      </c>
      <c r="J353" s="180" t="str">
        <f ca="1"/>
        <v/>
      </c>
      <c r="K353" s="180" t="str">
        <f ca="1"/>
        <v/>
      </c>
      <c r="L353" s="180" t="str">
        <f ca="1"/>
        <v/>
      </c>
      <c r="M353" s="180" t="str">
        <f ca="1"/>
        <v/>
      </c>
      <c r="N353" s="180" t="str">
        <f ca="1"/>
        <v/>
      </c>
      <c r="O353" s="180" t="str">
        <f ca="1"/>
        <v/>
      </c>
      <c r="P353" s="180" t="str">
        <f ca="1"/>
        <v/>
      </c>
      <c r="Q353" s="180" t="str">
        <f ca="1"/>
        <v/>
      </c>
      <c r="R353" s="180" t="str">
        <f ca="1"/>
        <v/>
      </c>
      <c r="S353" s="180" t="str">
        <f ca="1"/>
        <v/>
      </c>
      <c r="T353" s="180" t="str">
        <f ca="1"/>
        <v/>
      </c>
      <c r="U353" s="180" t="str">
        <f ca="1"/>
        <v/>
      </c>
      <c r="V353" s="180" t="str">
        <f ca="1"/>
        <v/>
      </c>
      <c r="W353" s="180" t="str">
        <f ca="1"/>
        <v/>
      </c>
      <c r="X353" s="180" t="str">
        <f ca="1"/>
        <v/>
      </c>
      <c r="Y353" s="180" t="str">
        <f ca="1"/>
        <v/>
      </c>
      <c r="Z353" s="180" t="str">
        <f ca="1"/>
        <v/>
      </c>
      <c r="AA353" s="180" t="str">
        <f ca="1"/>
        <v/>
      </c>
      <c r="AB353" s="180" t="str">
        <f ca="1"/>
        <v/>
      </c>
      <c r="AC353" s="180" t="str">
        <f ca="1"/>
        <v/>
      </c>
      <c r="AD353" s="180" t="str">
        <f ca="1"/>
        <v/>
      </c>
      <c r="AE353" s="180" t="str">
        <f ca="1"/>
        <v/>
      </c>
      <c r="AF353" s="180" t="str">
        <f ca="1"/>
        <v/>
      </c>
      <c r="AG353" s="180" t="str">
        <f ca="1"/>
        <v/>
      </c>
      <c r="AH353" s="180" t="str">
        <f ca="1"/>
        <v/>
      </c>
      <c r="AI353" s="180" t="str">
        <f ca="1"/>
        <v/>
      </c>
      <c r="AJ353" s="180" t="str">
        <f ca="1"/>
        <v/>
      </c>
      <c r="AK353" s="180" t="str">
        <f ca="1"/>
        <v/>
      </c>
      <c r="AL353" s="180" t="str">
        <f ca="1"/>
        <v/>
      </c>
      <c r="AM353" s="180" t="str">
        <f ca="1"/>
        <v/>
      </c>
      <c r="AN353" s="180" t="str">
        <f ca="1"/>
        <v/>
      </c>
      <c r="AO353" s="180" t="str">
        <f ca="1"/>
        <v/>
      </c>
      <c r="AP353" s="180" t="str">
        <f ca="1"/>
        <v/>
      </c>
      <c r="AQ353" s="187" t="str">
        <f ca="1"/>
        <v/>
      </c>
    </row>
    <row r="354" spans="2:43" x14ac:dyDescent="0.25">
      <c r="B354" s="179" t="str">
        <f ca="1"/>
        <v/>
      </c>
      <c r="C354" s="180" t="str">
        <f ca="1"/>
        <v/>
      </c>
      <c r="D354" s="180" t="str">
        <f ca="1"/>
        <v/>
      </c>
      <c r="E354" s="180" t="str">
        <f ca="1"/>
        <v/>
      </c>
      <c r="F354" s="180" t="str">
        <f ca="1"/>
        <v/>
      </c>
      <c r="G354" s="180" t="str">
        <f ca="1"/>
        <v/>
      </c>
      <c r="H354" s="180" t="str">
        <f ca="1"/>
        <v/>
      </c>
      <c r="I354" s="180" t="str">
        <f ca="1"/>
        <v/>
      </c>
      <c r="J354" s="180" t="str">
        <f ca="1"/>
        <v/>
      </c>
      <c r="K354" s="180" t="str">
        <f ca="1"/>
        <v/>
      </c>
      <c r="L354" s="180" t="str">
        <f ca="1"/>
        <v/>
      </c>
      <c r="M354" s="180" t="str">
        <f ca="1"/>
        <v/>
      </c>
      <c r="N354" s="180" t="str">
        <f ca="1"/>
        <v/>
      </c>
      <c r="O354" s="180" t="str">
        <f ca="1"/>
        <v/>
      </c>
      <c r="P354" s="180" t="str">
        <f ca="1"/>
        <v/>
      </c>
      <c r="Q354" s="180" t="str">
        <f ca="1"/>
        <v/>
      </c>
      <c r="R354" s="180" t="str">
        <f ca="1"/>
        <v/>
      </c>
      <c r="S354" s="180" t="str">
        <f ca="1"/>
        <v/>
      </c>
      <c r="T354" s="180" t="str">
        <f ca="1"/>
        <v/>
      </c>
      <c r="U354" s="180" t="str">
        <f ca="1"/>
        <v/>
      </c>
      <c r="V354" s="180" t="str">
        <f ca="1"/>
        <v/>
      </c>
      <c r="W354" s="180" t="str">
        <f ca="1"/>
        <v/>
      </c>
      <c r="X354" s="180" t="str">
        <f ca="1"/>
        <v/>
      </c>
      <c r="Y354" s="180" t="str">
        <f ca="1"/>
        <v/>
      </c>
      <c r="Z354" s="180" t="str">
        <f ca="1"/>
        <v/>
      </c>
      <c r="AA354" s="180" t="str">
        <f ca="1"/>
        <v/>
      </c>
      <c r="AB354" s="180" t="str">
        <f ca="1"/>
        <v/>
      </c>
      <c r="AC354" s="180" t="str">
        <f ca="1"/>
        <v/>
      </c>
      <c r="AD354" s="180" t="str">
        <f ca="1"/>
        <v/>
      </c>
      <c r="AE354" s="180" t="str">
        <f ca="1"/>
        <v/>
      </c>
      <c r="AF354" s="180" t="str">
        <f ca="1"/>
        <v/>
      </c>
      <c r="AG354" s="180" t="str">
        <f ca="1"/>
        <v/>
      </c>
      <c r="AH354" s="180" t="str">
        <f ca="1"/>
        <v/>
      </c>
      <c r="AI354" s="180" t="str">
        <f ca="1"/>
        <v/>
      </c>
      <c r="AJ354" s="180" t="str">
        <f ca="1"/>
        <v/>
      </c>
      <c r="AK354" s="180" t="str">
        <f ca="1"/>
        <v/>
      </c>
      <c r="AL354" s="180" t="str">
        <f ca="1"/>
        <v/>
      </c>
      <c r="AM354" s="180" t="str">
        <f ca="1"/>
        <v/>
      </c>
      <c r="AN354" s="180" t="str">
        <f ca="1"/>
        <v/>
      </c>
      <c r="AO354" s="180" t="str">
        <f ca="1"/>
        <v/>
      </c>
      <c r="AP354" s="180" t="str">
        <f ca="1"/>
        <v/>
      </c>
      <c r="AQ354" s="187" t="str">
        <f ca="1"/>
        <v/>
      </c>
    </row>
    <row r="355" spans="2:43" x14ac:dyDescent="0.25">
      <c r="B355" s="179" t="str">
        <f ca="1"/>
        <v/>
      </c>
      <c r="C355" s="180" t="str">
        <f ca="1"/>
        <v/>
      </c>
      <c r="D355" s="180" t="str">
        <f ca="1"/>
        <v/>
      </c>
      <c r="E355" s="180" t="str">
        <f ca="1"/>
        <v/>
      </c>
      <c r="F355" s="180" t="str">
        <f ca="1"/>
        <v/>
      </c>
      <c r="G355" s="180" t="str">
        <f ca="1"/>
        <v/>
      </c>
      <c r="H355" s="180" t="str">
        <f ca="1"/>
        <v/>
      </c>
      <c r="I355" s="180" t="str">
        <f ca="1"/>
        <v/>
      </c>
      <c r="J355" s="180" t="str">
        <f ca="1"/>
        <v/>
      </c>
      <c r="K355" s="180" t="str">
        <f ca="1"/>
        <v/>
      </c>
      <c r="L355" s="180" t="str">
        <f ca="1"/>
        <v/>
      </c>
      <c r="M355" s="180" t="str">
        <f ca="1"/>
        <v/>
      </c>
      <c r="N355" s="180" t="str">
        <f ca="1"/>
        <v/>
      </c>
      <c r="O355" s="180" t="str">
        <f ca="1"/>
        <v/>
      </c>
      <c r="P355" s="180" t="str">
        <f ca="1"/>
        <v/>
      </c>
      <c r="Q355" s="180" t="str">
        <f ca="1"/>
        <v/>
      </c>
      <c r="R355" s="180" t="str">
        <f ca="1"/>
        <v/>
      </c>
      <c r="S355" s="180" t="str">
        <f ca="1"/>
        <v/>
      </c>
      <c r="T355" s="180" t="str">
        <f ca="1"/>
        <v/>
      </c>
      <c r="U355" s="180" t="str">
        <f ca="1"/>
        <v/>
      </c>
      <c r="V355" s="180" t="str">
        <f ca="1"/>
        <v/>
      </c>
      <c r="W355" s="180" t="str">
        <f ca="1"/>
        <v/>
      </c>
      <c r="X355" s="180" t="str">
        <f ca="1"/>
        <v/>
      </c>
      <c r="Y355" s="180" t="str">
        <f ca="1"/>
        <v/>
      </c>
      <c r="Z355" s="180" t="str">
        <f ca="1"/>
        <v/>
      </c>
      <c r="AA355" s="180" t="str">
        <f ca="1"/>
        <v/>
      </c>
      <c r="AB355" s="180" t="str">
        <f ca="1"/>
        <v/>
      </c>
      <c r="AC355" s="180" t="str">
        <f ca="1"/>
        <v/>
      </c>
      <c r="AD355" s="180" t="str">
        <f ca="1"/>
        <v/>
      </c>
      <c r="AE355" s="180" t="str">
        <f ca="1"/>
        <v/>
      </c>
      <c r="AF355" s="180" t="str">
        <f ca="1"/>
        <v/>
      </c>
      <c r="AG355" s="180" t="str">
        <f ca="1"/>
        <v/>
      </c>
      <c r="AH355" s="180" t="str">
        <f ca="1"/>
        <v/>
      </c>
      <c r="AI355" s="180" t="str">
        <f ca="1"/>
        <v/>
      </c>
      <c r="AJ355" s="180" t="str">
        <f ca="1"/>
        <v/>
      </c>
      <c r="AK355" s="180" t="str">
        <f ca="1"/>
        <v/>
      </c>
      <c r="AL355" s="180" t="str">
        <f ca="1"/>
        <v/>
      </c>
      <c r="AM355" s="180" t="str">
        <f ca="1"/>
        <v/>
      </c>
      <c r="AN355" s="180" t="str">
        <f ca="1"/>
        <v/>
      </c>
      <c r="AO355" s="180" t="str">
        <f ca="1"/>
        <v/>
      </c>
      <c r="AP355" s="180" t="str">
        <f ca="1"/>
        <v/>
      </c>
      <c r="AQ355" s="187" t="str">
        <f ca="1"/>
        <v/>
      </c>
    </row>
    <row r="356" spans="2:43" x14ac:dyDescent="0.25">
      <c r="B356" s="179" t="str">
        <f ca="1"/>
        <v/>
      </c>
      <c r="C356" s="180" t="str">
        <f ca="1"/>
        <v/>
      </c>
      <c r="D356" s="180" t="str">
        <f ca="1"/>
        <v/>
      </c>
      <c r="E356" s="180" t="str">
        <f ca="1"/>
        <v/>
      </c>
      <c r="F356" s="180" t="str">
        <f ca="1"/>
        <v/>
      </c>
      <c r="G356" s="180" t="str">
        <f ca="1"/>
        <v/>
      </c>
      <c r="H356" s="180" t="str">
        <f ca="1"/>
        <v/>
      </c>
      <c r="I356" s="180" t="str">
        <f ca="1"/>
        <v/>
      </c>
      <c r="J356" s="180" t="str">
        <f ca="1"/>
        <v/>
      </c>
      <c r="K356" s="180" t="str">
        <f ca="1"/>
        <v/>
      </c>
      <c r="L356" s="180" t="str">
        <f ca="1"/>
        <v/>
      </c>
      <c r="M356" s="180" t="str">
        <f ca="1"/>
        <v/>
      </c>
      <c r="N356" s="180" t="str">
        <f ca="1"/>
        <v/>
      </c>
      <c r="O356" s="180" t="str">
        <f ca="1"/>
        <v/>
      </c>
      <c r="P356" s="180" t="str">
        <f ca="1"/>
        <v/>
      </c>
      <c r="Q356" s="180" t="str">
        <f ca="1"/>
        <v/>
      </c>
      <c r="R356" s="180" t="str">
        <f ca="1"/>
        <v/>
      </c>
      <c r="S356" s="180" t="str">
        <f ca="1"/>
        <v/>
      </c>
      <c r="T356" s="180" t="str">
        <f ca="1"/>
        <v/>
      </c>
      <c r="U356" s="180" t="str">
        <f ca="1"/>
        <v/>
      </c>
      <c r="V356" s="180" t="str">
        <f ca="1"/>
        <v/>
      </c>
      <c r="W356" s="180" t="str">
        <f ca="1"/>
        <v/>
      </c>
      <c r="X356" s="180" t="str">
        <f ca="1"/>
        <v/>
      </c>
      <c r="Y356" s="180" t="str">
        <f ca="1"/>
        <v/>
      </c>
      <c r="Z356" s="180" t="str">
        <f ca="1"/>
        <v/>
      </c>
      <c r="AA356" s="180" t="str">
        <f ca="1"/>
        <v/>
      </c>
      <c r="AB356" s="180" t="str">
        <f ca="1"/>
        <v/>
      </c>
      <c r="AC356" s="180" t="str">
        <f ca="1"/>
        <v/>
      </c>
      <c r="AD356" s="180" t="str">
        <f ca="1"/>
        <v/>
      </c>
      <c r="AE356" s="180" t="str">
        <f ca="1"/>
        <v/>
      </c>
      <c r="AF356" s="180" t="str">
        <f ca="1"/>
        <v/>
      </c>
      <c r="AG356" s="180" t="str">
        <f ca="1"/>
        <v/>
      </c>
      <c r="AH356" s="180" t="str">
        <f ca="1"/>
        <v/>
      </c>
      <c r="AI356" s="180" t="str">
        <f ca="1"/>
        <v/>
      </c>
      <c r="AJ356" s="180" t="str">
        <f ca="1"/>
        <v/>
      </c>
      <c r="AK356" s="180" t="str">
        <f ca="1"/>
        <v/>
      </c>
      <c r="AL356" s="180" t="str">
        <f ca="1"/>
        <v/>
      </c>
      <c r="AM356" s="180" t="str">
        <f ca="1"/>
        <v/>
      </c>
      <c r="AN356" s="180" t="str">
        <f ca="1"/>
        <v/>
      </c>
      <c r="AO356" s="180" t="str">
        <f ca="1"/>
        <v/>
      </c>
      <c r="AP356" s="180" t="str">
        <f ca="1"/>
        <v/>
      </c>
      <c r="AQ356" s="187" t="str">
        <f ca="1"/>
        <v/>
      </c>
    </row>
    <row r="357" spans="2:43" x14ac:dyDescent="0.25">
      <c r="B357" s="179" t="str">
        <f ca="1"/>
        <v/>
      </c>
      <c r="C357" s="180" t="str">
        <f ca="1"/>
        <v/>
      </c>
      <c r="D357" s="180" t="str">
        <f ca="1"/>
        <v/>
      </c>
      <c r="E357" s="180" t="str">
        <f ca="1"/>
        <v/>
      </c>
      <c r="F357" s="180" t="str">
        <f ca="1"/>
        <v/>
      </c>
      <c r="G357" s="180" t="str">
        <f ca="1"/>
        <v/>
      </c>
      <c r="H357" s="180" t="str">
        <f ca="1"/>
        <v/>
      </c>
      <c r="I357" s="180" t="str">
        <f ca="1"/>
        <v/>
      </c>
      <c r="J357" s="180" t="str">
        <f ca="1"/>
        <v/>
      </c>
      <c r="K357" s="180" t="str">
        <f ca="1"/>
        <v/>
      </c>
      <c r="L357" s="180" t="str">
        <f ca="1"/>
        <v/>
      </c>
      <c r="M357" s="180" t="str">
        <f ca="1"/>
        <v/>
      </c>
      <c r="N357" s="180" t="str">
        <f ca="1"/>
        <v/>
      </c>
      <c r="O357" s="180" t="str">
        <f ca="1"/>
        <v/>
      </c>
      <c r="P357" s="180" t="str">
        <f ca="1"/>
        <v/>
      </c>
      <c r="Q357" s="180" t="str">
        <f ca="1"/>
        <v/>
      </c>
      <c r="R357" s="180" t="str">
        <f ca="1"/>
        <v/>
      </c>
      <c r="S357" s="180" t="str">
        <f ca="1"/>
        <v/>
      </c>
      <c r="T357" s="180" t="str">
        <f ca="1"/>
        <v/>
      </c>
      <c r="U357" s="180" t="str">
        <f ca="1"/>
        <v/>
      </c>
      <c r="V357" s="180" t="str">
        <f ca="1"/>
        <v/>
      </c>
      <c r="W357" s="180" t="str">
        <f ca="1"/>
        <v/>
      </c>
      <c r="X357" s="180" t="str">
        <f ca="1"/>
        <v/>
      </c>
      <c r="Y357" s="180" t="str">
        <f ca="1"/>
        <v/>
      </c>
      <c r="Z357" s="180" t="str">
        <f ca="1"/>
        <v/>
      </c>
      <c r="AA357" s="180" t="str">
        <f ca="1"/>
        <v/>
      </c>
      <c r="AB357" s="180" t="str">
        <f ca="1"/>
        <v/>
      </c>
      <c r="AC357" s="180" t="str">
        <f ca="1"/>
        <v/>
      </c>
      <c r="AD357" s="180" t="str">
        <f ca="1"/>
        <v/>
      </c>
      <c r="AE357" s="180" t="str">
        <f ca="1"/>
        <v/>
      </c>
      <c r="AF357" s="180" t="str">
        <f ca="1"/>
        <v/>
      </c>
      <c r="AG357" s="180" t="str">
        <f ca="1"/>
        <v/>
      </c>
      <c r="AH357" s="180" t="str">
        <f ca="1"/>
        <v/>
      </c>
      <c r="AI357" s="180" t="str">
        <f ca="1"/>
        <v/>
      </c>
      <c r="AJ357" s="180" t="str">
        <f ca="1"/>
        <v/>
      </c>
      <c r="AK357" s="180" t="str">
        <f ca="1"/>
        <v/>
      </c>
      <c r="AL357" s="180" t="str">
        <f ca="1"/>
        <v/>
      </c>
      <c r="AM357" s="180" t="str">
        <f ca="1"/>
        <v/>
      </c>
      <c r="AN357" s="180" t="str">
        <f ca="1"/>
        <v/>
      </c>
      <c r="AO357" s="180" t="str">
        <f ca="1"/>
        <v/>
      </c>
      <c r="AP357" s="180" t="str">
        <f ca="1"/>
        <v/>
      </c>
      <c r="AQ357" s="187" t="str">
        <f ca="1"/>
        <v/>
      </c>
    </row>
    <row r="358" spans="2:43" x14ac:dyDescent="0.25">
      <c r="B358" s="179" t="str">
        <f ca="1"/>
        <v/>
      </c>
      <c r="C358" s="180" t="str">
        <f ca="1"/>
        <v/>
      </c>
      <c r="D358" s="180" t="str">
        <f ca="1"/>
        <v/>
      </c>
      <c r="E358" s="180" t="str">
        <f ca="1"/>
        <v/>
      </c>
      <c r="F358" s="180" t="str">
        <f ca="1"/>
        <v/>
      </c>
      <c r="G358" s="180" t="str">
        <f ca="1"/>
        <v/>
      </c>
      <c r="H358" s="180" t="str">
        <f ca="1"/>
        <v/>
      </c>
      <c r="I358" s="180" t="str">
        <f ca="1"/>
        <v/>
      </c>
      <c r="J358" s="180" t="str">
        <f ca="1"/>
        <v/>
      </c>
      <c r="K358" s="180" t="str">
        <f ca="1"/>
        <v/>
      </c>
      <c r="L358" s="180" t="str">
        <f ca="1"/>
        <v/>
      </c>
      <c r="M358" s="180" t="str">
        <f ca="1"/>
        <v/>
      </c>
      <c r="N358" s="180" t="str">
        <f ca="1"/>
        <v/>
      </c>
      <c r="O358" s="180" t="str">
        <f ca="1"/>
        <v/>
      </c>
      <c r="P358" s="180" t="str">
        <f ca="1"/>
        <v/>
      </c>
      <c r="Q358" s="180" t="str">
        <f ca="1"/>
        <v/>
      </c>
      <c r="R358" s="180" t="str">
        <f ca="1"/>
        <v/>
      </c>
      <c r="S358" s="180" t="str">
        <f ca="1"/>
        <v/>
      </c>
      <c r="T358" s="180" t="str">
        <f ca="1"/>
        <v/>
      </c>
      <c r="U358" s="180" t="str">
        <f ca="1"/>
        <v/>
      </c>
      <c r="V358" s="180" t="str">
        <f ca="1"/>
        <v/>
      </c>
      <c r="W358" s="180" t="str">
        <f ca="1"/>
        <v/>
      </c>
      <c r="X358" s="180" t="str">
        <f ca="1"/>
        <v/>
      </c>
      <c r="Y358" s="180" t="str">
        <f ca="1"/>
        <v/>
      </c>
      <c r="Z358" s="180" t="str">
        <f ca="1"/>
        <v/>
      </c>
      <c r="AA358" s="180" t="str">
        <f ca="1"/>
        <v/>
      </c>
      <c r="AB358" s="180" t="str">
        <f ca="1"/>
        <v/>
      </c>
      <c r="AC358" s="180" t="str">
        <f ca="1"/>
        <v/>
      </c>
      <c r="AD358" s="180" t="str">
        <f ca="1"/>
        <v/>
      </c>
      <c r="AE358" s="180" t="str">
        <f ca="1"/>
        <v/>
      </c>
      <c r="AF358" s="180" t="str">
        <f ca="1"/>
        <v/>
      </c>
      <c r="AG358" s="180" t="str">
        <f ca="1"/>
        <v/>
      </c>
      <c r="AH358" s="180" t="str">
        <f ca="1"/>
        <v/>
      </c>
      <c r="AI358" s="180" t="str">
        <f ca="1"/>
        <v/>
      </c>
      <c r="AJ358" s="180" t="str">
        <f ca="1"/>
        <v/>
      </c>
      <c r="AK358" s="180" t="str">
        <f ca="1"/>
        <v/>
      </c>
      <c r="AL358" s="180" t="str">
        <f ca="1"/>
        <v/>
      </c>
      <c r="AM358" s="180" t="str">
        <f ca="1"/>
        <v/>
      </c>
      <c r="AN358" s="180" t="str">
        <f ca="1"/>
        <v/>
      </c>
      <c r="AO358" s="180" t="str">
        <f ca="1"/>
        <v/>
      </c>
      <c r="AP358" s="180" t="str">
        <f ca="1"/>
        <v/>
      </c>
      <c r="AQ358" s="187" t="str">
        <f ca="1"/>
        <v/>
      </c>
    </row>
    <row r="359" spans="2:43" x14ac:dyDescent="0.25">
      <c r="B359" s="179" t="str">
        <f ca="1"/>
        <v/>
      </c>
      <c r="C359" s="180" t="str">
        <f ca="1"/>
        <v/>
      </c>
      <c r="D359" s="180" t="str">
        <f ca="1"/>
        <v/>
      </c>
      <c r="E359" s="180" t="str">
        <f ca="1"/>
        <v/>
      </c>
      <c r="F359" s="180" t="str">
        <f ca="1"/>
        <v/>
      </c>
      <c r="G359" s="180" t="str">
        <f ca="1"/>
        <v/>
      </c>
      <c r="H359" s="180" t="str">
        <f ca="1"/>
        <v/>
      </c>
      <c r="I359" s="180" t="str">
        <f ca="1"/>
        <v/>
      </c>
      <c r="J359" s="180" t="str">
        <f ca="1"/>
        <v/>
      </c>
      <c r="K359" s="180" t="str">
        <f ca="1"/>
        <v/>
      </c>
      <c r="L359" s="180" t="str">
        <f ca="1"/>
        <v/>
      </c>
      <c r="M359" s="180" t="str">
        <f ca="1"/>
        <v/>
      </c>
      <c r="N359" s="180" t="str">
        <f ca="1"/>
        <v/>
      </c>
      <c r="O359" s="180" t="str">
        <f ca="1"/>
        <v/>
      </c>
      <c r="P359" s="180" t="str">
        <f ca="1"/>
        <v/>
      </c>
      <c r="Q359" s="180" t="str">
        <f ca="1"/>
        <v/>
      </c>
      <c r="R359" s="180" t="str">
        <f ca="1"/>
        <v/>
      </c>
      <c r="S359" s="180" t="str">
        <f ca="1"/>
        <v/>
      </c>
      <c r="T359" s="180" t="str">
        <f ca="1"/>
        <v/>
      </c>
      <c r="U359" s="180" t="str">
        <f ca="1"/>
        <v/>
      </c>
      <c r="V359" s="180" t="str">
        <f ca="1"/>
        <v/>
      </c>
      <c r="W359" s="180" t="str">
        <f ca="1"/>
        <v/>
      </c>
      <c r="X359" s="180" t="str">
        <f ca="1"/>
        <v/>
      </c>
      <c r="Y359" s="180" t="str">
        <f ca="1"/>
        <v/>
      </c>
      <c r="Z359" s="180" t="str">
        <f ca="1"/>
        <v/>
      </c>
      <c r="AA359" s="180" t="str">
        <f ca="1"/>
        <v/>
      </c>
      <c r="AB359" s="180" t="str">
        <f ca="1"/>
        <v/>
      </c>
      <c r="AC359" s="180" t="str">
        <f ca="1"/>
        <v/>
      </c>
      <c r="AD359" s="180" t="str">
        <f ca="1"/>
        <v/>
      </c>
      <c r="AE359" s="180" t="str">
        <f ca="1"/>
        <v/>
      </c>
      <c r="AF359" s="180" t="str">
        <f ca="1"/>
        <v/>
      </c>
      <c r="AG359" s="180" t="str">
        <f ca="1"/>
        <v/>
      </c>
      <c r="AH359" s="180" t="str">
        <f ca="1"/>
        <v/>
      </c>
      <c r="AI359" s="180" t="str">
        <f ca="1"/>
        <v/>
      </c>
      <c r="AJ359" s="180" t="str">
        <f ca="1"/>
        <v/>
      </c>
      <c r="AK359" s="180" t="str">
        <f ca="1"/>
        <v/>
      </c>
      <c r="AL359" s="180" t="str">
        <f ca="1"/>
        <v/>
      </c>
      <c r="AM359" s="180" t="str">
        <f ca="1"/>
        <v/>
      </c>
      <c r="AN359" s="180" t="str">
        <f ca="1"/>
        <v/>
      </c>
      <c r="AO359" s="180" t="str">
        <f ca="1"/>
        <v/>
      </c>
      <c r="AP359" s="180" t="str">
        <f ca="1"/>
        <v/>
      </c>
      <c r="AQ359" s="187" t="str">
        <f ca="1"/>
        <v/>
      </c>
    </row>
    <row r="360" spans="2:43" x14ac:dyDescent="0.25">
      <c r="B360" s="179" t="str">
        <f ca="1"/>
        <v/>
      </c>
      <c r="C360" s="180" t="str">
        <f ca="1"/>
        <v/>
      </c>
      <c r="D360" s="180" t="str">
        <f ca="1"/>
        <v/>
      </c>
      <c r="E360" s="180" t="str">
        <f ca="1"/>
        <v/>
      </c>
      <c r="F360" s="180" t="str">
        <f ca="1"/>
        <v/>
      </c>
      <c r="G360" s="180" t="str">
        <f ca="1"/>
        <v/>
      </c>
      <c r="H360" s="180" t="str">
        <f ca="1"/>
        <v/>
      </c>
      <c r="I360" s="180" t="str">
        <f ca="1"/>
        <v/>
      </c>
      <c r="J360" s="180" t="str">
        <f ca="1"/>
        <v/>
      </c>
      <c r="K360" s="180" t="str">
        <f ca="1"/>
        <v/>
      </c>
      <c r="L360" s="180" t="str">
        <f ca="1"/>
        <v/>
      </c>
      <c r="M360" s="180" t="str">
        <f ca="1"/>
        <v/>
      </c>
      <c r="N360" s="180" t="str">
        <f ca="1"/>
        <v/>
      </c>
      <c r="O360" s="180" t="str">
        <f ca="1"/>
        <v/>
      </c>
      <c r="P360" s="180" t="str">
        <f ca="1"/>
        <v/>
      </c>
      <c r="Q360" s="180" t="str">
        <f ca="1"/>
        <v/>
      </c>
      <c r="R360" s="180" t="str">
        <f ca="1"/>
        <v/>
      </c>
      <c r="S360" s="180" t="str">
        <f ca="1"/>
        <v/>
      </c>
      <c r="T360" s="180" t="str">
        <f ca="1"/>
        <v/>
      </c>
      <c r="U360" s="180" t="str">
        <f ca="1"/>
        <v/>
      </c>
      <c r="V360" s="180" t="str">
        <f ca="1"/>
        <v/>
      </c>
      <c r="W360" s="180" t="str">
        <f ca="1"/>
        <v/>
      </c>
      <c r="X360" s="180" t="str">
        <f ca="1"/>
        <v/>
      </c>
      <c r="Y360" s="180" t="str">
        <f ca="1"/>
        <v/>
      </c>
      <c r="Z360" s="180" t="str">
        <f ca="1"/>
        <v/>
      </c>
      <c r="AA360" s="180" t="str">
        <f ca="1"/>
        <v/>
      </c>
      <c r="AB360" s="180" t="str">
        <f ca="1"/>
        <v/>
      </c>
      <c r="AC360" s="180" t="str">
        <f ca="1"/>
        <v/>
      </c>
      <c r="AD360" s="180" t="str">
        <f ca="1"/>
        <v/>
      </c>
      <c r="AE360" s="180" t="str">
        <f ca="1"/>
        <v/>
      </c>
      <c r="AF360" s="180" t="str">
        <f ca="1"/>
        <v/>
      </c>
      <c r="AG360" s="180" t="str">
        <f ca="1"/>
        <v/>
      </c>
      <c r="AH360" s="180" t="str">
        <f ca="1"/>
        <v/>
      </c>
      <c r="AI360" s="180" t="str">
        <f ca="1"/>
        <v/>
      </c>
      <c r="AJ360" s="180" t="str">
        <f ca="1"/>
        <v/>
      </c>
      <c r="AK360" s="180" t="str">
        <f ca="1"/>
        <v/>
      </c>
      <c r="AL360" s="180" t="str">
        <f ca="1"/>
        <v/>
      </c>
      <c r="AM360" s="180" t="str">
        <f ca="1"/>
        <v/>
      </c>
      <c r="AN360" s="180" t="str">
        <f ca="1"/>
        <v/>
      </c>
      <c r="AO360" s="180" t="str">
        <f ca="1"/>
        <v/>
      </c>
      <c r="AP360" s="180" t="str">
        <f ca="1"/>
        <v/>
      </c>
      <c r="AQ360" s="187" t="str">
        <f ca="1"/>
        <v/>
      </c>
    </row>
    <row r="361" spans="2:43" x14ac:dyDescent="0.25">
      <c r="B361" s="179" t="str">
        <f ca="1"/>
        <v/>
      </c>
      <c r="C361" s="180" t="str">
        <f ca="1"/>
        <v/>
      </c>
      <c r="D361" s="180" t="str">
        <f ca="1"/>
        <v/>
      </c>
      <c r="E361" s="180" t="str">
        <f ca="1"/>
        <v/>
      </c>
      <c r="F361" s="180" t="str">
        <f ca="1"/>
        <v/>
      </c>
      <c r="G361" s="180" t="str">
        <f ca="1"/>
        <v/>
      </c>
      <c r="H361" s="180" t="str">
        <f ca="1"/>
        <v/>
      </c>
      <c r="I361" s="180" t="str">
        <f ca="1"/>
        <v/>
      </c>
      <c r="J361" s="180" t="str">
        <f ca="1"/>
        <v/>
      </c>
      <c r="K361" s="180" t="str">
        <f ca="1"/>
        <v/>
      </c>
      <c r="L361" s="180" t="str">
        <f ca="1"/>
        <v/>
      </c>
      <c r="M361" s="180" t="str">
        <f ca="1"/>
        <v/>
      </c>
      <c r="N361" s="180" t="str">
        <f ca="1"/>
        <v/>
      </c>
      <c r="O361" s="180" t="str">
        <f ca="1"/>
        <v/>
      </c>
      <c r="P361" s="180" t="str">
        <f ca="1"/>
        <v/>
      </c>
      <c r="Q361" s="180" t="str">
        <f ca="1"/>
        <v/>
      </c>
      <c r="R361" s="180" t="str">
        <f ca="1"/>
        <v/>
      </c>
      <c r="S361" s="180" t="str">
        <f ca="1"/>
        <v/>
      </c>
      <c r="T361" s="180" t="str">
        <f ca="1"/>
        <v/>
      </c>
      <c r="U361" s="180" t="str">
        <f ca="1"/>
        <v/>
      </c>
      <c r="V361" s="180" t="str">
        <f ca="1"/>
        <v/>
      </c>
      <c r="W361" s="180" t="str">
        <f ca="1"/>
        <v/>
      </c>
      <c r="X361" s="180" t="str">
        <f ca="1"/>
        <v/>
      </c>
      <c r="Y361" s="180" t="str">
        <f ca="1"/>
        <v/>
      </c>
      <c r="Z361" s="180" t="str">
        <f ca="1"/>
        <v/>
      </c>
      <c r="AA361" s="180" t="str">
        <f ca="1"/>
        <v/>
      </c>
      <c r="AB361" s="180" t="str">
        <f ca="1"/>
        <v/>
      </c>
      <c r="AC361" s="180" t="str">
        <f ca="1"/>
        <v/>
      </c>
      <c r="AD361" s="180" t="str">
        <f ca="1"/>
        <v/>
      </c>
      <c r="AE361" s="180" t="str">
        <f ca="1"/>
        <v/>
      </c>
      <c r="AF361" s="180" t="str">
        <f ca="1"/>
        <v/>
      </c>
      <c r="AG361" s="180" t="str">
        <f ca="1"/>
        <v/>
      </c>
      <c r="AH361" s="180" t="str">
        <f ca="1"/>
        <v/>
      </c>
      <c r="AI361" s="180" t="str">
        <f ca="1"/>
        <v/>
      </c>
      <c r="AJ361" s="180" t="str">
        <f ca="1"/>
        <v/>
      </c>
      <c r="AK361" s="180" t="str">
        <f ca="1"/>
        <v/>
      </c>
      <c r="AL361" s="180" t="str">
        <f ca="1"/>
        <v/>
      </c>
      <c r="AM361" s="180" t="str">
        <f ca="1"/>
        <v/>
      </c>
      <c r="AN361" s="180" t="str">
        <f ca="1"/>
        <v/>
      </c>
      <c r="AO361" s="180" t="str">
        <f ca="1"/>
        <v/>
      </c>
      <c r="AP361" s="180" t="str">
        <f ca="1"/>
        <v/>
      </c>
      <c r="AQ361" s="187" t="str">
        <f ca="1"/>
        <v/>
      </c>
    </row>
    <row r="362" spans="2:43" x14ac:dyDescent="0.25">
      <c r="B362" s="179" t="str">
        <f ca="1"/>
        <v/>
      </c>
      <c r="C362" s="180" t="str">
        <f ca="1"/>
        <v/>
      </c>
      <c r="D362" s="180" t="str">
        <f ca="1"/>
        <v/>
      </c>
      <c r="E362" s="180" t="str">
        <f ca="1"/>
        <v/>
      </c>
      <c r="F362" s="180" t="str">
        <f ca="1"/>
        <v/>
      </c>
      <c r="G362" s="180" t="str">
        <f ca="1"/>
        <v/>
      </c>
      <c r="H362" s="180" t="str">
        <f ca="1"/>
        <v/>
      </c>
      <c r="I362" s="180" t="str">
        <f ca="1"/>
        <v/>
      </c>
      <c r="J362" s="180" t="str">
        <f ca="1"/>
        <v/>
      </c>
      <c r="K362" s="180" t="str">
        <f ca="1"/>
        <v/>
      </c>
      <c r="L362" s="180" t="str">
        <f ca="1"/>
        <v/>
      </c>
      <c r="M362" s="180" t="str">
        <f ca="1"/>
        <v/>
      </c>
      <c r="N362" s="180" t="str">
        <f ca="1"/>
        <v/>
      </c>
      <c r="O362" s="180" t="str">
        <f ca="1"/>
        <v/>
      </c>
      <c r="P362" s="180" t="str">
        <f ca="1"/>
        <v/>
      </c>
      <c r="Q362" s="180" t="str">
        <f ca="1"/>
        <v/>
      </c>
      <c r="R362" s="180" t="str">
        <f ca="1"/>
        <v/>
      </c>
      <c r="S362" s="180" t="str">
        <f ca="1"/>
        <v/>
      </c>
      <c r="T362" s="180" t="str">
        <f ca="1"/>
        <v/>
      </c>
      <c r="U362" s="180" t="str">
        <f ca="1"/>
        <v/>
      </c>
      <c r="V362" s="180" t="str">
        <f ca="1"/>
        <v/>
      </c>
      <c r="W362" s="180" t="str">
        <f ca="1"/>
        <v/>
      </c>
      <c r="X362" s="180" t="str">
        <f ca="1"/>
        <v/>
      </c>
      <c r="Y362" s="180" t="str">
        <f ca="1"/>
        <v/>
      </c>
      <c r="Z362" s="180" t="str">
        <f ca="1"/>
        <v/>
      </c>
      <c r="AA362" s="180" t="str">
        <f ca="1"/>
        <v/>
      </c>
      <c r="AB362" s="180" t="str">
        <f ca="1"/>
        <v/>
      </c>
      <c r="AC362" s="180" t="str">
        <f ca="1"/>
        <v/>
      </c>
      <c r="AD362" s="180" t="str">
        <f ca="1"/>
        <v/>
      </c>
      <c r="AE362" s="180" t="str">
        <f ca="1"/>
        <v/>
      </c>
      <c r="AF362" s="180" t="str">
        <f ca="1"/>
        <v/>
      </c>
      <c r="AG362" s="180" t="str">
        <f ca="1"/>
        <v/>
      </c>
      <c r="AH362" s="180" t="str">
        <f ca="1"/>
        <v/>
      </c>
      <c r="AI362" s="180" t="str">
        <f ca="1"/>
        <v/>
      </c>
      <c r="AJ362" s="180" t="str">
        <f ca="1"/>
        <v/>
      </c>
      <c r="AK362" s="180" t="str">
        <f ca="1"/>
        <v/>
      </c>
      <c r="AL362" s="180" t="str">
        <f ca="1"/>
        <v/>
      </c>
      <c r="AM362" s="180" t="str">
        <f ca="1"/>
        <v/>
      </c>
      <c r="AN362" s="180" t="str">
        <f ca="1"/>
        <v/>
      </c>
      <c r="AO362" s="180" t="str">
        <f ca="1"/>
        <v/>
      </c>
      <c r="AP362" s="180" t="str">
        <f ca="1"/>
        <v/>
      </c>
      <c r="AQ362" s="187" t="str">
        <f ca="1"/>
        <v/>
      </c>
    </row>
    <row r="363" spans="2:43" x14ac:dyDescent="0.25">
      <c r="B363" s="179" t="str">
        <f ca="1"/>
        <v/>
      </c>
      <c r="C363" s="180" t="str">
        <f ca="1"/>
        <v/>
      </c>
      <c r="D363" s="180" t="str">
        <f ca="1"/>
        <v/>
      </c>
      <c r="E363" s="180" t="str">
        <f ca="1"/>
        <v/>
      </c>
      <c r="F363" s="180" t="str">
        <f ca="1"/>
        <v/>
      </c>
      <c r="G363" s="180" t="str">
        <f ca="1"/>
        <v/>
      </c>
      <c r="H363" s="180" t="str">
        <f ca="1"/>
        <v/>
      </c>
      <c r="I363" s="180" t="str">
        <f ca="1"/>
        <v/>
      </c>
      <c r="J363" s="180" t="str">
        <f ca="1"/>
        <v/>
      </c>
      <c r="K363" s="180" t="str">
        <f ca="1"/>
        <v/>
      </c>
      <c r="L363" s="180" t="str">
        <f ca="1"/>
        <v/>
      </c>
      <c r="M363" s="180" t="str">
        <f ca="1"/>
        <v/>
      </c>
      <c r="N363" s="180" t="str">
        <f ca="1"/>
        <v/>
      </c>
      <c r="O363" s="180" t="str">
        <f ca="1"/>
        <v/>
      </c>
      <c r="P363" s="180" t="str">
        <f ca="1"/>
        <v/>
      </c>
      <c r="Q363" s="180" t="str">
        <f ca="1"/>
        <v/>
      </c>
      <c r="R363" s="180" t="str">
        <f ca="1"/>
        <v/>
      </c>
      <c r="S363" s="180" t="str">
        <f ca="1"/>
        <v/>
      </c>
      <c r="T363" s="180" t="str">
        <f ca="1"/>
        <v/>
      </c>
      <c r="U363" s="180" t="str">
        <f ca="1"/>
        <v/>
      </c>
      <c r="V363" s="180" t="str">
        <f ca="1"/>
        <v/>
      </c>
      <c r="W363" s="180" t="str">
        <f ca="1"/>
        <v/>
      </c>
      <c r="X363" s="180" t="str">
        <f ca="1"/>
        <v/>
      </c>
      <c r="Y363" s="180" t="str">
        <f ca="1"/>
        <v/>
      </c>
      <c r="Z363" s="180" t="str">
        <f ca="1"/>
        <v/>
      </c>
      <c r="AA363" s="180" t="str">
        <f ca="1"/>
        <v/>
      </c>
      <c r="AB363" s="180" t="str">
        <f ca="1"/>
        <v/>
      </c>
      <c r="AC363" s="180" t="str">
        <f ca="1"/>
        <v/>
      </c>
      <c r="AD363" s="180" t="str">
        <f ca="1"/>
        <v/>
      </c>
      <c r="AE363" s="180" t="str">
        <f ca="1"/>
        <v/>
      </c>
      <c r="AF363" s="180" t="str">
        <f ca="1"/>
        <v/>
      </c>
      <c r="AG363" s="180" t="str">
        <f ca="1"/>
        <v/>
      </c>
      <c r="AH363" s="180" t="str">
        <f ca="1"/>
        <v/>
      </c>
      <c r="AI363" s="180" t="str">
        <f ca="1"/>
        <v/>
      </c>
      <c r="AJ363" s="180" t="str">
        <f ca="1"/>
        <v/>
      </c>
      <c r="AK363" s="180" t="str">
        <f ca="1"/>
        <v/>
      </c>
      <c r="AL363" s="180" t="str">
        <f ca="1"/>
        <v/>
      </c>
      <c r="AM363" s="180" t="str">
        <f ca="1"/>
        <v/>
      </c>
      <c r="AN363" s="180" t="str">
        <f ca="1"/>
        <v/>
      </c>
      <c r="AO363" s="180" t="str">
        <f ca="1"/>
        <v/>
      </c>
      <c r="AP363" s="180" t="str">
        <f ca="1"/>
        <v/>
      </c>
      <c r="AQ363" s="187" t="str">
        <f ca="1"/>
        <v/>
      </c>
    </row>
    <row r="364" spans="2:43" x14ac:dyDescent="0.25">
      <c r="B364" s="179" t="str">
        <f ca="1"/>
        <v/>
      </c>
      <c r="C364" s="180" t="str">
        <f ca="1"/>
        <v/>
      </c>
      <c r="D364" s="180" t="str">
        <f ca="1"/>
        <v/>
      </c>
      <c r="E364" s="180" t="str">
        <f ca="1"/>
        <v/>
      </c>
      <c r="F364" s="180" t="str">
        <f ca="1"/>
        <v/>
      </c>
      <c r="G364" s="180" t="str">
        <f ca="1"/>
        <v/>
      </c>
      <c r="H364" s="180" t="str">
        <f ca="1"/>
        <v/>
      </c>
      <c r="I364" s="180" t="str">
        <f ca="1"/>
        <v/>
      </c>
      <c r="J364" s="180" t="str">
        <f ca="1"/>
        <v/>
      </c>
      <c r="K364" s="180" t="str">
        <f ca="1"/>
        <v/>
      </c>
      <c r="L364" s="180" t="str">
        <f ca="1"/>
        <v/>
      </c>
      <c r="M364" s="180" t="str">
        <f ca="1"/>
        <v/>
      </c>
      <c r="N364" s="180" t="str">
        <f ca="1"/>
        <v/>
      </c>
      <c r="O364" s="180" t="str">
        <f ca="1"/>
        <v/>
      </c>
      <c r="P364" s="180" t="str">
        <f ca="1"/>
        <v/>
      </c>
      <c r="Q364" s="180" t="str">
        <f ca="1"/>
        <v/>
      </c>
      <c r="R364" s="180" t="str">
        <f ca="1"/>
        <v/>
      </c>
      <c r="S364" s="180" t="str">
        <f ca="1"/>
        <v/>
      </c>
      <c r="T364" s="180" t="str">
        <f ca="1"/>
        <v/>
      </c>
      <c r="U364" s="180" t="str">
        <f ca="1"/>
        <v/>
      </c>
      <c r="V364" s="180" t="str">
        <f ca="1"/>
        <v/>
      </c>
      <c r="W364" s="180" t="str">
        <f ca="1"/>
        <v/>
      </c>
      <c r="X364" s="180" t="str">
        <f ca="1"/>
        <v/>
      </c>
      <c r="Y364" s="180" t="str">
        <f ca="1"/>
        <v/>
      </c>
      <c r="Z364" s="180" t="str">
        <f ca="1"/>
        <v/>
      </c>
      <c r="AA364" s="180" t="str">
        <f ca="1"/>
        <v/>
      </c>
      <c r="AB364" s="180" t="str">
        <f ca="1"/>
        <v/>
      </c>
      <c r="AC364" s="180" t="str">
        <f ca="1"/>
        <v/>
      </c>
      <c r="AD364" s="180" t="str">
        <f ca="1"/>
        <v/>
      </c>
      <c r="AE364" s="180" t="str">
        <f ca="1"/>
        <v/>
      </c>
      <c r="AF364" s="180" t="str">
        <f ca="1"/>
        <v/>
      </c>
      <c r="AG364" s="180" t="str">
        <f ca="1"/>
        <v/>
      </c>
      <c r="AH364" s="180" t="str">
        <f ca="1"/>
        <v/>
      </c>
      <c r="AI364" s="180" t="str">
        <f ca="1"/>
        <v/>
      </c>
      <c r="AJ364" s="180" t="str">
        <f ca="1"/>
        <v/>
      </c>
      <c r="AK364" s="180" t="str">
        <f ca="1"/>
        <v/>
      </c>
      <c r="AL364" s="180" t="str">
        <f ca="1"/>
        <v/>
      </c>
      <c r="AM364" s="180" t="str">
        <f ca="1"/>
        <v/>
      </c>
      <c r="AN364" s="180" t="str">
        <f ca="1"/>
        <v/>
      </c>
      <c r="AO364" s="180" t="str">
        <f ca="1"/>
        <v/>
      </c>
      <c r="AP364" s="180" t="str">
        <f ca="1"/>
        <v/>
      </c>
      <c r="AQ364" s="187" t="str">
        <f ca="1"/>
        <v/>
      </c>
    </row>
    <row r="365" spans="2:43" x14ac:dyDescent="0.25">
      <c r="B365" s="179" t="str">
        <f ca="1"/>
        <v/>
      </c>
      <c r="C365" s="180" t="str">
        <f ca="1"/>
        <v/>
      </c>
      <c r="D365" s="180" t="str">
        <f ca="1"/>
        <v/>
      </c>
      <c r="E365" s="180" t="str">
        <f ca="1"/>
        <v/>
      </c>
      <c r="F365" s="180" t="str">
        <f ca="1"/>
        <v/>
      </c>
      <c r="G365" s="180" t="str">
        <f ca="1"/>
        <v/>
      </c>
      <c r="H365" s="180" t="str">
        <f ca="1"/>
        <v/>
      </c>
      <c r="I365" s="180" t="str">
        <f ca="1"/>
        <v/>
      </c>
      <c r="J365" s="180" t="str">
        <f ca="1"/>
        <v/>
      </c>
      <c r="K365" s="180" t="str">
        <f ca="1"/>
        <v/>
      </c>
      <c r="L365" s="180" t="str">
        <f ca="1"/>
        <v/>
      </c>
      <c r="M365" s="180" t="str">
        <f ca="1"/>
        <v/>
      </c>
      <c r="N365" s="180" t="str">
        <f ca="1"/>
        <v/>
      </c>
      <c r="O365" s="180" t="str">
        <f ca="1"/>
        <v/>
      </c>
      <c r="P365" s="180" t="str">
        <f ca="1"/>
        <v/>
      </c>
      <c r="Q365" s="180" t="str">
        <f ca="1"/>
        <v/>
      </c>
      <c r="R365" s="180" t="str">
        <f ca="1"/>
        <v/>
      </c>
      <c r="S365" s="180" t="str">
        <f ca="1"/>
        <v/>
      </c>
      <c r="T365" s="180" t="str">
        <f ca="1"/>
        <v/>
      </c>
      <c r="U365" s="180" t="str">
        <f ca="1"/>
        <v/>
      </c>
      <c r="V365" s="180" t="str">
        <f ca="1"/>
        <v/>
      </c>
      <c r="W365" s="180" t="str">
        <f ca="1"/>
        <v/>
      </c>
      <c r="X365" s="180" t="str">
        <f ca="1"/>
        <v/>
      </c>
      <c r="Y365" s="180" t="str">
        <f ca="1"/>
        <v/>
      </c>
      <c r="Z365" s="180" t="str">
        <f ca="1"/>
        <v/>
      </c>
      <c r="AA365" s="180" t="str">
        <f ca="1"/>
        <v/>
      </c>
      <c r="AB365" s="180" t="str">
        <f ca="1"/>
        <v/>
      </c>
      <c r="AC365" s="180" t="str">
        <f ca="1"/>
        <v/>
      </c>
      <c r="AD365" s="180" t="str">
        <f ca="1"/>
        <v/>
      </c>
      <c r="AE365" s="180" t="str">
        <f ca="1"/>
        <v/>
      </c>
      <c r="AF365" s="180" t="str">
        <f ca="1"/>
        <v/>
      </c>
      <c r="AG365" s="180" t="str">
        <f ca="1"/>
        <v/>
      </c>
      <c r="AH365" s="180" t="str">
        <f ca="1"/>
        <v/>
      </c>
      <c r="AI365" s="180" t="str">
        <f ca="1"/>
        <v/>
      </c>
      <c r="AJ365" s="180" t="str">
        <f ca="1"/>
        <v/>
      </c>
      <c r="AK365" s="180" t="str">
        <f ca="1"/>
        <v/>
      </c>
      <c r="AL365" s="180" t="str">
        <f ca="1"/>
        <v/>
      </c>
      <c r="AM365" s="180" t="str">
        <f ca="1"/>
        <v/>
      </c>
      <c r="AN365" s="180" t="str">
        <f ca="1"/>
        <v/>
      </c>
      <c r="AO365" s="180" t="str">
        <f ca="1"/>
        <v/>
      </c>
      <c r="AP365" s="180" t="str">
        <f ca="1"/>
        <v/>
      </c>
      <c r="AQ365" s="187" t="str">
        <f ca="1"/>
        <v/>
      </c>
    </row>
    <row r="366" spans="2:43" x14ac:dyDescent="0.25">
      <c r="B366" s="179" t="str">
        <f ca="1"/>
        <v/>
      </c>
      <c r="C366" s="180" t="str">
        <f ca="1"/>
        <v/>
      </c>
      <c r="D366" s="180" t="str">
        <f ca="1"/>
        <v/>
      </c>
      <c r="E366" s="180" t="str">
        <f ca="1"/>
        <v/>
      </c>
      <c r="F366" s="180" t="str">
        <f ca="1"/>
        <v/>
      </c>
      <c r="G366" s="180" t="str">
        <f ca="1"/>
        <v/>
      </c>
      <c r="H366" s="180" t="str">
        <f ca="1"/>
        <v/>
      </c>
      <c r="I366" s="180" t="str">
        <f ca="1"/>
        <v/>
      </c>
      <c r="J366" s="180" t="str">
        <f ca="1"/>
        <v/>
      </c>
      <c r="K366" s="180" t="str">
        <f ca="1"/>
        <v/>
      </c>
      <c r="L366" s="180" t="str">
        <f ca="1"/>
        <v/>
      </c>
      <c r="M366" s="180" t="str">
        <f ca="1"/>
        <v/>
      </c>
      <c r="N366" s="180" t="str">
        <f ca="1"/>
        <v/>
      </c>
      <c r="O366" s="180" t="str">
        <f ca="1"/>
        <v/>
      </c>
      <c r="P366" s="180" t="str">
        <f ca="1"/>
        <v/>
      </c>
      <c r="Q366" s="180" t="str">
        <f ca="1"/>
        <v/>
      </c>
      <c r="R366" s="180" t="str">
        <f ca="1"/>
        <v/>
      </c>
      <c r="S366" s="180" t="str">
        <f ca="1"/>
        <v/>
      </c>
      <c r="T366" s="180" t="str">
        <f ca="1"/>
        <v/>
      </c>
      <c r="U366" s="180" t="str">
        <f ca="1"/>
        <v/>
      </c>
      <c r="V366" s="180" t="str">
        <f ca="1"/>
        <v/>
      </c>
      <c r="W366" s="180" t="str">
        <f ca="1"/>
        <v/>
      </c>
      <c r="X366" s="180" t="str">
        <f ca="1"/>
        <v/>
      </c>
      <c r="Y366" s="180" t="str">
        <f ca="1"/>
        <v/>
      </c>
      <c r="Z366" s="180" t="str">
        <f ca="1"/>
        <v/>
      </c>
      <c r="AA366" s="180" t="str">
        <f ca="1"/>
        <v/>
      </c>
      <c r="AB366" s="180" t="str">
        <f ca="1"/>
        <v/>
      </c>
      <c r="AC366" s="180" t="str">
        <f ca="1"/>
        <v/>
      </c>
      <c r="AD366" s="180" t="str">
        <f ca="1"/>
        <v/>
      </c>
      <c r="AE366" s="180" t="str">
        <f ca="1"/>
        <v/>
      </c>
      <c r="AF366" s="180" t="str">
        <f ca="1"/>
        <v/>
      </c>
      <c r="AG366" s="180" t="str">
        <f ca="1"/>
        <v/>
      </c>
      <c r="AH366" s="180" t="str">
        <f ca="1"/>
        <v/>
      </c>
      <c r="AI366" s="180" t="str">
        <f ca="1"/>
        <v/>
      </c>
      <c r="AJ366" s="180" t="str">
        <f ca="1"/>
        <v/>
      </c>
      <c r="AK366" s="180" t="str">
        <f ca="1"/>
        <v/>
      </c>
      <c r="AL366" s="180" t="str">
        <f ca="1"/>
        <v/>
      </c>
      <c r="AM366" s="180" t="str">
        <f ca="1"/>
        <v/>
      </c>
      <c r="AN366" s="180" t="str">
        <f ca="1"/>
        <v/>
      </c>
      <c r="AO366" s="180" t="str">
        <f ca="1"/>
        <v/>
      </c>
      <c r="AP366" s="180" t="str">
        <f ca="1"/>
        <v/>
      </c>
      <c r="AQ366" s="187" t="str">
        <f ca="1"/>
        <v/>
      </c>
    </row>
    <row r="367" spans="2:43" x14ac:dyDescent="0.25">
      <c r="B367" s="179" t="str">
        <f ca="1"/>
        <v/>
      </c>
      <c r="C367" s="180" t="str">
        <f ca="1"/>
        <v/>
      </c>
      <c r="D367" s="180" t="str">
        <f ca="1"/>
        <v/>
      </c>
      <c r="E367" s="180" t="str">
        <f ca="1"/>
        <v/>
      </c>
      <c r="F367" s="180" t="str">
        <f ca="1"/>
        <v/>
      </c>
      <c r="G367" s="180" t="str">
        <f ca="1"/>
        <v/>
      </c>
      <c r="H367" s="180" t="str">
        <f ca="1"/>
        <v/>
      </c>
      <c r="I367" s="180" t="str">
        <f ca="1"/>
        <v/>
      </c>
      <c r="J367" s="180" t="str">
        <f ca="1"/>
        <v/>
      </c>
      <c r="K367" s="180" t="str">
        <f ca="1"/>
        <v/>
      </c>
      <c r="L367" s="180" t="str">
        <f ca="1"/>
        <v/>
      </c>
      <c r="M367" s="180" t="str">
        <f ca="1"/>
        <v/>
      </c>
      <c r="N367" s="180" t="str">
        <f ca="1"/>
        <v/>
      </c>
      <c r="O367" s="180" t="str">
        <f ca="1"/>
        <v/>
      </c>
      <c r="P367" s="180" t="str">
        <f ca="1"/>
        <v/>
      </c>
      <c r="Q367" s="180" t="str">
        <f ca="1"/>
        <v/>
      </c>
      <c r="R367" s="180" t="str">
        <f ca="1"/>
        <v/>
      </c>
      <c r="S367" s="180" t="str">
        <f ca="1"/>
        <v/>
      </c>
      <c r="T367" s="180" t="str">
        <f ca="1"/>
        <v/>
      </c>
      <c r="U367" s="180" t="str">
        <f ca="1"/>
        <v/>
      </c>
      <c r="V367" s="180" t="str">
        <f ca="1"/>
        <v/>
      </c>
      <c r="W367" s="180" t="str">
        <f ca="1"/>
        <v/>
      </c>
      <c r="X367" s="180" t="str">
        <f ca="1"/>
        <v/>
      </c>
      <c r="Y367" s="180" t="str">
        <f ca="1"/>
        <v/>
      </c>
      <c r="Z367" s="180" t="str">
        <f ca="1"/>
        <v/>
      </c>
      <c r="AA367" s="180" t="str">
        <f ca="1"/>
        <v/>
      </c>
      <c r="AB367" s="180" t="str">
        <f ca="1"/>
        <v/>
      </c>
      <c r="AC367" s="180" t="str">
        <f ca="1"/>
        <v/>
      </c>
      <c r="AD367" s="180" t="str">
        <f ca="1"/>
        <v/>
      </c>
      <c r="AE367" s="180" t="str">
        <f ca="1"/>
        <v/>
      </c>
      <c r="AF367" s="180" t="str">
        <f ca="1"/>
        <v/>
      </c>
      <c r="AG367" s="180" t="str">
        <f ca="1"/>
        <v/>
      </c>
      <c r="AH367" s="180" t="str">
        <f ca="1"/>
        <v/>
      </c>
      <c r="AI367" s="180" t="str">
        <f ca="1"/>
        <v/>
      </c>
      <c r="AJ367" s="180" t="str">
        <f ca="1"/>
        <v/>
      </c>
      <c r="AK367" s="180" t="str">
        <f ca="1"/>
        <v/>
      </c>
      <c r="AL367" s="180" t="str">
        <f ca="1"/>
        <v/>
      </c>
      <c r="AM367" s="180" t="str">
        <f ca="1"/>
        <v/>
      </c>
      <c r="AN367" s="180" t="str">
        <f ca="1"/>
        <v/>
      </c>
      <c r="AO367" s="180" t="str">
        <f ca="1"/>
        <v/>
      </c>
      <c r="AP367" s="180" t="str">
        <f ca="1"/>
        <v/>
      </c>
      <c r="AQ367" s="187" t="str">
        <f ca="1"/>
        <v/>
      </c>
    </row>
    <row r="368" spans="2:43" x14ac:dyDescent="0.25">
      <c r="B368" s="179" t="str">
        <f ca="1"/>
        <v/>
      </c>
      <c r="C368" s="180" t="str">
        <f ca="1"/>
        <v/>
      </c>
      <c r="D368" s="180" t="str">
        <f ca="1"/>
        <v/>
      </c>
      <c r="E368" s="180" t="str">
        <f ca="1"/>
        <v/>
      </c>
      <c r="F368" s="180" t="str">
        <f ca="1"/>
        <v/>
      </c>
      <c r="G368" s="180" t="str">
        <f ca="1"/>
        <v/>
      </c>
      <c r="H368" s="180" t="str">
        <f ca="1"/>
        <v/>
      </c>
      <c r="I368" s="180" t="str">
        <f ca="1"/>
        <v/>
      </c>
      <c r="J368" s="180" t="str">
        <f ca="1"/>
        <v/>
      </c>
      <c r="K368" s="180" t="str">
        <f ca="1"/>
        <v/>
      </c>
      <c r="L368" s="180" t="str">
        <f ca="1"/>
        <v/>
      </c>
      <c r="M368" s="180" t="str">
        <f ca="1"/>
        <v/>
      </c>
      <c r="N368" s="180" t="str">
        <f ca="1"/>
        <v/>
      </c>
      <c r="O368" s="180" t="str">
        <f ca="1"/>
        <v/>
      </c>
      <c r="P368" s="180" t="str">
        <f ca="1"/>
        <v/>
      </c>
      <c r="Q368" s="180" t="str">
        <f ca="1"/>
        <v/>
      </c>
      <c r="R368" s="180" t="str">
        <f ca="1"/>
        <v/>
      </c>
      <c r="S368" s="180" t="str">
        <f ca="1"/>
        <v/>
      </c>
      <c r="T368" s="180" t="str">
        <f ca="1"/>
        <v/>
      </c>
      <c r="U368" s="180" t="str">
        <f ca="1"/>
        <v/>
      </c>
      <c r="V368" s="180" t="str">
        <f ca="1"/>
        <v/>
      </c>
      <c r="W368" s="180" t="str">
        <f ca="1"/>
        <v/>
      </c>
      <c r="X368" s="180" t="str">
        <f ca="1"/>
        <v/>
      </c>
      <c r="Y368" s="180" t="str">
        <f ca="1"/>
        <v/>
      </c>
      <c r="Z368" s="180" t="str">
        <f ca="1"/>
        <v/>
      </c>
      <c r="AA368" s="180" t="str">
        <f ca="1"/>
        <v/>
      </c>
      <c r="AB368" s="180" t="str">
        <f ca="1"/>
        <v/>
      </c>
      <c r="AC368" s="180" t="str">
        <f ca="1"/>
        <v/>
      </c>
      <c r="AD368" s="180" t="str">
        <f ca="1"/>
        <v/>
      </c>
      <c r="AE368" s="180" t="str">
        <f ca="1"/>
        <v/>
      </c>
      <c r="AF368" s="180" t="str">
        <f ca="1"/>
        <v/>
      </c>
      <c r="AG368" s="180" t="str">
        <f ca="1"/>
        <v/>
      </c>
      <c r="AH368" s="180" t="str">
        <f ca="1"/>
        <v/>
      </c>
      <c r="AI368" s="180" t="str">
        <f ca="1"/>
        <v/>
      </c>
      <c r="AJ368" s="180" t="str">
        <f ca="1"/>
        <v/>
      </c>
      <c r="AK368" s="180" t="str">
        <f ca="1"/>
        <v/>
      </c>
      <c r="AL368" s="180" t="str">
        <f ca="1"/>
        <v/>
      </c>
      <c r="AM368" s="180" t="str">
        <f ca="1"/>
        <v/>
      </c>
      <c r="AN368" s="180" t="str">
        <f ca="1"/>
        <v/>
      </c>
      <c r="AO368" s="180" t="str">
        <f ca="1"/>
        <v/>
      </c>
      <c r="AP368" s="180" t="str">
        <f ca="1"/>
        <v/>
      </c>
      <c r="AQ368" s="187" t="str">
        <f ca="1"/>
        <v/>
      </c>
    </row>
    <row r="369" spans="2:43" x14ac:dyDescent="0.25">
      <c r="B369" s="179" t="str">
        <f ca="1"/>
        <v/>
      </c>
      <c r="C369" s="180" t="str">
        <f ca="1"/>
        <v/>
      </c>
      <c r="D369" s="180" t="str">
        <f ca="1"/>
        <v/>
      </c>
      <c r="E369" s="180" t="str">
        <f ca="1"/>
        <v/>
      </c>
      <c r="F369" s="180" t="str">
        <f ca="1"/>
        <v/>
      </c>
      <c r="G369" s="180" t="str">
        <f ca="1"/>
        <v/>
      </c>
      <c r="H369" s="180" t="str">
        <f ca="1"/>
        <v/>
      </c>
      <c r="I369" s="180" t="str">
        <f ca="1"/>
        <v/>
      </c>
      <c r="J369" s="180" t="str">
        <f ca="1"/>
        <v/>
      </c>
      <c r="K369" s="180" t="str">
        <f ca="1"/>
        <v/>
      </c>
      <c r="L369" s="180" t="str">
        <f ca="1"/>
        <v/>
      </c>
      <c r="M369" s="180" t="str">
        <f ca="1"/>
        <v/>
      </c>
      <c r="N369" s="180" t="str">
        <f ca="1"/>
        <v/>
      </c>
      <c r="O369" s="180" t="str">
        <f ca="1"/>
        <v/>
      </c>
      <c r="P369" s="180" t="str">
        <f ca="1"/>
        <v/>
      </c>
      <c r="Q369" s="180" t="str">
        <f ca="1"/>
        <v/>
      </c>
      <c r="R369" s="180" t="str">
        <f ca="1"/>
        <v/>
      </c>
      <c r="S369" s="180" t="str">
        <f ca="1"/>
        <v/>
      </c>
      <c r="T369" s="180" t="str">
        <f ca="1"/>
        <v/>
      </c>
      <c r="U369" s="180" t="str">
        <f ca="1"/>
        <v/>
      </c>
      <c r="V369" s="180" t="str">
        <f ca="1"/>
        <v/>
      </c>
      <c r="W369" s="180" t="str">
        <f ca="1"/>
        <v/>
      </c>
      <c r="X369" s="180" t="str">
        <f ca="1"/>
        <v/>
      </c>
      <c r="Y369" s="180" t="str">
        <f ca="1"/>
        <v/>
      </c>
      <c r="Z369" s="180" t="str">
        <f ca="1"/>
        <v/>
      </c>
      <c r="AA369" s="180" t="str">
        <f ca="1"/>
        <v/>
      </c>
      <c r="AB369" s="180" t="str">
        <f ca="1"/>
        <v/>
      </c>
      <c r="AC369" s="180" t="str">
        <f ca="1"/>
        <v/>
      </c>
      <c r="AD369" s="180" t="str">
        <f ca="1"/>
        <v/>
      </c>
      <c r="AE369" s="180" t="str">
        <f ca="1"/>
        <v/>
      </c>
      <c r="AF369" s="180" t="str">
        <f ca="1"/>
        <v/>
      </c>
      <c r="AG369" s="180" t="str">
        <f ca="1"/>
        <v/>
      </c>
      <c r="AH369" s="180" t="str">
        <f ca="1"/>
        <v/>
      </c>
      <c r="AI369" s="180" t="str">
        <f ca="1"/>
        <v/>
      </c>
      <c r="AJ369" s="180" t="str">
        <f ca="1"/>
        <v/>
      </c>
      <c r="AK369" s="180" t="str">
        <f ca="1"/>
        <v/>
      </c>
      <c r="AL369" s="180" t="str">
        <f ca="1"/>
        <v/>
      </c>
      <c r="AM369" s="180" t="str">
        <f ca="1"/>
        <v/>
      </c>
      <c r="AN369" s="180" t="str">
        <f ca="1"/>
        <v/>
      </c>
      <c r="AO369" s="180" t="str">
        <f ca="1"/>
        <v/>
      </c>
      <c r="AP369" s="180" t="str">
        <f ca="1"/>
        <v/>
      </c>
      <c r="AQ369" s="187" t="str">
        <f ca="1"/>
        <v/>
      </c>
    </row>
    <row r="370" spans="2:43" x14ac:dyDescent="0.25">
      <c r="B370" s="179" t="str">
        <f ca="1"/>
        <v/>
      </c>
      <c r="C370" s="180" t="str">
        <f ca="1"/>
        <v/>
      </c>
      <c r="D370" s="180" t="str">
        <f ca="1"/>
        <v/>
      </c>
      <c r="E370" s="180" t="str">
        <f ca="1"/>
        <v/>
      </c>
      <c r="F370" s="180" t="str">
        <f ca="1"/>
        <v/>
      </c>
      <c r="G370" s="180" t="str">
        <f ca="1"/>
        <v/>
      </c>
      <c r="H370" s="180" t="str">
        <f ca="1"/>
        <v/>
      </c>
      <c r="I370" s="180" t="str">
        <f ca="1"/>
        <v/>
      </c>
      <c r="J370" s="180" t="str">
        <f ca="1"/>
        <v/>
      </c>
      <c r="K370" s="180" t="str">
        <f ca="1"/>
        <v/>
      </c>
      <c r="L370" s="180" t="str">
        <f ca="1"/>
        <v/>
      </c>
      <c r="M370" s="180" t="str">
        <f ca="1"/>
        <v/>
      </c>
      <c r="N370" s="180" t="str">
        <f ca="1"/>
        <v/>
      </c>
      <c r="O370" s="180" t="str">
        <f ca="1"/>
        <v/>
      </c>
      <c r="P370" s="180" t="str">
        <f ca="1"/>
        <v/>
      </c>
      <c r="Q370" s="180" t="str">
        <f ca="1"/>
        <v/>
      </c>
      <c r="R370" s="180" t="str">
        <f ca="1"/>
        <v/>
      </c>
      <c r="S370" s="180" t="str">
        <f ca="1"/>
        <v/>
      </c>
      <c r="T370" s="180" t="str">
        <f ca="1"/>
        <v/>
      </c>
      <c r="U370" s="180" t="str">
        <f ca="1"/>
        <v/>
      </c>
      <c r="V370" s="180" t="str">
        <f ca="1"/>
        <v/>
      </c>
      <c r="W370" s="180" t="str">
        <f ca="1"/>
        <v/>
      </c>
      <c r="X370" s="180" t="str">
        <f ca="1"/>
        <v/>
      </c>
      <c r="Y370" s="180" t="str">
        <f ca="1"/>
        <v/>
      </c>
      <c r="Z370" s="180" t="str">
        <f ca="1"/>
        <v/>
      </c>
      <c r="AA370" s="180" t="str">
        <f ca="1"/>
        <v/>
      </c>
      <c r="AB370" s="180" t="str">
        <f ca="1"/>
        <v/>
      </c>
      <c r="AC370" s="180" t="str">
        <f ca="1"/>
        <v/>
      </c>
      <c r="AD370" s="180" t="str">
        <f ca="1"/>
        <v/>
      </c>
      <c r="AE370" s="180" t="str">
        <f ca="1"/>
        <v/>
      </c>
      <c r="AF370" s="180" t="str">
        <f ca="1"/>
        <v/>
      </c>
      <c r="AG370" s="180" t="str">
        <f ca="1"/>
        <v/>
      </c>
      <c r="AH370" s="180" t="str">
        <f ca="1"/>
        <v/>
      </c>
      <c r="AI370" s="180" t="str">
        <f ca="1"/>
        <v/>
      </c>
      <c r="AJ370" s="180" t="str">
        <f ca="1"/>
        <v/>
      </c>
      <c r="AK370" s="180" t="str">
        <f ca="1"/>
        <v/>
      </c>
      <c r="AL370" s="180" t="str">
        <f ca="1"/>
        <v/>
      </c>
      <c r="AM370" s="180" t="str">
        <f ca="1"/>
        <v/>
      </c>
      <c r="AN370" s="180" t="str">
        <f ca="1"/>
        <v/>
      </c>
      <c r="AO370" s="180" t="str">
        <f ca="1"/>
        <v/>
      </c>
      <c r="AP370" s="180" t="str">
        <f ca="1"/>
        <v/>
      </c>
      <c r="AQ370" s="187" t="str">
        <f ca="1"/>
        <v/>
      </c>
    </row>
    <row r="371" spans="2:43" x14ac:dyDescent="0.25">
      <c r="B371" s="179" t="str">
        <f ca="1"/>
        <v/>
      </c>
      <c r="C371" s="180" t="str">
        <f ca="1"/>
        <v/>
      </c>
      <c r="D371" s="180" t="str">
        <f ca="1"/>
        <v/>
      </c>
      <c r="E371" s="180" t="str">
        <f ca="1"/>
        <v/>
      </c>
      <c r="F371" s="180" t="str">
        <f ca="1"/>
        <v/>
      </c>
      <c r="G371" s="180" t="str">
        <f ca="1"/>
        <v/>
      </c>
      <c r="H371" s="180" t="str">
        <f ca="1"/>
        <v/>
      </c>
      <c r="I371" s="180" t="str">
        <f ca="1"/>
        <v/>
      </c>
      <c r="J371" s="180" t="str">
        <f ca="1"/>
        <v/>
      </c>
      <c r="K371" s="180" t="str">
        <f ca="1"/>
        <v/>
      </c>
      <c r="L371" s="180" t="str">
        <f ca="1"/>
        <v/>
      </c>
      <c r="M371" s="180" t="str">
        <f ca="1"/>
        <v/>
      </c>
      <c r="N371" s="180" t="str">
        <f ca="1"/>
        <v/>
      </c>
      <c r="O371" s="180" t="str">
        <f ca="1"/>
        <v/>
      </c>
      <c r="P371" s="180" t="str">
        <f ca="1"/>
        <v/>
      </c>
      <c r="Q371" s="180" t="str">
        <f ca="1"/>
        <v/>
      </c>
      <c r="R371" s="180" t="str">
        <f ca="1"/>
        <v/>
      </c>
      <c r="S371" s="180" t="str">
        <f ca="1"/>
        <v/>
      </c>
      <c r="T371" s="180" t="str">
        <f ca="1"/>
        <v/>
      </c>
      <c r="U371" s="180" t="str">
        <f ca="1"/>
        <v/>
      </c>
      <c r="V371" s="180" t="str">
        <f ca="1"/>
        <v/>
      </c>
      <c r="W371" s="180" t="str">
        <f ca="1"/>
        <v/>
      </c>
      <c r="X371" s="180" t="str">
        <f ca="1"/>
        <v/>
      </c>
      <c r="Y371" s="180" t="str">
        <f ca="1"/>
        <v/>
      </c>
      <c r="Z371" s="180" t="str">
        <f ca="1"/>
        <v/>
      </c>
      <c r="AA371" s="180" t="str">
        <f ca="1"/>
        <v/>
      </c>
      <c r="AB371" s="180" t="str">
        <f ca="1"/>
        <v/>
      </c>
      <c r="AC371" s="180" t="str">
        <f ca="1"/>
        <v/>
      </c>
      <c r="AD371" s="180" t="str">
        <f ca="1"/>
        <v/>
      </c>
      <c r="AE371" s="180" t="str">
        <f ca="1"/>
        <v/>
      </c>
      <c r="AF371" s="180" t="str">
        <f ca="1"/>
        <v/>
      </c>
      <c r="AG371" s="180" t="str">
        <f ca="1"/>
        <v/>
      </c>
      <c r="AH371" s="180" t="str">
        <f ca="1"/>
        <v/>
      </c>
      <c r="AI371" s="180" t="str">
        <f ca="1"/>
        <v/>
      </c>
      <c r="AJ371" s="180" t="str">
        <f ca="1"/>
        <v/>
      </c>
      <c r="AK371" s="180" t="str">
        <f ca="1"/>
        <v/>
      </c>
      <c r="AL371" s="180" t="str">
        <f ca="1"/>
        <v/>
      </c>
      <c r="AM371" s="180" t="str">
        <f ca="1"/>
        <v/>
      </c>
      <c r="AN371" s="180" t="str">
        <f ca="1"/>
        <v/>
      </c>
      <c r="AO371" s="180" t="str">
        <f ca="1"/>
        <v/>
      </c>
      <c r="AP371" s="180" t="str">
        <f ca="1"/>
        <v/>
      </c>
      <c r="AQ371" s="187" t="str">
        <f ca="1"/>
        <v/>
      </c>
    </row>
    <row r="372" spans="2:43" x14ac:dyDescent="0.25">
      <c r="B372" s="179" t="str">
        <f ca="1"/>
        <v/>
      </c>
      <c r="C372" s="180" t="str">
        <f ca="1"/>
        <v/>
      </c>
      <c r="D372" s="180" t="str">
        <f ca="1"/>
        <v/>
      </c>
      <c r="E372" s="180" t="str">
        <f ca="1"/>
        <v/>
      </c>
      <c r="F372" s="180" t="str">
        <f ca="1"/>
        <v/>
      </c>
      <c r="G372" s="180" t="str">
        <f ca="1"/>
        <v/>
      </c>
      <c r="H372" s="180" t="str">
        <f ca="1"/>
        <v/>
      </c>
      <c r="I372" s="180" t="str">
        <f ca="1"/>
        <v/>
      </c>
      <c r="J372" s="180" t="str">
        <f ca="1"/>
        <v/>
      </c>
      <c r="K372" s="180" t="str">
        <f ca="1"/>
        <v/>
      </c>
      <c r="L372" s="180" t="str">
        <f ca="1"/>
        <v/>
      </c>
      <c r="M372" s="180" t="str">
        <f ca="1"/>
        <v/>
      </c>
      <c r="N372" s="180" t="str">
        <f ca="1"/>
        <v/>
      </c>
      <c r="O372" s="180" t="str">
        <f ca="1"/>
        <v/>
      </c>
      <c r="P372" s="180" t="str">
        <f ca="1"/>
        <v/>
      </c>
      <c r="Q372" s="180" t="str">
        <f ca="1"/>
        <v/>
      </c>
      <c r="R372" s="180" t="str">
        <f ca="1"/>
        <v/>
      </c>
      <c r="S372" s="180" t="str">
        <f ca="1"/>
        <v/>
      </c>
      <c r="T372" s="180" t="str">
        <f ca="1"/>
        <v/>
      </c>
      <c r="U372" s="180" t="str">
        <f ca="1"/>
        <v/>
      </c>
      <c r="V372" s="180" t="str">
        <f ca="1"/>
        <v/>
      </c>
      <c r="W372" s="180" t="str">
        <f ca="1"/>
        <v/>
      </c>
      <c r="X372" s="180" t="str">
        <f ca="1"/>
        <v/>
      </c>
      <c r="Y372" s="180" t="str">
        <f ca="1"/>
        <v/>
      </c>
      <c r="Z372" s="180" t="str">
        <f ca="1"/>
        <v/>
      </c>
      <c r="AA372" s="180" t="str">
        <f ca="1"/>
        <v/>
      </c>
      <c r="AB372" s="180" t="str">
        <f ca="1"/>
        <v/>
      </c>
      <c r="AC372" s="180" t="str">
        <f ca="1"/>
        <v/>
      </c>
      <c r="AD372" s="180" t="str">
        <f ca="1"/>
        <v/>
      </c>
      <c r="AE372" s="180" t="str">
        <f ca="1"/>
        <v/>
      </c>
      <c r="AF372" s="180" t="str">
        <f ca="1"/>
        <v/>
      </c>
      <c r="AG372" s="180" t="str">
        <f ca="1"/>
        <v/>
      </c>
      <c r="AH372" s="180" t="str">
        <f ca="1"/>
        <v/>
      </c>
      <c r="AI372" s="180" t="str">
        <f ca="1"/>
        <v/>
      </c>
      <c r="AJ372" s="180" t="str">
        <f ca="1"/>
        <v/>
      </c>
      <c r="AK372" s="180" t="str">
        <f ca="1"/>
        <v/>
      </c>
      <c r="AL372" s="180" t="str">
        <f ca="1"/>
        <v/>
      </c>
      <c r="AM372" s="180" t="str">
        <f ca="1"/>
        <v/>
      </c>
      <c r="AN372" s="180" t="str">
        <f ca="1"/>
        <v/>
      </c>
      <c r="AO372" s="180" t="str">
        <f ca="1"/>
        <v/>
      </c>
      <c r="AP372" s="180" t="str">
        <f ca="1"/>
        <v/>
      </c>
      <c r="AQ372" s="187" t="str">
        <f ca="1"/>
        <v/>
      </c>
    </row>
    <row r="373" spans="2:43" x14ac:dyDescent="0.25">
      <c r="B373" s="179" t="str">
        <f ca="1"/>
        <v/>
      </c>
      <c r="C373" s="180" t="str">
        <f ca="1"/>
        <v/>
      </c>
      <c r="D373" s="180" t="str">
        <f ca="1"/>
        <v/>
      </c>
      <c r="E373" s="180" t="str">
        <f ca="1"/>
        <v/>
      </c>
      <c r="F373" s="180" t="str">
        <f ca="1"/>
        <v/>
      </c>
      <c r="G373" s="180" t="str">
        <f ca="1"/>
        <v/>
      </c>
      <c r="H373" s="180" t="str">
        <f ca="1"/>
        <v/>
      </c>
      <c r="I373" s="180" t="str">
        <f ca="1"/>
        <v/>
      </c>
      <c r="J373" s="180" t="str">
        <f ca="1"/>
        <v/>
      </c>
      <c r="K373" s="180" t="str">
        <f ca="1"/>
        <v/>
      </c>
      <c r="L373" s="180" t="str">
        <f ca="1"/>
        <v/>
      </c>
      <c r="M373" s="180" t="str">
        <f ca="1"/>
        <v/>
      </c>
      <c r="N373" s="180" t="str">
        <f ca="1"/>
        <v/>
      </c>
      <c r="O373" s="180" t="str">
        <f ca="1"/>
        <v/>
      </c>
      <c r="P373" s="180" t="str">
        <f ca="1"/>
        <v/>
      </c>
      <c r="Q373" s="180" t="str">
        <f ca="1"/>
        <v/>
      </c>
      <c r="R373" s="180" t="str">
        <f ca="1"/>
        <v/>
      </c>
      <c r="S373" s="180" t="str">
        <f ca="1"/>
        <v/>
      </c>
      <c r="T373" s="180" t="str">
        <f ca="1"/>
        <v/>
      </c>
      <c r="U373" s="180" t="str">
        <f ca="1"/>
        <v/>
      </c>
      <c r="V373" s="180" t="str">
        <f ca="1"/>
        <v/>
      </c>
      <c r="W373" s="180" t="str">
        <f ca="1"/>
        <v/>
      </c>
      <c r="X373" s="180" t="str">
        <f ca="1"/>
        <v/>
      </c>
      <c r="Y373" s="180" t="str">
        <f ca="1"/>
        <v/>
      </c>
      <c r="Z373" s="180" t="str">
        <f ca="1"/>
        <v/>
      </c>
      <c r="AA373" s="180" t="str">
        <f ca="1"/>
        <v/>
      </c>
      <c r="AB373" s="180" t="str">
        <f ca="1"/>
        <v/>
      </c>
      <c r="AC373" s="180" t="str">
        <f ca="1"/>
        <v/>
      </c>
      <c r="AD373" s="180" t="str">
        <f ca="1"/>
        <v/>
      </c>
      <c r="AE373" s="180" t="str">
        <f ca="1"/>
        <v/>
      </c>
      <c r="AF373" s="180" t="str">
        <f ca="1"/>
        <v/>
      </c>
      <c r="AG373" s="180" t="str">
        <f ca="1"/>
        <v/>
      </c>
      <c r="AH373" s="180" t="str">
        <f ca="1"/>
        <v/>
      </c>
      <c r="AI373" s="180" t="str">
        <f ca="1"/>
        <v/>
      </c>
      <c r="AJ373" s="180" t="str">
        <f ca="1"/>
        <v/>
      </c>
      <c r="AK373" s="180" t="str">
        <f ca="1"/>
        <v/>
      </c>
      <c r="AL373" s="180" t="str">
        <f ca="1"/>
        <v/>
      </c>
      <c r="AM373" s="180" t="str">
        <f ca="1"/>
        <v/>
      </c>
      <c r="AN373" s="180" t="str">
        <f ca="1"/>
        <v/>
      </c>
      <c r="AO373" s="180" t="str">
        <f ca="1"/>
        <v/>
      </c>
      <c r="AP373" s="180" t="str">
        <f ca="1"/>
        <v/>
      </c>
      <c r="AQ373" s="187" t="str">
        <f ca="1"/>
        <v/>
      </c>
    </row>
    <row r="374" spans="2:43" x14ac:dyDescent="0.25">
      <c r="B374" s="179" t="str">
        <f ca="1"/>
        <v/>
      </c>
      <c r="C374" s="180" t="str">
        <f ca="1"/>
        <v/>
      </c>
      <c r="D374" s="180" t="str">
        <f ca="1"/>
        <v/>
      </c>
      <c r="E374" s="180" t="str">
        <f ca="1"/>
        <v/>
      </c>
      <c r="F374" s="180" t="str">
        <f ca="1"/>
        <v/>
      </c>
      <c r="G374" s="180" t="str">
        <f ca="1"/>
        <v/>
      </c>
      <c r="H374" s="180" t="str">
        <f ca="1"/>
        <v/>
      </c>
      <c r="I374" s="180" t="str">
        <f ca="1"/>
        <v/>
      </c>
      <c r="J374" s="180" t="str">
        <f ca="1"/>
        <v/>
      </c>
      <c r="K374" s="180" t="str">
        <f ca="1"/>
        <v/>
      </c>
      <c r="L374" s="180" t="str">
        <f ca="1"/>
        <v/>
      </c>
      <c r="M374" s="180" t="str">
        <f ca="1"/>
        <v/>
      </c>
      <c r="N374" s="180" t="str">
        <f ca="1"/>
        <v/>
      </c>
      <c r="O374" s="180" t="str">
        <f ca="1"/>
        <v/>
      </c>
      <c r="P374" s="180" t="str">
        <f ca="1"/>
        <v/>
      </c>
      <c r="Q374" s="180" t="str">
        <f ca="1"/>
        <v/>
      </c>
      <c r="R374" s="180" t="str">
        <f ca="1"/>
        <v/>
      </c>
      <c r="S374" s="180" t="str">
        <f ca="1"/>
        <v/>
      </c>
      <c r="T374" s="180" t="str">
        <f ca="1"/>
        <v/>
      </c>
      <c r="U374" s="180" t="str">
        <f ca="1"/>
        <v/>
      </c>
      <c r="V374" s="180" t="str">
        <f ca="1"/>
        <v/>
      </c>
      <c r="W374" s="180" t="str">
        <f ca="1"/>
        <v/>
      </c>
      <c r="X374" s="180" t="str">
        <f ca="1"/>
        <v/>
      </c>
      <c r="Y374" s="180" t="str">
        <f ca="1"/>
        <v/>
      </c>
      <c r="Z374" s="180" t="str">
        <f ca="1"/>
        <v/>
      </c>
      <c r="AA374" s="180" t="str">
        <f ca="1"/>
        <v/>
      </c>
      <c r="AB374" s="180" t="str">
        <f ca="1"/>
        <v/>
      </c>
      <c r="AC374" s="180" t="str">
        <f ca="1"/>
        <v/>
      </c>
      <c r="AD374" s="180" t="str">
        <f ca="1"/>
        <v/>
      </c>
      <c r="AE374" s="180" t="str">
        <f ca="1"/>
        <v/>
      </c>
      <c r="AF374" s="180" t="str">
        <f ca="1"/>
        <v/>
      </c>
      <c r="AG374" s="180" t="str">
        <f ca="1"/>
        <v/>
      </c>
      <c r="AH374" s="180" t="str">
        <f ca="1"/>
        <v/>
      </c>
      <c r="AI374" s="180" t="str">
        <f ca="1"/>
        <v/>
      </c>
      <c r="AJ374" s="180" t="str">
        <f ca="1"/>
        <v/>
      </c>
      <c r="AK374" s="180" t="str">
        <f ca="1"/>
        <v/>
      </c>
      <c r="AL374" s="180" t="str">
        <f ca="1"/>
        <v/>
      </c>
      <c r="AM374" s="180" t="str">
        <f ca="1"/>
        <v/>
      </c>
      <c r="AN374" s="180" t="str">
        <f ca="1"/>
        <v/>
      </c>
      <c r="AO374" s="180" t="str">
        <f ca="1"/>
        <v/>
      </c>
      <c r="AP374" s="180" t="str">
        <f ca="1"/>
        <v/>
      </c>
      <c r="AQ374" s="187" t="str">
        <f ca="1"/>
        <v/>
      </c>
    </row>
    <row r="375" spans="2:43" x14ac:dyDescent="0.25">
      <c r="B375" s="179" t="str">
        <f ca="1"/>
        <v/>
      </c>
      <c r="C375" s="180" t="str">
        <f ca="1"/>
        <v/>
      </c>
      <c r="D375" s="180" t="str">
        <f ca="1"/>
        <v/>
      </c>
      <c r="E375" s="180" t="str">
        <f ca="1"/>
        <v/>
      </c>
      <c r="F375" s="180" t="str">
        <f ca="1"/>
        <v/>
      </c>
      <c r="G375" s="180" t="str">
        <f ca="1"/>
        <v/>
      </c>
      <c r="H375" s="180" t="str">
        <f ca="1"/>
        <v/>
      </c>
      <c r="I375" s="180" t="str">
        <f ca="1"/>
        <v/>
      </c>
      <c r="J375" s="180" t="str">
        <f ca="1"/>
        <v/>
      </c>
      <c r="K375" s="180" t="str">
        <f ca="1"/>
        <v/>
      </c>
      <c r="L375" s="180" t="str">
        <f ca="1"/>
        <v/>
      </c>
      <c r="M375" s="180" t="str">
        <f ca="1"/>
        <v/>
      </c>
      <c r="N375" s="180" t="str">
        <f ca="1"/>
        <v/>
      </c>
      <c r="O375" s="180" t="str">
        <f ca="1"/>
        <v/>
      </c>
      <c r="P375" s="180" t="str">
        <f ca="1"/>
        <v/>
      </c>
      <c r="Q375" s="180" t="str">
        <f ca="1"/>
        <v/>
      </c>
      <c r="R375" s="180" t="str">
        <f ca="1"/>
        <v/>
      </c>
      <c r="S375" s="180" t="str">
        <f ca="1"/>
        <v/>
      </c>
      <c r="T375" s="180" t="str">
        <f ca="1"/>
        <v/>
      </c>
      <c r="U375" s="180" t="str">
        <f ca="1"/>
        <v/>
      </c>
      <c r="V375" s="180" t="str">
        <f ca="1"/>
        <v/>
      </c>
      <c r="W375" s="180" t="str">
        <f ca="1"/>
        <v/>
      </c>
      <c r="X375" s="180" t="str">
        <f ca="1"/>
        <v/>
      </c>
      <c r="Y375" s="180" t="str">
        <f ca="1"/>
        <v/>
      </c>
      <c r="Z375" s="180" t="str">
        <f ca="1"/>
        <v/>
      </c>
      <c r="AA375" s="180" t="str">
        <f ca="1"/>
        <v/>
      </c>
      <c r="AB375" s="180" t="str">
        <f ca="1"/>
        <v/>
      </c>
      <c r="AC375" s="180" t="str">
        <f ca="1"/>
        <v/>
      </c>
      <c r="AD375" s="180" t="str">
        <f ca="1"/>
        <v/>
      </c>
      <c r="AE375" s="180" t="str">
        <f ca="1"/>
        <v/>
      </c>
      <c r="AF375" s="180" t="str">
        <f ca="1"/>
        <v/>
      </c>
      <c r="AG375" s="180" t="str">
        <f ca="1"/>
        <v/>
      </c>
      <c r="AH375" s="180" t="str">
        <f ca="1"/>
        <v/>
      </c>
      <c r="AI375" s="180" t="str">
        <f ca="1"/>
        <v/>
      </c>
      <c r="AJ375" s="180" t="str">
        <f ca="1"/>
        <v/>
      </c>
      <c r="AK375" s="180" t="str">
        <f ca="1"/>
        <v/>
      </c>
      <c r="AL375" s="180" t="str">
        <f ca="1"/>
        <v/>
      </c>
      <c r="AM375" s="180" t="str">
        <f ca="1"/>
        <v/>
      </c>
      <c r="AN375" s="180" t="str">
        <f ca="1"/>
        <v/>
      </c>
      <c r="AO375" s="180" t="str">
        <f ca="1"/>
        <v/>
      </c>
      <c r="AP375" s="180" t="str">
        <f ca="1"/>
        <v/>
      </c>
      <c r="AQ375" s="187" t="str">
        <f ca="1"/>
        <v/>
      </c>
    </row>
    <row r="376" spans="2:43" x14ac:dyDescent="0.25">
      <c r="B376" s="179" t="str">
        <f ca="1"/>
        <v/>
      </c>
      <c r="C376" s="180" t="str">
        <f ca="1"/>
        <v/>
      </c>
      <c r="D376" s="180" t="str">
        <f ca="1"/>
        <v/>
      </c>
      <c r="E376" s="180" t="str">
        <f ca="1"/>
        <v/>
      </c>
      <c r="F376" s="180" t="str">
        <f ca="1"/>
        <v/>
      </c>
      <c r="G376" s="180" t="str">
        <f ca="1"/>
        <v/>
      </c>
      <c r="H376" s="180" t="str">
        <f ca="1"/>
        <v/>
      </c>
      <c r="I376" s="180" t="str">
        <f ca="1"/>
        <v/>
      </c>
      <c r="J376" s="180" t="str">
        <f ca="1"/>
        <v/>
      </c>
      <c r="K376" s="180" t="str">
        <f ca="1"/>
        <v/>
      </c>
      <c r="L376" s="180" t="str">
        <f ca="1"/>
        <v/>
      </c>
      <c r="M376" s="180" t="str">
        <f ca="1"/>
        <v/>
      </c>
      <c r="N376" s="180" t="str">
        <f ca="1"/>
        <v/>
      </c>
      <c r="O376" s="180" t="str">
        <f ca="1"/>
        <v/>
      </c>
      <c r="P376" s="180" t="str">
        <f ca="1"/>
        <v/>
      </c>
      <c r="Q376" s="180" t="str">
        <f ca="1"/>
        <v/>
      </c>
      <c r="R376" s="180" t="str">
        <f ca="1"/>
        <v/>
      </c>
      <c r="S376" s="180" t="str">
        <f ca="1"/>
        <v/>
      </c>
      <c r="T376" s="180" t="str">
        <f ca="1"/>
        <v/>
      </c>
      <c r="U376" s="180" t="str">
        <f ca="1"/>
        <v/>
      </c>
      <c r="V376" s="180" t="str">
        <f ca="1"/>
        <v/>
      </c>
      <c r="W376" s="180" t="str">
        <f ca="1"/>
        <v/>
      </c>
      <c r="X376" s="180" t="str">
        <f ca="1"/>
        <v/>
      </c>
      <c r="Y376" s="180" t="str">
        <f ca="1"/>
        <v/>
      </c>
      <c r="Z376" s="180" t="str">
        <f ca="1"/>
        <v/>
      </c>
      <c r="AA376" s="180" t="str">
        <f ca="1"/>
        <v/>
      </c>
      <c r="AB376" s="180" t="str">
        <f ca="1"/>
        <v/>
      </c>
      <c r="AC376" s="180" t="str">
        <f ca="1"/>
        <v/>
      </c>
      <c r="AD376" s="180" t="str">
        <f ca="1"/>
        <v/>
      </c>
      <c r="AE376" s="180" t="str">
        <f ca="1"/>
        <v/>
      </c>
      <c r="AF376" s="180" t="str">
        <f ca="1"/>
        <v/>
      </c>
      <c r="AG376" s="180" t="str">
        <f ca="1"/>
        <v/>
      </c>
      <c r="AH376" s="180" t="str">
        <f ca="1"/>
        <v/>
      </c>
      <c r="AI376" s="180" t="str">
        <f ca="1"/>
        <v/>
      </c>
      <c r="AJ376" s="180" t="str">
        <f ca="1"/>
        <v/>
      </c>
      <c r="AK376" s="180" t="str">
        <f ca="1"/>
        <v/>
      </c>
      <c r="AL376" s="180" t="str">
        <f ca="1"/>
        <v/>
      </c>
      <c r="AM376" s="180" t="str">
        <f ca="1"/>
        <v/>
      </c>
      <c r="AN376" s="180" t="str">
        <f ca="1"/>
        <v/>
      </c>
      <c r="AO376" s="180" t="str">
        <f ca="1"/>
        <v/>
      </c>
      <c r="AP376" s="180" t="str">
        <f ca="1"/>
        <v/>
      </c>
      <c r="AQ376" s="187" t="str">
        <f ca="1"/>
        <v/>
      </c>
    </row>
    <row r="377" spans="2:43" x14ac:dyDescent="0.25">
      <c r="B377" s="179" t="str">
        <f ca="1"/>
        <v/>
      </c>
      <c r="C377" s="180" t="str">
        <f ca="1"/>
        <v/>
      </c>
      <c r="D377" s="180" t="str">
        <f ca="1"/>
        <v/>
      </c>
      <c r="E377" s="180" t="str">
        <f ca="1"/>
        <v/>
      </c>
      <c r="F377" s="180" t="str">
        <f ca="1"/>
        <v/>
      </c>
      <c r="G377" s="180" t="str">
        <f ca="1"/>
        <v/>
      </c>
      <c r="H377" s="180" t="str">
        <f ca="1"/>
        <v/>
      </c>
      <c r="I377" s="180" t="str">
        <f ca="1"/>
        <v/>
      </c>
      <c r="J377" s="180" t="str">
        <f ca="1"/>
        <v/>
      </c>
      <c r="K377" s="180" t="str">
        <f ca="1"/>
        <v/>
      </c>
      <c r="L377" s="180" t="str">
        <f ca="1"/>
        <v/>
      </c>
      <c r="M377" s="180" t="str">
        <f ca="1"/>
        <v/>
      </c>
      <c r="N377" s="180" t="str">
        <f ca="1"/>
        <v/>
      </c>
      <c r="O377" s="180" t="str">
        <f ca="1"/>
        <v/>
      </c>
      <c r="P377" s="180" t="str">
        <f ca="1"/>
        <v/>
      </c>
      <c r="Q377" s="180" t="str">
        <f ca="1"/>
        <v/>
      </c>
      <c r="R377" s="180" t="str">
        <f ca="1"/>
        <v/>
      </c>
      <c r="S377" s="180" t="str">
        <f ca="1"/>
        <v/>
      </c>
      <c r="T377" s="180" t="str">
        <f ca="1"/>
        <v/>
      </c>
      <c r="U377" s="180" t="str">
        <f ca="1"/>
        <v/>
      </c>
      <c r="V377" s="180" t="str">
        <f ca="1"/>
        <v/>
      </c>
      <c r="W377" s="180" t="str">
        <f ca="1"/>
        <v/>
      </c>
      <c r="X377" s="180" t="str">
        <f ca="1"/>
        <v/>
      </c>
      <c r="Y377" s="180" t="str">
        <f ca="1"/>
        <v/>
      </c>
      <c r="Z377" s="180" t="str">
        <f ca="1"/>
        <v/>
      </c>
      <c r="AA377" s="180" t="str">
        <f ca="1"/>
        <v/>
      </c>
      <c r="AB377" s="180" t="str">
        <f ca="1"/>
        <v/>
      </c>
      <c r="AC377" s="180" t="str">
        <f ca="1"/>
        <v/>
      </c>
      <c r="AD377" s="180" t="str">
        <f ca="1"/>
        <v/>
      </c>
      <c r="AE377" s="180" t="str">
        <f ca="1"/>
        <v/>
      </c>
      <c r="AF377" s="180" t="str">
        <f ca="1"/>
        <v/>
      </c>
      <c r="AG377" s="180" t="str">
        <f ca="1"/>
        <v/>
      </c>
      <c r="AH377" s="180" t="str">
        <f ca="1"/>
        <v/>
      </c>
      <c r="AI377" s="180" t="str">
        <f ca="1"/>
        <v/>
      </c>
      <c r="AJ377" s="180" t="str">
        <f ca="1"/>
        <v/>
      </c>
      <c r="AK377" s="180" t="str">
        <f ca="1"/>
        <v/>
      </c>
      <c r="AL377" s="180" t="str">
        <f ca="1"/>
        <v/>
      </c>
      <c r="AM377" s="180" t="str">
        <f ca="1"/>
        <v/>
      </c>
      <c r="AN377" s="180" t="str">
        <f ca="1"/>
        <v/>
      </c>
      <c r="AO377" s="180" t="str">
        <f ca="1"/>
        <v/>
      </c>
      <c r="AP377" s="180" t="str">
        <f ca="1"/>
        <v/>
      </c>
      <c r="AQ377" s="187" t="str">
        <f ca="1"/>
        <v/>
      </c>
    </row>
    <row r="378" spans="2:43" x14ac:dyDescent="0.25">
      <c r="B378" s="179" t="str">
        <f ca="1"/>
        <v/>
      </c>
      <c r="C378" s="180" t="str">
        <f ca="1"/>
        <v/>
      </c>
      <c r="D378" s="180" t="str">
        <f ca="1"/>
        <v/>
      </c>
      <c r="E378" s="180" t="str">
        <f ca="1"/>
        <v/>
      </c>
      <c r="F378" s="180" t="str">
        <f ca="1"/>
        <v/>
      </c>
      <c r="G378" s="180" t="str">
        <f ca="1"/>
        <v/>
      </c>
      <c r="H378" s="180" t="str">
        <f ca="1"/>
        <v/>
      </c>
      <c r="I378" s="180" t="str">
        <f ca="1"/>
        <v/>
      </c>
      <c r="J378" s="180" t="str">
        <f ca="1"/>
        <v/>
      </c>
      <c r="K378" s="180" t="str">
        <f ca="1"/>
        <v/>
      </c>
      <c r="L378" s="180" t="str">
        <f ca="1"/>
        <v/>
      </c>
      <c r="M378" s="180" t="str">
        <f ca="1"/>
        <v/>
      </c>
      <c r="N378" s="180" t="str">
        <f ca="1"/>
        <v/>
      </c>
      <c r="O378" s="180" t="str">
        <f ca="1"/>
        <v/>
      </c>
      <c r="P378" s="180" t="str">
        <f ca="1"/>
        <v/>
      </c>
      <c r="Q378" s="180" t="str">
        <f ca="1"/>
        <v/>
      </c>
      <c r="R378" s="180" t="str">
        <f ca="1"/>
        <v/>
      </c>
      <c r="S378" s="180" t="str">
        <f ca="1"/>
        <v/>
      </c>
      <c r="T378" s="180" t="str">
        <f ca="1"/>
        <v/>
      </c>
      <c r="U378" s="180" t="str">
        <f ca="1"/>
        <v/>
      </c>
      <c r="V378" s="180" t="str">
        <f ca="1"/>
        <v/>
      </c>
      <c r="W378" s="180" t="str">
        <f ca="1"/>
        <v/>
      </c>
      <c r="X378" s="180" t="str">
        <f ca="1"/>
        <v/>
      </c>
      <c r="Y378" s="180" t="str">
        <f ca="1"/>
        <v/>
      </c>
      <c r="Z378" s="180" t="str">
        <f ca="1"/>
        <v/>
      </c>
      <c r="AA378" s="180" t="str">
        <f ca="1"/>
        <v/>
      </c>
      <c r="AB378" s="180" t="str">
        <f ca="1"/>
        <v/>
      </c>
      <c r="AC378" s="180" t="str">
        <f ca="1"/>
        <v/>
      </c>
      <c r="AD378" s="180" t="str">
        <f ca="1"/>
        <v/>
      </c>
      <c r="AE378" s="180" t="str">
        <f ca="1"/>
        <v/>
      </c>
      <c r="AF378" s="180" t="str">
        <f ca="1"/>
        <v/>
      </c>
      <c r="AG378" s="180" t="str">
        <f ca="1"/>
        <v/>
      </c>
      <c r="AH378" s="180" t="str">
        <f ca="1"/>
        <v/>
      </c>
      <c r="AI378" s="180" t="str">
        <f ca="1"/>
        <v/>
      </c>
      <c r="AJ378" s="180" t="str">
        <f ca="1"/>
        <v/>
      </c>
      <c r="AK378" s="180" t="str">
        <f ca="1"/>
        <v/>
      </c>
      <c r="AL378" s="180" t="str">
        <f ca="1"/>
        <v/>
      </c>
      <c r="AM378" s="180" t="str">
        <f ca="1"/>
        <v/>
      </c>
      <c r="AN378" s="180" t="str">
        <f ca="1"/>
        <v/>
      </c>
      <c r="AO378" s="180" t="str">
        <f ca="1"/>
        <v/>
      </c>
      <c r="AP378" s="180" t="str">
        <f ca="1"/>
        <v/>
      </c>
      <c r="AQ378" s="187" t="str">
        <f ca="1"/>
        <v/>
      </c>
    </row>
    <row r="379" spans="2:43" x14ac:dyDescent="0.25">
      <c r="B379" s="179" t="str">
        <f ca="1"/>
        <v/>
      </c>
      <c r="C379" s="180" t="str">
        <f ca="1"/>
        <v/>
      </c>
      <c r="D379" s="180" t="str">
        <f ca="1"/>
        <v/>
      </c>
      <c r="E379" s="180" t="str">
        <f ca="1"/>
        <v/>
      </c>
      <c r="F379" s="180" t="str">
        <f ca="1"/>
        <v/>
      </c>
      <c r="G379" s="180" t="str">
        <f ca="1"/>
        <v/>
      </c>
      <c r="H379" s="180" t="str">
        <f ca="1"/>
        <v/>
      </c>
      <c r="I379" s="180" t="str">
        <f ca="1"/>
        <v/>
      </c>
      <c r="J379" s="180" t="str">
        <f ca="1"/>
        <v/>
      </c>
      <c r="K379" s="180" t="str">
        <f ca="1"/>
        <v/>
      </c>
      <c r="L379" s="180" t="str">
        <f ca="1"/>
        <v/>
      </c>
      <c r="M379" s="180" t="str">
        <f ca="1"/>
        <v/>
      </c>
      <c r="N379" s="180" t="str">
        <f ca="1"/>
        <v/>
      </c>
      <c r="O379" s="180" t="str">
        <f ca="1"/>
        <v/>
      </c>
      <c r="P379" s="180" t="str">
        <f ca="1"/>
        <v/>
      </c>
      <c r="Q379" s="180" t="str">
        <f ca="1"/>
        <v/>
      </c>
      <c r="R379" s="180" t="str">
        <f ca="1"/>
        <v/>
      </c>
      <c r="S379" s="180" t="str">
        <f ca="1"/>
        <v/>
      </c>
      <c r="T379" s="180" t="str">
        <f ca="1"/>
        <v/>
      </c>
      <c r="U379" s="180" t="str">
        <f ca="1"/>
        <v/>
      </c>
      <c r="V379" s="180" t="str">
        <f ca="1"/>
        <v/>
      </c>
      <c r="W379" s="180" t="str">
        <f ca="1"/>
        <v/>
      </c>
      <c r="X379" s="180" t="str">
        <f ca="1"/>
        <v/>
      </c>
      <c r="Y379" s="180" t="str">
        <f ca="1"/>
        <v/>
      </c>
      <c r="Z379" s="180" t="str">
        <f ca="1"/>
        <v/>
      </c>
      <c r="AA379" s="180" t="str">
        <f ca="1"/>
        <v/>
      </c>
      <c r="AB379" s="180" t="str">
        <f ca="1"/>
        <v/>
      </c>
      <c r="AC379" s="180" t="str">
        <f ca="1"/>
        <v/>
      </c>
      <c r="AD379" s="180" t="str">
        <f ca="1"/>
        <v/>
      </c>
      <c r="AE379" s="180" t="str">
        <f ca="1"/>
        <v/>
      </c>
      <c r="AF379" s="180" t="str">
        <f ca="1"/>
        <v/>
      </c>
      <c r="AG379" s="180" t="str">
        <f ca="1"/>
        <v/>
      </c>
      <c r="AH379" s="180" t="str">
        <f ca="1"/>
        <v/>
      </c>
      <c r="AI379" s="180" t="str">
        <f ca="1"/>
        <v/>
      </c>
      <c r="AJ379" s="180" t="str">
        <f ca="1"/>
        <v/>
      </c>
      <c r="AK379" s="180" t="str">
        <f ca="1"/>
        <v/>
      </c>
      <c r="AL379" s="180" t="str">
        <f ca="1"/>
        <v/>
      </c>
      <c r="AM379" s="180" t="str">
        <f ca="1"/>
        <v/>
      </c>
      <c r="AN379" s="180" t="str">
        <f ca="1"/>
        <v/>
      </c>
      <c r="AO379" s="180" t="str">
        <f ca="1"/>
        <v/>
      </c>
      <c r="AP379" s="180" t="str">
        <f ca="1"/>
        <v/>
      </c>
      <c r="AQ379" s="187" t="str">
        <f ca="1"/>
        <v/>
      </c>
    </row>
    <row r="380" spans="2:43" x14ac:dyDescent="0.25">
      <c r="B380" s="179" t="str">
        <f ca="1"/>
        <v/>
      </c>
      <c r="C380" s="180" t="str">
        <f ca="1"/>
        <v/>
      </c>
      <c r="D380" s="180" t="str">
        <f ca="1"/>
        <v/>
      </c>
      <c r="E380" s="180" t="str">
        <f ca="1"/>
        <v/>
      </c>
      <c r="F380" s="180" t="str">
        <f ca="1"/>
        <v/>
      </c>
      <c r="G380" s="180" t="str">
        <f ca="1"/>
        <v/>
      </c>
      <c r="H380" s="180" t="str">
        <f ca="1"/>
        <v/>
      </c>
      <c r="I380" s="180" t="str">
        <f ca="1"/>
        <v/>
      </c>
      <c r="J380" s="180" t="str">
        <f ca="1"/>
        <v/>
      </c>
      <c r="K380" s="180" t="str">
        <f ca="1"/>
        <v/>
      </c>
      <c r="L380" s="180" t="str">
        <f ca="1"/>
        <v/>
      </c>
      <c r="M380" s="180" t="str">
        <f ca="1"/>
        <v/>
      </c>
      <c r="N380" s="180" t="str">
        <f ca="1"/>
        <v/>
      </c>
      <c r="O380" s="180" t="str">
        <f ca="1"/>
        <v/>
      </c>
      <c r="P380" s="180" t="str">
        <f ca="1"/>
        <v/>
      </c>
      <c r="Q380" s="180" t="str">
        <f ca="1"/>
        <v/>
      </c>
      <c r="R380" s="180" t="str">
        <f ca="1"/>
        <v/>
      </c>
      <c r="S380" s="180" t="str">
        <f ca="1"/>
        <v/>
      </c>
      <c r="T380" s="180" t="str">
        <f ca="1"/>
        <v/>
      </c>
      <c r="U380" s="180" t="str">
        <f ca="1"/>
        <v/>
      </c>
      <c r="V380" s="180" t="str">
        <f ca="1"/>
        <v/>
      </c>
      <c r="W380" s="180" t="str">
        <f ca="1"/>
        <v/>
      </c>
      <c r="X380" s="180" t="str">
        <f ca="1"/>
        <v/>
      </c>
      <c r="Y380" s="180" t="str">
        <f ca="1"/>
        <v/>
      </c>
      <c r="Z380" s="180" t="str">
        <f ca="1"/>
        <v/>
      </c>
      <c r="AA380" s="180" t="str">
        <f ca="1"/>
        <v/>
      </c>
      <c r="AB380" s="180" t="str">
        <f ca="1"/>
        <v/>
      </c>
      <c r="AC380" s="180" t="str">
        <f ca="1"/>
        <v/>
      </c>
      <c r="AD380" s="180" t="str">
        <f ca="1"/>
        <v/>
      </c>
      <c r="AE380" s="180" t="str">
        <f ca="1"/>
        <v/>
      </c>
      <c r="AF380" s="180" t="str">
        <f ca="1"/>
        <v/>
      </c>
      <c r="AG380" s="180" t="str">
        <f ca="1"/>
        <v/>
      </c>
      <c r="AH380" s="180" t="str">
        <f ca="1"/>
        <v/>
      </c>
      <c r="AI380" s="180" t="str">
        <f ca="1"/>
        <v/>
      </c>
      <c r="AJ380" s="180" t="str">
        <f ca="1"/>
        <v/>
      </c>
      <c r="AK380" s="180" t="str">
        <f ca="1"/>
        <v/>
      </c>
      <c r="AL380" s="180" t="str">
        <f ca="1"/>
        <v/>
      </c>
      <c r="AM380" s="180" t="str">
        <f ca="1"/>
        <v/>
      </c>
      <c r="AN380" s="180" t="str">
        <f ca="1"/>
        <v/>
      </c>
      <c r="AO380" s="180" t="str">
        <f ca="1"/>
        <v/>
      </c>
      <c r="AP380" s="180" t="str">
        <f ca="1"/>
        <v/>
      </c>
      <c r="AQ380" s="187" t="str">
        <f ca="1"/>
        <v/>
      </c>
    </row>
    <row r="381" spans="2:43" x14ac:dyDescent="0.25">
      <c r="B381" s="179" t="str">
        <f ca="1"/>
        <v/>
      </c>
      <c r="C381" s="180" t="str">
        <f ca="1"/>
        <v/>
      </c>
      <c r="D381" s="180" t="str">
        <f ca="1"/>
        <v/>
      </c>
      <c r="E381" s="180" t="str">
        <f ca="1"/>
        <v/>
      </c>
      <c r="F381" s="180" t="str">
        <f ca="1"/>
        <v/>
      </c>
      <c r="G381" s="180" t="str">
        <f ca="1"/>
        <v/>
      </c>
      <c r="H381" s="180" t="str">
        <f ca="1"/>
        <v/>
      </c>
      <c r="I381" s="180" t="str">
        <f ca="1"/>
        <v/>
      </c>
      <c r="J381" s="180" t="str">
        <f ca="1"/>
        <v/>
      </c>
      <c r="K381" s="180" t="str">
        <f ca="1"/>
        <v/>
      </c>
      <c r="L381" s="180" t="str">
        <f ca="1"/>
        <v/>
      </c>
      <c r="M381" s="180" t="str">
        <f ca="1"/>
        <v/>
      </c>
      <c r="N381" s="180" t="str">
        <f ca="1"/>
        <v/>
      </c>
      <c r="O381" s="180" t="str">
        <f ca="1"/>
        <v/>
      </c>
      <c r="P381" s="180" t="str">
        <f ca="1"/>
        <v/>
      </c>
      <c r="Q381" s="180" t="str">
        <f ca="1"/>
        <v/>
      </c>
      <c r="R381" s="180" t="str">
        <f ca="1"/>
        <v/>
      </c>
      <c r="S381" s="180" t="str">
        <f ca="1"/>
        <v/>
      </c>
      <c r="T381" s="180" t="str">
        <f ca="1"/>
        <v/>
      </c>
      <c r="U381" s="180" t="str">
        <f ca="1"/>
        <v/>
      </c>
      <c r="V381" s="180" t="str">
        <f ca="1"/>
        <v/>
      </c>
      <c r="W381" s="180" t="str">
        <f ca="1"/>
        <v/>
      </c>
      <c r="X381" s="180" t="str">
        <f ca="1"/>
        <v/>
      </c>
      <c r="Y381" s="180" t="str">
        <f ca="1"/>
        <v/>
      </c>
      <c r="Z381" s="180" t="str">
        <f ca="1"/>
        <v/>
      </c>
      <c r="AA381" s="180" t="str">
        <f ca="1"/>
        <v/>
      </c>
      <c r="AB381" s="180" t="str">
        <f ca="1"/>
        <v/>
      </c>
      <c r="AC381" s="180" t="str">
        <f ca="1"/>
        <v/>
      </c>
      <c r="AD381" s="180" t="str">
        <f ca="1"/>
        <v/>
      </c>
      <c r="AE381" s="180" t="str">
        <f ca="1"/>
        <v/>
      </c>
      <c r="AF381" s="180" t="str">
        <f ca="1"/>
        <v/>
      </c>
      <c r="AG381" s="180" t="str">
        <f ca="1"/>
        <v/>
      </c>
      <c r="AH381" s="180" t="str">
        <f ca="1"/>
        <v/>
      </c>
      <c r="AI381" s="180" t="str">
        <f ca="1"/>
        <v/>
      </c>
      <c r="AJ381" s="180" t="str">
        <f ca="1"/>
        <v/>
      </c>
      <c r="AK381" s="180" t="str">
        <f ca="1"/>
        <v/>
      </c>
      <c r="AL381" s="180" t="str">
        <f ca="1"/>
        <v/>
      </c>
      <c r="AM381" s="180" t="str">
        <f ca="1"/>
        <v/>
      </c>
      <c r="AN381" s="180" t="str">
        <f ca="1"/>
        <v/>
      </c>
      <c r="AO381" s="180" t="str">
        <f ca="1"/>
        <v/>
      </c>
      <c r="AP381" s="180" t="str">
        <f ca="1"/>
        <v/>
      </c>
      <c r="AQ381" s="187" t="str">
        <f ca="1"/>
        <v/>
      </c>
    </row>
    <row r="382" spans="2:43" x14ac:dyDescent="0.25">
      <c r="B382" s="179" t="str">
        <f ca="1"/>
        <v/>
      </c>
      <c r="C382" s="180" t="str">
        <f ca="1"/>
        <v/>
      </c>
      <c r="D382" s="180" t="str">
        <f ca="1"/>
        <v/>
      </c>
      <c r="E382" s="180" t="str">
        <f ca="1"/>
        <v/>
      </c>
      <c r="F382" s="180" t="str">
        <f ca="1"/>
        <v/>
      </c>
      <c r="G382" s="180" t="str">
        <f ca="1"/>
        <v/>
      </c>
      <c r="H382" s="180" t="str">
        <f ca="1"/>
        <v/>
      </c>
      <c r="I382" s="180" t="str">
        <f ca="1"/>
        <v/>
      </c>
      <c r="J382" s="180" t="str">
        <f ca="1"/>
        <v/>
      </c>
      <c r="K382" s="180" t="str">
        <f ca="1"/>
        <v/>
      </c>
      <c r="L382" s="180" t="str">
        <f ca="1"/>
        <v/>
      </c>
      <c r="M382" s="180" t="str">
        <f ca="1"/>
        <v/>
      </c>
      <c r="N382" s="180" t="str">
        <f ca="1"/>
        <v/>
      </c>
      <c r="O382" s="180" t="str">
        <f ca="1"/>
        <v/>
      </c>
      <c r="P382" s="180" t="str">
        <f ca="1"/>
        <v/>
      </c>
      <c r="Q382" s="180" t="str">
        <f ca="1"/>
        <v/>
      </c>
      <c r="R382" s="180" t="str">
        <f ca="1"/>
        <v/>
      </c>
      <c r="S382" s="180" t="str">
        <f ca="1"/>
        <v/>
      </c>
      <c r="T382" s="180" t="str">
        <f ca="1"/>
        <v/>
      </c>
      <c r="U382" s="180" t="str">
        <f ca="1"/>
        <v/>
      </c>
      <c r="V382" s="180" t="str">
        <f ca="1"/>
        <v/>
      </c>
      <c r="W382" s="180" t="str">
        <f ca="1"/>
        <v/>
      </c>
      <c r="X382" s="180" t="str">
        <f ca="1"/>
        <v/>
      </c>
      <c r="Y382" s="180" t="str">
        <f ca="1"/>
        <v/>
      </c>
      <c r="Z382" s="180" t="str">
        <f ca="1"/>
        <v/>
      </c>
      <c r="AA382" s="180" t="str">
        <f ca="1"/>
        <v/>
      </c>
      <c r="AB382" s="180" t="str">
        <f ca="1"/>
        <v/>
      </c>
      <c r="AC382" s="180" t="str">
        <f ca="1"/>
        <v/>
      </c>
      <c r="AD382" s="180" t="str">
        <f ca="1"/>
        <v/>
      </c>
      <c r="AE382" s="180" t="str">
        <f ca="1"/>
        <v/>
      </c>
      <c r="AF382" s="180" t="str">
        <f ca="1"/>
        <v/>
      </c>
      <c r="AG382" s="180" t="str">
        <f ca="1"/>
        <v/>
      </c>
      <c r="AH382" s="180" t="str">
        <f ca="1"/>
        <v/>
      </c>
      <c r="AI382" s="180" t="str">
        <f ca="1"/>
        <v/>
      </c>
      <c r="AJ382" s="180" t="str">
        <f ca="1"/>
        <v/>
      </c>
      <c r="AK382" s="180" t="str">
        <f ca="1"/>
        <v/>
      </c>
      <c r="AL382" s="180" t="str">
        <f ca="1"/>
        <v/>
      </c>
      <c r="AM382" s="180" t="str">
        <f ca="1"/>
        <v/>
      </c>
      <c r="AN382" s="180" t="str">
        <f ca="1"/>
        <v/>
      </c>
      <c r="AO382" s="180" t="str">
        <f ca="1"/>
        <v/>
      </c>
      <c r="AP382" s="180" t="str">
        <f ca="1"/>
        <v/>
      </c>
      <c r="AQ382" s="187" t="str">
        <f ca="1"/>
        <v/>
      </c>
    </row>
    <row r="383" spans="2:43" x14ac:dyDescent="0.25">
      <c r="B383" s="179" t="str">
        <f ca="1"/>
        <v/>
      </c>
      <c r="C383" s="180" t="str">
        <f ca="1"/>
        <v/>
      </c>
      <c r="D383" s="180" t="str">
        <f ca="1"/>
        <v/>
      </c>
      <c r="E383" s="180" t="str">
        <f ca="1"/>
        <v/>
      </c>
      <c r="F383" s="180" t="str">
        <f ca="1"/>
        <v/>
      </c>
      <c r="G383" s="180" t="str">
        <f ca="1"/>
        <v/>
      </c>
      <c r="H383" s="180" t="str">
        <f ca="1"/>
        <v/>
      </c>
      <c r="I383" s="180" t="str">
        <f ca="1"/>
        <v/>
      </c>
      <c r="J383" s="180" t="str">
        <f ca="1"/>
        <v/>
      </c>
      <c r="K383" s="180" t="str">
        <f ca="1"/>
        <v/>
      </c>
      <c r="L383" s="180" t="str">
        <f ca="1"/>
        <v/>
      </c>
      <c r="M383" s="180" t="str">
        <f ca="1"/>
        <v/>
      </c>
      <c r="N383" s="180" t="str">
        <f ca="1"/>
        <v/>
      </c>
      <c r="O383" s="180" t="str">
        <f ca="1"/>
        <v/>
      </c>
      <c r="P383" s="180" t="str">
        <f ca="1"/>
        <v/>
      </c>
      <c r="Q383" s="180" t="str">
        <f ca="1"/>
        <v/>
      </c>
      <c r="R383" s="180" t="str">
        <f ca="1"/>
        <v/>
      </c>
      <c r="S383" s="180" t="str">
        <f ca="1"/>
        <v/>
      </c>
      <c r="T383" s="180" t="str">
        <f ca="1"/>
        <v/>
      </c>
      <c r="U383" s="180" t="str">
        <f ca="1"/>
        <v/>
      </c>
      <c r="V383" s="180" t="str">
        <f ca="1"/>
        <v/>
      </c>
      <c r="W383" s="180" t="str">
        <f ca="1"/>
        <v/>
      </c>
      <c r="X383" s="180" t="str">
        <f ca="1"/>
        <v/>
      </c>
      <c r="Y383" s="180" t="str">
        <f ca="1"/>
        <v/>
      </c>
      <c r="Z383" s="180" t="str">
        <f ca="1"/>
        <v/>
      </c>
      <c r="AA383" s="180" t="str">
        <f ca="1"/>
        <v/>
      </c>
      <c r="AB383" s="180" t="str">
        <f ca="1"/>
        <v/>
      </c>
      <c r="AC383" s="180" t="str">
        <f ca="1"/>
        <v/>
      </c>
      <c r="AD383" s="180" t="str">
        <f ca="1"/>
        <v/>
      </c>
      <c r="AE383" s="180" t="str">
        <f ca="1"/>
        <v/>
      </c>
      <c r="AF383" s="180" t="str">
        <f ca="1"/>
        <v/>
      </c>
      <c r="AG383" s="180" t="str">
        <f ca="1"/>
        <v/>
      </c>
      <c r="AH383" s="180" t="str">
        <f ca="1"/>
        <v/>
      </c>
      <c r="AI383" s="180" t="str">
        <f ca="1"/>
        <v/>
      </c>
      <c r="AJ383" s="180" t="str">
        <f ca="1"/>
        <v/>
      </c>
      <c r="AK383" s="180" t="str">
        <f ca="1"/>
        <v/>
      </c>
      <c r="AL383" s="180" t="str">
        <f ca="1"/>
        <v/>
      </c>
      <c r="AM383" s="180" t="str">
        <f ca="1"/>
        <v/>
      </c>
      <c r="AN383" s="180" t="str">
        <f ca="1"/>
        <v/>
      </c>
      <c r="AO383" s="180" t="str">
        <f ca="1"/>
        <v/>
      </c>
      <c r="AP383" s="180" t="str">
        <f ca="1"/>
        <v/>
      </c>
      <c r="AQ383" s="187" t="str">
        <f ca="1"/>
        <v/>
      </c>
    </row>
    <row r="384" spans="2:43" x14ac:dyDescent="0.25">
      <c r="B384" s="179" t="str">
        <f ca="1"/>
        <v/>
      </c>
      <c r="C384" s="180" t="str">
        <f ca="1"/>
        <v/>
      </c>
      <c r="D384" s="180" t="str">
        <f ca="1"/>
        <v/>
      </c>
      <c r="E384" s="180" t="str">
        <f ca="1"/>
        <v/>
      </c>
      <c r="F384" s="180" t="str">
        <f ca="1"/>
        <v/>
      </c>
      <c r="G384" s="180" t="str">
        <f ca="1"/>
        <v/>
      </c>
      <c r="H384" s="180" t="str">
        <f ca="1"/>
        <v/>
      </c>
      <c r="I384" s="180" t="str">
        <f ca="1"/>
        <v/>
      </c>
      <c r="J384" s="180" t="str">
        <f ca="1"/>
        <v/>
      </c>
      <c r="K384" s="180" t="str">
        <f ca="1"/>
        <v/>
      </c>
      <c r="L384" s="180" t="str">
        <f ca="1"/>
        <v/>
      </c>
      <c r="M384" s="180" t="str">
        <f ca="1"/>
        <v/>
      </c>
      <c r="N384" s="180" t="str">
        <f ca="1"/>
        <v/>
      </c>
      <c r="O384" s="180" t="str">
        <f ca="1"/>
        <v/>
      </c>
      <c r="P384" s="180" t="str">
        <f ca="1"/>
        <v/>
      </c>
      <c r="Q384" s="180" t="str">
        <f ca="1"/>
        <v/>
      </c>
      <c r="R384" s="180" t="str">
        <f ca="1"/>
        <v/>
      </c>
      <c r="S384" s="180" t="str">
        <f ca="1"/>
        <v/>
      </c>
      <c r="T384" s="180" t="str">
        <f ca="1"/>
        <v/>
      </c>
      <c r="U384" s="180" t="str">
        <f ca="1"/>
        <v/>
      </c>
      <c r="V384" s="180" t="str">
        <f ca="1"/>
        <v/>
      </c>
      <c r="W384" s="180" t="str">
        <f ca="1"/>
        <v/>
      </c>
      <c r="X384" s="180" t="str">
        <f ca="1"/>
        <v/>
      </c>
      <c r="Y384" s="180" t="str">
        <f ca="1"/>
        <v/>
      </c>
      <c r="Z384" s="180" t="str">
        <f ca="1"/>
        <v/>
      </c>
      <c r="AA384" s="180" t="str">
        <f ca="1"/>
        <v/>
      </c>
      <c r="AB384" s="180" t="str">
        <f ca="1"/>
        <v/>
      </c>
      <c r="AC384" s="180" t="str">
        <f ca="1"/>
        <v/>
      </c>
      <c r="AD384" s="180" t="str">
        <f ca="1"/>
        <v/>
      </c>
      <c r="AE384" s="180" t="str">
        <f ca="1"/>
        <v/>
      </c>
      <c r="AF384" s="180" t="str">
        <f ca="1"/>
        <v/>
      </c>
      <c r="AG384" s="180" t="str">
        <f ca="1"/>
        <v/>
      </c>
      <c r="AH384" s="180" t="str">
        <f ca="1"/>
        <v/>
      </c>
      <c r="AI384" s="180" t="str">
        <f ca="1"/>
        <v/>
      </c>
      <c r="AJ384" s="180" t="str">
        <f ca="1"/>
        <v/>
      </c>
      <c r="AK384" s="180" t="str">
        <f ca="1"/>
        <v/>
      </c>
      <c r="AL384" s="180" t="str">
        <f ca="1"/>
        <v/>
      </c>
      <c r="AM384" s="180" t="str">
        <f ca="1"/>
        <v/>
      </c>
      <c r="AN384" s="180" t="str">
        <f ca="1"/>
        <v/>
      </c>
      <c r="AO384" s="180" t="str">
        <f ca="1"/>
        <v/>
      </c>
      <c r="AP384" s="180" t="str">
        <f ca="1"/>
        <v/>
      </c>
      <c r="AQ384" s="187" t="str">
        <f ca="1"/>
        <v/>
      </c>
    </row>
    <row r="385" spans="2:43" x14ac:dyDescent="0.25">
      <c r="B385" s="179" t="str">
        <f ca="1"/>
        <v/>
      </c>
      <c r="C385" s="180" t="str">
        <f ca="1"/>
        <v/>
      </c>
      <c r="D385" s="180" t="str">
        <f ca="1"/>
        <v/>
      </c>
      <c r="E385" s="180" t="str">
        <f ca="1"/>
        <v/>
      </c>
      <c r="F385" s="180" t="str">
        <f ca="1"/>
        <v/>
      </c>
      <c r="G385" s="180" t="str">
        <f ca="1"/>
        <v/>
      </c>
      <c r="H385" s="180" t="str">
        <f ca="1"/>
        <v/>
      </c>
      <c r="I385" s="180" t="str">
        <f ca="1"/>
        <v/>
      </c>
      <c r="J385" s="180" t="str">
        <f ca="1"/>
        <v/>
      </c>
      <c r="K385" s="180" t="str">
        <f ca="1"/>
        <v/>
      </c>
      <c r="L385" s="180" t="str">
        <f ca="1"/>
        <v/>
      </c>
      <c r="M385" s="180" t="str">
        <f ca="1"/>
        <v/>
      </c>
      <c r="N385" s="180" t="str">
        <f ca="1"/>
        <v/>
      </c>
      <c r="O385" s="180" t="str">
        <f ca="1"/>
        <v/>
      </c>
      <c r="P385" s="180" t="str">
        <f ca="1"/>
        <v/>
      </c>
      <c r="Q385" s="180" t="str">
        <f ca="1"/>
        <v/>
      </c>
      <c r="R385" s="180" t="str">
        <f ca="1"/>
        <v/>
      </c>
      <c r="S385" s="180" t="str">
        <f ca="1"/>
        <v/>
      </c>
      <c r="T385" s="180" t="str">
        <f ca="1"/>
        <v/>
      </c>
      <c r="U385" s="180" t="str">
        <f ca="1"/>
        <v/>
      </c>
      <c r="V385" s="180" t="str">
        <f ca="1"/>
        <v/>
      </c>
      <c r="W385" s="180" t="str">
        <f ca="1"/>
        <v/>
      </c>
      <c r="X385" s="180" t="str">
        <f ca="1"/>
        <v/>
      </c>
      <c r="Y385" s="180" t="str">
        <f ca="1"/>
        <v/>
      </c>
      <c r="Z385" s="180" t="str">
        <f ca="1"/>
        <v/>
      </c>
      <c r="AA385" s="180" t="str">
        <f ca="1"/>
        <v/>
      </c>
      <c r="AB385" s="180" t="str">
        <f ca="1"/>
        <v/>
      </c>
      <c r="AC385" s="180" t="str">
        <f ca="1"/>
        <v/>
      </c>
      <c r="AD385" s="180" t="str">
        <f ca="1"/>
        <v/>
      </c>
      <c r="AE385" s="180" t="str">
        <f ca="1"/>
        <v/>
      </c>
      <c r="AF385" s="180" t="str">
        <f ca="1"/>
        <v/>
      </c>
      <c r="AG385" s="180" t="str">
        <f ca="1"/>
        <v/>
      </c>
      <c r="AH385" s="180" t="str">
        <f ca="1"/>
        <v/>
      </c>
      <c r="AI385" s="180" t="str">
        <f ca="1"/>
        <v/>
      </c>
      <c r="AJ385" s="180" t="str">
        <f ca="1"/>
        <v/>
      </c>
      <c r="AK385" s="180" t="str">
        <f ca="1"/>
        <v/>
      </c>
      <c r="AL385" s="180" t="str">
        <f ca="1"/>
        <v/>
      </c>
      <c r="AM385" s="180" t="str">
        <f ca="1"/>
        <v/>
      </c>
      <c r="AN385" s="180" t="str">
        <f ca="1"/>
        <v/>
      </c>
      <c r="AO385" s="180" t="str">
        <f ca="1"/>
        <v/>
      </c>
      <c r="AP385" s="180" t="str">
        <f ca="1"/>
        <v/>
      </c>
      <c r="AQ385" s="187" t="str">
        <f ca="1"/>
        <v/>
      </c>
    </row>
    <row r="386" spans="2:43" x14ac:dyDescent="0.25">
      <c r="B386" s="179" t="str">
        <f ca="1"/>
        <v/>
      </c>
      <c r="C386" s="180" t="str">
        <f ca="1"/>
        <v/>
      </c>
      <c r="D386" s="180" t="str">
        <f ca="1"/>
        <v/>
      </c>
      <c r="E386" s="180" t="str">
        <f ca="1"/>
        <v/>
      </c>
      <c r="F386" s="180" t="str">
        <f ca="1"/>
        <v/>
      </c>
      <c r="G386" s="180" t="str">
        <f ca="1"/>
        <v/>
      </c>
      <c r="H386" s="180" t="str">
        <f ca="1"/>
        <v/>
      </c>
      <c r="I386" s="180" t="str">
        <f ca="1"/>
        <v/>
      </c>
      <c r="J386" s="180" t="str">
        <f ca="1"/>
        <v/>
      </c>
      <c r="K386" s="180" t="str">
        <f ca="1"/>
        <v/>
      </c>
      <c r="L386" s="180" t="str">
        <f ca="1"/>
        <v/>
      </c>
      <c r="M386" s="180" t="str">
        <f ca="1"/>
        <v/>
      </c>
      <c r="N386" s="180" t="str">
        <f ca="1"/>
        <v/>
      </c>
      <c r="O386" s="180" t="str">
        <f ca="1"/>
        <v/>
      </c>
      <c r="P386" s="180" t="str">
        <f ca="1"/>
        <v/>
      </c>
      <c r="Q386" s="180" t="str">
        <f ca="1"/>
        <v/>
      </c>
      <c r="R386" s="180" t="str">
        <f ca="1"/>
        <v/>
      </c>
      <c r="S386" s="180" t="str">
        <f ca="1"/>
        <v/>
      </c>
      <c r="T386" s="180" t="str">
        <f ca="1"/>
        <v/>
      </c>
      <c r="U386" s="180" t="str">
        <f ca="1"/>
        <v/>
      </c>
      <c r="V386" s="180" t="str">
        <f ca="1"/>
        <v/>
      </c>
      <c r="W386" s="180" t="str">
        <f ca="1"/>
        <v/>
      </c>
      <c r="X386" s="180" t="str">
        <f ca="1"/>
        <v/>
      </c>
      <c r="Y386" s="180" t="str">
        <f ca="1"/>
        <v/>
      </c>
      <c r="Z386" s="180" t="str">
        <f ca="1"/>
        <v/>
      </c>
      <c r="AA386" s="180" t="str">
        <f ca="1"/>
        <v/>
      </c>
      <c r="AB386" s="180" t="str">
        <f ca="1"/>
        <v/>
      </c>
      <c r="AC386" s="180" t="str">
        <f ca="1"/>
        <v/>
      </c>
      <c r="AD386" s="180" t="str">
        <f ca="1"/>
        <v/>
      </c>
      <c r="AE386" s="180" t="str">
        <f ca="1"/>
        <v/>
      </c>
      <c r="AF386" s="180" t="str">
        <f ca="1"/>
        <v/>
      </c>
      <c r="AG386" s="180" t="str">
        <f ca="1"/>
        <v/>
      </c>
      <c r="AH386" s="180" t="str">
        <f ca="1"/>
        <v/>
      </c>
      <c r="AI386" s="180" t="str">
        <f ca="1"/>
        <v/>
      </c>
      <c r="AJ386" s="180" t="str">
        <f ca="1"/>
        <v/>
      </c>
      <c r="AK386" s="180" t="str">
        <f ca="1"/>
        <v/>
      </c>
      <c r="AL386" s="180" t="str">
        <f ca="1"/>
        <v/>
      </c>
      <c r="AM386" s="180" t="str">
        <f ca="1"/>
        <v/>
      </c>
      <c r="AN386" s="180" t="str">
        <f ca="1"/>
        <v/>
      </c>
      <c r="AO386" s="180" t="str">
        <f ca="1"/>
        <v/>
      </c>
      <c r="AP386" s="180" t="str">
        <f ca="1"/>
        <v/>
      </c>
      <c r="AQ386" s="187" t="str">
        <f ca="1"/>
        <v/>
      </c>
    </row>
    <row r="387" spans="2:43" x14ac:dyDescent="0.25">
      <c r="B387" s="179" t="str">
        <f ca="1"/>
        <v/>
      </c>
      <c r="C387" s="180" t="str">
        <f ca="1"/>
        <v/>
      </c>
      <c r="D387" s="180" t="str">
        <f ca="1"/>
        <v/>
      </c>
      <c r="E387" s="180" t="str">
        <f ca="1"/>
        <v/>
      </c>
      <c r="F387" s="180" t="str">
        <f ca="1"/>
        <v/>
      </c>
      <c r="G387" s="180" t="str">
        <f ca="1"/>
        <v/>
      </c>
      <c r="H387" s="180" t="str">
        <f ca="1"/>
        <v/>
      </c>
      <c r="I387" s="180" t="str">
        <f ca="1"/>
        <v/>
      </c>
      <c r="J387" s="180" t="str">
        <f ca="1"/>
        <v/>
      </c>
      <c r="K387" s="180" t="str">
        <f ca="1"/>
        <v/>
      </c>
      <c r="L387" s="180" t="str">
        <f ca="1"/>
        <v/>
      </c>
      <c r="M387" s="180" t="str">
        <f ca="1"/>
        <v/>
      </c>
      <c r="N387" s="180" t="str">
        <f ca="1"/>
        <v/>
      </c>
      <c r="O387" s="180" t="str">
        <f ca="1"/>
        <v/>
      </c>
      <c r="P387" s="180" t="str">
        <f ca="1"/>
        <v/>
      </c>
      <c r="Q387" s="180" t="str">
        <f ca="1"/>
        <v/>
      </c>
      <c r="R387" s="180" t="str">
        <f ca="1"/>
        <v/>
      </c>
      <c r="S387" s="180" t="str">
        <f ca="1"/>
        <v/>
      </c>
      <c r="T387" s="180" t="str">
        <f ca="1"/>
        <v/>
      </c>
      <c r="U387" s="180" t="str">
        <f ca="1"/>
        <v/>
      </c>
      <c r="V387" s="180" t="str">
        <f ca="1"/>
        <v/>
      </c>
      <c r="W387" s="180" t="str">
        <f ca="1"/>
        <v/>
      </c>
      <c r="X387" s="180" t="str">
        <f ca="1"/>
        <v/>
      </c>
      <c r="Y387" s="180" t="str">
        <f ca="1"/>
        <v/>
      </c>
      <c r="Z387" s="180" t="str">
        <f ca="1"/>
        <v/>
      </c>
      <c r="AA387" s="180" t="str">
        <f ca="1"/>
        <v/>
      </c>
      <c r="AB387" s="180" t="str">
        <f ca="1"/>
        <v/>
      </c>
      <c r="AC387" s="180" t="str">
        <f ca="1"/>
        <v/>
      </c>
      <c r="AD387" s="180" t="str">
        <f ca="1"/>
        <v/>
      </c>
      <c r="AE387" s="180" t="str">
        <f ca="1"/>
        <v/>
      </c>
      <c r="AF387" s="180" t="str">
        <f ca="1"/>
        <v/>
      </c>
      <c r="AG387" s="180" t="str">
        <f ca="1"/>
        <v/>
      </c>
      <c r="AH387" s="180" t="str">
        <f ca="1"/>
        <v/>
      </c>
      <c r="AI387" s="180" t="str">
        <f ca="1"/>
        <v/>
      </c>
      <c r="AJ387" s="180" t="str">
        <f ca="1"/>
        <v/>
      </c>
      <c r="AK387" s="180" t="str">
        <f ca="1"/>
        <v/>
      </c>
      <c r="AL387" s="180" t="str">
        <f ca="1"/>
        <v/>
      </c>
      <c r="AM387" s="180" t="str">
        <f ca="1"/>
        <v/>
      </c>
      <c r="AN387" s="180" t="str">
        <f ca="1"/>
        <v/>
      </c>
      <c r="AO387" s="180" t="str">
        <f ca="1"/>
        <v/>
      </c>
      <c r="AP387" s="180" t="str">
        <f ca="1"/>
        <v/>
      </c>
      <c r="AQ387" s="187" t="str">
        <f ca="1"/>
        <v/>
      </c>
    </row>
    <row r="388" spans="2:43" x14ac:dyDescent="0.25">
      <c r="B388" s="179" t="str">
        <f ca="1"/>
        <v/>
      </c>
      <c r="C388" s="180" t="str">
        <f ca="1"/>
        <v/>
      </c>
      <c r="D388" s="180" t="str">
        <f ca="1"/>
        <v/>
      </c>
      <c r="E388" s="180" t="str">
        <f ca="1"/>
        <v/>
      </c>
      <c r="F388" s="180" t="str">
        <f ca="1"/>
        <v/>
      </c>
      <c r="G388" s="180" t="str">
        <f ca="1"/>
        <v/>
      </c>
      <c r="H388" s="180" t="str">
        <f ca="1"/>
        <v/>
      </c>
      <c r="I388" s="180" t="str">
        <f ca="1"/>
        <v/>
      </c>
      <c r="J388" s="180" t="str">
        <f ca="1"/>
        <v/>
      </c>
      <c r="K388" s="180" t="str">
        <f ca="1"/>
        <v/>
      </c>
      <c r="L388" s="180" t="str">
        <f ca="1"/>
        <v/>
      </c>
      <c r="M388" s="180" t="str">
        <f ca="1"/>
        <v/>
      </c>
      <c r="N388" s="180" t="str">
        <f ca="1"/>
        <v/>
      </c>
      <c r="O388" s="180" t="str">
        <f ca="1"/>
        <v/>
      </c>
      <c r="P388" s="180" t="str">
        <f ca="1"/>
        <v/>
      </c>
      <c r="Q388" s="180" t="str">
        <f ca="1"/>
        <v/>
      </c>
      <c r="R388" s="180" t="str">
        <f ca="1"/>
        <v/>
      </c>
      <c r="S388" s="180" t="str">
        <f ca="1"/>
        <v/>
      </c>
      <c r="T388" s="180" t="str">
        <f ca="1"/>
        <v/>
      </c>
      <c r="U388" s="180" t="str">
        <f ca="1"/>
        <v/>
      </c>
      <c r="V388" s="180" t="str">
        <f ca="1"/>
        <v/>
      </c>
      <c r="W388" s="180" t="str">
        <f ca="1"/>
        <v/>
      </c>
      <c r="X388" s="180" t="str">
        <f ca="1"/>
        <v/>
      </c>
      <c r="Y388" s="180" t="str">
        <f ca="1"/>
        <v/>
      </c>
      <c r="Z388" s="180" t="str">
        <f ca="1"/>
        <v/>
      </c>
      <c r="AA388" s="180" t="str">
        <f ca="1"/>
        <v/>
      </c>
      <c r="AB388" s="180" t="str">
        <f ca="1"/>
        <v/>
      </c>
      <c r="AC388" s="180" t="str">
        <f ca="1"/>
        <v/>
      </c>
      <c r="AD388" s="180" t="str">
        <f ca="1"/>
        <v/>
      </c>
      <c r="AE388" s="180" t="str">
        <f ca="1"/>
        <v/>
      </c>
      <c r="AF388" s="180" t="str">
        <f ca="1"/>
        <v/>
      </c>
      <c r="AG388" s="180" t="str">
        <f ca="1"/>
        <v/>
      </c>
      <c r="AH388" s="180" t="str">
        <f ca="1"/>
        <v/>
      </c>
      <c r="AI388" s="180" t="str">
        <f ca="1"/>
        <v/>
      </c>
      <c r="AJ388" s="180" t="str">
        <f ca="1"/>
        <v/>
      </c>
      <c r="AK388" s="180" t="str">
        <f ca="1"/>
        <v/>
      </c>
      <c r="AL388" s="180" t="str">
        <f ca="1"/>
        <v/>
      </c>
      <c r="AM388" s="180" t="str">
        <f ca="1"/>
        <v/>
      </c>
      <c r="AN388" s="180" t="str">
        <f ca="1"/>
        <v/>
      </c>
      <c r="AO388" s="180" t="str">
        <f ca="1"/>
        <v/>
      </c>
      <c r="AP388" s="180" t="str">
        <f ca="1"/>
        <v/>
      </c>
      <c r="AQ388" s="187" t="str">
        <f ca="1"/>
        <v/>
      </c>
    </row>
    <row r="389" spans="2:43" x14ac:dyDescent="0.25">
      <c r="B389" s="179" t="str">
        <f ca="1"/>
        <v/>
      </c>
      <c r="C389" s="180" t="str">
        <f ca="1"/>
        <v/>
      </c>
      <c r="D389" s="180" t="str">
        <f ca="1"/>
        <v/>
      </c>
      <c r="E389" s="180" t="str">
        <f ca="1"/>
        <v/>
      </c>
      <c r="F389" s="180" t="str">
        <f ca="1"/>
        <v/>
      </c>
      <c r="G389" s="180" t="str">
        <f ca="1"/>
        <v/>
      </c>
      <c r="H389" s="180" t="str">
        <f ca="1"/>
        <v/>
      </c>
      <c r="I389" s="180" t="str">
        <f ca="1"/>
        <v/>
      </c>
      <c r="J389" s="180" t="str">
        <f ca="1"/>
        <v/>
      </c>
      <c r="K389" s="180" t="str">
        <f ca="1"/>
        <v/>
      </c>
      <c r="L389" s="180" t="str">
        <f ca="1"/>
        <v/>
      </c>
      <c r="M389" s="180" t="str">
        <f ca="1"/>
        <v/>
      </c>
      <c r="N389" s="180" t="str">
        <f ca="1"/>
        <v/>
      </c>
      <c r="O389" s="180" t="str">
        <f ca="1"/>
        <v/>
      </c>
      <c r="P389" s="180" t="str">
        <f ca="1"/>
        <v/>
      </c>
      <c r="Q389" s="180" t="str">
        <f ca="1"/>
        <v/>
      </c>
      <c r="R389" s="180" t="str">
        <f ca="1"/>
        <v/>
      </c>
      <c r="S389" s="180" t="str">
        <f ca="1"/>
        <v/>
      </c>
      <c r="T389" s="180" t="str">
        <f ca="1"/>
        <v/>
      </c>
      <c r="U389" s="180" t="str">
        <f ca="1"/>
        <v/>
      </c>
      <c r="V389" s="180" t="str">
        <f ca="1"/>
        <v/>
      </c>
      <c r="W389" s="180" t="str">
        <f ca="1"/>
        <v/>
      </c>
      <c r="X389" s="180" t="str">
        <f ca="1"/>
        <v/>
      </c>
      <c r="Y389" s="180" t="str">
        <f ca="1"/>
        <v/>
      </c>
      <c r="Z389" s="180" t="str">
        <f ca="1"/>
        <v/>
      </c>
      <c r="AA389" s="180" t="str">
        <f ca="1"/>
        <v/>
      </c>
      <c r="AB389" s="180" t="str">
        <f ca="1"/>
        <v/>
      </c>
      <c r="AC389" s="180" t="str">
        <f ca="1"/>
        <v/>
      </c>
      <c r="AD389" s="180" t="str">
        <f ca="1"/>
        <v/>
      </c>
      <c r="AE389" s="180" t="str">
        <f ca="1"/>
        <v/>
      </c>
      <c r="AF389" s="180" t="str">
        <f ca="1"/>
        <v/>
      </c>
      <c r="AG389" s="180" t="str">
        <f ca="1"/>
        <v/>
      </c>
      <c r="AH389" s="180" t="str">
        <f ca="1"/>
        <v/>
      </c>
      <c r="AI389" s="180" t="str">
        <f ca="1"/>
        <v/>
      </c>
      <c r="AJ389" s="180" t="str">
        <f ca="1"/>
        <v/>
      </c>
      <c r="AK389" s="180" t="str">
        <f ca="1"/>
        <v/>
      </c>
      <c r="AL389" s="180" t="str">
        <f ca="1"/>
        <v/>
      </c>
      <c r="AM389" s="180" t="str">
        <f ca="1"/>
        <v/>
      </c>
      <c r="AN389" s="180" t="str">
        <f ca="1"/>
        <v/>
      </c>
      <c r="AO389" s="180" t="str">
        <f ca="1"/>
        <v/>
      </c>
      <c r="AP389" s="180" t="str">
        <f ca="1"/>
        <v/>
      </c>
      <c r="AQ389" s="187" t="str">
        <f ca="1"/>
        <v/>
      </c>
    </row>
    <row r="390" spans="2:43" x14ac:dyDescent="0.25">
      <c r="B390" s="179" t="str">
        <f ca="1"/>
        <v/>
      </c>
      <c r="C390" s="180" t="str">
        <f ca="1"/>
        <v/>
      </c>
      <c r="D390" s="180" t="str">
        <f ca="1"/>
        <v/>
      </c>
      <c r="E390" s="180" t="str">
        <f ca="1"/>
        <v/>
      </c>
      <c r="F390" s="180" t="str">
        <f ca="1"/>
        <v/>
      </c>
      <c r="G390" s="180" t="str">
        <f ca="1"/>
        <v/>
      </c>
      <c r="H390" s="180" t="str">
        <f ca="1"/>
        <v/>
      </c>
      <c r="I390" s="180" t="str">
        <f ca="1"/>
        <v/>
      </c>
      <c r="J390" s="180" t="str">
        <f ca="1"/>
        <v/>
      </c>
      <c r="K390" s="180" t="str">
        <f ca="1"/>
        <v/>
      </c>
      <c r="L390" s="180" t="str">
        <f ca="1"/>
        <v/>
      </c>
      <c r="M390" s="180" t="str">
        <f ca="1"/>
        <v/>
      </c>
      <c r="N390" s="180" t="str">
        <f ca="1"/>
        <v/>
      </c>
      <c r="O390" s="180" t="str">
        <f ca="1"/>
        <v/>
      </c>
      <c r="P390" s="180" t="str">
        <f ca="1"/>
        <v/>
      </c>
      <c r="Q390" s="180" t="str">
        <f ca="1"/>
        <v/>
      </c>
      <c r="R390" s="180" t="str">
        <f ca="1"/>
        <v/>
      </c>
      <c r="S390" s="180" t="str">
        <f ca="1"/>
        <v/>
      </c>
      <c r="T390" s="180" t="str">
        <f ca="1"/>
        <v/>
      </c>
      <c r="U390" s="180" t="str">
        <f ca="1"/>
        <v/>
      </c>
      <c r="V390" s="180" t="str">
        <f ca="1"/>
        <v/>
      </c>
      <c r="W390" s="180" t="str">
        <f ca="1"/>
        <v/>
      </c>
      <c r="X390" s="180" t="str">
        <f ca="1"/>
        <v/>
      </c>
      <c r="Y390" s="180" t="str">
        <f ca="1"/>
        <v/>
      </c>
      <c r="Z390" s="180" t="str">
        <f ca="1"/>
        <v/>
      </c>
      <c r="AA390" s="180" t="str">
        <f ca="1"/>
        <v/>
      </c>
      <c r="AB390" s="180" t="str">
        <f ca="1"/>
        <v/>
      </c>
      <c r="AC390" s="180" t="str">
        <f ca="1"/>
        <v/>
      </c>
      <c r="AD390" s="180" t="str">
        <f ca="1"/>
        <v/>
      </c>
      <c r="AE390" s="180" t="str">
        <f ca="1"/>
        <v/>
      </c>
      <c r="AF390" s="180" t="str">
        <f ca="1"/>
        <v/>
      </c>
      <c r="AG390" s="180" t="str">
        <f ca="1"/>
        <v/>
      </c>
      <c r="AH390" s="180" t="str">
        <f ca="1"/>
        <v/>
      </c>
      <c r="AI390" s="180" t="str">
        <f ca="1"/>
        <v/>
      </c>
      <c r="AJ390" s="180" t="str">
        <f ca="1"/>
        <v/>
      </c>
      <c r="AK390" s="180" t="str">
        <f ca="1"/>
        <v/>
      </c>
      <c r="AL390" s="180" t="str">
        <f ca="1"/>
        <v/>
      </c>
      <c r="AM390" s="180" t="str">
        <f ca="1"/>
        <v/>
      </c>
      <c r="AN390" s="180" t="str">
        <f ca="1"/>
        <v/>
      </c>
      <c r="AO390" s="180" t="str">
        <f ca="1"/>
        <v/>
      </c>
      <c r="AP390" s="180" t="str">
        <f ca="1"/>
        <v/>
      </c>
      <c r="AQ390" s="187" t="str">
        <f ca="1"/>
        <v/>
      </c>
    </row>
    <row r="391" spans="2:43" x14ac:dyDescent="0.25">
      <c r="B391" s="179" t="str">
        <f ca="1"/>
        <v/>
      </c>
      <c r="C391" s="180" t="str">
        <f ca="1"/>
        <v/>
      </c>
      <c r="D391" s="180" t="str">
        <f ca="1"/>
        <v/>
      </c>
      <c r="E391" s="180" t="str">
        <f ca="1"/>
        <v/>
      </c>
      <c r="F391" s="180" t="str">
        <f ca="1"/>
        <v/>
      </c>
      <c r="G391" s="180" t="str">
        <f ca="1"/>
        <v/>
      </c>
      <c r="H391" s="180" t="str">
        <f ca="1"/>
        <v/>
      </c>
      <c r="I391" s="180" t="str">
        <f ca="1"/>
        <v/>
      </c>
      <c r="J391" s="180" t="str">
        <f ca="1"/>
        <v/>
      </c>
      <c r="K391" s="180" t="str">
        <f ca="1"/>
        <v/>
      </c>
      <c r="L391" s="180" t="str">
        <f ca="1"/>
        <v/>
      </c>
      <c r="M391" s="180" t="str">
        <f ca="1"/>
        <v/>
      </c>
      <c r="N391" s="180" t="str">
        <f ca="1"/>
        <v/>
      </c>
      <c r="O391" s="180" t="str">
        <f ca="1"/>
        <v/>
      </c>
      <c r="P391" s="180" t="str">
        <f ca="1"/>
        <v/>
      </c>
      <c r="Q391" s="180" t="str">
        <f ca="1"/>
        <v/>
      </c>
      <c r="R391" s="180" t="str">
        <f ca="1"/>
        <v/>
      </c>
      <c r="S391" s="180" t="str">
        <f ca="1"/>
        <v/>
      </c>
      <c r="T391" s="180" t="str">
        <f ca="1"/>
        <v/>
      </c>
      <c r="U391" s="180" t="str">
        <f ca="1"/>
        <v/>
      </c>
      <c r="V391" s="180" t="str">
        <f ca="1"/>
        <v/>
      </c>
      <c r="W391" s="180" t="str">
        <f ca="1"/>
        <v/>
      </c>
      <c r="X391" s="180" t="str">
        <f ca="1"/>
        <v/>
      </c>
      <c r="Y391" s="180" t="str">
        <f ca="1"/>
        <v/>
      </c>
      <c r="Z391" s="180" t="str">
        <f ca="1"/>
        <v/>
      </c>
      <c r="AA391" s="180" t="str">
        <f ca="1"/>
        <v/>
      </c>
      <c r="AB391" s="180" t="str">
        <f ca="1"/>
        <v/>
      </c>
      <c r="AC391" s="180" t="str">
        <f ca="1"/>
        <v/>
      </c>
      <c r="AD391" s="180" t="str">
        <f ca="1"/>
        <v/>
      </c>
      <c r="AE391" s="180" t="str">
        <f ca="1"/>
        <v/>
      </c>
      <c r="AF391" s="180" t="str">
        <f ca="1"/>
        <v/>
      </c>
      <c r="AG391" s="180" t="str">
        <f ca="1"/>
        <v/>
      </c>
      <c r="AH391" s="180" t="str">
        <f ca="1"/>
        <v/>
      </c>
      <c r="AI391" s="180" t="str">
        <f ca="1"/>
        <v/>
      </c>
      <c r="AJ391" s="180" t="str">
        <f ca="1"/>
        <v/>
      </c>
      <c r="AK391" s="180" t="str">
        <f ca="1"/>
        <v/>
      </c>
      <c r="AL391" s="180" t="str">
        <f ca="1"/>
        <v/>
      </c>
      <c r="AM391" s="180" t="str">
        <f ca="1"/>
        <v/>
      </c>
      <c r="AN391" s="180" t="str">
        <f ca="1"/>
        <v/>
      </c>
      <c r="AO391" s="180" t="str">
        <f ca="1"/>
        <v/>
      </c>
      <c r="AP391" s="180" t="str">
        <f ca="1"/>
        <v/>
      </c>
      <c r="AQ391" s="187" t="str">
        <f ca="1"/>
        <v/>
      </c>
    </row>
    <row r="392" spans="2:43" x14ac:dyDescent="0.25">
      <c r="B392" s="179" t="str">
        <f ca="1"/>
        <v/>
      </c>
      <c r="C392" s="180" t="str">
        <f ca="1"/>
        <v/>
      </c>
      <c r="D392" s="180" t="str">
        <f ca="1"/>
        <v/>
      </c>
      <c r="E392" s="180" t="str">
        <f ca="1"/>
        <v/>
      </c>
      <c r="F392" s="180" t="str">
        <f ca="1"/>
        <v/>
      </c>
      <c r="G392" s="180" t="str">
        <f ca="1"/>
        <v/>
      </c>
      <c r="H392" s="180" t="str">
        <f ca="1"/>
        <v/>
      </c>
      <c r="I392" s="180" t="str">
        <f ca="1"/>
        <v/>
      </c>
      <c r="J392" s="180" t="str">
        <f ca="1"/>
        <v/>
      </c>
      <c r="K392" s="180" t="str">
        <f ca="1"/>
        <v/>
      </c>
      <c r="L392" s="180" t="str">
        <f ca="1"/>
        <v/>
      </c>
      <c r="M392" s="180" t="str">
        <f ca="1"/>
        <v/>
      </c>
      <c r="N392" s="180" t="str">
        <f ca="1"/>
        <v/>
      </c>
      <c r="O392" s="180" t="str">
        <f ca="1"/>
        <v/>
      </c>
      <c r="P392" s="180" t="str">
        <f ca="1"/>
        <v/>
      </c>
      <c r="Q392" s="180" t="str">
        <f ca="1"/>
        <v/>
      </c>
      <c r="R392" s="180" t="str">
        <f ca="1"/>
        <v/>
      </c>
      <c r="S392" s="180" t="str">
        <f ca="1"/>
        <v/>
      </c>
      <c r="T392" s="180" t="str">
        <f ca="1"/>
        <v/>
      </c>
      <c r="U392" s="180" t="str">
        <f ca="1"/>
        <v/>
      </c>
      <c r="V392" s="180" t="str">
        <f ca="1"/>
        <v/>
      </c>
      <c r="W392" s="180" t="str">
        <f ca="1"/>
        <v/>
      </c>
      <c r="X392" s="180" t="str">
        <f ca="1"/>
        <v/>
      </c>
      <c r="Y392" s="180" t="str">
        <f ca="1"/>
        <v/>
      </c>
      <c r="Z392" s="180" t="str">
        <f ca="1"/>
        <v/>
      </c>
      <c r="AA392" s="180" t="str">
        <f ca="1"/>
        <v/>
      </c>
      <c r="AB392" s="180" t="str">
        <f ca="1"/>
        <v/>
      </c>
      <c r="AC392" s="180" t="str">
        <f ca="1"/>
        <v/>
      </c>
      <c r="AD392" s="180" t="str">
        <f ca="1"/>
        <v/>
      </c>
      <c r="AE392" s="180" t="str">
        <f ca="1"/>
        <v/>
      </c>
      <c r="AF392" s="180" t="str">
        <f ca="1"/>
        <v/>
      </c>
      <c r="AG392" s="180" t="str">
        <f ca="1"/>
        <v/>
      </c>
      <c r="AH392" s="180" t="str">
        <f ca="1"/>
        <v/>
      </c>
      <c r="AI392" s="180" t="str">
        <f ca="1"/>
        <v/>
      </c>
      <c r="AJ392" s="180" t="str">
        <f ca="1"/>
        <v/>
      </c>
      <c r="AK392" s="180" t="str">
        <f ca="1"/>
        <v/>
      </c>
      <c r="AL392" s="180" t="str">
        <f ca="1"/>
        <v/>
      </c>
      <c r="AM392" s="180" t="str">
        <f ca="1"/>
        <v/>
      </c>
      <c r="AN392" s="180" t="str">
        <f ca="1"/>
        <v/>
      </c>
      <c r="AO392" s="180" t="str">
        <f ca="1"/>
        <v/>
      </c>
      <c r="AP392" s="180" t="str">
        <f ca="1"/>
        <v/>
      </c>
      <c r="AQ392" s="187" t="str">
        <f ca="1"/>
        <v/>
      </c>
    </row>
    <row r="393" spans="2:43" x14ac:dyDescent="0.25">
      <c r="B393" s="179" t="str">
        <f ca="1"/>
        <v/>
      </c>
      <c r="C393" s="180" t="str">
        <f ca="1"/>
        <v/>
      </c>
      <c r="D393" s="180" t="str">
        <f ca="1"/>
        <v/>
      </c>
      <c r="E393" s="180" t="str">
        <f ca="1"/>
        <v/>
      </c>
      <c r="F393" s="180" t="str">
        <f ca="1"/>
        <v/>
      </c>
      <c r="G393" s="180" t="str">
        <f ca="1"/>
        <v/>
      </c>
      <c r="H393" s="180" t="str">
        <f ca="1"/>
        <v/>
      </c>
      <c r="I393" s="180" t="str">
        <f ca="1"/>
        <v/>
      </c>
      <c r="J393" s="180" t="str">
        <f ca="1"/>
        <v/>
      </c>
      <c r="K393" s="180" t="str">
        <f ca="1"/>
        <v/>
      </c>
      <c r="L393" s="180" t="str">
        <f ca="1"/>
        <v/>
      </c>
      <c r="M393" s="180" t="str">
        <f ca="1"/>
        <v/>
      </c>
      <c r="N393" s="180" t="str">
        <f ca="1"/>
        <v/>
      </c>
      <c r="O393" s="180" t="str">
        <f ca="1"/>
        <v/>
      </c>
      <c r="P393" s="180" t="str">
        <f ca="1"/>
        <v/>
      </c>
      <c r="Q393" s="180" t="str">
        <f ca="1"/>
        <v/>
      </c>
      <c r="R393" s="180" t="str">
        <f ca="1"/>
        <v/>
      </c>
      <c r="S393" s="180" t="str">
        <f ca="1"/>
        <v/>
      </c>
      <c r="T393" s="180" t="str">
        <f ca="1"/>
        <v/>
      </c>
      <c r="U393" s="180" t="str">
        <f ca="1"/>
        <v/>
      </c>
      <c r="V393" s="180" t="str">
        <f ca="1"/>
        <v/>
      </c>
      <c r="W393" s="180" t="str">
        <f ca="1"/>
        <v/>
      </c>
      <c r="X393" s="180" t="str">
        <f ca="1"/>
        <v/>
      </c>
      <c r="Y393" s="180" t="str">
        <f ca="1"/>
        <v/>
      </c>
      <c r="Z393" s="180" t="str">
        <f ca="1"/>
        <v/>
      </c>
      <c r="AA393" s="180" t="str">
        <f ca="1"/>
        <v/>
      </c>
      <c r="AB393" s="180" t="str">
        <f ca="1"/>
        <v/>
      </c>
      <c r="AC393" s="180" t="str">
        <f ca="1"/>
        <v/>
      </c>
      <c r="AD393" s="180" t="str">
        <f ca="1"/>
        <v/>
      </c>
      <c r="AE393" s="180" t="str">
        <f ca="1"/>
        <v/>
      </c>
      <c r="AF393" s="180" t="str">
        <f ca="1"/>
        <v/>
      </c>
      <c r="AG393" s="180" t="str">
        <f ca="1"/>
        <v/>
      </c>
      <c r="AH393" s="180" t="str">
        <f ca="1"/>
        <v/>
      </c>
      <c r="AI393" s="180" t="str">
        <f ca="1"/>
        <v/>
      </c>
      <c r="AJ393" s="180" t="str">
        <f ca="1"/>
        <v/>
      </c>
      <c r="AK393" s="180" t="str">
        <f ca="1"/>
        <v/>
      </c>
      <c r="AL393" s="180" t="str">
        <f ca="1"/>
        <v/>
      </c>
      <c r="AM393" s="180" t="str">
        <f ca="1"/>
        <v/>
      </c>
      <c r="AN393" s="180" t="str">
        <f ca="1"/>
        <v/>
      </c>
      <c r="AO393" s="180" t="str">
        <f ca="1"/>
        <v/>
      </c>
      <c r="AP393" s="180" t="str">
        <f ca="1"/>
        <v/>
      </c>
      <c r="AQ393" s="187" t="str">
        <f ca="1"/>
        <v/>
      </c>
    </row>
    <row r="394" spans="2:43" x14ac:dyDescent="0.25">
      <c r="B394" s="179" t="str">
        <f ca="1"/>
        <v/>
      </c>
      <c r="C394" s="180" t="str">
        <f ca="1"/>
        <v/>
      </c>
      <c r="D394" s="180" t="str">
        <f ca="1"/>
        <v/>
      </c>
      <c r="E394" s="180" t="str">
        <f ca="1"/>
        <v/>
      </c>
      <c r="F394" s="180" t="str">
        <f ca="1"/>
        <v/>
      </c>
      <c r="G394" s="180" t="str">
        <f ca="1"/>
        <v/>
      </c>
      <c r="H394" s="180" t="str">
        <f ca="1"/>
        <v/>
      </c>
      <c r="I394" s="180" t="str">
        <f ca="1"/>
        <v/>
      </c>
      <c r="J394" s="180" t="str">
        <f ca="1"/>
        <v/>
      </c>
      <c r="K394" s="180" t="str">
        <f ca="1"/>
        <v/>
      </c>
      <c r="L394" s="180" t="str">
        <f ca="1"/>
        <v/>
      </c>
      <c r="M394" s="180" t="str">
        <f ca="1"/>
        <v/>
      </c>
      <c r="N394" s="180" t="str">
        <f ca="1"/>
        <v/>
      </c>
      <c r="O394" s="180" t="str">
        <f ca="1"/>
        <v/>
      </c>
      <c r="P394" s="180" t="str">
        <f ca="1"/>
        <v/>
      </c>
      <c r="Q394" s="180" t="str">
        <f ca="1"/>
        <v/>
      </c>
      <c r="R394" s="180" t="str">
        <f ca="1"/>
        <v/>
      </c>
      <c r="S394" s="180" t="str">
        <f ca="1"/>
        <v/>
      </c>
      <c r="T394" s="180" t="str">
        <f ca="1"/>
        <v/>
      </c>
      <c r="U394" s="180" t="str">
        <f ca="1"/>
        <v/>
      </c>
      <c r="V394" s="180" t="str">
        <f ca="1"/>
        <v/>
      </c>
      <c r="W394" s="180" t="str">
        <f ca="1"/>
        <v/>
      </c>
      <c r="X394" s="180" t="str">
        <f ca="1"/>
        <v/>
      </c>
      <c r="Y394" s="180" t="str">
        <f ca="1"/>
        <v/>
      </c>
      <c r="Z394" s="180" t="str">
        <f ca="1"/>
        <v/>
      </c>
      <c r="AA394" s="180" t="str">
        <f ca="1"/>
        <v/>
      </c>
      <c r="AB394" s="180" t="str">
        <f ca="1"/>
        <v/>
      </c>
      <c r="AC394" s="180" t="str">
        <f ca="1"/>
        <v/>
      </c>
      <c r="AD394" s="180" t="str">
        <f ca="1"/>
        <v/>
      </c>
      <c r="AE394" s="180" t="str">
        <f ca="1"/>
        <v/>
      </c>
      <c r="AF394" s="180" t="str">
        <f ca="1"/>
        <v/>
      </c>
      <c r="AG394" s="180" t="str">
        <f ca="1"/>
        <v/>
      </c>
      <c r="AH394" s="180" t="str">
        <f ca="1"/>
        <v/>
      </c>
      <c r="AI394" s="180" t="str">
        <f ca="1"/>
        <v/>
      </c>
      <c r="AJ394" s="180" t="str">
        <f ca="1"/>
        <v/>
      </c>
      <c r="AK394" s="180" t="str">
        <f ca="1"/>
        <v/>
      </c>
      <c r="AL394" s="180" t="str">
        <f ca="1"/>
        <v/>
      </c>
      <c r="AM394" s="180" t="str">
        <f ca="1"/>
        <v/>
      </c>
      <c r="AN394" s="180" t="str">
        <f ca="1"/>
        <v/>
      </c>
      <c r="AO394" s="180" t="str">
        <f ca="1"/>
        <v/>
      </c>
      <c r="AP394" s="180" t="str">
        <f ca="1"/>
        <v/>
      </c>
      <c r="AQ394" s="187" t="str">
        <f ca="1"/>
        <v/>
      </c>
    </row>
    <row r="395" spans="2:43" x14ac:dyDescent="0.25">
      <c r="B395" s="179" t="str">
        <f ca="1"/>
        <v/>
      </c>
      <c r="C395" s="180" t="str">
        <f ca="1"/>
        <v/>
      </c>
      <c r="D395" s="180" t="str">
        <f ca="1"/>
        <v/>
      </c>
      <c r="E395" s="180" t="str">
        <f ca="1"/>
        <v/>
      </c>
      <c r="F395" s="180" t="str">
        <f ca="1"/>
        <v/>
      </c>
      <c r="G395" s="180" t="str">
        <f ca="1"/>
        <v/>
      </c>
      <c r="H395" s="180" t="str">
        <f ca="1"/>
        <v/>
      </c>
      <c r="I395" s="180" t="str">
        <f ca="1"/>
        <v/>
      </c>
      <c r="J395" s="180" t="str">
        <f ca="1"/>
        <v/>
      </c>
      <c r="K395" s="180" t="str">
        <f ca="1"/>
        <v/>
      </c>
      <c r="L395" s="180" t="str">
        <f ca="1"/>
        <v/>
      </c>
      <c r="M395" s="180" t="str">
        <f ca="1"/>
        <v/>
      </c>
      <c r="N395" s="180" t="str">
        <f ca="1"/>
        <v/>
      </c>
      <c r="O395" s="180" t="str">
        <f ca="1"/>
        <v/>
      </c>
      <c r="P395" s="180" t="str">
        <f ca="1"/>
        <v/>
      </c>
      <c r="Q395" s="180" t="str">
        <f ca="1"/>
        <v/>
      </c>
      <c r="R395" s="180" t="str">
        <f ca="1"/>
        <v/>
      </c>
      <c r="S395" s="180" t="str">
        <f ca="1"/>
        <v/>
      </c>
      <c r="T395" s="180" t="str">
        <f ca="1"/>
        <v/>
      </c>
      <c r="U395" s="180" t="str">
        <f ca="1"/>
        <v/>
      </c>
      <c r="V395" s="180" t="str">
        <f ca="1"/>
        <v/>
      </c>
      <c r="W395" s="180" t="str">
        <f ca="1"/>
        <v/>
      </c>
      <c r="X395" s="180" t="str">
        <f ca="1"/>
        <v/>
      </c>
      <c r="Y395" s="180" t="str">
        <f ca="1"/>
        <v/>
      </c>
      <c r="Z395" s="180" t="str">
        <f ca="1"/>
        <v/>
      </c>
      <c r="AA395" s="180" t="str">
        <f ca="1"/>
        <v/>
      </c>
      <c r="AB395" s="180" t="str">
        <f ca="1"/>
        <v/>
      </c>
      <c r="AC395" s="180" t="str">
        <f ca="1"/>
        <v/>
      </c>
      <c r="AD395" s="180" t="str">
        <f ca="1"/>
        <v/>
      </c>
      <c r="AE395" s="180" t="str">
        <f ca="1"/>
        <v/>
      </c>
      <c r="AF395" s="180" t="str">
        <f ca="1"/>
        <v/>
      </c>
      <c r="AG395" s="180" t="str">
        <f ca="1"/>
        <v/>
      </c>
      <c r="AH395" s="180" t="str">
        <f ca="1"/>
        <v/>
      </c>
      <c r="AI395" s="180" t="str">
        <f ca="1"/>
        <v/>
      </c>
      <c r="AJ395" s="180" t="str">
        <f ca="1"/>
        <v/>
      </c>
      <c r="AK395" s="180" t="str">
        <f ca="1"/>
        <v/>
      </c>
      <c r="AL395" s="180" t="str">
        <f ca="1"/>
        <v/>
      </c>
      <c r="AM395" s="180" t="str">
        <f ca="1"/>
        <v/>
      </c>
      <c r="AN395" s="180" t="str">
        <f ca="1"/>
        <v/>
      </c>
      <c r="AO395" s="180" t="str">
        <f ca="1"/>
        <v/>
      </c>
      <c r="AP395" s="180" t="str">
        <f ca="1"/>
        <v/>
      </c>
      <c r="AQ395" s="187" t="str">
        <f ca="1"/>
        <v/>
      </c>
    </row>
    <row r="396" spans="2:43" x14ac:dyDescent="0.25">
      <c r="B396" s="179" t="str">
        <f ca="1"/>
        <v/>
      </c>
      <c r="C396" s="180" t="str">
        <f ca="1"/>
        <v/>
      </c>
      <c r="D396" s="180" t="str">
        <f ca="1"/>
        <v/>
      </c>
      <c r="E396" s="180" t="str">
        <f ca="1"/>
        <v/>
      </c>
      <c r="F396" s="180" t="str">
        <f ca="1"/>
        <v/>
      </c>
      <c r="G396" s="180" t="str">
        <f ca="1"/>
        <v/>
      </c>
      <c r="H396" s="180" t="str">
        <f ca="1"/>
        <v/>
      </c>
      <c r="I396" s="180" t="str">
        <f ca="1"/>
        <v/>
      </c>
      <c r="J396" s="180" t="str">
        <f ca="1"/>
        <v/>
      </c>
      <c r="K396" s="180" t="str">
        <f ca="1"/>
        <v/>
      </c>
      <c r="L396" s="180" t="str">
        <f ca="1"/>
        <v/>
      </c>
      <c r="M396" s="180" t="str">
        <f ca="1"/>
        <v/>
      </c>
      <c r="N396" s="180" t="str">
        <f ca="1"/>
        <v/>
      </c>
      <c r="O396" s="180" t="str">
        <f ca="1"/>
        <v/>
      </c>
      <c r="P396" s="180" t="str">
        <f ca="1"/>
        <v/>
      </c>
      <c r="Q396" s="180" t="str">
        <f ca="1"/>
        <v/>
      </c>
      <c r="R396" s="180" t="str">
        <f ca="1"/>
        <v/>
      </c>
      <c r="S396" s="180" t="str">
        <f ca="1"/>
        <v/>
      </c>
      <c r="T396" s="180" t="str">
        <f ca="1"/>
        <v/>
      </c>
      <c r="U396" s="180" t="str">
        <f ca="1"/>
        <v/>
      </c>
      <c r="V396" s="180" t="str">
        <f ca="1"/>
        <v/>
      </c>
      <c r="W396" s="180" t="str">
        <f ca="1"/>
        <v/>
      </c>
      <c r="X396" s="180" t="str">
        <f ca="1"/>
        <v/>
      </c>
      <c r="Y396" s="180" t="str">
        <f ca="1"/>
        <v/>
      </c>
      <c r="Z396" s="180" t="str">
        <f ca="1"/>
        <v/>
      </c>
      <c r="AA396" s="180" t="str">
        <f ca="1"/>
        <v/>
      </c>
      <c r="AB396" s="180" t="str">
        <f ca="1"/>
        <v/>
      </c>
      <c r="AC396" s="180" t="str">
        <f ca="1"/>
        <v/>
      </c>
      <c r="AD396" s="180" t="str">
        <f ca="1"/>
        <v/>
      </c>
      <c r="AE396" s="180" t="str">
        <f ca="1"/>
        <v/>
      </c>
      <c r="AF396" s="180" t="str">
        <f ca="1"/>
        <v/>
      </c>
      <c r="AG396" s="180" t="str">
        <f ca="1"/>
        <v/>
      </c>
      <c r="AH396" s="180" t="str">
        <f ca="1"/>
        <v/>
      </c>
      <c r="AI396" s="180" t="str">
        <f ca="1"/>
        <v/>
      </c>
      <c r="AJ396" s="180" t="str">
        <f ca="1"/>
        <v/>
      </c>
      <c r="AK396" s="180" t="str">
        <f ca="1"/>
        <v/>
      </c>
      <c r="AL396" s="180" t="str">
        <f ca="1"/>
        <v/>
      </c>
      <c r="AM396" s="180" t="str">
        <f ca="1"/>
        <v/>
      </c>
      <c r="AN396" s="180" t="str">
        <f ca="1"/>
        <v/>
      </c>
      <c r="AO396" s="180" t="str">
        <f ca="1"/>
        <v/>
      </c>
      <c r="AP396" s="180" t="str">
        <f ca="1"/>
        <v/>
      </c>
      <c r="AQ396" s="187" t="str">
        <f ca="1"/>
        <v/>
      </c>
    </row>
    <row r="397" spans="2:43" x14ac:dyDescent="0.25">
      <c r="B397" s="179" t="str">
        <f ca="1"/>
        <v/>
      </c>
      <c r="C397" s="180" t="str">
        <f ca="1"/>
        <v/>
      </c>
      <c r="D397" s="180" t="str">
        <f ca="1"/>
        <v/>
      </c>
      <c r="E397" s="180" t="str">
        <f ca="1"/>
        <v/>
      </c>
      <c r="F397" s="180" t="str">
        <f ca="1"/>
        <v/>
      </c>
      <c r="G397" s="180" t="str">
        <f ca="1"/>
        <v/>
      </c>
      <c r="H397" s="180" t="str">
        <f ca="1"/>
        <v/>
      </c>
      <c r="I397" s="180" t="str">
        <f ca="1"/>
        <v/>
      </c>
      <c r="J397" s="180" t="str">
        <f ca="1"/>
        <v/>
      </c>
      <c r="K397" s="180" t="str">
        <f ca="1"/>
        <v/>
      </c>
      <c r="L397" s="180" t="str">
        <f ca="1"/>
        <v/>
      </c>
      <c r="M397" s="180" t="str">
        <f ca="1"/>
        <v/>
      </c>
      <c r="N397" s="180" t="str">
        <f ca="1"/>
        <v/>
      </c>
      <c r="O397" s="180" t="str">
        <f ca="1"/>
        <v/>
      </c>
      <c r="P397" s="180" t="str">
        <f ca="1"/>
        <v/>
      </c>
      <c r="Q397" s="180" t="str">
        <f ca="1"/>
        <v/>
      </c>
      <c r="R397" s="180" t="str">
        <f ca="1"/>
        <v/>
      </c>
      <c r="S397" s="180" t="str">
        <f ca="1"/>
        <v/>
      </c>
      <c r="T397" s="180" t="str">
        <f ca="1"/>
        <v/>
      </c>
      <c r="U397" s="180" t="str">
        <f ca="1"/>
        <v/>
      </c>
      <c r="V397" s="180" t="str">
        <f ca="1"/>
        <v/>
      </c>
      <c r="W397" s="180" t="str">
        <f ca="1"/>
        <v/>
      </c>
      <c r="X397" s="180" t="str">
        <f ca="1"/>
        <v/>
      </c>
      <c r="Y397" s="180" t="str">
        <f ca="1"/>
        <v/>
      </c>
      <c r="Z397" s="180" t="str">
        <f ca="1"/>
        <v/>
      </c>
      <c r="AA397" s="180" t="str">
        <f ca="1"/>
        <v/>
      </c>
      <c r="AB397" s="180" t="str">
        <f ca="1"/>
        <v/>
      </c>
      <c r="AC397" s="180" t="str">
        <f ca="1"/>
        <v/>
      </c>
      <c r="AD397" s="180" t="str">
        <f ca="1"/>
        <v/>
      </c>
      <c r="AE397" s="180" t="str">
        <f ca="1"/>
        <v/>
      </c>
      <c r="AF397" s="180" t="str">
        <f ca="1"/>
        <v/>
      </c>
      <c r="AG397" s="180" t="str">
        <f ca="1"/>
        <v/>
      </c>
      <c r="AH397" s="180" t="str">
        <f ca="1"/>
        <v/>
      </c>
      <c r="AI397" s="180" t="str">
        <f ca="1"/>
        <v/>
      </c>
      <c r="AJ397" s="180" t="str">
        <f ca="1"/>
        <v/>
      </c>
      <c r="AK397" s="180" t="str">
        <f ca="1"/>
        <v/>
      </c>
      <c r="AL397" s="180" t="str">
        <f ca="1"/>
        <v/>
      </c>
      <c r="AM397" s="180" t="str">
        <f ca="1"/>
        <v/>
      </c>
      <c r="AN397" s="180" t="str">
        <f ca="1"/>
        <v/>
      </c>
      <c r="AO397" s="180" t="str">
        <f ca="1"/>
        <v/>
      </c>
      <c r="AP397" s="180" t="str">
        <f ca="1"/>
        <v/>
      </c>
      <c r="AQ397" s="187" t="str">
        <f ca="1"/>
        <v/>
      </c>
    </row>
    <row r="398" spans="2:43" x14ac:dyDescent="0.25">
      <c r="B398" s="179" t="str">
        <f ca="1"/>
        <v/>
      </c>
      <c r="C398" s="180" t="str">
        <f ca="1"/>
        <v/>
      </c>
      <c r="D398" s="180" t="str">
        <f ca="1"/>
        <v/>
      </c>
      <c r="E398" s="180" t="str">
        <f ca="1"/>
        <v/>
      </c>
      <c r="F398" s="180" t="str">
        <f ca="1"/>
        <v/>
      </c>
      <c r="G398" s="180" t="str">
        <f ca="1"/>
        <v/>
      </c>
      <c r="H398" s="180" t="str">
        <f ca="1"/>
        <v/>
      </c>
      <c r="I398" s="180" t="str">
        <f ca="1"/>
        <v/>
      </c>
      <c r="J398" s="180" t="str">
        <f ca="1"/>
        <v/>
      </c>
      <c r="K398" s="180" t="str">
        <f ca="1"/>
        <v/>
      </c>
      <c r="L398" s="180" t="str">
        <f ca="1"/>
        <v/>
      </c>
      <c r="M398" s="180" t="str">
        <f ca="1"/>
        <v/>
      </c>
      <c r="N398" s="180" t="str">
        <f ca="1"/>
        <v/>
      </c>
      <c r="O398" s="180" t="str">
        <f ca="1"/>
        <v/>
      </c>
      <c r="P398" s="180" t="str">
        <f ca="1"/>
        <v/>
      </c>
      <c r="Q398" s="180" t="str">
        <f ca="1"/>
        <v/>
      </c>
      <c r="R398" s="180" t="str">
        <f ca="1"/>
        <v/>
      </c>
      <c r="S398" s="180" t="str">
        <f ca="1"/>
        <v/>
      </c>
      <c r="T398" s="180" t="str">
        <f ca="1"/>
        <v/>
      </c>
      <c r="U398" s="180" t="str">
        <f ca="1"/>
        <v/>
      </c>
      <c r="V398" s="180" t="str">
        <f ca="1"/>
        <v/>
      </c>
      <c r="W398" s="180" t="str">
        <f ca="1"/>
        <v/>
      </c>
      <c r="X398" s="180" t="str">
        <f ca="1"/>
        <v/>
      </c>
      <c r="Y398" s="180" t="str">
        <f ca="1"/>
        <v/>
      </c>
      <c r="Z398" s="180" t="str">
        <f ca="1"/>
        <v/>
      </c>
      <c r="AA398" s="180" t="str">
        <f ca="1"/>
        <v/>
      </c>
      <c r="AB398" s="180" t="str">
        <f ca="1"/>
        <v/>
      </c>
      <c r="AC398" s="180" t="str">
        <f ca="1"/>
        <v/>
      </c>
      <c r="AD398" s="180" t="str">
        <f ca="1"/>
        <v/>
      </c>
      <c r="AE398" s="180" t="str">
        <f ca="1"/>
        <v/>
      </c>
      <c r="AF398" s="180" t="str">
        <f ca="1"/>
        <v/>
      </c>
      <c r="AG398" s="180" t="str">
        <f ca="1"/>
        <v/>
      </c>
      <c r="AH398" s="180" t="str">
        <f ca="1"/>
        <v/>
      </c>
      <c r="AI398" s="180" t="str">
        <f ca="1"/>
        <v/>
      </c>
      <c r="AJ398" s="180" t="str">
        <f ca="1"/>
        <v/>
      </c>
      <c r="AK398" s="180" t="str">
        <f ca="1"/>
        <v/>
      </c>
      <c r="AL398" s="180" t="str">
        <f ca="1"/>
        <v/>
      </c>
      <c r="AM398" s="180" t="str">
        <f ca="1"/>
        <v/>
      </c>
      <c r="AN398" s="180" t="str">
        <f ca="1"/>
        <v/>
      </c>
      <c r="AO398" s="180" t="str">
        <f ca="1"/>
        <v/>
      </c>
      <c r="AP398" s="180" t="str">
        <f ca="1"/>
        <v/>
      </c>
      <c r="AQ398" s="187" t="str">
        <f ca="1"/>
        <v/>
      </c>
    </row>
    <row r="399" spans="2:43" x14ac:dyDescent="0.25">
      <c r="B399" s="179" t="str">
        <f ca="1"/>
        <v/>
      </c>
      <c r="C399" s="180" t="str">
        <f ca="1"/>
        <v/>
      </c>
      <c r="D399" s="180" t="str">
        <f ca="1"/>
        <v/>
      </c>
      <c r="E399" s="180" t="str">
        <f ca="1"/>
        <v/>
      </c>
      <c r="F399" s="180" t="str">
        <f ca="1"/>
        <v/>
      </c>
      <c r="G399" s="180" t="str">
        <f ca="1"/>
        <v/>
      </c>
      <c r="H399" s="180" t="str">
        <f ca="1"/>
        <v/>
      </c>
      <c r="I399" s="180" t="str">
        <f ca="1"/>
        <v/>
      </c>
      <c r="J399" s="180" t="str">
        <f ca="1"/>
        <v/>
      </c>
      <c r="K399" s="180" t="str">
        <f ca="1"/>
        <v/>
      </c>
      <c r="L399" s="180" t="str">
        <f ca="1"/>
        <v/>
      </c>
      <c r="M399" s="180" t="str">
        <f ca="1"/>
        <v/>
      </c>
      <c r="N399" s="180" t="str">
        <f ca="1"/>
        <v/>
      </c>
      <c r="O399" s="180" t="str">
        <f ca="1"/>
        <v/>
      </c>
      <c r="P399" s="180" t="str">
        <f ca="1"/>
        <v/>
      </c>
      <c r="Q399" s="180" t="str">
        <f ca="1"/>
        <v/>
      </c>
      <c r="R399" s="180" t="str">
        <f ca="1"/>
        <v/>
      </c>
      <c r="S399" s="180" t="str">
        <f ca="1"/>
        <v/>
      </c>
      <c r="T399" s="180" t="str">
        <f ca="1"/>
        <v/>
      </c>
      <c r="U399" s="180" t="str">
        <f ca="1"/>
        <v/>
      </c>
      <c r="V399" s="180" t="str">
        <f ca="1"/>
        <v/>
      </c>
      <c r="W399" s="180" t="str">
        <f ca="1"/>
        <v/>
      </c>
      <c r="X399" s="180" t="str">
        <f ca="1"/>
        <v/>
      </c>
      <c r="Y399" s="180" t="str">
        <f ca="1"/>
        <v/>
      </c>
      <c r="Z399" s="180" t="str">
        <f ca="1"/>
        <v/>
      </c>
      <c r="AA399" s="180" t="str">
        <f ca="1"/>
        <v/>
      </c>
      <c r="AB399" s="180" t="str">
        <f ca="1"/>
        <v/>
      </c>
      <c r="AC399" s="180" t="str">
        <f ca="1"/>
        <v/>
      </c>
      <c r="AD399" s="180" t="str">
        <f ca="1"/>
        <v/>
      </c>
      <c r="AE399" s="180" t="str">
        <f ca="1"/>
        <v/>
      </c>
      <c r="AF399" s="180" t="str">
        <f ca="1"/>
        <v/>
      </c>
      <c r="AG399" s="180" t="str">
        <f ca="1"/>
        <v/>
      </c>
      <c r="AH399" s="180" t="str">
        <f ca="1"/>
        <v/>
      </c>
      <c r="AI399" s="180" t="str">
        <f ca="1"/>
        <v/>
      </c>
      <c r="AJ399" s="180" t="str">
        <f ca="1"/>
        <v/>
      </c>
      <c r="AK399" s="180" t="str">
        <f ca="1"/>
        <v/>
      </c>
      <c r="AL399" s="180" t="str">
        <f ca="1"/>
        <v/>
      </c>
      <c r="AM399" s="180" t="str">
        <f ca="1"/>
        <v/>
      </c>
      <c r="AN399" s="180" t="str">
        <f ca="1"/>
        <v/>
      </c>
      <c r="AO399" s="180" t="str">
        <f ca="1"/>
        <v/>
      </c>
      <c r="AP399" s="180" t="str">
        <f ca="1"/>
        <v/>
      </c>
      <c r="AQ399" s="187" t="str">
        <f ca="1"/>
        <v/>
      </c>
    </row>
  </sheetData>
  <conditionalFormatting sqref="C15:AQ399">
    <cfRule type="cellIs" dxfId="3" priority="1" operator="between">
      <formula>-0.00000000000001</formula>
      <formula>0.00000000000001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399"/>
  <sheetViews>
    <sheetView showGridLines="0" tabSelected="1" workbookViewId="0"/>
  </sheetViews>
  <sheetFormatPr defaultRowHeight="15" x14ac:dyDescent="0.25"/>
  <cols>
    <col min="2" max="2" width="19.42578125" bestFit="1" customWidth="1"/>
    <col min="3" max="3" width="15.7109375" customWidth="1"/>
    <col min="4" max="17" width="12.7109375" customWidth="1"/>
    <col min="18" max="41" width="9.28515625" bestFit="1" customWidth="1"/>
    <col min="42" max="42" width="12.7109375" bestFit="1" customWidth="1"/>
    <col min="43" max="43" width="9.28515625" bestFit="1" customWidth="1"/>
  </cols>
  <sheetData>
    <row r="2" spans="2:43" x14ac:dyDescent="0.25">
      <c r="C2" s="184" t="s">
        <v>219</v>
      </c>
      <c r="F2" s="184" t="s">
        <v>220</v>
      </c>
      <c r="I2" s="133" t="s">
        <v>221</v>
      </c>
    </row>
    <row r="3" spans="2:43" x14ac:dyDescent="0.25">
      <c r="B3" s="133" t="s">
        <v>222</v>
      </c>
      <c r="C3" s="183" t="s">
        <v>24</v>
      </c>
      <c r="F3" s="146" t="s">
        <v>223</v>
      </c>
      <c r="I3" s="146" t="s">
        <v>224</v>
      </c>
      <c r="J3" s="146"/>
    </row>
    <row r="4" spans="2:43" x14ac:dyDescent="0.25">
      <c r="B4" s="133" t="s">
        <v>225</v>
      </c>
      <c r="C4" s="183" t="str">
        <f ca="1">F5</f>
        <v>USD6ML</v>
      </c>
      <c r="F4" s="146" t="s">
        <v>226</v>
      </c>
      <c r="I4" s="146" t="s">
        <v>227</v>
      </c>
      <c r="J4" s="146"/>
    </row>
    <row r="5" spans="2:43" x14ac:dyDescent="0.25">
      <c r="B5" s="133" t="s">
        <v>228</v>
      </c>
      <c r="C5" s="183" t="str">
        <f ca="1">I4</f>
        <v>Forward_Rates</v>
      </c>
      <c r="F5" s="146" t="s">
        <v>229</v>
      </c>
    </row>
    <row r="7" spans="2:43" x14ac:dyDescent="0.25">
      <c r="B7" s="11" t="str">
        <f t="array" aca="1" ref="B7:AQ399" ca="1">_xll.meUtilityResize(_xll.meCurveResultsJacobianDisplay(C3,C4,C5),8000,50)</f>
        <v>RiskType</v>
      </c>
      <c r="C7" s="181" t="str">
        <f ca="1"/>
        <v>FORWARD_RATES</v>
      </c>
      <c r="D7" s="11" t="str">
        <f ca="1"/>
        <v/>
      </c>
      <c r="E7" s="11" t="str">
        <f ca="1"/>
        <v/>
      </c>
      <c r="F7" s="11" t="str">
        <f ca="1"/>
        <v/>
      </c>
      <c r="G7" s="11" t="str">
        <f ca="1"/>
        <v/>
      </c>
      <c r="H7" s="11" t="str">
        <f ca="1"/>
        <v/>
      </c>
      <c r="I7" s="11" t="str">
        <f ca="1"/>
        <v/>
      </c>
      <c r="J7" s="11" t="str">
        <f ca="1"/>
        <v/>
      </c>
      <c r="K7" s="11" t="str">
        <f ca="1"/>
        <v/>
      </c>
      <c r="L7" s="11" t="str">
        <f ca="1"/>
        <v/>
      </c>
      <c r="M7" s="11" t="str">
        <f ca="1"/>
        <v/>
      </c>
      <c r="N7" s="11" t="str">
        <f ca="1"/>
        <v/>
      </c>
      <c r="O7" s="11" t="str">
        <f ca="1"/>
        <v/>
      </c>
      <c r="P7" s="11" t="str">
        <f ca="1"/>
        <v/>
      </c>
      <c r="Q7" s="11" t="str">
        <f ca="1"/>
        <v/>
      </c>
      <c r="R7" s="11" t="str">
        <f ca="1"/>
        <v/>
      </c>
      <c r="S7" s="11" t="str">
        <f ca="1"/>
        <v/>
      </c>
      <c r="T7" s="11" t="str">
        <f ca="1"/>
        <v/>
      </c>
      <c r="U7" s="11" t="str">
        <f ca="1"/>
        <v/>
      </c>
      <c r="V7" s="11" t="str">
        <f ca="1"/>
        <v/>
      </c>
      <c r="W7" s="11" t="str">
        <f ca="1"/>
        <v/>
      </c>
      <c r="X7" s="11" t="str">
        <f ca="1"/>
        <v/>
      </c>
      <c r="Y7" s="11" t="str">
        <f ca="1"/>
        <v/>
      </c>
      <c r="Z7" s="11" t="str">
        <f ca="1"/>
        <v/>
      </c>
      <c r="AA7" s="11" t="str">
        <f ca="1"/>
        <v/>
      </c>
      <c r="AB7" s="11" t="str">
        <f ca="1"/>
        <v/>
      </c>
      <c r="AC7" s="11" t="str">
        <f ca="1"/>
        <v/>
      </c>
      <c r="AD7" s="11" t="str">
        <f ca="1"/>
        <v/>
      </c>
      <c r="AE7" s="11" t="str">
        <f ca="1"/>
        <v/>
      </c>
      <c r="AF7" s="11" t="str">
        <f ca="1"/>
        <v/>
      </c>
      <c r="AG7" s="11" t="str">
        <f ca="1"/>
        <v/>
      </c>
      <c r="AH7" s="11" t="str">
        <f ca="1"/>
        <v/>
      </c>
      <c r="AI7" s="11" t="str">
        <f ca="1"/>
        <v/>
      </c>
      <c r="AJ7" s="11" t="str">
        <f ca="1"/>
        <v/>
      </c>
      <c r="AK7" s="11" t="str">
        <f ca="1"/>
        <v/>
      </c>
      <c r="AL7" s="11" t="str">
        <f ca="1"/>
        <v/>
      </c>
      <c r="AM7" s="11" t="str">
        <f ca="1"/>
        <v/>
      </c>
      <c r="AN7" s="11" t="str">
        <f ca="1"/>
        <v/>
      </c>
      <c r="AO7" s="11" t="str">
        <f ca="1"/>
        <v/>
      </c>
      <c r="AP7" s="11" t="str">
        <f ca="1"/>
        <v/>
      </c>
      <c r="AQ7" t="str">
        <f ca="1"/>
        <v/>
      </c>
    </row>
    <row r="8" spans="2:43" x14ac:dyDescent="0.25">
      <c r="B8" s="11" t="str">
        <f ca="1"/>
        <v>ShiftType</v>
      </c>
      <c r="C8" s="181" t="str">
        <f ca="1"/>
        <v>PERTURBED</v>
      </c>
      <c r="D8" s="11" t="str">
        <f ca="1"/>
        <v/>
      </c>
      <c r="E8" s="11" t="str">
        <f ca="1"/>
        <v/>
      </c>
      <c r="F8" s="11" t="str">
        <f ca="1"/>
        <v/>
      </c>
      <c r="G8" s="11" t="str">
        <f ca="1"/>
        <v/>
      </c>
      <c r="H8" s="11" t="str">
        <f ca="1"/>
        <v/>
      </c>
      <c r="I8" s="11" t="str">
        <f ca="1"/>
        <v/>
      </c>
      <c r="J8" s="11" t="str">
        <f ca="1"/>
        <v/>
      </c>
      <c r="K8" s="11" t="str">
        <f ca="1"/>
        <v/>
      </c>
      <c r="L8" s="11" t="str">
        <f ca="1"/>
        <v/>
      </c>
      <c r="M8" s="11" t="str">
        <f ca="1"/>
        <v/>
      </c>
      <c r="N8" s="11" t="str">
        <f ca="1"/>
        <v/>
      </c>
      <c r="O8" s="11" t="str">
        <f ca="1"/>
        <v/>
      </c>
      <c r="P8" s="11" t="str">
        <f ca="1"/>
        <v/>
      </c>
      <c r="Q8" s="11" t="str">
        <f ca="1"/>
        <v/>
      </c>
      <c r="R8" s="11" t="str">
        <f ca="1"/>
        <v/>
      </c>
      <c r="S8" s="11" t="str">
        <f ca="1"/>
        <v/>
      </c>
      <c r="T8" s="11" t="str">
        <f ca="1"/>
        <v/>
      </c>
      <c r="U8" s="11" t="str">
        <f ca="1"/>
        <v/>
      </c>
      <c r="V8" s="11" t="str">
        <f ca="1"/>
        <v/>
      </c>
      <c r="W8" s="11" t="str">
        <f ca="1"/>
        <v/>
      </c>
      <c r="X8" s="11" t="str">
        <f ca="1"/>
        <v/>
      </c>
      <c r="Y8" s="11" t="str">
        <f ca="1"/>
        <v/>
      </c>
      <c r="Z8" s="11" t="str">
        <f ca="1"/>
        <v/>
      </c>
      <c r="AA8" s="11" t="str">
        <f ca="1"/>
        <v/>
      </c>
      <c r="AB8" s="11" t="str">
        <f ca="1"/>
        <v/>
      </c>
      <c r="AC8" s="11" t="str">
        <f ca="1"/>
        <v/>
      </c>
      <c r="AD8" s="11" t="str">
        <f ca="1"/>
        <v/>
      </c>
      <c r="AE8" s="11" t="str">
        <f ca="1"/>
        <v/>
      </c>
      <c r="AF8" s="11" t="str">
        <f ca="1"/>
        <v/>
      </c>
      <c r="AG8" s="11" t="str">
        <f ca="1"/>
        <v/>
      </c>
      <c r="AH8" s="11" t="str">
        <f ca="1"/>
        <v/>
      </c>
      <c r="AI8" s="11" t="str">
        <f ca="1"/>
        <v/>
      </c>
      <c r="AJ8" s="11" t="str">
        <f ca="1"/>
        <v/>
      </c>
      <c r="AK8" s="11" t="str">
        <f ca="1"/>
        <v/>
      </c>
      <c r="AL8" s="11" t="str">
        <f ca="1"/>
        <v/>
      </c>
      <c r="AM8" s="11" t="str">
        <f ca="1"/>
        <v/>
      </c>
      <c r="AN8" s="11" t="str">
        <f ca="1"/>
        <v/>
      </c>
      <c r="AO8" s="11" t="str">
        <f ca="1"/>
        <v/>
      </c>
      <c r="AP8" s="11" t="str">
        <f ca="1"/>
        <v/>
      </c>
      <c r="AQ8" t="str">
        <f ca="1"/>
        <v/>
      </c>
    </row>
    <row r="9" spans="2:43" x14ac:dyDescent="0.25">
      <c r="B9" s="11" t="str">
        <f ca="1"/>
        <v>GradientShiftSize</v>
      </c>
      <c r="C9" s="182">
        <f ca="1"/>
        <v>1E-4</v>
      </c>
      <c r="D9" s="11" t="str">
        <f ca="1"/>
        <v/>
      </c>
      <c r="E9" s="11" t="str">
        <f ca="1"/>
        <v/>
      </c>
      <c r="F9" s="11" t="str">
        <f ca="1"/>
        <v/>
      </c>
      <c r="G9" s="11" t="str">
        <f ca="1"/>
        <v/>
      </c>
      <c r="H9" s="11" t="str">
        <f ca="1"/>
        <v/>
      </c>
      <c r="I9" s="11" t="str">
        <f ca="1"/>
        <v/>
      </c>
      <c r="J9" s="11" t="str">
        <f ca="1"/>
        <v/>
      </c>
      <c r="K9" s="11" t="str">
        <f ca="1"/>
        <v/>
      </c>
      <c r="L9" s="11" t="str">
        <f ca="1"/>
        <v/>
      </c>
      <c r="M9" s="11" t="str">
        <f ca="1"/>
        <v/>
      </c>
      <c r="N9" s="11" t="str">
        <f ca="1"/>
        <v/>
      </c>
      <c r="O9" s="11" t="str">
        <f ca="1"/>
        <v/>
      </c>
      <c r="P9" s="11" t="str">
        <f ca="1"/>
        <v/>
      </c>
      <c r="Q9" s="11" t="str">
        <f ca="1"/>
        <v/>
      </c>
      <c r="R9" s="11" t="str">
        <f ca="1"/>
        <v/>
      </c>
      <c r="S9" s="11" t="str">
        <f ca="1"/>
        <v/>
      </c>
      <c r="T9" s="11" t="str">
        <f ca="1"/>
        <v/>
      </c>
      <c r="U9" s="11" t="str">
        <f ca="1"/>
        <v/>
      </c>
      <c r="V9" s="11" t="str">
        <f ca="1"/>
        <v/>
      </c>
      <c r="W9" s="11" t="str">
        <f ca="1"/>
        <v/>
      </c>
      <c r="X9" s="11" t="str">
        <f ca="1"/>
        <v/>
      </c>
      <c r="Y9" s="11" t="str">
        <f ca="1"/>
        <v/>
      </c>
      <c r="Z9" s="11" t="str">
        <f ca="1"/>
        <v/>
      </c>
      <c r="AA9" s="11" t="str">
        <f ca="1"/>
        <v/>
      </c>
      <c r="AB9" s="11" t="str">
        <f ca="1"/>
        <v/>
      </c>
      <c r="AC9" s="11" t="str">
        <f ca="1"/>
        <v/>
      </c>
      <c r="AD9" s="11" t="str">
        <f ca="1"/>
        <v/>
      </c>
      <c r="AE9" s="11" t="str">
        <f ca="1"/>
        <v/>
      </c>
      <c r="AF9" s="11" t="str">
        <f ca="1"/>
        <v/>
      </c>
      <c r="AG9" s="11" t="str">
        <f ca="1"/>
        <v/>
      </c>
      <c r="AH9" s="11" t="str">
        <f ca="1"/>
        <v/>
      </c>
      <c r="AI9" s="11" t="str">
        <f ca="1"/>
        <v/>
      </c>
      <c r="AJ9" s="11" t="str">
        <f ca="1"/>
        <v/>
      </c>
      <c r="AK9" s="11" t="str">
        <f ca="1"/>
        <v/>
      </c>
      <c r="AL9" s="11" t="str">
        <f ca="1"/>
        <v/>
      </c>
      <c r="AM9" s="11" t="str">
        <f ca="1"/>
        <v/>
      </c>
      <c r="AN9" s="11" t="str">
        <f ca="1"/>
        <v/>
      </c>
      <c r="AO9" s="11" t="str">
        <f ca="1"/>
        <v/>
      </c>
      <c r="AP9" s="11" t="str">
        <f ca="1"/>
        <v/>
      </c>
      <c r="AQ9" t="str">
        <f ca="1"/>
        <v/>
      </c>
    </row>
    <row r="10" spans="2:43" x14ac:dyDescent="0.25">
      <c r="B10" s="11" t="str">
        <f ca="1"/>
        <v/>
      </c>
      <c r="C10" s="11" t="str">
        <f ca="1"/>
        <v/>
      </c>
      <c r="D10" s="11" t="str">
        <f ca="1"/>
        <v/>
      </c>
      <c r="E10" s="11" t="str">
        <f ca="1"/>
        <v/>
      </c>
      <c r="F10" s="11" t="str">
        <f ca="1"/>
        <v/>
      </c>
      <c r="G10" s="11" t="str">
        <f ca="1"/>
        <v/>
      </c>
      <c r="H10" s="11" t="str">
        <f ca="1"/>
        <v/>
      </c>
      <c r="I10" s="11" t="str">
        <f ca="1"/>
        <v/>
      </c>
      <c r="J10" s="11" t="str">
        <f ca="1"/>
        <v/>
      </c>
      <c r="K10" s="11" t="str">
        <f ca="1"/>
        <v/>
      </c>
      <c r="L10" s="11" t="str">
        <f ca="1"/>
        <v/>
      </c>
      <c r="M10" s="11" t="str">
        <f ca="1"/>
        <v/>
      </c>
      <c r="N10" s="11" t="str">
        <f ca="1"/>
        <v/>
      </c>
      <c r="O10" s="11" t="str">
        <f ca="1"/>
        <v/>
      </c>
      <c r="P10" s="11" t="str">
        <f ca="1"/>
        <v/>
      </c>
      <c r="Q10" s="11" t="str">
        <f ca="1"/>
        <v/>
      </c>
      <c r="R10" s="11" t="str">
        <f ca="1"/>
        <v/>
      </c>
      <c r="S10" s="11" t="str">
        <f ca="1"/>
        <v/>
      </c>
      <c r="T10" s="11" t="str">
        <f ca="1"/>
        <v/>
      </c>
      <c r="U10" s="11" t="str">
        <f ca="1"/>
        <v/>
      </c>
      <c r="V10" s="11" t="str">
        <f ca="1"/>
        <v/>
      </c>
      <c r="W10" s="11" t="str">
        <f ca="1"/>
        <v/>
      </c>
      <c r="X10" s="11" t="str">
        <f ca="1"/>
        <v/>
      </c>
      <c r="Y10" s="11" t="str">
        <f ca="1"/>
        <v/>
      </c>
      <c r="Z10" s="11" t="str">
        <f ca="1"/>
        <v/>
      </c>
      <c r="AA10" s="11" t="str">
        <f ca="1"/>
        <v/>
      </c>
      <c r="AB10" s="11" t="str">
        <f ca="1"/>
        <v/>
      </c>
      <c r="AC10" s="11" t="str">
        <f ca="1"/>
        <v/>
      </c>
      <c r="AD10" s="11" t="str">
        <f ca="1"/>
        <v/>
      </c>
      <c r="AE10" s="11" t="str">
        <f ca="1"/>
        <v/>
      </c>
      <c r="AF10" s="11" t="str">
        <f ca="1"/>
        <v/>
      </c>
      <c r="AG10" s="11" t="str">
        <f ca="1"/>
        <v/>
      </c>
      <c r="AH10" s="11" t="str">
        <f ca="1"/>
        <v/>
      </c>
      <c r="AI10" s="11" t="str">
        <f ca="1"/>
        <v/>
      </c>
      <c r="AJ10" s="11" t="str">
        <f ca="1"/>
        <v/>
      </c>
      <c r="AK10" s="11" t="str">
        <f ca="1"/>
        <v/>
      </c>
      <c r="AL10" s="11" t="str">
        <f ca="1"/>
        <v/>
      </c>
      <c r="AM10" s="11" t="str">
        <f ca="1"/>
        <v/>
      </c>
      <c r="AN10" s="11" t="str">
        <f ca="1"/>
        <v/>
      </c>
      <c r="AO10" s="11" t="str">
        <f ca="1"/>
        <v/>
      </c>
      <c r="AP10" s="11" t="str">
        <f ca="1"/>
        <v/>
      </c>
      <c r="AQ10" t="str">
        <f ca="1"/>
        <v/>
      </c>
    </row>
    <row r="11" spans="2:43" x14ac:dyDescent="0.25">
      <c r="B11" s="11" t="str">
        <f ca="1"/>
        <v>OutrightInstrument</v>
      </c>
      <c r="C11" s="182" t="str">
        <f ca="1"/>
        <v>FALSE</v>
      </c>
      <c r="D11" s="182" t="str">
        <f ca="1"/>
        <v>FALSE</v>
      </c>
      <c r="E11" s="182" t="str">
        <f ca="1"/>
        <v>FALSE</v>
      </c>
      <c r="F11" s="182" t="str">
        <f ca="1"/>
        <v>FALSE</v>
      </c>
      <c r="G11" s="182" t="str">
        <f ca="1"/>
        <v>FALSE</v>
      </c>
      <c r="H11" s="182" t="str">
        <f ca="1"/>
        <v>FALSE</v>
      </c>
      <c r="I11" s="182" t="str">
        <f ca="1"/>
        <v>FALSE</v>
      </c>
      <c r="J11" s="182" t="str">
        <f ca="1"/>
        <v>FALSE</v>
      </c>
      <c r="K11" s="182" t="str">
        <f ca="1"/>
        <v>FALSE</v>
      </c>
      <c r="L11" s="182" t="str">
        <f ca="1"/>
        <v>FALSE</v>
      </c>
      <c r="M11" s="182" t="str">
        <f ca="1"/>
        <v>FALSE</v>
      </c>
      <c r="N11" s="182" t="str">
        <f ca="1"/>
        <v>FALSE</v>
      </c>
      <c r="O11" s="182" t="str">
        <f ca="1"/>
        <v>FALSE</v>
      </c>
      <c r="P11" s="182" t="str">
        <f ca="1"/>
        <v>FALSE</v>
      </c>
      <c r="Q11" s="182" t="str">
        <f ca="1"/>
        <v>FALSE</v>
      </c>
      <c r="R11" s="182" t="str">
        <f ca="1"/>
        <v/>
      </c>
      <c r="S11" s="182" t="str">
        <f ca="1"/>
        <v/>
      </c>
      <c r="T11" s="182" t="str">
        <f ca="1"/>
        <v/>
      </c>
      <c r="U11" s="182" t="str">
        <f ca="1"/>
        <v/>
      </c>
      <c r="V11" s="182" t="str">
        <f ca="1"/>
        <v/>
      </c>
      <c r="W11" s="182" t="str">
        <f ca="1"/>
        <v/>
      </c>
      <c r="X11" s="182" t="str">
        <f ca="1"/>
        <v/>
      </c>
      <c r="Y11" s="182" t="str">
        <f ca="1"/>
        <v/>
      </c>
      <c r="Z11" s="182" t="str">
        <f ca="1"/>
        <v/>
      </c>
      <c r="AA11" s="182" t="str">
        <f ca="1"/>
        <v/>
      </c>
      <c r="AB11" s="182" t="str">
        <f ca="1"/>
        <v/>
      </c>
      <c r="AC11" s="182" t="str">
        <f ca="1"/>
        <v/>
      </c>
      <c r="AD11" s="182" t="str">
        <f ca="1"/>
        <v/>
      </c>
      <c r="AE11" s="182" t="str">
        <f ca="1"/>
        <v/>
      </c>
      <c r="AF11" s="182" t="str">
        <f ca="1"/>
        <v/>
      </c>
      <c r="AG11" s="182" t="str">
        <f ca="1"/>
        <v/>
      </c>
      <c r="AH11" s="182" t="str">
        <f ca="1"/>
        <v/>
      </c>
      <c r="AI11" s="182" t="str">
        <f ca="1"/>
        <v/>
      </c>
      <c r="AJ11" s="182" t="str">
        <f ca="1"/>
        <v/>
      </c>
      <c r="AK11" s="182" t="str">
        <f ca="1"/>
        <v/>
      </c>
      <c r="AL11" s="182" t="str">
        <f ca="1"/>
        <v/>
      </c>
      <c r="AM11" s="182" t="str">
        <f ca="1"/>
        <v/>
      </c>
      <c r="AN11" s="182" t="str">
        <f ca="1"/>
        <v/>
      </c>
      <c r="AO11" s="182" t="str">
        <f ca="1"/>
        <v/>
      </c>
      <c r="AP11" s="182" t="str">
        <f ca="1"/>
        <v/>
      </c>
      <c r="AQ11" t="str">
        <f ca="1"/>
        <v/>
      </c>
    </row>
    <row r="12" spans="2:43" x14ac:dyDescent="0.25">
      <c r="B12" s="11" t="str">
        <f ca="1"/>
        <v>MarketDataShiftSize</v>
      </c>
      <c r="C12" s="293">
        <f ca="1"/>
        <v>1E-4</v>
      </c>
      <c r="D12" s="293">
        <f ca="1"/>
        <v>1E-4</v>
      </c>
      <c r="E12" s="293">
        <f ca="1"/>
        <v>1E-4</v>
      </c>
      <c r="F12" s="293">
        <f ca="1"/>
        <v>1E-4</v>
      </c>
      <c r="G12" s="293">
        <f ca="1"/>
        <v>1E-4</v>
      </c>
      <c r="H12" s="293">
        <f ca="1"/>
        <v>1E-4</v>
      </c>
      <c r="I12" s="293">
        <f ca="1"/>
        <v>1E-4</v>
      </c>
      <c r="J12" s="293">
        <f ca="1"/>
        <v>1E-4</v>
      </c>
      <c r="K12" s="293">
        <f ca="1"/>
        <v>1E-4</v>
      </c>
      <c r="L12" s="293">
        <f ca="1"/>
        <v>1E-4</v>
      </c>
      <c r="M12" s="293">
        <f ca="1"/>
        <v>1E-4</v>
      </c>
      <c r="N12" s="293">
        <f ca="1"/>
        <v>1E-4</v>
      </c>
      <c r="O12" s="293">
        <f ca="1"/>
        <v>1E-4</v>
      </c>
      <c r="P12" s="293">
        <f ca="1"/>
        <v>1E-4</v>
      </c>
      <c r="Q12" s="293">
        <f ca="1"/>
        <v>1E-4</v>
      </c>
      <c r="R12" s="293" t="str">
        <f ca="1"/>
        <v/>
      </c>
      <c r="S12" s="293" t="str">
        <f ca="1"/>
        <v/>
      </c>
      <c r="T12" s="293" t="str">
        <f ca="1"/>
        <v/>
      </c>
      <c r="U12" s="293" t="str">
        <f ca="1"/>
        <v/>
      </c>
      <c r="V12" s="293" t="str">
        <f ca="1"/>
        <v/>
      </c>
      <c r="W12" s="293" t="str">
        <f ca="1"/>
        <v/>
      </c>
      <c r="X12" s="293" t="str">
        <f ca="1"/>
        <v/>
      </c>
      <c r="Y12" s="293" t="str">
        <f ca="1"/>
        <v/>
      </c>
      <c r="Z12" s="293" t="str">
        <f ca="1"/>
        <v/>
      </c>
      <c r="AA12" s="293" t="str">
        <f ca="1"/>
        <v/>
      </c>
      <c r="AB12" s="293" t="str">
        <f ca="1"/>
        <v/>
      </c>
      <c r="AC12" s="293" t="str">
        <f ca="1"/>
        <v/>
      </c>
      <c r="AD12" s="293" t="str">
        <f ca="1"/>
        <v/>
      </c>
      <c r="AE12" s="293" t="str">
        <f ca="1"/>
        <v/>
      </c>
      <c r="AF12" s="293" t="str">
        <f ca="1"/>
        <v/>
      </c>
      <c r="AG12" s="293" t="str">
        <f ca="1"/>
        <v/>
      </c>
      <c r="AH12" s="293" t="str">
        <f ca="1"/>
        <v/>
      </c>
      <c r="AI12" s="293" t="str">
        <f ca="1"/>
        <v/>
      </c>
      <c r="AJ12" s="293" t="str">
        <f ca="1"/>
        <v/>
      </c>
      <c r="AK12" s="293" t="str">
        <f ca="1"/>
        <v/>
      </c>
      <c r="AL12" s="293" t="str">
        <f ca="1"/>
        <v/>
      </c>
      <c r="AM12" s="293" t="str">
        <f ca="1"/>
        <v/>
      </c>
      <c r="AN12" s="293" t="str">
        <f ca="1"/>
        <v/>
      </c>
      <c r="AO12" s="293" t="str">
        <f ca="1"/>
        <v/>
      </c>
      <c r="AP12" s="293" t="str">
        <f ca="1"/>
        <v/>
      </c>
      <c r="AQ12" t="str">
        <f ca="1"/>
        <v/>
      </c>
    </row>
    <row r="13" spans="2:43" x14ac:dyDescent="0.25">
      <c r="B13" s="175" t="str">
        <f ca="1"/>
        <v/>
      </c>
      <c r="C13" s="176" t="str">
        <f ca="1"/>
        <v/>
      </c>
      <c r="D13" s="177" t="str">
        <f ca="1"/>
        <v/>
      </c>
      <c r="E13" s="177" t="str">
        <f ca="1"/>
        <v/>
      </c>
      <c r="F13" s="177" t="str">
        <f ca="1"/>
        <v/>
      </c>
      <c r="G13" s="177" t="str">
        <f ca="1"/>
        <v/>
      </c>
      <c r="H13" s="177" t="str">
        <f ca="1"/>
        <v/>
      </c>
      <c r="I13" s="177" t="str">
        <f ca="1"/>
        <v/>
      </c>
      <c r="J13" s="177" t="str">
        <f ca="1"/>
        <v/>
      </c>
      <c r="K13" s="177" t="str">
        <f ca="1"/>
        <v/>
      </c>
      <c r="L13" s="177" t="str">
        <f ca="1"/>
        <v/>
      </c>
      <c r="M13" s="177" t="str">
        <f ca="1"/>
        <v/>
      </c>
      <c r="N13" s="177" t="str">
        <f ca="1"/>
        <v/>
      </c>
      <c r="O13" s="177" t="str">
        <f ca="1"/>
        <v/>
      </c>
      <c r="P13" s="177" t="str">
        <f ca="1"/>
        <v/>
      </c>
      <c r="Q13" s="177" t="str">
        <f ca="1"/>
        <v/>
      </c>
      <c r="R13" s="177" t="str">
        <f ca="1"/>
        <v/>
      </c>
      <c r="S13" s="177" t="str">
        <f ca="1"/>
        <v/>
      </c>
      <c r="T13" s="177" t="str">
        <f ca="1"/>
        <v/>
      </c>
      <c r="U13" s="177" t="str">
        <f ca="1"/>
        <v/>
      </c>
      <c r="V13" s="177" t="str">
        <f ca="1"/>
        <v/>
      </c>
      <c r="W13" s="177" t="str">
        <f ca="1"/>
        <v/>
      </c>
      <c r="X13" s="177" t="str">
        <f ca="1"/>
        <v/>
      </c>
      <c r="Y13" s="177" t="str">
        <f ca="1"/>
        <v/>
      </c>
      <c r="Z13" s="177" t="str">
        <f ca="1"/>
        <v/>
      </c>
      <c r="AA13" s="177" t="str">
        <f ca="1"/>
        <v/>
      </c>
      <c r="AB13" s="177" t="str">
        <f ca="1"/>
        <v/>
      </c>
      <c r="AC13" s="177" t="str">
        <f ca="1"/>
        <v/>
      </c>
      <c r="AD13" s="177" t="str">
        <f ca="1"/>
        <v/>
      </c>
      <c r="AE13" s="177" t="str">
        <f ca="1"/>
        <v/>
      </c>
      <c r="AF13" s="177" t="str">
        <f ca="1"/>
        <v/>
      </c>
      <c r="AG13" s="177" t="str">
        <f ca="1"/>
        <v/>
      </c>
      <c r="AH13" s="177" t="str">
        <f ca="1"/>
        <v/>
      </c>
      <c r="AI13" s="177" t="str">
        <f ca="1"/>
        <v/>
      </c>
      <c r="AJ13" s="177" t="str">
        <f ca="1"/>
        <v/>
      </c>
      <c r="AK13" s="177" t="str">
        <f ca="1"/>
        <v/>
      </c>
      <c r="AL13" s="177" t="str">
        <f ca="1"/>
        <v/>
      </c>
      <c r="AM13" s="177" t="str">
        <f ca="1"/>
        <v/>
      </c>
      <c r="AN13" s="177" t="str">
        <f ca="1"/>
        <v/>
      </c>
      <c r="AO13" s="177" t="str">
        <f ca="1"/>
        <v/>
      </c>
      <c r="AP13" s="177" t="str">
        <f ca="1"/>
        <v/>
      </c>
      <c r="AQ13" t="str">
        <f ca="1"/>
        <v/>
      </c>
    </row>
    <row r="14" spans="2:43" x14ac:dyDescent="0.25">
      <c r="B14" s="178" t="str">
        <f ca="1"/>
        <v/>
      </c>
      <c r="C14" s="176" t="str">
        <f ca="1"/>
        <v>Instrument</v>
      </c>
      <c r="D14" s="176" t="str">
        <f ca="1"/>
        <v/>
      </c>
      <c r="E14" s="176" t="str">
        <f ca="1"/>
        <v/>
      </c>
      <c r="F14" s="176" t="str">
        <f ca="1"/>
        <v/>
      </c>
      <c r="G14" s="176" t="str">
        <f ca="1"/>
        <v/>
      </c>
      <c r="H14" s="176" t="str">
        <f ca="1"/>
        <v/>
      </c>
      <c r="I14" s="176" t="str">
        <f ca="1"/>
        <v/>
      </c>
      <c r="J14" s="176" t="str">
        <f ca="1"/>
        <v/>
      </c>
      <c r="K14" s="176" t="str">
        <f ca="1"/>
        <v/>
      </c>
      <c r="L14" s="176" t="str">
        <f ca="1"/>
        <v/>
      </c>
      <c r="M14" s="176" t="str">
        <f ca="1"/>
        <v/>
      </c>
      <c r="N14" s="176" t="str">
        <f ca="1"/>
        <v/>
      </c>
      <c r="O14" s="176" t="str">
        <f ca="1"/>
        <v/>
      </c>
      <c r="P14" s="176" t="str">
        <f ca="1"/>
        <v/>
      </c>
      <c r="Q14" s="176" t="str">
        <f ca="1"/>
        <v/>
      </c>
      <c r="R14" s="176" t="str">
        <f ca="1"/>
        <v/>
      </c>
      <c r="S14" s="176" t="str">
        <f ca="1"/>
        <v/>
      </c>
      <c r="T14" s="176" t="str">
        <f ca="1"/>
        <v/>
      </c>
      <c r="U14" s="176" t="str">
        <f ca="1"/>
        <v/>
      </c>
      <c r="V14" s="176" t="str">
        <f ca="1"/>
        <v/>
      </c>
      <c r="W14" s="176" t="str">
        <f ca="1"/>
        <v/>
      </c>
      <c r="X14" s="176" t="str">
        <f ca="1"/>
        <v/>
      </c>
      <c r="Y14" s="176" t="str">
        <f ca="1"/>
        <v/>
      </c>
      <c r="Z14" s="176" t="str">
        <f ca="1"/>
        <v/>
      </c>
      <c r="AA14" s="176" t="str">
        <f ca="1"/>
        <v/>
      </c>
      <c r="AB14" s="176" t="str">
        <f ca="1"/>
        <v/>
      </c>
      <c r="AC14" s="176" t="str">
        <f ca="1"/>
        <v/>
      </c>
      <c r="AD14" s="176" t="str">
        <f ca="1"/>
        <v/>
      </c>
      <c r="AE14" s="176" t="str">
        <f ca="1"/>
        <v/>
      </c>
      <c r="AF14" s="176" t="str">
        <f ca="1"/>
        <v/>
      </c>
      <c r="AG14" s="176" t="str">
        <f ca="1"/>
        <v/>
      </c>
      <c r="AH14" s="176" t="str">
        <f ca="1"/>
        <v/>
      </c>
      <c r="AI14" s="176" t="str">
        <f ca="1"/>
        <v/>
      </c>
      <c r="AJ14" s="176" t="str">
        <f ca="1"/>
        <v/>
      </c>
      <c r="AK14" s="176" t="str">
        <f ca="1"/>
        <v/>
      </c>
      <c r="AL14" s="176" t="str">
        <f ca="1"/>
        <v/>
      </c>
      <c r="AM14" s="176" t="str">
        <f ca="1"/>
        <v/>
      </c>
      <c r="AN14" s="176" t="str">
        <f ca="1"/>
        <v/>
      </c>
      <c r="AO14" s="176" t="str">
        <f ca="1"/>
        <v/>
      </c>
      <c r="AP14" s="176" t="str">
        <f ca="1"/>
        <v/>
      </c>
      <c r="AQ14" t="str">
        <f ca="1"/>
        <v/>
      </c>
    </row>
    <row r="15" spans="2:43" x14ac:dyDescent="0.25">
      <c r="B15" s="179" t="str">
        <f ca="1"/>
        <v>FixingDate</v>
      </c>
      <c r="C15" s="180" t="str">
        <f ca="1"/>
        <v>BASIS_1Y</v>
      </c>
      <c r="D15" s="180" t="str">
        <f ca="1"/>
        <v>BASIS_2Y</v>
      </c>
      <c r="E15" s="180" t="str">
        <f ca="1"/>
        <v>BASIS_3Y</v>
      </c>
      <c r="F15" s="180" t="str">
        <f ca="1"/>
        <v>BASIS_4Y</v>
      </c>
      <c r="G15" s="180" t="str">
        <f ca="1"/>
        <v>BASIS_5Y</v>
      </c>
      <c r="H15" s="180" t="str">
        <f ca="1"/>
        <v>BASIS_6Y</v>
      </c>
      <c r="I15" s="180" t="str">
        <f ca="1"/>
        <v>BASIS_7Y</v>
      </c>
      <c r="J15" s="180" t="str">
        <f ca="1"/>
        <v>BASIS_8Y</v>
      </c>
      <c r="K15" s="180" t="str">
        <f ca="1"/>
        <v>BASIS_9Y</v>
      </c>
      <c r="L15" s="180" t="str">
        <f ca="1"/>
        <v>BASIS_10Y</v>
      </c>
      <c r="M15" s="180" t="str">
        <f ca="1"/>
        <v>BASIS_12Y</v>
      </c>
      <c r="N15" s="180" t="str">
        <f ca="1"/>
        <v>BASIS_15Y</v>
      </c>
      <c r="O15" s="180" t="str">
        <f ca="1"/>
        <v>BASIS_20Y</v>
      </c>
      <c r="P15" s="180" t="str">
        <f ca="1"/>
        <v>BASIS_25Y</v>
      </c>
      <c r="Q15" s="180" t="str">
        <f ca="1"/>
        <v>BASIS_30Y</v>
      </c>
      <c r="R15" s="180" t="str">
        <f ca="1"/>
        <v/>
      </c>
      <c r="S15" s="180" t="str">
        <f ca="1"/>
        <v/>
      </c>
      <c r="T15" s="180" t="str">
        <f ca="1"/>
        <v/>
      </c>
      <c r="U15" s="180" t="str">
        <f ca="1"/>
        <v/>
      </c>
      <c r="V15" s="180" t="str">
        <f ca="1"/>
        <v/>
      </c>
      <c r="W15" s="180" t="str">
        <f ca="1"/>
        <v/>
      </c>
      <c r="X15" s="180" t="str">
        <f ca="1"/>
        <v/>
      </c>
      <c r="Y15" s="180" t="str">
        <f ca="1"/>
        <v/>
      </c>
      <c r="Z15" s="180" t="str">
        <f ca="1"/>
        <v/>
      </c>
      <c r="AA15" s="180" t="str">
        <f ca="1"/>
        <v/>
      </c>
      <c r="AB15" s="180" t="str">
        <f ca="1"/>
        <v/>
      </c>
      <c r="AC15" s="180" t="str">
        <f ca="1"/>
        <v/>
      </c>
      <c r="AD15" s="180" t="str">
        <f ca="1"/>
        <v/>
      </c>
      <c r="AE15" s="180" t="str">
        <f ca="1"/>
        <v/>
      </c>
      <c r="AF15" s="180" t="str">
        <f ca="1"/>
        <v/>
      </c>
      <c r="AG15" s="180" t="str">
        <f ca="1"/>
        <v/>
      </c>
      <c r="AH15" s="180" t="str">
        <f ca="1"/>
        <v/>
      </c>
      <c r="AI15" s="180" t="str">
        <f ca="1"/>
        <v/>
      </c>
      <c r="AJ15" s="180" t="str">
        <f ca="1"/>
        <v/>
      </c>
      <c r="AK15" s="180" t="str">
        <f ca="1"/>
        <v/>
      </c>
      <c r="AL15" s="180" t="str">
        <f ca="1"/>
        <v/>
      </c>
      <c r="AM15" s="180" t="str">
        <f ca="1"/>
        <v/>
      </c>
      <c r="AN15" s="180" t="str">
        <f ca="1"/>
        <v/>
      </c>
      <c r="AO15" s="180" t="str">
        <f ca="1"/>
        <v/>
      </c>
      <c r="AP15" s="180" t="str">
        <f ca="1"/>
        <v/>
      </c>
      <c r="AQ15" s="187" t="str">
        <f ca="1"/>
        <v/>
      </c>
    </row>
    <row r="16" spans="2:43" x14ac:dyDescent="0.25">
      <c r="B16" s="179">
        <f ca="1"/>
        <v>43812</v>
      </c>
      <c r="C16" s="180">
        <f ca="1"/>
        <v>-3.6702794861710699E-6</v>
      </c>
      <c r="D16" s="180">
        <f ca="1"/>
        <v>2.84160850527043E-7</v>
      </c>
      <c r="E16" s="180">
        <f ca="1"/>
        <v>-1.14439643060515E-7</v>
      </c>
      <c r="F16" s="180">
        <f ca="1"/>
        <v>4.1386737929111099E-8</v>
      </c>
      <c r="G16" s="180">
        <f ca="1"/>
        <v>-1.3918968030241E-8</v>
      </c>
      <c r="H16" s="180">
        <f ca="1"/>
        <v>4.5017222380372399E-9</v>
      </c>
      <c r="I16" s="180">
        <f ca="1"/>
        <v>-1.41424644911625E-9</v>
      </c>
      <c r="J16" s="180">
        <f ca="1"/>
        <v>4.3410507480356998E-10</v>
      </c>
      <c r="K16" s="180">
        <f ca="1"/>
        <v>-1.2850175090672901E-10</v>
      </c>
      <c r="L16" s="180">
        <f ca="1"/>
        <v>3.1190619531607001E-11</v>
      </c>
      <c r="M16" s="180">
        <f ca="1"/>
        <v>-3.6463818076093398E-12</v>
      </c>
      <c r="N16" s="180">
        <f ca="1"/>
        <v>-4.56715568142307E-12</v>
      </c>
      <c r="O16" s="180">
        <f ca="1"/>
        <v>-1.1752751549742901E-13</v>
      </c>
      <c r="P16" s="180">
        <f ca="1"/>
        <v>4.0616815466520999E-14</v>
      </c>
      <c r="Q16" s="180">
        <f ca="1"/>
        <v>-7.7785000662799999E-15</v>
      </c>
      <c r="R16" s="180" t="str">
        <f ca="1"/>
        <v/>
      </c>
      <c r="S16" s="180" t="str">
        <f ca="1"/>
        <v/>
      </c>
      <c r="T16" s="180" t="str">
        <f ca="1"/>
        <v/>
      </c>
      <c r="U16" s="180" t="str">
        <f ca="1"/>
        <v/>
      </c>
      <c r="V16" s="180" t="str">
        <f ca="1"/>
        <v/>
      </c>
      <c r="W16" s="180" t="str">
        <f ca="1"/>
        <v/>
      </c>
      <c r="X16" s="180" t="str">
        <f ca="1"/>
        <v/>
      </c>
      <c r="Y16" s="180" t="str">
        <f ca="1"/>
        <v/>
      </c>
      <c r="Z16" s="180" t="str">
        <f ca="1"/>
        <v/>
      </c>
      <c r="AA16" s="180" t="str">
        <f ca="1"/>
        <v/>
      </c>
      <c r="AB16" s="180" t="str">
        <f ca="1"/>
        <v/>
      </c>
      <c r="AC16" s="180" t="str">
        <f ca="1"/>
        <v/>
      </c>
      <c r="AD16" s="180" t="str">
        <f ca="1"/>
        <v/>
      </c>
      <c r="AE16" s="180" t="str">
        <f ca="1"/>
        <v/>
      </c>
      <c r="AF16" s="180" t="str">
        <f ca="1"/>
        <v/>
      </c>
      <c r="AG16" s="180" t="str">
        <f ca="1"/>
        <v/>
      </c>
      <c r="AH16" s="180" t="str">
        <f ca="1"/>
        <v/>
      </c>
      <c r="AI16" s="180" t="str">
        <f ca="1"/>
        <v/>
      </c>
      <c r="AJ16" s="180" t="str">
        <f ca="1"/>
        <v/>
      </c>
      <c r="AK16" s="180" t="str">
        <f ca="1"/>
        <v/>
      </c>
      <c r="AL16" s="180" t="str">
        <f ca="1"/>
        <v/>
      </c>
      <c r="AM16" s="180" t="str">
        <f ca="1"/>
        <v/>
      </c>
      <c r="AN16" s="180" t="str">
        <f ca="1"/>
        <v/>
      </c>
      <c r="AO16" s="180" t="str">
        <f ca="1"/>
        <v/>
      </c>
      <c r="AP16" s="180" t="str">
        <f ca="1"/>
        <v/>
      </c>
      <c r="AQ16" s="187" t="str">
        <f ca="1"/>
        <v/>
      </c>
    </row>
    <row r="17" spans="2:43" x14ac:dyDescent="0.25">
      <c r="B17" s="179">
        <f ca="1"/>
        <v>43816</v>
      </c>
      <c r="C17" s="180">
        <f ca="1"/>
        <v>4.3715031594615499E-16</v>
      </c>
      <c r="D17" s="180">
        <f ca="1"/>
        <v>0</v>
      </c>
      <c r="E17" s="180">
        <f ca="1"/>
        <v>-4.3715031594615499E-16</v>
      </c>
      <c r="F17" s="180">
        <f ca="1"/>
        <v>0</v>
      </c>
      <c r="G17" s="180">
        <f ca="1"/>
        <v>0</v>
      </c>
      <c r="H17" s="180">
        <f ca="1"/>
        <v>0</v>
      </c>
      <c r="I17" s="180">
        <f ca="1"/>
        <v>0</v>
      </c>
      <c r="J17" s="180">
        <f ca="1"/>
        <v>0</v>
      </c>
      <c r="K17" s="180">
        <f ca="1"/>
        <v>0</v>
      </c>
      <c r="L17" s="180">
        <f ca="1"/>
        <v>0</v>
      </c>
      <c r="M17" s="180">
        <f ca="1"/>
        <v>0</v>
      </c>
      <c r="N17" s="180">
        <f ca="1"/>
        <v>-5.1355621144555402E-12</v>
      </c>
      <c r="O17" s="180">
        <f ca="1"/>
        <v>0</v>
      </c>
      <c r="P17" s="180">
        <f ca="1"/>
        <v>0</v>
      </c>
      <c r="Q17" s="180">
        <f ca="1"/>
        <v>0</v>
      </c>
      <c r="R17" s="180" t="str">
        <f ca="1"/>
        <v/>
      </c>
      <c r="S17" s="180" t="str">
        <f ca="1"/>
        <v/>
      </c>
      <c r="T17" s="180" t="str">
        <f ca="1"/>
        <v/>
      </c>
      <c r="U17" s="180" t="str">
        <f ca="1"/>
        <v/>
      </c>
      <c r="V17" s="180" t="str">
        <f ca="1"/>
        <v/>
      </c>
      <c r="W17" s="180" t="str">
        <f ca="1"/>
        <v/>
      </c>
      <c r="X17" s="180" t="str">
        <f ca="1"/>
        <v/>
      </c>
      <c r="Y17" s="180" t="str">
        <f ca="1"/>
        <v/>
      </c>
      <c r="Z17" s="180" t="str">
        <f ca="1"/>
        <v/>
      </c>
      <c r="AA17" s="180" t="str">
        <f ca="1"/>
        <v/>
      </c>
      <c r="AB17" s="180" t="str">
        <f ca="1"/>
        <v/>
      </c>
      <c r="AC17" s="180" t="str">
        <f ca="1"/>
        <v/>
      </c>
      <c r="AD17" s="180" t="str">
        <f ca="1"/>
        <v/>
      </c>
      <c r="AE17" s="180" t="str">
        <f ca="1"/>
        <v/>
      </c>
      <c r="AF17" s="180" t="str">
        <f ca="1"/>
        <v/>
      </c>
      <c r="AG17" s="180" t="str">
        <f ca="1"/>
        <v/>
      </c>
      <c r="AH17" s="180" t="str">
        <f ca="1"/>
        <v/>
      </c>
      <c r="AI17" s="180" t="str">
        <f ca="1"/>
        <v/>
      </c>
      <c r="AJ17" s="180" t="str">
        <f ca="1"/>
        <v/>
      </c>
      <c r="AK17" s="180" t="str">
        <f ca="1"/>
        <v/>
      </c>
      <c r="AL17" s="180" t="str">
        <f ca="1"/>
        <v/>
      </c>
      <c r="AM17" s="180" t="str">
        <f ca="1"/>
        <v/>
      </c>
      <c r="AN17" s="180" t="str">
        <f ca="1"/>
        <v/>
      </c>
      <c r="AO17" s="180" t="str">
        <f ca="1"/>
        <v/>
      </c>
      <c r="AP17" s="180" t="str">
        <f ca="1"/>
        <v/>
      </c>
      <c r="AQ17" s="187" t="str">
        <f ca="1"/>
        <v/>
      </c>
    </row>
    <row r="18" spans="2:43" x14ac:dyDescent="0.25">
      <c r="B18" s="179">
        <f ca="1"/>
        <v>43999</v>
      </c>
      <c r="C18" s="180">
        <f ca="1"/>
        <v>2.0110596397264499E-4</v>
      </c>
      <c r="D18" s="180">
        <f ca="1"/>
        <v>0</v>
      </c>
      <c r="E18" s="180">
        <f ca="1"/>
        <v>0</v>
      </c>
      <c r="F18" s="180">
        <f ca="1"/>
        <v>0</v>
      </c>
      <c r="G18" s="180">
        <f ca="1"/>
        <v>0</v>
      </c>
      <c r="H18" s="180">
        <f ca="1"/>
        <v>0</v>
      </c>
      <c r="I18" s="180">
        <f ca="1"/>
        <v>0</v>
      </c>
      <c r="J18" s="180">
        <f ca="1"/>
        <v>0</v>
      </c>
      <c r="K18" s="180">
        <f ca="1"/>
        <v>0</v>
      </c>
      <c r="L18" s="180">
        <f ca="1"/>
        <v>0</v>
      </c>
      <c r="M18" s="180">
        <f ca="1"/>
        <v>0</v>
      </c>
      <c r="N18" s="180">
        <f ca="1"/>
        <v>-3.3677921562613698E-13</v>
      </c>
      <c r="O18" s="180">
        <f ca="1"/>
        <v>0</v>
      </c>
      <c r="P18" s="180">
        <f ca="1"/>
        <v>0</v>
      </c>
      <c r="Q18" s="180">
        <f ca="1"/>
        <v>0</v>
      </c>
      <c r="R18" s="180" t="str">
        <f ca="1"/>
        <v/>
      </c>
      <c r="S18" s="180" t="str">
        <f ca="1"/>
        <v/>
      </c>
      <c r="T18" s="180" t="str">
        <f ca="1"/>
        <v/>
      </c>
      <c r="U18" s="180" t="str">
        <f ca="1"/>
        <v/>
      </c>
      <c r="V18" s="180" t="str">
        <f ca="1"/>
        <v/>
      </c>
      <c r="W18" s="180" t="str">
        <f ca="1"/>
        <v/>
      </c>
      <c r="X18" s="180" t="str">
        <f ca="1"/>
        <v/>
      </c>
      <c r="Y18" s="180" t="str">
        <f ca="1"/>
        <v/>
      </c>
      <c r="Z18" s="180" t="str">
        <f ca="1"/>
        <v/>
      </c>
      <c r="AA18" s="180" t="str">
        <f ca="1"/>
        <v/>
      </c>
      <c r="AB18" s="180" t="str">
        <f ca="1"/>
        <v/>
      </c>
      <c r="AC18" s="180" t="str">
        <f ca="1"/>
        <v/>
      </c>
      <c r="AD18" s="180" t="str">
        <f ca="1"/>
        <v/>
      </c>
      <c r="AE18" s="180" t="str">
        <f ca="1"/>
        <v/>
      </c>
      <c r="AF18" s="180" t="str">
        <f ca="1"/>
        <v/>
      </c>
      <c r="AG18" s="180" t="str">
        <f ca="1"/>
        <v/>
      </c>
      <c r="AH18" s="180" t="str">
        <f ca="1"/>
        <v/>
      </c>
      <c r="AI18" s="180" t="str">
        <f ca="1"/>
        <v/>
      </c>
      <c r="AJ18" s="180" t="str">
        <f ca="1"/>
        <v/>
      </c>
      <c r="AK18" s="180" t="str">
        <f ca="1"/>
        <v/>
      </c>
      <c r="AL18" s="180" t="str">
        <f ca="1"/>
        <v/>
      </c>
      <c r="AM18" s="180" t="str">
        <f ca="1"/>
        <v/>
      </c>
      <c r="AN18" s="180" t="str">
        <f ca="1"/>
        <v/>
      </c>
      <c r="AO18" s="180" t="str">
        <f ca="1"/>
        <v/>
      </c>
      <c r="AP18" s="180" t="str">
        <f ca="1"/>
        <v/>
      </c>
      <c r="AQ18" s="187" t="str">
        <f ca="1"/>
        <v/>
      </c>
    </row>
    <row r="19" spans="2:43" x14ac:dyDescent="0.25">
      <c r="B19" s="179">
        <f ca="1"/>
        <v>44182</v>
      </c>
      <c r="C19" s="180">
        <f ca="1"/>
        <v>-4.2041555301252497E-5</v>
      </c>
      <c r="D19" s="180">
        <f ca="1"/>
        <v>2.25645155536292E-4</v>
      </c>
      <c r="E19" s="180">
        <f ca="1"/>
        <v>-7.0643349139212801E-5</v>
      </c>
      <c r="F19" s="180">
        <f ca="1"/>
        <v>2.55450834968536E-5</v>
      </c>
      <c r="G19" s="180">
        <f ca="1"/>
        <v>-8.5915036553228102E-6</v>
      </c>
      <c r="H19" s="180">
        <f ca="1"/>
        <v>2.7787367800138898E-6</v>
      </c>
      <c r="I19" s="180">
        <f ca="1"/>
        <v>-8.7295474892820603E-7</v>
      </c>
      <c r="J19" s="180">
        <f ca="1"/>
        <v>2.67952676749963E-7</v>
      </c>
      <c r="K19" s="180">
        <f ca="1"/>
        <v>-7.9320355998724295E-8</v>
      </c>
      <c r="L19" s="180">
        <f ca="1"/>
        <v>1.9250615167914999E-8</v>
      </c>
      <c r="M19" s="180">
        <f ca="1"/>
        <v>-2.2524615141822399E-9</v>
      </c>
      <c r="N19" s="180">
        <f ca="1"/>
        <v>4.0057891032008202E-10</v>
      </c>
      <c r="O19" s="180">
        <f ca="1"/>
        <v>-7.3385693355465494E-11</v>
      </c>
      <c r="P19" s="180">
        <f ca="1"/>
        <v>2.3507348845264201E-11</v>
      </c>
      <c r="Q19" s="180">
        <f ca="1"/>
        <v>-7.3519211551964503E-12</v>
      </c>
      <c r="R19" s="180" t="str">
        <f ca="1"/>
        <v/>
      </c>
      <c r="S19" s="180" t="str">
        <f ca="1"/>
        <v/>
      </c>
      <c r="T19" s="180" t="str">
        <f ca="1"/>
        <v/>
      </c>
      <c r="U19" s="180" t="str">
        <f ca="1"/>
        <v/>
      </c>
      <c r="V19" s="180" t="str">
        <f ca="1"/>
        <v/>
      </c>
      <c r="W19" s="180" t="str">
        <f ca="1"/>
        <v/>
      </c>
      <c r="X19" s="180" t="str">
        <f ca="1"/>
        <v/>
      </c>
      <c r="Y19" s="180" t="str">
        <f ca="1"/>
        <v/>
      </c>
      <c r="Z19" s="180" t="str">
        <f ca="1"/>
        <v/>
      </c>
      <c r="AA19" s="180" t="str">
        <f ca="1"/>
        <v/>
      </c>
      <c r="AB19" s="180" t="str">
        <f ca="1"/>
        <v/>
      </c>
      <c r="AC19" s="180" t="str">
        <f ca="1"/>
        <v/>
      </c>
      <c r="AD19" s="180" t="str">
        <f ca="1"/>
        <v/>
      </c>
      <c r="AE19" s="180" t="str">
        <f ca="1"/>
        <v/>
      </c>
      <c r="AF19" s="180" t="str">
        <f ca="1"/>
        <v/>
      </c>
      <c r="AG19" s="180" t="str">
        <f ca="1"/>
        <v/>
      </c>
      <c r="AH19" s="180" t="str">
        <f ca="1"/>
        <v/>
      </c>
      <c r="AI19" s="180" t="str">
        <f ca="1"/>
        <v/>
      </c>
      <c r="AJ19" s="180" t="str">
        <f ca="1"/>
        <v/>
      </c>
      <c r="AK19" s="180" t="str">
        <f ca="1"/>
        <v/>
      </c>
      <c r="AL19" s="180" t="str">
        <f ca="1"/>
        <v/>
      </c>
      <c r="AM19" s="180" t="str">
        <f ca="1"/>
        <v/>
      </c>
      <c r="AN19" s="180" t="str">
        <f ca="1"/>
        <v/>
      </c>
      <c r="AO19" s="180" t="str">
        <f ca="1"/>
        <v/>
      </c>
      <c r="AP19" s="180" t="str">
        <f ca="1"/>
        <v/>
      </c>
      <c r="AQ19" s="187" t="str">
        <f ca="1"/>
        <v/>
      </c>
    </row>
    <row r="20" spans="2:43" x14ac:dyDescent="0.25">
      <c r="B20" s="179">
        <f ca="1"/>
        <v>44364</v>
      </c>
      <c r="C20" s="180">
        <f ca="1"/>
        <v>-1.6158893380472701E-4</v>
      </c>
      <c r="D20" s="180">
        <f ca="1"/>
        <v>1.7827793223580999E-4</v>
      </c>
      <c r="E20" s="180">
        <f ca="1"/>
        <v>7.0704227352018701E-5</v>
      </c>
      <c r="F20" s="180">
        <f ca="1"/>
        <v>-2.5567118333715E-5</v>
      </c>
      <c r="G20" s="180">
        <f ca="1"/>
        <v>8.5988844329126096E-6</v>
      </c>
      <c r="H20" s="180">
        <f ca="1"/>
        <v>-2.7811202342169898E-6</v>
      </c>
      <c r="I20" s="180">
        <f ca="1"/>
        <v>8.7370162733107995E-7</v>
      </c>
      <c r="J20" s="180">
        <f ca="1"/>
        <v>-2.6820381412995301E-7</v>
      </c>
      <c r="K20" s="180">
        <f ca="1"/>
        <v>7.9375118937699604E-8</v>
      </c>
      <c r="L20" s="180">
        <f ca="1"/>
        <v>-1.92846490686127E-8</v>
      </c>
      <c r="M20" s="180">
        <f ca="1"/>
        <v>2.2413052837289001E-9</v>
      </c>
      <c r="N20" s="180">
        <f ca="1"/>
        <v>-4.0522383192020898E-10</v>
      </c>
      <c r="O20" s="180">
        <f ca="1"/>
        <v>6.5603042095907504E-11</v>
      </c>
      <c r="P20" s="180">
        <f ca="1"/>
        <v>-3.7261560156820498E-11</v>
      </c>
      <c r="Q20" s="180">
        <f ca="1"/>
        <v>-1.32274521197351E-11</v>
      </c>
      <c r="R20" s="180" t="str">
        <f ca="1"/>
        <v/>
      </c>
      <c r="S20" s="180" t="str">
        <f ca="1"/>
        <v/>
      </c>
      <c r="T20" s="180" t="str">
        <f ca="1"/>
        <v/>
      </c>
      <c r="U20" s="180" t="str">
        <f ca="1"/>
        <v/>
      </c>
      <c r="V20" s="180" t="str">
        <f ca="1"/>
        <v/>
      </c>
      <c r="W20" s="180" t="str">
        <f ca="1"/>
        <v/>
      </c>
      <c r="X20" s="180" t="str">
        <f ca="1"/>
        <v/>
      </c>
      <c r="Y20" s="180" t="str">
        <f ca="1"/>
        <v/>
      </c>
      <c r="Z20" s="180" t="str">
        <f ca="1"/>
        <v/>
      </c>
      <c r="AA20" s="180" t="str">
        <f ca="1"/>
        <v/>
      </c>
      <c r="AB20" s="180" t="str">
        <f ca="1"/>
        <v/>
      </c>
      <c r="AC20" s="180" t="str">
        <f ca="1"/>
        <v/>
      </c>
      <c r="AD20" s="180" t="str">
        <f ca="1"/>
        <v/>
      </c>
      <c r="AE20" s="180" t="str">
        <f ca="1"/>
        <v/>
      </c>
      <c r="AF20" s="180" t="str">
        <f ca="1"/>
        <v/>
      </c>
      <c r="AG20" s="180" t="str">
        <f ca="1"/>
        <v/>
      </c>
      <c r="AH20" s="180" t="str">
        <f ca="1"/>
        <v/>
      </c>
      <c r="AI20" s="180" t="str">
        <f ca="1"/>
        <v/>
      </c>
      <c r="AJ20" s="180" t="str">
        <f ca="1"/>
        <v/>
      </c>
      <c r="AK20" s="180" t="str">
        <f ca="1"/>
        <v/>
      </c>
      <c r="AL20" s="180" t="str">
        <f ca="1"/>
        <v/>
      </c>
      <c r="AM20" s="180" t="str">
        <f ca="1"/>
        <v/>
      </c>
      <c r="AN20" s="180" t="str">
        <f ca="1"/>
        <v/>
      </c>
      <c r="AO20" s="180" t="str">
        <f ca="1"/>
        <v/>
      </c>
      <c r="AP20" s="180" t="str">
        <f ca="1"/>
        <v/>
      </c>
      <c r="AQ20" s="187" t="str">
        <f ca="1"/>
        <v/>
      </c>
    </row>
    <row r="21" spans="2:43" x14ac:dyDescent="0.25">
      <c r="B21" s="179">
        <f ca="1"/>
        <v>44547</v>
      </c>
      <c r="C21" s="180">
        <f ca="1"/>
        <v>-3.6872772774868702E-5</v>
      </c>
      <c r="D21" s="180">
        <f ca="1"/>
        <v>-1.57624686305513E-4</v>
      </c>
      <c r="E21" s="180">
        <f ca="1"/>
        <v>3.6411920945685799E-4</v>
      </c>
      <c r="F21" s="180">
        <f ca="1"/>
        <v>-1.04589942569096E-4</v>
      </c>
      <c r="G21" s="180">
        <f ca="1"/>
        <v>3.51773040020154E-5</v>
      </c>
      <c r="H21" s="180">
        <f ca="1"/>
        <v>-1.1377234492539901E-5</v>
      </c>
      <c r="I21" s="180">
        <f ca="1"/>
        <v>3.5742258875648401E-6</v>
      </c>
      <c r="J21" s="180">
        <f ca="1"/>
        <v>-1.0971469860121501E-6</v>
      </c>
      <c r="K21" s="180">
        <f ca="1"/>
        <v>3.2474131691356801E-7</v>
      </c>
      <c r="L21" s="180">
        <f ca="1"/>
        <v>-7.8855532215094102E-8</v>
      </c>
      <c r="M21" s="180">
        <f ca="1"/>
        <v>9.1969372777167497E-9</v>
      </c>
      <c r="N21" s="180">
        <f ca="1"/>
        <v>-1.6481501892429101E-9</v>
      </c>
      <c r="O21" s="180">
        <f ca="1"/>
        <v>2.8445377650565498E-10</v>
      </c>
      <c r="P21" s="180">
        <f ca="1"/>
        <v>-1.2258545914467501E-10</v>
      </c>
      <c r="Q21" s="180">
        <f ca="1"/>
        <v>-1.25723632893315E-11</v>
      </c>
      <c r="R21" s="180" t="str">
        <f ca="1"/>
        <v/>
      </c>
      <c r="S21" s="180" t="str">
        <f ca="1"/>
        <v/>
      </c>
      <c r="T21" s="180" t="str">
        <f ca="1"/>
        <v/>
      </c>
      <c r="U21" s="180" t="str">
        <f ca="1"/>
        <v/>
      </c>
      <c r="V21" s="180" t="str">
        <f ca="1"/>
        <v/>
      </c>
      <c r="W21" s="180" t="str">
        <f ca="1"/>
        <v/>
      </c>
      <c r="X21" s="180" t="str">
        <f ca="1"/>
        <v/>
      </c>
      <c r="Y21" s="180" t="str">
        <f ca="1"/>
        <v/>
      </c>
      <c r="Z21" s="180" t="str">
        <f ca="1"/>
        <v/>
      </c>
      <c r="AA21" s="180" t="str">
        <f ca="1"/>
        <v/>
      </c>
      <c r="AB21" s="180" t="str">
        <f ca="1"/>
        <v/>
      </c>
      <c r="AC21" s="180" t="str">
        <f ca="1"/>
        <v/>
      </c>
      <c r="AD21" s="180" t="str">
        <f ca="1"/>
        <v/>
      </c>
      <c r="AE21" s="180" t="str">
        <f ca="1"/>
        <v/>
      </c>
      <c r="AF21" s="180" t="str">
        <f ca="1"/>
        <v/>
      </c>
      <c r="AG21" s="180" t="str">
        <f ca="1"/>
        <v/>
      </c>
      <c r="AH21" s="180" t="str">
        <f ca="1"/>
        <v/>
      </c>
      <c r="AI21" s="180" t="str">
        <f ca="1"/>
        <v/>
      </c>
      <c r="AJ21" s="180" t="str">
        <f ca="1"/>
        <v/>
      </c>
      <c r="AK21" s="180" t="str">
        <f ca="1"/>
        <v/>
      </c>
      <c r="AL21" s="180" t="str">
        <f ca="1"/>
        <v/>
      </c>
      <c r="AM21" s="180" t="str">
        <f ca="1"/>
        <v/>
      </c>
      <c r="AN21" s="180" t="str">
        <f ca="1"/>
        <v/>
      </c>
      <c r="AO21" s="180" t="str">
        <f ca="1"/>
        <v/>
      </c>
      <c r="AP21" s="180" t="str">
        <f ca="1"/>
        <v/>
      </c>
      <c r="AQ21" s="187" t="str">
        <f ca="1"/>
        <v/>
      </c>
    </row>
    <row r="22" spans="2:43" x14ac:dyDescent="0.25">
      <c r="B22" s="179">
        <f ca="1"/>
        <v>44729</v>
      </c>
      <c r="C22" s="180">
        <f ca="1"/>
        <v>3.6517355710551098E-5</v>
      </c>
      <c r="D22" s="180">
        <f ca="1"/>
        <v>-2.4890170391783E-4</v>
      </c>
      <c r="E22" s="180">
        <f ca="1"/>
        <v>2.4382471100872099E-4</v>
      </c>
      <c r="F22" s="180">
        <f ca="1"/>
        <v>1.03581815650573E-4</v>
      </c>
      <c r="G22" s="180">
        <f ca="1"/>
        <v>-3.4838225669055201E-5</v>
      </c>
      <c r="H22" s="180">
        <f ca="1"/>
        <v>1.12675580856945E-5</v>
      </c>
      <c r="I22" s="180">
        <f ca="1"/>
        <v>-3.5397572008683E-6</v>
      </c>
      <c r="J22" s="180">
        <f ca="1"/>
        <v>1.08658002163572E-6</v>
      </c>
      <c r="K22" s="180">
        <f ca="1"/>
        <v>-3.2161992809601203E-7</v>
      </c>
      <c r="L22" s="180">
        <f ca="1"/>
        <v>7.8091948907399495E-8</v>
      </c>
      <c r="M22" s="180">
        <f ca="1"/>
        <v>-9.1010122667267696E-9</v>
      </c>
      <c r="N22" s="180">
        <f ca="1"/>
        <v>1.6320765294786099E-9</v>
      </c>
      <c r="O22" s="180">
        <f ca="1"/>
        <v>-2.8305530835881498E-10</v>
      </c>
      <c r="P22" s="180">
        <f ca="1"/>
        <v>1.32763421784032E-10</v>
      </c>
      <c r="Q22" s="180">
        <f ca="1"/>
        <v>3.6697138383612302E-12</v>
      </c>
      <c r="R22" s="180" t="str">
        <f ca="1"/>
        <v/>
      </c>
      <c r="S22" s="180" t="str">
        <f ca="1"/>
        <v/>
      </c>
      <c r="T22" s="180" t="str">
        <f ca="1"/>
        <v/>
      </c>
      <c r="U22" s="180" t="str">
        <f ca="1"/>
        <v/>
      </c>
      <c r="V22" s="180" t="str">
        <f ca="1"/>
        <v/>
      </c>
      <c r="W22" s="180" t="str">
        <f ca="1"/>
        <v/>
      </c>
      <c r="X22" s="180" t="str">
        <f ca="1"/>
        <v/>
      </c>
      <c r="Y22" s="180" t="str">
        <f ca="1"/>
        <v/>
      </c>
      <c r="Z22" s="180" t="str">
        <f ca="1"/>
        <v/>
      </c>
      <c r="AA22" s="180" t="str">
        <f ca="1"/>
        <v/>
      </c>
      <c r="AB22" s="180" t="str">
        <f ca="1"/>
        <v/>
      </c>
      <c r="AC22" s="180" t="str">
        <f ca="1"/>
        <v/>
      </c>
      <c r="AD22" s="180" t="str">
        <f ca="1"/>
        <v/>
      </c>
      <c r="AE22" s="180" t="str">
        <f ca="1"/>
        <v/>
      </c>
      <c r="AF22" s="180" t="str">
        <f ca="1"/>
        <v/>
      </c>
      <c r="AG22" s="180" t="str">
        <f ca="1"/>
        <v/>
      </c>
      <c r="AH22" s="180" t="str">
        <f ca="1"/>
        <v/>
      </c>
      <c r="AI22" s="180" t="str">
        <f ca="1"/>
        <v/>
      </c>
      <c r="AJ22" s="180" t="str">
        <f ca="1"/>
        <v/>
      </c>
      <c r="AK22" s="180" t="str">
        <f ca="1"/>
        <v/>
      </c>
      <c r="AL22" s="180" t="str">
        <f ca="1"/>
        <v/>
      </c>
      <c r="AM22" s="180" t="str">
        <f ca="1"/>
        <v/>
      </c>
      <c r="AN22" s="180" t="str">
        <f ca="1"/>
        <v/>
      </c>
      <c r="AO22" s="180" t="str">
        <f ca="1"/>
        <v/>
      </c>
      <c r="AP22" s="180" t="str">
        <f ca="1"/>
        <v/>
      </c>
      <c r="AQ22" s="187" t="str">
        <f ca="1"/>
        <v/>
      </c>
    </row>
    <row r="23" spans="2:43" x14ac:dyDescent="0.25">
      <c r="B23" s="179">
        <f ca="1"/>
        <v>44914</v>
      </c>
      <c r="C23" s="180">
        <f ca="1"/>
        <v>9.74966329033225E-6</v>
      </c>
      <c r="D23" s="180">
        <f ca="1"/>
        <v>-5.26827955001467E-5</v>
      </c>
      <c r="E23" s="180">
        <f ca="1"/>
        <v>-2.4971860481382702E-4</v>
      </c>
      <c r="F23" s="180">
        <f ca="1"/>
        <v>4.9458215490720504E-4</v>
      </c>
      <c r="G23" s="180">
        <f ca="1"/>
        <v>-1.3184159291422499E-4</v>
      </c>
      <c r="H23" s="180">
        <f ca="1"/>
        <v>4.2642287235779299E-5</v>
      </c>
      <c r="I23" s="180">
        <f ca="1"/>
        <v>-1.33961346450856E-5</v>
      </c>
      <c r="J23" s="180">
        <f ca="1"/>
        <v>4.11213361735385E-6</v>
      </c>
      <c r="K23" s="180">
        <f ca="1"/>
        <v>-1.21713563315876E-6</v>
      </c>
      <c r="L23" s="180">
        <f ca="1"/>
        <v>2.9553346539423801E-7</v>
      </c>
      <c r="M23" s="180">
        <f ca="1"/>
        <v>-3.4447875760235101E-8</v>
      </c>
      <c r="N23" s="180">
        <f ca="1"/>
        <v>6.1815765700634604E-9</v>
      </c>
      <c r="O23" s="180">
        <f ca="1"/>
        <v>-1.0572606505554501E-9</v>
      </c>
      <c r="P23" s="180">
        <f ca="1"/>
        <v>4.8109824110631503E-10</v>
      </c>
      <c r="Q23" s="180">
        <f ca="1"/>
        <v>4.5444967233798598E-11</v>
      </c>
      <c r="R23" s="180" t="str">
        <f ca="1"/>
        <v/>
      </c>
      <c r="S23" s="180" t="str">
        <f ca="1"/>
        <v/>
      </c>
      <c r="T23" s="180" t="str">
        <f ca="1"/>
        <v/>
      </c>
      <c r="U23" s="180" t="str">
        <f ca="1"/>
        <v/>
      </c>
      <c r="V23" s="180" t="str">
        <f ca="1"/>
        <v/>
      </c>
      <c r="W23" s="180" t="str">
        <f ca="1"/>
        <v/>
      </c>
      <c r="X23" s="180" t="str">
        <f ca="1"/>
        <v/>
      </c>
      <c r="Y23" s="180" t="str">
        <f ca="1"/>
        <v/>
      </c>
      <c r="Z23" s="180" t="str">
        <f ca="1"/>
        <v/>
      </c>
      <c r="AA23" s="180" t="str">
        <f ca="1"/>
        <v/>
      </c>
      <c r="AB23" s="180" t="str">
        <f ca="1"/>
        <v/>
      </c>
      <c r="AC23" s="180" t="str">
        <f ca="1"/>
        <v/>
      </c>
      <c r="AD23" s="180" t="str">
        <f ca="1"/>
        <v/>
      </c>
      <c r="AE23" s="180" t="str">
        <f ca="1"/>
        <v/>
      </c>
      <c r="AF23" s="180" t="str">
        <f ca="1"/>
        <v/>
      </c>
      <c r="AG23" s="180" t="str">
        <f ca="1"/>
        <v/>
      </c>
      <c r="AH23" s="180" t="str">
        <f ca="1"/>
        <v/>
      </c>
      <c r="AI23" s="180" t="str">
        <f ca="1"/>
        <v/>
      </c>
      <c r="AJ23" s="180" t="str">
        <f ca="1"/>
        <v/>
      </c>
      <c r="AK23" s="180" t="str">
        <f ca="1"/>
        <v/>
      </c>
      <c r="AL23" s="180" t="str">
        <f ca="1"/>
        <v/>
      </c>
      <c r="AM23" s="180" t="str">
        <f ca="1"/>
        <v/>
      </c>
      <c r="AN23" s="180" t="str">
        <f ca="1"/>
        <v/>
      </c>
      <c r="AO23" s="180" t="str">
        <f ca="1"/>
        <v/>
      </c>
      <c r="AP23" s="180" t="str">
        <f ca="1"/>
        <v/>
      </c>
      <c r="AQ23" s="187" t="str">
        <f ca="1"/>
        <v/>
      </c>
    </row>
    <row r="24" spans="2:43" x14ac:dyDescent="0.25">
      <c r="B24" s="179">
        <f ca="1"/>
        <v>45096</v>
      </c>
      <c r="C24" s="180">
        <f ca="1"/>
        <v>-9.81672277805545E-6</v>
      </c>
      <c r="D24" s="180">
        <f ca="1"/>
        <v>5.3045286646676702E-5</v>
      </c>
      <c r="E24" s="180">
        <f ca="1"/>
        <v>-3.7135229643194998E-4</v>
      </c>
      <c r="F24" s="180">
        <f ca="1"/>
        <v>3.2588798987813098E-4</v>
      </c>
      <c r="G24" s="180">
        <f ca="1"/>
        <v>1.3274833197755899E-4</v>
      </c>
      <c r="H24" s="180">
        <f ca="1"/>
        <v>-4.2935424354212402E-5</v>
      </c>
      <c r="I24" s="180">
        <f ca="1"/>
        <v>1.34884683479358E-5</v>
      </c>
      <c r="J24" s="180">
        <f ca="1"/>
        <v>-4.1403579118214099E-6</v>
      </c>
      <c r="K24" s="180">
        <f ca="1"/>
        <v>1.22566238163965E-6</v>
      </c>
      <c r="L24" s="180">
        <f ca="1"/>
        <v>-2.9759835513953902E-7</v>
      </c>
      <c r="M24" s="180">
        <f ca="1"/>
        <v>3.47892294208507E-8</v>
      </c>
      <c r="N24" s="180">
        <f ca="1"/>
        <v>-6.1719167485096998E-9</v>
      </c>
      <c r="O24" s="180">
        <f ca="1"/>
        <v>1.1814099420970299E-9</v>
      </c>
      <c r="P24" s="180">
        <f ca="1"/>
        <v>-4.4807130922253101E-10</v>
      </c>
      <c r="Q24" s="180">
        <f ca="1"/>
        <v>1.4366999256942801E-10</v>
      </c>
      <c r="R24" s="180" t="str">
        <f ca="1"/>
        <v/>
      </c>
      <c r="S24" s="180" t="str">
        <f ca="1"/>
        <v/>
      </c>
      <c r="T24" s="180" t="str">
        <f ca="1"/>
        <v/>
      </c>
      <c r="U24" s="180" t="str">
        <f ca="1"/>
        <v/>
      </c>
      <c r="V24" s="180" t="str">
        <f ca="1"/>
        <v/>
      </c>
      <c r="W24" s="180" t="str">
        <f ca="1"/>
        <v/>
      </c>
      <c r="X24" s="180" t="str">
        <f ca="1"/>
        <v/>
      </c>
      <c r="Y24" s="180" t="str">
        <f ca="1"/>
        <v/>
      </c>
      <c r="Z24" s="180" t="str">
        <f ca="1"/>
        <v/>
      </c>
      <c r="AA24" s="180" t="str">
        <f ca="1"/>
        <v/>
      </c>
      <c r="AB24" s="180" t="str">
        <f ca="1"/>
        <v/>
      </c>
      <c r="AC24" s="180" t="str">
        <f ca="1"/>
        <v/>
      </c>
      <c r="AD24" s="180" t="str">
        <f ca="1"/>
        <v/>
      </c>
      <c r="AE24" s="180" t="str">
        <f ca="1"/>
        <v/>
      </c>
      <c r="AF24" s="180" t="str">
        <f ca="1"/>
        <v/>
      </c>
      <c r="AG24" s="180" t="str">
        <f ca="1"/>
        <v/>
      </c>
      <c r="AH24" s="180" t="str">
        <f ca="1"/>
        <v/>
      </c>
      <c r="AI24" s="180" t="str">
        <f ca="1"/>
        <v/>
      </c>
      <c r="AJ24" s="180" t="str">
        <f ca="1"/>
        <v/>
      </c>
      <c r="AK24" s="180" t="str">
        <f ca="1"/>
        <v/>
      </c>
      <c r="AL24" s="180" t="str">
        <f ca="1"/>
        <v/>
      </c>
      <c r="AM24" s="180" t="str">
        <f ca="1"/>
        <v/>
      </c>
      <c r="AN24" s="180" t="str">
        <f ca="1"/>
        <v/>
      </c>
      <c r="AO24" s="180" t="str">
        <f ca="1"/>
        <v/>
      </c>
      <c r="AP24" s="180" t="str">
        <f ca="1"/>
        <v/>
      </c>
      <c r="AQ24" s="187" t="str">
        <f ca="1"/>
        <v/>
      </c>
    </row>
    <row r="25" spans="2:43" x14ac:dyDescent="0.25">
      <c r="B25" s="179">
        <f ca="1"/>
        <v>45278</v>
      </c>
      <c r="C25" s="180">
        <f ca="1"/>
        <v>-2.6236094149666198E-6</v>
      </c>
      <c r="D25" s="180">
        <f ca="1"/>
        <v>1.41756987315778E-5</v>
      </c>
      <c r="E25" s="180">
        <f ca="1"/>
        <v>-7.8665260081670101E-5</v>
      </c>
      <c r="F25" s="180">
        <f ca="1"/>
        <v>-3.3273528916220901E-4</v>
      </c>
      <c r="G25" s="180">
        <f ca="1"/>
        <v>6.1993820383417599E-4</v>
      </c>
      <c r="H25" s="180">
        <f ca="1"/>
        <v>-1.5853042744769599E-4</v>
      </c>
      <c r="I25" s="180">
        <f ca="1"/>
        <v>4.9804871839375501E-5</v>
      </c>
      <c r="J25" s="180">
        <f ca="1"/>
        <v>-1.5287979040525E-5</v>
      </c>
      <c r="K25" s="180">
        <f ca="1"/>
        <v>4.5253510495176003E-6</v>
      </c>
      <c r="L25" s="180">
        <f ca="1"/>
        <v>-1.0987698226688801E-6</v>
      </c>
      <c r="M25" s="180">
        <f ca="1"/>
        <v>1.28197482358872E-7</v>
      </c>
      <c r="N25" s="180">
        <f ca="1"/>
        <v>-2.2912098447680499E-8</v>
      </c>
      <c r="O25" s="180">
        <f ca="1"/>
        <v>4.0397927641988598E-9</v>
      </c>
      <c r="P25" s="180">
        <f ca="1"/>
        <v>-1.7994720470648799E-9</v>
      </c>
      <c r="Q25" s="180">
        <f ca="1"/>
        <v>1.6280703521443001E-10</v>
      </c>
      <c r="R25" s="180" t="str">
        <f ca="1"/>
        <v/>
      </c>
      <c r="S25" s="180" t="str">
        <f ca="1"/>
        <v/>
      </c>
      <c r="T25" s="180" t="str">
        <f ca="1"/>
        <v/>
      </c>
      <c r="U25" s="180" t="str">
        <f ca="1"/>
        <v/>
      </c>
      <c r="V25" s="180" t="str">
        <f ca="1"/>
        <v/>
      </c>
      <c r="W25" s="180" t="str">
        <f ca="1"/>
        <v/>
      </c>
      <c r="X25" s="180" t="str">
        <f ca="1"/>
        <v/>
      </c>
      <c r="Y25" s="180" t="str">
        <f ca="1"/>
        <v/>
      </c>
      <c r="Z25" s="180" t="str">
        <f ca="1"/>
        <v/>
      </c>
      <c r="AA25" s="180" t="str">
        <f ca="1"/>
        <v/>
      </c>
      <c r="AB25" s="180" t="str">
        <f ca="1"/>
        <v/>
      </c>
      <c r="AC25" s="180" t="str">
        <f ca="1"/>
        <v/>
      </c>
      <c r="AD25" s="180" t="str">
        <f ca="1"/>
        <v/>
      </c>
      <c r="AE25" s="180" t="str">
        <f ca="1"/>
        <v/>
      </c>
      <c r="AF25" s="180" t="str">
        <f ca="1"/>
        <v/>
      </c>
      <c r="AG25" s="180" t="str">
        <f ca="1"/>
        <v/>
      </c>
      <c r="AH25" s="180" t="str">
        <f ca="1"/>
        <v/>
      </c>
      <c r="AI25" s="180" t="str">
        <f ca="1"/>
        <v/>
      </c>
      <c r="AJ25" s="180" t="str">
        <f ca="1"/>
        <v/>
      </c>
      <c r="AK25" s="180" t="str">
        <f ca="1"/>
        <v/>
      </c>
      <c r="AL25" s="180" t="str">
        <f ca="1"/>
        <v/>
      </c>
      <c r="AM25" s="180" t="str">
        <f ca="1"/>
        <v/>
      </c>
      <c r="AN25" s="180" t="str">
        <f ca="1"/>
        <v/>
      </c>
      <c r="AO25" s="180" t="str">
        <f ca="1"/>
        <v/>
      </c>
      <c r="AP25" s="180" t="str">
        <f ca="1"/>
        <v/>
      </c>
      <c r="AQ25" s="187" t="str">
        <f ca="1"/>
        <v/>
      </c>
    </row>
    <row r="26" spans="2:43" x14ac:dyDescent="0.25">
      <c r="B26" s="179">
        <f ca="1"/>
        <v>45279</v>
      </c>
      <c r="C26" s="180">
        <f ca="1"/>
        <v>-2.5699785242000501E-6</v>
      </c>
      <c r="D26" s="180">
        <f ca="1"/>
        <v>1.3885897594174301E-5</v>
      </c>
      <c r="E26" s="180">
        <f ca="1"/>
        <v>-7.7057173438154603E-5</v>
      </c>
      <c r="F26" s="180">
        <f ca="1"/>
        <v>-3.3565927882593698E-4</v>
      </c>
      <c r="G26" s="180">
        <f ca="1"/>
        <v>6.2131689969285495E-4</v>
      </c>
      <c r="H26" s="180">
        <f ca="1"/>
        <v>-1.5828479975115201E-4</v>
      </c>
      <c r="I26" s="180">
        <f ca="1"/>
        <v>4.9727684313060502E-5</v>
      </c>
      <c r="J26" s="180">
        <f ca="1"/>
        <v>-1.5264289107013599E-5</v>
      </c>
      <c r="K26" s="180">
        <f ca="1"/>
        <v>4.5183375467355804E-6</v>
      </c>
      <c r="L26" s="180">
        <f ca="1"/>
        <v>-1.09706655213732E-6</v>
      </c>
      <c r="M26" s="180">
        <f ca="1"/>
        <v>1.2799717089700999E-7</v>
      </c>
      <c r="N26" s="180">
        <f ca="1"/>
        <v>-2.2877278651328701E-8</v>
      </c>
      <c r="O26" s="180">
        <f ca="1"/>
        <v>4.0311544276250302E-9</v>
      </c>
      <c r="P26" s="180">
        <f ca="1"/>
        <v>-1.79831668653541E-9</v>
      </c>
      <c r="Q26" s="180">
        <f ca="1"/>
        <v>1.6151888507232001E-10</v>
      </c>
      <c r="R26" s="180" t="str">
        <f ca="1"/>
        <v/>
      </c>
      <c r="S26" s="180" t="str">
        <f ca="1"/>
        <v/>
      </c>
      <c r="T26" s="180" t="str">
        <f ca="1"/>
        <v/>
      </c>
      <c r="U26" s="180" t="str">
        <f ca="1"/>
        <v/>
      </c>
      <c r="V26" s="180" t="str">
        <f ca="1"/>
        <v/>
      </c>
      <c r="W26" s="180" t="str">
        <f ca="1"/>
        <v/>
      </c>
      <c r="X26" s="180" t="str">
        <f ca="1"/>
        <v/>
      </c>
      <c r="Y26" s="180" t="str">
        <f ca="1"/>
        <v/>
      </c>
      <c r="Z26" s="180" t="str">
        <f ca="1"/>
        <v/>
      </c>
      <c r="AA26" s="180" t="str">
        <f ca="1"/>
        <v/>
      </c>
      <c r="AB26" s="180" t="str">
        <f ca="1"/>
        <v/>
      </c>
      <c r="AC26" s="180" t="str">
        <f ca="1"/>
        <v/>
      </c>
      <c r="AD26" s="180" t="str">
        <f ca="1"/>
        <v/>
      </c>
      <c r="AE26" s="180" t="str">
        <f ca="1"/>
        <v/>
      </c>
      <c r="AF26" s="180" t="str">
        <f ca="1"/>
        <v/>
      </c>
      <c r="AG26" s="180" t="str">
        <f ca="1"/>
        <v/>
      </c>
      <c r="AH26" s="180" t="str">
        <f ca="1"/>
        <v/>
      </c>
      <c r="AI26" s="180" t="str">
        <f ca="1"/>
        <v/>
      </c>
      <c r="AJ26" s="180" t="str">
        <f ca="1"/>
        <v/>
      </c>
      <c r="AK26" s="180" t="str">
        <f ca="1"/>
        <v/>
      </c>
      <c r="AL26" s="180" t="str">
        <f ca="1"/>
        <v/>
      </c>
      <c r="AM26" s="180" t="str">
        <f ca="1"/>
        <v/>
      </c>
      <c r="AN26" s="180" t="str">
        <f ca="1"/>
        <v/>
      </c>
      <c r="AO26" s="180" t="str">
        <f ca="1"/>
        <v/>
      </c>
      <c r="AP26" s="180" t="str">
        <f ca="1"/>
        <v/>
      </c>
      <c r="AQ26" s="187" t="str">
        <f ca="1"/>
        <v/>
      </c>
    </row>
    <row r="27" spans="2:43" x14ac:dyDescent="0.25">
      <c r="B27" s="179">
        <f ca="1"/>
        <v>45460</v>
      </c>
      <c r="C27" s="180">
        <f ca="1"/>
        <v>2.62768375190042E-6</v>
      </c>
      <c r="D27" s="180">
        <f ca="1"/>
        <v>-1.41997078449627E-5</v>
      </c>
      <c r="E27" s="180">
        <f ca="1"/>
        <v>7.8796231463607703E-5</v>
      </c>
      <c r="F27" s="180">
        <f ca="1"/>
        <v>-4.97733628389837E-4</v>
      </c>
      <c r="G27" s="180">
        <f ca="1"/>
        <v>4.1063027874469301E-4</v>
      </c>
      <c r="H27" s="180">
        <f ca="1"/>
        <v>1.58795412285265E-4</v>
      </c>
      <c r="I27" s="180">
        <f ca="1"/>
        <v>-4.9888667604018597E-5</v>
      </c>
      <c r="J27" s="180">
        <f ca="1"/>
        <v>1.5312997119064402E-5</v>
      </c>
      <c r="K27" s="180">
        <f ca="1"/>
        <v>-4.5330486961904504E-6</v>
      </c>
      <c r="L27" s="180">
        <f ca="1"/>
        <v>1.1008098026558899E-6</v>
      </c>
      <c r="M27" s="180">
        <f ca="1"/>
        <v>-1.2905338699423201E-7</v>
      </c>
      <c r="N27" s="180">
        <f ca="1"/>
        <v>2.26906122294257E-8</v>
      </c>
      <c r="O27" s="180">
        <f ca="1"/>
        <v>-4.9983955759114201E-9</v>
      </c>
      <c r="P27" s="180">
        <f ca="1"/>
        <v>1.10881708328958E-9</v>
      </c>
      <c r="Q27" s="180">
        <f ca="1"/>
        <v>-4.6161501010555399E-10</v>
      </c>
      <c r="R27" s="180" t="str">
        <f ca="1"/>
        <v/>
      </c>
      <c r="S27" s="180" t="str">
        <f ca="1"/>
        <v/>
      </c>
      <c r="T27" s="180" t="str">
        <f ca="1"/>
        <v/>
      </c>
      <c r="U27" s="180" t="str">
        <f ca="1"/>
        <v/>
      </c>
      <c r="V27" s="180" t="str">
        <f ca="1"/>
        <v/>
      </c>
      <c r="W27" s="180" t="str">
        <f ca="1"/>
        <v/>
      </c>
      <c r="X27" s="180" t="str">
        <f ca="1"/>
        <v/>
      </c>
      <c r="Y27" s="180" t="str">
        <f ca="1"/>
        <v/>
      </c>
      <c r="Z27" s="180" t="str">
        <f ca="1"/>
        <v/>
      </c>
      <c r="AA27" s="180" t="str">
        <f ca="1"/>
        <v/>
      </c>
      <c r="AB27" s="180" t="str">
        <f ca="1"/>
        <v/>
      </c>
      <c r="AC27" s="180" t="str">
        <f ca="1"/>
        <v/>
      </c>
      <c r="AD27" s="180" t="str">
        <f ca="1"/>
        <v/>
      </c>
      <c r="AE27" s="180" t="str">
        <f ca="1"/>
        <v/>
      </c>
      <c r="AF27" s="180" t="str">
        <f ca="1"/>
        <v/>
      </c>
      <c r="AG27" s="180" t="str">
        <f ca="1"/>
        <v/>
      </c>
      <c r="AH27" s="180" t="str">
        <f ca="1"/>
        <v/>
      </c>
      <c r="AI27" s="180" t="str">
        <f ca="1"/>
        <v/>
      </c>
      <c r="AJ27" s="180" t="str">
        <f ca="1"/>
        <v/>
      </c>
      <c r="AK27" s="180" t="str">
        <f ca="1"/>
        <v/>
      </c>
      <c r="AL27" s="180" t="str">
        <f ca="1"/>
        <v/>
      </c>
      <c r="AM27" s="180" t="str">
        <f ca="1"/>
        <v/>
      </c>
      <c r="AN27" s="180" t="str">
        <f ca="1"/>
        <v/>
      </c>
      <c r="AO27" s="180" t="str">
        <f ca="1"/>
        <v/>
      </c>
      <c r="AP27" s="180" t="str">
        <f ca="1"/>
        <v/>
      </c>
      <c r="AQ27" s="187" t="str">
        <f ca="1"/>
        <v/>
      </c>
    </row>
    <row r="28" spans="2:43" x14ac:dyDescent="0.25">
      <c r="B28" s="179">
        <f ca="1"/>
        <v>45461</v>
      </c>
      <c r="C28" s="180">
        <f ca="1"/>
        <v>2.63150423986808E-6</v>
      </c>
      <c r="D28" s="180">
        <f ca="1"/>
        <v>-1.4220347789362099E-5</v>
      </c>
      <c r="E28" s="180">
        <f ca="1"/>
        <v>7.8910787250540502E-5</v>
      </c>
      <c r="F28" s="180">
        <f ca="1"/>
        <v>-4.96602478997542E-4</v>
      </c>
      <c r="G28" s="180">
        <f ca="1"/>
        <v>4.0692708147280199E-4</v>
      </c>
      <c r="H28" s="180">
        <f ca="1"/>
        <v>1.6205058440749799E-4</v>
      </c>
      <c r="I28" s="180">
        <f ca="1"/>
        <v>-5.0910854944692697E-5</v>
      </c>
      <c r="J28" s="180">
        <f ca="1"/>
        <v>1.56267848829238E-5</v>
      </c>
      <c r="K28" s="180">
        <f ca="1"/>
        <v>-4.6259336885651203E-6</v>
      </c>
      <c r="L28" s="180">
        <f ca="1"/>
        <v>1.12336414487615E-6</v>
      </c>
      <c r="M28" s="180">
        <f ca="1"/>
        <v>-1.3169010931041199E-7</v>
      </c>
      <c r="N28" s="180">
        <f ca="1"/>
        <v>2.3158719095195401E-8</v>
      </c>
      <c r="O28" s="180">
        <f ca="1"/>
        <v>-5.0894161003622898E-9</v>
      </c>
      <c r="P28" s="180">
        <f ca="1"/>
        <v>1.1397466581630799E-9</v>
      </c>
      <c r="Q28" s="180">
        <f ca="1"/>
        <v>-4.6720529181532002E-10</v>
      </c>
      <c r="R28" s="180" t="str">
        <f ca="1"/>
        <v/>
      </c>
      <c r="S28" s="180" t="str">
        <f ca="1"/>
        <v/>
      </c>
      <c r="T28" s="180" t="str">
        <f ca="1"/>
        <v/>
      </c>
      <c r="U28" s="180" t="str">
        <f ca="1"/>
        <v/>
      </c>
      <c r="V28" s="180" t="str">
        <f ca="1"/>
        <v/>
      </c>
      <c r="W28" s="180" t="str">
        <f ca="1"/>
        <v/>
      </c>
      <c r="X28" s="180" t="str">
        <f ca="1"/>
        <v/>
      </c>
      <c r="Y28" s="180" t="str">
        <f ca="1"/>
        <v/>
      </c>
      <c r="Z28" s="180" t="str">
        <f ca="1"/>
        <v/>
      </c>
      <c r="AA28" s="180" t="str">
        <f ca="1"/>
        <v/>
      </c>
      <c r="AB28" s="180" t="str">
        <f ca="1"/>
        <v/>
      </c>
      <c r="AC28" s="180" t="str">
        <f ca="1"/>
        <v/>
      </c>
      <c r="AD28" s="180" t="str">
        <f ca="1"/>
        <v/>
      </c>
      <c r="AE28" s="180" t="str">
        <f ca="1"/>
        <v/>
      </c>
      <c r="AF28" s="180" t="str">
        <f ca="1"/>
        <v/>
      </c>
      <c r="AG28" s="180" t="str">
        <f ca="1"/>
        <v/>
      </c>
      <c r="AH28" s="180" t="str">
        <f ca="1"/>
        <v/>
      </c>
      <c r="AI28" s="180" t="str">
        <f ca="1"/>
        <v/>
      </c>
      <c r="AJ28" s="180" t="str">
        <f ca="1"/>
        <v/>
      </c>
      <c r="AK28" s="180" t="str">
        <f ca="1"/>
        <v/>
      </c>
      <c r="AL28" s="180" t="str">
        <f ca="1"/>
        <v/>
      </c>
      <c r="AM28" s="180" t="str">
        <f ca="1"/>
        <v/>
      </c>
      <c r="AN28" s="180" t="str">
        <f ca="1"/>
        <v/>
      </c>
      <c r="AO28" s="180" t="str">
        <f ca="1"/>
        <v/>
      </c>
      <c r="AP28" s="180" t="str">
        <f ca="1"/>
        <v/>
      </c>
      <c r="AQ28" s="187" t="str">
        <f ca="1"/>
        <v/>
      </c>
    </row>
    <row r="29" spans="2:43" x14ac:dyDescent="0.25">
      <c r="B29" s="179">
        <f ca="1"/>
        <v>45643</v>
      </c>
      <c r="C29" s="180">
        <f ca="1"/>
        <v>7.0562943707899696E-7</v>
      </c>
      <c r="D29" s="180">
        <f ca="1"/>
        <v>-3.8129698045098701E-6</v>
      </c>
      <c r="E29" s="180">
        <f ca="1"/>
        <v>2.1158853283530899E-5</v>
      </c>
      <c r="F29" s="180">
        <f ca="1"/>
        <v>-1.05639812614938E-4</v>
      </c>
      <c r="G29" s="180">
        <f ca="1"/>
        <v>-4.1916219848026401E-4</v>
      </c>
      <c r="H29" s="180">
        <f ca="1"/>
        <v>7.4981309328821602E-4</v>
      </c>
      <c r="I29" s="180">
        <f ca="1"/>
        <v>-1.8672009453634899E-4</v>
      </c>
      <c r="J29" s="180">
        <f ca="1"/>
        <v>5.7316341332883797E-5</v>
      </c>
      <c r="K29" s="180">
        <f ca="1"/>
        <v>-1.6966326957860302E-5</v>
      </c>
      <c r="L29" s="180">
        <f ca="1"/>
        <v>4.1198515948193101E-6</v>
      </c>
      <c r="M29" s="180">
        <f ca="1"/>
        <v>-4.8184923216385001E-7</v>
      </c>
      <c r="N29" s="180">
        <f ca="1"/>
        <v>8.5412903125248198E-8</v>
      </c>
      <c r="O29" s="180">
        <f ca="1"/>
        <v>-1.6972840716222802E-8</v>
      </c>
      <c r="P29" s="180">
        <f ca="1"/>
        <v>5.3944488459523002E-9</v>
      </c>
      <c r="Q29" s="180">
        <f ca="1"/>
        <v>-1.13512012983596E-9</v>
      </c>
      <c r="R29" s="180" t="str">
        <f ca="1"/>
        <v/>
      </c>
      <c r="S29" s="180" t="str">
        <f ca="1"/>
        <v/>
      </c>
      <c r="T29" s="180" t="str">
        <f ca="1"/>
        <v/>
      </c>
      <c r="U29" s="180" t="str">
        <f ca="1"/>
        <v/>
      </c>
      <c r="V29" s="180" t="str">
        <f ca="1"/>
        <v/>
      </c>
      <c r="W29" s="180" t="str">
        <f ca="1"/>
        <v/>
      </c>
      <c r="X29" s="180" t="str">
        <f ca="1"/>
        <v/>
      </c>
      <c r="Y29" s="180" t="str">
        <f ca="1"/>
        <v/>
      </c>
      <c r="Z29" s="180" t="str">
        <f ca="1"/>
        <v/>
      </c>
      <c r="AA29" s="180" t="str">
        <f ca="1"/>
        <v/>
      </c>
      <c r="AB29" s="180" t="str">
        <f ca="1"/>
        <v/>
      </c>
      <c r="AC29" s="180" t="str">
        <f ca="1"/>
        <v/>
      </c>
      <c r="AD29" s="180" t="str">
        <f ca="1"/>
        <v/>
      </c>
      <c r="AE29" s="180" t="str">
        <f ca="1"/>
        <v/>
      </c>
      <c r="AF29" s="180" t="str">
        <f ca="1"/>
        <v/>
      </c>
      <c r="AG29" s="180" t="str">
        <f ca="1"/>
        <v/>
      </c>
      <c r="AH29" s="180" t="str">
        <f ca="1"/>
        <v/>
      </c>
      <c r="AI29" s="180" t="str">
        <f ca="1"/>
        <v/>
      </c>
      <c r="AJ29" s="180" t="str">
        <f ca="1"/>
        <v/>
      </c>
      <c r="AK29" s="180" t="str">
        <f ca="1"/>
        <v/>
      </c>
      <c r="AL29" s="180" t="str">
        <f ca="1"/>
        <v/>
      </c>
      <c r="AM29" s="180" t="str">
        <f ca="1"/>
        <v/>
      </c>
      <c r="AN29" s="180" t="str">
        <f ca="1"/>
        <v/>
      </c>
      <c r="AO29" s="180" t="str">
        <f ca="1"/>
        <v/>
      </c>
      <c r="AP29" s="180" t="str">
        <f ca="1"/>
        <v/>
      </c>
      <c r="AQ29" s="187" t="str">
        <f ca="1"/>
        <v/>
      </c>
    </row>
    <row r="30" spans="2:43" x14ac:dyDescent="0.25">
      <c r="B30" s="179">
        <f ca="1"/>
        <v>45825</v>
      </c>
      <c r="C30" s="180">
        <f ca="1"/>
        <v>-7.0706760140967804E-7</v>
      </c>
      <c r="D30" s="180">
        <f ca="1"/>
        <v>3.8207902123034398E-6</v>
      </c>
      <c r="E30" s="180">
        <f ca="1"/>
        <v>-2.1201592904040299E-5</v>
      </c>
      <c r="F30" s="180">
        <f ca="1"/>
        <v>1.05853620950145E-4</v>
      </c>
      <c r="G30" s="180">
        <f ca="1"/>
        <v>-6.2695474902559804E-4</v>
      </c>
      <c r="H30" s="180">
        <f ca="1"/>
        <v>4.9626514953307296E-4</v>
      </c>
      <c r="I30" s="180">
        <f ca="1"/>
        <v>1.8709790826446399E-4</v>
      </c>
      <c r="J30" s="180">
        <f ca="1"/>
        <v>-5.7432368163540902E-5</v>
      </c>
      <c r="K30" s="180">
        <f ca="1"/>
        <v>1.700071216525E-5</v>
      </c>
      <c r="L30" s="180">
        <f ca="1"/>
        <v>-4.1280597117658596E-6</v>
      </c>
      <c r="M30" s="180">
        <f ca="1"/>
        <v>4.8291853707235797E-7</v>
      </c>
      <c r="N30" s="180">
        <f ca="1"/>
        <v>-8.5531682719047803E-8</v>
      </c>
      <c r="O30" s="180">
        <f ca="1"/>
        <v>1.70900373644423E-8</v>
      </c>
      <c r="P30" s="180">
        <f ca="1"/>
        <v>-5.3622977100320499E-9</v>
      </c>
      <c r="Q30" s="180">
        <f ca="1"/>
        <v>1.1222389129095201E-9</v>
      </c>
      <c r="R30" s="180" t="str">
        <f ca="1"/>
        <v/>
      </c>
      <c r="S30" s="180" t="str">
        <f ca="1"/>
        <v/>
      </c>
      <c r="T30" s="180" t="str">
        <f ca="1"/>
        <v/>
      </c>
      <c r="U30" s="180" t="str">
        <f ca="1"/>
        <v/>
      </c>
      <c r="V30" s="180" t="str">
        <f ca="1"/>
        <v/>
      </c>
      <c r="W30" s="180" t="str">
        <f ca="1"/>
        <v/>
      </c>
      <c r="X30" s="180" t="str">
        <f ca="1"/>
        <v/>
      </c>
      <c r="Y30" s="180" t="str">
        <f ca="1"/>
        <v/>
      </c>
      <c r="Z30" s="180" t="str">
        <f ca="1"/>
        <v/>
      </c>
      <c r="AA30" s="180" t="str">
        <f ca="1"/>
        <v/>
      </c>
      <c r="AB30" s="180" t="str">
        <f ca="1"/>
        <v/>
      </c>
      <c r="AC30" s="180" t="str">
        <f ca="1"/>
        <v/>
      </c>
      <c r="AD30" s="180" t="str">
        <f ca="1"/>
        <v/>
      </c>
      <c r="AE30" s="180" t="str">
        <f ca="1"/>
        <v/>
      </c>
      <c r="AF30" s="180" t="str">
        <f ca="1"/>
        <v/>
      </c>
      <c r="AG30" s="180" t="str">
        <f ca="1"/>
        <v/>
      </c>
      <c r="AH30" s="180" t="str">
        <f ca="1"/>
        <v/>
      </c>
      <c r="AI30" s="180" t="str">
        <f ca="1"/>
        <v/>
      </c>
      <c r="AJ30" s="180" t="str">
        <f ca="1"/>
        <v/>
      </c>
      <c r="AK30" s="180" t="str">
        <f ca="1"/>
        <v/>
      </c>
      <c r="AL30" s="180" t="str">
        <f ca="1"/>
        <v/>
      </c>
      <c r="AM30" s="180" t="str">
        <f ca="1"/>
        <v/>
      </c>
      <c r="AN30" s="180" t="str">
        <f ca="1"/>
        <v/>
      </c>
      <c r="AO30" s="180" t="str">
        <f ca="1"/>
        <v/>
      </c>
      <c r="AP30" s="180" t="str">
        <f ca="1"/>
        <v/>
      </c>
      <c r="AQ30" s="187" t="str">
        <f ca="1"/>
        <v/>
      </c>
    </row>
    <row r="31" spans="2:43" x14ac:dyDescent="0.25">
      <c r="B31" s="179">
        <f ca="1"/>
        <v>46008</v>
      </c>
      <c r="C31" s="180">
        <f ca="1"/>
        <v>-1.8970281170233001E-7</v>
      </c>
      <c r="D31" s="180">
        <f ca="1"/>
        <v>1.0246749932059399E-6</v>
      </c>
      <c r="E31" s="180">
        <f ca="1"/>
        <v>-5.6864752761495701E-6</v>
      </c>
      <c r="F31" s="180">
        <f ca="1"/>
        <v>2.8390036763668201E-5</v>
      </c>
      <c r="G31" s="180">
        <f ca="1"/>
        <v>-1.3300979346063399E-4</v>
      </c>
      <c r="H31" s="180">
        <f ca="1"/>
        <v>-5.0732904109553805E-4</v>
      </c>
      <c r="I31" s="180">
        <f ca="1"/>
        <v>8.8195609738988103E-4</v>
      </c>
      <c r="J31" s="180">
        <f ca="1"/>
        <v>-2.1457478164925401E-4</v>
      </c>
      <c r="K31" s="180">
        <f ca="1"/>
        <v>6.3519903520784001E-5</v>
      </c>
      <c r="L31" s="180">
        <f ca="1"/>
        <v>-1.5423689041553501E-5</v>
      </c>
      <c r="M31" s="180">
        <f ca="1"/>
        <v>1.8039023532076501E-6</v>
      </c>
      <c r="N31" s="180">
        <f ca="1"/>
        <v>-3.1977481058584302E-7</v>
      </c>
      <c r="O31" s="180">
        <f ca="1"/>
        <v>6.33517150822049E-8</v>
      </c>
      <c r="P31" s="180">
        <f ca="1"/>
        <v>-2.0377331030885201E-8</v>
      </c>
      <c r="Q31" s="180">
        <f ca="1"/>
        <v>4.0840280601806001E-9</v>
      </c>
      <c r="R31" s="180" t="str">
        <f ca="1"/>
        <v/>
      </c>
      <c r="S31" s="180" t="str">
        <f ca="1"/>
        <v/>
      </c>
      <c r="T31" s="180" t="str">
        <f ca="1"/>
        <v/>
      </c>
      <c r="U31" s="180" t="str">
        <f ca="1"/>
        <v/>
      </c>
      <c r="V31" s="180" t="str">
        <f ca="1"/>
        <v/>
      </c>
      <c r="W31" s="180" t="str">
        <f ca="1"/>
        <v/>
      </c>
      <c r="X31" s="180" t="str">
        <f ca="1"/>
        <v/>
      </c>
      <c r="Y31" s="180" t="str">
        <f ca="1"/>
        <v/>
      </c>
      <c r="Z31" s="180" t="str">
        <f ca="1"/>
        <v/>
      </c>
      <c r="AA31" s="180" t="str">
        <f ca="1"/>
        <v/>
      </c>
      <c r="AB31" s="180" t="str">
        <f ca="1"/>
        <v/>
      </c>
      <c r="AC31" s="180" t="str">
        <f ca="1"/>
        <v/>
      </c>
      <c r="AD31" s="180" t="str">
        <f ca="1"/>
        <v/>
      </c>
      <c r="AE31" s="180" t="str">
        <f ca="1"/>
        <v/>
      </c>
      <c r="AF31" s="180" t="str">
        <f ca="1"/>
        <v/>
      </c>
      <c r="AG31" s="180" t="str">
        <f ca="1"/>
        <v/>
      </c>
      <c r="AH31" s="180" t="str">
        <f ca="1"/>
        <v/>
      </c>
      <c r="AI31" s="180" t="str">
        <f ca="1"/>
        <v/>
      </c>
      <c r="AJ31" s="180" t="str">
        <f ca="1"/>
        <v/>
      </c>
      <c r="AK31" s="180" t="str">
        <f ca="1"/>
        <v/>
      </c>
      <c r="AL31" s="180" t="str">
        <f ca="1"/>
        <v/>
      </c>
      <c r="AM31" s="180" t="str">
        <f ca="1"/>
        <v/>
      </c>
      <c r="AN31" s="180" t="str">
        <f ca="1"/>
        <v/>
      </c>
      <c r="AO31" s="180" t="str">
        <f ca="1"/>
        <v/>
      </c>
      <c r="AP31" s="180" t="str">
        <f ca="1"/>
        <v/>
      </c>
      <c r="AQ31" s="187" t="str">
        <f ca="1"/>
        <v/>
      </c>
    </row>
    <row r="32" spans="2:43" x14ac:dyDescent="0.25">
      <c r="B32" s="179">
        <f ca="1"/>
        <v>46190</v>
      </c>
      <c r="C32" s="180">
        <f ca="1"/>
        <v>1.90074078882524E-7</v>
      </c>
      <c r="D32" s="180">
        <f ca="1"/>
        <v>-1.02725014418034E-6</v>
      </c>
      <c r="E32" s="180">
        <f ca="1"/>
        <v>5.7000405388058002E-6</v>
      </c>
      <c r="F32" s="180">
        <f ca="1"/>
        <v>-2.84583363030118E-5</v>
      </c>
      <c r="G32" s="180">
        <f ca="1"/>
        <v>1.33329498822922E-4</v>
      </c>
      <c r="H32" s="180">
        <f ca="1"/>
        <v>-7.5857175679681596E-4</v>
      </c>
      <c r="I32" s="180">
        <f ca="1"/>
        <v>5.8373035080753002E-4</v>
      </c>
      <c r="J32" s="180">
        <f ca="1"/>
        <v>2.15090678271582E-4</v>
      </c>
      <c r="K32" s="180">
        <f ca="1"/>
        <v>-6.3672676963947406E-5</v>
      </c>
      <c r="L32" s="180">
        <f ca="1"/>
        <v>1.54606492294949E-5</v>
      </c>
      <c r="M32" s="180">
        <f ca="1"/>
        <v>-1.80835565057741E-6</v>
      </c>
      <c r="N32" s="180">
        <f ca="1"/>
        <v>3.20431554953066E-7</v>
      </c>
      <c r="O32" s="180">
        <f ca="1"/>
        <v>-6.3598863005859303E-8</v>
      </c>
      <c r="P32" s="180">
        <f ca="1"/>
        <v>2.0257098731074599E-8</v>
      </c>
      <c r="Q32" s="180">
        <f ca="1"/>
        <v>-4.20459295505382E-9</v>
      </c>
      <c r="R32" s="180" t="str">
        <f ca="1"/>
        <v/>
      </c>
      <c r="S32" s="180" t="str">
        <f ca="1"/>
        <v/>
      </c>
      <c r="T32" s="180" t="str">
        <f ca="1"/>
        <v/>
      </c>
      <c r="U32" s="180" t="str">
        <f ca="1"/>
        <v/>
      </c>
      <c r="V32" s="180" t="str">
        <f ca="1"/>
        <v/>
      </c>
      <c r="W32" s="180" t="str">
        <f ca="1"/>
        <v/>
      </c>
      <c r="X32" s="180" t="str">
        <f ca="1"/>
        <v/>
      </c>
      <c r="Y32" s="180" t="str">
        <f ca="1"/>
        <v/>
      </c>
      <c r="Z32" s="180" t="str">
        <f ca="1"/>
        <v/>
      </c>
      <c r="AA32" s="180" t="str">
        <f ca="1"/>
        <v/>
      </c>
      <c r="AB32" s="180" t="str">
        <f ca="1"/>
        <v/>
      </c>
      <c r="AC32" s="180" t="str">
        <f ca="1"/>
        <v/>
      </c>
      <c r="AD32" s="180" t="str">
        <f ca="1"/>
        <v/>
      </c>
      <c r="AE32" s="180" t="str">
        <f ca="1"/>
        <v/>
      </c>
      <c r="AF32" s="180" t="str">
        <f ca="1"/>
        <v/>
      </c>
      <c r="AG32" s="180" t="str">
        <f ca="1"/>
        <v/>
      </c>
      <c r="AH32" s="180" t="str">
        <f ca="1"/>
        <v/>
      </c>
      <c r="AI32" s="180" t="str">
        <f ca="1"/>
        <v/>
      </c>
      <c r="AJ32" s="180" t="str">
        <f ca="1"/>
        <v/>
      </c>
      <c r="AK32" s="180" t="str">
        <f ca="1"/>
        <v/>
      </c>
      <c r="AL32" s="180" t="str">
        <f ca="1"/>
        <v/>
      </c>
      <c r="AM32" s="180" t="str">
        <f ca="1"/>
        <v/>
      </c>
      <c r="AN32" s="180" t="str">
        <f ca="1"/>
        <v/>
      </c>
      <c r="AO32" s="180" t="str">
        <f ca="1"/>
        <v/>
      </c>
      <c r="AP32" s="180" t="str">
        <f ca="1"/>
        <v/>
      </c>
      <c r="AQ32" s="187" t="str">
        <f ca="1"/>
        <v/>
      </c>
    </row>
    <row r="33" spans="2:43" x14ac:dyDescent="0.25">
      <c r="B33" s="179">
        <f ca="1"/>
        <v>46373</v>
      </c>
      <c r="C33" s="180">
        <f ca="1"/>
        <v>5.1101785220053499E-8</v>
      </c>
      <c r="D33" s="180">
        <f ca="1"/>
        <v>-2.7560567366843901E-7</v>
      </c>
      <c r="E33" s="180">
        <f ca="1"/>
        <v>1.5299228389650799E-6</v>
      </c>
      <c r="F33" s="180">
        <f ca="1"/>
        <v>-7.6384948792494694E-6</v>
      </c>
      <c r="G33" s="180">
        <f ca="1"/>
        <v>3.5785961660359001E-5</v>
      </c>
      <c r="H33" s="180">
        <f ca="1"/>
        <v>-1.61059122250819E-4</v>
      </c>
      <c r="I33" s="180">
        <f ca="1"/>
        <v>-5.9668306165752704E-4</v>
      </c>
      <c r="J33" s="180">
        <f ca="1"/>
        <v>1.0143759680497899E-3</v>
      </c>
      <c r="K33" s="180">
        <f ca="1"/>
        <v>-2.3782539133164501E-4</v>
      </c>
      <c r="L33" s="180">
        <f ca="1"/>
        <v>5.7750856820210798E-5</v>
      </c>
      <c r="M33" s="180">
        <f ca="1"/>
        <v>-6.7544145375686401E-6</v>
      </c>
      <c r="N33" s="180">
        <f ca="1"/>
        <v>1.19714921931885E-6</v>
      </c>
      <c r="O33" s="180">
        <f ca="1"/>
        <v>-2.3727705778312001E-7</v>
      </c>
      <c r="P33" s="180">
        <f ca="1"/>
        <v>7.6070358363128405E-8</v>
      </c>
      <c r="Q33" s="180">
        <f ca="1"/>
        <v>-1.5486287415628101E-8</v>
      </c>
      <c r="R33" s="180" t="str">
        <f ca="1"/>
        <v/>
      </c>
      <c r="S33" s="180" t="str">
        <f ca="1"/>
        <v/>
      </c>
      <c r="T33" s="180" t="str">
        <f ca="1"/>
        <v/>
      </c>
      <c r="U33" s="180" t="str">
        <f ca="1"/>
        <v/>
      </c>
      <c r="V33" s="180" t="str">
        <f ca="1"/>
        <v/>
      </c>
      <c r="W33" s="180" t="str">
        <f ca="1"/>
        <v/>
      </c>
      <c r="X33" s="180" t="str">
        <f ca="1"/>
        <v/>
      </c>
      <c r="Y33" s="180" t="str">
        <f ca="1"/>
        <v/>
      </c>
      <c r="Z33" s="180" t="str">
        <f ca="1"/>
        <v/>
      </c>
      <c r="AA33" s="180" t="str">
        <f ca="1"/>
        <v/>
      </c>
      <c r="AB33" s="180" t="str">
        <f ca="1"/>
        <v/>
      </c>
      <c r="AC33" s="180" t="str">
        <f ca="1"/>
        <v/>
      </c>
      <c r="AD33" s="180" t="str">
        <f ca="1"/>
        <v/>
      </c>
      <c r="AE33" s="180" t="str">
        <f ca="1"/>
        <v/>
      </c>
      <c r="AF33" s="180" t="str">
        <f ca="1"/>
        <v/>
      </c>
      <c r="AG33" s="180" t="str">
        <f ca="1"/>
        <v/>
      </c>
      <c r="AH33" s="180" t="str">
        <f ca="1"/>
        <v/>
      </c>
      <c r="AI33" s="180" t="str">
        <f ca="1"/>
        <v/>
      </c>
      <c r="AJ33" s="180" t="str">
        <f ca="1"/>
        <v/>
      </c>
      <c r="AK33" s="180" t="str">
        <f ca="1"/>
        <v/>
      </c>
      <c r="AL33" s="180" t="str">
        <f ca="1"/>
        <v/>
      </c>
      <c r="AM33" s="180" t="str">
        <f ca="1"/>
        <v/>
      </c>
      <c r="AN33" s="180" t="str">
        <f ca="1"/>
        <v/>
      </c>
      <c r="AO33" s="180" t="str">
        <f ca="1"/>
        <v/>
      </c>
      <c r="AP33" s="180" t="str">
        <f ca="1"/>
        <v/>
      </c>
      <c r="AQ33" s="187" t="str">
        <f ca="1"/>
        <v/>
      </c>
    </row>
    <row r="34" spans="2:43" x14ac:dyDescent="0.25">
      <c r="B34" s="179">
        <f ca="1"/>
        <v>46555</v>
      </c>
      <c r="C34" s="180">
        <f ca="1"/>
        <v>-5.12822116993661E-8</v>
      </c>
      <c r="D34" s="180">
        <f ca="1"/>
        <v>2.7642878281525198E-7</v>
      </c>
      <c r="E34" s="180">
        <f ca="1"/>
        <v>-1.53425593934359E-6</v>
      </c>
      <c r="F34" s="180">
        <f ca="1"/>
        <v>7.6596816024343505E-6</v>
      </c>
      <c r="G34" s="180">
        <f ca="1"/>
        <v>-3.5885486861845401E-5</v>
      </c>
      <c r="H34" s="180">
        <f ca="1"/>
        <v>1.6150719859246701E-4</v>
      </c>
      <c r="I34" s="180">
        <f ca="1"/>
        <v>-8.9356087226712501E-4</v>
      </c>
      <c r="J34" s="180">
        <f ca="1"/>
        <v>6.7545083022670105E-4</v>
      </c>
      <c r="K34" s="180">
        <f ca="1"/>
        <v>2.3848691772928801E-4</v>
      </c>
      <c r="L34" s="180">
        <f ca="1"/>
        <v>-5.79114155113414E-5</v>
      </c>
      <c r="M34" s="180">
        <f ca="1"/>
        <v>6.7732633473524497E-6</v>
      </c>
      <c r="N34" s="180">
        <f ca="1"/>
        <v>-1.20046310902663E-6</v>
      </c>
      <c r="O34" s="180">
        <f ca="1"/>
        <v>2.3789280054198299E-7</v>
      </c>
      <c r="P34" s="180">
        <f ca="1"/>
        <v>-7.6084917602359195E-8</v>
      </c>
      <c r="Q34" s="180">
        <f ca="1"/>
        <v>1.5497747786474799E-8</v>
      </c>
      <c r="R34" s="180" t="str">
        <f ca="1"/>
        <v/>
      </c>
      <c r="S34" s="180" t="str">
        <f ca="1"/>
        <v/>
      </c>
      <c r="T34" s="180" t="str">
        <f ca="1"/>
        <v/>
      </c>
      <c r="U34" s="180" t="str">
        <f ca="1"/>
        <v/>
      </c>
      <c r="V34" s="180" t="str">
        <f ca="1"/>
        <v/>
      </c>
      <c r="W34" s="180" t="str">
        <f ca="1"/>
        <v/>
      </c>
      <c r="X34" s="180" t="str">
        <f ca="1"/>
        <v/>
      </c>
      <c r="Y34" s="180" t="str">
        <f ca="1"/>
        <v/>
      </c>
      <c r="Z34" s="180" t="str">
        <f ca="1"/>
        <v/>
      </c>
      <c r="AA34" s="180" t="str">
        <f ca="1"/>
        <v/>
      </c>
      <c r="AB34" s="180" t="str">
        <f ca="1"/>
        <v/>
      </c>
      <c r="AC34" s="180" t="str">
        <f ca="1"/>
        <v/>
      </c>
      <c r="AD34" s="180" t="str">
        <f ca="1"/>
        <v/>
      </c>
      <c r="AE34" s="180" t="str">
        <f ca="1"/>
        <v/>
      </c>
      <c r="AF34" s="180" t="str">
        <f ca="1"/>
        <v/>
      </c>
      <c r="AG34" s="180" t="str">
        <f ca="1"/>
        <v/>
      </c>
      <c r="AH34" s="180" t="str">
        <f ca="1"/>
        <v/>
      </c>
      <c r="AI34" s="180" t="str">
        <f ca="1"/>
        <v/>
      </c>
      <c r="AJ34" s="180" t="str">
        <f ca="1"/>
        <v/>
      </c>
      <c r="AK34" s="180" t="str">
        <f ca="1"/>
        <v/>
      </c>
      <c r="AL34" s="180" t="str">
        <f ca="1"/>
        <v/>
      </c>
      <c r="AM34" s="180" t="str">
        <f ca="1"/>
        <v/>
      </c>
      <c r="AN34" s="180" t="str">
        <f ca="1"/>
        <v/>
      </c>
      <c r="AO34" s="180" t="str">
        <f ca="1"/>
        <v/>
      </c>
      <c r="AP34" s="180" t="str">
        <f ca="1"/>
        <v/>
      </c>
      <c r="AQ34" s="187" t="str">
        <f ca="1"/>
        <v/>
      </c>
    </row>
    <row r="35" spans="2:43" x14ac:dyDescent="0.25">
      <c r="B35" s="179">
        <f ca="1"/>
        <v>46738</v>
      </c>
      <c r="C35" s="180">
        <f ca="1"/>
        <v>-1.41100169395725E-8</v>
      </c>
      <c r="D35" s="180">
        <f ca="1"/>
        <v>7.2905653406701907E-8</v>
      </c>
      <c r="E35" s="180">
        <f ca="1"/>
        <v>-4.0708565556338299E-7</v>
      </c>
      <c r="F35" s="180">
        <f ca="1"/>
        <v>2.0318209722272598E-6</v>
      </c>
      <c r="G35" s="180">
        <f ca="1"/>
        <v>-9.5201891948185103E-6</v>
      </c>
      <c r="H35" s="180">
        <f ca="1"/>
        <v>4.2843205293085398E-5</v>
      </c>
      <c r="I35" s="180">
        <f ca="1"/>
        <v>-1.8755720415726201E-4</v>
      </c>
      <c r="J35" s="180">
        <f ca="1"/>
        <v>-6.85062603607817E-4</v>
      </c>
      <c r="K35" s="180">
        <f ca="1"/>
        <v>1.13245665463836E-3</v>
      </c>
      <c r="L35" s="180">
        <f ca="1"/>
        <v>-2.1600073001016101E-4</v>
      </c>
      <c r="M35" s="180">
        <f ca="1"/>
        <v>2.5264065892718901E-5</v>
      </c>
      <c r="N35" s="180">
        <f ca="1"/>
        <v>-4.4778464400214999E-6</v>
      </c>
      <c r="O35" s="180">
        <f ca="1"/>
        <v>8.8728193095230501E-7</v>
      </c>
      <c r="P35" s="180">
        <f ca="1"/>
        <v>-2.84235414017842E-7</v>
      </c>
      <c r="Q35" s="180">
        <f ca="1"/>
        <v>5.7813348917218297E-8</v>
      </c>
      <c r="R35" s="180" t="str">
        <f ca="1"/>
        <v/>
      </c>
      <c r="S35" s="180" t="str">
        <f ca="1"/>
        <v/>
      </c>
      <c r="T35" s="180" t="str">
        <f ca="1"/>
        <v/>
      </c>
      <c r="U35" s="180" t="str">
        <f ca="1"/>
        <v/>
      </c>
      <c r="V35" s="180" t="str">
        <f ca="1"/>
        <v/>
      </c>
      <c r="W35" s="180" t="str">
        <f ca="1"/>
        <v/>
      </c>
      <c r="X35" s="180" t="str">
        <f ca="1"/>
        <v/>
      </c>
      <c r="Y35" s="180" t="str">
        <f ca="1"/>
        <v/>
      </c>
      <c r="Z35" s="180" t="str">
        <f ca="1"/>
        <v/>
      </c>
      <c r="AA35" s="180" t="str">
        <f ca="1"/>
        <v/>
      </c>
      <c r="AB35" s="180" t="str">
        <f ca="1"/>
        <v/>
      </c>
      <c r="AC35" s="180" t="str">
        <f ca="1"/>
        <v/>
      </c>
      <c r="AD35" s="180" t="str">
        <f ca="1"/>
        <v/>
      </c>
      <c r="AE35" s="180" t="str">
        <f ca="1"/>
        <v/>
      </c>
      <c r="AF35" s="180" t="str">
        <f ca="1"/>
        <v/>
      </c>
      <c r="AG35" s="180" t="str">
        <f ca="1"/>
        <v/>
      </c>
      <c r="AH35" s="180" t="str">
        <f ca="1"/>
        <v/>
      </c>
      <c r="AI35" s="180" t="str">
        <f ca="1"/>
        <v/>
      </c>
      <c r="AJ35" s="180" t="str">
        <f ca="1"/>
        <v/>
      </c>
      <c r="AK35" s="180" t="str">
        <f ca="1"/>
        <v/>
      </c>
      <c r="AL35" s="180" t="str">
        <f ca="1"/>
        <v/>
      </c>
      <c r="AM35" s="180" t="str">
        <f ca="1"/>
        <v/>
      </c>
      <c r="AN35" s="180" t="str">
        <f ca="1"/>
        <v/>
      </c>
      <c r="AO35" s="180" t="str">
        <f ca="1"/>
        <v/>
      </c>
      <c r="AP35" s="180" t="str">
        <f ca="1"/>
        <v/>
      </c>
      <c r="AQ35" s="187" t="str">
        <f ca="1"/>
        <v/>
      </c>
    </row>
    <row r="36" spans="2:43" x14ac:dyDescent="0.25">
      <c r="B36" s="179">
        <f ca="1"/>
        <v>46923</v>
      </c>
      <c r="C36" s="180">
        <f ca="1"/>
        <v>1.33935236651395E-8</v>
      </c>
      <c r="D36" s="180">
        <f ca="1"/>
        <v>-7.5541451566296698E-8</v>
      </c>
      <c r="E36" s="180">
        <f ca="1"/>
        <v>4.1728638205951201E-7</v>
      </c>
      <c r="F36" s="180">
        <f ca="1"/>
        <v>-2.0834061068702998E-6</v>
      </c>
      <c r="G36" s="180">
        <f ca="1"/>
        <v>9.7596209693052993E-6</v>
      </c>
      <c r="H36" s="180">
        <f ca="1"/>
        <v>-4.39240872216334E-5</v>
      </c>
      <c r="I36" s="180">
        <f ca="1"/>
        <v>1.92288078718315E-4</v>
      </c>
      <c r="J36" s="180">
        <f ca="1"/>
        <v>-1.02894756825851E-3</v>
      </c>
      <c r="K36" s="180">
        <f ca="1"/>
        <v>7.7327953642314698E-4</v>
      </c>
      <c r="L36" s="180">
        <f ca="1"/>
        <v>2.2144823699891299E-4</v>
      </c>
      <c r="M36" s="180">
        <f ca="1"/>
        <v>-2.5901976411595699E-5</v>
      </c>
      <c r="N36" s="180">
        <f ca="1"/>
        <v>4.59035426456783E-6</v>
      </c>
      <c r="O36" s="180">
        <f ca="1"/>
        <v>-9.1020787934201198E-7</v>
      </c>
      <c r="P36" s="180">
        <f ca="1"/>
        <v>2.9131867235188098E-7</v>
      </c>
      <c r="Q36" s="180">
        <f ca="1"/>
        <v>-5.9294265237347403E-8</v>
      </c>
      <c r="R36" s="180" t="str">
        <f ca="1"/>
        <v/>
      </c>
      <c r="S36" s="180" t="str">
        <f ca="1"/>
        <v/>
      </c>
      <c r="T36" s="180" t="str">
        <f ca="1"/>
        <v/>
      </c>
      <c r="U36" s="180" t="str">
        <f ca="1"/>
        <v/>
      </c>
      <c r="V36" s="180" t="str">
        <f ca="1"/>
        <v/>
      </c>
      <c r="W36" s="180" t="str">
        <f ca="1"/>
        <v/>
      </c>
      <c r="X36" s="180" t="str">
        <f ca="1"/>
        <v/>
      </c>
      <c r="Y36" s="180" t="str">
        <f ca="1"/>
        <v/>
      </c>
      <c r="Z36" s="180" t="str">
        <f ca="1"/>
        <v/>
      </c>
      <c r="AA36" s="180" t="str">
        <f ca="1"/>
        <v/>
      </c>
      <c r="AB36" s="180" t="str">
        <f ca="1"/>
        <v/>
      </c>
      <c r="AC36" s="180" t="str">
        <f ca="1"/>
        <v/>
      </c>
      <c r="AD36" s="180" t="str">
        <f ca="1"/>
        <v/>
      </c>
      <c r="AE36" s="180" t="str">
        <f ca="1"/>
        <v/>
      </c>
      <c r="AF36" s="180" t="str">
        <f ca="1"/>
        <v/>
      </c>
      <c r="AG36" s="180" t="str">
        <f ca="1"/>
        <v/>
      </c>
      <c r="AH36" s="180" t="str">
        <f ca="1"/>
        <v/>
      </c>
      <c r="AI36" s="180" t="str">
        <f ca="1"/>
        <v/>
      </c>
      <c r="AJ36" s="180" t="str">
        <f ca="1"/>
        <v/>
      </c>
      <c r="AK36" s="180" t="str">
        <f ca="1"/>
        <v/>
      </c>
      <c r="AL36" s="180" t="str">
        <f ca="1"/>
        <v/>
      </c>
      <c r="AM36" s="180" t="str">
        <f ca="1"/>
        <v/>
      </c>
      <c r="AN36" s="180" t="str">
        <f ca="1"/>
        <v/>
      </c>
      <c r="AO36" s="180" t="str">
        <f ca="1"/>
        <v/>
      </c>
      <c r="AP36" s="180" t="str">
        <f ca="1"/>
        <v/>
      </c>
      <c r="AQ36" s="187" t="str">
        <f ca="1"/>
        <v/>
      </c>
    </row>
    <row r="37" spans="2:43" x14ac:dyDescent="0.25">
      <c r="B37" s="179">
        <f ca="1"/>
        <v>47105</v>
      </c>
      <c r="C37" s="180">
        <f ca="1"/>
        <v>3.92861259843058E-9</v>
      </c>
      <c r="D37" s="180">
        <f ca="1"/>
        <v>-2.1453340642158001E-8</v>
      </c>
      <c r="E37" s="180">
        <f ca="1"/>
        <v>1.20397759453134E-7</v>
      </c>
      <c r="F37" s="180">
        <f ca="1"/>
        <v>-5.9991789426450104E-7</v>
      </c>
      <c r="G37" s="180">
        <f ca="1"/>
        <v>2.8104124895414498E-6</v>
      </c>
      <c r="H37" s="180">
        <f ca="1"/>
        <v>-1.2646124746506399E-5</v>
      </c>
      <c r="I37" s="180">
        <f ca="1"/>
        <v>5.53608852198045E-5</v>
      </c>
      <c r="J37" s="180">
        <f ca="1"/>
        <v>-2.3625875043551501E-4</v>
      </c>
      <c r="K37" s="180">
        <f ca="1"/>
        <v>-7.04919137612607E-4</v>
      </c>
      <c r="L37" s="180">
        <f ca="1"/>
        <v>1.0762875911219799E-3</v>
      </c>
      <c r="M37" s="180">
        <f ca="1"/>
        <v>-9.4284821620875496E-5</v>
      </c>
      <c r="N37" s="180">
        <f ca="1"/>
        <v>1.6710528681233799E-5</v>
      </c>
      <c r="O37" s="180">
        <f ca="1"/>
        <v>-3.3122637362569002E-6</v>
      </c>
      <c r="P37" s="180">
        <f ca="1"/>
        <v>1.06067624178197E-6</v>
      </c>
      <c r="Q37" s="180">
        <f ca="1"/>
        <v>-2.15748959357664E-7</v>
      </c>
      <c r="R37" s="180" t="str">
        <f ca="1"/>
        <v/>
      </c>
      <c r="S37" s="180" t="str">
        <f ca="1"/>
        <v/>
      </c>
      <c r="T37" s="180" t="str">
        <f ca="1"/>
        <v/>
      </c>
      <c r="U37" s="180" t="str">
        <f ca="1"/>
        <v/>
      </c>
      <c r="V37" s="180" t="str">
        <f ca="1"/>
        <v/>
      </c>
      <c r="W37" s="180" t="str">
        <f ca="1"/>
        <v/>
      </c>
      <c r="X37" s="180" t="str">
        <f ca="1"/>
        <v/>
      </c>
      <c r="Y37" s="180" t="str">
        <f ca="1"/>
        <v/>
      </c>
      <c r="Z37" s="180" t="str">
        <f ca="1"/>
        <v/>
      </c>
      <c r="AA37" s="180" t="str">
        <f ca="1"/>
        <v/>
      </c>
      <c r="AB37" s="180" t="str">
        <f ca="1"/>
        <v/>
      </c>
      <c r="AC37" s="180" t="str">
        <f ca="1"/>
        <v/>
      </c>
      <c r="AD37" s="180" t="str">
        <f ca="1"/>
        <v/>
      </c>
      <c r="AE37" s="180" t="str">
        <f ca="1"/>
        <v/>
      </c>
      <c r="AF37" s="180" t="str">
        <f ca="1"/>
        <v/>
      </c>
      <c r="AG37" s="180" t="str">
        <f ca="1"/>
        <v/>
      </c>
      <c r="AH37" s="180" t="str">
        <f ca="1"/>
        <v/>
      </c>
      <c r="AI37" s="180" t="str">
        <f ca="1"/>
        <v/>
      </c>
      <c r="AJ37" s="180" t="str">
        <f ca="1"/>
        <v/>
      </c>
      <c r="AK37" s="180" t="str">
        <f ca="1"/>
        <v/>
      </c>
      <c r="AL37" s="180" t="str">
        <f ca="1"/>
        <v/>
      </c>
      <c r="AM37" s="180" t="str">
        <f ca="1"/>
        <v/>
      </c>
      <c r="AN37" s="180" t="str">
        <f ca="1"/>
        <v/>
      </c>
      <c r="AO37" s="180" t="str">
        <f ca="1"/>
        <v/>
      </c>
      <c r="AP37" s="180" t="str">
        <f ca="1"/>
        <v/>
      </c>
      <c r="AQ37" s="187" t="str">
        <f ca="1"/>
        <v/>
      </c>
    </row>
    <row r="38" spans="2:43" x14ac:dyDescent="0.25">
      <c r="B38" s="179">
        <f ca="1"/>
        <v>47106</v>
      </c>
      <c r="C38" s="180">
        <f ca="1"/>
        <v>3.8550766953693297E-9</v>
      </c>
      <c r="D38" s="180">
        <f ca="1"/>
        <v>-2.1040820953610602E-8</v>
      </c>
      <c r="E38" s="180">
        <f ca="1"/>
        <v>1.18124309014811E-7</v>
      </c>
      <c r="F38" s="180">
        <f ca="1"/>
        <v>-5.8856209664281998E-7</v>
      </c>
      <c r="G38" s="180">
        <f ca="1"/>
        <v>2.7572154410147901E-6</v>
      </c>
      <c r="H38" s="180">
        <f ca="1"/>
        <v>-1.24066972440676E-5</v>
      </c>
      <c r="I38" s="180">
        <f ca="1"/>
        <v>5.43127461664523E-5</v>
      </c>
      <c r="J38" s="180">
        <f ca="1"/>
        <v>-2.3178642383810501E-4</v>
      </c>
      <c r="K38" s="180">
        <f ca="1"/>
        <v>-7.1189680650276404E-4</v>
      </c>
      <c r="L38" s="180">
        <f ca="1"/>
        <v>1.0795257647711999E-3</v>
      </c>
      <c r="M38" s="180">
        <f ca="1"/>
        <v>-9.4140104493361395E-5</v>
      </c>
      <c r="N38" s="180">
        <f ca="1"/>
        <v>1.6684882148426699E-5</v>
      </c>
      <c r="O38" s="180">
        <f ca="1"/>
        <v>-3.30717669294253E-6</v>
      </c>
      <c r="P38" s="180">
        <f ca="1"/>
        <v>1.0590484080877399E-6</v>
      </c>
      <c r="Q38" s="180">
        <f ca="1"/>
        <v>-2.1541681888975801E-7</v>
      </c>
      <c r="R38" s="180" t="str">
        <f ca="1"/>
        <v/>
      </c>
      <c r="S38" s="180" t="str">
        <f ca="1"/>
        <v/>
      </c>
      <c r="T38" s="180" t="str">
        <f ca="1"/>
        <v/>
      </c>
      <c r="U38" s="180" t="str">
        <f ca="1"/>
        <v/>
      </c>
      <c r="V38" s="180" t="str">
        <f ca="1"/>
        <v/>
      </c>
      <c r="W38" s="180" t="str">
        <f ca="1"/>
        <v/>
      </c>
      <c r="X38" s="180" t="str">
        <f ca="1"/>
        <v/>
      </c>
      <c r="Y38" s="180" t="str">
        <f ca="1"/>
        <v/>
      </c>
      <c r="Z38" s="180" t="str">
        <f ca="1"/>
        <v/>
      </c>
      <c r="AA38" s="180" t="str">
        <f ca="1"/>
        <v/>
      </c>
      <c r="AB38" s="180" t="str">
        <f ca="1"/>
        <v/>
      </c>
      <c r="AC38" s="180" t="str">
        <f ca="1"/>
        <v/>
      </c>
      <c r="AD38" s="180" t="str">
        <f ca="1"/>
        <v/>
      </c>
      <c r="AE38" s="180" t="str">
        <f ca="1"/>
        <v/>
      </c>
      <c r="AF38" s="180" t="str">
        <f ca="1"/>
        <v/>
      </c>
      <c r="AG38" s="180" t="str">
        <f ca="1"/>
        <v/>
      </c>
      <c r="AH38" s="180" t="str">
        <f ca="1"/>
        <v/>
      </c>
      <c r="AI38" s="180" t="str">
        <f ca="1"/>
        <v/>
      </c>
      <c r="AJ38" s="180" t="str">
        <f ca="1"/>
        <v/>
      </c>
      <c r="AK38" s="180" t="str">
        <f ca="1"/>
        <v/>
      </c>
      <c r="AL38" s="180" t="str">
        <f ca="1"/>
        <v/>
      </c>
      <c r="AM38" s="180" t="str">
        <f ca="1"/>
        <v/>
      </c>
      <c r="AN38" s="180" t="str">
        <f ca="1"/>
        <v/>
      </c>
      <c r="AO38" s="180" t="str">
        <f ca="1"/>
        <v/>
      </c>
      <c r="AP38" s="180" t="str">
        <f ca="1"/>
        <v/>
      </c>
      <c r="AQ38" s="187" t="str">
        <f ca="1"/>
        <v/>
      </c>
    </row>
    <row r="39" spans="2:43" x14ac:dyDescent="0.25">
      <c r="B39" s="179">
        <f ca="1"/>
        <v>47287</v>
      </c>
      <c r="C39" s="180">
        <f ca="1"/>
        <v>-3.87836036203071E-9</v>
      </c>
      <c r="D39" s="180">
        <f ca="1"/>
        <v>2.22657800391657E-8</v>
      </c>
      <c r="E39" s="180">
        <f ca="1"/>
        <v>-1.2089286205788099E-7</v>
      </c>
      <c r="F39" s="180">
        <f ca="1"/>
        <v>6.0504881455036905E-7</v>
      </c>
      <c r="G39" s="180">
        <f ca="1"/>
        <v>-2.8343769403645102E-6</v>
      </c>
      <c r="H39" s="180">
        <f ca="1"/>
        <v>1.27594410337939E-5</v>
      </c>
      <c r="I39" s="180">
        <f ca="1"/>
        <v>-5.5852766407040601E-5</v>
      </c>
      <c r="J39" s="180">
        <f ca="1"/>
        <v>2.3836163461338599E-4</v>
      </c>
      <c r="K39" s="180">
        <f ca="1"/>
        <v>-1.25741335599902E-3</v>
      </c>
      <c r="L39" s="180">
        <f ca="1"/>
        <v>1.0841314937755501E-3</v>
      </c>
      <c r="M39" s="180">
        <f ca="1"/>
        <v>9.5124035070698305E-5</v>
      </c>
      <c r="N39" s="180">
        <f ca="1"/>
        <v>-1.68588843471248E-5</v>
      </c>
      <c r="O39" s="180">
        <f ca="1"/>
        <v>3.34270523304897E-6</v>
      </c>
      <c r="P39" s="180">
        <f ca="1"/>
        <v>-1.07017991888766E-6</v>
      </c>
      <c r="Q39" s="180">
        <f ca="1"/>
        <v>2.1809150638554801E-7</v>
      </c>
      <c r="R39" s="180" t="str">
        <f ca="1"/>
        <v/>
      </c>
      <c r="S39" s="180" t="str">
        <f ca="1"/>
        <v/>
      </c>
      <c r="T39" s="180" t="str">
        <f ca="1"/>
        <v/>
      </c>
      <c r="U39" s="180" t="str">
        <f ca="1"/>
        <v/>
      </c>
      <c r="V39" s="180" t="str">
        <f ca="1"/>
        <v/>
      </c>
      <c r="W39" s="180" t="str">
        <f ca="1"/>
        <v/>
      </c>
      <c r="X39" s="180" t="str">
        <f ca="1"/>
        <v/>
      </c>
      <c r="Y39" s="180" t="str">
        <f ca="1"/>
        <v/>
      </c>
      <c r="Z39" s="180" t="str">
        <f ca="1"/>
        <v/>
      </c>
      <c r="AA39" s="180" t="str">
        <f ca="1"/>
        <v/>
      </c>
      <c r="AB39" s="180" t="str">
        <f ca="1"/>
        <v/>
      </c>
      <c r="AC39" s="180" t="str">
        <f ca="1"/>
        <v/>
      </c>
      <c r="AD39" s="180" t="str">
        <f ca="1"/>
        <v/>
      </c>
      <c r="AE39" s="180" t="str">
        <f ca="1"/>
        <v/>
      </c>
      <c r="AF39" s="180" t="str">
        <f ca="1"/>
        <v/>
      </c>
      <c r="AG39" s="180" t="str">
        <f ca="1"/>
        <v/>
      </c>
      <c r="AH39" s="180" t="str">
        <f ca="1"/>
        <v/>
      </c>
      <c r="AI39" s="180" t="str">
        <f ca="1"/>
        <v/>
      </c>
      <c r="AJ39" s="180" t="str">
        <f ca="1"/>
        <v/>
      </c>
      <c r="AK39" s="180" t="str">
        <f ca="1"/>
        <v/>
      </c>
      <c r="AL39" s="180" t="str">
        <f ca="1"/>
        <v/>
      </c>
      <c r="AM39" s="180" t="str">
        <f ca="1"/>
        <v/>
      </c>
      <c r="AN39" s="180" t="str">
        <f ca="1"/>
        <v/>
      </c>
      <c r="AO39" s="180" t="str">
        <f ca="1"/>
        <v/>
      </c>
      <c r="AP39" s="180" t="str">
        <f ca="1"/>
        <v/>
      </c>
      <c r="AQ39" s="187" t="str">
        <f ca="1"/>
        <v/>
      </c>
    </row>
    <row r="40" spans="2:43" x14ac:dyDescent="0.25">
      <c r="B40" s="179">
        <f ca="1"/>
        <v>47469</v>
      </c>
      <c r="C40" s="180">
        <f ca="1"/>
        <v>-2.5043229018306698E-9</v>
      </c>
      <c r="D40" s="180">
        <f ca="1"/>
        <v>1.4366014752798E-8</v>
      </c>
      <c r="E40" s="180">
        <f ca="1"/>
        <v>-7.8234379852909499E-8</v>
      </c>
      <c r="F40" s="180">
        <f ca="1"/>
        <v>3.9129411842642202E-7</v>
      </c>
      <c r="G40" s="180">
        <f ca="1"/>
        <v>-1.83314033622844E-6</v>
      </c>
      <c r="H40" s="180">
        <f ca="1"/>
        <v>8.2517123217891503E-6</v>
      </c>
      <c r="I40" s="180">
        <f ca="1"/>
        <v>-3.6121281872393599E-5</v>
      </c>
      <c r="J40" s="180">
        <f ca="1"/>
        <v>1.5415066443972799E-4</v>
      </c>
      <c r="K40" s="180">
        <f ca="1"/>
        <v>-6.5613856745443502E-4</v>
      </c>
      <c r="L40" s="180">
        <f ca="1"/>
        <v>1.9058752013458E-4</v>
      </c>
      <c r="M40" s="180">
        <f ca="1"/>
        <v>5.1192524771347505E-4</v>
      </c>
      <c r="N40" s="180">
        <f ca="1"/>
        <v>-8.3456111373701001E-5</v>
      </c>
      <c r="O40" s="180">
        <f ca="1"/>
        <v>1.6544927035434799E-5</v>
      </c>
      <c r="P40" s="180">
        <f ca="1"/>
        <v>-5.2976335959790997E-6</v>
      </c>
      <c r="Q40" s="180">
        <f ca="1"/>
        <v>1.0786019725740599E-6</v>
      </c>
      <c r="R40" s="180" t="str">
        <f ca="1"/>
        <v/>
      </c>
      <c r="S40" s="180" t="str">
        <f ca="1"/>
        <v/>
      </c>
      <c r="T40" s="180" t="str">
        <f ca="1"/>
        <v/>
      </c>
      <c r="U40" s="180" t="str">
        <f ca="1"/>
        <v/>
      </c>
      <c r="V40" s="180" t="str">
        <f ca="1"/>
        <v/>
      </c>
      <c r="W40" s="180" t="str">
        <f ca="1"/>
        <v/>
      </c>
      <c r="X40" s="180" t="str">
        <f ca="1"/>
        <v/>
      </c>
      <c r="Y40" s="180" t="str">
        <f ca="1"/>
        <v/>
      </c>
      <c r="Z40" s="180" t="str">
        <f ca="1"/>
        <v/>
      </c>
      <c r="AA40" s="180" t="str">
        <f ca="1"/>
        <v/>
      </c>
      <c r="AB40" s="180" t="str">
        <f ca="1"/>
        <v/>
      </c>
      <c r="AC40" s="180" t="str">
        <f ca="1"/>
        <v/>
      </c>
      <c r="AD40" s="180" t="str">
        <f ca="1"/>
        <v/>
      </c>
      <c r="AE40" s="180" t="str">
        <f ca="1"/>
        <v/>
      </c>
      <c r="AF40" s="180" t="str">
        <f ca="1"/>
        <v/>
      </c>
      <c r="AG40" s="180" t="str">
        <f ca="1"/>
        <v/>
      </c>
      <c r="AH40" s="180" t="str">
        <f ca="1"/>
        <v/>
      </c>
      <c r="AI40" s="180" t="str">
        <f ca="1"/>
        <v/>
      </c>
      <c r="AJ40" s="180" t="str">
        <f ca="1"/>
        <v/>
      </c>
      <c r="AK40" s="180" t="str">
        <f ca="1"/>
        <v/>
      </c>
      <c r="AL40" s="180" t="str">
        <f ca="1"/>
        <v/>
      </c>
      <c r="AM40" s="180" t="str">
        <f ca="1"/>
        <v/>
      </c>
      <c r="AN40" s="180" t="str">
        <f ca="1"/>
        <v/>
      </c>
      <c r="AO40" s="180" t="str">
        <f ca="1"/>
        <v/>
      </c>
      <c r="AP40" s="180" t="str">
        <f ca="1"/>
        <v/>
      </c>
      <c r="AQ40" s="187" t="str">
        <f ca="1"/>
        <v/>
      </c>
    </row>
    <row r="41" spans="2:43" x14ac:dyDescent="0.25">
      <c r="B41" s="179">
        <f ca="1"/>
        <v>47470</v>
      </c>
      <c r="C41" s="180">
        <f ca="1"/>
        <v>-2.48841343017392E-9</v>
      </c>
      <c r="D41" s="180">
        <f ca="1"/>
        <v>1.4275677345104699E-8</v>
      </c>
      <c r="E41" s="180">
        <f ca="1"/>
        <v>-7.7741468207381801E-8</v>
      </c>
      <c r="F41" s="180">
        <f ca="1"/>
        <v>3.8882828912872901E-7</v>
      </c>
      <c r="G41" s="180">
        <f ca="1"/>
        <v>-1.8215895372306099E-6</v>
      </c>
      <c r="H41" s="180">
        <f ca="1"/>
        <v>8.1997168602278292E-6</v>
      </c>
      <c r="I41" s="180">
        <f ca="1"/>
        <v>-3.5893679226212103E-5</v>
      </c>
      <c r="J41" s="180">
        <f ca="1"/>
        <v>1.531792810168E-4</v>
      </c>
      <c r="K41" s="180">
        <f ca="1"/>
        <v>-6.5200515131276905E-4</v>
      </c>
      <c r="L41" s="180">
        <f ca="1"/>
        <v>1.8532821629950799E-4</v>
      </c>
      <c r="M41" s="180">
        <f ca="1"/>
        <v>5.1405588086294804E-4</v>
      </c>
      <c r="N41" s="180">
        <f ca="1"/>
        <v>-8.3713272485005902E-5</v>
      </c>
      <c r="O41" s="180">
        <f ca="1"/>
        <v>1.6595905338770399E-5</v>
      </c>
      <c r="P41" s="180">
        <f ca="1"/>
        <v>-5.31395749688718E-6</v>
      </c>
      <c r="Q41" s="180">
        <f ca="1"/>
        <v>1.08192440149979E-6</v>
      </c>
      <c r="R41" s="180" t="str">
        <f ca="1"/>
        <v/>
      </c>
      <c r="S41" s="180" t="str">
        <f ca="1"/>
        <v/>
      </c>
      <c r="T41" s="180" t="str">
        <f ca="1"/>
        <v/>
      </c>
      <c r="U41" s="180" t="str">
        <f ca="1"/>
        <v/>
      </c>
      <c r="V41" s="180" t="str">
        <f ca="1"/>
        <v/>
      </c>
      <c r="W41" s="180" t="str">
        <f ca="1"/>
        <v/>
      </c>
      <c r="X41" s="180" t="str">
        <f ca="1"/>
        <v/>
      </c>
      <c r="Y41" s="180" t="str">
        <f ca="1"/>
        <v/>
      </c>
      <c r="Z41" s="180" t="str">
        <f ca="1"/>
        <v/>
      </c>
      <c r="AA41" s="180" t="str">
        <f ca="1"/>
        <v/>
      </c>
      <c r="AB41" s="180" t="str">
        <f ca="1"/>
        <v/>
      </c>
      <c r="AC41" s="180" t="str">
        <f ca="1"/>
        <v/>
      </c>
      <c r="AD41" s="180" t="str">
        <f ca="1"/>
        <v/>
      </c>
      <c r="AE41" s="180" t="str">
        <f ca="1"/>
        <v/>
      </c>
      <c r="AF41" s="180" t="str">
        <f ca="1"/>
        <v/>
      </c>
      <c r="AG41" s="180" t="str">
        <f ca="1"/>
        <v/>
      </c>
      <c r="AH41" s="180" t="str">
        <f ca="1"/>
        <v/>
      </c>
      <c r="AI41" s="180" t="str">
        <f ca="1"/>
        <v/>
      </c>
      <c r="AJ41" s="180" t="str">
        <f ca="1"/>
        <v/>
      </c>
      <c r="AK41" s="180" t="str">
        <f ca="1"/>
        <v/>
      </c>
      <c r="AL41" s="180" t="str">
        <f ca="1"/>
        <v/>
      </c>
      <c r="AM41" s="180" t="str">
        <f ca="1"/>
        <v/>
      </c>
      <c r="AN41" s="180" t="str">
        <f ca="1"/>
        <v/>
      </c>
      <c r="AO41" s="180" t="str">
        <f ca="1"/>
        <v/>
      </c>
      <c r="AP41" s="180" t="str">
        <f ca="1"/>
        <v/>
      </c>
      <c r="AQ41" s="187" t="str">
        <f ca="1"/>
        <v/>
      </c>
    </row>
    <row r="42" spans="2:43" x14ac:dyDescent="0.25">
      <c r="B42" s="179">
        <f ca="1"/>
        <v>47651</v>
      </c>
      <c r="C42" s="180">
        <f ca="1"/>
        <v>-1.1891165829780399E-10</v>
      </c>
      <c r="D42" s="180">
        <f ca="1"/>
        <v>8.1624979691996599E-10</v>
      </c>
      <c r="E42" s="180">
        <f ca="1"/>
        <v>-4.3204377783712103E-9</v>
      </c>
      <c r="F42" s="180">
        <f ca="1"/>
        <v>2.15384265596363E-8</v>
      </c>
      <c r="G42" s="180">
        <f ca="1"/>
        <v>-1.01047698736201E-7</v>
      </c>
      <c r="H42" s="180">
        <f ca="1"/>
        <v>4.5481990239293298E-7</v>
      </c>
      <c r="I42" s="180">
        <f ca="1"/>
        <v>-1.9911101934444499E-6</v>
      </c>
      <c r="J42" s="180">
        <f ca="1"/>
        <v>8.4937723853206697E-6</v>
      </c>
      <c r="K42" s="180">
        <f ca="1"/>
        <v>-3.6216007902330198E-5</v>
      </c>
      <c r="L42" s="180">
        <f ca="1"/>
        <v>-5.7193314802828099E-4</v>
      </c>
      <c r="M42" s="180">
        <f ca="1"/>
        <v>7.7501692264011698E-4</v>
      </c>
      <c r="N42" s="180">
        <f ca="1"/>
        <v>-8.6298925318650105E-5</v>
      </c>
      <c r="O42" s="180">
        <f ca="1"/>
        <v>1.7107980742659499E-5</v>
      </c>
      <c r="P42" s="180">
        <f ca="1"/>
        <v>-5.47804028150356E-6</v>
      </c>
      <c r="Q42" s="180">
        <f ca="1"/>
        <v>1.1151865061988199E-6</v>
      </c>
      <c r="R42" s="180" t="str">
        <f ca="1"/>
        <v/>
      </c>
      <c r="S42" s="180" t="str">
        <f ca="1"/>
        <v/>
      </c>
      <c r="T42" s="180" t="str">
        <f ca="1"/>
        <v/>
      </c>
      <c r="U42" s="180" t="str">
        <f ca="1"/>
        <v/>
      </c>
      <c r="V42" s="180" t="str">
        <f ca="1"/>
        <v/>
      </c>
      <c r="W42" s="180" t="str">
        <f ca="1"/>
        <v/>
      </c>
      <c r="X42" s="180" t="str">
        <f ca="1"/>
        <v/>
      </c>
      <c r="Y42" s="180" t="str">
        <f ca="1"/>
        <v/>
      </c>
      <c r="Z42" s="180" t="str">
        <f ca="1"/>
        <v/>
      </c>
      <c r="AA42" s="180" t="str">
        <f ca="1"/>
        <v/>
      </c>
      <c r="AB42" s="180" t="str">
        <f ca="1"/>
        <v/>
      </c>
      <c r="AC42" s="180" t="str">
        <f ca="1"/>
        <v/>
      </c>
      <c r="AD42" s="180" t="str">
        <f ca="1"/>
        <v/>
      </c>
      <c r="AE42" s="180" t="str">
        <f ca="1"/>
        <v/>
      </c>
      <c r="AF42" s="180" t="str">
        <f ca="1"/>
        <v/>
      </c>
      <c r="AG42" s="180" t="str">
        <f ca="1"/>
        <v/>
      </c>
      <c r="AH42" s="180" t="str">
        <f ca="1"/>
        <v/>
      </c>
      <c r="AI42" s="180" t="str">
        <f ca="1"/>
        <v/>
      </c>
      <c r="AJ42" s="180" t="str">
        <f ca="1"/>
        <v/>
      </c>
      <c r="AK42" s="180" t="str">
        <f ca="1"/>
        <v/>
      </c>
      <c r="AL42" s="180" t="str">
        <f ca="1"/>
        <v/>
      </c>
      <c r="AM42" s="180" t="str">
        <f ca="1"/>
        <v/>
      </c>
      <c r="AN42" s="180" t="str">
        <f ca="1"/>
        <v/>
      </c>
      <c r="AO42" s="180" t="str">
        <f ca="1"/>
        <v/>
      </c>
      <c r="AP42" s="180" t="str">
        <f ca="1"/>
        <v/>
      </c>
      <c r="AQ42" s="187" t="str">
        <f ca="1"/>
        <v/>
      </c>
    </row>
    <row r="43" spans="2:43" x14ac:dyDescent="0.25">
      <c r="B43" s="179">
        <f ca="1"/>
        <v>47834</v>
      </c>
      <c r="C43" s="180">
        <f ca="1"/>
        <v>1.22607726055213E-9</v>
      </c>
      <c r="D43" s="180">
        <f ca="1"/>
        <v>-6.8371519452992102E-9</v>
      </c>
      <c r="E43" s="180">
        <f ca="1"/>
        <v>3.73841801473707E-8</v>
      </c>
      <c r="F43" s="180">
        <f ca="1"/>
        <v>-1.8707728816763599E-7</v>
      </c>
      <c r="G43" s="180">
        <f ca="1"/>
        <v>8.7626621607037005E-7</v>
      </c>
      <c r="H43" s="180">
        <f ca="1"/>
        <v>-3.9443898889948703E-6</v>
      </c>
      <c r="I43" s="180">
        <f ca="1"/>
        <v>1.7266393923860701E-5</v>
      </c>
      <c r="J43" s="180">
        <f ca="1"/>
        <v>-7.3685141034500495E-5</v>
      </c>
      <c r="K43" s="180">
        <f ca="1"/>
        <v>3.1365151383474003E-4</v>
      </c>
      <c r="L43" s="180">
        <f ca="1"/>
        <v>-9.3846543497322398E-4</v>
      </c>
      <c r="M43" s="180">
        <f ca="1"/>
        <v>7.85395818182696E-4</v>
      </c>
      <c r="N43" s="180">
        <f ca="1"/>
        <v>-6.0185484332397898E-7</v>
      </c>
      <c r="O43" s="180">
        <f ca="1"/>
        <v>1.1840018547884499E-7</v>
      </c>
      <c r="P43" s="180">
        <f ca="1"/>
        <v>-3.8063292736450998E-8</v>
      </c>
      <c r="Q43" s="180">
        <f ca="1"/>
        <v>7.5782742720020802E-9</v>
      </c>
      <c r="R43" s="180" t="str">
        <f ca="1"/>
        <v/>
      </c>
      <c r="S43" s="180" t="str">
        <f ca="1"/>
        <v/>
      </c>
      <c r="T43" s="180" t="str">
        <f ca="1"/>
        <v/>
      </c>
      <c r="U43" s="180" t="str">
        <f ca="1"/>
        <v/>
      </c>
      <c r="V43" s="180" t="str">
        <f ca="1"/>
        <v/>
      </c>
      <c r="W43" s="180" t="str">
        <f ca="1"/>
        <v/>
      </c>
      <c r="X43" s="180" t="str">
        <f ca="1"/>
        <v/>
      </c>
      <c r="Y43" s="180" t="str">
        <f ca="1"/>
        <v/>
      </c>
      <c r="Z43" s="180" t="str">
        <f ca="1"/>
        <v/>
      </c>
      <c r="AA43" s="180" t="str">
        <f ca="1"/>
        <v/>
      </c>
      <c r="AB43" s="180" t="str">
        <f ca="1"/>
        <v/>
      </c>
      <c r="AC43" s="180" t="str">
        <f ca="1"/>
        <v/>
      </c>
      <c r="AD43" s="180" t="str">
        <f ca="1"/>
        <v/>
      </c>
      <c r="AE43" s="180" t="str">
        <f ca="1"/>
        <v/>
      </c>
      <c r="AF43" s="180" t="str">
        <f ca="1"/>
        <v/>
      </c>
      <c r="AG43" s="180" t="str">
        <f ca="1"/>
        <v/>
      </c>
      <c r="AH43" s="180" t="str">
        <f ca="1"/>
        <v/>
      </c>
      <c r="AI43" s="180" t="str">
        <f ca="1"/>
        <v/>
      </c>
      <c r="AJ43" s="180" t="str">
        <f ca="1"/>
        <v/>
      </c>
      <c r="AK43" s="180" t="str">
        <f ca="1"/>
        <v/>
      </c>
      <c r="AL43" s="180" t="str">
        <f ca="1"/>
        <v/>
      </c>
      <c r="AM43" s="180" t="str">
        <f ca="1"/>
        <v/>
      </c>
      <c r="AN43" s="180" t="str">
        <f ca="1"/>
        <v/>
      </c>
      <c r="AO43" s="180" t="str">
        <f ca="1"/>
        <v/>
      </c>
      <c r="AP43" s="180" t="str">
        <f ca="1"/>
        <v/>
      </c>
      <c r="AQ43" s="187" t="str">
        <f ca="1"/>
        <v/>
      </c>
    </row>
    <row r="44" spans="2:43" x14ac:dyDescent="0.25">
      <c r="B44" s="179">
        <f ca="1"/>
        <v>48016</v>
      </c>
      <c r="C44" s="180">
        <f ca="1"/>
        <v>1.52860631097429E-9</v>
      </c>
      <c r="D44" s="180">
        <f ca="1"/>
        <v>-8.58260522720866E-9</v>
      </c>
      <c r="E44" s="180">
        <f ca="1"/>
        <v>4.6816213856992697E-8</v>
      </c>
      <c r="F44" s="180">
        <f ca="1"/>
        <v>-2.34236611745819E-7</v>
      </c>
      <c r="G44" s="180">
        <f ca="1"/>
        <v>1.0973179628316599E-6</v>
      </c>
      <c r="H44" s="180">
        <f ca="1"/>
        <v>-4.9392666647447796E-6</v>
      </c>
      <c r="I44" s="180">
        <f ca="1"/>
        <v>2.1621591185873999E-5</v>
      </c>
      <c r="J44" s="180">
        <f ca="1"/>
        <v>-9.2269245354159604E-5</v>
      </c>
      <c r="K44" s="180">
        <f ca="1"/>
        <v>3.9279163153306198E-4</v>
      </c>
      <c r="L44" s="180">
        <f ca="1"/>
        <v>-9.0858238383704701E-4</v>
      </c>
      <c r="M44" s="180">
        <f ca="1"/>
        <v>5.4272893202234399E-4</v>
      </c>
      <c r="N44" s="180">
        <f ca="1"/>
        <v>1.7381362656924599E-4</v>
      </c>
      <c r="O44" s="180">
        <f ca="1"/>
        <v>-3.4456480883817599E-5</v>
      </c>
      <c r="P44" s="180">
        <f ca="1"/>
        <v>1.10329477872838E-5</v>
      </c>
      <c r="Q44" s="180">
        <f ca="1"/>
        <v>-2.24637961347349E-6</v>
      </c>
      <c r="R44" s="180" t="str">
        <f ca="1"/>
        <v/>
      </c>
      <c r="S44" s="180" t="str">
        <f ca="1"/>
        <v/>
      </c>
      <c r="T44" s="180" t="str">
        <f ca="1"/>
        <v/>
      </c>
      <c r="U44" s="180" t="str">
        <f ca="1"/>
        <v/>
      </c>
      <c r="V44" s="180" t="str">
        <f ca="1"/>
        <v/>
      </c>
      <c r="W44" s="180" t="str">
        <f ca="1"/>
        <v/>
      </c>
      <c r="X44" s="180" t="str">
        <f ca="1"/>
        <v/>
      </c>
      <c r="Y44" s="180" t="str">
        <f ca="1"/>
        <v/>
      </c>
      <c r="Z44" s="180" t="str">
        <f ca="1"/>
        <v/>
      </c>
      <c r="AA44" s="180" t="str">
        <f ca="1"/>
        <v/>
      </c>
      <c r="AB44" s="180" t="str">
        <f ca="1"/>
        <v/>
      </c>
      <c r="AC44" s="180" t="str">
        <f ca="1"/>
        <v/>
      </c>
      <c r="AD44" s="180" t="str">
        <f ca="1"/>
        <v/>
      </c>
      <c r="AE44" s="180" t="str">
        <f ca="1"/>
        <v/>
      </c>
      <c r="AF44" s="180" t="str">
        <f ca="1"/>
        <v/>
      </c>
      <c r="AG44" s="180" t="str">
        <f ca="1"/>
        <v/>
      </c>
      <c r="AH44" s="180" t="str">
        <f ca="1"/>
        <v/>
      </c>
      <c r="AI44" s="180" t="str">
        <f ca="1"/>
        <v/>
      </c>
      <c r="AJ44" s="180" t="str">
        <f ca="1"/>
        <v/>
      </c>
      <c r="AK44" s="180" t="str">
        <f ca="1"/>
        <v/>
      </c>
      <c r="AL44" s="180" t="str">
        <f ca="1"/>
        <v/>
      </c>
      <c r="AM44" s="180" t="str">
        <f ca="1"/>
        <v/>
      </c>
      <c r="AN44" s="180" t="str">
        <f ca="1"/>
        <v/>
      </c>
      <c r="AO44" s="180" t="str">
        <f ca="1"/>
        <v/>
      </c>
      <c r="AP44" s="180" t="str">
        <f ca="1"/>
        <v/>
      </c>
      <c r="AQ44" s="187" t="str">
        <f ca="1"/>
        <v/>
      </c>
    </row>
    <row r="45" spans="2:43" x14ac:dyDescent="0.25">
      <c r="B45" s="179">
        <f ca="1"/>
        <v>48199</v>
      </c>
      <c r="C45" s="180">
        <f ca="1"/>
        <v>9.8586712404813405E-10</v>
      </c>
      <c r="D45" s="180">
        <f ca="1"/>
        <v>-5.5364936697721603E-9</v>
      </c>
      <c r="E45" s="180">
        <f ca="1"/>
        <v>3.0076619663560502E-8</v>
      </c>
      <c r="F45" s="180">
        <f ca="1"/>
        <v>-1.5046706132448901E-7</v>
      </c>
      <c r="G45" s="180">
        <f ca="1"/>
        <v>7.0508552570125396E-7</v>
      </c>
      <c r="H45" s="180">
        <f ca="1"/>
        <v>-3.1734471479041801E-6</v>
      </c>
      <c r="I45" s="180">
        <f ca="1"/>
        <v>1.38918516829796E-5</v>
      </c>
      <c r="J45" s="180">
        <f ca="1"/>
        <v>-5.9283498598489103E-5</v>
      </c>
      <c r="K45" s="180">
        <f ca="1"/>
        <v>2.5235950470615199E-4</v>
      </c>
      <c r="L45" s="180">
        <f ca="1"/>
        <v>-5.6166680732394603E-4</v>
      </c>
      <c r="M45" s="180">
        <f ca="1"/>
        <v>1.07268690480986E-4</v>
      </c>
      <c r="N45" s="180">
        <f ca="1"/>
        <v>4.0820146636156402E-4</v>
      </c>
      <c r="O45" s="180">
        <f ca="1"/>
        <v>-7.7808930182002994E-5</v>
      </c>
      <c r="P45" s="180">
        <f ca="1"/>
        <v>2.4914944258096199E-5</v>
      </c>
      <c r="Q45" s="180">
        <f ca="1"/>
        <v>-5.0725471788006003E-6</v>
      </c>
      <c r="R45" s="180" t="str">
        <f ca="1"/>
        <v/>
      </c>
      <c r="S45" s="180" t="str">
        <f ca="1"/>
        <v/>
      </c>
      <c r="T45" s="180" t="str">
        <f ca="1"/>
        <v/>
      </c>
      <c r="U45" s="180" t="str">
        <f ca="1"/>
        <v/>
      </c>
      <c r="V45" s="180" t="str">
        <f ca="1"/>
        <v/>
      </c>
      <c r="W45" s="180" t="str">
        <f ca="1"/>
        <v/>
      </c>
      <c r="X45" s="180" t="str">
        <f ca="1"/>
        <v/>
      </c>
      <c r="Y45" s="180" t="str">
        <f ca="1"/>
        <v/>
      </c>
      <c r="Z45" s="180" t="str">
        <f ca="1"/>
        <v/>
      </c>
      <c r="AA45" s="180" t="str">
        <f ca="1"/>
        <v/>
      </c>
      <c r="AB45" s="180" t="str">
        <f ca="1"/>
        <v/>
      </c>
      <c r="AC45" s="180" t="str">
        <f ca="1"/>
        <v/>
      </c>
      <c r="AD45" s="180" t="str">
        <f ca="1"/>
        <v/>
      </c>
      <c r="AE45" s="180" t="str">
        <f ca="1"/>
        <v/>
      </c>
      <c r="AF45" s="180" t="str">
        <f ca="1"/>
        <v/>
      </c>
      <c r="AG45" s="180" t="str">
        <f ca="1"/>
        <v/>
      </c>
      <c r="AH45" s="180" t="str">
        <f ca="1"/>
        <v/>
      </c>
      <c r="AI45" s="180" t="str">
        <f ca="1"/>
        <v/>
      </c>
      <c r="AJ45" s="180" t="str">
        <f ca="1"/>
        <v/>
      </c>
      <c r="AK45" s="180" t="str">
        <f ca="1"/>
        <v/>
      </c>
      <c r="AL45" s="180" t="str">
        <f ca="1"/>
        <v/>
      </c>
      <c r="AM45" s="180" t="str">
        <f ca="1"/>
        <v/>
      </c>
      <c r="AN45" s="180" t="str">
        <f ca="1"/>
        <v/>
      </c>
      <c r="AO45" s="180" t="str">
        <f ca="1"/>
        <v/>
      </c>
      <c r="AP45" s="180" t="str">
        <f ca="1"/>
        <v/>
      </c>
      <c r="AQ45" s="187" t="str">
        <f ca="1"/>
        <v/>
      </c>
    </row>
    <row r="46" spans="2:43" x14ac:dyDescent="0.25">
      <c r="B46" s="179">
        <f ca="1"/>
        <v>48382</v>
      </c>
      <c r="C46" s="180">
        <f ca="1"/>
        <v>3.9341338867182602E-10</v>
      </c>
      <c r="D46" s="180">
        <f ca="1"/>
        <v>-2.2023292495232399E-9</v>
      </c>
      <c r="E46" s="180">
        <f ca="1"/>
        <v>1.1778090634739799E-8</v>
      </c>
      <c r="F46" s="180">
        <f ca="1"/>
        <v>-5.8924019327028001E-8</v>
      </c>
      <c r="G46" s="180">
        <f ca="1"/>
        <v>2.7637642294881003E-7</v>
      </c>
      <c r="H46" s="180">
        <f ca="1"/>
        <v>-1.2434886152469501E-6</v>
      </c>
      <c r="I46" s="180">
        <f ca="1"/>
        <v>5.4435752696729802E-6</v>
      </c>
      <c r="J46" s="180">
        <f ca="1"/>
        <v>-2.3230879759753701E-5</v>
      </c>
      <c r="K46" s="180">
        <f ca="1"/>
        <v>9.8881525742090803E-5</v>
      </c>
      <c r="L46" s="180">
        <f ca="1"/>
        <v>-2.2012778049106501E-4</v>
      </c>
      <c r="M46" s="180">
        <f ca="1"/>
        <v>-2.7395343154733602E-4</v>
      </c>
      <c r="N46" s="180">
        <f ca="1"/>
        <v>5.8427407542084196E-4</v>
      </c>
      <c r="O46" s="180">
        <f ca="1"/>
        <v>-9.4073330157457002E-5</v>
      </c>
      <c r="P46" s="180">
        <f ca="1"/>
        <v>3.0122956683784801E-5</v>
      </c>
      <c r="Q46" s="180">
        <f ca="1"/>
        <v>-6.1327668482366601E-6</v>
      </c>
      <c r="R46" s="180" t="str">
        <f ca="1"/>
        <v/>
      </c>
      <c r="S46" s="180" t="str">
        <f ca="1"/>
        <v/>
      </c>
      <c r="T46" s="180" t="str">
        <f ca="1"/>
        <v/>
      </c>
      <c r="U46" s="180" t="str">
        <f ca="1"/>
        <v/>
      </c>
      <c r="V46" s="180" t="str">
        <f ca="1"/>
        <v/>
      </c>
      <c r="W46" s="180" t="str">
        <f ca="1"/>
        <v/>
      </c>
      <c r="X46" s="180" t="str">
        <f ca="1"/>
        <v/>
      </c>
      <c r="Y46" s="180" t="str">
        <f ca="1"/>
        <v/>
      </c>
      <c r="Z46" s="180" t="str">
        <f ca="1"/>
        <v/>
      </c>
      <c r="AA46" s="180" t="str">
        <f ca="1"/>
        <v/>
      </c>
      <c r="AB46" s="180" t="str">
        <f ca="1"/>
        <v/>
      </c>
      <c r="AC46" s="180" t="str">
        <f ca="1"/>
        <v/>
      </c>
      <c r="AD46" s="180" t="str">
        <f ca="1"/>
        <v/>
      </c>
      <c r="AE46" s="180" t="str">
        <f ca="1"/>
        <v/>
      </c>
      <c r="AF46" s="180" t="str">
        <f ca="1"/>
        <v/>
      </c>
      <c r="AG46" s="180" t="str">
        <f ca="1"/>
        <v/>
      </c>
      <c r="AH46" s="180" t="str">
        <f ca="1"/>
        <v/>
      </c>
      <c r="AI46" s="180" t="str">
        <f ca="1"/>
        <v/>
      </c>
      <c r="AJ46" s="180" t="str">
        <f ca="1"/>
        <v/>
      </c>
      <c r="AK46" s="180" t="str">
        <f ca="1"/>
        <v/>
      </c>
      <c r="AL46" s="180" t="str">
        <f ca="1"/>
        <v/>
      </c>
      <c r="AM46" s="180" t="str">
        <f ca="1"/>
        <v/>
      </c>
      <c r="AN46" s="180" t="str">
        <f ca="1"/>
        <v/>
      </c>
      <c r="AO46" s="180" t="str">
        <f ca="1"/>
        <v/>
      </c>
      <c r="AP46" s="180" t="str">
        <f ca="1"/>
        <v/>
      </c>
      <c r="AQ46" s="187" t="str">
        <f ca="1"/>
        <v/>
      </c>
    </row>
    <row r="47" spans="2:43" x14ac:dyDescent="0.25">
      <c r="B47" s="179">
        <f ca="1"/>
        <v>48565</v>
      </c>
      <c r="C47" s="180">
        <f ca="1"/>
        <v>-4.8240529626486499E-11</v>
      </c>
      <c r="D47" s="180">
        <f ca="1"/>
        <v>2.8480295205524102E-10</v>
      </c>
      <c r="E47" s="180">
        <f ca="1"/>
        <v>-1.8757927051915599E-9</v>
      </c>
      <c r="F47" s="180">
        <f ca="1"/>
        <v>9.3516473696764207E-9</v>
      </c>
      <c r="G47" s="180">
        <f ca="1"/>
        <v>-4.3426876598223798E-8</v>
      </c>
      <c r="H47" s="180">
        <f ca="1"/>
        <v>1.9615341043804899E-7</v>
      </c>
      <c r="I47" s="180">
        <f ca="1"/>
        <v>-8.5840225740735397E-7</v>
      </c>
      <c r="J47" s="180">
        <f ca="1"/>
        <v>3.6630522298949898E-6</v>
      </c>
      <c r="K47" s="180">
        <f ca="1"/>
        <v>-1.55976931054576E-5</v>
      </c>
      <c r="L47" s="180">
        <f ca="1"/>
        <v>3.46828001865397E-5</v>
      </c>
      <c r="M47" s="180">
        <f ca="1"/>
        <v>-5.3875434558515295E-4</v>
      </c>
      <c r="N47" s="180">
        <f ca="1"/>
        <v>6.7238897674297405E-4</v>
      </c>
      <c r="O47" s="180">
        <f ca="1"/>
        <v>-7.4412420279237903E-5</v>
      </c>
      <c r="P47" s="180">
        <f ca="1"/>
        <v>2.3826816561964999E-5</v>
      </c>
      <c r="Q47" s="180">
        <f ca="1"/>
        <v>-4.8508783442834102E-6</v>
      </c>
      <c r="R47" s="180" t="str">
        <f ca="1"/>
        <v/>
      </c>
      <c r="S47" s="180" t="str">
        <f ca="1"/>
        <v/>
      </c>
      <c r="T47" s="180" t="str">
        <f ca="1"/>
        <v/>
      </c>
      <c r="U47" s="180" t="str">
        <f ca="1"/>
        <v/>
      </c>
      <c r="V47" s="180" t="str">
        <f ca="1"/>
        <v/>
      </c>
      <c r="W47" s="180" t="str">
        <f ca="1"/>
        <v/>
      </c>
      <c r="X47" s="180" t="str">
        <f ca="1"/>
        <v/>
      </c>
      <c r="Y47" s="180" t="str">
        <f ca="1"/>
        <v/>
      </c>
      <c r="Z47" s="180" t="str">
        <f ca="1"/>
        <v/>
      </c>
      <c r="AA47" s="180" t="str">
        <f ca="1"/>
        <v/>
      </c>
      <c r="AB47" s="180" t="str">
        <f ca="1"/>
        <v/>
      </c>
      <c r="AC47" s="180" t="str">
        <f ca="1"/>
        <v/>
      </c>
      <c r="AD47" s="180" t="str">
        <f ca="1"/>
        <v/>
      </c>
      <c r="AE47" s="180" t="str">
        <f ca="1"/>
        <v/>
      </c>
      <c r="AF47" s="180" t="str">
        <f ca="1"/>
        <v/>
      </c>
      <c r="AG47" s="180" t="str">
        <f ca="1"/>
        <v/>
      </c>
      <c r="AH47" s="180" t="str">
        <f ca="1"/>
        <v/>
      </c>
      <c r="AI47" s="180" t="str">
        <f ca="1"/>
        <v/>
      </c>
      <c r="AJ47" s="180" t="str">
        <f ca="1"/>
        <v/>
      </c>
      <c r="AK47" s="180" t="str">
        <f ca="1"/>
        <v/>
      </c>
      <c r="AL47" s="180" t="str">
        <f ca="1"/>
        <v/>
      </c>
      <c r="AM47" s="180" t="str">
        <f ca="1"/>
        <v/>
      </c>
      <c r="AN47" s="180" t="str">
        <f ca="1"/>
        <v/>
      </c>
      <c r="AO47" s="180" t="str">
        <f ca="1"/>
        <v/>
      </c>
      <c r="AP47" s="180" t="str">
        <f ca="1"/>
        <v/>
      </c>
      <c r="AQ47" s="187" t="str">
        <f ca="1"/>
        <v/>
      </c>
    </row>
    <row r="48" spans="2:43" x14ac:dyDescent="0.25">
      <c r="B48" s="179">
        <f ca="1"/>
        <v>48747</v>
      </c>
      <c r="C48" s="180">
        <f ca="1"/>
        <v>-3.41802693787363E-10</v>
      </c>
      <c r="D48" s="180">
        <f ca="1"/>
        <v>1.9401876875935202E-9</v>
      </c>
      <c r="E48" s="180">
        <f ca="1"/>
        <v>-1.09690704089282E-8</v>
      </c>
      <c r="F48" s="180">
        <f ca="1"/>
        <v>5.4779900400536701E-8</v>
      </c>
      <c r="G48" s="180">
        <f ca="1"/>
        <v>-2.5629193254120301E-7</v>
      </c>
      <c r="H48" s="180">
        <f ca="1"/>
        <v>1.1543346922666999E-6</v>
      </c>
      <c r="I48" s="180">
        <f ca="1"/>
        <v>-5.05287191806397E-6</v>
      </c>
      <c r="J48" s="180">
        <f ca="1"/>
        <v>2.15633857693007E-5</v>
      </c>
      <c r="K48" s="180">
        <f ca="1"/>
        <v>-9.17891105000138E-5</v>
      </c>
      <c r="L48" s="180">
        <f ca="1"/>
        <v>2.04299568391714E-4</v>
      </c>
      <c r="M48" s="180">
        <f ca="1"/>
        <v>-6.8878463049819002E-4</v>
      </c>
      <c r="N48" s="180">
        <f ca="1"/>
        <v>6.7289529173843198E-4</v>
      </c>
      <c r="O48" s="180">
        <f ca="1"/>
        <v>-1.8446676798389998E-5</v>
      </c>
      <c r="P48" s="180">
        <f ca="1"/>
        <v>5.9054546831041601E-6</v>
      </c>
      <c r="Q48" s="180">
        <f ca="1"/>
        <v>-1.20220514494493E-6</v>
      </c>
      <c r="R48" s="180" t="str">
        <f ca="1"/>
        <v/>
      </c>
      <c r="S48" s="180" t="str">
        <f ca="1"/>
        <v/>
      </c>
      <c r="T48" s="180" t="str">
        <f ca="1"/>
        <v/>
      </c>
      <c r="U48" s="180" t="str">
        <f ca="1"/>
        <v/>
      </c>
      <c r="V48" s="180" t="str">
        <f ca="1"/>
        <v/>
      </c>
      <c r="W48" s="180" t="str">
        <f ca="1"/>
        <v/>
      </c>
      <c r="X48" s="180" t="str">
        <f ca="1"/>
        <v/>
      </c>
      <c r="Y48" s="180" t="str">
        <f ca="1"/>
        <v/>
      </c>
      <c r="Z48" s="180" t="str">
        <f ca="1"/>
        <v/>
      </c>
      <c r="AA48" s="180" t="str">
        <f ca="1"/>
        <v/>
      </c>
      <c r="AB48" s="180" t="str">
        <f ca="1"/>
        <v/>
      </c>
      <c r="AC48" s="180" t="str">
        <f ca="1"/>
        <v/>
      </c>
      <c r="AD48" s="180" t="str">
        <f ca="1"/>
        <v/>
      </c>
      <c r="AE48" s="180" t="str">
        <f ca="1"/>
        <v/>
      </c>
      <c r="AF48" s="180" t="str">
        <f ca="1"/>
        <v/>
      </c>
      <c r="AG48" s="180" t="str">
        <f ca="1"/>
        <v/>
      </c>
      <c r="AH48" s="180" t="str">
        <f ca="1"/>
        <v/>
      </c>
      <c r="AI48" s="180" t="str">
        <f ca="1"/>
        <v/>
      </c>
      <c r="AJ48" s="180" t="str">
        <f ca="1"/>
        <v/>
      </c>
      <c r="AK48" s="180" t="str">
        <f ca="1"/>
        <v/>
      </c>
      <c r="AL48" s="180" t="str">
        <f ca="1"/>
        <v/>
      </c>
      <c r="AM48" s="180" t="str">
        <f ca="1"/>
        <v/>
      </c>
      <c r="AN48" s="180" t="str">
        <f ca="1"/>
        <v/>
      </c>
      <c r="AO48" s="180" t="str">
        <f ca="1"/>
        <v/>
      </c>
      <c r="AP48" s="180" t="str">
        <f ca="1"/>
        <v/>
      </c>
      <c r="AQ48" s="187" t="str">
        <f ca="1"/>
        <v/>
      </c>
    </row>
    <row r="49" spans="2:43" x14ac:dyDescent="0.25">
      <c r="B49" s="179">
        <f ca="1"/>
        <v>48932</v>
      </c>
      <c r="C49" s="180">
        <f ca="1"/>
        <v>-4.8495844492957296E-10</v>
      </c>
      <c r="D49" s="180">
        <f ca="1"/>
        <v>2.7507657714143101E-9</v>
      </c>
      <c r="E49" s="180">
        <f ca="1"/>
        <v>-1.5429852558840299E-8</v>
      </c>
      <c r="F49" s="180">
        <f ca="1"/>
        <v>7.7001358695510893E-8</v>
      </c>
      <c r="G49" s="180">
        <f ca="1"/>
        <v>-3.60535489813546E-7</v>
      </c>
      <c r="H49" s="180">
        <f ca="1"/>
        <v>1.62347668846916E-6</v>
      </c>
      <c r="I49" s="180">
        <f ca="1"/>
        <v>-7.1066758126625602E-6</v>
      </c>
      <c r="J49" s="180">
        <f ca="1"/>
        <v>3.0328308747901799E-5</v>
      </c>
      <c r="K49" s="180">
        <f ca="1"/>
        <v>-1.2909468518613299E-4</v>
      </c>
      <c r="L49" s="180">
        <f ca="1"/>
        <v>2.8735877597573E-4</v>
      </c>
      <c r="M49" s="180">
        <f ca="1"/>
        <v>-7.2244345078286603E-4</v>
      </c>
      <c r="N49" s="180">
        <f ca="1"/>
        <v>5.8506352011979102E-4</v>
      </c>
      <c r="O49" s="180">
        <f ca="1"/>
        <v>7.3670928494782393E-5</v>
      </c>
      <c r="P49" s="180">
        <f ca="1"/>
        <v>-2.35908649467952E-5</v>
      </c>
      <c r="Q49" s="180">
        <f ca="1"/>
        <v>4.8030950390610898E-6</v>
      </c>
      <c r="R49" s="180" t="str">
        <f ca="1"/>
        <v/>
      </c>
      <c r="S49" s="180" t="str">
        <f ca="1"/>
        <v/>
      </c>
      <c r="T49" s="180" t="str">
        <f ca="1"/>
        <v/>
      </c>
      <c r="U49" s="180" t="str">
        <f ca="1"/>
        <v/>
      </c>
      <c r="V49" s="180" t="str">
        <f ca="1"/>
        <v/>
      </c>
      <c r="W49" s="180" t="str">
        <f ca="1"/>
        <v/>
      </c>
      <c r="X49" s="180" t="str">
        <f ca="1"/>
        <v/>
      </c>
      <c r="Y49" s="180" t="str">
        <f ca="1"/>
        <v/>
      </c>
      <c r="Z49" s="180" t="str">
        <f ca="1"/>
        <v/>
      </c>
      <c r="AA49" s="180" t="str">
        <f ca="1"/>
        <v/>
      </c>
      <c r="AB49" s="180" t="str">
        <f ca="1"/>
        <v/>
      </c>
      <c r="AC49" s="180" t="str">
        <f ca="1"/>
        <v/>
      </c>
      <c r="AD49" s="180" t="str">
        <f ca="1"/>
        <v/>
      </c>
      <c r="AE49" s="180" t="str">
        <f ca="1"/>
        <v/>
      </c>
      <c r="AF49" s="180" t="str">
        <f ca="1"/>
        <v/>
      </c>
      <c r="AG49" s="180" t="str">
        <f ca="1"/>
        <v/>
      </c>
      <c r="AH49" s="180" t="str">
        <f ca="1"/>
        <v/>
      </c>
      <c r="AI49" s="180" t="str">
        <f ca="1"/>
        <v/>
      </c>
      <c r="AJ49" s="180" t="str">
        <f ca="1"/>
        <v/>
      </c>
      <c r="AK49" s="180" t="str">
        <f ca="1"/>
        <v/>
      </c>
      <c r="AL49" s="180" t="str">
        <f ca="1"/>
        <v/>
      </c>
      <c r="AM49" s="180" t="str">
        <f ca="1"/>
        <v/>
      </c>
      <c r="AN49" s="180" t="str">
        <f ca="1"/>
        <v/>
      </c>
      <c r="AO49" s="180" t="str">
        <f ca="1"/>
        <v/>
      </c>
      <c r="AP49" s="180" t="str">
        <f ca="1"/>
        <v/>
      </c>
      <c r="AQ49" s="187" t="str">
        <f ca="1"/>
        <v/>
      </c>
    </row>
    <row r="50" spans="2:43" x14ac:dyDescent="0.25">
      <c r="B50" s="179">
        <f ca="1"/>
        <v>49114</v>
      </c>
      <c r="C50" s="180">
        <f ca="1"/>
        <v>-4.7767822683453295E-10</v>
      </c>
      <c r="D50" s="180">
        <f ca="1"/>
        <v>2.7163355696691001E-9</v>
      </c>
      <c r="E50" s="180">
        <f ca="1"/>
        <v>-1.5257153793829499E-8</v>
      </c>
      <c r="F50" s="180">
        <f ca="1"/>
        <v>7.60116529267829E-8</v>
      </c>
      <c r="G50" s="180">
        <f ca="1"/>
        <v>-3.5613581330154502E-7</v>
      </c>
      <c r="H50" s="180">
        <f ca="1"/>
        <v>1.6034823820641799E-6</v>
      </c>
      <c r="I50" s="180">
        <f ca="1"/>
        <v>-7.0193956562027098E-6</v>
      </c>
      <c r="J50" s="180">
        <f ca="1"/>
        <v>2.9955895849108299E-5</v>
      </c>
      <c r="K50" s="180">
        <f ca="1"/>
        <v>-1.2750876280820701E-4</v>
      </c>
      <c r="L50" s="180">
        <f ca="1"/>
        <v>2.8383305561917999E-4</v>
      </c>
      <c r="M50" s="180">
        <f ca="1"/>
        <v>-6.4036898462768396E-4</v>
      </c>
      <c r="N50" s="180">
        <f ca="1"/>
        <v>4.1008972168721599E-4</v>
      </c>
      <c r="O50" s="180">
        <f ca="1"/>
        <v>2.0131579726786301E-4</v>
      </c>
      <c r="P50" s="180">
        <f ca="1"/>
        <v>-6.4460031274225102E-5</v>
      </c>
      <c r="Q50" s="180">
        <f ca="1"/>
        <v>1.31239992106624E-5</v>
      </c>
      <c r="R50" s="180" t="str">
        <f ca="1"/>
        <v/>
      </c>
      <c r="S50" s="180" t="str">
        <f ca="1"/>
        <v/>
      </c>
      <c r="T50" s="180" t="str">
        <f ca="1"/>
        <v/>
      </c>
      <c r="U50" s="180" t="str">
        <f ca="1"/>
        <v/>
      </c>
      <c r="V50" s="180" t="str">
        <f ca="1"/>
        <v/>
      </c>
      <c r="W50" s="180" t="str">
        <f ca="1"/>
        <v/>
      </c>
      <c r="X50" s="180" t="str">
        <f ca="1"/>
        <v/>
      </c>
      <c r="Y50" s="180" t="str">
        <f ca="1"/>
        <v/>
      </c>
      <c r="Z50" s="180" t="str">
        <f ca="1"/>
        <v/>
      </c>
      <c r="AA50" s="180" t="str">
        <f ca="1"/>
        <v/>
      </c>
      <c r="AB50" s="180" t="str">
        <f ca="1"/>
        <v/>
      </c>
      <c r="AC50" s="180" t="str">
        <f ca="1"/>
        <v/>
      </c>
      <c r="AD50" s="180" t="str">
        <f ca="1"/>
        <v/>
      </c>
      <c r="AE50" s="180" t="str">
        <f ca="1"/>
        <v/>
      </c>
      <c r="AF50" s="180" t="str">
        <f ca="1"/>
        <v/>
      </c>
      <c r="AG50" s="180" t="str">
        <f ca="1"/>
        <v/>
      </c>
      <c r="AH50" s="180" t="str">
        <f ca="1"/>
        <v/>
      </c>
      <c r="AI50" s="180" t="str">
        <f ca="1"/>
        <v/>
      </c>
      <c r="AJ50" s="180" t="str">
        <f ca="1"/>
        <v/>
      </c>
      <c r="AK50" s="180" t="str">
        <f ca="1"/>
        <v/>
      </c>
      <c r="AL50" s="180" t="str">
        <f ca="1"/>
        <v/>
      </c>
      <c r="AM50" s="180" t="str">
        <f ca="1"/>
        <v/>
      </c>
      <c r="AN50" s="180" t="str">
        <f ca="1"/>
        <v/>
      </c>
      <c r="AO50" s="180" t="str">
        <f ca="1"/>
        <v/>
      </c>
      <c r="AP50" s="180" t="str">
        <f ca="1"/>
        <v/>
      </c>
      <c r="AQ50" s="187" t="str">
        <f ca="1"/>
        <v/>
      </c>
    </row>
    <row r="51" spans="2:43" x14ac:dyDescent="0.25">
      <c r="B51" s="179">
        <f ca="1"/>
        <v>49296</v>
      </c>
      <c r="C51" s="180">
        <f ca="1"/>
        <v>-3.5053674546370301E-10</v>
      </c>
      <c r="D51" s="180">
        <f ca="1"/>
        <v>2.0093157901413001E-9</v>
      </c>
      <c r="E51" s="180">
        <f ca="1"/>
        <v>-1.13947247262769E-8</v>
      </c>
      <c r="F51" s="180">
        <f ca="1"/>
        <v>5.6543733650132897E-8</v>
      </c>
      <c r="G51" s="180">
        <f ca="1"/>
        <v>-2.6523855771107301E-7</v>
      </c>
      <c r="H51" s="180">
        <f ca="1"/>
        <v>1.1940610579394599E-6</v>
      </c>
      <c r="I51" s="180">
        <f ca="1"/>
        <v>-5.2274776547039902E-6</v>
      </c>
      <c r="J51" s="180">
        <f ca="1"/>
        <v>2.23087260339538E-5</v>
      </c>
      <c r="K51" s="180">
        <f ca="1"/>
        <v>-9.4959202944847095E-5</v>
      </c>
      <c r="L51" s="180">
        <f ca="1"/>
        <v>2.11371719907694E-4</v>
      </c>
      <c r="M51" s="180">
        <f ca="1"/>
        <v>-4.67758268955652E-4</v>
      </c>
      <c r="N51" s="180">
        <f ca="1"/>
        <v>1.7042254741614699E-4</v>
      </c>
      <c r="O51" s="180">
        <f ca="1"/>
        <v>3.51515944561405E-4</v>
      </c>
      <c r="P51" s="180">
        <f ca="1"/>
        <v>-1.1105207497937399E-4</v>
      </c>
      <c r="Q51" s="180">
        <f ca="1"/>
        <v>2.2610285578761301E-5</v>
      </c>
      <c r="R51" s="180" t="str">
        <f ca="1"/>
        <v/>
      </c>
      <c r="S51" s="180" t="str">
        <f ca="1"/>
        <v/>
      </c>
      <c r="T51" s="180" t="str">
        <f ca="1"/>
        <v/>
      </c>
      <c r="U51" s="180" t="str">
        <f ca="1"/>
        <v/>
      </c>
      <c r="V51" s="180" t="str">
        <f ca="1"/>
        <v/>
      </c>
      <c r="W51" s="180" t="str">
        <f ca="1"/>
        <v/>
      </c>
      <c r="X51" s="180" t="str">
        <f ca="1"/>
        <v/>
      </c>
      <c r="Y51" s="180" t="str">
        <f ca="1"/>
        <v/>
      </c>
      <c r="Z51" s="180" t="str">
        <f ca="1"/>
        <v/>
      </c>
      <c r="AA51" s="180" t="str">
        <f ca="1"/>
        <v/>
      </c>
      <c r="AB51" s="180" t="str">
        <f ca="1"/>
        <v/>
      </c>
      <c r="AC51" s="180" t="str">
        <f ca="1"/>
        <v/>
      </c>
      <c r="AD51" s="180" t="str">
        <f ca="1"/>
        <v/>
      </c>
      <c r="AE51" s="180" t="str">
        <f ca="1"/>
        <v/>
      </c>
      <c r="AF51" s="180" t="str">
        <f ca="1"/>
        <v/>
      </c>
      <c r="AG51" s="180" t="str">
        <f ca="1"/>
        <v/>
      </c>
      <c r="AH51" s="180" t="str">
        <f ca="1"/>
        <v/>
      </c>
      <c r="AI51" s="180" t="str">
        <f ca="1"/>
        <v/>
      </c>
      <c r="AJ51" s="180" t="str">
        <f ca="1"/>
        <v/>
      </c>
      <c r="AK51" s="180" t="str">
        <f ca="1"/>
        <v/>
      </c>
      <c r="AL51" s="180" t="str">
        <f ca="1"/>
        <v/>
      </c>
      <c r="AM51" s="180" t="str">
        <f ca="1"/>
        <v/>
      </c>
      <c r="AN51" s="180" t="str">
        <f ca="1"/>
        <v/>
      </c>
      <c r="AO51" s="180" t="str">
        <f ca="1"/>
        <v/>
      </c>
      <c r="AP51" s="180" t="str">
        <f ca="1"/>
        <v/>
      </c>
      <c r="AQ51" s="187" t="str">
        <f ca="1"/>
        <v/>
      </c>
    </row>
    <row r="52" spans="2:43" x14ac:dyDescent="0.25">
      <c r="B52" s="179">
        <f ca="1"/>
        <v>49297</v>
      </c>
      <c r="C52" s="180">
        <f ca="1"/>
        <v>-3.4973518525660598E-10</v>
      </c>
      <c r="D52" s="180">
        <f ca="1"/>
        <v>2.0048652842052899E-9</v>
      </c>
      <c r="E52" s="180">
        <f ca="1"/>
        <v>-1.13703798043652E-8</v>
      </c>
      <c r="F52" s="180">
        <f ca="1"/>
        <v>5.6421182011157103E-8</v>
      </c>
      <c r="G52" s="180">
        <f ca="1"/>
        <v>-2.6466609299655201E-7</v>
      </c>
      <c r="H52" s="180">
        <f ca="1"/>
        <v>1.19148274543152E-6</v>
      </c>
      <c r="I52" s="180">
        <f ca="1"/>
        <v>-5.2161928420571504E-6</v>
      </c>
      <c r="J52" s="180">
        <f ca="1"/>
        <v>2.22605671351059E-5</v>
      </c>
      <c r="K52" s="180">
        <f ca="1"/>
        <v>-9.4754217109947094E-5</v>
      </c>
      <c r="L52" s="180">
        <f ca="1"/>
        <v>2.1091539141621801E-4</v>
      </c>
      <c r="M52" s="180">
        <f ca="1"/>
        <v>-4.6674865159845901E-4</v>
      </c>
      <c r="N52" s="180">
        <f ca="1"/>
        <v>1.6909451080887201E-4</v>
      </c>
      <c r="O52" s="180">
        <f ca="1"/>
        <v>3.52306274651569E-4</v>
      </c>
      <c r="P52" s="180">
        <f ca="1"/>
        <v>-1.11280317314735E-4</v>
      </c>
      <c r="Q52" s="180">
        <f ca="1"/>
        <v>2.26567568210011E-5</v>
      </c>
      <c r="R52" s="180" t="str">
        <f ca="1"/>
        <v/>
      </c>
      <c r="S52" s="180" t="str">
        <f ca="1"/>
        <v/>
      </c>
      <c r="T52" s="180" t="str">
        <f ca="1"/>
        <v/>
      </c>
      <c r="U52" s="180" t="str">
        <f ca="1"/>
        <v/>
      </c>
      <c r="V52" s="180" t="str">
        <f ca="1"/>
        <v/>
      </c>
      <c r="W52" s="180" t="str">
        <f ca="1"/>
        <v/>
      </c>
      <c r="X52" s="180" t="str">
        <f ca="1"/>
        <v/>
      </c>
      <c r="Y52" s="180" t="str">
        <f ca="1"/>
        <v/>
      </c>
      <c r="Z52" s="180" t="str">
        <f ca="1"/>
        <v/>
      </c>
      <c r="AA52" s="180" t="str">
        <f ca="1"/>
        <v/>
      </c>
      <c r="AB52" s="180" t="str">
        <f ca="1"/>
        <v/>
      </c>
      <c r="AC52" s="180" t="str">
        <f ca="1"/>
        <v/>
      </c>
      <c r="AD52" s="180" t="str">
        <f ca="1"/>
        <v/>
      </c>
      <c r="AE52" s="180" t="str">
        <f ca="1"/>
        <v/>
      </c>
      <c r="AF52" s="180" t="str">
        <f ca="1"/>
        <v/>
      </c>
      <c r="AG52" s="180" t="str">
        <f ca="1"/>
        <v/>
      </c>
      <c r="AH52" s="180" t="str">
        <f ca="1"/>
        <v/>
      </c>
      <c r="AI52" s="180" t="str">
        <f ca="1"/>
        <v/>
      </c>
      <c r="AJ52" s="180" t="str">
        <f ca="1"/>
        <v/>
      </c>
      <c r="AK52" s="180" t="str">
        <f ca="1"/>
        <v/>
      </c>
      <c r="AL52" s="180" t="str">
        <f ca="1"/>
        <v/>
      </c>
      <c r="AM52" s="180" t="str">
        <f ca="1"/>
        <v/>
      </c>
      <c r="AN52" s="180" t="str">
        <f ca="1"/>
        <v/>
      </c>
      <c r="AO52" s="180" t="str">
        <f ca="1"/>
        <v/>
      </c>
      <c r="AP52" s="180" t="str">
        <f ca="1"/>
        <v/>
      </c>
      <c r="AQ52" s="187" t="str">
        <f ca="1"/>
        <v/>
      </c>
    </row>
    <row r="53" spans="2:43" x14ac:dyDescent="0.25">
      <c r="B53" s="179">
        <f ca="1"/>
        <v>49478</v>
      </c>
      <c r="C53" s="180">
        <f ca="1"/>
        <v>-2.13910202051526E-10</v>
      </c>
      <c r="D53" s="180">
        <f ca="1"/>
        <v>1.25245300242049E-9</v>
      </c>
      <c r="E53" s="180">
        <f ca="1"/>
        <v>-7.2513247871552897E-9</v>
      </c>
      <c r="F53" s="180">
        <f ca="1"/>
        <v>3.56928943207047E-8</v>
      </c>
      <c r="G53" s="180">
        <f ca="1"/>
        <v>-1.67833068973749E-7</v>
      </c>
      <c r="H53" s="180">
        <f ca="1"/>
        <v>7.5535942790222497E-7</v>
      </c>
      <c r="I53" s="180">
        <f ca="1"/>
        <v>-3.30734741932348E-6</v>
      </c>
      <c r="J53" s="180">
        <f ca="1"/>
        <v>1.41144222587167E-5</v>
      </c>
      <c r="K53" s="180">
        <f ca="1"/>
        <v>-6.0080196150575499E-5</v>
      </c>
      <c r="L53" s="180">
        <f ca="1"/>
        <v>1.3372823254917399E-4</v>
      </c>
      <c r="M53" s="180">
        <f ca="1"/>
        <v>-2.9596250116418999E-4</v>
      </c>
      <c r="N53" s="180">
        <f ca="1"/>
        <v>-5.2508474082443197E-5</v>
      </c>
      <c r="O53" s="180">
        <f ca="1"/>
        <v>4.76818581989041E-4</v>
      </c>
      <c r="P53" s="180">
        <f ca="1"/>
        <v>-1.4215560757431899E-4</v>
      </c>
      <c r="Q53" s="180">
        <f ca="1"/>
        <v>2.89431122316997E-5</v>
      </c>
      <c r="R53" s="180" t="str">
        <f ca="1"/>
        <v/>
      </c>
      <c r="S53" s="180" t="str">
        <f ca="1"/>
        <v/>
      </c>
      <c r="T53" s="180" t="str">
        <f ca="1"/>
        <v/>
      </c>
      <c r="U53" s="180" t="str">
        <f ca="1"/>
        <v/>
      </c>
      <c r="V53" s="180" t="str">
        <f ca="1"/>
        <v/>
      </c>
      <c r="W53" s="180" t="str">
        <f ca="1"/>
        <v/>
      </c>
      <c r="X53" s="180" t="str">
        <f ca="1"/>
        <v/>
      </c>
      <c r="Y53" s="180" t="str">
        <f ca="1"/>
        <v/>
      </c>
      <c r="Z53" s="180" t="str">
        <f ca="1"/>
        <v/>
      </c>
      <c r="AA53" s="180" t="str">
        <f ca="1"/>
        <v/>
      </c>
      <c r="AB53" s="180" t="str">
        <f ca="1"/>
        <v/>
      </c>
      <c r="AC53" s="180" t="str">
        <f ca="1"/>
        <v/>
      </c>
      <c r="AD53" s="180" t="str">
        <f ca="1"/>
        <v/>
      </c>
      <c r="AE53" s="180" t="str">
        <f ca="1"/>
        <v/>
      </c>
      <c r="AF53" s="180" t="str">
        <f ca="1"/>
        <v/>
      </c>
      <c r="AG53" s="180" t="str">
        <f ca="1"/>
        <v/>
      </c>
      <c r="AH53" s="180" t="str">
        <f ca="1"/>
        <v/>
      </c>
      <c r="AI53" s="180" t="str">
        <f ca="1"/>
        <v/>
      </c>
      <c r="AJ53" s="180" t="str">
        <f ca="1"/>
        <v/>
      </c>
      <c r="AK53" s="180" t="str">
        <f ca="1"/>
        <v/>
      </c>
      <c r="AL53" s="180" t="str">
        <f ca="1"/>
        <v/>
      </c>
      <c r="AM53" s="180" t="str">
        <f ca="1"/>
        <v/>
      </c>
      <c r="AN53" s="180" t="str">
        <f ca="1"/>
        <v/>
      </c>
      <c r="AO53" s="180" t="str">
        <f ca="1"/>
        <v/>
      </c>
      <c r="AP53" s="180" t="str">
        <f ca="1"/>
        <v/>
      </c>
      <c r="AQ53" s="187" t="str">
        <f ca="1"/>
        <v/>
      </c>
    </row>
    <row r="54" spans="2:43" x14ac:dyDescent="0.25">
      <c r="B54" s="179">
        <f ca="1"/>
        <v>49660</v>
      </c>
      <c r="C54" s="180">
        <f ca="1"/>
        <v>-9.6637451513226199E-11</v>
      </c>
      <c r="D54" s="180">
        <f ca="1"/>
        <v>6.0830553788582295E-10</v>
      </c>
      <c r="E54" s="180">
        <f ca="1"/>
        <v>-3.71666238757618E-9</v>
      </c>
      <c r="F54" s="180">
        <f ca="1"/>
        <v>1.79221682321262E-8</v>
      </c>
      <c r="G54" s="180">
        <f ca="1"/>
        <v>-8.4799955033659806E-8</v>
      </c>
      <c r="H54" s="180">
        <f ca="1"/>
        <v>3.81392642932743E-7</v>
      </c>
      <c r="I54" s="180">
        <f ca="1"/>
        <v>-1.6705252669675701E-6</v>
      </c>
      <c r="J54" s="180">
        <f ca="1"/>
        <v>7.1291790211154602E-6</v>
      </c>
      <c r="K54" s="180">
        <f ca="1"/>
        <v>-3.0346977717202901E-5</v>
      </c>
      <c r="L54" s="180">
        <f ca="1"/>
        <v>6.7543152589635101E-5</v>
      </c>
      <c r="M54" s="180">
        <f ca="1"/>
        <v>-1.4950291033133701E-4</v>
      </c>
      <c r="N54" s="180">
        <f ca="1"/>
        <v>-2.35962966372738E-4</v>
      </c>
      <c r="O54" s="180">
        <f ca="1"/>
        <v>5.6382356455751703E-4</v>
      </c>
      <c r="P54" s="180">
        <f ca="1"/>
        <v>-1.5204713939613899E-4</v>
      </c>
      <c r="Q54" s="180">
        <f ca="1"/>
        <v>3.0956902144233001E-5</v>
      </c>
      <c r="R54" s="180" t="str">
        <f ca="1"/>
        <v/>
      </c>
      <c r="S54" s="180" t="str">
        <f ca="1"/>
        <v/>
      </c>
      <c r="T54" s="180" t="str">
        <f ca="1"/>
        <v/>
      </c>
      <c r="U54" s="180" t="str">
        <f ca="1"/>
        <v/>
      </c>
      <c r="V54" s="180" t="str">
        <f ca="1"/>
        <v/>
      </c>
      <c r="W54" s="180" t="str">
        <f ca="1"/>
        <v/>
      </c>
      <c r="X54" s="180" t="str">
        <f ca="1"/>
        <v/>
      </c>
      <c r="Y54" s="180" t="str">
        <f ca="1"/>
        <v/>
      </c>
      <c r="Z54" s="180" t="str">
        <f ca="1"/>
        <v/>
      </c>
      <c r="AA54" s="180" t="str">
        <f ca="1"/>
        <v/>
      </c>
      <c r="AB54" s="180" t="str">
        <f ca="1"/>
        <v/>
      </c>
      <c r="AC54" s="180" t="str">
        <f ca="1"/>
        <v/>
      </c>
      <c r="AD54" s="180" t="str">
        <f ca="1"/>
        <v/>
      </c>
      <c r="AE54" s="180" t="str">
        <f ca="1"/>
        <v/>
      </c>
      <c r="AF54" s="180" t="str">
        <f ca="1"/>
        <v/>
      </c>
      <c r="AG54" s="180" t="str">
        <f ca="1"/>
        <v/>
      </c>
      <c r="AH54" s="180" t="str">
        <f ca="1"/>
        <v/>
      </c>
      <c r="AI54" s="180" t="str">
        <f ca="1"/>
        <v/>
      </c>
      <c r="AJ54" s="180" t="str">
        <f ca="1"/>
        <v/>
      </c>
      <c r="AK54" s="180" t="str">
        <f ca="1"/>
        <v/>
      </c>
      <c r="AL54" s="180" t="str">
        <f ca="1"/>
        <v/>
      </c>
      <c r="AM54" s="180" t="str">
        <f ca="1"/>
        <v/>
      </c>
      <c r="AN54" s="180" t="str">
        <f ca="1"/>
        <v/>
      </c>
      <c r="AO54" s="180" t="str">
        <f ca="1"/>
        <v/>
      </c>
      <c r="AP54" s="180" t="str">
        <f ca="1"/>
        <v/>
      </c>
      <c r="AQ54" s="187" t="str">
        <f ca="1"/>
        <v/>
      </c>
    </row>
    <row r="55" spans="2:43" x14ac:dyDescent="0.25">
      <c r="B55" s="179">
        <f ca="1"/>
        <v>49661</v>
      </c>
      <c r="C55" s="180">
        <f ca="1"/>
        <v>-9.6046452041642599E-11</v>
      </c>
      <c r="D55" s="180">
        <f ca="1"/>
        <v>6.0507227353512296E-10</v>
      </c>
      <c r="E55" s="180">
        <f ca="1"/>
        <v>-3.6988921231495598E-9</v>
      </c>
      <c r="F55" s="180">
        <f ca="1"/>
        <v>1.7832880089274599E-8</v>
      </c>
      <c r="G55" s="180">
        <f ca="1"/>
        <v>-8.4382705413388299E-8</v>
      </c>
      <c r="H55" s="180">
        <f ca="1"/>
        <v>3.7951343619460599E-7</v>
      </c>
      <c r="I55" s="180">
        <f ca="1"/>
        <v>-1.66230005192725E-6</v>
      </c>
      <c r="J55" s="180">
        <f ca="1"/>
        <v>7.0940774299713102E-6</v>
      </c>
      <c r="K55" s="180">
        <f ca="1"/>
        <v>-3.0197563819118999E-5</v>
      </c>
      <c r="L55" s="180">
        <f ca="1"/>
        <v>6.7210570705848697E-5</v>
      </c>
      <c r="M55" s="180">
        <f ca="1"/>
        <v>-1.4876690715599401E-4</v>
      </c>
      <c r="N55" s="180">
        <f ca="1"/>
        <v>-2.3686367895485799E-4</v>
      </c>
      <c r="O55" s="180">
        <f ca="1"/>
        <v>5.6419690825140105E-4</v>
      </c>
      <c r="P55" s="180">
        <f ca="1"/>
        <v>-1.52043199707349E-4</v>
      </c>
      <c r="Q55" s="180">
        <f ca="1"/>
        <v>3.0956098377561698E-5</v>
      </c>
      <c r="R55" s="180" t="str">
        <f ca="1"/>
        <v/>
      </c>
      <c r="S55" s="180" t="str">
        <f ca="1"/>
        <v/>
      </c>
      <c r="T55" s="180" t="str">
        <f ca="1"/>
        <v/>
      </c>
      <c r="U55" s="180" t="str">
        <f ca="1"/>
        <v/>
      </c>
      <c r="V55" s="180" t="str">
        <f ca="1"/>
        <v/>
      </c>
      <c r="W55" s="180" t="str">
        <f ca="1"/>
        <v/>
      </c>
      <c r="X55" s="180" t="str">
        <f ca="1"/>
        <v/>
      </c>
      <c r="Y55" s="180" t="str">
        <f ca="1"/>
        <v/>
      </c>
      <c r="Z55" s="180" t="str">
        <f ca="1"/>
        <v/>
      </c>
      <c r="AA55" s="180" t="str">
        <f ca="1"/>
        <v/>
      </c>
      <c r="AB55" s="180" t="str">
        <f ca="1"/>
        <v/>
      </c>
      <c r="AC55" s="180" t="str">
        <f ca="1"/>
        <v/>
      </c>
      <c r="AD55" s="180" t="str">
        <f ca="1"/>
        <v/>
      </c>
      <c r="AE55" s="180" t="str">
        <f ca="1"/>
        <v/>
      </c>
      <c r="AF55" s="180" t="str">
        <f ca="1"/>
        <v/>
      </c>
      <c r="AG55" s="180" t="str">
        <f ca="1"/>
        <v/>
      </c>
      <c r="AH55" s="180" t="str">
        <f ca="1"/>
        <v/>
      </c>
      <c r="AI55" s="180" t="str">
        <f ca="1"/>
        <v/>
      </c>
      <c r="AJ55" s="180" t="str">
        <f ca="1"/>
        <v/>
      </c>
      <c r="AK55" s="180" t="str">
        <f ca="1"/>
        <v/>
      </c>
      <c r="AL55" s="180" t="str">
        <f ca="1"/>
        <v/>
      </c>
      <c r="AM55" s="180" t="str">
        <f ca="1"/>
        <v/>
      </c>
      <c r="AN55" s="180" t="str">
        <f ca="1"/>
        <v/>
      </c>
      <c r="AO55" s="180" t="str">
        <f ca="1"/>
        <v/>
      </c>
      <c r="AP55" s="180" t="str">
        <f ca="1"/>
        <v/>
      </c>
      <c r="AQ55" s="187" t="str">
        <f ca="1"/>
        <v/>
      </c>
    </row>
    <row r="56" spans="2:43" x14ac:dyDescent="0.25">
      <c r="B56" s="179">
        <f ca="1"/>
        <v>49843</v>
      </c>
      <c r="C56" s="180">
        <f ca="1"/>
        <v>2.1368705416247E-12</v>
      </c>
      <c r="D56" s="180">
        <f ca="1"/>
        <v>7.2212836405016706E-11</v>
      </c>
      <c r="E56" s="180">
        <f ca="1"/>
        <v>-7.6511300073356402E-10</v>
      </c>
      <c r="F56" s="180">
        <f ca="1"/>
        <v>3.1027792349314101E-9</v>
      </c>
      <c r="G56" s="180">
        <f ca="1"/>
        <v>-1.55374773151695E-8</v>
      </c>
      <c r="H56" s="180">
        <f ca="1"/>
        <v>6.9450538434795402E-8</v>
      </c>
      <c r="I56" s="180">
        <f ca="1"/>
        <v>-3.0514975377093901E-7</v>
      </c>
      <c r="J56" s="180">
        <f ca="1"/>
        <v>1.3023622054027199E-6</v>
      </c>
      <c r="K56" s="180">
        <f ca="1"/>
        <v>-5.5442844060053803E-6</v>
      </c>
      <c r="L56" s="180">
        <f ca="1"/>
        <v>1.2335773059646299E-5</v>
      </c>
      <c r="M56" s="180">
        <f ca="1"/>
        <v>-2.7323298350860601E-5</v>
      </c>
      <c r="N56" s="180">
        <f ca="1"/>
        <v>-3.8127085400109203E-4</v>
      </c>
      <c r="O56" s="180">
        <f ca="1"/>
        <v>6.1308794159649696E-4</v>
      </c>
      <c r="P56" s="180">
        <f ca="1"/>
        <v>-1.4071789886288899E-4</v>
      </c>
      <c r="Q56" s="180">
        <f ca="1"/>
        <v>2.8649793434254401E-5</v>
      </c>
      <c r="R56" s="180" t="str">
        <f ca="1"/>
        <v/>
      </c>
      <c r="S56" s="180" t="str">
        <f ca="1"/>
        <v/>
      </c>
      <c r="T56" s="180" t="str">
        <f ca="1"/>
        <v/>
      </c>
      <c r="U56" s="180" t="str">
        <f ca="1"/>
        <v/>
      </c>
      <c r="V56" s="180" t="str">
        <f ca="1"/>
        <v/>
      </c>
      <c r="W56" s="180" t="str">
        <f ca="1"/>
        <v/>
      </c>
      <c r="X56" s="180" t="str">
        <f ca="1"/>
        <v/>
      </c>
      <c r="Y56" s="180" t="str">
        <f ca="1"/>
        <v/>
      </c>
      <c r="Z56" s="180" t="str">
        <f ca="1"/>
        <v/>
      </c>
      <c r="AA56" s="180" t="str">
        <f ca="1"/>
        <v/>
      </c>
      <c r="AB56" s="180" t="str">
        <f ca="1"/>
        <v/>
      </c>
      <c r="AC56" s="180" t="str">
        <f ca="1"/>
        <v/>
      </c>
      <c r="AD56" s="180" t="str">
        <f ca="1"/>
        <v/>
      </c>
      <c r="AE56" s="180" t="str">
        <f ca="1"/>
        <v/>
      </c>
      <c r="AF56" s="180" t="str">
        <f ca="1"/>
        <v/>
      </c>
      <c r="AG56" s="180" t="str">
        <f ca="1"/>
        <v/>
      </c>
      <c r="AH56" s="180" t="str">
        <f ca="1"/>
        <v/>
      </c>
      <c r="AI56" s="180" t="str">
        <f ca="1"/>
        <v/>
      </c>
      <c r="AJ56" s="180" t="str">
        <f ca="1"/>
        <v/>
      </c>
      <c r="AK56" s="180" t="str">
        <f ca="1"/>
        <v/>
      </c>
      <c r="AL56" s="180" t="str">
        <f ca="1"/>
        <v/>
      </c>
      <c r="AM56" s="180" t="str">
        <f ca="1"/>
        <v/>
      </c>
      <c r="AN56" s="180" t="str">
        <f ca="1"/>
        <v/>
      </c>
      <c r="AO56" s="180" t="str">
        <f ca="1"/>
        <v/>
      </c>
      <c r="AP56" s="180" t="str">
        <f ca="1"/>
        <v/>
      </c>
      <c r="AQ56" s="187" t="str">
        <f ca="1"/>
        <v/>
      </c>
    </row>
    <row r="57" spans="2:43" x14ac:dyDescent="0.25">
      <c r="B57" s="179">
        <f ca="1"/>
        <v>50026</v>
      </c>
      <c r="C57" s="180">
        <f ca="1"/>
        <v>8.1527753298393803E-11</v>
      </c>
      <c r="D57" s="180">
        <f ca="1"/>
        <v>-3.5099615575129301E-10</v>
      </c>
      <c r="E57" s="180">
        <f ca="1"/>
        <v>1.57678309992137E-9</v>
      </c>
      <c r="F57" s="180">
        <f ca="1"/>
        <v>-8.6319000280887792E-9</v>
      </c>
      <c r="G57" s="180">
        <f ca="1"/>
        <v>3.9331135272269202E-8</v>
      </c>
      <c r="H57" s="180">
        <f ca="1"/>
        <v>-1.77660018123998E-7</v>
      </c>
      <c r="I57" s="180">
        <f ca="1"/>
        <v>7.76492902945097E-7</v>
      </c>
      <c r="J57" s="180">
        <f ca="1"/>
        <v>-3.31360896655558E-6</v>
      </c>
      <c r="K57" s="180">
        <f ca="1"/>
        <v>1.41045211022733E-5</v>
      </c>
      <c r="L57" s="180">
        <f ca="1"/>
        <v>-3.1398083299480398E-5</v>
      </c>
      <c r="M57" s="180">
        <f ca="1"/>
        <v>6.9472395225162603E-5</v>
      </c>
      <c r="N57" s="180">
        <f ca="1"/>
        <v>-4.8707556131476898E-4</v>
      </c>
      <c r="O57" s="180">
        <f ca="1"/>
        <v>6.2402749793500495E-4</v>
      </c>
      <c r="P57" s="180">
        <f ca="1"/>
        <v>-1.08177012675976E-4</v>
      </c>
      <c r="Q57" s="180">
        <f ca="1"/>
        <v>2.2023731855367499E-5</v>
      </c>
      <c r="R57" s="180" t="str">
        <f ca="1"/>
        <v/>
      </c>
      <c r="S57" s="180" t="str">
        <f ca="1"/>
        <v/>
      </c>
      <c r="T57" s="180" t="str">
        <f ca="1"/>
        <v/>
      </c>
      <c r="U57" s="180" t="str">
        <f ca="1"/>
        <v/>
      </c>
      <c r="V57" s="180" t="str">
        <f ca="1"/>
        <v/>
      </c>
      <c r="W57" s="180" t="str">
        <f ca="1"/>
        <v/>
      </c>
      <c r="X57" s="180" t="str">
        <f ca="1"/>
        <v/>
      </c>
      <c r="Y57" s="180" t="str">
        <f ca="1"/>
        <v/>
      </c>
      <c r="Z57" s="180" t="str">
        <f ca="1"/>
        <v/>
      </c>
      <c r="AA57" s="180" t="str">
        <f ca="1"/>
        <v/>
      </c>
      <c r="AB57" s="180" t="str">
        <f ca="1"/>
        <v/>
      </c>
      <c r="AC57" s="180" t="str">
        <f ca="1"/>
        <v/>
      </c>
      <c r="AD57" s="180" t="str">
        <f ca="1"/>
        <v/>
      </c>
      <c r="AE57" s="180" t="str">
        <f ca="1"/>
        <v/>
      </c>
      <c r="AF57" s="180" t="str">
        <f ca="1"/>
        <v/>
      </c>
      <c r="AG57" s="180" t="str">
        <f ca="1"/>
        <v/>
      </c>
      <c r="AH57" s="180" t="str">
        <f ca="1"/>
        <v/>
      </c>
      <c r="AI57" s="180" t="str">
        <f ca="1"/>
        <v/>
      </c>
      <c r="AJ57" s="180" t="str">
        <f ca="1"/>
        <v/>
      </c>
      <c r="AK57" s="180" t="str">
        <f ca="1"/>
        <v/>
      </c>
      <c r="AL57" s="180" t="str">
        <f ca="1"/>
        <v/>
      </c>
      <c r="AM57" s="180" t="str">
        <f ca="1"/>
        <v/>
      </c>
      <c r="AN57" s="180" t="str">
        <f ca="1"/>
        <v/>
      </c>
      <c r="AO57" s="180" t="str">
        <f ca="1"/>
        <v/>
      </c>
      <c r="AP57" s="180" t="str">
        <f ca="1"/>
        <v/>
      </c>
      <c r="AQ57" s="187" t="str">
        <f ca="1"/>
        <v/>
      </c>
    </row>
    <row r="58" spans="2:43" x14ac:dyDescent="0.25">
      <c r="B58" s="179">
        <f ca="1"/>
        <v>50208</v>
      </c>
      <c r="C58" s="180">
        <f ca="1"/>
        <v>1.4181923344014399E-10</v>
      </c>
      <c r="D58" s="180">
        <f ca="1"/>
        <v>-6.62840712872814E-10</v>
      </c>
      <c r="E58" s="180">
        <f ca="1"/>
        <v>3.3173459604296501E-9</v>
      </c>
      <c r="F58" s="180">
        <f ca="1"/>
        <v>-1.7323758167569999E-8</v>
      </c>
      <c r="G58" s="180">
        <f ca="1"/>
        <v>8.0001503564158805E-8</v>
      </c>
      <c r="H58" s="180">
        <f ca="1"/>
        <v>-3.6082015233626599E-7</v>
      </c>
      <c r="I58" s="180">
        <f ca="1"/>
        <v>1.5782586551306401E-6</v>
      </c>
      <c r="J58" s="180">
        <f ca="1"/>
        <v>-6.7352001894803397E-6</v>
      </c>
      <c r="K58" s="180">
        <f ca="1"/>
        <v>2.8669341725545701E-5</v>
      </c>
      <c r="L58" s="180">
        <f ca="1"/>
        <v>-6.3815090771909098E-5</v>
      </c>
      <c r="M58" s="180">
        <f ca="1"/>
        <v>1.4122560773674101E-4</v>
      </c>
      <c r="N58" s="180">
        <f ca="1"/>
        <v>-5.5386590272886796E-4</v>
      </c>
      <c r="O58" s="180">
        <f ca="1"/>
        <v>5.9689098209567495E-4</v>
      </c>
      <c r="P58" s="180">
        <f ca="1"/>
        <v>-5.4413378001417997E-5</v>
      </c>
      <c r="Q58" s="180">
        <f ca="1"/>
        <v>1.1076722582655699E-5</v>
      </c>
      <c r="R58" s="180" t="str">
        <f ca="1"/>
        <v/>
      </c>
      <c r="S58" s="180" t="str">
        <f ca="1"/>
        <v/>
      </c>
      <c r="T58" s="180" t="str">
        <f ca="1"/>
        <v/>
      </c>
      <c r="U58" s="180" t="str">
        <f ca="1"/>
        <v/>
      </c>
      <c r="V58" s="180" t="str">
        <f ca="1"/>
        <v/>
      </c>
      <c r="W58" s="180" t="str">
        <f ca="1"/>
        <v/>
      </c>
      <c r="X58" s="180" t="str">
        <f ca="1"/>
        <v/>
      </c>
      <c r="Y58" s="180" t="str">
        <f ca="1"/>
        <v/>
      </c>
      <c r="Z58" s="180" t="str">
        <f ca="1"/>
        <v/>
      </c>
      <c r="AA58" s="180" t="str">
        <f ca="1"/>
        <v/>
      </c>
      <c r="AB58" s="180" t="str">
        <f ca="1"/>
        <v/>
      </c>
      <c r="AC58" s="180" t="str">
        <f ca="1"/>
        <v/>
      </c>
      <c r="AD58" s="180" t="str">
        <f ca="1"/>
        <v/>
      </c>
      <c r="AE58" s="180" t="str">
        <f ca="1"/>
        <v/>
      </c>
      <c r="AF58" s="180" t="str">
        <f ca="1"/>
        <v/>
      </c>
      <c r="AG58" s="180" t="str">
        <f ca="1"/>
        <v/>
      </c>
      <c r="AH58" s="180" t="str">
        <f ca="1"/>
        <v/>
      </c>
      <c r="AI58" s="180" t="str">
        <f ca="1"/>
        <v/>
      </c>
      <c r="AJ58" s="180" t="str">
        <f ca="1"/>
        <v/>
      </c>
      <c r="AK58" s="180" t="str">
        <f ca="1"/>
        <v/>
      </c>
      <c r="AL58" s="180" t="str">
        <f ca="1"/>
        <v/>
      </c>
      <c r="AM58" s="180" t="str">
        <f ca="1"/>
        <v/>
      </c>
      <c r="AN58" s="180" t="str">
        <f ca="1"/>
        <v/>
      </c>
      <c r="AO58" s="180" t="str">
        <f ca="1"/>
        <v/>
      </c>
      <c r="AP58" s="180" t="str">
        <f ca="1"/>
        <v/>
      </c>
      <c r="AQ58" s="187" t="str">
        <f ca="1"/>
        <v/>
      </c>
    </row>
    <row r="59" spans="2:43" x14ac:dyDescent="0.25">
      <c r="B59" s="179">
        <f ca="1"/>
        <v>50391</v>
      </c>
      <c r="C59" s="180">
        <f ca="1"/>
        <v>1.8301843721091299E-10</v>
      </c>
      <c r="D59" s="180">
        <f ca="1"/>
        <v>-8.6341395491573703E-10</v>
      </c>
      <c r="E59" s="180">
        <f ca="1"/>
        <v>4.4571203880461302E-9</v>
      </c>
      <c r="F59" s="180">
        <f ca="1"/>
        <v>-2.2975427713123301E-8</v>
      </c>
      <c r="G59" s="180">
        <f ca="1"/>
        <v>1.06486087201457E-7</v>
      </c>
      <c r="H59" s="180">
        <f ca="1"/>
        <v>-4.80085914317946E-7</v>
      </c>
      <c r="I59" s="180">
        <f ca="1"/>
        <v>2.10039258030301E-6</v>
      </c>
      <c r="J59" s="180">
        <f ca="1"/>
        <v>-8.9634651384735992E-6</v>
      </c>
      <c r="K59" s="180">
        <f ca="1"/>
        <v>3.8154521547484299E-5</v>
      </c>
      <c r="L59" s="180">
        <f ca="1"/>
        <v>-8.4925738874714495E-5</v>
      </c>
      <c r="M59" s="180">
        <f ca="1"/>
        <v>1.8795552871899899E-4</v>
      </c>
      <c r="N59" s="180">
        <f ca="1"/>
        <v>-5.8159737249109005E-4</v>
      </c>
      <c r="O59" s="180">
        <f ca="1"/>
        <v>5.3160685283233297E-4</v>
      </c>
      <c r="P59" s="180">
        <f ca="1"/>
        <v>2.05516363202297E-5</v>
      </c>
      <c r="Q59" s="180">
        <f ca="1"/>
        <v>-4.1864734061820798E-6</v>
      </c>
      <c r="R59" s="180" t="str">
        <f ca="1"/>
        <v/>
      </c>
      <c r="S59" s="180" t="str">
        <f ca="1"/>
        <v/>
      </c>
      <c r="T59" s="180" t="str">
        <f ca="1"/>
        <v/>
      </c>
      <c r="U59" s="180" t="str">
        <f ca="1"/>
        <v/>
      </c>
      <c r="V59" s="180" t="str">
        <f ca="1"/>
        <v/>
      </c>
      <c r="W59" s="180" t="str">
        <f ca="1"/>
        <v/>
      </c>
      <c r="X59" s="180" t="str">
        <f ca="1"/>
        <v/>
      </c>
      <c r="Y59" s="180" t="str">
        <f ca="1"/>
        <v/>
      </c>
      <c r="Z59" s="180" t="str">
        <f ca="1"/>
        <v/>
      </c>
      <c r="AA59" s="180" t="str">
        <f ca="1"/>
        <v/>
      </c>
      <c r="AB59" s="180" t="str">
        <f ca="1"/>
        <v/>
      </c>
      <c r="AC59" s="180" t="str">
        <f ca="1"/>
        <v/>
      </c>
      <c r="AD59" s="180" t="str">
        <f ca="1"/>
        <v/>
      </c>
      <c r="AE59" s="180" t="str">
        <f ca="1"/>
        <v/>
      </c>
      <c r="AF59" s="180" t="str">
        <f ca="1"/>
        <v/>
      </c>
      <c r="AG59" s="180" t="str">
        <f ca="1"/>
        <v/>
      </c>
      <c r="AH59" s="180" t="str">
        <f ca="1"/>
        <v/>
      </c>
      <c r="AI59" s="180" t="str">
        <f ca="1"/>
        <v/>
      </c>
      <c r="AJ59" s="180" t="str">
        <f ca="1"/>
        <v/>
      </c>
      <c r="AK59" s="180" t="str">
        <f ca="1"/>
        <v/>
      </c>
      <c r="AL59" s="180" t="str">
        <f ca="1"/>
        <v/>
      </c>
      <c r="AM59" s="180" t="str">
        <f ca="1"/>
        <v/>
      </c>
      <c r="AN59" s="180" t="str">
        <f ca="1"/>
        <v/>
      </c>
      <c r="AO59" s="180" t="str">
        <f ca="1"/>
        <v/>
      </c>
      <c r="AP59" s="180" t="str">
        <f ca="1"/>
        <v/>
      </c>
      <c r="AQ59" s="187" t="str">
        <f ca="1"/>
        <v/>
      </c>
    </row>
    <row r="60" spans="2:43" x14ac:dyDescent="0.25">
      <c r="B60" s="179">
        <f ca="1"/>
        <v>50573</v>
      </c>
      <c r="C60" s="180">
        <f ca="1"/>
        <v>2.0512990264731601E-10</v>
      </c>
      <c r="D60" s="180">
        <f ca="1"/>
        <v>-9.5268885488830592E-10</v>
      </c>
      <c r="E60" s="180">
        <f ca="1"/>
        <v>4.9959249862063801E-9</v>
      </c>
      <c r="F60" s="180">
        <f ca="1"/>
        <v>-2.5586094989232801E-8</v>
      </c>
      <c r="G60" s="180">
        <f ca="1"/>
        <v>1.18780932631402E-7</v>
      </c>
      <c r="H60" s="180">
        <f ca="1"/>
        <v>-5.3543960041799198E-7</v>
      </c>
      <c r="I60" s="180">
        <f ca="1"/>
        <v>2.3428167759895202E-6</v>
      </c>
      <c r="J60" s="180">
        <f ca="1"/>
        <v>-9.9980759016120302E-6</v>
      </c>
      <c r="K60" s="180">
        <f ca="1"/>
        <v>4.2558582434796398E-5</v>
      </c>
      <c r="L60" s="180">
        <f ca="1"/>
        <v>-9.4727215895141394E-5</v>
      </c>
      <c r="M60" s="180">
        <f ca="1"/>
        <v>2.0965358811686499E-4</v>
      </c>
      <c r="N60" s="180">
        <f ca="1"/>
        <v>-5.7033423992553E-4</v>
      </c>
      <c r="O60" s="180">
        <f ca="1"/>
        <v>4.2824783834646103E-4</v>
      </c>
      <c r="P60" s="180">
        <f ca="1"/>
        <v>1.1675298033763201E-4</v>
      </c>
      <c r="Q60" s="180">
        <f ca="1"/>
        <v>-2.3772380037812E-5</v>
      </c>
      <c r="R60" s="180" t="str">
        <f ca="1"/>
        <v/>
      </c>
      <c r="S60" s="180" t="str">
        <f ca="1"/>
        <v/>
      </c>
      <c r="T60" s="180" t="str">
        <f ca="1"/>
        <v/>
      </c>
      <c r="U60" s="180" t="str">
        <f ca="1"/>
        <v/>
      </c>
      <c r="V60" s="180" t="str">
        <f ca="1"/>
        <v/>
      </c>
      <c r="W60" s="180" t="str">
        <f ca="1"/>
        <v/>
      </c>
      <c r="X60" s="180" t="str">
        <f ca="1"/>
        <v/>
      </c>
      <c r="Y60" s="180" t="str">
        <f ca="1"/>
        <v/>
      </c>
      <c r="Z60" s="180" t="str">
        <f ca="1"/>
        <v/>
      </c>
      <c r="AA60" s="180" t="str">
        <f ca="1"/>
        <v/>
      </c>
      <c r="AB60" s="180" t="str">
        <f ca="1"/>
        <v/>
      </c>
      <c r="AC60" s="180" t="str">
        <f ca="1"/>
        <v/>
      </c>
      <c r="AD60" s="180" t="str">
        <f ca="1"/>
        <v/>
      </c>
      <c r="AE60" s="180" t="str">
        <f ca="1"/>
        <v/>
      </c>
      <c r="AF60" s="180" t="str">
        <f ca="1"/>
        <v/>
      </c>
      <c r="AG60" s="180" t="str">
        <f ca="1"/>
        <v/>
      </c>
      <c r="AH60" s="180" t="str">
        <f ca="1"/>
        <v/>
      </c>
      <c r="AI60" s="180" t="str">
        <f ca="1"/>
        <v/>
      </c>
      <c r="AJ60" s="180" t="str">
        <f ca="1"/>
        <v/>
      </c>
      <c r="AK60" s="180" t="str">
        <f ca="1"/>
        <v/>
      </c>
      <c r="AL60" s="180" t="str">
        <f ca="1"/>
        <v/>
      </c>
      <c r="AM60" s="180" t="str">
        <f ca="1"/>
        <v/>
      </c>
      <c r="AN60" s="180" t="str">
        <f ca="1"/>
        <v/>
      </c>
      <c r="AO60" s="180" t="str">
        <f ca="1"/>
        <v/>
      </c>
      <c r="AP60" s="180" t="str">
        <f ca="1"/>
        <v/>
      </c>
      <c r="AQ60" s="187" t="str">
        <f ca="1"/>
        <v/>
      </c>
    </row>
    <row r="61" spans="2:43" x14ac:dyDescent="0.25">
      <c r="B61" s="179">
        <f ca="1"/>
        <v>50756</v>
      </c>
      <c r="C61" s="180">
        <f ca="1"/>
        <v>2.0814559104076501E-10</v>
      </c>
      <c r="D61" s="180">
        <f ca="1"/>
        <v>-9.3067004450220203E-10</v>
      </c>
      <c r="E61" s="180">
        <f ca="1"/>
        <v>4.9338199463455601E-9</v>
      </c>
      <c r="F61" s="180">
        <f ca="1"/>
        <v>-2.5155985863833901E-8</v>
      </c>
      <c r="G61" s="180">
        <f ca="1"/>
        <v>1.1688722736935601E-7</v>
      </c>
      <c r="H61" s="180">
        <f ca="1"/>
        <v>-5.2688647818321901E-7</v>
      </c>
      <c r="I61" s="180">
        <f ca="1"/>
        <v>2.3055542819963598E-6</v>
      </c>
      <c r="J61" s="180">
        <f ca="1"/>
        <v>-9.8391336370642901E-6</v>
      </c>
      <c r="K61" s="180">
        <f ca="1"/>
        <v>4.18819032334226E-5</v>
      </c>
      <c r="L61" s="180">
        <f ca="1"/>
        <v>-9.3220666423067506E-5</v>
      </c>
      <c r="M61" s="180">
        <f ca="1"/>
        <v>2.0632084014139701E-4</v>
      </c>
      <c r="N61" s="180">
        <f ca="1"/>
        <v>-5.2001857723344596E-4</v>
      </c>
      <c r="O61" s="180">
        <f ca="1"/>
        <v>2.8678257373244601E-4</v>
      </c>
      <c r="P61" s="180">
        <f ca="1"/>
        <v>2.34133024661649E-4</v>
      </c>
      <c r="Q61" s="180">
        <f ca="1"/>
        <v>-4.76685286588431E-5</v>
      </c>
      <c r="R61" s="180" t="str">
        <f ca="1"/>
        <v/>
      </c>
      <c r="S61" s="180" t="str">
        <f ca="1"/>
        <v/>
      </c>
      <c r="T61" s="180" t="str">
        <f ca="1"/>
        <v/>
      </c>
      <c r="U61" s="180" t="str">
        <f ca="1"/>
        <v/>
      </c>
      <c r="V61" s="180" t="str">
        <f ca="1"/>
        <v/>
      </c>
      <c r="W61" s="180" t="str">
        <f ca="1"/>
        <v/>
      </c>
      <c r="X61" s="180" t="str">
        <f ca="1"/>
        <v/>
      </c>
      <c r="Y61" s="180" t="str">
        <f ca="1"/>
        <v/>
      </c>
      <c r="Z61" s="180" t="str">
        <f ca="1"/>
        <v/>
      </c>
      <c r="AA61" s="180" t="str">
        <f ca="1"/>
        <v/>
      </c>
      <c r="AB61" s="180" t="str">
        <f ca="1"/>
        <v/>
      </c>
      <c r="AC61" s="180" t="str">
        <f ca="1"/>
        <v/>
      </c>
      <c r="AD61" s="180" t="str">
        <f ca="1"/>
        <v/>
      </c>
      <c r="AE61" s="180" t="str">
        <f ca="1"/>
        <v/>
      </c>
      <c r="AF61" s="180" t="str">
        <f ca="1"/>
        <v/>
      </c>
      <c r="AG61" s="180" t="str">
        <f ca="1"/>
        <v/>
      </c>
      <c r="AH61" s="180" t="str">
        <f ca="1"/>
        <v/>
      </c>
      <c r="AI61" s="180" t="str">
        <f ca="1"/>
        <v/>
      </c>
      <c r="AJ61" s="180" t="str">
        <f ca="1"/>
        <v/>
      </c>
      <c r="AK61" s="180" t="str">
        <f ca="1"/>
        <v/>
      </c>
      <c r="AL61" s="180" t="str">
        <f ca="1"/>
        <v/>
      </c>
      <c r="AM61" s="180" t="str">
        <f ca="1"/>
        <v/>
      </c>
      <c r="AN61" s="180" t="str">
        <f ca="1"/>
        <v/>
      </c>
      <c r="AO61" s="180" t="str">
        <f ca="1"/>
        <v/>
      </c>
      <c r="AP61" s="180" t="str">
        <f ca="1"/>
        <v/>
      </c>
      <c r="AQ61" s="187" t="str">
        <f ca="1"/>
        <v/>
      </c>
    </row>
    <row r="62" spans="2:43" x14ac:dyDescent="0.25">
      <c r="B62" s="179">
        <f ca="1"/>
        <v>50938</v>
      </c>
      <c r="C62" s="180">
        <f ca="1"/>
        <v>1.9194462339000599E-10</v>
      </c>
      <c r="D62" s="180">
        <f ca="1"/>
        <v>-7.9634072253087496E-10</v>
      </c>
      <c r="E62" s="180">
        <f ca="1"/>
        <v>4.2655872341257298E-9</v>
      </c>
      <c r="F62" s="180">
        <f ca="1"/>
        <v>-2.1658131288404501E-8</v>
      </c>
      <c r="G62" s="180">
        <f ca="1"/>
        <v>1.00679585317981E-7</v>
      </c>
      <c r="H62" s="180">
        <f ca="1"/>
        <v>-4.5386179830728097E-7</v>
      </c>
      <c r="I62" s="180">
        <f ca="1"/>
        <v>1.98613434671674E-6</v>
      </c>
      <c r="J62" s="180">
        <f ca="1"/>
        <v>-8.4760937594102697E-6</v>
      </c>
      <c r="K62" s="180">
        <f ca="1"/>
        <v>3.6079618934425899E-5</v>
      </c>
      <c r="L62" s="180">
        <f ca="1"/>
        <v>-8.0306104927010304E-5</v>
      </c>
      <c r="M62" s="180">
        <f ca="1"/>
        <v>1.7773660375907199E-4</v>
      </c>
      <c r="N62" s="180">
        <f ca="1"/>
        <v>-4.30124776320637E-4</v>
      </c>
      <c r="O62" s="180">
        <f ca="1"/>
        <v>1.06129633563542E-4</v>
      </c>
      <c r="P62" s="180">
        <f ca="1"/>
        <v>3.7365381014238498E-4</v>
      </c>
      <c r="Q62" s="180">
        <f ca="1"/>
        <v>-7.6069680701965097E-5</v>
      </c>
      <c r="R62" s="180" t="str">
        <f ca="1"/>
        <v/>
      </c>
      <c r="S62" s="180" t="str">
        <f ca="1"/>
        <v/>
      </c>
      <c r="T62" s="180" t="str">
        <f ca="1"/>
        <v/>
      </c>
      <c r="U62" s="180" t="str">
        <f ca="1"/>
        <v/>
      </c>
      <c r="V62" s="180" t="str">
        <f ca="1"/>
        <v/>
      </c>
      <c r="W62" s="180" t="str">
        <f ca="1"/>
        <v/>
      </c>
      <c r="X62" s="180" t="str">
        <f ca="1"/>
        <v/>
      </c>
      <c r="Y62" s="180" t="str">
        <f ca="1"/>
        <v/>
      </c>
      <c r="Z62" s="180" t="str">
        <f ca="1"/>
        <v/>
      </c>
      <c r="AA62" s="180" t="str">
        <f ca="1"/>
        <v/>
      </c>
      <c r="AB62" s="180" t="str">
        <f ca="1"/>
        <v/>
      </c>
      <c r="AC62" s="180" t="str">
        <f ca="1"/>
        <v/>
      </c>
      <c r="AD62" s="180" t="str">
        <f ca="1"/>
        <v/>
      </c>
      <c r="AE62" s="180" t="str">
        <f ca="1"/>
        <v/>
      </c>
      <c r="AF62" s="180" t="str">
        <f ca="1"/>
        <v/>
      </c>
      <c r="AG62" s="180" t="str">
        <f ca="1"/>
        <v/>
      </c>
      <c r="AH62" s="180" t="str">
        <f ca="1"/>
        <v/>
      </c>
      <c r="AI62" s="180" t="str">
        <f ca="1"/>
        <v/>
      </c>
      <c r="AJ62" s="180" t="str">
        <f ca="1"/>
        <v/>
      </c>
      <c r="AK62" s="180" t="str">
        <f ca="1"/>
        <v/>
      </c>
      <c r="AL62" s="180" t="str">
        <f ca="1"/>
        <v/>
      </c>
      <c r="AM62" s="180" t="str">
        <f ca="1"/>
        <v/>
      </c>
      <c r="AN62" s="180" t="str">
        <f ca="1"/>
        <v/>
      </c>
      <c r="AO62" s="180" t="str">
        <f ca="1"/>
        <v/>
      </c>
      <c r="AP62" s="180" t="str">
        <f ca="1"/>
        <v/>
      </c>
      <c r="AQ62" s="187" t="str">
        <f ca="1"/>
        <v/>
      </c>
    </row>
    <row r="63" spans="2:43" x14ac:dyDescent="0.25">
      <c r="B63" s="179">
        <f ca="1"/>
        <v>51123</v>
      </c>
      <c r="C63" s="180">
        <f ca="1"/>
        <v>1.60235106433371E-10</v>
      </c>
      <c r="D63" s="180">
        <f ca="1"/>
        <v>-5.7262915589828503E-10</v>
      </c>
      <c r="E63" s="180">
        <f ca="1"/>
        <v>3.1134085483330899E-9</v>
      </c>
      <c r="F63" s="180">
        <f ca="1"/>
        <v>-1.5712629884700999E-8</v>
      </c>
      <c r="G63" s="180">
        <f ca="1"/>
        <v>7.3048176906648195E-8</v>
      </c>
      <c r="H63" s="180">
        <f ca="1"/>
        <v>-3.2938370763194201E-7</v>
      </c>
      <c r="I63" s="180">
        <f ca="1"/>
        <v>1.4415268629053299E-6</v>
      </c>
      <c r="J63" s="180">
        <f ca="1"/>
        <v>-6.1520670044598602E-6</v>
      </c>
      <c r="K63" s="180">
        <f ca="1"/>
        <v>2.6186639125978801E-5</v>
      </c>
      <c r="L63" s="180">
        <f ca="1"/>
        <v>-5.8286771371832102E-5</v>
      </c>
      <c r="M63" s="180">
        <f ca="1"/>
        <v>1.2899980865194199E-4</v>
      </c>
      <c r="N63" s="180">
        <f ca="1"/>
        <v>-3.0958367697463498E-4</v>
      </c>
      <c r="O63" s="180">
        <f ca="1"/>
        <v>-1.01371837000281E-4</v>
      </c>
      <c r="P63" s="180">
        <f ca="1"/>
        <v>5.2484334473921698E-4</v>
      </c>
      <c r="Q63" s="180">
        <f ca="1"/>
        <v>-1.0558339977880299E-4</v>
      </c>
      <c r="R63" s="180" t="str">
        <f ca="1"/>
        <v/>
      </c>
      <c r="S63" s="180" t="str">
        <f ca="1"/>
        <v/>
      </c>
      <c r="T63" s="180" t="str">
        <f ca="1"/>
        <v/>
      </c>
      <c r="U63" s="180" t="str">
        <f ca="1"/>
        <v/>
      </c>
      <c r="V63" s="180" t="str">
        <f ca="1"/>
        <v/>
      </c>
      <c r="W63" s="180" t="str">
        <f ca="1"/>
        <v/>
      </c>
      <c r="X63" s="180" t="str">
        <f ca="1"/>
        <v/>
      </c>
      <c r="Y63" s="180" t="str">
        <f ca="1"/>
        <v/>
      </c>
      <c r="Z63" s="180" t="str">
        <f ca="1"/>
        <v/>
      </c>
      <c r="AA63" s="180" t="str">
        <f ca="1"/>
        <v/>
      </c>
      <c r="AB63" s="180" t="str">
        <f ca="1"/>
        <v/>
      </c>
      <c r="AC63" s="180" t="str">
        <f ca="1"/>
        <v/>
      </c>
      <c r="AD63" s="180" t="str">
        <f ca="1"/>
        <v/>
      </c>
      <c r="AE63" s="180" t="str">
        <f ca="1"/>
        <v/>
      </c>
      <c r="AF63" s="180" t="str">
        <f ca="1"/>
        <v/>
      </c>
      <c r="AG63" s="180" t="str">
        <f ca="1"/>
        <v/>
      </c>
      <c r="AH63" s="180" t="str">
        <f ca="1"/>
        <v/>
      </c>
      <c r="AI63" s="180" t="str">
        <f ca="1"/>
        <v/>
      </c>
      <c r="AJ63" s="180" t="str">
        <f ca="1"/>
        <v/>
      </c>
      <c r="AK63" s="180" t="str">
        <f ca="1"/>
        <v/>
      </c>
      <c r="AL63" s="180" t="str">
        <f ca="1"/>
        <v/>
      </c>
      <c r="AM63" s="180" t="str">
        <f ca="1"/>
        <v/>
      </c>
      <c r="AN63" s="180" t="str">
        <f ca="1"/>
        <v/>
      </c>
      <c r="AO63" s="180" t="str">
        <f ca="1"/>
        <v/>
      </c>
      <c r="AP63" s="180" t="str">
        <f ca="1"/>
        <v/>
      </c>
      <c r="AQ63" s="187" t="str">
        <f ca="1"/>
        <v/>
      </c>
    </row>
    <row r="64" spans="2:43" x14ac:dyDescent="0.25">
      <c r="B64" s="179">
        <f ca="1"/>
        <v>51305</v>
      </c>
      <c r="C64" s="180">
        <f ca="1"/>
        <v>1.29264033504883E-10</v>
      </c>
      <c r="D64" s="180">
        <f ca="1"/>
        <v>-3.5872332188047201E-10</v>
      </c>
      <c r="E64" s="180">
        <f ca="1"/>
        <v>2.00614606871152E-9</v>
      </c>
      <c r="F64" s="180">
        <f ca="1"/>
        <v>-1.00034677798233E-8</v>
      </c>
      <c r="G64" s="180">
        <f ca="1"/>
        <v>4.6502507202589298E-8</v>
      </c>
      <c r="H64" s="180">
        <f ca="1"/>
        <v>-2.0979943509205599E-7</v>
      </c>
      <c r="I64" s="180">
        <f ca="1"/>
        <v>9.1831815856799305E-7</v>
      </c>
      <c r="J64" s="180">
        <f ca="1"/>
        <v>-3.9193317400258703E-6</v>
      </c>
      <c r="K64" s="180">
        <f ca="1"/>
        <v>1.66823674297607E-5</v>
      </c>
      <c r="L64" s="180">
        <f ca="1"/>
        <v>-3.7132283338615201E-5</v>
      </c>
      <c r="M64" s="180">
        <f ca="1"/>
        <v>8.21788405866858E-5</v>
      </c>
      <c r="N64" s="180">
        <f ca="1"/>
        <v>-1.9723054916565401E-4</v>
      </c>
      <c r="O64" s="180">
        <f ca="1"/>
        <v>-2.8400844137973699E-4</v>
      </c>
      <c r="P64" s="180">
        <f ca="1"/>
        <v>6.4559440728793904E-4</v>
      </c>
      <c r="Q64" s="180">
        <f ca="1"/>
        <v>-1.2266075644551099E-4</v>
      </c>
      <c r="R64" s="180" t="str">
        <f ca="1"/>
        <v/>
      </c>
      <c r="S64" s="180" t="str">
        <f ca="1"/>
        <v/>
      </c>
      <c r="T64" s="180" t="str">
        <f ca="1"/>
        <v/>
      </c>
      <c r="U64" s="180" t="str">
        <f ca="1"/>
        <v/>
      </c>
      <c r="V64" s="180" t="str">
        <f ca="1"/>
        <v/>
      </c>
      <c r="W64" s="180" t="str">
        <f ca="1"/>
        <v/>
      </c>
      <c r="X64" s="180" t="str">
        <f ca="1"/>
        <v/>
      </c>
      <c r="Y64" s="180" t="str">
        <f ca="1"/>
        <v/>
      </c>
      <c r="Z64" s="180" t="str">
        <f ca="1"/>
        <v/>
      </c>
      <c r="AA64" s="180" t="str">
        <f ca="1"/>
        <v/>
      </c>
      <c r="AB64" s="180" t="str">
        <f ca="1"/>
        <v/>
      </c>
      <c r="AC64" s="180" t="str">
        <f ca="1"/>
        <v/>
      </c>
      <c r="AD64" s="180" t="str">
        <f ca="1"/>
        <v/>
      </c>
      <c r="AE64" s="180" t="str">
        <f ca="1"/>
        <v/>
      </c>
      <c r="AF64" s="180" t="str">
        <f ca="1"/>
        <v/>
      </c>
      <c r="AG64" s="180" t="str">
        <f ca="1"/>
        <v/>
      </c>
      <c r="AH64" s="180" t="str">
        <f ca="1"/>
        <v/>
      </c>
      <c r="AI64" s="180" t="str">
        <f ca="1"/>
        <v/>
      </c>
      <c r="AJ64" s="180" t="str">
        <f ca="1"/>
        <v/>
      </c>
      <c r="AK64" s="180" t="str">
        <f ca="1"/>
        <v/>
      </c>
      <c r="AL64" s="180" t="str">
        <f ca="1"/>
        <v/>
      </c>
      <c r="AM64" s="180" t="str">
        <f ca="1"/>
        <v/>
      </c>
      <c r="AN64" s="180" t="str">
        <f ca="1"/>
        <v/>
      </c>
      <c r="AO64" s="180" t="str">
        <f ca="1"/>
        <v/>
      </c>
      <c r="AP64" s="180" t="str">
        <f ca="1"/>
        <v/>
      </c>
      <c r="AQ64" s="187" t="str">
        <f ca="1"/>
        <v/>
      </c>
    </row>
    <row r="65" spans="2:43" x14ac:dyDescent="0.25">
      <c r="B65" s="179">
        <f ca="1"/>
        <v>51306</v>
      </c>
      <c r="C65" s="180">
        <f ca="1"/>
        <v>1.2910503568996899E-10</v>
      </c>
      <c r="D65" s="180">
        <f ca="1"/>
        <v>-3.57634793307637E-10</v>
      </c>
      <c r="E65" s="180">
        <f ca="1"/>
        <v>2.0005033705972101E-9</v>
      </c>
      <c r="F65" s="180">
        <f ca="1"/>
        <v>-9.9743588249934201E-9</v>
      </c>
      <c r="G65" s="180">
        <f ca="1"/>
        <v>4.6367145751374801E-8</v>
      </c>
      <c r="H65" s="180">
        <f ca="1"/>
        <v>-2.0918965444941E-7</v>
      </c>
      <c r="I65" s="180">
        <f ca="1"/>
        <v>9.1565022755299398E-7</v>
      </c>
      <c r="J65" s="180">
        <f ca="1"/>
        <v>-3.9079465757423104E-6</v>
      </c>
      <c r="K65" s="180">
        <f ca="1"/>
        <v>1.66339034952563E-5</v>
      </c>
      <c r="L65" s="180">
        <f ca="1"/>
        <v>-3.7024412069978898E-5</v>
      </c>
      <c r="M65" s="180">
        <f ca="1"/>
        <v>8.1940094626416896E-5</v>
      </c>
      <c r="N65" s="180">
        <f ca="1"/>
        <v>-1.9665762306914401E-4</v>
      </c>
      <c r="O65" s="180">
        <f ca="1"/>
        <v>-2.8491600486377602E-4</v>
      </c>
      <c r="P65" s="180">
        <f ca="1"/>
        <v>6.4615071690969595E-4</v>
      </c>
      <c r="Q65" s="180">
        <f ca="1"/>
        <v>-1.2271211821717601E-4</v>
      </c>
      <c r="R65" s="180" t="str">
        <f ca="1"/>
        <v/>
      </c>
      <c r="S65" s="180" t="str">
        <f ca="1"/>
        <v/>
      </c>
      <c r="T65" s="180" t="str">
        <f ca="1"/>
        <v/>
      </c>
      <c r="U65" s="180" t="str">
        <f ca="1"/>
        <v/>
      </c>
      <c r="V65" s="180" t="str">
        <f ca="1"/>
        <v/>
      </c>
      <c r="W65" s="180" t="str">
        <f ca="1"/>
        <v/>
      </c>
      <c r="X65" s="180" t="str">
        <f ca="1"/>
        <v/>
      </c>
      <c r="Y65" s="180" t="str">
        <f ca="1"/>
        <v/>
      </c>
      <c r="Z65" s="180" t="str">
        <f ca="1"/>
        <v/>
      </c>
      <c r="AA65" s="180" t="str">
        <f ca="1"/>
        <v/>
      </c>
      <c r="AB65" s="180" t="str">
        <f ca="1"/>
        <v/>
      </c>
      <c r="AC65" s="180" t="str">
        <f ca="1"/>
        <v/>
      </c>
      <c r="AD65" s="180" t="str">
        <f ca="1"/>
        <v/>
      </c>
      <c r="AE65" s="180" t="str">
        <f ca="1"/>
        <v/>
      </c>
      <c r="AF65" s="180" t="str">
        <f ca="1"/>
        <v/>
      </c>
      <c r="AG65" s="180" t="str">
        <f ca="1"/>
        <v/>
      </c>
      <c r="AH65" s="180" t="str">
        <f ca="1"/>
        <v/>
      </c>
      <c r="AI65" s="180" t="str">
        <f ca="1"/>
        <v/>
      </c>
      <c r="AJ65" s="180" t="str">
        <f ca="1"/>
        <v/>
      </c>
      <c r="AK65" s="180" t="str">
        <f ca="1"/>
        <v/>
      </c>
      <c r="AL65" s="180" t="str">
        <f ca="1"/>
        <v/>
      </c>
      <c r="AM65" s="180" t="str">
        <f ca="1"/>
        <v/>
      </c>
      <c r="AN65" s="180" t="str">
        <f ca="1"/>
        <v/>
      </c>
      <c r="AO65" s="180" t="str">
        <f ca="1"/>
        <v/>
      </c>
      <c r="AP65" s="180" t="str">
        <f ca="1"/>
        <v/>
      </c>
      <c r="AQ65" s="187" t="str">
        <f ca="1"/>
        <v/>
      </c>
    </row>
    <row r="66" spans="2:43" x14ac:dyDescent="0.25">
      <c r="B66" s="179">
        <f ca="1"/>
        <v>51487</v>
      </c>
      <c r="C66" s="180">
        <f ca="1"/>
        <v>1.02660296930068E-10</v>
      </c>
      <c r="D66" s="180">
        <f ca="1"/>
        <v>-1.7649618225257199E-10</v>
      </c>
      <c r="E66" s="180">
        <f ca="1"/>
        <v>1.0609627447422099E-9</v>
      </c>
      <c r="F66" s="180">
        <f ca="1"/>
        <v>-5.1240414133957302E-9</v>
      </c>
      <c r="G66" s="180">
        <f ca="1"/>
        <v>2.38094172953784E-8</v>
      </c>
      <c r="H66" s="180">
        <f ca="1"/>
        <v>-1.07571487543978E-7</v>
      </c>
      <c r="I66" s="180">
        <f ca="1"/>
        <v>4.7104816530696399E-7</v>
      </c>
      <c r="J66" s="180">
        <f ca="1"/>
        <v>-2.01063315008465E-6</v>
      </c>
      <c r="K66" s="180">
        <f ca="1"/>
        <v>8.5575321953912392E-6</v>
      </c>
      <c r="L66" s="180">
        <f ca="1"/>
        <v>-1.90478636977603E-5</v>
      </c>
      <c r="M66" s="180">
        <f ca="1"/>
        <v>4.2154111596963397E-5</v>
      </c>
      <c r="N66" s="180">
        <f ca="1"/>
        <v>-1.0117865619747501E-4</v>
      </c>
      <c r="O66" s="180">
        <f ca="1"/>
        <v>-4.3155457315263002E-4</v>
      </c>
      <c r="P66" s="180">
        <f ca="1"/>
        <v>7.27357937181358E-4</v>
      </c>
      <c r="Q66" s="180">
        <f ca="1"/>
        <v>-1.24381290917842E-4</v>
      </c>
      <c r="R66" s="180" t="str">
        <f ca="1"/>
        <v/>
      </c>
      <c r="S66" s="180" t="str">
        <f ca="1"/>
        <v/>
      </c>
      <c r="T66" s="180" t="str">
        <f ca="1"/>
        <v/>
      </c>
      <c r="U66" s="180" t="str">
        <f ca="1"/>
        <v/>
      </c>
      <c r="V66" s="180" t="str">
        <f ca="1"/>
        <v/>
      </c>
      <c r="W66" s="180" t="str">
        <f ca="1"/>
        <v/>
      </c>
      <c r="X66" s="180" t="str">
        <f ca="1"/>
        <v/>
      </c>
      <c r="Y66" s="180" t="str">
        <f ca="1"/>
        <v/>
      </c>
      <c r="Z66" s="180" t="str">
        <f ca="1"/>
        <v/>
      </c>
      <c r="AA66" s="180" t="str">
        <f ca="1"/>
        <v/>
      </c>
      <c r="AB66" s="180" t="str">
        <f ca="1"/>
        <v/>
      </c>
      <c r="AC66" s="180" t="str">
        <f ca="1"/>
        <v/>
      </c>
      <c r="AD66" s="180" t="str">
        <f ca="1"/>
        <v/>
      </c>
      <c r="AE66" s="180" t="str">
        <f ca="1"/>
        <v/>
      </c>
      <c r="AF66" s="180" t="str">
        <f ca="1"/>
        <v/>
      </c>
      <c r="AG66" s="180" t="str">
        <f ca="1"/>
        <v/>
      </c>
      <c r="AH66" s="180" t="str">
        <f ca="1"/>
        <v/>
      </c>
      <c r="AI66" s="180" t="str">
        <f ca="1"/>
        <v/>
      </c>
      <c r="AJ66" s="180" t="str">
        <f ca="1"/>
        <v/>
      </c>
      <c r="AK66" s="180" t="str">
        <f ca="1"/>
        <v/>
      </c>
      <c r="AL66" s="180" t="str">
        <f ca="1"/>
        <v/>
      </c>
      <c r="AM66" s="180" t="str">
        <f ca="1"/>
        <v/>
      </c>
      <c r="AN66" s="180" t="str">
        <f ca="1"/>
        <v/>
      </c>
      <c r="AO66" s="180" t="str">
        <f ca="1"/>
        <v/>
      </c>
      <c r="AP66" s="180" t="str">
        <f ca="1"/>
        <v/>
      </c>
      <c r="AQ66" s="187" t="str">
        <f ca="1"/>
        <v/>
      </c>
    </row>
    <row r="67" spans="2:43" x14ac:dyDescent="0.25">
      <c r="B67" s="179">
        <f ca="1"/>
        <v>51488</v>
      </c>
      <c r="C67" s="180">
        <f ca="1"/>
        <v>1.02526338113806E-10</v>
      </c>
      <c r="D67" s="180">
        <f ca="1"/>
        <v>-1.7557779535826201E-10</v>
      </c>
      <c r="E67" s="180">
        <f ca="1"/>
        <v>1.05619688689496E-9</v>
      </c>
      <c r="F67" s="180">
        <f ca="1"/>
        <v>-5.0994158340422799E-9</v>
      </c>
      <c r="G67" s="180">
        <f ca="1"/>
        <v>2.3694873316909599E-8</v>
      </c>
      <c r="H67" s="180">
        <f ca="1"/>
        <v>-1.0705549106579399E-7</v>
      </c>
      <c r="I67" s="180">
        <f ca="1"/>
        <v>4.6879057119530998E-7</v>
      </c>
      <c r="J67" s="180">
        <f ca="1"/>
        <v>-2.0009989247990501E-6</v>
      </c>
      <c r="K67" s="180">
        <f ca="1"/>
        <v>8.5165220181579493E-6</v>
      </c>
      <c r="L67" s="180">
        <f ca="1"/>
        <v>-1.89565818102151E-5</v>
      </c>
      <c r="M67" s="180">
        <f ca="1"/>
        <v>4.1952088097495899E-5</v>
      </c>
      <c r="N67" s="180">
        <f ca="1"/>
        <v>-1.0069382042155301E-4</v>
      </c>
      <c r="O67" s="180">
        <f ca="1"/>
        <v>-4.3227187983437302E-4</v>
      </c>
      <c r="P67" s="180">
        <f ca="1"/>
        <v>7.2770168428247203E-4</v>
      </c>
      <c r="Q67" s="180">
        <f ca="1"/>
        <v>-1.2434842772918899E-4</v>
      </c>
      <c r="R67" s="180" t="str">
        <f ca="1"/>
        <v/>
      </c>
      <c r="S67" s="180" t="str">
        <f ca="1"/>
        <v/>
      </c>
      <c r="T67" s="180" t="str">
        <f ca="1"/>
        <v/>
      </c>
      <c r="U67" s="180" t="str">
        <f ca="1"/>
        <v/>
      </c>
      <c r="V67" s="180" t="str">
        <f ca="1"/>
        <v/>
      </c>
      <c r="W67" s="180" t="str">
        <f ca="1"/>
        <v/>
      </c>
      <c r="X67" s="180" t="str">
        <f ca="1"/>
        <v/>
      </c>
      <c r="Y67" s="180" t="str">
        <f ca="1"/>
        <v/>
      </c>
      <c r="Z67" s="180" t="str">
        <f ca="1"/>
        <v/>
      </c>
      <c r="AA67" s="180" t="str">
        <f ca="1"/>
        <v/>
      </c>
      <c r="AB67" s="180" t="str">
        <f ca="1"/>
        <v/>
      </c>
      <c r="AC67" s="180" t="str">
        <f ca="1"/>
        <v/>
      </c>
      <c r="AD67" s="180" t="str">
        <f ca="1"/>
        <v/>
      </c>
      <c r="AE67" s="180" t="str">
        <f ca="1"/>
        <v/>
      </c>
      <c r="AF67" s="180" t="str">
        <f ca="1"/>
        <v/>
      </c>
      <c r="AG67" s="180" t="str">
        <f ca="1"/>
        <v/>
      </c>
      <c r="AH67" s="180" t="str">
        <f ca="1"/>
        <v/>
      </c>
      <c r="AI67" s="180" t="str">
        <f ca="1"/>
        <v/>
      </c>
      <c r="AJ67" s="180" t="str">
        <f ca="1"/>
        <v/>
      </c>
      <c r="AK67" s="180" t="str">
        <f ca="1"/>
        <v/>
      </c>
      <c r="AL67" s="180" t="str">
        <f ca="1"/>
        <v/>
      </c>
      <c r="AM67" s="180" t="str">
        <f ca="1"/>
        <v/>
      </c>
      <c r="AN67" s="180" t="str">
        <f ca="1"/>
        <v/>
      </c>
      <c r="AO67" s="180" t="str">
        <f ca="1"/>
        <v/>
      </c>
      <c r="AP67" s="180" t="str">
        <f ca="1"/>
        <v/>
      </c>
      <c r="AQ67" s="187" t="str">
        <f ca="1"/>
        <v/>
      </c>
    </row>
    <row r="68" spans="2:43" x14ac:dyDescent="0.25">
      <c r="B68" s="179">
        <f ca="1"/>
        <v>51669</v>
      </c>
      <c r="C68" s="180">
        <f ca="1"/>
        <v>8.0247062467231306E-11</v>
      </c>
      <c r="D68" s="180">
        <f ca="1"/>
        <v>-2.4637781398384501E-11</v>
      </c>
      <c r="E68" s="180">
        <f ca="1"/>
        <v>2.7107845829155199E-10</v>
      </c>
      <c r="F68" s="180">
        <f ca="1"/>
        <v>-1.03925917177561E-9</v>
      </c>
      <c r="G68" s="180">
        <f ca="1"/>
        <v>4.8056754201053503E-9</v>
      </c>
      <c r="H68" s="180">
        <f ca="1"/>
        <v>-2.1964600194213101E-8</v>
      </c>
      <c r="I68" s="180">
        <f ca="1"/>
        <v>9.6499956876022805E-8</v>
      </c>
      <c r="J68" s="180">
        <f ca="1"/>
        <v>-4.1224424704791601E-7</v>
      </c>
      <c r="K68" s="180">
        <f ca="1"/>
        <v>1.7536811216280199E-6</v>
      </c>
      <c r="L68" s="180">
        <f ca="1"/>
        <v>-3.9035250625346604E-6</v>
      </c>
      <c r="M68" s="180">
        <f ca="1"/>
        <v>8.6373576133995395E-6</v>
      </c>
      <c r="N68" s="180">
        <f ca="1"/>
        <v>-2.07394432399297E-5</v>
      </c>
      <c r="O68" s="180">
        <f ca="1"/>
        <v>-5.4512723206440498E-4</v>
      </c>
      <c r="P68" s="180">
        <f ca="1"/>
        <v>7.7072711570028195E-4</v>
      </c>
      <c r="Q68" s="180">
        <f ca="1"/>
        <v>-1.1069879188914E-4</v>
      </c>
      <c r="R68" s="180" t="str">
        <f ca="1"/>
        <v/>
      </c>
      <c r="S68" s="180" t="str">
        <f ca="1"/>
        <v/>
      </c>
      <c r="T68" s="180" t="str">
        <f ca="1"/>
        <v/>
      </c>
      <c r="U68" s="180" t="str">
        <f ca="1"/>
        <v/>
      </c>
      <c r="V68" s="180" t="str">
        <f ca="1"/>
        <v/>
      </c>
      <c r="W68" s="180" t="str">
        <f ca="1"/>
        <v/>
      </c>
      <c r="X68" s="180" t="str">
        <f ca="1"/>
        <v/>
      </c>
      <c r="Y68" s="180" t="str">
        <f ca="1"/>
        <v/>
      </c>
      <c r="Z68" s="180" t="str">
        <f ca="1"/>
        <v/>
      </c>
      <c r="AA68" s="180" t="str">
        <f ca="1"/>
        <v/>
      </c>
      <c r="AB68" s="180" t="str">
        <f ca="1"/>
        <v/>
      </c>
      <c r="AC68" s="180" t="str">
        <f ca="1"/>
        <v/>
      </c>
      <c r="AD68" s="180" t="str">
        <f ca="1"/>
        <v/>
      </c>
      <c r="AE68" s="180" t="str">
        <f ca="1"/>
        <v/>
      </c>
      <c r="AF68" s="180" t="str">
        <f ca="1"/>
        <v/>
      </c>
      <c r="AG68" s="180" t="str">
        <f ca="1"/>
        <v/>
      </c>
      <c r="AH68" s="180" t="str">
        <f ca="1"/>
        <v/>
      </c>
      <c r="AI68" s="180" t="str">
        <f ca="1"/>
        <v/>
      </c>
      <c r="AJ68" s="180" t="str">
        <f ca="1"/>
        <v/>
      </c>
      <c r="AK68" s="180" t="str">
        <f ca="1"/>
        <v/>
      </c>
      <c r="AL68" s="180" t="str">
        <f ca="1"/>
        <v/>
      </c>
      <c r="AM68" s="180" t="str">
        <f ca="1"/>
        <v/>
      </c>
      <c r="AN68" s="180" t="str">
        <f ca="1"/>
        <v/>
      </c>
      <c r="AO68" s="180" t="str">
        <f ca="1"/>
        <v/>
      </c>
      <c r="AP68" s="180" t="str">
        <f ca="1"/>
        <v/>
      </c>
      <c r="AQ68" s="187" t="str">
        <f ca="1"/>
        <v/>
      </c>
    </row>
    <row r="69" spans="2:43" x14ac:dyDescent="0.25">
      <c r="B69" s="179">
        <f ca="1"/>
        <v>51852</v>
      </c>
      <c r="C69" s="180">
        <f ca="1"/>
        <v>6.2149407148437406E-11</v>
      </c>
      <c r="D69" s="180">
        <f ca="1"/>
        <v>9.5849481129839401E-11</v>
      </c>
      <c r="E69" s="180">
        <f ca="1"/>
        <v>-3.5834324743633198E-10</v>
      </c>
      <c r="F69" s="180">
        <f ca="1"/>
        <v>2.22415887790595E-9</v>
      </c>
      <c r="G69" s="180">
        <f ca="1"/>
        <v>-1.0384451978873201E-8</v>
      </c>
      <c r="H69" s="180">
        <f ca="1"/>
        <v>4.64614957479403E-8</v>
      </c>
      <c r="I69" s="180">
        <f ca="1"/>
        <v>-2.0287766675647401E-7</v>
      </c>
      <c r="J69" s="180">
        <f ca="1"/>
        <v>8.6538400840760498E-7</v>
      </c>
      <c r="K69" s="180">
        <f ca="1"/>
        <v>-3.6847160549136098E-6</v>
      </c>
      <c r="L69" s="180">
        <f ca="1"/>
        <v>8.2016487184151405E-6</v>
      </c>
      <c r="M69" s="180">
        <f ca="1"/>
        <v>-1.81526287162288E-5</v>
      </c>
      <c r="N69" s="180">
        <f ca="1"/>
        <v>4.35592107170951E-5</v>
      </c>
      <c r="O69" s="180">
        <f ca="1"/>
        <v>-6.2378399779626503E-4</v>
      </c>
      <c r="P69" s="180">
        <f ca="1"/>
        <v>7.7504550583483802E-4</v>
      </c>
      <c r="Q69" s="180">
        <f ca="1"/>
        <v>-8.1565451616159897E-5</v>
      </c>
      <c r="R69" s="180" t="str">
        <f ca="1"/>
        <v/>
      </c>
      <c r="S69" s="180" t="str">
        <f ca="1"/>
        <v/>
      </c>
      <c r="T69" s="180" t="str">
        <f ca="1"/>
        <v/>
      </c>
      <c r="U69" s="180" t="str">
        <f ca="1"/>
        <v/>
      </c>
      <c r="V69" s="180" t="str">
        <f ca="1"/>
        <v/>
      </c>
      <c r="W69" s="180" t="str">
        <f ca="1"/>
        <v/>
      </c>
      <c r="X69" s="180" t="str">
        <f ca="1"/>
        <v/>
      </c>
      <c r="Y69" s="180" t="str">
        <f ca="1"/>
        <v/>
      </c>
      <c r="Z69" s="180" t="str">
        <f ca="1"/>
        <v/>
      </c>
      <c r="AA69" s="180" t="str">
        <f ca="1"/>
        <v/>
      </c>
      <c r="AB69" s="180" t="str">
        <f ca="1"/>
        <v/>
      </c>
      <c r="AC69" s="180" t="str">
        <f ca="1"/>
        <v/>
      </c>
      <c r="AD69" s="180" t="str">
        <f ca="1"/>
        <v/>
      </c>
      <c r="AE69" s="180" t="str">
        <f ca="1"/>
        <v/>
      </c>
      <c r="AF69" s="180" t="str">
        <f ca="1"/>
        <v/>
      </c>
      <c r="AG69" s="180" t="str">
        <f ca="1"/>
        <v/>
      </c>
      <c r="AH69" s="180" t="str">
        <f ca="1"/>
        <v/>
      </c>
      <c r="AI69" s="180" t="str">
        <f ca="1"/>
        <v/>
      </c>
      <c r="AJ69" s="180" t="str">
        <f ca="1"/>
        <v/>
      </c>
      <c r="AK69" s="180" t="str">
        <f ca="1"/>
        <v/>
      </c>
      <c r="AL69" s="180" t="str">
        <f ca="1"/>
        <v/>
      </c>
      <c r="AM69" s="180" t="str">
        <f ca="1"/>
        <v/>
      </c>
      <c r="AN69" s="180" t="str">
        <f ca="1"/>
        <v/>
      </c>
      <c r="AO69" s="180" t="str">
        <f ca="1"/>
        <v/>
      </c>
      <c r="AP69" s="180" t="str">
        <f ca="1"/>
        <v/>
      </c>
      <c r="AQ69" s="187" t="str">
        <f ca="1"/>
        <v/>
      </c>
    </row>
    <row r="70" spans="2:43" x14ac:dyDescent="0.25">
      <c r="B70" s="179">
        <f ca="1"/>
        <v>52034</v>
      </c>
      <c r="C70" s="180">
        <f ca="1"/>
        <v>4.8394951240871003E-11</v>
      </c>
      <c r="D70" s="180">
        <f ca="1"/>
        <v>1.8492049558282999E-10</v>
      </c>
      <c r="E70" s="180">
        <f ca="1"/>
        <v>-8.2703898243718901E-10</v>
      </c>
      <c r="F70" s="180">
        <f ca="1"/>
        <v>4.66493729062156E-9</v>
      </c>
      <c r="G70" s="180">
        <f ca="1"/>
        <v>-2.1755058518535499E-8</v>
      </c>
      <c r="H70" s="180">
        <f ca="1"/>
        <v>9.7680117109449904E-8</v>
      </c>
      <c r="I70" s="180">
        <f ca="1"/>
        <v>-4.2696791282756401E-7</v>
      </c>
      <c r="J70" s="180">
        <f ca="1"/>
        <v>1.8217523974593799E-6</v>
      </c>
      <c r="K70" s="180">
        <f ca="1"/>
        <v>-7.7555481180317798E-6</v>
      </c>
      <c r="L70" s="180">
        <f ca="1"/>
        <v>1.7262878972860302E-5</v>
      </c>
      <c r="M70" s="180">
        <f ca="1"/>
        <v>-3.8205661487822299E-5</v>
      </c>
      <c r="N70" s="180">
        <f ca="1"/>
        <v>9.1690667506232794E-5</v>
      </c>
      <c r="O70" s="180">
        <f ca="1"/>
        <v>-6.6760154982684105E-4</v>
      </c>
      <c r="P70" s="180">
        <f ca="1"/>
        <v>7.4042633830184398E-4</v>
      </c>
      <c r="Q70" s="180">
        <f ca="1"/>
        <v>-3.6975746897538498E-5</v>
      </c>
      <c r="R70" s="180" t="str">
        <f ca="1"/>
        <v/>
      </c>
      <c r="S70" s="180" t="str">
        <f ca="1"/>
        <v/>
      </c>
      <c r="T70" s="180" t="str">
        <f ca="1"/>
        <v/>
      </c>
      <c r="U70" s="180" t="str">
        <f ca="1"/>
        <v/>
      </c>
      <c r="V70" s="180" t="str">
        <f ca="1"/>
        <v/>
      </c>
      <c r="W70" s="180" t="str">
        <f ca="1"/>
        <v/>
      </c>
      <c r="X70" s="180" t="str">
        <f ca="1"/>
        <v/>
      </c>
      <c r="Y70" s="180" t="str">
        <f ca="1"/>
        <v/>
      </c>
      <c r="Z70" s="180" t="str">
        <f ca="1"/>
        <v/>
      </c>
      <c r="AA70" s="180" t="str">
        <f ca="1"/>
        <v/>
      </c>
      <c r="AB70" s="180" t="str">
        <f ca="1"/>
        <v/>
      </c>
      <c r="AC70" s="180" t="str">
        <f ca="1"/>
        <v/>
      </c>
      <c r="AD70" s="180" t="str">
        <f ca="1"/>
        <v/>
      </c>
      <c r="AE70" s="180" t="str">
        <f ca="1"/>
        <v/>
      </c>
      <c r="AF70" s="180" t="str">
        <f ca="1"/>
        <v/>
      </c>
      <c r="AG70" s="180" t="str">
        <f ca="1"/>
        <v/>
      </c>
      <c r="AH70" s="180" t="str">
        <f ca="1"/>
        <v/>
      </c>
      <c r="AI70" s="180" t="str">
        <f ca="1"/>
        <v/>
      </c>
      <c r="AJ70" s="180" t="str">
        <f ca="1"/>
        <v/>
      </c>
      <c r="AK70" s="180" t="str">
        <f ca="1"/>
        <v/>
      </c>
      <c r="AL70" s="180" t="str">
        <f ca="1"/>
        <v/>
      </c>
      <c r="AM70" s="180" t="str">
        <f ca="1"/>
        <v/>
      </c>
      <c r="AN70" s="180" t="str">
        <f ca="1"/>
        <v/>
      </c>
      <c r="AO70" s="180" t="str">
        <f ca="1"/>
        <v/>
      </c>
      <c r="AP70" s="180" t="str">
        <f ca="1"/>
        <v/>
      </c>
      <c r="AQ70" s="187" t="str">
        <f ca="1"/>
        <v/>
      </c>
    </row>
    <row r="71" spans="2:43" x14ac:dyDescent="0.25">
      <c r="B71" s="179">
        <f ca="1"/>
        <v>52217</v>
      </c>
      <c r="C71" s="180">
        <f ca="1"/>
        <v>3.8958728604265903E-11</v>
      </c>
      <c r="D71" s="180">
        <f ca="1"/>
        <v>2.42605935341089E-10</v>
      </c>
      <c r="E71" s="180">
        <f ca="1"/>
        <v>-1.1352009436638199E-9</v>
      </c>
      <c r="F71" s="180">
        <f ca="1"/>
        <v>6.2839720232910101E-9</v>
      </c>
      <c r="G71" s="180">
        <f ca="1"/>
        <v>-2.9310274207716699E-8</v>
      </c>
      <c r="H71" s="180">
        <f ca="1"/>
        <v>1.3170994580744E-7</v>
      </c>
      <c r="I71" s="180">
        <f ca="1"/>
        <v>-5.7585263590551103E-7</v>
      </c>
      <c r="J71" s="180">
        <f ca="1"/>
        <v>2.4572096875910601E-6</v>
      </c>
      <c r="K71" s="180">
        <f ca="1"/>
        <v>-1.04603101705736E-5</v>
      </c>
      <c r="L71" s="180">
        <f ca="1"/>
        <v>2.32834318559423E-5</v>
      </c>
      <c r="M71" s="180">
        <f ca="1"/>
        <v>-5.1529271695317097E-5</v>
      </c>
      <c r="N71" s="180">
        <f ca="1"/>
        <v>1.23671301299096E-4</v>
      </c>
      <c r="O71" s="180">
        <f ca="1"/>
        <v>-6.76507551639484E-4</v>
      </c>
      <c r="P71" s="180">
        <f ca="1"/>
        <v>6.66773916097957E-4</v>
      </c>
      <c r="Q71" s="180">
        <f ca="1"/>
        <v>2.30538203459182E-5</v>
      </c>
      <c r="R71" s="180" t="str">
        <f ca="1"/>
        <v/>
      </c>
      <c r="S71" s="180" t="str">
        <f ca="1"/>
        <v/>
      </c>
      <c r="T71" s="180" t="str">
        <f ca="1"/>
        <v/>
      </c>
      <c r="U71" s="180" t="str">
        <f ca="1"/>
        <v/>
      </c>
      <c r="V71" s="180" t="str">
        <f ca="1"/>
        <v/>
      </c>
      <c r="W71" s="180" t="str">
        <f ca="1"/>
        <v/>
      </c>
      <c r="X71" s="180" t="str">
        <f ca="1"/>
        <v/>
      </c>
      <c r="Y71" s="180" t="str">
        <f ca="1"/>
        <v/>
      </c>
      <c r="Z71" s="180" t="str">
        <f ca="1"/>
        <v/>
      </c>
      <c r="AA71" s="180" t="str">
        <f ca="1"/>
        <v/>
      </c>
      <c r="AB71" s="180" t="str">
        <f ca="1"/>
        <v/>
      </c>
      <c r="AC71" s="180" t="str">
        <f ca="1"/>
        <v/>
      </c>
      <c r="AD71" s="180" t="str">
        <f ca="1"/>
        <v/>
      </c>
      <c r="AE71" s="180" t="str">
        <f ca="1"/>
        <v/>
      </c>
      <c r="AF71" s="180" t="str">
        <f ca="1"/>
        <v/>
      </c>
      <c r="AG71" s="180" t="str">
        <f ca="1"/>
        <v/>
      </c>
      <c r="AH71" s="180" t="str">
        <f ca="1"/>
        <v/>
      </c>
      <c r="AI71" s="180" t="str">
        <f ca="1"/>
        <v/>
      </c>
      <c r="AJ71" s="180" t="str">
        <f ca="1"/>
        <v/>
      </c>
      <c r="AK71" s="180" t="str">
        <f ca="1"/>
        <v/>
      </c>
      <c r="AL71" s="180" t="str">
        <f ca="1"/>
        <v/>
      </c>
      <c r="AM71" s="180" t="str">
        <f ca="1"/>
        <v/>
      </c>
      <c r="AN71" s="180" t="str">
        <f ca="1"/>
        <v/>
      </c>
      <c r="AO71" s="180" t="str">
        <f ca="1"/>
        <v/>
      </c>
      <c r="AP71" s="180" t="str">
        <f ca="1"/>
        <v/>
      </c>
      <c r="AQ71" s="187" t="str">
        <f ca="1"/>
        <v/>
      </c>
    </row>
    <row r="72" spans="2:43" x14ac:dyDescent="0.25">
      <c r="B72" s="179">
        <f ca="1"/>
        <v>52399</v>
      </c>
      <c r="C72" s="180">
        <f ca="1"/>
        <v>3.3861000808821399E-11</v>
      </c>
      <c r="D72" s="180">
        <f ca="1"/>
        <v>2.6890358689746203E-10</v>
      </c>
      <c r="E72" s="180">
        <f ca="1"/>
        <v>-1.28277366853724E-9</v>
      </c>
      <c r="F72" s="180">
        <f ca="1"/>
        <v>7.0810836985679701E-9</v>
      </c>
      <c r="G72" s="180">
        <f ca="1"/>
        <v>-3.30493023122103E-8</v>
      </c>
      <c r="H72" s="180">
        <f ca="1"/>
        <v>1.4854731477873E-7</v>
      </c>
      <c r="I72" s="180">
        <f ca="1"/>
        <v>-6.4951572513807798E-7</v>
      </c>
      <c r="J72" s="180">
        <f ca="1"/>
        <v>2.7716867494025098E-6</v>
      </c>
      <c r="K72" s="180">
        <f ca="1"/>
        <v>-1.1798714357875301E-5</v>
      </c>
      <c r="L72" s="180">
        <f ca="1"/>
        <v>2.62626299409284E-5</v>
      </c>
      <c r="M72" s="180">
        <f ca="1"/>
        <v>-5.8122140521241199E-5</v>
      </c>
      <c r="N72" s="180">
        <f ca="1"/>
        <v>1.39496932633352E-4</v>
      </c>
      <c r="O72" s="180">
        <f ca="1"/>
        <v>-6.5059253828073798E-4</v>
      </c>
      <c r="P72" s="180">
        <f ca="1"/>
        <v>5.5418734904979703E-4</v>
      </c>
      <c r="Q72" s="180">
        <f ca="1"/>
        <v>9.8550283014416803E-5</v>
      </c>
      <c r="R72" s="180" t="str">
        <f ca="1"/>
        <v/>
      </c>
      <c r="S72" s="180" t="str">
        <f ca="1"/>
        <v/>
      </c>
      <c r="T72" s="180" t="str">
        <f ca="1"/>
        <v/>
      </c>
      <c r="U72" s="180" t="str">
        <f ca="1"/>
        <v/>
      </c>
      <c r="V72" s="180" t="str">
        <f ca="1"/>
        <v/>
      </c>
      <c r="W72" s="180" t="str">
        <f ca="1"/>
        <v/>
      </c>
      <c r="X72" s="180" t="str">
        <f ca="1"/>
        <v/>
      </c>
      <c r="Y72" s="180" t="str">
        <f ca="1"/>
        <v/>
      </c>
      <c r="Z72" s="180" t="str">
        <f ca="1"/>
        <v/>
      </c>
      <c r="AA72" s="180" t="str">
        <f ca="1"/>
        <v/>
      </c>
      <c r="AB72" s="180" t="str">
        <f ca="1"/>
        <v/>
      </c>
      <c r="AC72" s="180" t="str">
        <f ca="1"/>
        <v/>
      </c>
      <c r="AD72" s="180" t="str">
        <f ca="1"/>
        <v/>
      </c>
      <c r="AE72" s="180" t="str">
        <f ca="1"/>
        <v/>
      </c>
      <c r="AF72" s="180" t="str">
        <f ca="1"/>
        <v/>
      </c>
      <c r="AG72" s="180" t="str">
        <f ca="1"/>
        <v/>
      </c>
      <c r="AH72" s="180" t="str">
        <f ca="1"/>
        <v/>
      </c>
      <c r="AI72" s="180" t="str">
        <f ca="1"/>
        <v/>
      </c>
      <c r="AJ72" s="180" t="str">
        <f ca="1"/>
        <v/>
      </c>
      <c r="AK72" s="180" t="str">
        <f ca="1"/>
        <v/>
      </c>
      <c r="AL72" s="180" t="str">
        <f ca="1"/>
        <v/>
      </c>
      <c r="AM72" s="180" t="str">
        <f ca="1"/>
        <v/>
      </c>
      <c r="AN72" s="180" t="str">
        <f ca="1"/>
        <v/>
      </c>
      <c r="AO72" s="180" t="str">
        <f ca="1"/>
        <v/>
      </c>
      <c r="AP72" s="180" t="str">
        <f ca="1"/>
        <v/>
      </c>
      <c r="AQ72" s="187" t="str">
        <f ca="1"/>
        <v/>
      </c>
    </row>
    <row r="73" spans="2:43" x14ac:dyDescent="0.25">
      <c r="B73" s="179">
        <f ca="1"/>
        <v>52582</v>
      </c>
      <c r="C73" s="180">
        <f ca="1"/>
        <v>3.3090467865814998E-11</v>
      </c>
      <c r="D73" s="180">
        <f ca="1"/>
        <v>2.6375754011431799E-10</v>
      </c>
      <c r="E73" s="180">
        <f ca="1"/>
        <v>-1.2695505861859401E-9</v>
      </c>
      <c r="F73" s="180">
        <f ca="1"/>
        <v>7.0552460020023602E-9</v>
      </c>
      <c r="G73" s="180">
        <f ca="1"/>
        <v>-3.2967455650817503E-8</v>
      </c>
      <c r="H73" s="180">
        <f ca="1"/>
        <v>1.48171140492565E-7</v>
      </c>
      <c r="I73" s="180">
        <f ca="1"/>
        <v>-6.4786499968244604E-7</v>
      </c>
      <c r="J73" s="180">
        <f ca="1"/>
        <v>2.7647904324440399E-6</v>
      </c>
      <c r="K73" s="180">
        <f ca="1"/>
        <v>-1.17690902758892E-5</v>
      </c>
      <c r="L73" s="180">
        <f ca="1"/>
        <v>2.6196732142672001E-5</v>
      </c>
      <c r="M73" s="180">
        <f ca="1"/>
        <v>-5.7976101070549E-5</v>
      </c>
      <c r="N73" s="180">
        <f ca="1"/>
        <v>1.39147327147805E-4</v>
      </c>
      <c r="O73" s="180">
        <f ca="1"/>
        <v>-5.8957949736785503E-4</v>
      </c>
      <c r="P73" s="180">
        <f ca="1"/>
        <v>4.0214698316523898E-4</v>
      </c>
      <c r="Q73" s="180">
        <f ca="1"/>
        <v>1.8975896963659101E-4</v>
      </c>
      <c r="R73" s="180" t="str">
        <f ca="1"/>
        <v/>
      </c>
      <c r="S73" s="180" t="str">
        <f ca="1"/>
        <v/>
      </c>
      <c r="T73" s="180" t="str">
        <f ca="1"/>
        <v/>
      </c>
      <c r="U73" s="180" t="str">
        <f ca="1"/>
        <v/>
      </c>
      <c r="V73" s="180" t="str">
        <f ca="1"/>
        <v/>
      </c>
      <c r="W73" s="180" t="str">
        <f ca="1"/>
        <v/>
      </c>
      <c r="X73" s="180" t="str">
        <f ca="1"/>
        <v/>
      </c>
      <c r="Y73" s="180" t="str">
        <f ca="1"/>
        <v/>
      </c>
      <c r="Z73" s="180" t="str">
        <f ca="1"/>
        <v/>
      </c>
      <c r="AA73" s="180" t="str">
        <f ca="1"/>
        <v/>
      </c>
      <c r="AB73" s="180" t="str">
        <f ca="1"/>
        <v/>
      </c>
      <c r="AC73" s="180" t="str">
        <f ca="1"/>
        <v/>
      </c>
      <c r="AD73" s="180" t="str">
        <f ca="1"/>
        <v/>
      </c>
      <c r="AE73" s="180" t="str">
        <f ca="1"/>
        <v/>
      </c>
      <c r="AF73" s="180" t="str">
        <f ca="1"/>
        <v/>
      </c>
      <c r="AG73" s="180" t="str">
        <f ca="1"/>
        <v/>
      </c>
      <c r="AH73" s="180" t="str">
        <f ca="1"/>
        <v/>
      </c>
      <c r="AI73" s="180" t="str">
        <f ca="1"/>
        <v/>
      </c>
      <c r="AJ73" s="180" t="str">
        <f ca="1"/>
        <v/>
      </c>
      <c r="AK73" s="180" t="str">
        <f ca="1"/>
        <v/>
      </c>
      <c r="AL73" s="180" t="str">
        <f ca="1"/>
        <v/>
      </c>
      <c r="AM73" s="180" t="str">
        <f ca="1"/>
        <v/>
      </c>
      <c r="AN73" s="180" t="str">
        <f ca="1"/>
        <v/>
      </c>
      <c r="AO73" s="180" t="str">
        <f ca="1"/>
        <v/>
      </c>
      <c r="AP73" s="180" t="str">
        <f ca="1"/>
        <v/>
      </c>
      <c r="AQ73" s="187" t="str">
        <f ca="1"/>
        <v/>
      </c>
    </row>
    <row r="74" spans="2:43" x14ac:dyDescent="0.25">
      <c r="B74" s="179">
        <f ca="1"/>
        <v>52765</v>
      </c>
      <c r="C74" s="180">
        <f ca="1"/>
        <v>3.6711390871690997E-11</v>
      </c>
      <c r="D74" s="180">
        <f ca="1"/>
        <v>2.2676909308683199E-10</v>
      </c>
      <c r="E74" s="180">
        <f ca="1"/>
        <v>-1.0934971816922699E-9</v>
      </c>
      <c r="F74" s="180">
        <f ca="1"/>
        <v>6.1962487050981602E-9</v>
      </c>
      <c r="G74" s="180">
        <f ca="1"/>
        <v>-2.9017472962661298E-8</v>
      </c>
      <c r="H74" s="180">
        <f ca="1"/>
        <v>1.30368428271493E-7</v>
      </c>
      <c r="I74" s="180">
        <f ca="1"/>
        <v>-5.69968461615333E-7</v>
      </c>
      <c r="J74" s="180">
        <f ca="1"/>
        <v>2.43254426504635E-6</v>
      </c>
      <c r="K74" s="180">
        <f ca="1"/>
        <v>-1.03545094310639E-5</v>
      </c>
      <c r="L74" s="180">
        <f ca="1"/>
        <v>2.3048061101597201E-5</v>
      </c>
      <c r="M74" s="180">
        <f ca="1"/>
        <v>-5.1007753593655002E-5</v>
      </c>
      <c r="N74" s="180">
        <f ca="1"/>
        <v>1.2242240496411101E-4</v>
      </c>
      <c r="O74" s="180">
        <f ca="1"/>
        <v>-4.9291589637848199E-4</v>
      </c>
      <c r="P74" s="180">
        <f ca="1"/>
        <v>2.0977721950019701E-4</v>
      </c>
      <c r="Q74" s="180">
        <f ca="1"/>
        <v>2.97177077274609E-4</v>
      </c>
      <c r="R74" s="180" t="str">
        <f ca="1"/>
        <v/>
      </c>
      <c r="S74" s="180" t="str">
        <f ca="1"/>
        <v/>
      </c>
      <c r="T74" s="180" t="str">
        <f ca="1"/>
        <v/>
      </c>
      <c r="U74" s="180" t="str">
        <f ca="1"/>
        <v/>
      </c>
      <c r="V74" s="180" t="str">
        <f ca="1"/>
        <v/>
      </c>
      <c r="W74" s="180" t="str">
        <f ca="1"/>
        <v/>
      </c>
      <c r="X74" s="180" t="str">
        <f ca="1"/>
        <v/>
      </c>
      <c r="Y74" s="180" t="str">
        <f ca="1"/>
        <v/>
      </c>
      <c r="Z74" s="180" t="str">
        <f ca="1"/>
        <v/>
      </c>
      <c r="AA74" s="180" t="str">
        <f ca="1"/>
        <v/>
      </c>
      <c r="AB74" s="180" t="str">
        <f ca="1"/>
        <v/>
      </c>
      <c r="AC74" s="180" t="str">
        <f ca="1"/>
        <v/>
      </c>
      <c r="AD74" s="180" t="str">
        <f ca="1"/>
        <v/>
      </c>
      <c r="AE74" s="180" t="str">
        <f ca="1"/>
        <v/>
      </c>
      <c r="AF74" s="180" t="str">
        <f ca="1"/>
        <v/>
      </c>
      <c r="AG74" s="180" t="str">
        <f ca="1"/>
        <v/>
      </c>
      <c r="AH74" s="180" t="str">
        <f ca="1"/>
        <v/>
      </c>
      <c r="AI74" s="180" t="str">
        <f ca="1"/>
        <v/>
      </c>
      <c r="AJ74" s="180" t="str">
        <f ca="1"/>
        <v/>
      </c>
      <c r="AK74" s="180" t="str">
        <f ca="1"/>
        <v/>
      </c>
      <c r="AL74" s="180" t="str">
        <f ca="1"/>
        <v/>
      </c>
      <c r="AM74" s="180" t="str">
        <f ca="1"/>
        <v/>
      </c>
      <c r="AN74" s="180" t="str">
        <f ca="1"/>
        <v/>
      </c>
      <c r="AO74" s="180" t="str">
        <f ca="1"/>
        <v/>
      </c>
      <c r="AP74" s="180" t="str">
        <f ca="1"/>
        <v/>
      </c>
      <c r="AQ74" s="187" t="str">
        <f ca="1"/>
        <v/>
      </c>
    </row>
    <row r="75" spans="2:43" x14ac:dyDescent="0.25">
      <c r="B75" s="179">
        <f ca="1"/>
        <v>52950</v>
      </c>
      <c r="C75" s="180">
        <f ca="1"/>
        <v>4.3831750728973201E-11</v>
      </c>
      <c r="D75" s="180">
        <f ca="1"/>
        <v>1.6446404654813001E-10</v>
      </c>
      <c r="E75" s="180">
        <f ca="1"/>
        <v>-7.8770001632477705E-10</v>
      </c>
      <c r="F75" s="180">
        <f ca="1"/>
        <v>4.6721892292545E-9</v>
      </c>
      <c r="G75" s="180">
        <f ca="1"/>
        <v>-2.19787818708794E-8</v>
      </c>
      <c r="H75" s="180">
        <f ca="1"/>
        <v>9.8650926549231897E-8</v>
      </c>
      <c r="I75" s="180">
        <f ca="1"/>
        <v>-4.31191232608263E-7</v>
      </c>
      <c r="J75" s="180">
        <f ca="1"/>
        <v>1.8405094766929501E-6</v>
      </c>
      <c r="K75" s="180">
        <f ca="1"/>
        <v>-7.8340589250887293E-6</v>
      </c>
      <c r="L75" s="180">
        <f ca="1"/>
        <v>1.74378467068213E-5</v>
      </c>
      <c r="M75" s="180">
        <f ca="1"/>
        <v>-3.8591855034270102E-5</v>
      </c>
      <c r="N75" s="180">
        <f ca="1"/>
        <v>9.2622234374097097E-5</v>
      </c>
      <c r="O75" s="180">
        <f ca="1"/>
        <v>-3.6912639323567401E-4</v>
      </c>
      <c r="P75" s="180">
        <f ca="1"/>
        <v>-1.11683247704907E-5</v>
      </c>
      <c r="Q75" s="180">
        <f ca="1"/>
        <v>4.1523322717152599E-4</v>
      </c>
      <c r="R75" s="180" t="str">
        <f ca="1"/>
        <v/>
      </c>
      <c r="S75" s="180" t="str">
        <f ca="1"/>
        <v/>
      </c>
      <c r="T75" s="180" t="str">
        <f ca="1"/>
        <v/>
      </c>
      <c r="U75" s="180" t="str">
        <f ca="1"/>
        <v/>
      </c>
      <c r="V75" s="180" t="str">
        <f ca="1"/>
        <v/>
      </c>
      <c r="W75" s="180" t="str">
        <f ca="1"/>
        <v/>
      </c>
      <c r="X75" s="180" t="str">
        <f ca="1"/>
        <v/>
      </c>
      <c r="Y75" s="180" t="str">
        <f ca="1"/>
        <v/>
      </c>
      <c r="Z75" s="180" t="str">
        <f ca="1"/>
        <v/>
      </c>
      <c r="AA75" s="180" t="str">
        <f ca="1"/>
        <v/>
      </c>
      <c r="AB75" s="180" t="str">
        <f ca="1"/>
        <v/>
      </c>
      <c r="AC75" s="180" t="str">
        <f ca="1"/>
        <v/>
      </c>
      <c r="AD75" s="180" t="str">
        <f ca="1"/>
        <v/>
      </c>
      <c r="AE75" s="180" t="str">
        <f ca="1"/>
        <v/>
      </c>
      <c r="AF75" s="180" t="str">
        <f ca="1"/>
        <v/>
      </c>
      <c r="AG75" s="180" t="str">
        <f ca="1"/>
        <v/>
      </c>
      <c r="AH75" s="180" t="str">
        <f ca="1"/>
        <v/>
      </c>
      <c r="AI75" s="180" t="str">
        <f ca="1"/>
        <v/>
      </c>
      <c r="AJ75" s="180" t="str">
        <f ca="1"/>
        <v/>
      </c>
      <c r="AK75" s="180" t="str">
        <f ca="1"/>
        <v/>
      </c>
      <c r="AL75" s="180" t="str">
        <f ca="1"/>
        <v/>
      </c>
      <c r="AM75" s="180" t="str">
        <f ca="1"/>
        <v/>
      </c>
      <c r="AN75" s="180" t="str">
        <f ca="1"/>
        <v/>
      </c>
      <c r="AO75" s="180" t="str">
        <f ca="1"/>
        <v/>
      </c>
      <c r="AP75" s="180" t="str">
        <f ca="1"/>
        <v/>
      </c>
      <c r="AQ75" s="187" t="str">
        <f ca="1"/>
        <v/>
      </c>
    </row>
    <row r="76" spans="2:43" x14ac:dyDescent="0.25">
      <c r="B76" s="179">
        <f ca="1"/>
        <v>53132</v>
      </c>
      <c r="C76" s="180">
        <f ca="1"/>
        <v>5.0996581957285501E-11</v>
      </c>
      <c r="D76" s="180">
        <f ca="1"/>
        <v>1.02911339172618E-10</v>
      </c>
      <c r="E76" s="180">
        <f ca="1"/>
        <v>-4.8457849885497103E-10</v>
      </c>
      <c r="F76" s="180">
        <f ca="1"/>
        <v>3.1582443743571899E-9</v>
      </c>
      <c r="G76" s="180">
        <f ca="1"/>
        <v>-1.4983735783374899E-8</v>
      </c>
      <c r="H76" s="180">
        <f ca="1"/>
        <v>6.7130632854656094E-8</v>
      </c>
      <c r="I76" s="180">
        <f ca="1"/>
        <v>-2.9327716212154702E-7</v>
      </c>
      <c r="J76" s="180">
        <f ca="1"/>
        <v>1.2521451822934701E-6</v>
      </c>
      <c r="K76" s="180">
        <f ca="1"/>
        <v>-5.3292521905827497E-6</v>
      </c>
      <c r="L76" s="180">
        <f ca="1"/>
        <v>1.1862475976808E-5</v>
      </c>
      <c r="M76" s="180">
        <f ca="1"/>
        <v>-2.6252957983707199E-5</v>
      </c>
      <c r="N76" s="180">
        <f ca="1"/>
        <v>6.3007519620097304E-5</v>
      </c>
      <c r="O76" s="180">
        <f ca="1"/>
        <v>-2.5111605164847598E-4</v>
      </c>
      <c r="P76" s="180">
        <f ca="1"/>
        <v>-2.18277244962536E-4</v>
      </c>
      <c r="Q76" s="180">
        <f ca="1"/>
        <v>5.2516381391783801E-4</v>
      </c>
      <c r="R76" s="180" t="str">
        <f ca="1"/>
        <v/>
      </c>
      <c r="S76" s="180" t="str">
        <f ca="1"/>
        <v/>
      </c>
      <c r="T76" s="180" t="str">
        <f ca="1"/>
        <v/>
      </c>
      <c r="U76" s="180" t="str">
        <f ca="1"/>
        <v/>
      </c>
      <c r="V76" s="180" t="str">
        <f ca="1"/>
        <v/>
      </c>
      <c r="W76" s="180" t="str">
        <f ca="1"/>
        <v/>
      </c>
      <c r="X76" s="180" t="str">
        <f ca="1"/>
        <v/>
      </c>
      <c r="Y76" s="180" t="str">
        <f ca="1"/>
        <v/>
      </c>
      <c r="Z76" s="180" t="str">
        <f ca="1"/>
        <v/>
      </c>
      <c r="AA76" s="180" t="str">
        <f ca="1"/>
        <v/>
      </c>
      <c r="AB76" s="180" t="str">
        <f ca="1"/>
        <v/>
      </c>
      <c r="AC76" s="180" t="str">
        <f ca="1"/>
        <v/>
      </c>
      <c r="AD76" s="180" t="str">
        <f ca="1"/>
        <v/>
      </c>
      <c r="AE76" s="180" t="str">
        <f ca="1"/>
        <v/>
      </c>
      <c r="AF76" s="180" t="str">
        <f ca="1"/>
        <v/>
      </c>
      <c r="AG76" s="180" t="str">
        <f ca="1"/>
        <v/>
      </c>
      <c r="AH76" s="180" t="str">
        <f ca="1"/>
        <v/>
      </c>
      <c r="AI76" s="180" t="str">
        <f ca="1"/>
        <v/>
      </c>
      <c r="AJ76" s="180" t="str">
        <f ca="1"/>
        <v/>
      </c>
      <c r="AK76" s="180" t="str">
        <f ca="1"/>
        <v/>
      </c>
      <c r="AL76" s="180" t="str">
        <f ca="1"/>
        <v/>
      </c>
      <c r="AM76" s="180" t="str">
        <f ca="1"/>
        <v/>
      </c>
      <c r="AN76" s="180" t="str">
        <f ca="1"/>
        <v/>
      </c>
      <c r="AO76" s="180" t="str">
        <f ca="1"/>
        <v/>
      </c>
      <c r="AP76" s="180" t="str">
        <f ca="1"/>
        <v/>
      </c>
      <c r="AQ76" s="187" t="str">
        <f ca="1"/>
        <v/>
      </c>
    </row>
    <row r="77" spans="2:43" x14ac:dyDescent="0.25">
      <c r="B77" s="179">
        <f ca="1"/>
        <v>53314</v>
      </c>
      <c r="C77" s="180">
        <f ca="1"/>
        <v>5.7326452612693802E-11</v>
      </c>
      <c r="D77" s="180">
        <f ca="1"/>
        <v>4.8469801089412502E-11</v>
      </c>
      <c r="E77" s="180">
        <f ca="1"/>
        <v>-2.16473432929076E-10</v>
      </c>
      <c r="F77" s="180">
        <f ca="1"/>
        <v>1.8191219954000199E-9</v>
      </c>
      <c r="G77" s="180">
        <f ca="1"/>
        <v>-8.7963943837254793E-9</v>
      </c>
      <c r="H77" s="180">
        <f ca="1"/>
        <v>3.9249970305160799E-8</v>
      </c>
      <c r="I77" s="180">
        <f ca="1"/>
        <v>-1.7128798818905101E-7</v>
      </c>
      <c r="J77" s="180">
        <f ca="1"/>
        <v>7.3171919863848602E-7</v>
      </c>
      <c r="K77" s="180">
        <f ca="1"/>
        <v>-3.1136720178015502E-6</v>
      </c>
      <c r="L77" s="180">
        <f ca="1"/>
        <v>6.9309038056054898E-6</v>
      </c>
      <c r="M77" s="180">
        <f ca="1"/>
        <v>-1.53387670323475E-5</v>
      </c>
      <c r="N77" s="180">
        <f ca="1"/>
        <v>3.6812760510700197E-5</v>
      </c>
      <c r="O77" s="180">
        <f ca="1"/>
        <v>-1.46726671787445E-4</v>
      </c>
      <c r="P77" s="180">
        <f ca="1"/>
        <v>-4.0138440298871598E-4</v>
      </c>
      <c r="Q77" s="180">
        <f ca="1"/>
        <v>6.2232535048959195E-4</v>
      </c>
      <c r="R77" s="180" t="str">
        <f ca="1"/>
        <v/>
      </c>
      <c r="S77" s="180" t="str">
        <f ca="1"/>
        <v/>
      </c>
      <c r="T77" s="180" t="str">
        <f ca="1"/>
        <v/>
      </c>
      <c r="U77" s="180" t="str">
        <f ca="1"/>
        <v/>
      </c>
      <c r="V77" s="180" t="str">
        <f ca="1"/>
        <v/>
      </c>
      <c r="W77" s="180" t="str">
        <f ca="1"/>
        <v/>
      </c>
      <c r="X77" s="180" t="str">
        <f ca="1"/>
        <v/>
      </c>
      <c r="Y77" s="180" t="str">
        <f ca="1"/>
        <v/>
      </c>
      <c r="Z77" s="180" t="str">
        <f ca="1"/>
        <v/>
      </c>
      <c r="AA77" s="180" t="str">
        <f ca="1"/>
        <v/>
      </c>
      <c r="AB77" s="180" t="str">
        <f ca="1"/>
        <v/>
      </c>
      <c r="AC77" s="180" t="str">
        <f ca="1"/>
        <v/>
      </c>
      <c r="AD77" s="180" t="str">
        <f ca="1"/>
        <v/>
      </c>
      <c r="AE77" s="180" t="str">
        <f ca="1"/>
        <v/>
      </c>
      <c r="AF77" s="180" t="str">
        <f ca="1"/>
        <v/>
      </c>
      <c r="AG77" s="180" t="str">
        <f ca="1"/>
        <v/>
      </c>
      <c r="AH77" s="180" t="str">
        <f ca="1"/>
        <v/>
      </c>
      <c r="AI77" s="180" t="str">
        <f ca="1"/>
        <v/>
      </c>
      <c r="AJ77" s="180" t="str">
        <f ca="1"/>
        <v/>
      </c>
      <c r="AK77" s="180" t="str">
        <f ca="1"/>
        <v/>
      </c>
      <c r="AL77" s="180" t="str">
        <f ca="1"/>
        <v/>
      </c>
      <c r="AM77" s="180" t="str">
        <f ca="1"/>
        <v/>
      </c>
      <c r="AN77" s="180" t="str">
        <f ca="1"/>
        <v/>
      </c>
      <c r="AO77" s="180" t="str">
        <f ca="1"/>
        <v/>
      </c>
      <c r="AP77" s="180" t="str">
        <f ca="1"/>
        <v/>
      </c>
      <c r="AQ77" s="187" t="str">
        <f ca="1"/>
        <v/>
      </c>
    </row>
    <row r="78" spans="2:43" x14ac:dyDescent="0.25">
      <c r="B78" s="179">
        <f ca="1"/>
        <v>53315</v>
      </c>
      <c r="C78" s="180">
        <f ca="1"/>
        <v>5.7359391542055598E-11</v>
      </c>
      <c r="D78" s="180">
        <f ca="1"/>
        <v>4.8188265877602302E-11</v>
      </c>
      <c r="E78" s="180">
        <f ca="1"/>
        <v>-2.15089487887177E-10</v>
      </c>
      <c r="F78" s="180">
        <f ca="1"/>
        <v>1.81220620801281E-9</v>
      </c>
      <c r="G78" s="180">
        <f ca="1"/>
        <v>-8.76444367775564E-9</v>
      </c>
      <c r="H78" s="180">
        <f ca="1"/>
        <v>3.9105992288152003E-8</v>
      </c>
      <c r="I78" s="180">
        <f ca="1"/>
        <v>-1.70658027053711E-7</v>
      </c>
      <c r="J78" s="180">
        <f ca="1"/>
        <v>7.2903167898027997E-7</v>
      </c>
      <c r="K78" s="180">
        <f ca="1"/>
        <v>-3.1022305858260901E-6</v>
      </c>
      <c r="L78" s="180">
        <f ca="1"/>
        <v>6.9054368223575597E-6</v>
      </c>
      <c r="M78" s="180">
        <f ca="1"/>
        <v>-1.5282405159817301E-5</v>
      </c>
      <c r="N78" s="180">
        <f ca="1"/>
        <v>3.6677489673089099E-5</v>
      </c>
      <c r="O78" s="180">
        <f ca="1"/>
        <v>-1.4618758272658499E-4</v>
      </c>
      <c r="P78" s="180">
        <f ca="1"/>
        <v>-4.0233012896800197E-4</v>
      </c>
      <c r="Q78" s="180">
        <f ca="1"/>
        <v>6.2282733258723505E-4</v>
      </c>
      <c r="R78" s="180" t="str">
        <f ca="1"/>
        <v/>
      </c>
      <c r="S78" s="180" t="str">
        <f ca="1"/>
        <v/>
      </c>
      <c r="T78" s="180" t="str">
        <f ca="1"/>
        <v/>
      </c>
      <c r="U78" s="180" t="str">
        <f ca="1"/>
        <v/>
      </c>
      <c r="V78" s="180" t="str">
        <f ca="1"/>
        <v/>
      </c>
      <c r="W78" s="180" t="str">
        <f ca="1"/>
        <v/>
      </c>
      <c r="X78" s="180" t="str">
        <f ca="1"/>
        <v/>
      </c>
      <c r="Y78" s="180" t="str">
        <f ca="1"/>
        <v/>
      </c>
      <c r="Z78" s="180" t="str">
        <f ca="1"/>
        <v/>
      </c>
      <c r="AA78" s="180" t="str">
        <f ca="1"/>
        <v/>
      </c>
      <c r="AB78" s="180" t="str">
        <f ca="1"/>
        <v/>
      </c>
      <c r="AC78" s="180" t="str">
        <f ca="1"/>
        <v/>
      </c>
      <c r="AD78" s="180" t="str">
        <f ca="1"/>
        <v/>
      </c>
      <c r="AE78" s="180" t="str">
        <f ca="1"/>
        <v/>
      </c>
      <c r="AF78" s="180" t="str">
        <f ca="1"/>
        <v/>
      </c>
      <c r="AG78" s="180" t="str">
        <f ca="1"/>
        <v/>
      </c>
      <c r="AH78" s="180" t="str">
        <f ca="1"/>
        <v/>
      </c>
      <c r="AI78" s="180" t="str">
        <f ca="1"/>
        <v/>
      </c>
      <c r="AJ78" s="180" t="str">
        <f ca="1"/>
        <v/>
      </c>
      <c r="AK78" s="180" t="str">
        <f ca="1"/>
        <v/>
      </c>
      <c r="AL78" s="180" t="str">
        <f ca="1"/>
        <v/>
      </c>
      <c r="AM78" s="180" t="str">
        <f ca="1"/>
        <v/>
      </c>
      <c r="AN78" s="180" t="str">
        <f ca="1"/>
        <v/>
      </c>
      <c r="AO78" s="180" t="str">
        <f ca="1"/>
        <v/>
      </c>
      <c r="AP78" s="180" t="str">
        <f ca="1"/>
        <v/>
      </c>
      <c r="AQ78" s="187" t="str">
        <f ca="1"/>
        <v/>
      </c>
    </row>
    <row r="79" spans="2:43" x14ac:dyDescent="0.25">
      <c r="B79" s="179">
        <f ca="1"/>
        <v>53496</v>
      </c>
      <c r="C79" s="180">
        <f ca="1"/>
        <v>6.2901815700566705E-11</v>
      </c>
      <c r="D79" s="180">
        <f ca="1"/>
        <v>5.6392043812358799E-13</v>
      </c>
      <c r="E79" s="180">
        <f ca="1"/>
        <v>1.94288300725542E-11</v>
      </c>
      <c r="F79" s="180">
        <f ca="1"/>
        <v>6.4090372245417804E-10</v>
      </c>
      <c r="G79" s="180">
        <f ca="1"/>
        <v>-3.35255714162264E-9</v>
      </c>
      <c r="H79" s="180">
        <f ca="1"/>
        <v>1.4719547108965601E-8</v>
      </c>
      <c r="I79" s="180">
        <f ca="1"/>
        <v>-6.3957423402510898E-8</v>
      </c>
      <c r="J79" s="180">
        <f ca="1"/>
        <v>2.7382950726351203E-7</v>
      </c>
      <c r="K79" s="180">
        <f ca="1"/>
        <v>-1.1643213772352699E-6</v>
      </c>
      <c r="L79" s="180">
        <f ca="1"/>
        <v>2.5919362835261101E-6</v>
      </c>
      <c r="M79" s="180">
        <f ca="1"/>
        <v>-5.73601201596732E-6</v>
      </c>
      <c r="N79" s="180">
        <f ca="1"/>
        <v>1.37659411716708E-5</v>
      </c>
      <c r="O79" s="180">
        <f ca="1"/>
        <v>-5.48764841131269E-5</v>
      </c>
      <c r="P79" s="180">
        <f ca="1"/>
        <v>-5.6254322601194699E-4</v>
      </c>
      <c r="Q79" s="180">
        <f ca="1"/>
        <v>7.0789584453688102E-4</v>
      </c>
      <c r="R79" s="180" t="str">
        <f ca="1"/>
        <v/>
      </c>
      <c r="S79" s="180" t="str">
        <f ca="1"/>
        <v/>
      </c>
      <c r="T79" s="180" t="str">
        <f ca="1"/>
        <v/>
      </c>
      <c r="U79" s="180" t="str">
        <f ca="1"/>
        <v/>
      </c>
      <c r="V79" s="180" t="str">
        <f ca="1"/>
        <v/>
      </c>
      <c r="W79" s="180" t="str">
        <f ca="1"/>
        <v/>
      </c>
      <c r="X79" s="180" t="str">
        <f ca="1"/>
        <v/>
      </c>
      <c r="Y79" s="180" t="str">
        <f ca="1"/>
        <v/>
      </c>
      <c r="Z79" s="180" t="str">
        <f ca="1"/>
        <v/>
      </c>
      <c r="AA79" s="180" t="str">
        <f ca="1"/>
        <v/>
      </c>
      <c r="AB79" s="180" t="str">
        <f ca="1"/>
        <v/>
      </c>
      <c r="AC79" s="180" t="str">
        <f ca="1"/>
        <v/>
      </c>
      <c r="AD79" s="180" t="str">
        <f ca="1"/>
        <v/>
      </c>
      <c r="AE79" s="180" t="str">
        <f ca="1"/>
        <v/>
      </c>
      <c r="AF79" s="180" t="str">
        <f ca="1"/>
        <v/>
      </c>
      <c r="AG79" s="180" t="str">
        <f ca="1"/>
        <v/>
      </c>
      <c r="AH79" s="180" t="str">
        <f ca="1"/>
        <v/>
      </c>
      <c r="AI79" s="180" t="str">
        <f ca="1"/>
        <v/>
      </c>
      <c r="AJ79" s="180" t="str">
        <f ca="1"/>
        <v/>
      </c>
      <c r="AK79" s="180" t="str">
        <f ca="1"/>
        <v/>
      </c>
      <c r="AL79" s="180" t="str">
        <f ca="1"/>
        <v/>
      </c>
      <c r="AM79" s="180" t="str">
        <f ca="1"/>
        <v/>
      </c>
      <c r="AN79" s="180" t="str">
        <f ca="1"/>
        <v/>
      </c>
      <c r="AO79" s="180" t="str">
        <f ca="1"/>
        <v/>
      </c>
      <c r="AP79" s="180" t="str">
        <f ca="1"/>
        <v/>
      </c>
      <c r="AQ79" s="187" t="str">
        <f ca="1"/>
        <v/>
      </c>
    </row>
    <row r="80" spans="2:43" x14ac:dyDescent="0.25">
      <c r="B80" s="179">
        <f ca="1"/>
        <v>53678</v>
      </c>
      <c r="C80" s="180">
        <f ca="1"/>
        <v>6.7652255325567597E-11</v>
      </c>
      <c r="D80" s="180">
        <f ca="1"/>
        <v>-4.0292606057201797E-11</v>
      </c>
      <c r="E80" s="180">
        <f ca="1"/>
        <v>2.2064064811311301E-10</v>
      </c>
      <c r="F80" s="180">
        <f ca="1"/>
        <v>-3.6410786538598698E-10</v>
      </c>
      <c r="G80" s="180">
        <f ca="1"/>
        <v>1.2910564908819E-9</v>
      </c>
      <c r="H80" s="180">
        <f ca="1"/>
        <v>-6.2049438122324704E-9</v>
      </c>
      <c r="I80" s="180">
        <f ca="1"/>
        <v>2.7595696713844699E-8</v>
      </c>
      <c r="J80" s="180">
        <f ca="1"/>
        <v>-1.1675102160047E-7</v>
      </c>
      <c r="K80" s="180">
        <f ca="1"/>
        <v>4.9847908086680905E-7</v>
      </c>
      <c r="L80" s="180">
        <f ca="1"/>
        <v>-1.10920198608672E-6</v>
      </c>
      <c r="M80" s="180">
        <f ca="1"/>
        <v>2.4551885425792799E-6</v>
      </c>
      <c r="N80" s="180">
        <f ca="1"/>
        <v>-5.8928200112988404E-6</v>
      </c>
      <c r="O80" s="180">
        <f ca="1"/>
        <v>2.3475191644646599E-5</v>
      </c>
      <c r="P80" s="180">
        <f ca="1"/>
        <v>-6.9993482445347699E-4</v>
      </c>
      <c r="Q80" s="180">
        <f ca="1"/>
        <v>7.8081128089179503E-4</v>
      </c>
      <c r="R80" s="180" t="str">
        <f ca="1"/>
        <v/>
      </c>
      <c r="S80" s="180" t="str">
        <f ca="1"/>
        <v/>
      </c>
      <c r="T80" s="180" t="str">
        <f ca="1"/>
        <v/>
      </c>
      <c r="U80" s="180" t="str">
        <f ca="1"/>
        <v/>
      </c>
      <c r="V80" s="180" t="str">
        <f ca="1"/>
        <v/>
      </c>
      <c r="W80" s="180" t="str">
        <f ca="1"/>
        <v/>
      </c>
      <c r="X80" s="180" t="str">
        <f ca="1"/>
        <v/>
      </c>
      <c r="Y80" s="180" t="str">
        <f ca="1"/>
        <v/>
      </c>
      <c r="Z80" s="180" t="str">
        <f ca="1"/>
        <v/>
      </c>
      <c r="AA80" s="180" t="str">
        <f ca="1"/>
        <v/>
      </c>
      <c r="AB80" s="180" t="str">
        <f ca="1"/>
        <v/>
      </c>
      <c r="AC80" s="180" t="str">
        <f ca="1"/>
        <v/>
      </c>
      <c r="AD80" s="180" t="str">
        <f ca="1"/>
        <v/>
      </c>
      <c r="AE80" s="180" t="str">
        <f ca="1"/>
        <v/>
      </c>
      <c r="AF80" s="180" t="str">
        <f ca="1"/>
        <v/>
      </c>
      <c r="AG80" s="180" t="str">
        <f ca="1"/>
        <v/>
      </c>
      <c r="AH80" s="180" t="str">
        <f ca="1"/>
        <v/>
      </c>
      <c r="AI80" s="180" t="str">
        <f ca="1"/>
        <v/>
      </c>
      <c r="AJ80" s="180" t="str">
        <f ca="1"/>
        <v/>
      </c>
      <c r="AK80" s="180" t="str">
        <f ca="1"/>
        <v/>
      </c>
      <c r="AL80" s="180" t="str">
        <f ca="1"/>
        <v/>
      </c>
      <c r="AM80" s="180" t="str">
        <f ca="1"/>
        <v/>
      </c>
      <c r="AN80" s="180" t="str">
        <f ca="1"/>
        <v/>
      </c>
      <c r="AO80" s="180" t="str">
        <f ca="1"/>
        <v/>
      </c>
      <c r="AP80" s="180" t="str">
        <f ca="1"/>
        <v/>
      </c>
      <c r="AQ80" s="187" t="str">
        <f ca="1"/>
        <v/>
      </c>
    </row>
    <row r="81" spans="2:43" x14ac:dyDescent="0.25">
      <c r="B81" s="179">
        <f ca="1"/>
        <v>53679</v>
      </c>
      <c r="C81" s="180">
        <f ca="1"/>
        <v>6.7675975934378104E-11</v>
      </c>
      <c r="D81" s="180">
        <f ca="1"/>
        <v>-4.0499471831711999E-11</v>
      </c>
      <c r="E81" s="180">
        <f ca="1"/>
        <v>2.2165741811464E-10</v>
      </c>
      <c r="F81" s="180">
        <f ca="1"/>
        <v>-3.6918336443481102E-10</v>
      </c>
      <c r="G81" s="180">
        <f ca="1"/>
        <v>1.3145054281182801E-9</v>
      </c>
      <c r="H81" s="180">
        <f ca="1"/>
        <v>-6.3106126886591801E-9</v>
      </c>
      <c r="I81" s="180">
        <f ca="1"/>
        <v>2.8058039409223399E-8</v>
      </c>
      <c r="J81" s="180">
        <f ca="1"/>
        <v>-1.18723453484959E-7</v>
      </c>
      <c r="K81" s="180">
        <f ca="1"/>
        <v>5.0687622626943696E-7</v>
      </c>
      <c r="L81" s="180">
        <f ca="1"/>
        <v>-1.1278927159255601E-6</v>
      </c>
      <c r="M81" s="180">
        <f ca="1"/>
        <v>2.4965541862397001E-6</v>
      </c>
      <c r="N81" s="180">
        <f ca="1"/>
        <v>-5.9920962732322396E-6</v>
      </c>
      <c r="O81" s="180">
        <f ca="1"/>
        <v>2.3870875180697498E-5</v>
      </c>
      <c r="P81" s="180">
        <f ca="1"/>
        <v>-7.0062878645431E-4</v>
      </c>
      <c r="Q81" s="180">
        <f ca="1"/>
        <v>7.8117969639079205E-4</v>
      </c>
      <c r="R81" s="180" t="str">
        <f ca="1"/>
        <v/>
      </c>
      <c r="S81" s="180" t="str">
        <f ca="1"/>
        <v/>
      </c>
      <c r="T81" s="180" t="str">
        <f ca="1"/>
        <v/>
      </c>
      <c r="U81" s="180" t="str">
        <f ca="1"/>
        <v/>
      </c>
      <c r="V81" s="180" t="str">
        <f ca="1"/>
        <v/>
      </c>
      <c r="W81" s="180" t="str">
        <f ca="1"/>
        <v/>
      </c>
      <c r="X81" s="180" t="str">
        <f ca="1"/>
        <v/>
      </c>
      <c r="Y81" s="180" t="str">
        <f ca="1"/>
        <v/>
      </c>
      <c r="Z81" s="180" t="str">
        <f ca="1"/>
        <v/>
      </c>
      <c r="AA81" s="180" t="str">
        <f ca="1"/>
        <v/>
      </c>
      <c r="AB81" s="180" t="str">
        <f ca="1"/>
        <v/>
      </c>
      <c r="AC81" s="180" t="str">
        <f ca="1"/>
        <v/>
      </c>
      <c r="AD81" s="180" t="str">
        <f ca="1"/>
        <v/>
      </c>
      <c r="AE81" s="180" t="str">
        <f ca="1"/>
        <v/>
      </c>
      <c r="AF81" s="180" t="str">
        <f ca="1"/>
        <v/>
      </c>
      <c r="AG81" s="180" t="str">
        <f ca="1"/>
        <v/>
      </c>
      <c r="AH81" s="180" t="str">
        <f ca="1"/>
        <v/>
      </c>
      <c r="AI81" s="180" t="str">
        <f ca="1"/>
        <v/>
      </c>
      <c r="AJ81" s="180" t="str">
        <f ca="1"/>
        <v/>
      </c>
      <c r="AK81" s="180" t="str">
        <f ca="1"/>
        <v/>
      </c>
      <c r="AL81" s="180" t="str">
        <f ca="1"/>
        <v/>
      </c>
      <c r="AM81" s="180" t="str">
        <f ca="1"/>
        <v/>
      </c>
      <c r="AN81" s="180" t="str">
        <f ca="1"/>
        <v/>
      </c>
      <c r="AO81" s="180" t="str">
        <f ca="1"/>
        <v/>
      </c>
      <c r="AP81" s="180" t="str">
        <f ca="1"/>
        <v/>
      </c>
      <c r="AQ81" s="187" t="str">
        <f ca="1"/>
        <v/>
      </c>
    </row>
    <row r="82" spans="2:43" x14ac:dyDescent="0.25">
      <c r="B82" s="179">
        <f ca="1"/>
        <v>53860</v>
      </c>
      <c r="C82" s="180">
        <f ca="1"/>
        <v>7.1640179899468098E-11</v>
      </c>
      <c r="D82" s="180">
        <f ca="1"/>
        <v>-7.4551073647732796E-11</v>
      </c>
      <c r="E82" s="180">
        <f ca="1"/>
        <v>3.8934058060879901E-10</v>
      </c>
      <c r="F82" s="180">
        <f ca="1"/>
        <v>-1.2066710478042499E-9</v>
      </c>
      <c r="G82" s="180">
        <f ca="1"/>
        <v>5.1840237033640199E-9</v>
      </c>
      <c r="H82" s="180">
        <f ca="1"/>
        <v>-2.37470161555675E-8</v>
      </c>
      <c r="I82" s="180">
        <f ca="1"/>
        <v>1.0434940168890801E-7</v>
      </c>
      <c r="J82" s="180">
        <f ca="1"/>
        <v>-4.4419467666936798E-7</v>
      </c>
      <c r="K82" s="180">
        <f ca="1"/>
        <v>1.89249130552391E-6</v>
      </c>
      <c r="L82" s="180">
        <f ca="1"/>
        <v>-4.2120512201600201E-6</v>
      </c>
      <c r="M82" s="180">
        <f ca="1"/>
        <v>9.32231928417113E-6</v>
      </c>
      <c r="N82" s="180">
        <f ca="1"/>
        <v>-2.2373620676360101E-5</v>
      </c>
      <c r="O82" s="180">
        <f ca="1"/>
        <v>8.9163812138227897E-5</v>
      </c>
      <c r="P82" s="180">
        <f ca="1"/>
        <v>-8.1517565719296499E-4</v>
      </c>
      <c r="Q82" s="180">
        <f ca="1"/>
        <v>8.4202078650678599E-4</v>
      </c>
      <c r="R82" s="180" t="str">
        <f ca="1"/>
        <v/>
      </c>
      <c r="S82" s="180" t="str">
        <f ca="1"/>
        <v/>
      </c>
      <c r="T82" s="180" t="str">
        <f ca="1"/>
        <v/>
      </c>
      <c r="U82" s="180" t="str">
        <f ca="1"/>
        <v/>
      </c>
      <c r="V82" s="180" t="str">
        <f ca="1"/>
        <v/>
      </c>
      <c r="W82" s="180" t="str">
        <f ca="1"/>
        <v/>
      </c>
      <c r="X82" s="180" t="str">
        <f ca="1"/>
        <v/>
      </c>
      <c r="Y82" s="180" t="str">
        <f ca="1"/>
        <v/>
      </c>
      <c r="Z82" s="180" t="str">
        <f ca="1"/>
        <v/>
      </c>
      <c r="AA82" s="180" t="str">
        <f ca="1"/>
        <v/>
      </c>
      <c r="AB82" s="180" t="str">
        <f ca="1"/>
        <v/>
      </c>
      <c r="AC82" s="180" t="str">
        <f ca="1"/>
        <v/>
      </c>
      <c r="AD82" s="180" t="str">
        <f ca="1"/>
        <v/>
      </c>
      <c r="AE82" s="180" t="str">
        <f ca="1"/>
        <v/>
      </c>
      <c r="AF82" s="180" t="str">
        <f ca="1"/>
        <v/>
      </c>
      <c r="AG82" s="180" t="str">
        <f ca="1"/>
        <v/>
      </c>
      <c r="AH82" s="180" t="str">
        <f ca="1"/>
        <v/>
      </c>
      <c r="AI82" s="180" t="str">
        <f ca="1"/>
        <v/>
      </c>
      <c r="AJ82" s="180" t="str">
        <f ca="1"/>
        <v/>
      </c>
      <c r="AK82" s="180" t="str">
        <f ca="1"/>
        <v/>
      </c>
      <c r="AL82" s="180" t="str">
        <f ca="1"/>
        <v/>
      </c>
      <c r="AM82" s="180" t="str">
        <f ca="1"/>
        <v/>
      </c>
      <c r="AN82" s="180" t="str">
        <f ca="1"/>
        <v/>
      </c>
      <c r="AO82" s="180" t="str">
        <f ca="1"/>
        <v/>
      </c>
      <c r="AP82" s="180" t="str">
        <f ca="1"/>
        <v/>
      </c>
      <c r="AQ82" s="187" t="str">
        <f ca="1"/>
        <v/>
      </c>
    </row>
    <row r="83" spans="2:43" x14ac:dyDescent="0.25">
      <c r="B83" s="179">
        <f ca="1"/>
        <v>54043</v>
      </c>
      <c r="C83" s="180">
        <f ca="1"/>
        <v>7.4837622210388601E-11</v>
      </c>
      <c r="D83" s="180">
        <f ca="1"/>
        <v>-1.02030734555614E-10</v>
      </c>
      <c r="E83" s="180">
        <f ca="1"/>
        <v>5.2467014413637405E-10</v>
      </c>
      <c r="F83" s="180">
        <f ca="1"/>
        <v>-1.8825863264126899E-9</v>
      </c>
      <c r="G83" s="180">
        <f ca="1"/>
        <v>8.3070486010805594E-9</v>
      </c>
      <c r="H83" s="180">
        <f ca="1"/>
        <v>-3.7819621968859802E-8</v>
      </c>
      <c r="I83" s="180">
        <f ca="1"/>
        <v>1.6592277497090601E-7</v>
      </c>
      <c r="J83" s="180">
        <f ca="1"/>
        <v>-7.06876576071769E-7</v>
      </c>
      <c r="K83" s="180">
        <f ca="1"/>
        <v>3.0107968245311798E-6</v>
      </c>
      <c r="L83" s="180">
        <f ca="1"/>
        <v>-6.7012161695106897E-6</v>
      </c>
      <c r="M83" s="180">
        <f ca="1"/>
        <v>1.48312876777669E-5</v>
      </c>
      <c r="N83" s="180">
        <f ca="1"/>
        <v>-3.5594753675687701E-5</v>
      </c>
      <c r="O83" s="180">
        <f ca="1"/>
        <v>1.4186212234563E-4</v>
      </c>
      <c r="P83" s="180">
        <f ca="1"/>
        <v>-9.0759067608462904E-4</v>
      </c>
      <c r="Q83" s="180">
        <f ca="1"/>
        <v>8.9109131664308696E-4</v>
      </c>
      <c r="R83" s="180" t="str">
        <f ca="1"/>
        <v/>
      </c>
      <c r="S83" s="180" t="str">
        <f ca="1"/>
        <v/>
      </c>
      <c r="T83" s="180" t="str">
        <f ca="1"/>
        <v/>
      </c>
      <c r="U83" s="180" t="str">
        <f ca="1"/>
        <v/>
      </c>
      <c r="V83" s="180" t="str">
        <f ca="1"/>
        <v/>
      </c>
      <c r="W83" s="180" t="str">
        <f ca="1"/>
        <v/>
      </c>
      <c r="X83" s="180" t="str">
        <f ca="1"/>
        <v/>
      </c>
      <c r="Y83" s="180" t="str">
        <f ca="1"/>
        <v/>
      </c>
      <c r="Z83" s="180" t="str">
        <f ca="1"/>
        <v/>
      </c>
      <c r="AA83" s="180" t="str">
        <f ca="1"/>
        <v/>
      </c>
      <c r="AB83" s="180" t="str">
        <f ca="1"/>
        <v/>
      </c>
      <c r="AC83" s="180" t="str">
        <f ca="1"/>
        <v/>
      </c>
      <c r="AD83" s="180" t="str">
        <f ca="1"/>
        <v/>
      </c>
      <c r="AE83" s="180" t="str">
        <f ca="1"/>
        <v/>
      </c>
      <c r="AF83" s="180" t="str">
        <f ca="1"/>
        <v/>
      </c>
      <c r="AG83" s="180" t="str">
        <f ca="1"/>
        <v/>
      </c>
      <c r="AH83" s="180" t="str">
        <f ca="1"/>
        <v/>
      </c>
      <c r="AI83" s="180" t="str">
        <f ca="1"/>
        <v/>
      </c>
      <c r="AJ83" s="180" t="str">
        <f ca="1"/>
        <v/>
      </c>
      <c r="AK83" s="180" t="str">
        <f ca="1"/>
        <v/>
      </c>
      <c r="AL83" s="180" t="str">
        <f ca="1"/>
        <v/>
      </c>
      <c r="AM83" s="180" t="str">
        <f ca="1"/>
        <v/>
      </c>
      <c r="AN83" s="180" t="str">
        <f ca="1"/>
        <v/>
      </c>
      <c r="AO83" s="180" t="str">
        <f ca="1"/>
        <v/>
      </c>
      <c r="AP83" s="180" t="str">
        <f ca="1"/>
        <v/>
      </c>
      <c r="AQ83" s="187" t="str">
        <f ca="1"/>
        <v/>
      </c>
    </row>
    <row r="84" spans="2:43" x14ac:dyDescent="0.25">
      <c r="B84" s="179">
        <f ca="1"/>
        <v>54226</v>
      </c>
      <c r="C84" s="180">
        <f ca="1"/>
        <v>7.7233958811762106E-11</v>
      </c>
      <c r="D84" s="180">
        <f ca="1"/>
        <v>-1.22630211540908E-10</v>
      </c>
      <c r="E84" s="180">
        <f ca="1"/>
        <v>6.2611730036743505E-10</v>
      </c>
      <c r="F84" s="180">
        <f ca="1"/>
        <v>-2.3892782821666202E-9</v>
      </c>
      <c r="G84" s="180">
        <f ca="1"/>
        <v>1.06481813540171E-8</v>
      </c>
      <c r="H84" s="180">
        <f ca="1"/>
        <v>-4.8368969593481901E-8</v>
      </c>
      <c r="I84" s="180">
        <f ca="1"/>
        <v>2.1208045549239699E-7</v>
      </c>
      <c r="J84" s="180">
        <f ca="1"/>
        <v>-9.0379262718612297E-7</v>
      </c>
      <c r="K84" s="180">
        <f ca="1"/>
        <v>3.8491204357171699E-6</v>
      </c>
      <c r="L84" s="180">
        <f ca="1"/>
        <v>-8.5671842804634097E-6</v>
      </c>
      <c r="M84" s="180">
        <f ca="1"/>
        <v>1.8961024255394199E-5</v>
      </c>
      <c r="N84" s="180">
        <f ca="1"/>
        <v>-4.55057465160967E-5</v>
      </c>
      <c r="O84" s="180">
        <f ca="1"/>
        <v>1.8136764226592999E-4</v>
      </c>
      <c r="P84" s="180">
        <f ca="1"/>
        <v>-9.7686557329257004E-4</v>
      </c>
      <c r="Q84" s="180">
        <f ca="1"/>
        <v>9.2787719649744702E-4</v>
      </c>
      <c r="R84" s="180" t="str">
        <f ca="1"/>
        <v/>
      </c>
      <c r="S84" s="180" t="str">
        <f ca="1"/>
        <v/>
      </c>
      <c r="T84" s="180" t="str">
        <f ca="1"/>
        <v/>
      </c>
      <c r="U84" s="180" t="str">
        <f ca="1"/>
        <v/>
      </c>
      <c r="V84" s="180" t="str">
        <f ca="1"/>
        <v/>
      </c>
      <c r="W84" s="180" t="str">
        <f ca="1"/>
        <v/>
      </c>
      <c r="X84" s="180" t="str">
        <f ca="1"/>
        <v/>
      </c>
      <c r="Y84" s="180" t="str">
        <f ca="1"/>
        <v/>
      </c>
      <c r="Z84" s="180" t="str">
        <f ca="1"/>
        <v/>
      </c>
      <c r="AA84" s="180" t="str">
        <f ca="1"/>
        <v/>
      </c>
      <c r="AB84" s="180" t="str">
        <f ca="1"/>
        <v/>
      </c>
      <c r="AC84" s="180" t="str">
        <f ca="1"/>
        <v/>
      </c>
      <c r="AD84" s="180" t="str">
        <f ca="1"/>
        <v/>
      </c>
      <c r="AE84" s="180" t="str">
        <f ca="1"/>
        <v/>
      </c>
      <c r="AF84" s="180" t="str">
        <f ca="1"/>
        <v/>
      </c>
      <c r="AG84" s="180" t="str">
        <f ca="1"/>
        <v/>
      </c>
      <c r="AH84" s="180" t="str">
        <f ca="1"/>
        <v/>
      </c>
      <c r="AI84" s="180" t="str">
        <f ca="1"/>
        <v/>
      </c>
      <c r="AJ84" s="180" t="str">
        <f ca="1"/>
        <v/>
      </c>
      <c r="AK84" s="180" t="str">
        <f ca="1"/>
        <v/>
      </c>
      <c r="AL84" s="180" t="str">
        <f ca="1"/>
        <v/>
      </c>
      <c r="AM84" s="180" t="str">
        <f ca="1"/>
        <v/>
      </c>
      <c r="AN84" s="180" t="str">
        <f ca="1"/>
        <v/>
      </c>
      <c r="AO84" s="180" t="str">
        <f ca="1"/>
        <v/>
      </c>
      <c r="AP84" s="180" t="str">
        <f ca="1"/>
        <v/>
      </c>
      <c r="AQ84" s="187" t="str">
        <f ca="1"/>
        <v/>
      </c>
    </row>
    <row r="85" spans="2:43" x14ac:dyDescent="0.25">
      <c r="B85" s="179">
        <f ca="1"/>
        <v>54409</v>
      </c>
      <c r="C85" s="180">
        <f ca="1"/>
        <v>7.8823541443950899E-11</v>
      </c>
      <c r="D85" s="180">
        <f ca="1"/>
        <v>-1.3631952511250499E-10</v>
      </c>
      <c r="E85" s="180">
        <f ca="1"/>
        <v>6.93523922318251E-10</v>
      </c>
      <c r="F85" s="180">
        <f ca="1"/>
        <v>-2.7259943746749099E-9</v>
      </c>
      <c r="G85" s="180">
        <f ca="1"/>
        <v>1.22039714618716E-8</v>
      </c>
      <c r="H85" s="180">
        <f ca="1"/>
        <v>-5.5379466287058803E-8</v>
      </c>
      <c r="I85" s="180">
        <f ca="1"/>
        <v>2.4275420486968798E-7</v>
      </c>
      <c r="J85" s="180">
        <f ca="1"/>
        <v>-1.03465179764409E-6</v>
      </c>
      <c r="K85" s="180">
        <f ca="1"/>
        <v>4.4062226039233398E-6</v>
      </c>
      <c r="L85" s="180">
        <f ca="1"/>
        <v>-9.80719930891716E-6</v>
      </c>
      <c r="M85" s="180">
        <f ca="1"/>
        <v>2.17054154803518E-5</v>
      </c>
      <c r="N85" s="180">
        <f ca="1"/>
        <v>-5.2092002761457799E-5</v>
      </c>
      <c r="O85" s="180">
        <f ca="1"/>
        <v>2.0762113127769901E-4</v>
      </c>
      <c r="P85" s="180">
        <f ca="1"/>
        <v>-1.02286559430497E-3</v>
      </c>
      <c r="Q85" s="180">
        <f ca="1"/>
        <v>9.5228039248085696E-4</v>
      </c>
      <c r="R85" s="180" t="str">
        <f ca="1"/>
        <v/>
      </c>
      <c r="S85" s="180" t="str">
        <f ca="1"/>
        <v/>
      </c>
      <c r="T85" s="180" t="str">
        <f ca="1"/>
        <v/>
      </c>
      <c r="U85" s="180" t="str">
        <f ca="1"/>
        <v/>
      </c>
      <c r="V85" s="180" t="str">
        <f ca="1"/>
        <v/>
      </c>
      <c r="W85" s="180" t="str">
        <f ca="1"/>
        <v/>
      </c>
      <c r="X85" s="180" t="str">
        <f ca="1"/>
        <v/>
      </c>
      <c r="Y85" s="180" t="str">
        <f ca="1"/>
        <v/>
      </c>
      <c r="Z85" s="180" t="str">
        <f ca="1"/>
        <v/>
      </c>
      <c r="AA85" s="180" t="str">
        <f ca="1"/>
        <v/>
      </c>
      <c r="AB85" s="180" t="str">
        <f ca="1"/>
        <v/>
      </c>
      <c r="AC85" s="180" t="str">
        <f ca="1"/>
        <v/>
      </c>
      <c r="AD85" s="180" t="str">
        <f ca="1"/>
        <v/>
      </c>
      <c r="AE85" s="180" t="str">
        <f ca="1"/>
        <v/>
      </c>
      <c r="AF85" s="180" t="str">
        <f ca="1"/>
        <v/>
      </c>
      <c r="AG85" s="180" t="str">
        <f ca="1"/>
        <v/>
      </c>
      <c r="AH85" s="180" t="str">
        <f ca="1"/>
        <v/>
      </c>
      <c r="AI85" s="180" t="str">
        <f ca="1"/>
        <v/>
      </c>
      <c r="AJ85" s="180" t="str">
        <f ca="1"/>
        <v/>
      </c>
      <c r="AK85" s="180" t="str">
        <f ca="1"/>
        <v/>
      </c>
      <c r="AL85" s="180" t="str">
        <f ca="1"/>
        <v/>
      </c>
      <c r="AM85" s="180" t="str">
        <f ca="1"/>
        <v/>
      </c>
      <c r="AN85" s="180" t="str">
        <f ca="1"/>
        <v/>
      </c>
      <c r="AO85" s="180" t="str">
        <f ca="1"/>
        <v/>
      </c>
      <c r="AP85" s="180" t="str">
        <f ca="1"/>
        <v/>
      </c>
      <c r="AQ85" s="187" t="str">
        <f ca="1"/>
        <v/>
      </c>
    </row>
    <row r="86" spans="2:43" x14ac:dyDescent="0.25">
      <c r="B86" s="179">
        <f ca="1"/>
        <v>54591</v>
      </c>
      <c r="C86" s="180">
        <f ca="1"/>
        <v>7.9623304477527399E-11</v>
      </c>
      <c r="D86" s="180">
        <f ca="1"/>
        <v>-1.43174652689204E-10</v>
      </c>
      <c r="E86" s="180">
        <f ca="1"/>
        <v>7.2728446182113201E-10</v>
      </c>
      <c r="F86" s="180">
        <f ca="1"/>
        <v>-2.8945750726871999E-9</v>
      </c>
      <c r="G86" s="180">
        <f ca="1"/>
        <v>1.2982861563593E-8</v>
      </c>
      <c r="H86" s="180">
        <f ca="1"/>
        <v>-5.8889241462412001E-8</v>
      </c>
      <c r="I86" s="180">
        <f ca="1"/>
        <v>2.58110917993049E-7</v>
      </c>
      <c r="J86" s="180">
        <f ca="1"/>
        <v>-1.10016592863235E-6</v>
      </c>
      <c r="K86" s="180">
        <f ca="1"/>
        <v>4.6851338563955197E-6</v>
      </c>
      <c r="L86" s="180">
        <f ca="1"/>
        <v>-1.04280077678938E-5</v>
      </c>
      <c r="M86" s="180">
        <f ca="1"/>
        <v>2.30793872266974E-5</v>
      </c>
      <c r="N86" s="180">
        <f ca="1"/>
        <v>-5.5389373987083802E-5</v>
      </c>
      <c r="O86" s="180">
        <f ca="1"/>
        <v>2.20765061414614E-4</v>
      </c>
      <c r="P86" s="180">
        <f ca="1"/>
        <v>-1.0459471317251401E-3</v>
      </c>
      <c r="Q86" s="180">
        <f ca="1"/>
        <v>9.6456236729104304E-4</v>
      </c>
      <c r="R86" s="180" t="str">
        <f ca="1"/>
        <v/>
      </c>
      <c r="S86" s="180" t="str">
        <f ca="1"/>
        <v/>
      </c>
      <c r="T86" s="180" t="str">
        <f ca="1"/>
        <v/>
      </c>
      <c r="U86" s="180" t="str">
        <f ca="1"/>
        <v/>
      </c>
      <c r="V86" s="180" t="str">
        <f ca="1"/>
        <v/>
      </c>
      <c r="W86" s="180" t="str">
        <f ca="1"/>
        <v/>
      </c>
      <c r="X86" s="180" t="str">
        <f ca="1"/>
        <v/>
      </c>
      <c r="Y86" s="180" t="str">
        <f ca="1"/>
        <v/>
      </c>
      <c r="Z86" s="180" t="str">
        <f ca="1"/>
        <v/>
      </c>
      <c r="AA86" s="180" t="str">
        <f ca="1"/>
        <v/>
      </c>
      <c r="AB86" s="180" t="str">
        <f ca="1"/>
        <v/>
      </c>
      <c r="AC86" s="180" t="str">
        <f ca="1"/>
        <v/>
      </c>
      <c r="AD86" s="180" t="str">
        <f ca="1"/>
        <v/>
      </c>
      <c r="AE86" s="180" t="str">
        <f ca="1"/>
        <v/>
      </c>
      <c r="AF86" s="180" t="str">
        <f ca="1"/>
        <v/>
      </c>
      <c r="AG86" s="180" t="str">
        <f ca="1"/>
        <v/>
      </c>
      <c r="AH86" s="180" t="str">
        <f ca="1"/>
        <v/>
      </c>
      <c r="AI86" s="180" t="str">
        <f ca="1"/>
        <v/>
      </c>
      <c r="AJ86" s="180" t="str">
        <f ca="1"/>
        <v/>
      </c>
      <c r="AK86" s="180" t="str">
        <f ca="1"/>
        <v/>
      </c>
      <c r="AL86" s="180" t="str">
        <f ca="1"/>
        <v/>
      </c>
      <c r="AM86" s="180" t="str">
        <f ca="1"/>
        <v/>
      </c>
      <c r="AN86" s="180" t="str">
        <f ca="1"/>
        <v/>
      </c>
      <c r="AO86" s="180" t="str">
        <f ca="1"/>
        <v/>
      </c>
      <c r="AP86" s="180" t="str">
        <f ca="1"/>
        <v/>
      </c>
      <c r="AQ86" s="187" t="str">
        <f ca="1"/>
        <v/>
      </c>
    </row>
    <row r="87" spans="2:43" x14ac:dyDescent="0.25">
      <c r="B87" s="179">
        <f ca="1"/>
        <v>54774</v>
      </c>
      <c r="C87" s="180">
        <f ca="1"/>
        <v>8.1246218086583597E-11</v>
      </c>
      <c r="D87" s="180">
        <f ca="1"/>
        <v>-1.4610334816977899E-10</v>
      </c>
      <c r="E87" s="180">
        <f ca="1"/>
        <v>7.4215930276344503E-10</v>
      </c>
      <c r="F87" s="180">
        <f ca="1"/>
        <v>-2.9538398081674401E-9</v>
      </c>
      <c r="G87" s="180">
        <f ca="1"/>
        <v>1.32487229971556E-8</v>
      </c>
      <c r="H87" s="180">
        <f ca="1"/>
        <v>-6.0095118770142606E-8</v>
      </c>
      <c r="I87" s="180">
        <f ca="1"/>
        <v>2.6339625865123802E-7</v>
      </c>
      <c r="J87" s="180">
        <f ca="1"/>
        <v>-1.1226933686013499E-6</v>
      </c>
      <c r="K87" s="180">
        <f ca="1"/>
        <v>4.78108247761733E-6</v>
      </c>
      <c r="L87" s="180">
        <f ca="1"/>
        <v>-1.06414849468522E-5</v>
      </c>
      <c r="M87" s="180">
        <f ca="1"/>
        <v>2.3552259504438399E-5</v>
      </c>
      <c r="N87" s="180">
        <f ca="1"/>
        <v>-5.6521983551133201E-5</v>
      </c>
      <c r="O87" s="180">
        <f ca="1"/>
        <v>2.2531100349179901E-4</v>
      </c>
      <c r="P87" s="180">
        <f ca="1"/>
        <v>-1.06672335425268E-3</v>
      </c>
      <c r="Q87" s="180">
        <f ca="1"/>
        <v>9.8471341142696706E-4</v>
      </c>
      <c r="R87" s="180" t="str">
        <f ca="1"/>
        <v/>
      </c>
      <c r="S87" s="180" t="str">
        <f ca="1"/>
        <v/>
      </c>
      <c r="T87" s="180" t="str">
        <f ca="1"/>
        <v/>
      </c>
      <c r="U87" s="180" t="str">
        <f ca="1"/>
        <v/>
      </c>
      <c r="V87" s="180" t="str">
        <f ca="1"/>
        <v/>
      </c>
      <c r="W87" s="180" t="str">
        <f ca="1"/>
        <v/>
      </c>
      <c r="X87" s="180" t="str">
        <f ca="1"/>
        <v/>
      </c>
      <c r="Y87" s="180" t="str">
        <f ca="1"/>
        <v/>
      </c>
      <c r="Z87" s="180" t="str">
        <f ca="1"/>
        <v/>
      </c>
      <c r="AA87" s="180" t="str">
        <f ca="1"/>
        <v/>
      </c>
      <c r="AB87" s="180" t="str">
        <f ca="1"/>
        <v/>
      </c>
      <c r="AC87" s="180" t="str">
        <f ca="1"/>
        <v/>
      </c>
      <c r="AD87" s="180" t="str">
        <f ca="1"/>
        <v/>
      </c>
      <c r="AE87" s="180" t="str">
        <f ca="1"/>
        <v/>
      </c>
      <c r="AF87" s="180" t="str">
        <f ca="1"/>
        <v/>
      </c>
      <c r="AG87" s="180" t="str">
        <f ca="1"/>
        <v/>
      </c>
      <c r="AH87" s="180" t="str">
        <f ca="1"/>
        <v/>
      </c>
      <c r="AI87" s="180" t="str">
        <f ca="1"/>
        <v/>
      </c>
      <c r="AJ87" s="180" t="str">
        <f ca="1"/>
        <v/>
      </c>
      <c r="AK87" s="180" t="str">
        <f ca="1"/>
        <v/>
      </c>
      <c r="AL87" s="180" t="str">
        <f ca="1"/>
        <v/>
      </c>
      <c r="AM87" s="180" t="str">
        <f ca="1"/>
        <v/>
      </c>
      <c r="AN87" s="180" t="str">
        <f ca="1"/>
        <v/>
      </c>
      <c r="AO87" s="180" t="str">
        <f ca="1"/>
        <v/>
      </c>
      <c r="AP87" s="180" t="str">
        <f ca="1"/>
        <v/>
      </c>
      <c r="AQ87" s="187" t="str">
        <f ca="1"/>
        <v/>
      </c>
    </row>
    <row r="88" spans="2:43" x14ac:dyDescent="0.25">
      <c r="B88" s="179" t="str">
        <f ca="1"/>
        <v/>
      </c>
      <c r="C88" s="180" t="str">
        <f ca="1"/>
        <v/>
      </c>
      <c r="D88" s="180" t="str">
        <f ca="1"/>
        <v/>
      </c>
      <c r="E88" s="180" t="str">
        <f ca="1"/>
        <v/>
      </c>
      <c r="F88" s="180" t="str">
        <f ca="1"/>
        <v/>
      </c>
      <c r="G88" s="180" t="str">
        <f ca="1"/>
        <v/>
      </c>
      <c r="H88" s="180" t="str">
        <f ca="1"/>
        <v/>
      </c>
      <c r="I88" s="180" t="str">
        <f ca="1"/>
        <v/>
      </c>
      <c r="J88" s="180" t="str">
        <f ca="1"/>
        <v/>
      </c>
      <c r="K88" s="180" t="str">
        <f ca="1"/>
        <v/>
      </c>
      <c r="L88" s="180" t="str">
        <f ca="1"/>
        <v/>
      </c>
      <c r="M88" s="180" t="str">
        <f ca="1"/>
        <v/>
      </c>
      <c r="N88" s="180" t="str">
        <f ca="1"/>
        <v/>
      </c>
      <c r="O88" s="180" t="str">
        <f ca="1"/>
        <v/>
      </c>
      <c r="P88" s="180" t="str">
        <f ca="1"/>
        <v/>
      </c>
      <c r="Q88" s="180" t="str">
        <f ca="1"/>
        <v/>
      </c>
      <c r="R88" s="180" t="str">
        <f ca="1"/>
        <v/>
      </c>
      <c r="S88" s="180" t="str">
        <f ca="1"/>
        <v/>
      </c>
      <c r="T88" s="180" t="str">
        <f ca="1"/>
        <v/>
      </c>
      <c r="U88" s="180" t="str">
        <f ca="1"/>
        <v/>
      </c>
      <c r="V88" s="180" t="str">
        <f ca="1"/>
        <v/>
      </c>
      <c r="W88" s="180" t="str">
        <f ca="1"/>
        <v/>
      </c>
      <c r="X88" s="180" t="str">
        <f ca="1"/>
        <v/>
      </c>
      <c r="Y88" s="180" t="str">
        <f ca="1"/>
        <v/>
      </c>
      <c r="Z88" s="180" t="str">
        <f ca="1"/>
        <v/>
      </c>
      <c r="AA88" s="180" t="str">
        <f ca="1"/>
        <v/>
      </c>
      <c r="AB88" s="180" t="str">
        <f ca="1"/>
        <v/>
      </c>
      <c r="AC88" s="180" t="str">
        <f ca="1"/>
        <v/>
      </c>
      <c r="AD88" s="180" t="str">
        <f ca="1"/>
        <v/>
      </c>
      <c r="AE88" s="180" t="str">
        <f ca="1"/>
        <v/>
      </c>
      <c r="AF88" s="180" t="str">
        <f ca="1"/>
        <v/>
      </c>
      <c r="AG88" s="180" t="str">
        <f ca="1"/>
        <v/>
      </c>
      <c r="AH88" s="180" t="str">
        <f ca="1"/>
        <v/>
      </c>
      <c r="AI88" s="180" t="str">
        <f ca="1"/>
        <v/>
      </c>
      <c r="AJ88" s="180" t="str">
        <f ca="1"/>
        <v/>
      </c>
      <c r="AK88" s="180" t="str">
        <f ca="1"/>
        <v/>
      </c>
      <c r="AL88" s="180" t="str">
        <f ca="1"/>
        <v/>
      </c>
      <c r="AM88" s="180" t="str">
        <f ca="1"/>
        <v/>
      </c>
      <c r="AN88" s="180" t="str">
        <f ca="1"/>
        <v/>
      </c>
      <c r="AO88" s="180" t="str">
        <f ca="1"/>
        <v/>
      </c>
      <c r="AP88" s="180" t="str">
        <f ca="1"/>
        <v/>
      </c>
      <c r="AQ88" s="187" t="str">
        <f ca="1"/>
        <v/>
      </c>
    </row>
    <row r="89" spans="2:43" x14ac:dyDescent="0.25">
      <c r="B89" s="179" t="str">
        <f ca="1"/>
        <v/>
      </c>
      <c r="C89" s="180" t="str">
        <f ca="1"/>
        <v/>
      </c>
      <c r="D89" s="180" t="str">
        <f ca="1"/>
        <v/>
      </c>
      <c r="E89" s="180" t="str">
        <f ca="1"/>
        <v/>
      </c>
      <c r="F89" s="180" t="str">
        <f ca="1"/>
        <v/>
      </c>
      <c r="G89" s="180" t="str">
        <f ca="1"/>
        <v/>
      </c>
      <c r="H89" s="180" t="str">
        <f ca="1"/>
        <v/>
      </c>
      <c r="I89" s="180" t="str">
        <f ca="1"/>
        <v/>
      </c>
      <c r="J89" s="180" t="str">
        <f ca="1"/>
        <v/>
      </c>
      <c r="K89" s="180" t="str">
        <f ca="1"/>
        <v/>
      </c>
      <c r="L89" s="180" t="str">
        <f ca="1"/>
        <v/>
      </c>
      <c r="M89" s="180" t="str">
        <f ca="1"/>
        <v/>
      </c>
      <c r="N89" s="180" t="str">
        <f ca="1"/>
        <v/>
      </c>
      <c r="O89" s="180" t="str">
        <f ca="1"/>
        <v/>
      </c>
      <c r="P89" s="180" t="str">
        <f ca="1"/>
        <v/>
      </c>
      <c r="Q89" s="180" t="str">
        <f ca="1"/>
        <v/>
      </c>
      <c r="R89" s="180" t="str">
        <f ca="1"/>
        <v/>
      </c>
      <c r="S89" s="180" t="str">
        <f ca="1"/>
        <v/>
      </c>
      <c r="T89" s="180" t="str">
        <f ca="1"/>
        <v/>
      </c>
      <c r="U89" s="180" t="str">
        <f ca="1"/>
        <v/>
      </c>
      <c r="V89" s="180" t="str">
        <f ca="1"/>
        <v/>
      </c>
      <c r="W89" s="180" t="str">
        <f ca="1"/>
        <v/>
      </c>
      <c r="X89" s="180" t="str">
        <f ca="1"/>
        <v/>
      </c>
      <c r="Y89" s="180" t="str">
        <f ca="1"/>
        <v/>
      </c>
      <c r="Z89" s="180" t="str">
        <f ca="1"/>
        <v/>
      </c>
      <c r="AA89" s="180" t="str">
        <f ca="1"/>
        <v/>
      </c>
      <c r="AB89" s="180" t="str">
        <f ca="1"/>
        <v/>
      </c>
      <c r="AC89" s="180" t="str">
        <f ca="1"/>
        <v/>
      </c>
      <c r="AD89" s="180" t="str">
        <f ca="1"/>
        <v/>
      </c>
      <c r="AE89" s="180" t="str">
        <f ca="1"/>
        <v/>
      </c>
      <c r="AF89" s="180" t="str">
        <f ca="1"/>
        <v/>
      </c>
      <c r="AG89" s="180" t="str">
        <f ca="1"/>
        <v/>
      </c>
      <c r="AH89" s="180" t="str">
        <f ca="1"/>
        <v/>
      </c>
      <c r="AI89" s="180" t="str">
        <f ca="1"/>
        <v/>
      </c>
      <c r="AJ89" s="180" t="str">
        <f ca="1"/>
        <v/>
      </c>
      <c r="AK89" s="180" t="str">
        <f ca="1"/>
        <v/>
      </c>
      <c r="AL89" s="180" t="str">
        <f ca="1"/>
        <v/>
      </c>
      <c r="AM89" s="180" t="str">
        <f ca="1"/>
        <v/>
      </c>
      <c r="AN89" s="180" t="str">
        <f ca="1"/>
        <v/>
      </c>
      <c r="AO89" s="180" t="str">
        <f ca="1"/>
        <v/>
      </c>
      <c r="AP89" s="180" t="str">
        <f ca="1"/>
        <v/>
      </c>
      <c r="AQ89" s="187" t="str">
        <f ca="1"/>
        <v/>
      </c>
    </row>
    <row r="90" spans="2:43" x14ac:dyDescent="0.25">
      <c r="B90" s="179" t="str">
        <f ca="1"/>
        <v/>
      </c>
      <c r="C90" s="180" t="str">
        <f ca="1"/>
        <v/>
      </c>
      <c r="D90" s="180" t="str">
        <f ca="1"/>
        <v/>
      </c>
      <c r="E90" s="180" t="str">
        <f ca="1"/>
        <v/>
      </c>
      <c r="F90" s="180" t="str">
        <f ca="1"/>
        <v/>
      </c>
      <c r="G90" s="180" t="str">
        <f ca="1"/>
        <v/>
      </c>
      <c r="H90" s="180" t="str">
        <f ca="1"/>
        <v/>
      </c>
      <c r="I90" s="180" t="str">
        <f ca="1"/>
        <v/>
      </c>
      <c r="J90" s="180" t="str">
        <f ca="1"/>
        <v/>
      </c>
      <c r="K90" s="180" t="str">
        <f ca="1"/>
        <v/>
      </c>
      <c r="L90" s="180" t="str">
        <f ca="1"/>
        <v/>
      </c>
      <c r="M90" s="180" t="str">
        <f ca="1"/>
        <v/>
      </c>
      <c r="N90" s="180" t="str">
        <f ca="1"/>
        <v/>
      </c>
      <c r="O90" s="180" t="str">
        <f ca="1"/>
        <v/>
      </c>
      <c r="P90" s="180" t="str">
        <f ca="1"/>
        <v/>
      </c>
      <c r="Q90" s="180" t="str">
        <f ca="1"/>
        <v/>
      </c>
      <c r="R90" s="180" t="str">
        <f ca="1"/>
        <v/>
      </c>
      <c r="S90" s="180" t="str">
        <f ca="1"/>
        <v/>
      </c>
      <c r="T90" s="180" t="str">
        <f ca="1"/>
        <v/>
      </c>
      <c r="U90" s="180" t="str">
        <f ca="1"/>
        <v/>
      </c>
      <c r="V90" s="180" t="str">
        <f ca="1"/>
        <v/>
      </c>
      <c r="W90" s="180" t="str">
        <f ca="1"/>
        <v/>
      </c>
      <c r="X90" s="180" t="str">
        <f ca="1"/>
        <v/>
      </c>
      <c r="Y90" s="180" t="str">
        <f ca="1"/>
        <v/>
      </c>
      <c r="Z90" s="180" t="str">
        <f ca="1"/>
        <v/>
      </c>
      <c r="AA90" s="180" t="str">
        <f ca="1"/>
        <v/>
      </c>
      <c r="AB90" s="180" t="str">
        <f ca="1"/>
        <v/>
      </c>
      <c r="AC90" s="180" t="str">
        <f ca="1"/>
        <v/>
      </c>
      <c r="AD90" s="180" t="str">
        <f ca="1"/>
        <v/>
      </c>
      <c r="AE90" s="180" t="str">
        <f ca="1"/>
        <v/>
      </c>
      <c r="AF90" s="180" t="str">
        <f ca="1"/>
        <v/>
      </c>
      <c r="AG90" s="180" t="str">
        <f ca="1"/>
        <v/>
      </c>
      <c r="AH90" s="180" t="str">
        <f ca="1"/>
        <v/>
      </c>
      <c r="AI90" s="180" t="str">
        <f ca="1"/>
        <v/>
      </c>
      <c r="AJ90" s="180" t="str">
        <f ca="1"/>
        <v/>
      </c>
      <c r="AK90" s="180" t="str">
        <f ca="1"/>
        <v/>
      </c>
      <c r="AL90" s="180" t="str">
        <f ca="1"/>
        <v/>
      </c>
      <c r="AM90" s="180" t="str">
        <f ca="1"/>
        <v/>
      </c>
      <c r="AN90" s="180" t="str">
        <f ca="1"/>
        <v/>
      </c>
      <c r="AO90" s="180" t="str">
        <f ca="1"/>
        <v/>
      </c>
      <c r="AP90" s="180" t="str">
        <f ca="1"/>
        <v/>
      </c>
      <c r="AQ90" s="187" t="str">
        <f ca="1"/>
        <v/>
      </c>
    </row>
    <row r="91" spans="2:43" x14ac:dyDescent="0.25">
      <c r="B91" s="179" t="str">
        <f ca="1"/>
        <v/>
      </c>
      <c r="C91" s="180" t="str">
        <f ca="1"/>
        <v/>
      </c>
      <c r="D91" s="180" t="str">
        <f ca="1"/>
        <v/>
      </c>
      <c r="E91" s="180" t="str">
        <f ca="1"/>
        <v/>
      </c>
      <c r="F91" s="180" t="str">
        <f ca="1"/>
        <v/>
      </c>
      <c r="G91" s="180" t="str">
        <f ca="1"/>
        <v/>
      </c>
      <c r="H91" s="180" t="str">
        <f ca="1"/>
        <v/>
      </c>
      <c r="I91" s="180" t="str">
        <f ca="1"/>
        <v/>
      </c>
      <c r="J91" s="180" t="str">
        <f ca="1"/>
        <v/>
      </c>
      <c r="K91" s="180" t="str">
        <f ca="1"/>
        <v/>
      </c>
      <c r="L91" s="180" t="str">
        <f ca="1"/>
        <v/>
      </c>
      <c r="M91" s="180" t="str">
        <f ca="1"/>
        <v/>
      </c>
      <c r="N91" s="180" t="str">
        <f ca="1"/>
        <v/>
      </c>
      <c r="O91" s="180" t="str">
        <f ca="1"/>
        <v/>
      </c>
      <c r="P91" s="180" t="str">
        <f ca="1"/>
        <v/>
      </c>
      <c r="Q91" s="180" t="str">
        <f ca="1"/>
        <v/>
      </c>
      <c r="R91" s="180" t="str">
        <f ca="1"/>
        <v/>
      </c>
      <c r="S91" s="180" t="str">
        <f ca="1"/>
        <v/>
      </c>
      <c r="T91" s="180" t="str">
        <f ca="1"/>
        <v/>
      </c>
      <c r="U91" s="180" t="str">
        <f ca="1"/>
        <v/>
      </c>
      <c r="V91" s="180" t="str">
        <f ca="1"/>
        <v/>
      </c>
      <c r="W91" s="180" t="str">
        <f ca="1"/>
        <v/>
      </c>
      <c r="X91" s="180" t="str">
        <f ca="1"/>
        <v/>
      </c>
      <c r="Y91" s="180" t="str">
        <f ca="1"/>
        <v/>
      </c>
      <c r="Z91" s="180" t="str">
        <f ca="1"/>
        <v/>
      </c>
      <c r="AA91" s="180" t="str">
        <f ca="1"/>
        <v/>
      </c>
      <c r="AB91" s="180" t="str">
        <f ca="1"/>
        <v/>
      </c>
      <c r="AC91" s="180" t="str">
        <f ca="1"/>
        <v/>
      </c>
      <c r="AD91" s="180" t="str">
        <f ca="1"/>
        <v/>
      </c>
      <c r="AE91" s="180" t="str">
        <f ca="1"/>
        <v/>
      </c>
      <c r="AF91" s="180" t="str">
        <f ca="1"/>
        <v/>
      </c>
      <c r="AG91" s="180" t="str">
        <f ca="1"/>
        <v/>
      </c>
      <c r="AH91" s="180" t="str">
        <f ca="1"/>
        <v/>
      </c>
      <c r="AI91" s="180" t="str">
        <f ca="1"/>
        <v/>
      </c>
      <c r="AJ91" s="180" t="str">
        <f ca="1"/>
        <v/>
      </c>
      <c r="AK91" s="180" t="str">
        <f ca="1"/>
        <v/>
      </c>
      <c r="AL91" s="180" t="str">
        <f ca="1"/>
        <v/>
      </c>
      <c r="AM91" s="180" t="str">
        <f ca="1"/>
        <v/>
      </c>
      <c r="AN91" s="180" t="str">
        <f ca="1"/>
        <v/>
      </c>
      <c r="AO91" s="180" t="str">
        <f ca="1"/>
        <v/>
      </c>
      <c r="AP91" s="180" t="str">
        <f ca="1"/>
        <v/>
      </c>
      <c r="AQ91" s="187" t="str">
        <f ca="1"/>
        <v/>
      </c>
    </row>
    <row r="92" spans="2:43" x14ac:dyDescent="0.25">
      <c r="B92" s="179" t="str">
        <f ca="1"/>
        <v/>
      </c>
      <c r="C92" s="180" t="str">
        <f ca="1"/>
        <v/>
      </c>
      <c r="D92" s="180" t="str">
        <f ca="1"/>
        <v/>
      </c>
      <c r="E92" s="180" t="str">
        <f ca="1"/>
        <v/>
      </c>
      <c r="F92" s="180" t="str">
        <f ca="1"/>
        <v/>
      </c>
      <c r="G92" s="180" t="str">
        <f ca="1"/>
        <v/>
      </c>
      <c r="H92" s="180" t="str">
        <f ca="1"/>
        <v/>
      </c>
      <c r="I92" s="180" t="str">
        <f ca="1"/>
        <v/>
      </c>
      <c r="J92" s="180" t="str">
        <f ca="1"/>
        <v/>
      </c>
      <c r="K92" s="180" t="str">
        <f ca="1"/>
        <v/>
      </c>
      <c r="L92" s="180" t="str">
        <f ca="1"/>
        <v/>
      </c>
      <c r="M92" s="180" t="str">
        <f ca="1"/>
        <v/>
      </c>
      <c r="N92" s="180" t="str">
        <f ca="1"/>
        <v/>
      </c>
      <c r="O92" s="180" t="str">
        <f ca="1"/>
        <v/>
      </c>
      <c r="P92" s="180" t="str">
        <f ca="1"/>
        <v/>
      </c>
      <c r="Q92" s="180" t="str">
        <f ca="1"/>
        <v/>
      </c>
      <c r="R92" s="180" t="str">
        <f ca="1"/>
        <v/>
      </c>
      <c r="S92" s="180" t="str">
        <f ca="1"/>
        <v/>
      </c>
      <c r="T92" s="180" t="str">
        <f ca="1"/>
        <v/>
      </c>
      <c r="U92" s="180" t="str">
        <f ca="1"/>
        <v/>
      </c>
      <c r="V92" s="180" t="str">
        <f ca="1"/>
        <v/>
      </c>
      <c r="W92" s="180" t="str">
        <f ca="1"/>
        <v/>
      </c>
      <c r="X92" s="180" t="str">
        <f ca="1"/>
        <v/>
      </c>
      <c r="Y92" s="180" t="str">
        <f ca="1"/>
        <v/>
      </c>
      <c r="Z92" s="180" t="str">
        <f ca="1"/>
        <v/>
      </c>
      <c r="AA92" s="180" t="str">
        <f ca="1"/>
        <v/>
      </c>
      <c r="AB92" s="180" t="str">
        <f ca="1"/>
        <v/>
      </c>
      <c r="AC92" s="180" t="str">
        <f ca="1"/>
        <v/>
      </c>
      <c r="AD92" s="180" t="str">
        <f ca="1"/>
        <v/>
      </c>
      <c r="AE92" s="180" t="str">
        <f ca="1"/>
        <v/>
      </c>
      <c r="AF92" s="180" t="str">
        <f ca="1"/>
        <v/>
      </c>
      <c r="AG92" s="180" t="str">
        <f ca="1"/>
        <v/>
      </c>
      <c r="AH92" s="180" t="str">
        <f ca="1"/>
        <v/>
      </c>
      <c r="AI92" s="180" t="str">
        <f ca="1"/>
        <v/>
      </c>
      <c r="AJ92" s="180" t="str">
        <f ca="1"/>
        <v/>
      </c>
      <c r="AK92" s="180" t="str">
        <f ca="1"/>
        <v/>
      </c>
      <c r="AL92" s="180" t="str">
        <f ca="1"/>
        <v/>
      </c>
      <c r="AM92" s="180" t="str">
        <f ca="1"/>
        <v/>
      </c>
      <c r="AN92" s="180" t="str">
        <f ca="1"/>
        <v/>
      </c>
      <c r="AO92" s="180" t="str">
        <f ca="1"/>
        <v/>
      </c>
      <c r="AP92" s="180" t="str">
        <f ca="1"/>
        <v/>
      </c>
      <c r="AQ92" s="187" t="str">
        <f ca="1"/>
        <v/>
      </c>
    </row>
    <row r="93" spans="2:43" x14ac:dyDescent="0.25">
      <c r="B93" s="179" t="str">
        <f ca="1"/>
        <v/>
      </c>
      <c r="C93" s="180" t="str">
        <f ca="1"/>
        <v/>
      </c>
      <c r="D93" s="180" t="str">
        <f ca="1"/>
        <v/>
      </c>
      <c r="E93" s="180" t="str">
        <f ca="1"/>
        <v/>
      </c>
      <c r="F93" s="180" t="str">
        <f ca="1"/>
        <v/>
      </c>
      <c r="G93" s="180" t="str">
        <f ca="1"/>
        <v/>
      </c>
      <c r="H93" s="180" t="str">
        <f ca="1"/>
        <v/>
      </c>
      <c r="I93" s="180" t="str">
        <f ca="1"/>
        <v/>
      </c>
      <c r="J93" s="180" t="str">
        <f ca="1"/>
        <v/>
      </c>
      <c r="K93" s="180" t="str">
        <f ca="1"/>
        <v/>
      </c>
      <c r="L93" s="180" t="str">
        <f ca="1"/>
        <v/>
      </c>
      <c r="M93" s="180" t="str">
        <f ca="1"/>
        <v/>
      </c>
      <c r="N93" s="180" t="str">
        <f ca="1"/>
        <v/>
      </c>
      <c r="O93" s="180" t="str">
        <f ca="1"/>
        <v/>
      </c>
      <c r="P93" s="180" t="str">
        <f ca="1"/>
        <v/>
      </c>
      <c r="Q93" s="180" t="str">
        <f ca="1"/>
        <v/>
      </c>
      <c r="R93" s="180" t="str">
        <f ca="1"/>
        <v/>
      </c>
      <c r="S93" s="180" t="str">
        <f ca="1"/>
        <v/>
      </c>
      <c r="T93" s="180" t="str">
        <f ca="1"/>
        <v/>
      </c>
      <c r="U93" s="180" t="str">
        <f ca="1"/>
        <v/>
      </c>
      <c r="V93" s="180" t="str">
        <f ca="1"/>
        <v/>
      </c>
      <c r="W93" s="180" t="str">
        <f ca="1"/>
        <v/>
      </c>
      <c r="X93" s="180" t="str">
        <f ca="1"/>
        <v/>
      </c>
      <c r="Y93" s="180" t="str">
        <f ca="1"/>
        <v/>
      </c>
      <c r="Z93" s="180" t="str">
        <f ca="1"/>
        <v/>
      </c>
      <c r="AA93" s="180" t="str">
        <f ca="1"/>
        <v/>
      </c>
      <c r="AB93" s="180" t="str">
        <f ca="1"/>
        <v/>
      </c>
      <c r="AC93" s="180" t="str">
        <f ca="1"/>
        <v/>
      </c>
      <c r="AD93" s="180" t="str">
        <f ca="1"/>
        <v/>
      </c>
      <c r="AE93" s="180" t="str">
        <f ca="1"/>
        <v/>
      </c>
      <c r="AF93" s="180" t="str">
        <f ca="1"/>
        <v/>
      </c>
      <c r="AG93" s="180" t="str">
        <f ca="1"/>
        <v/>
      </c>
      <c r="AH93" s="180" t="str">
        <f ca="1"/>
        <v/>
      </c>
      <c r="AI93" s="180" t="str">
        <f ca="1"/>
        <v/>
      </c>
      <c r="AJ93" s="180" t="str">
        <f ca="1"/>
        <v/>
      </c>
      <c r="AK93" s="180" t="str">
        <f ca="1"/>
        <v/>
      </c>
      <c r="AL93" s="180" t="str">
        <f ca="1"/>
        <v/>
      </c>
      <c r="AM93" s="180" t="str">
        <f ca="1"/>
        <v/>
      </c>
      <c r="AN93" s="180" t="str">
        <f ca="1"/>
        <v/>
      </c>
      <c r="AO93" s="180" t="str">
        <f ca="1"/>
        <v/>
      </c>
      <c r="AP93" s="180" t="str">
        <f ca="1"/>
        <v/>
      </c>
      <c r="AQ93" s="187" t="str">
        <f ca="1"/>
        <v/>
      </c>
    </row>
    <row r="94" spans="2:43" x14ac:dyDescent="0.25">
      <c r="B94" s="179" t="str">
        <f ca="1"/>
        <v/>
      </c>
      <c r="C94" s="180" t="str">
        <f ca="1"/>
        <v/>
      </c>
      <c r="D94" s="180" t="str">
        <f ca="1"/>
        <v/>
      </c>
      <c r="E94" s="180" t="str">
        <f ca="1"/>
        <v/>
      </c>
      <c r="F94" s="180" t="str">
        <f ca="1"/>
        <v/>
      </c>
      <c r="G94" s="180" t="str">
        <f ca="1"/>
        <v/>
      </c>
      <c r="H94" s="180" t="str">
        <f ca="1"/>
        <v/>
      </c>
      <c r="I94" s="180" t="str">
        <f ca="1"/>
        <v/>
      </c>
      <c r="J94" s="180" t="str">
        <f ca="1"/>
        <v/>
      </c>
      <c r="K94" s="180" t="str">
        <f ca="1"/>
        <v/>
      </c>
      <c r="L94" s="180" t="str">
        <f ca="1"/>
        <v/>
      </c>
      <c r="M94" s="180" t="str">
        <f ca="1"/>
        <v/>
      </c>
      <c r="N94" s="180" t="str">
        <f ca="1"/>
        <v/>
      </c>
      <c r="O94" s="180" t="str">
        <f ca="1"/>
        <v/>
      </c>
      <c r="P94" s="180" t="str">
        <f ca="1"/>
        <v/>
      </c>
      <c r="Q94" s="180" t="str">
        <f ca="1"/>
        <v/>
      </c>
      <c r="R94" s="180" t="str">
        <f ca="1"/>
        <v/>
      </c>
      <c r="S94" s="180" t="str">
        <f ca="1"/>
        <v/>
      </c>
      <c r="T94" s="180" t="str">
        <f ca="1"/>
        <v/>
      </c>
      <c r="U94" s="180" t="str">
        <f ca="1"/>
        <v/>
      </c>
      <c r="V94" s="180" t="str">
        <f ca="1"/>
        <v/>
      </c>
      <c r="W94" s="180" t="str">
        <f ca="1"/>
        <v/>
      </c>
      <c r="X94" s="180" t="str">
        <f ca="1"/>
        <v/>
      </c>
      <c r="Y94" s="180" t="str">
        <f ca="1"/>
        <v/>
      </c>
      <c r="Z94" s="180" t="str">
        <f ca="1"/>
        <v/>
      </c>
      <c r="AA94" s="180" t="str">
        <f ca="1"/>
        <v/>
      </c>
      <c r="AB94" s="180" t="str">
        <f ca="1"/>
        <v/>
      </c>
      <c r="AC94" s="180" t="str">
        <f ca="1"/>
        <v/>
      </c>
      <c r="AD94" s="180" t="str">
        <f ca="1"/>
        <v/>
      </c>
      <c r="AE94" s="180" t="str">
        <f ca="1"/>
        <v/>
      </c>
      <c r="AF94" s="180" t="str">
        <f ca="1"/>
        <v/>
      </c>
      <c r="AG94" s="180" t="str">
        <f ca="1"/>
        <v/>
      </c>
      <c r="AH94" s="180" t="str">
        <f ca="1"/>
        <v/>
      </c>
      <c r="AI94" s="180" t="str">
        <f ca="1"/>
        <v/>
      </c>
      <c r="AJ94" s="180" t="str">
        <f ca="1"/>
        <v/>
      </c>
      <c r="AK94" s="180" t="str">
        <f ca="1"/>
        <v/>
      </c>
      <c r="AL94" s="180" t="str">
        <f ca="1"/>
        <v/>
      </c>
      <c r="AM94" s="180" t="str">
        <f ca="1"/>
        <v/>
      </c>
      <c r="AN94" s="180" t="str">
        <f ca="1"/>
        <v/>
      </c>
      <c r="AO94" s="180" t="str">
        <f ca="1"/>
        <v/>
      </c>
      <c r="AP94" s="180" t="str">
        <f ca="1"/>
        <v/>
      </c>
      <c r="AQ94" s="187" t="str">
        <f ca="1"/>
        <v/>
      </c>
    </row>
    <row r="95" spans="2:43" x14ac:dyDescent="0.25">
      <c r="B95" s="179" t="str">
        <f ca="1"/>
        <v/>
      </c>
      <c r="C95" s="180" t="str">
        <f ca="1"/>
        <v/>
      </c>
      <c r="D95" s="180" t="str">
        <f ca="1"/>
        <v/>
      </c>
      <c r="E95" s="180" t="str">
        <f ca="1"/>
        <v/>
      </c>
      <c r="F95" s="180" t="str">
        <f ca="1"/>
        <v/>
      </c>
      <c r="G95" s="180" t="str">
        <f ca="1"/>
        <v/>
      </c>
      <c r="H95" s="180" t="str">
        <f ca="1"/>
        <v/>
      </c>
      <c r="I95" s="180" t="str">
        <f ca="1"/>
        <v/>
      </c>
      <c r="J95" s="180" t="str">
        <f ca="1"/>
        <v/>
      </c>
      <c r="K95" s="180" t="str">
        <f ca="1"/>
        <v/>
      </c>
      <c r="L95" s="180" t="str">
        <f ca="1"/>
        <v/>
      </c>
      <c r="M95" s="180" t="str">
        <f ca="1"/>
        <v/>
      </c>
      <c r="N95" s="180" t="str">
        <f ca="1"/>
        <v/>
      </c>
      <c r="O95" s="180" t="str">
        <f ca="1"/>
        <v/>
      </c>
      <c r="P95" s="180" t="str">
        <f ca="1"/>
        <v/>
      </c>
      <c r="Q95" s="180" t="str">
        <f ca="1"/>
        <v/>
      </c>
      <c r="R95" s="180" t="str">
        <f ca="1"/>
        <v/>
      </c>
      <c r="S95" s="180" t="str">
        <f ca="1"/>
        <v/>
      </c>
      <c r="T95" s="180" t="str">
        <f ca="1"/>
        <v/>
      </c>
      <c r="U95" s="180" t="str">
        <f ca="1"/>
        <v/>
      </c>
      <c r="V95" s="180" t="str">
        <f ca="1"/>
        <v/>
      </c>
      <c r="W95" s="180" t="str">
        <f ca="1"/>
        <v/>
      </c>
      <c r="X95" s="180" t="str">
        <f ca="1"/>
        <v/>
      </c>
      <c r="Y95" s="180" t="str">
        <f ca="1"/>
        <v/>
      </c>
      <c r="Z95" s="180" t="str">
        <f ca="1"/>
        <v/>
      </c>
      <c r="AA95" s="180" t="str">
        <f ca="1"/>
        <v/>
      </c>
      <c r="AB95" s="180" t="str">
        <f ca="1"/>
        <v/>
      </c>
      <c r="AC95" s="180" t="str">
        <f ca="1"/>
        <v/>
      </c>
      <c r="AD95" s="180" t="str">
        <f ca="1"/>
        <v/>
      </c>
      <c r="AE95" s="180" t="str">
        <f ca="1"/>
        <v/>
      </c>
      <c r="AF95" s="180" t="str">
        <f ca="1"/>
        <v/>
      </c>
      <c r="AG95" s="180" t="str">
        <f ca="1"/>
        <v/>
      </c>
      <c r="AH95" s="180" t="str">
        <f ca="1"/>
        <v/>
      </c>
      <c r="AI95" s="180" t="str">
        <f ca="1"/>
        <v/>
      </c>
      <c r="AJ95" s="180" t="str">
        <f ca="1"/>
        <v/>
      </c>
      <c r="AK95" s="180" t="str">
        <f ca="1"/>
        <v/>
      </c>
      <c r="AL95" s="180" t="str">
        <f ca="1"/>
        <v/>
      </c>
      <c r="AM95" s="180" t="str">
        <f ca="1"/>
        <v/>
      </c>
      <c r="AN95" s="180" t="str">
        <f ca="1"/>
        <v/>
      </c>
      <c r="AO95" s="180" t="str">
        <f ca="1"/>
        <v/>
      </c>
      <c r="AP95" s="180" t="str">
        <f ca="1"/>
        <v/>
      </c>
      <c r="AQ95" s="187" t="str">
        <f ca="1"/>
        <v/>
      </c>
    </row>
    <row r="96" spans="2:43" x14ac:dyDescent="0.25">
      <c r="B96" s="179" t="str">
        <f ca="1"/>
        <v/>
      </c>
      <c r="C96" s="180" t="str">
        <f ca="1"/>
        <v/>
      </c>
      <c r="D96" s="180" t="str">
        <f ca="1"/>
        <v/>
      </c>
      <c r="E96" s="180" t="str">
        <f ca="1"/>
        <v/>
      </c>
      <c r="F96" s="180" t="str">
        <f ca="1"/>
        <v/>
      </c>
      <c r="G96" s="180" t="str">
        <f ca="1"/>
        <v/>
      </c>
      <c r="H96" s="180" t="str">
        <f ca="1"/>
        <v/>
      </c>
      <c r="I96" s="180" t="str">
        <f ca="1"/>
        <v/>
      </c>
      <c r="J96" s="180" t="str">
        <f ca="1"/>
        <v/>
      </c>
      <c r="K96" s="180" t="str">
        <f ca="1"/>
        <v/>
      </c>
      <c r="L96" s="180" t="str">
        <f ca="1"/>
        <v/>
      </c>
      <c r="M96" s="180" t="str">
        <f ca="1"/>
        <v/>
      </c>
      <c r="N96" s="180" t="str">
        <f ca="1"/>
        <v/>
      </c>
      <c r="O96" s="180" t="str">
        <f ca="1"/>
        <v/>
      </c>
      <c r="P96" s="180" t="str">
        <f ca="1"/>
        <v/>
      </c>
      <c r="Q96" s="180" t="str">
        <f ca="1"/>
        <v/>
      </c>
      <c r="R96" s="180" t="str">
        <f ca="1"/>
        <v/>
      </c>
      <c r="S96" s="180" t="str">
        <f ca="1"/>
        <v/>
      </c>
      <c r="T96" s="180" t="str">
        <f ca="1"/>
        <v/>
      </c>
      <c r="U96" s="180" t="str">
        <f ca="1"/>
        <v/>
      </c>
      <c r="V96" s="180" t="str">
        <f ca="1"/>
        <v/>
      </c>
      <c r="W96" s="180" t="str">
        <f ca="1"/>
        <v/>
      </c>
      <c r="X96" s="180" t="str">
        <f ca="1"/>
        <v/>
      </c>
      <c r="Y96" s="180" t="str">
        <f ca="1"/>
        <v/>
      </c>
      <c r="Z96" s="180" t="str">
        <f ca="1"/>
        <v/>
      </c>
      <c r="AA96" s="180" t="str">
        <f ca="1"/>
        <v/>
      </c>
      <c r="AB96" s="180" t="str">
        <f ca="1"/>
        <v/>
      </c>
      <c r="AC96" s="180" t="str">
        <f ca="1"/>
        <v/>
      </c>
      <c r="AD96" s="180" t="str">
        <f ca="1"/>
        <v/>
      </c>
      <c r="AE96" s="180" t="str">
        <f ca="1"/>
        <v/>
      </c>
      <c r="AF96" s="180" t="str">
        <f ca="1"/>
        <v/>
      </c>
      <c r="AG96" s="180" t="str">
        <f ca="1"/>
        <v/>
      </c>
      <c r="AH96" s="180" t="str">
        <f ca="1"/>
        <v/>
      </c>
      <c r="AI96" s="180" t="str">
        <f ca="1"/>
        <v/>
      </c>
      <c r="AJ96" s="180" t="str">
        <f ca="1"/>
        <v/>
      </c>
      <c r="AK96" s="180" t="str">
        <f ca="1"/>
        <v/>
      </c>
      <c r="AL96" s="180" t="str">
        <f ca="1"/>
        <v/>
      </c>
      <c r="AM96" s="180" t="str">
        <f ca="1"/>
        <v/>
      </c>
      <c r="AN96" s="180" t="str">
        <f ca="1"/>
        <v/>
      </c>
      <c r="AO96" s="180" t="str">
        <f ca="1"/>
        <v/>
      </c>
      <c r="AP96" s="180" t="str">
        <f ca="1"/>
        <v/>
      </c>
      <c r="AQ96" s="187" t="str">
        <f ca="1"/>
        <v/>
      </c>
    </row>
    <row r="97" spans="2:43" x14ac:dyDescent="0.25">
      <c r="B97" s="179" t="str">
        <f ca="1"/>
        <v/>
      </c>
      <c r="C97" s="180" t="str">
        <f ca="1"/>
        <v/>
      </c>
      <c r="D97" s="180" t="str">
        <f ca="1"/>
        <v/>
      </c>
      <c r="E97" s="180" t="str">
        <f ca="1"/>
        <v/>
      </c>
      <c r="F97" s="180" t="str">
        <f ca="1"/>
        <v/>
      </c>
      <c r="G97" s="180" t="str">
        <f ca="1"/>
        <v/>
      </c>
      <c r="H97" s="180" t="str">
        <f ca="1"/>
        <v/>
      </c>
      <c r="I97" s="180" t="str">
        <f ca="1"/>
        <v/>
      </c>
      <c r="J97" s="180" t="str">
        <f ca="1"/>
        <v/>
      </c>
      <c r="K97" s="180" t="str">
        <f ca="1"/>
        <v/>
      </c>
      <c r="L97" s="180" t="str">
        <f ca="1"/>
        <v/>
      </c>
      <c r="M97" s="180" t="str">
        <f ca="1"/>
        <v/>
      </c>
      <c r="N97" s="180" t="str">
        <f ca="1"/>
        <v/>
      </c>
      <c r="O97" s="180" t="str">
        <f ca="1"/>
        <v/>
      </c>
      <c r="P97" s="180" t="str">
        <f ca="1"/>
        <v/>
      </c>
      <c r="Q97" s="180" t="str">
        <f ca="1"/>
        <v/>
      </c>
      <c r="R97" s="180" t="str">
        <f ca="1"/>
        <v/>
      </c>
      <c r="S97" s="180" t="str">
        <f ca="1"/>
        <v/>
      </c>
      <c r="T97" s="180" t="str">
        <f ca="1"/>
        <v/>
      </c>
      <c r="U97" s="180" t="str">
        <f ca="1"/>
        <v/>
      </c>
      <c r="V97" s="180" t="str">
        <f ca="1"/>
        <v/>
      </c>
      <c r="W97" s="180" t="str">
        <f ca="1"/>
        <v/>
      </c>
      <c r="X97" s="180" t="str">
        <f ca="1"/>
        <v/>
      </c>
      <c r="Y97" s="180" t="str">
        <f ca="1"/>
        <v/>
      </c>
      <c r="Z97" s="180" t="str">
        <f ca="1"/>
        <v/>
      </c>
      <c r="AA97" s="180" t="str">
        <f ca="1"/>
        <v/>
      </c>
      <c r="AB97" s="180" t="str">
        <f ca="1"/>
        <v/>
      </c>
      <c r="AC97" s="180" t="str">
        <f ca="1"/>
        <v/>
      </c>
      <c r="AD97" s="180" t="str">
        <f ca="1"/>
        <v/>
      </c>
      <c r="AE97" s="180" t="str">
        <f ca="1"/>
        <v/>
      </c>
      <c r="AF97" s="180" t="str">
        <f ca="1"/>
        <v/>
      </c>
      <c r="AG97" s="180" t="str">
        <f ca="1"/>
        <v/>
      </c>
      <c r="AH97" s="180" t="str">
        <f ca="1"/>
        <v/>
      </c>
      <c r="AI97" s="180" t="str">
        <f ca="1"/>
        <v/>
      </c>
      <c r="AJ97" s="180" t="str">
        <f ca="1"/>
        <v/>
      </c>
      <c r="AK97" s="180" t="str">
        <f ca="1"/>
        <v/>
      </c>
      <c r="AL97" s="180" t="str">
        <f ca="1"/>
        <v/>
      </c>
      <c r="AM97" s="180" t="str">
        <f ca="1"/>
        <v/>
      </c>
      <c r="AN97" s="180" t="str">
        <f ca="1"/>
        <v/>
      </c>
      <c r="AO97" s="180" t="str">
        <f ca="1"/>
        <v/>
      </c>
      <c r="AP97" s="180" t="str">
        <f ca="1"/>
        <v/>
      </c>
      <c r="AQ97" s="187" t="str">
        <f ca="1"/>
        <v/>
      </c>
    </row>
    <row r="98" spans="2:43" x14ac:dyDescent="0.25">
      <c r="B98" s="179" t="str">
        <f ca="1"/>
        <v/>
      </c>
      <c r="C98" s="180" t="str">
        <f ca="1"/>
        <v/>
      </c>
      <c r="D98" s="180" t="str">
        <f ca="1"/>
        <v/>
      </c>
      <c r="E98" s="180" t="str">
        <f ca="1"/>
        <v/>
      </c>
      <c r="F98" s="180" t="str">
        <f ca="1"/>
        <v/>
      </c>
      <c r="G98" s="180" t="str">
        <f ca="1"/>
        <v/>
      </c>
      <c r="H98" s="180" t="str">
        <f ca="1"/>
        <v/>
      </c>
      <c r="I98" s="180" t="str">
        <f ca="1"/>
        <v/>
      </c>
      <c r="J98" s="180" t="str">
        <f ca="1"/>
        <v/>
      </c>
      <c r="K98" s="180" t="str">
        <f ca="1"/>
        <v/>
      </c>
      <c r="L98" s="180" t="str">
        <f ca="1"/>
        <v/>
      </c>
      <c r="M98" s="180" t="str">
        <f ca="1"/>
        <v/>
      </c>
      <c r="N98" s="180" t="str">
        <f ca="1"/>
        <v/>
      </c>
      <c r="O98" s="180" t="str">
        <f ca="1"/>
        <v/>
      </c>
      <c r="P98" s="180" t="str">
        <f ca="1"/>
        <v/>
      </c>
      <c r="Q98" s="180" t="str">
        <f ca="1"/>
        <v/>
      </c>
      <c r="R98" s="180" t="str">
        <f ca="1"/>
        <v/>
      </c>
      <c r="S98" s="180" t="str">
        <f ca="1"/>
        <v/>
      </c>
      <c r="T98" s="180" t="str">
        <f ca="1"/>
        <v/>
      </c>
      <c r="U98" s="180" t="str">
        <f ca="1"/>
        <v/>
      </c>
      <c r="V98" s="180" t="str">
        <f ca="1"/>
        <v/>
      </c>
      <c r="W98" s="180" t="str">
        <f ca="1"/>
        <v/>
      </c>
      <c r="X98" s="180" t="str">
        <f ca="1"/>
        <v/>
      </c>
      <c r="Y98" s="180" t="str">
        <f ca="1"/>
        <v/>
      </c>
      <c r="Z98" s="180" t="str">
        <f ca="1"/>
        <v/>
      </c>
      <c r="AA98" s="180" t="str">
        <f ca="1"/>
        <v/>
      </c>
      <c r="AB98" s="180" t="str">
        <f ca="1"/>
        <v/>
      </c>
      <c r="AC98" s="180" t="str">
        <f ca="1"/>
        <v/>
      </c>
      <c r="AD98" s="180" t="str">
        <f ca="1"/>
        <v/>
      </c>
      <c r="AE98" s="180" t="str">
        <f ca="1"/>
        <v/>
      </c>
      <c r="AF98" s="180" t="str">
        <f ca="1"/>
        <v/>
      </c>
      <c r="AG98" s="180" t="str">
        <f ca="1"/>
        <v/>
      </c>
      <c r="AH98" s="180" t="str">
        <f ca="1"/>
        <v/>
      </c>
      <c r="AI98" s="180" t="str">
        <f ca="1"/>
        <v/>
      </c>
      <c r="AJ98" s="180" t="str">
        <f ca="1"/>
        <v/>
      </c>
      <c r="AK98" s="180" t="str">
        <f ca="1"/>
        <v/>
      </c>
      <c r="AL98" s="180" t="str">
        <f ca="1"/>
        <v/>
      </c>
      <c r="AM98" s="180" t="str">
        <f ca="1"/>
        <v/>
      </c>
      <c r="AN98" s="180" t="str">
        <f ca="1"/>
        <v/>
      </c>
      <c r="AO98" s="180" t="str">
        <f ca="1"/>
        <v/>
      </c>
      <c r="AP98" s="180" t="str">
        <f ca="1"/>
        <v/>
      </c>
      <c r="AQ98" s="187" t="str">
        <f ca="1"/>
        <v/>
      </c>
    </row>
    <row r="99" spans="2:43" x14ac:dyDescent="0.25">
      <c r="B99" s="179" t="str">
        <f ca="1"/>
        <v/>
      </c>
      <c r="C99" s="180" t="str">
        <f ca="1"/>
        <v/>
      </c>
      <c r="D99" s="180" t="str">
        <f ca="1"/>
        <v/>
      </c>
      <c r="E99" s="180" t="str">
        <f ca="1"/>
        <v/>
      </c>
      <c r="F99" s="180" t="str">
        <f ca="1"/>
        <v/>
      </c>
      <c r="G99" s="180" t="str">
        <f ca="1"/>
        <v/>
      </c>
      <c r="H99" s="180" t="str">
        <f ca="1"/>
        <v/>
      </c>
      <c r="I99" s="180" t="str">
        <f ca="1"/>
        <v/>
      </c>
      <c r="J99" s="180" t="str">
        <f ca="1"/>
        <v/>
      </c>
      <c r="K99" s="180" t="str">
        <f ca="1"/>
        <v/>
      </c>
      <c r="L99" s="180" t="str">
        <f ca="1"/>
        <v/>
      </c>
      <c r="M99" s="180" t="str">
        <f ca="1"/>
        <v/>
      </c>
      <c r="N99" s="180" t="str">
        <f ca="1"/>
        <v/>
      </c>
      <c r="O99" s="180" t="str">
        <f ca="1"/>
        <v/>
      </c>
      <c r="P99" s="180" t="str">
        <f ca="1"/>
        <v/>
      </c>
      <c r="Q99" s="180" t="str">
        <f ca="1"/>
        <v/>
      </c>
      <c r="R99" s="180" t="str">
        <f ca="1"/>
        <v/>
      </c>
      <c r="S99" s="180" t="str">
        <f ca="1"/>
        <v/>
      </c>
      <c r="T99" s="180" t="str">
        <f ca="1"/>
        <v/>
      </c>
      <c r="U99" s="180" t="str">
        <f ca="1"/>
        <v/>
      </c>
      <c r="V99" s="180" t="str">
        <f ca="1"/>
        <v/>
      </c>
      <c r="W99" s="180" t="str">
        <f ca="1"/>
        <v/>
      </c>
      <c r="X99" s="180" t="str">
        <f ca="1"/>
        <v/>
      </c>
      <c r="Y99" s="180" t="str">
        <f ca="1"/>
        <v/>
      </c>
      <c r="Z99" s="180" t="str">
        <f ca="1"/>
        <v/>
      </c>
      <c r="AA99" s="180" t="str">
        <f ca="1"/>
        <v/>
      </c>
      <c r="AB99" s="180" t="str">
        <f ca="1"/>
        <v/>
      </c>
      <c r="AC99" s="180" t="str">
        <f ca="1"/>
        <v/>
      </c>
      <c r="AD99" s="180" t="str">
        <f ca="1"/>
        <v/>
      </c>
      <c r="AE99" s="180" t="str">
        <f ca="1"/>
        <v/>
      </c>
      <c r="AF99" s="180" t="str">
        <f ca="1"/>
        <v/>
      </c>
      <c r="AG99" s="180" t="str">
        <f ca="1"/>
        <v/>
      </c>
      <c r="AH99" s="180" t="str">
        <f ca="1"/>
        <v/>
      </c>
      <c r="AI99" s="180" t="str">
        <f ca="1"/>
        <v/>
      </c>
      <c r="AJ99" s="180" t="str">
        <f ca="1"/>
        <v/>
      </c>
      <c r="AK99" s="180" t="str">
        <f ca="1"/>
        <v/>
      </c>
      <c r="AL99" s="180" t="str">
        <f ca="1"/>
        <v/>
      </c>
      <c r="AM99" s="180" t="str">
        <f ca="1"/>
        <v/>
      </c>
      <c r="AN99" s="180" t="str">
        <f ca="1"/>
        <v/>
      </c>
      <c r="AO99" s="180" t="str">
        <f ca="1"/>
        <v/>
      </c>
      <c r="AP99" s="180" t="str">
        <f ca="1"/>
        <v/>
      </c>
      <c r="AQ99" s="187" t="str">
        <f ca="1"/>
        <v/>
      </c>
    </row>
    <row r="100" spans="2:43" x14ac:dyDescent="0.25">
      <c r="B100" s="179" t="str">
        <f ca="1"/>
        <v/>
      </c>
      <c r="C100" s="180" t="str">
        <f ca="1"/>
        <v/>
      </c>
      <c r="D100" s="180" t="str">
        <f ca="1"/>
        <v/>
      </c>
      <c r="E100" s="180" t="str">
        <f ca="1"/>
        <v/>
      </c>
      <c r="F100" s="180" t="str">
        <f ca="1"/>
        <v/>
      </c>
      <c r="G100" s="180" t="str">
        <f ca="1"/>
        <v/>
      </c>
      <c r="H100" s="180" t="str">
        <f ca="1"/>
        <v/>
      </c>
      <c r="I100" s="180" t="str">
        <f ca="1"/>
        <v/>
      </c>
      <c r="J100" s="180" t="str">
        <f ca="1"/>
        <v/>
      </c>
      <c r="K100" s="180" t="str">
        <f ca="1"/>
        <v/>
      </c>
      <c r="L100" s="180" t="str">
        <f ca="1"/>
        <v/>
      </c>
      <c r="M100" s="180" t="str">
        <f ca="1"/>
        <v/>
      </c>
      <c r="N100" s="180" t="str">
        <f ca="1"/>
        <v/>
      </c>
      <c r="O100" s="180" t="str">
        <f ca="1"/>
        <v/>
      </c>
      <c r="P100" s="180" t="str">
        <f ca="1"/>
        <v/>
      </c>
      <c r="Q100" s="180" t="str">
        <f ca="1"/>
        <v/>
      </c>
      <c r="R100" s="180" t="str">
        <f ca="1"/>
        <v/>
      </c>
      <c r="S100" s="180" t="str">
        <f ca="1"/>
        <v/>
      </c>
      <c r="T100" s="180" t="str">
        <f ca="1"/>
        <v/>
      </c>
      <c r="U100" s="180" t="str">
        <f ca="1"/>
        <v/>
      </c>
      <c r="V100" s="180" t="str">
        <f ca="1"/>
        <v/>
      </c>
      <c r="W100" s="180" t="str">
        <f ca="1"/>
        <v/>
      </c>
      <c r="X100" s="180" t="str">
        <f ca="1"/>
        <v/>
      </c>
      <c r="Y100" s="180" t="str">
        <f ca="1"/>
        <v/>
      </c>
      <c r="Z100" s="180" t="str">
        <f ca="1"/>
        <v/>
      </c>
      <c r="AA100" s="180" t="str">
        <f ca="1"/>
        <v/>
      </c>
      <c r="AB100" s="180" t="str">
        <f ca="1"/>
        <v/>
      </c>
      <c r="AC100" s="180" t="str">
        <f ca="1"/>
        <v/>
      </c>
      <c r="AD100" s="180" t="str">
        <f ca="1"/>
        <v/>
      </c>
      <c r="AE100" s="180" t="str">
        <f ca="1"/>
        <v/>
      </c>
      <c r="AF100" s="180" t="str">
        <f ca="1"/>
        <v/>
      </c>
      <c r="AG100" s="180" t="str">
        <f ca="1"/>
        <v/>
      </c>
      <c r="AH100" s="180" t="str">
        <f ca="1"/>
        <v/>
      </c>
      <c r="AI100" s="180" t="str">
        <f ca="1"/>
        <v/>
      </c>
      <c r="AJ100" s="180" t="str">
        <f ca="1"/>
        <v/>
      </c>
      <c r="AK100" s="180" t="str">
        <f ca="1"/>
        <v/>
      </c>
      <c r="AL100" s="180" t="str">
        <f ca="1"/>
        <v/>
      </c>
      <c r="AM100" s="180" t="str">
        <f ca="1"/>
        <v/>
      </c>
      <c r="AN100" s="180" t="str">
        <f ca="1"/>
        <v/>
      </c>
      <c r="AO100" s="180" t="str">
        <f ca="1"/>
        <v/>
      </c>
      <c r="AP100" s="180" t="str">
        <f ca="1"/>
        <v/>
      </c>
      <c r="AQ100" s="187" t="str">
        <f ca="1"/>
        <v/>
      </c>
    </row>
    <row r="101" spans="2:43" x14ac:dyDescent="0.25">
      <c r="B101" s="179" t="str">
        <f ca="1"/>
        <v/>
      </c>
      <c r="C101" s="180" t="str">
        <f ca="1"/>
        <v/>
      </c>
      <c r="D101" s="180" t="str">
        <f ca="1"/>
        <v/>
      </c>
      <c r="E101" s="180" t="str">
        <f ca="1"/>
        <v/>
      </c>
      <c r="F101" s="180" t="str">
        <f ca="1"/>
        <v/>
      </c>
      <c r="G101" s="180" t="str">
        <f ca="1"/>
        <v/>
      </c>
      <c r="H101" s="180" t="str">
        <f ca="1"/>
        <v/>
      </c>
      <c r="I101" s="180" t="str">
        <f ca="1"/>
        <v/>
      </c>
      <c r="J101" s="180" t="str">
        <f ca="1"/>
        <v/>
      </c>
      <c r="K101" s="180" t="str">
        <f ca="1"/>
        <v/>
      </c>
      <c r="L101" s="180" t="str">
        <f ca="1"/>
        <v/>
      </c>
      <c r="M101" s="180" t="str">
        <f ca="1"/>
        <v/>
      </c>
      <c r="N101" s="180" t="str">
        <f ca="1"/>
        <v/>
      </c>
      <c r="O101" s="180" t="str">
        <f ca="1"/>
        <v/>
      </c>
      <c r="P101" s="180" t="str">
        <f ca="1"/>
        <v/>
      </c>
      <c r="Q101" s="180" t="str">
        <f ca="1"/>
        <v/>
      </c>
      <c r="R101" s="180" t="str">
        <f ca="1"/>
        <v/>
      </c>
      <c r="S101" s="180" t="str">
        <f ca="1"/>
        <v/>
      </c>
      <c r="T101" s="180" t="str">
        <f ca="1"/>
        <v/>
      </c>
      <c r="U101" s="180" t="str">
        <f ca="1"/>
        <v/>
      </c>
      <c r="V101" s="180" t="str">
        <f ca="1"/>
        <v/>
      </c>
      <c r="W101" s="180" t="str">
        <f ca="1"/>
        <v/>
      </c>
      <c r="X101" s="180" t="str">
        <f ca="1"/>
        <v/>
      </c>
      <c r="Y101" s="180" t="str">
        <f ca="1"/>
        <v/>
      </c>
      <c r="Z101" s="180" t="str">
        <f ca="1"/>
        <v/>
      </c>
      <c r="AA101" s="180" t="str">
        <f ca="1"/>
        <v/>
      </c>
      <c r="AB101" s="180" t="str">
        <f ca="1"/>
        <v/>
      </c>
      <c r="AC101" s="180" t="str">
        <f ca="1"/>
        <v/>
      </c>
      <c r="AD101" s="180" t="str">
        <f ca="1"/>
        <v/>
      </c>
      <c r="AE101" s="180" t="str">
        <f ca="1"/>
        <v/>
      </c>
      <c r="AF101" s="180" t="str">
        <f ca="1"/>
        <v/>
      </c>
      <c r="AG101" s="180" t="str">
        <f ca="1"/>
        <v/>
      </c>
      <c r="AH101" s="180" t="str">
        <f ca="1"/>
        <v/>
      </c>
      <c r="AI101" s="180" t="str">
        <f ca="1"/>
        <v/>
      </c>
      <c r="AJ101" s="180" t="str">
        <f ca="1"/>
        <v/>
      </c>
      <c r="AK101" s="180" t="str">
        <f ca="1"/>
        <v/>
      </c>
      <c r="AL101" s="180" t="str">
        <f ca="1"/>
        <v/>
      </c>
      <c r="AM101" s="180" t="str">
        <f ca="1"/>
        <v/>
      </c>
      <c r="AN101" s="180" t="str">
        <f ca="1"/>
        <v/>
      </c>
      <c r="AO101" s="180" t="str">
        <f ca="1"/>
        <v/>
      </c>
      <c r="AP101" s="180" t="str">
        <f ca="1"/>
        <v/>
      </c>
      <c r="AQ101" s="187" t="str">
        <f ca="1"/>
        <v/>
      </c>
    </row>
    <row r="102" spans="2:43" x14ac:dyDescent="0.25">
      <c r="B102" s="179" t="str">
        <f ca="1"/>
        <v/>
      </c>
      <c r="C102" s="180" t="str">
        <f ca="1"/>
        <v/>
      </c>
      <c r="D102" s="180" t="str">
        <f ca="1"/>
        <v/>
      </c>
      <c r="E102" s="180" t="str">
        <f ca="1"/>
        <v/>
      </c>
      <c r="F102" s="180" t="str">
        <f ca="1"/>
        <v/>
      </c>
      <c r="G102" s="180" t="str">
        <f ca="1"/>
        <v/>
      </c>
      <c r="H102" s="180" t="str">
        <f ca="1"/>
        <v/>
      </c>
      <c r="I102" s="180" t="str">
        <f ca="1"/>
        <v/>
      </c>
      <c r="J102" s="180" t="str">
        <f ca="1"/>
        <v/>
      </c>
      <c r="K102" s="180" t="str">
        <f ca="1"/>
        <v/>
      </c>
      <c r="L102" s="180" t="str">
        <f ca="1"/>
        <v/>
      </c>
      <c r="M102" s="180" t="str">
        <f ca="1"/>
        <v/>
      </c>
      <c r="N102" s="180" t="str">
        <f ca="1"/>
        <v/>
      </c>
      <c r="O102" s="180" t="str">
        <f ca="1"/>
        <v/>
      </c>
      <c r="P102" s="180" t="str">
        <f ca="1"/>
        <v/>
      </c>
      <c r="Q102" s="180" t="str">
        <f ca="1"/>
        <v/>
      </c>
      <c r="R102" s="180" t="str">
        <f ca="1"/>
        <v/>
      </c>
      <c r="S102" s="180" t="str">
        <f ca="1"/>
        <v/>
      </c>
      <c r="T102" s="180" t="str">
        <f ca="1"/>
        <v/>
      </c>
      <c r="U102" s="180" t="str">
        <f ca="1"/>
        <v/>
      </c>
      <c r="V102" s="180" t="str">
        <f ca="1"/>
        <v/>
      </c>
      <c r="W102" s="180" t="str">
        <f ca="1"/>
        <v/>
      </c>
      <c r="X102" s="180" t="str">
        <f ca="1"/>
        <v/>
      </c>
      <c r="Y102" s="180" t="str">
        <f ca="1"/>
        <v/>
      </c>
      <c r="Z102" s="180" t="str">
        <f ca="1"/>
        <v/>
      </c>
      <c r="AA102" s="180" t="str">
        <f ca="1"/>
        <v/>
      </c>
      <c r="AB102" s="180" t="str">
        <f ca="1"/>
        <v/>
      </c>
      <c r="AC102" s="180" t="str">
        <f ca="1"/>
        <v/>
      </c>
      <c r="AD102" s="180" t="str">
        <f ca="1"/>
        <v/>
      </c>
      <c r="AE102" s="180" t="str">
        <f ca="1"/>
        <v/>
      </c>
      <c r="AF102" s="180" t="str">
        <f ca="1"/>
        <v/>
      </c>
      <c r="AG102" s="180" t="str">
        <f ca="1"/>
        <v/>
      </c>
      <c r="AH102" s="180" t="str">
        <f ca="1"/>
        <v/>
      </c>
      <c r="AI102" s="180" t="str">
        <f ca="1"/>
        <v/>
      </c>
      <c r="AJ102" s="180" t="str">
        <f ca="1"/>
        <v/>
      </c>
      <c r="AK102" s="180" t="str">
        <f ca="1"/>
        <v/>
      </c>
      <c r="AL102" s="180" t="str">
        <f ca="1"/>
        <v/>
      </c>
      <c r="AM102" s="180" t="str">
        <f ca="1"/>
        <v/>
      </c>
      <c r="AN102" s="180" t="str">
        <f ca="1"/>
        <v/>
      </c>
      <c r="AO102" s="180" t="str">
        <f ca="1"/>
        <v/>
      </c>
      <c r="AP102" s="180" t="str">
        <f ca="1"/>
        <v/>
      </c>
      <c r="AQ102" s="187" t="str">
        <f ca="1"/>
        <v/>
      </c>
    </row>
    <row r="103" spans="2:43" x14ac:dyDescent="0.25">
      <c r="B103" s="179" t="str">
        <f ca="1"/>
        <v/>
      </c>
      <c r="C103" s="180" t="str">
        <f ca="1"/>
        <v/>
      </c>
      <c r="D103" s="180" t="str">
        <f ca="1"/>
        <v/>
      </c>
      <c r="E103" s="180" t="str">
        <f ca="1"/>
        <v/>
      </c>
      <c r="F103" s="180" t="str">
        <f ca="1"/>
        <v/>
      </c>
      <c r="G103" s="180" t="str">
        <f ca="1"/>
        <v/>
      </c>
      <c r="H103" s="180" t="str">
        <f ca="1"/>
        <v/>
      </c>
      <c r="I103" s="180" t="str">
        <f ca="1"/>
        <v/>
      </c>
      <c r="J103" s="180" t="str">
        <f ca="1"/>
        <v/>
      </c>
      <c r="K103" s="180" t="str">
        <f ca="1"/>
        <v/>
      </c>
      <c r="L103" s="180" t="str">
        <f ca="1"/>
        <v/>
      </c>
      <c r="M103" s="180" t="str">
        <f ca="1"/>
        <v/>
      </c>
      <c r="N103" s="180" t="str">
        <f ca="1"/>
        <v/>
      </c>
      <c r="O103" s="180" t="str">
        <f ca="1"/>
        <v/>
      </c>
      <c r="P103" s="180" t="str">
        <f ca="1"/>
        <v/>
      </c>
      <c r="Q103" s="180" t="str">
        <f ca="1"/>
        <v/>
      </c>
      <c r="R103" s="180" t="str">
        <f ca="1"/>
        <v/>
      </c>
      <c r="S103" s="180" t="str">
        <f ca="1"/>
        <v/>
      </c>
      <c r="T103" s="180" t="str">
        <f ca="1"/>
        <v/>
      </c>
      <c r="U103" s="180" t="str">
        <f ca="1"/>
        <v/>
      </c>
      <c r="V103" s="180" t="str">
        <f ca="1"/>
        <v/>
      </c>
      <c r="W103" s="180" t="str">
        <f ca="1"/>
        <v/>
      </c>
      <c r="X103" s="180" t="str">
        <f ca="1"/>
        <v/>
      </c>
      <c r="Y103" s="180" t="str">
        <f ca="1"/>
        <v/>
      </c>
      <c r="Z103" s="180" t="str">
        <f ca="1"/>
        <v/>
      </c>
      <c r="AA103" s="180" t="str">
        <f ca="1"/>
        <v/>
      </c>
      <c r="AB103" s="180" t="str">
        <f ca="1"/>
        <v/>
      </c>
      <c r="AC103" s="180" t="str">
        <f ca="1"/>
        <v/>
      </c>
      <c r="AD103" s="180" t="str">
        <f ca="1"/>
        <v/>
      </c>
      <c r="AE103" s="180" t="str">
        <f ca="1"/>
        <v/>
      </c>
      <c r="AF103" s="180" t="str">
        <f ca="1"/>
        <v/>
      </c>
      <c r="AG103" s="180" t="str">
        <f ca="1"/>
        <v/>
      </c>
      <c r="AH103" s="180" t="str">
        <f ca="1"/>
        <v/>
      </c>
      <c r="AI103" s="180" t="str">
        <f ca="1"/>
        <v/>
      </c>
      <c r="AJ103" s="180" t="str">
        <f ca="1"/>
        <v/>
      </c>
      <c r="AK103" s="180" t="str">
        <f ca="1"/>
        <v/>
      </c>
      <c r="AL103" s="180" t="str">
        <f ca="1"/>
        <v/>
      </c>
      <c r="AM103" s="180" t="str">
        <f ca="1"/>
        <v/>
      </c>
      <c r="AN103" s="180" t="str">
        <f ca="1"/>
        <v/>
      </c>
      <c r="AO103" s="180" t="str">
        <f ca="1"/>
        <v/>
      </c>
      <c r="AP103" s="180" t="str">
        <f ca="1"/>
        <v/>
      </c>
      <c r="AQ103" s="187" t="str">
        <f ca="1"/>
        <v/>
      </c>
    </row>
    <row r="104" spans="2:43" x14ac:dyDescent="0.25">
      <c r="B104" s="179" t="str">
        <f ca="1"/>
        <v/>
      </c>
      <c r="C104" s="180" t="str">
        <f ca="1"/>
        <v/>
      </c>
      <c r="D104" s="180" t="str">
        <f ca="1"/>
        <v/>
      </c>
      <c r="E104" s="180" t="str">
        <f ca="1"/>
        <v/>
      </c>
      <c r="F104" s="180" t="str">
        <f ca="1"/>
        <v/>
      </c>
      <c r="G104" s="180" t="str">
        <f ca="1"/>
        <v/>
      </c>
      <c r="H104" s="180" t="str">
        <f ca="1"/>
        <v/>
      </c>
      <c r="I104" s="180" t="str">
        <f ca="1"/>
        <v/>
      </c>
      <c r="J104" s="180" t="str">
        <f ca="1"/>
        <v/>
      </c>
      <c r="K104" s="180" t="str">
        <f ca="1"/>
        <v/>
      </c>
      <c r="L104" s="180" t="str">
        <f ca="1"/>
        <v/>
      </c>
      <c r="M104" s="180" t="str">
        <f ca="1"/>
        <v/>
      </c>
      <c r="N104" s="180" t="str">
        <f ca="1"/>
        <v/>
      </c>
      <c r="O104" s="180" t="str">
        <f ca="1"/>
        <v/>
      </c>
      <c r="P104" s="180" t="str">
        <f ca="1"/>
        <v/>
      </c>
      <c r="Q104" s="180" t="str">
        <f ca="1"/>
        <v/>
      </c>
      <c r="R104" s="180" t="str">
        <f ca="1"/>
        <v/>
      </c>
      <c r="S104" s="180" t="str">
        <f ca="1"/>
        <v/>
      </c>
      <c r="T104" s="180" t="str">
        <f ca="1"/>
        <v/>
      </c>
      <c r="U104" s="180" t="str">
        <f ca="1"/>
        <v/>
      </c>
      <c r="V104" s="180" t="str">
        <f ca="1"/>
        <v/>
      </c>
      <c r="W104" s="180" t="str">
        <f ca="1"/>
        <v/>
      </c>
      <c r="X104" s="180" t="str">
        <f ca="1"/>
        <v/>
      </c>
      <c r="Y104" s="180" t="str">
        <f ca="1"/>
        <v/>
      </c>
      <c r="Z104" s="180" t="str">
        <f ca="1"/>
        <v/>
      </c>
      <c r="AA104" s="180" t="str">
        <f ca="1"/>
        <v/>
      </c>
      <c r="AB104" s="180" t="str">
        <f ca="1"/>
        <v/>
      </c>
      <c r="AC104" s="180" t="str">
        <f ca="1"/>
        <v/>
      </c>
      <c r="AD104" s="180" t="str">
        <f ca="1"/>
        <v/>
      </c>
      <c r="AE104" s="180" t="str">
        <f ca="1"/>
        <v/>
      </c>
      <c r="AF104" s="180" t="str">
        <f ca="1"/>
        <v/>
      </c>
      <c r="AG104" s="180" t="str">
        <f ca="1"/>
        <v/>
      </c>
      <c r="AH104" s="180" t="str">
        <f ca="1"/>
        <v/>
      </c>
      <c r="AI104" s="180" t="str">
        <f ca="1"/>
        <v/>
      </c>
      <c r="AJ104" s="180" t="str">
        <f ca="1"/>
        <v/>
      </c>
      <c r="AK104" s="180" t="str">
        <f ca="1"/>
        <v/>
      </c>
      <c r="AL104" s="180" t="str">
        <f ca="1"/>
        <v/>
      </c>
      <c r="AM104" s="180" t="str">
        <f ca="1"/>
        <v/>
      </c>
      <c r="AN104" s="180" t="str">
        <f ca="1"/>
        <v/>
      </c>
      <c r="AO104" s="180" t="str">
        <f ca="1"/>
        <v/>
      </c>
      <c r="AP104" s="180" t="str">
        <f ca="1"/>
        <v/>
      </c>
      <c r="AQ104" s="187" t="str">
        <f ca="1"/>
        <v/>
      </c>
    </row>
    <row r="105" spans="2:43" x14ac:dyDescent="0.25">
      <c r="B105" s="179" t="str">
        <f ca="1"/>
        <v/>
      </c>
      <c r="C105" s="180" t="str">
        <f ca="1"/>
        <v/>
      </c>
      <c r="D105" s="180" t="str">
        <f ca="1"/>
        <v/>
      </c>
      <c r="E105" s="180" t="str">
        <f ca="1"/>
        <v/>
      </c>
      <c r="F105" s="180" t="str">
        <f ca="1"/>
        <v/>
      </c>
      <c r="G105" s="180" t="str">
        <f ca="1"/>
        <v/>
      </c>
      <c r="H105" s="180" t="str">
        <f ca="1"/>
        <v/>
      </c>
      <c r="I105" s="180" t="str">
        <f ca="1"/>
        <v/>
      </c>
      <c r="J105" s="180" t="str">
        <f ca="1"/>
        <v/>
      </c>
      <c r="K105" s="180" t="str">
        <f ca="1"/>
        <v/>
      </c>
      <c r="L105" s="180" t="str">
        <f ca="1"/>
        <v/>
      </c>
      <c r="M105" s="180" t="str">
        <f ca="1"/>
        <v/>
      </c>
      <c r="N105" s="180" t="str">
        <f ca="1"/>
        <v/>
      </c>
      <c r="O105" s="180" t="str">
        <f ca="1"/>
        <v/>
      </c>
      <c r="P105" s="180" t="str">
        <f ca="1"/>
        <v/>
      </c>
      <c r="Q105" s="180" t="str">
        <f ca="1"/>
        <v/>
      </c>
      <c r="R105" s="180" t="str">
        <f ca="1"/>
        <v/>
      </c>
      <c r="S105" s="180" t="str">
        <f ca="1"/>
        <v/>
      </c>
      <c r="T105" s="180" t="str">
        <f ca="1"/>
        <v/>
      </c>
      <c r="U105" s="180" t="str">
        <f ca="1"/>
        <v/>
      </c>
      <c r="V105" s="180" t="str">
        <f ca="1"/>
        <v/>
      </c>
      <c r="W105" s="180" t="str">
        <f ca="1"/>
        <v/>
      </c>
      <c r="X105" s="180" t="str">
        <f ca="1"/>
        <v/>
      </c>
      <c r="Y105" s="180" t="str">
        <f ca="1"/>
        <v/>
      </c>
      <c r="Z105" s="180" t="str">
        <f ca="1"/>
        <v/>
      </c>
      <c r="AA105" s="180" t="str">
        <f ca="1"/>
        <v/>
      </c>
      <c r="AB105" s="180" t="str">
        <f ca="1"/>
        <v/>
      </c>
      <c r="AC105" s="180" t="str">
        <f ca="1"/>
        <v/>
      </c>
      <c r="AD105" s="180" t="str">
        <f ca="1"/>
        <v/>
      </c>
      <c r="AE105" s="180" t="str">
        <f ca="1"/>
        <v/>
      </c>
      <c r="AF105" s="180" t="str">
        <f ca="1"/>
        <v/>
      </c>
      <c r="AG105" s="180" t="str">
        <f ca="1"/>
        <v/>
      </c>
      <c r="AH105" s="180" t="str">
        <f ca="1"/>
        <v/>
      </c>
      <c r="AI105" s="180" t="str">
        <f ca="1"/>
        <v/>
      </c>
      <c r="AJ105" s="180" t="str">
        <f ca="1"/>
        <v/>
      </c>
      <c r="AK105" s="180" t="str">
        <f ca="1"/>
        <v/>
      </c>
      <c r="AL105" s="180" t="str">
        <f ca="1"/>
        <v/>
      </c>
      <c r="AM105" s="180" t="str">
        <f ca="1"/>
        <v/>
      </c>
      <c r="AN105" s="180" t="str">
        <f ca="1"/>
        <v/>
      </c>
      <c r="AO105" s="180" t="str">
        <f ca="1"/>
        <v/>
      </c>
      <c r="AP105" s="180" t="str">
        <f ca="1"/>
        <v/>
      </c>
      <c r="AQ105" s="187" t="str">
        <f ca="1"/>
        <v/>
      </c>
    </row>
    <row r="106" spans="2:43" x14ac:dyDescent="0.25">
      <c r="B106" s="179" t="str">
        <f ca="1"/>
        <v/>
      </c>
      <c r="C106" s="180" t="str">
        <f ca="1"/>
        <v/>
      </c>
      <c r="D106" s="180" t="str">
        <f ca="1"/>
        <v/>
      </c>
      <c r="E106" s="180" t="str">
        <f ca="1"/>
        <v/>
      </c>
      <c r="F106" s="180" t="str">
        <f ca="1"/>
        <v/>
      </c>
      <c r="G106" s="180" t="str">
        <f ca="1"/>
        <v/>
      </c>
      <c r="H106" s="180" t="str">
        <f ca="1"/>
        <v/>
      </c>
      <c r="I106" s="180" t="str">
        <f ca="1"/>
        <v/>
      </c>
      <c r="J106" s="180" t="str">
        <f ca="1"/>
        <v/>
      </c>
      <c r="K106" s="180" t="str">
        <f ca="1"/>
        <v/>
      </c>
      <c r="L106" s="180" t="str">
        <f ca="1"/>
        <v/>
      </c>
      <c r="M106" s="180" t="str">
        <f ca="1"/>
        <v/>
      </c>
      <c r="N106" s="180" t="str">
        <f ca="1"/>
        <v/>
      </c>
      <c r="O106" s="180" t="str">
        <f ca="1"/>
        <v/>
      </c>
      <c r="P106" s="180" t="str">
        <f ca="1"/>
        <v/>
      </c>
      <c r="Q106" s="180" t="str">
        <f ca="1"/>
        <v/>
      </c>
      <c r="R106" s="180" t="str">
        <f ca="1"/>
        <v/>
      </c>
      <c r="S106" s="180" t="str">
        <f ca="1"/>
        <v/>
      </c>
      <c r="T106" s="180" t="str">
        <f ca="1"/>
        <v/>
      </c>
      <c r="U106" s="180" t="str">
        <f ca="1"/>
        <v/>
      </c>
      <c r="V106" s="180" t="str">
        <f ca="1"/>
        <v/>
      </c>
      <c r="W106" s="180" t="str">
        <f ca="1"/>
        <v/>
      </c>
      <c r="X106" s="180" t="str">
        <f ca="1"/>
        <v/>
      </c>
      <c r="Y106" s="180" t="str">
        <f ca="1"/>
        <v/>
      </c>
      <c r="Z106" s="180" t="str">
        <f ca="1"/>
        <v/>
      </c>
      <c r="AA106" s="180" t="str">
        <f ca="1"/>
        <v/>
      </c>
      <c r="AB106" s="180" t="str">
        <f ca="1"/>
        <v/>
      </c>
      <c r="AC106" s="180" t="str">
        <f ca="1"/>
        <v/>
      </c>
      <c r="AD106" s="180" t="str">
        <f ca="1"/>
        <v/>
      </c>
      <c r="AE106" s="180" t="str">
        <f ca="1"/>
        <v/>
      </c>
      <c r="AF106" s="180" t="str">
        <f ca="1"/>
        <v/>
      </c>
      <c r="AG106" s="180" t="str">
        <f ca="1"/>
        <v/>
      </c>
      <c r="AH106" s="180" t="str">
        <f ca="1"/>
        <v/>
      </c>
      <c r="AI106" s="180" t="str">
        <f ca="1"/>
        <v/>
      </c>
      <c r="AJ106" s="180" t="str">
        <f ca="1"/>
        <v/>
      </c>
      <c r="AK106" s="180" t="str">
        <f ca="1"/>
        <v/>
      </c>
      <c r="AL106" s="180" t="str">
        <f ca="1"/>
        <v/>
      </c>
      <c r="AM106" s="180" t="str">
        <f ca="1"/>
        <v/>
      </c>
      <c r="AN106" s="180" t="str">
        <f ca="1"/>
        <v/>
      </c>
      <c r="AO106" s="180" t="str">
        <f ca="1"/>
        <v/>
      </c>
      <c r="AP106" s="180" t="str">
        <f ca="1"/>
        <v/>
      </c>
      <c r="AQ106" s="187" t="str">
        <f ca="1"/>
        <v/>
      </c>
    </row>
    <row r="107" spans="2:43" x14ac:dyDescent="0.25">
      <c r="B107" s="179" t="str">
        <f ca="1"/>
        <v/>
      </c>
      <c r="C107" s="180" t="str">
        <f ca="1"/>
        <v/>
      </c>
      <c r="D107" s="180" t="str">
        <f ca="1"/>
        <v/>
      </c>
      <c r="E107" s="180" t="str">
        <f ca="1"/>
        <v/>
      </c>
      <c r="F107" s="180" t="str">
        <f ca="1"/>
        <v/>
      </c>
      <c r="G107" s="180" t="str">
        <f ca="1"/>
        <v/>
      </c>
      <c r="H107" s="180" t="str">
        <f ca="1"/>
        <v/>
      </c>
      <c r="I107" s="180" t="str">
        <f ca="1"/>
        <v/>
      </c>
      <c r="J107" s="180" t="str">
        <f ca="1"/>
        <v/>
      </c>
      <c r="K107" s="180" t="str">
        <f ca="1"/>
        <v/>
      </c>
      <c r="L107" s="180" t="str">
        <f ca="1"/>
        <v/>
      </c>
      <c r="M107" s="180" t="str">
        <f ca="1"/>
        <v/>
      </c>
      <c r="N107" s="180" t="str">
        <f ca="1"/>
        <v/>
      </c>
      <c r="O107" s="180" t="str">
        <f ca="1"/>
        <v/>
      </c>
      <c r="P107" s="180" t="str">
        <f ca="1"/>
        <v/>
      </c>
      <c r="Q107" s="180" t="str">
        <f ca="1"/>
        <v/>
      </c>
      <c r="R107" s="180" t="str">
        <f ca="1"/>
        <v/>
      </c>
      <c r="S107" s="180" t="str">
        <f ca="1"/>
        <v/>
      </c>
      <c r="T107" s="180" t="str">
        <f ca="1"/>
        <v/>
      </c>
      <c r="U107" s="180" t="str">
        <f ca="1"/>
        <v/>
      </c>
      <c r="V107" s="180" t="str">
        <f ca="1"/>
        <v/>
      </c>
      <c r="W107" s="180" t="str">
        <f ca="1"/>
        <v/>
      </c>
      <c r="X107" s="180" t="str">
        <f ca="1"/>
        <v/>
      </c>
      <c r="Y107" s="180" t="str">
        <f ca="1"/>
        <v/>
      </c>
      <c r="Z107" s="180" t="str">
        <f ca="1"/>
        <v/>
      </c>
      <c r="AA107" s="180" t="str">
        <f ca="1"/>
        <v/>
      </c>
      <c r="AB107" s="180" t="str">
        <f ca="1"/>
        <v/>
      </c>
      <c r="AC107" s="180" t="str">
        <f ca="1"/>
        <v/>
      </c>
      <c r="AD107" s="180" t="str">
        <f ca="1"/>
        <v/>
      </c>
      <c r="AE107" s="180" t="str">
        <f ca="1"/>
        <v/>
      </c>
      <c r="AF107" s="180" t="str">
        <f ca="1"/>
        <v/>
      </c>
      <c r="AG107" s="180" t="str">
        <f ca="1"/>
        <v/>
      </c>
      <c r="AH107" s="180" t="str">
        <f ca="1"/>
        <v/>
      </c>
      <c r="AI107" s="180" t="str">
        <f ca="1"/>
        <v/>
      </c>
      <c r="AJ107" s="180" t="str">
        <f ca="1"/>
        <v/>
      </c>
      <c r="AK107" s="180" t="str">
        <f ca="1"/>
        <v/>
      </c>
      <c r="AL107" s="180" t="str">
        <f ca="1"/>
        <v/>
      </c>
      <c r="AM107" s="180" t="str">
        <f ca="1"/>
        <v/>
      </c>
      <c r="AN107" s="180" t="str">
        <f ca="1"/>
        <v/>
      </c>
      <c r="AO107" s="180" t="str">
        <f ca="1"/>
        <v/>
      </c>
      <c r="AP107" s="180" t="str">
        <f ca="1"/>
        <v/>
      </c>
      <c r="AQ107" s="187" t="str">
        <f ca="1"/>
        <v/>
      </c>
    </row>
    <row r="108" spans="2:43" x14ac:dyDescent="0.25">
      <c r="B108" s="179" t="str">
        <f ca="1"/>
        <v/>
      </c>
      <c r="C108" s="180" t="str">
        <f ca="1"/>
        <v/>
      </c>
      <c r="D108" s="180" t="str">
        <f ca="1"/>
        <v/>
      </c>
      <c r="E108" s="180" t="str">
        <f ca="1"/>
        <v/>
      </c>
      <c r="F108" s="180" t="str">
        <f ca="1"/>
        <v/>
      </c>
      <c r="G108" s="180" t="str">
        <f ca="1"/>
        <v/>
      </c>
      <c r="H108" s="180" t="str">
        <f ca="1"/>
        <v/>
      </c>
      <c r="I108" s="180" t="str">
        <f ca="1"/>
        <v/>
      </c>
      <c r="J108" s="180" t="str">
        <f ca="1"/>
        <v/>
      </c>
      <c r="K108" s="180" t="str">
        <f ca="1"/>
        <v/>
      </c>
      <c r="L108" s="180" t="str">
        <f ca="1"/>
        <v/>
      </c>
      <c r="M108" s="180" t="str">
        <f ca="1"/>
        <v/>
      </c>
      <c r="N108" s="180" t="str">
        <f ca="1"/>
        <v/>
      </c>
      <c r="O108" s="180" t="str">
        <f ca="1"/>
        <v/>
      </c>
      <c r="P108" s="180" t="str">
        <f ca="1"/>
        <v/>
      </c>
      <c r="Q108" s="180" t="str">
        <f ca="1"/>
        <v/>
      </c>
      <c r="R108" s="180" t="str">
        <f ca="1"/>
        <v/>
      </c>
      <c r="S108" s="180" t="str">
        <f ca="1"/>
        <v/>
      </c>
      <c r="T108" s="180" t="str">
        <f ca="1"/>
        <v/>
      </c>
      <c r="U108" s="180" t="str">
        <f ca="1"/>
        <v/>
      </c>
      <c r="V108" s="180" t="str">
        <f ca="1"/>
        <v/>
      </c>
      <c r="W108" s="180" t="str">
        <f ca="1"/>
        <v/>
      </c>
      <c r="X108" s="180" t="str">
        <f ca="1"/>
        <v/>
      </c>
      <c r="Y108" s="180" t="str">
        <f ca="1"/>
        <v/>
      </c>
      <c r="Z108" s="180" t="str">
        <f ca="1"/>
        <v/>
      </c>
      <c r="AA108" s="180" t="str">
        <f ca="1"/>
        <v/>
      </c>
      <c r="AB108" s="180" t="str">
        <f ca="1"/>
        <v/>
      </c>
      <c r="AC108" s="180" t="str">
        <f ca="1"/>
        <v/>
      </c>
      <c r="AD108" s="180" t="str">
        <f ca="1"/>
        <v/>
      </c>
      <c r="AE108" s="180" t="str">
        <f ca="1"/>
        <v/>
      </c>
      <c r="AF108" s="180" t="str">
        <f ca="1"/>
        <v/>
      </c>
      <c r="AG108" s="180" t="str">
        <f ca="1"/>
        <v/>
      </c>
      <c r="AH108" s="180" t="str">
        <f ca="1"/>
        <v/>
      </c>
      <c r="AI108" s="180" t="str">
        <f ca="1"/>
        <v/>
      </c>
      <c r="AJ108" s="180" t="str">
        <f ca="1"/>
        <v/>
      </c>
      <c r="AK108" s="180" t="str">
        <f ca="1"/>
        <v/>
      </c>
      <c r="AL108" s="180" t="str">
        <f ca="1"/>
        <v/>
      </c>
      <c r="AM108" s="180" t="str">
        <f ca="1"/>
        <v/>
      </c>
      <c r="AN108" s="180" t="str">
        <f ca="1"/>
        <v/>
      </c>
      <c r="AO108" s="180" t="str">
        <f ca="1"/>
        <v/>
      </c>
      <c r="AP108" s="180" t="str">
        <f ca="1"/>
        <v/>
      </c>
      <c r="AQ108" s="187" t="str">
        <f ca="1"/>
        <v/>
      </c>
    </row>
    <row r="109" spans="2:43" x14ac:dyDescent="0.25">
      <c r="B109" s="179" t="str">
        <f ca="1"/>
        <v/>
      </c>
      <c r="C109" s="180" t="str">
        <f ca="1"/>
        <v/>
      </c>
      <c r="D109" s="180" t="str">
        <f ca="1"/>
        <v/>
      </c>
      <c r="E109" s="180" t="str">
        <f ca="1"/>
        <v/>
      </c>
      <c r="F109" s="180" t="str">
        <f ca="1"/>
        <v/>
      </c>
      <c r="G109" s="180" t="str">
        <f ca="1"/>
        <v/>
      </c>
      <c r="H109" s="180" t="str">
        <f ca="1"/>
        <v/>
      </c>
      <c r="I109" s="180" t="str">
        <f ca="1"/>
        <v/>
      </c>
      <c r="J109" s="180" t="str">
        <f ca="1"/>
        <v/>
      </c>
      <c r="K109" s="180" t="str">
        <f ca="1"/>
        <v/>
      </c>
      <c r="L109" s="180" t="str">
        <f ca="1"/>
        <v/>
      </c>
      <c r="M109" s="180" t="str">
        <f ca="1"/>
        <v/>
      </c>
      <c r="N109" s="180" t="str">
        <f ca="1"/>
        <v/>
      </c>
      <c r="O109" s="180" t="str">
        <f ca="1"/>
        <v/>
      </c>
      <c r="P109" s="180" t="str">
        <f ca="1"/>
        <v/>
      </c>
      <c r="Q109" s="180" t="str">
        <f ca="1"/>
        <v/>
      </c>
      <c r="R109" s="180" t="str">
        <f ca="1"/>
        <v/>
      </c>
      <c r="S109" s="180" t="str">
        <f ca="1"/>
        <v/>
      </c>
      <c r="T109" s="180" t="str">
        <f ca="1"/>
        <v/>
      </c>
      <c r="U109" s="180" t="str">
        <f ca="1"/>
        <v/>
      </c>
      <c r="V109" s="180" t="str">
        <f ca="1"/>
        <v/>
      </c>
      <c r="W109" s="180" t="str">
        <f ca="1"/>
        <v/>
      </c>
      <c r="X109" s="180" t="str">
        <f ca="1"/>
        <v/>
      </c>
      <c r="Y109" s="180" t="str">
        <f ca="1"/>
        <v/>
      </c>
      <c r="Z109" s="180" t="str">
        <f ca="1"/>
        <v/>
      </c>
      <c r="AA109" s="180" t="str">
        <f ca="1"/>
        <v/>
      </c>
      <c r="AB109" s="180" t="str">
        <f ca="1"/>
        <v/>
      </c>
      <c r="AC109" s="180" t="str">
        <f ca="1"/>
        <v/>
      </c>
      <c r="AD109" s="180" t="str">
        <f ca="1"/>
        <v/>
      </c>
      <c r="AE109" s="180" t="str">
        <f ca="1"/>
        <v/>
      </c>
      <c r="AF109" s="180" t="str">
        <f ca="1"/>
        <v/>
      </c>
      <c r="AG109" s="180" t="str">
        <f ca="1"/>
        <v/>
      </c>
      <c r="AH109" s="180" t="str">
        <f ca="1"/>
        <v/>
      </c>
      <c r="AI109" s="180" t="str">
        <f ca="1"/>
        <v/>
      </c>
      <c r="AJ109" s="180" t="str">
        <f ca="1"/>
        <v/>
      </c>
      <c r="AK109" s="180" t="str">
        <f ca="1"/>
        <v/>
      </c>
      <c r="AL109" s="180" t="str">
        <f ca="1"/>
        <v/>
      </c>
      <c r="AM109" s="180" t="str">
        <f ca="1"/>
        <v/>
      </c>
      <c r="AN109" s="180" t="str">
        <f ca="1"/>
        <v/>
      </c>
      <c r="AO109" s="180" t="str">
        <f ca="1"/>
        <v/>
      </c>
      <c r="AP109" s="180" t="str">
        <f ca="1"/>
        <v/>
      </c>
      <c r="AQ109" s="187" t="str">
        <f ca="1"/>
        <v/>
      </c>
    </row>
    <row r="110" spans="2:43" x14ac:dyDescent="0.25">
      <c r="B110" s="179" t="str">
        <f ca="1"/>
        <v/>
      </c>
      <c r="C110" s="180" t="str">
        <f ca="1"/>
        <v/>
      </c>
      <c r="D110" s="180" t="str">
        <f ca="1"/>
        <v/>
      </c>
      <c r="E110" s="180" t="str">
        <f ca="1"/>
        <v/>
      </c>
      <c r="F110" s="180" t="str">
        <f ca="1"/>
        <v/>
      </c>
      <c r="G110" s="180" t="str">
        <f ca="1"/>
        <v/>
      </c>
      <c r="H110" s="180" t="str">
        <f ca="1"/>
        <v/>
      </c>
      <c r="I110" s="180" t="str">
        <f ca="1"/>
        <v/>
      </c>
      <c r="J110" s="180" t="str">
        <f ca="1"/>
        <v/>
      </c>
      <c r="K110" s="180" t="str">
        <f ca="1"/>
        <v/>
      </c>
      <c r="L110" s="180" t="str">
        <f ca="1"/>
        <v/>
      </c>
      <c r="M110" s="180" t="str">
        <f ca="1"/>
        <v/>
      </c>
      <c r="N110" s="180" t="str">
        <f ca="1"/>
        <v/>
      </c>
      <c r="O110" s="180" t="str">
        <f ca="1"/>
        <v/>
      </c>
      <c r="P110" s="180" t="str">
        <f ca="1"/>
        <v/>
      </c>
      <c r="Q110" s="180" t="str">
        <f ca="1"/>
        <v/>
      </c>
      <c r="R110" s="180" t="str">
        <f ca="1"/>
        <v/>
      </c>
      <c r="S110" s="180" t="str">
        <f ca="1"/>
        <v/>
      </c>
      <c r="T110" s="180" t="str">
        <f ca="1"/>
        <v/>
      </c>
      <c r="U110" s="180" t="str">
        <f ca="1"/>
        <v/>
      </c>
      <c r="V110" s="180" t="str">
        <f ca="1"/>
        <v/>
      </c>
      <c r="W110" s="180" t="str">
        <f ca="1"/>
        <v/>
      </c>
      <c r="X110" s="180" t="str">
        <f ca="1"/>
        <v/>
      </c>
      <c r="Y110" s="180" t="str">
        <f ca="1"/>
        <v/>
      </c>
      <c r="Z110" s="180" t="str">
        <f ca="1"/>
        <v/>
      </c>
      <c r="AA110" s="180" t="str">
        <f ca="1"/>
        <v/>
      </c>
      <c r="AB110" s="180" t="str">
        <f ca="1"/>
        <v/>
      </c>
      <c r="AC110" s="180" t="str">
        <f ca="1"/>
        <v/>
      </c>
      <c r="AD110" s="180" t="str">
        <f ca="1"/>
        <v/>
      </c>
      <c r="AE110" s="180" t="str">
        <f ca="1"/>
        <v/>
      </c>
      <c r="AF110" s="180" t="str">
        <f ca="1"/>
        <v/>
      </c>
      <c r="AG110" s="180" t="str">
        <f ca="1"/>
        <v/>
      </c>
      <c r="AH110" s="180" t="str">
        <f ca="1"/>
        <v/>
      </c>
      <c r="AI110" s="180" t="str">
        <f ca="1"/>
        <v/>
      </c>
      <c r="AJ110" s="180" t="str">
        <f ca="1"/>
        <v/>
      </c>
      <c r="AK110" s="180" t="str">
        <f ca="1"/>
        <v/>
      </c>
      <c r="AL110" s="180" t="str">
        <f ca="1"/>
        <v/>
      </c>
      <c r="AM110" s="180" t="str">
        <f ca="1"/>
        <v/>
      </c>
      <c r="AN110" s="180" t="str">
        <f ca="1"/>
        <v/>
      </c>
      <c r="AO110" s="180" t="str">
        <f ca="1"/>
        <v/>
      </c>
      <c r="AP110" s="180" t="str">
        <f ca="1"/>
        <v/>
      </c>
      <c r="AQ110" s="187" t="str">
        <f ca="1"/>
        <v/>
      </c>
    </row>
    <row r="111" spans="2:43" x14ac:dyDescent="0.25">
      <c r="B111" s="179" t="str">
        <f ca="1"/>
        <v/>
      </c>
      <c r="C111" s="180" t="str">
        <f ca="1"/>
        <v/>
      </c>
      <c r="D111" s="180" t="str">
        <f ca="1"/>
        <v/>
      </c>
      <c r="E111" s="180" t="str">
        <f ca="1"/>
        <v/>
      </c>
      <c r="F111" s="180" t="str">
        <f ca="1"/>
        <v/>
      </c>
      <c r="G111" s="180" t="str">
        <f ca="1"/>
        <v/>
      </c>
      <c r="H111" s="180" t="str">
        <f ca="1"/>
        <v/>
      </c>
      <c r="I111" s="180" t="str">
        <f ca="1"/>
        <v/>
      </c>
      <c r="J111" s="180" t="str">
        <f ca="1"/>
        <v/>
      </c>
      <c r="K111" s="180" t="str">
        <f ca="1"/>
        <v/>
      </c>
      <c r="L111" s="180" t="str">
        <f ca="1"/>
        <v/>
      </c>
      <c r="M111" s="180" t="str">
        <f ca="1"/>
        <v/>
      </c>
      <c r="N111" s="180" t="str">
        <f ca="1"/>
        <v/>
      </c>
      <c r="O111" s="180" t="str">
        <f ca="1"/>
        <v/>
      </c>
      <c r="P111" s="180" t="str">
        <f ca="1"/>
        <v/>
      </c>
      <c r="Q111" s="180" t="str">
        <f ca="1"/>
        <v/>
      </c>
      <c r="R111" s="180" t="str">
        <f ca="1"/>
        <v/>
      </c>
      <c r="S111" s="180" t="str">
        <f ca="1"/>
        <v/>
      </c>
      <c r="T111" s="180" t="str">
        <f ca="1"/>
        <v/>
      </c>
      <c r="U111" s="180" t="str">
        <f ca="1"/>
        <v/>
      </c>
      <c r="V111" s="180" t="str">
        <f ca="1"/>
        <v/>
      </c>
      <c r="W111" s="180" t="str">
        <f ca="1"/>
        <v/>
      </c>
      <c r="X111" s="180" t="str">
        <f ca="1"/>
        <v/>
      </c>
      <c r="Y111" s="180" t="str">
        <f ca="1"/>
        <v/>
      </c>
      <c r="Z111" s="180" t="str">
        <f ca="1"/>
        <v/>
      </c>
      <c r="AA111" s="180" t="str">
        <f ca="1"/>
        <v/>
      </c>
      <c r="AB111" s="180" t="str">
        <f ca="1"/>
        <v/>
      </c>
      <c r="AC111" s="180" t="str">
        <f ca="1"/>
        <v/>
      </c>
      <c r="AD111" s="180" t="str">
        <f ca="1"/>
        <v/>
      </c>
      <c r="AE111" s="180" t="str">
        <f ca="1"/>
        <v/>
      </c>
      <c r="AF111" s="180" t="str">
        <f ca="1"/>
        <v/>
      </c>
      <c r="AG111" s="180" t="str">
        <f ca="1"/>
        <v/>
      </c>
      <c r="AH111" s="180" t="str">
        <f ca="1"/>
        <v/>
      </c>
      <c r="AI111" s="180" t="str">
        <f ca="1"/>
        <v/>
      </c>
      <c r="AJ111" s="180" t="str">
        <f ca="1"/>
        <v/>
      </c>
      <c r="AK111" s="180" t="str">
        <f ca="1"/>
        <v/>
      </c>
      <c r="AL111" s="180" t="str">
        <f ca="1"/>
        <v/>
      </c>
      <c r="AM111" s="180" t="str">
        <f ca="1"/>
        <v/>
      </c>
      <c r="AN111" s="180" t="str">
        <f ca="1"/>
        <v/>
      </c>
      <c r="AO111" s="180" t="str">
        <f ca="1"/>
        <v/>
      </c>
      <c r="AP111" s="180" t="str">
        <f ca="1"/>
        <v/>
      </c>
      <c r="AQ111" s="187" t="str">
        <f ca="1"/>
        <v/>
      </c>
    </row>
    <row r="112" spans="2:43" x14ac:dyDescent="0.25">
      <c r="B112" s="179" t="str">
        <f ca="1"/>
        <v/>
      </c>
      <c r="C112" s="180" t="str">
        <f ca="1"/>
        <v/>
      </c>
      <c r="D112" s="180" t="str">
        <f ca="1"/>
        <v/>
      </c>
      <c r="E112" s="180" t="str">
        <f ca="1"/>
        <v/>
      </c>
      <c r="F112" s="180" t="str">
        <f ca="1"/>
        <v/>
      </c>
      <c r="G112" s="180" t="str">
        <f ca="1"/>
        <v/>
      </c>
      <c r="H112" s="180" t="str">
        <f ca="1"/>
        <v/>
      </c>
      <c r="I112" s="180" t="str">
        <f ca="1"/>
        <v/>
      </c>
      <c r="J112" s="180" t="str">
        <f ca="1"/>
        <v/>
      </c>
      <c r="K112" s="180" t="str">
        <f ca="1"/>
        <v/>
      </c>
      <c r="L112" s="180" t="str">
        <f ca="1"/>
        <v/>
      </c>
      <c r="M112" s="180" t="str">
        <f ca="1"/>
        <v/>
      </c>
      <c r="N112" s="180" t="str">
        <f ca="1"/>
        <v/>
      </c>
      <c r="O112" s="180" t="str">
        <f ca="1"/>
        <v/>
      </c>
      <c r="P112" s="180" t="str">
        <f ca="1"/>
        <v/>
      </c>
      <c r="Q112" s="180" t="str">
        <f ca="1"/>
        <v/>
      </c>
      <c r="R112" s="180" t="str">
        <f ca="1"/>
        <v/>
      </c>
      <c r="S112" s="180" t="str">
        <f ca="1"/>
        <v/>
      </c>
      <c r="T112" s="180" t="str">
        <f ca="1"/>
        <v/>
      </c>
      <c r="U112" s="180" t="str">
        <f ca="1"/>
        <v/>
      </c>
      <c r="V112" s="180" t="str">
        <f ca="1"/>
        <v/>
      </c>
      <c r="W112" s="180" t="str">
        <f ca="1"/>
        <v/>
      </c>
      <c r="X112" s="180" t="str">
        <f ca="1"/>
        <v/>
      </c>
      <c r="Y112" s="180" t="str">
        <f ca="1"/>
        <v/>
      </c>
      <c r="Z112" s="180" t="str">
        <f ca="1"/>
        <v/>
      </c>
      <c r="AA112" s="180" t="str">
        <f ca="1"/>
        <v/>
      </c>
      <c r="AB112" s="180" t="str">
        <f ca="1"/>
        <v/>
      </c>
      <c r="AC112" s="180" t="str">
        <f ca="1"/>
        <v/>
      </c>
      <c r="AD112" s="180" t="str">
        <f ca="1"/>
        <v/>
      </c>
      <c r="AE112" s="180" t="str">
        <f ca="1"/>
        <v/>
      </c>
      <c r="AF112" s="180" t="str">
        <f ca="1"/>
        <v/>
      </c>
      <c r="AG112" s="180" t="str">
        <f ca="1"/>
        <v/>
      </c>
      <c r="AH112" s="180" t="str">
        <f ca="1"/>
        <v/>
      </c>
      <c r="AI112" s="180" t="str">
        <f ca="1"/>
        <v/>
      </c>
      <c r="AJ112" s="180" t="str">
        <f ca="1"/>
        <v/>
      </c>
      <c r="AK112" s="180" t="str">
        <f ca="1"/>
        <v/>
      </c>
      <c r="AL112" s="180" t="str">
        <f ca="1"/>
        <v/>
      </c>
      <c r="AM112" s="180" t="str">
        <f ca="1"/>
        <v/>
      </c>
      <c r="AN112" s="180" t="str">
        <f ca="1"/>
        <v/>
      </c>
      <c r="AO112" s="180" t="str">
        <f ca="1"/>
        <v/>
      </c>
      <c r="AP112" s="180" t="str">
        <f ca="1"/>
        <v/>
      </c>
      <c r="AQ112" s="187" t="str">
        <f ca="1"/>
        <v/>
      </c>
    </row>
    <row r="113" spans="2:43" x14ac:dyDescent="0.25">
      <c r="B113" s="179" t="str">
        <f ca="1"/>
        <v/>
      </c>
      <c r="C113" s="180" t="str">
        <f ca="1"/>
        <v/>
      </c>
      <c r="D113" s="180" t="str">
        <f ca="1"/>
        <v/>
      </c>
      <c r="E113" s="180" t="str">
        <f ca="1"/>
        <v/>
      </c>
      <c r="F113" s="180" t="str">
        <f ca="1"/>
        <v/>
      </c>
      <c r="G113" s="180" t="str">
        <f ca="1"/>
        <v/>
      </c>
      <c r="H113" s="180" t="str">
        <f ca="1"/>
        <v/>
      </c>
      <c r="I113" s="180" t="str">
        <f ca="1"/>
        <v/>
      </c>
      <c r="J113" s="180" t="str">
        <f ca="1"/>
        <v/>
      </c>
      <c r="K113" s="180" t="str">
        <f ca="1"/>
        <v/>
      </c>
      <c r="L113" s="180" t="str">
        <f ca="1"/>
        <v/>
      </c>
      <c r="M113" s="180" t="str">
        <f ca="1"/>
        <v/>
      </c>
      <c r="N113" s="180" t="str">
        <f ca="1"/>
        <v/>
      </c>
      <c r="O113" s="180" t="str">
        <f ca="1"/>
        <v/>
      </c>
      <c r="P113" s="180" t="str">
        <f ca="1"/>
        <v/>
      </c>
      <c r="Q113" s="180" t="str">
        <f ca="1"/>
        <v/>
      </c>
      <c r="R113" s="180" t="str">
        <f ca="1"/>
        <v/>
      </c>
      <c r="S113" s="180" t="str">
        <f ca="1"/>
        <v/>
      </c>
      <c r="T113" s="180" t="str">
        <f ca="1"/>
        <v/>
      </c>
      <c r="U113" s="180" t="str">
        <f ca="1"/>
        <v/>
      </c>
      <c r="V113" s="180" t="str">
        <f ca="1"/>
        <v/>
      </c>
      <c r="W113" s="180" t="str">
        <f ca="1"/>
        <v/>
      </c>
      <c r="X113" s="180" t="str">
        <f ca="1"/>
        <v/>
      </c>
      <c r="Y113" s="180" t="str">
        <f ca="1"/>
        <v/>
      </c>
      <c r="Z113" s="180" t="str">
        <f ca="1"/>
        <v/>
      </c>
      <c r="AA113" s="180" t="str">
        <f ca="1"/>
        <v/>
      </c>
      <c r="AB113" s="180" t="str">
        <f ca="1"/>
        <v/>
      </c>
      <c r="AC113" s="180" t="str">
        <f ca="1"/>
        <v/>
      </c>
      <c r="AD113" s="180" t="str">
        <f ca="1"/>
        <v/>
      </c>
      <c r="AE113" s="180" t="str">
        <f ca="1"/>
        <v/>
      </c>
      <c r="AF113" s="180" t="str">
        <f ca="1"/>
        <v/>
      </c>
      <c r="AG113" s="180" t="str">
        <f ca="1"/>
        <v/>
      </c>
      <c r="AH113" s="180" t="str">
        <f ca="1"/>
        <v/>
      </c>
      <c r="AI113" s="180" t="str">
        <f ca="1"/>
        <v/>
      </c>
      <c r="AJ113" s="180" t="str">
        <f ca="1"/>
        <v/>
      </c>
      <c r="AK113" s="180" t="str">
        <f ca="1"/>
        <v/>
      </c>
      <c r="AL113" s="180" t="str">
        <f ca="1"/>
        <v/>
      </c>
      <c r="AM113" s="180" t="str">
        <f ca="1"/>
        <v/>
      </c>
      <c r="AN113" s="180" t="str">
        <f ca="1"/>
        <v/>
      </c>
      <c r="AO113" s="180" t="str">
        <f ca="1"/>
        <v/>
      </c>
      <c r="AP113" s="180" t="str">
        <f ca="1"/>
        <v/>
      </c>
      <c r="AQ113" s="187" t="str">
        <f ca="1"/>
        <v/>
      </c>
    </row>
    <row r="114" spans="2:43" x14ac:dyDescent="0.25">
      <c r="B114" s="179" t="str">
        <f ca="1"/>
        <v/>
      </c>
      <c r="C114" s="180" t="str">
        <f ca="1"/>
        <v/>
      </c>
      <c r="D114" s="180" t="str">
        <f ca="1"/>
        <v/>
      </c>
      <c r="E114" s="180" t="str">
        <f ca="1"/>
        <v/>
      </c>
      <c r="F114" s="180" t="str">
        <f ca="1"/>
        <v/>
      </c>
      <c r="G114" s="180" t="str">
        <f ca="1"/>
        <v/>
      </c>
      <c r="H114" s="180" t="str">
        <f ca="1"/>
        <v/>
      </c>
      <c r="I114" s="180" t="str">
        <f ca="1"/>
        <v/>
      </c>
      <c r="J114" s="180" t="str">
        <f ca="1"/>
        <v/>
      </c>
      <c r="K114" s="180" t="str">
        <f ca="1"/>
        <v/>
      </c>
      <c r="L114" s="180" t="str">
        <f ca="1"/>
        <v/>
      </c>
      <c r="M114" s="180" t="str">
        <f ca="1"/>
        <v/>
      </c>
      <c r="N114" s="180" t="str">
        <f ca="1"/>
        <v/>
      </c>
      <c r="O114" s="180" t="str">
        <f ca="1"/>
        <v/>
      </c>
      <c r="P114" s="180" t="str">
        <f ca="1"/>
        <v/>
      </c>
      <c r="Q114" s="180" t="str">
        <f ca="1"/>
        <v/>
      </c>
      <c r="R114" s="180" t="str">
        <f ca="1"/>
        <v/>
      </c>
      <c r="S114" s="180" t="str">
        <f ca="1"/>
        <v/>
      </c>
      <c r="T114" s="180" t="str">
        <f ca="1"/>
        <v/>
      </c>
      <c r="U114" s="180" t="str">
        <f ca="1"/>
        <v/>
      </c>
      <c r="V114" s="180" t="str">
        <f ca="1"/>
        <v/>
      </c>
      <c r="W114" s="180" t="str">
        <f ca="1"/>
        <v/>
      </c>
      <c r="X114" s="180" t="str">
        <f ca="1"/>
        <v/>
      </c>
      <c r="Y114" s="180" t="str">
        <f ca="1"/>
        <v/>
      </c>
      <c r="Z114" s="180" t="str">
        <f ca="1"/>
        <v/>
      </c>
      <c r="AA114" s="180" t="str">
        <f ca="1"/>
        <v/>
      </c>
      <c r="AB114" s="180" t="str">
        <f ca="1"/>
        <v/>
      </c>
      <c r="AC114" s="180" t="str">
        <f ca="1"/>
        <v/>
      </c>
      <c r="AD114" s="180" t="str">
        <f ca="1"/>
        <v/>
      </c>
      <c r="AE114" s="180" t="str">
        <f ca="1"/>
        <v/>
      </c>
      <c r="AF114" s="180" t="str">
        <f ca="1"/>
        <v/>
      </c>
      <c r="AG114" s="180" t="str">
        <f ca="1"/>
        <v/>
      </c>
      <c r="AH114" s="180" t="str">
        <f ca="1"/>
        <v/>
      </c>
      <c r="AI114" s="180" t="str">
        <f ca="1"/>
        <v/>
      </c>
      <c r="AJ114" s="180" t="str">
        <f ca="1"/>
        <v/>
      </c>
      <c r="AK114" s="180" t="str">
        <f ca="1"/>
        <v/>
      </c>
      <c r="AL114" s="180" t="str">
        <f ca="1"/>
        <v/>
      </c>
      <c r="AM114" s="180" t="str">
        <f ca="1"/>
        <v/>
      </c>
      <c r="AN114" s="180" t="str">
        <f ca="1"/>
        <v/>
      </c>
      <c r="AO114" s="180" t="str">
        <f ca="1"/>
        <v/>
      </c>
      <c r="AP114" s="180" t="str">
        <f ca="1"/>
        <v/>
      </c>
      <c r="AQ114" s="187" t="str">
        <f ca="1"/>
        <v/>
      </c>
    </row>
    <row r="115" spans="2:43" x14ac:dyDescent="0.25">
      <c r="B115" s="179" t="str">
        <f ca="1"/>
        <v/>
      </c>
      <c r="C115" s="180" t="str">
        <f ca="1"/>
        <v/>
      </c>
      <c r="D115" s="180" t="str">
        <f ca="1"/>
        <v/>
      </c>
      <c r="E115" s="180" t="str">
        <f ca="1"/>
        <v/>
      </c>
      <c r="F115" s="180" t="str">
        <f ca="1"/>
        <v/>
      </c>
      <c r="G115" s="180" t="str">
        <f ca="1"/>
        <v/>
      </c>
      <c r="H115" s="180" t="str">
        <f ca="1"/>
        <v/>
      </c>
      <c r="I115" s="180" t="str">
        <f ca="1"/>
        <v/>
      </c>
      <c r="J115" s="180" t="str">
        <f ca="1"/>
        <v/>
      </c>
      <c r="K115" s="180" t="str">
        <f ca="1"/>
        <v/>
      </c>
      <c r="L115" s="180" t="str">
        <f ca="1"/>
        <v/>
      </c>
      <c r="M115" s="180" t="str">
        <f ca="1"/>
        <v/>
      </c>
      <c r="N115" s="180" t="str">
        <f ca="1"/>
        <v/>
      </c>
      <c r="O115" s="180" t="str">
        <f ca="1"/>
        <v/>
      </c>
      <c r="P115" s="180" t="str">
        <f ca="1"/>
        <v/>
      </c>
      <c r="Q115" s="180" t="str">
        <f ca="1"/>
        <v/>
      </c>
      <c r="R115" s="180" t="str">
        <f ca="1"/>
        <v/>
      </c>
      <c r="S115" s="180" t="str">
        <f ca="1"/>
        <v/>
      </c>
      <c r="T115" s="180" t="str">
        <f ca="1"/>
        <v/>
      </c>
      <c r="U115" s="180" t="str">
        <f ca="1"/>
        <v/>
      </c>
      <c r="V115" s="180" t="str">
        <f ca="1"/>
        <v/>
      </c>
      <c r="W115" s="180" t="str">
        <f ca="1"/>
        <v/>
      </c>
      <c r="X115" s="180" t="str">
        <f ca="1"/>
        <v/>
      </c>
      <c r="Y115" s="180" t="str">
        <f ca="1"/>
        <v/>
      </c>
      <c r="Z115" s="180" t="str">
        <f ca="1"/>
        <v/>
      </c>
      <c r="AA115" s="180" t="str">
        <f ca="1"/>
        <v/>
      </c>
      <c r="AB115" s="180" t="str">
        <f ca="1"/>
        <v/>
      </c>
      <c r="AC115" s="180" t="str">
        <f ca="1"/>
        <v/>
      </c>
      <c r="AD115" s="180" t="str">
        <f ca="1"/>
        <v/>
      </c>
      <c r="AE115" s="180" t="str">
        <f ca="1"/>
        <v/>
      </c>
      <c r="AF115" s="180" t="str">
        <f ca="1"/>
        <v/>
      </c>
      <c r="AG115" s="180" t="str">
        <f ca="1"/>
        <v/>
      </c>
      <c r="AH115" s="180" t="str">
        <f ca="1"/>
        <v/>
      </c>
      <c r="AI115" s="180" t="str">
        <f ca="1"/>
        <v/>
      </c>
      <c r="AJ115" s="180" t="str">
        <f ca="1"/>
        <v/>
      </c>
      <c r="AK115" s="180" t="str">
        <f ca="1"/>
        <v/>
      </c>
      <c r="AL115" s="180" t="str">
        <f ca="1"/>
        <v/>
      </c>
      <c r="AM115" s="180" t="str">
        <f ca="1"/>
        <v/>
      </c>
      <c r="AN115" s="180" t="str">
        <f ca="1"/>
        <v/>
      </c>
      <c r="AO115" s="180" t="str">
        <f ca="1"/>
        <v/>
      </c>
      <c r="AP115" s="180" t="str">
        <f ca="1"/>
        <v/>
      </c>
      <c r="AQ115" s="187" t="str">
        <f ca="1"/>
        <v/>
      </c>
    </row>
    <row r="116" spans="2:43" x14ac:dyDescent="0.25">
      <c r="B116" s="179" t="str">
        <f ca="1"/>
        <v/>
      </c>
      <c r="C116" s="180" t="str">
        <f ca="1"/>
        <v/>
      </c>
      <c r="D116" s="180" t="str">
        <f ca="1"/>
        <v/>
      </c>
      <c r="E116" s="180" t="str">
        <f ca="1"/>
        <v/>
      </c>
      <c r="F116" s="180" t="str">
        <f ca="1"/>
        <v/>
      </c>
      <c r="G116" s="180" t="str">
        <f ca="1"/>
        <v/>
      </c>
      <c r="H116" s="180" t="str">
        <f ca="1"/>
        <v/>
      </c>
      <c r="I116" s="180" t="str">
        <f ca="1"/>
        <v/>
      </c>
      <c r="J116" s="180" t="str">
        <f ca="1"/>
        <v/>
      </c>
      <c r="K116" s="180" t="str">
        <f ca="1"/>
        <v/>
      </c>
      <c r="L116" s="180" t="str">
        <f ca="1"/>
        <v/>
      </c>
      <c r="M116" s="180" t="str">
        <f ca="1"/>
        <v/>
      </c>
      <c r="N116" s="180" t="str">
        <f ca="1"/>
        <v/>
      </c>
      <c r="O116" s="180" t="str">
        <f ca="1"/>
        <v/>
      </c>
      <c r="P116" s="180" t="str">
        <f ca="1"/>
        <v/>
      </c>
      <c r="Q116" s="180" t="str">
        <f ca="1"/>
        <v/>
      </c>
      <c r="R116" s="180" t="str">
        <f ca="1"/>
        <v/>
      </c>
      <c r="S116" s="180" t="str">
        <f ca="1"/>
        <v/>
      </c>
      <c r="T116" s="180" t="str">
        <f ca="1"/>
        <v/>
      </c>
      <c r="U116" s="180" t="str">
        <f ca="1"/>
        <v/>
      </c>
      <c r="V116" s="180" t="str">
        <f ca="1"/>
        <v/>
      </c>
      <c r="W116" s="180" t="str">
        <f ca="1"/>
        <v/>
      </c>
      <c r="X116" s="180" t="str">
        <f ca="1"/>
        <v/>
      </c>
      <c r="Y116" s="180" t="str">
        <f ca="1"/>
        <v/>
      </c>
      <c r="Z116" s="180" t="str">
        <f ca="1"/>
        <v/>
      </c>
      <c r="AA116" s="180" t="str">
        <f ca="1"/>
        <v/>
      </c>
      <c r="AB116" s="180" t="str">
        <f ca="1"/>
        <v/>
      </c>
      <c r="AC116" s="180" t="str">
        <f ca="1"/>
        <v/>
      </c>
      <c r="AD116" s="180" t="str">
        <f ca="1"/>
        <v/>
      </c>
      <c r="AE116" s="180" t="str">
        <f ca="1"/>
        <v/>
      </c>
      <c r="AF116" s="180" t="str">
        <f ca="1"/>
        <v/>
      </c>
      <c r="AG116" s="180" t="str">
        <f ca="1"/>
        <v/>
      </c>
      <c r="AH116" s="180" t="str">
        <f ca="1"/>
        <v/>
      </c>
      <c r="AI116" s="180" t="str">
        <f ca="1"/>
        <v/>
      </c>
      <c r="AJ116" s="180" t="str">
        <f ca="1"/>
        <v/>
      </c>
      <c r="AK116" s="180" t="str">
        <f ca="1"/>
        <v/>
      </c>
      <c r="AL116" s="180" t="str">
        <f ca="1"/>
        <v/>
      </c>
      <c r="AM116" s="180" t="str">
        <f ca="1"/>
        <v/>
      </c>
      <c r="AN116" s="180" t="str">
        <f ca="1"/>
        <v/>
      </c>
      <c r="AO116" s="180" t="str">
        <f ca="1"/>
        <v/>
      </c>
      <c r="AP116" s="180" t="str">
        <f ca="1"/>
        <v/>
      </c>
      <c r="AQ116" s="187" t="str">
        <f ca="1"/>
        <v/>
      </c>
    </row>
    <row r="117" spans="2:43" x14ac:dyDescent="0.25">
      <c r="B117" s="179" t="str">
        <f ca="1"/>
        <v/>
      </c>
      <c r="C117" s="180" t="str">
        <f ca="1"/>
        <v/>
      </c>
      <c r="D117" s="180" t="str">
        <f ca="1"/>
        <v/>
      </c>
      <c r="E117" s="180" t="str">
        <f ca="1"/>
        <v/>
      </c>
      <c r="F117" s="180" t="str">
        <f ca="1"/>
        <v/>
      </c>
      <c r="G117" s="180" t="str">
        <f ca="1"/>
        <v/>
      </c>
      <c r="H117" s="180" t="str">
        <f ca="1"/>
        <v/>
      </c>
      <c r="I117" s="180" t="str">
        <f ca="1"/>
        <v/>
      </c>
      <c r="J117" s="180" t="str">
        <f ca="1"/>
        <v/>
      </c>
      <c r="K117" s="180" t="str">
        <f ca="1"/>
        <v/>
      </c>
      <c r="L117" s="180" t="str">
        <f ca="1"/>
        <v/>
      </c>
      <c r="M117" s="180" t="str">
        <f ca="1"/>
        <v/>
      </c>
      <c r="N117" s="180" t="str">
        <f ca="1"/>
        <v/>
      </c>
      <c r="O117" s="180" t="str">
        <f ca="1"/>
        <v/>
      </c>
      <c r="P117" s="180" t="str">
        <f ca="1"/>
        <v/>
      </c>
      <c r="Q117" s="180" t="str">
        <f ca="1"/>
        <v/>
      </c>
      <c r="R117" s="180" t="str">
        <f ca="1"/>
        <v/>
      </c>
      <c r="S117" s="180" t="str">
        <f ca="1"/>
        <v/>
      </c>
      <c r="T117" s="180" t="str">
        <f ca="1"/>
        <v/>
      </c>
      <c r="U117" s="180" t="str">
        <f ca="1"/>
        <v/>
      </c>
      <c r="V117" s="180" t="str">
        <f ca="1"/>
        <v/>
      </c>
      <c r="W117" s="180" t="str">
        <f ca="1"/>
        <v/>
      </c>
      <c r="X117" s="180" t="str">
        <f ca="1"/>
        <v/>
      </c>
      <c r="Y117" s="180" t="str">
        <f ca="1"/>
        <v/>
      </c>
      <c r="Z117" s="180" t="str">
        <f ca="1"/>
        <v/>
      </c>
      <c r="AA117" s="180" t="str">
        <f ca="1"/>
        <v/>
      </c>
      <c r="AB117" s="180" t="str">
        <f ca="1"/>
        <v/>
      </c>
      <c r="AC117" s="180" t="str">
        <f ca="1"/>
        <v/>
      </c>
      <c r="AD117" s="180" t="str">
        <f ca="1"/>
        <v/>
      </c>
      <c r="AE117" s="180" t="str">
        <f ca="1"/>
        <v/>
      </c>
      <c r="AF117" s="180" t="str">
        <f ca="1"/>
        <v/>
      </c>
      <c r="AG117" s="180" t="str">
        <f ca="1"/>
        <v/>
      </c>
      <c r="AH117" s="180" t="str">
        <f ca="1"/>
        <v/>
      </c>
      <c r="AI117" s="180" t="str">
        <f ca="1"/>
        <v/>
      </c>
      <c r="AJ117" s="180" t="str">
        <f ca="1"/>
        <v/>
      </c>
      <c r="AK117" s="180" t="str">
        <f ca="1"/>
        <v/>
      </c>
      <c r="AL117" s="180" t="str">
        <f ca="1"/>
        <v/>
      </c>
      <c r="AM117" s="180" t="str">
        <f ca="1"/>
        <v/>
      </c>
      <c r="AN117" s="180" t="str">
        <f ca="1"/>
        <v/>
      </c>
      <c r="AO117" s="180" t="str">
        <f ca="1"/>
        <v/>
      </c>
      <c r="AP117" s="180" t="str">
        <f ca="1"/>
        <v/>
      </c>
      <c r="AQ117" s="187" t="str">
        <f ca="1"/>
        <v/>
      </c>
    </row>
    <row r="118" spans="2:43" x14ac:dyDescent="0.25">
      <c r="B118" s="179" t="str">
        <f ca="1"/>
        <v/>
      </c>
      <c r="C118" s="180" t="str">
        <f ca="1"/>
        <v/>
      </c>
      <c r="D118" s="180" t="str">
        <f ca="1"/>
        <v/>
      </c>
      <c r="E118" s="180" t="str">
        <f ca="1"/>
        <v/>
      </c>
      <c r="F118" s="180" t="str">
        <f ca="1"/>
        <v/>
      </c>
      <c r="G118" s="180" t="str">
        <f ca="1"/>
        <v/>
      </c>
      <c r="H118" s="180" t="str">
        <f ca="1"/>
        <v/>
      </c>
      <c r="I118" s="180" t="str">
        <f ca="1"/>
        <v/>
      </c>
      <c r="J118" s="180" t="str">
        <f ca="1"/>
        <v/>
      </c>
      <c r="K118" s="180" t="str">
        <f ca="1"/>
        <v/>
      </c>
      <c r="L118" s="180" t="str">
        <f ca="1"/>
        <v/>
      </c>
      <c r="M118" s="180" t="str">
        <f ca="1"/>
        <v/>
      </c>
      <c r="N118" s="180" t="str">
        <f ca="1"/>
        <v/>
      </c>
      <c r="O118" s="180" t="str">
        <f ca="1"/>
        <v/>
      </c>
      <c r="P118" s="180" t="str">
        <f ca="1"/>
        <v/>
      </c>
      <c r="Q118" s="180" t="str">
        <f ca="1"/>
        <v/>
      </c>
      <c r="R118" s="180" t="str">
        <f ca="1"/>
        <v/>
      </c>
      <c r="S118" s="180" t="str">
        <f ca="1"/>
        <v/>
      </c>
      <c r="T118" s="180" t="str">
        <f ca="1"/>
        <v/>
      </c>
      <c r="U118" s="180" t="str">
        <f ca="1"/>
        <v/>
      </c>
      <c r="V118" s="180" t="str">
        <f ca="1"/>
        <v/>
      </c>
      <c r="W118" s="180" t="str">
        <f ca="1"/>
        <v/>
      </c>
      <c r="X118" s="180" t="str">
        <f ca="1"/>
        <v/>
      </c>
      <c r="Y118" s="180" t="str">
        <f ca="1"/>
        <v/>
      </c>
      <c r="Z118" s="180" t="str">
        <f ca="1"/>
        <v/>
      </c>
      <c r="AA118" s="180" t="str">
        <f ca="1"/>
        <v/>
      </c>
      <c r="AB118" s="180" t="str">
        <f ca="1"/>
        <v/>
      </c>
      <c r="AC118" s="180" t="str">
        <f ca="1"/>
        <v/>
      </c>
      <c r="AD118" s="180" t="str">
        <f ca="1"/>
        <v/>
      </c>
      <c r="AE118" s="180" t="str">
        <f ca="1"/>
        <v/>
      </c>
      <c r="AF118" s="180" t="str">
        <f ca="1"/>
        <v/>
      </c>
      <c r="AG118" s="180" t="str">
        <f ca="1"/>
        <v/>
      </c>
      <c r="AH118" s="180" t="str">
        <f ca="1"/>
        <v/>
      </c>
      <c r="AI118" s="180" t="str">
        <f ca="1"/>
        <v/>
      </c>
      <c r="AJ118" s="180" t="str">
        <f ca="1"/>
        <v/>
      </c>
      <c r="AK118" s="180" t="str">
        <f ca="1"/>
        <v/>
      </c>
      <c r="AL118" s="180" t="str">
        <f ca="1"/>
        <v/>
      </c>
      <c r="AM118" s="180" t="str">
        <f ca="1"/>
        <v/>
      </c>
      <c r="AN118" s="180" t="str">
        <f ca="1"/>
        <v/>
      </c>
      <c r="AO118" s="180" t="str">
        <f ca="1"/>
        <v/>
      </c>
      <c r="AP118" s="180" t="str">
        <f ca="1"/>
        <v/>
      </c>
      <c r="AQ118" s="187" t="str">
        <f ca="1"/>
        <v/>
      </c>
    </row>
    <row r="119" spans="2:43" x14ac:dyDescent="0.25">
      <c r="B119" s="179" t="str">
        <f ca="1"/>
        <v/>
      </c>
      <c r="C119" s="180" t="str">
        <f ca="1"/>
        <v/>
      </c>
      <c r="D119" s="180" t="str">
        <f ca="1"/>
        <v/>
      </c>
      <c r="E119" s="180" t="str">
        <f ca="1"/>
        <v/>
      </c>
      <c r="F119" s="180" t="str">
        <f ca="1"/>
        <v/>
      </c>
      <c r="G119" s="180" t="str">
        <f ca="1"/>
        <v/>
      </c>
      <c r="H119" s="180" t="str">
        <f ca="1"/>
        <v/>
      </c>
      <c r="I119" s="180" t="str">
        <f ca="1"/>
        <v/>
      </c>
      <c r="J119" s="180" t="str">
        <f ca="1"/>
        <v/>
      </c>
      <c r="K119" s="180" t="str">
        <f ca="1"/>
        <v/>
      </c>
      <c r="L119" s="180" t="str">
        <f ca="1"/>
        <v/>
      </c>
      <c r="M119" s="180" t="str">
        <f ca="1"/>
        <v/>
      </c>
      <c r="N119" s="180" t="str">
        <f ca="1"/>
        <v/>
      </c>
      <c r="O119" s="180" t="str">
        <f ca="1"/>
        <v/>
      </c>
      <c r="P119" s="180" t="str">
        <f ca="1"/>
        <v/>
      </c>
      <c r="Q119" s="180" t="str">
        <f ca="1"/>
        <v/>
      </c>
      <c r="R119" s="180" t="str">
        <f ca="1"/>
        <v/>
      </c>
      <c r="S119" s="180" t="str">
        <f ca="1"/>
        <v/>
      </c>
      <c r="T119" s="180" t="str">
        <f ca="1"/>
        <v/>
      </c>
      <c r="U119" s="180" t="str">
        <f ca="1"/>
        <v/>
      </c>
      <c r="V119" s="180" t="str">
        <f ca="1"/>
        <v/>
      </c>
      <c r="W119" s="180" t="str">
        <f ca="1"/>
        <v/>
      </c>
      <c r="X119" s="180" t="str">
        <f ca="1"/>
        <v/>
      </c>
      <c r="Y119" s="180" t="str">
        <f ca="1"/>
        <v/>
      </c>
      <c r="Z119" s="180" t="str">
        <f ca="1"/>
        <v/>
      </c>
      <c r="AA119" s="180" t="str">
        <f ca="1"/>
        <v/>
      </c>
      <c r="AB119" s="180" t="str">
        <f ca="1"/>
        <v/>
      </c>
      <c r="AC119" s="180" t="str">
        <f ca="1"/>
        <v/>
      </c>
      <c r="AD119" s="180" t="str">
        <f ca="1"/>
        <v/>
      </c>
      <c r="AE119" s="180" t="str">
        <f ca="1"/>
        <v/>
      </c>
      <c r="AF119" s="180" t="str">
        <f ca="1"/>
        <v/>
      </c>
      <c r="AG119" s="180" t="str">
        <f ca="1"/>
        <v/>
      </c>
      <c r="AH119" s="180" t="str">
        <f ca="1"/>
        <v/>
      </c>
      <c r="AI119" s="180" t="str">
        <f ca="1"/>
        <v/>
      </c>
      <c r="AJ119" s="180" t="str">
        <f ca="1"/>
        <v/>
      </c>
      <c r="AK119" s="180" t="str">
        <f ca="1"/>
        <v/>
      </c>
      <c r="AL119" s="180" t="str">
        <f ca="1"/>
        <v/>
      </c>
      <c r="AM119" s="180" t="str">
        <f ca="1"/>
        <v/>
      </c>
      <c r="AN119" s="180" t="str">
        <f ca="1"/>
        <v/>
      </c>
      <c r="AO119" s="180" t="str">
        <f ca="1"/>
        <v/>
      </c>
      <c r="AP119" s="180" t="str">
        <f ca="1"/>
        <v/>
      </c>
      <c r="AQ119" s="187" t="str">
        <f ca="1"/>
        <v/>
      </c>
    </row>
    <row r="120" spans="2:43" x14ac:dyDescent="0.25">
      <c r="B120" s="179" t="str">
        <f ca="1"/>
        <v/>
      </c>
      <c r="C120" s="180" t="str">
        <f ca="1"/>
        <v/>
      </c>
      <c r="D120" s="180" t="str">
        <f ca="1"/>
        <v/>
      </c>
      <c r="E120" s="180" t="str">
        <f ca="1"/>
        <v/>
      </c>
      <c r="F120" s="180" t="str">
        <f ca="1"/>
        <v/>
      </c>
      <c r="G120" s="180" t="str">
        <f ca="1"/>
        <v/>
      </c>
      <c r="H120" s="180" t="str">
        <f ca="1"/>
        <v/>
      </c>
      <c r="I120" s="180" t="str">
        <f ca="1"/>
        <v/>
      </c>
      <c r="J120" s="180" t="str">
        <f ca="1"/>
        <v/>
      </c>
      <c r="K120" s="180" t="str">
        <f ca="1"/>
        <v/>
      </c>
      <c r="L120" s="180" t="str">
        <f ca="1"/>
        <v/>
      </c>
      <c r="M120" s="180" t="str">
        <f ca="1"/>
        <v/>
      </c>
      <c r="N120" s="180" t="str">
        <f ca="1"/>
        <v/>
      </c>
      <c r="O120" s="180" t="str">
        <f ca="1"/>
        <v/>
      </c>
      <c r="P120" s="180" t="str">
        <f ca="1"/>
        <v/>
      </c>
      <c r="Q120" s="180" t="str">
        <f ca="1"/>
        <v/>
      </c>
      <c r="R120" s="180" t="str">
        <f ca="1"/>
        <v/>
      </c>
      <c r="S120" s="180" t="str">
        <f ca="1"/>
        <v/>
      </c>
      <c r="T120" s="180" t="str">
        <f ca="1"/>
        <v/>
      </c>
      <c r="U120" s="180" t="str">
        <f ca="1"/>
        <v/>
      </c>
      <c r="V120" s="180" t="str">
        <f ca="1"/>
        <v/>
      </c>
      <c r="W120" s="180" t="str">
        <f ca="1"/>
        <v/>
      </c>
      <c r="X120" s="180" t="str">
        <f ca="1"/>
        <v/>
      </c>
      <c r="Y120" s="180" t="str">
        <f ca="1"/>
        <v/>
      </c>
      <c r="Z120" s="180" t="str">
        <f ca="1"/>
        <v/>
      </c>
      <c r="AA120" s="180" t="str">
        <f ca="1"/>
        <v/>
      </c>
      <c r="AB120" s="180" t="str">
        <f ca="1"/>
        <v/>
      </c>
      <c r="AC120" s="180" t="str">
        <f ca="1"/>
        <v/>
      </c>
      <c r="AD120" s="180" t="str">
        <f ca="1"/>
        <v/>
      </c>
      <c r="AE120" s="180" t="str">
        <f ca="1"/>
        <v/>
      </c>
      <c r="AF120" s="180" t="str">
        <f ca="1"/>
        <v/>
      </c>
      <c r="AG120" s="180" t="str">
        <f ca="1"/>
        <v/>
      </c>
      <c r="AH120" s="180" t="str">
        <f ca="1"/>
        <v/>
      </c>
      <c r="AI120" s="180" t="str">
        <f ca="1"/>
        <v/>
      </c>
      <c r="AJ120" s="180" t="str">
        <f ca="1"/>
        <v/>
      </c>
      <c r="AK120" s="180" t="str">
        <f ca="1"/>
        <v/>
      </c>
      <c r="AL120" s="180" t="str">
        <f ca="1"/>
        <v/>
      </c>
      <c r="AM120" s="180" t="str">
        <f ca="1"/>
        <v/>
      </c>
      <c r="AN120" s="180" t="str">
        <f ca="1"/>
        <v/>
      </c>
      <c r="AO120" s="180" t="str">
        <f ca="1"/>
        <v/>
      </c>
      <c r="AP120" s="180" t="str">
        <f ca="1"/>
        <v/>
      </c>
      <c r="AQ120" s="187" t="str">
        <f ca="1"/>
        <v/>
      </c>
    </row>
    <row r="121" spans="2:43" x14ac:dyDescent="0.25">
      <c r="B121" s="179" t="str">
        <f ca="1"/>
        <v/>
      </c>
      <c r="C121" s="180" t="str">
        <f ca="1"/>
        <v/>
      </c>
      <c r="D121" s="180" t="str">
        <f ca="1"/>
        <v/>
      </c>
      <c r="E121" s="180" t="str">
        <f ca="1"/>
        <v/>
      </c>
      <c r="F121" s="180" t="str">
        <f ca="1"/>
        <v/>
      </c>
      <c r="G121" s="180" t="str">
        <f ca="1"/>
        <v/>
      </c>
      <c r="H121" s="180" t="str">
        <f ca="1"/>
        <v/>
      </c>
      <c r="I121" s="180" t="str">
        <f ca="1"/>
        <v/>
      </c>
      <c r="J121" s="180" t="str">
        <f ca="1"/>
        <v/>
      </c>
      <c r="K121" s="180" t="str">
        <f ca="1"/>
        <v/>
      </c>
      <c r="L121" s="180" t="str">
        <f ca="1"/>
        <v/>
      </c>
      <c r="M121" s="180" t="str">
        <f ca="1"/>
        <v/>
      </c>
      <c r="N121" s="180" t="str">
        <f ca="1"/>
        <v/>
      </c>
      <c r="O121" s="180" t="str">
        <f ca="1"/>
        <v/>
      </c>
      <c r="P121" s="180" t="str">
        <f ca="1"/>
        <v/>
      </c>
      <c r="Q121" s="180" t="str">
        <f ca="1"/>
        <v/>
      </c>
      <c r="R121" s="180" t="str">
        <f ca="1"/>
        <v/>
      </c>
      <c r="S121" s="180" t="str">
        <f ca="1"/>
        <v/>
      </c>
      <c r="T121" s="180" t="str">
        <f ca="1"/>
        <v/>
      </c>
      <c r="U121" s="180" t="str">
        <f ca="1"/>
        <v/>
      </c>
      <c r="V121" s="180" t="str">
        <f ca="1"/>
        <v/>
      </c>
      <c r="W121" s="180" t="str">
        <f ca="1"/>
        <v/>
      </c>
      <c r="X121" s="180" t="str">
        <f ca="1"/>
        <v/>
      </c>
      <c r="Y121" s="180" t="str">
        <f ca="1"/>
        <v/>
      </c>
      <c r="Z121" s="180" t="str">
        <f ca="1"/>
        <v/>
      </c>
      <c r="AA121" s="180" t="str">
        <f ca="1"/>
        <v/>
      </c>
      <c r="AB121" s="180" t="str">
        <f ca="1"/>
        <v/>
      </c>
      <c r="AC121" s="180" t="str">
        <f ca="1"/>
        <v/>
      </c>
      <c r="AD121" s="180" t="str">
        <f ca="1"/>
        <v/>
      </c>
      <c r="AE121" s="180" t="str">
        <f ca="1"/>
        <v/>
      </c>
      <c r="AF121" s="180" t="str">
        <f ca="1"/>
        <v/>
      </c>
      <c r="AG121" s="180" t="str">
        <f ca="1"/>
        <v/>
      </c>
      <c r="AH121" s="180" t="str">
        <f ca="1"/>
        <v/>
      </c>
      <c r="AI121" s="180" t="str">
        <f ca="1"/>
        <v/>
      </c>
      <c r="AJ121" s="180" t="str">
        <f ca="1"/>
        <v/>
      </c>
      <c r="AK121" s="180" t="str">
        <f ca="1"/>
        <v/>
      </c>
      <c r="AL121" s="180" t="str">
        <f ca="1"/>
        <v/>
      </c>
      <c r="AM121" s="180" t="str">
        <f ca="1"/>
        <v/>
      </c>
      <c r="AN121" s="180" t="str">
        <f ca="1"/>
        <v/>
      </c>
      <c r="AO121" s="180" t="str">
        <f ca="1"/>
        <v/>
      </c>
      <c r="AP121" s="180" t="str">
        <f ca="1"/>
        <v/>
      </c>
      <c r="AQ121" s="187" t="str">
        <f ca="1"/>
        <v/>
      </c>
    </row>
    <row r="122" spans="2:43" x14ac:dyDescent="0.25">
      <c r="B122" s="179" t="str">
        <f ca="1"/>
        <v/>
      </c>
      <c r="C122" s="180" t="str">
        <f ca="1"/>
        <v/>
      </c>
      <c r="D122" s="180" t="str">
        <f ca="1"/>
        <v/>
      </c>
      <c r="E122" s="180" t="str">
        <f ca="1"/>
        <v/>
      </c>
      <c r="F122" s="180" t="str">
        <f ca="1"/>
        <v/>
      </c>
      <c r="G122" s="180" t="str">
        <f ca="1"/>
        <v/>
      </c>
      <c r="H122" s="180" t="str">
        <f ca="1"/>
        <v/>
      </c>
      <c r="I122" s="180" t="str">
        <f ca="1"/>
        <v/>
      </c>
      <c r="J122" s="180" t="str">
        <f ca="1"/>
        <v/>
      </c>
      <c r="K122" s="180" t="str">
        <f ca="1"/>
        <v/>
      </c>
      <c r="L122" s="180" t="str">
        <f ca="1"/>
        <v/>
      </c>
      <c r="M122" s="180" t="str">
        <f ca="1"/>
        <v/>
      </c>
      <c r="N122" s="180" t="str">
        <f ca="1"/>
        <v/>
      </c>
      <c r="O122" s="180" t="str">
        <f ca="1"/>
        <v/>
      </c>
      <c r="P122" s="180" t="str">
        <f ca="1"/>
        <v/>
      </c>
      <c r="Q122" s="180" t="str">
        <f ca="1"/>
        <v/>
      </c>
      <c r="R122" s="180" t="str">
        <f ca="1"/>
        <v/>
      </c>
      <c r="S122" s="180" t="str">
        <f ca="1"/>
        <v/>
      </c>
      <c r="T122" s="180" t="str">
        <f ca="1"/>
        <v/>
      </c>
      <c r="U122" s="180" t="str">
        <f ca="1"/>
        <v/>
      </c>
      <c r="V122" s="180" t="str">
        <f ca="1"/>
        <v/>
      </c>
      <c r="W122" s="180" t="str">
        <f ca="1"/>
        <v/>
      </c>
      <c r="X122" s="180" t="str">
        <f ca="1"/>
        <v/>
      </c>
      <c r="Y122" s="180" t="str">
        <f ca="1"/>
        <v/>
      </c>
      <c r="Z122" s="180" t="str">
        <f ca="1"/>
        <v/>
      </c>
      <c r="AA122" s="180" t="str">
        <f ca="1"/>
        <v/>
      </c>
      <c r="AB122" s="180" t="str">
        <f ca="1"/>
        <v/>
      </c>
      <c r="AC122" s="180" t="str">
        <f ca="1"/>
        <v/>
      </c>
      <c r="AD122" s="180" t="str">
        <f ca="1"/>
        <v/>
      </c>
      <c r="AE122" s="180" t="str">
        <f ca="1"/>
        <v/>
      </c>
      <c r="AF122" s="180" t="str">
        <f ca="1"/>
        <v/>
      </c>
      <c r="AG122" s="180" t="str">
        <f ca="1"/>
        <v/>
      </c>
      <c r="AH122" s="180" t="str">
        <f ca="1"/>
        <v/>
      </c>
      <c r="AI122" s="180" t="str">
        <f ca="1"/>
        <v/>
      </c>
      <c r="AJ122" s="180" t="str">
        <f ca="1"/>
        <v/>
      </c>
      <c r="AK122" s="180" t="str">
        <f ca="1"/>
        <v/>
      </c>
      <c r="AL122" s="180" t="str">
        <f ca="1"/>
        <v/>
      </c>
      <c r="AM122" s="180" t="str">
        <f ca="1"/>
        <v/>
      </c>
      <c r="AN122" s="180" t="str">
        <f ca="1"/>
        <v/>
      </c>
      <c r="AO122" s="180" t="str">
        <f ca="1"/>
        <v/>
      </c>
      <c r="AP122" s="180" t="str">
        <f ca="1"/>
        <v/>
      </c>
      <c r="AQ122" s="187" t="str">
        <f ca="1"/>
        <v/>
      </c>
    </row>
    <row r="123" spans="2:43" x14ac:dyDescent="0.25">
      <c r="B123" s="179" t="str">
        <f ca="1"/>
        <v/>
      </c>
      <c r="C123" s="180" t="str">
        <f ca="1"/>
        <v/>
      </c>
      <c r="D123" s="180" t="str">
        <f ca="1"/>
        <v/>
      </c>
      <c r="E123" s="180" t="str">
        <f ca="1"/>
        <v/>
      </c>
      <c r="F123" s="180" t="str">
        <f ca="1"/>
        <v/>
      </c>
      <c r="G123" s="180" t="str">
        <f ca="1"/>
        <v/>
      </c>
      <c r="H123" s="180" t="str">
        <f ca="1"/>
        <v/>
      </c>
      <c r="I123" s="180" t="str">
        <f ca="1"/>
        <v/>
      </c>
      <c r="J123" s="180" t="str">
        <f ca="1"/>
        <v/>
      </c>
      <c r="K123" s="180" t="str">
        <f ca="1"/>
        <v/>
      </c>
      <c r="L123" s="180" t="str">
        <f ca="1"/>
        <v/>
      </c>
      <c r="M123" s="180" t="str">
        <f ca="1"/>
        <v/>
      </c>
      <c r="N123" s="180" t="str">
        <f ca="1"/>
        <v/>
      </c>
      <c r="O123" s="180" t="str">
        <f ca="1"/>
        <v/>
      </c>
      <c r="P123" s="180" t="str">
        <f ca="1"/>
        <v/>
      </c>
      <c r="Q123" s="180" t="str">
        <f ca="1"/>
        <v/>
      </c>
      <c r="R123" s="180" t="str">
        <f ca="1"/>
        <v/>
      </c>
      <c r="S123" s="180" t="str">
        <f ca="1"/>
        <v/>
      </c>
      <c r="T123" s="180" t="str">
        <f ca="1"/>
        <v/>
      </c>
      <c r="U123" s="180" t="str">
        <f ca="1"/>
        <v/>
      </c>
      <c r="V123" s="180" t="str">
        <f ca="1"/>
        <v/>
      </c>
      <c r="W123" s="180" t="str">
        <f ca="1"/>
        <v/>
      </c>
      <c r="X123" s="180" t="str">
        <f ca="1"/>
        <v/>
      </c>
      <c r="Y123" s="180" t="str">
        <f ca="1"/>
        <v/>
      </c>
      <c r="Z123" s="180" t="str">
        <f ca="1"/>
        <v/>
      </c>
      <c r="AA123" s="180" t="str">
        <f ca="1"/>
        <v/>
      </c>
      <c r="AB123" s="180" t="str">
        <f ca="1"/>
        <v/>
      </c>
      <c r="AC123" s="180" t="str">
        <f ca="1"/>
        <v/>
      </c>
      <c r="AD123" s="180" t="str">
        <f ca="1"/>
        <v/>
      </c>
      <c r="AE123" s="180" t="str">
        <f ca="1"/>
        <v/>
      </c>
      <c r="AF123" s="180" t="str">
        <f ca="1"/>
        <v/>
      </c>
      <c r="AG123" s="180" t="str">
        <f ca="1"/>
        <v/>
      </c>
      <c r="AH123" s="180" t="str">
        <f ca="1"/>
        <v/>
      </c>
      <c r="AI123" s="180" t="str">
        <f ca="1"/>
        <v/>
      </c>
      <c r="AJ123" s="180" t="str">
        <f ca="1"/>
        <v/>
      </c>
      <c r="AK123" s="180" t="str">
        <f ca="1"/>
        <v/>
      </c>
      <c r="AL123" s="180" t="str">
        <f ca="1"/>
        <v/>
      </c>
      <c r="AM123" s="180" t="str">
        <f ca="1"/>
        <v/>
      </c>
      <c r="AN123" s="180" t="str">
        <f ca="1"/>
        <v/>
      </c>
      <c r="AO123" s="180" t="str">
        <f ca="1"/>
        <v/>
      </c>
      <c r="AP123" s="180" t="str">
        <f ca="1"/>
        <v/>
      </c>
      <c r="AQ123" s="187" t="str">
        <f ca="1"/>
        <v/>
      </c>
    </row>
    <row r="124" spans="2:43" x14ac:dyDescent="0.25">
      <c r="B124" s="179" t="str">
        <f ca="1"/>
        <v/>
      </c>
      <c r="C124" s="180" t="str">
        <f ca="1"/>
        <v/>
      </c>
      <c r="D124" s="180" t="str">
        <f ca="1"/>
        <v/>
      </c>
      <c r="E124" s="180" t="str">
        <f ca="1"/>
        <v/>
      </c>
      <c r="F124" s="180" t="str">
        <f ca="1"/>
        <v/>
      </c>
      <c r="G124" s="180" t="str">
        <f ca="1"/>
        <v/>
      </c>
      <c r="H124" s="180" t="str">
        <f ca="1"/>
        <v/>
      </c>
      <c r="I124" s="180" t="str">
        <f ca="1"/>
        <v/>
      </c>
      <c r="J124" s="180" t="str">
        <f ca="1"/>
        <v/>
      </c>
      <c r="K124" s="180" t="str">
        <f ca="1"/>
        <v/>
      </c>
      <c r="L124" s="180" t="str">
        <f ca="1"/>
        <v/>
      </c>
      <c r="M124" s="180" t="str">
        <f ca="1"/>
        <v/>
      </c>
      <c r="N124" s="180" t="str">
        <f ca="1"/>
        <v/>
      </c>
      <c r="O124" s="180" t="str">
        <f ca="1"/>
        <v/>
      </c>
      <c r="P124" s="180" t="str">
        <f ca="1"/>
        <v/>
      </c>
      <c r="Q124" s="180" t="str">
        <f ca="1"/>
        <v/>
      </c>
      <c r="R124" s="180" t="str">
        <f ca="1"/>
        <v/>
      </c>
      <c r="S124" s="180" t="str">
        <f ca="1"/>
        <v/>
      </c>
      <c r="T124" s="180" t="str">
        <f ca="1"/>
        <v/>
      </c>
      <c r="U124" s="180" t="str">
        <f ca="1"/>
        <v/>
      </c>
      <c r="V124" s="180" t="str">
        <f ca="1"/>
        <v/>
      </c>
      <c r="W124" s="180" t="str">
        <f ca="1"/>
        <v/>
      </c>
      <c r="X124" s="180" t="str">
        <f ca="1"/>
        <v/>
      </c>
      <c r="Y124" s="180" t="str">
        <f ca="1"/>
        <v/>
      </c>
      <c r="Z124" s="180" t="str">
        <f ca="1"/>
        <v/>
      </c>
      <c r="AA124" s="180" t="str">
        <f ca="1"/>
        <v/>
      </c>
      <c r="AB124" s="180" t="str">
        <f ca="1"/>
        <v/>
      </c>
      <c r="AC124" s="180" t="str">
        <f ca="1"/>
        <v/>
      </c>
      <c r="AD124" s="180" t="str">
        <f ca="1"/>
        <v/>
      </c>
      <c r="AE124" s="180" t="str">
        <f ca="1"/>
        <v/>
      </c>
      <c r="AF124" s="180" t="str">
        <f ca="1"/>
        <v/>
      </c>
      <c r="AG124" s="180" t="str">
        <f ca="1"/>
        <v/>
      </c>
      <c r="AH124" s="180" t="str">
        <f ca="1"/>
        <v/>
      </c>
      <c r="AI124" s="180" t="str">
        <f ca="1"/>
        <v/>
      </c>
      <c r="AJ124" s="180" t="str">
        <f ca="1"/>
        <v/>
      </c>
      <c r="AK124" s="180" t="str">
        <f ca="1"/>
        <v/>
      </c>
      <c r="AL124" s="180" t="str">
        <f ca="1"/>
        <v/>
      </c>
      <c r="AM124" s="180" t="str">
        <f ca="1"/>
        <v/>
      </c>
      <c r="AN124" s="180" t="str">
        <f ca="1"/>
        <v/>
      </c>
      <c r="AO124" s="180" t="str">
        <f ca="1"/>
        <v/>
      </c>
      <c r="AP124" s="180" t="str">
        <f ca="1"/>
        <v/>
      </c>
      <c r="AQ124" s="187" t="str">
        <f ca="1"/>
        <v/>
      </c>
    </row>
    <row r="125" spans="2:43" x14ac:dyDescent="0.25">
      <c r="B125" s="179" t="str">
        <f ca="1"/>
        <v/>
      </c>
      <c r="C125" s="180" t="str">
        <f ca="1"/>
        <v/>
      </c>
      <c r="D125" s="180" t="str">
        <f ca="1"/>
        <v/>
      </c>
      <c r="E125" s="180" t="str">
        <f ca="1"/>
        <v/>
      </c>
      <c r="F125" s="180" t="str">
        <f ca="1"/>
        <v/>
      </c>
      <c r="G125" s="180" t="str">
        <f ca="1"/>
        <v/>
      </c>
      <c r="H125" s="180" t="str">
        <f ca="1"/>
        <v/>
      </c>
      <c r="I125" s="180" t="str">
        <f ca="1"/>
        <v/>
      </c>
      <c r="J125" s="180" t="str">
        <f ca="1"/>
        <v/>
      </c>
      <c r="K125" s="180" t="str">
        <f ca="1"/>
        <v/>
      </c>
      <c r="L125" s="180" t="str">
        <f ca="1"/>
        <v/>
      </c>
      <c r="M125" s="180" t="str">
        <f ca="1"/>
        <v/>
      </c>
      <c r="N125" s="180" t="str">
        <f ca="1"/>
        <v/>
      </c>
      <c r="O125" s="180" t="str">
        <f ca="1"/>
        <v/>
      </c>
      <c r="P125" s="180" t="str">
        <f ca="1"/>
        <v/>
      </c>
      <c r="Q125" s="180" t="str">
        <f ca="1"/>
        <v/>
      </c>
      <c r="R125" s="180" t="str">
        <f ca="1"/>
        <v/>
      </c>
      <c r="S125" s="180" t="str">
        <f ca="1"/>
        <v/>
      </c>
      <c r="T125" s="180" t="str">
        <f ca="1"/>
        <v/>
      </c>
      <c r="U125" s="180" t="str">
        <f ca="1"/>
        <v/>
      </c>
      <c r="V125" s="180" t="str">
        <f ca="1"/>
        <v/>
      </c>
      <c r="W125" s="180" t="str">
        <f ca="1"/>
        <v/>
      </c>
      <c r="X125" s="180" t="str">
        <f ca="1"/>
        <v/>
      </c>
      <c r="Y125" s="180" t="str">
        <f ca="1"/>
        <v/>
      </c>
      <c r="Z125" s="180" t="str">
        <f ca="1"/>
        <v/>
      </c>
      <c r="AA125" s="180" t="str">
        <f ca="1"/>
        <v/>
      </c>
      <c r="AB125" s="180" t="str">
        <f ca="1"/>
        <v/>
      </c>
      <c r="AC125" s="180" t="str">
        <f ca="1"/>
        <v/>
      </c>
      <c r="AD125" s="180" t="str">
        <f ca="1"/>
        <v/>
      </c>
      <c r="AE125" s="180" t="str">
        <f ca="1"/>
        <v/>
      </c>
      <c r="AF125" s="180" t="str">
        <f ca="1"/>
        <v/>
      </c>
      <c r="AG125" s="180" t="str">
        <f ca="1"/>
        <v/>
      </c>
      <c r="AH125" s="180" t="str">
        <f ca="1"/>
        <v/>
      </c>
      <c r="AI125" s="180" t="str">
        <f ca="1"/>
        <v/>
      </c>
      <c r="AJ125" s="180" t="str">
        <f ca="1"/>
        <v/>
      </c>
      <c r="AK125" s="180" t="str">
        <f ca="1"/>
        <v/>
      </c>
      <c r="AL125" s="180" t="str">
        <f ca="1"/>
        <v/>
      </c>
      <c r="AM125" s="180" t="str">
        <f ca="1"/>
        <v/>
      </c>
      <c r="AN125" s="180" t="str">
        <f ca="1"/>
        <v/>
      </c>
      <c r="AO125" s="180" t="str">
        <f ca="1"/>
        <v/>
      </c>
      <c r="AP125" s="180" t="str">
        <f ca="1"/>
        <v/>
      </c>
      <c r="AQ125" s="187" t="str">
        <f ca="1"/>
        <v/>
      </c>
    </row>
    <row r="126" spans="2:43" x14ac:dyDescent="0.25">
      <c r="B126" s="179" t="str">
        <f ca="1"/>
        <v/>
      </c>
      <c r="C126" s="180" t="str">
        <f ca="1"/>
        <v/>
      </c>
      <c r="D126" s="180" t="str">
        <f ca="1"/>
        <v/>
      </c>
      <c r="E126" s="180" t="str">
        <f ca="1"/>
        <v/>
      </c>
      <c r="F126" s="180" t="str">
        <f ca="1"/>
        <v/>
      </c>
      <c r="G126" s="180" t="str">
        <f ca="1"/>
        <v/>
      </c>
      <c r="H126" s="180" t="str">
        <f ca="1"/>
        <v/>
      </c>
      <c r="I126" s="180" t="str">
        <f ca="1"/>
        <v/>
      </c>
      <c r="J126" s="180" t="str">
        <f ca="1"/>
        <v/>
      </c>
      <c r="K126" s="180" t="str">
        <f ca="1"/>
        <v/>
      </c>
      <c r="L126" s="180" t="str">
        <f ca="1"/>
        <v/>
      </c>
      <c r="M126" s="180" t="str">
        <f ca="1"/>
        <v/>
      </c>
      <c r="N126" s="180" t="str">
        <f ca="1"/>
        <v/>
      </c>
      <c r="O126" s="180" t="str">
        <f ca="1"/>
        <v/>
      </c>
      <c r="P126" s="180" t="str">
        <f ca="1"/>
        <v/>
      </c>
      <c r="Q126" s="180" t="str">
        <f ca="1"/>
        <v/>
      </c>
      <c r="R126" s="180" t="str">
        <f ca="1"/>
        <v/>
      </c>
      <c r="S126" s="180" t="str">
        <f ca="1"/>
        <v/>
      </c>
      <c r="T126" s="180" t="str">
        <f ca="1"/>
        <v/>
      </c>
      <c r="U126" s="180" t="str">
        <f ca="1"/>
        <v/>
      </c>
      <c r="V126" s="180" t="str">
        <f ca="1"/>
        <v/>
      </c>
      <c r="W126" s="180" t="str">
        <f ca="1"/>
        <v/>
      </c>
      <c r="X126" s="180" t="str">
        <f ca="1"/>
        <v/>
      </c>
      <c r="Y126" s="180" t="str">
        <f ca="1"/>
        <v/>
      </c>
      <c r="Z126" s="180" t="str">
        <f ca="1"/>
        <v/>
      </c>
      <c r="AA126" s="180" t="str">
        <f ca="1"/>
        <v/>
      </c>
      <c r="AB126" s="180" t="str">
        <f ca="1"/>
        <v/>
      </c>
      <c r="AC126" s="180" t="str">
        <f ca="1"/>
        <v/>
      </c>
      <c r="AD126" s="180" t="str">
        <f ca="1"/>
        <v/>
      </c>
      <c r="AE126" s="180" t="str">
        <f ca="1"/>
        <v/>
      </c>
      <c r="AF126" s="180" t="str">
        <f ca="1"/>
        <v/>
      </c>
      <c r="AG126" s="180" t="str">
        <f ca="1"/>
        <v/>
      </c>
      <c r="AH126" s="180" t="str">
        <f ca="1"/>
        <v/>
      </c>
      <c r="AI126" s="180" t="str">
        <f ca="1"/>
        <v/>
      </c>
      <c r="AJ126" s="180" t="str">
        <f ca="1"/>
        <v/>
      </c>
      <c r="AK126" s="180" t="str">
        <f ca="1"/>
        <v/>
      </c>
      <c r="AL126" s="180" t="str">
        <f ca="1"/>
        <v/>
      </c>
      <c r="AM126" s="180" t="str">
        <f ca="1"/>
        <v/>
      </c>
      <c r="AN126" s="180" t="str">
        <f ca="1"/>
        <v/>
      </c>
      <c r="AO126" s="180" t="str">
        <f ca="1"/>
        <v/>
      </c>
      <c r="AP126" s="180" t="str">
        <f ca="1"/>
        <v/>
      </c>
      <c r="AQ126" s="187" t="str">
        <f ca="1"/>
        <v/>
      </c>
    </row>
    <row r="127" spans="2:43" x14ac:dyDescent="0.25">
      <c r="B127" s="179" t="str">
        <f ca="1"/>
        <v/>
      </c>
      <c r="C127" s="180" t="str">
        <f ca="1"/>
        <v/>
      </c>
      <c r="D127" s="180" t="str">
        <f ca="1"/>
        <v/>
      </c>
      <c r="E127" s="180" t="str">
        <f ca="1"/>
        <v/>
      </c>
      <c r="F127" s="180" t="str">
        <f ca="1"/>
        <v/>
      </c>
      <c r="G127" s="180" t="str">
        <f ca="1"/>
        <v/>
      </c>
      <c r="H127" s="180" t="str">
        <f ca="1"/>
        <v/>
      </c>
      <c r="I127" s="180" t="str">
        <f ca="1"/>
        <v/>
      </c>
      <c r="J127" s="180" t="str">
        <f ca="1"/>
        <v/>
      </c>
      <c r="K127" s="180" t="str">
        <f ca="1"/>
        <v/>
      </c>
      <c r="L127" s="180" t="str">
        <f ca="1"/>
        <v/>
      </c>
      <c r="M127" s="180" t="str">
        <f ca="1"/>
        <v/>
      </c>
      <c r="N127" s="180" t="str">
        <f ca="1"/>
        <v/>
      </c>
      <c r="O127" s="180" t="str">
        <f ca="1"/>
        <v/>
      </c>
      <c r="P127" s="180" t="str">
        <f ca="1"/>
        <v/>
      </c>
      <c r="Q127" s="180" t="str">
        <f ca="1"/>
        <v/>
      </c>
      <c r="R127" s="180" t="str">
        <f ca="1"/>
        <v/>
      </c>
      <c r="S127" s="180" t="str">
        <f ca="1"/>
        <v/>
      </c>
      <c r="T127" s="180" t="str">
        <f ca="1"/>
        <v/>
      </c>
      <c r="U127" s="180" t="str">
        <f ca="1"/>
        <v/>
      </c>
      <c r="V127" s="180" t="str">
        <f ca="1"/>
        <v/>
      </c>
      <c r="W127" s="180" t="str">
        <f ca="1"/>
        <v/>
      </c>
      <c r="X127" s="180" t="str">
        <f ca="1"/>
        <v/>
      </c>
      <c r="Y127" s="180" t="str">
        <f ca="1"/>
        <v/>
      </c>
      <c r="Z127" s="180" t="str">
        <f ca="1"/>
        <v/>
      </c>
      <c r="AA127" s="180" t="str">
        <f ca="1"/>
        <v/>
      </c>
      <c r="AB127" s="180" t="str">
        <f ca="1"/>
        <v/>
      </c>
      <c r="AC127" s="180" t="str">
        <f ca="1"/>
        <v/>
      </c>
      <c r="AD127" s="180" t="str">
        <f ca="1"/>
        <v/>
      </c>
      <c r="AE127" s="180" t="str">
        <f ca="1"/>
        <v/>
      </c>
      <c r="AF127" s="180" t="str">
        <f ca="1"/>
        <v/>
      </c>
      <c r="AG127" s="180" t="str">
        <f ca="1"/>
        <v/>
      </c>
      <c r="AH127" s="180" t="str">
        <f ca="1"/>
        <v/>
      </c>
      <c r="AI127" s="180" t="str">
        <f ca="1"/>
        <v/>
      </c>
      <c r="AJ127" s="180" t="str">
        <f ca="1"/>
        <v/>
      </c>
      <c r="AK127" s="180" t="str">
        <f ca="1"/>
        <v/>
      </c>
      <c r="AL127" s="180" t="str">
        <f ca="1"/>
        <v/>
      </c>
      <c r="AM127" s="180" t="str">
        <f ca="1"/>
        <v/>
      </c>
      <c r="AN127" s="180" t="str">
        <f ca="1"/>
        <v/>
      </c>
      <c r="AO127" s="180" t="str">
        <f ca="1"/>
        <v/>
      </c>
      <c r="AP127" s="180" t="str">
        <f ca="1"/>
        <v/>
      </c>
      <c r="AQ127" s="187" t="str">
        <f ca="1"/>
        <v/>
      </c>
    </row>
    <row r="128" spans="2:43" x14ac:dyDescent="0.25">
      <c r="B128" s="179" t="str">
        <f ca="1"/>
        <v/>
      </c>
      <c r="C128" s="180" t="str">
        <f ca="1"/>
        <v/>
      </c>
      <c r="D128" s="180" t="str">
        <f ca="1"/>
        <v/>
      </c>
      <c r="E128" s="180" t="str">
        <f ca="1"/>
        <v/>
      </c>
      <c r="F128" s="180" t="str">
        <f ca="1"/>
        <v/>
      </c>
      <c r="G128" s="180" t="str">
        <f ca="1"/>
        <v/>
      </c>
      <c r="H128" s="180" t="str">
        <f ca="1"/>
        <v/>
      </c>
      <c r="I128" s="180" t="str">
        <f ca="1"/>
        <v/>
      </c>
      <c r="J128" s="180" t="str">
        <f ca="1"/>
        <v/>
      </c>
      <c r="K128" s="180" t="str">
        <f ca="1"/>
        <v/>
      </c>
      <c r="L128" s="180" t="str">
        <f ca="1"/>
        <v/>
      </c>
      <c r="M128" s="180" t="str">
        <f ca="1"/>
        <v/>
      </c>
      <c r="N128" s="180" t="str">
        <f ca="1"/>
        <v/>
      </c>
      <c r="O128" s="180" t="str">
        <f ca="1"/>
        <v/>
      </c>
      <c r="P128" s="180" t="str">
        <f ca="1"/>
        <v/>
      </c>
      <c r="Q128" s="180" t="str">
        <f ca="1"/>
        <v/>
      </c>
      <c r="R128" s="180" t="str">
        <f ca="1"/>
        <v/>
      </c>
      <c r="S128" s="180" t="str">
        <f ca="1"/>
        <v/>
      </c>
      <c r="T128" s="180" t="str">
        <f ca="1"/>
        <v/>
      </c>
      <c r="U128" s="180" t="str">
        <f ca="1"/>
        <v/>
      </c>
      <c r="V128" s="180" t="str">
        <f ca="1"/>
        <v/>
      </c>
      <c r="W128" s="180" t="str">
        <f ca="1"/>
        <v/>
      </c>
      <c r="X128" s="180" t="str">
        <f ca="1"/>
        <v/>
      </c>
      <c r="Y128" s="180" t="str">
        <f ca="1"/>
        <v/>
      </c>
      <c r="Z128" s="180" t="str">
        <f ca="1"/>
        <v/>
      </c>
      <c r="AA128" s="180" t="str">
        <f ca="1"/>
        <v/>
      </c>
      <c r="AB128" s="180" t="str">
        <f ca="1"/>
        <v/>
      </c>
      <c r="AC128" s="180" t="str">
        <f ca="1"/>
        <v/>
      </c>
      <c r="AD128" s="180" t="str">
        <f ca="1"/>
        <v/>
      </c>
      <c r="AE128" s="180" t="str">
        <f ca="1"/>
        <v/>
      </c>
      <c r="AF128" s="180" t="str">
        <f ca="1"/>
        <v/>
      </c>
      <c r="AG128" s="180" t="str">
        <f ca="1"/>
        <v/>
      </c>
      <c r="AH128" s="180" t="str">
        <f ca="1"/>
        <v/>
      </c>
      <c r="AI128" s="180" t="str">
        <f ca="1"/>
        <v/>
      </c>
      <c r="AJ128" s="180" t="str">
        <f ca="1"/>
        <v/>
      </c>
      <c r="AK128" s="180" t="str">
        <f ca="1"/>
        <v/>
      </c>
      <c r="AL128" s="180" t="str">
        <f ca="1"/>
        <v/>
      </c>
      <c r="AM128" s="180" t="str">
        <f ca="1"/>
        <v/>
      </c>
      <c r="AN128" s="180" t="str">
        <f ca="1"/>
        <v/>
      </c>
      <c r="AO128" s="180" t="str">
        <f ca="1"/>
        <v/>
      </c>
      <c r="AP128" s="180" t="str">
        <f ca="1"/>
        <v/>
      </c>
      <c r="AQ128" s="187" t="str">
        <f ca="1"/>
        <v/>
      </c>
    </row>
    <row r="129" spans="2:43" x14ac:dyDescent="0.25">
      <c r="B129" s="179" t="str">
        <f ca="1"/>
        <v/>
      </c>
      <c r="C129" s="180" t="str">
        <f ca="1"/>
        <v/>
      </c>
      <c r="D129" s="180" t="str">
        <f ca="1"/>
        <v/>
      </c>
      <c r="E129" s="180" t="str">
        <f ca="1"/>
        <v/>
      </c>
      <c r="F129" s="180" t="str">
        <f ca="1"/>
        <v/>
      </c>
      <c r="G129" s="180" t="str">
        <f ca="1"/>
        <v/>
      </c>
      <c r="H129" s="180" t="str">
        <f ca="1"/>
        <v/>
      </c>
      <c r="I129" s="180" t="str">
        <f ca="1"/>
        <v/>
      </c>
      <c r="J129" s="180" t="str">
        <f ca="1"/>
        <v/>
      </c>
      <c r="K129" s="180" t="str">
        <f ca="1"/>
        <v/>
      </c>
      <c r="L129" s="180" t="str">
        <f ca="1"/>
        <v/>
      </c>
      <c r="M129" s="180" t="str">
        <f ca="1"/>
        <v/>
      </c>
      <c r="N129" s="180" t="str">
        <f ca="1"/>
        <v/>
      </c>
      <c r="O129" s="180" t="str">
        <f ca="1"/>
        <v/>
      </c>
      <c r="P129" s="180" t="str">
        <f ca="1"/>
        <v/>
      </c>
      <c r="Q129" s="180" t="str">
        <f ca="1"/>
        <v/>
      </c>
      <c r="R129" s="180" t="str">
        <f ca="1"/>
        <v/>
      </c>
      <c r="S129" s="180" t="str">
        <f ca="1"/>
        <v/>
      </c>
      <c r="T129" s="180" t="str">
        <f ca="1"/>
        <v/>
      </c>
      <c r="U129" s="180" t="str">
        <f ca="1"/>
        <v/>
      </c>
      <c r="V129" s="180" t="str">
        <f ca="1"/>
        <v/>
      </c>
      <c r="W129" s="180" t="str">
        <f ca="1"/>
        <v/>
      </c>
      <c r="X129" s="180" t="str">
        <f ca="1"/>
        <v/>
      </c>
      <c r="Y129" s="180" t="str">
        <f ca="1"/>
        <v/>
      </c>
      <c r="Z129" s="180" t="str">
        <f ca="1"/>
        <v/>
      </c>
      <c r="AA129" s="180" t="str">
        <f ca="1"/>
        <v/>
      </c>
      <c r="AB129" s="180" t="str">
        <f ca="1"/>
        <v/>
      </c>
      <c r="AC129" s="180" t="str">
        <f ca="1"/>
        <v/>
      </c>
      <c r="AD129" s="180" t="str">
        <f ca="1"/>
        <v/>
      </c>
      <c r="AE129" s="180" t="str">
        <f ca="1"/>
        <v/>
      </c>
      <c r="AF129" s="180" t="str">
        <f ca="1"/>
        <v/>
      </c>
      <c r="AG129" s="180" t="str">
        <f ca="1"/>
        <v/>
      </c>
      <c r="AH129" s="180" t="str">
        <f ca="1"/>
        <v/>
      </c>
      <c r="AI129" s="180" t="str">
        <f ca="1"/>
        <v/>
      </c>
      <c r="AJ129" s="180" t="str">
        <f ca="1"/>
        <v/>
      </c>
      <c r="AK129" s="180" t="str">
        <f ca="1"/>
        <v/>
      </c>
      <c r="AL129" s="180" t="str">
        <f ca="1"/>
        <v/>
      </c>
      <c r="AM129" s="180" t="str">
        <f ca="1"/>
        <v/>
      </c>
      <c r="AN129" s="180" t="str">
        <f ca="1"/>
        <v/>
      </c>
      <c r="AO129" s="180" t="str">
        <f ca="1"/>
        <v/>
      </c>
      <c r="AP129" s="180" t="str">
        <f ca="1"/>
        <v/>
      </c>
      <c r="AQ129" s="187" t="str">
        <f ca="1"/>
        <v/>
      </c>
    </row>
    <row r="130" spans="2:43" x14ac:dyDescent="0.25">
      <c r="B130" s="179" t="str">
        <f ca="1"/>
        <v/>
      </c>
      <c r="C130" s="180" t="str">
        <f ca="1"/>
        <v/>
      </c>
      <c r="D130" s="180" t="str">
        <f ca="1"/>
        <v/>
      </c>
      <c r="E130" s="180" t="str">
        <f ca="1"/>
        <v/>
      </c>
      <c r="F130" s="180" t="str">
        <f ca="1"/>
        <v/>
      </c>
      <c r="G130" s="180" t="str">
        <f ca="1"/>
        <v/>
      </c>
      <c r="H130" s="180" t="str">
        <f ca="1"/>
        <v/>
      </c>
      <c r="I130" s="180" t="str">
        <f ca="1"/>
        <v/>
      </c>
      <c r="J130" s="180" t="str">
        <f ca="1"/>
        <v/>
      </c>
      <c r="K130" s="180" t="str">
        <f ca="1"/>
        <v/>
      </c>
      <c r="L130" s="180" t="str">
        <f ca="1"/>
        <v/>
      </c>
      <c r="M130" s="180" t="str">
        <f ca="1"/>
        <v/>
      </c>
      <c r="N130" s="180" t="str">
        <f ca="1"/>
        <v/>
      </c>
      <c r="O130" s="180" t="str">
        <f ca="1"/>
        <v/>
      </c>
      <c r="P130" s="180" t="str">
        <f ca="1"/>
        <v/>
      </c>
      <c r="Q130" s="180" t="str">
        <f ca="1"/>
        <v/>
      </c>
      <c r="R130" s="180" t="str">
        <f ca="1"/>
        <v/>
      </c>
      <c r="S130" s="180" t="str">
        <f ca="1"/>
        <v/>
      </c>
      <c r="T130" s="180" t="str">
        <f ca="1"/>
        <v/>
      </c>
      <c r="U130" s="180" t="str">
        <f ca="1"/>
        <v/>
      </c>
      <c r="V130" s="180" t="str">
        <f ca="1"/>
        <v/>
      </c>
      <c r="W130" s="180" t="str">
        <f ca="1"/>
        <v/>
      </c>
      <c r="X130" s="180" t="str">
        <f ca="1"/>
        <v/>
      </c>
      <c r="Y130" s="180" t="str">
        <f ca="1"/>
        <v/>
      </c>
      <c r="Z130" s="180" t="str">
        <f ca="1"/>
        <v/>
      </c>
      <c r="AA130" s="180" t="str">
        <f ca="1"/>
        <v/>
      </c>
      <c r="AB130" s="180" t="str">
        <f ca="1"/>
        <v/>
      </c>
      <c r="AC130" s="180" t="str">
        <f ca="1"/>
        <v/>
      </c>
      <c r="AD130" s="180" t="str">
        <f ca="1"/>
        <v/>
      </c>
      <c r="AE130" s="180" t="str">
        <f ca="1"/>
        <v/>
      </c>
      <c r="AF130" s="180" t="str">
        <f ca="1"/>
        <v/>
      </c>
      <c r="AG130" s="180" t="str">
        <f ca="1"/>
        <v/>
      </c>
      <c r="AH130" s="180" t="str">
        <f ca="1"/>
        <v/>
      </c>
      <c r="AI130" s="180" t="str">
        <f ca="1"/>
        <v/>
      </c>
      <c r="AJ130" s="180" t="str">
        <f ca="1"/>
        <v/>
      </c>
      <c r="AK130" s="180" t="str">
        <f ca="1"/>
        <v/>
      </c>
      <c r="AL130" s="180" t="str">
        <f ca="1"/>
        <v/>
      </c>
      <c r="AM130" s="180" t="str">
        <f ca="1"/>
        <v/>
      </c>
      <c r="AN130" s="180" t="str">
        <f ca="1"/>
        <v/>
      </c>
      <c r="AO130" s="180" t="str">
        <f ca="1"/>
        <v/>
      </c>
      <c r="AP130" s="180" t="str">
        <f ca="1"/>
        <v/>
      </c>
      <c r="AQ130" s="187" t="str">
        <f ca="1"/>
        <v/>
      </c>
    </row>
    <row r="131" spans="2:43" x14ac:dyDescent="0.25">
      <c r="B131" s="179" t="str">
        <f ca="1"/>
        <v/>
      </c>
      <c r="C131" s="180" t="str">
        <f ca="1"/>
        <v/>
      </c>
      <c r="D131" s="180" t="str">
        <f ca="1"/>
        <v/>
      </c>
      <c r="E131" s="180" t="str">
        <f ca="1"/>
        <v/>
      </c>
      <c r="F131" s="180" t="str">
        <f ca="1"/>
        <v/>
      </c>
      <c r="G131" s="180" t="str">
        <f ca="1"/>
        <v/>
      </c>
      <c r="H131" s="180" t="str">
        <f ca="1"/>
        <v/>
      </c>
      <c r="I131" s="180" t="str">
        <f ca="1"/>
        <v/>
      </c>
      <c r="J131" s="180" t="str">
        <f ca="1"/>
        <v/>
      </c>
      <c r="K131" s="180" t="str">
        <f ca="1"/>
        <v/>
      </c>
      <c r="L131" s="180" t="str">
        <f ca="1"/>
        <v/>
      </c>
      <c r="M131" s="180" t="str">
        <f ca="1"/>
        <v/>
      </c>
      <c r="N131" s="180" t="str">
        <f ca="1"/>
        <v/>
      </c>
      <c r="O131" s="180" t="str">
        <f ca="1"/>
        <v/>
      </c>
      <c r="P131" s="180" t="str">
        <f ca="1"/>
        <v/>
      </c>
      <c r="Q131" s="180" t="str">
        <f ca="1"/>
        <v/>
      </c>
      <c r="R131" s="180" t="str">
        <f ca="1"/>
        <v/>
      </c>
      <c r="S131" s="180" t="str">
        <f ca="1"/>
        <v/>
      </c>
      <c r="T131" s="180" t="str">
        <f ca="1"/>
        <v/>
      </c>
      <c r="U131" s="180" t="str">
        <f ca="1"/>
        <v/>
      </c>
      <c r="V131" s="180" t="str">
        <f ca="1"/>
        <v/>
      </c>
      <c r="W131" s="180" t="str">
        <f ca="1"/>
        <v/>
      </c>
      <c r="X131" s="180" t="str">
        <f ca="1"/>
        <v/>
      </c>
      <c r="Y131" s="180" t="str">
        <f ca="1"/>
        <v/>
      </c>
      <c r="Z131" s="180" t="str">
        <f ca="1"/>
        <v/>
      </c>
      <c r="AA131" s="180" t="str">
        <f ca="1"/>
        <v/>
      </c>
      <c r="AB131" s="180" t="str">
        <f ca="1"/>
        <v/>
      </c>
      <c r="AC131" s="180" t="str">
        <f ca="1"/>
        <v/>
      </c>
      <c r="AD131" s="180" t="str">
        <f ca="1"/>
        <v/>
      </c>
      <c r="AE131" s="180" t="str">
        <f ca="1"/>
        <v/>
      </c>
      <c r="AF131" s="180" t="str">
        <f ca="1"/>
        <v/>
      </c>
      <c r="AG131" s="180" t="str">
        <f ca="1"/>
        <v/>
      </c>
      <c r="AH131" s="180" t="str">
        <f ca="1"/>
        <v/>
      </c>
      <c r="AI131" s="180" t="str">
        <f ca="1"/>
        <v/>
      </c>
      <c r="AJ131" s="180" t="str">
        <f ca="1"/>
        <v/>
      </c>
      <c r="AK131" s="180" t="str">
        <f ca="1"/>
        <v/>
      </c>
      <c r="AL131" s="180" t="str">
        <f ca="1"/>
        <v/>
      </c>
      <c r="AM131" s="180" t="str">
        <f ca="1"/>
        <v/>
      </c>
      <c r="AN131" s="180" t="str">
        <f ca="1"/>
        <v/>
      </c>
      <c r="AO131" s="180" t="str">
        <f ca="1"/>
        <v/>
      </c>
      <c r="AP131" s="180" t="str">
        <f ca="1"/>
        <v/>
      </c>
      <c r="AQ131" s="187" t="str">
        <f ca="1"/>
        <v/>
      </c>
    </row>
    <row r="132" spans="2:43" x14ac:dyDescent="0.25">
      <c r="B132" s="179" t="str">
        <f ca="1"/>
        <v/>
      </c>
      <c r="C132" s="180" t="str">
        <f ca="1"/>
        <v/>
      </c>
      <c r="D132" s="180" t="str">
        <f ca="1"/>
        <v/>
      </c>
      <c r="E132" s="180" t="str">
        <f ca="1"/>
        <v/>
      </c>
      <c r="F132" s="180" t="str">
        <f ca="1"/>
        <v/>
      </c>
      <c r="G132" s="180" t="str">
        <f ca="1"/>
        <v/>
      </c>
      <c r="H132" s="180" t="str">
        <f ca="1"/>
        <v/>
      </c>
      <c r="I132" s="180" t="str">
        <f ca="1"/>
        <v/>
      </c>
      <c r="J132" s="180" t="str">
        <f ca="1"/>
        <v/>
      </c>
      <c r="K132" s="180" t="str">
        <f ca="1"/>
        <v/>
      </c>
      <c r="L132" s="180" t="str">
        <f ca="1"/>
        <v/>
      </c>
      <c r="M132" s="180" t="str">
        <f ca="1"/>
        <v/>
      </c>
      <c r="N132" s="180" t="str">
        <f ca="1"/>
        <v/>
      </c>
      <c r="O132" s="180" t="str">
        <f ca="1"/>
        <v/>
      </c>
      <c r="P132" s="180" t="str">
        <f ca="1"/>
        <v/>
      </c>
      <c r="Q132" s="180" t="str">
        <f ca="1"/>
        <v/>
      </c>
      <c r="R132" s="180" t="str">
        <f ca="1"/>
        <v/>
      </c>
      <c r="S132" s="180" t="str">
        <f ca="1"/>
        <v/>
      </c>
      <c r="T132" s="180" t="str">
        <f ca="1"/>
        <v/>
      </c>
      <c r="U132" s="180" t="str">
        <f ca="1"/>
        <v/>
      </c>
      <c r="V132" s="180" t="str">
        <f ca="1"/>
        <v/>
      </c>
      <c r="W132" s="180" t="str">
        <f ca="1"/>
        <v/>
      </c>
      <c r="X132" s="180" t="str">
        <f ca="1"/>
        <v/>
      </c>
      <c r="Y132" s="180" t="str">
        <f ca="1"/>
        <v/>
      </c>
      <c r="Z132" s="180" t="str">
        <f ca="1"/>
        <v/>
      </c>
      <c r="AA132" s="180" t="str">
        <f ca="1"/>
        <v/>
      </c>
      <c r="AB132" s="180" t="str">
        <f ca="1"/>
        <v/>
      </c>
      <c r="AC132" s="180" t="str">
        <f ca="1"/>
        <v/>
      </c>
      <c r="AD132" s="180" t="str">
        <f ca="1"/>
        <v/>
      </c>
      <c r="AE132" s="180" t="str">
        <f ca="1"/>
        <v/>
      </c>
      <c r="AF132" s="180" t="str">
        <f ca="1"/>
        <v/>
      </c>
      <c r="AG132" s="180" t="str">
        <f ca="1"/>
        <v/>
      </c>
      <c r="AH132" s="180" t="str">
        <f ca="1"/>
        <v/>
      </c>
      <c r="AI132" s="180" t="str">
        <f ca="1"/>
        <v/>
      </c>
      <c r="AJ132" s="180" t="str">
        <f ca="1"/>
        <v/>
      </c>
      <c r="AK132" s="180" t="str">
        <f ca="1"/>
        <v/>
      </c>
      <c r="AL132" s="180" t="str">
        <f ca="1"/>
        <v/>
      </c>
      <c r="AM132" s="180" t="str">
        <f ca="1"/>
        <v/>
      </c>
      <c r="AN132" s="180" t="str">
        <f ca="1"/>
        <v/>
      </c>
      <c r="AO132" s="180" t="str">
        <f ca="1"/>
        <v/>
      </c>
      <c r="AP132" s="180" t="str">
        <f ca="1"/>
        <v/>
      </c>
      <c r="AQ132" s="187" t="str">
        <f ca="1"/>
        <v/>
      </c>
    </row>
    <row r="133" spans="2:43" x14ac:dyDescent="0.25">
      <c r="B133" s="179" t="str">
        <f ca="1"/>
        <v/>
      </c>
      <c r="C133" s="180" t="str">
        <f ca="1"/>
        <v/>
      </c>
      <c r="D133" s="180" t="str">
        <f ca="1"/>
        <v/>
      </c>
      <c r="E133" s="180" t="str">
        <f ca="1"/>
        <v/>
      </c>
      <c r="F133" s="180" t="str">
        <f ca="1"/>
        <v/>
      </c>
      <c r="G133" s="180" t="str">
        <f ca="1"/>
        <v/>
      </c>
      <c r="H133" s="180" t="str">
        <f ca="1"/>
        <v/>
      </c>
      <c r="I133" s="180" t="str">
        <f ca="1"/>
        <v/>
      </c>
      <c r="J133" s="180" t="str">
        <f ca="1"/>
        <v/>
      </c>
      <c r="K133" s="180" t="str">
        <f ca="1"/>
        <v/>
      </c>
      <c r="L133" s="180" t="str">
        <f ca="1"/>
        <v/>
      </c>
      <c r="M133" s="180" t="str">
        <f ca="1"/>
        <v/>
      </c>
      <c r="N133" s="180" t="str">
        <f ca="1"/>
        <v/>
      </c>
      <c r="O133" s="180" t="str">
        <f ca="1"/>
        <v/>
      </c>
      <c r="P133" s="180" t="str">
        <f ca="1"/>
        <v/>
      </c>
      <c r="Q133" s="180" t="str">
        <f ca="1"/>
        <v/>
      </c>
      <c r="R133" s="180" t="str">
        <f ca="1"/>
        <v/>
      </c>
      <c r="S133" s="180" t="str">
        <f ca="1"/>
        <v/>
      </c>
      <c r="T133" s="180" t="str">
        <f ca="1"/>
        <v/>
      </c>
      <c r="U133" s="180" t="str">
        <f ca="1"/>
        <v/>
      </c>
      <c r="V133" s="180" t="str">
        <f ca="1"/>
        <v/>
      </c>
      <c r="W133" s="180" t="str">
        <f ca="1"/>
        <v/>
      </c>
      <c r="X133" s="180" t="str">
        <f ca="1"/>
        <v/>
      </c>
      <c r="Y133" s="180" t="str">
        <f ca="1"/>
        <v/>
      </c>
      <c r="Z133" s="180" t="str">
        <f ca="1"/>
        <v/>
      </c>
      <c r="AA133" s="180" t="str">
        <f ca="1"/>
        <v/>
      </c>
      <c r="AB133" s="180" t="str">
        <f ca="1"/>
        <v/>
      </c>
      <c r="AC133" s="180" t="str">
        <f ca="1"/>
        <v/>
      </c>
      <c r="AD133" s="180" t="str">
        <f ca="1"/>
        <v/>
      </c>
      <c r="AE133" s="180" t="str">
        <f ca="1"/>
        <v/>
      </c>
      <c r="AF133" s="180" t="str">
        <f ca="1"/>
        <v/>
      </c>
      <c r="AG133" s="180" t="str">
        <f ca="1"/>
        <v/>
      </c>
      <c r="AH133" s="180" t="str">
        <f ca="1"/>
        <v/>
      </c>
      <c r="AI133" s="180" t="str">
        <f ca="1"/>
        <v/>
      </c>
      <c r="AJ133" s="180" t="str">
        <f ca="1"/>
        <v/>
      </c>
      <c r="AK133" s="180" t="str">
        <f ca="1"/>
        <v/>
      </c>
      <c r="AL133" s="180" t="str">
        <f ca="1"/>
        <v/>
      </c>
      <c r="AM133" s="180" t="str">
        <f ca="1"/>
        <v/>
      </c>
      <c r="AN133" s="180" t="str">
        <f ca="1"/>
        <v/>
      </c>
      <c r="AO133" s="180" t="str">
        <f ca="1"/>
        <v/>
      </c>
      <c r="AP133" s="180" t="str">
        <f ca="1"/>
        <v/>
      </c>
      <c r="AQ133" s="187" t="str">
        <f ca="1"/>
        <v/>
      </c>
    </row>
    <row r="134" spans="2:43" x14ac:dyDescent="0.25">
      <c r="B134" s="179" t="str">
        <f ca="1"/>
        <v/>
      </c>
      <c r="C134" s="180" t="str">
        <f ca="1"/>
        <v/>
      </c>
      <c r="D134" s="180" t="str">
        <f ca="1"/>
        <v/>
      </c>
      <c r="E134" s="180" t="str">
        <f ca="1"/>
        <v/>
      </c>
      <c r="F134" s="180" t="str">
        <f ca="1"/>
        <v/>
      </c>
      <c r="G134" s="180" t="str">
        <f ca="1"/>
        <v/>
      </c>
      <c r="H134" s="180" t="str">
        <f ca="1"/>
        <v/>
      </c>
      <c r="I134" s="180" t="str">
        <f ca="1"/>
        <v/>
      </c>
      <c r="J134" s="180" t="str">
        <f ca="1"/>
        <v/>
      </c>
      <c r="K134" s="180" t="str">
        <f ca="1"/>
        <v/>
      </c>
      <c r="L134" s="180" t="str">
        <f ca="1"/>
        <v/>
      </c>
      <c r="M134" s="180" t="str">
        <f ca="1"/>
        <v/>
      </c>
      <c r="N134" s="180" t="str">
        <f ca="1"/>
        <v/>
      </c>
      <c r="O134" s="180" t="str">
        <f ca="1"/>
        <v/>
      </c>
      <c r="P134" s="180" t="str">
        <f ca="1"/>
        <v/>
      </c>
      <c r="Q134" s="180" t="str">
        <f ca="1"/>
        <v/>
      </c>
      <c r="R134" s="180" t="str">
        <f ca="1"/>
        <v/>
      </c>
      <c r="S134" s="180" t="str">
        <f ca="1"/>
        <v/>
      </c>
      <c r="T134" s="180" t="str">
        <f ca="1"/>
        <v/>
      </c>
      <c r="U134" s="180" t="str">
        <f ca="1"/>
        <v/>
      </c>
      <c r="V134" s="180" t="str">
        <f ca="1"/>
        <v/>
      </c>
      <c r="W134" s="180" t="str">
        <f ca="1"/>
        <v/>
      </c>
      <c r="X134" s="180" t="str">
        <f ca="1"/>
        <v/>
      </c>
      <c r="Y134" s="180" t="str">
        <f ca="1"/>
        <v/>
      </c>
      <c r="Z134" s="180" t="str">
        <f ca="1"/>
        <v/>
      </c>
      <c r="AA134" s="180" t="str">
        <f ca="1"/>
        <v/>
      </c>
      <c r="AB134" s="180" t="str">
        <f ca="1"/>
        <v/>
      </c>
      <c r="AC134" s="180" t="str">
        <f ca="1"/>
        <v/>
      </c>
      <c r="AD134" s="180" t="str">
        <f ca="1"/>
        <v/>
      </c>
      <c r="AE134" s="180" t="str">
        <f ca="1"/>
        <v/>
      </c>
      <c r="AF134" s="180" t="str">
        <f ca="1"/>
        <v/>
      </c>
      <c r="AG134" s="180" t="str">
        <f ca="1"/>
        <v/>
      </c>
      <c r="AH134" s="180" t="str">
        <f ca="1"/>
        <v/>
      </c>
      <c r="AI134" s="180" t="str">
        <f ca="1"/>
        <v/>
      </c>
      <c r="AJ134" s="180" t="str">
        <f ca="1"/>
        <v/>
      </c>
      <c r="AK134" s="180" t="str">
        <f ca="1"/>
        <v/>
      </c>
      <c r="AL134" s="180" t="str">
        <f ca="1"/>
        <v/>
      </c>
      <c r="AM134" s="180" t="str">
        <f ca="1"/>
        <v/>
      </c>
      <c r="AN134" s="180" t="str">
        <f ca="1"/>
        <v/>
      </c>
      <c r="AO134" s="180" t="str">
        <f ca="1"/>
        <v/>
      </c>
      <c r="AP134" s="180" t="str">
        <f ca="1"/>
        <v/>
      </c>
      <c r="AQ134" s="187" t="str">
        <f ca="1"/>
        <v/>
      </c>
    </row>
    <row r="135" spans="2:43" x14ac:dyDescent="0.25">
      <c r="B135" s="179" t="str">
        <f ca="1"/>
        <v/>
      </c>
      <c r="C135" s="180" t="str">
        <f ca="1"/>
        <v/>
      </c>
      <c r="D135" s="180" t="str">
        <f ca="1"/>
        <v/>
      </c>
      <c r="E135" s="180" t="str">
        <f ca="1"/>
        <v/>
      </c>
      <c r="F135" s="180" t="str">
        <f ca="1"/>
        <v/>
      </c>
      <c r="G135" s="180" t="str">
        <f ca="1"/>
        <v/>
      </c>
      <c r="H135" s="180" t="str">
        <f ca="1"/>
        <v/>
      </c>
      <c r="I135" s="180" t="str">
        <f ca="1"/>
        <v/>
      </c>
      <c r="J135" s="180" t="str">
        <f ca="1"/>
        <v/>
      </c>
      <c r="K135" s="180" t="str">
        <f ca="1"/>
        <v/>
      </c>
      <c r="L135" s="180" t="str">
        <f ca="1"/>
        <v/>
      </c>
      <c r="M135" s="180" t="str">
        <f ca="1"/>
        <v/>
      </c>
      <c r="N135" s="180" t="str">
        <f ca="1"/>
        <v/>
      </c>
      <c r="O135" s="180" t="str">
        <f ca="1"/>
        <v/>
      </c>
      <c r="P135" s="180" t="str">
        <f ca="1"/>
        <v/>
      </c>
      <c r="Q135" s="180" t="str">
        <f ca="1"/>
        <v/>
      </c>
      <c r="R135" s="180" t="str">
        <f ca="1"/>
        <v/>
      </c>
      <c r="S135" s="180" t="str">
        <f ca="1"/>
        <v/>
      </c>
      <c r="T135" s="180" t="str">
        <f ca="1"/>
        <v/>
      </c>
      <c r="U135" s="180" t="str">
        <f ca="1"/>
        <v/>
      </c>
      <c r="V135" s="180" t="str">
        <f ca="1"/>
        <v/>
      </c>
      <c r="W135" s="180" t="str">
        <f ca="1"/>
        <v/>
      </c>
      <c r="X135" s="180" t="str">
        <f ca="1"/>
        <v/>
      </c>
      <c r="Y135" s="180" t="str">
        <f ca="1"/>
        <v/>
      </c>
      <c r="Z135" s="180" t="str">
        <f ca="1"/>
        <v/>
      </c>
      <c r="AA135" s="180" t="str">
        <f ca="1"/>
        <v/>
      </c>
      <c r="AB135" s="180" t="str">
        <f ca="1"/>
        <v/>
      </c>
      <c r="AC135" s="180" t="str">
        <f ca="1"/>
        <v/>
      </c>
      <c r="AD135" s="180" t="str">
        <f ca="1"/>
        <v/>
      </c>
      <c r="AE135" s="180" t="str">
        <f ca="1"/>
        <v/>
      </c>
      <c r="AF135" s="180" t="str">
        <f ca="1"/>
        <v/>
      </c>
      <c r="AG135" s="180" t="str">
        <f ca="1"/>
        <v/>
      </c>
      <c r="AH135" s="180" t="str">
        <f ca="1"/>
        <v/>
      </c>
      <c r="AI135" s="180" t="str">
        <f ca="1"/>
        <v/>
      </c>
      <c r="AJ135" s="180" t="str">
        <f ca="1"/>
        <v/>
      </c>
      <c r="AK135" s="180" t="str">
        <f ca="1"/>
        <v/>
      </c>
      <c r="AL135" s="180" t="str">
        <f ca="1"/>
        <v/>
      </c>
      <c r="AM135" s="180" t="str">
        <f ca="1"/>
        <v/>
      </c>
      <c r="AN135" s="180" t="str">
        <f ca="1"/>
        <v/>
      </c>
      <c r="AO135" s="180" t="str">
        <f ca="1"/>
        <v/>
      </c>
      <c r="AP135" s="180" t="str">
        <f ca="1"/>
        <v/>
      </c>
      <c r="AQ135" s="187" t="str">
        <f ca="1"/>
        <v/>
      </c>
    </row>
    <row r="136" spans="2:43" x14ac:dyDescent="0.25">
      <c r="B136" s="179" t="str">
        <f ca="1"/>
        <v/>
      </c>
      <c r="C136" s="180" t="str">
        <f ca="1"/>
        <v/>
      </c>
      <c r="D136" s="180" t="str">
        <f ca="1"/>
        <v/>
      </c>
      <c r="E136" s="180" t="str">
        <f ca="1"/>
        <v/>
      </c>
      <c r="F136" s="180" t="str">
        <f ca="1"/>
        <v/>
      </c>
      <c r="G136" s="180" t="str">
        <f ca="1"/>
        <v/>
      </c>
      <c r="H136" s="180" t="str">
        <f ca="1"/>
        <v/>
      </c>
      <c r="I136" s="180" t="str">
        <f ca="1"/>
        <v/>
      </c>
      <c r="J136" s="180" t="str">
        <f ca="1"/>
        <v/>
      </c>
      <c r="K136" s="180" t="str">
        <f ca="1"/>
        <v/>
      </c>
      <c r="L136" s="180" t="str">
        <f ca="1"/>
        <v/>
      </c>
      <c r="M136" s="180" t="str">
        <f ca="1"/>
        <v/>
      </c>
      <c r="N136" s="180" t="str">
        <f ca="1"/>
        <v/>
      </c>
      <c r="O136" s="180" t="str">
        <f ca="1"/>
        <v/>
      </c>
      <c r="P136" s="180" t="str">
        <f ca="1"/>
        <v/>
      </c>
      <c r="Q136" s="180" t="str">
        <f ca="1"/>
        <v/>
      </c>
      <c r="R136" s="180" t="str">
        <f ca="1"/>
        <v/>
      </c>
      <c r="S136" s="180" t="str">
        <f ca="1"/>
        <v/>
      </c>
      <c r="T136" s="180" t="str">
        <f ca="1"/>
        <v/>
      </c>
      <c r="U136" s="180" t="str">
        <f ca="1"/>
        <v/>
      </c>
      <c r="V136" s="180" t="str">
        <f ca="1"/>
        <v/>
      </c>
      <c r="W136" s="180" t="str">
        <f ca="1"/>
        <v/>
      </c>
      <c r="X136" s="180" t="str">
        <f ca="1"/>
        <v/>
      </c>
      <c r="Y136" s="180" t="str">
        <f ca="1"/>
        <v/>
      </c>
      <c r="Z136" s="180" t="str">
        <f ca="1"/>
        <v/>
      </c>
      <c r="AA136" s="180" t="str">
        <f ca="1"/>
        <v/>
      </c>
      <c r="AB136" s="180" t="str">
        <f ca="1"/>
        <v/>
      </c>
      <c r="AC136" s="180" t="str">
        <f ca="1"/>
        <v/>
      </c>
      <c r="AD136" s="180" t="str">
        <f ca="1"/>
        <v/>
      </c>
      <c r="AE136" s="180" t="str">
        <f ca="1"/>
        <v/>
      </c>
      <c r="AF136" s="180" t="str">
        <f ca="1"/>
        <v/>
      </c>
      <c r="AG136" s="180" t="str">
        <f ca="1"/>
        <v/>
      </c>
      <c r="AH136" s="180" t="str">
        <f ca="1"/>
        <v/>
      </c>
      <c r="AI136" s="180" t="str">
        <f ca="1"/>
        <v/>
      </c>
      <c r="AJ136" s="180" t="str">
        <f ca="1"/>
        <v/>
      </c>
      <c r="AK136" s="180" t="str">
        <f ca="1"/>
        <v/>
      </c>
      <c r="AL136" s="180" t="str">
        <f ca="1"/>
        <v/>
      </c>
      <c r="AM136" s="180" t="str">
        <f ca="1"/>
        <v/>
      </c>
      <c r="AN136" s="180" t="str">
        <f ca="1"/>
        <v/>
      </c>
      <c r="AO136" s="180" t="str">
        <f ca="1"/>
        <v/>
      </c>
      <c r="AP136" s="180" t="str">
        <f ca="1"/>
        <v/>
      </c>
      <c r="AQ136" s="187" t="str">
        <f ca="1"/>
        <v/>
      </c>
    </row>
    <row r="137" spans="2:43" x14ac:dyDescent="0.25">
      <c r="B137" s="179" t="str">
        <f ca="1"/>
        <v/>
      </c>
      <c r="C137" s="180" t="str">
        <f ca="1"/>
        <v/>
      </c>
      <c r="D137" s="180" t="str">
        <f ca="1"/>
        <v/>
      </c>
      <c r="E137" s="180" t="str">
        <f ca="1"/>
        <v/>
      </c>
      <c r="F137" s="180" t="str">
        <f ca="1"/>
        <v/>
      </c>
      <c r="G137" s="180" t="str">
        <f ca="1"/>
        <v/>
      </c>
      <c r="H137" s="180" t="str">
        <f ca="1"/>
        <v/>
      </c>
      <c r="I137" s="180" t="str">
        <f ca="1"/>
        <v/>
      </c>
      <c r="J137" s="180" t="str">
        <f ca="1"/>
        <v/>
      </c>
      <c r="K137" s="180" t="str">
        <f ca="1"/>
        <v/>
      </c>
      <c r="L137" s="180" t="str">
        <f ca="1"/>
        <v/>
      </c>
      <c r="M137" s="180" t="str">
        <f ca="1"/>
        <v/>
      </c>
      <c r="N137" s="180" t="str">
        <f ca="1"/>
        <v/>
      </c>
      <c r="O137" s="180" t="str">
        <f ca="1"/>
        <v/>
      </c>
      <c r="P137" s="180" t="str">
        <f ca="1"/>
        <v/>
      </c>
      <c r="Q137" s="180" t="str">
        <f ca="1"/>
        <v/>
      </c>
      <c r="R137" s="180" t="str">
        <f ca="1"/>
        <v/>
      </c>
      <c r="S137" s="180" t="str">
        <f ca="1"/>
        <v/>
      </c>
      <c r="T137" s="180" t="str">
        <f ca="1"/>
        <v/>
      </c>
      <c r="U137" s="180" t="str">
        <f ca="1"/>
        <v/>
      </c>
      <c r="V137" s="180" t="str">
        <f ca="1"/>
        <v/>
      </c>
      <c r="W137" s="180" t="str">
        <f ca="1"/>
        <v/>
      </c>
      <c r="X137" s="180" t="str">
        <f ca="1"/>
        <v/>
      </c>
      <c r="Y137" s="180" t="str">
        <f ca="1"/>
        <v/>
      </c>
      <c r="Z137" s="180" t="str">
        <f ca="1"/>
        <v/>
      </c>
      <c r="AA137" s="180" t="str">
        <f ca="1"/>
        <v/>
      </c>
      <c r="AB137" s="180" t="str">
        <f ca="1"/>
        <v/>
      </c>
      <c r="AC137" s="180" t="str">
        <f ca="1"/>
        <v/>
      </c>
      <c r="AD137" s="180" t="str">
        <f ca="1"/>
        <v/>
      </c>
      <c r="AE137" s="180" t="str">
        <f ca="1"/>
        <v/>
      </c>
      <c r="AF137" s="180" t="str">
        <f ca="1"/>
        <v/>
      </c>
      <c r="AG137" s="180" t="str">
        <f ca="1"/>
        <v/>
      </c>
      <c r="AH137" s="180" t="str">
        <f ca="1"/>
        <v/>
      </c>
      <c r="AI137" s="180" t="str">
        <f ca="1"/>
        <v/>
      </c>
      <c r="AJ137" s="180" t="str">
        <f ca="1"/>
        <v/>
      </c>
      <c r="AK137" s="180" t="str">
        <f ca="1"/>
        <v/>
      </c>
      <c r="AL137" s="180" t="str">
        <f ca="1"/>
        <v/>
      </c>
      <c r="AM137" s="180" t="str">
        <f ca="1"/>
        <v/>
      </c>
      <c r="AN137" s="180" t="str">
        <f ca="1"/>
        <v/>
      </c>
      <c r="AO137" s="180" t="str">
        <f ca="1"/>
        <v/>
      </c>
      <c r="AP137" s="180" t="str">
        <f ca="1"/>
        <v/>
      </c>
      <c r="AQ137" s="187" t="str">
        <f ca="1"/>
        <v/>
      </c>
    </row>
    <row r="138" spans="2:43" x14ac:dyDescent="0.25">
      <c r="B138" s="179" t="str">
        <f ca="1"/>
        <v/>
      </c>
      <c r="C138" s="180" t="str">
        <f ca="1"/>
        <v/>
      </c>
      <c r="D138" s="180" t="str">
        <f ca="1"/>
        <v/>
      </c>
      <c r="E138" s="180" t="str">
        <f ca="1"/>
        <v/>
      </c>
      <c r="F138" s="180" t="str">
        <f ca="1"/>
        <v/>
      </c>
      <c r="G138" s="180" t="str">
        <f ca="1"/>
        <v/>
      </c>
      <c r="H138" s="180" t="str">
        <f ca="1"/>
        <v/>
      </c>
      <c r="I138" s="180" t="str">
        <f ca="1"/>
        <v/>
      </c>
      <c r="J138" s="180" t="str">
        <f ca="1"/>
        <v/>
      </c>
      <c r="K138" s="180" t="str">
        <f ca="1"/>
        <v/>
      </c>
      <c r="L138" s="180" t="str">
        <f ca="1"/>
        <v/>
      </c>
      <c r="M138" s="180" t="str">
        <f ca="1"/>
        <v/>
      </c>
      <c r="N138" s="180" t="str">
        <f ca="1"/>
        <v/>
      </c>
      <c r="O138" s="180" t="str">
        <f ca="1"/>
        <v/>
      </c>
      <c r="P138" s="180" t="str">
        <f ca="1"/>
        <v/>
      </c>
      <c r="Q138" s="180" t="str">
        <f ca="1"/>
        <v/>
      </c>
      <c r="R138" s="180" t="str">
        <f ca="1"/>
        <v/>
      </c>
      <c r="S138" s="180" t="str">
        <f ca="1"/>
        <v/>
      </c>
      <c r="T138" s="180" t="str">
        <f ca="1"/>
        <v/>
      </c>
      <c r="U138" s="180" t="str">
        <f ca="1"/>
        <v/>
      </c>
      <c r="V138" s="180" t="str">
        <f ca="1"/>
        <v/>
      </c>
      <c r="W138" s="180" t="str">
        <f ca="1"/>
        <v/>
      </c>
      <c r="X138" s="180" t="str">
        <f ca="1"/>
        <v/>
      </c>
      <c r="Y138" s="180" t="str">
        <f ca="1"/>
        <v/>
      </c>
      <c r="Z138" s="180" t="str">
        <f ca="1"/>
        <v/>
      </c>
      <c r="AA138" s="180" t="str">
        <f ca="1"/>
        <v/>
      </c>
      <c r="AB138" s="180" t="str">
        <f ca="1"/>
        <v/>
      </c>
      <c r="AC138" s="180" t="str">
        <f ca="1"/>
        <v/>
      </c>
      <c r="AD138" s="180" t="str">
        <f ca="1"/>
        <v/>
      </c>
      <c r="AE138" s="180" t="str">
        <f ca="1"/>
        <v/>
      </c>
      <c r="AF138" s="180" t="str">
        <f ca="1"/>
        <v/>
      </c>
      <c r="AG138" s="180" t="str">
        <f ca="1"/>
        <v/>
      </c>
      <c r="AH138" s="180" t="str">
        <f ca="1"/>
        <v/>
      </c>
      <c r="AI138" s="180" t="str">
        <f ca="1"/>
        <v/>
      </c>
      <c r="AJ138" s="180" t="str">
        <f ca="1"/>
        <v/>
      </c>
      <c r="AK138" s="180" t="str">
        <f ca="1"/>
        <v/>
      </c>
      <c r="AL138" s="180" t="str">
        <f ca="1"/>
        <v/>
      </c>
      <c r="AM138" s="180" t="str">
        <f ca="1"/>
        <v/>
      </c>
      <c r="AN138" s="180" t="str">
        <f ca="1"/>
        <v/>
      </c>
      <c r="AO138" s="180" t="str">
        <f ca="1"/>
        <v/>
      </c>
      <c r="AP138" s="180" t="str">
        <f ca="1"/>
        <v/>
      </c>
      <c r="AQ138" s="187" t="str">
        <f ca="1"/>
        <v/>
      </c>
    </row>
    <row r="139" spans="2:43" x14ac:dyDescent="0.25">
      <c r="B139" s="179" t="str">
        <f ca="1"/>
        <v/>
      </c>
      <c r="C139" s="180" t="str">
        <f ca="1"/>
        <v/>
      </c>
      <c r="D139" s="180" t="str">
        <f ca="1"/>
        <v/>
      </c>
      <c r="E139" s="180" t="str">
        <f ca="1"/>
        <v/>
      </c>
      <c r="F139" s="180" t="str">
        <f ca="1"/>
        <v/>
      </c>
      <c r="G139" s="180" t="str">
        <f ca="1"/>
        <v/>
      </c>
      <c r="H139" s="180" t="str">
        <f ca="1"/>
        <v/>
      </c>
      <c r="I139" s="180" t="str">
        <f ca="1"/>
        <v/>
      </c>
      <c r="J139" s="180" t="str">
        <f ca="1"/>
        <v/>
      </c>
      <c r="K139" s="180" t="str">
        <f ca="1"/>
        <v/>
      </c>
      <c r="L139" s="180" t="str">
        <f ca="1"/>
        <v/>
      </c>
      <c r="M139" s="180" t="str">
        <f ca="1"/>
        <v/>
      </c>
      <c r="N139" s="180" t="str">
        <f ca="1"/>
        <v/>
      </c>
      <c r="O139" s="180" t="str">
        <f ca="1"/>
        <v/>
      </c>
      <c r="P139" s="180" t="str">
        <f ca="1"/>
        <v/>
      </c>
      <c r="Q139" s="180" t="str">
        <f ca="1"/>
        <v/>
      </c>
      <c r="R139" s="180" t="str">
        <f ca="1"/>
        <v/>
      </c>
      <c r="S139" s="180" t="str">
        <f ca="1"/>
        <v/>
      </c>
      <c r="T139" s="180" t="str">
        <f ca="1"/>
        <v/>
      </c>
      <c r="U139" s="180" t="str">
        <f ca="1"/>
        <v/>
      </c>
      <c r="V139" s="180" t="str">
        <f ca="1"/>
        <v/>
      </c>
      <c r="W139" s="180" t="str">
        <f ca="1"/>
        <v/>
      </c>
      <c r="X139" s="180" t="str">
        <f ca="1"/>
        <v/>
      </c>
      <c r="Y139" s="180" t="str">
        <f ca="1"/>
        <v/>
      </c>
      <c r="Z139" s="180" t="str">
        <f ca="1"/>
        <v/>
      </c>
      <c r="AA139" s="180" t="str">
        <f ca="1"/>
        <v/>
      </c>
      <c r="AB139" s="180" t="str">
        <f ca="1"/>
        <v/>
      </c>
      <c r="AC139" s="180" t="str">
        <f ca="1"/>
        <v/>
      </c>
      <c r="AD139" s="180" t="str">
        <f ca="1"/>
        <v/>
      </c>
      <c r="AE139" s="180" t="str">
        <f ca="1"/>
        <v/>
      </c>
      <c r="AF139" s="180" t="str">
        <f ca="1"/>
        <v/>
      </c>
      <c r="AG139" s="180" t="str">
        <f ca="1"/>
        <v/>
      </c>
      <c r="AH139" s="180" t="str">
        <f ca="1"/>
        <v/>
      </c>
      <c r="AI139" s="180" t="str">
        <f ca="1"/>
        <v/>
      </c>
      <c r="AJ139" s="180" t="str">
        <f ca="1"/>
        <v/>
      </c>
      <c r="AK139" s="180" t="str">
        <f ca="1"/>
        <v/>
      </c>
      <c r="AL139" s="180" t="str">
        <f ca="1"/>
        <v/>
      </c>
      <c r="AM139" s="180" t="str">
        <f ca="1"/>
        <v/>
      </c>
      <c r="AN139" s="180" t="str">
        <f ca="1"/>
        <v/>
      </c>
      <c r="AO139" s="180" t="str">
        <f ca="1"/>
        <v/>
      </c>
      <c r="AP139" s="180" t="str">
        <f ca="1"/>
        <v/>
      </c>
      <c r="AQ139" s="187" t="str">
        <f ca="1"/>
        <v/>
      </c>
    </row>
    <row r="140" spans="2:43" x14ac:dyDescent="0.25">
      <c r="B140" s="179" t="str">
        <f ca="1"/>
        <v/>
      </c>
      <c r="C140" s="180" t="str">
        <f ca="1"/>
        <v/>
      </c>
      <c r="D140" s="180" t="str">
        <f ca="1"/>
        <v/>
      </c>
      <c r="E140" s="180" t="str">
        <f ca="1"/>
        <v/>
      </c>
      <c r="F140" s="180" t="str">
        <f ca="1"/>
        <v/>
      </c>
      <c r="G140" s="180" t="str">
        <f ca="1"/>
        <v/>
      </c>
      <c r="H140" s="180" t="str">
        <f ca="1"/>
        <v/>
      </c>
      <c r="I140" s="180" t="str">
        <f ca="1"/>
        <v/>
      </c>
      <c r="J140" s="180" t="str">
        <f ca="1"/>
        <v/>
      </c>
      <c r="K140" s="180" t="str">
        <f ca="1"/>
        <v/>
      </c>
      <c r="L140" s="180" t="str">
        <f ca="1"/>
        <v/>
      </c>
      <c r="M140" s="180" t="str">
        <f ca="1"/>
        <v/>
      </c>
      <c r="N140" s="180" t="str">
        <f ca="1"/>
        <v/>
      </c>
      <c r="O140" s="180" t="str">
        <f ca="1"/>
        <v/>
      </c>
      <c r="P140" s="180" t="str">
        <f ca="1"/>
        <v/>
      </c>
      <c r="Q140" s="180" t="str">
        <f ca="1"/>
        <v/>
      </c>
      <c r="R140" s="180" t="str">
        <f ca="1"/>
        <v/>
      </c>
      <c r="S140" s="180" t="str">
        <f ca="1"/>
        <v/>
      </c>
      <c r="T140" s="180" t="str">
        <f ca="1"/>
        <v/>
      </c>
      <c r="U140" s="180" t="str">
        <f ca="1"/>
        <v/>
      </c>
      <c r="V140" s="180" t="str">
        <f ca="1"/>
        <v/>
      </c>
      <c r="W140" s="180" t="str">
        <f ca="1"/>
        <v/>
      </c>
      <c r="X140" s="180" t="str">
        <f ca="1"/>
        <v/>
      </c>
      <c r="Y140" s="180" t="str">
        <f ca="1"/>
        <v/>
      </c>
      <c r="Z140" s="180" t="str">
        <f ca="1"/>
        <v/>
      </c>
      <c r="AA140" s="180" t="str">
        <f ca="1"/>
        <v/>
      </c>
      <c r="AB140" s="180" t="str">
        <f ca="1"/>
        <v/>
      </c>
      <c r="AC140" s="180" t="str">
        <f ca="1"/>
        <v/>
      </c>
      <c r="AD140" s="180" t="str">
        <f ca="1"/>
        <v/>
      </c>
      <c r="AE140" s="180" t="str">
        <f ca="1"/>
        <v/>
      </c>
      <c r="AF140" s="180" t="str">
        <f ca="1"/>
        <v/>
      </c>
      <c r="AG140" s="180" t="str">
        <f ca="1"/>
        <v/>
      </c>
      <c r="AH140" s="180" t="str">
        <f ca="1"/>
        <v/>
      </c>
      <c r="AI140" s="180" t="str">
        <f ca="1"/>
        <v/>
      </c>
      <c r="AJ140" s="180" t="str">
        <f ca="1"/>
        <v/>
      </c>
      <c r="AK140" s="180" t="str">
        <f ca="1"/>
        <v/>
      </c>
      <c r="AL140" s="180" t="str">
        <f ca="1"/>
        <v/>
      </c>
      <c r="AM140" s="180" t="str">
        <f ca="1"/>
        <v/>
      </c>
      <c r="AN140" s="180" t="str">
        <f ca="1"/>
        <v/>
      </c>
      <c r="AO140" s="180" t="str">
        <f ca="1"/>
        <v/>
      </c>
      <c r="AP140" s="180" t="str">
        <f ca="1"/>
        <v/>
      </c>
      <c r="AQ140" s="187" t="str">
        <f ca="1"/>
        <v/>
      </c>
    </row>
    <row r="141" spans="2:43" x14ac:dyDescent="0.25">
      <c r="B141" s="179" t="str">
        <f ca="1"/>
        <v/>
      </c>
      <c r="C141" s="180" t="str">
        <f ca="1"/>
        <v/>
      </c>
      <c r="D141" s="180" t="str">
        <f ca="1"/>
        <v/>
      </c>
      <c r="E141" s="180" t="str">
        <f ca="1"/>
        <v/>
      </c>
      <c r="F141" s="180" t="str">
        <f ca="1"/>
        <v/>
      </c>
      <c r="G141" s="180" t="str">
        <f ca="1"/>
        <v/>
      </c>
      <c r="H141" s="180" t="str">
        <f ca="1"/>
        <v/>
      </c>
      <c r="I141" s="180" t="str">
        <f ca="1"/>
        <v/>
      </c>
      <c r="J141" s="180" t="str">
        <f ca="1"/>
        <v/>
      </c>
      <c r="K141" s="180" t="str">
        <f ca="1"/>
        <v/>
      </c>
      <c r="L141" s="180" t="str">
        <f ca="1"/>
        <v/>
      </c>
      <c r="M141" s="180" t="str">
        <f ca="1"/>
        <v/>
      </c>
      <c r="N141" s="180" t="str">
        <f ca="1"/>
        <v/>
      </c>
      <c r="O141" s="180" t="str">
        <f ca="1"/>
        <v/>
      </c>
      <c r="P141" s="180" t="str">
        <f ca="1"/>
        <v/>
      </c>
      <c r="Q141" s="180" t="str">
        <f ca="1"/>
        <v/>
      </c>
      <c r="R141" s="180" t="str">
        <f ca="1"/>
        <v/>
      </c>
      <c r="S141" s="180" t="str">
        <f ca="1"/>
        <v/>
      </c>
      <c r="T141" s="180" t="str">
        <f ca="1"/>
        <v/>
      </c>
      <c r="U141" s="180" t="str">
        <f ca="1"/>
        <v/>
      </c>
      <c r="V141" s="180" t="str">
        <f ca="1"/>
        <v/>
      </c>
      <c r="W141" s="180" t="str">
        <f ca="1"/>
        <v/>
      </c>
      <c r="X141" s="180" t="str">
        <f ca="1"/>
        <v/>
      </c>
      <c r="Y141" s="180" t="str">
        <f ca="1"/>
        <v/>
      </c>
      <c r="Z141" s="180" t="str">
        <f ca="1"/>
        <v/>
      </c>
      <c r="AA141" s="180" t="str">
        <f ca="1"/>
        <v/>
      </c>
      <c r="AB141" s="180" t="str">
        <f ca="1"/>
        <v/>
      </c>
      <c r="AC141" s="180" t="str">
        <f ca="1"/>
        <v/>
      </c>
      <c r="AD141" s="180" t="str">
        <f ca="1"/>
        <v/>
      </c>
      <c r="AE141" s="180" t="str">
        <f ca="1"/>
        <v/>
      </c>
      <c r="AF141" s="180" t="str">
        <f ca="1"/>
        <v/>
      </c>
      <c r="AG141" s="180" t="str">
        <f ca="1"/>
        <v/>
      </c>
      <c r="AH141" s="180" t="str">
        <f ca="1"/>
        <v/>
      </c>
      <c r="AI141" s="180" t="str">
        <f ca="1"/>
        <v/>
      </c>
      <c r="AJ141" s="180" t="str">
        <f ca="1"/>
        <v/>
      </c>
      <c r="AK141" s="180" t="str">
        <f ca="1"/>
        <v/>
      </c>
      <c r="AL141" s="180" t="str">
        <f ca="1"/>
        <v/>
      </c>
      <c r="AM141" s="180" t="str">
        <f ca="1"/>
        <v/>
      </c>
      <c r="AN141" s="180" t="str">
        <f ca="1"/>
        <v/>
      </c>
      <c r="AO141" s="180" t="str">
        <f ca="1"/>
        <v/>
      </c>
      <c r="AP141" s="180" t="str">
        <f ca="1"/>
        <v/>
      </c>
      <c r="AQ141" s="187" t="str">
        <f ca="1"/>
        <v/>
      </c>
    </row>
    <row r="142" spans="2:43" x14ac:dyDescent="0.25">
      <c r="B142" s="179" t="str">
        <f ca="1"/>
        <v/>
      </c>
      <c r="C142" s="180" t="str">
        <f ca="1"/>
        <v/>
      </c>
      <c r="D142" s="180" t="str">
        <f ca="1"/>
        <v/>
      </c>
      <c r="E142" s="180" t="str">
        <f ca="1"/>
        <v/>
      </c>
      <c r="F142" s="180" t="str">
        <f ca="1"/>
        <v/>
      </c>
      <c r="G142" s="180" t="str">
        <f ca="1"/>
        <v/>
      </c>
      <c r="H142" s="180" t="str">
        <f ca="1"/>
        <v/>
      </c>
      <c r="I142" s="180" t="str">
        <f ca="1"/>
        <v/>
      </c>
      <c r="J142" s="180" t="str">
        <f ca="1"/>
        <v/>
      </c>
      <c r="K142" s="180" t="str">
        <f ca="1"/>
        <v/>
      </c>
      <c r="L142" s="180" t="str">
        <f ca="1"/>
        <v/>
      </c>
      <c r="M142" s="180" t="str">
        <f ca="1"/>
        <v/>
      </c>
      <c r="N142" s="180" t="str">
        <f ca="1"/>
        <v/>
      </c>
      <c r="O142" s="180" t="str">
        <f ca="1"/>
        <v/>
      </c>
      <c r="P142" s="180" t="str">
        <f ca="1"/>
        <v/>
      </c>
      <c r="Q142" s="180" t="str">
        <f ca="1"/>
        <v/>
      </c>
      <c r="R142" s="180" t="str">
        <f ca="1"/>
        <v/>
      </c>
      <c r="S142" s="180" t="str">
        <f ca="1"/>
        <v/>
      </c>
      <c r="T142" s="180" t="str">
        <f ca="1"/>
        <v/>
      </c>
      <c r="U142" s="180" t="str">
        <f ca="1"/>
        <v/>
      </c>
      <c r="V142" s="180" t="str">
        <f ca="1"/>
        <v/>
      </c>
      <c r="W142" s="180" t="str">
        <f ca="1"/>
        <v/>
      </c>
      <c r="X142" s="180" t="str">
        <f ca="1"/>
        <v/>
      </c>
      <c r="Y142" s="180" t="str">
        <f ca="1"/>
        <v/>
      </c>
      <c r="Z142" s="180" t="str">
        <f ca="1"/>
        <v/>
      </c>
      <c r="AA142" s="180" t="str">
        <f ca="1"/>
        <v/>
      </c>
      <c r="AB142" s="180" t="str">
        <f ca="1"/>
        <v/>
      </c>
      <c r="AC142" s="180" t="str">
        <f ca="1"/>
        <v/>
      </c>
      <c r="AD142" s="180" t="str">
        <f ca="1"/>
        <v/>
      </c>
      <c r="AE142" s="180" t="str">
        <f ca="1"/>
        <v/>
      </c>
      <c r="AF142" s="180" t="str">
        <f ca="1"/>
        <v/>
      </c>
      <c r="AG142" s="180" t="str">
        <f ca="1"/>
        <v/>
      </c>
      <c r="AH142" s="180" t="str">
        <f ca="1"/>
        <v/>
      </c>
      <c r="AI142" s="180" t="str">
        <f ca="1"/>
        <v/>
      </c>
      <c r="AJ142" s="180" t="str">
        <f ca="1"/>
        <v/>
      </c>
      <c r="AK142" s="180" t="str">
        <f ca="1"/>
        <v/>
      </c>
      <c r="AL142" s="180" t="str">
        <f ca="1"/>
        <v/>
      </c>
      <c r="AM142" s="180" t="str">
        <f ca="1"/>
        <v/>
      </c>
      <c r="AN142" s="180" t="str">
        <f ca="1"/>
        <v/>
      </c>
      <c r="AO142" s="180" t="str">
        <f ca="1"/>
        <v/>
      </c>
      <c r="AP142" s="180" t="str">
        <f ca="1"/>
        <v/>
      </c>
      <c r="AQ142" s="187" t="str">
        <f ca="1"/>
        <v/>
      </c>
    </row>
    <row r="143" spans="2:43" x14ac:dyDescent="0.25">
      <c r="B143" s="179" t="str">
        <f ca="1"/>
        <v/>
      </c>
      <c r="C143" s="180" t="str">
        <f ca="1"/>
        <v/>
      </c>
      <c r="D143" s="180" t="str">
        <f ca="1"/>
        <v/>
      </c>
      <c r="E143" s="180" t="str">
        <f ca="1"/>
        <v/>
      </c>
      <c r="F143" s="180" t="str">
        <f ca="1"/>
        <v/>
      </c>
      <c r="G143" s="180" t="str">
        <f ca="1"/>
        <v/>
      </c>
      <c r="H143" s="180" t="str">
        <f ca="1"/>
        <v/>
      </c>
      <c r="I143" s="180" t="str">
        <f ca="1"/>
        <v/>
      </c>
      <c r="J143" s="180" t="str">
        <f ca="1"/>
        <v/>
      </c>
      <c r="K143" s="180" t="str">
        <f ca="1"/>
        <v/>
      </c>
      <c r="L143" s="180" t="str">
        <f ca="1"/>
        <v/>
      </c>
      <c r="M143" s="180" t="str">
        <f ca="1"/>
        <v/>
      </c>
      <c r="N143" s="180" t="str">
        <f ca="1"/>
        <v/>
      </c>
      <c r="O143" s="180" t="str">
        <f ca="1"/>
        <v/>
      </c>
      <c r="P143" s="180" t="str">
        <f ca="1"/>
        <v/>
      </c>
      <c r="Q143" s="180" t="str">
        <f ca="1"/>
        <v/>
      </c>
      <c r="R143" s="180" t="str">
        <f ca="1"/>
        <v/>
      </c>
      <c r="S143" s="180" t="str">
        <f ca="1"/>
        <v/>
      </c>
      <c r="T143" s="180" t="str">
        <f ca="1"/>
        <v/>
      </c>
      <c r="U143" s="180" t="str">
        <f ca="1"/>
        <v/>
      </c>
      <c r="V143" s="180" t="str">
        <f ca="1"/>
        <v/>
      </c>
      <c r="W143" s="180" t="str">
        <f ca="1"/>
        <v/>
      </c>
      <c r="X143" s="180" t="str">
        <f ca="1"/>
        <v/>
      </c>
      <c r="Y143" s="180" t="str">
        <f ca="1"/>
        <v/>
      </c>
      <c r="Z143" s="180" t="str">
        <f ca="1"/>
        <v/>
      </c>
      <c r="AA143" s="180" t="str">
        <f ca="1"/>
        <v/>
      </c>
      <c r="AB143" s="180" t="str">
        <f ca="1"/>
        <v/>
      </c>
      <c r="AC143" s="180" t="str">
        <f ca="1"/>
        <v/>
      </c>
      <c r="AD143" s="180" t="str">
        <f ca="1"/>
        <v/>
      </c>
      <c r="AE143" s="180" t="str">
        <f ca="1"/>
        <v/>
      </c>
      <c r="AF143" s="180" t="str">
        <f ca="1"/>
        <v/>
      </c>
      <c r="AG143" s="180" t="str">
        <f ca="1"/>
        <v/>
      </c>
      <c r="AH143" s="180" t="str">
        <f ca="1"/>
        <v/>
      </c>
      <c r="AI143" s="180" t="str">
        <f ca="1"/>
        <v/>
      </c>
      <c r="AJ143" s="180" t="str">
        <f ca="1"/>
        <v/>
      </c>
      <c r="AK143" s="180" t="str">
        <f ca="1"/>
        <v/>
      </c>
      <c r="AL143" s="180" t="str">
        <f ca="1"/>
        <v/>
      </c>
      <c r="AM143" s="180" t="str">
        <f ca="1"/>
        <v/>
      </c>
      <c r="AN143" s="180" t="str">
        <f ca="1"/>
        <v/>
      </c>
      <c r="AO143" s="180" t="str">
        <f ca="1"/>
        <v/>
      </c>
      <c r="AP143" s="180" t="str">
        <f ca="1"/>
        <v/>
      </c>
      <c r="AQ143" s="187" t="str">
        <f ca="1"/>
        <v/>
      </c>
    </row>
    <row r="144" spans="2:43" x14ac:dyDescent="0.25">
      <c r="B144" s="179" t="str">
        <f ca="1"/>
        <v/>
      </c>
      <c r="C144" s="180" t="str">
        <f ca="1"/>
        <v/>
      </c>
      <c r="D144" s="180" t="str">
        <f ca="1"/>
        <v/>
      </c>
      <c r="E144" s="180" t="str">
        <f ca="1"/>
        <v/>
      </c>
      <c r="F144" s="180" t="str">
        <f ca="1"/>
        <v/>
      </c>
      <c r="G144" s="180" t="str">
        <f ca="1"/>
        <v/>
      </c>
      <c r="H144" s="180" t="str">
        <f ca="1"/>
        <v/>
      </c>
      <c r="I144" s="180" t="str">
        <f ca="1"/>
        <v/>
      </c>
      <c r="J144" s="180" t="str">
        <f ca="1"/>
        <v/>
      </c>
      <c r="K144" s="180" t="str">
        <f ca="1"/>
        <v/>
      </c>
      <c r="L144" s="180" t="str">
        <f ca="1"/>
        <v/>
      </c>
      <c r="M144" s="180" t="str">
        <f ca="1"/>
        <v/>
      </c>
      <c r="N144" s="180" t="str">
        <f ca="1"/>
        <v/>
      </c>
      <c r="O144" s="180" t="str">
        <f ca="1"/>
        <v/>
      </c>
      <c r="P144" s="180" t="str">
        <f ca="1"/>
        <v/>
      </c>
      <c r="Q144" s="180" t="str">
        <f ca="1"/>
        <v/>
      </c>
      <c r="R144" s="180" t="str">
        <f ca="1"/>
        <v/>
      </c>
      <c r="S144" s="180" t="str">
        <f ca="1"/>
        <v/>
      </c>
      <c r="T144" s="180" t="str">
        <f ca="1"/>
        <v/>
      </c>
      <c r="U144" s="180" t="str">
        <f ca="1"/>
        <v/>
      </c>
      <c r="V144" s="180" t="str">
        <f ca="1"/>
        <v/>
      </c>
      <c r="W144" s="180" t="str">
        <f ca="1"/>
        <v/>
      </c>
      <c r="X144" s="180" t="str">
        <f ca="1"/>
        <v/>
      </c>
      <c r="Y144" s="180" t="str">
        <f ca="1"/>
        <v/>
      </c>
      <c r="Z144" s="180" t="str">
        <f ca="1"/>
        <v/>
      </c>
      <c r="AA144" s="180" t="str">
        <f ca="1"/>
        <v/>
      </c>
      <c r="AB144" s="180" t="str">
        <f ca="1"/>
        <v/>
      </c>
      <c r="AC144" s="180" t="str">
        <f ca="1"/>
        <v/>
      </c>
      <c r="AD144" s="180" t="str">
        <f ca="1"/>
        <v/>
      </c>
      <c r="AE144" s="180" t="str">
        <f ca="1"/>
        <v/>
      </c>
      <c r="AF144" s="180" t="str">
        <f ca="1"/>
        <v/>
      </c>
      <c r="AG144" s="180" t="str">
        <f ca="1"/>
        <v/>
      </c>
      <c r="AH144" s="180" t="str">
        <f ca="1"/>
        <v/>
      </c>
      <c r="AI144" s="180" t="str">
        <f ca="1"/>
        <v/>
      </c>
      <c r="AJ144" s="180" t="str">
        <f ca="1"/>
        <v/>
      </c>
      <c r="AK144" s="180" t="str">
        <f ca="1"/>
        <v/>
      </c>
      <c r="AL144" s="180" t="str">
        <f ca="1"/>
        <v/>
      </c>
      <c r="AM144" s="180" t="str">
        <f ca="1"/>
        <v/>
      </c>
      <c r="AN144" s="180" t="str">
        <f ca="1"/>
        <v/>
      </c>
      <c r="AO144" s="180" t="str">
        <f ca="1"/>
        <v/>
      </c>
      <c r="AP144" s="180" t="str">
        <f ca="1"/>
        <v/>
      </c>
      <c r="AQ144" s="187" t="str">
        <f ca="1"/>
        <v/>
      </c>
    </row>
    <row r="145" spans="2:43" x14ac:dyDescent="0.25">
      <c r="B145" s="179" t="str">
        <f ca="1"/>
        <v/>
      </c>
      <c r="C145" s="180" t="str">
        <f ca="1"/>
        <v/>
      </c>
      <c r="D145" s="180" t="str">
        <f ca="1"/>
        <v/>
      </c>
      <c r="E145" s="180" t="str">
        <f ca="1"/>
        <v/>
      </c>
      <c r="F145" s="180" t="str">
        <f ca="1"/>
        <v/>
      </c>
      <c r="G145" s="180" t="str">
        <f ca="1"/>
        <v/>
      </c>
      <c r="H145" s="180" t="str">
        <f ca="1"/>
        <v/>
      </c>
      <c r="I145" s="180" t="str">
        <f ca="1"/>
        <v/>
      </c>
      <c r="J145" s="180" t="str">
        <f ca="1"/>
        <v/>
      </c>
      <c r="K145" s="180" t="str">
        <f ca="1"/>
        <v/>
      </c>
      <c r="L145" s="180" t="str">
        <f ca="1"/>
        <v/>
      </c>
      <c r="M145" s="180" t="str">
        <f ca="1"/>
        <v/>
      </c>
      <c r="N145" s="180" t="str">
        <f ca="1"/>
        <v/>
      </c>
      <c r="O145" s="180" t="str">
        <f ca="1"/>
        <v/>
      </c>
      <c r="P145" s="180" t="str">
        <f ca="1"/>
        <v/>
      </c>
      <c r="Q145" s="180" t="str">
        <f ca="1"/>
        <v/>
      </c>
      <c r="R145" s="180" t="str">
        <f ca="1"/>
        <v/>
      </c>
      <c r="S145" s="180" t="str">
        <f ca="1"/>
        <v/>
      </c>
      <c r="T145" s="180" t="str">
        <f ca="1"/>
        <v/>
      </c>
      <c r="U145" s="180" t="str">
        <f ca="1"/>
        <v/>
      </c>
      <c r="V145" s="180" t="str">
        <f ca="1"/>
        <v/>
      </c>
      <c r="W145" s="180" t="str">
        <f ca="1"/>
        <v/>
      </c>
      <c r="X145" s="180" t="str">
        <f ca="1"/>
        <v/>
      </c>
      <c r="Y145" s="180" t="str">
        <f ca="1"/>
        <v/>
      </c>
      <c r="Z145" s="180" t="str">
        <f ca="1"/>
        <v/>
      </c>
      <c r="AA145" s="180" t="str">
        <f ca="1"/>
        <v/>
      </c>
      <c r="AB145" s="180" t="str">
        <f ca="1"/>
        <v/>
      </c>
      <c r="AC145" s="180" t="str">
        <f ca="1"/>
        <v/>
      </c>
      <c r="AD145" s="180" t="str">
        <f ca="1"/>
        <v/>
      </c>
      <c r="AE145" s="180" t="str">
        <f ca="1"/>
        <v/>
      </c>
      <c r="AF145" s="180" t="str">
        <f ca="1"/>
        <v/>
      </c>
      <c r="AG145" s="180" t="str">
        <f ca="1"/>
        <v/>
      </c>
      <c r="AH145" s="180" t="str">
        <f ca="1"/>
        <v/>
      </c>
      <c r="AI145" s="180" t="str">
        <f ca="1"/>
        <v/>
      </c>
      <c r="AJ145" s="180" t="str">
        <f ca="1"/>
        <v/>
      </c>
      <c r="AK145" s="180" t="str">
        <f ca="1"/>
        <v/>
      </c>
      <c r="AL145" s="180" t="str">
        <f ca="1"/>
        <v/>
      </c>
      <c r="AM145" s="180" t="str">
        <f ca="1"/>
        <v/>
      </c>
      <c r="AN145" s="180" t="str">
        <f ca="1"/>
        <v/>
      </c>
      <c r="AO145" s="180" t="str">
        <f ca="1"/>
        <v/>
      </c>
      <c r="AP145" s="180" t="str">
        <f ca="1"/>
        <v/>
      </c>
      <c r="AQ145" s="187" t="str">
        <f ca="1"/>
        <v/>
      </c>
    </row>
    <row r="146" spans="2:43" x14ac:dyDescent="0.25">
      <c r="B146" s="179" t="str">
        <f ca="1"/>
        <v/>
      </c>
      <c r="C146" s="180" t="str">
        <f ca="1"/>
        <v/>
      </c>
      <c r="D146" s="180" t="str">
        <f ca="1"/>
        <v/>
      </c>
      <c r="E146" s="180" t="str">
        <f ca="1"/>
        <v/>
      </c>
      <c r="F146" s="180" t="str">
        <f ca="1"/>
        <v/>
      </c>
      <c r="G146" s="180" t="str">
        <f ca="1"/>
        <v/>
      </c>
      <c r="H146" s="180" t="str">
        <f ca="1"/>
        <v/>
      </c>
      <c r="I146" s="180" t="str">
        <f ca="1"/>
        <v/>
      </c>
      <c r="J146" s="180" t="str">
        <f ca="1"/>
        <v/>
      </c>
      <c r="K146" s="180" t="str">
        <f ca="1"/>
        <v/>
      </c>
      <c r="L146" s="180" t="str">
        <f ca="1"/>
        <v/>
      </c>
      <c r="M146" s="180" t="str">
        <f ca="1"/>
        <v/>
      </c>
      <c r="N146" s="180" t="str">
        <f ca="1"/>
        <v/>
      </c>
      <c r="O146" s="180" t="str">
        <f ca="1"/>
        <v/>
      </c>
      <c r="P146" s="180" t="str">
        <f ca="1"/>
        <v/>
      </c>
      <c r="Q146" s="180" t="str">
        <f ca="1"/>
        <v/>
      </c>
      <c r="R146" s="180" t="str">
        <f ca="1"/>
        <v/>
      </c>
      <c r="S146" s="180" t="str">
        <f ca="1"/>
        <v/>
      </c>
      <c r="T146" s="180" t="str">
        <f ca="1"/>
        <v/>
      </c>
      <c r="U146" s="180" t="str">
        <f ca="1"/>
        <v/>
      </c>
      <c r="V146" s="180" t="str">
        <f ca="1"/>
        <v/>
      </c>
      <c r="W146" s="180" t="str">
        <f ca="1"/>
        <v/>
      </c>
      <c r="X146" s="180" t="str">
        <f ca="1"/>
        <v/>
      </c>
      <c r="Y146" s="180" t="str">
        <f ca="1"/>
        <v/>
      </c>
      <c r="Z146" s="180" t="str">
        <f ca="1"/>
        <v/>
      </c>
      <c r="AA146" s="180" t="str">
        <f ca="1"/>
        <v/>
      </c>
      <c r="AB146" s="180" t="str">
        <f ca="1"/>
        <v/>
      </c>
      <c r="AC146" s="180" t="str">
        <f ca="1"/>
        <v/>
      </c>
      <c r="AD146" s="180" t="str">
        <f ca="1"/>
        <v/>
      </c>
      <c r="AE146" s="180" t="str">
        <f ca="1"/>
        <v/>
      </c>
      <c r="AF146" s="180" t="str">
        <f ca="1"/>
        <v/>
      </c>
      <c r="AG146" s="180" t="str">
        <f ca="1"/>
        <v/>
      </c>
      <c r="AH146" s="180" t="str">
        <f ca="1"/>
        <v/>
      </c>
      <c r="AI146" s="180" t="str">
        <f ca="1"/>
        <v/>
      </c>
      <c r="AJ146" s="180" t="str">
        <f ca="1"/>
        <v/>
      </c>
      <c r="AK146" s="180" t="str">
        <f ca="1"/>
        <v/>
      </c>
      <c r="AL146" s="180" t="str">
        <f ca="1"/>
        <v/>
      </c>
      <c r="AM146" s="180" t="str">
        <f ca="1"/>
        <v/>
      </c>
      <c r="AN146" s="180" t="str">
        <f ca="1"/>
        <v/>
      </c>
      <c r="AO146" s="180" t="str">
        <f ca="1"/>
        <v/>
      </c>
      <c r="AP146" s="180" t="str">
        <f ca="1"/>
        <v/>
      </c>
      <c r="AQ146" s="187" t="str">
        <f ca="1"/>
        <v/>
      </c>
    </row>
    <row r="147" spans="2:43" x14ac:dyDescent="0.25">
      <c r="B147" s="179" t="str">
        <f ca="1"/>
        <v/>
      </c>
      <c r="C147" s="180" t="str">
        <f ca="1"/>
        <v/>
      </c>
      <c r="D147" s="180" t="str">
        <f ca="1"/>
        <v/>
      </c>
      <c r="E147" s="180" t="str">
        <f ca="1"/>
        <v/>
      </c>
      <c r="F147" s="180" t="str">
        <f ca="1"/>
        <v/>
      </c>
      <c r="G147" s="180" t="str">
        <f ca="1"/>
        <v/>
      </c>
      <c r="H147" s="180" t="str">
        <f ca="1"/>
        <v/>
      </c>
      <c r="I147" s="180" t="str">
        <f ca="1"/>
        <v/>
      </c>
      <c r="J147" s="180" t="str">
        <f ca="1"/>
        <v/>
      </c>
      <c r="K147" s="180" t="str">
        <f ca="1"/>
        <v/>
      </c>
      <c r="L147" s="180" t="str">
        <f ca="1"/>
        <v/>
      </c>
      <c r="M147" s="180" t="str">
        <f ca="1"/>
        <v/>
      </c>
      <c r="N147" s="180" t="str">
        <f ca="1"/>
        <v/>
      </c>
      <c r="O147" s="180" t="str">
        <f ca="1"/>
        <v/>
      </c>
      <c r="P147" s="180" t="str">
        <f ca="1"/>
        <v/>
      </c>
      <c r="Q147" s="180" t="str">
        <f ca="1"/>
        <v/>
      </c>
      <c r="R147" s="180" t="str">
        <f ca="1"/>
        <v/>
      </c>
      <c r="S147" s="180" t="str">
        <f ca="1"/>
        <v/>
      </c>
      <c r="T147" s="180" t="str">
        <f ca="1"/>
        <v/>
      </c>
      <c r="U147" s="180" t="str">
        <f ca="1"/>
        <v/>
      </c>
      <c r="V147" s="180" t="str">
        <f ca="1"/>
        <v/>
      </c>
      <c r="W147" s="180" t="str">
        <f ca="1"/>
        <v/>
      </c>
      <c r="X147" s="180" t="str">
        <f ca="1"/>
        <v/>
      </c>
      <c r="Y147" s="180" t="str">
        <f ca="1"/>
        <v/>
      </c>
      <c r="Z147" s="180" t="str">
        <f ca="1"/>
        <v/>
      </c>
      <c r="AA147" s="180" t="str">
        <f ca="1"/>
        <v/>
      </c>
      <c r="AB147" s="180" t="str">
        <f ca="1"/>
        <v/>
      </c>
      <c r="AC147" s="180" t="str">
        <f ca="1"/>
        <v/>
      </c>
      <c r="AD147" s="180" t="str">
        <f ca="1"/>
        <v/>
      </c>
      <c r="AE147" s="180" t="str">
        <f ca="1"/>
        <v/>
      </c>
      <c r="AF147" s="180" t="str">
        <f ca="1"/>
        <v/>
      </c>
      <c r="AG147" s="180" t="str">
        <f ca="1"/>
        <v/>
      </c>
      <c r="AH147" s="180" t="str">
        <f ca="1"/>
        <v/>
      </c>
      <c r="AI147" s="180" t="str">
        <f ca="1"/>
        <v/>
      </c>
      <c r="AJ147" s="180" t="str">
        <f ca="1"/>
        <v/>
      </c>
      <c r="AK147" s="180" t="str">
        <f ca="1"/>
        <v/>
      </c>
      <c r="AL147" s="180" t="str">
        <f ca="1"/>
        <v/>
      </c>
      <c r="AM147" s="180" t="str">
        <f ca="1"/>
        <v/>
      </c>
      <c r="AN147" s="180" t="str">
        <f ca="1"/>
        <v/>
      </c>
      <c r="AO147" s="180" t="str">
        <f ca="1"/>
        <v/>
      </c>
      <c r="AP147" s="180" t="str">
        <f ca="1"/>
        <v/>
      </c>
      <c r="AQ147" s="187" t="str">
        <f ca="1"/>
        <v/>
      </c>
    </row>
    <row r="148" spans="2:43" x14ac:dyDescent="0.25">
      <c r="B148" s="179" t="str">
        <f ca="1"/>
        <v/>
      </c>
      <c r="C148" s="180" t="str">
        <f ca="1"/>
        <v/>
      </c>
      <c r="D148" s="180" t="str">
        <f ca="1"/>
        <v/>
      </c>
      <c r="E148" s="180" t="str">
        <f ca="1"/>
        <v/>
      </c>
      <c r="F148" s="180" t="str">
        <f ca="1"/>
        <v/>
      </c>
      <c r="G148" s="180" t="str">
        <f ca="1"/>
        <v/>
      </c>
      <c r="H148" s="180" t="str">
        <f ca="1"/>
        <v/>
      </c>
      <c r="I148" s="180" t="str">
        <f ca="1"/>
        <v/>
      </c>
      <c r="J148" s="180" t="str">
        <f ca="1"/>
        <v/>
      </c>
      <c r="K148" s="180" t="str">
        <f ca="1"/>
        <v/>
      </c>
      <c r="L148" s="180" t="str">
        <f ca="1"/>
        <v/>
      </c>
      <c r="M148" s="180" t="str">
        <f ca="1"/>
        <v/>
      </c>
      <c r="N148" s="180" t="str">
        <f ca="1"/>
        <v/>
      </c>
      <c r="O148" s="180" t="str">
        <f ca="1"/>
        <v/>
      </c>
      <c r="P148" s="180" t="str">
        <f ca="1"/>
        <v/>
      </c>
      <c r="Q148" s="180" t="str">
        <f ca="1"/>
        <v/>
      </c>
      <c r="R148" s="180" t="str">
        <f ca="1"/>
        <v/>
      </c>
      <c r="S148" s="180" t="str">
        <f ca="1"/>
        <v/>
      </c>
      <c r="T148" s="180" t="str">
        <f ca="1"/>
        <v/>
      </c>
      <c r="U148" s="180" t="str">
        <f ca="1"/>
        <v/>
      </c>
      <c r="V148" s="180" t="str">
        <f ca="1"/>
        <v/>
      </c>
      <c r="W148" s="180" t="str">
        <f ca="1"/>
        <v/>
      </c>
      <c r="X148" s="180" t="str">
        <f ca="1"/>
        <v/>
      </c>
      <c r="Y148" s="180" t="str">
        <f ca="1"/>
        <v/>
      </c>
      <c r="Z148" s="180" t="str">
        <f ca="1"/>
        <v/>
      </c>
      <c r="AA148" s="180" t="str">
        <f ca="1"/>
        <v/>
      </c>
      <c r="AB148" s="180" t="str">
        <f ca="1"/>
        <v/>
      </c>
      <c r="AC148" s="180" t="str">
        <f ca="1"/>
        <v/>
      </c>
      <c r="AD148" s="180" t="str">
        <f ca="1"/>
        <v/>
      </c>
      <c r="AE148" s="180" t="str">
        <f ca="1"/>
        <v/>
      </c>
      <c r="AF148" s="180" t="str">
        <f ca="1"/>
        <v/>
      </c>
      <c r="AG148" s="180" t="str">
        <f ca="1"/>
        <v/>
      </c>
      <c r="AH148" s="180" t="str">
        <f ca="1"/>
        <v/>
      </c>
      <c r="AI148" s="180" t="str">
        <f ca="1"/>
        <v/>
      </c>
      <c r="AJ148" s="180" t="str">
        <f ca="1"/>
        <v/>
      </c>
      <c r="AK148" s="180" t="str">
        <f ca="1"/>
        <v/>
      </c>
      <c r="AL148" s="180" t="str">
        <f ca="1"/>
        <v/>
      </c>
      <c r="AM148" s="180" t="str">
        <f ca="1"/>
        <v/>
      </c>
      <c r="AN148" s="180" t="str">
        <f ca="1"/>
        <v/>
      </c>
      <c r="AO148" s="180" t="str">
        <f ca="1"/>
        <v/>
      </c>
      <c r="AP148" s="180" t="str">
        <f ca="1"/>
        <v/>
      </c>
      <c r="AQ148" s="187" t="str">
        <f ca="1"/>
        <v/>
      </c>
    </row>
    <row r="149" spans="2:43" x14ac:dyDescent="0.25">
      <c r="B149" s="179" t="str">
        <f ca="1"/>
        <v/>
      </c>
      <c r="C149" s="180" t="str">
        <f ca="1"/>
        <v/>
      </c>
      <c r="D149" s="180" t="str">
        <f ca="1"/>
        <v/>
      </c>
      <c r="E149" s="180" t="str">
        <f ca="1"/>
        <v/>
      </c>
      <c r="F149" s="180" t="str">
        <f ca="1"/>
        <v/>
      </c>
      <c r="G149" s="180" t="str">
        <f ca="1"/>
        <v/>
      </c>
      <c r="H149" s="180" t="str">
        <f ca="1"/>
        <v/>
      </c>
      <c r="I149" s="180" t="str">
        <f ca="1"/>
        <v/>
      </c>
      <c r="J149" s="180" t="str">
        <f ca="1"/>
        <v/>
      </c>
      <c r="K149" s="180" t="str">
        <f ca="1"/>
        <v/>
      </c>
      <c r="L149" s="180" t="str">
        <f ca="1"/>
        <v/>
      </c>
      <c r="M149" s="180" t="str">
        <f ca="1"/>
        <v/>
      </c>
      <c r="N149" s="180" t="str">
        <f ca="1"/>
        <v/>
      </c>
      <c r="O149" s="180" t="str">
        <f ca="1"/>
        <v/>
      </c>
      <c r="P149" s="180" t="str">
        <f ca="1"/>
        <v/>
      </c>
      <c r="Q149" s="180" t="str">
        <f ca="1"/>
        <v/>
      </c>
      <c r="R149" s="180" t="str">
        <f ca="1"/>
        <v/>
      </c>
      <c r="S149" s="180" t="str">
        <f ca="1"/>
        <v/>
      </c>
      <c r="T149" s="180" t="str">
        <f ca="1"/>
        <v/>
      </c>
      <c r="U149" s="180" t="str">
        <f ca="1"/>
        <v/>
      </c>
      <c r="V149" s="180" t="str">
        <f ca="1"/>
        <v/>
      </c>
      <c r="W149" s="180" t="str">
        <f ca="1"/>
        <v/>
      </c>
      <c r="X149" s="180" t="str">
        <f ca="1"/>
        <v/>
      </c>
      <c r="Y149" s="180" t="str">
        <f ca="1"/>
        <v/>
      </c>
      <c r="Z149" s="180" t="str">
        <f ca="1"/>
        <v/>
      </c>
      <c r="AA149" s="180" t="str">
        <f ca="1"/>
        <v/>
      </c>
      <c r="AB149" s="180" t="str">
        <f ca="1"/>
        <v/>
      </c>
      <c r="AC149" s="180" t="str">
        <f ca="1"/>
        <v/>
      </c>
      <c r="AD149" s="180" t="str">
        <f ca="1"/>
        <v/>
      </c>
      <c r="AE149" s="180" t="str">
        <f ca="1"/>
        <v/>
      </c>
      <c r="AF149" s="180" t="str">
        <f ca="1"/>
        <v/>
      </c>
      <c r="AG149" s="180" t="str">
        <f ca="1"/>
        <v/>
      </c>
      <c r="AH149" s="180" t="str">
        <f ca="1"/>
        <v/>
      </c>
      <c r="AI149" s="180" t="str">
        <f ca="1"/>
        <v/>
      </c>
      <c r="AJ149" s="180" t="str">
        <f ca="1"/>
        <v/>
      </c>
      <c r="AK149" s="180" t="str">
        <f ca="1"/>
        <v/>
      </c>
      <c r="AL149" s="180" t="str">
        <f ca="1"/>
        <v/>
      </c>
      <c r="AM149" s="180" t="str">
        <f ca="1"/>
        <v/>
      </c>
      <c r="AN149" s="180" t="str">
        <f ca="1"/>
        <v/>
      </c>
      <c r="AO149" s="180" t="str">
        <f ca="1"/>
        <v/>
      </c>
      <c r="AP149" s="180" t="str">
        <f ca="1"/>
        <v/>
      </c>
      <c r="AQ149" s="187" t="str">
        <f ca="1"/>
        <v/>
      </c>
    </row>
    <row r="150" spans="2:43" x14ac:dyDescent="0.25">
      <c r="B150" s="179" t="str">
        <f ca="1"/>
        <v/>
      </c>
      <c r="C150" s="180" t="str">
        <f ca="1"/>
        <v/>
      </c>
      <c r="D150" s="180" t="str">
        <f ca="1"/>
        <v/>
      </c>
      <c r="E150" s="180" t="str">
        <f ca="1"/>
        <v/>
      </c>
      <c r="F150" s="180" t="str">
        <f ca="1"/>
        <v/>
      </c>
      <c r="G150" s="180" t="str">
        <f ca="1"/>
        <v/>
      </c>
      <c r="H150" s="180" t="str">
        <f ca="1"/>
        <v/>
      </c>
      <c r="I150" s="180" t="str">
        <f ca="1"/>
        <v/>
      </c>
      <c r="J150" s="180" t="str">
        <f ca="1"/>
        <v/>
      </c>
      <c r="K150" s="180" t="str">
        <f ca="1"/>
        <v/>
      </c>
      <c r="L150" s="180" t="str">
        <f ca="1"/>
        <v/>
      </c>
      <c r="M150" s="180" t="str">
        <f ca="1"/>
        <v/>
      </c>
      <c r="N150" s="180" t="str">
        <f ca="1"/>
        <v/>
      </c>
      <c r="O150" s="180" t="str">
        <f ca="1"/>
        <v/>
      </c>
      <c r="P150" s="180" t="str">
        <f ca="1"/>
        <v/>
      </c>
      <c r="Q150" s="180" t="str">
        <f ca="1"/>
        <v/>
      </c>
      <c r="R150" s="180" t="str">
        <f ca="1"/>
        <v/>
      </c>
      <c r="S150" s="180" t="str">
        <f ca="1"/>
        <v/>
      </c>
      <c r="T150" s="180" t="str">
        <f ca="1"/>
        <v/>
      </c>
      <c r="U150" s="180" t="str">
        <f ca="1"/>
        <v/>
      </c>
      <c r="V150" s="180" t="str">
        <f ca="1"/>
        <v/>
      </c>
      <c r="W150" s="180" t="str">
        <f ca="1"/>
        <v/>
      </c>
      <c r="X150" s="180" t="str">
        <f ca="1"/>
        <v/>
      </c>
      <c r="Y150" s="180" t="str">
        <f ca="1"/>
        <v/>
      </c>
      <c r="Z150" s="180" t="str">
        <f ca="1"/>
        <v/>
      </c>
      <c r="AA150" s="180" t="str">
        <f ca="1"/>
        <v/>
      </c>
      <c r="AB150" s="180" t="str">
        <f ca="1"/>
        <v/>
      </c>
      <c r="AC150" s="180" t="str">
        <f ca="1"/>
        <v/>
      </c>
      <c r="AD150" s="180" t="str">
        <f ca="1"/>
        <v/>
      </c>
      <c r="AE150" s="180" t="str">
        <f ca="1"/>
        <v/>
      </c>
      <c r="AF150" s="180" t="str">
        <f ca="1"/>
        <v/>
      </c>
      <c r="AG150" s="180" t="str">
        <f ca="1"/>
        <v/>
      </c>
      <c r="AH150" s="180" t="str">
        <f ca="1"/>
        <v/>
      </c>
      <c r="AI150" s="180" t="str">
        <f ca="1"/>
        <v/>
      </c>
      <c r="AJ150" s="180" t="str">
        <f ca="1"/>
        <v/>
      </c>
      <c r="AK150" s="180" t="str">
        <f ca="1"/>
        <v/>
      </c>
      <c r="AL150" s="180" t="str">
        <f ca="1"/>
        <v/>
      </c>
      <c r="AM150" s="180" t="str">
        <f ca="1"/>
        <v/>
      </c>
      <c r="AN150" s="180" t="str">
        <f ca="1"/>
        <v/>
      </c>
      <c r="AO150" s="180" t="str">
        <f ca="1"/>
        <v/>
      </c>
      <c r="AP150" s="180" t="str">
        <f ca="1"/>
        <v/>
      </c>
      <c r="AQ150" s="187" t="str">
        <f ca="1"/>
        <v/>
      </c>
    </row>
    <row r="151" spans="2:43" x14ac:dyDescent="0.25">
      <c r="B151" s="179" t="str">
        <f ca="1"/>
        <v/>
      </c>
      <c r="C151" s="180" t="str">
        <f ca="1"/>
        <v/>
      </c>
      <c r="D151" s="180" t="str">
        <f ca="1"/>
        <v/>
      </c>
      <c r="E151" s="180" t="str">
        <f ca="1"/>
        <v/>
      </c>
      <c r="F151" s="180" t="str">
        <f ca="1"/>
        <v/>
      </c>
      <c r="G151" s="180" t="str">
        <f ca="1"/>
        <v/>
      </c>
      <c r="H151" s="180" t="str">
        <f ca="1"/>
        <v/>
      </c>
      <c r="I151" s="180" t="str">
        <f ca="1"/>
        <v/>
      </c>
      <c r="J151" s="180" t="str">
        <f ca="1"/>
        <v/>
      </c>
      <c r="K151" s="180" t="str">
        <f ca="1"/>
        <v/>
      </c>
      <c r="L151" s="180" t="str">
        <f ca="1"/>
        <v/>
      </c>
      <c r="M151" s="180" t="str">
        <f ca="1"/>
        <v/>
      </c>
      <c r="N151" s="180" t="str">
        <f ca="1"/>
        <v/>
      </c>
      <c r="O151" s="180" t="str">
        <f ca="1"/>
        <v/>
      </c>
      <c r="P151" s="180" t="str">
        <f ca="1"/>
        <v/>
      </c>
      <c r="Q151" s="180" t="str">
        <f ca="1"/>
        <v/>
      </c>
      <c r="R151" s="180" t="str">
        <f ca="1"/>
        <v/>
      </c>
      <c r="S151" s="180" t="str">
        <f ca="1"/>
        <v/>
      </c>
      <c r="T151" s="180" t="str">
        <f ca="1"/>
        <v/>
      </c>
      <c r="U151" s="180" t="str">
        <f ca="1"/>
        <v/>
      </c>
      <c r="V151" s="180" t="str">
        <f ca="1"/>
        <v/>
      </c>
      <c r="W151" s="180" t="str">
        <f ca="1"/>
        <v/>
      </c>
      <c r="X151" s="180" t="str">
        <f ca="1"/>
        <v/>
      </c>
      <c r="Y151" s="180" t="str">
        <f ca="1"/>
        <v/>
      </c>
      <c r="Z151" s="180" t="str">
        <f ca="1"/>
        <v/>
      </c>
      <c r="AA151" s="180" t="str">
        <f ca="1"/>
        <v/>
      </c>
      <c r="AB151" s="180" t="str">
        <f ca="1"/>
        <v/>
      </c>
      <c r="AC151" s="180" t="str">
        <f ca="1"/>
        <v/>
      </c>
      <c r="AD151" s="180" t="str">
        <f ca="1"/>
        <v/>
      </c>
      <c r="AE151" s="180" t="str">
        <f ca="1"/>
        <v/>
      </c>
      <c r="AF151" s="180" t="str">
        <f ca="1"/>
        <v/>
      </c>
      <c r="AG151" s="180" t="str">
        <f ca="1"/>
        <v/>
      </c>
      <c r="AH151" s="180" t="str">
        <f ca="1"/>
        <v/>
      </c>
      <c r="AI151" s="180" t="str">
        <f ca="1"/>
        <v/>
      </c>
      <c r="AJ151" s="180" t="str">
        <f ca="1"/>
        <v/>
      </c>
      <c r="AK151" s="180" t="str">
        <f ca="1"/>
        <v/>
      </c>
      <c r="AL151" s="180" t="str">
        <f ca="1"/>
        <v/>
      </c>
      <c r="AM151" s="180" t="str">
        <f ca="1"/>
        <v/>
      </c>
      <c r="AN151" s="180" t="str">
        <f ca="1"/>
        <v/>
      </c>
      <c r="AO151" s="180" t="str">
        <f ca="1"/>
        <v/>
      </c>
      <c r="AP151" s="180" t="str">
        <f ca="1"/>
        <v/>
      </c>
      <c r="AQ151" s="187" t="str">
        <f ca="1"/>
        <v/>
      </c>
    </row>
    <row r="152" spans="2:43" x14ac:dyDescent="0.25">
      <c r="B152" s="179" t="str">
        <f ca="1"/>
        <v/>
      </c>
      <c r="C152" s="180" t="str">
        <f ca="1"/>
        <v/>
      </c>
      <c r="D152" s="180" t="str">
        <f ca="1"/>
        <v/>
      </c>
      <c r="E152" s="180" t="str">
        <f ca="1"/>
        <v/>
      </c>
      <c r="F152" s="180" t="str">
        <f ca="1"/>
        <v/>
      </c>
      <c r="G152" s="180" t="str">
        <f ca="1"/>
        <v/>
      </c>
      <c r="H152" s="180" t="str">
        <f ca="1"/>
        <v/>
      </c>
      <c r="I152" s="180" t="str">
        <f ca="1"/>
        <v/>
      </c>
      <c r="J152" s="180" t="str">
        <f ca="1"/>
        <v/>
      </c>
      <c r="K152" s="180" t="str">
        <f ca="1"/>
        <v/>
      </c>
      <c r="L152" s="180" t="str">
        <f ca="1"/>
        <v/>
      </c>
      <c r="M152" s="180" t="str">
        <f ca="1"/>
        <v/>
      </c>
      <c r="N152" s="180" t="str">
        <f ca="1"/>
        <v/>
      </c>
      <c r="O152" s="180" t="str">
        <f ca="1"/>
        <v/>
      </c>
      <c r="P152" s="180" t="str">
        <f ca="1"/>
        <v/>
      </c>
      <c r="Q152" s="180" t="str">
        <f ca="1"/>
        <v/>
      </c>
      <c r="R152" s="180" t="str">
        <f ca="1"/>
        <v/>
      </c>
      <c r="S152" s="180" t="str">
        <f ca="1"/>
        <v/>
      </c>
      <c r="T152" s="180" t="str">
        <f ca="1"/>
        <v/>
      </c>
      <c r="U152" s="180" t="str">
        <f ca="1"/>
        <v/>
      </c>
      <c r="V152" s="180" t="str">
        <f ca="1"/>
        <v/>
      </c>
      <c r="W152" s="180" t="str">
        <f ca="1"/>
        <v/>
      </c>
      <c r="X152" s="180" t="str">
        <f ca="1"/>
        <v/>
      </c>
      <c r="Y152" s="180" t="str">
        <f ca="1"/>
        <v/>
      </c>
      <c r="Z152" s="180" t="str">
        <f ca="1"/>
        <v/>
      </c>
      <c r="AA152" s="180" t="str">
        <f ca="1"/>
        <v/>
      </c>
      <c r="AB152" s="180" t="str">
        <f ca="1"/>
        <v/>
      </c>
      <c r="AC152" s="180" t="str">
        <f ca="1"/>
        <v/>
      </c>
      <c r="AD152" s="180" t="str">
        <f ca="1"/>
        <v/>
      </c>
      <c r="AE152" s="180" t="str">
        <f ca="1"/>
        <v/>
      </c>
      <c r="AF152" s="180" t="str">
        <f ca="1"/>
        <v/>
      </c>
      <c r="AG152" s="180" t="str">
        <f ca="1"/>
        <v/>
      </c>
      <c r="AH152" s="180" t="str">
        <f ca="1"/>
        <v/>
      </c>
      <c r="AI152" s="180" t="str">
        <f ca="1"/>
        <v/>
      </c>
      <c r="AJ152" s="180" t="str">
        <f ca="1"/>
        <v/>
      </c>
      <c r="AK152" s="180" t="str">
        <f ca="1"/>
        <v/>
      </c>
      <c r="AL152" s="180" t="str">
        <f ca="1"/>
        <v/>
      </c>
      <c r="AM152" s="180" t="str">
        <f ca="1"/>
        <v/>
      </c>
      <c r="AN152" s="180" t="str">
        <f ca="1"/>
        <v/>
      </c>
      <c r="AO152" s="180" t="str">
        <f ca="1"/>
        <v/>
      </c>
      <c r="AP152" s="180" t="str">
        <f ca="1"/>
        <v/>
      </c>
      <c r="AQ152" s="187" t="str">
        <f ca="1"/>
        <v/>
      </c>
    </row>
    <row r="153" spans="2:43" x14ac:dyDescent="0.25">
      <c r="B153" s="179" t="str">
        <f ca="1"/>
        <v/>
      </c>
      <c r="C153" s="180" t="str">
        <f ca="1"/>
        <v/>
      </c>
      <c r="D153" s="180" t="str">
        <f ca="1"/>
        <v/>
      </c>
      <c r="E153" s="180" t="str">
        <f ca="1"/>
        <v/>
      </c>
      <c r="F153" s="180" t="str">
        <f ca="1"/>
        <v/>
      </c>
      <c r="G153" s="180" t="str">
        <f ca="1"/>
        <v/>
      </c>
      <c r="H153" s="180" t="str">
        <f ca="1"/>
        <v/>
      </c>
      <c r="I153" s="180" t="str">
        <f ca="1"/>
        <v/>
      </c>
      <c r="J153" s="180" t="str">
        <f ca="1"/>
        <v/>
      </c>
      <c r="K153" s="180" t="str">
        <f ca="1"/>
        <v/>
      </c>
      <c r="L153" s="180" t="str">
        <f ca="1"/>
        <v/>
      </c>
      <c r="M153" s="180" t="str">
        <f ca="1"/>
        <v/>
      </c>
      <c r="N153" s="180" t="str">
        <f ca="1"/>
        <v/>
      </c>
      <c r="O153" s="180" t="str">
        <f ca="1"/>
        <v/>
      </c>
      <c r="P153" s="180" t="str">
        <f ca="1"/>
        <v/>
      </c>
      <c r="Q153" s="180" t="str">
        <f ca="1"/>
        <v/>
      </c>
      <c r="R153" s="180" t="str">
        <f ca="1"/>
        <v/>
      </c>
      <c r="S153" s="180" t="str">
        <f ca="1"/>
        <v/>
      </c>
      <c r="T153" s="180" t="str">
        <f ca="1"/>
        <v/>
      </c>
      <c r="U153" s="180" t="str">
        <f ca="1"/>
        <v/>
      </c>
      <c r="V153" s="180" t="str">
        <f ca="1"/>
        <v/>
      </c>
      <c r="W153" s="180" t="str">
        <f ca="1"/>
        <v/>
      </c>
      <c r="X153" s="180" t="str">
        <f ca="1"/>
        <v/>
      </c>
      <c r="Y153" s="180" t="str">
        <f ca="1"/>
        <v/>
      </c>
      <c r="Z153" s="180" t="str">
        <f ca="1"/>
        <v/>
      </c>
      <c r="AA153" s="180" t="str">
        <f ca="1"/>
        <v/>
      </c>
      <c r="AB153" s="180" t="str">
        <f ca="1"/>
        <v/>
      </c>
      <c r="AC153" s="180" t="str">
        <f ca="1"/>
        <v/>
      </c>
      <c r="AD153" s="180" t="str">
        <f ca="1"/>
        <v/>
      </c>
      <c r="AE153" s="180" t="str">
        <f ca="1"/>
        <v/>
      </c>
      <c r="AF153" s="180" t="str">
        <f ca="1"/>
        <v/>
      </c>
      <c r="AG153" s="180" t="str">
        <f ca="1"/>
        <v/>
      </c>
      <c r="AH153" s="180" t="str">
        <f ca="1"/>
        <v/>
      </c>
      <c r="AI153" s="180" t="str">
        <f ca="1"/>
        <v/>
      </c>
      <c r="AJ153" s="180" t="str">
        <f ca="1"/>
        <v/>
      </c>
      <c r="AK153" s="180" t="str">
        <f ca="1"/>
        <v/>
      </c>
      <c r="AL153" s="180" t="str">
        <f ca="1"/>
        <v/>
      </c>
      <c r="AM153" s="180" t="str">
        <f ca="1"/>
        <v/>
      </c>
      <c r="AN153" s="180" t="str">
        <f ca="1"/>
        <v/>
      </c>
      <c r="AO153" s="180" t="str">
        <f ca="1"/>
        <v/>
      </c>
      <c r="AP153" s="180" t="str">
        <f ca="1"/>
        <v/>
      </c>
      <c r="AQ153" s="187" t="str">
        <f ca="1"/>
        <v/>
      </c>
    </row>
    <row r="154" spans="2:43" x14ac:dyDescent="0.25">
      <c r="B154" s="179" t="str">
        <f ca="1"/>
        <v/>
      </c>
      <c r="C154" s="180" t="str">
        <f ca="1"/>
        <v/>
      </c>
      <c r="D154" s="180" t="str">
        <f ca="1"/>
        <v/>
      </c>
      <c r="E154" s="180" t="str">
        <f ca="1"/>
        <v/>
      </c>
      <c r="F154" s="180" t="str">
        <f ca="1"/>
        <v/>
      </c>
      <c r="G154" s="180" t="str">
        <f ca="1"/>
        <v/>
      </c>
      <c r="H154" s="180" t="str">
        <f ca="1"/>
        <v/>
      </c>
      <c r="I154" s="180" t="str">
        <f ca="1"/>
        <v/>
      </c>
      <c r="J154" s="180" t="str">
        <f ca="1"/>
        <v/>
      </c>
      <c r="K154" s="180" t="str">
        <f ca="1"/>
        <v/>
      </c>
      <c r="L154" s="180" t="str">
        <f ca="1"/>
        <v/>
      </c>
      <c r="M154" s="180" t="str">
        <f ca="1"/>
        <v/>
      </c>
      <c r="N154" s="180" t="str">
        <f ca="1"/>
        <v/>
      </c>
      <c r="O154" s="180" t="str">
        <f ca="1"/>
        <v/>
      </c>
      <c r="P154" s="180" t="str">
        <f ca="1"/>
        <v/>
      </c>
      <c r="Q154" s="180" t="str">
        <f ca="1"/>
        <v/>
      </c>
      <c r="R154" s="180" t="str">
        <f ca="1"/>
        <v/>
      </c>
      <c r="S154" s="180" t="str">
        <f ca="1"/>
        <v/>
      </c>
      <c r="T154" s="180" t="str">
        <f ca="1"/>
        <v/>
      </c>
      <c r="U154" s="180" t="str">
        <f ca="1"/>
        <v/>
      </c>
      <c r="V154" s="180" t="str">
        <f ca="1"/>
        <v/>
      </c>
      <c r="W154" s="180" t="str">
        <f ca="1"/>
        <v/>
      </c>
      <c r="X154" s="180" t="str">
        <f ca="1"/>
        <v/>
      </c>
      <c r="Y154" s="180" t="str">
        <f ca="1"/>
        <v/>
      </c>
      <c r="Z154" s="180" t="str">
        <f ca="1"/>
        <v/>
      </c>
      <c r="AA154" s="180" t="str">
        <f ca="1"/>
        <v/>
      </c>
      <c r="AB154" s="180" t="str">
        <f ca="1"/>
        <v/>
      </c>
      <c r="AC154" s="180" t="str">
        <f ca="1"/>
        <v/>
      </c>
      <c r="AD154" s="180" t="str">
        <f ca="1"/>
        <v/>
      </c>
      <c r="AE154" s="180" t="str">
        <f ca="1"/>
        <v/>
      </c>
      <c r="AF154" s="180" t="str">
        <f ca="1"/>
        <v/>
      </c>
      <c r="AG154" s="180" t="str">
        <f ca="1"/>
        <v/>
      </c>
      <c r="AH154" s="180" t="str">
        <f ca="1"/>
        <v/>
      </c>
      <c r="AI154" s="180" t="str">
        <f ca="1"/>
        <v/>
      </c>
      <c r="AJ154" s="180" t="str">
        <f ca="1"/>
        <v/>
      </c>
      <c r="AK154" s="180" t="str">
        <f ca="1"/>
        <v/>
      </c>
      <c r="AL154" s="180" t="str">
        <f ca="1"/>
        <v/>
      </c>
      <c r="AM154" s="180" t="str">
        <f ca="1"/>
        <v/>
      </c>
      <c r="AN154" s="180" t="str">
        <f ca="1"/>
        <v/>
      </c>
      <c r="AO154" s="180" t="str">
        <f ca="1"/>
        <v/>
      </c>
      <c r="AP154" s="180" t="str">
        <f ca="1"/>
        <v/>
      </c>
      <c r="AQ154" s="187" t="str">
        <f ca="1"/>
        <v/>
      </c>
    </row>
    <row r="155" spans="2:43" x14ac:dyDescent="0.25">
      <c r="B155" s="179" t="str">
        <f ca="1"/>
        <v/>
      </c>
      <c r="C155" s="180" t="str">
        <f ca="1"/>
        <v/>
      </c>
      <c r="D155" s="180" t="str">
        <f ca="1"/>
        <v/>
      </c>
      <c r="E155" s="180" t="str">
        <f ca="1"/>
        <v/>
      </c>
      <c r="F155" s="180" t="str">
        <f ca="1"/>
        <v/>
      </c>
      <c r="G155" s="180" t="str">
        <f ca="1"/>
        <v/>
      </c>
      <c r="H155" s="180" t="str">
        <f ca="1"/>
        <v/>
      </c>
      <c r="I155" s="180" t="str">
        <f ca="1"/>
        <v/>
      </c>
      <c r="J155" s="180" t="str">
        <f ca="1"/>
        <v/>
      </c>
      <c r="K155" s="180" t="str">
        <f ca="1"/>
        <v/>
      </c>
      <c r="L155" s="180" t="str">
        <f ca="1"/>
        <v/>
      </c>
      <c r="M155" s="180" t="str">
        <f ca="1"/>
        <v/>
      </c>
      <c r="N155" s="180" t="str">
        <f ca="1"/>
        <v/>
      </c>
      <c r="O155" s="180" t="str">
        <f ca="1"/>
        <v/>
      </c>
      <c r="P155" s="180" t="str">
        <f ca="1"/>
        <v/>
      </c>
      <c r="Q155" s="180" t="str">
        <f ca="1"/>
        <v/>
      </c>
      <c r="R155" s="180" t="str">
        <f ca="1"/>
        <v/>
      </c>
      <c r="S155" s="180" t="str">
        <f ca="1"/>
        <v/>
      </c>
      <c r="T155" s="180" t="str">
        <f ca="1"/>
        <v/>
      </c>
      <c r="U155" s="180" t="str">
        <f ca="1"/>
        <v/>
      </c>
      <c r="V155" s="180" t="str">
        <f ca="1"/>
        <v/>
      </c>
      <c r="W155" s="180" t="str">
        <f ca="1"/>
        <v/>
      </c>
      <c r="X155" s="180" t="str">
        <f ca="1"/>
        <v/>
      </c>
      <c r="Y155" s="180" t="str">
        <f ca="1"/>
        <v/>
      </c>
      <c r="Z155" s="180" t="str">
        <f ca="1"/>
        <v/>
      </c>
      <c r="AA155" s="180" t="str">
        <f ca="1"/>
        <v/>
      </c>
      <c r="AB155" s="180" t="str">
        <f ca="1"/>
        <v/>
      </c>
      <c r="AC155" s="180" t="str">
        <f ca="1"/>
        <v/>
      </c>
      <c r="AD155" s="180" t="str">
        <f ca="1"/>
        <v/>
      </c>
      <c r="AE155" s="180" t="str">
        <f ca="1"/>
        <v/>
      </c>
      <c r="AF155" s="180" t="str">
        <f ca="1"/>
        <v/>
      </c>
      <c r="AG155" s="180" t="str">
        <f ca="1"/>
        <v/>
      </c>
      <c r="AH155" s="180" t="str">
        <f ca="1"/>
        <v/>
      </c>
      <c r="AI155" s="180" t="str">
        <f ca="1"/>
        <v/>
      </c>
      <c r="AJ155" s="180" t="str">
        <f ca="1"/>
        <v/>
      </c>
      <c r="AK155" s="180" t="str">
        <f ca="1"/>
        <v/>
      </c>
      <c r="AL155" s="180" t="str">
        <f ca="1"/>
        <v/>
      </c>
      <c r="AM155" s="180" t="str">
        <f ca="1"/>
        <v/>
      </c>
      <c r="AN155" s="180" t="str">
        <f ca="1"/>
        <v/>
      </c>
      <c r="AO155" s="180" t="str">
        <f ca="1"/>
        <v/>
      </c>
      <c r="AP155" s="180" t="str">
        <f ca="1"/>
        <v/>
      </c>
      <c r="AQ155" s="187" t="str">
        <f ca="1"/>
        <v/>
      </c>
    </row>
    <row r="156" spans="2:43" x14ac:dyDescent="0.25">
      <c r="B156" s="179" t="str">
        <f ca="1"/>
        <v/>
      </c>
      <c r="C156" s="180" t="str">
        <f ca="1"/>
        <v/>
      </c>
      <c r="D156" s="180" t="str">
        <f ca="1"/>
        <v/>
      </c>
      <c r="E156" s="180" t="str">
        <f ca="1"/>
        <v/>
      </c>
      <c r="F156" s="180" t="str">
        <f ca="1"/>
        <v/>
      </c>
      <c r="G156" s="180" t="str">
        <f ca="1"/>
        <v/>
      </c>
      <c r="H156" s="180" t="str">
        <f ca="1"/>
        <v/>
      </c>
      <c r="I156" s="180" t="str">
        <f ca="1"/>
        <v/>
      </c>
      <c r="J156" s="180" t="str">
        <f ca="1"/>
        <v/>
      </c>
      <c r="K156" s="180" t="str">
        <f ca="1"/>
        <v/>
      </c>
      <c r="L156" s="180" t="str">
        <f ca="1"/>
        <v/>
      </c>
      <c r="M156" s="180" t="str">
        <f ca="1"/>
        <v/>
      </c>
      <c r="N156" s="180" t="str">
        <f ca="1"/>
        <v/>
      </c>
      <c r="O156" s="180" t="str">
        <f ca="1"/>
        <v/>
      </c>
      <c r="P156" s="180" t="str">
        <f ca="1"/>
        <v/>
      </c>
      <c r="Q156" s="180" t="str">
        <f ca="1"/>
        <v/>
      </c>
      <c r="R156" s="180" t="str">
        <f ca="1"/>
        <v/>
      </c>
      <c r="S156" s="180" t="str">
        <f ca="1"/>
        <v/>
      </c>
      <c r="T156" s="180" t="str">
        <f ca="1"/>
        <v/>
      </c>
      <c r="U156" s="180" t="str">
        <f ca="1"/>
        <v/>
      </c>
      <c r="V156" s="180" t="str">
        <f ca="1"/>
        <v/>
      </c>
      <c r="W156" s="180" t="str">
        <f ca="1"/>
        <v/>
      </c>
      <c r="X156" s="180" t="str">
        <f ca="1"/>
        <v/>
      </c>
      <c r="Y156" s="180" t="str">
        <f ca="1"/>
        <v/>
      </c>
      <c r="Z156" s="180" t="str">
        <f ca="1"/>
        <v/>
      </c>
      <c r="AA156" s="180" t="str">
        <f ca="1"/>
        <v/>
      </c>
      <c r="AB156" s="180" t="str">
        <f ca="1"/>
        <v/>
      </c>
      <c r="AC156" s="180" t="str">
        <f ca="1"/>
        <v/>
      </c>
      <c r="AD156" s="180" t="str">
        <f ca="1"/>
        <v/>
      </c>
      <c r="AE156" s="180" t="str">
        <f ca="1"/>
        <v/>
      </c>
      <c r="AF156" s="180" t="str">
        <f ca="1"/>
        <v/>
      </c>
      <c r="AG156" s="180" t="str">
        <f ca="1"/>
        <v/>
      </c>
      <c r="AH156" s="180" t="str">
        <f ca="1"/>
        <v/>
      </c>
      <c r="AI156" s="180" t="str">
        <f ca="1"/>
        <v/>
      </c>
      <c r="AJ156" s="180" t="str">
        <f ca="1"/>
        <v/>
      </c>
      <c r="AK156" s="180" t="str">
        <f ca="1"/>
        <v/>
      </c>
      <c r="AL156" s="180" t="str">
        <f ca="1"/>
        <v/>
      </c>
      <c r="AM156" s="180" t="str">
        <f ca="1"/>
        <v/>
      </c>
      <c r="AN156" s="180" t="str">
        <f ca="1"/>
        <v/>
      </c>
      <c r="AO156" s="180" t="str">
        <f ca="1"/>
        <v/>
      </c>
      <c r="AP156" s="180" t="str">
        <f ca="1"/>
        <v/>
      </c>
      <c r="AQ156" s="187" t="str">
        <f ca="1"/>
        <v/>
      </c>
    </row>
    <row r="157" spans="2:43" x14ac:dyDescent="0.25">
      <c r="B157" s="179" t="str">
        <f ca="1"/>
        <v/>
      </c>
      <c r="C157" s="180" t="str">
        <f ca="1"/>
        <v/>
      </c>
      <c r="D157" s="180" t="str">
        <f ca="1"/>
        <v/>
      </c>
      <c r="E157" s="180" t="str">
        <f ca="1"/>
        <v/>
      </c>
      <c r="F157" s="180" t="str">
        <f ca="1"/>
        <v/>
      </c>
      <c r="G157" s="180" t="str">
        <f ca="1"/>
        <v/>
      </c>
      <c r="H157" s="180" t="str">
        <f ca="1"/>
        <v/>
      </c>
      <c r="I157" s="180" t="str">
        <f ca="1"/>
        <v/>
      </c>
      <c r="J157" s="180" t="str">
        <f ca="1"/>
        <v/>
      </c>
      <c r="K157" s="180" t="str">
        <f ca="1"/>
        <v/>
      </c>
      <c r="L157" s="180" t="str">
        <f ca="1"/>
        <v/>
      </c>
      <c r="M157" s="180" t="str">
        <f ca="1"/>
        <v/>
      </c>
      <c r="N157" s="180" t="str">
        <f ca="1"/>
        <v/>
      </c>
      <c r="O157" s="180" t="str">
        <f ca="1"/>
        <v/>
      </c>
      <c r="P157" s="180" t="str">
        <f ca="1"/>
        <v/>
      </c>
      <c r="Q157" s="180" t="str">
        <f ca="1"/>
        <v/>
      </c>
      <c r="R157" s="180" t="str">
        <f ca="1"/>
        <v/>
      </c>
      <c r="S157" s="180" t="str">
        <f ca="1"/>
        <v/>
      </c>
      <c r="T157" s="180" t="str">
        <f ca="1"/>
        <v/>
      </c>
      <c r="U157" s="180" t="str">
        <f ca="1"/>
        <v/>
      </c>
      <c r="V157" s="180" t="str">
        <f ca="1"/>
        <v/>
      </c>
      <c r="W157" s="180" t="str">
        <f ca="1"/>
        <v/>
      </c>
      <c r="X157" s="180" t="str">
        <f ca="1"/>
        <v/>
      </c>
      <c r="Y157" s="180" t="str">
        <f ca="1"/>
        <v/>
      </c>
      <c r="Z157" s="180" t="str">
        <f ca="1"/>
        <v/>
      </c>
      <c r="AA157" s="180" t="str">
        <f ca="1"/>
        <v/>
      </c>
      <c r="AB157" s="180" t="str">
        <f ca="1"/>
        <v/>
      </c>
      <c r="AC157" s="180" t="str">
        <f ca="1"/>
        <v/>
      </c>
      <c r="AD157" s="180" t="str">
        <f ca="1"/>
        <v/>
      </c>
      <c r="AE157" s="180" t="str">
        <f ca="1"/>
        <v/>
      </c>
      <c r="AF157" s="180" t="str">
        <f ca="1"/>
        <v/>
      </c>
      <c r="AG157" s="180" t="str">
        <f ca="1"/>
        <v/>
      </c>
      <c r="AH157" s="180" t="str">
        <f ca="1"/>
        <v/>
      </c>
      <c r="AI157" s="180" t="str">
        <f ca="1"/>
        <v/>
      </c>
      <c r="AJ157" s="180" t="str">
        <f ca="1"/>
        <v/>
      </c>
      <c r="AK157" s="180" t="str">
        <f ca="1"/>
        <v/>
      </c>
      <c r="AL157" s="180" t="str">
        <f ca="1"/>
        <v/>
      </c>
      <c r="AM157" s="180" t="str">
        <f ca="1"/>
        <v/>
      </c>
      <c r="AN157" s="180" t="str">
        <f ca="1"/>
        <v/>
      </c>
      <c r="AO157" s="180" t="str">
        <f ca="1"/>
        <v/>
      </c>
      <c r="AP157" s="180" t="str">
        <f ca="1"/>
        <v/>
      </c>
      <c r="AQ157" s="187" t="str">
        <f ca="1"/>
        <v/>
      </c>
    </row>
    <row r="158" spans="2:43" x14ac:dyDescent="0.25">
      <c r="B158" s="179" t="str">
        <f ca="1"/>
        <v/>
      </c>
      <c r="C158" s="180" t="str">
        <f ca="1"/>
        <v/>
      </c>
      <c r="D158" s="180" t="str">
        <f ca="1"/>
        <v/>
      </c>
      <c r="E158" s="180" t="str">
        <f ca="1"/>
        <v/>
      </c>
      <c r="F158" s="180" t="str">
        <f ca="1"/>
        <v/>
      </c>
      <c r="G158" s="180" t="str">
        <f ca="1"/>
        <v/>
      </c>
      <c r="H158" s="180" t="str">
        <f ca="1"/>
        <v/>
      </c>
      <c r="I158" s="180" t="str">
        <f ca="1"/>
        <v/>
      </c>
      <c r="J158" s="180" t="str">
        <f ca="1"/>
        <v/>
      </c>
      <c r="K158" s="180" t="str">
        <f ca="1"/>
        <v/>
      </c>
      <c r="L158" s="180" t="str">
        <f ca="1"/>
        <v/>
      </c>
      <c r="M158" s="180" t="str">
        <f ca="1"/>
        <v/>
      </c>
      <c r="N158" s="180" t="str">
        <f ca="1"/>
        <v/>
      </c>
      <c r="O158" s="180" t="str">
        <f ca="1"/>
        <v/>
      </c>
      <c r="P158" s="180" t="str">
        <f ca="1"/>
        <v/>
      </c>
      <c r="Q158" s="180" t="str">
        <f ca="1"/>
        <v/>
      </c>
      <c r="R158" s="180" t="str">
        <f ca="1"/>
        <v/>
      </c>
      <c r="S158" s="180" t="str">
        <f ca="1"/>
        <v/>
      </c>
      <c r="T158" s="180" t="str">
        <f ca="1"/>
        <v/>
      </c>
      <c r="U158" s="180" t="str">
        <f ca="1"/>
        <v/>
      </c>
      <c r="V158" s="180" t="str">
        <f ca="1"/>
        <v/>
      </c>
      <c r="W158" s="180" t="str">
        <f ca="1"/>
        <v/>
      </c>
      <c r="X158" s="180" t="str">
        <f ca="1"/>
        <v/>
      </c>
      <c r="Y158" s="180" t="str">
        <f ca="1"/>
        <v/>
      </c>
      <c r="Z158" s="180" t="str">
        <f ca="1"/>
        <v/>
      </c>
      <c r="AA158" s="180" t="str">
        <f ca="1"/>
        <v/>
      </c>
      <c r="AB158" s="180" t="str">
        <f ca="1"/>
        <v/>
      </c>
      <c r="AC158" s="180" t="str">
        <f ca="1"/>
        <v/>
      </c>
      <c r="AD158" s="180" t="str">
        <f ca="1"/>
        <v/>
      </c>
      <c r="AE158" s="180" t="str">
        <f ca="1"/>
        <v/>
      </c>
      <c r="AF158" s="180" t="str">
        <f ca="1"/>
        <v/>
      </c>
      <c r="AG158" s="180" t="str">
        <f ca="1"/>
        <v/>
      </c>
      <c r="AH158" s="180" t="str">
        <f ca="1"/>
        <v/>
      </c>
      <c r="AI158" s="180" t="str">
        <f ca="1"/>
        <v/>
      </c>
      <c r="AJ158" s="180" t="str">
        <f ca="1"/>
        <v/>
      </c>
      <c r="AK158" s="180" t="str">
        <f ca="1"/>
        <v/>
      </c>
      <c r="AL158" s="180" t="str">
        <f ca="1"/>
        <v/>
      </c>
      <c r="AM158" s="180" t="str">
        <f ca="1"/>
        <v/>
      </c>
      <c r="AN158" s="180" t="str">
        <f ca="1"/>
        <v/>
      </c>
      <c r="AO158" s="180" t="str">
        <f ca="1"/>
        <v/>
      </c>
      <c r="AP158" s="180" t="str">
        <f ca="1"/>
        <v/>
      </c>
      <c r="AQ158" s="187" t="str">
        <f ca="1"/>
        <v/>
      </c>
    </row>
    <row r="159" spans="2:43" x14ac:dyDescent="0.25">
      <c r="B159" s="179" t="str">
        <f ca="1"/>
        <v/>
      </c>
      <c r="C159" s="180" t="str">
        <f ca="1"/>
        <v/>
      </c>
      <c r="D159" s="180" t="str">
        <f ca="1"/>
        <v/>
      </c>
      <c r="E159" s="180" t="str">
        <f ca="1"/>
        <v/>
      </c>
      <c r="F159" s="180" t="str">
        <f ca="1"/>
        <v/>
      </c>
      <c r="G159" s="180" t="str">
        <f ca="1"/>
        <v/>
      </c>
      <c r="H159" s="180" t="str">
        <f ca="1"/>
        <v/>
      </c>
      <c r="I159" s="180" t="str">
        <f ca="1"/>
        <v/>
      </c>
      <c r="J159" s="180" t="str">
        <f ca="1"/>
        <v/>
      </c>
      <c r="K159" s="180" t="str">
        <f ca="1"/>
        <v/>
      </c>
      <c r="L159" s="180" t="str">
        <f ca="1"/>
        <v/>
      </c>
      <c r="M159" s="180" t="str">
        <f ca="1"/>
        <v/>
      </c>
      <c r="N159" s="180" t="str">
        <f ca="1"/>
        <v/>
      </c>
      <c r="O159" s="180" t="str">
        <f ca="1"/>
        <v/>
      </c>
      <c r="P159" s="180" t="str">
        <f ca="1"/>
        <v/>
      </c>
      <c r="Q159" s="180" t="str">
        <f ca="1"/>
        <v/>
      </c>
      <c r="R159" s="180" t="str">
        <f ca="1"/>
        <v/>
      </c>
      <c r="S159" s="180" t="str">
        <f ca="1"/>
        <v/>
      </c>
      <c r="T159" s="180" t="str">
        <f ca="1"/>
        <v/>
      </c>
      <c r="U159" s="180" t="str">
        <f ca="1"/>
        <v/>
      </c>
      <c r="V159" s="180" t="str">
        <f ca="1"/>
        <v/>
      </c>
      <c r="W159" s="180" t="str">
        <f ca="1"/>
        <v/>
      </c>
      <c r="X159" s="180" t="str">
        <f ca="1"/>
        <v/>
      </c>
      <c r="Y159" s="180" t="str">
        <f ca="1"/>
        <v/>
      </c>
      <c r="Z159" s="180" t="str">
        <f ca="1"/>
        <v/>
      </c>
      <c r="AA159" s="180" t="str">
        <f ca="1"/>
        <v/>
      </c>
      <c r="AB159" s="180" t="str">
        <f ca="1"/>
        <v/>
      </c>
      <c r="AC159" s="180" t="str">
        <f ca="1"/>
        <v/>
      </c>
      <c r="AD159" s="180" t="str">
        <f ca="1"/>
        <v/>
      </c>
      <c r="AE159" s="180" t="str">
        <f ca="1"/>
        <v/>
      </c>
      <c r="AF159" s="180" t="str">
        <f ca="1"/>
        <v/>
      </c>
      <c r="AG159" s="180" t="str">
        <f ca="1"/>
        <v/>
      </c>
      <c r="AH159" s="180" t="str">
        <f ca="1"/>
        <v/>
      </c>
      <c r="AI159" s="180" t="str">
        <f ca="1"/>
        <v/>
      </c>
      <c r="AJ159" s="180" t="str">
        <f ca="1"/>
        <v/>
      </c>
      <c r="AK159" s="180" t="str">
        <f ca="1"/>
        <v/>
      </c>
      <c r="AL159" s="180" t="str">
        <f ca="1"/>
        <v/>
      </c>
      <c r="AM159" s="180" t="str">
        <f ca="1"/>
        <v/>
      </c>
      <c r="AN159" s="180" t="str">
        <f ca="1"/>
        <v/>
      </c>
      <c r="AO159" s="180" t="str">
        <f ca="1"/>
        <v/>
      </c>
      <c r="AP159" s="180" t="str">
        <f ca="1"/>
        <v/>
      </c>
      <c r="AQ159" s="187" t="str">
        <f ca="1"/>
        <v/>
      </c>
    </row>
    <row r="160" spans="2:43" x14ac:dyDescent="0.25">
      <c r="B160" s="179" t="str">
        <f ca="1"/>
        <v/>
      </c>
      <c r="C160" s="180" t="str">
        <f ca="1"/>
        <v/>
      </c>
      <c r="D160" s="180" t="str">
        <f ca="1"/>
        <v/>
      </c>
      <c r="E160" s="180" t="str">
        <f ca="1"/>
        <v/>
      </c>
      <c r="F160" s="180" t="str">
        <f ca="1"/>
        <v/>
      </c>
      <c r="G160" s="180" t="str">
        <f ca="1"/>
        <v/>
      </c>
      <c r="H160" s="180" t="str">
        <f ca="1"/>
        <v/>
      </c>
      <c r="I160" s="180" t="str">
        <f ca="1"/>
        <v/>
      </c>
      <c r="J160" s="180" t="str">
        <f ca="1"/>
        <v/>
      </c>
      <c r="K160" s="180" t="str">
        <f ca="1"/>
        <v/>
      </c>
      <c r="L160" s="180" t="str">
        <f ca="1"/>
        <v/>
      </c>
      <c r="M160" s="180" t="str">
        <f ca="1"/>
        <v/>
      </c>
      <c r="N160" s="180" t="str">
        <f ca="1"/>
        <v/>
      </c>
      <c r="O160" s="180" t="str">
        <f ca="1"/>
        <v/>
      </c>
      <c r="P160" s="180" t="str">
        <f ca="1"/>
        <v/>
      </c>
      <c r="Q160" s="180" t="str">
        <f ca="1"/>
        <v/>
      </c>
      <c r="R160" s="180" t="str">
        <f ca="1"/>
        <v/>
      </c>
      <c r="S160" s="180" t="str">
        <f ca="1"/>
        <v/>
      </c>
      <c r="T160" s="180" t="str">
        <f ca="1"/>
        <v/>
      </c>
      <c r="U160" s="180" t="str">
        <f ca="1"/>
        <v/>
      </c>
      <c r="V160" s="180" t="str">
        <f ca="1"/>
        <v/>
      </c>
      <c r="W160" s="180" t="str">
        <f ca="1"/>
        <v/>
      </c>
      <c r="X160" s="180" t="str">
        <f ca="1"/>
        <v/>
      </c>
      <c r="Y160" s="180" t="str">
        <f ca="1"/>
        <v/>
      </c>
      <c r="Z160" s="180" t="str">
        <f ca="1"/>
        <v/>
      </c>
      <c r="AA160" s="180" t="str">
        <f ca="1"/>
        <v/>
      </c>
      <c r="AB160" s="180" t="str">
        <f ca="1"/>
        <v/>
      </c>
      <c r="AC160" s="180" t="str">
        <f ca="1"/>
        <v/>
      </c>
      <c r="AD160" s="180" t="str">
        <f ca="1"/>
        <v/>
      </c>
      <c r="AE160" s="180" t="str">
        <f ca="1"/>
        <v/>
      </c>
      <c r="AF160" s="180" t="str">
        <f ca="1"/>
        <v/>
      </c>
      <c r="AG160" s="180" t="str">
        <f ca="1"/>
        <v/>
      </c>
      <c r="AH160" s="180" t="str">
        <f ca="1"/>
        <v/>
      </c>
      <c r="AI160" s="180" t="str">
        <f ca="1"/>
        <v/>
      </c>
      <c r="AJ160" s="180" t="str">
        <f ca="1"/>
        <v/>
      </c>
      <c r="AK160" s="180" t="str">
        <f ca="1"/>
        <v/>
      </c>
      <c r="AL160" s="180" t="str">
        <f ca="1"/>
        <v/>
      </c>
      <c r="AM160" s="180" t="str">
        <f ca="1"/>
        <v/>
      </c>
      <c r="AN160" s="180" t="str">
        <f ca="1"/>
        <v/>
      </c>
      <c r="AO160" s="180" t="str">
        <f ca="1"/>
        <v/>
      </c>
      <c r="AP160" s="180" t="str">
        <f ca="1"/>
        <v/>
      </c>
      <c r="AQ160" s="187" t="str">
        <f ca="1"/>
        <v/>
      </c>
    </row>
    <row r="161" spans="2:43" x14ac:dyDescent="0.25">
      <c r="B161" s="179" t="str">
        <f ca="1"/>
        <v/>
      </c>
      <c r="C161" s="180" t="str">
        <f ca="1"/>
        <v/>
      </c>
      <c r="D161" s="180" t="str">
        <f ca="1"/>
        <v/>
      </c>
      <c r="E161" s="180" t="str">
        <f ca="1"/>
        <v/>
      </c>
      <c r="F161" s="180" t="str">
        <f ca="1"/>
        <v/>
      </c>
      <c r="G161" s="180" t="str">
        <f ca="1"/>
        <v/>
      </c>
      <c r="H161" s="180" t="str">
        <f ca="1"/>
        <v/>
      </c>
      <c r="I161" s="180" t="str">
        <f ca="1"/>
        <v/>
      </c>
      <c r="J161" s="180" t="str">
        <f ca="1"/>
        <v/>
      </c>
      <c r="K161" s="180" t="str">
        <f ca="1"/>
        <v/>
      </c>
      <c r="L161" s="180" t="str">
        <f ca="1"/>
        <v/>
      </c>
      <c r="M161" s="180" t="str">
        <f ca="1"/>
        <v/>
      </c>
      <c r="N161" s="180" t="str">
        <f ca="1"/>
        <v/>
      </c>
      <c r="O161" s="180" t="str">
        <f ca="1"/>
        <v/>
      </c>
      <c r="P161" s="180" t="str">
        <f ca="1"/>
        <v/>
      </c>
      <c r="Q161" s="180" t="str">
        <f ca="1"/>
        <v/>
      </c>
      <c r="R161" s="180" t="str">
        <f ca="1"/>
        <v/>
      </c>
      <c r="S161" s="180" t="str">
        <f ca="1"/>
        <v/>
      </c>
      <c r="T161" s="180" t="str">
        <f ca="1"/>
        <v/>
      </c>
      <c r="U161" s="180" t="str">
        <f ca="1"/>
        <v/>
      </c>
      <c r="V161" s="180" t="str">
        <f ca="1"/>
        <v/>
      </c>
      <c r="W161" s="180" t="str">
        <f ca="1"/>
        <v/>
      </c>
      <c r="X161" s="180" t="str">
        <f ca="1"/>
        <v/>
      </c>
      <c r="Y161" s="180" t="str">
        <f ca="1"/>
        <v/>
      </c>
      <c r="Z161" s="180" t="str">
        <f ca="1"/>
        <v/>
      </c>
      <c r="AA161" s="180" t="str">
        <f ca="1"/>
        <v/>
      </c>
      <c r="AB161" s="180" t="str">
        <f ca="1"/>
        <v/>
      </c>
      <c r="AC161" s="180" t="str">
        <f ca="1"/>
        <v/>
      </c>
      <c r="AD161" s="180" t="str">
        <f ca="1"/>
        <v/>
      </c>
      <c r="AE161" s="180" t="str">
        <f ca="1"/>
        <v/>
      </c>
      <c r="AF161" s="180" t="str">
        <f ca="1"/>
        <v/>
      </c>
      <c r="AG161" s="180" t="str">
        <f ca="1"/>
        <v/>
      </c>
      <c r="AH161" s="180" t="str">
        <f ca="1"/>
        <v/>
      </c>
      <c r="AI161" s="180" t="str">
        <f ca="1"/>
        <v/>
      </c>
      <c r="AJ161" s="180" t="str">
        <f ca="1"/>
        <v/>
      </c>
      <c r="AK161" s="180" t="str">
        <f ca="1"/>
        <v/>
      </c>
      <c r="AL161" s="180" t="str">
        <f ca="1"/>
        <v/>
      </c>
      <c r="AM161" s="180" t="str">
        <f ca="1"/>
        <v/>
      </c>
      <c r="AN161" s="180" t="str">
        <f ca="1"/>
        <v/>
      </c>
      <c r="AO161" s="180" t="str">
        <f ca="1"/>
        <v/>
      </c>
      <c r="AP161" s="180" t="str">
        <f ca="1"/>
        <v/>
      </c>
      <c r="AQ161" s="187" t="str">
        <f ca="1"/>
        <v/>
      </c>
    </row>
    <row r="162" spans="2:43" x14ac:dyDescent="0.25">
      <c r="B162" s="179" t="str">
        <f ca="1"/>
        <v/>
      </c>
      <c r="C162" s="180" t="str">
        <f ca="1"/>
        <v/>
      </c>
      <c r="D162" s="180" t="str">
        <f ca="1"/>
        <v/>
      </c>
      <c r="E162" s="180" t="str">
        <f ca="1"/>
        <v/>
      </c>
      <c r="F162" s="180" t="str">
        <f ca="1"/>
        <v/>
      </c>
      <c r="G162" s="180" t="str">
        <f ca="1"/>
        <v/>
      </c>
      <c r="H162" s="180" t="str">
        <f ca="1"/>
        <v/>
      </c>
      <c r="I162" s="180" t="str">
        <f ca="1"/>
        <v/>
      </c>
      <c r="J162" s="180" t="str">
        <f ca="1"/>
        <v/>
      </c>
      <c r="K162" s="180" t="str">
        <f ca="1"/>
        <v/>
      </c>
      <c r="L162" s="180" t="str">
        <f ca="1"/>
        <v/>
      </c>
      <c r="M162" s="180" t="str">
        <f ca="1"/>
        <v/>
      </c>
      <c r="N162" s="180" t="str">
        <f ca="1"/>
        <v/>
      </c>
      <c r="O162" s="180" t="str">
        <f ca="1"/>
        <v/>
      </c>
      <c r="P162" s="180" t="str">
        <f ca="1"/>
        <v/>
      </c>
      <c r="Q162" s="180" t="str">
        <f ca="1"/>
        <v/>
      </c>
      <c r="R162" s="180" t="str">
        <f ca="1"/>
        <v/>
      </c>
      <c r="S162" s="180" t="str">
        <f ca="1"/>
        <v/>
      </c>
      <c r="T162" s="180" t="str">
        <f ca="1"/>
        <v/>
      </c>
      <c r="U162" s="180" t="str">
        <f ca="1"/>
        <v/>
      </c>
      <c r="V162" s="180" t="str">
        <f ca="1"/>
        <v/>
      </c>
      <c r="W162" s="180" t="str">
        <f ca="1"/>
        <v/>
      </c>
      <c r="X162" s="180" t="str">
        <f ca="1"/>
        <v/>
      </c>
      <c r="Y162" s="180" t="str">
        <f ca="1"/>
        <v/>
      </c>
      <c r="Z162" s="180" t="str">
        <f ca="1"/>
        <v/>
      </c>
      <c r="AA162" s="180" t="str">
        <f ca="1"/>
        <v/>
      </c>
      <c r="AB162" s="180" t="str">
        <f ca="1"/>
        <v/>
      </c>
      <c r="AC162" s="180" t="str">
        <f ca="1"/>
        <v/>
      </c>
      <c r="AD162" s="180" t="str">
        <f ca="1"/>
        <v/>
      </c>
      <c r="AE162" s="180" t="str">
        <f ca="1"/>
        <v/>
      </c>
      <c r="AF162" s="180" t="str">
        <f ca="1"/>
        <v/>
      </c>
      <c r="AG162" s="180" t="str">
        <f ca="1"/>
        <v/>
      </c>
      <c r="AH162" s="180" t="str">
        <f ca="1"/>
        <v/>
      </c>
      <c r="AI162" s="180" t="str">
        <f ca="1"/>
        <v/>
      </c>
      <c r="AJ162" s="180" t="str">
        <f ca="1"/>
        <v/>
      </c>
      <c r="AK162" s="180" t="str">
        <f ca="1"/>
        <v/>
      </c>
      <c r="AL162" s="180" t="str">
        <f ca="1"/>
        <v/>
      </c>
      <c r="AM162" s="180" t="str">
        <f ca="1"/>
        <v/>
      </c>
      <c r="AN162" s="180" t="str">
        <f ca="1"/>
        <v/>
      </c>
      <c r="AO162" s="180" t="str">
        <f ca="1"/>
        <v/>
      </c>
      <c r="AP162" s="180" t="str">
        <f ca="1"/>
        <v/>
      </c>
      <c r="AQ162" s="187" t="str">
        <f ca="1"/>
        <v/>
      </c>
    </row>
    <row r="163" spans="2:43" x14ac:dyDescent="0.25">
      <c r="B163" s="179" t="str">
        <f ca="1"/>
        <v/>
      </c>
      <c r="C163" s="180" t="str">
        <f ca="1"/>
        <v/>
      </c>
      <c r="D163" s="180" t="str">
        <f ca="1"/>
        <v/>
      </c>
      <c r="E163" s="180" t="str">
        <f ca="1"/>
        <v/>
      </c>
      <c r="F163" s="180" t="str">
        <f ca="1"/>
        <v/>
      </c>
      <c r="G163" s="180" t="str">
        <f ca="1"/>
        <v/>
      </c>
      <c r="H163" s="180" t="str">
        <f ca="1"/>
        <v/>
      </c>
      <c r="I163" s="180" t="str">
        <f ca="1"/>
        <v/>
      </c>
      <c r="J163" s="180" t="str">
        <f ca="1"/>
        <v/>
      </c>
      <c r="K163" s="180" t="str">
        <f ca="1"/>
        <v/>
      </c>
      <c r="L163" s="180" t="str">
        <f ca="1"/>
        <v/>
      </c>
      <c r="M163" s="180" t="str">
        <f ca="1"/>
        <v/>
      </c>
      <c r="N163" s="180" t="str">
        <f ca="1"/>
        <v/>
      </c>
      <c r="O163" s="180" t="str">
        <f ca="1"/>
        <v/>
      </c>
      <c r="P163" s="180" t="str">
        <f ca="1"/>
        <v/>
      </c>
      <c r="Q163" s="180" t="str">
        <f ca="1"/>
        <v/>
      </c>
      <c r="R163" s="180" t="str">
        <f ca="1"/>
        <v/>
      </c>
      <c r="S163" s="180" t="str">
        <f ca="1"/>
        <v/>
      </c>
      <c r="T163" s="180" t="str">
        <f ca="1"/>
        <v/>
      </c>
      <c r="U163" s="180" t="str">
        <f ca="1"/>
        <v/>
      </c>
      <c r="V163" s="180" t="str">
        <f ca="1"/>
        <v/>
      </c>
      <c r="W163" s="180" t="str">
        <f ca="1"/>
        <v/>
      </c>
      <c r="X163" s="180" t="str">
        <f ca="1"/>
        <v/>
      </c>
      <c r="Y163" s="180" t="str">
        <f ca="1"/>
        <v/>
      </c>
      <c r="Z163" s="180" t="str">
        <f ca="1"/>
        <v/>
      </c>
      <c r="AA163" s="180" t="str">
        <f ca="1"/>
        <v/>
      </c>
      <c r="AB163" s="180" t="str">
        <f ca="1"/>
        <v/>
      </c>
      <c r="AC163" s="180" t="str">
        <f ca="1"/>
        <v/>
      </c>
      <c r="AD163" s="180" t="str">
        <f ca="1"/>
        <v/>
      </c>
      <c r="AE163" s="180" t="str">
        <f ca="1"/>
        <v/>
      </c>
      <c r="AF163" s="180" t="str">
        <f ca="1"/>
        <v/>
      </c>
      <c r="AG163" s="180" t="str">
        <f ca="1"/>
        <v/>
      </c>
      <c r="AH163" s="180" t="str">
        <f ca="1"/>
        <v/>
      </c>
      <c r="AI163" s="180" t="str">
        <f ca="1"/>
        <v/>
      </c>
      <c r="AJ163" s="180" t="str">
        <f ca="1"/>
        <v/>
      </c>
      <c r="AK163" s="180" t="str">
        <f ca="1"/>
        <v/>
      </c>
      <c r="AL163" s="180" t="str">
        <f ca="1"/>
        <v/>
      </c>
      <c r="AM163" s="180" t="str">
        <f ca="1"/>
        <v/>
      </c>
      <c r="AN163" s="180" t="str">
        <f ca="1"/>
        <v/>
      </c>
      <c r="AO163" s="180" t="str">
        <f ca="1"/>
        <v/>
      </c>
      <c r="AP163" s="180" t="str">
        <f ca="1"/>
        <v/>
      </c>
      <c r="AQ163" s="187" t="str">
        <f ca="1"/>
        <v/>
      </c>
    </row>
    <row r="164" spans="2:43" x14ac:dyDescent="0.25">
      <c r="B164" s="179" t="str">
        <f ca="1"/>
        <v/>
      </c>
      <c r="C164" s="180" t="str">
        <f ca="1"/>
        <v/>
      </c>
      <c r="D164" s="180" t="str">
        <f ca="1"/>
        <v/>
      </c>
      <c r="E164" s="180" t="str">
        <f ca="1"/>
        <v/>
      </c>
      <c r="F164" s="180" t="str">
        <f ca="1"/>
        <v/>
      </c>
      <c r="G164" s="180" t="str">
        <f ca="1"/>
        <v/>
      </c>
      <c r="H164" s="180" t="str">
        <f ca="1"/>
        <v/>
      </c>
      <c r="I164" s="180" t="str">
        <f ca="1"/>
        <v/>
      </c>
      <c r="J164" s="180" t="str">
        <f ca="1"/>
        <v/>
      </c>
      <c r="K164" s="180" t="str">
        <f ca="1"/>
        <v/>
      </c>
      <c r="L164" s="180" t="str">
        <f ca="1"/>
        <v/>
      </c>
      <c r="M164" s="180" t="str">
        <f ca="1"/>
        <v/>
      </c>
      <c r="N164" s="180" t="str">
        <f ca="1"/>
        <v/>
      </c>
      <c r="O164" s="180" t="str">
        <f ca="1"/>
        <v/>
      </c>
      <c r="P164" s="180" t="str">
        <f ca="1"/>
        <v/>
      </c>
      <c r="Q164" s="180" t="str">
        <f ca="1"/>
        <v/>
      </c>
      <c r="R164" s="180" t="str">
        <f ca="1"/>
        <v/>
      </c>
      <c r="S164" s="180" t="str">
        <f ca="1"/>
        <v/>
      </c>
      <c r="T164" s="180" t="str">
        <f ca="1"/>
        <v/>
      </c>
      <c r="U164" s="180" t="str">
        <f ca="1"/>
        <v/>
      </c>
      <c r="V164" s="180" t="str">
        <f ca="1"/>
        <v/>
      </c>
      <c r="W164" s="180" t="str">
        <f ca="1"/>
        <v/>
      </c>
      <c r="X164" s="180" t="str">
        <f ca="1"/>
        <v/>
      </c>
      <c r="Y164" s="180" t="str">
        <f ca="1"/>
        <v/>
      </c>
      <c r="Z164" s="180" t="str">
        <f ca="1"/>
        <v/>
      </c>
      <c r="AA164" s="180" t="str">
        <f ca="1"/>
        <v/>
      </c>
      <c r="AB164" s="180" t="str">
        <f ca="1"/>
        <v/>
      </c>
      <c r="AC164" s="180" t="str">
        <f ca="1"/>
        <v/>
      </c>
      <c r="AD164" s="180" t="str">
        <f ca="1"/>
        <v/>
      </c>
      <c r="AE164" s="180" t="str">
        <f ca="1"/>
        <v/>
      </c>
      <c r="AF164" s="180" t="str">
        <f ca="1"/>
        <v/>
      </c>
      <c r="AG164" s="180" t="str">
        <f ca="1"/>
        <v/>
      </c>
      <c r="AH164" s="180" t="str">
        <f ca="1"/>
        <v/>
      </c>
      <c r="AI164" s="180" t="str">
        <f ca="1"/>
        <v/>
      </c>
      <c r="AJ164" s="180" t="str">
        <f ca="1"/>
        <v/>
      </c>
      <c r="AK164" s="180" t="str">
        <f ca="1"/>
        <v/>
      </c>
      <c r="AL164" s="180" t="str">
        <f ca="1"/>
        <v/>
      </c>
      <c r="AM164" s="180" t="str">
        <f ca="1"/>
        <v/>
      </c>
      <c r="AN164" s="180" t="str">
        <f ca="1"/>
        <v/>
      </c>
      <c r="AO164" s="180" t="str">
        <f ca="1"/>
        <v/>
      </c>
      <c r="AP164" s="180" t="str">
        <f ca="1"/>
        <v/>
      </c>
      <c r="AQ164" s="187" t="str">
        <f ca="1"/>
        <v/>
      </c>
    </row>
    <row r="165" spans="2:43" x14ac:dyDescent="0.25">
      <c r="B165" s="179" t="str">
        <f ca="1"/>
        <v/>
      </c>
      <c r="C165" s="180" t="str">
        <f ca="1"/>
        <v/>
      </c>
      <c r="D165" s="180" t="str">
        <f ca="1"/>
        <v/>
      </c>
      <c r="E165" s="180" t="str">
        <f ca="1"/>
        <v/>
      </c>
      <c r="F165" s="180" t="str">
        <f ca="1"/>
        <v/>
      </c>
      <c r="G165" s="180" t="str">
        <f ca="1"/>
        <v/>
      </c>
      <c r="H165" s="180" t="str">
        <f ca="1"/>
        <v/>
      </c>
      <c r="I165" s="180" t="str">
        <f ca="1"/>
        <v/>
      </c>
      <c r="J165" s="180" t="str">
        <f ca="1"/>
        <v/>
      </c>
      <c r="K165" s="180" t="str">
        <f ca="1"/>
        <v/>
      </c>
      <c r="L165" s="180" t="str">
        <f ca="1"/>
        <v/>
      </c>
      <c r="M165" s="180" t="str">
        <f ca="1"/>
        <v/>
      </c>
      <c r="N165" s="180" t="str">
        <f ca="1"/>
        <v/>
      </c>
      <c r="O165" s="180" t="str">
        <f ca="1"/>
        <v/>
      </c>
      <c r="P165" s="180" t="str">
        <f ca="1"/>
        <v/>
      </c>
      <c r="Q165" s="180" t="str">
        <f ca="1"/>
        <v/>
      </c>
      <c r="R165" s="180" t="str">
        <f ca="1"/>
        <v/>
      </c>
      <c r="S165" s="180" t="str">
        <f ca="1"/>
        <v/>
      </c>
      <c r="T165" s="180" t="str">
        <f ca="1"/>
        <v/>
      </c>
      <c r="U165" s="180" t="str">
        <f ca="1"/>
        <v/>
      </c>
      <c r="V165" s="180" t="str">
        <f ca="1"/>
        <v/>
      </c>
      <c r="W165" s="180" t="str">
        <f ca="1"/>
        <v/>
      </c>
      <c r="X165" s="180" t="str">
        <f ca="1"/>
        <v/>
      </c>
      <c r="Y165" s="180" t="str">
        <f ca="1"/>
        <v/>
      </c>
      <c r="Z165" s="180" t="str">
        <f ca="1"/>
        <v/>
      </c>
      <c r="AA165" s="180" t="str">
        <f ca="1"/>
        <v/>
      </c>
      <c r="AB165" s="180" t="str">
        <f ca="1"/>
        <v/>
      </c>
      <c r="AC165" s="180" t="str">
        <f ca="1"/>
        <v/>
      </c>
      <c r="AD165" s="180" t="str">
        <f ca="1"/>
        <v/>
      </c>
      <c r="AE165" s="180" t="str">
        <f ca="1"/>
        <v/>
      </c>
      <c r="AF165" s="180" t="str">
        <f ca="1"/>
        <v/>
      </c>
      <c r="AG165" s="180" t="str">
        <f ca="1"/>
        <v/>
      </c>
      <c r="AH165" s="180" t="str">
        <f ca="1"/>
        <v/>
      </c>
      <c r="AI165" s="180" t="str">
        <f ca="1"/>
        <v/>
      </c>
      <c r="AJ165" s="180" t="str">
        <f ca="1"/>
        <v/>
      </c>
      <c r="AK165" s="180" t="str">
        <f ca="1"/>
        <v/>
      </c>
      <c r="AL165" s="180" t="str">
        <f ca="1"/>
        <v/>
      </c>
      <c r="AM165" s="180" t="str">
        <f ca="1"/>
        <v/>
      </c>
      <c r="AN165" s="180" t="str">
        <f ca="1"/>
        <v/>
      </c>
      <c r="AO165" s="180" t="str">
        <f ca="1"/>
        <v/>
      </c>
      <c r="AP165" s="180" t="str">
        <f ca="1"/>
        <v/>
      </c>
      <c r="AQ165" s="187" t="str">
        <f ca="1"/>
        <v/>
      </c>
    </row>
    <row r="166" spans="2:43" x14ac:dyDescent="0.25">
      <c r="B166" s="179" t="str">
        <f ca="1"/>
        <v/>
      </c>
      <c r="C166" s="180" t="str">
        <f ca="1"/>
        <v/>
      </c>
      <c r="D166" s="180" t="str">
        <f ca="1"/>
        <v/>
      </c>
      <c r="E166" s="180" t="str">
        <f ca="1"/>
        <v/>
      </c>
      <c r="F166" s="180" t="str">
        <f ca="1"/>
        <v/>
      </c>
      <c r="G166" s="180" t="str">
        <f ca="1"/>
        <v/>
      </c>
      <c r="H166" s="180" t="str">
        <f ca="1"/>
        <v/>
      </c>
      <c r="I166" s="180" t="str">
        <f ca="1"/>
        <v/>
      </c>
      <c r="J166" s="180" t="str">
        <f ca="1"/>
        <v/>
      </c>
      <c r="K166" s="180" t="str">
        <f ca="1"/>
        <v/>
      </c>
      <c r="L166" s="180" t="str">
        <f ca="1"/>
        <v/>
      </c>
      <c r="M166" s="180" t="str">
        <f ca="1"/>
        <v/>
      </c>
      <c r="N166" s="180" t="str">
        <f ca="1"/>
        <v/>
      </c>
      <c r="O166" s="180" t="str">
        <f ca="1"/>
        <v/>
      </c>
      <c r="P166" s="180" t="str">
        <f ca="1"/>
        <v/>
      </c>
      <c r="Q166" s="180" t="str">
        <f ca="1"/>
        <v/>
      </c>
      <c r="R166" s="180" t="str">
        <f ca="1"/>
        <v/>
      </c>
      <c r="S166" s="180" t="str">
        <f ca="1"/>
        <v/>
      </c>
      <c r="T166" s="180" t="str">
        <f ca="1"/>
        <v/>
      </c>
      <c r="U166" s="180" t="str">
        <f ca="1"/>
        <v/>
      </c>
      <c r="V166" s="180" t="str">
        <f ca="1"/>
        <v/>
      </c>
      <c r="W166" s="180" t="str">
        <f ca="1"/>
        <v/>
      </c>
      <c r="X166" s="180" t="str">
        <f ca="1"/>
        <v/>
      </c>
      <c r="Y166" s="180" t="str">
        <f ca="1"/>
        <v/>
      </c>
      <c r="Z166" s="180" t="str">
        <f ca="1"/>
        <v/>
      </c>
      <c r="AA166" s="180" t="str">
        <f ca="1"/>
        <v/>
      </c>
      <c r="AB166" s="180" t="str">
        <f ca="1"/>
        <v/>
      </c>
      <c r="AC166" s="180" t="str">
        <f ca="1"/>
        <v/>
      </c>
      <c r="AD166" s="180" t="str">
        <f ca="1"/>
        <v/>
      </c>
      <c r="AE166" s="180" t="str">
        <f ca="1"/>
        <v/>
      </c>
      <c r="AF166" s="180" t="str">
        <f ca="1"/>
        <v/>
      </c>
      <c r="AG166" s="180" t="str">
        <f ca="1"/>
        <v/>
      </c>
      <c r="AH166" s="180" t="str">
        <f ca="1"/>
        <v/>
      </c>
      <c r="AI166" s="180" t="str">
        <f ca="1"/>
        <v/>
      </c>
      <c r="AJ166" s="180" t="str">
        <f ca="1"/>
        <v/>
      </c>
      <c r="AK166" s="180" t="str">
        <f ca="1"/>
        <v/>
      </c>
      <c r="AL166" s="180" t="str">
        <f ca="1"/>
        <v/>
      </c>
      <c r="AM166" s="180" t="str">
        <f ca="1"/>
        <v/>
      </c>
      <c r="AN166" s="180" t="str">
        <f ca="1"/>
        <v/>
      </c>
      <c r="AO166" s="180" t="str">
        <f ca="1"/>
        <v/>
      </c>
      <c r="AP166" s="180" t="str">
        <f ca="1"/>
        <v/>
      </c>
      <c r="AQ166" s="187" t="str">
        <f ca="1"/>
        <v/>
      </c>
    </row>
    <row r="167" spans="2:43" x14ac:dyDescent="0.25">
      <c r="B167" s="179" t="str">
        <f ca="1"/>
        <v/>
      </c>
      <c r="C167" s="180" t="str">
        <f ca="1"/>
        <v/>
      </c>
      <c r="D167" s="180" t="str">
        <f ca="1"/>
        <v/>
      </c>
      <c r="E167" s="180" t="str">
        <f ca="1"/>
        <v/>
      </c>
      <c r="F167" s="180" t="str">
        <f ca="1"/>
        <v/>
      </c>
      <c r="G167" s="180" t="str">
        <f ca="1"/>
        <v/>
      </c>
      <c r="H167" s="180" t="str">
        <f ca="1"/>
        <v/>
      </c>
      <c r="I167" s="180" t="str">
        <f ca="1"/>
        <v/>
      </c>
      <c r="J167" s="180" t="str">
        <f ca="1"/>
        <v/>
      </c>
      <c r="K167" s="180" t="str">
        <f ca="1"/>
        <v/>
      </c>
      <c r="L167" s="180" t="str">
        <f ca="1"/>
        <v/>
      </c>
      <c r="M167" s="180" t="str">
        <f ca="1"/>
        <v/>
      </c>
      <c r="N167" s="180" t="str">
        <f ca="1"/>
        <v/>
      </c>
      <c r="O167" s="180" t="str">
        <f ca="1"/>
        <v/>
      </c>
      <c r="P167" s="180" t="str">
        <f ca="1"/>
        <v/>
      </c>
      <c r="Q167" s="180" t="str">
        <f ca="1"/>
        <v/>
      </c>
      <c r="R167" s="180" t="str">
        <f ca="1"/>
        <v/>
      </c>
      <c r="S167" s="180" t="str">
        <f ca="1"/>
        <v/>
      </c>
      <c r="T167" s="180" t="str">
        <f ca="1"/>
        <v/>
      </c>
      <c r="U167" s="180" t="str">
        <f ca="1"/>
        <v/>
      </c>
      <c r="V167" s="180" t="str">
        <f ca="1"/>
        <v/>
      </c>
      <c r="W167" s="180" t="str">
        <f ca="1"/>
        <v/>
      </c>
      <c r="X167" s="180" t="str">
        <f ca="1"/>
        <v/>
      </c>
      <c r="Y167" s="180" t="str">
        <f ca="1"/>
        <v/>
      </c>
      <c r="Z167" s="180" t="str">
        <f ca="1"/>
        <v/>
      </c>
      <c r="AA167" s="180" t="str">
        <f ca="1"/>
        <v/>
      </c>
      <c r="AB167" s="180" t="str">
        <f ca="1"/>
        <v/>
      </c>
      <c r="AC167" s="180" t="str">
        <f ca="1"/>
        <v/>
      </c>
      <c r="AD167" s="180" t="str">
        <f ca="1"/>
        <v/>
      </c>
      <c r="AE167" s="180" t="str">
        <f ca="1"/>
        <v/>
      </c>
      <c r="AF167" s="180" t="str">
        <f ca="1"/>
        <v/>
      </c>
      <c r="AG167" s="180" t="str">
        <f ca="1"/>
        <v/>
      </c>
      <c r="AH167" s="180" t="str">
        <f ca="1"/>
        <v/>
      </c>
      <c r="AI167" s="180" t="str">
        <f ca="1"/>
        <v/>
      </c>
      <c r="AJ167" s="180" t="str">
        <f ca="1"/>
        <v/>
      </c>
      <c r="AK167" s="180" t="str">
        <f ca="1"/>
        <v/>
      </c>
      <c r="AL167" s="180" t="str">
        <f ca="1"/>
        <v/>
      </c>
      <c r="AM167" s="180" t="str">
        <f ca="1"/>
        <v/>
      </c>
      <c r="AN167" s="180" t="str">
        <f ca="1"/>
        <v/>
      </c>
      <c r="AO167" s="180" t="str">
        <f ca="1"/>
        <v/>
      </c>
      <c r="AP167" s="180" t="str">
        <f ca="1"/>
        <v/>
      </c>
      <c r="AQ167" s="187" t="str">
        <f ca="1"/>
        <v/>
      </c>
    </row>
    <row r="168" spans="2:43" x14ac:dyDescent="0.25">
      <c r="B168" s="179" t="str">
        <f ca="1"/>
        <v/>
      </c>
      <c r="C168" s="180" t="str">
        <f ca="1"/>
        <v/>
      </c>
      <c r="D168" s="180" t="str">
        <f ca="1"/>
        <v/>
      </c>
      <c r="E168" s="180" t="str">
        <f ca="1"/>
        <v/>
      </c>
      <c r="F168" s="180" t="str">
        <f ca="1"/>
        <v/>
      </c>
      <c r="G168" s="180" t="str">
        <f ca="1"/>
        <v/>
      </c>
      <c r="H168" s="180" t="str">
        <f ca="1"/>
        <v/>
      </c>
      <c r="I168" s="180" t="str">
        <f ca="1"/>
        <v/>
      </c>
      <c r="J168" s="180" t="str">
        <f ca="1"/>
        <v/>
      </c>
      <c r="K168" s="180" t="str">
        <f ca="1"/>
        <v/>
      </c>
      <c r="L168" s="180" t="str">
        <f ca="1"/>
        <v/>
      </c>
      <c r="M168" s="180" t="str">
        <f ca="1"/>
        <v/>
      </c>
      <c r="N168" s="180" t="str">
        <f ca="1"/>
        <v/>
      </c>
      <c r="O168" s="180" t="str">
        <f ca="1"/>
        <v/>
      </c>
      <c r="P168" s="180" t="str">
        <f ca="1"/>
        <v/>
      </c>
      <c r="Q168" s="180" t="str">
        <f ca="1"/>
        <v/>
      </c>
      <c r="R168" s="180" t="str">
        <f ca="1"/>
        <v/>
      </c>
      <c r="S168" s="180" t="str">
        <f ca="1"/>
        <v/>
      </c>
      <c r="T168" s="180" t="str">
        <f ca="1"/>
        <v/>
      </c>
      <c r="U168" s="180" t="str">
        <f ca="1"/>
        <v/>
      </c>
      <c r="V168" s="180" t="str">
        <f ca="1"/>
        <v/>
      </c>
      <c r="W168" s="180" t="str">
        <f ca="1"/>
        <v/>
      </c>
      <c r="X168" s="180" t="str">
        <f ca="1"/>
        <v/>
      </c>
      <c r="Y168" s="180" t="str">
        <f ca="1"/>
        <v/>
      </c>
      <c r="Z168" s="180" t="str">
        <f ca="1"/>
        <v/>
      </c>
      <c r="AA168" s="180" t="str">
        <f ca="1"/>
        <v/>
      </c>
      <c r="AB168" s="180" t="str">
        <f ca="1"/>
        <v/>
      </c>
      <c r="AC168" s="180" t="str">
        <f ca="1"/>
        <v/>
      </c>
      <c r="AD168" s="180" t="str">
        <f ca="1"/>
        <v/>
      </c>
      <c r="AE168" s="180" t="str">
        <f ca="1"/>
        <v/>
      </c>
      <c r="AF168" s="180" t="str">
        <f ca="1"/>
        <v/>
      </c>
      <c r="AG168" s="180" t="str">
        <f ca="1"/>
        <v/>
      </c>
      <c r="AH168" s="180" t="str">
        <f ca="1"/>
        <v/>
      </c>
      <c r="AI168" s="180" t="str">
        <f ca="1"/>
        <v/>
      </c>
      <c r="AJ168" s="180" t="str">
        <f ca="1"/>
        <v/>
      </c>
      <c r="AK168" s="180" t="str">
        <f ca="1"/>
        <v/>
      </c>
      <c r="AL168" s="180" t="str">
        <f ca="1"/>
        <v/>
      </c>
      <c r="AM168" s="180" t="str">
        <f ca="1"/>
        <v/>
      </c>
      <c r="AN168" s="180" t="str">
        <f ca="1"/>
        <v/>
      </c>
      <c r="AO168" s="180" t="str">
        <f ca="1"/>
        <v/>
      </c>
      <c r="AP168" s="180" t="str">
        <f ca="1"/>
        <v/>
      </c>
      <c r="AQ168" s="187" t="str">
        <f ca="1"/>
        <v/>
      </c>
    </row>
    <row r="169" spans="2:43" x14ac:dyDescent="0.25">
      <c r="B169" s="179" t="str">
        <f ca="1"/>
        <v/>
      </c>
      <c r="C169" s="180" t="str">
        <f ca="1"/>
        <v/>
      </c>
      <c r="D169" s="180" t="str">
        <f ca="1"/>
        <v/>
      </c>
      <c r="E169" s="180" t="str">
        <f ca="1"/>
        <v/>
      </c>
      <c r="F169" s="180" t="str">
        <f ca="1"/>
        <v/>
      </c>
      <c r="G169" s="180" t="str">
        <f ca="1"/>
        <v/>
      </c>
      <c r="H169" s="180" t="str">
        <f ca="1"/>
        <v/>
      </c>
      <c r="I169" s="180" t="str">
        <f ca="1"/>
        <v/>
      </c>
      <c r="J169" s="180" t="str">
        <f ca="1"/>
        <v/>
      </c>
      <c r="K169" s="180" t="str">
        <f ca="1"/>
        <v/>
      </c>
      <c r="L169" s="180" t="str">
        <f ca="1"/>
        <v/>
      </c>
      <c r="M169" s="180" t="str">
        <f ca="1"/>
        <v/>
      </c>
      <c r="N169" s="180" t="str">
        <f ca="1"/>
        <v/>
      </c>
      <c r="O169" s="180" t="str">
        <f ca="1"/>
        <v/>
      </c>
      <c r="P169" s="180" t="str">
        <f ca="1"/>
        <v/>
      </c>
      <c r="Q169" s="180" t="str">
        <f ca="1"/>
        <v/>
      </c>
      <c r="R169" s="180" t="str">
        <f ca="1"/>
        <v/>
      </c>
      <c r="S169" s="180" t="str">
        <f ca="1"/>
        <v/>
      </c>
      <c r="T169" s="180" t="str">
        <f ca="1"/>
        <v/>
      </c>
      <c r="U169" s="180" t="str">
        <f ca="1"/>
        <v/>
      </c>
      <c r="V169" s="180" t="str">
        <f ca="1"/>
        <v/>
      </c>
      <c r="W169" s="180" t="str">
        <f ca="1"/>
        <v/>
      </c>
      <c r="X169" s="180" t="str">
        <f ca="1"/>
        <v/>
      </c>
      <c r="Y169" s="180" t="str">
        <f ca="1"/>
        <v/>
      </c>
      <c r="Z169" s="180" t="str">
        <f ca="1"/>
        <v/>
      </c>
      <c r="AA169" s="180" t="str">
        <f ca="1"/>
        <v/>
      </c>
      <c r="AB169" s="180" t="str">
        <f ca="1"/>
        <v/>
      </c>
      <c r="AC169" s="180" t="str">
        <f ca="1"/>
        <v/>
      </c>
      <c r="AD169" s="180" t="str">
        <f ca="1"/>
        <v/>
      </c>
      <c r="AE169" s="180" t="str">
        <f ca="1"/>
        <v/>
      </c>
      <c r="AF169" s="180" t="str">
        <f ca="1"/>
        <v/>
      </c>
      <c r="AG169" s="180" t="str">
        <f ca="1"/>
        <v/>
      </c>
      <c r="AH169" s="180" t="str">
        <f ca="1"/>
        <v/>
      </c>
      <c r="AI169" s="180" t="str">
        <f ca="1"/>
        <v/>
      </c>
      <c r="AJ169" s="180" t="str">
        <f ca="1"/>
        <v/>
      </c>
      <c r="AK169" s="180" t="str">
        <f ca="1"/>
        <v/>
      </c>
      <c r="AL169" s="180" t="str">
        <f ca="1"/>
        <v/>
      </c>
      <c r="AM169" s="180" t="str">
        <f ca="1"/>
        <v/>
      </c>
      <c r="AN169" s="180" t="str">
        <f ca="1"/>
        <v/>
      </c>
      <c r="AO169" s="180" t="str">
        <f ca="1"/>
        <v/>
      </c>
      <c r="AP169" s="180" t="str">
        <f ca="1"/>
        <v/>
      </c>
      <c r="AQ169" s="187" t="str">
        <f ca="1"/>
        <v/>
      </c>
    </row>
    <row r="170" spans="2:43" x14ac:dyDescent="0.25">
      <c r="B170" s="179" t="str">
        <f ca="1"/>
        <v/>
      </c>
      <c r="C170" s="180" t="str">
        <f ca="1"/>
        <v/>
      </c>
      <c r="D170" s="180" t="str">
        <f ca="1"/>
        <v/>
      </c>
      <c r="E170" s="180" t="str">
        <f ca="1"/>
        <v/>
      </c>
      <c r="F170" s="180" t="str">
        <f ca="1"/>
        <v/>
      </c>
      <c r="G170" s="180" t="str">
        <f ca="1"/>
        <v/>
      </c>
      <c r="H170" s="180" t="str">
        <f ca="1"/>
        <v/>
      </c>
      <c r="I170" s="180" t="str">
        <f ca="1"/>
        <v/>
      </c>
      <c r="J170" s="180" t="str">
        <f ca="1"/>
        <v/>
      </c>
      <c r="K170" s="180" t="str">
        <f ca="1"/>
        <v/>
      </c>
      <c r="L170" s="180" t="str">
        <f ca="1"/>
        <v/>
      </c>
      <c r="M170" s="180" t="str">
        <f ca="1"/>
        <v/>
      </c>
      <c r="N170" s="180" t="str">
        <f ca="1"/>
        <v/>
      </c>
      <c r="O170" s="180" t="str">
        <f ca="1"/>
        <v/>
      </c>
      <c r="P170" s="180" t="str">
        <f ca="1"/>
        <v/>
      </c>
      <c r="Q170" s="180" t="str">
        <f ca="1"/>
        <v/>
      </c>
      <c r="R170" s="180" t="str">
        <f ca="1"/>
        <v/>
      </c>
      <c r="S170" s="180" t="str">
        <f ca="1"/>
        <v/>
      </c>
      <c r="T170" s="180" t="str">
        <f ca="1"/>
        <v/>
      </c>
      <c r="U170" s="180" t="str">
        <f ca="1"/>
        <v/>
      </c>
      <c r="V170" s="180" t="str">
        <f ca="1"/>
        <v/>
      </c>
      <c r="W170" s="180" t="str">
        <f ca="1"/>
        <v/>
      </c>
      <c r="X170" s="180" t="str">
        <f ca="1"/>
        <v/>
      </c>
      <c r="Y170" s="180" t="str">
        <f ca="1"/>
        <v/>
      </c>
      <c r="Z170" s="180" t="str">
        <f ca="1"/>
        <v/>
      </c>
      <c r="AA170" s="180" t="str">
        <f ca="1"/>
        <v/>
      </c>
      <c r="AB170" s="180" t="str">
        <f ca="1"/>
        <v/>
      </c>
      <c r="AC170" s="180" t="str">
        <f ca="1"/>
        <v/>
      </c>
      <c r="AD170" s="180" t="str">
        <f ca="1"/>
        <v/>
      </c>
      <c r="AE170" s="180" t="str">
        <f ca="1"/>
        <v/>
      </c>
      <c r="AF170" s="180" t="str">
        <f ca="1"/>
        <v/>
      </c>
      <c r="AG170" s="180" t="str">
        <f ca="1"/>
        <v/>
      </c>
      <c r="AH170" s="180" t="str">
        <f ca="1"/>
        <v/>
      </c>
      <c r="AI170" s="180" t="str">
        <f ca="1"/>
        <v/>
      </c>
      <c r="AJ170" s="180" t="str">
        <f ca="1"/>
        <v/>
      </c>
      <c r="AK170" s="180" t="str">
        <f ca="1"/>
        <v/>
      </c>
      <c r="AL170" s="180" t="str">
        <f ca="1"/>
        <v/>
      </c>
      <c r="AM170" s="180" t="str">
        <f ca="1"/>
        <v/>
      </c>
      <c r="AN170" s="180" t="str">
        <f ca="1"/>
        <v/>
      </c>
      <c r="AO170" s="180" t="str">
        <f ca="1"/>
        <v/>
      </c>
      <c r="AP170" s="180" t="str">
        <f ca="1"/>
        <v/>
      </c>
      <c r="AQ170" s="187" t="str">
        <f ca="1"/>
        <v/>
      </c>
    </row>
    <row r="171" spans="2:43" x14ac:dyDescent="0.25">
      <c r="B171" s="179" t="str">
        <f ca="1"/>
        <v/>
      </c>
      <c r="C171" s="180" t="str">
        <f ca="1"/>
        <v/>
      </c>
      <c r="D171" s="180" t="str">
        <f ca="1"/>
        <v/>
      </c>
      <c r="E171" s="180" t="str">
        <f ca="1"/>
        <v/>
      </c>
      <c r="F171" s="180" t="str">
        <f ca="1"/>
        <v/>
      </c>
      <c r="G171" s="180" t="str">
        <f ca="1"/>
        <v/>
      </c>
      <c r="H171" s="180" t="str">
        <f ca="1"/>
        <v/>
      </c>
      <c r="I171" s="180" t="str">
        <f ca="1"/>
        <v/>
      </c>
      <c r="J171" s="180" t="str">
        <f ca="1"/>
        <v/>
      </c>
      <c r="K171" s="180" t="str">
        <f ca="1"/>
        <v/>
      </c>
      <c r="L171" s="180" t="str">
        <f ca="1"/>
        <v/>
      </c>
      <c r="M171" s="180" t="str">
        <f ca="1"/>
        <v/>
      </c>
      <c r="N171" s="180" t="str">
        <f ca="1"/>
        <v/>
      </c>
      <c r="O171" s="180" t="str">
        <f ca="1"/>
        <v/>
      </c>
      <c r="P171" s="180" t="str">
        <f ca="1"/>
        <v/>
      </c>
      <c r="Q171" s="180" t="str">
        <f ca="1"/>
        <v/>
      </c>
      <c r="R171" s="180" t="str">
        <f ca="1"/>
        <v/>
      </c>
      <c r="S171" s="180" t="str">
        <f ca="1"/>
        <v/>
      </c>
      <c r="T171" s="180" t="str">
        <f ca="1"/>
        <v/>
      </c>
      <c r="U171" s="180" t="str">
        <f ca="1"/>
        <v/>
      </c>
      <c r="V171" s="180" t="str">
        <f ca="1"/>
        <v/>
      </c>
      <c r="W171" s="180" t="str">
        <f ca="1"/>
        <v/>
      </c>
      <c r="X171" s="180" t="str">
        <f ca="1"/>
        <v/>
      </c>
      <c r="Y171" s="180" t="str">
        <f ca="1"/>
        <v/>
      </c>
      <c r="Z171" s="180" t="str">
        <f ca="1"/>
        <v/>
      </c>
      <c r="AA171" s="180" t="str">
        <f ca="1"/>
        <v/>
      </c>
      <c r="AB171" s="180" t="str">
        <f ca="1"/>
        <v/>
      </c>
      <c r="AC171" s="180" t="str">
        <f ca="1"/>
        <v/>
      </c>
      <c r="AD171" s="180" t="str">
        <f ca="1"/>
        <v/>
      </c>
      <c r="AE171" s="180" t="str">
        <f ca="1"/>
        <v/>
      </c>
      <c r="AF171" s="180" t="str">
        <f ca="1"/>
        <v/>
      </c>
      <c r="AG171" s="180" t="str">
        <f ca="1"/>
        <v/>
      </c>
      <c r="AH171" s="180" t="str">
        <f ca="1"/>
        <v/>
      </c>
      <c r="AI171" s="180" t="str">
        <f ca="1"/>
        <v/>
      </c>
      <c r="AJ171" s="180" t="str">
        <f ca="1"/>
        <v/>
      </c>
      <c r="AK171" s="180" t="str">
        <f ca="1"/>
        <v/>
      </c>
      <c r="AL171" s="180" t="str">
        <f ca="1"/>
        <v/>
      </c>
      <c r="AM171" s="180" t="str">
        <f ca="1"/>
        <v/>
      </c>
      <c r="AN171" s="180" t="str">
        <f ca="1"/>
        <v/>
      </c>
      <c r="AO171" s="180" t="str">
        <f ca="1"/>
        <v/>
      </c>
      <c r="AP171" s="180" t="str">
        <f ca="1"/>
        <v/>
      </c>
      <c r="AQ171" s="187" t="str">
        <f ca="1"/>
        <v/>
      </c>
    </row>
    <row r="172" spans="2:43" x14ac:dyDescent="0.25">
      <c r="B172" s="179" t="str">
        <f ca="1"/>
        <v/>
      </c>
      <c r="C172" s="180" t="str">
        <f ca="1"/>
        <v/>
      </c>
      <c r="D172" s="180" t="str">
        <f ca="1"/>
        <v/>
      </c>
      <c r="E172" s="180" t="str">
        <f ca="1"/>
        <v/>
      </c>
      <c r="F172" s="180" t="str">
        <f ca="1"/>
        <v/>
      </c>
      <c r="G172" s="180" t="str">
        <f ca="1"/>
        <v/>
      </c>
      <c r="H172" s="180" t="str">
        <f ca="1"/>
        <v/>
      </c>
      <c r="I172" s="180" t="str">
        <f ca="1"/>
        <v/>
      </c>
      <c r="J172" s="180" t="str">
        <f ca="1"/>
        <v/>
      </c>
      <c r="K172" s="180" t="str">
        <f ca="1"/>
        <v/>
      </c>
      <c r="L172" s="180" t="str">
        <f ca="1"/>
        <v/>
      </c>
      <c r="M172" s="180" t="str">
        <f ca="1"/>
        <v/>
      </c>
      <c r="N172" s="180" t="str">
        <f ca="1"/>
        <v/>
      </c>
      <c r="O172" s="180" t="str">
        <f ca="1"/>
        <v/>
      </c>
      <c r="P172" s="180" t="str">
        <f ca="1"/>
        <v/>
      </c>
      <c r="Q172" s="180" t="str">
        <f ca="1"/>
        <v/>
      </c>
      <c r="R172" s="180" t="str">
        <f ca="1"/>
        <v/>
      </c>
      <c r="S172" s="180" t="str">
        <f ca="1"/>
        <v/>
      </c>
      <c r="T172" s="180" t="str">
        <f ca="1"/>
        <v/>
      </c>
      <c r="U172" s="180" t="str">
        <f ca="1"/>
        <v/>
      </c>
      <c r="V172" s="180" t="str">
        <f ca="1"/>
        <v/>
      </c>
      <c r="W172" s="180" t="str">
        <f ca="1"/>
        <v/>
      </c>
      <c r="X172" s="180" t="str">
        <f ca="1"/>
        <v/>
      </c>
      <c r="Y172" s="180" t="str">
        <f ca="1"/>
        <v/>
      </c>
      <c r="Z172" s="180" t="str">
        <f ca="1"/>
        <v/>
      </c>
      <c r="AA172" s="180" t="str">
        <f ca="1"/>
        <v/>
      </c>
      <c r="AB172" s="180" t="str">
        <f ca="1"/>
        <v/>
      </c>
      <c r="AC172" s="180" t="str">
        <f ca="1"/>
        <v/>
      </c>
      <c r="AD172" s="180" t="str">
        <f ca="1"/>
        <v/>
      </c>
      <c r="AE172" s="180" t="str">
        <f ca="1"/>
        <v/>
      </c>
      <c r="AF172" s="180" t="str">
        <f ca="1"/>
        <v/>
      </c>
      <c r="AG172" s="180" t="str">
        <f ca="1"/>
        <v/>
      </c>
      <c r="AH172" s="180" t="str">
        <f ca="1"/>
        <v/>
      </c>
      <c r="AI172" s="180" t="str">
        <f ca="1"/>
        <v/>
      </c>
      <c r="AJ172" s="180" t="str">
        <f ca="1"/>
        <v/>
      </c>
      <c r="AK172" s="180" t="str">
        <f ca="1"/>
        <v/>
      </c>
      <c r="AL172" s="180" t="str">
        <f ca="1"/>
        <v/>
      </c>
      <c r="AM172" s="180" t="str">
        <f ca="1"/>
        <v/>
      </c>
      <c r="AN172" s="180" t="str">
        <f ca="1"/>
        <v/>
      </c>
      <c r="AO172" s="180" t="str">
        <f ca="1"/>
        <v/>
      </c>
      <c r="AP172" s="180" t="str">
        <f ca="1"/>
        <v/>
      </c>
      <c r="AQ172" s="187" t="str">
        <f ca="1"/>
        <v/>
      </c>
    </row>
    <row r="173" spans="2:43" x14ac:dyDescent="0.25">
      <c r="B173" s="179" t="str">
        <f ca="1"/>
        <v/>
      </c>
      <c r="C173" s="180" t="str">
        <f ca="1"/>
        <v/>
      </c>
      <c r="D173" s="180" t="str">
        <f ca="1"/>
        <v/>
      </c>
      <c r="E173" s="180" t="str">
        <f ca="1"/>
        <v/>
      </c>
      <c r="F173" s="180" t="str">
        <f ca="1"/>
        <v/>
      </c>
      <c r="G173" s="180" t="str">
        <f ca="1"/>
        <v/>
      </c>
      <c r="H173" s="180" t="str">
        <f ca="1"/>
        <v/>
      </c>
      <c r="I173" s="180" t="str">
        <f ca="1"/>
        <v/>
      </c>
      <c r="J173" s="180" t="str">
        <f ca="1"/>
        <v/>
      </c>
      <c r="K173" s="180" t="str">
        <f ca="1"/>
        <v/>
      </c>
      <c r="L173" s="180" t="str">
        <f ca="1"/>
        <v/>
      </c>
      <c r="M173" s="180" t="str">
        <f ca="1"/>
        <v/>
      </c>
      <c r="N173" s="180" t="str">
        <f ca="1"/>
        <v/>
      </c>
      <c r="O173" s="180" t="str">
        <f ca="1"/>
        <v/>
      </c>
      <c r="P173" s="180" t="str">
        <f ca="1"/>
        <v/>
      </c>
      <c r="Q173" s="180" t="str">
        <f ca="1"/>
        <v/>
      </c>
      <c r="R173" s="180" t="str">
        <f ca="1"/>
        <v/>
      </c>
      <c r="S173" s="180" t="str">
        <f ca="1"/>
        <v/>
      </c>
      <c r="T173" s="180" t="str">
        <f ca="1"/>
        <v/>
      </c>
      <c r="U173" s="180" t="str">
        <f ca="1"/>
        <v/>
      </c>
      <c r="V173" s="180" t="str">
        <f ca="1"/>
        <v/>
      </c>
      <c r="W173" s="180" t="str">
        <f ca="1"/>
        <v/>
      </c>
      <c r="X173" s="180" t="str">
        <f ca="1"/>
        <v/>
      </c>
      <c r="Y173" s="180" t="str">
        <f ca="1"/>
        <v/>
      </c>
      <c r="Z173" s="180" t="str">
        <f ca="1"/>
        <v/>
      </c>
      <c r="AA173" s="180" t="str">
        <f ca="1"/>
        <v/>
      </c>
      <c r="AB173" s="180" t="str">
        <f ca="1"/>
        <v/>
      </c>
      <c r="AC173" s="180" t="str">
        <f ca="1"/>
        <v/>
      </c>
      <c r="AD173" s="180" t="str">
        <f ca="1"/>
        <v/>
      </c>
      <c r="AE173" s="180" t="str">
        <f ca="1"/>
        <v/>
      </c>
      <c r="AF173" s="180" t="str">
        <f ca="1"/>
        <v/>
      </c>
      <c r="AG173" s="180" t="str">
        <f ca="1"/>
        <v/>
      </c>
      <c r="AH173" s="180" t="str">
        <f ca="1"/>
        <v/>
      </c>
      <c r="AI173" s="180" t="str">
        <f ca="1"/>
        <v/>
      </c>
      <c r="AJ173" s="180" t="str">
        <f ca="1"/>
        <v/>
      </c>
      <c r="AK173" s="180" t="str">
        <f ca="1"/>
        <v/>
      </c>
      <c r="AL173" s="180" t="str">
        <f ca="1"/>
        <v/>
      </c>
      <c r="AM173" s="180" t="str">
        <f ca="1"/>
        <v/>
      </c>
      <c r="AN173" s="180" t="str">
        <f ca="1"/>
        <v/>
      </c>
      <c r="AO173" s="180" t="str">
        <f ca="1"/>
        <v/>
      </c>
      <c r="AP173" s="180" t="str">
        <f ca="1"/>
        <v/>
      </c>
      <c r="AQ173" s="187" t="str">
        <f ca="1"/>
        <v/>
      </c>
    </row>
    <row r="174" spans="2:43" x14ac:dyDescent="0.25">
      <c r="B174" s="179" t="str">
        <f ca="1"/>
        <v/>
      </c>
      <c r="C174" s="180" t="str">
        <f ca="1"/>
        <v/>
      </c>
      <c r="D174" s="180" t="str">
        <f ca="1"/>
        <v/>
      </c>
      <c r="E174" s="180" t="str">
        <f ca="1"/>
        <v/>
      </c>
      <c r="F174" s="180" t="str">
        <f ca="1"/>
        <v/>
      </c>
      <c r="G174" s="180" t="str">
        <f ca="1"/>
        <v/>
      </c>
      <c r="H174" s="180" t="str">
        <f ca="1"/>
        <v/>
      </c>
      <c r="I174" s="180" t="str">
        <f ca="1"/>
        <v/>
      </c>
      <c r="J174" s="180" t="str">
        <f ca="1"/>
        <v/>
      </c>
      <c r="K174" s="180" t="str">
        <f ca="1"/>
        <v/>
      </c>
      <c r="L174" s="180" t="str">
        <f ca="1"/>
        <v/>
      </c>
      <c r="M174" s="180" t="str">
        <f ca="1"/>
        <v/>
      </c>
      <c r="N174" s="180" t="str">
        <f ca="1"/>
        <v/>
      </c>
      <c r="O174" s="180" t="str">
        <f ca="1"/>
        <v/>
      </c>
      <c r="P174" s="180" t="str">
        <f ca="1"/>
        <v/>
      </c>
      <c r="Q174" s="180" t="str">
        <f ca="1"/>
        <v/>
      </c>
      <c r="R174" s="180" t="str">
        <f ca="1"/>
        <v/>
      </c>
      <c r="S174" s="180" t="str">
        <f ca="1"/>
        <v/>
      </c>
      <c r="T174" s="180" t="str">
        <f ca="1"/>
        <v/>
      </c>
      <c r="U174" s="180" t="str">
        <f ca="1"/>
        <v/>
      </c>
      <c r="V174" s="180" t="str">
        <f ca="1"/>
        <v/>
      </c>
      <c r="W174" s="180" t="str">
        <f ca="1"/>
        <v/>
      </c>
      <c r="X174" s="180" t="str">
        <f ca="1"/>
        <v/>
      </c>
      <c r="Y174" s="180" t="str">
        <f ca="1"/>
        <v/>
      </c>
      <c r="Z174" s="180" t="str">
        <f ca="1"/>
        <v/>
      </c>
      <c r="AA174" s="180" t="str">
        <f ca="1"/>
        <v/>
      </c>
      <c r="AB174" s="180" t="str">
        <f ca="1"/>
        <v/>
      </c>
      <c r="AC174" s="180" t="str">
        <f ca="1"/>
        <v/>
      </c>
      <c r="AD174" s="180" t="str">
        <f ca="1"/>
        <v/>
      </c>
      <c r="AE174" s="180" t="str">
        <f ca="1"/>
        <v/>
      </c>
      <c r="AF174" s="180" t="str">
        <f ca="1"/>
        <v/>
      </c>
      <c r="AG174" s="180" t="str">
        <f ca="1"/>
        <v/>
      </c>
      <c r="AH174" s="180" t="str">
        <f ca="1"/>
        <v/>
      </c>
      <c r="AI174" s="180" t="str">
        <f ca="1"/>
        <v/>
      </c>
      <c r="AJ174" s="180" t="str">
        <f ca="1"/>
        <v/>
      </c>
      <c r="AK174" s="180" t="str">
        <f ca="1"/>
        <v/>
      </c>
      <c r="AL174" s="180" t="str">
        <f ca="1"/>
        <v/>
      </c>
      <c r="AM174" s="180" t="str">
        <f ca="1"/>
        <v/>
      </c>
      <c r="AN174" s="180" t="str">
        <f ca="1"/>
        <v/>
      </c>
      <c r="AO174" s="180" t="str">
        <f ca="1"/>
        <v/>
      </c>
      <c r="AP174" s="180" t="str">
        <f ca="1"/>
        <v/>
      </c>
      <c r="AQ174" s="187" t="str">
        <f ca="1"/>
        <v/>
      </c>
    </row>
    <row r="175" spans="2:43" x14ac:dyDescent="0.25">
      <c r="B175" s="179" t="str">
        <f ca="1"/>
        <v/>
      </c>
      <c r="C175" s="180" t="str">
        <f ca="1"/>
        <v/>
      </c>
      <c r="D175" s="180" t="str">
        <f ca="1"/>
        <v/>
      </c>
      <c r="E175" s="180" t="str">
        <f ca="1"/>
        <v/>
      </c>
      <c r="F175" s="180" t="str">
        <f ca="1"/>
        <v/>
      </c>
      <c r="G175" s="180" t="str">
        <f ca="1"/>
        <v/>
      </c>
      <c r="H175" s="180" t="str">
        <f ca="1"/>
        <v/>
      </c>
      <c r="I175" s="180" t="str">
        <f ca="1"/>
        <v/>
      </c>
      <c r="J175" s="180" t="str">
        <f ca="1"/>
        <v/>
      </c>
      <c r="K175" s="180" t="str">
        <f ca="1"/>
        <v/>
      </c>
      <c r="L175" s="180" t="str">
        <f ca="1"/>
        <v/>
      </c>
      <c r="M175" s="180" t="str">
        <f ca="1"/>
        <v/>
      </c>
      <c r="N175" s="180" t="str">
        <f ca="1"/>
        <v/>
      </c>
      <c r="O175" s="180" t="str">
        <f ca="1"/>
        <v/>
      </c>
      <c r="P175" s="180" t="str">
        <f ca="1"/>
        <v/>
      </c>
      <c r="Q175" s="180" t="str">
        <f ca="1"/>
        <v/>
      </c>
      <c r="R175" s="180" t="str">
        <f ca="1"/>
        <v/>
      </c>
      <c r="S175" s="180" t="str">
        <f ca="1"/>
        <v/>
      </c>
      <c r="T175" s="180" t="str">
        <f ca="1"/>
        <v/>
      </c>
      <c r="U175" s="180" t="str">
        <f ca="1"/>
        <v/>
      </c>
      <c r="V175" s="180" t="str">
        <f ca="1"/>
        <v/>
      </c>
      <c r="W175" s="180" t="str">
        <f ca="1"/>
        <v/>
      </c>
      <c r="X175" s="180" t="str">
        <f ca="1"/>
        <v/>
      </c>
      <c r="Y175" s="180" t="str">
        <f ca="1"/>
        <v/>
      </c>
      <c r="Z175" s="180" t="str">
        <f ca="1"/>
        <v/>
      </c>
      <c r="AA175" s="180" t="str">
        <f ca="1"/>
        <v/>
      </c>
      <c r="AB175" s="180" t="str">
        <f ca="1"/>
        <v/>
      </c>
      <c r="AC175" s="180" t="str">
        <f ca="1"/>
        <v/>
      </c>
      <c r="AD175" s="180" t="str">
        <f ca="1"/>
        <v/>
      </c>
      <c r="AE175" s="180" t="str">
        <f ca="1"/>
        <v/>
      </c>
      <c r="AF175" s="180" t="str">
        <f ca="1"/>
        <v/>
      </c>
      <c r="AG175" s="180" t="str">
        <f ca="1"/>
        <v/>
      </c>
      <c r="AH175" s="180" t="str">
        <f ca="1"/>
        <v/>
      </c>
      <c r="AI175" s="180" t="str">
        <f ca="1"/>
        <v/>
      </c>
      <c r="AJ175" s="180" t="str">
        <f ca="1"/>
        <v/>
      </c>
      <c r="AK175" s="180" t="str">
        <f ca="1"/>
        <v/>
      </c>
      <c r="AL175" s="180" t="str">
        <f ca="1"/>
        <v/>
      </c>
      <c r="AM175" s="180" t="str">
        <f ca="1"/>
        <v/>
      </c>
      <c r="AN175" s="180" t="str">
        <f ca="1"/>
        <v/>
      </c>
      <c r="AO175" s="180" t="str">
        <f ca="1"/>
        <v/>
      </c>
      <c r="AP175" s="180" t="str">
        <f ca="1"/>
        <v/>
      </c>
      <c r="AQ175" s="187" t="str">
        <f ca="1"/>
        <v/>
      </c>
    </row>
    <row r="176" spans="2:43" x14ac:dyDescent="0.25">
      <c r="B176" s="179" t="str">
        <f ca="1"/>
        <v/>
      </c>
      <c r="C176" s="180" t="str">
        <f ca="1"/>
        <v/>
      </c>
      <c r="D176" s="180" t="str">
        <f ca="1"/>
        <v/>
      </c>
      <c r="E176" s="180" t="str">
        <f ca="1"/>
        <v/>
      </c>
      <c r="F176" s="180" t="str">
        <f ca="1"/>
        <v/>
      </c>
      <c r="G176" s="180" t="str">
        <f ca="1"/>
        <v/>
      </c>
      <c r="H176" s="180" t="str">
        <f ca="1"/>
        <v/>
      </c>
      <c r="I176" s="180" t="str">
        <f ca="1"/>
        <v/>
      </c>
      <c r="J176" s="180" t="str">
        <f ca="1"/>
        <v/>
      </c>
      <c r="K176" s="180" t="str">
        <f ca="1"/>
        <v/>
      </c>
      <c r="L176" s="180" t="str">
        <f ca="1"/>
        <v/>
      </c>
      <c r="M176" s="180" t="str">
        <f ca="1"/>
        <v/>
      </c>
      <c r="N176" s="180" t="str">
        <f ca="1"/>
        <v/>
      </c>
      <c r="O176" s="180" t="str">
        <f ca="1"/>
        <v/>
      </c>
      <c r="P176" s="180" t="str">
        <f ca="1"/>
        <v/>
      </c>
      <c r="Q176" s="180" t="str">
        <f ca="1"/>
        <v/>
      </c>
      <c r="R176" s="180" t="str">
        <f ca="1"/>
        <v/>
      </c>
      <c r="S176" s="180" t="str">
        <f ca="1"/>
        <v/>
      </c>
      <c r="T176" s="180" t="str">
        <f ca="1"/>
        <v/>
      </c>
      <c r="U176" s="180" t="str">
        <f ca="1"/>
        <v/>
      </c>
      <c r="V176" s="180" t="str">
        <f ca="1"/>
        <v/>
      </c>
      <c r="W176" s="180" t="str">
        <f ca="1"/>
        <v/>
      </c>
      <c r="X176" s="180" t="str">
        <f ca="1"/>
        <v/>
      </c>
      <c r="Y176" s="180" t="str">
        <f ca="1"/>
        <v/>
      </c>
      <c r="Z176" s="180" t="str">
        <f ca="1"/>
        <v/>
      </c>
      <c r="AA176" s="180" t="str">
        <f ca="1"/>
        <v/>
      </c>
      <c r="AB176" s="180" t="str">
        <f ca="1"/>
        <v/>
      </c>
      <c r="AC176" s="180" t="str">
        <f ca="1"/>
        <v/>
      </c>
      <c r="AD176" s="180" t="str">
        <f ca="1"/>
        <v/>
      </c>
      <c r="AE176" s="180" t="str">
        <f ca="1"/>
        <v/>
      </c>
      <c r="AF176" s="180" t="str">
        <f ca="1"/>
        <v/>
      </c>
      <c r="AG176" s="180" t="str">
        <f ca="1"/>
        <v/>
      </c>
      <c r="AH176" s="180" t="str">
        <f ca="1"/>
        <v/>
      </c>
      <c r="AI176" s="180" t="str">
        <f ca="1"/>
        <v/>
      </c>
      <c r="AJ176" s="180" t="str">
        <f ca="1"/>
        <v/>
      </c>
      <c r="AK176" s="180" t="str">
        <f ca="1"/>
        <v/>
      </c>
      <c r="AL176" s="180" t="str">
        <f ca="1"/>
        <v/>
      </c>
      <c r="AM176" s="180" t="str">
        <f ca="1"/>
        <v/>
      </c>
      <c r="AN176" s="180" t="str">
        <f ca="1"/>
        <v/>
      </c>
      <c r="AO176" s="180" t="str">
        <f ca="1"/>
        <v/>
      </c>
      <c r="AP176" s="180" t="str">
        <f ca="1"/>
        <v/>
      </c>
      <c r="AQ176" s="187" t="str">
        <f ca="1"/>
        <v/>
      </c>
    </row>
    <row r="177" spans="2:43" x14ac:dyDescent="0.25">
      <c r="B177" s="179" t="str">
        <f ca="1"/>
        <v/>
      </c>
      <c r="C177" s="180" t="str">
        <f ca="1"/>
        <v/>
      </c>
      <c r="D177" s="180" t="str">
        <f ca="1"/>
        <v/>
      </c>
      <c r="E177" s="180" t="str">
        <f ca="1"/>
        <v/>
      </c>
      <c r="F177" s="180" t="str">
        <f ca="1"/>
        <v/>
      </c>
      <c r="G177" s="180" t="str">
        <f ca="1"/>
        <v/>
      </c>
      <c r="H177" s="180" t="str">
        <f ca="1"/>
        <v/>
      </c>
      <c r="I177" s="180" t="str">
        <f ca="1"/>
        <v/>
      </c>
      <c r="J177" s="180" t="str">
        <f ca="1"/>
        <v/>
      </c>
      <c r="K177" s="180" t="str">
        <f ca="1"/>
        <v/>
      </c>
      <c r="L177" s="180" t="str">
        <f ca="1"/>
        <v/>
      </c>
      <c r="M177" s="180" t="str">
        <f ca="1"/>
        <v/>
      </c>
      <c r="N177" s="180" t="str">
        <f ca="1"/>
        <v/>
      </c>
      <c r="O177" s="180" t="str">
        <f ca="1"/>
        <v/>
      </c>
      <c r="P177" s="180" t="str">
        <f ca="1"/>
        <v/>
      </c>
      <c r="Q177" s="180" t="str">
        <f ca="1"/>
        <v/>
      </c>
      <c r="R177" s="180" t="str">
        <f ca="1"/>
        <v/>
      </c>
      <c r="S177" s="180" t="str">
        <f ca="1"/>
        <v/>
      </c>
      <c r="T177" s="180" t="str">
        <f ca="1"/>
        <v/>
      </c>
      <c r="U177" s="180" t="str">
        <f ca="1"/>
        <v/>
      </c>
      <c r="V177" s="180" t="str">
        <f ca="1"/>
        <v/>
      </c>
      <c r="W177" s="180" t="str">
        <f ca="1"/>
        <v/>
      </c>
      <c r="X177" s="180" t="str">
        <f ca="1"/>
        <v/>
      </c>
      <c r="Y177" s="180" t="str">
        <f ca="1"/>
        <v/>
      </c>
      <c r="Z177" s="180" t="str">
        <f ca="1"/>
        <v/>
      </c>
      <c r="AA177" s="180" t="str">
        <f ca="1"/>
        <v/>
      </c>
      <c r="AB177" s="180" t="str">
        <f ca="1"/>
        <v/>
      </c>
      <c r="AC177" s="180" t="str">
        <f ca="1"/>
        <v/>
      </c>
      <c r="AD177" s="180" t="str">
        <f ca="1"/>
        <v/>
      </c>
      <c r="AE177" s="180" t="str">
        <f ca="1"/>
        <v/>
      </c>
      <c r="AF177" s="180" t="str">
        <f ca="1"/>
        <v/>
      </c>
      <c r="AG177" s="180" t="str">
        <f ca="1"/>
        <v/>
      </c>
      <c r="AH177" s="180" t="str">
        <f ca="1"/>
        <v/>
      </c>
      <c r="AI177" s="180" t="str">
        <f ca="1"/>
        <v/>
      </c>
      <c r="AJ177" s="180" t="str">
        <f ca="1"/>
        <v/>
      </c>
      <c r="AK177" s="180" t="str">
        <f ca="1"/>
        <v/>
      </c>
      <c r="AL177" s="180" t="str">
        <f ca="1"/>
        <v/>
      </c>
      <c r="AM177" s="180" t="str">
        <f ca="1"/>
        <v/>
      </c>
      <c r="AN177" s="180" t="str">
        <f ca="1"/>
        <v/>
      </c>
      <c r="AO177" s="180" t="str">
        <f ca="1"/>
        <v/>
      </c>
      <c r="AP177" s="180" t="str">
        <f ca="1"/>
        <v/>
      </c>
      <c r="AQ177" s="187" t="str">
        <f ca="1"/>
        <v/>
      </c>
    </row>
    <row r="178" spans="2:43" x14ac:dyDescent="0.25">
      <c r="B178" s="179" t="str">
        <f ca="1"/>
        <v/>
      </c>
      <c r="C178" s="180" t="str">
        <f ca="1"/>
        <v/>
      </c>
      <c r="D178" s="180" t="str">
        <f ca="1"/>
        <v/>
      </c>
      <c r="E178" s="180" t="str">
        <f ca="1"/>
        <v/>
      </c>
      <c r="F178" s="180" t="str">
        <f ca="1"/>
        <v/>
      </c>
      <c r="G178" s="180" t="str">
        <f ca="1"/>
        <v/>
      </c>
      <c r="H178" s="180" t="str">
        <f ca="1"/>
        <v/>
      </c>
      <c r="I178" s="180" t="str">
        <f ca="1"/>
        <v/>
      </c>
      <c r="J178" s="180" t="str">
        <f ca="1"/>
        <v/>
      </c>
      <c r="K178" s="180" t="str">
        <f ca="1"/>
        <v/>
      </c>
      <c r="L178" s="180" t="str">
        <f ca="1"/>
        <v/>
      </c>
      <c r="M178" s="180" t="str">
        <f ca="1"/>
        <v/>
      </c>
      <c r="N178" s="180" t="str">
        <f ca="1"/>
        <v/>
      </c>
      <c r="O178" s="180" t="str">
        <f ca="1"/>
        <v/>
      </c>
      <c r="P178" s="180" t="str">
        <f ca="1"/>
        <v/>
      </c>
      <c r="Q178" s="180" t="str">
        <f ca="1"/>
        <v/>
      </c>
      <c r="R178" s="180" t="str">
        <f ca="1"/>
        <v/>
      </c>
      <c r="S178" s="180" t="str">
        <f ca="1"/>
        <v/>
      </c>
      <c r="T178" s="180" t="str">
        <f ca="1"/>
        <v/>
      </c>
      <c r="U178" s="180" t="str">
        <f ca="1"/>
        <v/>
      </c>
      <c r="V178" s="180" t="str">
        <f ca="1"/>
        <v/>
      </c>
      <c r="W178" s="180" t="str">
        <f ca="1"/>
        <v/>
      </c>
      <c r="X178" s="180" t="str">
        <f ca="1"/>
        <v/>
      </c>
      <c r="Y178" s="180" t="str">
        <f ca="1"/>
        <v/>
      </c>
      <c r="Z178" s="180" t="str">
        <f ca="1"/>
        <v/>
      </c>
      <c r="AA178" s="180" t="str">
        <f ca="1"/>
        <v/>
      </c>
      <c r="AB178" s="180" t="str">
        <f ca="1"/>
        <v/>
      </c>
      <c r="AC178" s="180" t="str">
        <f ca="1"/>
        <v/>
      </c>
      <c r="AD178" s="180" t="str">
        <f ca="1"/>
        <v/>
      </c>
      <c r="AE178" s="180" t="str">
        <f ca="1"/>
        <v/>
      </c>
      <c r="AF178" s="180" t="str">
        <f ca="1"/>
        <v/>
      </c>
      <c r="AG178" s="180" t="str">
        <f ca="1"/>
        <v/>
      </c>
      <c r="AH178" s="180" t="str">
        <f ca="1"/>
        <v/>
      </c>
      <c r="AI178" s="180" t="str">
        <f ca="1"/>
        <v/>
      </c>
      <c r="AJ178" s="180" t="str">
        <f ca="1"/>
        <v/>
      </c>
      <c r="AK178" s="180" t="str">
        <f ca="1"/>
        <v/>
      </c>
      <c r="AL178" s="180" t="str">
        <f ca="1"/>
        <v/>
      </c>
      <c r="AM178" s="180" t="str">
        <f ca="1"/>
        <v/>
      </c>
      <c r="AN178" s="180" t="str">
        <f ca="1"/>
        <v/>
      </c>
      <c r="AO178" s="180" t="str">
        <f ca="1"/>
        <v/>
      </c>
      <c r="AP178" s="180" t="str">
        <f ca="1"/>
        <v/>
      </c>
      <c r="AQ178" s="187" t="str">
        <f ca="1"/>
        <v/>
      </c>
    </row>
    <row r="179" spans="2:43" x14ac:dyDescent="0.25">
      <c r="B179" s="179" t="str">
        <f ca="1"/>
        <v/>
      </c>
      <c r="C179" s="180" t="str">
        <f ca="1"/>
        <v/>
      </c>
      <c r="D179" s="180" t="str">
        <f ca="1"/>
        <v/>
      </c>
      <c r="E179" s="180" t="str">
        <f ca="1"/>
        <v/>
      </c>
      <c r="F179" s="180" t="str">
        <f ca="1"/>
        <v/>
      </c>
      <c r="G179" s="180" t="str">
        <f ca="1"/>
        <v/>
      </c>
      <c r="H179" s="180" t="str">
        <f ca="1"/>
        <v/>
      </c>
      <c r="I179" s="180" t="str">
        <f ca="1"/>
        <v/>
      </c>
      <c r="J179" s="180" t="str">
        <f ca="1"/>
        <v/>
      </c>
      <c r="K179" s="180" t="str">
        <f ca="1"/>
        <v/>
      </c>
      <c r="L179" s="180" t="str">
        <f ca="1"/>
        <v/>
      </c>
      <c r="M179" s="180" t="str">
        <f ca="1"/>
        <v/>
      </c>
      <c r="N179" s="180" t="str">
        <f ca="1"/>
        <v/>
      </c>
      <c r="O179" s="180" t="str">
        <f ca="1"/>
        <v/>
      </c>
      <c r="P179" s="180" t="str">
        <f ca="1"/>
        <v/>
      </c>
      <c r="Q179" s="180" t="str">
        <f ca="1"/>
        <v/>
      </c>
      <c r="R179" s="180" t="str">
        <f ca="1"/>
        <v/>
      </c>
      <c r="S179" s="180" t="str">
        <f ca="1"/>
        <v/>
      </c>
      <c r="T179" s="180" t="str">
        <f ca="1"/>
        <v/>
      </c>
      <c r="U179" s="180" t="str">
        <f ca="1"/>
        <v/>
      </c>
      <c r="V179" s="180" t="str">
        <f ca="1"/>
        <v/>
      </c>
      <c r="W179" s="180" t="str">
        <f ca="1"/>
        <v/>
      </c>
      <c r="X179" s="180" t="str">
        <f ca="1"/>
        <v/>
      </c>
      <c r="Y179" s="180" t="str">
        <f ca="1"/>
        <v/>
      </c>
      <c r="Z179" s="180" t="str">
        <f ca="1"/>
        <v/>
      </c>
      <c r="AA179" s="180" t="str">
        <f ca="1"/>
        <v/>
      </c>
      <c r="AB179" s="180" t="str">
        <f ca="1"/>
        <v/>
      </c>
      <c r="AC179" s="180" t="str">
        <f ca="1"/>
        <v/>
      </c>
      <c r="AD179" s="180" t="str">
        <f ca="1"/>
        <v/>
      </c>
      <c r="AE179" s="180" t="str">
        <f ca="1"/>
        <v/>
      </c>
      <c r="AF179" s="180" t="str">
        <f ca="1"/>
        <v/>
      </c>
      <c r="AG179" s="180" t="str">
        <f ca="1"/>
        <v/>
      </c>
      <c r="AH179" s="180" t="str">
        <f ca="1"/>
        <v/>
      </c>
      <c r="AI179" s="180" t="str">
        <f ca="1"/>
        <v/>
      </c>
      <c r="AJ179" s="180" t="str">
        <f ca="1"/>
        <v/>
      </c>
      <c r="AK179" s="180" t="str">
        <f ca="1"/>
        <v/>
      </c>
      <c r="AL179" s="180" t="str">
        <f ca="1"/>
        <v/>
      </c>
      <c r="AM179" s="180" t="str">
        <f ca="1"/>
        <v/>
      </c>
      <c r="AN179" s="180" t="str">
        <f ca="1"/>
        <v/>
      </c>
      <c r="AO179" s="180" t="str">
        <f ca="1"/>
        <v/>
      </c>
      <c r="AP179" s="180" t="str">
        <f ca="1"/>
        <v/>
      </c>
      <c r="AQ179" s="187" t="str">
        <f ca="1"/>
        <v/>
      </c>
    </row>
    <row r="180" spans="2:43" x14ac:dyDescent="0.25">
      <c r="B180" s="179" t="str">
        <f ca="1"/>
        <v/>
      </c>
      <c r="C180" s="180" t="str">
        <f ca="1"/>
        <v/>
      </c>
      <c r="D180" s="180" t="str">
        <f ca="1"/>
        <v/>
      </c>
      <c r="E180" s="180" t="str">
        <f ca="1"/>
        <v/>
      </c>
      <c r="F180" s="180" t="str">
        <f ca="1"/>
        <v/>
      </c>
      <c r="G180" s="180" t="str">
        <f ca="1"/>
        <v/>
      </c>
      <c r="H180" s="180" t="str">
        <f ca="1"/>
        <v/>
      </c>
      <c r="I180" s="180" t="str">
        <f ca="1"/>
        <v/>
      </c>
      <c r="J180" s="180" t="str">
        <f ca="1"/>
        <v/>
      </c>
      <c r="K180" s="180" t="str">
        <f ca="1"/>
        <v/>
      </c>
      <c r="L180" s="180" t="str">
        <f ca="1"/>
        <v/>
      </c>
      <c r="M180" s="180" t="str">
        <f ca="1"/>
        <v/>
      </c>
      <c r="N180" s="180" t="str">
        <f ca="1"/>
        <v/>
      </c>
      <c r="O180" s="180" t="str">
        <f ca="1"/>
        <v/>
      </c>
      <c r="P180" s="180" t="str">
        <f ca="1"/>
        <v/>
      </c>
      <c r="Q180" s="180" t="str">
        <f ca="1"/>
        <v/>
      </c>
      <c r="R180" s="180" t="str">
        <f ca="1"/>
        <v/>
      </c>
      <c r="S180" s="180" t="str">
        <f ca="1"/>
        <v/>
      </c>
      <c r="T180" s="180" t="str">
        <f ca="1"/>
        <v/>
      </c>
      <c r="U180" s="180" t="str">
        <f ca="1"/>
        <v/>
      </c>
      <c r="V180" s="180" t="str">
        <f ca="1"/>
        <v/>
      </c>
      <c r="W180" s="180" t="str">
        <f ca="1"/>
        <v/>
      </c>
      <c r="X180" s="180" t="str">
        <f ca="1"/>
        <v/>
      </c>
      <c r="Y180" s="180" t="str">
        <f ca="1"/>
        <v/>
      </c>
      <c r="Z180" s="180" t="str">
        <f ca="1"/>
        <v/>
      </c>
      <c r="AA180" s="180" t="str">
        <f ca="1"/>
        <v/>
      </c>
      <c r="AB180" s="180" t="str">
        <f ca="1"/>
        <v/>
      </c>
      <c r="AC180" s="180" t="str">
        <f ca="1"/>
        <v/>
      </c>
      <c r="AD180" s="180" t="str">
        <f ca="1"/>
        <v/>
      </c>
      <c r="AE180" s="180" t="str">
        <f ca="1"/>
        <v/>
      </c>
      <c r="AF180" s="180" t="str">
        <f ca="1"/>
        <v/>
      </c>
      <c r="AG180" s="180" t="str">
        <f ca="1"/>
        <v/>
      </c>
      <c r="AH180" s="180" t="str">
        <f ca="1"/>
        <v/>
      </c>
      <c r="AI180" s="180" t="str">
        <f ca="1"/>
        <v/>
      </c>
      <c r="AJ180" s="180" t="str">
        <f ca="1"/>
        <v/>
      </c>
      <c r="AK180" s="180" t="str">
        <f ca="1"/>
        <v/>
      </c>
      <c r="AL180" s="180" t="str">
        <f ca="1"/>
        <v/>
      </c>
      <c r="AM180" s="180" t="str">
        <f ca="1"/>
        <v/>
      </c>
      <c r="AN180" s="180" t="str">
        <f ca="1"/>
        <v/>
      </c>
      <c r="AO180" s="180" t="str">
        <f ca="1"/>
        <v/>
      </c>
      <c r="AP180" s="180" t="str">
        <f ca="1"/>
        <v/>
      </c>
      <c r="AQ180" s="187" t="str">
        <f ca="1"/>
        <v/>
      </c>
    </row>
    <row r="181" spans="2:43" x14ac:dyDescent="0.25">
      <c r="B181" s="179" t="str">
        <f ca="1"/>
        <v/>
      </c>
      <c r="C181" s="180" t="str">
        <f ca="1"/>
        <v/>
      </c>
      <c r="D181" s="180" t="str">
        <f ca="1"/>
        <v/>
      </c>
      <c r="E181" s="180" t="str">
        <f ca="1"/>
        <v/>
      </c>
      <c r="F181" s="180" t="str">
        <f ca="1"/>
        <v/>
      </c>
      <c r="G181" s="180" t="str">
        <f ca="1"/>
        <v/>
      </c>
      <c r="H181" s="180" t="str">
        <f ca="1"/>
        <v/>
      </c>
      <c r="I181" s="180" t="str">
        <f ca="1"/>
        <v/>
      </c>
      <c r="J181" s="180" t="str">
        <f ca="1"/>
        <v/>
      </c>
      <c r="K181" s="180" t="str">
        <f ca="1"/>
        <v/>
      </c>
      <c r="L181" s="180" t="str">
        <f ca="1"/>
        <v/>
      </c>
      <c r="M181" s="180" t="str">
        <f ca="1"/>
        <v/>
      </c>
      <c r="N181" s="180" t="str">
        <f ca="1"/>
        <v/>
      </c>
      <c r="O181" s="180" t="str">
        <f ca="1"/>
        <v/>
      </c>
      <c r="P181" s="180" t="str">
        <f ca="1"/>
        <v/>
      </c>
      <c r="Q181" s="180" t="str">
        <f ca="1"/>
        <v/>
      </c>
      <c r="R181" s="180" t="str">
        <f ca="1"/>
        <v/>
      </c>
      <c r="S181" s="180" t="str">
        <f ca="1"/>
        <v/>
      </c>
      <c r="T181" s="180" t="str">
        <f ca="1"/>
        <v/>
      </c>
      <c r="U181" s="180" t="str">
        <f ca="1"/>
        <v/>
      </c>
      <c r="V181" s="180" t="str">
        <f ca="1"/>
        <v/>
      </c>
      <c r="W181" s="180" t="str">
        <f ca="1"/>
        <v/>
      </c>
      <c r="X181" s="180" t="str">
        <f ca="1"/>
        <v/>
      </c>
      <c r="Y181" s="180" t="str">
        <f ca="1"/>
        <v/>
      </c>
      <c r="Z181" s="180" t="str">
        <f ca="1"/>
        <v/>
      </c>
      <c r="AA181" s="180" t="str">
        <f ca="1"/>
        <v/>
      </c>
      <c r="AB181" s="180" t="str">
        <f ca="1"/>
        <v/>
      </c>
      <c r="AC181" s="180" t="str">
        <f ca="1"/>
        <v/>
      </c>
      <c r="AD181" s="180" t="str">
        <f ca="1"/>
        <v/>
      </c>
      <c r="AE181" s="180" t="str">
        <f ca="1"/>
        <v/>
      </c>
      <c r="AF181" s="180" t="str">
        <f ca="1"/>
        <v/>
      </c>
      <c r="AG181" s="180" t="str">
        <f ca="1"/>
        <v/>
      </c>
      <c r="AH181" s="180" t="str">
        <f ca="1"/>
        <v/>
      </c>
      <c r="AI181" s="180" t="str">
        <f ca="1"/>
        <v/>
      </c>
      <c r="AJ181" s="180" t="str">
        <f ca="1"/>
        <v/>
      </c>
      <c r="AK181" s="180" t="str">
        <f ca="1"/>
        <v/>
      </c>
      <c r="AL181" s="180" t="str">
        <f ca="1"/>
        <v/>
      </c>
      <c r="AM181" s="180" t="str">
        <f ca="1"/>
        <v/>
      </c>
      <c r="AN181" s="180" t="str">
        <f ca="1"/>
        <v/>
      </c>
      <c r="AO181" s="180" t="str">
        <f ca="1"/>
        <v/>
      </c>
      <c r="AP181" s="180" t="str">
        <f ca="1"/>
        <v/>
      </c>
      <c r="AQ181" s="187" t="str">
        <f ca="1"/>
        <v/>
      </c>
    </row>
    <row r="182" spans="2:43" x14ac:dyDescent="0.25">
      <c r="B182" s="179" t="str">
        <f ca="1"/>
        <v/>
      </c>
      <c r="C182" s="180" t="str">
        <f ca="1"/>
        <v/>
      </c>
      <c r="D182" s="180" t="str">
        <f ca="1"/>
        <v/>
      </c>
      <c r="E182" s="180" t="str">
        <f ca="1"/>
        <v/>
      </c>
      <c r="F182" s="180" t="str">
        <f ca="1"/>
        <v/>
      </c>
      <c r="G182" s="180" t="str">
        <f ca="1"/>
        <v/>
      </c>
      <c r="H182" s="180" t="str">
        <f ca="1"/>
        <v/>
      </c>
      <c r="I182" s="180" t="str">
        <f ca="1"/>
        <v/>
      </c>
      <c r="J182" s="180" t="str">
        <f ca="1"/>
        <v/>
      </c>
      <c r="K182" s="180" t="str">
        <f ca="1"/>
        <v/>
      </c>
      <c r="L182" s="180" t="str">
        <f ca="1"/>
        <v/>
      </c>
      <c r="M182" s="180" t="str">
        <f ca="1"/>
        <v/>
      </c>
      <c r="N182" s="180" t="str">
        <f ca="1"/>
        <v/>
      </c>
      <c r="O182" s="180" t="str">
        <f ca="1"/>
        <v/>
      </c>
      <c r="P182" s="180" t="str">
        <f ca="1"/>
        <v/>
      </c>
      <c r="Q182" s="180" t="str">
        <f ca="1"/>
        <v/>
      </c>
      <c r="R182" s="180" t="str">
        <f ca="1"/>
        <v/>
      </c>
      <c r="S182" s="180" t="str">
        <f ca="1"/>
        <v/>
      </c>
      <c r="T182" s="180" t="str">
        <f ca="1"/>
        <v/>
      </c>
      <c r="U182" s="180" t="str">
        <f ca="1"/>
        <v/>
      </c>
      <c r="V182" s="180" t="str">
        <f ca="1"/>
        <v/>
      </c>
      <c r="W182" s="180" t="str">
        <f ca="1"/>
        <v/>
      </c>
      <c r="X182" s="180" t="str">
        <f ca="1"/>
        <v/>
      </c>
      <c r="Y182" s="180" t="str">
        <f ca="1"/>
        <v/>
      </c>
      <c r="Z182" s="180" t="str">
        <f ca="1"/>
        <v/>
      </c>
      <c r="AA182" s="180" t="str">
        <f ca="1"/>
        <v/>
      </c>
      <c r="AB182" s="180" t="str">
        <f ca="1"/>
        <v/>
      </c>
      <c r="AC182" s="180" t="str">
        <f ca="1"/>
        <v/>
      </c>
      <c r="AD182" s="180" t="str">
        <f ca="1"/>
        <v/>
      </c>
      <c r="AE182" s="180" t="str">
        <f ca="1"/>
        <v/>
      </c>
      <c r="AF182" s="180" t="str">
        <f ca="1"/>
        <v/>
      </c>
      <c r="AG182" s="180" t="str">
        <f ca="1"/>
        <v/>
      </c>
      <c r="AH182" s="180" t="str">
        <f ca="1"/>
        <v/>
      </c>
      <c r="AI182" s="180" t="str">
        <f ca="1"/>
        <v/>
      </c>
      <c r="AJ182" s="180" t="str">
        <f ca="1"/>
        <v/>
      </c>
      <c r="AK182" s="180" t="str">
        <f ca="1"/>
        <v/>
      </c>
      <c r="AL182" s="180" t="str">
        <f ca="1"/>
        <v/>
      </c>
      <c r="AM182" s="180" t="str">
        <f ca="1"/>
        <v/>
      </c>
      <c r="AN182" s="180" t="str">
        <f ca="1"/>
        <v/>
      </c>
      <c r="AO182" s="180" t="str">
        <f ca="1"/>
        <v/>
      </c>
      <c r="AP182" s="180" t="str">
        <f ca="1"/>
        <v/>
      </c>
      <c r="AQ182" s="187" t="str">
        <f ca="1"/>
        <v/>
      </c>
    </row>
    <row r="183" spans="2:43" x14ac:dyDescent="0.25">
      <c r="B183" s="179" t="str">
        <f ca="1"/>
        <v/>
      </c>
      <c r="C183" s="180" t="str">
        <f ca="1"/>
        <v/>
      </c>
      <c r="D183" s="180" t="str">
        <f ca="1"/>
        <v/>
      </c>
      <c r="E183" s="180" t="str">
        <f ca="1"/>
        <v/>
      </c>
      <c r="F183" s="180" t="str">
        <f ca="1"/>
        <v/>
      </c>
      <c r="G183" s="180" t="str">
        <f ca="1"/>
        <v/>
      </c>
      <c r="H183" s="180" t="str">
        <f ca="1"/>
        <v/>
      </c>
      <c r="I183" s="180" t="str">
        <f ca="1"/>
        <v/>
      </c>
      <c r="J183" s="180" t="str">
        <f ca="1"/>
        <v/>
      </c>
      <c r="K183" s="180" t="str">
        <f ca="1"/>
        <v/>
      </c>
      <c r="L183" s="180" t="str">
        <f ca="1"/>
        <v/>
      </c>
      <c r="M183" s="180" t="str">
        <f ca="1"/>
        <v/>
      </c>
      <c r="N183" s="180" t="str">
        <f ca="1"/>
        <v/>
      </c>
      <c r="O183" s="180" t="str">
        <f ca="1"/>
        <v/>
      </c>
      <c r="P183" s="180" t="str">
        <f ca="1"/>
        <v/>
      </c>
      <c r="Q183" s="180" t="str">
        <f ca="1"/>
        <v/>
      </c>
      <c r="R183" s="180" t="str">
        <f ca="1"/>
        <v/>
      </c>
      <c r="S183" s="180" t="str">
        <f ca="1"/>
        <v/>
      </c>
      <c r="T183" s="180" t="str">
        <f ca="1"/>
        <v/>
      </c>
      <c r="U183" s="180" t="str">
        <f ca="1"/>
        <v/>
      </c>
      <c r="V183" s="180" t="str">
        <f ca="1"/>
        <v/>
      </c>
      <c r="W183" s="180" t="str">
        <f ca="1"/>
        <v/>
      </c>
      <c r="X183" s="180" t="str">
        <f ca="1"/>
        <v/>
      </c>
      <c r="Y183" s="180" t="str">
        <f ca="1"/>
        <v/>
      </c>
      <c r="Z183" s="180" t="str">
        <f ca="1"/>
        <v/>
      </c>
      <c r="AA183" s="180" t="str">
        <f ca="1"/>
        <v/>
      </c>
      <c r="AB183" s="180" t="str">
        <f ca="1"/>
        <v/>
      </c>
      <c r="AC183" s="180" t="str">
        <f ca="1"/>
        <v/>
      </c>
      <c r="AD183" s="180" t="str">
        <f ca="1"/>
        <v/>
      </c>
      <c r="AE183" s="180" t="str">
        <f ca="1"/>
        <v/>
      </c>
      <c r="AF183" s="180" t="str">
        <f ca="1"/>
        <v/>
      </c>
      <c r="AG183" s="180" t="str">
        <f ca="1"/>
        <v/>
      </c>
      <c r="AH183" s="180" t="str">
        <f ca="1"/>
        <v/>
      </c>
      <c r="AI183" s="180" t="str">
        <f ca="1"/>
        <v/>
      </c>
      <c r="AJ183" s="180" t="str">
        <f ca="1"/>
        <v/>
      </c>
      <c r="AK183" s="180" t="str">
        <f ca="1"/>
        <v/>
      </c>
      <c r="AL183" s="180" t="str">
        <f ca="1"/>
        <v/>
      </c>
      <c r="AM183" s="180" t="str">
        <f ca="1"/>
        <v/>
      </c>
      <c r="AN183" s="180" t="str">
        <f ca="1"/>
        <v/>
      </c>
      <c r="AO183" s="180" t="str">
        <f ca="1"/>
        <v/>
      </c>
      <c r="AP183" s="180" t="str">
        <f ca="1"/>
        <v/>
      </c>
      <c r="AQ183" s="187" t="str">
        <f ca="1"/>
        <v/>
      </c>
    </row>
    <row r="184" spans="2:43" x14ac:dyDescent="0.25">
      <c r="B184" s="179" t="str">
        <f ca="1"/>
        <v/>
      </c>
      <c r="C184" s="180" t="str">
        <f ca="1"/>
        <v/>
      </c>
      <c r="D184" s="180" t="str">
        <f ca="1"/>
        <v/>
      </c>
      <c r="E184" s="180" t="str">
        <f ca="1"/>
        <v/>
      </c>
      <c r="F184" s="180" t="str">
        <f ca="1"/>
        <v/>
      </c>
      <c r="G184" s="180" t="str">
        <f ca="1"/>
        <v/>
      </c>
      <c r="H184" s="180" t="str">
        <f ca="1"/>
        <v/>
      </c>
      <c r="I184" s="180" t="str">
        <f ca="1"/>
        <v/>
      </c>
      <c r="J184" s="180" t="str">
        <f ca="1"/>
        <v/>
      </c>
      <c r="K184" s="180" t="str">
        <f ca="1"/>
        <v/>
      </c>
      <c r="L184" s="180" t="str">
        <f ca="1"/>
        <v/>
      </c>
      <c r="M184" s="180" t="str">
        <f ca="1"/>
        <v/>
      </c>
      <c r="N184" s="180" t="str">
        <f ca="1"/>
        <v/>
      </c>
      <c r="O184" s="180" t="str">
        <f ca="1"/>
        <v/>
      </c>
      <c r="P184" s="180" t="str">
        <f ca="1"/>
        <v/>
      </c>
      <c r="Q184" s="180" t="str">
        <f ca="1"/>
        <v/>
      </c>
      <c r="R184" s="180" t="str">
        <f ca="1"/>
        <v/>
      </c>
      <c r="S184" s="180" t="str">
        <f ca="1"/>
        <v/>
      </c>
      <c r="T184" s="180" t="str">
        <f ca="1"/>
        <v/>
      </c>
      <c r="U184" s="180" t="str">
        <f ca="1"/>
        <v/>
      </c>
      <c r="V184" s="180" t="str">
        <f ca="1"/>
        <v/>
      </c>
      <c r="W184" s="180" t="str">
        <f ca="1"/>
        <v/>
      </c>
      <c r="X184" s="180" t="str">
        <f ca="1"/>
        <v/>
      </c>
      <c r="Y184" s="180" t="str">
        <f ca="1"/>
        <v/>
      </c>
      <c r="Z184" s="180" t="str">
        <f ca="1"/>
        <v/>
      </c>
      <c r="AA184" s="180" t="str">
        <f ca="1"/>
        <v/>
      </c>
      <c r="AB184" s="180" t="str">
        <f ca="1"/>
        <v/>
      </c>
      <c r="AC184" s="180" t="str">
        <f ca="1"/>
        <v/>
      </c>
      <c r="AD184" s="180" t="str">
        <f ca="1"/>
        <v/>
      </c>
      <c r="AE184" s="180" t="str">
        <f ca="1"/>
        <v/>
      </c>
      <c r="AF184" s="180" t="str">
        <f ca="1"/>
        <v/>
      </c>
      <c r="AG184" s="180" t="str">
        <f ca="1"/>
        <v/>
      </c>
      <c r="AH184" s="180" t="str">
        <f ca="1"/>
        <v/>
      </c>
      <c r="AI184" s="180" t="str">
        <f ca="1"/>
        <v/>
      </c>
      <c r="AJ184" s="180" t="str">
        <f ca="1"/>
        <v/>
      </c>
      <c r="AK184" s="180" t="str">
        <f ca="1"/>
        <v/>
      </c>
      <c r="AL184" s="180" t="str">
        <f ca="1"/>
        <v/>
      </c>
      <c r="AM184" s="180" t="str">
        <f ca="1"/>
        <v/>
      </c>
      <c r="AN184" s="180" t="str">
        <f ca="1"/>
        <v/>
      </c>
      <c r="AO184" s="180" t="str">
        <f ca="1"/>
        <v/>
      </c>
      <c r="AP184" s="180" t="str">
        <f ca="1"/>
        <v/>
      </c>
      <c r="AQ184" s="187" t="str">
        <f ca="1"/>
        <v/>
      </c>
    </row>
    <row r="185" spans="2:43" x14ac:dyDescent="0.25">
      <c r="B185" s="179" t="str">
        <f ca="1"/>
        <v/>
      </c>
      <c r="C185" s="180" t="str">
        <f ca="1"/>
        <v/>
      </c>
      <c r="D185" s="180" t="str">
        <f ca="1"/>
        <v/>
      </c>
      <c r="E185" s="180" t="str">
        <f ca="1"/>
        <v/>
      </c>
      <c r="F185" s="180" t="str">
        <f ca="1"/>
        <v/>
      </c>
      <c r="G185" s="180" t="str">
        <f ca="1"/>
        <v/>
      </c>
      <c r="H185" s="180" t="str">
        <f ca="1"/>
        <v/>
      </c>
      <c r="I185" s="180" t="str">
        <f ca="1"/>
        <v/>
      </c>
      <c r="J185" s="180" t="str">
        <f ca="1"/>
        <v/>
      </c>
      <c r="K185" s="180" t="str">
        <f ca="1"/>
        <v/>
      </c>
      <c r="L185" s="180" t="str">
        <f ca="1"/>
        <v/>
      </c>
      <c r="M185" s="180" t="str">
        <f ca="1"/>
        <v/>
      </c>
      <c r="N185" s="180" t="str">
        <f ca="1"/>
        <v/>
      </c>
      <c r="O185" s="180" t="str">
        <f ca="1"/>
        <v/>
      </c>
      <c r="P185" s="180" t="str">
        <f ca="1"/>
        <v/>
      </c>
      <c r="Q185" s="180" t="str">
        <f ca="1"/>
        <v/>
      </c>
      <c r="R185" s="180" t="str">
        <f ca="1"/>
        <v/>
      </c>
      <c r="S185" s="180" t="str">
        <f ca="1"/>
        <v/>
      </c>
      <c r="T185" s="180" t="str">
        <f ca="1"/>
        <v/>
      </c>
      <c r="U185" s="180" t="str">
        <f ca="1"/>
        <v/>
      </c>
      <c r="V185" s="180" t="str">
        <f ca="1"/>
        <v/>
      </c>
      <c r="W185" s="180" t="str">
        <f ca="1"/>
        <v/>
      </c>
      <c r="X185" s="180" t="str">
        <f ca="1"/>
        <v/>
      </c>
      <c r="Y185" s="180" t="str">
        <f ca="1"/>
        <v/>
      </c>
      <c r="Z185" s="180" t="str">
        <f ca="1"/>
        <v/>
      </c>
      <c r="AA185" s="180" t="str">
        <f ca="1"/>
        <v/>
      </c>
      <c r="AB185" s="180" t="str">
        <f ca="1"/>
        <v/>
      </c>
      <c r="AC185" s="180" t="str">
        <f ca="1"/>
        <v/>
      </c>
      <c r="AD185" s="180" t="str">
        <f ca="1"/>
        <v/>
      </c>
      <c r="AE185" s="180" t="str">
        <f ca="1"/>
        <v/>
      </c>
      <c r="AF185" s="180" t="str">
        <f ca="1"/>
        <v/>
      </c>
      <c r="AG185" s="180" t="str">
        <f ca="1"/>
        <v/>
      </c>
      <c r="AH185" s="180" t="str">
        <f ca="1"/>
        <v/>
      </c>
      <c r="AI185" s="180" t="str">
        <f ca="1"/>
        <v/>
      </c>
      <c r="AJ185" s="180" t="str">
        <f ca="1"/>
        <v/>
      </c>
      <c r="AK185" s="180" t="str">
        <f ca="1"/>
        <v/>
      </c>
      <c r="AL185" s="180" t="str">
        <f ca="1"/>
        <v/>
      </c>
      <c r="AM185" s="180" t="str">
        <f ca="1"/>
        <v/>
      </c>
      <c r="AN185" s="180" t="str">
        <f ca="1"/>
        <v/>
      </c>
      <c r="AO185" s="180" t="str">
        <f ca="1"/>
        <v/>
      </c>
      <c r="AP185" s="180" t="str">
        <f ca="1"/>
        <v/>
      </c>
      <c r="AQ185" s="187" t="str">
        <f ca="1"/>
        <v/>
      </c>
    </row>
    <row r="186" spans="2:43" x14ac:dyDescent="0.25">
      <c r="B186" s="179" t="str">
        <f ca="1"/>
        <v/>
      </c>
      <c r="C186" s="180" t="str">
        <f ca="1"/>
        <v/>
      </c>
      <c r="D186" s="180" t="str">
        <f ca="1"/>
        <v/>
      </c>
      <c r="E186" s="180" t="str">
        <f ca="1"/>
        <v/>
      </c>
      <c r="F186" s="180" t="str">
        <f ca="1"/>
        <v/>
      </c>
      <c r="G186" s="180" t="str">
        <f ca="1"/>
        <v/>
      </c>
      <c r="H186" s="180" t="str">
        <f ca="1"/>
        <v/>
      </c>
      <c r="I186" s="180" t="str">
        <f ca="1"/>
        <v/>
      </c>
      <c r="J186" s="180" t="str">
        <f ca="1"/>
        <v/>
      </c>
      <c r="K186" s="180" t="str">
        <f ca="1"/>
        <v/>
      </c>
      <c r="L186" s="180" t="str">
        <f ca="1"/>
        <v/>
      </c>
      <c r="M186" s="180" t="str">
        <f ca="1"/>
        <v/>
      </c>
      <c r="N186" s="180" t="str">
        <f ca="1"/>
        <v/>
      </c>
      <c r="O186" s="180" t="str">
        <f ca="1"/>
        <v/>
      </c>
      <c r="P186" s="180" t="str">
        <f ca="1"/>
        <v/>
      </c>
      <c r="Q186" s="180" t="str">
        <f ca="1"/>
        <v/>
      </c>
      <c r="R186" s="180" t="str">
        <f ca="1"/>
        <v/>
      </c>
      <c r="S186" s="180" t="str">
        <f ca="1"/>
        <v/>
      </c>
      <c r="T186" s="180" t="str">
        <f ca="1"/>
        <v/>
      </c>
      <c r="U186" s="180" t="str">
        <f ca="1"/>
        <v/>
      </c>
      <c r="V186" s="180" t="str">
        <f ca="1"/>
        <v/>
      </c>
      <c r="W186" s="180" t="str">
        <f ca="1"/>
        <v/>
      </c>
      <c r="X186" s="180" t="str">
        <f ca="1"/>
        <v/>
      </c>
      <c r="Y186" s="180" t="str">
        <f ca="1"/>
        <v/>
      </c>
      <c r="Z186" s="180" t="str">
        <f ca="1"/>
        <v/>
      </c>
      <c r="AA186" s="180" t="str">
        <f ca="1"/>
        <v/>
      </c>
      <c r="AB186" s="180" t="str">
        <f ca="1"/>
        <v/>
      </c>
      <c r="AC186" s="180" t="str">
        <f ca="1"/>
        <v/>
      </c>
      <c r="AD186" s="180" t="str">
        <f ca="1"/>
        <v/>
      </c>
      <c r="AE186" s="180" t="str">
        <f ca="1"/>
        <v/>
      </c>
      <c r="AF186" s="180" t="str">
        <f ca="1"/>
        <v/>
      </c>
      <c r="AG186" s="180" t="str">
        <f ca="1"/>
        <v/>
      </c>
      <c r="AH186" s="180" t="str">
        <f ca="1"/>
        <v/>
      </c>
      <c r="AI186" s="180" t="str">
        <f ca="1"/>
        <v/>
      </c>
      <c r="AJ186" s="180" t="str">
        <f ca="1"/>
        <v/>
      </c>
      <c r="AK186" s="180" t="str">
        <f ca="1"/>
        <v/>
      </c>
      <c r="AL186" s="180" t="str">
        <f ca="1"/>
        <v/>
      </c>
      <c r="AM186" s="180" t="str">
        <f ca="1"/>
        <v/>
      </c>
      <c r="AN186" s="180" t="str">
        <f ca="1"/>
        <v/>
      </c>
      <c r="AO186" s="180" t="str">
        <f ca="1"/>
        <v/>
      </c>
      <c r="AP186" s="180" t="str">
        <f ca="1"/>
        <v/>
      </c>
      <c r="AQ186" s="187" t="str">
        <f ca="1"/>
        <v/>
      </c>
    </row>
    <row r="187" spans="2:43" x14ac:dyDescent="0.25">
      <c r="B187" s="179" t="str">
        <f ca="1"/>
        <v/>
      </c>
      <c r="C187" s="180" t="str">
        <f ca="1"/>
        <v/>
      </c>
      <c r="D187" s="180" t="str">
        <f ca="1"/>
        <v/>
      </c>
      <c r="E187" s="180" t="str">
        <f ca="1"/>
        <v/>
      </c>
      <c r="F187" s="180" t="str">
        <f ca="1"/>
        <v/>
      </c>
      <c r="G187" s="180" t="str">
        <f ca="1"/>
        <v/>
      </c>
      <c r="H187" s="180" t="str">
        <f ca="1"/>
        <v/>
      </c>
      <c r="I187" s="180" t="str">
        <f ca="1"/>
        <v/>
      </c>
      <c r="J187" s="180" t="str">
        <f ca="1"/>
        <v/>
      </c>
      <c r="K187" s="180" t="str">
        <f ca="1"/>
        <v/>
      </c>
      <c r="L187" s="180" t="str">
        <f ca="1"/>
        <v/>
      </c>
      <c r="M187" s="180" t="str">
        <f ca="1"/>
        <v/>
      </c>
      <c r="N187" s="180" t="str">
        <f ca="1"/>
        <v/>
      </c>
      <c r="O187" s="180" t="str">
        <f ca="1"/>
        <v/>
      </c>
      <c r="P187" s="180" t="str">
        <f ca="1"/>
        <v/>
      </c>
      <c r="Q187" s="180" t="str">
        <f ca="1"/>
        <v/>
      </c>
      <c r="R187" s="180" t="str">
        <f ca="1"/>
        <v/>
      </c>
      <c r="S187" s="180" t="str">
        <f ca="1"/>
        <v/>
      </c>
      <c r="T187" s="180" t="str">
        <f ca="1"/>
        <v/>
      </c>
      <c r="U187" s="180" t="str">
        <f ca="1"/>
        <v/>
      </c>
      <c r="V187" s="180" t="str">
        <f ca="1"/>
        <v/>
      </c>
      <c r="W187" s="180" t="str">
        <f ca="1"/>
        <v/>
      </c>
      <c r="X187" s="180" t="str">
        <f ca="1"/>
        <v/>
      </c>
      <c r="Y187" s="180" t="str">
        <f ca="1"/>
        <v/>
      </c>
      <c r="Z187" s="180" t="str">
        <f ca="1"/>
        <v/>
      </c>
      <c r="AA187" s="180" t="str">
        <f ca="1"/>
        <v/>
      </c>
      <c r="AB187" s="180" t="str">
        <f ca="1"/>
        <v/>
      </c>
      <c r="AC187" s="180" t="str">
        <f ca="1"/>
        <v/>
      </c>
      <c r="AD187" s="180" t="str">
        <f ca="1"/>
        <v/>
      </c>
      <c r="AE187" s="180" t="str">
        <f ca="1"/>
        <v/>
      </c>
      <c r="AF187" s="180" t="str">
        <f ca="1"/>
        <v/>
      </c>
      <c r="AG187" s="180" t="str">
        <f ca="1"/>
        <v/>
      </c>
      <c r="AH187" s="180" t="str">
        <f ca="1"/>
        <v/>
      </c>
      <c r="AI187" s="180" t="str">
        <f ca="1"/>
        <v/>
      </c>
      <c r="AJ187" s="180" t="str">
        <f ca="1"/>
        <v/>
      </c>
      <c r="AK187" s="180" t="str">
        <f ca="1"/>
        <v/>
      </c>
      <c r="AL187" s="180" t="str">
        <f ca="1"/>
        <v/>
      </c>
      <c r="AM187" s="180" t="str">
        <f ca="1"/>
        <v/>
      </c>
      <c r="AN187" s="180" t="str">
        <f ca="1"/>
        <v/>
      </c>
      <c r="AO187" s="180" t="str">
        <f ca="1"/>
        <v/>
      </c>
      <c r="AP187" s="180" t="str">
        <f ca="1"/>
        <v/>
      </c>
      <c r="AQ187" s="187" t="str">
        <f ca="1"/>
        <v/>
      </c>
    </row>
    <row r="188" spans="2:43" x14ac:dyDescent="0.25">
      <c r="B188" s="179" t="str">
        <f ca="1"/>
        <v/>
      </c>
      <c r="C188" s="180" t="str">
        <f ca="1"/>
        <v/>
      </c>
      <c r="D188" s="180" t="str">
        <f ca="1"/>
        <v/>
      </c>
      <c r="E188" s="180" t="str">
        <f ca="1"/>
        <v/>
      </c>
      <c r="F188" s="180" t="str">
        <f ca="1"/>
        <v/>
      </c>
      <c r="G188" s="180" t="str">
        <f ca="1"/>
        <v/>
      </c>
      <c r="H188" s="180" t="str">
        <f ca="1"/>
        <v/>
      </c>
      <c r="I188" s="180" t="str">
        <f ca="1"/>
        <v/>
      </c>
      <c r="J188" s="180" t="str">
        <f ca="1"/>
        <v/>
      </c>
      <c r="K188" s="180" t="str">
        <f ca="1"/>
        <v/>
      </c>
      <c r="L188" s="180" t="str">
        <f ca="1"/>
        <v/>
      </c>
      <c r="M188" s="180" t="str">
        <f ca="1"/>
        <v/>
      </c>
      <c r="N188" s="180" t="str">
        <f ca="1"/>
        <v/>
      </c>
      <c r="O188" s="180" t="str">
        <f ca="1"/>
        <v/>
      </c>
      <c r="P188" s="180" t="str">
        <f ca="1"/>
        <v/>
      </c>
      <c r="Q188" s="180" t="str">
        <f ca="1"/>
        <v/>
      </c>
      <c r="R188" s="180" t="str">
        <f ca="1"/>
        <v/>
      </c>
      <c r="S188" s="180" t="str">
        <f ca="1"/>
        <v/>
      </c>
      <c r="T188" s="180" t="str">
        <f ca="1"/>
        <v/>
      </c>
      <c r="U188" s="180" t="str">
        <f ca="1"/>
        <v/>
      </c>
      <c r="V188" s="180" t="str">
        <f ca="1"/>
        <v/>
      </c>
      <c r="W188" s="180" t="str">
        <f ca="1"/>
        <v/>
      </c>
      <c r="X188" s="180" t="str">
        <f ca="1"/>
        <v/>
      </c>
      <c r="Y188" s="180" t="str">
        <f ca="1"/>
        <v/>
      </c>
      <c r="Z188" s="180" t="str">
        <f ca="1"/>
        <v/>
      </c>
      <c r="AA188" s="180" t="str">
        <f ca="1"/>
        <v/>
      </c>
      <c r="AB188" s="180" t="str">
        <f ca="1"/>
        <v/>
      </c>
      <c r="AC188" s="180" t="str">
        <f ca="1"/>
        <v/>
      </c>
      <c r="AD188" s="180" t="str">
        <f ca="1"/>
        <v/>
      </c>
      <c r="AE188" s="180" t="str">
        <f ca="1"/>
        <v/>
      </c>
      <c r="AF188" s="180" t="str">
        <f ca="1"/>
        <v/>
      </c>
      <c r="AG188" s="180" t="str">
        <f ca="1"/>
        <v/>
      </c>
      <c r="AH188" s="180" t="str">
        <f ca="1"/>
        <v/>
      </c>
      <c r="AI188" s="180" t="str">
        <f ca="1"/>
        <v/>
      </c>
      <c r="AJ188" s="180" t="str">
        <f ca="1"/>
        <v/>
      </c>
      <c r="AK188" s="180" t="str">
        <f ca="1"/>
        <v/>
      </c>
      <c r="AL188" s="180" t="str">
        <f ca="1"/>
        <v/>
      </c>
      <c r="AM188" s="180" t="str">
        <f ca="1"/>
        <v/>
      </c>
      <c r="AN188" s="180" t="str">
        <f ca="1"/>
        <v/>
      </c>
      <c r="AO188" s="180" t="str">
        <f ca="1"/>
        <v/>
      </c>
      <c r="AP188" s="180" t="str">
        <f ca="1"/>
        <v/>
      </c>
      <c r="AQ188" s="187" t="str">
        <f ca="1"/>
        <v/>
      </c>
    </row>
    <row r="189" spans="2:43" x14ac:dyDescent="0.25">
      <c r="B189" s="179" t="str">
        <f ca="1"/>
        <v/>
      </c>
      <c r="C189" s="180" t="str">
        <f ca="1"/>
        <v/>
      </c>
      <c r="D189" s="180" t="str">
        <f ca="1"/>
        <v/>
      </c>
      <c r="E189" s="180" t="str">
        <f ca="1"/>
        <v/>
      </c>
      <c r="F189" s="180" t="str">
        <f ca="1"/>
        <v/>
      </c>
      <c r="G189" s="180" t="str">
        <f ca="1"/>
        <v/>
      </c>
      <c r="H189" s="180" t="str">
        <f ca="1"/>
        <v/>
      </c>
      <c r="I189" s="180" t="str">
        <f ca="1"/>
        <v/>
      </c>
      <c r="J189" s="180" t="str">
        <f ca="1"/>
        <v/>
      </c>
      <c r="K189" s="180" t="str">
        <f ca="1"/>
        <v/>
      </c>
      <c r="L189" s="180" t="str">
        <f ca="1"/>
        <v/>
      </c>
      <c r="M189" s="180" t="str">
        <f ca="1"/>
        <v/>
      </c>
      <c r="N189" s="180" t="str">
        <f ca="1"/>
        <v/>
      </c>
      <c r="O189" s="180" t="str">
        <f ca="1"/>
        <v/>
      </c>
      <c r="P189" s="180" t="str">
        <f ca="1"/>
        <v/>
      </c>
      <c r="Q189" s="180" t="str">
        <f ca="1"/>
        <v/>
      </c>
      <c r="R189" s="180" t="str">
        <f ca="1"/>
        <v/>
      </c>
      <c r="S189" s="180" t="str">
        <f ca="1"/>
        <v/>
      </c>
      <c r="T189" s="180" t="str">
        <f ca="1"/>
        <v/>
      </c>
      <c r="U189" s="180" t="str">
        <f ca="1"/>
        <v/>
      </c>
      <c r="V189" s="180" t="str">
        <f ca="1"/>
        <v/>
      </c>
      <c r="W189" s="180" t="str">
        <f ca="1"/>
        <v/>
      </c>
      <c r="X189" s="180" t="str">
        <f ca="1"/>
        <v/>
      </c>
      <c r="Y189" s="180" t="str">
        <f ca="1"/>
        <v/>
      </c>
      <c r="Z189" s="180" t="str">
        <f ca="1"/>
        <v/>
      </c>
      <c r="AA189" s="180" t="str">
        <f ca="1"/>
        <v/>
      </c>
      <c r="AB189" s="180" t="str">
        <f ca="1"/>
        <v/>
      </c>
      <c r="AC189" s="180" t="str">
        <f ca="1"/>
        <v/>
      </c>
      <c r="AD189" s="180" t="str">
        <f ca="1"/>
        <v/>
      </c>
      <c r="AE189" s="180" t="str">
        <f ca="1"/>
        <v/>
      </c>
      <c r="AF189" s="180" t="str">
        <f ca="1"/>
        <v/>
      </c>
      <c r="AG189" s="180" t="str">
        <f ca="1"/>
        <v/>
      </c>
      <c r="AH189" s="180" t="str">
        <f ca="1"/>
        <v/>
      </c>
      <c r="AI189" s="180" t="str">
        <f ca="1"/>
        <v/>
      </c>
      <c r="AJ189" s="180" t="str">
        <f ca="1"/>
        <v/>
      </c>
      <c r="AK189" s="180" t="str">
        <f ca="1"/>
        <v/>
      </c>
      <c r="AL189" s="180" t="str">
        <f ca="1"/>
        <v/>
      </c>
      <c r="AM189" s="180" t="str">
        <f ca="1"/>
        <v/>
      </c>
      <c r="AN189" s="180" t="str">
        <f ca="1"/>
        <v/>
      </c>
      <c r="AO189" s="180" t="str">
        <f ca="1"/>
        <v/>
      </c>
      <c r="AP189" s="180" t="str">
        <f ca="1"/>
        <v/>
      </c>
      <c r="AQ189" s="187" t="str">
        <f ca="1"/>
        <v/>
      </c>
    </row>
    <row r="190" spans="2:43" x14ac:dyDescent="0.25">
      <c r="B190" s="179" t="str">
        <f ca="1"/>
        <v/>
      </c>
      <c r="C190" s="180" t="str">
        <f ca="1"/>
        <v/>
      </c>
      <c r="D190" s="180" t="str">
        <f ca="1"/>
        <v/>
      </c>
      <c r="E190" s="180" t="str">
        <f ca="1"/>
        <v/>
      </c>
      <c r="F190" s="180" t="str">
        <f ca="1"/>
        <v/>
      </c>
      <c r="G190" s="180" t="str">
        <f ca="1"/>
        <v/>
      </c>
      <c r="H190" s="180" t="str">
        <f ca="1"/>
        <v/>
      </c>
      <c r="I190" s="180" t="str">
        <f ca="1"/>
        <v/>
      </c>
      <c r="J190" s="180" t="str">
        <f ca="1"/>
        <v/>
      </c>
      <c r="K190" s="180" t="str">
        <f ca="1"/>
        <v/>
      </c>
      <c r="L190" s="180" t="str">
        <f ca="1"/>
        <v/>
      </c>
      <c r="M190" s="180" t="str">
        <f ca="1"/>
        <v/>
      </c>
      <c r="N190" s="180" t="str">
        <f ca="1"/>
        <v/>
      </c>
      <c r="O190" s="180" t="str">
        <f ca="1"/>
        <v/>
      </c>
      <c r="P190" s="180" t="str">
        <f ca="1"/>
        <v/>
      </c>
      <c r="Q190" s="180" t="str">
        <f ca="1"/>
        <v/>
      </c>
      <c r="R190" s="180" t="str">
        <f ca="1"/>
        <v/>
      </c>
      <c r="S190" s="180" t="str">
        <f ca="1"/>
        <v/>
      </c>
      <c r="T190" s="180" t="str">
        <f ca="1"/>
        <v/>
      </c>
      <c r="U190" s="180" t="str">
        <f ca="1"/>
        <v/>
      </c>
      <c r="V190" s="180" t="str">
        <f ca="1"/>
        <v/>
      </c>
      <c r="W190" s="180" t="str">
        <f ca="1"/>
        <v/>
      </c>
      <c r="X190" s="180" t="str">
        <f ca="1"/>
        <v/>
      </c>
      <c r="Y190" s="180" t="str">
        <f ca="1"/>
        <v/>
      </c>
      <c r="Z190" s="180" t="str">
        <f ca="1"/>
        <v/>
      </c>
      <c r="AA190" s="180" t="str">
        <f ca="1"/>
        <v/>
      </c>
      <c r="AB190" s="180" t="str">
        <f ca="1"/>
        <v/>
      </c>
      <c r="AC190" s="180" t="str">
        <f ca="1"/>
        <v/>
      </c>
      <c r="AD190" s="180" t="str">
        <f ca="1"/>
        <v/>
      </c>
      <c r="AE190" s="180" t="str">
        <f ca="1"/>
        <v/>
      </c>
      <c r="AF190" s="180" t="str">
        <f ca="1"/>
        <v/>
      </c>
      <c r="AG190" s="180" t="str">
        <f ca="1"/>
        <v/>
      </c>
      <c r="AH190" s="180" t="str">
        <f ca="1"/>
        <v/>
      </c>
      <c r="AI190" s="180" t="str">
        <f ca="1"/>
        <v/>
      </c>
      <c r="AJ190" s="180" t="str">
        <f ca="1"/>
        <v/>
      </c>
      <c r="AK190" s="180" t="str">
        <f ca="1"/>
        <v/>
      </c>
      <c r="AL190" s="180" t="str">
        <f ca="1"/>
        <v/>
      </c>
      <c r="AM190" s="180" t="str">
        <f ca="1"/>
        <v/>
      </c>
      <c r="AN190" s="180" t="str">
        <f ca="1"/>
        <v/>
      </c>
      <c r="AO190" s="180" t="str">
        <f ca="1"/>
        <v/>
      </c>
      <c r="AP190" s="180" t="str">
        <f ca="1"/>
        <v/>
      </c>
      <c r="AQ190" s="187" t="str">
        <f ca="1"/>
        <v/>
      </c>
    </row>
    <row r="191" spans="2:43" x14ac:dyDescent="0.25">
      <c r="B191" s="179" t="str">
        <f ca="1"/>
        <v/>
      </c>
      <c r="C191" s="180" t="str">
        <f ca="1"/>
        <v/>
      </c>
      <c r="D191" s="180" t="str">
        <f ca="1"/>
        <v/>
      </c>
      <c r="E191" s="180" t="str">
        <f ca="1"/>
        <v/>
      </c>
      <c r="F191" s="180" t="str">
        <f ca="1"/>
        <v/>
      </c>
      <c r="G191" s="180" t="str">
        <f ca="1"/>
        <v/>
      </c>
      <c r="H191" s="180" t="str">
        <f ca="1"/>
        <v/>
      </c>
      <c r="I191" s="180" t="str">
        <f ca="1"/>
        <v/>
      </c>
      <c r="J191" s="180" t="str">
        <f ca="1"/>
        <v/>
      </c>
      <c r="K191" s="180" t="str">
        <f ca="1"/>
        <v/>
      </c>
      <c r="L191" s="180" t="str">
        <f ca="1"/>
        <v/>
      </c>
      <c r="M191" s="180" t="str">
        <f ca="1"/>
        <v/>
      </c>
      <c r="N191" s="180" t="str">
        <f ca="1"/>
        <v/>
      </c>
      <c r="O191" s="180" t="str">
        <f ca="1"/>
        <v/>
      </c>
      <c r="P191" s="180" t="str">
        <f ca="1"/>
        <v/>
      </c>
      <c r="Q191" s="180" t="str">
        <f ca="1"/>
        <v/>
      </c>
      <c r="R191" s="180" t="str">
        <f ca="1"/>
        <v/>
      </c>
      <c r="S191" s="180" t="str">
        <f ca="1"/>
        <v/>
      </c>
      <c r="T191" s="180" t="str">
        <f ca="1"/>
        <v/>
      </c>
      <c r="U191" s="180" t="str">
        <f ca="1"/>
        <v/>
      </c>
      <c r="V191" s="180" t="str">
        <f ca="1"/>
        <v/>
      </c>
      <c r="W191" s="180" t="str">
        <f ca="1"/>
        <v/>
      </c>
      <c r="X191" s="180" t="str">
        <f ca="1"/>
        <v/>
      </c>
      <c r="Y191" s="180" t="str">
        <f ca="1"/>
        <v/>
      </c>
      <c r="Z191" s="180" t="str">
        <f ca="1"/>
        <v/>
      </c>
      <c r="AA191" s="180" t="str">
        <f ca="1"/>
        <v/>
      </c>
      <c r="AB191" s="180" t="str">
        <f ca="1"/>
        <v/>
      </c>
      <c r="AC191" s="180" t="str">
        <f ca="1"/>
        <v/>
      </c>
      <c r="AD191" s="180" t="str">
        <f ca="1"/>
        <v/>
      </c>
      <c r="AE191" s="180" t="str">
        <f ca="1"/>
        <v/>
      </c>
      <c r="AF191" s="180" t="str">
        <f ca="1"/>
        <v/>
      </c>
      <c r="AG191" s="180" t="str">
        <f ca="1"/>
        <v/>
      </c>
      <c r="AH191" s="180" t="str">
        <f ca="1"/>
        <v/>
      </c>
      <c r="AI191" s="180" t="str">
        <f ca="1"/>
        <v/>
      </c>
      <c r="AJ191" s="180" t="str">
        <f ca="1"/>
        <v/>
      </c>
      <c r="AK191" s="180" t="str">
        <f ca="1"/>
        <v/>
      </c>
      <c r="AL191" s="180" t="str">
        <f ca="1"/>
        <v/>
      </c>
      <c r="AM191" s="180" t="str">
        <f ca="1"/>
        <v/>
      </c>
      <c r="AN191" s="180" t="str">
        <f ca="1"/>
        <v/>
      </c>
      <c r="AO191" s="180" t="str">
        <f ca="1"/>
        <v/>
      </c>
      <c r="AP191" s="180" t="str">
        <f ca="1"/>
        <v/>
      </c>
      <c r="AQ191" s="187" t="str">
        <f ca="1"/>
        <v/>
      </c>
    </row>
    <row r="192" spans="2:43" x14ac:dyDescent="0.25">
      <c r="B192" s="179" t="str">
        <f ca="1"/>
        <v/>
      </c>
      <c r="C192" s="180" t="str">
        <f ca="1"/>
        <v/>
      </c>
      <c r="D192" s="180" t="str">
        <f ca="1"/>
        <v/>
      </c>
      <c r="E192" s="180" t="str">
        <f ca="1"/>
        <v/>
      </c>
      <c r="F192" s="180" t="str">
        <f ca="1"/>
        <v/>
      </c>
      <c r="G192" s="180" t="str">
        <f ca="1"/>
        <v/>
      </c>
      <c r="H192" s="180" t="str">
        <f ca="1"/>
        <v/>
      </c>
      <c r="I192" s="180" t="str">
        <f ca="1"/>
        <v/>
      </c>
      <c r="J192" s="180" t="str">
        <f ca="1"/>
        <v/>
      </c>
      <c r="K192" s="180" t="str">
        <f ca="1"/>
        <v/>
      </c>
      <c r="L192" s="180" t="str">
        <f ca="1"/>
        <v/>
      </c>
      <c r="M192" s="180" t="str">
        <f ca="1"/>
        <v/>
      </c>
      <c r="N192" s="180" t="str">
        <f ca="1"/>
        <v/>
      </c>
      <c r="O192" s="180" t="str">
        <f ca="1"/>
        <v/>
      </c>
      <c r="P192" s="180" t="str">
        <f ca="1"/>
        <v/>
      </c>
      <c r="Q192" s="180" t="str">
        <f ca="1"/>
        <v/>
      </c>
      <c r="R192" s="180" t="str">
        <f ca="1"/>
        <v/>
      </c>
      <c r="S192" s="180" t="str">
        <f ca="1"/>
        <v/>
      </c>
      <c r="T192" s="180" t="str">
        <f ca="1"/>
        <v/>
      </c>
      <c r="U192" s="180" t="str">
        <f ca="1"/>
        <v/>
      </c>
      <c r="V192" s="180" t="str">
        <f ca="1"/>
        <v/>
      </c>
      <c r="W192" s="180" t="str">
        <f ca="1"/>
        <v/>
      </c>
      <c r="X192" s="180" t="str">
        <f ca="1"/>
        <v/>
      </c>
      <c r="Y192" s="180" t="str">
        <f ca="1"/>
        <v/>
      </c>
      <c r="Z192" s="180" t="str">
        <f ca="1"/>
        <v/>
      </c>
      <c r="AA192" s="180" t="str">
        <f ca="1"/>
        <v/>
      </c>
      <c r="AB192" s="180" t="str">
        <f ca="1"/>
        <v/>
      </c>
      <c r="AC192" s="180" t="str">
        <f ca="1"/>
        <v/>
      </c>
      <c r="AD192" s="180" t="str">
        <f ca="1"/>
        <v/>
      </c>
      <c r="AE192" s="180" t="str">
        <f ca="1"/>
        <v/>
      </c>
      <c r="AF192" s="180" t="str">
        <f ca="1"/>
        <v/>
      </c>
      <c r="AG192" s="180" t="str">
        <f ca="1"/>
        <v/>
      </c>
      <c r="AH192" s="180" t="str">
        <f ca="1"/>
        <v/>
      </c>
      <c r="AI192" s="180" t="str">
        <f ca="1"/>
        <v/>
      </c>
      <c r="AJ192" s="180" t="str">
        <f ca="1"/>
        <v/>
      </c>
      <c r="AK192" s="180" t="str">
        <f ca="1"/>
        <v/>
      </c>
      <c r="AL192" s="180" t="str">
        <f ca="1"/>
        <v/>
      </c>
      <c r="AM192" s="180" t="str">
        <f ca="1"/>
        <v/>
      </c>
      <c r="AN192" s="180" t="str">
        <f ca="1"/>
        <v/>
      </c>
      <c r="AO192" s="180" t="str">
        <f ca="1"/>
        <v/>
      </c>
      <c r="AP192" s="180" t="str">
        <f ca="1"/>
        <v/>
      </c>
      <c r="AQ192" s="187" t="str">
        <f ca="1"/>
        <v/>
      </c>
    </row>
    <row r="193" spans="2:43" x14ac:dyDescent="0.25">
      <c r="B193" s="179" t="str">
        <f ca="1"/>
        <v/>
      </c>
      <c r="C193" s="180" t="str">
        <f ca="1"/>
        <v/>
      </c>
      <c r="D193" s="180" t="str">
        <f ca="1"/>
        <v/>
      </c>
      <c r="E193" s="180" t="str">
        <f ca="1"/>
        <v/>
      </c>
      <c r="F193" s="180" t="str">
        <f ca="1"/>
        <v/>
      </c>
      <c r="G193" s="180" t="str">
        <f ca="1"/>
        <v/>
      </c>
      <c r="H193" s="180" t="str">
        <f ca="1"/>
        <v/>
      </c>
      <c r="I193" s="180" t="str">
        <f ca="1"/>
        <v/>
      </c>
      <c r="J193" s="180" t="str">
        <f ca="1"/>
        <v/>
      </c>
      <c r="K193" s="180" t="str">
        <f ca="1"/>
        <v/>
      </c>
      <c r="L193" s="180" t="str">
        <f ca="1"/>
        <v/>
      </c>
      <c r="M193" s="180" t="str">
        <f ca="1"/>
        <v/>
      </c>
      <c r="N193" s="180" t="str">
        <f ca="1"/>
        <v/>
      </c>
      <c r="O193" s="180" t="str">
        <f ca="1"/>
        <v/>
      </c>
      <c r="P193" s="180" t="str">
        <f ca="1"/>
        <v/>
      </c>
      <c r="Q193" s="180" t="str">
        <f ca="1"/>
        <v/>
      </c>
      <c r="R193" s="180" t="str">
        <f ca="1"/>
        <v/>
      </c>
      <c r="S193" s="180" t="str">
        <f ca="1"/>
        <v/>
      </c>
      <c r="T193" s="180" t="str">
        <f ca="1"/>
        <v/>
      </c>
      <c r="U193" s="180" t="str">
        <f ca="1"/>
        <v/>
      </c>
      <c r="V193" s="180" t="str">
        <f ca="1"/>
        <v/>
      </c>
      <c r="W193" s="180" t="str">
        <f ca="1"/>
        <v/>
      </c>
      <c r="X193" s="180" t="str">
        <f ca="1"/>
        <v/>
      </c>
      <c r="Y193" s="180" t="str">
        <f ca="1"/>
        <v/>
      </c>
      <c r="Z193" s="180" t="str">
        <f ca="1"/>
        <v/>
      </c>
      <c r="AA193" s="180" t="str">
        <f ca="1"/>
        <v/>
      </c>
      <c r="AB193" s="180" t="str">
        <f ca="1"/>
        <v/>
      </c>
      <c r="AC193" s="180" t="str">
        <f ca="1"/>
        <v/>
      </c>
      <c r="AD193" s="180" t="str">
        <f ca="1"/>
        <v/>
      </c>
      <c r="AE193" s="180" t="str">
        <f ca="1"/>
        <v/>
      </c>
      <c r="AF193" s="180" t="str">
        <f ca="1"/>
        <v/>
      </c>
      <c r="AG193" s="180" t="str">
        <f ca="1"/>
        <v/>
      </c>
      <c r="AH193" s="180" t="str">
        <f ca="1"/>
        <v/>
      </c>
      <c r="AI193" s="180" t="str">
        <f ca="1"/>
        <v/>
      </c>
      <c r="AJ193" s="180" t="str">
        <f ca="1"/>
        <v/>
      </c>
      <c r="AK193" s="180" t="str">
        <f ca="1"/>
        <v/>
      </c>
      <c r="AL193" s="180" t="str">
        <f ca="1"/>
        <v/>
      </c>
      <c r="AM193" s="180" t="str">
        <f ca="1"/>
        <v/>
      </c>
      <c r="AN193" s="180" t="str">
        <f ca="1"/>
        <v/>
      </c>
      <c r="AO193" s="180" t="str">
        <f ca="1"/>
        <v/>
      </c>
      <c r="AP193" s="180" t="str">
        <f ca="1"/>
        <v/>
      </c>
      <c r="AQ193" s="187" t="str">
        <f ca="1"/>
        <v/>
      </c>
    </row>
    <row r="194" spans="2:43" x14ac:dyDescent="0.25">
      <c r="B194" s="179" t="str">
        <f ca="1"/>
        <v/>
      </c>
      <c r="C194" s="180" t="str">
        <f ca="1"/>
        <v/>
      </c>
      <c r="D194" s="180" t="str">
        <f ca="1"/>
        <v/>
      </c>
      <c r="E194" s="180" t="str">
        <f ca="1"/>
        <v/>
      </c>
      <c r="F194" s="180" t="str">
        <f ca="1"/>
        <v/>
      </c>
      <c r="G194" s="180" t="str">
        <f ca="1"/>
        <v/>
      </c>
      <c r="H194" s="180" t="str">
        <f ca="1"/>
        <v/>
      </c>
      <c r="I194" s="180" t="str">
        <f ca="1"/>
        <v/>
      </c>
      <c r="J194" s="180" t="str">
        <f ca="1"/>
        <v/>
      </c>
      <c r="K194" s="180" t="str">
        <f ca="1"/>
        <v/>
      </c>
      <c r="L194" s="180" t="str">
        <f ca="1"/>
        <v/>
      </c>
      <c r="M194" s="180" t="str">
        <f ca="1"/>
        <v/>
      </c>
      <c r="N194" s="180" t="str">
        <f ca="1"/>
        <v/>
      </c>
      <c r="O194" s="180" t="str">
        <f ca="1"/>
        <v/>
      </c>
      <c r="P194" s="180" t="str">
        <f ca="1"/>
        <v/>
      </c>
      <c r="Q194" s="180" t="str">
        <f ca="1"/>
        <v/>
      </c>
      <c r="R194" s="180" t="str">
        <f ca="1"/>
        <v/>
      </c>
      <c r="S194" s="180" t="str">
        <f ca="1"/>
        <v/>
      </c>
      <c r="T194" s="180" t="str">
        <f ca="1"/>
        <v/>
      </c>
      <c r="U194" s="180" t="str">
        <f ca="1"/>
        <v/>
      </c>
      <c r="V194" s="180" t="str">
        <f ca="1"/>
        <v/>
      </c>
      <c r="W194" s="180" t="str">
        <f ca="1"/>
        <v/>
      </c>
      <c r="X194" s="180" t="str">
        <f ca="1"/>
        <v/>
      </c>
      <c r="Y194" s="180" t="str">
        <f ca="1"/>
        <v/>
      </c>
      <c r="Z194" s="180" t="str">
        <f ca="1"/>
        <v/>
      </c>
      <c r="AA194" s="180" t="str">
        <f ca="1"/>
        <v/>
      </c>
      <c r="AB194" s="180" t="str">
        <f ca="1"/>
        <v/>
      </c>
      <c r="AC194" s="180" t="str">
        <f ca="1"/>
        <v/>
      </c>
      <c r="AD194" s="180" t="str">
        <f ca="1"/>
        <v/>
      </c>
      <c r="AE194" s="180" t="str">
        <f ca="1"/>
        <v/>
      </c>
      <c r="AF194" s="180" t="str">
        <f ca="1"/>
        <v/>
      </c>
      <c r="AG194" s="180" t="str">
        <f ca="1"/>
        <v/>
      </c>
      <c r="AH194" s="180" t="str">
        <f ca="1"/>
        <v/>
      </c>
      <c r="AI194" s="180" t="str">
        <f ca="1"/>
        <v/>
      </c>
      <c r="AJ194" s="180" t="str">
        <f ca="1"/>
        <v/>
      </c>
      <c r="AK194" s="180" t="str">
        <f ca="1"/>
        <v/>
      </c>
      <c r="AL194" s="180" t="str">
        <f ca="1"/>
        <v/>
      </c>
      <c r="AM194" s="180" t="str">
        <f ca="1"/>
        <v/>
      </c>
      <c r="AN194" s="180" t="str">
        <f ca="1"/>
        <v/>
      </c>
      <c r="AO194" s="180" t="str">
        <f ca="1"/>
        <v/>
      </c>
      <c r="AP194" s="180" t="str">
        <f ca="1"/>
        <v/>
      </c>
      <c r="AQ194" s="187" t="str">
        <f ca="1"/>
        <v/>
      </c>
    </row>
    <row r="195" spans="2:43" x14ac:dyDescent="0.25">
      <c r="B195" s="179" t="str">
        <f ca="1"/>
        <v/>
      </c>
      <c r="C195" s="180" t="str">
        <f ca="1"/>
        <v/>
      </c>
      <c r="D195" s="180" t="str">
        <f ca="1"/>
        <v/>
      </c>
      <c r="E195" s="180" t="str">
        <f ca="1"/>
        <v/>
      </c>
      <c r="F195" s="180" t="str">
        <f ca="1"/>
        <v/>
      </c>
      <c r="G195" s="180" t="str">
        <f ca="1"/>
        <v/>
      </c>
      <c r="H195" s="180" t="str">
        <f ca="1"/>
        <v/>
      </c>
      <c r="I195" s="180" t="str">
        <f ca="1"/>
        <v/>
      </c>
      <c r="J195" s="180" t="str">
        <f ca="1"/>
        <v/>
      </c>
      <c r="K195" s="180" t="str">
        <f ca="1"/>
        <v/>
      </c>
      <c r="L195" s="180" t="str">
        <f ca="1"/>
        <v/>
      </c>
      <c r="M195" s="180" t="str">
        <f ca="1"/>
        <v/>
      </c>
      <c r="N195" s="180" t="str">
        <f ca="1"/>
        <v/>
      </c>
      <c r="O195" s="180" t="str">
        <f ca="1"/>
        <v/>
      </c>
      <c r="P195" s="180" t="str">
        <f ca="1"/>
        <v/>
      </c>
      <c r="Q195" s="180" t="str">
        <f ca="1"/>
        <v/>
      </c>
      <c r="R195" s="180" t="str">
        <f ca="1"/>
        <v/>
      </c>
      <c r="S195" s="180" t="str">
        <f ca="1"/>
        <v/>
      </c>
      <c r="T195" s="180" t="str">
        <f ca="1"/>
        <v/>
      </c>
      <c r="U195" s="180" t="str">
        <f ca="1"/>
        <v/>
      </c>
      <c r="V195" s="180" t="str">
        <f ca="1"/>
        <v/>
      </c>
      <c r="W195" s="180" t="str">
        <f ca="1"/>
        <v/>
      </c>
      <c r="X195" s="180" t="str">
        <f ca="1"/>
        <v/>
      </c>
      <c r="Y195" s="180" t="str">
        <f ca="1"/>
        <v/>
      </c>
      <c r="Z195" s="180" t="str">
        <f ca="1"/>
        <v/>
      </c>
      <c r="AA195" s="180" t="str">
        <f ca="1"/>
        <v/>
      </c>
      <c r="AB195" s="180" t="str">
        <f ca="1"/>
        <v/>
      </c>
      <c r="AC195" s="180" t="str">
        <f ca="1"/>
        <v/>
      </c>
      <c r="AD195" s="180" t="str">
        <f ca="1"/>
        <v/>
      </c>
      <c r="AE195" s="180" t="str">
        <f ca="1"/>
        <v/>
      </c>
      <c r="AF195" s="180" t="str">
        <f ca="1"/>
        <v/>
      </c>
      <c r="AG195" s="180" t="str">
        <f ca="1"/>
        <v/>
      </c>
      <c r="AH195" s="180" t="str">
        <f ca="1"/>
        <v/>
      </c>
      <c r="AI195" s="180" t="str">
        <f ca="1"/>
        <v/>
      </c>
      <c r="AJ195" s="180" t="str">
        <f ca="1"/>
        <v/>
      </c>
      <c r="AK195" s="180" t="str">
        <f ca="1"/>
        <v/>
      </c>
      <c r="AL195" s="180" t="str">
        <f ca="1"/>
        <v/>
      </c>
      <c r="AM195" s="180" t="str">
        <f ca="1"/>
        <v/>
      </c>
      <c r="AN195" s="180" t="str">
        <f ca="1"/>
        <v/>
      </c>
      <c r="AO195" s="180" t="str">
        <f ca="1"/>
        <v/>
      </c>
      <c r="AP195" s="180" t="str">
        <f ca="1"/>
        <v/>
      </c>
      <c r="AQ195" s="187" t="str">
        <f ca="1"/>
        <v/>
      </c>
    </row>
    <row r="196" spans="2:43" x14ac:dyDescent="0.25">
      <c r="B196" s="179" t="str">
        <f ca="1"/>
        <v/>
      </c>
      <c r="C196" s="180" t="str">
        <f ca="1"/>
        <v/>
      </c>
      <c r="D196" s="180" t="str">
        <f ca="1"/>
        <v/>
      </c>
      <c r="E196" s="180" t="str">
        <f ca="1"/>
        <v/>
      </c>
      <c r="F196" s="180" t="str">
        <f ca="1"/>
        <v/>
      </c>
      <c r="G196" s="180" t="str">
        <f ca="1"/>
        <v/>
      </c>
      <c r="H196" s="180" t="str">
        <f ca="1"/>
        <v/>
      </c>
      <c r="I196" s="180" t="str">
        <f ca="1"/>
        <v/>
      </c>
      <c r="J196" s="180" t="str">
        <f ca="1"/>
        <v/>
      </c>
      <c r="K196" s="180" t="str">
        <f ca="1"/>
        <v/>
      </c>
      <c r="L196" s="180" t="str">
        <f ca="1"/>
        <v/>
      </c>
      <c r="M196" s="180" t="str">
        <f ca="1"/>
        <v/>
      </c>
      <c r="N196" s="180" t="str">
        <f ca="1"/>
        <v/>
      </c>
      <c r="O196" s="180" t="str">
        <f ca="1"/>
        <v/>
      </c>
      <c r="P196" s="180" t="str">
        <f ca="1"/>
        <v/>
      </c>
      <c r="Q196" s="180" t="str">
        <f ca="1"/>
        <v/>
      </c>
      <c r="R196" s="180" t="str">
        <f ca="1"/>
        <v/>
      </c>
      <c r="S196" s="180" t="str">
        <f ca="1"/>
        <v/>
      </c>
      <c r="T196" s="180" t="str">
        <f ca="1"/>
        <v/>
      </c>
      <c r="U196" s="180" t="str">
        <f ca="1"/>
        <v/>
      </c>
      <c r="V196" s="180" t="str">
        <f ca="1"/>
        <v/>
      </c>
      <c r="W196" s="180" t="str">
        <f ca="1"/>
        <v/>
      </c>
      <c r="X196" s="180" t="str">
        <f ca="1"/>
        <v/>
      </c>
      <c r="Y196" s="180" t="str">
        <f ca="1"/>
        <v/>
      </c>
      <c r="Z196" s="180" t="str">
        <f ca="1"/>
        <v/>
      </c>
      <c r="AA196" s="180" t="str">
        <f ca="1"/>
        <v/>
      </c>
      <c r="AB196" s="180" t="str">
        <f ca="1"/>
        <v/>
      </c>
      <c r="AC196" s="180" t="str">
        <f ca="1"/>
        <v/>
      </c>
      <c r="AD196" s="180" t="str">
        <f ca="1"/>
        <v/>
      </c>
      <c r="AE196" s="180" t="str">
        <f ca="1"/>
        <v/>
      </c>
      <c r="AF196" s="180" t="str">
        <f ca="1"/>
        <v/>
      </c>
      <c r="AG196" s="180" t="str">
        <f ca="1"/>
        <v/>
      </c>
      <c r="AH196" s="180" t="str">
        <f ca="1"/>
        <v/>
      </c>
      <c r="AI196" s="180" t="str">
        <f ca="1"/>
        <v/>
      </c>
      <c r="AJ196" s="180" t="str">
        <f ca="1"/>
        <v/>
      </c>
      <c r="AK196" s="180" t="str">
        <f ca="1"/>
        <v/>
      </c>
      <c r="AL196" s="180" t="str">
        <f ca="1"/>
        <v/>
      </c>
      <c r="AM196" s="180" t="str">
        <f ca="1"/>
        <v/>
      </c>
      <c r="AN196" s="180" t="str">
        <f ca="1"/>
        <v/>
      </c>
      <c r="AO196" s="180" t="str">
        <f ca="1"/>
        <v/>
      </c>
      <c r="AP196" s="180" t="str">
        <f ca="1"/>
        <v/>
      </c>
      <c r="AQ196" s="187" t="str">
        <f ca="1"/>
        <v/>
      </c>
    </row>
    <row r="197" spans="2:43" x14ac:dyDescent="0.25">
      <c r="B197" s="179" t="str">
        <f ca="1"/>
        <v/>
      </c>
      <c r="C197" s="180" t="str">
        <f ca="1"/>
        <v/>
      </c>
      <c r="D197" s="180" t="str">
        <f ca="1"/>
        <v/>
      </c>
      <c r="E197" s="180" t="str">
        <f ca="1"/>
        <v/>
      </c>
      <c r="F197" s="180" t="str">
        <f ca="1"/>
        <v/>
      </c>
      <c r="G197" s="180" t="str">
        <f ca="1"/>
        <v/>
      </c>
      <c r="H197" s="180" t="str">
        <f ca="1"/>
        <v/>
      </c>
      <c r="I197" s="180" t="str">
        <f ca="1"/>
        <v/>
      </c>
      <c r="J197" s="180" t="str">
        <f ca="1"/>
        <v/>
      </c>
      <c r="K197" s="180" t="str">
        <f ca="1"/>
        <v/>
      </c>
      <c r="L197" s="180" t="str">
        <f ca="1"/>
        <v/>
      </c>
      <c r="M197" s="180" t="str">
        <f ca="1"/>
        <v/>
      </c>
      <c r="N197" s="180" t="str">
        <f ca="1"/>
        <v/>
      </c>
      <c r="O197" s="180" t="str">
        <f ca="1"/>
        <v/>
      </c>
      <c r="P197" s="180" t="str">
        <f ca="1"/>
        <v/>
      </c>
      <c r="Q197" s="180" t="str">
        <f ca="1"/>
        <v/>
      </c>
      <c r="R197" s="180" t="str">
        <f ca="1"/>
        <v/>
      </c>
      <c r="S197" s="180" t="str">
        <f ca="1"/>
        <v/>
      </c>
      <c r="T197" s="180" t="str">
        <f ca="1"/>
        <v/>
      </c>
      <c r="U197" s="180" t="str">
        <f ca="1"/>
        <v/>
      </c>
      <c r="V197" s="180" t="str">
        <f ca="1"/>
        <v/>
      </c>
      <c r="W197" s="180" t="str">
        <f ca="1"/>
        <v/>
      </c>
      <c r="X197" s="180" t="str">
        <f ca="1"/>
        <v/>
      </c>
      <c r="Y197" s="180" t="str">
        <f ca="1"/>
        <v/>
      </c>
      <c r="Z197" s="180" t="str">
        <f ca="1"/>
        <v/>
      </c>
      <c r="AA197" s="180" t="str">
        <f ca="1"/>
        <v/>
      </c>
      <c r="AB197" s="180" t="str">
        <f ca="1"/>
        <v/>
      </c>
      <c r="AC197" s="180" t="str">
        <f ca="1"/>
        <v/>
      </c>
      <c r="AD197" s="180" t="str">
        <f ca="1"/>
        <v/>
      </c>
      <c r="AE197" s="180" t="str">
        <f ca="1"/>
        <v/>
      </c>
      <c r="AF197" s="180" t="str">
        <f ca="1"/>
        <v/>
      </c>
      <c r="AG197" s="180" t="str">
        <f ca="1"/>
        <v/>
      </c>
      <c r="AH197" s="180" t="str">
        <f ca="1"/>
        <v/>
      </c>
      <c r="AI197" s="180" t="str">
        <f ca="1"/>
        <v/>
      </c>
      <c r="AJ197" s="180" t="str">
        <f ca="1"/>
        <v/>
      </c>
      <c r="AK197" s="180" t="str">
        <f ca="1"/>
        <v/>
      </c>
      <c r="AL197" s="180" t="str">
        <f ca="1"/>
        <v/>
      </c>
      <c r="AM197" s="180" t="str">
        <f ca="1"/>
        <v/>
      </c>
      <c r="AN197" s="180" t="str">
        <f ca="1"/>
        <v/>
      </c>
      <c r="AO197" s="180" t="str">
        <f ca="1"/>
        <v/>
      </c>
      <c r="AP197" s="180" t="str">
        <f ca="1"/>
        <v/>
      </c>
      <c r="AQ197" s="187" t="str">
        <f ca="1"/>
        <v/>
      </c>
    </row>
    <row r="198" spans="2:43" x14ac:dyDescent="0.25">
      <c r="B198" s="179" t="str">
        <f ca="1"/>
        <v/>
      </c>
      <c r="C198" s="180" t="str">
        <f ca="1"/>
        <v/>
      </c>
      <c r="D198" s="180" t="str">
        <f ca="1"/>
        <v/>
      </c>
      <c r="E198" s="180" t="str">
        <f ca="1"/>
        <v/>
      </c>
      <c r="F198" s="180" t="str">
        <f ca="1"/>
        <v/>
      </c>
      <c r="G198" s="180" t="str">
        <f ca="1"/>
        <v/>
      </c>
      <c r="H198" s="180" t="str">
        <f ca="1"/>
        <v/>
      </c>
      <c r="I198" s="180" t="str">
        <f ca="1"/>
        <v/>
      </c>
      <c r="J198" s="180" t="str">
        <f ca="1"/>
        <v/>
      </c>
      <c r="K198" s="180" t="str">
        <f ca="1"/>
        <v/>
      </c>
      <c r="L198" s="180" t="str">
        <f ca="1"/>
        <v/>
      </c>
      <c r="M198" s="180" t="str">
        <f ca="1"/>
        <v/>
      </c>
      <c r="N198" s="180" t="str">
        <f ca="1"/>
        <v/>
      </c>
      <c r="O198" s="180" t="str">
        <f ca="1"/>
        <v/>
      </c>
      <c r="P198" s="180" t="str">
        <f ca="1"/>
        <v/>
      </c>
      <c r="Q198" s="180" t="str">
        <f ca="1"/>
        <v/>
      </c>
      <c r="R198" s="180" t="str">
        <f ca="1"/>
        <v/>
      </c>
      <c r="S198" s="180" t="str">
        <f ca="1"/>
        <v/>
      </c>
      <c r="T198" s="180" t="str">
        <f ca="1"/>
        <v/>
      </c>
      <c r="U198" s="180" t="str">
        <f ca="1"/>
        <v/>
      </c>
      <c r="V198" s="180" t="str">
        <f ca="1"/>
        <v/>
      </c>
      <c r="W198" s="180" t="str">
        <f ca="1"/>
        <v/>
      </c>
      <c r="X198" s="180" t="str">
        <f ca="1"/>
        <v/>
      </c>
      <c r="Y198" s="180" t="str">
        <f ca="1"/>
        <v/>
      </c>
      <c r="Z198" s="180" t="str">
        <f ca="1"/>
        <v/>
      </c>
      <c r="AA198" s="180" t="str">
        <f ca="1"/>
        <v/>
      </c>
      <c r="AB198" s="180" t="str">
        <f ca="1"/>
        <v/>
      </c>
      <c r="AC198" s="180" t="str">
        <f ca="1"/>
        <v/>
      </c>
      <c r="AD198" s="180" t="str">
        <f ca="1"/>
        <v/>
      </c>
      <c r="AE198" s="180" t="str">
        <f ca="1"/>
        <v/>
      </c>
      <c r="AF198" s="180" t="str">
        <f ca="1"/>
        <v/>
      </c>
      <c r="AG198" s="180" t="str">
        <f ca="1"/>
        <v/>
      </c>
      <c r="AH198" s="180" t="str">
        <f ca="1"/>
        <v/>
      </c>
      <c r="AI198" s="180" t="str">
        <f ca="1"/>
        <v/>
      </c>
      <c r="AJ198" s="180" t="str">
        <f ca="1"/>
        <v/>
      </c>
      <c r="AK198" s="180" t="str">
        <f ca="1"/>
        <v/>
      </c>
      <c r="AL198" s="180" t="str">
        <f ca="1"/>
        <v/>
      </c>
      <c r="AM198" s="180" t="str">
        <f ca="1"/>
        <v/>
      </c>
      <c r="AN198" s="180" t="str">
        <f ca="1"/>
        <v/>
      </c>
      <c r="AO198" s="180" t="str">
        <f ca="1"/>
        <v/>
      </c>
      <c r="AP198" s="180" t="str">
        <f ca="1"/>
        <v/>
      </c>
      <c r="AQ198" s="187" t="str">
        <f ca="1"/>
        <v/>
      </c>
    </row>
    <row r="199" spans="2:43" x14ac:dyDescent="0.25">
      <c r="B199" s="179" t="str">
        <f ca="1"/>
        <v/>
      </c>
      <c r="C199" s="180" t="str">
        <f ca="1"/>
        <v/>
      </c>
      <c r="D199" s="180" t="str">
        <f ca="1"/>
        <v/>
      </c>
      <c r="E199" s="180" t="str">
        <f ca="1"/>
        <v/>
      </c>
      <c r="F199" s="180" t="str">
        <f ca="1"/>
        <v/>
      </c>
      <c r="G199" s="180" t="str">
        <f ca="1"/>
        <v/>
      </c>
      <c r="H199" s="180" t="str">
        <f ca="1"/>
        <v/>
      </c>
      <c r="I199" s="180" t="str">
        <f ca="1"/>
        <v/>
      </c>
      <c r="J199" s="180" t="str">
        <f ca="1"/>
        <v/>
      </c>
      <c r="K199" s="180" t="str">
        <f ca="1"/>
        <v/>
      </c>
      <c r="L199" s="180" t="str">
        <f ca="1"/>
        <v/>
      </c>
      <c r="M199" s="180" t="str">
        <f ca="1"/>
        <v/>
      </c>
      <c r="N199" s="180" t="str">
        <f ca="1"/>
        <v/>
      </c>
      <c r="O199" s="180" t="str">
        <f ca="1"/>
        <v/>
      </c>
      <c r="P199" s="180" t="str">
        <f ca="1"/>
        <v/>
      </c>
      <c r="Q199" s="180" t="str">
        <f ca="1"/>
        <v/>
      </c>
      <c r="R199" s="180" t="str">
        <f ca="1"/>
        <v/>
      </c>
      <c r="S199" s="180" t="str">
        <f ca="1"/>
        <v/>
      </c>
      <c r="T199" s="180" t="str">
        <f ca="1"/>
        <v/>
      </c>
      <c r="U199" s="180" t="str">
        <f ca="1"/>
        <v/>
      </c>
      <c r="V199" s="180" t="str">
        <f ca="1"/>
        <v/>
      </c>
      <c r="W199" s="180" t="str">
        <f ca="1"/>
        <v/>
      </c>
      <c r="X199" s="180" t="str">
        <f ca="1"/>
        <v/>
      </c>
      <c r="Y199" s="180" t="str">
        <f ca="1"/>
        <v/>
      </c>
      <c r="Z199" s="180" t="str">
        <f ca="1"/>
        <v/>
      </c>
      <c r="AA199" s="180" t="str">
        <f ca="1"/>
        <v/>
      </c>
      <c r="AB199" s="180" t="str">
        <f ca="1"/>
        <v/>
      </c>
      <c r="AC199" s="180" t="str">
        <f ca="1"/>
        <v/>
      </c>
      <c r="AD199" s="180" t="str">
        <f ca="1"/>
        <v/>
      </c>
      <c r="AE199" s="180" t="str">
        <f ca="1"/>
        <v/>
      </c>
      <c r="AF199" s="180" t="str">
        <f ca="1"/>
        <v/>
      </c>
      <c r="AG199" s="180" t="str">
        <f ca="1"/>
        <v/>
      </c>
      <c r="AH199" s="180" t="str">
        <f ca="1"/>
        <v/>
      </c>
      <c r="AI199" s="180" t="str">
        <f ca="1"/>
        <v/>
      </c>
      <c r="AJ199" s="180" t="str">
        <f ca="1"/>
        <v/>
      </c>
      <c r="AK199" s="180" t="str">
        <f ca="1"/>
        <v/>
      </c>
      <c r="AL199" s="180" t="str">
        <f ca="1"/>
        <v/>
      </c>
      <c r="AM199" s="180" t="str">
        <f ca="1"/>
        <v/>
      </c>
      <c r="AN199" s="180" t="str">
        <f ca="1"/>
        <v/>
      </c>
      <c r="AO199" s="180" t="str">
        <f ca="1"/>
        <v/>
      </c>
      <c r="AP199" s="180" t="str">
        <f ca="1"/>
        <v/>
      </c>
      <c r="AQ199" s="187" t="str">
        <f ca="1"/>
        <v/>
      </c>
    </row>
    <row r="200" spans="2:43" x14ac:dyDescent="0.25">
      <c r="B200" s="179" t="str">
        <f ca="1"/>
        <v/>
      </c>
      <c r="C200" s="180" t="str">
        <f ca="1"/>
        <v/>
      </c>
      <c r="D200" s="180" t="str">
        <f ca="1"/>
        <v/>
      </c>
      <c r="E200" s="180" t="str">
        <f ca="1"/>
        <v/>
      </c>
      <c r="F200" s="180" t="str">
        <f ca="1"/>
        <v/>
      </c>
      <c r="G200" s="180" t="str">
        <f ca="1"/>
        <v/>
      </c>
      <c r="H200" s="180" t="str">
        <f ca="1"/>
        <v/>
      </c>
      <c r="I200" s="180" t="str">
        <f ca="1"/>
        <v/>
      </c>
      <c r="J200" s="180" t="str">
        <f ca="1"/>
        <v/>
      </c>
      <c r="K200" s="180" t="str">
        <f ca="1"/>
        <v/>
      </c>
      <c r="L200" s="180" t="str">
        <f ca="1"/>
        <v/>
      </c>
      <c r="M200" s="180" t="str">
        <f ca="1"/>
        <v/>
      </c>
      <c r="N200" s="180" t="str">
        <f ca="1"/>
        <v/>
      </c>
      <c r="O200" s="180" t="str">
        <f ca="1"/>
        <v/>
      </c>
      <c r="P200" s="180" t="str">
        <f ca="1"/>
        <v/>
      </c>
      <c r="Q200" s="180" t="str">
        <f ca="1"/>
        <v/>
      </c>
      <c r="R200" s="180" t="str">
        <f ca="1"/>
        <v/>
      </c>
      <c r="S200" s="180" t="str">
        <f ca="1"/>
        <v/>
      </c>
      <c r="T200" s="180" t="str">
        <f ca="1"/>
        <v/>
      </c>
      <c r="U200" s="180" t="str">
        <f ca="1"/>
        <v/>
      </c>
      <c r="V200" s="180" t="str">
        <f ca="1"/>
        <v/>
      </c>
      <c r="W200" s="180" t="str">
        <f ca="1"/>
        <v/>
      </c>
      <c r="X200" s="180" t="str">
        <f ca="1"/>
        <v/>
      </c>
      <c r="Y200" s="180" t="str">
        <f ca="1"/>
        <v/>
      </c>
      <c r="Z200" s="180" t="str">
        <f ca="1"/>
        <v/>
      </c>
      <c r="AA200" s="180" t="str">
        <f ca="1"/>
        <v/>
      </c>
      <c r="AB200" s="180" t="str">
        <f ca="1"/>
        <v/>
      </c>
      <c r="AC200" s="180" t="str">
        <f ca="1"/>
        <v/>
      </c>
      <c r="AD200" s="180" t="str">
        <f ca="1"/>
        <v/>
      </c>
      <c r="AE200" s="180" t="str">
        <f ca="1"/>
        <v/>
      </c>
      <c r="AF200" s="180" t="str">
        <f ca="1"/>
        <v/>
      </c>
      <c r="AG200" s="180" t="str">
        <f ca="1"/>
        <v/>
      </c>
      <c r="AH200" s="180" t="str">
        <f ca="1"/>
        <v/>
      </c>
      <c r="AI200" s="180" t="str">
        <f ca="1"/>
        <v/>
      </c>
      <c r="AJ200" s="180" t="str">
        <f ca="1"/>
        <v/>
      </c>
      <c r="AK200" s="180" t="str">
        <f ca="1"/>
        <v/>
      </c>
      <c r="AL200" s="180" t="str">
        <f ca="1"/>
        <v/>
      </c>
      <c r="AM200" s="180" t="str">
        <f ca="1"/>
        <v/>
      </c>
      <c r="AN200" s="180" t="str">
        <f ca="1"/>
        <v/>
      </c>
      <c r="AO200" s="180" t="str">
        <f ca="1"/>
        <v/>
      </c>
      <c r="AP200" s="180" t="str">
        <f ca="1"/>
        <v/>
      </c>
      <c r="AQ200" s="187" t="str">
        <f ca="1"/>
        <v/>
      </c>
    </row>
    <row r="201" spans="2:43" x14ac:dyDescent="0.25">
      <c r="B201" s="179" t="str">
        <f ca="1"/>
        <v/>
      </c>
      <c r="C201" s="180" t="str">
        <f ca="1"/>
        <v/>
      </c>
      <c r="D201" s="180" t="str">
        <f ca="1"/>
        <v/>
      </c>
      <c r="E201" s="180" t="str">
        <f ca="1"/>
        <v/>
      </c>
      <c r="F201" s="180" t="str">
        <f ca="1"/>
        <v/>
      </c>
      <c r="G201" s="180" t="str">
        <f ca="1"/>
        <v/>
      </c>
      <c r="H201" s="180" t="str">
        <f ca="1"/>
        <v/>
      </c>
      <c r="I201" s="180" t="str">
        <f ca="1"/>
        <v/>
      </c>
      <c r="J201" s="180" t="str">
        <f ca="1"/>
        <v/>
      </c>
      <c r="K201" s="180" t="str">
        <f ca="1"/>
        <v/>
      </c>
      <c r="L201" s="180" t="str">
        <f ca="1"/>
        <v/>
      </c>
      <c r="M201" s="180" t="str">
        <f ca="1"/>
        <v/>
      </c>
      <c r="N201" s="180" t="str">
        <f ca="1"/>
        <v/>
      </c>
      <c r="O201" s="180" t="str">
        <f ca="1"/>
        <v/>
      </c>
      <c r="P201" s="180" t="str">
        <f ca="1"/>
        <v/>
      </c>
      <c r="Q201" s="180" t="str">
        <f ca="1"/>
        <v/>
      </c>
      <c r="R201" s="180" t="str">
        <f ca="1"/>
        <v/>
      </c>
      <c r="S201" s="180" t="str">
        <f ca="1"/>
        <v/>
      </c>
      <c r="T201" s="180" t="str">
        <f ca="1"/>
        <v/>
      </c>
      <c r="U201" s="180" t="str">
        <f ca="1"/>
        <v/>
      </c>
      <c r="V201" s="180" t="str">
        <f ca="1"/>
        <v/>
      </c>
      <c r="W201" s="180" t="str">
        <f ca="1"/>
        <v/>
      </c>
      <c r="X201" s="180" t="str">
        <f ca="1"/>
        <v/>
      </c>
      <c r="Y201" s="180" t="str">
        <f ca="1"/>
        <v/>
      </c>
      <c r="Z201" s="180" t="str">
        <f ca="1"/>
        <v/>
      </c>
      <c r="AA201" s="180" t="str">
        <f ca="1"/>
        <v/>
      </c>
      <c r="AB201" s="180" t="str">
        <f ca="1"/>
        <v/>
      </c>
      <c r="AC201" s="180" t="str">
        <f ca="1"/>
        <v/>
      </c>
      <c r="AD201" s="180" t="str">
        <f ca="1"/>
        <v/>
      </c>
      <c r="AE201" s="180" t="str">
        <f ca="1"/>
        <v/>
      </c>
      <c r="AF201" s="180" t="str">
        <f ca="1"/>
        <v/>
      </c>
      <c r="AG201" s="180" t="str">
        <f ca="1"/>
        <v/>
      </c>
      <c r="AH201" s="180" t="str">
        <f ca="1"/>
        <v/>
      </c>
      <c r="AI201" s="180" t="str">
        <f ca="1"/>
        <v/>
      </c>
      <c r="AJ201" s="180" t="str">
        <f ca="1"/>
        <v/>
      </c>
      <c r="AK201" s="180" t="str">
        <f ca="1"/>
        <v/>
      </c>
      <c r="AL201" s="180" t="str">
        <f ca="1"/>
        <v/>
      </c>
      <c r="AM201" s="180" t="str">
        <f ca="1"/>
        <v/>
      </c>
      <c r="AN201" s="180" t="str">
        <f ca="1"/>
        <v/>
      </c>
      <c r="AO201" s="180" t="str">
        <f ca="1"/>
        <v/>
      </c>
      <c r="AP201" s="180" t="str">
        <f ca="1"/>
        <v/>
      </c>
      <c r="AQ201" s="187" t="str">
        <f ca="1"/>
        <v/>
      </c>
    </row>
    <row r="202" spans="2:43" x14ac:dyDescent="0.25">
      <c r="B202" s="179" t="str">
        <f ca="1"/>
        <v/>
      </c>
      <c r="C202" s="180" t="str">
        <f ca="1"/>
        <v/>
      </c>
      <c r="D202" s="180" t="str">
        <f ca="1"/>
        <v/>
      </c>
      <c r="E202" s="180" t="str">
        <f ca="1"/>
        <v/>
      </c>
      <c r="F202" s="180" t="str">
        <f ca="1"/>
        <v/>
      </c>
      <c r="G202" s="180" t="str">
        <f ca="1"/>
        <v/>
      </c>
      <c r="H202" s="180" t="str">
        <f ca="1"/>
        <v/>
      </c>
      <c r="I202" s="180" t="str">
        <f ca="1"/>
        <v/>
      </c>
      <c r="J202" s="180" t="str">
        <f ca="1"/>
        <v/>
      </c>
      <c r="K202" s="180" t="str">
        <f ca="1"/>
        <v/>
      </c>
      <c r="L202" s="180" t="str">
        <f ca="1"/>
        <v/>
      </c>
      <c r="M202" s="180" t="str">
        <f ca="1"/>
        <v/>
      </c>
      <c r="N202" s="180" t="str">
        <f ca="1"/>
        <v/>
      </c>
      <c r="O202" s="180" t="str">
        <f ca="1"/>
        <v/>
      </c>
      <c r="P202" s="180" t="str">
        <f ca="1"/>
        <v/>
      </c>
      <c r="Q202" s="180" t="str">
        <f ca="1"/>
        <v/>
      </c>
      <c r="R202" s="180" t="str">
        <f ca="1"/>
        <v/>
      </c>
      <c r="S202" s="180" t="str">
        <f ca="1"/>
        <v/>
      </c>
      <c r="T202" s="180" t="str">
        <f ca="1"/>
        <v/>
      </c>
      <c r="U202" s="180" t="str">
        <f ca="1"/>
        <v/>
      </c>
      <c r="V202" s="180" t="str">
        <f ca="1"/>
        <v/>
      </c>
      <c r="W202" s="180" t="str">
        <f ca="1"/>
        <v/>
      </c>
      <c r="X202" s="180" t="str">
        <f ca="1"/>
        <v/>
      </c>
      <c r="Y202" s="180" t="str">
        <f ca="1"/>
        <v/>
      </c>
      <c r="Z202" s="180" t="str">
        <f ca="1"/>
        <v/>
      </c>
      <c r="AA202" s="180" t="str">
        <f ca="1"/>
        <v/>
      </c>
      <c r="AB202" s="180" t="str">
        <f ca="1"/>
        <v/>
      </c>
      <c r="AC202" s="180" t="str">
        <f ca="1"/>
        <v/>
      </c>
      <c r="AD202" s="180" t="str">
        <f ca="1"/>
        <v/>
      </c>
      <c r="AE202" s="180" t="str">
        <f ca="1"/>
        <v/>
      </c>
      <c r="AF202" s="180" t="str">
        <f ca="1"/>
        <v/>
      </c>
      <c r="AG202" s="180" t="str">
        <f ca="1"/>
        <v/>
      </c>
      <c r="AH202" s="180" t="str">
        <f ca="1"/>
        <v/>
      </c>
      <c r="AI202" s="180" t="str">
        <f ca="1"/>
        <v/>
      </c>
      <c r="AJ202" s="180" t="str">
        <f ca="1"/>
        <v/>
      </c>
      <c r="AK202" s="180" t="str">
        <f ca="1"/>
        <v/>
      </c>
      <c r="AL202" s="180" t="str">
        <f ca="1"/>
        <v/>
      </c>
      <c r="AM202" s="180" t="str">
        <f ca="1"/>
        <v/>
      </c>
      <c r="AN202" s="180" t="str">
        <f ca="1"/>
        <v/>
      </c>
      <c r="AO202" s="180" t="str">
        <f ca="1"/>
        <v/>
      </c>
      <c r="AP202" s="180" t="str">
        <f ca="1"/>
        <v/>
      </c>
      <c r="AQ202" s="187" t="str">
        <f ca="1"/>
        <v/>
      </c>
    </row>
    <row r="203" spans="2:43" x14ac:dyDescent="0.25">
      <c r="B203" s="179" t="str">
        <f ca="1"/>
        <v/>
      </c>
      <c r="C203" s="180" t="str">
        <f ca="1"/>
        <v/>
      </c>
      <c r="D203" s="180" t="str">
        <f ca="1"/>
        <v/>
      </c>
      <c r="E203" s="180" t="str">
        <f ca="1"/>
        <v/>
      </c>
      <c r="F203" s="180" t="str">
        <f ca="1"/>
        <v/>
      </c>
      <c r="G203" s="180" t="str">
        <f ca="1"/>
        <v/>
      </c>
      <c r="H203" s="180" t="str">
        <f ca="1"/>
        <v/>
      </c>
      <c r="I203" s="180" t="str">
        <f ca="1"/>
        <v/>
      </c>
      <c r="J203" s="180" t="str">
        <f ca="1"/>
        <v/>
      </c>
      <c r="K203" s="180" t="str">
        <f ca="1"/>
        <v/>
      </c>
      <c r="L203" s="180" t="str">
        <f ca="1"/>
        <v/>
      </c>
      <c r="M203" s="180" t="str">
        <f ca="1"/>
        <v/>
      </c>
      <c r="N203" s="180" t="str">
        <f ca="1"/>
        <v/>
      </c>
      <c r="O203" s="180" t="str">
        <f ca="1"/>
        <v/>
      </c>
      <c r="P203" s="180" t="str">
        <f ca="1"/>
        <v/>
      </c>
      <c r="Q203" s="180" t="str">
        <f ca="1"/>
        <v/>
      </c>
      <c r="R203" s="180" t="str">
        <f ca="1"/>
        <v/>
      </c>
      <c r="S203" s="180" t="str">
        <f ca="1"/>
        <v/>
      </c>
      <c r="T203" s="180" t="str">
        <f ca="1"/>
        <v/>
      </c>
      <c r="U203" s="180" t="str">
        <f ca="1"/>
        <v/>
      </c>
      <c r="V203" s="180" t="str">
        <f ca="1"/>
        <v/>
      </c>
      <c r="W203" s="180" t="str">
        <f ca="1"/>
        <v/>
      </c>
      <c r="X203" s="180" t="str">
        <f ca="1"/>
        <v/>
      </c>
      <c r="Y203" s="180" t="str">
        <f ca="1"/>
        <v/>
      </c>
      <c r="Z203" s="180" t="str">
        <f ca="1"/>
        <v/>
      </c>
      <c r="AA203" s="180" t="str">
        <f ca="1"/>
        <v/>
      </c>
      <c r="AB203" s="180" t="str">
        <f ca="1"/>
        <v/>
      </c>
      <c r="AC203" s="180" t="str">
        <f ca="1"/>
        <v/>
      </c>
      <c r="AD203" s="180" t="str">
        <f ca="1"/>
        <v/>
      </c>
      <c r="AE203" s="180" t="str">
        <f ca="1"/>
        <v/>
      </c>
      <c r="AF203" s="180" t="str">
        <f ca="1"/>
        <v/>
      </c>
      <c r="AG203" s="180" t="str">
        <f ca="1"/>
        <v/>
      </c>
      <c r="AH203" s="180" t="str">
        <f ca="1"/>
        <v/>
      </c>
      <c r="AI203" s="180" t="str">
        <f ca="1"/>
        <v/>
      </c>
      <c r="AJ203" s="180" t="str">
        <f ca="1"/>
        <v/>
      </c>
      <c r="AK203" s="180" t="str">
        <f ca="1"/>
        <v/>
      </c>
      <c r="AL203" s="180" t="str">
        <f ca="1"/>
        <v/>
      </c>
      <c r="AM203" s="180" t="str">
        <f ca="1"/>
        <v/>
      </c>
      <c r="AN203" s="180" t="str">
        <f ca="1"/>
        <v/>
      </c>
      <c r="AO203" s="180" t="str">
        <f ca="1"/>
        <v/>
      </c>
      <c r="AP203" s="180" t="str">
        <f ca="1"/>
        <v/>
      </c>
      <c r="AQ203" s="187" t="str">
        <f ca="1"/>
        <v/>
      </c>
    </row>
    <row r="204" spans="2:43" x14ac:dyDescent="0.25">
      <c r="B204" s="179" t="str">
        <f ca="1"/>
        <v/>
      </c>
      <c r="C204" s="180" t="str">
        <f ca="1"/>
        <v/>
      </c>
      <c r="D204" s="180" t="str">
        <f ca="1"/>
        <v/>
      </c>
      <c r="E204" s="180" t="str">
        <f ca="1"/>
        <v/>
      </c>
      <c r="F204" s="180" t="str">
        <f ca="1"/>
        <v/>
      </c>
      <c r="G204" s="180" t="str">
        <f ca="1"/>
        <v/>
      </c>
      <c r="H204" s="180" t="str">
        <f ca="1"/>
        <v/>
      </c>
      <c r="I204" s="180" t="str">
        <f ca="1"/>
        <v/>
      </c>
      <c r="J204" s="180" t="str">
        <f ca="1"/>
        <v/>
      </c>
      <c r="K204" s="180" t="str">
        <f ca="1"/>
        <v/>
      </c>
      <c r="L204" s="180" t="str">
        <f ca="1"/>
        <v/>
      </c>
      <c r="M204" s="180" t="str">
        <f ca="1"/>
        <v/>
      </c>
      <c r="N204" s="180" t="str">
        <f ca="1"/>
        <v/>
      </c>
      <c r="O204" s="180" t="str">
        <f ca="1"/>
        <v/>
      </c>
      <c r="P204" s="180" t="str">
        <f ca="1"/>
        <v/>
      </c>
      <c r="Q204" s="180" t="str">
        <f ca="1"/>
        <v/>
      </c>
      <c r="R204" s="180" t="str">
        <f ca="1"/>
        <v/>
      </c>
      <c r="S204" s="180" t="str">
        <f ca="1"/>
        <v/>
      </c>
      <c r="T204" s="180" t="str">
        <f ca="1"/>
        <v/>
      </c>
      <c r="U204" s="180" t="str">
        <f ca="1"/>
        <v/>
      </c>
      <c r="V204" s="180" t="str">
        <f ca="1"/>
        <v/>
      </c>
      <c r="W204" s="180" t="str">
        <f ca="1"/>
        <v/>
      </c>
      <c r="X204" s="180" t="str">
        <f ca="1"/>
        <v/>
      </c>
      <c r="Y204" s="180" t="str">
        <f ca="1"/>
        <v/>
      </c>
      <c r="Z204" s="180" t="str">
        <f ca="1"/>
        <v/>
      </c>
      <c r="AA204" s="180" t="str">
        <f ca="1"/>
        <v/>
      </c>
      <c r="AB204" s="180" t="str">
        <f ca="1"/>
        <v/>
      </c>
      <c r="AC204" s="180" t="str">
        <f ca="1"/>
        <v/>
      </c>
      <c r="AD204" s="180" t="str">
        <f ca="1"/>
        <v/>
      </c>
      <c r="AE204" s="180" t="str">
        <f ca="1"/>
        <v/>
      </c>
      <c r="AF204" s="180" t="str">
        <f ca="1"/>
        <v/>
      </c>
      <c r="AG204" s="180" t="str">
        <f ca="1"/>
        <v/>
      </c>
      <c r="AH204" s="180" t="str">
        <f ca="1"/>
        <v/>
      </c>
      <c r="AI204" s="180" t="str">
        <f ca="1"/>
        <v/>
      </c>
      <c r="AJ204" s="180" t="str">
        <f ca="1"/>
        <v/>
      </c>
      <c r="AK204" s="180" t="str">
        <f ca="1"/>
        <v/>
      </c>
      <c r="AL204" s="180" t="str">
        <f ca="1"/>
        <v/>
      </c>
      <c r="AM204" s="180" t="str">
        <f ca="1"/>
        <v/>
      </c>
      <c r="AN204" s="180" t="str">
        <f ca="1"/>
        <v/>
      </c>
      <c r="AO204" s="180" t="str">
        <f ca="1"/>
        <v/>
      </c>
      <c r="AP204" s="180" t="str">
        <f ca="1"/>
        <v/>
      </c>
      <c r="AQ204" s="187" t="str">
        <f ca="1"/>
        <v/>
      </c>
    </row>
    <row r="205" spans="2:43" x14ac:dyDescent="0.25">
      <c r="B205" s="179" t="str">
        <f ca="1"/>
        <v/>
      </c>
      <c r="C205" s="180" t="str">
        <f ca="1"/>
        <v/>
      </c>
      <c r="D205" s="180" t="str">
        <f ca="1"/>
        <v/>
      </c>
      <c r="E205" s="180" t="str">
        <f ca="1"/>
        <v/>
      </c>
      <c r="F205" s="180" t="str">
        <f ca="1"/>
        <v/>
      </c>
      <c r="G205" s="180" t="str">
        <f ca="1"/>
        <v/>
      </c>
      <c r="H205" s="180" t="str">
        <f ca="1"/>
        <v/>
      </c>
      <c r="I205" s="180" t="str">
        <f ca="1"/>
        <v/>
      </c>
      <c r="J205" s="180" t="str">
        <f ca="1"/>
        <v/>
      </c>
      <c r="K205" s="180" t="str">
        <f ca="1"/>
        <v/>
      </c>
      <c r="L205" s="180" t="str">
        <f ca="1"/>
        <v/>
      </c>
      <c r="M205" s="180" t="str">
        <f ca="1"/>
        <v/>
      </c>
      <c r="N205" s="180" t="str">
        <f ca="1"/>
        <v/>
      </c>
      <c r="O205" s="180" t="str">
        <f ca="1"/>
        <v/>
      </c>
      <c r="P205" s="180" t="str">
        <f ca="1"/>
        <v/>
      </c>
      <c r="Q205" s="180" t="str">
        <f ca="1"/>
        <v/>
      </c>
      <c r="R205" s="180" t="str">
        <f ca="1"/>
        <v/>
      </c>
      <c r="S205" s="180" t="str">
        <f ca="1"/>
        <v/>
      </c>
      <c r="T205" s="180" t="str">
        <f ca="1"/>
        <v/>
      </c>
      <c r="U205" s="180" t="str">
        <f ca="1"/>
        <v/>
      </c>
      <c r="V205" s="180" t="str">
        <f ca="1"/>
        <v/>
      </c>
      <c r="W205" s="180" t="str">
        <f ca="1"/>
        <v/>
      </c>
      <c r="X205" s="180" t="str">
        <f ca="1"/>
        <v/>
      </c>
      <c r="Y205" s="180" t="str">
        <f ca="1"/>
        <v/>
      </c>
      <c r="Z205" s="180" t="str">
        <f ca="1"/>
        <v/>
      </c>
      <c r="AA205" s="180" t="str">
        <f ca="1"/>
        <v/>
      </c>
      <c r="AB205" s="180" t="str">
        <f ca="1"/>
        <v/>
      </c>
      <c r="AC205" s="180" t="str">
        <f ca="1"/>
        <v/>
      </c>
      <c r="AD205" s="180" t="str">
        <f ca="1"/>
        <v/>
      </c>
      <c r="AE205" s="180" t="str">
        <f ca="1"/>
        <v/>
      </c>
      <c r="AF205" s="180" t="str">
        <f ca="1"/>
        <v/>
      </c>
      <c r="AG205" s="180" t="str">
        <f ca="1"/>
        <v/>
      </c>
      <c r="AH205" s="180" t="str">
        <f ca="1"/>
        <v/>
      </c>
      <c r="AI205" s="180" t="str">
        <f ca="1"/>
        <v/>
      </c>
      <c r="AJ205" s="180" t="str">
        <f ca="1"/>
        <v/>
      </c>
      <c r="AK205" s="180" t="str">
        <f ca="1"/>
        <v/>
      </c>
      <c r="AL205" s="180" t="str">
        <f ca="1"/>
        <v/>
      </c>
      <c r="AM205" s="180" t="str">
        <f ca="1"/>
        <v/>
      </c>
      <c r="AN205" s="180" t="str">
        <f ca="1"/>
        <v/>
      </c>
      <c r="AO205" s="180" t="str">
        <f ca="1"/>
        <v/>
      </c>
      <c r="AP205" s="180" t="str">
        <f ca="1"/>
        <v/>
      </c>
      <c r="AQ205" s="187" t="str">
        <f ca="1"/>
        <v/>
      </c>
    </row>
    <row r="206" spans="2:43" x14ac:dyDescent="0.25">
      <c r="B206" s="179" t="str">
        <f ca="1"/>
        <v/>
      </c>
      <c r="C206" s="180" t="str">
        <f ca="1"/>
        <v/>
      </c>
      <c r="D206" s="180" t="str">
        <f ca="1"/>
        <v/>
      </c>
      <c r="E206" s="180" t="str">
        <f ca="1"/>
        <v/>
      </c>
      <c r="F206" s="180" t="str">
        <f ca="1"/>
        <v/>
      </c>
      <c r="G206" s="180" t="str">
        <f ca="1"/>
        <v/>
      </c>
      <c r="H206" s="180" t="str">
        <f ca="1"/>
        <v/>
      </c>
      <c r="I206" s="180" t="str">
        <f ca="1"/>
        <v/>
      </c>
      <c r="J206" s="180" t="str">
        <f ca="1"/>
        <v/>
      </c>
      <c r="K206" s="180" t="str">
        <f ca="1"/>
        <v/>
      </c>
      <c r="L206" s="180" t="str">
        <f ca="1"/>
        <v/>
      </c>
      <c r="M206" s="180" t="str">
        <f ca="1"/>
        <v/>
      </c>
      <c r="N206" s="180" t="str">
        <f ca="1"/>
        <v/>
      </c>
      <c r="O206" s="180" t="str">
        <f ca="1"/>
        <v/>
      </c>
      <c r="P206" s="180" t="str">
        <f ca="1"/>
        <v/>
      </c>
      <c r="Q206" s="180" t="str">
        <f ca="1"/>
        <v/>
      </c>
      <c r="R206" s="180" t="str">
        <f ca="1"/>
        <v/>
      </c>
      <c r="S206" s="180" t="str">
        <f ca="1"/>
        <v/>
      </c>
      <c r="T206" s="180" t="str">
        <f ca="1"/>
        <v/>
      </c>
      <c r="U206" s="180" t="str">
        <f ca="1"/>
        <v/>
      </c>
      <c r="V206" s="180" t="str">
        <f ca="1"/>
        <v/>
      </c>
      <c r="W206" s="180" t="str">
        <f ca="1"/>
        <v/>
      </c>
      <c r="X206" s="180" t="str">
        <f ca="1"/>
        <v/>
      </c>
      <c r="Y206" s="180" t="str">
        <f ca="1"/>
        <v/>
      </c>
      <c r="Z206" s="180" t="str">
        <f ca="1"/>
        <v/>
      </c>
      <c r="AA206" s="180" t="str">
        <f ca="1"/>
        <v/>
      </c>
      <c r="AB206" s="180" t="str">
        <f ca="1"/>
        <v/>
      </c>
      <c r="AC206" s="180" t="str">
        <f ca="1"/>
        <v/>
      </c>
      <c r="AD206" s="180" t="str">
        <f ca="1"/>
        <v/>
      </c>
      <c r="AE206" s="180" t="str">
        <f ca="1"/>
        <v/>
      </c>
      <c r="AF206" s="180" t="str">
        <f ca="1"/>
        <v/>
      </c>
      <c r="AG206" s="180" t="str">
        <f ca="1"/>
        <v/>
      </c>
      <c r="AH206" s="180" t="str">
        <f ca="1"/>
        <v/>
      </c>
      <c r="AI206" s="180" t="str">
        <f ca="1"/>
        <v/>
      </c>
      <c r="AJ206" s="180" t="str">
        <f ca="1"/>
        <v/>
      </c>
      <c r="AK206" s="180" t="str">
        <f ca="1"/>
        <v/>
      </c>
      <c r="AL206" s="180" t="str">
        <f ca="1"/>
        <v/>
      </c>
      <c r="AM206" s="180" t="str">
        <f ca="1"/>
        <v/>
      </c>
      <c r="AN206" s="180" t="str">
        <f ca="1"/>
        <v/>
      </c>
      <c r="AO206" s="180" t="str">
        <f ca="1"/>
        <v/>
      </c>
      <c r="AP206" s="180" t="str">
        <f ca="1"/>
        <v/>
      </c>
      <c r="AQ206" s="187" t="str">
        <f ca="1"/>
        <v/>
      </c>
    </row>
    <row r="207" spans="2:43" x14ac:dyDescent="0.25">
      <c r="B207" s="179" t="str">
        <f ca="1"/>
        <v/>
      </c>
      <c r="C207" s="180" t="str">
        <f ca="1"/>
        <v/>
      </c>
      <c r="D207" s="180" t="str">
        <f ca="1"/>
        <v/>
      </c>
      <c r="E207" s="180" t="str">
        <f ca="1"/>
        <v/>
      </c>
      <c r="F207" s="180" t="str">
        <f ca="1"/>
        <v/>
      </c>
      <c r="G207" s="180" t="str">
        <f ca="1"/>
        <v/>
      </c>
      <c r="H207" s="180" t="str">
        <f ca="1"/>
        <v/>
      </c>
      <c r="I207" s="180" t="str">
        <f ca="1"/>
        <v/>
      </c>
      <c r="J207" s="180" t="str">
        <f ca="1"/>
        <v/>
      </c>
      <c r="K207" s="180" t="str">
        <f ca="1"/>
        <v/>
      </c>
      <c r="L207" s="180" t="str">
        <f ca="1"/>
        <v/>
      </c>
      <c r="M207" s="180" t="str">
        <f ca="1"/>
        <v/>
      </c>
      <c r="N207" s="180" t="str">
        <f ca="1"/>
        <v/>
      </c>
      <c r="O207" s="180" t="str">
        <f ca="1"/>
        <v/>
      </c>
      <c r="P207" s="180" t="str">
        <f ca="1"/>
        <v/>
      </c>
      <c r="Q207" s="180" t="str">
        <f ca="1"/>
        <v/>
      </c>
      <c r="R207" s="180" t="str">
        <f ca="1"/>
        <v/>
      </c>
      <c r="S207" s="180" t="str">
        <f ca="1"/>
        <v/>
      </c>
      <c r="T207" s="180" t="str">
        <f ca="1"/>
        <v/>
      </c>
      <c r="U207" s="180" t="str">
        <f ca="1"/>
        <v/>
      </c>
      <c r="V207" s="180" t="str">
        <f ca="1"/>
        <v/>
      </c>
      <c r="W207" s="180" t="str">
        <f ca="1"/>
        <v/>
      </c>
      <c r="X207" s="180" t="str">
        <f ca="1"/>
        <v/>
      </c>
      <c r="Y207" s="180" t="str">
        <f ca="1"/>
        <v/>
      </c>
      <c r="Z207" s="180" t="str">
        <f ca="1"/>
        <v/>
      </c>
      <c r="AA207" s="180" t="str">
        <f ca="1"/>
        <v/>
      </c>
      <c r="AB207" s="180" t="str">
        <f ca="1"/>
        <v/>
      </c>
      <c r="AC207" s="180" t="str">
        <f ca="1"/>
        <v/>
      </c>
      <c r="AD207" s="180" t="str">
        <f ca="1"/>
        <v/>
      </c>
      <c r="AE207" s="180" t="str">
        <f ca="1"/>
        <v/>
      </c>
      <c r="AF207" s="180" t="str">
        <f ca="1"/>
        <v/>
      </c>
      <c r="AG207" s="180" t="str">
        <f ca="1"/>
        <v/>
      </c>
      <c r="AH207" s="180" t="str">
        <f ca="1"/>
        <v/>
      </c>
      <c r="AI207" s="180" t="str">
        <f ca="1"/>
        <v/>
      </c>
      <c r="AJ207" s="180" t="str">
        <f ca="1"/>
        <v/>
      </c>
      <c r="AK207" s="180" t="str">
        <f ca="1"/>
        <v/>
      </c>
      <c r="AL207" s="180" t="str">
        <f ca="1"/>
        <v/>
      </c>
      <c r="AM207" s="180" t="str">
        <f ca="1"/>
        <v/>
      </c>
      <c r="AN207" s="180" t="str">
        <f ca="1"/>
        <v/>
      </c>
      <c r="AO207" s="180" t="str">
        <f ca="1"/>
        <v/>
      </c>
      <c r="AP207" s="180" t="str">
        <f ca="1"/>
        <v/>
      </c>
      <c r="AQ207" s="187" t="str">
        <f ca="1"/>
        <v/>
      </c>
    </row>
    <row r="208" spans="2:43" x14ac:dyDescent="0.25">
      <c r="B208" s="179" t="str">
        <f ca="1"/>
        <v/>
      </c>
      <c r="C208" s="180" t="str">
        <f ca="1"/>
        <v/>
      </c>
      <c r="D208" s="180" t="str">
        <f ca="1"/>
        <v/>
      </c>
      <c r="E208" s="180" t="str">
        <f ca="1"/>
        <v/>
      </c>
      <c r="F208" s="180" t="str">
        <f ca="1"/>
        <v/>
      </c>
      <c r="G208" s="180" t="str">
        <f ca="1"/>
        <v/>
      </c>
      <c r="H208" s="180" t="str">
        <f ca="1"/>
        <v/>
      </c>
      <c r="I208" s="180" t="str">
        <f ca="1"/>
        <v/>
      </c>
      <c r="J208" s="180" t="str">
        <f ca="1"/>
        <v/>
      </c>
      <c r="K208" s="180" t="str">
        <f ca="1"/>
        <v/>
      </c>
      <c r="L208" s="180" t="str">
        <f ca="1"/>
        <v/>
      </c>
      <c r="M208" s="180" t="str">
        <f ca="1"/>
        <v/>
      </c>
      <c r="N208" s="180" t="str">
        <f ca="1"/>
        <v/>
      </c>
      <c r="O208" s="180" t="str">
        <f ca="1"/>
        <v/>
      </c>
      <c r="P208" s="180" t="str">
        <f ca="1"/>
        <v/>
      </c>
      <c r="Q208" s="180" t="str">
        <f ca="1"/>
        <v/>
      </c>
      <c r="R208" s="180" t="str">
        <f ca="1"/>
        <v/>
      </c>
      <c r="S208" s="180" t="str">
        <f ca="1"/>
        <v/>
      </c>
      <c r="T208" s="180" t="str">
        <f ca="1"/>
        <v/>
      </c>
      <c r="U208" s="180" t="str">
        <f ca="1"/>
        <v/>
      </c>
      <c r="V208" s="180" t="str">
        <f ca="1"/>
        <v/>
      </c>
      <c r="W208" s="180" t="str">
        <f ca="1"/>
        <v/>
      </c>
      <c r="X208" s="180" t="str">
        <f ca="1"/>
        <v/>
      </c>
      <c r="Y208" s="180" t="str">
        <f ca="1"/>
        <v/>
      </c>
      <c r="Z208" s="180" t="str">
        <f ca="1"/>
        <v/>
      </c>
      <c r="AA208" s="180" t="str">
        <f ca="1"/>
        <v/>
      </c>
      <c r="AB208" s="180" t="str">
        <f ca="1"/>
        <v/>
      </c>
      <c r="AC208" s="180" t="str">
        <f ca="1"/>
        <v/>
      </c>
      <c r="AD208" s="180" t="str">
        <f ca="1"/>
        <v/>
      </c>
      <c r="AE208" s="180" t="str">
        <f ca="1"/>
        <v/>
      </c>
      <c r="AF208" s="180" t="str">
        <f ca="1"/>
        <v/>
      </c>
      <c r="AG208" s="180" t="str">
        <f ca="1"/>
        <v/>
      </c>
      <c r="AH208" s="180" t="str">
        <f ca="1"/>
        <v/>
      </c>
      <c r="AI208" s="180" t="str">
        <f ca="1"/>
        <v/>
      </c>
      <c r="AJ208" s="180" t="str">
        <f ca="1"/>
        <v/>
      </c>
      <c r="AK208" s="180" t="str">
        <f ca="1"/>
        <v/>
      </c>
      <c r="AL208" s="180" t="str">
        <f ca="1"/>
        <v/>
      </c>
      <c r="AM208" s="180" t="str">
        <f ca="1"/>
        <v/>
      </c>
      <c r="AN208" s="180" t="str">
        <f ca="1"/>
        <v/>
      </c>
      <c r="AO208" s="180" t="str">
        <f ca="1"/>
        <v/>
      </c>
      <c r="AP208" s="180" t="str">
        <f ca="1"/>
        <v/>
      </c>
      <c r="AQ208" s="187" t="str">
        <f ca="1"/>
        <v/>
      </c>
    </row>
    <row r="209" spans="2:43" x14ac:dyDescent="0.25">
      <c r="B209" s="179" t="str">
        <f ca="1"/>
        <v/>
      </c>
      <c r="C209" s="180" t="str">
        <f ca="1"/>
        <v/>
      </c>
      <c r="D209" s="180" t="str">
        <f ca="1"/>
        <v/>
      </c>
      <c r="E209" s="180" t="str">
        <f ca="1"/>
        <v/>
      </c>
      <c r="F209" s="180" t="str">
        <f ca="1"/>
        <v/>
      </c>
      <c r="G209" s="180" t="str">
        <f ca="1"/>
        <v/>
      </c>
      <c r="H209" s="180" t="str">
        <f ca="1"/>
        <v/>
      </c>
      <c r="I209" s="180" t="str">
        <f ca="1"/>
        <v/>
      </c>
      <c r="J209" s="180" t="str">
        <f ca="1"/>
        <v/>
      </c>
      <c r="K209" s="180" t="str">
        <f ca="1"/>
        <v/>
      </c>
      <c r="L209" s="180" t="str">
        <f ca="1"/>
        <v/>
      </c>
      <c r="M209" s="180" t="str">
        <f ca="1"/>
        <v/>
      </c>
      <c r="N209" s="180" t="str">
        <f ca="1"/>
        <v/>
      </c>
      <c r="O209" s="180" t="str">
        <f ca="1"/>
        <v/>
      </c>
      <c r="P209" s="180" t="str">
        <f ca="1"/>
        <v/>
      </c>
      <c r="Q209" s="180" t="str">
        <f ca="1"/>
        <v/>
      </c>
      <c r="R209" s="180" t="str">
        <f ca="1"/>
        <v/>
      </c>
      <c r="S209" s="180" t="str">
        <f ca="1"/>
        <v/>
      </c>
      <c r="T209" s="180" t="str">
        <f ca="1"/>
        <v/>
      </c>
      <c r="U209" s="180" t="str">
        <f ca="1"/>
        <v/>
      </c>
      <c r="V209" s="180" t="str">
        <f ca="1"/>
        <v/>
      </c>
      <c r="W209" s="180" t="str">
        <f ca="1"/>
        <v/>
      </c>
      <c r="X209" s="180" t="str">
        <f ca="1"/>
        <v/>
      </c>
      <c r="Y209" s="180" t="str">
        <f ca="1"/>
        <v/>
      </c>
      <c r="Z209" s="180" t="str">
        <f ca="1"/>
        <v/>
      </c>
      <c r="AA209" s="180" t="str">
        <f ca="1"/>
        <v/>
      </c>
      <c r="AB209" s="180" t="str">
        <f ca="1"/>
        <v/>
      </c>
      <c r="AC209" s="180" t="str">
        <f ca="1"/>
        <v/>
      </c>
      <c r="AD209" s="180" t="str">
        <f ca="1"/>
        <v/>
      </c>
      <c r="AE209" s="180" t="str">
        <f ca="1"/>
        <v/>
      </c>
      <c r="AF209" s="180" t="str">
        <f ca="1"/>
        <v/>
      </c>
      <c r="AG209" s="180" t="str">
        <f ca="1"/>
        <v/>
      </c>
      <c r="AH209" s="180" t="str">
        <f ca="1"/>
        <v/>
      </c>
      <c r="AI209" s="180" t="str">
        <f ca="1"/>
        <v/>
      </c>
      <c r="AJ209" s="180" t="str">
        <f ca="1"/>
        <v/>
      </c>
      <c r="AK209" s="180" t="str">
        <f ca="1"/>
        <v/>
      </c>
      <c r="AL209" s="180" t="str">
        <f ca="1"/>
        <v/>
      </c>
      <c r="AM209" s="180" t="str">
        <f ca="1"/>
        <v/>
      </c>
      <c r="AN209" s="180" t="str">
        <f ca="1"/>
        <v/>
      </c>
      <c r="AO209" s="180" t="str">
        <f ca="1"/>
        <v/>
      </c>
      <c r="AP209" s="180" t="str">
        <f ca="1"/>
        <v/>
      </c>
      <c r="AQ209" s="187" t="str">
        <f ca="1"/>
        <v/>
      </c>
    </row>
    <row r="210" spans="2:43" x14ac:dyDescent="0.25">
      <c r="B210" s="179" t="str">
        <f ca="1"/>
        <v/>
      </c>
      <c r="C210" s="180" t="str">
        <f ca="1"/>
        <v/>
      </c>
      <c r="D210" s="180" t="str">
        <f ca="1"/>
        <v/>
      </c>
      <c r="E210" s="180" t="str">
        <f ca="1"/>
        <v/>
      </c>
      <c r="F210" s="180" t="str">
        <f ca="1"/>
        <v/>
      </c>
      <c r="G210" s="180" t="str">
        <f ca="1"/>
        <v/>
      </c>
      <c r="H210" s="180" t="str">
        <f ca="1"/>
        <v/>
      </c>
      <c r="I210" s="180" t="str">
        <f ca="1"/>
        <v/>
      </c>
      <c r="J210" s="180" t="str">
        <f ca="1"/>
        <v/>
      </c>
      <c r="K210" s="180" t="str">
        <f ca="1"/>
        <v/>
      </c>
      <c r="L210" s="180" t="str">
        <f ca="1"/>
        <v/>
      </c>
      <c r="M210" s="180" t="str">
        <f ca="1"/>
        <v/>
      </c>
      <c r="N210" s="180" t="str">
        <f ca="1"/>
        <v/>
      </c>
      <c r="O210" s="180" t="str">
        <f ca="1"/>
        <v/>
      </c>
      <c r="P210" s="180" t="str">
        <f ca="1"/>
        <v/>
      </c>
      <c r="Q210" s="180" t="str">
        <f ca="1"/>
        <v/>
      </c>
      <c r="R210" s="180" t="str">
        <f ca="1"/>
        <v/>
      </c>
      <c r="S210" s="180" t="str">
        <f ca="1"/>
        <v/>
      </c>
      <c r="T210" s="180" t="str">
        <f ca="1"/>
        <v/>
      </c>
      <c r="U210" s="180" t="str">
        <f ca="1"/>
        <v/>
      </c>
      <c r="V210" s="180" t="str">
        <f ca="1"/>
        <v/>
      </c>
      <c r="W210" s="180" t="str">
        <f ca="1"/>
        <v/>
      </c>
      <c r="X210" s="180" t="str">
        <f ca="1"/>
        <v/>
      </c>
      <c r="Y210" s="180" t="str">
        <f ca="1"/>
        <v/>
      </c>
      <c r="Z210" s="180" t="str">
        <f ca="1"/>
        <v/>
      </c>
      <c r="AA210" s="180" t="str">
        <f ca="1"/>
        <v/>
      </c>
      <c r="AB210" s="180" t="str">
        <f ca="1"/>
        <v/>
      </c>
      <c r="AC210" s="180" t="str">
        <f ca="1"/>
        <v/>
      </c>
      <c r="AD210" s="180" t="str">
        <f ca="1"/>
        <v/>
      </c>
      <c r="AE210" s="180" t="str">
        <f ca="1"/>
        <v/>
      </c>
      <c r="AF210" s="180" t="str">
        <f ca="1"/>
        <v/>
      </c>
      <c r="AG210" s="180" t="str">
        <f ca="1"/>
        <v/>
      </c>
      <c r="AH210" s="180" t="str">
        <f ca="1"/>
        <v/>
      </c>
      <c r="AI210" s="180" t="str">
        <f ca="1"/>
        <v/>
      </c>
      <c r="AJ210" s="180" t="str">
        <f ca="1"/>
        <v/>
      </c>
      <c r="AK210" s="180" t="str">
        <f ca="1"/>
        <v/>
      </c>
      <c r="AL210" s="180" t="str">
        <f ca="1"/>
        <v/>
      </c>
      <c r="AM210" s="180" t="str">
        <f ca="1"/>
        <v/>
      </c>
      <c r="AN210" s="180" t="str">
        <f ca="1"/>
        <v/>
      </c>
      <c r="AO210" s="180" t="str">
        <f ca="1"/>
        <v/>
      </c>
      <c r="AP210" s="180" t="str">
        <f ca="1"/>
        <v/>
      </c>
      <c r="AQ210" s="187" t="str">
        <f ca="1"/>
        <v/>
      </c>
    </row>
    <row r="211" spans="2:43" x14ac:dyDescent="0.25">
      <c r="B211" s="179" t="str">
        <f ca="1"/>
        <v/>
      </c>
      <c r="C211" s="180" t="str">
        <f ca="1"/>
        <v/>
      </c>
      <c r="D211" s="180" t="str">
        <f ca="1"/>
        <v/>
      </c>
      <c r="E211" s="180" t="str">
        <f ca="1"/>
        <v/>
      </c>
      <c r="F211" s="180" t="str">
        <f ca="1"/>
        <v/>
      </c>
      <c r="G211" s="180" t="str">
        <f ca="1"/>
        <v/>
      </c>
      <c r="H211" s="180" t="str">
        <f ca="1"/>
        <v/>
      </c>
      <c r="I211" s="180" t="str">
        <f ca="1"/>
        <v/>
      </c>
      <c r="J211" s="180" t="str">
        <f ca="1"/>
        <v/>
      </c>
      <c r="K211" s="180" t="str">
        <f ca="1"/>
        <v/>
      </c>
      <c r="L211" s="180" t="str">
        <f ca="1"/>
        <v/>
      </c>
      <c r="M211" s="180" t="str">
        <f ca="1"/>
        <v/>
      </c>
      <c r="N211" s="180" t="str">
        <f ca="1"/>
        <v/>
      </c>
      <c r="O211" s="180" t="str">
        <f ca="1"/>
        <v/>
      </c>
      <c r="P211" s="180" t="str">
        <f ca="1"/>
        <v/>
      </c>
      <c r="Q211" s="180" t="str">
        <f ca="1"/>
        <v/>
      </c>
      <c r="R211" s="180" t="str">
        <f ca="1"/>
        <v/>
      </c>
      <c r="S211" s="180" t="str">
        <f ca="1"/>
        <v/>
      </c>
      <c r="T211" s="180" t="str">
        <f ca="1"/>
        <v/>
      </c>
      <c r="U211" s="180" t="str">
        <f ca="1"/>
        <v/>
      </c>
      <c r="V211" s="180" t="str">
        <f ca="1"/>
        <v/>
      </c>
      <c r="W211" s="180" t="str">
        <f ca="1"/>
        <v/>
      </c>
      <c r="X211" s="180" t="str">
        <f ca="1"/>
        <v/>
      </c>
      <c r="Y211" s="180" t="str">
        <f ca="1"/>
        <v/>
      </c>
      <c r="Z211" s="180" t="str">
        <f ca="1"/>
        <v/>
      </c>
      <c r="AA211" s="180" t="str">
        <f ca="1"/>
        <v/>
      </c>
      <c r="AB211" s="180" t="str">
        <f ca="1"/>
        <v/>
      </c>
      <c r="AC211" s="180" t="str">
        <f ca="1"/>
        <v/>
      </c>
      <c r="AD211" s="180" t="str">
        <f ca="1"/>
        <v/>
      </c>
      <c r="AE211" s="180" t="str">
        <f ca="1"/>
        <v/>
      </c>
      <c r="AF211" s="180" t="str">
        <f ca="1"/>
        <v/>
      </c>
      <c r="AG211" s="180" t="str">
        <f ca="1"/>
        <v/>
      </c>
      <c r="AH211" s="180" t="str">
        <f ca="1"/>
        <v/>
      </c>
      <c r="AI211" s="180" t="str">
        <f ca="1"/>
        <v/>
      </c>
      <c r="AJ211" s="180" t="str">
        <f ca="1"/>
        <v/>
      </c>
      <c r="AK211" s="180" t="str">
        <f ca="1"/>
        <v/>
      </c>
      <c r="AL211" s="180" t="str">
        <f ca="1"/>
        <v/>
      </c>
      <c r="AM211" s="180" t="str">
        <f ca="1"/>
        <v/>
      </c>
      <c r="AN211" s="180" t="str">
        <f ca="1"/>
        <v/>
      </c>
      <c r="AO211" s="180" t="str">
        <f ca="1"/>
        <v/>
      </c>
      <c r="AP211" s="180" t="str">
        <f ca="1"/>
        <v/>
      </c>
      <c r="AQ211" s="187" t="str">
        <f ca="1"/>
        <v/>
      </c>
    </row>
    <row r="212" spans="2:43" x14ac:dyDescent="0.25">
      <c r="B212" s="179" t="str">
        <f ca="1"/>
        <v/>
      </c>
      <c r="C212" s="180" t="str">
        <f ca="1"/>
        <v/>
      </c>
      <c r="D212" s="180" t="str">
        <f ca="1"/>
        <v/>
      </c>
      <c r="E212" s="180" t="str">
        <f ca="1"/>
        <v/>
      </c>
      <c r="F212" s="180" t="str">
        <f ca="1"/>
        <v/>
      </c>
      <c r="G212" s="180" t="str">
        <f ca="1"/>
        <v/>
      </c>
      <c r="H212" s="180" t="str">
        <f ca="1"/>
        <v/>
      </c>
      <c r="I212" s="180" t="str">
        <f ca="1"/>
        <v/>
      </c>
      <c r="J212" s="180" t="str">
        <f ca="1"/>
        <v/>
      </c>
      <c r="K212" s="180" t="str">
        <f ca="1"/>
        <v/>
      </c>
      <c r="L212" s="180" t="str">
        <f ca="1"/>
        <v/>
      </c>
      <c r="M212" s="180" t="str">
        <f ca="1"/>
        <v/>
      </c>
      <c r="N212" s="180" t="str">
        <f ca="1"/>
        <v/>
      </c>
      <c r="O212" s="180" t="str">
        <f ca="1"/>
        <v/>
      </c>
      <c r="P212" s="180" t="str">
        <f ca="1"/>
        <v/>
      </c>
      <c r="Q212" s="180" t="str">
        <f ca="1"/>
        <v/>
      </c>
      <c r="R212" s="180" t="str">
        <f ca="1"/>
        <v/>
      </c>
      <c r="S212" s="180" t="str">
        <f ca="1"/>
        <v/>
      </c>
      <c r="T212" s="180" t="str">
        <f ca="1"/>
        <v/>
      </c>
      <c r="U212" s="180" t="str">
        <f ca="1"/>
        <v/>
      </c>
      <c r="V212" s="180" t="str">
        <f ca="1"/>
        <v/>
      </c>
      <c r="W212" s="180" t="str">
        <f ca="1"/>
        <v/>
      </c>
      <c r="X212" s="180" t="str">
        <f ca="1"/>
        <v/>
      </c>
      <c r="Y212" s="180" t="str">
        <f ca="1"/>
        <v/>
      </c>
      <c r="Z212" s="180" t="str">
        <f ca="1"/>
        <v/>
      </c>
      <c r="AA212" s="180" t="str">
        <f ca="1"/>
        <v/>
      </c>
      <c r="AB212" s="180" t="str">
        <f ca="1"/>
        <v/>
      </c>
      <c r="AC212" s="180" t="str">
        <f ca="1"/>
        <v/>
      </c>
      <c r="AD212" s="180" t="str">
        <f ca="1"/>
        <v/>
      </c>
      <c r="AE212" s="180" t="str">
        <f ca="1"/>
        <v/>
      </c>
      <c r="AF212" s="180" t="str">
        <f ca="1"/>
        <v/>
      </c>
      <c r="AG212" s="180" t="str">
        <f ca="1"/>
        <v/>
      </c>
      <c r="AH212" s="180" t="str">
        <f ca="1"/>
        <v/>
      </c>
      <c r="AI212" s="180" t="str">
        <f ca="1"/>
        <v/>
      </c>
      <c r="AJ212" s="180" t="str">
        <f ca="1"/>
        <v/>
      </c>
      <c r="AK212" s="180" t="str">
        <f ca="1"/>
        <v/>
      </c>
      <c r="AL212" s="180" t="str">
        <f ca="1"/>
        <v/>
      </c>
      <c r="AM212" s="180" t="str">
        <f ca="1"/>
        <v/>
      </c>
      <c r="AN212" s="180" t="str">
        <f ca="1"/>
        <v/>
      </c>
      <c r="AO212" s="180" t="str">
        <f ca="1"/>
        <v/>
      </c>
      <c r="AP212" s="180" t="str">
        <f ca="1"/>
        <v/>
      </c>
      <c r="AQ212" s="187" t="str">
        <f ca="1"/>
        <v/>
      </c>
    </row>
    <row r="213" spans="2:43" x14ac:dyDescent="0.25">
      <c r="B213" s="179" t="str">
        <f ca="1"/>
        <v/>
      </c>
      <c r="C213" s="180" t="str">
        <f ca="1"/>
        <v/>
      </c>
      <c r="D213" s="180" t="str">
        <f ca="1"/>
        <v/>
      </c>
      <c r="E213" s="180" t="str">
        <f ca="1"/>
        <v/>
      </c>
      <c r="F213" s="180" t="str">
        <f ca="1"/>
        <v/>
      </c>
      <c r="G213" s="180" t="str">
        <f ca="1"/>
        <v/>
      </c>
      <c r="H213" s="180" t="str">
        <f ca="1"/>
        <v/>
      </c>
      <c r="I213" s="180" t="str">
        <f ca="1"/>
        <v/>
      </c>
      <c r="J213" s="180" t="str">
        <f ca="1"/>
        <v/>
      </c>
      <c r="K213" s="180" t="str">
        <f ca="1"/>
        <v/>
      </c>
      <c r="L213" s="180" t="str">
        <f ca="1"/>
        <v/>
      </c>
      <c r="M213" s="180" t="str">
        <f ca="1"/>
        <v/>
      </c>
      <c r="N213" s="180" t="str">
        <f ca="1"/>
        <v/>
      </c>
      <c r="O213" s="180" t="str">
        <f ca="1"/>
        <v/>
      </c>
      <c r="P213" s="180" t="str">
        <f ca="1"/>
        <v/>
      </c>
      <c r="Q213" s="180" t="str">
        <f ca="1"/>
        <v/>
      </c>
      <c r="R213" s="180" t="str">
        <f ca="1"/>
        <v/>
      </c>
      <c r="S213" s="180" t="str">
        <f ca="1"/>
        <v/>
      </c>
      <c r="T213" s="180" t="str">
        <f ca="1"/>
        <v/>
      </c>
      <c r="U213" s="180" t="str">
        <f ca="1"/>
        <v/>
      </c>
      <c r="V213" s="180" t="str">
        <f ca="1"/>
        <v/>
      </c>
      <c r="W213" s="180" t="str">
        <f ca="1"/>
        <v/>
      </c>
      <c r="X213" s="180" t="str">
        <f ca="1"/>
        <v/>
      </c>
      <c r="Y213" s="180" t="str">
        <f ca="1"/>
        <v/>
      </c>
      <c r="Z213" s="180" t="str">
        <f ca="1"/>
        <v/>
      </c>
      <c r="AA213" s="180" t="str">
        <f ca="1"/>
        <v/>
      </c>
      <c r="AB213" s="180" t="str">
        <f ca="1"/>
        <v/>
      </c>
      <c r="AC213" s="180" t="str">
        <f ca="1"/>
        <v/>
      </c>
      <c r="AD213" s="180" t="str">
        <f ca="1"/>
        <v/>
      </c>
      <c r="AE213" s="180" t="str">
        <f ca="1"/>
        <v/>
      </c>
      <c r="AF213" s="180" t="str">
        <f ca="1"/>
        <v/>
      </c>
      <c r="AG213" s="180" t="str">
        <f ca="1"/>
        <v/>
      </c>
      <c r="AH213" s="180" t="str">
        <f ca="1"/>
        <v/>
      </c>
      <c r="AI213" s="180" t="str">
        <f ca="1"/>
        <v/>
      </c>
      <c r="AJ213" s="180" t="str">
        <f ca="1"/>
        <v/>
      </c>
      <c r="AK213" s="180" t="str">
        <f ca="1"/>
        <v/>
      </c>
      <c r="AL213" s="180" t="str">
        <f ca="1"/>
        <v/>
      </c>
      <c r="AM213" s="180" t="str">
        <f ca="1"/>
        <v/>
      </c>
      <c r="AN213" s="180" t="str">
        <f ca="1"/>
        <v/>
      </c>
      <c r="AO213" s="180" t="str">
        <f ca="1"/>
        <v/>
      </c>
      <c r="AP213" s="180" t="str">
        <f ca="1"/>
        <v/>
      </c>
      <c r="AQ213" s="187" t="str">
        <f ca="1"/>
        <v/>
      </c>
    </row>
    <row r="214" spans="2:43" x14ac:dyDescent="0.25">
      <c r="B214" s="179" t="str">
        <f ca="1"/>
        <v/>
      </c>
      <c r="C214" s="180" t="str">
        <f ca="1"/>
        <v/>
      </c>
      <c r="D214" s="180" t="str">
        <f ca="1"/>
        <v/>
      </c>
      <c r="E214" s="180" t="str">
        <f ca="1"/>
        <v/>
      </c>
      <c r="F214" s="180" t="str">
        <f ca="1"/>
        <v/>
      </c>
      <c r="G214" s="180" t="str">
        <f ca="1"/>
        <v/>
      </c>
      <c r="H214" s="180" t="str">
        <f ca="1"/>
        <v/>
      </c>
      <c r="I214" s="180" t="str">
        <f ca="1"/>
        <v/>
      </c>
      <c r="J214" s="180" t="str">
        <f ca="1"/>
        <v/>
      </c>
      <c r="K214" s="180" t="str">
        <f ca="1"/>
        <v/>
      </c>
      <c r="L214" s="180" t="str">
        <f ca="1"/>
        <v/>
      </c>
      <c r="M214" s="180" t="str">
        <f ca="1"/>
        <v/>
      </c>
      <c r="N214" s="180" t="str">
        <f ca="1"/>
        <v/>
      </c>
      <c r="O214" s="180" t="str">
        <f ca="1"/>
        <v/>
      </c>
      <c r="P214" s="180" t="str">
        <f ca="1"/>
        <v/>
      </c>
      <c r="Q214" s="180" t="str">
        <f ca="1"/>
        <v/>
      </c>
      <c r="R214" s="180" t="str">
        <f ca="1"/>
        <v/>
      </c>
      <c r="S214" s="180" t="str">
        <f ca="1"/>
        <v/>
      </c>
      <c r="T214" s="180" t="str">
        <f ca="1"/>
        <v/>
      </c>
      <c r="U214" s="180" t="str">
        <f ca="1"/>
        <v/>
      </c>
      <c r="V214" s="180" t="str">
        <f ca="1"/>
        <v/>
      </c>
      <c r="W214" s="180" t="str">
        <f ca="1"/>
        <v/>
      </c>
      <c r="X214" s="180" t="str">
        <f ca="1"/>
        <v/>
      </c>
      <c r="Y214" s="180" t="str">
        <f ca="1"/>
        <v/>
      </c>
      <c r="Z214" s="180" t="str">
        <f ca="1"/>
        <v/>
      </c>
      <c r="AA214" s="180" t="str">
        <f ca="1"/>
        <v/>
      </c>
      <c r="AB214" s="180" t="str">
        <f ca="1"/>
        <v/>
      </c>
      <c r="AC214" s="180" t="str">
        <f ca="1"/>
        <v/>
      </c>
      <c r="AD214" s="180" t="str">
        <f ca="1"/>
        <v/>
      </c>
      <c r="AE214" s="180" t="str">
        <f ca="1"/>
        <v/>
      </c>
      <c r="AF214" s="180" t="str">
        <f ca="1"/>
        <v/>
      </c>
      <c r="AG214" s="180" t="str">
        <f ca="1"/>
        <v/>
      </c>
      <c r="AH214" s="180" t="str">
        <f ca="1"/>
        <v/>
      </c>
      <c r="AI214" s="180" t="str">
        <f ca="1"/>
        <v/>
      </c>
      <c r="AJ214" s="180" t="str">
        <f ca="1"/>
        <v/>
      </c>
      <c r="AK214" s="180" t="str">
        <f ca="1"/>
        <v/>
      </c>
      <c r="AL214" s="180" t="str">
        <f ca="1"/>
        <v/>
      </c>
      <c r="AM214" s="180" t="str">
        <f ca="1"/>
        <v/>
      </c>
      <c r="AN214" s="180" t="str">
        <f ca="1"/>
        <v/>
      </c>
      <c r="AO214" s="180" t="str">
        <f ca="1"/>
        <v/>
      </c>
      <c r="AP214" s="180" t="str">
        <f ca="1"/>
        <v/>
      </c>
      <c r="AQ214" s="187" t="str">
        <f ca="1"/>
        <v/>
      </c>
    </row>
    <row r="215" spans="2:43" x14ac:dyDescent="0.25">
      <c r="B215" s="179" t="str">
        <f ca="1"/>
        <v/>
      </c>
      <c r="C215" s="180" t="str">
        <f ca="1"/>
        <v/>
      </c>
      <c r="D215" s="180" t="str">
        <f ca="1"/>
        <v/>
      </c>
      <c r="E215" s="180" t="str">
        <f ca="1"/>
        <v/>
      </c>
      <c r="F215" s="180" t="str">
        <f ca="1"/>
        <v/>
      </c>
      <c r="G215" s="180" t="str">
        <f ca="1"/>
        <v/>
      </c>
      <c r="H215" s="180" t="str">
        <f ca="1"/>
        <v/>
      </c>
      <c r="I215" s="180" t="str">
        <f ca="1"/>
        <v/>
      </c>
      <c r="J215" s="180" t="str">
        <f ca="1"/>
        <v/>
      </c>
      <c r="K215" s="180" t="str">
        <f ca="1"/>
        <v/>
      </c>
      <c r="L215" s="180" t="str">
        <f ca="1"/>
        <v/>
      </c>
      <c r="M215" s="180" t="str">
        <f ca="1"/>
        <v/>
      </c>
      <c r="N215" s="180" t="str">
        <f ca="1"/>
        <v/>
      </c>
      <c r="O215" s="180" t="str">
        <f ca="1"/>
        <v/>
      </c>
      <c r="P215" s="180" t="str">
        <f ca="1"/>
        <v/>
      </c>
      <c r="Q215" s="180" t="str">
        <f ca="1"/>
        <v/>
      </c>
      <c r="R215" s="180" t="str">
        <f ca="1"/>
        <v/>
      </c>
      <c r="S215" s="180" t="str">
        <f ca="1"/>
        <v/>
      </c>
      <c r="T215" s="180" t="str">
        <f ca="1"/>
        <v/>
      </c>
      <c r="U215" s="180" t="str">
        <f ca="1"/>
        <v/>
      </c>
      <c r="V215" s="180" t="str">
        <f ca="1"/>
        <v/>
      </c>
      <c r="W215" s="180" t="str">
        <f ca="1"/>
        <v/>
      </c>
      <c r="X215" s="180" t="str">
        <f ca="1"/>
        <v/>
      </c>
      <c r="Y215" s="180" t="str">
        <f ca="1"/>
        <v/>
      </c>
      <c r="Z215" s="180" t="str">
        <f ca="1"/>
        <v/>
      </c>
      <c r="AA215" s="180" t="str">
        <f ca="1"/>
        <v/>
      </c>
      <c r="AB215" s="180" t="str">
        <f ca="1"/>
        <v/>
      </c>
      <c r="AC215" s="180" t="str">
        <f ca="1"/>
        <v/>
      </c>
      <c r="AD215" s="180" t="str">
        <f ca="1"/>
        <v/>
      </c>
      <c r="AE215" s="180" t="str">
        <f ca="1"/>
        <v/>
      </c>
      <c r="AF215" s="180" t="str">
        <f ca="1"/>
        <v/>
      </c>
      <c r="AG215" s="180" t="str">
        <f ca="1"/>
        <v/>
      </c>
      <c r="AH215" s="180" t="str">
        <f ca="1"/>
        <v/>
      </c>
      <c r="AI215" s="180" t="str">
        <f ca="1"/>
        <v/>
      </c>
      <c r="AJ215" s="180" t="str">
        <f ca="1"/>
        <v/>
      </c>
      <c r="AK215" s="180" t="str">
        <f ca="1"/>
        <v/>
      </c>
      <c r="AL215" s="180" t="str">
        <f ca="1"/>
        <v/>
      </c>
      <c r="AM215" s="180" t="str">
        <f ca="1"/>
        <v/>
      </c>
      <c r="AN215" s="180" t="str">
        <f ca="1"/>
        <v/>
      </c>
      <c r="AO215" s="180" t="str">
        <f ca="1"/>
        <v/>
      </c>
      <c r="AP215" s="180" t="str">
        <f ca="1"/>
        <v/>
      </c>
      <c r="AQ215" s="187" t="str">
        <f ca="1"/>
        <v/>
      </c>
    </row>
    <row r="216" spans="2:43" x14ac:dyDescent="0.25">
      <c r="B216" s="179" t="str">
        <f ca="1"/>
        <v/>
      </c>
      <c r="C216" s="180" t="str">
        <f ca="1"/>
        <v/>
      </c>
      <c r="D216" s="180" t="str">
        <f ca="1"/>
        <v/>
      </c>
      <c r="E216" s="180" t="str">
        <f ca="1"/>
        <v/>
      </c>
      <c r="F216" s="180" t="str">
        <f ca="1"/>
        <v/>
      </c>
      <c r="G216" s="180" t="str">
        <f ca="1"/>
        <v/>
      </c>
      <c r="H216" s="180" t="str">
        <f ca="1"/>
        <v/>
      </c>
      <c r="I216" s="180" t="str">
        <f ca="1"/>
        <v/>
      </c>
      <c r="J216" s="180" t="str">
        <f ca="1"/>
        <v/>
      </c>
      <c r="K216" s="180" t="str">
        <f ca="1"/>
        <v/>
      </c>
      <c r="L216" s="180" t="str">
        <f ca="1"/>
        <v/>
      </c>
      <c r="M216" s="180" t="str">
        <f ca="1"/>
        <v/>
      </c>
      <c r="N216" s="180" t="str">
        <f ca="1"/>
        <v/>
      </c>
      <c r="O216" s="180" t="str">
        <f ca="1"/>
        <v/>
      </c>
      <c r="P216" s="180" t="str">
        <f ca="1"/>
        <v/>
      </c>
      <c r="Q216" s="180" t="str">
        <f ca="1"/>
        <v/>
      </c>
      <c r="R216" s="180" t="str">
        <f ca="1"/>
        <v/>
      </c>
      <c r="S216" s="180" t="str">
        <f ca="1"/>
        <v/>
      </c>
      <c r="T216" s="180" t="str">
        <f ca="1"/>
        <v/>
      </c>
      <c r="U216" s="180" t="str">
        <f ca="1"/>
        <v/>
      </c>
      <c r="V216" s="180" t="str">
        <f ca="1"/>
        <v/>
      </c>
      <c r="W216" s="180" t="str">
        <f ca="1"/>
        <v/>
      </c>
      <c r="X216" s="180" t="str">
        <f ca="1"/>
        <v/>
      </c>
      <c r="Y216" s="180" t="str">
        <f ca="1"/>
        <v/>
      </c>
      <c r="Z216" s="180" t="str">
        <f ca="1"/>
        <v/>
      </c>
      <c r="AA216" s="180" t="str">
        <f ca="1"/>
        <v/>
      </c>
      <c r="AB216" s="180" t="str">
        <f ca="1"/>
        <v/>
      </c>
      <c r="AC216" s="180" t="str">
        <f ca="1"/>
        <v/>
      </c>
      <c r="AD216" s="180" t="str">
        <f ca="1"/>
        <v/>
      </c>
      <c r="AE216" s="180" t="str">
        <f ca="1"/>
        <v/>
      </c>
      <c r="AF216" s="180" t="str">
        <f ca="1"/>
        <v/>
      </c>
      <c r="AG216" s="180" t="str">
        <f ca="1"/>
        <v/>
      </c>
      <c r="AH216" s="180" t="str">
        <f ca="1"/>
        <v/>
      </c>
      <c r="AI216" s="180" t="str">
        <f ca="1"/>
        <v/>
      </c>
      <c r="AJ216" s="180" t="str">
        <f ca="1"/>
        <v/>
      </c>
      <c r="AK216" s="180" t="str">
        <f ca="1"/>
        <v/>
      </c>
      <c r="AL216" s="180" t="str">
        <f ca="1"/>
        <v/>
      </c>
      <c r="AM216" s="180" t="str">
        <f ca="1"/>
        <v/>
      </c>
      <c r="AN216" s="180" t="str">
        <f ca="1"/>
        <v/>
      </c>
      <c r="AO216" s="180" t="str">
        <f ca="1"/>
        <v/>
      </c>
      <c r="AP216" s="180" t="str">
        <f ca="1"/>
        <v/>
      </c>
      <c r="AQ216" s="187" t="str">
        <f ca="1"/>
        <v/>
      </c>
    </row>
    <row r="217" spans="2:43" x14ac:dyDescent="0.25">
      <c r="B217" s="179" t="str">
        <f ca="1"/>
        <v/>
      </c>
      <c r="C217" s="180" t="str">
        <f ca="1"/>
        <v/>
      </c>
      <c r="D217" s="180" t="str">
        <f ca="1"/>
        <v/>
      </c>
      <c r="E217" s="180" t="str">
        <f ca="1"/>
        <v/>
      </c>
      <c r="F217" s="180" t="str">
        <f ca="1"/>
        <v/>
      </c>
      <c r="G217" s="180" t="str">
        <f ca="1"/>
        <v/>
      </c>
      <c r="H217" s="180" t="str">
        <f ca="1"/>
        <v/>
      </c>
      <c r="I217" s="180" t="str">
        <f ca="1"/>
        <v/>
      </c>
      <c r="J217" s="180" t="str">
        <f ca="1"/>
        <v/>
      </c>
      <c r="K217" s="180" t="str">
        <f ca="1"/>
        <v/>
      </c>
      <c r="L217" s="180" t="str">
        <f ca="1"/>
        <v/>
      </c>
      <c r="M217" s="180" t="str">
        <f ca="1"/>
        <v/>
      </c>
      <c r="N217" s="180" t="str">
        <f ca="1"/>
        <v/>
      </c>
      <c r="O217" s="180" t="str">
        <f ca="1"/>
        <v/>
      </c>
      <c r="P217" s="180" t="str">
        <f ca="1"/>
        <v/>
      </c>
      <c r="Q217" s="180" t="str">
        <f ca="1"/>
        <v/>
      </c>
      <c r="R217" s="180" t="str">
        <f ca="1"/>
        <v/>
      </c>
      <c r="S217" s="180" t="str">
        <f ca="1"/>
        <v/>
      </c>
      <c r="T217" s="180" t="str">
        <f ca="1"/>
        <v/>
      </c>
      <c r="U217" s="180" t="str">
        <f ca="1"/>
        <v/>
      </c>
      <c r="V217" s="180" t="str">
        <f ca="1"/>
        <v/>
      </c>
      <c r="W217" s="180" t="str">
        <f ca="1"/>
        <v/>
      </c>
      <c r="X217" s="180" t="str">
        <f ca="1"/>
        <v/>
      </c>
      <c r="Y217" s="180" t="str">
        <f ca="1"/>
        <v/>
      </c>
      <c r="Z217" s="180" t="str">
        <f ca="1"/>
        <v/>
      </c>
      <c r="AA217" s="180" t="str">
        <f ca="1"/>
        <v/>
      </c>
      <c r="AB217" s="180" t="str">
        <f ca="1"/>
        <v/>
      </c>
      <c r="AC217" s="180" t="str">
        <f ca="1"/>
        <v/>
      </c>
      <c r="AD217" s="180" t="str">
        <f ca="1"/>
        <v/>
      </c>
      <c r="AE217" s="180" t="str">
        <f ca="1"/>
        <v/>
      </c>
      <c r="AF217" s="180" t="str">
        <f ca="1"/>
        <v/>
      </c>
      <c r="AG217" s="180" t="str">
        <f ca="1"/>
        <v/>
      </c>
      <c r="AH217" s="180" t="str">
        <f ca="1"/>
        <v/>
      </c>
      <c r="AI217" s="180" t="str">
        <f ca="1"/>
        <v/>
      </c>
      <c r="AJ217" s="180" t="str">
        <f ca="1"/>
        <v/>
      </c>
      <c r="AK217" s="180" t="str">
        <f ca="1"/>
        <v/>
      </c>
      <c r="AL217" s="180" t="str">
        <f ca="1"/>
        <v/>
      </c>
      <c r="AM217" s="180" t="str">
        <f ca="1"/>
        <v/>
      </c>
      <c r="AN217" s="180" t="str">
        <f ca="1"/>
        <v/>
      </c>
      <c r="AO217" s="180" t="str">
        <f ca="1"/>
        <v/>
      </c>
      <c r="AP217" s="180" t="str">
        <f ca="1"/>
        <v/>
      </c>
      <c r="AQ217" s="187" t="str">
        <f ca="1"/>
        <v/>
      </c>
    </row>
    <row r="218" spans="2:43" x14ac:dyDescent="0.25">
      <c r="B218" s="179" t="str">
        <f ca="1"/>
        <v/>
      </c>
      <c r="C218" s="180" t="str">
        <f ca="1"/>
        <v/>
      </c>
      <c r="D218" s="180" t="str">
        <f ca="1"/>
        <v/>
      </c>
      <c r="E218" s="180" t="str">
        <f ca="1"/>
        <v/>
      </c>
      <c r="F218" s="180" t="str">
        <f ca="1"/>
        <v/>
      </c>
      <c r="G218" s="180" t="str">
        <f ca="1"/>
        <v/>
      </c>
      <c r="H218" s="180" t="str">
        <f ca="1"/>
        <v/>
      </c>
      <c r="I218" s="180" t="str">
        <f ca="1"/>
        <v/>
      </c>
      <c r="J218" s="180" t="str">
        <f ca="1"/>
        <v/>
      </c>
      <c r="K218" s="180" t="str">
        <f ca="1"/>
        <v/>
      </c>
      <c r="L218" s="180" t="str">
        <f ca="1"/>
        <v/>
      </c>
      <c r="M218" s="180" t="str">
        <f ca="1"/>
        <v/>
      </c>
      <c r="N218" s="180" t="str">
        <f ca="1"/>
        <v/>
      </c>
      <c r="O218" s="180" t="str">
        <f ca="1"/>
        <v/>
      </c>
      <c r="P218" s="180" t="str">
        <f ca="1"/>
        <v/>
      </c>
      <c r="Q218" s="180" t="str">
        <f ca="1"/>
        <v/>
      </c>
      <c r="R218" s="180" t="str">
        <f ca="1"/>
        <v/>
      </c>
      <c r="S218" s="180" t="str">
        <f ca="1"/>
        <v/>
      </c>
      <c r="T218" s="180" t="str">
        <f ca="1"/>
        <v/>
      </c>
      <c r="U218" s="180" t="str">
        <f ca="1"/>
        <v/>
      </c>
      <c r="V218" s="180" t="str">
        <f ca="1"/>
        <v/>
      </c>
      <c r="W218" s="180" t="str">
        <f ca="1"/>
        <v/>
      </c>
      <c r="X218" s="180" t="str">
        <f ca="1"/>
        <v/>
      </c>
      <c r="Y218" s="180" t="str">
        <f ca="1"/>
        <v/>
      </c>
      <c r="Z218" s="180" t="str">
        <f ca="1"/>
        <v/>
      </c>
      <c r="AA218" s="180" t="str">
        <f ca="1"/>
        <v/>
      </c>
      <c r="AB218" s="180" t="str">
        <f ca="1"/>
        <v/>
      </c>
      <c r="AC218" s="180" t="str">
        <f ca="1"/>
        <v/>
      </c>
      <c r="AD218" s="180" t="str">
        <f ca="1"/>
        <v/>
      </c>
      <c r="AE218" s="180" t="str">
        <f ca="1"/>
        <v/>
      </c>
      <c r="AF218" s="180" t="str">
        <f ca="1"/>
        <v/>
      </c>
      <c r="AG218" s="180" t="str">
        <f ca="1"/>
        <v/>
      </c>
      <c r="AH218" s="180" t="str">
        <f ca="1"/>
        <v/>
      </c>
      <c r="AI218" s="180" t="str">
        <f ca="1"/>
        <v/>
      </c>
      <c r="AJ218" s="180" t="str">
        <f ca="1"/>
        <v/>
      </c>
      <c r="AK218" s="180" t="str">
        <f ca="1"/>
        <v/>
      </c>
      <c r="AL218" s="180" t="str">
        <f ca="1"/>
        <v/>
      </c>
      <c r="AM218" s="180" t="str">
        <f ca="1"/>
        <v/>
      </c>
      <c r="AN218" s="180" t="str">
        <f ca="1"/>
        <v/>
      </c>
      <c r="AO218" s="180" t="str">
        <f ca="1"/>
        <v/>
      </c>
      <c r="AP218" s="180" t="str">
        <f ca="1"/>
        <v/>
      </c>
      <c r="AQ218" s="187" t="str">
        <f ca="1"/>
        <v/>
      </c>
    </row>
    <row r="219" spans="2:43" x14ac:dyDescent="0.25">
      <c r="B219" s="179" t="str">
        <f ca="1"/>
        <v/>
      </c>
      <c r="C219" s="180" t="str">
        <f ca="1"/>
        <v/>
      </c>
      <c r="D219" s="180" t="str">
        <f ca="1"/>
        <v/>
      </c>
      <c r="E219" s="180" t="str">
        <f ca="1"/>
        <v/>
      </c>
      <c r="F219" s="180" t="str">
        <f ca="1"/>
        <v/>
      </c>
      <c r="G219" s="180" t="str">
        <f ca="1"/>
        <v/>
      </c>
      <c r="H219" s="180" t="str">
        <f ca="1"/>
        <v/>
      </c>
      <c r="I219" s="180" t="str">
        <f ca="1"/>
        <v/>
      </c>
      <c r="J219" s="180" t="str">
        <f ca="1"/>
        <v/>
      </c>
      <c r="K219" s="180" t="str">
        <f ca="1"/>
        <v/>
      </c>
      <c r="L219" s="180" t="str">
        <f ca="1"/>
        <v/>
      </c>
      <c r="M219" s="180" t="str">
        <f ca="1"/>
        <v/>
      </c>
      <c r="N219" s="180" t="str">
        <f ca="1"/>
        <v/>
      </c>
      <c r="O219" s="180" t="str">
        <f ca="1"/>
        <v/>
      </c>
      <c r="P219" s="180" t="str">
        <f ca="1"/>
        <v/>
      </c>
      <c r="Q219" s="180" t="str">
        <f ca="1"/>
        <v/>
      </c>
      <c r="R219" s="180" t="str">
        <f ca="1"/>
        <v/>
      </c>
      <c r="S219" s="180" t="str">
        <f ca="1"/>
        <v/>
      </c>
      <c r="T219" s="180" t="str">
        <f ca="1"/>
        <v/>
      </c>
      <c r="U219" s="180" t="str">
        <f ca="1"/>
        <v/>
      </c>
      <c r="V219" s="180" t="str">
        <f ca="1"/>
        <v/>
      </c>
      <c r="W219" s="180" t="str">
        <f ca="1"/>
        <v/>
      </c>
      <c r="X219" s="180" t="str">
        <f ca="1"/>
        <v/>
      </c>
      <c r="Y219" s="180" t="str">
        <f ca="1"/>
        <v/>
      </c>
      <c r="Z219" s="180" t="str">
        <f ca="1"/>
        <v/>
      </c>
      <c r="AA219" s="180" t="str">
        <f ca="1"/>
        <v/>
      </c>
      <c r="AB219" s="180" t="str">
        <f ca="1"/>
        <v/>
      </c>
      <c r="AC219" s="180" t="str">
        <f ca="1"/>
        <v/>
      </c>
      <c r="AD219" s="180" t="str">
        <f ca="1"/>
        <v/>
      </c>
      <c r="AE219" s="180" t="str">
        <f ca="1"/>
        <v/>
      </c>
      <c r="AF219" s="180" t="str">
        <f ca="1"/>
        <v/>
      </c>
      <c r="AG219" s="180" t="str">
        <f ca="1"/>
        <v/>
      </c>
      <c r="AH219" s="180" t="str">
        <f ca="1"/>
        <v/>
      </c>
      <c r="AI219" s="180" t="str">
        <f ca="1"/>
        <v/>
      </c>
      <c r="AJ219" s="180" t="str">
        <f ca="1"/>
        <v/>
      </c>
      <c r="AK219" s="180" t="str">
        <f ca="1"/>
        <v/>
      </c>
      <c r="AL219" s="180" t="str">
        <f ca="1"/>
        <v/>
      </c>
      <c r="AM219" s="180" t="str">
        <f ca="1"/>
        <v/>
      </c>
      <c r="AN219" s="180" t="str">
        <f ca="1"/>
        <v/>
      </c>
      <c r="AO219" s="180" t="str">
        <f ca="1"/>
        <v/>
      </c>
      <c r="AP219" s="180" t="str">
        <f ca="1"/>
        <v/>
      </c>
      <c r="AQ219" s="187" t="str">
        <f ca="1"/>
        <v/>
      </c>
    </row>
    <row r="220" spans="2:43" x14ac:dyDescent="0.25">
      <c r="B220" s="179" t="str">
        <f ca="1"/>
        <v/>
      </c>
      <c r="C220" s="180" t="str">
        <f ca="1"/>
        <v/>
      </c>
      <c r="D220" s="180" t="str">
        <f ca="1"/>
        <v/>
      </c>
      <c r="E220" s="180" t="str">
        <f ca="1"/>
        <v/>
      </c>
      <c r="F220" s="180" t="str">
        <f ca="1"/>
        <v/>
      </c>
      <c r="G220" s="180" t="str">
        <f ca="1"/>
        <v/>
      </c>
      <c r="H220" s="180" t="str">
        <f ca="1"/>
        <v/>
      </c>
      <c r="I220" s="180" t="str">
        <f ca="1"/>
        <v/>
      </c>
      <c r="J220" s="180" t="str">
        <f ca="1"/>
        <v/>
      </c>
      <c r="K220" s="180" t="str">
        <f ca="1"/>
        <v/>
      </c>
      <c r="L220" s="180" t="str">
        <f ca="1"/>
        <v/>
      </c>
      <c r="M220" s="180" t="str">
        <f ca="1"/>
        <v/>
      </c>
      <c r="N220" s="180" t="str">
        <f ca="1"/>
        <v/>
      </c>
      <c r="O220" s="180" t="str">
        <f ca="1"/>
        <v/>
      </c>
      <c r="P220" s="180" t="str">
        <f ca="1"/>
        <v/>
      </c>
      <c r="Q220" s="180" t="str">
        <f ca="1"/>
        <v/>
      </c>
      <c r="R220" s="180" t="str">
        <f ca="1"/>
        <v/>
      </c>
      <c r="S220" s="180" t="str">
        <f ca="1"/>
        <v/>
      </c>
      <c r="T220" s="180" t="str">
        <f ca="1"/>
        <v/>
      </c>
      <c r="U220" s="180" t="str">
        <f ca="1"/>
        <v/>
      </c>
      <c r="V220" s="180" t="str">
        <f ca="1"/>
        <v/>
      </c>
      <c r="W220" s="180" t="str">
        <f ca="1"/>
        <v/>
      </c>
      <c r="X220" s="180" t="str">
        <f ca="1"/>
        <v/>
      </c>
      <c r="Y220" s="180" t="str">
        <f ca="1"/>
        <v/>
      </c>
      <c r="Z220" s="180" t="str">
        <f ca="1"/>
        <v/>
      </c>
      <c r="AA220" s="180" t="str">
        <f ca="1"/>
        <v/>
      </c>
      <c r="AB220" s="180" t="str">
        <f ca="1"/>
        <v/>
      </c>
      <c r="AC220" s="180" t="str">
        <f ca="1"/>
        <v/>
      </c>
      <c r="AD220" s="180" t="str">
        <f ca="1"/>
        <v/>
      </c>
      <c r="AE220" s="180" t="str">
        <f ca="1"/>
        <v/>
      </c>
      <c r="AF220" s="180" t="str">
        <f ca="1"/>
        <v/>
      </c>
      <c r="AG220" s="180" t="str">
        <f ca="1"/>
        <v/>
      </c>
      <c r="AH220" s="180" t="str">
        <f ca="1"/>
        <v/>
      </c>
      <c r="AI220" s="180" t="str">
        <f ca="1"/>
        <v/>
      </c>
      <c r="AJ220" s="180" t="str">
        <f ca="1"/>
        <v/>
      </c>
      <c r="AK220" s="180" t="str">
        <f ca="1"/>
        <v/>
      </c>
      <c r="AL220" s="180" t="str">
        <f ca="1"/>
        <v/>
      </c>
      <c r="AM220" s="180" t="str">
        <f ca="1"/>
        <v/>
      </c>
      <c r="AN220" s="180" t="str">
        <f ca="1"/>
        <v/>
      </c>
      <c r="AO220" s="180" t="str">
        <f ca="1"/>
        <v/>
      </c>
      <c r="AP220" s="180" t="str">
        <f ca="1"/>
        <v/>
      </c>
      <c r="AQ220" s="187" t="str">
        <f ca="1"/>
        <v/>
      </c>
    </row>
    <row r="221" spans="2:43" x14ac:dyDescent="0.25">
      <c r="B221" s="179" t="str">
        <f ca="1"/>
        <v/>
      </c>
      <c r="C221" s="180" t="str">
        <f ca="1"/>
        <v/>
      </c>
      <c r="D221" s="180" t="str">
        <f ca="1"/>
        <v/>
      </c>
      <c r="E221" s="180" t="str">
        <f ca="1"/>
        <v/>
      </c>
      <c r="F221" s="180" t="str">
        <f ca="1"/>
        <v/>
      </c>
      <c r="G221" s="180" t="str">
        <f ca="1"/>
        <v/>
      </c>
      <c r="H221" s="180" t="str">
        <f ca="1"/>
        <v/>
      </c>
      <c r="I221" s="180" t="str">
        <f ca="1"/>
        <v/>
      </c>
      <c r="J221" s="180" t="str">
        <f ca="1"/>
        <v/>
      </c>
      <c r="K221" s="180" t="str">
        <f ca="1"/>
        <v/>
      </c>
      <c r="L221" s="180" t="str">
        <f ca="1"/>
        <v/>
      </c>
      <c r="M221" s="180" t="str">
        <f ca="1"/>
        <v/>
      </c>
      <c r="N221" s="180" t="str">
        <f ca="1"/>
        <v/>
      </c>
      <c r="O221" s="180" t="str">
        <f ca="1"/>
        <v/>
      </c>
      <c r="P221" s="180" t="str">
        <f ca="1"/>
        <v/>
      </c>
      <c r="Q221" s="180" t="str">
        <f ca="1"/>
        <v/>
      </c>
      <c r="R221" s="180" t="str">
        <f ca="1"/>
        <v/>
      </c>
      <c r="S221" s="180" t="str">
        <f ca="1"/>
        <v/>
      </c>
      <c r="T221" s="180" t="str">
        <f ca="1"/>
        <v/>
      </c>
      <c r="U221" s="180" t="str">
        <f ca="1"/>
        <v/>
      </c>
      <c r="V221" s="180" t="str">
        <f ca="1"/>
        <v/>
      </c>
      <c r="W221" s="180" t="str">
        <f ca="1"/>
        <v/>
      </c>
      <c r="X221" s="180" t="str">
        <f ca="1"/>
        <v/>
      </c>
      <c r="Y221" s="180" t="str">
        <f ca="1"/>
        <v/>
      </c>
      <c r="Z221" s="180" t="str">
        <f ca="1"/>
        <v/>
      </c>
      <c r="AA221" s="180" t="str">
        <f ca="1"/>
        <v/>
      </c>
      <c r="AB221" s="180" t="str">
        <f ca="1"/>
        <v/>
      </c>
      <c r="AC221" s="180" t="str">
        <f ca="1"/>
        <v/>
      </c>
      <c r="AD221" s="180" t="str">
        <f ca="1"/>
        <v/>
      </c>
      <c r="AE221" s="180" t="str">
        <f ca="1"/>
        <v/>
      </c>
      <c r="AF221" s="180" t="str">
        <f ca="1"/>
        <v/>
      </c>
      <c r="AG221" s="180" t="str">
        <f ca="1"/>
        <v/>
      </c>
      <c r="AH221" s="180" t="str">
        <f ca="1"/>
        <v/>
      </c>
      <c r="AI221" s="180" t="str">
        <f ca="1"/>
        <v/>
      </c>
      <c r="AJ221" s="180" t="str">
        <f ca="1"/>
        <v/>
      </c>
      <c r="AK221" s="180" t="str">
        <f ca="1"/>
        <v/>
      </c>
      <c r="AL221" s="180" t="str">
        <f ca="1"/>
        <v/>
      </c>
      <c r="AM221" s="180" t="str">
        <f ca="1"/>
        <v/>
      </c>
      <c r="AN221" s="180" t="str">
        <f ca="1"/>
        <v/>
      </c>
      <c r="AO221" s="180" t="str">
        <f ca="1"/>
        <v/>
      </c>
      <c r="AP221" s="180" t="str">
        <f ca="1"/>
        <v/>
      </c>
      <c r="AQ221" s="187" t="str">
        <f ca="1"/>
        <v/>
      </c>
    </row>
    <row r="222" spans="2:43" x14ac:dyDescent="0.25">
      <c r="B222" s="179" t="str">
        <f ca="1"/>
        <v/>
      </c>
      <c r="C222" s="180" t="str">
        <f ca="1"/>
        <v/>
      </c>
      <c r="D222" s="180" t="str">
        <f ca="1"/>
        <v/>
      </c>
      <c r="E222" s="180" t="str">
        <f ca="1"/>
        <v/>
      </c>
      <c r="F222" s="180" t="str">
        <f ca="1"/>
        <v/>
      </c>
      <c r="G222" s="180" t="str">
        <f ca="1"/>
        <v/>
      </c>
      <c r="H222" s="180" t="str">
        <f ca="1"/>
        <v/>
      </c>
      <c r="I222" s="180" t="str">
        <f ca="1"/>
        <v/>
      </c>
      <c r="J222" s="180" t="str">
        <f ca="1"/>
        <v/>
      </c>
      <c r="K222" s="180" t="str">
        <f ca="1"/>
        <v/>
      </c>
      <c r="L222" s="180" t="str">
        <f ca="1"/>
        <v/>
      </c>
      <c r="M222" s="180" t="str">
        <f ca="1"/>
        <v/>
      </c>
      <c r="N222" s="180" t="str">
        <f ca="1"/>
        <v/>
      </c>
      <c r="O222" s="180" t="str">
        <f ca="1"/>
        <v/>
      </c>
      <c r="P222" s="180" t="str">
        <f ca="1"/>
        <v/>
      </c>
      <c r="Q222" s="180" t="str">
        <f ca="1"/>
        <v/>
      </c>
      <c r="R222" s="180" t="str">
        <f ca="1"/>
        <v/>
      </c>
      <c r="S222" s="180" t="str">
        <f ca="1"/>
        <v/>
      </c>
      <c r="T222" s="180" t="str">
        <f ca="1"/>
        <v/>
      </c>
      <c r="U222" s="180" t="str">
        <f ca="1"/>
        <v/>
      </c>
      <c r="V222" s="180" t="str">
        <f ca="1"/>
        <v/>
      </c>
      <c r="W222" s="180" t="str">
        <f ca="1"/>
        <v/>
      </c>
      <c r="X222" s="180" t="str">
        <f ca="1"/>
        <v/>
      </c>
      <c r="Y222" s="180" t="str">
        <f ca="1"/>
        <v/>
      </c>
      <c r="Z222" s="180" t="str">
        <f ca="1"/>
        <v/>
      </c>
      <c r="AA222" s="180" t="str">
        <f ca="1"/>
        <v/>
      </c>
      <c r="AB222" s="180" t="str">
        <f ca="1"/>
        <v/>
      </c>
      <c r="AC222" s="180" t="str">
        <f ca="1"/>
        <v/>
      </c>
      <c r="AD222" s="180" t="str">
        <f ca="1"/>
        <v/>
      </c>
      <c r="AE222" s="180" t="str">
        <f ca="1"/>
        <v/>
      </c>
      <c r="AF222" s="180" t="str">
        <f ca="1"/>
        <v/>
      </c>
      <c r="AG222" s="180" t="str">
        <f ca="1"/>
        <v/>
      </c>
      <c r="AH222" s="180" t="str">
        <f ca="1"/>
        <v/>
      </c>
      <c r="AI222" s="180" t="str">
        <f ca="1"/>
        <v/>
      </c>
      <c r="AJ222" s="180" t="str">
        <f ca="1"/>
        <v/>
      </c>
      <c r="AK222" s="180" t="str">
        <f ca="1"/>
        <v/>
      </c>
      <c r="AL222" s="180" t="str">
        <f ca="1"/>
        <v/>
      </c>
      <c r="AM222" s="180" t="str">
        <f ca="1"/>
        <v/>
      </c>
      <c r="AN222" s="180" t="str">
        <f ca="1"/>
        <v/>
      </c>
      <c r="AO222" s="180" t="str">
        <f ca="1"/>
        <v/>
      </c>
      <c r="AP222" s="180" t="str">
        <f ca="1"/>
        <v/>
      </c>
      <c r="AQ222" s="187" t="str">
        <f ca="1"/>
        <v/>
      </c>
    </row>
    <row r="223" spans="2:43" x14ac:dyDescent="0.25">
      <c r="B223" s="179" t="str">
        <f ca="1"/>
        <v/>
      </c>
      <c r="C223" s="180" t="str">
        <f ca="1"/>
        <v/>
      </c>
      <c r="D223" s="180" t="str">
        <f ca="1"/>
        <v/>
      </c>
      <c r="E223" s="180" t="str">
        <f ca="1"/>
        <v/>
      </c>
      <c r="F223" s="180" t="str">
        <f ca="1"/>
        <v/>
      </c>
      <c r="G223" s="180" t="str">
        <f ca="1"/>
        <v/>
      </c>
      <c r="H223" s="180" t="str">
        <f ca="1"/>
        <v/>
      </c>
      <c r="I223" s="180" t="str">
        <f ca="1"/>
        <v/>
      </c>
      <c r="J223" s="180" t="str">
        <f ca="1"/>
        <v/>
      </c>
      <c r="K223" s="180" t="str">
        <f ca="1"/>
        <v/>
      </c>
      <c r="L223" s="180" t="str">
        <f ca="1"/>
        <v/>
      </c>
      <c r="M223" s="180" t="str">
        <f ca="1"/>
        <v/>
      </c>
      <c r="N223" s="180" t="str">
        <f ca="1"/>
        <v/>
      </c>
      <c r="O223" s="180" t="str">
        <f ca="1"/>
        <v/>
      </c>
      <c r="P223" s="180" t="str">
        <f ca="1"/>
        <v/>
      </c>
      <c r="Q223" s="180" t="str">
        <f ca="1"/>
        <v/>
      </c>
      <c r="R223" s="180" t="str">
        <f ca="1"/>
        <v/>
      </c>
      <c r="S223" s="180" t="str">
        <f ca="1"/>
        <v/>
      </c>
      <c r="T223" s="180" t="str">
        <f ca="1"/>
        <v/>
      </c>
      <c r="U223" s="180" t="str">
        <f ca="1"/>
        <v/>
      </c>
      <c r="V223" s="180" t="str">
        <f ca="1"/>
        <v/>
      </c>
      <c r="W223" s="180" t="str">
        <f ca="1"/>
        <v/>
      </c>
      <c r="X223" s="180" t="str">
        <f ca="1"/>
        <v/>
      </c>
      <c r="Y223" s="180" t="str">
        <f ca="1"/>
        <v/>
      </c>
      <c r="Z223" s="180" t="str">
        <f ca="1"/>
        <v/>
      </c>
      <c r="AA223" s="180" t="str">
        <f ca="1"/>
        <v/>
      </c>
      <c r="AB223" s="180" t="str">
        <f ca="1"/>
        <v/>
      </c>
      <c r="AC223" s="180" t="str">
        <f ca="1"/>
        <v/>
      </c>
      <c r="AD223" s="180" t="str">
        <f ca="1"/>
        <v/>
      </c>
      <c r="AE223" s="180" t="str">
        <f ca="1"/>
        <v/>
      </c>
      <c r="AF223" s="180" t="str">
        <f ca="1"/>
        <v/>
      </c>
      <c r="AG223" s="180" t="str">
        <f ca="1"/>
        <v/>
      </c>
      <c r="AH223" s="180" t="str">
        <f ca="1"/>
        <v/>
      </c>
      <c r="AI223" s="180" t="str">
        <f ca="1"/>
        <v/>
      </c>
      <c r="AJ223" s="180" t="str">
        <f ca="1"/>
        <v/>
      </c>
      <c r="AK223" s="180" t="str">
        <f ca="1"/>
        <v/>
      </c>
      <c r="AL223" s="180" t="str">
        <f ca="1"/>
        <v/>
      </c>
      <c r="AM223" s="180" t="str">
        <f ca="1"/>
        <v/>
      </c>
      <c r="AN223" s="180" t="str">
        <f ca="1"/>
        <v/>
      </c>
      <c r="AO223" s="180" t="str">
        <f ca="1"/>
        <v/>
      </c>
      <c r="AP223" s="180" t="str">
        <f ca="1"/>
        <v/>
      </c>
      <c r="AQ223" s="187" t="str">
        <f ca="1"/>
        <v/>
      </c>
    </row>
    <row r="224" spans="2:43" x14ac:dyDescent="0.25">
      <c r="B224" s="179" t="str">
        <f ca="1"/>
        <v/>
      </c>
      <c r="C224" s="180" t="str">
        <f ca="1"/>
        <v/>
      </c>
      <c r="D224" s="180" t="str">
        <f ca="1"/>
        <v/>
      </c>
      <c r="E224" s="180" t="str">
        <f ca="1"/>
        <v/>
      </c>
      <c r="F224" s="180" t="str">
        <f ca="1"/>
        <v/>
      </c>
      <c r="G224" s="180" t="str">
        <f ca="1"/>
        <v/>
      </c>
      <c r="H224" s="180" t="str">
        <f ca="1"/>
        <v/>
      </c>
      <c r="I224" s="180" t="str">
        <f ca="1"/>
        <v/>
      </c>
      <c r="J224" s="180" t="str">
        <f ca="1"/>
        <v/>
      </c>
      <c r="K224" s="180" t="str">
        <f ca="1"/>
        <v/>
      </c>
      <c r="L224" s="180" t="str">
        <f ca="1"/>
        <v/>
      </c>
      <c r="M224" s="180" t="str">
        <f ca="1"/>
        <v/>
      </c>
      <c r="N224" s="180" t="str">
        <f ca="1"/>
        <v/>
      </c>
      <c r="O224" s="180" t="str">
        <f ca="1"/>
        <v/>
      </c>
      <c r="P224" s="180" t="str">
        <f ca="1"/>
        <v/>
      </c>
      <c r="Q224" s="180" t="str">
        <f ca="1"/>
        <v/>
      </c>
      <c r="R224" s="180" t="str">
        <f ca="1"/>
        <v/>
      </c>
      <c r="S224" s="180" t="str">
        <f ca="1"/>
        <v/>
      </c>
      <c r="T224" s="180" t="str">
        <f ca="1"/>
        <v/>
      </c>
      <c r="U224" s="180" t="str">
        <f ca="1"/>
        <v/>
      </c>
      <c r="V224" s="180" t="str">
        <f ca="1"/>
        <v/>
      </c>
      <c r="W224" s="180" t="str">
        <f ca="1"/>
        <v/>
      </c>
      <c r="X224" s="180" t="str">
        <f ca="1"/>
        <v/>
      </c>
      <c r="Y224" s="180" t="str">
        <f ca="1"/>
        <v/>
      </c>
      <c r="Z224" s="180" t="str">
        <f ca="1"/>
        <v/>
      </c>
      <c r="AA224" s="180" t="str">
        <f ca="1"/>
        <v/>
      </c>
      <c r="AB224" s="180" t="str">
        <f ca="1"/>
        <v/>
      </c>
      <c r="AC224" s="180" t="str">
        <f ca="1"/>
        <v/>
      </c>
      <c r="AD224" s="180" t="str">
        <f ca="1"/>
        <v/>
      </c>
      <c r="AE224" s="180" t="str">
        <f ca="1"/>
        <v/>
      </c>
      <c r="AF224" s="180" t="str">
        <f ca="1"/>
        <v/>
      </c>
      <c r="AG224" s="180" t="str">
        <f ca="1"/>
        <v/>
      </c>
      <c r="AH224" s="180" t="str">
        <f ca="1"/>
        <v/>
      </c>
      <c r="AI224" s="180" t="str">
        <f ca="1"/>
        <v/>
      </c>
      <c r="AJ224" s="180" t="str">
        <f ca="1"/>
        <v/>
      </c>
      <c r="AK224" s="180" t="str">
        <f ca="1"/>
        <v/>
      </c>
      <c r="AL224" s="180" t="str">
        <f ca="1"/>
        <v/>
      </c>
      <c r="AM224" s="180" t="str">
        <f ca="1"/>
        <v/>
      </c>
      <c r="AN224" s="180" t="str">
        <f ca="1"/>
        <v/>
      </c>
      <c r="AO224" s="180" t="str">
        <f ca="1"/>
        <v/>
      </c>
      <c r="AP224" s="180" t="str">
        <f ca="1"/>
        <v/>
      </c>
      <c r="AQ224" s="187" t="str">
        <f ca="1"/>
        <v/>
      </c>
    </row>
    <row r="225" spans="2:43" x14ac:dyDescent="0.25">
      <c r="B225" s="179" t="str">
        <f ca="1"/>
        <v/>
      </c>
      <c r="C225" s="180" t="str">
        <f ca="1"/>
        <v/>
      </c>
      <c r="D225" s="180" t="str">
        <f ca="1"/>
        <v/>
      </c>
      <c r="E225" s="180" t="str">
        <f ca="1"/>
        <v/>
      </c>
      <c r="F225" s="180" t="str">
        <f ca="1"/>
        <v/>
      </c>
      <c r="G225" s="180" t="str">
        <f ca="1"/>
        <v/>
      </c>
      <c r="H225" s="180" t="str">
        <f ca="1"/>
        <v/>
      </c>
      <c r="I225" s="180" t="str">
        <f ca="1"/>
        <v/>
      </c>
      <c r="J225" s="180" t="str">
        <f ca="1"/>
        <v/>
      </c>
      <c r="K225" s="180" t="str">
        <f ca="1"/>
        <v/>
      </c>
      <c r="L225" s="180" t="str">
        <f ca="1"/>
        <v/>
      </c>
      <c r="M225" s="180" t="str">
        <f ca="1"/>
        <v/>
      </c>
      <c r="N225" s="180" t="str">
        <f ca="1"/>
        <v/>
      </c>
      <c r="O225" s="180" t="str">
        <f ca="1"/>
        <v/>
      </c>
      <c r="P225" s="180" t="str">
        <f ca="1"/>
        <v/>
      </c>
      <c r="Q225" s="180" t="str">
        <f ca="1"/>
        <v/>
      </c>
      <c r="R225" s="180" t="str">
        <f ca="1"/>
        <v/>
      </c>
      <c r="S225" s="180" t="str">
        <f ca="1"/>
        <v/>
      </c>
      <c r="T225" s="180" t="str">
        <f ca="1"/>
        <v/>
      </c>
      <c r="U225" s="180" t="str">
        <f ca="1"/>
        <v/>
      </c>
      <c r="V225" s="180" t="str">
        <f ca="1"/>
        <v/>
      </c>
      <c r="W225" s="180" t="str">
        <f ca="1"/>
        <v/>
      </c>
      <c r="X225" s="180" t="str">
        <f ca="1"/>
        <v/>
      </c>
      <c r="Y225" s="180" t="str">
        <f ca="1"/>
        <v/>
      </c>
      <c r="Z225" s="180" t="str">
        <f ca="1"/>
        <v/>
      </c>
      <c r="AA225" s="180" t="str">
        <f ca="1"/>
        <v/>
      </c>
      <c r="AB225" s="180" t="str">
        <f ca="1"/>
        <v/>
      </c>
      <c r="AC225" s="180" t="str">
        <f ca="1"/>
        <v/>
      </c>
      <c r="AD225" s="180" t="str">
        <f ca="1"/>
        <v/>
      </c>
      <c r="AE225" s="180" t="str">
        <f ca="1"/>
        <v/>
      </c>
      <c r="AF225" s="180" t="str">
        <f ca="1"/>
        <v/>
      </c>
      <c r="AG225" s="180" t="str">
        <f ca="1"/>
        <v/>
      </c>
      <c r="AH225" s="180" t="str">
        <f ca="1"/>
        <v/>
      </c>
      <c r="AI225" s="180" t="str">
        <f ca="1"/>
        <v/>
      </c>
      <c r="AJ225" s="180" t="str">
        <f ca="1"/>
        <v/>
      </c>
      <c r="AK225" s="180" t="str">
        <f ca="1"/>
        <v/>
      </c>
      <c r="AL225" s="180" t="str">
        <f ca="1"/>
        <v/>
      </c>
      <c r="AM225" s="180" t="str">
        <f ca="1"/>
        <v/>
      </c>
      <c r="AN225" s="180" t="str">
        <f ca="1"/>
        <v/>
      </c>
      <c r="AO225" s="180" t="str">
        <f ca="1"/>
        <v/>
      </c>
      <c r="AP225" s="180" t="str">
        <f ca="1"/>
        <v/>
      </c>
      <c r="AQ225" s="187" t="str">
        <f ca="1"/>
        <v/>
      </c>
    </row>
    <row r="226" spans="2:43" x14ac:dyDescent="0.25">
      <c r="B226" s="179" t="str">
        <f ca="1"/>
        <v/>
      </c>
      <c r="C226" s="180" t="str">
        <f ca="1"/>
        <v/>
      </c>
      <c r="D226" s="180" t="str">
        <f ca="1"/>
        <v/>
      </c>
      <c r="E226" s="180" t="str">
        <f ca="1"/>
        <v/>
      </c>
      <c r="F226" s="180" t="str">
        <f ca="1"/>
        <v/>
      </c>
      <c r="G226" s="180" t="str">
        <f ca="1"/>
        <v/>
      </c>
      <c r="H226" s="180" t="str">
        <f ca="1"/>
        <v/>
      </c>
      <c r="I226" s="180" t="str">
        <f ca="1"/>
        <v/>
      </c>
      <c r="J226" s="180" t="str">
        <f ca="1"/>
        <v/>
      </c>
      <c r="K226" s="180" t="str">
        <f ca="1"/>
        <v/>
      </c>
      <c r="L226" s="180" t="str">
        <f ca="1"/>
        <v/>
      </c>
      <c r="M226" s="180" t="str">
        <f ca="1"/>
        <v/>
      </c>
      <c r="N226" s="180" t="str">
        <f ca="1"/>
        <v/>
      </c>
      <c r="O226" s="180" t="str">
        <f ca="1"/>
        <v/>
      </c>
      <c r="P226" s="180" t="str">
        <f ca="1"/>
        <v/>
      </c>
      <c r="Q226" s="180" t="str">
        <f ca="1"/>
        <v/>
      </c>
      <c r="R226" s="180" t="str">
        <f ca="1"/>
        <v/>
      </c>
      <c r="S226" s="180" t="str">
        <f ca="1"/>
        <v/>
      </c>
      <c r="T226" s="180" t="str">
        <f ca="1"/>
        <v/>
      </c>
      <c r="U226" s="180" t="str">
        <f ca="1"/>
        <v/>
      </c>
      <c r="V226" s="180" t="str">
        <f ca="1"/>
        <v/>
      </c>
      <c r="W226" s="180" t="str">
        <f ca="1"/>
        <v/>
      </c>
      <c r="X226" s="180" t="str">
        <f ca="1"/>
        <v/>
      </c>
      <c r="Y226" s="180" t="str">
        <f ca="1"/>
        <v/>
      </c>
      <c r="Z226" s="180" t="str">
        <f ca="1"/>
        <v/>
      </c>
      <c r="AA226" s="180" t="str">
        <f ca="1"/>
        <v/>
      </c>
      <c r="AB226" s="180" t="str">
        <f ca="1"/>
        <v/>
      </c>
      <c r="AC226" s="180" t="str">
        <f ca="1"/>
        <v/>
      </c>
      <c r="AD226" s="180" t="str">
        <f ca="1"/>
        <v/>
      </c>
      <c r="AE226" s="180" t="str">
        <f ca="1"/>
        <v/>
      </c>
      <c r="AF226" s="180" t="str">
        <f ca="1"/>
        <v/>
      </c>
      <c r="AG226" s="180" t="str">
        <f ca="1"/>
        <v/>
      </c>
      <c r="AH226" s="180" t="str">
        <f ca="1"/>
        <v/>
      </c>
      <c r="AI226" s="180" t="str">
        <f ca="1"/>
        <v/>
      </c>
      <c r="AJ226" s="180" t="str">
        <f ca="1"/>
        <v/>
      </c>
      <c r="AK226" s="180" t="str">
        <f ca="1"/>
        <v/>
      </c>
      <c r="AL226" s="180" t="str">
        <f ca="1"/>
        <v/>
      </c>
      <c r="AM226" s="180" t="str">
        <f ca="1"/>
        <v/>
      </c>
      <c r="AN226" s="180" t="str">
        <f ca="1"/>
        <v/>
      </c>
      <c r="AO226" s="180" t="str">
        <f ca="1"/>
        <v/>
      </c>
      <c r="AP226" s="180" t="str">
        <f ca="1"/>
        <v/>
      </c>
      <c r="AQ226" s="187" t="str">
        <f ca="1"/>
        <v/>
      </c>
    </row>
    <row r="227" spans="2:43" x14ac:dyDescent="0.25">
      <c r="B227" s="179" t="str">
        <f ca="1"/>
        <v/>
      </c>
      <c r="C227" s="180" t="str">
        <f ca="1"/>
        <v/>
      </c>
      <c r="D227" s="180" t="str">
        <f ca="1"/>
        <v/>
      </c>
      <c r="E227" s="180" t="str">
        <f ca="1"/>
        <v/>
      </c>
      <c r="F227" s="180" t="str">
        <f ca="1"/>
        <v/>
      </c>
      <c r="G227" s="180" t="str">
        <f ca="1"/>
        <v/>
      </c>
      <c r="H227" s="180" t="str">
        <f ca="1"/>
        <v/>
      </c>
      <c r="I227" s="180" t="str">
        <f ca="1"/>
        <v/>
      </c>
      <c r="J227" s="180" t="str">
        <f ca="1"/>
        <v/>
      </c>
      <c r="K227" s="180" t="str">
        <f ca="1"/>
        <v/>
      </c>
      <c r="L227" s="180" t="str">
        <f ca="1"/>
        <v/>
      </c>
      <c r="M227" s="180" t="str">
        <f ca="1"/>
        <v/>
      </c>
      <c r="N227" s="180" t="str">
        <f ca="1"/>
        <v/>
      </c>
      <c r="O227" s="180" t="str">
        <f ca="1"/>
        <v/>
      </c>
      <c r="P227" s="180" t="str">
        <f ca="1"/>
        <v/>
      </c>
      <c r="Q227" s="180" t="str">
        <f ca="1"/>
        <v/>
      </c>
      <c r="R227" s="180" t="str">
        <f ca="1"/>
        <v/>
      </c>
      <c r="S227" s="180" t="str">
        <f ca="1"/>
        <v/>
      </c>
      <c r="T227" s="180" t="str">
        <f ca="1"/>
        <v/>
      </c>
      <c r="U227" s="180" t="str">
        <f ca="1"/>
        <v/>
      </c>
      <c r="V227" s="180" t="str">
        <f ca="1"/>
        <v/>
      </c>
      <c r="W227" s="180" t="str">
        <f ca="1"/>
        <v/>
      </c>
      <c r="X227" s="180" t="str">
        <f ca="1"/>
        <v/>
      </c>
      <c r="Y227" s="180" t="str">
        <f ca="1"/>
        <v/>
      </c>
      <c r="Z227" s="180" t="str">
        <f ca="1"/>
        <v/>
      </c>
      <c r="AA227" s="180" t="str">
        <f ca="1"/>
        <v/>
      </c>
      <c r="AB227" s="180" t="str">
        <f ca="1"/>
        <v/>
      </c>
      <c r="AC227" s="180" t="str">
        <f ca="1"/>
        <v/>
      </c>
      <c r="AD227" s="180" t="str">
        <f ca="1"/>
        <v/>
      </c>
      <c r="AE227" s="180" t="str">
        <f ca="1"/>
        <v/>
      </c>
      <c r="AF227" s="180" t="str">
        <f ca="1"/>
        <v/>
      </c>
      <c r="AG227" s="180" t="str">
        <f ca="1"/>
        <v/>
      </c>
      <c r="AH227" s="180" t="str">
        <f ca="1"/>
        <v/>
      </c>
      <c r="AI227" s="180" t="str">
        <f ca="1"/>
        <v/>
      </c>
      <c r="AJ227" s="180" t="str">
        <f ca="1"/>
        <v/>
      </c>
      <c r="AK227" s="180" t="str">
        <f ca="1"/>
        <v/>
      </c>
      <c r="AL227" s="180" t="str">
        <f ca="1"/>
        <v/>
      </c>
      <c r="AM227" s="180" t="str">
        <f ca="1"/>
        <v/>
      </c>
      <c r="AN227" s="180" t="str">
        <f ca="1"/>
        <v/>
      </c>
      <c r="AO227" s="180" t="str">
        <f ca="1"/>
        <v/>
      </c>
      <c r="AP227" s="180" t="str">
        <f ca="1"/>
        <v/>
      </c>
      <c r="AQ227" s="187" t="str">
        <f ca="1"/>
        <v/>
      </c>
    </row>
    <row r="228" spans="2:43" x14ac:dyDescent="0.25">
      <c r="B228" s="179" t="str">
        <f ca="1"/>
        <v/>
      </c>
      <c r="C228" s="180" t="str">
        <f ca="1"/>
        <v/>
      </c>
      <c r="D228" s="180" t="str">
        <f ca="1"/>
        <v/>
      </c>
      <c r="E228" s="180" t="str">
        <f ca="1"/>
        <v/>
      </c>
      <c r="F228" s="180" t="str">
        <f ca="1"/>
        <v/>
      </c>
      <c r="G228" s="180" t="str">
        <f ca="1"/>
        <v/>
      </c>
      <c r="H228" s="180" t="str">
        <f ca="1"/>
        <v/>
      </c>
      <c r="I228" s="180" t="str">
        <f ca="1"/>
        <v/>
      </c>
      <c r="J228" s="180" t="str">
        <f ca="1"/>
        <v/>
      </c>
      <c r="K228" s="180" t="str">
        <f ca="1"/>
        <v/>
      </c>
      <c r="L228" s="180" t="str">
        <f ca="1"/>
        <v/>
      </c>
      <c r="M228" s="180" t="str">
        <f ca="1"/>
        <v/>
      </c>
      <c r="N228" s="180" t="str">
        <f ca="1"/>
        <v/>
      </c>
      <c r="O228" s="180" t="str">
        <f ca="1"/>
        <v/>
      </c>
      <c r="P228" s="180" t="str">
        <f ca="1"/>
        <v/>
      </c>
      <c r="Q228" s="180" t="str">
        <f ca="1"/>
        <v/>
      </c>
      <c r="R228" s="180" t="str">
        <f ca="1"/>
        <v/>
      </c>
      <c r="S228" s="180" t="str">
        <f ca="1"/>
        <v/>
      </c>
      <c r="T228" s="180" t="str">
        <f ca="1"/>
        <v/>
      </c>
      <c r="U228" s="180" t="str">
        <f ca="1"/>
        <v/>
      </c>
      <c r="V228" s="180" t="str">
        <f ca="1"/>
        <v/>
      </c>
      <c r="W228" s="180" t="str">
        <f ca="1"/>
        <v/>
      </c>
      <c r="X228" s="180" t="str">
        <f ca="1"/>
        <v/>
      </c>
      <c r="Y228" s="180" t="str">
        <f ca="1"/>
        <v/>
      </c>
      <c r="Z228" s="180" t="str">
        <f ca="1"/>
        <v/>
      </c>
      <c r="AA228" s="180" t="str">
        <f ca="1"/>
        <v/>
      </c>
      <c r="AB228" s="180" t="str">
        <f ca="1"/>
        <v/>
      </c>
      <c r="AC228" s="180" t="str">
        <f ca="1"/>
        <v/>
      </c>
      <c r="AD228" s="180" t="str">
        <f ca="1"/>
        <v/>
      </c>
      <c r="AE228" s="180" t="str">
        <f ca="1"/>
        <v/>
      </c>
      <c r="AF228" s="180" t="str">
        <f ca="1"/>
        <v/>
      </c>
      <c r="AG228" s="180" t="str">
        <f ca="1"/>
        <v/>
      </c>
      <c r="AH228" s="180" t="str">
        <f ca="1"/>
        <v/>
      </c>
      <c r="AI228" s="180" t="str">
        <f ca="1"/>
        <v/>
      </c>
      <c r="AJ228" s="180" t="str">
        <f ca="1"/>
        <v/>
      </c>
      <c r="AK228" s="180" t="str">
        <f ca="1"/>
        <v/>
      </c>
      <c r="AL228" s="180" t="str">
        <f ca="1"/>
        <v/>
      </c>
      <c r="AM228" s="180" t="str">
        <f ca="1"/>
        <v/>
      </c>
      <c r="AN228" s="180" t="str">
        <f ca="1"/>
        <v/>
      </c>
      <c r="AO228" s="180" t="str">
        <f ca="1"/>
        <v/>
      </c>
      <c r="AP228" s="180" t="str">
        <f ca="1"/>
        <v/>
      </c>
      <c r="AQ228" s="187" t="str">
        <f ca="1"/>
        <v/>
      </c>
    </row>
    <row r="229" spans="2:43" x14ac:dyDescent="0.25">
      <c r="B229" s="179" t="str">
        <f ca="1"/>
        <v/>
      </c>
      <c r="C229" s="180" t="str">
        <f ca="1"/>
        <v/>
      </c>
      <c r="D229" s="180" t="str">
        <f ca="1"/>
        <v/>
      </c>
      <c r="E229" s="180" t="str">
        <f ca="1"/>
        <v/>
      </c>
      <c r="F229" s="180" t="str">
        <f ca="1"/>
        <v/>
      </c>
      <c r="G229" s="180" t="str">
        <f ca="1"/>
        <v/>
      </c>
      <c r="H229" s="180" t="str">
        <f ca="1"/>
        <v/>
      </c>
      <c r="I229" s="180" t="str">
        <f ca="1"/>
        <v/>
      </c>
      <c r="J229" s="180" t="str">
        <f ca="1"/>
        <v/>
      </c>
      <c r="K229" s="180" t="str">
        <f ca="1"/>
        <v/>
      </c>
      <c r="L229" s="180" t="str">
        <f ca="1"/>
        <v/>
      </c>
      <c r="M229" s="180" t="str">
        <f ca="1"/>
        <v/>
      </c>
      <c r="N229" s="180" t="str">
        <f ca="1"/>
        <v/>
      </c>
      <c r="O229" s="180" t="str">
        <f ca="1"/>
        <v/>
      </c>
      <c r="P229" s="180" t="str">
        <f ca="1"/>
        <v/>
      </c>
      <c r="Q229" s="180" t="str">
        <f ca="1"/>
        <v/>
      </c>
      <c r="R229" s="180" t="str">
        <f ca="1"/>
        <v/>
      </c>
      <c r="S229" s="180" t="str">
        <f ca="1"/>
        <v/>
      </c>
      <c r="T229" s="180" t="str">
        <f ca="1"/>
        <v/>
      </c>
      <c r="U229" s="180" t="str">
        <f ca="1"/>
        <v/>
      </c>
      <c r="V229" s="180" t="str">
        <f ca="1"/>
        <v/>
      </c>
      <c r="W229" s="180" t="str">
        <f ca="1"/>
        <v/>
      </c>
      <c r="X229" s="180" t="str">
        <f ca="1"/>
        <v/>
      </c>
      <c r="Y229" s="180" t="str">
        <f ca="1"/>
        <v/>
      </c>
      <c r="Z229" s="180" t="str">
        <f ca="1"/>
        <v/>
      </c>
      <c r="AA229" s="180" t="str">
        <f ca="1"/>
        <v/>
      </c>
      <c r="AB229" s="180" t="str">
        <f ca="1"/>
        <v/>
      </c>
      <c r="AC229" s="180" t="str">
        <f ca="1"/>
        <v/>
      </c>
      <c r="AD229" s="180" t="str">
        <f ca="1"/>
        <v/>
      </c>
      <c r="AE229" s="180" t="str">
        <f ca="1"/>
        <v/>
      </c>
      <c r="AF229" s="180" t="str">
        <f ca="1"/>
        <v/>
      </c>
      <c r="AG229" s="180" t="str">
        <f ca="1"/>
        <v/>
      </c>
      <c r="AH229" s="180" t="str">
        <f ca="1"/>
        <v/>
      </c>
      <c r="AI229" s="180" t="str">
        <f ca="1"/>
        <v/>
      </c>
      <c r="AJ229" s="180" t="str">
        <f ca="1"/>
        <v/>
      </c>
      <c r="AK229" s="180" t="str">
        <f ca="1"/>
        <v/>
      </c>
      <c r="AL229" s="180" t="str">
        <f ca="1"/>
        <v/>
      </c>
      <c r="AM229" s="180" t="str">
        <f ca="1"/>
        <v/>
      </c>
      <c r="AN229" s="180" t="str">
        <f ca="1"/>
        <v/>
      </c>
      <c r="AO229" s="180" t="str">
        <f ca="1"/>
        <v/>
      </c>
      <c r="AP229" s="180" t="str">
        <f ca="1"/>
        <v/>
      </c>
      <c r="AQ229" s="187" t="str">
        <f ca="1"/>
        <v/>
      </c>
    </row>
    <row r="230" spans="2:43" x14ac:dyDescent="0.25">
      <c r="B230" s="179" t="str">
        <f ca="1"/>
        <v/>
      </c>
      <c r="C230" s="180" t="str">
        <f ca="1"/>
        <v/>
      </c>
      <c r="D230" s="180" t="str">
        <f ca="1"/>
        <v/>
      </c>
      <c r="E230" s="180" t="str">
        <f ca="1"/>
        <v/>
      </c>
      <c r="F230" s="180" t="str">
        <f ca="1"/>
        <v/>
      </c>
      <c r="G230" s="180" t="str">
        <f ca="1"/>
        <v/>
      </c>
      <c r="H230" s="180" t="str">
        <f ca="1"/>
        <v/>
      </c>
      <c r="I230" s="180" t="str">
        <f ca="1"/>
        <v/>
      </c>
      <c r="J230" s="180" t="str">
        <f ca="1"/>
        <v/>
      </c>
      <c r="K230" s="180" t="str">
        <f ca="1"/>
        <v/>
      </c>
      <c r="L230" s="180" t="str">
        <f ca="1"/>
        <v/>
      </c>
      <c r="M230" s="180" t="str">
        <f ca="1"/>
        <v/>
      </c>
      <c r="N230" s="180" t="str">
        <f ca="1"/>
        <v/>
      </c>
      <c r="O230" s="180" t="str">
        <f ca="1"/>
        <v/>
      </c>
      <c r="P230" s="180" t="str">
        <f ca="1"/>
        <v/>
      </c>
      <c r="Q230" s="180" t="str">
        <f ca="1"/>
        <v/>
      </c>
      <c r="R230" s="180" t="str">
        <f ca="1"/>
        <v/>
      </c>
      <c r="S230" s="180" t="str">
        <f ca="1"/>
        <v/>
      </c>
      <c r="T230" s="180" t="str">
        <f ca="1"/>
        <v/>
      </c>
      <c r="U230" s="180" t="str">
        <f ca="1"/>
        <v/>
      </c>
      <c r="V230" s="180" t="str">
        <f ca="1"/>
        <v/>
      </c>
      <c r="W230" s="180" t="str">
        <f ca="1"/>
        <v/>
      </c>
      <c r="X230" s="180" t="str">
        <f ca="1"/>
        <v/>
      </c>
      <c r="Y230" s="180" t="str">
        <f ca="1"/>
        <v/>
      </c>
      <c r="Z230" s="180" t="str">
        <f ca="1"/>
        <v/>
      </c>
      <c r="AA230" s="180" t="str">
        <f ca="1"/>
        <v/>
      </c>
      <c r="AB230" s="180" t="str">
        <f ca="1"/>
        <v/>
      </c>
      <c r="AC230" s="180" t="str">
        <f ca="1"/>
        <v/>
      </c>
      <c r="AD230" s="180" t="str">
        <f ca="1"/>
        <v/>
      </c>
      <c r="AE230" s="180" t="str">
        <f ca="1"/>
        <v/>
      </c>
      <c r="AF230" s="180" t="str">
        <f ca="1"/>
        <v/>
      </c>
      <c r="AG230" s="180" t="str">
        <f ca="1"/>
        <v/>
      </c>
      <c r="AH230" s="180" t="str">
        <f ca="1"/>
        <v/>
      </c>
      <c r="AI230" s="180" t="str">
        <f ca="1"/>
        <v/>
      </c>
      <c r="AJ230" s="180" t="str">
        <f ca="1"/>
        <v/>
      </c>
      <c r="AK230" s="180" t="str">
        <f ca="1"/>
        <v/>
      </c>
      <c r="AL230" s="180" t="str">
        <f ca="1"/>
        <v/>
      </c>
      <c r="AM230" s="180" t="str">
        <f ca="1"/>
        <v/>
      </c>
      <c r="AN230" s="180" t="str">
        <f ca="1"/>
        <v/>
      </c>
      <c r="AO230" s="180" t="str">
        <f ca="1"/>
        <v/>
      </c>
      <c r="AP230" s="180" t="str">
        <f ca="1"/>
        <v/>
      </c>
      <c r="AQ230" s="187" t="str">
        <f ca="1"/>
        <v/>
      </c>
    </row>
    <row r="231" spans="2:43" x14ac:dyDescent="0.25">
      <c r="B231" s="179" t="str">
        <f ca="1"/>
        <v/>
      </c>
      <c r="C231" s="180" t="str">
        <f ca="1"/>
        <v/>
      </c>
      <c r="D231" s="180" t="str">
        <f ca="1"/>
        <v/>
      </c>
      <c r="E231" s="180" t="str">
        <f ca="1"/>
        <v/>
      </c>
      <c r="F231" s="180" t="str">
        <f ca="1"/>
        <v/>
      </c>
      <c r="G231" s="180" t="str">
        <f ca="1"/>
        <v/>
      </c>
      <c r="H231" s="180" t="str">
        <f ca="1"/>
        <v/>
      </c>
      <c r="I231" s="180" t="str">
        <f ca="1"/>
        <v/>
      </c>
      <c r="J231" s="180" t="str">
        <f ca="1"/>
        <v/>
      </c>
      <c r="K231" s="180" t="str">
        <f ca="1"/>
        <v/>
      </c>
      <c r="L231" s="180" t="str">
        <f ca="1"/>
        <v/>
      </c>
      <c r="M231" s="180" t="str">
        <f ca="1"/>
        <v/>
      </c>
      <c r="N231" s="180" t="str">
        <f ca="1"/>
        <v/>
      </c>
      <c r="O231" s="180" t="str">
        <f ca="1"/>
        <v/>
      </c>
      <c r="P231" s="180" t="str">
        <f ca="1"/>
        <v/>
      </c>
      <c r="Q231" s="180" t="str">
        <f ca="1"/>
        <v/>
      </c>
      <c r="R231" s="180" t="str">
        <f ca="1"/>
        <v/>
      </c>
      <c r="S231" s="180" t="str">
        <f ca="1"/>
        <v/>
      </c>
      <c r="T231" s="180" t="str">
        <f ca="1"/>
        <v/>
      </c>
      <c r="U231" s="180" t="str">
        <f ca="1"/>
        <v/>
      </c>
      <c r="V231" s="180" t="str">
        <f ca="1"/>
        <v/>
      </c>
      <c r="W231" s="180" t="str">
        <f ca="1"/>
        <v/>
      </c>
      <c r="X231" s="180" t="str">
        <f ca="1"/>
        <v/>
      </c>
      <c r="Y231" s="180" t="str">
        <f ca="1"/>
        <v/>
      </c>
      <c r="Z231" s="180" t="str">
        <f ca="1"/>
        <v/>
      </c>
      <c r="AA231" s="180" t="str">
        <f ca="1"/>
        <v/>
      </c>
      <c r="AB231" s="180" t="str">
        <f ca="1"/>
        <v/>
      </c>
      <c r="AC231" s="180" t="str">
        <f ca="1"/>
        <v/>
      </c>
      <c r="AD231" s="180" t="str">
        <f ca="1"/>
        <v/>
      </c>
      <c r="AE231" s="180" t="str">
        <f ca="1"/>
        <v/>
      </c>
      <c r="AF231" s="180" t="str">
        <f ca="1"/>
        <v/>
      </c>
      <c r="AG231" s="180" t="str">
        <f ca="1"/>
        <v/>
      </c>
      <c r="AH231" s="180" t="str">
        <f ca="1"/>
        <v/>
      </c>
      <c r="AI231" s="180" t="str">
        <f ca="1"/>
        <v/>
      </c>
      <c r="AJ231" s="180" t="str">
        <f ca="1"/>
        <v/>
      </c>
      <c r="AK231" s="180" t="str">
        <f ca="1"/>
        <v/>
      </c>
      <c r="AL231" s="180" t="str">
        <f ca="1"/>
        <v/>
      </c>
      <c r="AM231" s="180" t="str">
        <f ca="1"/>
        <v/>
      </c>
      <c r="AN231" s="180" t="str">
        <f ca="1"/>
        <v/>
      </c>
      <c r="AO231" s="180" t="str">
        <f ca="1"/>
        <v/>
      </c>
      <c r="AP231" s="180" t="str">
        <f ca="1"/>
        <v/>
      </c>
      <c r="AQ231" s="187" t="str">
        <f ca="1"/>
        <v/>
      </c>
    </row>
    <row r="232" spans="2:43" x14ac:dyDescent="0.25">
      <c r="B232" s="179" t="str">
        <f ca="1"/>
        <v/>
      </c>
      <c r="C232" s="180" t="str">
        <f ca="1"/>
        <v/>
      </c>
      <c r="D232" s="180" t="str">
        <f ca="1"/>
        <v/>
      </c>
      <c r="E232" s="180" t="str">
        <f ca="1"/>
        <v/>
      </c>
      <c r="F232" s="180" t="str">
        <f ca="1"/>
        <v/>
      </c>
      <c r="G232" s="180" t="str">
        <f ca="1"/>
        <v/>
      </c>
      <c r="H232" s="180" t="str">
        <f ca="1"/>
        <v/>
      </c>
      <c r="I232" s="180" t="str">
        <f ca="1"/>
        <v/>
      </c>
      <c r="J232" s="180" t="str">
        <f ca="1"/>
        <v/>
      </c>
      <c r="K232" s="180" t="str">
        <f ca="1"/>
        <v/>
      </c>
      <c r="L232" s="180" t="str">
        <f ca="1"/>
        <v/>
      </c>
      <c r="M232" s="180" t="str">
        <f ca="1"/>
        <v/>
      </c>
      <c r="N232" s="180" t="str">
        <f ca="1"/>
        <v/>
      </c>
      <c r="O232" s="180" t="str">
        <f ca="1"/>
        <v/>
      </c>
      <c r="P232" s="180" t="str">
        <f ca="1"/>
        <v/>
      </c>
      <c r="Q232" s="180" t="str">
        <f ca="1"/>
        <v/>
      </c>
      <c r="R232" s="180" t="str">
        <f ca="1"/>
        <v/>
      </c>
      <c r="S232" s="180" t="str">
        <f ca="1"/>
        <v/>
      </c>
      <c r="T232" s="180" t="str">
        <f ca="1"/>
        <v/>
      </c>
      <c r="U232" s="180" t="str">
        <f ca="1"/>
        <v/>
      </c>
      <c r="V232" s="180" t="str">
        <f ca="1"/>
        <v/>
      </c>
      <c r="W232" s="180" t="str">
        <f ca="1"/>
        <v/>
      </c>
      <c r="X232" s="180" t="str">
        <f ca="1"/>
        <v/>
      </c>
      <c r="Y232" s="180" t="str">
        <f ca="1"/>
        <v/>
      </c>
      <c r="Z232" s="180" t="str">
        <f ca="1"/>
        <v/>
      </c>
      <c r="AA232" s="180" t="str">
        <f ca="1"/>
        <v/>
      </c>
      <c r="AB232" s="180" t="str">
        <f ca="1"/>
        <v/>
      </c>
      <c r="AC232" s="180" t="str">
        <f ca="1"/>
        <v/>
      </c>
      <c r="AD232" s="180" t="str">
        <f ca="1"/>
        <v/>
      </c>
      <c r="AE232" s="180" t="str">
        <f ca="1"/>
        <v/>
      </c>
      <c r="AF232" s="180" t="str">
        <f ca="1"/>
        <v/>
      </c>
      <c r="AG232" s="180" t="str">
        <f ca="1"/>
        <v/>
      </c>
      <c r="AH232" s="180" t="str">
        <f ca="1"/>
        <v/>
      </c>
      <c r="AI232" s="180" t="str">
        <f ca="1"/>
        <v/>
      </c>
      <c r="AJ232" s="180" t="str">
        <f ca="1"/>
        <v/>
      </c>
      <c r="AK232" s="180" t="str">
        <f ca="1"/>
        <v/>
      </c>
      <c r="AL232" s="180" t="str">
        <f ca="1"/>
        <v/>
      </c>
      <c r="AM232" s="180" t="str">
        <f ca="1"/>
        <v/>
      </c>
      <c r="AN232" s="180" t="str">
        <f ca="1"/>
        <v/>
      </c>
      <c r="AO232" s="180" t="str">
        <f ca="1"/>
        <v/>
      </c>
      <c r="AP232" s="180" t="str">
        <f ca="1"/>
        <v/>
      </c>
      <c r="AQ232" s="187" t="str">
        <f ca="1"/>
        <v/>
      </c>
    </row>
    <row r="233" spans="2:43" x14ac:dyDescent="0.25">
      <c r="B233" s="179" t="str">
        <f ca="1"/>
        <v/>
      </c>
      <c r="C233" s="180" t="str">
        <f ca="1"/>
        <v/>
      </c>
      <c r="D233" s="180" t="str">
        <f ca="1"/>
        <v/>
      </c>
      <c r="E233" s="180" t="str">
        <f ca="1"/>
        <v/>
      </c>
      <c r="F233" s="180" t="str">
        <f ca="1"/>
        <v/>
      </c>
      <c r="G233" s="180" t="str">
        <f ca="1"/>
        <v/>
      </c>
      <c r="H233" s="180" t="str">
        <f ca="1"/>
        <v/>
      </c>
      <c r="I233" s="180" t="str">
        <f ca="1"/>
        <v/>
      </c>
      <c r="J233" s="180" t="str">
        <f ca="1"/>
        <v/>
      </c>
      <c r="K233" s="180" t="str">
        <f ca="1"/>
        <v/>
      </c>
      <c r="L233" s="180" t="str">
        <f ca="1"/>
        <v/>
      </c>
      <c r="M233" s="180" t="str">
        <f ca="1"/>
        <v/>
      </c>
      <c r="N233" s="180" t="str">
        <f ca="1"/>
        <v/>
      </c>
      <c r="O233" s="180" t="str">
        <f ca="1"/>
        <v/>
      </c>
      <c r="P233" s="180" t="str">
        <f ca="1"/>
        <v/>
      </c>
      <c r="Q233" s="180" t="str">
        <f ca="1"/>
        <v/>
      </c>
      <c r="R233" s="180" t="str">
        <f ca="1"/>
        <v/>
      </c>
      <c r="S233" s="180" t="str">
        <f ca="1"/>
        <v/>
      </c>
      <c r="T233" s="180" t="str">
        <f ca="1"/>
        <v/>
      </c>
      <c r="U233" s="180" t="str">
        <f ca="1"/>
        <v/>
      </c>
      <c r="V233" s="180" t="str">
        <f ca="1"/>
        <v/>
      </c>
      <c r="W233" s="180" t="str">
        <f ca="1"/>
        <v/>
      </c>
      <c r="X233" s="180" t="str">
        <f ca="1"/>
        <v/>
      </c>
      <c r="Y233" s="180" t="str">
        <f ca="1"/>
        <v/>
      </c>
      <c r="Z233" s="180" t="str">
        <f ca="1"/>
        <v/>
      </c>
      <c r="AA233" s="180" t="str">
        <f ca="1"/>
        <v/>
      </c>
      <c r="AB233" s="180" t="str">
        <f ca="1"/>
        <v/>
      </c>
      <c r="AC233" s="180" t="str">
        <f ca="1"/>
        <v/>
      </c>
      <c r="AD233" s="180" t="str">
        <f ca="1"/>
        <v/>
      </c>
      <c r="AE233" s="180" t="str">
        <f ca="1"/>
        <v/>
      </c>
      <c r="AF233" s="180" t="str">
        <f ca="1"/>
        <v/>
      </c>
      <c r="AG233" s="180" t="str">
        <f ca="1"/>
        <v/>
      </c>
      <c r="AH233" s="180" t="str">
        <f ca="1"/>
        <v/>
      </c>
      <c r="AI233" s="180" t="str">
        <f ca="1"/>
        <v/>
      </c>
      <c r="AJ233" s="180" t="str">
        <f ca="1"/>
        <v/>
      </c>
      <c r="AK233" s="180" t="str">
        <f ca="1"/>
        <v/>
      </c>
      <c r="AL233" s="180" t="str">
        <f ca="1"/>
        <v/>
      </c>
      <c r="AM233" s="180" t="str">
        <f ca="1"/>
        <v/>
      </c>
      <c r="AN233" s="180" t="str">
        <f ca="1"/>
        <v/>
      </c>
      <c r="AO233" s="180" t="str">
        <f ca="1"/>
        <v/>
      </c>
      <c r="AP233" s="180" t="str">
        <f ca="1"/>
        <v/>
      </c>
      <c r="AQ233" s="187" t="str">
        <f ca="1"/>
        <v/>
      </c>
    </row>
    <row r="234" spans="2:43" x14ac:dyDescent="0.25">
      <c r="B234" s="179" t="str">
        <f ca="1"/>
        <v/>
      </c>
      <c r="C234" s="180" t="str">
        <f ca="1"/>
        <v/>
      </c>
      <c r="D234" s="180" t="str">
        <f ca="1"/>
        <v/>
      </c>
      <c r="E234" s="180" t="str">
        <f ca="1"/>
        <v/>
      </c>
      <c r="F234" s="180" t="str">
        <f ca="1"/>
        <v/>
      </c>
      <c r="G234" s="180" t="str">
        <f ca="1"/>
        <v/>
      </c>
      <c r="H234" s="180" t="str">
        <f ca="1"/>
        <v/>
      </c>
      <c r="I234" s="180" t="str">
        <f ca="1"/>
        <v/>
      </c>
      <c r="J234" s="180" t="str">
        <f ca="1"/>
        <v/>
      </c>
      <c r="K234" s="180" t="str">
        <f ca="1"/>
        <v/>
      </c>
      <c r="L234" s="180" t="str">
        <f ca="1"/>
        <v/>
      </c>
      <c r="M234" s="180" t="str">
        <f ca="1"/>
        <v/>
      </c>
      <c r="N234" s="180" t="str">
        <f ca="1"/>
        <v/>
      </c>
      <c r="O234" s="180" t="str">
        <f ca="1"/>
        <v/>
      </c>
      <c r="P234" s="180" t="str">
        <f ca="1"/>
        <v/>
      </c>
      <c r="Q234" s="180" t="str">
        <f ca="1"/>
        <v/>
      </c>
      <c r="R234" s="180" t="str">
        <f ca="1"/>
        <v/>
      </c>
      <c r="S234" s="180" t="str">
        <f ca="1"/>
        <v/>
      </c>
      <c r="T234" s="180" t="str">
        <f ca="1"/>
        <v/>
      </c>
      <c r="U234" s="180" t="str">
        <f ca="1"/>
        <v/>
      </c>
      <c r="V234" s="180" t="str">
        <f ca="1"/>
        <v/>
      </c>
      <c r="W234" s="180" t="str">
        <f ca="1"/>
        <v/>
      </c>
      <c r="X234" s="180" t="str">
        <f ca="1"/>
        <v/>
      </c>
      <c r="Y234" s="180" t="str">
        <f ca="1"/>
        <v/>
      </c>
      <c r="Z234" s="180" t="str">
        <f ca="1"/>
        <v/>
      </c>
      <c r="AA234" s="180" t="str">
        <f ca="1"/>
        <v/>
      </c>
      <c r="AB234" s="180" t="str">
        <f ca="1"/>
        <v/>
      </c>
      <c r="AC234" s="180" t="str">
        <f ca="1"/>
        <v/>
      </c>
      <c r="AD234" s="180" t="str">
        <f ca="1"/>
        <v/>
      </c>
      <c r="AE234" s="180" t="str">
        <f ca="1"/>
        <v/>
      </c>
      <c r="AF234" s="180" t="str">
        <f ca="1"/>
        <v/>
      </c>
      <c r="AG234" s="180" t="str">
        <f ca="1"/>
        <v/>
      </c>
      <c r="AH234" s="180" t="str">
        <f ca="1"/>
        <v/>
      </c>
      <c r="AI234" s="180" t="str">
        <f ca="1"/>
        <v/>
      </c>
      <c r="AJ234" s="180" t="str">
        <f ca="1"/>
        <v/>
      </c>
      <c r="AK234" s="180" t="str">
        <f ca="1"/>
        <v/>
      </c>
      <c r="AL234" s="180" t="str">
        <f ca="1"/>
        <v/>
      </c>
      <c r="AM234" s="180" t="str">
        <f ca="1"/>
        <v/>
      </c>
      <c r="AN234" s="180" t="str">
        <f ca="1"/>
        <v/>
      </c>
      <c r="AO234" s="180" t="str">
        <f ca="1"/>
        <v/>
      </c>
      <c r="AP234" s="180" t="str">
        <f ca="1"/>
        <v/>
      </c>
      <c r="AQ234" s="187" t="str">
        <f ca="1"/>
        <v/>
      </c>
    </row>
    <row r="235" spans="2:43" x14ac:dyDescent="0.25">
      <c r="B235" s="179" t="str">
        <f ca="1"/>
        <v/>
      </c>
      <c r="C235" s="180" t="str">
        <f ca="1"/>
        <v/>
      </c>
      <c r="D235" s="180" t="str">
        <f ca="1"/>
        <v/>
      </c>
      <c r="E235" s="180" t="str">
        <f ca="1"/>
        <v/>
      </c>
      <c r="F235" s="180" t="str">
        <f ca="1"/>
        <v/>
      </c>
      <c r="G235" s="180" t="str">
        <f ca="1"/>
        <v/>
      </c>
      <c r="H235" s="180" t="str">
        <f ca="1"/>
        <v/>
      </c>
      <c r="I235" s="180" t="str">
        <f ca="1"/>
        <v/>
      </c>
      <c r="J235" s="180" t="str">
        <f ca="1"/>
        <v/>
      </c>
      <c r="K235" s="180" t="str">
        <f ca="1"/>
        <v/>
      </c>
      <c r="L235" s="180" t="str">
        <f ca="1"/>
        <v/>
      </c>
      <c r="M235" s="180" t="str">
        <f ca="1"/>
        <v/>
      </c>
      <c r="N235" s="180" t="str">
        <f ca="1"/>
        <v/>
      </c>
      <c r="O235" s="180" t="str">
        <f ca="1"/>
        <v/>
      </c>
      <c r="P235" s="180" t="str">
        <f ca="1"/>
        <v/>
      </c>
      <c r="Q235" s="180" t="str">
        <f ca="1"/>
        <v/>
      </c>
      <c r="R235" s="180" t="str">
        <f ca="1"/>
        <v/>
      </c>
      <c r="S235" s="180" t="str">
        <f ca="1"/>
        <v/>
      </c>
      <c r="T235" s="180" t="str">
        <f ca="1"/>
        <v/>
      </c>
      <c r="U235" s="180" t="str">
        <f ca="1"/>
        <v/>
      </c>
      <c r="V235" s="180" t="str">
        <f ca="1"/>
        <v/>
      </c>
      <c r="W235" s="180" t="str">
        <f ca="1"/>
        <v/>
      </c>
      <c r="X235" s="180" t="str">
        <f ca="1"/>
        <v/>
      </c>
      <c r="Y235" s="180" t="str">
        <f ca="1"/>
        <v/>
      </c>
      <c r="Z235" s="180" t="str">
        <f ca="1"/>
        <v/>
      </c>
      <c r="AA235" s="180" t="str">
        <f ca="1"/>
        <v/>
      </c>
      <c r="AB235" s="180" t="str">
        <f ca="1"/>
        <v/>
      </c>
      <c r="AC235" s="180" t="str">
        <f ca="1"/>
        <v/>
      </c>
      <c r="AD235" s="180" t="str">
        <f ca="1"/>
        <v/>
      </c>
      <c r="AE235" s="180" t="str">
        <f ca="1"/>
        <v/>
      </c>
      <c r="AF235" s="180" t="str">
        <f ca="1"/>
        <v/>
      </c>
      <c r="AG235" s="180" t="str">
        <f ca="1"/>
        <v/>
      </c>
      <c r="AH235" s="180" t="str">
        <f ca="1"/>
        <v/>
      </c>
      <c r="AI235" s="180" t="str">
        <f ca="1"/>
        <v/>
      </c>
      <c r="AJ235" s="180" t="str">
        <f ca="1"/>
        <v/>
      </c>
      <c r="AK235" s="180" t="str">
        <f ca="1"/>
        <v/>
      </c>
      <c r="AL235" s="180" t="str">
        <f ca="1"/>
        <v/>
      </c>
      <c r="AM235" s="180" t="str">
        <f ca="1"/>
        <v/>
      </c>
      <c r="AN235" s="180" t="str">
        <f ca="1"/>
        <v/>
      </c>
      <c r="AO235" s="180" t="str">
        <f ca="1"/>
        <v/>
      </c>
      <c r="AP235" s="180" t="str">
        <f ca="1"/>
        <v/>
      </c>
      <c r="AQ235" s="187" t="str">
        <f ca="1"/>
        <v/>
      </c>
    </row>
    <row r="236" spans="2:43" x14ac:dyDescent="0.25">
      <c r="B236" s="179" t="str">
        <f ca="1"/>
        <v/>
      </c>
      <c r="C236" s="180" t="str">
        <f ca="1"/>
        <v/>
      </c>
      <c r="D236" s="180" t="str">
        <f ca="1"/>
        <v/>
      </c>
      <c r="E236" s="180" t="str">
        <f ca="1"/>
        <v/>
      </c>
      <c r="F236" s="180" t="str">
        <f ca="1"/>
        <v/>
      </c>
      <c r="G236" s="180" t="str">
        <f ca="1"/>
        <v/>
      </c>
      <c r="H236" s="180" t="str">
        <f ca="1"/>
        <v/>
      </c>
      <c r="I236" s="180" t="str">
        <f ca="1"/>
        <v/>
      </c>
      <c r="J236" s="180" t="str">
        <f ca="1"/>
        <v/>
      </c>
      <c r="K236" s="180" t="str">
        <f ca="1"/>
        <v/>
      </c>
      <c r="L236" s="180" t="str">
        <f ca="1"/>
        <v/>
      </c>
      <c r="M236" s="180" t="str">
        <f ca="1"/>
        <v/>
      </c>
      <c r="N236" s="180" t="str">
        <f ca="1"/>
        <v/>
      </c>
      <c r="O236" s="180" t="str">
        <f ca="1"/>
        <v/>
      </c>
      <c r="P236" s="180" t="str">
        <f ca="1"/>
        <v/>
      </c>
      <c r="Q236" s="180" t="str">
        <f ca="1"/>
        <v/>
      </c>
      <c r="R236" s="180" t="str">
        <f ca="1"/>
        <v/>
      </c>
      <c r="S236" s="180" t="str">
        <f ca="1"/>
        <v/>
      </c>
      <c r="T236" s="180" t="str">
        <f ca="1"/>
        <v/>
      </c>
      <c r="U236" s="180" t="str">
        <f ca="1"/>
        <v/>
      </c>
      <c r="V236" s="180" t="str">
        <f ca="1"/>
        <v/>
      </c>
      <c r="W236" s="180" t="str">
        <f ca="1"/>
        <v/>
      </c>
      <c r="X236" s="180" t="str">
        <f ca="1"/>
        <v/>
      </c>
      <c r="Y236" s="180" t="str">
        <f ca="1"/>
        <v/>
      </c>
      <c r="Z236" s="180" t="str">
        <f ca="1"/>
        <v/>
      </c>
      <c r="AA236" s="180" t="str">
        <f ca="1"/>
        <v/>
      </c>
      <c r="AB236" s="180" t="str">
        <f ca="1"/>
        <v/>
      </c>
      <c r="AC236" s="180" t="str">
        <f ca="1"/>
        <v/>
      </c>
      <c r="AD236" s="180" t="str">
        <f ca="1"/>
        <v/>
      </c>
      <c r="AE236" s="180" t="str">
        <f ca="1"/>
        <v/>
      </c>
      <c r="AF236" s="180" t="str">
        <f ca="1"/>
        <v/>
      </c>
      <c r="AG236" s="180" t="str">
        <f ca="1"/>
        <v/>
      </c>
      <c r="AH236" s="180" t="str">
        <f ca="1"/>
        <v/>
      </c>
      <c r="AI236" s="180" t="str">
        <f ca="1"/>
        <v/>
      </c>
      <c r="AJ236" s="180" t="str">
        <f ca="1"/>
        <v/>
      </c>
      <c r="AK236" s="180" t="str">
        <f ca="1"/>
        <v/>
      </c>
      <c r="AL236" s="180" t="str">
        <f ca="1"/>
        <v/>
      </c>
      <c r="AM236" s="180" t="str">
        <f ca="1"/>
        <v/>
      </c>
      <c r="AN236" s="180" t="str">
        <f ca="1"/>
        <v/>
      </c>
      <c r="AO236" s="180" t="str">
        <f ca="1"/>
        <v/>
      </c>
      <c r="AP236" s="180" t="str">
        <f ca="1"/>
        <v/>
      </c>
      <c r="AQ236" s="187" t="str">
        <f ca="1"/>
        <v/>
      </c>
    </row>
    <row r="237" spans="2:43" x14ac:dyDescent="0.25">
      <c r="B237" s="179" t="str">
        <f ca="1"/>
        <v/>
      </c>
      <c r="C237" s="180" t="str">
        <f ca="1"/>
        <v/>
      </c>
      <c r="D237" s="180" t="str">
        <f ca="1"/>
        <v/>
      </c>
      <c r="E237" s="180" t="str">
        <f ca="1"/>
        <v/>
      </c>
      <c r="F237" s="180" t="str">
        <f ca="1"/>
        <v/>
      </c>
      <c r="G237" s="180" t="str">
        <f ca="1"/>
        <v/>
      </c>
      <c r="H237" s="180" t="str">
        <f ca="1"/>
        <v/>
      </c>
      <c r="I237" s="180" t="str">
        <f ca="1"/>
        <v/>
      </c>
      <c r="J237" s="180" t="str">
        <f ca="1"/>
        <v/>
      </c>
      <c r="K237" s="180" t="str">
        <f ca="1"/>
        <v/>
      </c>
      <c r="L237" s="180" t="str">
        <f ca="1"/>
        <v/>
      </c>
      <c r="M237" s="180" t="str">
        <f ca="1"/>
        <v/>
      </c>
      <c r="N237" s="180" t="str">
        <f ca="1"/>
        <v/>
      </c>
      <c r="O237" s="180" t="str">
        <f ca="1"/>
        <v/>
      </c>
      <c r="P237" s="180" t="str">
        <f ca="1"/>
        <v/>
      </c>
      <c r="Q237" s="180" t="str">
        <f ca="1"/>
        <v/>
      </c>
      <c r="R237" s="180" t="str">
        <f ca="1"/>
        <v/>
      </c>
      <c r="S237" s="180" t="str">
        <f ca="1"/>
        <v/>
      </c>
      <c r="T237" s="180" t="str">
        <f ca="1"/>
        <v/>
      </c>
      <c r="U237" s="180" t="str">
        <f ca="1"/>
        <v/>
      </c>
      <c r="V237" s="180" t="str">
        <f ca="1"/>
        <v/>
      </c>
      <c r="W237" s="180" t="str">
        <f ca="1"/>
        <v/>
      </c>
      <c r="X237" s="180" t="str">
        <f ca="1"/>
        <v/>
      </c>
      <c r="Y237" s="180" t="str">
        <f ca="1"/>
        <v/>
      </c>
      <c r="Z237" s="180" t="str">
        <f ca="1"/>
        <v/>
      </c>
      <c r="AA237" s="180" t="str">
        <f ca="1"/>
        <v/>
      </c>
      <c r="AB237" s="180" t="str">
        <f ca="1"/>
        <v/>
      </c>
      <c r="AC237" s="180" t="str">
        <f ca="1"/>
        <v/>
      </c>
      <c r="AD237" s="180" t="str">
        <f ca="1"/>
        <v/>
      </c>
      <c r="AE237" s="180" t="str">
        <f ca="1"/>
        <v/>
      </c>
      <c r="AF237" s="180" t="str">
        <f ca="1"/>
        <v/>
      </c>
      <c r="AG237" s="180" t="str">
        <f ca="1"/>
        <v/>
      </c>
      <c r="AH237" s="180" t="str">
        <f ca="1"/>
        <v/>
      </c>
      <c r="AI237" s="180" t="str">
        <f ca="1"/>
        <v/>
      </c>
      <c r="AJ237" s="180" t="str">
        <f ca="1"/>
        <v/>
      </c>
      <c r="AK237" s="180" t="str">
        <f ca="1"/>
        <v/>
      </c>
      <c r="AL237" s="180" t="str">
        <f ca="1"/>
        <v/>
      </c>
      <c r="AM237" s="180" t="str">
        <f ca="1"/>
        <v/>
      </c>
      <c r="AN237" s="180" t="str">
        <f ca="1"/>
        <v/>
      </c>
      <c r="AO237" s="180" t="str">
        <f ca="1"/>
        <v/>
      </c>
      <c r="AP237" s="180" t="str">
        <f ca="1"/>
        <v/>
      </c>
      <c r="AQ237" s="187" t="str">
        <f ca="1"/>
        <v/>
      </c>
    </row>
    <row r="238" spans="2:43" x14ac:dyDescent="0.25">
      <c r="B238" s="179" t="str">
        <f ca="1"/>
        <v/>
      </c>
      <c r="C238" s="180" t="str">
        <f ca="1"/>
        <v/>
      </c>
      <c r="D238" s="180" t="str">
        <f ca="1"/>
        <v/>
      </c>
      <c r="E238" s="180" t="str">
        <f ca="1"/>
        <v/>
      </c>
      <c r="F238" s="180" t="str">
        <f ca="1"/>
        <v/>
      </c>
      <c r="G238" s="180" t="str">
        <f ca="1"/>
        <v/>
      </c>
      <c r="H238" s="180" t="str">
        <f ca="1"/>
        <v/>
      </c>
      <c r="I238" s="180" t="str">
        <f ca="1"/>
        <v/>
      </c>
      <c r="J238" s="180" t="str">
        <f ca="1"/>
        <v/>
      </c>
      <c r="K238" s="180" t="str">
        <f ca="1"/>
        <v/>
      </c>
      <c r="L238" s="180" t="str">
        <f ca="1"/>
        <v/>
      </c>
      <c r="M238" s="180" t="str">
        <f ca="1"/>
        <v/>
      </c>
      <c r="N238" s="180" t="str">
        <f ca="1"/>
        <v/>
      </c>
      <c r="O238" s="180" t="str">
        <f ca="1"/>
        <v/>
      </c>
      <c r="P238" s="180" t="str">
        <f ca="1"/>
        <v/>
      </c>
      <c r="Q238" s="180" t="str">
        <f ca="1"/>
        <v/>
      </c>
      <c r="R238" s="180" t="str">
        <f ca="1"/>
        <v/>
      </c>
      <c r="S238" s="180" t="str">
        <f ca="1"/>
        <v/>
      </c>
      <c r="T238" s="180" t="str">
        <f ca="1"/>
        <v/>
      </c>
      <c r="U238" s="180" t="str">
        <f ca="1"/>
        <v/>
      </c>
      <c r="V238" s="180" t="str">
        <f ca="1"/>
        <v/>
      </c>
      <c r="W238" s="180" t="str">
        <f ca="1"/>
        <v/>
      </c>
      <c r="X238" s="180" t="str">
        <f ca="1"/>
        <v/>
      </c>
      <c r="Y238" s="180" t="str">
        <f ca="1"/>
        <v/>
      </c>
      <c r="Z238" s="180" t="str">
        <f ca="1"/>
        <v/>
      </c>
      <c r="AA238" s="180" t="str">
        <f ca="1"/>
        <v/>
      </c>
      <c r="AB238" s="180" t="str">
        <f ca="1"/>
        <v/>
      </c>
      <c r="AC238" s="180" t="str">
        <f ca="1"/>
        <v/>
      </c>
      <c r="AD238" s="180" t="str">
        <f ca="1"/>
        <v/>
      </c>
      <c r="AE238" s="180" t="str">
        <f ca="1"/>
        <v/>
      </c>
      <c r="AF238" s="180" t="str">
        <f ca="1"/>
        <v/>
      </c>
      <c r="AG238" s="180" t="str">
        <f ca="1"/>
        <v/>
      </c>
      <c r="AH238" s="180" t="str">
        <f ca="1"/>
        <v/>
      </c>
      <c r="AI238" s="180" t="str">
        <f ca="1"/>
        <v/>
      </c>
      <c r="AJ238" s="180" t="str">
        <f ca="1"/>
        <v/>
      </c>
      <c r="AK238" s="180" t="str">
        <f ca="1"/>
        <v/>
      </c>
      <c r="AL238" s="180" t="str">
        <f ca="1"/>
        <v/>
      </c>
      <c r="AM238" s="180" t="str">
        <f ca="1"/>
        <v/>
      </c>
      <c r="AN238" s="180" t="str">
        <f ca="1"/>
        <v/>
      </c>
      <c r="AO238" s="180" t="str">
        <f ca="1"/>
        <v/>
      </c>
      <c r="AP238" s="180" t="str">
        <f ca="1"/>
        <v/>
      </c>
      <c r="AQ238" s="187" t="str">
        <f ca="1"/>
        <v/>
      </c>
    </row>
    <row r="239" spans="2:43" x14ac:dyDescent="0.25">
      <c r="B239" s="179" t="str">
        <f ca="1"/>
        <v/>
      </c>
      <c r="C239" s="180" t="str">
        <f ca="1"/>
        <v/>
      </c>
      <c r="D239" s="180" t="str">
        <f ca="1"/>
        <v/>
      </c>
      <c r="E239" s="180" t="str">
        <f ca="1"/>
        <v/>
      </c>
      <c r="F239" s="180" t="str">
        <f ca="1"/>
        <v/>
      </c>
      <c r="G239" s="180" t="str">
        <f ca="1"/>
        <v/>
      </c>
      <c r="H239" s="180" t="str">
        <f ca="1"/>
        <v/>
      </c>
      <c r="I239" s="180" t="str">
        <f ca="1"/>
        <v/>
      </c>
      <c r="J239" s="180" t="str">
        <f ca="1"/>
        <v/>
      </c>
      <c r="K239" s="180" t="str">
        <f ca="1"/>
        <v/>
      </c>
      <c r="L239" s="180" t="str">
        <f ca="1"/>
        <v/>
      </c>
      <c r="M239" s="180" t="str">
        <f ca="1"/>
        <v/>
      </c>
      <c r="N239" s="180" t="str">
        <f ca="1"/>
        <v/>
      </c>
      <c r="O239" s="180" t="str">
        <f ca="1"/>
        <v/>
      </c>
      <c r="P239" s="180" t="str">
        <f ca="1"/>
        <v/>
      </c>
      <c r="Q239" s="180" t="str">
        <f ca="1"/>
        <v/>
      </c>
      <c r="R239" s="180" t="str">
        <f ca="1"/>
        <v/>
      </c>
      <c r="S239" s="180" t="str">
        <f ca="1"/>
        <v/>
      </c>
      <c r="T239" s="180" t="str">
        <f ca="1"/>
        <v/>
      </c>
      <c r="U239" s="180" t="str">
        <f ca="1"/>
        <v/>
      </c>
      <c r="V239" s="180" t="str">
        <f ca="1"/>
        <v/>
      </c>
      <c r="W239" s="180" t="str">
        <f ca="1"/>
        <v/>
      </c>
      <c r="X239" s="180" t="str">
        <f ca="1"/>
        <v/>
      </c>
      <c r="Y239" s="180" t="str">
        <f ca="1"/>
        <v/>
      </c>
      <c r="Z239" s="180" t="str">
        <f ca="1"/>
        <v/>
      </c>
      <c r="AA239" s="180" t="str">
        <f ca="1"/>
        <v/>
      </c>
      <c r="AB239" s="180" t="str">
        <f ca="1"/>
        <v/>
      </c>
      <c r="AC239" s="180" t="str">
        <f ca="1"/>
        <v/>
      </c>
      <c r="AD239" s="180" t="str">
        <f ca="1"/>
        <v/>
      </c>
      <c r="AE239" s="180" t="str">
        <f ca="1"/>
        <v/>
      </c>
      <c r="AF239" s="180" t="str">
        <f ca="1"/>
        <v/>
      </c>
      <c r="AG239" s="180" t="str">
        <f ca="1"/>
        <v/>
      </c>
      <c r="AH239" s="180" t="str">
        <f ca="1"/>
        <v/>
      </c>
      <c r="AI239" s="180" t="str">
        <f ca="1"/>
        <v/>
      </c>
      <c r="AJ239" s="180" t="str">
        <f ca="1"/>
        <v/>
      </c>
      <c r="AK239" s="180" t="str">
        <f ca="1"/>
        <v/>
      </c>
      <c r="AL239" s="180" t="str">
        <f ca="1"/>
        <v/>
      </c>
      <c r="AM239" s="180" t="str">
        <f ca="1"/>
        <v/>
      </c>
      <c r="AN239" s="180" t="str">
        <f ca="1"/>
        <v/>
      </c>
      <c r="AO239" s="180" t="str">
        <f ca="1"/>
        <v/>
      </c>
      <c r="AP239" s="180" t="str">
        <f ca="1"/>
        <v/>
      </c>
      <c r="AQ239" s="187" t="str">
        <f ca="1"/>
        <v/>
      </c>
    </row>
    <row r="240" spans="2:43" x14ac:dyDescent="0.25">
      <c r="B240" s="179" t="str">
        <f ca="1"/>
        <v/>
      </c>
      <c r="C240" s="180" t="str">
        <f ca="1"/>
        <v/>
      </c>
      <c r="D240" s="180" t="str">
        <f ca="1"/>
        <v/>
      </c>
      <c r="E240" s="180" t="str">
        <f ca="1"/>
        <v/>
      </c>
      <c r="F240" s="180" t="str">
        <f ca="1"/>
        <v/>
      </c>
      <c r="G240" s="180" t="str">
        <f ca="1"/>
        <v/>
      </c>
      <c r="H240" s="180" t="str">
        <f ca="1"/>
        <v/>
      </c>
      <c r="I240" s="180" t="str">
        <f ca="1"/>
        <v/>
      </c>
      <c r="J240" s="180" t="str">
        <f ca="1"/>
        <v/>
      </c>
      <c r="K240" s="180" t="str">
        <f ca="1"/>
        <v/>
      </c>
      <c r="L240" s="180" t="str">
        <f ca="1"/>
        <v/>
      </c>
      <c r="M240" s="180" t="str">
        <f ca="1"/>
        <v/>
      </c>
      <c r="N240" s="180" t="str">
        <f ca="1"/>
        <v/>
      </c>
      <c r="O240" s="180" t="str">
        <f ca="1"/>
        <v/>
      </c>
      <c r="P240" s="180" t="str">
        <f ca="1"/>
        <v/>
      </c>
      <c r="Q240" s="180" t="str">
        <f ca="1"/>
        <v/>
      </c>
      <c r="R240" s="180" t="str">
        <f ca="1"/>
        <v/>
      </c>
      <c r="S240" s="180" t="str">
        <f ca="1"/>
        <v/>
      </c>
      <c r="T240" s="180" t="str">
        <f ca="1"/>
        <v/>
      </c>
      <c r="U240" s="180" t="str">
        <f ca="1"/>
        <v/>
      </c>
      <c r="V240" s="180" t="str">
        <f ca="1"/>
        <v/>
      </c>
      <c r="W240" s="180" t="str">
        <f ca="1"/>
        <v/>
      </c>
      <c r="X240" s="180" t="str">
        <f ca="1"/>
        <v/>
      </c>
      <c r="Y240" s="180" t="str">
        <f ca="1"/>
        <v/>
      </c>
      <c r="Z240" s="180" t="str">
        <f ca="1"/>
        <v/>
      </c>
      <c r="AA240" s="180" t="str">
        <f ca="1"/>
        <v/>
      </c>
      <c r="AB240" s="180" t="str">
        <f ca="1"/>
        <v/>
      </c>
      <c r="AC240" s="180" t="str">
        <f ca="1"/>
        <v/>
      </c>
      <c r="AD240" s="180" t="str">
        <f ca="1"/>
        <v/>
      </c>
      <c r="AE240" s="180" t="str">
        <f ca="1"/>
        <v/>
      </c>
      <c r="AF240" s="180" t="str">
        <f ca="1"/>
        <v/>
      </c>
      <c r="AG240" s="180" t="str">
        <f ca="1"/>
        <v/>
      </c>
      <c r="AH240" s="180" t="str">
        <f ca="1"/>
        <v/>
      </c>
      <c r="AI240" s="180" t="str">
        <f ca="1"/>
        <v/>
      </c>
      <c r="AJ240" s="180" t="str">
        <f ca="1"/>
        <v/>
      </c>
      <c r="AK240" s="180" t="str">
        <f ca="1"/>
        <v/>
      </c>
      <c r="AL240" s="180" t="str">
        <f ca="1"/>
        <v/>
      </c>
      <c r="AM240" s="180" t="str">
        <f ca="1"/>
        <v/>
      </c>
      <c r="AN240" s="180" t="str">
        <f ca="1"/>
        <v/>
      </c>
      <c r="AO240" s="180" t="str">
        <f ca="1"/>
        <v/>
      </c>
      <c r="AP240" s="180" t="str">
        <f ca="1"/>
        <v/>
      </c>
      <c r="AQ240" s="187" t="str">
        <f ca="1"/>
        <v/>
      </c>
    </row>
    <row r="241" spans="2:43" x14ac:dyDescent="0.25">
      <c r="B241" s="179" t="str">
        <f ca="1"/>
        <v/>
      </c>
      <c r="C241" s="180" t="str">
        <f ca="1"/>
        <v/>
      </c>
      <c r="D241" s="180" t="str">
        <f ca="1"/>
        <v/>
      </c>
      <c r="E241" s="180" t="str">
        <f ca="1"/>
        <v/>
      </c>
      <c r="F241" s="180" t="str">
        <f ca="1"/>
        <v/>
      </c>
      <c r="G241" s="180" t="str">
        <f ca="1"/>
        <v/>
      </c>
      <c r="H241" s="180" t="str">
        <f ca="1"/>
        <v/>
      </c>
      <c r="I241" s="180" t="str">
        <f ca="1"/>
        <v/>
      </c>
      <c r="J241" s="180" t="str">
        <f ca="1"/>
        <v/>
      </c>
      <c r="K241" s="180" t="str">
        <f ca="1"/>
        <v/>
      </c>
      <c r="L241" s="180" t="str">
        <f ca="1"/>
        <v/>
      </c>
      <c r="M241" s="180" t="str">
        <f ca="1"/>
        <v/>
      </c>
      <c r="N241" s="180" t="str">
        <f ca="1"/>
        <v/>
      </c>
      <c r="O241" s="180" t="str">
        <f ca="1"/>
        <v/>
      </c>
      <c r="P241" s="180" t="str">
        <f ca="1"/>
        <v/>
      </c>
      <c r="Q241" s="180" t="str">
        <f ca="1"/>
        <v/>
      </c>
      <c r="R241" s="180" t="str">
        <f ca="1"/>
        <v/>
      </c>
      <c r="S241" s="180" t="str">
        <f ca="1"/>
        <v/>
      </c>
      <c r="T241" s="180" t="str">
        <f ca="1"/>
        <v/>
      </c>
      <c r="U241" s="180" t="str">
        <f ca="1"/>
        <v/>
      </c>
      <c r="V241" s="180" t="str">
        <f ca="1"/>
        <v/>
      </c>
      <c r="W241" s="180" t="str">
        <f ca="1"/>
        <v/>
      </c>
      <c r="X241" s="180" t="str">
        <f ca="1"/>
        <v/>
      </c>
      <c r="Y241" s="180" t="str">
        <f ca="1"/>
        <v/>
      </c>
      <c r="Z241" s="180" t="str">
        <f ca="1"/>
        <v/>
      </c>
      <c r="AA241" s="180" t="str">
        <f ca="1"/>
        <v/>
      </c>
      <c r="AB241" s="180" t="str">
        <f ca="1"/>
        <v/>
      </c>
      <c r="AC241" s="180" t="str">
        <f ca="1"/>
        <v/>
      </c>
      <c r="AD241" s="180" t="str">
        <f ca="1"/>
        <v/>
      </c>
      <c r="AE241" s="180" t="str">
        <f ca="1"/>
        <v/>
      </c>
      <c r="AF241" s="180" t="str">
        <f ca="1"/>
        <v/>
      </c>
      <c r="AG241" s="180" t="str">
        <f ca="1"/>
        <v/>
      </c>
      <c r="AH241" s="180" t="str">
        <f ca="1"/>
        <v/>
      </c>
      <c r="AI241" s="180" t="str">
        <f ca="1"/>
        <v/>
      </c>
      <c r="AJ241" s="180" t="str">
        <f ca="1"/>
        <v/>
      </c>
      <c r="AK241" s="180" t="str">
        <f ca="1"/>
        <v/>
      </c>
      <c r="AL241" s="180" t="str">
        <f ca="1"/>
        <v/>
      </c>
      <c r="AM241" s="180" t="str">
        <f ca="1"/>
        <v/>
      </c>
      <c r="AN241" s="180" t="str">
        <f ca="1"/>
        <v/>
      </c>
      <c r="AO241" s="180" t="str">
        <f ca="1"/>
        <v/>
      </c>
      <c r="AP241" s="180" t="str">
        <f ca="1"/>
        <v/>
      </c>
      <c r="AQ241" s="187" t="str">
        <f ca="1"/>
        <v/>
      </c>
    </row>
    <row r="242" spans="2:43" x14ac:dyDescent="0.25">
      <c r="B242" s="179" t="str">
        <f ca="1"/>
        <v/>
      </c>
      <c r="C242" s="180" t="str">
        <f ca="1"/>
        <v/>
      </c>
      <c r="D242" s="180" t="str">
        <f ca="1"/>
        <v/>
      </c>
      <c r="E242" s="180" t="str">
        <f ca="1"/>
        <v/>
      </c>
      <c r="F242" s="180" t="str">
        <f ca="1"/>
        <v/>
      </c>
      <c r="G242" s="180" t="str">
        <f ca="1"/>
        <v/>
      </c>
      <c r="H242" s="180" t="str">
        <f ca="1"/>
        <v/>
      </c>
      <c r="I242" s="180" t="str">
        <f ca="1"/>
        <v/>
      </c>
      <c r="J242" s="180" t="str">
        <f ca="1"/>
        <v/>
      </c>
      <c r="K242" s="180" t="str">
        <f ca="1"/>
        <v/>
      </c>
      <c r="L242" s="180" t="str">
        <f ca="1"/>
        <v/>
      </c>
      <c r="M242" s="180" t="str">
        <f ca="1"/>
        <v/>
      </c>
      <c r="N242" s="180" t="str">
        <f ca="1"/>
        <v/>
      </c>
      <c r="O242" s="180" t="str">
        <f ca="1"/>
        <v/>
      </c>
      <c r="P242" s="180" t="str">
        <f ca="1"/>
        <v/>
      </c>
      <c r="Q242" s="180" t="str">
        <f ca="1"/>
        <v/>
      </c>
      <c r="R242" s="180" t="str">
        <f ca="1"/>
        <v/>
      </c>
      <c r="S242" s="180" t="str">
        <f ca="1"/>
        <v/>
      </c>
      <c r="T242" s="180" t="str">
        <f ca="1"/>
        <v/>
      </c>
      <c r="U242" s="180" t="str">
        <f ca="1"/>
        <v/>
      </c>
      <c r="V242" s="180" t="str">
        <f ca="1"/>
        <v/>
      </c>
      <c r="W242" s="180" t="str">
        <f ca="1"/>
        <v/>
      </c>
      <c r="X242" s="180" t="str">
        <f ca="1"/>
        <v/>
      </c>
      <c r="Y242" s="180" t="str">
        <f ca="1"/>
        <v/>
      </c>
      <c r="Z242" s="180" t="str">
        <f ca="1"/>
        <v/>
      </c>
      <c r="AA242" s="180" t="str">
        <f ca="1"/>
        <v/>
      </c>
      <c r="AB242" s="180" t="str">
        <f ca="1"/>
        <v/>
      </c>
      <c r="AC242" s="180" t="str">
        <f ca="1"/>
        <v/>
      </c>
      <c r="AD242" s="180" t="str">
        <f ca="1"/>
        <v/>
      </c>
      <c r="AE242" s="180" t="str">
        <f ca="1"/>
        <v/>
      </c>
      <c r="AF242" s="180" t="str">
        <f ca="1"/>
        <v/>
      </c>
      <c r="AG242" s="180" t="str">
        <f ca="1"/>
        <v/>
      </c>
      <c r="AH242" s="180" t="str">
        <f ca="1"/>
        <v/>
      </c>
      <c r="AI242" s="180" t="str">
        <f ca="1"/>
        <v/>
      </c>
      <c r="AJ242" s="180" t="str">
        <f ca="1"/>
        <v/>
      </c>
      <c r="AK242" s="180" t="str">
        <f ca="1"/>
        <v/>
      </c>
      <c r="AL242" s="180" t="str">
        <f ca="1"/>
        <v/>
      </c>
      <c r="AM242" s="180" t="str">
        <f ca="1"/>
        <v/>
      </c>
      <c r="AN242" s="180" t="str">
        <f ca="1"/>
        <v/>
      </c>
      <c r="AO242" s="180" t="str">
        <f ca="1"/>
        <v/>
      </c>
      <c r="AP242" s="180" t="str">
        <f ca="1"/>
        <v/>
      </c>
      <c r="AQ242" s="187" t="str">
        <f ca="1"/>
        <v/>
      </c>
    </row>
    <row r="243" spans="2:43" x14ac:dyDescent="0.25">
      <c r="B243" s="179" t="str">
        <f ca="1"/>
        <v/>
      </c>
      <c r="C243" s="180" t="str">
        <f ca="1"/>
        <v/>
      </c>
      <c r="D243" s="180" t="str">
        <f ca="1"/>
        <v/>
      </c>
      <c r="E243" s="180" t="str">
        <f ca="1"/>
        <v/>
      </c>
      <c r="F243" s="180" t="str">
        <f ca="1"/>
        <v/>
      </c>
      <c r="G243" s="180" t="str">
        <f ca="1"/>
        <v/>
      </c>
      <c r="H243" s="180" t="str">
        <f ca="1"/>
        <v/>
      </c>
      <c r="I243" s="180" t="str">
        <f ca="1"/>
        <v/>
      </c>
      <c r="J243" s="180" t="str">
        <f ca="1"/>
        <v/>
      </c>
      <c r="K243" s="180" t="str">
        <f ca="1"/>
        <v/>
      </c>
      <c r="L243" s="180" t="str">
        <f ca="1"/>
        <v/>
      </c>
      <c r="M243" s="180" t="str">
        <f ca="1"/>
        <v/>
      </c>
      <c r="N243" s="180" t="str">
        <f ca="1"/>
        <v/>
      </c>
      <c r="O243" s="180" t="str">
        <f ca="1"/>
        <v/>
      </c>
      <c r="P243" s="180" t="str">
        <f ca="1"/>
        <v/>
      </c>
      <c r="Q243" s="180" t="str">
        <f ca="1"/>
        <v/>
      </c>
      <c r="R243" s="180" t="str">
        <f ca="1"/>
        <v/>
      </c>
      <c r="S243" s="180" t="str">
        <f ca="1"/>
        <v/>
      </c>
      <c r="T243" s="180" t="str">
        <f ca="1"/>
        <v/>
      </c>
      <c r="U243" s="180" t="str">
        <f ca="1"/>
        <v/>
      </c>
      <c r="V243" s="180" t="str">
        <f ca="1"/>
        <v/>
      </c>
      <c r="W243" s="180" t="str">
        <f ca="1"/>
        <v/>
      </c>
      <c r="X243" s="180" t="str">
        <f ca="1"/>
        <v/>
      </c>
      <c r="Y243" s="180" t="str">
        <f ca="1"/>
        <v/>
      </c>
      <c r="Z243" s="180" t="str">
        <f ca="1"/>
        <v/>
      </c>
      <c r="AA243" s="180" t="str">
        <f ca="1"/>
        <v/>
      </c>
      <c r="AB243" s="180" t="str">
        <f ca="1"/>
        <v/>
      </c>
      <c r="AC243" s="180" t="str">
        <f ca="1"/>
        <v/>
      </c>
      <c r="AD243" s="180" t="str">
        <f ca="1"/>
        <v/>
      </c>
      <c r="AE243" s="180" t="str">
        <f ca="1"/>
        <v/>
      </c>
      <c r="AF243" s="180" t="str">
        <f ca="1"/>
        <v/>
      </c>
      <c r="AG243" s="180" t="str">
        <f ca="1"/>
        <v/>
      </c>
      <c r="AH243" s="180" t="str">
        <f ca="1"/>
        <v/>
      </c>
      <c r="AI243" s="180" t="str">
        <f ca="1"/>
        <v/>
      </c>
      <c r="AJ243" s="180" t="str">
        <f ca="1"/>
        <v/>
      </c>
      <c r="AK243" s="180" t="str">
        <f ca="1"/>
        <v/>
      </c>
      <c r="AL243" s="180" t="str">
        <f ca="1"/>
        <v/>
      </c>
      <c r="AM243" s="180" t="str">
        <f ca="1"/>
        <v/>
      </c>
      <c r="AN243" s="180" t="str">
        <f ca="1"/>
        <v/>
      </c>
      <c r="AO243" s="180" t="str">
        <f ca="1"/>
        <v/>
      </c>
      <c r="AP243" s="180" t="str">
        <f ca="1"/>
        <v/>
      </c>
      <c r="AQ243" s="187" t="str">
        <f ca="1"/>
        <v/>
      </c>
    </row>
    <row r="244" spans="2:43" x14ac:dyDescent="0.25">
      <c r="B244" s="179" t="str">
        <f ca="1"/>
        <v/>
      </c>
      <c r="C244" s="180" t="str">
        <f ca="1"/>
        <v/>
      </c>
      <c r="D244" s="180" t="str">
        <f ca="1"/>
        <v/>
      </c>
      <c r="E244" s="180" t="str">
        <f ca="1"/>
        <v/>
      </c>
      <c r="F244" s="180" t="str">
        <f ca="1"/>
        <v/>
      </c>
      <c r="G244" s="180" t="str">
        <f ca="1"/>
        <v/>
      </c>
      <c r="H244" s="180" t="str">
        <f ca="1"/>
        <v/>
      </c>
      <c r="I244" s="180" t="str">
        <f ca="1"/>
        <v/>
      </c>
      <c r="J244" s="180" t="str">
        <f ca="1"/>
        <v/>
      </c>
      <c r="K244" s="180" t="str">
        <f ca="1"/>
        <v/>
      </c>
      <c r="L244" s="180" t="str">
        <f ca="1"/>
        <v/>
      </c>
      <c r="M244" s="180" t="str">
        <f ca="1"/>
        <v/>
      </c>
      <c r="N244" s="180" t="str">
        <f ca="1"/>
        <v/>
      </c>
      <c r="O244" s="180" t="str">
        <f ca="1"/>
        <v/>
      </c>
      <c r="P244" s="180" t="str">
        <f ca="1"/>
        <v/>
      </c>
      <c r="Q244" s="180" t="str">
        <f ca="1"/>
        <v/>
      </c>
      <c r="R244" s="180" t="str">
        <f ca="1"/>
        <v/>
      </c>
      <c r="S244" s="180" t="str">
        <f ca="1"/>
        <v/>
      </c>
      <c r="T244" s="180" t="str">
        <f ca="1"/>
        <v/>
      </c>
      <c r="U244" s="180" t="str">
        <f ca="1"/>
        <v/>
      </c>
      <c r="V244" s="180" t="str">
        <f ca="1"/>
        <v/>
      </c>
      <c r="W244" s="180" t="str">
        <f ca="1"/>
        <v/>
      </c>
      <c r="X244" s="180" t="str">
        <f ca="1"/>
        <v/>
      </c>
      <c r="Y244" s="180" t="str">
        <f ca="1"/>
        <v/>
      </c>
      <c r="Z244" s="180" t="str">
        <f ca="1"/>
        <v/>
      </c>
      <c r="AA244" s="180" t="str">
        <f ca="1"/>
        <v/>
      </c>
      <c r="AB244" s="180" t="str">
        <f ca="1"/>
        <v/>
      </c>
      <c r="AC244" s="180" t="str">
        <f ca="1"/>
        <v/>
      </c>
      <c r="AD244" s="180" t="str">
        <f ca="1"/>
        <v/>
      </c>
      <c r="AE244" s="180" t="str">
        <f ca="1"/>
        <v/>
      </c>
      <c r="AF244" s="180" t="str">
        <f ca="1"/>
        <v/>
      </c>
      <c r="AG244" s="180" t="str">
        <f ca="1"/>
        <v/>
      </c>
      <c r="AH244" s="180" t="str">
        <f ca="1"/>
        <v/>
      </c>
      <c r="AI244" s="180" t="str">
        <f ca="1"/>
        <v/>
      </c>
      <c r="AJ244" s="180" t="str">
        <f ca="1"/>
        <v/>
      </c>
      <c r="AK244" s="180" t="str">
        <f ca="1"/>
        <v/>
      </c>
      <c r="AL244" s="180" t="str">
        <f ca="1"/>
        <v/>
      </c>
      <c r="AM244" s="180" t="str">
        <f ca="1"/>
        <v/>
      </c>
      <c r="AN244" s="180" t="str">
        <f ca="1"/>
        <v/>
      </c>
      <c r="AO244" s="180" t="str">
        <f ca="1"/>
        <v/>
      </c>
      <c r="AP244" s="180" t="str">
        <f ca="1"/>
        <v/>
      </c>
      <c r="AQ244" s="187" t="str">
        <f ca="1"/>
        <v/>
      </c>
    </row>
    <row r="245" spans="2:43" x14ac:dyDescent="0.25">
      <c r="B245" s="179" t="str">
        <f ca="1"/>
        <v/>
      </c>
      <c r="C245" s="180" t="str">
        <f ca="1"/>
        <v/>
      </c>
      <c r="D245" s="180" t="str">
        <f ca="1"/>
        <v/>
      </c>
      <c r="E245" s="180" t="str">
        <f ca="1"/>
        <v/>
      </c>
      <c r="F245" s="180" t="str">
        <f ca="1"/>
        <v/>
      </c>
      <c r="G245" s="180" t="str">
        <f ca="1"/>
        <v/>
      </c>
      <c r="H245" s="180" t="str">
        <f ca="1"/>
        <v/>
      </c>
      <c r="I245" s="180" t="str">
        <f ca="1"/>
        <v/>
      </c>
      <c r="J245" s="180" t="str">
        <f ca="1"/>
        <v/>
      </c>
      <c r="K245" s="180" t="str">
        <f ca="1"/>
        <v/>
      </c>
      <c r="L245" s="180" t="str">
        <f ca="1"/>
        <v/>
      </c>
      <c r="M245" s="180" t="str">
        <f ca="1"/>
        <v/>
      </c>
      <c r="N245" s="180" t="str">
        <f ca="1"/>
        <v/>
      </c>
      <c r="O245" s="180" t="str">
        <f ca="1"/>
        <v/>
      </c>
      <c r="P245" s="180" t="str">
        <f ca="1"/>
        <v/>
      </c>
      <c r="Q245" s="180" t="str">
        <f ca="1"/>
        <v/>
      </c>
      <c r="R245" s="180" t="str">
        <f ca="1"/>
        <v/>
      </c>
      <c r="S245" s="180" t="str">
        <f ca="1"/>
        <v/>
      </c>
      <c r="T245" s="180" t="str">
        <f ca="1"/>
        <v/>
      </c>
      <c r="U245" s="180" t="str">
        <f ca="1"/>
        <v/>
      </c>
      <c r="V245" s="180" t="str">
        <f ca="1"/>
        <v/>
      </c>
      <c r="W245" s="180" t="str">
        <f ca="1"/>
        <v/>
      </c>
      <c r="X245" s="180" t="str">
        <f ca="1"/>
        <v/>
      </c>
      <c r="Y245" s="180" t="str">
        <f ca="1"/>
        <v/>
      </c>
      <c r="Z245" s="180" t="str">
        <f ca="1"/>
        <v/>
      </c>
      <c r="AA245" s="180" t="str">
        <f ca="1"/>
        <v/>
      </c>
      <c r="AB245" s="180" t="str">
        <f ca="1"/>
        <v/>
      </c>
      <c r="AC245" s="180" t="str">
        <f ca="1"/>
        <v/>
      </c>
      <c r="AD245" s="180" t="str">
        <f ca="1"/>
        <v/>
      </c>
      <c r="AE245" s="180" t="str">
        <f ca="1"/>
        <v/>
      </c>
      <c r="AF245" s="180" t="str">
        <f ca="1"/>
        <v/>
      </c>
      <c r="AG245" s="180" t="str">
        <f ca="1"/>
        <v/>
      </c>
      <c r="AH245" s="180" t="str">
        <f ca="1"/>
        <v/>
      </c>
      <c r="AI245" s="180" t="str">
        <f ca="1"/>
        <v/>
      </c>
      <c r="AJ245" s="180" t="str">
        <f ca="1"/>
        <v/>
      </c>
      <c r="AK245" s="180" t="str">
        <f ca="1"/>
        <v/>
      </c>
      <c r="AL245" s="180" t="str">
        <f ca="1"/>
        <v/>
      </c>
      <c r="AM245" s="180" t="str">
        <f ca="1"/>
        <v/>
      </c>
      <c r="AN245" s="180" t="str">
        <f ca="1"/>
        <v/>
      </c>
      <c r="AO245" s="180" t="str">
        <f ca="1"/>
        <v/>
      </c>
      <c r="AP245" s="180" t="str">
        <f ca="1"/>
        <v/>
      </c>
      <c r="AQ245" s="187" t="str">
        <f ca="1"/>
        <v/>
      </c>
    </row>
    <row r="246" spans="2:43" x14ac:dyDescent="0.25">
      <c r="B246" s="179" t="str">
        <f ca="1"/>
        <v/>
      </c>
      <c r="C246" s="180" t="str">
        <f ca="1"/>
        <v/>
      </c>
      <c r="D246" s="180" t="str">
        <f ca="1"/>
        <v/>
      </c>
      <c r="E246" s="180" t="str">
        <f ca="1"/>
        <v/>
      </c>
      <c r="F246" s="180" t="str">
        <f ca="1"/>
        <v/>
      </c>
      <c r="G246" s="180" t="str">
        <f ca="1"/>
        <v/>
      </c>
      <c r="H246" s="180" t="str">
        <f ca="1"/>
        <v/>
      </c>
      <c r="I246" s="180" t="str">
        <f ca="1"/>
        <v/>
      </c>
      <c r="J246" s="180" t="str">
        <f ca="1"/>
        <v/>
      </c>
      <c r="K246" s="180" t="str">
        <f ca="1"/>
        <v/>
      </c>
      <c r="L246" s="180" t="str">
        <f ca="1"/>
        <v/>
      </c>
      <c r="M246" s="180" t="str">
        <f ca="1"/>
        <v/>
      </c>
      <c r="N246" s="180" t="str">
        <f ca="1"/>
        <v/>
      </c>
      <c r="O246" s="180" t="str">
        <f ca="1"/>
        <v/>
      </c>
      <c r="P246" s="180" t="str">
        <f ca="1"/>
        <v/>
      </c>
      <c r="Q246" s="180" t="str">
        <f ca="1"/>
        <v/>
      </c>
      <c r="R246" s="180" t="str">
        <f ca="1"/>
        <v/>
      </c>
      <c r="S246" s="180" t="str">
        <f ca="1"/>
        <v/>
      </c>
      <c r="T246" s="180" t="str">
        <f ca="1"/>
        <v/>
      </c>
      <c r="U246" s="180" t="str">
        <f ca="1"/>
        <v/>
      </c>
      <c r="V246" s="180" t="str">
        <f ca="1"/>
        <v/>
      </c>
      <c r="W246" s="180" t="str">
        <f ca="1"/>
        <v/>
      </c>
      <c r="X246" s="180" t="str">
        <f ca="1"/>
        <v/>
      </c>
      <c r="Y246" s="180" t="str">
        <f ca="1"/>
        <v/>
      </c>
      <c r="Z246" s="180" t="str">
        <f ca="1"/>
        <v/>
      </c>
      <c r="AA246" s="180" t="str">
        <f ca="1"/>
        <v/>
      </c>
      <c r="AB246" s="180" t="str">
        <f ca="1"/>
        <v/>
      </c>
      <c r="AC246" s="180" t="str">
        <f ca="1"/>
        <v/>
      </c>
      <c r="AD246" s="180" t="str">
        <f ca="1"/>
        <v/>
      </c>
      <c r="AE246" s="180" t="str">
        <f ca="1"/>
        <v/>
      </c>
      <c r="AF246" s="180" t="str">
        <f ca="1"/>
        <v/>
      </c>
      <c r="AG246" s="180" t="str">
        <f ca="1"/>
        <v/>
      </c>
      <c r="AH246" s="180" t="str">
        <f ca="1"/>
        <v/>
      </c>
      <c r="AI246" s="180" t="str">
        <f ca="1"/>
        <v/>
      </c>
      <c r="AJ246" s="180" t="str">
        <f ca="1"/>
        <v/>
      </c>
      <c r="AK246" s="180" t="str">
        <f ca="1"/>
        <v/>
      </c>
      <c r="AL246" s="180" t="str">
        <f ca="1"/>
        <v/>
      </c>
      <c r="AM246" s="180" t="str">
        <f ca="1"/>
        <v/>
      </c>
      <c r="AN246" s="180" t="str">
        <f ca="1"/>
        <v/>
      </c>
      <c r="AO246" s="180" t="str">
        <f ca="1"/>
        <v/>
      </c>
      <c r="AP246" s="180" t="str">
        <f ca="1"/>
        <v/>
      </c>
      <c r="AQ246" s="187" t="str">
        <f ca="1"/>
        <v/>
      </c>
    </row>
    <row r="247" spans="2:43" x14ac:dyDescent="0.25">
      <c r="B247" s="179" t="str">
        <f ca="1"/>
        <v/>
      </c>
      <c r="C247" s="180" t="str">
        <f ca="1"/>
        <v/>
      </c>
      <c r="D247" s="180" t="str">
        <f ca="1"/>
        <v/>
      </c>
      <c r="E247" s="180" t="str">
        <f ca="1"/>
        <v/>
      </c>
      <c r="F247" s="180" t="str">
        <f ca="1"/>
        <v/>
      </c>
      <c r="G247" s="180" t="str">
        <f ca="1"/>
        <v/>
      </c>
      <c r="H247" s="180" t="str">
        <f ca="1"/>
        <v/>
      </c>
      <c r="I247" s="180" t="str">
        <f ca="1"/>
        <v/>
      </c>
      <c r="J247" s="180" t="str">
        <f ca="1"/>
        <v/>
      </c>
      <c r="K247" s="180" t="str">
        <f ca="1"/>
        <v/>
      </c>
      <c r="L247" s="180" t="str">
        <f ca="1"/>
        <v/>
      </c>
      <c r="M247" s="180" t="str">
        <f ca="1"/>
        <v/>
      </c>
      <c r="N247" s="180" t="str">
        <f ca="1"/>
        <v/>
      </c>
      <c r="O247" s="180" t="str">
        <f ca="1"/>
        <v/>
      </c>
      <c r="P247" s="180" t="str">
        <f ca="1"/>
        <v/>
      </c>
      <c r="Q247" s="180" t="str">
        <f ca="1"/>
        <v/>
      </c>
      <c r="R247" s="180" t="str">
        <f ca="1"/>
        <v/>
      </c>
      <c r="S247" s="180" t="str">
        <f ca="1"/>
        <v/>
      </c>
      <c r="T247" s="180" t="str">
        <f ca="1"/>
        <v/>
      </c>
      <c r="U247" s="180" t="str">
        <f ca="1"/>
        <v/>
      </c>
      <c r="V247" s="180" t="str">
        <f ca="1"/>
        <v/>
      </c>
      <c r="W247" s="180" t="str">
        <f ca="1"/>
        <v/>
      </c>
      <c r="X247" s="180" t="str">
        <f ca="1"/>
        <v/>
      </c>
      <c r="Y247" s="180" t="str">
        <f ca="1"/>
        <v/>
      </c>
      <c r="Z247" s="180" t="str">
        <f ca="1"/>
        <v/>
      </c>
      <c r="AA247" s="180" t="str">
        <f ca="1"/>
        <v/>
      </c>
      <c r="AB247" s="180" t="str">
        <f ca="1"/>
        <v/>
      </c>
      <c r="AC247" s="180" t="str">
        <f ca="1"/>
        <v/>
      </c>
      <c r="AD247" s="180" t="str">
        <f ca="1"/>
        <v/>
      </c>
      <c r="AE247" s="180" t="str">
        <f ca="1"/>
        <v/>
      </c>
      <c r="AF247" s="180" t="str">
        <f ca="1"/>
        <v/>
      </c>
      <c r="AG247" s="180" t="str">
        <f ca="1"/>
        <v/>
      </c>
      <c r="AH247" s="180" t="str">
        <f ca="1"/>
        <v/>
      </c>
      <c r="AI247" s="180" t="str">
        <f ca="1"/>
        <v/>
      </c>
      <c r="AJ247" s="180" t="str">
        <f ca="1"/>
        <v/>
      </c>
      <c r="AK247" s="180" t="str">
        <f ca="1"/>
        <v/>
      </c>
      <c r="AL247" s="180" t="str">
        <f ca="1"/>
        <v/>
      </c>
      <c r="AM247" s="180" t="str">
        <f ca="1"/>
        <v/>
      </c>
      <c r="AN247" s="180" t="str">
        <f ca="1"/>
        <v/>
      </c>
      <c r="AO247" s="180" t="str">
        <f ca="1"/>
        <v/>
      </c>
      <c r="AP247" s="180" t="str">
        <f ca="1"/>
        <v/>
      </c>
      <c r="AQ247" s="187" t="str">
        <f ca="1"/>
        <v/>
      </c>
    </row>
    <row r="248" spans="2:43" x14ac:dyDescent="0.25">
      <c r="B248" s="179" t="str">
        <f ca="1"/>
        <v/>
      </c>
      <c r="C248" s="180" t="str">
        <f ca="1"/>
        <v/>
      </c>
      <c r="D248" s="180" t="str">
        <f ca="1"/>
        <v/>
      </c>
      <c r="E248" s="180" t="str">
        <f ca="1"/>
        <v/>
      </c>
      <c r="F248" s="180" t="str">
        <f ca="1"/>
        <v/>
      </c>
      <c r="G248" s="180" t="str">
        <f ca="1"/>
        <v/>
      </c>
      <c r="H248" s="180" t="str">
        <f ca="1"/>
        <v/>
      </c>
      <c r="I248" s="180" t="str">
        <f ca="1"/>
        <v/>
      </c>
      <c r="J248" s="180" t="str">
        <f ca="1"/>
        <v/>
      </c>
      <c r="K248" s="180" t="str">
        <f ca="1"/>
        <v/>
      </c>
      <c r="L248" s="180" t="str">
        <f ca="1"/>
        <v/>
      </c>
      <c r="M248" s="180" t="str">
        <f ca="1"/>
        <v/>
      </c>
      <c r="N248" s="180" t="str">
        <f ca="1"/>
        <v/>
      </c>
      <c r="O248" s="180" t="str">
        <f ca="1"/>
        <v/>
      </c>
      <c r="P248" s="180" t="str">
        <f ca="1"/>
        <v/>
      </c>
      <c r="Q248" s="180" t="str">
        <f ca="1"/>
        <v/>
      </c>
      <c r="R248" s="180" t="str">
        <f ca="1"/>
        <v/>
      </c>
      <c r="S248" s="180" t="str">
        <f ca="1"/>
        <v/>
      </c>
      <c r="T248" s="180" t="str">
        <f ca="1"/>
        <v/>
      </c>
      <c r="U248" s="180" t="str">
        <f ca="1"/>
        <v/>
      </c>
      <c r="V248" s="180" t="str">
        <f ca="1"/>
        <v/>
      </c>
      <c r="W248" s="180" t="str">
        <f ca="1"/>
        <v/>
      </c>
      <c r="X248" s="180" t="str">
        <f ca="1"/>
        <v/>
      </c>
      <c r="Y248" s="180" t="str">
        <f ca="1"/>
        <v/>
      </c>
      <c r="Z248" s="180" t="str">
        <f ca="1"/>
        <v/>
      </c>
      <c r="AA248" s="180" t="str">
        <f ca="1"/>
        <v/>
      </c>
      <c r="AB248" s="180" t="str">
        <f ca="1"/>
        <v/>
      </c>
      <c r="AC248" s="180" t="str">
        <f ca="1"/>
        <v/>
      </c>
      <c r="AD248" s="180" t="str">
        <f ca="1"/>
        <v/>
      </c>
      <c r="AE248" s="180" t="str">
        <f ca="1"/>
        <v/>
      </c>
      <c r="AF248" s="180" t="str">
        <f ca="1"/>
        <v/>
      </c>
      <c r="AG248" s="180" t="str">
        <f ca="1"/>
        <v/>
      </c>
      <c r="AH248" s="180" t="str">
        <f ca="1"/>
        <v/>
      </c>
      <c r="AI248" s="180" t="str">
        <f ca="1"/>
        <v/>
      </c>
      <c r="AJ248" s="180" t="str">
        <f ca="1"/>
        <v/>
      </c>
      <c r="AK248" s="180" t="str">
        <f ca="1"/>
        <v/>
      </c>
      <c r="AL248" s="180" t="str">
        <f ca="1"/>
        <v/>
      </c>
      <c r="AM248" s="180" t="str">
        <f ca="1"/>
        <v/>
      </c>
      <c r="AN248" s="180" t="str">
        <f ca="1"/>
        <v/>
      </c>
      <c r="AO248" s="180" t="str">
        <f ca="1"/>
        <v/>
      </c>
      <c r="AP248" s="180" t="str">
        <f ca="1"/>
        <v/>
      </c>
      <c r="AQ248" s="187" t="str">
        <f ca="1"/>
        <v/>
      </c>
    </row>
    <row r="249" spans="2:43" x14ac:dyDescent="0.25">
      <c r="B249" s="179" t="str">
        <f ca="1"/>
        <v/>
      </c>
      <c r="C249" s="180" t="str">
        <f ca="1"/>
        <v/>
      </c>
      <c r="D249" s="180" t="str">
        <f ca="1"/>
        <v/>
      </c>
      <c r="E249" s="180" t="str">
        <f ca="1"/>
        <v/>
      </c>
      <c r="F249" s="180" t="str">
        <f ca="1"/>
        <v/>
      </c>
      <c r="G249" s="180" t="str">
        <f ca="1"/>
        <v/>
      </c>
      <c r="H249" s="180" t="str">
        <f ca="1"/>
        <v/>
      </c>
      <c r="I249" s="180" t="str">
        <f ca="1"/>
        <v/>
      </c>
      <c r="J249" s="180" t="str">
        <f ca="1"/>
        <v/>
      </c>
      <c r="K249" s="180" t="str">
        <f ca="1"/>
        <v/>
      </c>
      <c r="L249" s="180" t="str">
        <f ca="1"/>
        <v/>
      </c>
      <c r="M249" s="180" t="str">
        <f ca="1"/>
        <v/>
      </c>
      <c r="N249" s="180" t="str">
        <f ca="1"/>
        <v/>
      </c>
      <c r="O249" s="180" t="str">
        <f ca="1"/>
        <v/>
      </c>
      <c r="P249" s="180" t="str">
        <f ca="1"/>
        <v/>
      </c>
      <c r="Q249" s="180" t="str">
        <f ca="1"/>
        <v/>
      </c>
      <c r="R249" s="180" t="str">
        <f ca="1"/>
        <v/>
      </c>
      <c r="S249" s="180" t="str">
        <f ca="1"/>
        <v/>
      </c>
      <c r="T249" s="180" t="str">
        <f ca="1"/>
        <v/>
      </c>
      <c r="U249" s="180" t="str">
        <f ca="1"/>
        <v/>
      </c>
      <c r="V249" s="180" t="str">
        <f ca="1"/>
        <v/>
      </c>
      <c r="W249" s="180" t="str">
        <f ca="1"/>
        <v/>
      </c>
      <c r="X249" s="180" t="str">
        <f ca="1"/>
        <v/>
      </c>
      <c r="Y249" s="180" t="str">
        <f ca="1"/>
        <v/>
      </c>
      <c r="Z249" s="180" t="str">
        <f ca="1"/>
        <v/>
      </c>
      <c r="AA249" s="180" t="str">
        <f ca="1"/>
        <v/>
      </c>
      <c r="AB249" s="180" t="str">
        <f ca="1"/>
        <v/>
      </c>
      <c r="AC249" s="180" t="str">
        <f ca="1"/>
        <v/>
      </c>
      <c r="AD249" s="180" t="str">
        <f ca="1"/>
        <v/>
      </c>
      <c r="AE249" s="180" t="str">
        <f ca="1"/>
        <v/>
      </c>
      <c r="AF249" s="180" t="str">
        <f ca="1"/>
        <v/>
      </c>
      <c r="AG249" s="180" t="str">
        <f ca="1"/>
        <v/>
      </c>
      <c r="AH249" s="180" t="str">
        <f ca="1"/>
        <v/>
      </c>
      <c r="AI249" s="180" t="str">
        <f ca="1"/>
        <v/>
      </c>
      <c r="AJ249" s="180" t="str">
        <f ca="1"/>
        <v/>
      </c>
      <c r="AK249" s="180" t="str">
        <f ca="1"/>
        <v/>
      </c>
      <c r="AL249" s="180" t="str">
        <f ca="1"/>
        <v/>
      </c>
      <c r="AM249" s="180" t="str">
        <f ca="1"/>
        <v/>
      </c>
      <c r="AN249" s="180" t="str">
        <f ca="1"/>
        <v/>
      </c>
      <c r="AO249" s="180" t="str">
        <f ca="1"/>
        <v/>
      </c>
      <c r="AP249" s="180" t="str">
        <f ca="1"/>
        <v/>
      </c>
      <c r="AQ249" s="187" t="str">
        <f ca="1"/>
        <v/>
      </c>
    </row>
    <row r="250" spans="2:43" x14ac:dyDescent="0.25">
      <c r="B250" s="179" t="str">
        <f ca="1"/>
        <v/>
      </c>
      <c r="C250" s="180" t="str">
        <f ca="1"/>
        <v/>
      </c>
      <c r="D250" s="180" t="str">
        <f ca="1"/>
        <v/>
      </c>
      <c r="E250" s="180" t="str">
        <f ca="1"/>
        <v/>
      </c>
      <c r="F250" s="180" t="str">
        <f ca="1"/>
        <v/>
      </c>
      <c r="G250" s="180" t="str">
        <f ca="1"/>
        <v/>
      </c>
      <c r="H250" s="180" t="str">
        <f ca="1"/>
        <v/>
      </c>
      <c r="I250" s="180" t="str">
        <f ca="1"/>
        <v/>
      </c>
      <c r="J250" s="180" t="str">
        <f ca="1"/>
        <v/>
      </c>
      <c r="K250" s="180" t="str">
        <f ca="1"/>
        <v/>
      </c>
      <c r="L250" s="180" t="str">
        <f ca="1"/>
        <v/>
      </c>
      <c r="M250" s="180" t="str">
        <f ca="1"/>
        <v/>
      </c>
      <c r="N250" s="180" t="str">
        <f ca="1"/>
        <v/>
      </c>
      <c r="O250" s="180" t="str">
        <f ca="1"/>
        <v/>
      </c>
      <c r="P250" s="180" t="str">
        <f ca="1"/>
        <v/>
      </c>
      <c r="Q250" s="180" t="str">
        <f ca="1"/>
        <v/>
      </c>
      <c r="R250" s="180" t="str">
        <f ca="1"/>
        <v/>
      </c>
      <c r="S250" s="180" t="str">
        <f ca="1"/>
        <v/>
      </c>
      <c r="T250" s="180" t="str">
        <f ca="1"/>
        <v/>
      </c>
      <c r="U250" s="180" t="str">
        <f ca="1"/>
        <v/>
      </c>
      <c r="V250" s="180" t="str">
        <f ca="1"/>
        <v/>
      </c>
      <c r="W250" s="180" t="str">
        <f ca="1"/>
        <v/>
      </c>
      <c r="X250" s="180" t="str">
        <f ca="1"/>
        <v/>
      </c>
      <c r="Y250" s="180" t="str">
        <f ca="1"/>
        <v/>
      </c>
      <c r="Z250" s="180" t="str">
        <f ca="1"/>
        <v/>
      </c>
      <c r="AA250" s="180" t="str">
        <f ca="1"/>
        <v/>
      </c>
      <c r="AB250" s="180" t="str">
        <f ca="1"/>
        <v/>
      </c>
      <c r="AC250" s="180" t="str">
        <f ca="1"/>
        <v/>
      </c>
      <c r="AD250" s="180" t="str">
        <f ca="1"/>
        <v/>
      </c>
      <c r="AE250" s="180" t="str">
        <f ca="1"/>
        <v/>
      </c>
      <c r="AF250" s="180" t="str">
        <f ca="1"/>
        <v/>
      </c>
      <c r="AG250" s="180" t="str">
        <f ca="1"/>
        <v/>
      </c>
      <c r="AH250" s="180" t="str">
        <f ca="1"/>
        <v/>
      </c>
      <c r="AI250" s="180" t="str">
        <f ca="1"/>
        <v/>
      </c>
      <c r="AJ250" s="180" t="str">
        <f ca="1"/>
        <v/>
      </c>
      <c r="AK250" s="180" t="str">
        <f ca="1"/>
        <v/>
      </c>
      <c r="AL250" s="180" t="str">
        <f ca="1"/>
        <v/>
      </c>
      <c r="AM250" s="180" t="str">
        <f ca="1"/>
        <v/>
      </c>
      <c r="AN250" s="180" t="str">
        <f ca="1"/>
        <v/>
      </c>
      <c r="AO250" s="180" t="str">
        <f ca="1"/>
        <v/>
      </c>
      <c r="AP250" s="180" t="str">
        <f ca="1"/>
        <v/>
      </c>
      <c r="AQ250" s="187" t="str">
        <f ca="1"/>
        <v/>
      </c>
    </row>
    <row r="251" spans="2:43" x14ac:dyDescent="0.25">
      <c r="B251" s="179" t="str">
        <f ca="1"/>
        <v/>
      </c>
      <c r="C251" s="180" t="str">
        <f ca="1"/>
        <v/>
      </c>
      <c r="D251" s="180" t="str">
        <f ca="1"/>
        <v/>
      </c>
      <c r="E251" s="180" t="str">
        <f ca="1"/>
        <v/>
      </c>
      <c r="F251" s="180" t="str">
        <f ca="1"/>
        <v/>
      </c>
      <c r="G251" s="180" t="str">
        <f ca="1"/>
        <v/>
      </c>
      <c r="H251" s="180" t="str">
        <f ca="1"/>
        <v/>
      </c>
      <c r="I251" s="180" t="str">
        <f ca="1"/>
        <v/>
      </c>
      <c r="J251" s="180" t="str">
        <f ca="1"/>
        <v/>
      </c>
      <c r="K251" s="180" t="str">
        <f ca="1"/>
        <v/>
      </c>
      <c r="L251" s="180" t="str">
        <f ca="1"/>
        <v/>
      </c>
      <c r="M251" s="180" t="str">
        <f ca="1"/>
        <v/>
      </c>
      <c r="N251" s="180" t="str">
        <f ca="1"/>
        <v/>
      </c>
      <c r="O251" s="180" t="str">
        <f ca="1"/>
        <v/>
      </c>
      <c r="P251" s="180" t="str">
        <f ca="1"/>
        <v/>
      </c>
      <c r="Q251" s="180" t="str">
        <f ca="1"/>
        <v/>
      </c>
      <c r="R251" s="180" t="str">
        <f ca="1"/>
        <v/>
      </c>
      <c r="S251" s="180" t="str">
        <f ca="1"/>
        <v/>
      </c>
      <c r="T251" s="180" t="str">
        <f ca="1"/>
        <v/>
      </c>
      <c r="U251" s="180" t="str">
        <f ca="1"/>
        <v/>
      </c>
      <c r="V251" s="180" t="str">
        <f ca="1"/>
        <v/>
      </c>
      <c r="W251" s="180" t="str">
        <f ca="1"/>
        <v/>
      </c>
      <c r="X251" s="180" t="str">
        <f ca="1"/>
        <v/>
      </c>
      <c r="Y251" s="180" t="str">
        <f ca="1"/>
        <v/>
      </c>
      <c r="Z251" s="180" t="str">
        <f ca="1"/>
        <v/>
      </c>
      <c r="AA251" s="180" t="str">
        <f ca="1"/>
        <v/>
      </c>
      <c r="AB251" s="180" t="str">
        <f ca="1"/>
        <v/>
      </c>
      <c r="AC251" s="180" t="str">
        <f ca="1"/>
        <v/>
      </c>
      <c r="AD251" s="180" t="str">
        <f ca="1"/>
        <v/>
      </c>
      <c r="AE251" s="180" t="str">
        <f ca="1"/>
        <v/>
      </c>
      <c r="AF251" s="180" t="str">
        <f ca="1"/>
        <v/>
      </c>
      <c r="AG251" s="180" t="str">
        <f ca="1"/>
        <v/>
      </c>
      <c r="AH251" s="180" t="str">
        <f ca="1"/>
        <v/>
      </c>
      <c r="AI251" s="180" t="str">
        <f ca="1"/>
        <v/>
      </c>
      <c r="AJ251" s="180" t="str">
        <f ca="1"/>
        <v/>
      </c>
      <c r="AK251" s="180" t="str">
        <f ca="1"/>
        <v/>
      </c>
      <c r="AL251" s="180" t="str">
        <f ca="1"/>
        <v/>
      </c>
      <c r="AM251" s="180" t="str">
        <f ca="1"/>
        <v/>
      </c>
      <c r="AN251" s="180" t="str">
        <f ca="1"/>
        <v/>
      </c>
      <c r="AO251" s="180" t="str">
        <f ca="1"/>
        <v/>
      </c>
      <c r="AP251" s="180" t="str">
        <f ca="1"/>
        <v/>
      </c>
      <c r="AQ251" s="187" t="str">
        <f ca="1"/>
        <v/>
      </c>
    </row>
    <row r="252" spans="2:43" x14ac:dyDescent="0.25">
      <c r="B252" s="179" t="str">
        <f ca="1"/>
        <v/>
      </c>
      <c r="C252" s="180" t="str">
        <f ca="1"/>
        <v/>
      </c>
      <c r="D252" s="180" t="str">
        <f ca="1"/>
        <v/>
      </c>
      <c r="E252" s="180" t="str">
        <f ca="1"/>
        <v/>
      </c>
      <c r="F252" s="180" t="str">
        <f ca="1"/>
        <v/>
      </c>
      <c r="G252" s="180" t="str">
        <f ca="1"/>
        <v/>
      </c>
      <c r="H252" s="180" t="str">
        <f ca="1"/>
        <v/>
      </c>
      <c r="I252" s="180" t="str">
        <f ca="1"/>
        <v/>
      </c>
      <c r="J252" s="180" t="str">
        <f ca="1"/>
        <v/>
      </c>
      <c r="K252" s="180" t="str">
        <f ca="1"/>
        <v/>
      </c>
      <c r="L252" s="180" t="str">
        <f ca="1"/>
        <v/>
      </c>
      <c r="M252" s="180" t="str">
        <f ca="1"/>
        <v/>
      </c>
      <c r="N252" s="180" t="str">
        <f ca="1"/>
        <v/>
      </c>
      <c r="O252" s="180" t="str">
        <f ca="1"/>
        <v/>
      </c>
      <c r="P252" s="180" t="str">
        <f ca="1"/>
        <v/>
      </c>
      <c r="Q252" s="180" t="str">
        <f ca="1"/>
        <v/>
      </c>
      <c r="R252" s="180" t="str">
        <f ca="1"/>
        <v/>
      </c>
      <c r="S252" s="180" t="str">
        <f ca="1"/>
        <v/>
      </c>
      <c r="T252" s="180" t="str">
        <f ca="1"/>
        <v/>
      </c>
      <c r="U252" s="180" t="str">
        <f ca="1"/>
        <v/>
      </c>
      <c r="V252" s="180" t="str">
        <f ca="1"/>
        <v/>
      </c>
      <c r="W252" s="180" t="str">
        <f ca="1"/>
        <v/>
      </c>
      <c r="X252" s="180" t="str">
        <f ca="1"/>
        <v/>
      </c>
      <c r="Y252" s="180" t="str">
        <f ca="1"/>
        <v/>
      </c>
      <c r="Z252" s="180" t="str">
        <f ca="1"/>
        <v/>
      </c>
      <c r="AA252" s="180" t="str">
        <f ca="1"/>
        <v/>
      </c>
      <c r="AB252" s="180" t="str">
        <f ca="1"/>
        <v/>
      </c>
      <c r="AC252" s="180" t="str">
        <f ca="1"/>
        <v/>
      </c>
      <c r="AD252" s="180" t="str">
        <f ca="1"/>
        <v/>
      </c>
      <c r="AE252" s="180" t="str">
        <f ca="1"/>
        <v/>
      </c>
      <c r="AF252" s="180" t="str">
        <f ca="1"/>
        <v/>
      </c>
      <c r="AG252" s="180" t="str">
        <f ca="1"/>
        <v/>
      </c>
      <c r="AH252" s="180" t="str">
        <f ca="1"/>
        <v/>
      </c>
      <c r="AI252" s="180" t="str">
        <f ca="1"/>
        <v/>
      </c>
      <c r="AJ252" s="180" t="str">
        <f ca="1"/>
        <v/>
      </c>
      <c r="AK252" s="180" t="str">
        <f ca="1"/>
        <v/>
      </c>
      <c r="AL252" s="180" t="str">
        <f ca="1"/>
        <v/>
      </c>
      <c r="AM252" s="180" t="str">
        <f ca="1"/>
        <v/>
      </c>
      <c r="AN252" s="180" t="str">
        <f ca="1"/>
        <v/>
      </c>
      <c r="AO252" s="180" t="str">
        <f ca="1"/>
        <v/>
      </c>
      <c r="AP252" s="180" t="str">
        <f ca="1"/>
        <v/>
      </c>
      <c r="AQ252" s="187" t="str">
        <f ca="1"/>
        <v/>
      </c>
    </row>
    <row r="253" spans="2:43" x14ac:dyDescent="0.25">
      <c r="B253" s="179" t="str">
        <f ca="1"/>
        <v/>
      </c>
      <c r="C253" s="180" t="str">
        <f ca="1"/>
        <v/>
      </c>
      <c r="D253" s="180" t="str">
        <f ca="1"/>
        <v/>
      </c>
      <c r="E253" s="180" t="str">
        <f ca="1"/>
        <v/>
      </c>
      <c r="F253" s="180" t="str">
        <f ca="1"/>
        <v/>
      </c>
      <c r="G253" s="180" t="str">
        <f ca="1"/>
        <v/>
      </c>
      <c r="H253" s="180" t="str">
        <f ca="1"/>
        <v/>
      </c>
      <c r="I253" s="180" t="str">
        <f ca="1"/>
        <v/>
      </c>
      <c r="J253" s="180" t="str">
        <f ca="1"/>
        <v/>
      </c>
      <c r="K253" s="180" t="str">
        <f ca="1"/>
        <v/>
      </c>
      <c r="L253" s="180" t="str">
        <f ca="1"/>
        <v/>
      </c>
      <c r="M253" s="180" t="str">
        <f ca="1"/>
        <v/>
      </c>
      <c r="N253" s="180" t="str">
        <f ca="1"/>
        <v/>
      </c>
      <c r="O253" s="180" t="str">
        <f ca="1"/>
        <v/>
      </c>
      <c r="P253" s="180" t="str">
        <f ca="1"/>
        <v/>
      </c>
      <c r="Q253" s="180" t="str">
        <f ca="1"/>
        <v/>
      </c>
      <c r="R253" s="180" t="str">
        <f ca="1"/>
        <v/>
      </c>
      <c r="S253" s="180" t="str">
        <f ca="1"/>
        <v/>
      </c>
      <c r="T253" s="180" t="str">
        <f ca="1"/>
        <v/>
      </c>
      <c r="U253" s="180" t="str">
        <f ca="1"/>
        <v/>
      </c>
      <c r="V253" s="180" t="str">
        <f ca="1"/>
        <v/>
      </c>
      <c r="W253" s="180" t="str">
        <f ca="1"/>
        <v/>
      </c>
      <c r="X253" s="180" t="str">
        <f ca="1"/>
        <v/>
      </c>
      <c r="Y253" s="180" t="str">
        <f ca="1"/>
        <v/>
      </c>
      <c r="Z253" s="180" t="str">
        <f ca="1"/>
        <v/>
      </c>
      <c r="AA253" s="180" t="str">
        <f ca="1"/>
        <v/>
      </c>
      <c r="AB253" s="180" t="str">
        <f ca="1"/>
        <v/>
      </c>
      <c r="AC253" s="180" t="str">
        <f ca="1"/>
        <v/>
      </c>
      <c r="AD253" s="180" t="str">
        <f ca="1"/>
        <v/>
      </c>
      <c r="AE253" s="180" t="str">
        <f ca="1"/>
        <v/>
      </c>
      <c r="AF253" s="180" t="str">
        <f ca="1"/>
        <v/>
      </c>
      <c r="AG253" s="180" t="str">
        <f ca="1"/>
        <v/>
      </c>
      <c r="AH253" s="180" t="str">
        <f ca="1"/>
        <v/>
      </c>
      <c r="AI253" s="180" t="str">
        <f ca="1"/>
        <v/>
      </c>
      <c r="AJ253" s="180" t="str">
        <f ca="1"/>
        <v/>
      </c>
      <c r="AK253" s="180" t="str">
        <f ca="1"/>
        <v/>
      </c>
      <c r="AL253" s="180" t="str">
        <f ca="1"/>
        <v/>
      </c>
      <c r="AM253" s="180" t="str">
        <f ca="1"/>
        <v/>
      </c>
      <c r="AN253" s="180" t="str">
        <f ca="1"/>
        <v/>
      </c>
      <c r="AO253" s="180" t="str">
        <f ca="1"/>
        <v/>
      </c>
      <c r="AP253" s="180" t="str">
        <f ca="1"/>
        <v/>
      </c>
      <c r="AQ253" s="187" t="str">
        <f ca="1"/>
        <v/>
      </c>
    </row>
    <row r="254" spans="2:43" x14ac:dyDescent="0.25">
      <c r="B254" s="179" t="str">
        <f ca="1"/>
        <v/>
      </c>
      <c r="C254" s="180" t="str">
        <f ca="1"/>
        <v/>
      </c>
      <c r="D254" s="180" t="str">
        <f ca="1"/>
        <v/>
      </c>
      <c r="E254" s="180" t="str">
        <f ca="1"/>
        <v/>
      </c>
      <c r="F254" s="180" t="str">
        <f ca="1"/>
        <v/>
      </c>
      <c r="G254" s="180" t="str">
        <f ca="1"/>
        <v/>
      </c>
      <c r="H254" s="180" t="str">
        <f ca="1"/>
        <v/>
      </c>
      <c r="I254" s="180" t="str">
        <f ca="1"/>
        <v/>
      </c>
      <c r="J254" s="180" t="str">
        <f ca="1"/>
        <v/>
      </c>
      <c r="K254" s="180" t="str">
        <f ca="1"/>
        <v/>
      </c>
      <c r="L254" s="180" t="str">
        <f ca="1"/>
        <v/>
      </c>
      <c r="M254" s="180" t="str">
        <f ca="1"/>
        <v/>
      </c>
      <c r="N254" s="180" t="str">
        <f ca="1"/>
        <v/>
      </c>
      <c r="O254" s="180" t="str">
        <f ca="1"/>
        <v/>
      </c>
      <c r="P254" s="180" t="str">
        <f ca="1"/>
        <v/>
      </c>
      <c r="Q254" s="180" t="str">
        <f ca="1"/>
        <v/>
      </c>
      <c r="R254" s="180" t="str">
        <f ca="1"/>
        <v/>
      </c>
      <c r="S254" s="180" t="str">
        <f ca="1"/>
        <v/>
      </c>
      <c r="T254" s="180" t="str">
        <f ca="1"/>
        <v/>
      </c>
      <c r="U254" s="180" t="str">
        <f ca="1"/>
        <v/>
      </c>
      <c r="V254" s="180" t="str">
        <f ca="1"/>
        <v/>
      </c>
      <c r="W254" s="180" t="str">
        <f ca="1"/>
        <v/>
      </c>
      <c r="X254" s="180" t="str">
        <f ca="1"/>
        <v/>
      </c>
      <c r="Y254" s="180" t="str">
        <f ca="1"/>
        <v/>
      </c>
      <c r="Z254" s="180" t="str">
        <f ca="1"/>
        <v/>
      </c>
      <c r="AA254" s="180" t="str">
        <f ca="1"/>
        <v/>
      </c>
      <c r="AB254" s="180" t="str">
        <f ca="1"/>
        <v/>
      </c>
      <c r="AC254" s="180" t="str">
        <f ca="1"/>
        <v/>
      </c>
      <c r="AD254" s="180" t="str">
        <f ca="1"/>
        <v/>
      </c>
      <c r="AE254" s="180" t="str">
        <f ca="1"/>
        <v/>
      </c>
      <c r="AF254" s="180" t="str">
        <f ca="1"/>
        <v/>
      </c>
      <c r="AG254" s="180" t="str">
        <f ca="1"/>
        <v/>
      </c>
      <c r="AH254" s="180" t="str">
        <f ca="1"/>
        <v/>
      </c>
      <c r="AI254" s="180" t="str">
        <f ca="1"/>
        <v/>
      </c>
      <c r="AJ254" s="180" t="str">
        <f ca="1"/>
        <v/>
      </c>
      <c r="AK254" s="180" t="str">
        <f ca="1"/>
        <v/>
      </c>
      <c r="AL254" s="180" t="str">
        <f ca="1"/>
        <v/>
      </c>
      <c r="AM254" s="180" t="str">
        <f ca="1"/>
        <v/>
      </c>
      <c r="AN254" s="180" t="str">
        <f ca="1"/>
        <v/>
      </c>
      <c r="AO254" s="180" t="str">
        <f ca="1"/>
        <v/>
      </c>
      <c r="AP254" s="180" t="str">
        <f ca="1"/>
        <v/>
      </c>
      <c r="AQ254" s="187" t="str">
        <f ca="1"/>
        <v/>
      </c>
    </row>
    <row r="255" spans="2:43" x14ac:dyDescent="0.25">
      <c r="B255" s="179" t="str">
        <f ca="1"/>
        <v/>
      </c>
      <c r="C255" s="180" t="str">
        <f ca="1"/>
        <v/>
      </c>
      <c r="D255" s="180" t="str">
        <f ca="1"/>
        <v/>
      </c>
      <c r="E255" s="180" t="str">
        <f ca="1"/>
        <v/>
      </c>
      <c r="F255" s="180" t="str">
        <f ca="1"/>
        <v/>
      </c>
      <c r="G255" s="180" t="str">
        <f ca="1"/>
        <v/>
      </c>
      <c r="H255" s="180" t="str">
        <f ca="1"/>
        <v/>
      </c>
      <c r="I255" s="180" t="str">
        <f ca="1"/>
        <v/>
      </c>
      <c r="J255" s="180" t="str">
        <f ca="1"/>
        <v/>
      </c>
      <c r="K255" s="180" t="str">
        <f ca="1"/>
        <v/>
      </c>
      <c r="L255" s="180" t="str">
        <f ca="1"/>
        <v/>
      </c>
      <c r="M255" s="180" t="str">
        <f ca="1"/>
        <v/>
      </c>
      <c r="N255" s="180" t="str">
        <f ca="1"/>
        <v/>
      </c>
      <c r="O255" s="180" t="str">
        <f ca="1"/>
        <v/>
      </c>
      <c r="P255" s="180" t="str">
        <f ca="1"/>
        <v/>
      </c>
      <c r="Q255" s="180" t="str">
        <f ca="1"/>
        <v/>
      </c>
      <c r="R255" s="180" t="str">
        <f ca="1"/>
        <v/>
      </c>
      <c r="S255" s="180" t="str">
        <f ca="1"/>
        <v/>
      </c>
      <c r="T255" s="180" t="str">
        <f ca="1"/>
        <v/>
      </c>
      <c r="U255" s="180" t="str">
        <f ca="1"/>
        <v/>
      </c>
      <c r="V255" s="180" t="str">
        <f ca="1"/>
        <v/>
      </c>
      <c r="W255" s="180" t="str">
        <f ca="1"/>
        <v/>
      </c>
      <c r="X255" s="180" t="str">
        <f ca="1"/>
        <v/>
      </c>
      <c r="Y255" s="180" t="str">
        <f ca="1"/>
        <v/>
      </c>
      <c r="Z255" s="180" t="str">
        <f ca="1"/>
        <v/>
      </c>
      <c r="AA255" s="180" t="str">
        <f ca="1"/>
        <v/>
      </c>
      <c r="AB255" s="180" t="str">
        <f ca="1"/>
        <v/>
      </c>
      <c r="AC255" s="180" t="str">
        <f ca="1"/>
        <v/>
      </c>
      <c r="AD255" s="180" t="str">
        <f ca="1"/>
        <v/>
      </c>
      <c r="AE255" s="180" t="str">
        <f ca="1"/>
        <v/>
      </c>
      <c r="AF255" s="180" t="str">
        <f ca="1"/>
        <v/>
      </c>
      <c r="AG255" s="180" t="str">
        <f ca="1"/>
        <v/>
      </c>
      <c r="AH255" s="180" t="str">
        <f ca="1"/>
        <v/>
      </c>
      <c r="AI255" s="180" t="str">
        <f ca="1"/>
        <v/>
      </c>
      <c r="AJ255" s="180" t="str">
        <f ca="1"/>
        <v/>
      </c>
      <c r="AK255" s="180" t="str">
        <f ca="1"/>
        <v/>
      </c>
      <c r="AL255" s="180" t="str">
        <f ca="1"/>
        <v/>
      </c>
      <c r="AM255" s="180" t="str">
        <f ca="1"/>
        <v/>
      </c>
      <c r="AN255" s="180" t="str">
        <f ca="1"/>
        <v/>
      </c>
      <c r="AO255" s="180" t="str">
        <f ca="1"/>
        <v/>
      </c>
      <c r="AP255" s="180" t="str">
        <f ca="1"/>
        <v/>
      </c>
      <c r="AQ255" s="187" t="str">
        <f ca="1"/>
        <v/>
      </c>
    </row>
    <row r="256" spans="2:43" x14ac:dyDescent="0.25">
      <c r="B256" s="179" t="str">
        <f ca="1"/>
        <v/>
      </c>
      <c r="C256" s="180" t="str">
        <f ca="1"/>
        <v/>
      </c>
      <c r="D256" s="180" t="str">
        <f ca="1"/>
        <v/>
      </c>
      <c r="E256" s="180" t="str">
        <f ca="1"/>
        <v/>
      </c>
      <c r="F256" s="180" t="str">
        <f ca="1"/>
        <v/>
      </c>
      <c r="G256" s="180" t="str">
        <f ca="1"/>
        <v/>
      </c>
      <c r="H256" s="180" t="str">
        <f ca="1"/>
        <v/>
      </c>
      <c r="I256" s="180" t="str">
        <f ca="1"/>
        <v/>
      </c>
      <c r="J256" s="180" t="str">
        <f ca="1"/>
        <v/>
      </c>
      <c r="K256" s="180" t="str">
        <f ca="1"/>
        <v/>
      </c>
      <c r="L256" s="180" t="str">
        <f ca="1"/>
        <v/>
      </c>
      <c r="M256" s="180" t="str">
        <f ca="1"/>
        <v/>
      </c>
      <c r="N256" s="180" t="str">
        <f ca="1"/>
        <v/>
      </c>
      <c r="O256" s="180" t="str">
        <f ca="1"/>
        <v/>
      </c>
      <c r="P256" s="180" t="str">
        <f ca="1"/>
        <v/>
      </c>
      <c r="Q256" s="180" t="str">
        <f ca="1"/>
        <v/>
      </c>
      <c r="R256" s="180" t="str">
        <f ca="1"/>
        <v/>
      </c>
      <c r="S256" s="180" t="str">
        <f ca="1"/>
        <v/>
      </c>
      <c r="T256" s="180" t="str">
        <f ca="1"/>
        <v/>
      </c>
      <c r="U256" s="180" t="str">
        <f ca="1"/>
        <v/>
      </c>
      <c r="V256" s="180" t="str">
        <f ca="1"/>
        <v/>
      </c>
      <c r="W256" s="180" t="str">
        <f ca="1"/>
        <v/>
      </c>
      <c r="X256" s="180" t="str">
        <f ca="1"/>
        <v/>
      </c>
      <c r="Y256" s="180" t="str">
        <f ca="1"/>
        <v/>
      </c>
      <c r="Z256" s="180" t="str">
        <f ca="1"/>
        <v/>
      </c>
      <c r="AA256" s="180" t="str">
        <f ca="1"/>
        <v/>
      </c>
      <c r="AB256" s="180" t="str">
        <f ca="1"/>
        <v/>
      </c>
      <c r="AC256" s="180" t="str">
        <f ca="1"/>
        <v/>
      </c>
      <c r="AD256" s="180" t="str">
        <f ca="1"/>
        <v/>
      </c>
      <c r="AE256" s="180" t="str">
        <f ca="1"/>
        <v/>
      </c>
      <c r="AF256" s="180" t="str">
        <f ca="1"/>
        <v/>
      </c>
      <c r="AG256" s="180" t="str">
        <f ca="1"/>
        <v/>
      </c>
      <c r="AH256" s="180" t="str">
        <f ca="1"/>
        <v/>
      </c>
      <c r="AI256" s="180" t="str">
        <f ca="1"/>
        <v/>
      </c>
      <c r="AJ256" s="180" t="str">
        <f ca="1"/>
        <v/>
      </c>
      <c r="AK256" s="180" t="str">
        <f ca="1"/>
        <v/>
      </c>
      <c r="AL256" s="180" t="str">
        <f ca="1"/>
        <v/>
      </c>
      <c r="AM256" s="180" t="str">
        <f ca="1"/>
        <v/>
      </c>
      <c r="AN256" s="180" t="str">
        <f ca="1"/>
        <v/>
      </c>
      <c r="AO256" s="180" t="str">
        <f ca="1"/>
        <v/>
      </c>
      <c r="AP256" s="180" t="str">
        <f ca="1"/>
        <v/>
      </c>
      <c r="AQ256" s="187" t="str">
        <f ca="1"/>
        <v/>
      </c>
    </row>
    <row r="257" spans="2:43" x14ac:dyDescent="0.25">
      <c r="B257" s="179" t="str">
        <f ca="1"/>
        <v/>
      </c>
      <c r="C257" s="180" t="str">
        <f ca="1"/>
        <v/>
      </c>
      <c r="D257" s="180" t="str">
        <f ca="1"/>
        <v/>
      </c>
      <c r="E257" s="180" t="str">
        <f ca="1"/>
        <v/>
      </c>
      <c r="F257" s="180" t="str">
        <f ca="1"/>
        <v/>
      </c>
      <c r="G257" s="180" t="str">
        <f ca="1"/>
        <v/>
      </c>
      <c r="H257" s="180" t="str">
        <f ca="1"/>
        <v/>
      </c>
      <c r="I257" s="180" t="str">
        <f ca="1"/>
        <v/>
      </c>
      <c r="J257" s="180" t="str">
        <f ca="1"/>
        <v/>
      </c>
      <c r="K257" s="180" t="str">
        <f ca="1"/>
        <v/>
      </c>
      <c r="L257" s="180" t="str">
        <f ca="1"/>
        <v/>
      </c>
      <c r="M257" s="180" t="str">
        <f ca="1"/>
        <v/>
      </c>
      <c r="N257" s="180" t="str">
        <f ca="1"/>
        <v/>
      </c>
      <c r="O257" s="180" t="str">
        <f ca="1"/>
        <v/>
      </c>
      <c r="P257" s="180" t="str">
        <f ca="1"/>
        <v/>
      </c>
      <c r="Q257" s="180" t="str">
        <f ca="1"/>
        <v/>
      </c>
      <c r="R257" s="180" t="str">
        <f ca="1"/>
        <v/>
      </c>
      <c r="S257" s="180" t="str">
        <f ca="1"/>
        <v/>
      </c>
      <c r="T257" s="180" t="str">
        <f ca="1"/>
        <v/>
      </c>
      <c r="U257" s="180" t="str">
        <f ca="1"/>
        <v/>
      </c>
      <c r="V257" s="180" t="str">
        <f ca="1"/>
        <v/>
      </c>
      <c r="W257" s="180" t="str">
        <f ca="1"/>
        <v/>
      </c>
      <c r="X257" s="180" t="str">
        <f ca="1"/>
        <v/>
      </c>
      <c r="Y257" s="180" t="str">
        <f ca="1"/>
        <v/>
      </c>
      <c r="Z257" s="180" t="str">
        <f ca="1"/>
        <v/>
      </c>
      <c r="AA257" s="180" t="str">
        <f ca="1"/>
        <v/>
      </c>
      <c r="AB257" s="180" t="str">
        <f ca="1"/>
        <v/>
      </c>
      <c r="AC257" s="180" t="str">
        <f ca="1"/>
        <v/>
      </c>
      <c r="AD257" s="180" t="str">
        <f ca="1"/>
        <v/>
      </c>
      <c r="AE257" s="180" t="str">
        <f ca="1"/>
        <v/>
      </c>
      <c r="AF257" s="180" t="str">
        <f ca="1"/>
        <v/>
      </c>
      <c r="AG257" s="180" t="str">
        <f ca="1"/>
        <v/>
      </c>
      <c r="AH257" s="180" t="str">
        <f ca="1"/>
        <v/>
      </c>
      <c r="AI257" s="180" t="str">
        <f ca="1"/>
        <v/>
      </c>
      <c r="AJ257" s="180" t="str">
        <f ca="1"/>
        <v/>
      </c>
      <c r="AK257" s="180" t="str">
        <f ca="1"/>
        <v/>
      </c>
      <c r="AL257" s="180" t="str">
        <f ca="1"/>
        <v/>
      </c>
      <c r="AM257" s="180" t="str">
        <f ca="1"/>
        <v/>
      </c>
      <c r="AN257" s="180" t="str">
        <f ca="1"/>
        <v/>
      </c>
      <c r="AO257" s="180" t="str">
        <f ca="1"/>
        <v/>
      </c>
      <c r="AP257" s="180" t="str">
        <f ca="1"/>
        <v/>
      </c>
      <c r="AQ257" s="187" t="str">
        <f ca="1"/>
        <v/>
      </c>
    </row>
    <row r="258" spans="2:43" x14ac:dyDescent="0.25">
      <c r="B258" s="179" t="str">
        <f ca="1"/>
        <v/>
      </c>
      <c r="C258" s="180" t="str">
        <f ca="1"/>
        <v/>
      </c>
      <c r="D258" s="180" t="str">
        <f ca="1"/>
        <v/>
      </c>
      <c r="E258" s="180" t="str">
        <f ca="1"/>
        <v/>
      </c>
      <c r="F258" s="180" t="str">
        <f ca="1"/>
        <v/>
      </c>
      <c r="G258" s="180" t="str">
        <f ca="1"/>
        <v/>
      </c>
      <c r="H258" s="180" t="str">
        <f ca="1"/>
        <v/>
      </c>
      <c r="I258" s="180" t="str">
        <f ca="1"/>
        <v/>
      </c>
      <c r="J258" s="180" t="str">
        <f ca="1"/>
        <v/>
      </c>
      <c r="K258" s="180" t="str">
        <f ca="1"/>
        <v/>
      </c>
      <c r="L258" s="180" t="str">
        <f ca="1"/>
        <v/>
      </c>
      <c r="M258" s="180" t="str">
        <f ca="1"/>
        <v/>
      </c>
      <c r="N258" s="180" t="str">
        <f ca="1"/>
        <v/>
      </c>
      <c r="O258" s="180" t="str">
        <f ca="1"/>
        <v/>
      </c>
      <c r="P258" s="180" t="str">
        <f ca="1"/>
        <v/>
      </c>
      <c r="Q258" s="180" t="str">
        <f ca="1"/>
        <v/>
      </c>
      <c r="R258" s="180" t="str">
        <f ca="1"/>
        <v/>
      </c>
      <c r="S258" s="180" t="str">
        <f ca="1"/>
        <v/>
      </c>
      <c r="T258" s="180" t="str">
        <f ca="1"/>
        <v/>
      </c>
      <c r="U258" s="180" t="str">
        <f ca="1"/>
        <v/>
      </c>
      <c r="V258" s="180" t="str">
        <f ca="1"/>
        <v/>
      </c>
      <c r="W258" s="180" t="str">
        <f ca="1"/>
        <v/>
      </c>
      <c r="X258" s="180" t="str">
        <f ca="1"/>
        <v/>
      </c>
      <c r="Y258" s="180" t="str">
        <f ca="1"/>
        <v/>
      </c>
      <c r="Z258" s="180" t="str">
        <f ca="1"/>
        <v/>
      </c>
      <c r="AA258" s="180" t="str">
        <f ca="1"/>
        <v/>
      </c>
      <c r="AB258" s="180" t="str">
        <f ca="1"/>
        <v/>
      </c>
      <c r="AC258" s="180" t="str">
        <f ca="1"/>
        <v/>
      </c>
      <c r="AD258" s="180" t="str">
        <f ca="1"/>
        <v/>
      </c>
      <c r="AE258" s="180" t="str">
        <f ca="1"/>
        <v/>
      </c>
      <c r="AF258" s="180" t="str">
        <f ca="1"/>
        <v/>
      </c>
      <c r="AG258" s="180" t="str">
        <f ca="1"/>
        <v/>
      </c>
      <c r="AH258" s="180" t="str">
        <f ca="1"/>
        <v/>
      </c>
      <c r="AI258" s="180" t="str">
        <f ca="1"/>
        <v/>
      </c>
      <c r="AJ258" s="180" t="str">
        <f ca="1"/>
        <v/>
      </c>
      <c r="AK258" s="180" t="str">
        <f ca="1"/>
        <v/>
      </c>
      <c r="AL258" s="180" t="str">
        <f ca="1"/>
        <v/>
      </c>
      <c r="AM258" s="180" t="str">
        <f ca="1"/>
        <v/>
      </c>
      <c r="AN258" s="180" t="str">
        <f ca="1"/>
        <v/>
      </c>
      <c r="AO258" s="180" t="str">
        <f ca="1"/>
        <v/>
      </c>
      <c r="AP258" s="180" t="str">
        <f ca="1"/>
        <v/>
      </c>
      <c r="AQ258" s="187" t="str">
        <f ca="1"/>
        <v/>
      </c>
    </row>
    <row r="259" spans="2:43" x14ac:dyDescent="0.25">
      <c r="B259" s="179" t="str">
        <f ca="1"/>
        <v/>
      </c>
      <c r="C259" s="180" t="str">
        <f ca="1"/>
        <v/>
      </c>
      <c r="D259" s="180" t="str">
        <f ca="1"/>
        <v/>
      </c>
      <c r="E259" s="180" t="str">
        <f ca="1"/>
        <v/>
      </c>
      <c r="F259" s="180" t="str">
        <f ca="1"/>
        <v/>
      </c>
      <c r="G259" s="180" t="str">
        <f ca="1"/>
        <v/>
      </c>
      <c r="H259" s="180" t="str">
        <f ca="1"/>
        <v/>
      </c>
      <c r="I259" s="180" t="str">
        <f ca="1"/>
        <v/>
      </c>
      <c r="J259" s="180" t="str">
        <f ca="1"/>
        <v/>
      </c>
      <c r="K259" s="180" t="str">
        <f ca="1"/>
        <v/>
      </c>
      <c r="L259" s="180" t="str">
        <f ca="1"/>
        <v/>
      </c>
      <c r="M259" s="180" t="str">
        <f ca="1"/>
        <v/>
      </c>
      <c r="N259" s="180" t="str">
        <f ca="1"/>
        <v/>
      </c>
      <c r="O259" s="180" t="str">
        <f ca="1"/>
        <v/>
      </c>
      <c r="P259" s="180" t="str">
        <f ca="1"/>
        <v/>
      </c>
      <c r="Q259" s="180" t="str">
        <f ca="1"/>
        <v/>
      </c>
      <c r="R259" s="180" t="str">
        <f ca="1"/>
        <v/>
      </c>
      <c r="S259" s="180" t="str">
        <f ca="1"/>
        <v/>
      </c>
      <c r="T259" s="180" t="str">
        <f ca="1"/>
        <v/>
      </c>
      <c r="U259" s="180" t="str">
        <f ca="1"/>
        <v/>
      </c>
      <c r="V259" s="180" t="str">
        <f ca="1"/>
        <v/>
      </c>
      <c r="W259" s="180" t="str">
        <f ca="1"/>
        <v/>
      </c>
      <c r="X259" s="180" t="str">
        <f ca="1"/>
        <v/>
      </c>
      <c r="Y259" s="180" t="str">
        <f ca="1"/>
        <v/>
      </c>
      <c r="Z259" s="180" t="str">
        <f ca="1"/>
        <v/>
      </c>
      <c r="AA259" s="180" t="str">
        <f ca="1"/>
        <v/>
      </c>
      <c r="AB259" s="180" t="str">
        <f ca="1"/>
        <v/>
      </c>
      <c r="AC259" s="180" t="str">
        <f ca="1"/>
        <v/>
      </c>
      <c r="AD259" s="180" t="str">
        <f ca="1"/>
        <v/>
      </c>
      <c r="AE259" s="180" t="str">
        <f ca="1"/>
        <v/>
      </c>
      <c r="AF259" s="180" t="str">
        <f ca="1"/>
        <v/>
      </c>
      <c r="AG259" s="180" t="str">
        <f ca="1"/>
        <v/>
      </c>
      <c r="AH259" s="180" t="str">
        <f ca="1"/>
        <v/>
      </c>
      <c r="AI259" s="180" t="str">
        <f ca="1"/>
        <v/>
      </c>
      <c r="AJ259" s="180" t="str">
        <f ca="1"/>
        <v/>
      </c>
      <c r="AK259" s="180" t="str">
        <f ca="1"/>
        <v/>
      </c>
      <c r="AL259" s="180" t="str">
        <f ca="1"/>
        <v/>
      </c>
      <c r="AM259" s="180" t="str">
        <f ca="1"/>
        <v/>
      </c>
      <c r="AN259" s="180" t="str">
        <f ca="1"/>
        <v/>
      </c>
      <c r="AO259" s="180" t="str">
        <f ca="1"/>
        <v/>
      </c>
      <c r="AP259" s="180" t="str">
        <f ca="1"/>
        <v/>
      </c>
      <c r="AQ259" s="187" t="str">
        <f ca="1"/>
        <v/>
      </c>
    </row>
    <row r="260" spans="2:43" x14ac:dyDescent="0.25">
      <c r="B260" s="179" t="str">
        <f ca="1"/>
        <v/>
      </c>
      <c r="C260" s="180" t="str">
        <f ca="1"/>
        <v/>
      </c>
      <c r="D260" s="180" t="str">
        <f ca="1"/>
        <v/>
      </c>
      <c r="E260" s="180" t="str">
        <f ca="1"/>
        <v/>
      </c>
      <c r="F260" s="180" t="str">
        <f ca="1"/>
        <v/>
      </c>
      <c r="G260" s="180" t="str">
        <f ca="1"/>
        <v/>
      </c>
      <c r="H260" s="180" t="str">
        <f ca="1"/>
        <v/>
      </c>
      <c r="I260" s="180" t="str">
        <f ca="1"/>
        <v/>
      </c>
      <c r="J260" s="180" t="str">
        <f ca="1"/>
        <v/>
      </c>
      <c r="K260" s="180" t="str">
        <f ca="1"/>
        <v/>
      </c>
      <c r="L260" s="180" t="str">
        <f ca="1"/>
        <v/>
      </c>
      <c r="M260" s="180" t="str">
        <f ca="1"/>
        <v/>
      </c>
      <c r="N260" s="180" t="str">
        <f ca="1"/>
        <v/>
      </c>
      <c r="O260" s="180" t="str">
        <f ca="1"/>
        <v/>
      </c>
      <c r="P260" s="180" t="str">
        <f ca="1"/>
        <v/>
      </c>
      <c r="Q260" s="180" t="str">
        <f ca="1"/>
        <v/>
      </c>
      <c r="R260" s="180" t="str">
        <f ca="1"/>
        <v/>
      </c>
      <c r="S260" s="180" t="str">
        <f ca="1"/>
        <v/>
      </c>
      <c r="T260" s="180" t="str">
        <f ca="1"/>
        <v/>
      </c>
      <c r="U260" s="180" t="str">
        <f ca="1"/>
        <v/>
      </c>
      <c r="V260" s="180" t="str">
        <f ca="1"/>
        <v/>
      </c>
      <c r="W260" s="180" t="str">
        <f ca="1"/>
        <v/>
      </c>
      <c r="X260" s="180" t="str">
        <f ca="1"/>
        <v/>
      </c>
      <c r="Y260" s="180" t="str">
        <f ca="1"/>
        <v/>
      </c>
      <c r="Z260" s="180" t="str">
        <f ca="1"/>
        <v/>
      </c>
      <c r="AA260" s="180" t="str">
        <f ca="1"/>
        <v/>
      </c>
      <c r="AB260" s="180" t="str">
        <f ca="1"/>
        <v/>
      </c>
      <c r="AC260" s="180" t="str">
        <f ca="1"/>
        <v/>
      </c>
      <c r="AD260" s="180" t="str">
        <f ca="1"/>
        <v/>
      </c>
      <c r="AE260" s="180" t="str">
        <f ca="1"/>
        <v/>
      </c>
      <c r="AF260" s="180" t="str">
        <f ca="1"/>
        <v/>
      </c>
      <c r="AG260" s="180" t="str">
        <f ca="1"/>
        <v/>
      </c>
      <c r="AH260" s="180" t="str">
        <f ca="1"/>
        <v/>
      </c>
      <c r="AI260" s="180" t="str">
        <f ca="1"/>
        <v/>
      </c>
      <c r="AJ260" s="180" t="str">
        <f ca="1"/>
        <v/>
      </c>
      <c r="AK260" s="180" t="str">
        <f ca="1"/>
        <v/>
      </c>
      <c r="AL260" s="180" t="str">
        <f ca="1"/>
        <v/>
      </c>
      <c r="AM260" s="180" t="str">
        <f ca="1"/>
        <v/>
      </c>
      <c r="AN260" s="180" t="str">
        <f ca="1"/>
        <v/>
      </c>
      <c r="AO260" s="180" t="str">
        <f ca="1"/>
        <v/>
      </c>
      <c r="AP260" s="180" t="str">
        <f ca="1"/>
        <v/>
      </c>
      <c r="AQ260" s="187" t="str">
        <f ca="1"/>
        <v/>
      </c>
    </row>
    <row r="261" spans="2:43" x14ac:dyDescent="0.25">
      <c r="B261" s="179" t="str">
        <f ca="1"/>
        <v/>
      </c>
      <c r="C261" s="180" t="str">
        <f ca="1"/>
        <v/>
      </c>
      <c r="D261" s="180" t="str">
        <f ca="1"/>
        <v/>
      </c>
      <c r="E261" s="180" t="str">
        <f ca="1"/>
        <v/>
      </c>
      <c r="F261" s="180" t="str">
        <f ca="1"/>
        <v/>
      </c>
      <c r="G261" s="180" t="str">
        <f ca="1"/>
        <v/>
      </c>
      <c r="H261" s="180" t="str">
        <f ca="1"/>
        <v/>
      </c>
      <c r="I261" s="180" t="str">
        <f ca="1"/>
        <v/>
      </c>
      <c r="J261" s="180" t="str">
        <f ca="1"/>
        <v/>
      </c>
      <c r="K261" s="180" t="str">
        <f ca="1"/>
        <v/>
      </c>
      <c r="L261" s="180" t="str">
        <f ca="1"/>
        <v/>
      </c>
      <c r="M261" s="180" t="str">
        <f ca="1"/>
        <v/>
      </c>
      <c r="N261" s="180" t="str">
        <f ca="1"/>
        <v/>
      </c>
      <c r="O261" s="180" t="str">
        <f ca="1"/>
        <v/>
      </c>
      <c r="P261" s="180" t="str">
        <f ca="1"/>
        <v/>
      </c>
      <c r="Q261" s="180" t="str">
        <f ca="1"/>
        <v/>
      </c>
      <c r="R261" s="180" t="str">
        <f ca="1"/>
        <v/>
      </c>
      <c r="S261" s="180" t="str">
        <f ca="1"/>
        <v/>
      </c>
      <c r="T261" s="180" t="str">
        <f ca="1"/>
        <v/>
      </c>
      <c r="U261" s="180" t="str">
        <f ca="1"/>
        <v/>
      </c>
      <c r="V261" s="180" t="str">
        <f ca="1"/>
        <v/>
      </c>
      <c r="W261" s="180" t="str">
        <f ca="1"/>
        <v/>
      </c>
      <c r="X261" s="180" t="str">
        <f ca="1"/>
        <v/>
      </c>
      <c r="Y261" s="180" t="str">
        <f ca="1"/>
        <v/>
      </c>
      <c r="Z261" s="180" t="str">
        <f ca="1"/>
        <v/>
      </c>
      <c r="AA261" s="180" t="str">
        <f ca="1"/>
        <v/>
      </c>
      <c r="AB261" s="180" t="str">
        <f ca="1"/>
        <v/>
      </c>
      <c r="AC261" s="180" t="str">
        <f ca="1"/>
        <v/>
      </c>
      <c r="AD261" s="180" t="str">
        <f ca="1"/>
        <v/>
      </c>
      <c r="AE261" s="180" t="str">
        <f ca="1"/>
        <v/>
      </c>
      <c r="AF261" s="180" t="str">
        <f ca="1"/>
        <v/>
      </c>
      <c r="AG261" s="180" t="str">
        <f ca="1"/>
        <v/>
      </c>
      <c r="AH261" s="180" t="str">
        <f ca="1"/>
        <v/>
      </c>
      <c r="AI261" s="180" t="str">
        <f ca="1"/>
        <v/>
      </c>
      <c r="AJ261" s="180" t="str">
        <f ca="1"/>
        <v/>
      </c>
      <c r="AK261" s="180" t="str">
        <f ca="1"/>
        <v/>
      </c>
      <c r="AL261" s="180" t="str">
        <f ca="1"/>
        <v/>
      </c>
      <c r="AM261" s="180" t="str">
        <f ca="1"/>
        <v/>
      </c>
      <c r="AN261" s="180" t="str">
        <f ca="1"/>
        <v/>
      </c>
      <c r="AO261" s="180" t="str">
        <f ca="1"/>
        <v/>
      </c>
      <c r="AP261" s="180" t="str">
        <f ca="1"/>
        <v/>
      </c>
      <c r="AQ261" s="187" t="str">
        <f ca="1"/>
        <v/>
      </c>
    </row>
    <row r="262" spans="2:43" x14ac:dyDescent="0.25">
      <c r="B262" s="179" t="str">
        <f ca="1"/>
        <v/>
      </c>
      <c r="C262" s="180" t="str">
        <f ca="1"/>
        <v/>
      </c>
      <c r="D262" s="180" t="str">
        <f ca="1"/>
        <v/>
      </c>
      <c r="E262" s="180" t="str">
        <f ca="1"/>
        <v/>
      </c>
      <c r="F262" s="180" t="str">
        <f ca="1"/>
        <v/>
      </c>
      <c r="G262" s="180" t="str">
        <f ca="1"/>
        <v/>
      </c>
      <c r="H262" s="180" t="str">
        <f ca="1"/>
        <v/>
      </c>
      <c r="I262" s="180" t="str">
        <f ca="1"/>
        <v/>
      </c>
      <c r="J262" s="180" t="str">
        <f ca="1"/>
        <v/>
      </c>
      <c r="K262" s="180" t="str">
        <f ca="1"/>
        <v/>
      </c>
      <c r="L262" s="180" t="str">
        <f ca="1"/>
        <v/>
      </c>
      <c r="M262" s="180" t="str">
        <f ca="1"/>
        <v/>
      </c>
      <c r="N262" s="180" t="str">
        <f ca="1"/>
        <v/>
      </c>
      <c r="O262" s="180" t="str">
        <f ca="1"/>
        <v/>
      </c>
      <c r="P262" s="180" t="str">
        <f ca="1"/>
        <v/>
      </c>
      <c r="Q262" s="180" t="str">
        <f ca="1"/>
        <v/>
      </c>
      <c r="R262" s="180" t="str">
        <f ca="1"/>
        <v/>
      </c>
      <c r="S262" s="180" t="str">
        <f ca="1"/>
        <v/>
      </c>
      <c r="T262" s="180" t="str">
        <f ca="1"/>
        <v/>
      </c>
      <c r="U262" s="180" t="str">
        <f ca="1"/>
        <v/>
      </c>
      <c r="V262" s="180" t="str">
        <f ca="1"/>
        <v/>
      </c>
      <c r="W262" s="180" t="str">
        <f ca="1"/>
        <v/>
      </c>
      <c r="X262" s="180" t="str">
        <f ca="1"/>
        <v/>
      </c>
      <c r="Y262" s="180" t="str">
        <f ca="1"/>
        <v/>
      </c>
      <c r="Z262" s="180" t="str">
        <f ca="1"/>
        <v/>
      </c>
      <c r="AA262" s="180" t="str">
        <f ca="1"/>
        <v/>
      </c>
      <c r="AB262" s="180" t="str">
        <f ca="1"/>
        <v/>
      </c>
      <c r="AC262" s="180" t="str">
        <f ca="1"/>
        <v/>
      </c>
      <c r="AD262" s="180" t="str">
        <f ca="1"/>
        <v/>
      </c>
      <c r="AE262" s="180" t="str">
        <f ca="1"/>
        <v/>
      </c>
      <c r="AF262" s="180" t="str">
        <f ca="1"/>
        <v/>
      </c>
      <c r="AG262" s="180" t="str">
        <f ca="1"/>
        <v/>
      </c>
      <c r="AH262" s="180" t="str">
        <f ca="1"/>
        <v/>
      </c>
      <c r="AI262" s="180" t="str">
        <f ca="1"/>
        <v/>
      </c>
      <c r="AJ262" s="180" t="str">
        <f ca="1"/>
        <v/>
      </c>
      <c r="AK262" s="180" t="str">
        <f ca="1"/>
        <v/>
      </c>
      <c r="AL262" s="180" t="str">
        <f ca="1"/>
        <v/>
      </c>
      <c r="AM262" s="180" t="str">
        <f ca="1"/>
        <v/>
      </c>
      <c r="AN262" s="180" t="str">
        <f ca="1"/>
        <v/>
      </c>
      <c r="AO262" s="180" t="str">
        <f ca="1"/>
        <v/>
      </c>
      <c r="AP262" s="180" t="str">
        <f ca="1"/>
        <v/>
      </c>
      <c r="AQ262" s="187" t="str">
        <f ca="1"/>
        <v/>
      </c>
    </row>
    <row r="263" spans="2:43" x14ac:dyDescent="0.25">
      <c r="B263" s="179" t="str">
        <f ca="1"/>
        <v/>
      </c>
      <c r="C263" s="180" t="str">
        <f ca="1"/>
        <v/>
      </c>
      <c r="D263" s="180" t="str">
        <f ca="1"/>
        <v/>
      </c>
      <c r="E263" s="180" t="str">
        <f ca="1"/>
        <v/>
      </c>
      <c r="F263" s="180" t="str">
        <f ca="1"/>
        <v/>
      </c>
      <c r="G263" s="180" t="str">
        <f ca="1"/>
        <v/>
      </c>
      <c r="H263" s="180" t="str">
        <f ca="1"/>
        <v/>
      </c>
      <c r="I263" s="180" t="str">
        <f ca="1"/>
        <v/>
      </c>
      <c r="J263" s="180" t="str">
        <f ca="1"/>
        <v/>
      </c>
      <c r="K263" s="180" t="str">
        <f ca="1"/>
        <v/>
      </c>
      <c r="L263" s="180" t="str">
        <f ca="1"/>
        <v/>
      </c>
      <c r="M263" s="180" t="str">
        <f ca="1"/>
        <v/>
      </c>
      <c r="N263" s="180" t="str">
        <f ca="1"/>
        <v/>
      </c>
      <c r="O263" s="180" t="str">
        <f ca="1"/>
        <v/>
      </c>
      <c r="P263" s="180" t="str">
        <f ca="1"/>
        <v/>
      </c>
      <c r="Q263" s="180" t="str">
        <f ca="1"/>
        <v/>
      </c>
      <c r="R263" s="180" t="str">
        <f ca="1"/>
        <v/>
      </c>
      <c r="S263" s="180" t="str">
        <f ca="1"/>
        <v/>
      </c>
      <c r="T263" s="180" t="str">
        <f ca="1"/>
        <v/>
      </c>
      <c r="U263" s="180" t="str">
        <f ca="1"/>
        <v/>
      </c>
      <c r="V263" s="180" t="str">
        <f ca="1"/>
        <v/>
      </c>
      <c r="W263" s="180" t="str">
        <f ca="1"/>
        <v/>
      </c>
      <c r="X263" s="180" t="str">
        <f ca="1"/>
        <v/>
      </c>
      <c r="Y263" s="180" t="str">
        <f ca="1"/>
        <v/>
      </c>
      <c r="Z263" s="180" t="str">
        <f ca="1"/>
        <v/>
      </c>
      <c r="AA263" s="180" t="str">
        <f ca="1"/>
        <v/>
      </c>
      <c r="AB263" s="180" t="str">
        <f ca="1"/>
        <v/>
      </c>
      <c r="AC263" s="180" t="str">
        <f ca="1"/>
        <v/>
      </c>
      <c r="AD263" s="180" t="str">
        <f ca="1"/>
        <v/>
      </c>
      <c r="AE263" s="180" t="str">
        <f ca="1"/>
        <v/>
      </c>
      <c r="AF263" s="180" t="str">
        <f ca="1"/>
        <v/>
      </c>
      <c r="AG263" s="180" t="str">
        <f ca="1"/>
        <v/>
      </c>
      <c r="AH263" s="180" t="str">
        <f ca="1"/>
        <v/>
      </c>
      <c r="AI263" s="180" t="str">
        <f ca="1"/>
        <v/>
      </c>
      <c r="AJ263" s="180" t="str">
        <f ca="1"/>
        <v/>
      </c>
      <c r="AK263" s="180" t="str">
        <f ca="1"/>
        <v/>
      </c>
      <c r="AL263" s="180" t="str">
        <f ca="1"/>
        <v/>
      </c>
      <c r="AM263" s="180" t="str">
        <f ca="1"/>
        <v/>
      </c>
      <c r="AN263" s="180" t="str">
        <f ca="1"/>
        <v/>
      </c>
      <c r="AO263" s="180" t="str">
        <f ca="1"/>
        <v/>
      </c>
      <c r="AP263" s="180" t="str">
        <f ca="1"/>
        <v/>
      </c>
      <c r="AQ263" s="187" t="str">
        <f ca="1"/>
        <v/>
      </c>
    </row>
    <row r="264" spans="2:43" x14ac:dyDescent="0.25">
      <c r="B264" s="179" t="str">
        <f ca="1"/>
        <v/>
      </c>
      <c r="C264" s="180" t="str">
        <f ca="1"/>
        <v/>
      </c>
      <c r="D264" s="180" t="str">
        <f ca="1"/>
        <v/>
      </c>
      <c r="E264" s="180" t="str">
        <f ca="1"/>
        <v/>
      </c>
      <c r="F264" s="180" t="str">
        <f ca="1"/>
        <v/>
      </c>
      <c r="G264" s="180" t="str">
        <f ca="1"/>
        <v/>
      </c>
      <c r="H264" s="180" t="str">
        <f ca="1"/>
        <v/>
      </c>
      <c r="I264" s="180" t="str">
        <f ca="1"/>
        <v/>
      </c>
      <c r="J264" s="180" t="str">
        <f ca="1"/>
        <v/>
      </c>
      <c r="K264" s="180" t="str">
        <f ca="1"/>
        <v/>
      </c>
      <c r="L264" s="180" t="str">
        <f ca="1"/>
        <v/>
      </c>
      <c r="M264" s="180" t="str">
        <f ca="1"/>
        <v/>
      </c>
      <c r="N264" s="180" t="str">
        <f ca="1"/>
        <v/>
      </c>
      <c r="O264" s="180" t="str">
        <f ca="1"/>
        <v/>
      </c>
      <c r="P264" s="180" t="str">
        <f ca="1"/>
        <v/>
      </c>
      <c r="Q264" s="180" t="str">
        <f ca="1"/>
        <v/>
      </c>
      <c r="R264" s="180" t="str">
        <f ca="1"/>
        <v/>
      </c>
      <c r="S264" s="180" t="str">
        <f ca="1"/>
        <v/>
      </c>
      <c r="T264" s="180" t="str">
        <f ca="1"/>
        <v/>
      </c>
      <c r="U264" s="180" t="str">
        <f ca="1"/>
        <v/>
      </c>
      <c r="V264" s="180" t="str">
        <f ca="1"/>
        <v/>
      </c>
      <c r="W264" s="180" t="str">
        <f ca="1"/>
        <v/>
      </c>
      <c r="X264" s="180" t="str">
        <f ca="1"/>
        <v/>
      </c>
      <c r="Y264" s="180" t="str">
        <f ca="1"/>
        <v/>
      </c>
      <c r="Z264" s="180" t="str">
        <f ca="1"/>
        <v/>
      </c>
      <c r="AA264" s="180" t="str">
        <f ca="1"/>
        <v/>
      </c>
      <c r="AB264" s="180" t="str">
        <f ca="1"/>
        <v/>
      </c>
      <c r="AC264" s="180" t="str">
        <f ca="1"/>
        <v/>
      </c>
      <c r="AD264" s="180" t="str">
        <f ca="1"/>
        <v/>
      </c>
      <c r="AE264" s="180" t="str">
        <f ca="1"/>
        <v/>
      </c>
      <c r="AF264" s="180" t="str">
        <f ca="1"/>
        <v/>
      </c>
      <c r="AG264" s="180" t="str">
        <f ca="1"/>
        <v/>
      </c>
      <c r="AH264" s="180" t="str">
        <f ca="1"/>
        <v/>
      </c>
      <c r="AI264" s="180" t="str">
        <f ca="1"/>
        <v/>
      </c>
      <c r="AJ264" s="180" t="str">
        <f ca="1"/>
        <v/>
      </c>
      <c r="AK264" s="180" t="str">
        <f ca="1"/>
        <v/>
      </c>
      <c r="AL264" s="180" t="str">
        <f ca="1"/>
        <v/>
      </c>
      <c r="AM264" s="180" t="str">
        <f ca="1"/>
        <v/>
      </c>
      <c r="AN264" s="180" t="str">
        <f ca="1"/>
        <v/>
      </c>
      <c r="AO264" s="180" t="str">
        <f ca="1"/>
        <v/>
      </c>
      <c r="AP264" s="180" t="str">
        <f ca="1"/>
        <v/>
      </c>
      <c r="AQ264" s="187" t="str">
        <f ca="1"/>
        <v/>
      </c>
    </row>
    <row r="265" spans="2:43" x14ac:dyDescent="0.25">
      <c r="B265" s="179" t="str">
        <f ca="1"/>
        <v/>
      </c>
      <c r="C265" s="180" t="str">
        <f ca="1"/>
        <v/>
      </c>
      <c r="D265" s="180" t="str">
        <f ca="1"/>
        <v/>
      </c>
      <c r="E265" s="180" t="str">
        <f ca="1"/>
        <v/>
      </c>
      <c r="F265" s="180" t="str">
        <f ca="1"/>
        <v/>
      </c>
      <c r="G265" s="180" t="str">
        <f ca="1"/>
        <v/>
      </c>
      <c r="H265" s="180" t="str">
        <f ca="1"/>
        <v/>
      </c>
      <c r="I265" s="180" t="str">
        <f ca="1"/>
        <v/>
      </c>
      <c r="J265" s="180" t="str">
        <f ca="1"/>
        <v/>
      </c>
      <c r="K265" s="180" t="str">
        <f ca="1"/>
        <v/>
      </c>
      <c r="L265" s="180" t="str">
        <f ca="1"/>
        <v/>
      </c>
      <c r="M265" s="180" t="str">
        <f ca="1"/>
        <v/>
      </c>
      <c r="N265" s="180" t="str">
        <f ca="1"/>
        <v/>
      </c>
      <c r="O265" s="180" t="str">
        <f ca="1"/>
        <v/>
      </c>
      <c r="P265" s="180" t="str">
        <f ca="1"/>
        <v/>
      </c>
      <c r="Q265" s="180" t="str">
        <f ca="1"/>
        <v/>
      </c>
      <c r="R265" s="180" t="str">
        <f ca="1"/>
        <v/>
      </c>
      <c r="S265" s="180" t="str">
        <f ca="1"/>
        <v/>
      </c>
      <c r="T265" s="180" t="str">
        <f ca="1"/>
        <v/>
      </c>
      <c r="U265" s="180" t="str">
        <f ca="1"/>
        <v/>
      </c>
      <c r="V265" s="180" t="str">
        <f ca="1"/>
        <v/>
      </c>
      <c r="W265" s="180" t="str">
        <f ca="1"/>
        <v/>
      </c>
      <c r="X265" s="180" t="str">
        <f ca="1"/>
        <v/>
      </c>
      <c r="Y265" s="180" t="str">
        <f ca="1"/>
        <v/>
      </c>
      <c r="Z265" s="180" t="str">
        <f ca="1"/>
        <v/>
      </c>
      <c r="AA265" s="180" t="str">
        <f ca="1"/>
        <v/>
      </c>
      <c r="AB265" s="180" t="str">
        <f ca="1"/>
        <v/>
      </c>
      <c r="AC265" s="180" t="str">
        <f ca="1"/>
        <v/>
      </c>
      <c r="AD265" s="180" t="str">
        <f ca="1"/>
        <v/>
      </c>
      <c r="AE265" s="180" t="str">
        <f ca="1"/>
        <v/>
      </c>
      <c r="AF265" s="180" t="str">
        <f ca="1"/>
        <v/>
      </c>
      <c r="AG265" s="180" t="str">
        <f ca="1"/>
        <v/>
      </c>
      <c r="AH265" s="180" t="str">
        <f ca="1"/>
        <v/>
      </c>
      <c r="AI265" s="180" t="str">
        <f ca="1"/>
        <v/>
      </c>
      <c r="AJ265" s="180" t="str">
        <f ca="1"/>
        <v/>
      </c>
      <c r="AK265" s="180" t="str">
        <f ca="1"/>
        <v/>
      </c>
      <c r="AL265" s="180" t="str">
        <f ca="1"/>
        <v/>
      </c>
      <c r="AM265" s="180" t="str">
        <f ca="1"/>
        <v/>
      </c>
      <c r="AN265" s="180" t="str">
        <f ca="1"/>
        <v/>
      </c>
      <c r="AO265" s="180" t="str">
        <f ca="1"/>
        <v/>
      </c>
      <c r="AP265" s="180" t="str">
        <f ca="1"/>
        <v/>
      </c>
      <c r="AQ265" s="187" t="str">
        <f ca="1"/>
        <v/>
      </c>
    </row>
    <row r="266" spans="2:43" x14ac:dyDescent="0.25">
      <c r="B266" s="179" t="str">
        <f ca="1"/>
        <v/>
      </c>
      <c r="C266" s="180" t="str">
        <f ca="1"/>
        <v/>
      </c>
      <c r="D266" s="180" t="str">
        <f ca="1"/>
        <v/>
      </c>
      <c r="E266" s="180" t="str">
        <f ca="1"/>
        <v/>
      </c>
      <c r="F266" s="180" t="str">
        <f ca="1"/>
        <v/>
      </c>
      <c r="G266" s="180" t="str">
        <f ca="1"/>
        <v/>
      </c>
      <c r="H266" s="180" t="str">
        <f ca="1"/>
        <v/>
      </c>
      <c r="I266" s="180" t="str">
        <f ca="1"/>
        <v/>
      </c>
      <c r="J266" s="180" t="str">
        <f ca="1"/>
        <v/>
      </c>
      <c r="K266" s="180" t="str">
        <f ca="1"/>
        <v/>
      </c>
      <c r="L266" s="180" t="str">
        <f ca="1"/>
        <v/>
      </c>
      <c r="M266" s="180" t="str">
        <f ca="1"/>
        <v/>
      </c>
      <c r="N266" s="180" t="str">
        <f ca="1"/>
        <v/>
      </c>
      <c r="O266" s="180" t="str">
        <f ca="1"/>
        <v/>
      </c>
      <c r="P266" s="180" t="str">
        <f ca="1"/>
        <v/>
      </c>
      <c r="Q266" s="180" t="str">
        <f ca="1"/>
        <v/>
      </c>
      <c r="R266" s="180" t="str">
        <f ca="1"/>
        <v/>
      </c>
      <c r="S266" s="180" t="str">
        <f ca="1"/>
        <v/>
      </c>
      <c r="T266" s="180" t="str">
        <f ca="1"/>
        <v/>
      </c>
      <c r="U266" s="180" t="str">
        <f ca="1"/>
        <v/>
      </c>
      <c r="V266" s="180" t="str">
        <f ca="1"/>
        <v/>
      </c>
      <c r="W266" s="180" t="str">
        <f ca="1"/>
        <v/>
      </c>
      <c r="X266" s="180" t="str">
        <f ca="1"/>
        <v/>
      </c>
      <c r="Y266" s="180" t="str">
        <f ca="1"/>
        <v/>
      </c>
      <c r="Z266" s="180" t="str">
        <f ca="1"/>
        <v/>
      </c>
      <c r="AA266" s="180" t="str">
        <f ca="1"/>
        <v/>
      </c>
      <c r="AB266" s="180" t="str">
        <f ca="1"/>
        <v/>
      </c>
      <c r="AC266" s="180" t="str">
        <f ca="1"/>
        <v/>
      </c>
      <c r="AD266" s="180" t="str">
        <f ca="1"/>
        <v/>
      </c>
      <c r="AE266" s="180" t="str">
        <f ca="1"/>
        <v/>
      </c>
      <c r="AF266" s="180" t="str">
        <f ca="1"/>
        <v/>
      </c>
      <c r="AG266" s="180" t="str">
        <f ca="1"/>
        <v/>
      </c>
      <c r="AH266" s="180" t="str">
        <f ca="1"/>
        <v/>
      </c>
      <c r="AI266" s="180" t="str">
        <f ca="1"/>
        <v/>
      </c>
      <c r="AJ266" s="180" t="str">
        <f ca="1"/>
        <v/>
      </c>
      <c r="AK266" s="180" t="str">
        <f ca="1"/>
        <v/>
      </c>
      <c r="AL266" s="180" t="str">
        <f ca="1"/>
        <v/>
      </c>
      <c r="AM266" s="180" t="str">
        <f ca="1"/>
        <v/>
      </c>
      <c r="AN266" s="180" t="str">
        <f ca="1"/>
        <v/>
      </c>
      <c r="AO266" s="180" t="str">
        <f ca="1"/>
        <v/>
      </c>
      <c r="AP266" s="180" t="str">
        <f ca="1"/>
        <v/>
      </c>
      <c r="AQ266" s="187" t="str">
        <f ca="1"/>
        <v/>
      </c>
    </row>
    <row r="267" spans="2:43" x14ac:dyDescent="0.25">
      <c r="B267" s="179" t="str">
        <f ca="1"/>
        <v/>
      </c>
      <c r="C267" s="180" t="str">
        <f ca="1"/>
        <v/>
      </c>
      <c r="D267" s="180" t="str">
        <f ca="1"/>
        <v/>
      </c>
      <c r="E267" s="180" t="str">
        <f ca="1"/>
        <v/>
      </c>
      <c r="F267" s="180" t="str">
        <f ca="1"/>
        <v/>
      </c>
      <c r="G267" s="180" t="str">
        <f ca="1"/>
        <v/>
      </c>
      <c r="H267" s="180" t="str">
        <f ca="1"/>
        <v/>
      </c>
      <c r="I267" s="180" t="str">
        <f ca="1"/>
        <v/>
      </c>
      <c r="J267" s="180" t="str">
        <f ca="1"/>
        <v/>
      </c>
      <c r="K267" s="180" t="str">
        <f ca="1"/>
        <v/>
      </c>
      <c r="L267" s="180" t="str">
        <f ca="1"/>
        <v/>
      </c>
      <c r="M267" s="180" t="str">
        <f ca="1"/>
        <v/>
      </c>
      <c r="N267" s="180" t="str">
        <f ca="1"/>
        <v/>
      </c>
      <c r="O267" s="180" t="str">
        <f ca="1"/>
        <v/>
      </c>
      <c r="P267" s="180" t="str">
        <f ca="1"/>
        <v/>
      </c>
      <c r="Q267" s="180" t="str">
        <f ca="1"/>
        <v/>
      </c>
      <c r="R267" s="180" t="str">
        <f ca="1"/>
        <v/>
      </c>
      <c r="S267" s="180" t="str">
        <f ca="1"/>
        <v/>
      </c>
      <c r="T267" s="180" t="str">
        <f ca="1"/>
        <v/>
      </c>
      <c r="U267" s="180" t="str">
        <f ca="1"/>
        <v/>
      </c>
      <c r="V267" s="180" t="str">
        <f ca="1"/>
        <v/>
      </c>
      <c r="W267" s="180" t="str">
        <f ca="1"/>
        <v/>
      </c>
      <c r="X267" s="180" t="str">
        <f ca="1"/>
        <v/>
      </c>
      <c r="Y267" s="180" t="str">
        <f ca="1"/>
        <v/>
      </c>
      <c r="Z267" s="180" t="str">
        <f ca="1"/>
        <v/>
      </c>
      <c r="AA267" s="180" t="str">
        <f ca="1"/>
        <v/>
      </c>
      <c r="AB267" s="180" t="str">
        <f ca="1"/>
        <v/>
      </c>
      <c r="AC267" s="180" t="str">
        <f ca="1"/>
        <v/>
      </c>
      <c r="AD267" s="180" t="str">
        <f ca="1"/>
        <v/>
      </c>
      <c r="AE267" s="180" t="str">
        <f ca="1"/>
        <v/>
      </c>
      <c r="AF267" s="180" t="str">
        <f ca="1"/>
        <v/>
      </c>
      <c r="AG267" s="180" t="str">
        <f ca="1"/>
        <v/>
      </c>
      <c r="AH267" s="180" t="str">
        <f ca="1"/>
        <v/>
      </c>
      <c r="AI267" s="180" t="str">
        <f ca="1"/>
        <v/>
      </c>
      <c r="AJ267" s="180" t="str">
        <f ca="1"/>
        <v/>
      </c>
      <c r="AK267" s="180" t="str">
        <f ca="1"/>
        <v/>
      </c>
      <c r="AL267" s="180" t="str">
        <f ca="1"/>
        <v/>
      </c>
      <c r="AM267" s="180" t="str">
        <f ca="1"/>
        <v/>
      </c>
      <c r="AN267" s="180" t="str">
        <f ca="1"/>
        <v/>
      </c>
      <c r="AO267" s="180" t="str">
        <f ca="1"/>
        <v/>
      </c>
      <c r="AP267" s="180" t="str">
        <f ca="1"/>
        <v/>
      </c>
      <c r="AQ267" s="187" t="str">
        <f ca="1"/>
        <v/>
      </c>
    </row>
    <row r="268" spans="2:43" x14ac:dyDescent="0.25">
      <c r="B268" s="179" t="str">
        <f ca="1"/>
        <v/>
      </c>
      <c r="C268" s="180" t="str">
        <f ca="1"/>
        <v/>
      </c>
      <c r="D268" s="180" t="str">
        <f ca="1"/>
        <v/>
      </c>
      <c r="E268" s="180" t="str">
        <f ca="1"/>
        <v/>
      </c>
      <c r="F268" s="180" t="str">
        <f ca="1"/>
        <v/>
      </c>
      <c r="G268" s="180" t="str">
        <f ca="1"/>
        <v/>
      </c>
      <c r="H268" s="180" t="str">
        <f ca="1"/>
        <v/>
      </c>
      <c r="I268" s="180" t="str">
        <f ca="1"/>
        <v/>
      </c>
      <c r="J268" s="180" t="str">
        <f ca="1"/>
        <v/>
      </c>
      <c r="K268" s="180" t="str">
        <f ca="1"/>
        <v/>
      </c>
      <c r="L268" s="180" t="str">
        <f ca="1"/>
        <v/>
      </c>
      <c r="M268" s="180" t="str">
        <f ca="1"/>
        <v/>
      </c>
      <c r="N268" s="180" t="str">
        <f ca="1"/>
        <v/>
      </c>
      <c r="O268" s="180" t="str">
        <f ca="1"/>
        <v/>
      </c>
      <c r="P268" s="180" t="str">
        <f ca="1"/>
        <v/>
      </c>
      <c r="Q268" s="180" t="str">
        <f ca="1"/>
        <v/>
      </c>
      <c r="R268" s="180" t="str">
        <f ca="1"/>
        <v/>
      </c>
      <c r="S268" s="180" t="str">
        <f ca="1"/>
        <v/>
      </c>
      <c r="T268" s="180" t="str">
        <f ca="1"/>
        <v/>
      </c>
      <c r="U268" s="180" t="str">
        <f ca="1"/>
        <v/>
      </c>
      <c r="V268" s="180" t="str">
        <f ca="1"/>
        <v/>
      </c>
      <c r="W268" s="180" t="str">
        <f ca="1"/>
        <v/>
      </c>
      <c r="X268" s="180" t="str">
        <f ca="1"/>
        <v/>
      </c>
      <c r="Y268" s="180" t="str">
        <f ca="1"/>
        <v/>
      </c>
      <c r="Z268" s="180" t="str">
        <f ca="1"/>
        <v/>
      </c>
      <c r="AA268" s="180" t="str">
        <f ca="1"/>
        <v/>
      </c>
      <c r="AB268" s="180" t="str">
        <f ca="1"/>
        <v/>
      </c>
      <c r="AC268" s="180" t="str">
        <f ca="1"/>
        <v/>
      </c>
      <c r="AD268" s="180" t="str">
        <f ca="1"/>
        <v/>
      </c>
      <c r="AE268" s="180" t="str">
        <f ca="1"/>
        <v/>
      </c>
      <c r="AF268" s="180" t="str">
        <f ca="1"/>
        <v/>
      </c>
      <c r="AG268" s="180" t="str">
        <f ca="1"/>
        <v/>
      </c>
      <c r="AH268" s="180" t="str">
        <f ca="1"/>
        <v/>
      </c>
      <c r="AI268" s="180" t="str">
        <f ca="1"/>
        <v/>
      </c>
      <c r="AJ268" s="180" t="str">
        <f ca="1"/>
        <v/>
      </c>
      <c r="AK268" s="180" t="str">
        <f ca="1"/>
        <v/>
      </c>
      <c r="AL268" s="180" t="str">
        <f ca="1"/>
        <v/>
      </c>
      <c r="AM268" s="180" t="str">
        <f ca="1"/>
        <v/>
      </c>
      <c r="AN268" s="180" t="str">
        <f ca="1"/>
        <v/>
      </c>
      <c r="AO268" s="180" t="str">
        <f ca="1"/>
        <v/>
      </c>
      <c r="AP268" s="180" t="str">
        <f ca="1"/>
        <v/>
      </c>
      <c r="AQ268" s="187" t="str">
        <f ca="1"/>
        <v/>
      </c>
    </row>
    <row r="269" spans="2:43" x14ac:dyDescent="0.25">
      <c r="B269" s="179" t="str">
        <f ca="1"/>
        <v/>
      </c>
      <c r="C269" s="180" t="str">
        <f ca="1"/>
        <v/>
      </c>
      <c r="D269" s="180" t="str">
        <f ca="1"/>
        <v/>
      </c>
      <c r="E269" s="180" t="str">
        <f ca="1"/>
        <v/>
      </c>
      <c r="F269" s="180" t="str">
        <f ca="1"/>
        <v/>
      </c>
      <c r="G269" s="180" t="str">
        <f ca="1"/>
        <v/>
      </c>
      <c r="H269" s="180" t="str">
        <f ca="1"/>
        <v/>
      </c>
      <c r="I269" s="180" t="str">
        <f ca="1"/>
        <v/>
      </c>
      <c r="J269" s="180" t="str">
        <f ca="1"/>
        <v/>
      </c>
      <c r="K269" s="180" t="str">
        <f ca="1"/>
        <v/>
      </c>
      <c r="L269" s="180" t="str">
        <f ca="1"/>
        <v/>
      </c>
      <c r="M269" s="180" t="str">
        <f ca="1"/>
        <v/>
      </c>
      <c r="N269" s="180" t="str">
        <f ca="1"/>
        <v/>
      </c>
      <c r="O269" s="180" t="str">
        <f ca="1"/>
        <v/>
      </c>
      <c r="P269" s="180" t="str">
        <f ca="1"/>
        <v/>
      </c>
      <c r="Q269" s="180" t="str">
        <f ca="1"/>
        <v/>
      </c>
      <c r="R269" s="180" t="str">
        <f ca="1"/>
        <v/>
      </c>
      <c r="S269" s="180" t="str">
        <f ca="1"/>
        <v/>
      </c>
      <c r="T269" s="180" t="str">
        <f ca="1"/>
        <v/>
      </c>
      <c r="U269" s="180" t="str">
        <f ca="1"/>
        <v/>
      </c>
      <c r="V269" s="180" t="str">
        <f ca="1"/>
        <v/>
      </c>
      <c r="W269" s="180" t="str">
        <f ca="1"/>
        <v/>
      </c>
      <c r="X269" s="180" t="str">
        <f ca="1"/>
        <v/>
      </c>
      <c r="Y269" s="180" t="str">
        <f ca="1"/>
        <v/>
      </c>
      <c r="Z269" s="180" t="str">
        <f ca="1"/>
        <v/>
      </c>
      <c r="AA269" s="180" t="str">
        <f ca="1"/>
        <v/>
      </c>
      <c r="AB269" s="180" t="str">
        <f ca="1"/>
        <v/>
      </c>
      <c r="AC269" s="180" t="str">
        <f ca="1"/>
        <v/>
      </c>
      <c r="AD269" s="180" t="str">
        <f ca="1"/>
        <v/>
      </c>
      <c r="AE269" s="180" t="str">
        <f ca="1"/>
        <v/>
      </c>
      <c r="AF269" s="180" t="str">
        <f ca="1"/>
        <v/>
      </c>
      <c r="AG269" s="180" t="str">
        <f ca="1"/>
        <v/>
      </c>
      <c r="AH269" s="180" t="str">
        <f ca="1"/>
        <v/>
      </c>
      <c r="AI269" s="180" t="str">
        <f ca="1"/>
        <v/>
      </c>
      <c r="AJ269" s="180" t="str">
        <f ca="1"/>
        <v/>
      </c>
      <c r="AK269" s="180" t="str">
        <f ca="1"/>
        <v/>
      </c>
      <c r="AL269" s="180" t="str">
        <f ca="1"/>
        <v/>
      </c>
      <c r="AM269" s="180" t="str">
        <f ca="1"/>
        <v/>
      </c>
      <c r="AN269" s="180" t="str">
        <f ca="1"/>
        <v/>
      </c>
      <c r="AO269" s="180" t="str">
        <f ca="1"/>
        <v/>
      </c>
      <c r="AP269" s="180" t="str">
        <f ca="1"/>
        <v/>
      </c>
      <c r="AQ269" s="187" t="str">
        <f ca="1"/>
        <v/>
      </c>
    </row>
    <row r="270" spans="2:43" x14ac:dyDescent="0.25">
      <c r="B270" s="179" t="str">
        <f ca="1"/>
        <v/>
      </c>
      <c r="C270" s="180" t="str">
        <f ca="1"/>
        <v/>
      </c>
      <c r="D270" s="180" t="str">
        <f ca="1"/>
        <v/>
      </c>
      <c r="E270" s="180" t="str">
        <f ca="1"/>
        <v/>
      </c>
      <c r="F270" s="180" t="str">
        <f ca="1"/>
        <v/>
      </c>
      <c r="G270" s="180" t="str">
        <f ca="1"/>
        <v/>
      </c>
      <c r="H270" s="180" t="str">
        <f ca="1"/>
        <v/>
      </c>
      <c r="I270" s="180" t="str">
        <f ca="1"/>
        <v/>
      </c>
      <c r="J270" s="180" t="str">
        <f ca="1"/>
        <v/>
      </c>
      <c r="K270" s="180" t="str">
        <f ca="1"/>
        <v/>
      </c>
      <c r="L270" s="180" t="str">
        <f ca="1"/>
        <v/>
      </c>
      <c r="M270" s="180" t="str">
        <f ca="1"/>
        <v/>
      </c>
      <c r="N270" s="180" t="str">
        <f ca="1"/>
        <v/>
      </c>
      <c r="O270" s="180" t="str">
        <f ca="1"/>
        <v/>
      </c>
      <c r="P270" s="180" t="str">
        <f ca="1"/>
        <v/>
      </c>
      <c r="Q270" s="180" t="str">
        <f ca="1"/>
        <v/>
      </c>
      <c r="R270" s="180" t="str">
        <f ca="1"/>
        <v/>
      </c>
      <c r="S270" s="180" t="str">
        <f ca="1"/>
        <v/>
      </c>
      <c r="T270" s="180" t="str">
        <f ca="1"/>
        <v/>
      </c>
      <c r="U270" s="180" t="str">
        <f ca="1"/>
        <v/>
      </c>
      <c r="V270" s="180" t="str">
        <f ca="1"/>
        <v/>
      </c>
      <c r="W270" s="180" t="str">
        <f ca="1"/>
        <v/>
      </c>
      <c r="X270" s="180" t="str">
        <f ca="1"/>
        <v/>
      </c>
      <c r="Y270" s="180" t="str">
        <f ca="1"/>
        <v/>
      </c>
      <c r="Z270" s="180" t="str">
        <f ca="1"/>
        <v/>
      </c>
      <c r="AA270" s="180" t="str">
        <f ca="1"/>
        <v/>
      </c>
      <c r="AB270" s="180" t="str">
        <f ca="1"/>
        <v/>
      </c>
      <c r="AC270" s="180" t="str">
        <f ca="1"/>
        <v/>
      </c>
      <c r="AD270" s="180" t="str">
        <f ca="1"/>
        <v/>
      </c>
      <c r="AE270" s="180" t="str">
        <f ca="1"/>
        <v/>
      </c>
      <c r="AF270" s="180" t="str">
        <f ca="1"/>
        <v/>
      </c>
      <c r="AG270" s="180" t="str">
        <f ca="1"/>
        <v/>
      </c>
      <c r="AH270" s="180" t="str">
        <f ca="1"/>
        <v/>
      </c>
      <c r="AI270" s="180" t="str">
        <f ca="1"/>
        <v/>
      </c>
      <c r="AJ270" s="180" t="str">
        <f ca="1"/>
        <v/>
      </c>
      <c r="AK270" s="180" t="str">
        <f ca="1"/>
        <v/>
      </c>
      <c r="AL270" s="180" t="str">
        <f ca="1"/>
        <v/>
      </c>
      <c r="AM270" s="180" t="str">
        <f ca="1"/>
        <v/>
      </c>
      <c r="AN270" s="180" t="str">
        <f ca="1"/>
        <v/>
      </c>
      <c r="AO270" s="180" t="str">
        <f ca="1"/>
        <v/>
      </c>
      <c r="AP270" s="180" t="str">
        <f ca="1"/>
        <v/>
      </c>
      <c r="AQ270" s="187" t="str">
        <f ca="1"/>
        <v/>
      </c>
    </row>
    <row r="271" spans="2:43" x14ac:dyDescent="0.25">
      <c r="B271" s="179" t="str">
        <f ca="1"/>
        <v/>
      </c>
      <c r="C271" s="180" t="str">
        <f ca="1"/>
        <v/>
      </c>
      <c r="D271" s="180" t="str">
        <f ca="1"/>
        <v/>
      </c>
      <c r="E271" s="180" t="str">
        <f ca="1"/>
        <v/>
      </c>
      <c r="F271" s="180" t="str">
        <f ca="1"/>
        <v/>
      </c>
      <c r="G271" s="180" t="str">
        <f ca="1"/>
        <v/>
      </c>
      <c r="H271" s="180" t="str">
        <f ca="1"/>
        <v/>
      </c>
      <c r="I271" s="180" t="str">
        <f ca="1"/>
        <v/>
      </c>
      <c r="J271" s="180" t="str">
        <f ca="1"/>
        <v/>
      </c>
      <c r="K271" s="180" t="str">
        <f ca="1"/>
        <v/>
      </c>
      <c r="L271" s="180" t="str">
        <f ca="1"/>
        <v/>
      </c>
      <c r="M271" s="180" t="str">
        <f ca="1"/>
        <v/>
      </c>
      <c r="N271" s="180" t="str">
        <f ca="1"/>
        <v/>
      </c>
      <c r="O271" s="180" t="str">
        <f ca="1"/>
        <v/>
      </c>
      <c r="P271" s="180" t="str">
        <f ca="1"/>
        <v/>
      </c>
      <c r="Q271" s="180" t="str">
        <f ca="1"/>
        <v/>
      </c>
      <c r="R271" s="180" t="str">
        <f ca="1"/>
        <v/>
      </c>
      <c r="S271" s="180" t="str">
        <f ca="1"/>
        <v/>
      </c>
      <c r="T271" s="180" t="str">
        <f ca="1"/>
        <v/>
      </c>
      <c r="U271" s="180" t="str">
        <f ca="1"/>
        <v/>
      </c>
      <c r="V271" s="180" t="str">
        <f ca="1"/>
        <v/>
      </c>
      <c r="W271" s="180" t="str">
        <f ca="1"/>
        <v/>
      </c>
      <c r="X271" s="180" t="str">
        <f ca="1"/>
        <v/>
      </c>
      <c r="Y271" s="180" t="str">
        <f ca="1"/>
        <v/>
      </c>
      <c r="Z271" s="180" t="str">
        <f ca="1"/>
        <v/>
      </c>
      <c r="AA271" s="180" t="str">
        <f ca="1"/>
        <v/>
      </c>
      <c r="AB271" s="180" t="str">
        <f ca="1"/>
        <v/>
      </c>
      <c r="AC271" s="180" t="str">
        <f ca="1"/>
        <v/>
      </c>
      <c r="AD271" s="180" t="str">
        <f ca="1"/>
        <v/>
      </c>
      <c r="AE271" s="180" t="str">
        <f ca="1"/>
        <v/>
      </c>
      <c r="AF271" s="180" t="str">
        <f ca="1"/>
        <v/>
      </c>
      <c r="AG271" s="180" t="str">
        <f ca="1"/>
        <v/>
      </c>
      <c r="AH271" s="180" t="str">
        <f ca="1"/>
        <v/>
      </c>
      <c r="AI271" s="180" t="str">
        <f ca="1"/>
        <v/>
      </c>
      <c r="AJ271" s="180" t="str">
        <f ca="1"/>
        <v/>
      </c>
      <c r="AK271" s="180" t="str">
        <f ca="1"/>
        <v/>
      </c>
      <c r="AL271" s="180" t="str">
        <f ca="1"/>
        <v/>
      </c>
      <c r="AM271" s="180" t="str">
        <f ca="1"/>
        <v/>
      </c>
      <c r="AN271" s="180" t="str">
        <f ca="1"/>
        <v/>
      </c>
      <c r="AO271" s="180" t="str">
        <f ca="1"/>
        <v/>
      </c>
      <c r="AP271" s="180" t="str">
        <f ca="1"/>
        <v/>
      </c>
      <c r="AQ271" s="187" t="str">
        <f ca="1"/>
        <v/>
      </c>
    </row>
    <row r="272" spans="2:43" x14ac:dyDescent="0.25">
      <c r="B272" s="179" t="str">
        <f ca="1"/>
        <v/>
      </c>
      <c r="C272" s="180" t="str">
        <f ca="1"/>
        <v/>
      </c>
      <c r="D272" s="180" t="str">
        <f ca="1"/>
        <v/>
      </c>
      <c r="E272" s="180" t="str">
        <f ca="1"/>
        <v/>
      </c>
      <c r="F272" s="180" t="str">
        <f ca="1"/>
        <v/>
      </c>
      <c r="G272" s="180" t="str">
        <f ca="1"/>
        <v/>
      </c>
      <c r="H272" s="180" t="str">
        <f ca="1"/>
        <v/>
      </c>
      <c r="I272" s="180" t="str">
        <f ca="1"/>
        <v/>
      </c>
      <c r="J272" s="180" t="str">
        <f ca="1"/>
        <v/>
      </c>
      <c r="K272" s="180" t="str">
        <f ca="1"/>
        <v/>
      </c>
      <c r="L272" s="180" t="str">
        <f ca="1"/>
        <v/>
      </c>
      <c r="M272" s="180" t="str">
        <f ca="1"/>
        <v/>
      </c>
      <c r="N272" s="180" t="str">
        <f ca="1"/>
        <v/>
      </c>
      <c r="O272" s="180" t="str">
        <f ca="1"/>
        <v/>
      </c>
      <c r="P272" s="180" t="str">
        <f ca="1"/>
        <v/>
      </c>
      <c r="Q272" s="180" t="str">
        <f ca="1"/>
        <v/>
      </c>
      <c r="R272" s="180" t="str">
        <f ca="1"/>
        <v/>
      </c>
      <c r="S272" s="180" t="str">
        <f ca="1"/>
        <v/>
      </c>
      <c r="T272" s="180" t="str">
        <f ca="1"/>
        <v/>
      </c>
      <c r="U272" s="180" t="str">
        <f ca="1"/>
        <v/>
      </c>
      <c r="V272" s="180" t="str">
        <f ca="1"/>
        <v/>
      </c>
      <c r="W272" s="180" t="str">
        <f ca="1"/>
        <v/>
      </c>
      <c r="X272" s="180" t="str">
        <f ca="1"/>
        <v/>
      </c>
      <c r="Y272" s="180" t="str">
        <f ca="1"/>
        <v/>
      </c>
      <c r="Z272" s="180" t="str">
        <f ca="1"/>
        <v/>
      </c>
      <c r="AA272" s="180" t="str">
        <f ca="1"/>
        <v/>
      </c>
      <c r="AB272" s="180" t="str">
        <f ca="1"/>
        <v/>
      </c>
      <c r="AC272" s="180" t="str">
        <f ca="1"/>
        <v/>
      </c>
      <c r="AD272" s="180" t="str">
        <f ca="1"/>
        <v/>
      </c>
      <c r="AE272" s="180" t="str">
        <f ca="1"/>
        <v/>
      </c>
      <c r="AF272" s="180" t="str">
        <f ca="1"/>
        <v/>
      </c>
      <c r="AG272" s="180" t="str">
        <f ca="1"/>
        <v/>
      </c>
      <c r="AH272" s="180" t="str">
        <f ca="1"/>
        <v/>
      </c>
      <c r="AI272" s="180" t="str">
        <f ca="1"/>
        <v/>
      </c>
      <c r="AJ272" s="180" t="str">
        <f ca="1"/>
        <v/>
      </c>
      <c r="AK272" s="180" t="str">
        <f ca="1"/>
        <v/>
      </c>
      <c r="AL272" s="180" t="str">
        <f ca="1"/>
        <v/>
      </c>
      <c r="AM272" s="180" t="str">
        <f ca="1"/>
        <v/>
      </c>
      <c r="AN272" s="180" t="str">
        <f ca="1"/>
        <v/>
      </c>
      <c r="AO272" s="180" t="str">
        <f ca="1"/>
        <v/>
      </c>
      <c r="AP272" s="180" t="str">
        <f ca="1"/>
        <v/>
      </c>
      <c r="AQ272" s="187" t="str">
        <f ca="1"/>
        <v/>
      </c>
    </row>
    <row r="273" spans="2:43" x14ac:dyDescent="0.25">
      <c r="B273" s="179" t="str">
        <f ca="1"/>
        <v/>
      </c>
      <c r="C273" s="180" t="str">
        <f ca="1"/>
        <v/>
      </c>
      <c r="D273" s="180" t="str">
        <f ca="1"/>
        <v/>
      </c>
      <c r="E273" s="180" t="str">
        <f ca="1"/>
        <v/>
      </c>
      <c r="F273" s="180" t="str">
        <f ca="1"/>
        <v/>
      </c>
      <c r="G273" s="180" t="str">
        <f ca="1"/>
        <v/>
      </c>
      <c r="H273" s="180" t="str">
        <f ca="1"/>
        <v/>
      </c>
      <c r="I273" s="180" t="str">
        <f ca="1"/>
        <v/>
      </c>
      <c r="J273" s="180" t="str">
        <f ca="1"/>
        <v/>
      </c>
      <c r="K273" s="180" t="str">
        <f ca="1"/>
        <v/>
      </c>
      <c r="L273" s="180" t="str">
        <f ca="1"/>
        <v/>
      </c>
      <c r="M273" s="180" t="str">
        <f ca="1"/>
        <v/>
      </c>
      <c r="N273" s="180" t="str">
        <f ca="1"/>
        <v/>
      </c>
      <c r="O273" s="180" t="str">
        <f ca="1"/>
        <v/>
      </c>
      <c r="P273" s="180" t="str">
        <f ca="1"/>
        <v/>
      </c>
      <c r="Q273" s="180" t="str">
        <f ca="1"/>
        <v/>
      </c>
      <c r="R273" s="180" t="str">
        <f ca="1"/>
        <v/>
      </c>
      <c r="S273" s="180" t="str">
        <f ca="1"/>
        <v/>
      </c>
      <c r="T273" s="180" t="str">
        <f ca="1"/>
        <v/>
      </c>
      <c r="U273" s="180" t="str">
        <f ca="1"/>
        <v/>
      </c>
      <c r="V273" s="180" t="str">
        <f ca="1"/>
        <v/>
      </c>
      <c r="W273" s="180" t="str">
        <f ca="1"/>
        <v/>
      </c>
      <c r="X273" s="180" t="str">
        <f ca="1"/>
        <v/>
      </c>
      <c r="Y273" s="180" t="str">
        <f ca="1"/>
        <v/>
      </c>
      <c r="Z273" s="180" t="str">
        <f ca="1"/>
        <v/>
      </c>
      <c r="AA273" s="180" t="str">
        <f ca="1"/>
        <v/>
      </c>
      <c r="AB273" s="180" t="str">
        <f ca="1"/>
        <v/>
      </c>
      <c r="AC273" s="180" t="str">
        <f ca="1"/>
        <v/>
      </c>
      <c r="AD273" s="180" t="str">
        <f ca="1"/>
        <v/>
      </c>
      <c r="AE273" s="180" t="str">
        <f ca="1"/>
        <v/>
      </c>
      <c r="AF273" s="180" t="str">
        <f ca="1"/>
        <v/>
      </c>
      <c r="AG273" s="180" t="str">
        <f ca="1"/>
        <v/>
      </c>
      <c r="AH273" s="180" t="str">
        <f ca="1"/>
        <v/>
      </c>
      <c r="AI273" s="180" t="str">
        <f ca="1"/>
        <v/>
      </c>
      <c r="AJ273" s="180" t="str">
        <f ca="1"/>
        <v/>
      </c>
      <c r="AK273" s="180" t="str">
        <f ca="1"/>
        <v/>
      </c>
      <c r="AL273" s="180" t="str">
        <f ca="1"/>
        <v/>
      </c>
      <c r="AM273" s="180" t="str">
        <f ca="1"/>
        <v/>
      </c>
      <c r="AN273" s="180" t="str">
        <f ca="1"/>
        <v/>
      </c>
      <c r="AO273" s="180" t="str">
        <f ca="1"/>
        <v/>
      </c>
      <c r="AP273" s="180" t="str">
        <f ca="1"/>
        <v/>
      </c>
      <c r="AQ273" s="187" t="str">
        <f ca="1"/>
        <v/>
      </c>
    </row>
    <row r="274" spans="2:43" x14ac:dyDescent="0.25">
      <c r="B274" s="179" t="str">
        <f ca="1"/>
        <v/>
      </c>
      <c r="C274" s="180" t="str">
        <f ca="1"/>
        <v/>
      </c>
      <c r="D274" s="180" t="str">
        <f ca="1"/>
        <v/>
      </c>
      <c r="E274" s="180" t="str">
        <f ca="1"/>
        <v/>
      </c>
      <c r="F274" s="180" t="str">
        <f ca="1"/>
        <v/>
      </c>
      <c r="G274" s="180" t="str">
        <f ca="1"/>
        <v/>
      </c>
      <c r="H274" s="180" t="str">
        <f ca="1"/>
        <v/>
      </c>
      <c r="I274" s="180" t="str">
        <f ca="1"/>
        <v/>
      </c>
      <c r="J274" s="180" t="str">
        <f ca="1"/>
        <v/>
      </c>
      <c r="K274" s="180" t="str">
        <f ca="1"/>
        <v/>
      </c>
      <c r="L274" s="180" t="str">
        <f ca="1"/>
        <v/>
      </c>
      <c r="M274" s="180" t="str">
        <f ca="1"/>
        <v/>
      </c>
      <c r="N274" s="180" t="str">
        <f ca="1"/>
        <v/>
      </c>
      <c r="O274" s="180" t="str">
        <f ca="1"/>
        <v/>
      </c>
      <c r="P274" s="180" t="str">
        <f ca="1"/>
        <v/>
      </c>
      <c r="Q274" s="180" t="str">
        <f ca="1"/>
        <v/>
      </c>
      <c r="R274" s="180" t="str">
        <f ca="1"/>
        <v/>
      </c>
      <c r="S274" s="180" t="str">
        <f ca="1"/>
        <v/>
      </c>
      <c r="T274" s="180" t="str">
        <f ca="1"/>
        <v/>
      </c>
      <c r="U274" s="180" t="str">
        <f ca="1"/>
        <v/>
      </c>
      <c r="V274" s="180" t="str">
        <f ca="1"/>
        <v/>
      </c>
      <c r="W274" s="180" t="str">
        <f ca="1"/>
        <v/>
      </c>
      <c r="X274" s="180" t="str">
        <f ca="1"/>
        <v/>
      </c>
      <c r="Y274" s="180" t="str">
        <f ca="1"/>
        <v/>
      </c>
      <c r="Z274" s="180" t="str">
        <f ca="1"/>
        <v/>
      </c>
      <c r="AA274" s="180" t="str">
        <f ca="1"/>
        <v/>
      </c>
      <c r="AB274" s="180" t="str">
        <f ca="1"/>
        <v/>
      </c>
      <c r="AC274" s="180" t="str">
        <f ca="1"/>
        <v/>
      </c>
      <c r="AD274" s="180" t="str">
        <f ca="1"/>
        <v/>
      </c>
      <c r="AE274" s="180" t="str">
        <f ca="1"/>
        <v/>
      </c>
      <c r="AF274" s="180" t="str">
        <f ca="1"/>
        <v/>
      </c>
      <c r="AG274" s="180" t="str">
        <f ca="1"/>
        <v/>
      </c>
      <c r="AH274" s="180" t="str">
        <f ca="1"/>
        <v/>
      </c>
      <c r="AI274" s="180" t="str">
        <f ca="1"/>
        <v/>
      </c>
      <c r="AJ274" s="180" t="str">
        <f ca="1"/>
        <v/>
      </c>
      <c r="AK274" s="180" t="str">
        <f ca="1"/>
        <v/>
      </c>
      <c r="AL274" s="180" t="str">
        <f ca="1"/>
        <v/>
      </c>
      <c r="AM274" s="180" t="str">
        <f ca="1"/>
        <v/>
      </c>
      <c r="AN274" s="180" t="str">
        <f ca="1"/>
        <v/>
      </c>
      <c r="AO274" s="180" t="str">
        <f ca="1"/>
        <v/>
      </c>
      <c r="AP274" s="180" t="str">
        <f ca="1"/>
        <v/>
      </c>
      <c r="AQ274" s="187" t="str">
        <f ca="1"/>
        <v/>
      </c>
    </row>
    <row r="275" spans="2:43" x14ac:dyDescent="0.25">
      <c r="B275" s="179" t="str">
        <f ca="1"/>
        <v/>
      </c>
      <c r="C275" s="180" t="str">
        <f ca="1"/>
        <v/>
      </c>
      <c r="D275" s="180" t="str">
        <f ca="1"/>
        <v/>
      </c>
      <c r="E275" s="180" t="str">
        <f ca="1"/>
        <v/>
      </c>
      <c r="F275" s="180" t="str">
        <f ca="1"/>
        <v/>
      </c>
      <c r="G275" s="180" t="str">
        <f ca="1"/>
        <v/>
      </c>
      <c r="H275" s="180" t="str">
        <f ca="1"/>
        <v/>
      </c>
      <c r="I275" s="180" t="str">
        <f ca="1"/>
        <v/>
      </c>
      <c r="J275" s="180" t="str">
        <f ca="1"/>
        <v/>
      </c>
      <c r="K275" s="180" t="str">
        <f ca="1"/>
        <v/>
      </c>
      <c r="L275" s="180" t="str">
        <f ca="1"/>
        <v/>
      </c>
      <c r="M275" s="180" t="str">
        <f ca="1"/>
        <v/>
      </c>
      <c r="N275" s="180" t="str">
        <f ca="1"/>
        <v/>
      </c>
      <c r="O275" s="180" t="str">
        <f ca="1"/>
        <v/>
      </c>
      <c r="P275" s="180" t="str">
        <f ca="1"/>
        <v/>
      </c>
      <c r="Q275" s="180" t="str">
        <f ca="1"/>
        <v/>
      </c>
      <c r="R275" s="180" t="str">
        <f ca="1"/>
        <v/>
      </c>
      <c r="S275" s="180" t="str">
        <f ca="1"/>
        <v/>
      </c>
      <c r="T275" s="180" t="str">
        <f ca="1"/>
        <v/>
      </c>
      <c r="U275" s="180" t="str">
        <f ca="1"/>
        <v/>
      </c>
      <c r="V275" s="180" t="str">
        <f ca="1"/>
        <v/>
      </c>
      <c r="W275" s="180" t="str">
        <f ca="1"/>
        <v/>
      </c>
      <c r="X275" s="180" t="str">
        <f ca="1"/>
        <v/>
      </c>
      <c r="Y275" s="180" t="str">
        <f ca="1"/>
        <v/>
      </c>
      <c r="Z275" s="180" t="str">
        <f ca="1"/>
        <v/>
      </c>
      <c r="AA275" s="180" t="str">
        <f ca="1"/>
        <v/>
      </c>
      <c r="AB275" s="180" t="str">
        <f ca="1"/>
        <v/>
      </c>
      <c r="AC275" s="180" t="str">
        <f ca="1"/>
        <v/>
      </c>
      <c r="AD275" s="180" t="str">
        <f ca="1"/>
        <v/>
      </c>
      <c r="AE275" s="180" t="str">
        <f ca="1"/>
        <v/>
      </c>
      <c r="AF275" s="180" t="str">
        <f ca="1"/>
        <v/>
      </c>
      <c r="AG275" s="180" t="str">
        <f ca="1"/>
        <v/>
      </c>
      <c r="AH275" s="180" t="str">
        <f ca="1"/>
        <v/>
      </c>
      <c r="AI275" s="180" t="str">
        <f ca="1"/>
        <v/>
      </c>
      <c r="AJ275" s="180" t="str">
        <f ca="1"/>
        <v/>
      </c>
      <c r="AK275" s="180" t="str">
        <f ca="1"/>
        <v/>
      </c>
      <c r="AL275" s="180" t="str">
        <f ca="1"/>
        <v/>
      </c>
      <c r="AM275" s="180" t="str">
        <f ca="1"/>
        <v/>
      </c>
      <c r="AN275" s="180" t="str">
        <f ca="1"/>
        <v/>
      </c>
      <c r="AO275" s="180" t="str">
        <f ca="1"/>
        <v/>
      </c>
      <c r="AP275" s="180" t="str">
        <f ca="1"/>
        <v/>
      </c>
      <c r="AQ275" s="187" t="str">
        <f ca="1"/>
        <v/>
      </c>
    </row>
    <row r="276" spans="2:43" x14ac:dyDescent="0.25">
      <c r="B276" s="179" t="str">
        <f ca="1"/>
        <v/>
      </c>
      <c r="C276" s="180" t="str">
        <f ca="1"/>
        <v/>
      </c>
      <c r="D276" s="180" t="str">
        <f ca="1"/>
        <v/>
      </c>
      <c r="E276" s="180" t="str">
        <f ca="1"/>
        <v/>
      </c>
      <c r="F276" s="180" t="str">
        <f ca="1"/>
        <v/>
      </c>
      <c r="G276" s="180" t="str">
        <f ca="1"/>
        <v/>
      </c>
      <c r="H276" s="180" t="str">
        <f ca="1"/>
        <v/>
      </c>
      <c r="I276" s="180" t="str">
        <f ca="1"/>
        <v/>
      </c>
      <c r="J276" s="180" t="str">
        <f ca="1"/>
        <v/>
      </c>
      <c r="K276" s="180" t="str">
        <f ca="1"/>
        <v/>
      </c>
      <c r="L276" s="180" t="str">
        <f ca="1"/>
        <v/>
      </c>
      <c r="M276" s="180" t="str">
        <f ca="1"/>
        <v/>
      </c>
      <c r="N276" s="180" t="str">
        <f ca="1"/>
        <v/>
      </c>
      <c r="O276" s="180" t="str">
        <f ca="1"/>
        <v/>
      </c>
      <c r="P276" s="180" t="str">
        <f ca="1"/>
        <v/>
      </c>
      <c r="Q276" s="180" t="str">
        <f ca="1"/>
        <v/>
      </c>
      <c r="R276" s="180" t="str">
        <f ca="1"/>
        <v/>
      </c>
      <c r="S276" s="180" t="str">
        <f ca="1"/>
        <v/>
      </c>
      <c r="T276" s="180" t="str">
        <f ca="1"/>
        <v/>
      </c>
      <c r="U276" s="180" t="str">
        <f ca="1"/>
        <v/>
      </c>
      <c r="V276" s="180" t="str">
        <f ca="1"/>
        <v/>
      </c>
      <c r="W276" s="180" t="str">
        <f ca="1"/>
        <v/>
      </c>
      <c r="X276" s="180" t="str">
        <f ca="1"/>
        <v/>
      </c>
      <c r="Y276" s="180" t="str">
        <f ca="1"/>
        <v/>
      </c>
      <c r="Z276" s="180" t="str">
        <f ca="1"/>
        <v/>
      </c>
      <c r="AA276" s="180" t="str">
        <f ca="1"/>
        <v/>
      </c>
      <c r="AB276" s="180" t="str">
        <f ca="1"/>
        <v/>
      </c>
      <c r="AC276" s="180" t="str">
        <f ca="1"/>
        <v/>
      </c>
      <c r="AD276" s="180" t="str">
        <f ca="1"/>
        <v/>
      </c>
      <c r="AE276" s="180" t="str">
        <f ca="1"/>
        <v/>
      </c>
      <c r="AF276" s="180" t="str">
        <f ca="1"/>
        <v/>
      </c>
      <c r="AG276" s="180" t="str">
        <f ca="1"/>
        <v/>
      </c>
      <c r="AH276" s="180" t="str">
        <f ca="1"/>
        <v/>
      </c>
      <c r="AI276" s="180" t="str">
        <f ca="1"/>
        <v/>
      </c>
      <c r="AJ276" s="180" t="str">
        <f ca="1"/>
        <v/>
      </c>
      <c r="AK276" s="180" t="str">
        <f ca="1"/>
        <v/>
      </c>
      <c r="AL276" s="180" t="str">
        <f ca="1"/>
        <v/>
      </c>
      <c r="AM276" s="180" t="str">
        <f ca="1"/>
        <v/>
      </c>
      <c r="AN276" s="180" t="str">
        <f ca="1"/>
        <v/>
      </c>
      <c r="AO276" s="180" t="str">
        <f ca="1"/>
        <v/>
      </c>
      <c r="AP276" s="180" t="str">
        <f ca="1"/>
        <v/>
      </c>
      <c r="AQ276" s="187" t="str">
        <f ca="1"/>
        <v/>
      </c>
    </row>
    <row r="277" spans="2:43" x14ac:dyDescent="0.25">
      <c r="B277" s="179" t="str">
        <f ca="1"/>
        <v/>
      </c>
      <c r="C277" s="180" t="str">
        <f ca="1"/>
        <v/>
      </c>
      <c r="D277" s="180" t="str">
        <f ca="1"/>
        <v/>
      </c>
      <c r="E277" s="180" t="str">
        <f ca="1"/>
        <v/>
      </c>
      <c r="F277" s="180" t="str">
        <f ca="1"/>
        <v/>
      </c>
      <c r="G277" s="180" t="str">
        <f ca="1"/>
        <v/>
      </c>
      <c r="H277" s="180" t="str">
        <f ca="1"/>
        <v/>
      </c>
      <c r="I277" s="180" t="str">
        <f ca="1"/>
        <v/>
      </c>
      <c r="J277" s="180" t="str">
        <f ca="1"/>
        <v/>
      </c>
      <c r="K277" s="180" t="str">
        <f ca="1"/>
        <v/>
      </c>
      <c r="L277" s="180" t="str">
        <f ca="1"/>
        <v/>
      </c>
      <c r="M277" s="180" t="str">
        <f ca="1"/>
        <v/>
      </c>
      <c r="N277" s="180" t="str">
        <f ca="1"/>
        <v/>
      </c>
      <c r="O277" s="180" t="str">
        <f ca="1"/>
        <v/>
      </c>
      <c r="P277" s="180" t="str">
        <f ca="1"/>
        <v/>
      </c>
      <c r="Q277" s="180" t="str">
        <f ca="1"/>
        <v/>
      </c>
      <c r="R277" s="180" t="str">
        <f ca="1"/>
        <v/>
      </c>
      <c r="S277" s="180" t="str">
        <f ca="1"/>
        <v/>
      </c>
      <c r="T277" s="180" t="str">
        <f ca="1"/>
        <v/>
      </c>
      <c r="U277" s="180" t="str">
        <f ca="1"/>
        <v/>
      </c>
      <c r="V277" s="180" t="str">
        <f ca="1"/>
        <v/>
      </c>
      <c r="W277" s="180" t="str">
        <f ca="1"/>
        <v/>
      </c>
      <c r="X277" s="180" t="str">
        <f ca="1"/>
        <v/>
      </c>
      <c r="Y277" s="180" t="str">
        <f ca="1"/>
        <v/>
      </c>
      <c r="Z277" s="180" t="str">
        <f ca="1"/>
        <v/>
      </c>
      <c r="AA277" s="180" t="str">
        <f ca="1"/>
        <v/>
      </c>
      <c r="AB277" s="180" t="str">
        <f ca="1"/>
        <v/>
      </c>
      <c r="AC277" s="180" t="str">
        <f ca="1"/>
        <v/>
      </c>
      <c r="AD277" s="180" t="str">
        <f ca="1"/>
        <v/>
      </c>
      <c r="AE277" s="180" t="str">
        <f ca="1"/>
        <v/>
      </c>
      <c r="AF277" s="180" t="str">
        <f ca="1"/>
        <v/>
      </c>
      <c r="AG277" s="180" t="str">
        <f ca="1"/>
        <v/>
      </c>
      <c r="AH277" s="180" t="str">
        <f ca="1"/>
        <v/>
      </c>
      <c r="AI277" s="180" t="str">
        <f ca="1"/>
        <v/>
      </c>
      <c r="AJ277" s="180" t="str">
        <f ca="1"/>
        <v/>
      </c>
      <c r="AK277" s="180" t="str">
        <f ca="1"/>
        <v/>
      </c>
      <c r="AL277" s="180" t="str">
        <f ca="1"/>
        <v/>
      </c>
      <c r="AM277" s="180" t="str">
        <f ca="1"/>
        <v/>
      </c>
      <c r="AN277" s="180" t="str">
        <f ca="1"/>
        <v/>
      </c>
      <c r="AO277" s="180" t="str">
        <f ca="1"/>
        <v/>
      </c>
      <c r="AP277" s="180" t="str">
        <f ca="1"/>
        <v/>
      </c>
      <c r="AQ277" s="187" t="str">
        <f ca="1"/>
        <v/>
      </c>
    </row>
    <row r="278" spans="2:43" x14ac:dyDescent="0.25">
      <c r="B278" s="179" t="str">
        <f ca="1"/>
        <v/>
      </c>
      <c r="C278" s="180" t="str">
        <f ca="1"/>
        <v/>
      </c>
      <c r="D278" s="180" t="str">
        <f ca="1"/>
        <v/>
      </c>
      <c r="E278" s="180" t="str">
        <f ca="1"/>
        <v/>
      </c>
      <c r="F278" s="180" t="str">
        <f ca="1"/>
        <v/>
      </c>
      <c r="G278" s="180" t="str">
        <f ca="1"/>
        <v/>
      </c>
      <c r="H278" s="180" t="str">
        <f ca="1"/>
        <v/>
      </c>
      <c r="I278" s="180" t="str">
        <f ca="1"/>
        <v/>
      </c>
      <c r="J278" s="180" t="str">
        <f ca="1"/>
        <v/>
      </c>
      <c r="K278" s="180" t="str">
        <f ca="1"/>
        <v/>
      </c>
      <c r="L278" s="180" t="str">
        <f ca="1"/>
        <v/>
      </c>
      <c r="M278" s="180" t="str">
        <f ca="1"/>
        <v/>
      </c>
      <c r="N278" s="180" t="str">
        <f ca="1"/>
        <v/>
      </c>
      <c r="O278" s="180" t="str">
        <f ca="1"/>
        <v/>
      </c>
      <c r="P278" s="180" t="str">
        <f ca="1"/>
        <v/>
      </c>
      <c r="Q278" s="180" t="str">
        <f ca="1"/>
        <v/>
      </c>
      <c r="R278" s="180" t="str">
        <f ca="1"/>
        <v/>
      </c>
      <c r="S278" s="180" t="str">
        <f ca="1"/>
        <v/>
      </c>
      <c r="T278" s="180" t="str">
        <f ca="1"/>
        <v/>
      </c>
      <c r="U278" s="180" t="str">
        <f ca="1"/>
        <v/>
      </c>
      <c r="V278" s="180" t="str">
        <f ca="1"/>
        <v/>
      </c>
      <c r="W278" s="180" t="str">
        <f ca="1"/>
        <v/>
      </c>
      <c r="X278" s="180" t="str">
        <f ca="1"/>
        <v/>
      </c>
      <c r="Y278" s="180" t="str">
        <f ca="1"/>
        <v/>
      </c>
      <c r="Z278" s="180" t="str">
        <f ca="1"/>
        <v/>
      </c>
      <c r="AA278" s="180" t="str">
        <f ca="1"/>
        <v/>
      </c>
      <c r="AB278" s="180" t="str">
        <f ca="1"/>
        <v/>
      </c>
      <c r="AC278" s="180" t="str">
        <f ca="1"/>
        <v/>
      </c>
      <c r="AD278" s="180" t="str">
        <f ca="1"/>
        <v/>
      </c>
      <c r="AE278" s="180" t="str">
        <f ca="1"/>
        <v/>
      </c>
      <c r="AF278" s="180" t="str">
        <f ca="1"/>
        <v/>
      </c>
      <c r="AG278" s="180" t="str">
        <f ca="1"/>
        <v/>
      </c>
      <c r="AH278" s="180" t="str">
        <f ca="1"/>
        <v/>
      </c>
      <c r="AI278" s="180" t="str">
        <f ca="1"/>
        <v/>
      </c>
      <c r="AJ278" s="180" t="str">
        <f ca="1"/>
        <v/>
      </c>
      <c r="AK278" s="180" t="str">
        <f ca="1"/>
        <v/>
      </c>
      <c r="AL278" s="180" t="str">
        <f ca="1"/>
        <v/>
      </c>
      <c r="AM278" s="180" t="str">
        <f ca="1"/>
        <v/>
      </c>
      <c r="AN278" s="180" t="str">
        <f ca="1"/>
        <v/>
      </c>
      <c r="AO278" s="180" t="str">
        <f ca="1"/>
        <v/>
      </c>
      <c r="AP278" s="180" t="str">
        <f ca="1"/>
        <v/>
      </c>
      <c r="AQ278" s="187" t="str">
        <f ca="1"/>
        <v/>
      </c>
    </row>
    <row r="279" spans="2:43" x14ac:dyDescent="0.25">
      <c r="B279" s="179" t="str">
        <f ca="1"/>
        <v/>
      </c>
      <c r="C279" s="180" t="str">
        <f ca="1"/>
        <v/>
      </c>
      <c r="D279" s="180" t="str">
        <f ca="1"/>
        <v/>
      </c>
      <c r="E279" s="180" t="str">
        <f ca="1"/>
        <v/>
      </c>
      <c r="F279" s="180" t="str">
        <f ca="1"/>
        <v/>
      </c>
      <c r="G279" s="180" t="str">
        <f ca="1"/>
        <v/>
      </c>
      <c r="H279" s="180" t="str">
        <f ca="1"/>
        <v/>
      </c>
      <c r="I279" s="180" t="str">
        <f ca="1"/>
        <v/>
      </c>
      <c r="J279" s="180" t="str">
        <f ca="1"/>
        <v/>
      </c>
      <c r="K279" s="180" t="str">
        <f ca="1"/>
        <v/>
      </c>
      <c r="L279" s="180" t="str">
        <f ca="1"/>
        <v/>
      </c>
      <c r="M279" s="180" t="str">
        <f ca="1"/>
        <v/>
      </c>
      <c r="N279" s="180" t="str">
        <f ca="1"/>
        <v/>
      </c>
      <c r="O279" s="180" t="str">
        <f ca="1"/>
        <v/>
      </c>
      <c r="P279" s="180" t="str">
        <f ca="1"/>
        <v/>
      </c>
      <c r="Q279" s="180" t="str">
        <f ca="1"/>
        <v/>
      </c>
      <c r="R279" s="180" t="str">
        <f ca="1"/>
        <v/>
      </c>
      <c r="S279" s="180" t="str">
        <f ca="1"/>
        <v/>
      </c>
      <c r="T279" s="180" t="str">
        <f ca="1"/>
        <v/>
      </c>
      <c r="U279" s="180" t="str">
        <f ca="1"/>
        <v/>
      </c>
      <c r="V279" s="180" t="str">
        <f ca="1"/>
        <v/>
      </c>
      <c r="W279" s="180" t="str">
        <f ca="1"/>
        <v/>
      </c>
      <c r="X279" s="180" t="str">
        <f ca="1"/>
        <v/>
      </c>
      <c r="Y279" s="180" t="str">
        <f ca="1"/>
        <v/>
      </c>
      <c r="Z279" s="180" t="str">
        <f ca="1"/>
        <v/>
      </c>
      <c r="AA279" s="180" t="str">
        <f ca="1"/>
        <v/>
      </c>
      <c r="AB279" s="180" t="str">
        <f ca="1"/>
        <v/>
      </c>
      <c r="AC279" s="180" t="str">
        <f ca="1"/>
        <v/>
      </c>
      <c r="AD279" s="180" t="str">
        <f ca="1"/>
        <v/>
      </c>
      <c r="AE279" s="180" t="str">
        <f ca="1"/>
        <v/>
      </c>
      <c r="AF279" s="180" t="str">
        <f ca="1"/>
        <v/>
      </c>
      <c r="AG279" s="180" t="str">
        <f ca="1"/>
        <v/>
      </c>
      <c r="AH279" s="180" t="str">
        <f ca="1"/>
        <v/>
      </c>
      <c r="AI279" s="180" t="str">
        <f ca="1"/>
        <v/>
      </c>
      <c r="AJ279" s="180" t="str">
        <f ca="1"/>
        <v/>
      </c>
      <c r="AK279" s="180" t="str">
        <f ca="1"/>
        <v/>
      </c>
      <c r="AL279" s="180" t="str">
        <f ca="1"/>
        <v/>
      </c>
      <c r="AM279" s="180" t="str">
        <f ca="1"/>
        <v/>
      </c>
      <c r="AN279" s="180" t="str">
        <f ca="1"/>
        <v/>
      </c>
      <c r="AO279" s="180" t="str">
        <f ca="1"/>
        <v/>
      </c>
      <c r="AP279" s="180" t="str">
        <f ca="1"/>
        <v/>
      </c>
      <c r="AQ279" s="187" t="str">
        <f ca="1"/>
        <v/>
      </c>
    </row>
    <row r="280" spans="2:43" x14ac:dyDescent="0.25">
      <c r="B280" s="179" t="str">
        <f ca="1"/>
        <v/>
      </c>
      <c r="C280" s="180" t="str">
        <f ca="1"/>
        <v/>
      </c>
      <c r="D280" s="180" t="str">
        <f ca="1"/>
        <v/>
      </c>
      <c r="E280" s="180" t="str">
        <f ca="1"/>
        <v/>
      </c>
      <c r="F280" s="180" t="str">
        <f ca="1"/>
        <v/>
      </c>
      <c r="G280" s="180" t="str">
        <f ca="1"/>
        <v/>
      </c>
      <c r="H280" s="180" t="str">
        <f ca="1"/>
        <v/>
      </c>
      <c r="I280" s="180" t="str">
        <f ca="1"/>
        <v/>
      </c>
      <c r="J280" s="180" t="str">
        <f ca="1"/>
        <v/>
      </c>
      <c r="K280" s="180" t="str">
        <f ca="1"/>
        <v/>
      </c>
      <c r="L280" s="180" t="str">
        <f ca="1"/>
        <v/>
      </c>
      <c r="M280" s="180" t="str">
        <f ca="1"/>
        <v/>
      </c>
      <c r="N280" s="180" t="str">
        <f ca="1"/>
        <v/>
      </c>
      <c r="O280" s="180" t="str">
        <f ca="1"/>
        <v/>
      </c>
      <c r="P280" s="180" t="str">
        <f ca="1"/>
        <v/>
      </c>
      <c r="Q280" s="180" t="str">
        <f ca="1"/>
        <v/>
      </c>
      <c r="R280" s="180" t="str">
        <f ca="1"/>
        <v/>
      </c>
      <c r="S280" s="180" t="str">
        <f ca="1"/>
        <v/>
      </c>
      <c r="T280" s="180" t="str">
        <f ca="1"/>
        <v/>
      </c>
      <c r="U280" s="180" t="str">
        <f ca="1"/>
        <v/>
      </c>
      <c r="V280" s="180" t="str">
        <f ca="1"/>
        <v/>
      </c>
      <c r="W280" s="180" t="str">
        <f ca="1"/>
        <v/>
      </c>
      <c r="X280" s="180" t="str">
        <f ca="1"/>
        <v/>
      </c>
      <c r="Y280" s="180" t="str">
        <f ca="1"/>
        <v/>
      </c>
      <c r="Z280" s="180" t="str">
        <f ca="1"/>
        <v/>
      </c>
      <c r="AA280" s="180" t="str">
        <f ca="1"/>
        <v/>
      </c>
      <c r="AB280" s="180" t="str">
        <f ca="1"/>
        <v/>
      </c>
      <c r="AC280" s="180" t="str">
        <f ca="1"/>
        <v/>
      </c>
      <c r="AD280" s="180" t="str">
        <f ca="1"/>
        <v/>
      </c>
      <c r="AE280" s="180" t="str">
        <f ca="1"/>
        <v/>
      </c>
      <c r="AF280" s="180" t="str">
        <f ca="1"/>
        <v/>
      </c>
      <c r="AG280" s="180" t="str">
        <f ca="1"/>
        <v/>
      </c>
      <c r="AH280" s="180" t="str">
        <f ca="1"/>
        <v/>
      </c>
      <c r="AI280" s="180" t="str">
        <f ca="1"/>
        <v/>
      </c>
      <c r="AJ280" s="180" t="str">
        <f ca="1"/>
        <v/>
      </c>
      <c r="AK280" s="180" t="str">
        <f ca="1"/>
        <v/>
      </c>
      <c r="AL280" s="180" t="str">
        <f ca="1"/>
        <v/>
      </c>
      <c r="AM280" s="180" t="str">
        <f ca="1"/>
        <v/>
      </c>
      <c r="AN280" s="180" t="str">
        <f ca="1"/>
        <v/>
      </c>
      <c r="AO280" s="180" t="str">
        <f ca="1"/>
        <v/>
      </c>
      <c r="AP280" s="180" t="str">
        <f ca="1"/>
        <v/>
      </c>
      <c r="AQ280" s="187" t="str">
        <f ca="1"/>
        <v/>
      </c>
    </row>
    <row r="281" spans="2:43" x14ac:dyDescent="0.25">
      <c r="B281" s="179" t="str">
        <f ca="1"/>
        <v/>
      </c>
      <c r="C281" s="180" t="str">
        <f ca="1"/>
        <v/>
      </c>
      <c r="D281" s="180" t="str">
        <f ca="1"/>
        <v/>
      </c>
      <c r="E281" s="180" t="str">
        <f ca="1"/>
        <v/>
      </c>
      <c r="F281" s="180" t="str">
        <f ca="1"/>
        <v/>
      </c>
      <c r="G281" s="180" t="str">
        <f ca="1"/>
        <v/>
      </c>
      <c r="H281" s="180" t="str">
        <f ca="1"/>
        <v/>
      </c>
      <c r="I281" s="180" t="str">
        <f ca="1"/>
        <v/>
      </c>
      <c r="J281" s="180" t="str">
        <f ca="1"/>
        <v/>
      </c>
      <c r="K281" s="180" t="str">
        <f ca="1"/>
        <v/>
      </c>
      <c r="L281" s="180" t="str">
        <f ca="1"/>
        <v/>
      </c>
      <c r="M281" s="180" t="str">
        <f ca="1"/>
        <v/>
      </c>
      <c r="N281" s="180" t="str">
        <f ca="1"/>
        <v/>
      </c>
      <c r="O281" s="180" t="str">
        <f ca="1"/>
        <v/>
      </c>
      <c r="P281" s="180" t="str">
        <f ca="1"/>
        <v/>
      </c>
      <c r="Q281" s="180" t="str">
        <f ca="1"/>
        <v/>
      </c>
      <c r="R281" s="180" t="str">
        <f ca="1"/>
        <v/>
      </c>
      <c r="S281" s="180" t="str">
        <f ca="1"/>
        <v/>
      </c>
      <c r="T281" s="180" t="str">
        <f ca="1"/>
        <v/>
      </c>
      <c r="U281" s="180" t="str">
        <f ca="1"/>
        <v/>
      </c>
      <c r="V281" s="180" t="str">
        <f ca="1"/>
        <v/>
      </c>
      <c r="W281" s="180" t="str">
        <f ca="1"/>
        <v/>
      </c>
      <c r="X281" s="180" t="str">
        <f ca="1"/>
        <v/>
      </c>
      <c r="Y281" s="180" t="str">
        <f ca="1"/>
        <v/>
      </c>
      <c r="Z281" s="180" t="str">
        <f ca="1"/>
        <v/>
      </c>
      <c r="AA281" s="180" t="str">
        <f ca="1"/>
        <v/>
      </c>
      <c r="AB281" s="180" t="str">
        <f ca="1"/>
        <v/>
      </c>
      <c r="AC281" s="180" t="str">
        <f ca="1"/>
        <v/>
      </c>
      <c r="AD281" s="180" t="str">
        <f ca="1"/>
        <v/>
      </c>
      <c r="AE281" s="180" t="str">
        <f ca="1"/>
        <v/>
      </c>
      <c r="AF281" s="180" t="str">
        <f ca="1"/>
        <v/>
      </c>
      <c r="AG281" s="180" t="str">
        <f ca="1"/>
        <v/>
      </c>
      <c r="AH281" s="180" t="str">
        <f ca="1"/>
        <v/>
      </c>
      <c r="AI281" s="180" t="str">
        <f ca="1"/>
        <v/>
      </c>
      <c r="AJ281" s="180" t="str">
        <f ca="1"/>
        <v/>
      </c>
      <c r="AK281" s="180" t="str">
        <f ca="1"/>
        <v/>
      </c>
      <c r="AL281" s="180" t="str">
        <f ca="1"/>
        <v/>
      </c>
      <c r="AM281" s="180" t="str">
        <f ca="1"/>
        <v/>
      </c>
      <c r="AN281" s="180" t="str">
        <f ca="1"/>
        <v/>
      </c>
      <c r="AO281" s="180" t="str">
        <f ca="1"/>
        <v/>
      </c>
      <c r="AP281" s="180" t="str">
        <f ca="1"/>
        <v/>
      </c>
      <c r="AQ281" s="187" t="str">
        <f ca="1"/>
        <v/>
      </c>
    </row>
    <row r="282" spans="2:43" x14ac:dyDescent="0.25">
      <c r="B282" s="179" t="str">
        <f ca="1"/>
        <v/>
      </c>
      <c r="C282" s="180" t="str">
        <f ca="1"/>
        <v/>
      </c>
      <c r="D282" s="180" t="str">
        <f ca="1"/>
        <v/>
      </c>
      <c r="E282" s="180" t="str">
        <f ca="1"/>
        <v/>
      </c>
      <c r="F282" s="180" t="str">
        <f ca="1"/>
        <v/>
      </c>
      <c r="G282" s="180" t="str">
        <f ca="1"/>
        <v/>
      </c>
      <c r="H282" s="180" t="str">
        <f ca="1"/>
        <v/>
      </c>
      <c r="I282" s="180" t="str">
        <f ca="1"/>
        <v/>
      </c>
      <c r="J282" s="180" t="str">
        <f ca="1"/>
        <v/>
      </c>
      <c r="K282" s="180" t="str">
        <f ca="1"/>
        <v/>
      </c>
      <c r="L282" s="180" t="str">
        <f ca="1"/>
        <v/>
      </c>
      <c r="M282" s="180" t="str">
        <f ca="1"/>
        <v/>
      </c>
      <c r="N282" s="180" t="str">
        <f ca="1"/>
        <v/>
      </c>
      <c r="O282" s="180" t="str">
        <f ca="1"/>
        <v/>
      </c>
      <c r="P282" s="180" t="str">
        <f ca="1"/>
        <v/>
      </c>
      <c r="Q282" s="180" t="str">
        <f ca="1"/>
        <v/>
      </c>
      <c r="R282" s="180" t="str">
        <f ca="1"/>
        <v/>
      </c>
      <c r="S282" s="180" t="str">
        <f ca="1"/>
        <v/>
      </c>
      <c r="T282" s="180" t="str">
        <f ca="1"/>
        <v/>
      </c>
      <c r="U282" s="180" t="str">
        <f ca="1"/>
        <v/>
      </c>
      <c r="V282" s="180" t="str">
        <f ca="1"/>
        <v/>
      </c>
      <c r="W282" s="180" t="str">
        <f ca="1"/>
        <v/>
      </c>
      <c r="X282" s="180" t="str">
        <f ca="1"/>
        <v/>
      </c>
      <c r="Y282" s="180" t="str">
        <f ca="1"/>
        <v/>
      </c>
      <c r="Z282" s="180" t="str">
        <f ca="1"/>
        <v/>
      </c>
      <c r="AA282" s="180" t="str">
        <f ca="1"/>
        <v/>
      </c>
      <c r="AB282" s="180" t="str">
        <f ca="1"/>
        <v/>
      </c>
      <c r="AC282" s="180" t="str">
        <f ca="1"/>
        <v/>
      </c>
      <c r="AD282" s="180" t="str">
        <f ca="1"/>
        <v/>
      </c>
      <c r="AE282" s="180" t="str">
        <f ca="1"/>
        <v/>
      </c>
      <c r="AF282" s="180" t="str">
        <f ca="1"/>
        <v/>
      </c>
      <c r="AG282" s="180" t="str">
        <f ca="1"/>
        <v/>
      </c>
      <c r="AH282" s="180" t="str">
        <f ca="1"/>
        <v/>
      </c>
      <c r="AI282" s="180" t="str">
        <f ca="1"/>
        <v/>
      </c>
      <c r="AJ282" s="180" t="str">
        <f ca="1"/>
        <v/>
      </c>
      <c r="AK282" s="180" t="str">
        <f ca="1"/>
        <v/>
      </c>
      <c r="AL282" s="180" t="str">
        <f ca="1"/>
        <v/>
      </c>
      <c r="AM282" s="180" t="str">
        <f ca="1"/>
        <v/>
      </c>
      <c r="AN282" s="180" t="str">
        <f ca="1"/>
        <v/>
      </c>
      <c r="AO282" s="180" t="str">
        <f ca="1"/>
        <v/>
      </c>
      <c r="AP282" s="180" t="str">
        <f ca="1"/>
        <v/>
      </c>
      <c r="AQ282" s="187" t="str">
        <f ca="1"/>
        <v/>
      </c>
    </row>
    <row r="283" spans="2:43" x14ac:dyDescent="0.25">
      <c r="B283" s="179" t="str">
        <f ca="1"/>
        <v/>
      </c>
      <c r="C283" s="180" t="str">
        <f ca="1"/>
        <v/>
      </c>
      <c r="D283" s="180" t="str">
        <f ca="1"/>
        <v/>
      </c>
      <c r="E283" s="180" t="str">
        <f ca="1"/>
        <v/>
      </c>
      <c r="F283" s="180" t="str">
        <f ca="1"/>
        <v/>
      </c>
      <c r="G283" s="180" t="str">
        <f ca="1"/>
        <v/>
      </c>
      <c r="H283" s="180" t="str">
        <f ca="1"/>
        <v/>
      </c>
      <c r="I283" s="180" t="str">
        <f ca="1"/>
        <v/>
      </c>
      <c r="J283" s="180" t="str">
        <f ca="1"/>
        <v/>
      </c>
      <c r="K283" s="180" t="str">
        <f ca="1"/>
        <v/>
      </c>
      <c r="L283" s="180" t="str">
        <f ca="1"/>
        <v/>
      </c>
      <c r="M283" s="180" t="str">
        <f ca="1"/>
        <v/>
      </c>
      <c r="N283" s="180" t="str">
        <f ca="1"/>
        <v/>
      </c>
      <c r="O283" s="180" t="str">
        <f ca="1"/>
        <v/>
      </c>
      <c r="P283" s="180" t="str">
        <f ca="1"/>
        <v/>
      </c>
      <c r="Q283" s="180" t="str">
        <f ca="1"/>
        <v/>
      </c>
      <c r="R283" s="180" t="str">
        <f ca="1"/>
        <v/>
      </c>
      <c r="S283" s="180" t="str">
        <f ca="1"/>
        <v/>
      </c>
      <c r="T283" s="180" t="str">
        <f ca="1"/>
        <v/>
      </c>
      <c r="U283" s="180" t="str">
        <f ca="1"/>
        <v/>
      </c>
      <c r="V283" s="180" t="str">
        <f ca="1"/>
        <v/>
      </c>
      <c r="W283" s="180" t="str">
        <f ca="1"/>
        <v/>
      </c>
      <c r="X283" s="180" t="str">
        <f ca="1"/>
        <v/>
      </c>
      <c r="Y283" s="180" t="str">
        <f ca="1"/>
        <v/>
      </c>
      <c r="Z283" s="180" t="str">
        <f ca="1"/>
        <v/>
      </c>
      <c r="AA283" s="180" t="str">
        <f ca="1"/>
        <v/>
      </c>
      <c r="AB283" s="180" t="str">
        <f ca="1"/>
        <v/>
      </c>
      <c r="AC283" s="180" t="str">
        <f ca="1"/>
        <v/>
      </c>
      <c r="AD283" s="180" t="str">
        <f ca="1"/>
        <v/>
      </c>
      <c r="AE283" s="180" t="str">
        <f ca="1"/>
        <v/>
      </c>
      <c r="AF283" s="180" t="str">
        <f ca="1"/>
        <v/>
      </c>
      <c r="AG283" s="180" t="str">
        <f ca="1"/>
        <v/>
      </c>
      <c r="AH283" s="180" t="str">
        <f ca="1"/>
        <v/>
      </c>
      <c r="AI283" s="180" t="str">
        <f ca="1"/>
        <v/>
      </c>
      <c r="AJ283" s="180" t="str">
        <f ca="1"/>
        <v/>
      </c>
      <c r="AK283" s="180" t="str">
        <f ca="1"/>
        <v/>
      </c>
      <c r="AL283" s="180" t="str">
        <f ca="1"/>
        <v/>
      </c>
      <c r="AM283" s="180" t="str">
        <f ca="1"/>
        <v/>
      </c>
      <c r="AN283" s="180" t="str">
        <f ca="1"/>
        <v/>
      </c>
      <c r="AO283" s="180" t="str">
        <f ca="1"/>
        <v/>
      </c>
      <c r="AP283" s="180" t="str">
        <f ca="1"/>
        <v/>
      </c>
      <c r="AQ283" s="187" t="str">
        <f ca="1"/>
        <v/>
      </c>
    </row>
    <row r="284" spans="2:43" x14ac:dyDescent="0.25">
      <c r="B284" s="179" t="str">
        <f ca="1"/>
        <v/>
      </c>
      <c r="C284" s="180" t="str">
        <f ca="1"/>
        <v/>
      </c>
      <c r="D284" s="180" t="str">
        <f ca="1"/>
        <v/>
      </c>
      <c r="E284" s="180" t="str">
        <f ca="1"/>
        <v/>
      </c>
      <c r="F284" s="180" t="str">
        <f ca="1"/>
        <v/>
      </c>
      <c r="G284" s="180" t="str">
        <f ca="1"/>
        <v/>
      </c>
      <c r="H284" s="180" t="str">
        <f ca="1"/>
        <v/>
      </c>
      <c r="I284" s="180" t="str">
        <f ca="1"/>
        <v/>
      </c>
      <c r="J284" s="180" t="str">
        <f ca="1"/>
        <v/>
      </c>
      <c r="K284" s="180" t="str">
        <f ca="1"/>
        <v/>
      </c>
      <c r="L284" s="180" t="str">
        <f ca="1"/>
        <v/>
      </c>
      <c r="M284" s="180" t="str">
        <f ca="1"/>
        <v/>
      </c>
      <c r="N284" s="180" t="str">
        <f ca="1"/>
        <v/>
      </c>
      <c r="O284" s="180" t="str">
        <f ca="1"/>
        <v/>
      </c>
      <c r="P284" s="180" t="str">
        <f ca="1"/>
        <v/>
      </c>
      <c r="Q284" s="180" t="str">
        <f ca="1"/>
        <v/>
      </c>
      <c r="R284" s="180" t="str">
        <f ca="1"/>
        <v/>
      </c>
      <c r="S284" s="180" t="str">
        <f ca="1"/>
        <v/>
      </c>
      <c r="T284" s="180" t="str">
        <f ca="1"/>
        <v/>
      </c>
      <c r="U284" s="180" t="str">
        <f ca="1"/>
        <v/>
      </c>
      <c r="V284" s="180" t="str">
        <f ca="1"/>
        <v/>
      </c>
      <c r="W284" s="180" t="str">
        <f ca="1"/>
        <v/>
      </c>
      <c r="X284" s="180" t="str">
        <f ca="1"/>
        <v/>
      </c>
      <c r="Y284" s="180" t="str">
        <f ca="1"/>
        <v/>
      </c>
      <c r="Z284" s="180" t="str">
        <f ca="1"/>
        <v/>
      </c>
      <c r="AA284" s="180" t="str">
        <f ca="1"/>
        <v/>
      </c>
      <c r="AB284" s="180" t="str">
        <f ca="1"/>
        <v/>
      </c>
      <c r="AC284" s="180" t="str">
        <f ca="1"/>
        <v/>
      </c>
      <c r="AD284" s="180" t="str">
        <f ca="1"/>
        <v/>
      </c>
      <c r="AE284" s="180" t="str">
        <f ca="1"/>
        <v/>
      </c>
      <c r="AF284" s="180" t="str">
        <f ca="1"/>
        <v/>
      </c>
      <c r="AG284" s="180" t="str">
        <f ca="1"/>
        <v/>
      </c>
      <c r="AH284" s="180" t="str">
        <f ca="1"/>
        <v/>
      </c>
      <c r="AI284" s="180" t="str">
        <f ca="1"/>
        <v/>
      </c>
      <c r="AJ284" s="180" t="str">
        <f ca="1"/>
        <v/>
      </c>
      <c r="AK284" s="180" t="str">
        <f ca="1"/>
        <v/>
      </c>
      <c r="AL284" s="180" t="str">
        <f ca="1"/>
        <v/>
      </c>
      <c r="AM284" s="180" t="str">
        <f ca="1"/>
        <v/>
      </c>
      <c r="AN284" s="180" t="str">
        <f ca="1"/>
        <v/>
      </c>
      <c r="AO284" s="180" t="str">
        <f ca="1"/>
        <v/>
      </c>
      <c r="AP284" s="180" t="str">
        <f ca="1"/>
        <v/>
      </c>
      <c r="AQ284" s="187" t="str">
        <f ca="1"/>
        <v/>
      </c>
    </row>
    <row r="285" spans="2:43" x14ac:dyDescent="0.25">
      <c r="B285" s="179" t="str">
        <f ca="1"/>
        <v/>
      </c>
      <c r="C285" s="180" t="str">
        <f ca="1"/>
        <v/>
      </c>
      <c r="D285" s="180" t="str">
        <f ca="1"/>
        <v/>
      </c>
      <c r="E285" s="180" t="str">
        <f ca="1"/>
        <v/>
      </c>
      <c r="F285" s="180" t="str">
        <f ca="1"/>
        <v/>
      </c>
      <c r="G285" s="180" t="str">
        <f ca="1"/>
        <v/>
      </c>
      <c r="H285" s="180" t="str">
        <f ca="1"/>
        <v/>
      </c>
      <c r="I285" s="180" t="str">
        <f ca="1"/>
        <v/>
      </c>
      <c r="J285" s="180" t="str">
        <f ca="1"/>
        <v/>
      </c>
      <c r="K285" s="180" t="str">
        <f ca="1"/>
        <v/>
      </c>
      <c r="L285" s="180" t="str">
        <f ca="1"/>
        <v/>
      </c>
      <c r="M285" s="180" t="str">
        <f ca="1"/>
        <v/>
      </c>
      <c r="N285" s="180" t="str">
        <f ca="1"/>
        <v/>
      </c>
      <c r="O285" s="180" t="str">
        <f ca="1"/>
        <v/>
      </c>
      <c r="P285" s="180" t="str">
        <f ca="1"/>
        <v/>
      </c>
      <c r="Q285" s="180" t="str">
        <f ca="1"/>
        <v/>
      </c>
      <c r="R285" s="180" t="str">
        <f ca="1"/>
        <v/>
      </c>
      <c r="S285" s="180" t="str">
        <f ca="1"/>
        <v/>
      </c>
      <c r="T285" s="180" t="str">
        <f ca="1"/>
        <v/>
      </c>
      <c r="U285" s="180" t="str">
        <f ca="1"/>
        <v/>
      </c>
      <c r="V285" s="180" t="str">
        <f ca="1"/>
        <v/>
      </c>
      <c r="W285" s="180" t="str">
        <f ca="1"/>
        <v/>
      </c>
      <c r="X285" s="180" t="str">
        <f ca="1"/>
        <v/>
      </c>
      <c r="Y285" s="180" t="str">
        <f ca="1"/>
        <v/>
      </c>
      <c r="Z285" s="180" t="str">
        <f ca="1"/>
        <v/>
      </c>
      <c r="AA285" s="180" t="str">
        <f ca="1"/>
        <v/>
      </c>
      <c r="AB285" s="180" t="str">
        <f ca="1"/>
        <v/>
      </c>
      <c r="AC285" s="180" t="str">
        <f ca="1"/>
        <v/>
      </c>
      <c r="AD285" s="180" t="str">
        <f ca="1"/>
        <v/>
      </c>
      <c r="AE285" s="180" t="str">
        <f ca="1"/>
        <v/>
      </c>
      <c r="AF285" s="180" t="str">
        <f ca="1"/>
        <v/>
      </c>
      <c r="AG285" s="180" t="str">
        <f ca="1"/>
        <v/>
      </c>
      <c r="AH285" s="180" t="str">
        <f ca="1"/>
        <v/>
      </c>
      <c r="AI285" s="180" t="str">
        <f ca="1"/>
        <v/>
      </c>
      <c r="AJ285" s="180" t="str">
        <f ca="1"/>
        <v/>
      </c>
      <c r="AK285" s="180" t="str">
        <f ca="1"/>
        <v/>
      </c>
      <c r="AL285" s="180" t="str">
        <f ca="1"/>
        <v/>
      </c>
      <c r="AM285" s="180" t="str">
        <f ca="1"/>
        <v/>
      </c>
      <c r="AN285" s="180" t="str">
        <f ca="1"/>
        <v/>
      </c>
      <c r="AO285" s="180" t="str">
        <f ca="1"/>
        <v/>
      </c>
      <c r="AP285" s="180" t="str">
        <f ca="1"/>
        <v/>
      </c>
      <c r="AQ285" s="187" t="str">
        <f ca="1"/>
        <v/>
      </c>
    </row>
    <row r="286" spans="2:43" x14ac:dyDescent="0.25">
      <c r="B286" s="179" t="str">
        <f ca="1"/>
        <v/>
      </c>
      <c r="C286" s="180" t="str">
        <f ca="1"/>
        <v/>
      </c>
      <c r="D286" s="180" t="str">
        <f ca="1"/>
        <v/>
      </c>
      <c r="E286" s="180" t="str">
        <f ca="1"/>
        <v/>
      </c>
      <c r="F286" s="180" t="str">
        <f ca="1"/>
        <v/>
      </c>
      <c r="G286" s="180" t="str">
        <f ca="1"/>
        <v/>
      </c>
      <c r="H286" s="180" t="str">
        <f ca="1"/>
        <v/>
      </c>
      <c r="I286" s="180" t="str">
        <f ca="1"/>
        <v/>
      </c>
      <c r="J286" s="180" t="str">
        <f ca="1"/>
        <v/>
      </c>
      <c r="K286" s="180" t="str">
        <f ca="1"/>
        <v/>
      </c>
      <c r="L286" s="180" t="str">
        <f ca="1"/>
        <v/>
      </c>
      <c r="M286" s="180" t="str">
        <f ca="1"/>
        <v/>
      </c>
      <c r="N286" s="180" t="str">
        <f ca="1"/>
        <v/>
      </c>
      <c r="O286" s="180" t="str">
        <f ca="1"/>
        <v/>
      </c>
      <c r="P286" s="180" t="str">
        <f ca="1"/>
        <v/>
      </c>
      <c r="Q286" s="180" t="str">
        <f ca="1"/>
        <v/>
      </c>
      <c r="R286" s="180" t="str">
        <f ca="1"/>
        <v/>
      </c>
      <c r="S286" s="180" t="str">
        <f ca="1"/>
        <v/>
      </c>
      <c r="T286" s="180" t="str">
        <f ca="1"/>
        <v/>
      </c>
      <c r="U286" s="180" t="str">
        <f ca="1"/>
        <v/>
      </c>
      <c r="V286" s="180" t="str">
        <f ca="1"/>
        <v/>
      </c>
      <c r="W286" s="180" t="str">
        <f ca="1"/>
        <v/>
      </c>
      <c r="X286" s="180" t="str">
        <f ca="1"/>
        <v/>
      </c>
      <c r="Y286" s="180" t="str">
        <f ca="1"/>
        <v/>
      </c>
      <c r="Z286" s="180" t="str">
        <f ca="1"/>
        <v/>
      </c>
      <c r="AA286" s="180" t="str">
        <f ca="1"/>
        <v/>
      </c>
      <c r="AB286" s="180" t="str">
        <f ca="1"/>
        <v/>
      </c>
      <c r="AC286" s="180" t="str">
        <f ca="1"/>
        <v/>
      </c>
      <c r="AD286" s="180" t="str">
        <f ca="1"/>
        <v/>
      </c>
      <c r="AE286" s="180" t="str">
        <f ca="1"/>
        <v/>
      </c>
      <c r="AF286" s="180" t="str">
        <f ca="1"/>
        <v/>
      </c>
      <c r="AG286" s="180" t="str">
        <f ca="1"/>
        <v/>
      </c>
      <c r="AH286" s="180" t="str">
        <f ca="1"/>
        <v/>
      </c>
      <c r="AI286" s="180" t="str">
        <f ca="1"/>
        <v/>
      </c>
      <c r="AJ286" s="180" t="str">
        <f ca="1"/>
        <v/>
      </c>
      <c r="AK286" s="180" t="str">
        <f ca="1"/>
        <v/>
      </c>
      <c r="AL286" s="180" t="str">
        <f ca="1"/>
        <v/>
      </c>
      <c r="AM286" s="180" t="str">
        <f ca="1"/>
        <v/>
      </c>
      <c r="AN286" s="180" t="str">
        <f ca="1"/>
        <v/>
      </c>
      <c r="AO286" s="180" t="str">
        <f ca="1"/>
        <v/>
      </c>
      <c r="AP286" s="180" t="str">
        <f ca="1"/>
        <v/>
      </c>
      <c r="AQ286" s="187" t="str">
        <f ca="1"/>
        <v/>
      </c>
    </row>
    <row r="287" spans="2:43" x14ac:dyDescent="0.25">
      <c r="B287" s="179" t="str">
        <f ca="1"/>
        <v/>
      </c>
      <c r="C287" s="180" t="str">
        <f ca="1"/>
        <v/>
      </c>
      <c r="D287" s="180" t="str">
        <f ca="1"/>
        <v/>
      </c>
      <c r="E287" s="180" t="str">
        <f ca="1"/>
        <v/>
      </c>
      <c r="F287" s="180" t="str">
        <f ca="1"/>
        <v/>
      </c>
      <c r="G287" s="180" t="str">
        <f ca="1"/>
        <v/>
      </c>
      <c r="H287" s="180" t="str">
        <f ca="1"/>
        <v/>
      </c>
      <c r="I287" s="180" t="str">
        <f ca="1"/>
        <v/>
      </c>
      <c r="J287" s="180" t="str">
        <f ca="1"/>
        <v/>
      </c>
      <c r="K287" s="180" t="str">
        <f ca="1"/>
        <v/>
      </c>
      <c r="L287" s="180" t="str">
        <f ca="1"/>
        <v/>
      </c>
      <c r="M287" s="180" t="str">
        <f ca="1"/>
        <v/>
      </c>
      <c r="N287" s="180" t="str">
        <f ca="1"/>
        <v/>
      </c>
      <c r="O287" s="180" t="str">
        <f ca="1"/>
        <v/>
      </c>
      <c r="P287" s="180" t="str">
        <f ca="1"/>
        <v/>
      </c>
      <c r="Q287" s="180" t="str">
        <f ca="1"/>
        <v/>
      </c>
      <c r="R287" s="180" t="str">
        <f ca="1"/>
        <v/>
      </c>
      <c r="S287" s="180" t="str">
        <f ca="1"/>
        <v/>
      </c>
      <c r="T287" s="180" t="str">
        <f ca="1"/>
        <v/>
      </c>
      <c r="U287" s="180" t="str">
        <f ca="1"/>
        <v/>
      </c>
      <c r="V287" s="180" t="str">
        <f ca="1"/>
        <v/>
      </c>
      <c r="W287" s="180" t="str">
        <f ca="1"/>
        <v/>
      </c>
      <c r="X287" s="180" t="str">
        <f ca="1"/>
        <v/>
      </c>
      <c r="Y287" s="180" t="str">
        <f ca="1"/>
        <v/>
      </c>
      <c r="Z287" s="180" t="str">
        <f ca="1"/>
        <v/>
      </c>
      <c r="AA287" s="180" t="str">
        <f ca="1"/>
        <v/>
      </c>
      <c r="AB287" s="180" t="str">
        <f ca="1"/>
        <v/>
      </c>
      <c r="AC287" s="180" t="str">
        <f ca="1"/>
        <v/>
      </c>
      <c r="AD287" s="180" t="str">
        <f ca="1"/>
        <v/>
      </c>
      <c r="AE287" s="180" t="str">
        <f ca="1"/>
        <v/>
      </c>
      <c r="AF287" s="180" t="str">
        <f ca="1"/>
        <v/>
      </c>
      <c r="AG287" s="180" t="str">
        <f ca="1"/>
        <v/>
      </c>
      <c r="AH287" s="180" t="str">
        <f ca="1"/>
        <v/>
      </c>
      <c r="AI287" s="180" t="str">
        <f ca="1"/>
        <v/>
      </c>
      <c r="AJ287" s="180" t="str">
        <f ca="1"/>
        <v/>
      </c>
      <c r="AK287" s="180" t="str">
        <f ca="1"/>
        <v/>
      </c>
      <c r="AL287" s="180" t="str">
        <f ca="1"/>
        <v/>
      </c>
      <c r="AM287" s="180" t="str">
        <f ca="1"/>
        <v/>
      </c>
      <c r="AN287" s="180" t="str">
        <f ca="1"/>
        <v/>
      </c>
      <c r="AO287" s="180" t="str">
        <f ca="1"/>
        <v/>
      </c>
      <c r="AP287" s="180" t="str">
        <f ca="1"/>
        <v/>
      </c>
      <c r="AQ287" s="187" t="str">
        <f ca="1"/>
        <v/>
      </c>
    </row>
    <row r="288" spans="2:43" x14ac:dyDescent="0.25">
      <c r="B288" s="179" t="str">
        <f ca="1"/>
        <v/>
      </c>
      <c r="C288" s="180" t="str">
        <f ca="1"/>
        <v/>
      </c>
      <c r="D288" s="180" t="str">
        <f ca="1"/>
        <v/>
      </c>
      <c r="E288" s="180" t="str">
        <f ca="1"/>
        <v/>
      </c>
      <c r="F288" s="180" t="str">
        <f ca="1"/>
        <v/>
      </c>
      <c r="G288" s="180" t="str">
        <f ca="1"/>
        <v/>
      </c>
      <c r="H288" s="180" t="str">
        <f ca="1"/>
        <v/>
      </c>
      <c r="I288" s="180" t="str">
        <f ca="1"/>
        <v/>
      </c>
      <c r="J288" s="180" t="str">
        <f ca="1"/>
        <v/>
      </c>
      <c r="K288" s="180" t="str">
        <f ca="1"/>
        <v/>
      </c>
      <c r="L288" s="180" t="str">
        <f ca="1"/>
        <v/>
      </c>
      <c r="M288" s="180" t="str">
        <f ca="1"/>
        <v/>
      </c>
      <c r="N288" s="180" t="str">
        <f ca="1"/>
        <v/>
      </c>
      <c r="O288" s="180" t="str">
        <f ca="1"/>
        <v/>
      </c>
      <c r="P288" s="180" t="str">
        <f ca="1"/>
        <v/>
      </c>
      <c r="Q288" s="180" t="str">
        <f ca="1"/>
        <v/>
      </c>
      <c r="R288" s="180" t="str">
        <f ca="1"/>
        <v/>
      </c>
      <c r="S288" s="180" t="str">
        <f ca="1"/>
        <v/>
      </c>
      <c r="T288" s="180" t="str">
        <f ca="1"/>
        <v/>
      </c>
      <c r="U288" s="180" t="str">
        <f ca="1"/>
        <v/>
      </c>
      <c r="V288" s="180" t="str">
        <f ca="1"/>
        <v/>
      </c>
      <c r="W288" s="180" t="str">
        <f ca="1"/>
        <v/>
      </c>
      <c r="X288" s="180" t="str">
        <f ca="1"/>
        <v/>
      </c>
      <c r="Y288" s="180" t="str">
        <f ca="1"/>
        <v/>
      </c>
      <c r="Z288" s="180" t="str">
        <f ca="1"/>
        <v/>
      </c>
      <c r="AA288" s="180" t="str">
        <f ca="1"/>
        <v/>
      </c>
      <c r="AB288" s="180" t="str">
        <f ca="1"/>
        <v/>
      </c>
      <c r="AC288" s="180" t="str">
        <f ca="1"/>
        <v/>
      </c>
      <c r="AD288" s="180" t="str">
        <f ca="1"/>
        <v/>
      </c>
      <c r="AE288" s="180" t="str">
        <f ca="1"/>
        <v/>
      </c>
      <c r="AF288" s="180" t="str">
        <f ca="1"/>
        <v/>
      </c>
      <c r="AG288" s="180" t="str">
        <f ca="1"/>
        <v/>
      </c>
      <c r="AH288" s="180" t="str">
        <f ca="1"/>
        <v/>
      </c>
      <c r="AI288" s="180" t="str">
        <f ca="1"/>
        <v/>
      </c>
      <c r="AJ288" s="180" t="str">
        <f ca="1"/>
        <v/>
      </c>
      <c r="AK288" s="180" t="str">
        <f ca="1"/>
        <v/>
      </c>
      <c r="AL288" s="180" t="str">
        <f ca="1"/>
        <v/>
      </c>
      <c r="AM288" s="180" t="str">
        <f ca="1"/>
        <v/>
      </c>
      <c r="AN288" s="180" t="str">
        <f ca="1"/>
        <v/>
      </c>
      <c r="AO288" s="180" t="str">
        <f ca="1"/>
        <v/>
      </c>
      <c r="AP288" s="180" t="str">
        <f ca="1"/>
        <v/>
      </c>
      <c r="AQ288" s="187" t="str">
        <f ca="1"/>
        <v/>
      </c>
    </row>
    <row r="289" spans="2:43" x14ac:dyDescent="0.25">
      <c r="B289" s="179" t="str">
        <f ca="1"/>
        <v/>
      </c>
      <c r="C289" s="180" t="str">
        <f ca="1"/>
        <v/>
      </c>
      <c r="D289" s="180" t="str">
        <f ca="1"/>
        <v/>
      </c>
      <c r="E289" s="180" t="str">
        <f ca="1"/>
        <v/>
      </c>
      <c r="F289" s="180" t="str">
        <f ca="1"/>
        <v/>
      </c>
      <c r="G289" s="180" t="str">
        <f ca="1"/>
        <v/>
      </c>
      <c r="H289" s="180" t="str">
        <f ca="1"/>
        <v/>
      </c>
      <c r="I289" s="180" t="str">
        <f ca="1"/>
        <v/>
      </c>
      <c r="J289" s="180" t="str">
        <f ca="1"/>
        <v/>
      </c>
      <c r="K289" s="180" t="str">
        <f ca="1"/>
        <v/>
      </c>
      <c r="L289" s="180" t="str">
        <f ca="1"/>
        <v/>
      </c>
      <c r="M289" s="180" t="str">
        <f ca="1"/>
        <v/>
      </c>
      <c r="N289" s="180" t="str">
        <f ca="1"/>
        <v/>
      </c>
      <c r="O289" s="180" t="str">
        <f ca="1"/>
        <v/>
      </c>
      <c r="P289" s="180" t="str">
        <f ca="1"/>
        <v/>
      </c>
      <c r="Q289" s="180" t="str">
        <f ca="1"/>
        <v/>
      </c>
      <c r="R289" s="180" t="str">
        <f ca="1"/>
        <v/>
      </c>
      <c r="S289" s="180" t="str">
        <f ca="1"/>
        <v/>
      </c>
      <c r="T289" s="180" t="str">
        <f ca="1"/>
        <v/>
      </c>
      <c r="U289" s="180" t="str">
        <f ca="1"/>
        <v/>
      </c>
      <c r="V289" s="180" t="str">
        <f ca="1"/>
        <v/>
      </c>
      <c r="W289" s="180" t="str">
        <f ca="1"/>
        <v/>
      </c>
      <c r="X289" s="180" t="str">
        <f ca="1"/>
        <v/>
      </c>
      <c r="Y289" s="180" t="str">
        <f ca="1"/>
        <v/>
      </c>
      <c r="Z289" s="180" t="str">
        <f ca="1"/>
        <v/>
      </c>
      <c r="AA289" s="180" t="str">
        <f ca="1"/>
        <v/>
      </c>
      <c r="AB289" s="180" t="str">
        <f ca="1"/>
        <v/>
      </c>
      <c r="AC289" s="180" t="str">
        <f ca="1"/>
        <v/>
      </c>
      <c r="AD289" s="180" t="str">
        <f ca="1"/>
        <v/>
      </c>
      <c r="AE289" s="180" t="str">
        <f ca="1"/>
        <v/>
      </c>
      <c r="AF289" s="180" t="str">
        <f ca="1"/>
        <v/>
      </c>
      <c r="AG289" s="180" t="str">
        <f ca="1"/>
        <v/>
      </c>
      <c r="AH289" s="180" t="str">
        <f ca="1"/>
        <v/>
      </c>
      <c r="AI289" s="180" t="str">
        <f ca="1"/>
        <v/>
      </c>
      <c r="AJ289" s="180" t="str">
        <f ca="1"/>
        <v/>
      </c>
      <c r="AK289" s="180" t="str">
        <f ca="1"/>
        <v/>
      </c>
      <c r="AL289" s="180" t="str">
        <f ca="1"/>
        <v/>
      </c>
      <c r="AM289" s="180" t="str">
        <f ca="1"/>
        <v/>
      </c>
      <c r="AN289" s="180" t="str">
        <f ca="1"/>
        <v/>
      </c>
      <c r="AO289" s="180" t="str">
        <f ca="1"/>
        <v/>
      </c>
      <c r="AP289" s="180" t="str">
        <f ca="1"/>
        <v/>
      </c>
      <c r="AQ289" s="187" t="str">
        <f ca="1"/>
        <v/>
      </c>
    </row>
    <row r="290" spans="2:43" x14ac:dyDescent="0.25">
      <c r="B290" s="179" t="str">
        <f ca="1"/>
        <v/>
      </c>
      <c r="C290" s="180" t="str">
        <f ca="1"/>
        <v/>
      </c>
      <c r="D290" s="180" t="str">
        <f ca="1"/>
        <v/>
      </c>
      <c r="E290" s="180" t="str">
        <f ca="1"/>
        <v/>
      </c>
      <c r="F290" s="180" t="str">
        <f ca="1"/>
        <v/>
      </c>
      <c r="G290" s="180" t="str">
        <f ca="1"/>
        <v/>
      </c>
      <c r="H290" s="180" t="str">
        <f ca="1"/>
        <v/>
      </c>
      <c r="I290" s="180" t="str">
        <f ca="1"/>
        <v/>
      </c>
      <c r="J290" s="180" t="str">
        <f ca="1"/>
        <v/>
      </c>
      <c r="K290" s="180" t="str">
        <f ca="1"/>
        <v/>
      </c>
      <c r="L290" s="180" t="str">
        <f ca="1"/>
        <v/>
      </c>
      <c r="M290" s="180" t="str">
        <f ca="1"/>
        <v/>
      </c>
      <c r="N290" s="180" t="str">
        <f ca="1"/>
        <v/>
      </c>
      <c r="O290" s="180" t="str">
        <f ca="1"/>
        <v/>
      </c>
      <c r="P290" s="180" t="str">
        <f ca="1"/>
        <v/>
      </c>
      <c r="Q290" s="180" t="str">
        <f ca="1"/>
        <v/>
      </c>
      <c r="R290" s="180" t="str">
        <f ca="1"/>
        <v/>
      </c>
      <c r="S290" s="180" t="str">
        <f ca="1"/>
        <v/>
      </c>
      <c r="T290" s="180" t="str">
        <f ca="1"/>
        <v/>
      </c>
      <c r="U290" s="180" t="str">
        <f ca="1"/>
        <v/>
      </c>
      <c r="V290" s="180" t="str">
        <f ca="1"/>
        <v/>
      </c>
      <c r="W290" s="180" t="str">
        <f ca="1"/>
        <v/>
      </c>
      <c r="X290" s="180" t="str">
        <f ca="1"/>
        <v/>
      </c>
      <c r="Y290" s="180" t="str">
        <f ca="1"/>
        <v/>
      </c>
      <c r="Z290" s="180" t="str">
        <f ca="1"/>
        <v/>
      </c>
      <c r="AA290" s="180" t="str">
        <f ca="1"/>
        <v/>
      </c>
      <c r="AB290" s="180" t="str">
        <f ca="1"/>
        <v/>
      </c>
      <c r="AC290" s="180" t="str">
        <f ca="1"/>
        <v/>
      </c>
      <c r="AD290" s="180" t="str">
        <f ca="1"/>
        <v/>
      </c>
      <c r="AE290" s="180" t="str">
        <f ca="1"/>
        <v/>
      </c>
      <c r="AF290" s="180" t="str">
        <f ca="1"/>
        <v/>
      </c>
      <c r="AG290" s="180" t="str">
        <f ca="1"/>
        <v/>
      </c>
      <c r="AH290" s="180" t="str">
        <f ca="1"/>
        <v/>
      </c>
      <c r="AI290" s="180" t="str">
        <f ca="1"/>
        <v/>
      </c>
      <c r="AJ290" s="180" t="str">
        <f ca="1"/>
        <v/>
      </c>
      <c r="AK290" s="180" t="str">
        <f ca="1"/>
        <v/>
      </c>
      <c r="AL290" s="180" t="str">
        <f ca="1"/>
        <v/>
      </c>
      <c r="AM290" s="180" t="str">
        <f ca="1"/>
        <v/>
      </c>
      <c r="AN290" s="180" t="str">
        <f ca="1"/>
        <v/>
      </c>
      <c r="AO290" s="180" t="str">
        <f ca="1"/>
        <v/>
      </c>
      <c r="AP290" s="180" t="str">
        <f ca="1"/>
        <v/>
      </c>
      <c r="AQ290" s="187" t="str">
        <f ca="1"/>
        <v/>
      </c>
    </row>
    <row r="291" spans="2:43" x14ac:dyDescent="0.25">
      <c r="B291" s="179" t="str">
        <f ca="1"/>
        <v/>
      </c>
      <c r="C291" s="180" t="str">
        <f ca="1"/>
        <v/>
      </c>
      <c r="D291" s="180" t="str">
        <f ca="1"/>
        <v/>
      </c>
      <c r="E291" s="180" t="str">
        <f ca="1"/>
        <v/>
      </c>
      <c r="F291" s="180" t="str">
        <f ca="1"/>
        <v/>
      </c>
      <c r="G291" s="180" t="str">
        <f ca="1"/>
        <v/>
      </c>
      <c r="H291" s="180" t="str">
        <f ca="1"/>
        <v/>
      </c>
      <c r="I291" s="180" t="str">
        <f ca="1"/>
        <v/>
      </c>
      <c r="J291" s="180" t="str">
        <f ca="1"/>
        <v/>
      </c>
      <c r="K291" s="180" t="str">
        <f ca="1"/>
        <v/>
      </c>
      <c r="L291" s="180" t="str">
        <f ca="1"/>
        <v/>
      </c>
      <c r="M291" s="180" t="str">
        <f ca="1"/>
        <v/>
      </c>
      <c r="N291" s="180" t="str">
        <f ca="1"/>
        <v/>
      </c>
      <c r="O291" s="180" t="str">
        <f ca="1"/>
        <v/>
      </c>
      <c r="P291" s="180" t="str">
        <f ca="1"/>
        <v/>
      </c>
      <c r="Q291" s="180" t="str">
        <f ca="1"/>
        <v/>
      </c>
      <c r="R291" s="180" t="str">
        <f ca="1"/>
        <v/>
      </c>
      <c r="S291" s="180" t="str">
        <f ca="1"/>
        <v/>
      </c>
      <c r="T291" s="180" t="str">
        <f ca="1"/>
        <v/>
      </c>
      <c r="U291" s="180" t="str">
        <f ca="1"/>
        <v/>
      </c>
      <c r="V291" s="180" t="str">
        <f ca="1"/>
        <v/>
      </c>
      <c r="W291" s="180" t="str">
        <f ca="1"/>
        <v/>
      </c>
      <c r="X291" s="180" t="str">
        <f ca="1"/>
        <v/>
      </c>
      <c r="Y291" s="180" t="str">
        <f ca="1"/>
        <v/>
      </c>
      <c r="Z291" s="180" t="str">
        <f ca="1"/>
        <v/>
      </c>
      <c r="AA291" s="180" t="str">
        <f ca="1"/>
        <v/>
      </c>
      <c r="AB291" s="180" t="str">
        <f ca="1"/>
        <v/>
      </c>
      <c r="AC291" s="180" t="str">
        <f ca="1"/>
        <v/>
      </c>
      <c r="AD291" s="180" t="str">
        <f ca="1"/>
        <v/>
      </c>
      <c r="AE291" s="180" t="str">
        <f ca="1"/>
        <v/>
      </c>
      <c r="AF291" s="180" t="str">
        <f ca="1"/>
        <v/>
      </c>
      <c r="AG291" s="180" t="str">
        <f ca="1"/>
        <v/>
      </c>
      <c r="AH291" s="180" t="str">
        <f ca="1"/>
        <v/>
      </c>
      <c r="AI291" s="180" t="str">
        <f ca="1"/>
        <v/>
      </c>
      <c r="AJ291" s="180" t="str">
        <f ca="1"/>
        <v/>
      </c>
      <c r="AK291" s="180" t="str">
        <f ca="1"/>
        <v/>
      </c>
      <c r="AL291" s="180" t="str">
        <f ca="1"/>
        <v/>
      </c>
      <c r="AM291" s="180" t="str">
        <f ca="1"/>
        <v/>
      </c>
      <c r="AN291" s="180" t="str">
        <f ca="1"/>
        <v/>
      </c>
      <c r="AO291" s="180" t="str">
        <f ca="1"/>
        <v/>
      </c>
      <c r="AP291" s="180" t="str">
        <f ca="1"/>
        <v/>
      </c>
      <c r="AQ291" s="187" t="str">
        <f ca="1"/>
        <v/>
      </c>
    </row>
    <row r="292" spans="2:43" x14ac:dyDescent="0.25">
      <c r="B292" s="179" t="str">
        <f ca="1"/>
        <v/>
      </c>
      <c r="C292" s="180" t="str">
        <f ca="1"/>
        <v/>
      </c>
      <c r="D292" s="180" t="str">
        <f ca="1"/>
        <v/>
      </c>
      <c r="E292" s="180" t="str">
        <f ca="1"/>
        <v/>
      </c>
      <c r="F292" s="180" t="str">
        <f ca="1"/>
        <v/>
      </c>
      <c r="G292" s="180" t="str">
        <f ca="1"/>
        <v/>
      </c>
      <c r="H292" s="180" t="str">
        <f ca="1"/>
        <v/>
      </c>
      <c r="I292" s="180" t="str">
        <f ca="1"/>
        <v/>
      </c>
      <c r="J292" s="180" t="str">
        <f ca="1"/>
        <v/>
      </c>
      <c r="K292" s="180" t="str">
        <f ca="1"/>
        <v/>
      </c>
      <c r="L292" s="180" t="str">
        <f ca="1"/>
        <v/>
      </c>
      <c r="M292" s="180" t="str">
        <f ca="1"/>
        <v/>
      </c>
      <c r="N292" s="180" t="str">
        <f ca="1"/>
        <v/>
      </c>
      <c r="O292" s="180" t="str">
        <f ca="1"/>
        <v/>
      </c>
      <c r="P292" s="180" t="str">
        <f ca="1"/>
        <v/>
      </c>
      <c r="Q292" s="180" t="str">
        <f ca="1"/>
        <v/>
      </c>
      <c r="R292" s="180" t="str">
        <f ca="1"/>
        <v/>
      </c>
      <c r="S292" s="180" t="str">
        <f ca="1"/>
        <v/>
      </c>
      <c r="T292" s="180" t="str">
        <f ca="1"/>
        <v/>
      </c>
      <c r="U292" s="180" t="str">
        <f ca="1"/>
        <v/>
      </c>
      <c r="V292" s="180" t="str">
        <f ca="1"/>
        <v/>
      </c>
      <c r="W292" s="180" t="str">
        <f ca="1"/>
        <v/>
      </c>
      <c r="X292" s="180" t="str">
        <f ca="1"/>
        <v/>
      </c>
      <c r="Y292" s="180" t="str">
        <f ca="1"/>
        <v/>
      </c>
      <c r="Z292" s="180" t="str">
        <f ca="1"/>
        <v/>
      </c>
      <c r="AA292" s="180" t="str">
        <f ca="1"/>
        <v/>
      </c>
      <c r="AB292" s="180" t="str">
        <f ca="1"/>
        <v/>
      </c>
      <c r="AC292" s="180" t="str">
        <f ca="1"/>
        <v/>
      </c>
      <c r="AD292" s="180" t="str">
        <f ca="1"/>
        <v/>
      </c>
      <c r="AE292" s="180" t="str">
        <f ca="1"/>
        <v/>
      </c>
      <c r="AF292" s="180" t="str">
        <f ca="1"/>
        <v/>
      </c>
      <c r="AG292" s="180" t="str">
        <f ca="1"/>
        <v/>
      </c>
      <c r="AH292" s="180" t="str">
        <f ca="1"/>
        <v/>
      </c>
      <c r="AI292" s="180" t="str">
        <f ca="1"/>
        <v/>
      </c>
      <c r="AJ292" s="180" t="str">
        <f ca="1"/>
        <v/>
      </c>
      <c r="AK292" s="180" t="str">
        <f ca="1"/>
        <v/>
      </c>
      <c r="AL292" s="180" t="str">
        <f ca="1"/>
        <v/>
      </c>
      <c r="AM292" s="180" t="str">
        <f ca="1"/>
        <v/>
      </c>
      <c r="AN292" s="180" t="str">
        <f ca="1"/>
        <v/>
      </c>
      <c r="AO292" s="180" t="str">
        <f ca="1"/>
        <v/>
      </c>
      <c r="AP292" s="180" t="str">
        <f ca="1"/>
        <v/>
      </c>
      <c r="AQ292" s="187" t="str">
        <f ca="1"/>
        <v/>
      </c>
    </row>
    <row r="293" spans="2:43" x14ac:dyDescent="0.25">
      <c r="B293" s="179" t="str">
        <f ca="1"/>
        <v/>
      </c>
      <c r="C293" s="180" t="str">
        <f ca="1"/>
        <v/>
      </c>
      <c r="D293" s="180" t="str">
        <f ca="1"/>
        <v/>
      </c>
      <c r="E293" s="180" t="str">
        <f ca="1"/>
        <v/>
      </c>
      <c r="F293" s="180" t="str">
        <f ca="1"/>
        <v/>
      </c>
      <c r="G293" s="180" t="str">
        <f ca="1"/>
        <v/>
      </c>
      <c r="H293" s="180" t="str">
        <f ca="1"/>
        <v/>
      </c>
      <c r="I293" s="180" t="str">
        <f ca="1"/>
        <v/>
      </c>
      <c r="J293" s="180" t="str">
        <f ca="1"/>
        <v/>
      </c>
      <c r="K293" s="180" t="str">
        <f ca="1"/>
        <v/>
      </c>
      <c r="L293" s="180" t="str">
        <f ca="1"/>
        <v/>
      </c>
      <c r="M293" s="180" t="str">
        <f ca="1"/>
        <v/>
      </c>
      <c r="N293" s="180" t="str">
        <f ca="1"/>
        <v/>
      </c>
      <c r="O293" s="180" t="str">
        <f ca="1"/>
        <v/>
      </c>
      <c r="P293" s="180" t="str">
        <f ca="1"/>
        <v/>
      </c>
      <c r="Q293" s="180" t="str">
        <f ca="1"/>
        <v/>
      </c>
      <c r="R293" s="180" t="str">
        <f ca="1"/>
        <v/>
      </c>
      <c r="S293" s="180" t="str">
        <f ca="1"/>
        <v/>
      </c>
      <c r="T293" s="180" t="str">
        <f ca="1"/>
        <v/>
      </c>
      <c r="U293" s="180" t="str">
        <f ca="1"/>
        <v/>
      </c>
      <c r="V293" s="180" t="str">
        <f ca="1"/>
        <v/>
      </c>
      <c r="W293" s="180" t="str">
        <f ca="1"/>
        <v/>
      </c>
      <c r="X293" s="180" t="str">
        <f ca="1"/>
        <v/>
      </c>
      <c r="Y293" s="180" t="str">
        <f ca="1"/>
        <v/>
      </c>
      <c r="Z293" s="180" t="str">
        <f ca="1"/>
        <v/>
      </c>
      <c r="AA293" s="180" t="str">
        <f ca="1"/>
        <v/>
      </c>
      <c r="AB293" s="180" t="str">
        <f ca="1"/>
        <v/>
      </c>
      <c r="AC293" s="180" t="str">
        <f ca="1"/>
        <v/>
      </c>
      <c r="AD293" s="180" t="str">
        <f ca="1"/>
        <v/>
      </c>
      <c r="AE293" s="180" t="str">
        <f ca="1"/>
        <v/>
      </c>
      <c r="AF293" s="180" t="str">
        <f ca="1"/>
        <v/>
      </c>
      <c r="AG293" s="180" t="str">
        <f ca="1"/>
        <v/>
      </c>
      <c r="AH293" s="180" t="str">
        <f ca="1"/>
        <v/>
      </c>
      <c r="AI293" s="180" t="str">
        <f ca="1"/>
        <v/>
      </c>
      <c r="AJ293" s="180" t="str">
        <f ca="1"/>
        <v/>
      </c>
      <c r="AK293" s="180" t="str">
        <f ca="1"/>
        <v/>
      </c>
      <c r="AL293" s="180" t="str">
        <f ca="1"/>
        <v/>
      </c>
      <c r="AM293" s="180" t="str">
        <f ca="1"/>
        <v/>
      </c>
      <c r="AN293" s="180" t="str">
        <f ca="1"/>
        <v/>
      </c>
      <c r="AO293" s="180" t="str">
        <f ca="1"/>
        <v/>
      </c>
      <c r="AP293" s="180" t="str">
        <f ca="1"/>
        <v/>
      </c>
      <c r="AQ293" s="187" t="str">
        <f ca="1"/>
        <v/>
      </c>
    </row>
    <row r="294" spans="2:43" x14ac:dyDescent="0.25">
      <c r="B294" s="179" t="str">
        <f ca="1"/>
        <v/>
      </c>
      <c r="C294" s="180" t="str">
        <f ca="1"/>
        <v/>
      </c>
      <c r="D294" s="180" t="str">
        <f ca="1"/>
        <v/>
      </c>
      <c r="E294" s="180" t="str">
        <f ca="1"/>
        <v/>
      </c>
      <c r="F294" s="180" t="str">
        <f ca="1"/>
        <v/>
      </c>
      <c r="G294" s="180" t="str">
        <f ca="1"/>
        <v/>
      </c>
      <c r="H294" s="180" t="str">
        <f ca="1"/>
        <v/>
      </c>
      <c r="I294" s="180" t="str">
        <f ca="1"/>
        <v/>
      </c>
      <c r="J294" s="180" t="str">
        <f ca="1"/>
        <v/>
      </c>
      <c r="K294" s="180" t="str">
        <f ca="1"/>
        <v/>
      </c>
      <c r="L294" s="180" t="str">
        <f ca="1"/>
        <v/>
      </c>
      <c r="M294" s="180" t="str">
        <f ca="1"/>
        <v/>
      </c>
      <c r="N294" s="180" t="str">
        <f ca="1"/>
        <v/>
      </c>
      <c r="O294" s="180" t="str">
        <f ca="1"/>
        <v/>
      </c>
      <c r="P294" s="180" t="str">
        <f ca="1"/>
        <v/>
      </c>
      <c r="Q294" s="180" t="str">
        <f ca="1"/>
        <v/>
      </c>
      <c r="R294" s="180" t="str">
        <f ca="1"/>
        <v/>
      </c>
      <c r="S294" s="180" t="str">
        <f ca="1"/>
        <v/>
      </c>
      <c r="T294" s="180" t="str">
        <f ca="1"/>
        <v/>
      </c>
      <c r="U294" s="180" t="str">
        <f ca="1"/>
        <v/>
      </c>
      <c r="V294" s="180" t="str">
        <f ca="1"/>
        <v/>
      </c>
      <c r="W294" s="180" t="str">
        <f ca="1"/>
        <v/>
      </c>
      <c r="X294" s="180" t="str">
        <f ca="1"/>
        <v/>
      </c>
      <c r="Y294" s="180" t="str">
        <f ca="1"/>
        <v/>
      </c>
      <c r="Z294" s="180" t="str">
        <f ca="1"/>
        <v/>
      </c>
      <c r="AA294" s="180" t="str">
        <f ca="1"/>
        <v/>
      </c>
      <c r="AB294" s="180" t="str">
        <f ca="1"/>
        <v/>
      </c>
      <c r="AC294" s="180" t="str">
        <f ca="1"/>
        <v/>
      </c>
      <c r="AD294" s="180" t="str">
        <f ca="1"/>
        <v/>
      </c>
      <c r="AE294" s="180" t="str">
        <f ca="1"/>
        <v/>
      </c>
      <c r="AF294" s="180" t="str">
        <f ca="1"/>
        <v/>
      </c>
      <c r="AG294" s="180" t="str">
        <f ca="1"/>
        <v/>
      </c>
      <c r="AH294" s="180" t="str">
        <f ca="1"/>
        <v/>
      </c>
      <c r="AI294" s="180" t="str">
        <f ca="1"/>
        <v/>
      </c>
      <c r="AJ294" s="180" t="str">
        <f ca="1"/>
        <v/>
      </c>
      <c r="AK294" s="180" t="str">
        <f ca="1"/>
        <v/>
      </c>
      <c r="AL294" s="180" t="str">
        <f ca="1"/>
        <v/>
      </c>
      <c r="AM294" s="180" t="str">
        <f ca="1"/>
        <v/>
      </c>
      <c r="AN294" s="180" t="str">
        <f ca="1"/>
        <v/>
      </c>
      <c r="AO294" s="180" t="str">
        <f ca="1"/>
        <v/>
      </c>
      <c r="AP294" s="180" t="str">
        <f ca="1"/>
        <v/>
      </c>
      <c r="AQ294" s="187" t="str">
        <f ca="1"/>
        <v/>
      </c>
    </row>
    <row r="295" spans="2:43" x14ac:dyDescent="0.25">
      <c r="B295" s="179" t="str">
        <f ca="1"/>
        <v/>
      </c>
      <c r="C295" s="180" t="str">
        <f ca="1"/>
        <v/>
      </c>
      <c r="D295" s="180" t="str">
        <f ca="1"/>
        <v/>
      </c>
      <c r="E295" s="180" t="str">
        <f ca="1"/>
        <v/>
      </c>
      <c r="F295" s="180" t="str">
        <f ca="1"/>
        <v/>
      </c>
      <c r="G295" s="180" t="str">
        <f ca="1"/>
        <v/>
      </c>
      <c r="H295" s="180" t="str">
        <f ca="1"/>
        <v/>
      </c>
      <c r="I295" s="180" t="str">
        <f ca="1"/>
        <v/>
      </c>
      <c r="J295" s="180" t="str">
        <f ca="1"/>
        <v/>
      </c>
      <c r="K295" s="180" t="str">
        <f ca="1"/>
        <v/>
      </c>
      <c r="L295" s="180" t="str">
        <f ca="1"/>
        <v/>
      </c>
      <c r="M295" s="180" t="str">
        <f ca="1"/>
        <v/>
      </c>
      <c r="N295" s="180" t="str">
        <f ca="1"/>
        <v/>
      </c>
      <c r="O295" s="180" t="str">
        <f ca="1"/>
        <v/>
      </c>
      <c r="P295" s="180" t="str">
        <f ca="1"/>
        <v/>
      </c>
      <c r="Q295" s="180" t="str">
        <f ca="1"/>
        <v/>
      </c>
      <c r="R295" s="180" t="str">
        <f ca="1"/>
        <v/>
      </c>
      <c r="S295" s="180" t="str">
        <f ca="1"/>
        <v/>
      </c>
      <c r="T295" s="180" t="str">
        <f ca="1"/>
        <v/>
      </c>
      <c r="U295" s="180" t="str">
        <f ca="1"/>
        <v/>
      </c>
      <c r="V295" s="180" t="str">
        <f ca="1"/>
        <v/>
      </c>
      <c r="W295" s="180" t="str">
        <f ca="1"/>
        <v/>
      </c>
      <c r="X295" s="180" t="str">
        <f ca="1"/>
        <v/>
      </c>
      <c r="Y295" s="180" t="str">
        <f ca="1"/>
        <v/>
      </c>
      <c r="Z295" s="180" t="str">
        <f ca="1"/>
        <v/>
      </c>
      <c r="AA295" s="180" t="str">
        <f ca="1"/>
        <v/>
      </c>
      <c r="AB295" s="180" t="str">
        <f ca="1"/>
        <v/>
      </c>
      <c r="AC295" s="180" t="str">
        <f ca="1"/>
        <v/>
      </c>
      <c r="AD295" s="180" t="str">
        <f ca="1"/>
        <v/>
      </c>
      <c r="AE295" s="180" t="str">
        <f ca="1"/>
        <v/>
      </c>
      <c r="AF295" s="180" t="str">
        <f ca="1"/>
        <v/>
      </c>
      <c r="AG295" s="180" t="str">
        <f ca="1"/>
        <v/>
      </c>
      <c r="AH295" s="180" t="str">
        <f ca="1"/>
        <v/>
      </c>
      <c r="AI295" s="180" t="str">
        <f ca="1"/>
        <v/>
      </c>
      <c r="AJ295" s="180" t="str">
        <f ca="1"/>
        <v/>
      </c>
      <c r="AK295" s="180" t="str">
        <f ca="1"/>
        <v/>
      </c>
      <c r="AL295" s="180" t="str">
        <f ca="1"/>
        <v/>
      </c>
      <c r="AM295" s="180" t="str">
        <f ca="1"/>
        <v/>
      </c>
      <c r="AN295" s="180" t="str">
        <f ca="1"/>
        <v/>
      </c>
      <c r="AO295" s="180" t="str">
        <f ca="1"/>
        <v/>
      </c>
      <c r="AP295" s="180" t="str">
        <f ca="1"/>
        <v/>
      </c>
      <c r="AQ295" s="187" t="str">
        <f ca="1"/>
        <v/>
      </c>
    </row>
    <row r="296" spans="2:43" x14ac:dyDescent="0.25">
      <c r="B296" s="179" t="str">
        <f ca="1"/>
        <v/>
      </c>
      <c r="C296" s="180" t="str">
        <f ca="1"/>
        <v/>
      </c>
      <c r="D296" s="180" t="str">
        <f ca="1"/>
        <v/>
      </c>
      <c r="E296" s="180" t="str">
        <f ca="1"/>
        <v/>
      </c>
      <c r="F296" s="180" t="str">
        <f ca="1"/>
        <v/>
      </c>
      <c r="G296" s="180" t="str">
        <f ca="1"/>
        <v/>
      </c>
      <c r="H296" s="180" t="str">
        <f ca="1"/>
        <v/>
      </c>
      <c r="I296" s="180" t="str">
        <f ca="1"/>
        <v/>
      </c>
      <c r="J296" s="180" t="str">
        <f ca="1"/>
        <v/>
      </c>
      <c r="K296" s="180" t="str">
        <f ca="1"/>
        <v/>
      </c>
      <c r="L296" s="180" t="str">
        <f ca="1"/>
        <v/>
      </c>
      <c r="M296" s="180" t="str">
        <f ca="1"/>
        <v/>
      </c>
      <c r="N296" s="180" t="str">
        <f ca="1"/>
        <v/>
      </c>
      <c r="O296" s="180" t="str">
        <f ca="1"/>
        <v/>
      </c>
      <c r="P296" s="180" t="str">
        <f ca="1"/>
        <v/>
      </c>
      <c r="Q296" s="180" t="str">
        <f ca="1"/>
        <v/>
      </c>
      <c r="R296" s="180" t="str">
        <f ca="1"/>
        <v/>
      </c>
      <c r="S296" s="180" t="str">
        <f ca="1"/>
        <v/>
      </c>
      <c r="T296" s="180" t="str">
        <f ca="1"/>
        <v/>
      </c>
      <c r="U296" s="180" t="str">
        <f ca="1"/>
        <v/>
      </c>
      <c r="V296" s="180" t="str">
        <f ca="1"/>
        <v/>
      </c>
      <c r="W296" s="180" t="str">
        <f ca="1"/>
        <v/>
      </c>
      <c r="X296" s="180" t="str">
        <f ca="1"/>
        <v/>
      </c>
      <c r="Y296" s="180" t="str">
        <f ca="1"/>
        <v/>
      </c>
      <c r="Z296" s="180" t="str">
        <f ca="1"/>
        <v/>
      </c>
      <c r="AA296" s="180" t="str">
        <f ca="1"/>
        <v/>
      </c>
      <c r="AB296" s="180" t="str">
        <f ca="1"/>
        <v/>
      </c>
      <c r="AC296" s="180" t="str">
        <f ca="1"/>
        <v/>
      </c>
      <c r="AD296" s="180" t="str">
        <f ca="1"/>
        <v/>
      </c>
      <c r="AE296" s="180" t="str">
        <f ca="1"/>
        <v/>
      </c>
      <c r="AF296" s="180" t="str">
        <f ca="1"/>
        <v/>
      </c>
      <c r="AG296" s="180" t="str">
        <f ca="1"/>
        <v/>
      </c>
      <c r="AH296" s="180" t="str">
        <f ca="1"/>
        <v/>
      </c>
      <c r="AI296" s="180" t="str">
        <f ca="1"/>
        <v/>
      </c>
      <c r="AJ296" s="180" t="str">
        <f ca="1"/>
        <v/>
      </c>
      <c r="AK296" s="180" t="str">
        <f ca="1"/>
        <v/>
      </c>
      <c r="AL296" s="180" t="str">
        <f ca="1"/>
        <v/>
      </c>
      <c r="AM296" s="180" t="str">
        <f ca="1"/>
        <v/>
      </c>
      <c r="AN296" s="180" t="str">
        <f ca="1"/>
        <v/>
      </c>
      <c r="AO296" s="180" t="str">
        <f ca="1"/>
        <v/>
      </c>
      <c r="AP296" s="180" t="str">
        <f ca="1"/>
        <v/>
      </c>
      <c r="AQ296" s="187" t="str">
        <f ca="1"/>
        <v/>
      </c>
    </row>
    <row r="297" spans="2:43" x14ac:dyDescent="0.25">
      <c r="B297" s="179" t="str">
        <f ca="1"/>
        <v/>
      </c>
      <c r="C297" s="180" t="str">
        <f ca="1"/>
        <v/>
      </c>
      <c r="D297" s="180" t="str">
        <f ca="1"/>
        <v/>
      </c>
      <c r="E297" s="180" t="str">
        <f ca="1"/>
        <v/>
      </c>
      <c r="F297" s="180" t="str">
        <f ca="1"/>
        <v/>
      </c>
      <c r="G297" s="180" t="str">
        <f ca="1"/>
        <v/>
      </c>
      <c r="H297" s="180" t="str">
        <f ca="1"/>
        <v/>
      </c>
      <c r="I297" s="180" t="str">
        <f ca="1"/>
        <v/>
      </c>
      <c r="J297" s="180" t="str">
        <f ca="1"/>
        <v/>
      </c>
      <c r="K297" s="180" t="str">
        <f ca="1"/>
        <v/>
      </c>
      <c r="L297" s="180" t="str">
        <f ca="1"/>
        <v/>
      </c>
      <c r="M297" s="180" t="str">
        <f ca="1"/>
        <v/>
      </c>
      <c r="N297" s="180" t="str">
        <f ca="1"/>
        <v/>
      </c>
      <c r="O297" s="180" t="str">
        <f ca="1"/>
        <v/>
      </c>
      <c r="P297" s="180" t="str">
        <f ca="1"/>
        <v/>
      </c>
      <c r="Q297" s="180" t="str">
        <f ca="1"/>
        <v/>
      </c>
      <c r="R297" s="180" t="str">
        <f ca="1"/>
        <v/>
      </c>
      <c r="S297" s="180" t="str">
        <f ca="1"/>
        <v/>
      </c>
      <c r="T297" s="180" t="str">
        <f ca="1"/>
        <v/>
      </c>
      <c r="U297" s="180" t="str">
        <f ca="1"/>
        <v/>
      </c>
      <c r="V297" s="180" t="str">
        <f ca="1"/>
        <v/>
      </c>
      <c r="W297" s="180" t="str">
        <f ca="1"/>
        <v/>
      </c>
      <c r="X297" s="180" t="str">
        <f ca="1"/>
        <v/>
      </c>
      <c r="Y297" s="180" t="str">
        <f ca="1"/>
        <v/>
      </c>
      <c r="Z297" s="180" t="str">
        <f ca="1"/>
        <v/>
      </c>
      <c r="AA297" s="180" t="str">
        <f ca="1"/>
        <v/>
      </c>
      <c r="AB297" s="180" t="str">
        <f ca="1"/>
        <v/>
      </c>
      <c r="AC297" s="180" t="str">
        <f ca="1"/>
        <v/>
      </c>
      <c r="AD297" s="180" t="str">
        <f ca="1"/>
        <v/>
      </c>
      <c r="AE297" s="180" t="str">
        <f ca="1"/>
        <v/>
      </c>
      <c r="AF297" s="180" t="str">
        <f ca="1"/>
        <v/>
      </c>
      <c r="AG297" s="180" t="str">
        <f ca="1"/>
        <v/>
      </c>
      <c r="AH297" s="180" t="str">
        <f ca="1"/>
        <v/>
      </c>
      <c r="AI297" s="180" t="str">
        <f ca="1"/>
        <v/>
      </c>
      <c r="AJ297" s="180" t="str">
        <f ca="1"/>
        <v/>
      </c>
      <c r="AK297" s="180" t="str">
        <f ca="1"/>
        <v/>
      </c>
      <c r="AL297" s="180" t="str">
        <f ca="1"/>
        <v/>
      </c>
      <c r="AM297" s="180" t="str">
        <f ca="1"/>
        <v/>
      </c>
      <c r="AN297" s="180" t="str">
        <f ca="1"/>
        <v/>
      </c>
      <c r="AO297" s="180" t="str">
        <f ca="1"/>
        <v/>
      </c>
      <c r="AP297" s="180" t="str">
        <f ca="1"/>
        <v/>
      </c>
      <c r="AQ297" s="187" t="str">
        <f ca="1"/>
        <v/>
      </c>
    </row>
    <row r="298" spans="2:43" x14ac:dyDescent="0.25">
      <c r="B298" s="179" t="str">
        <f ca="1"/>
        <v/>
      </c>
      <c r="C298" s="180" t="str">
        <f ca="1"/>
        <v/>
      </c>
      <c r="D298" s="180" t="str">
        <f ca="1"/>
        <v/>
      </c>
      <c r="E298" s="180" t="str">
        <f ca="1"/>
        <v/>
      </c>
      <c r="F298" s="180" t="str">
        <f ca="1"/>
        <v/>
      </c>
      <c r="G298" s="180" t="str">
        <f ca="1"/>
        <v/>
      </c>
      <c r="H298" s="180" t="str">
        <f ca="1"/>
        <v/>
      </c>
      <c r="I298" s="180" t="str">
        <f ca="1"/>
        <v/>
      </c>
      <c r="J298" s="180" t="str">
        <f ca="1"/>
        <v/>
      </c>
      <c r="K298" s="180" t="str">
        <f ca="1"/>
        <v/>
      </c>
      <c r="L298" s="180" t="str">
        <f ca="1"/>
        <v/>
      </c>
      <c r="M298" s="180" t="str">
        <f ca="1"/>
        <v/>
      </c>
      <c r="N298" s="180" t="str">
        <f ca="1"/>
        <v/>
      </c>
      <c r="O298" s="180" t="str">
        <f ca="1"/>
        <v/>
      </c>
      <c r="P298" s="180" t="str">
        <f ca="1"/>
        <v/>
      </c>
      <c r="Q298" s="180" t="str">
        <f ca="1"/>
        <v/>
      </c>
      <c r="R298" s="180" t="str">
        <f ca="1"/>
        <v/>
      </c>
      <c r="S298" s="180" t="str">
        <f ca="1"/>
        <v/>
      </c>
      <c r="T298" s="180" t="str">
        <f ca="1"/>
        <v/>
      </c>
      <c r="U298" s="180" t="str">
        <f ca="1"/>
        <v/>
      </c>
      <c r="V298" s="180" t="str">
        <f ca="1"/>
        <v/>
      </c>
      <c r="W298" s="180" t="str">
        <f ca="1"/>
        <v/>
      </c>
      <c r="X298" s="180" t="str">
        <f ca="1"/>
        <v/>
      </c>
      <c r="Y298" s="180" t="str">
        <f ca="1"/>
        <v/>
      </c>
      <c r="Z298" s="180" t="str">
        <f ca="1"/>
        <v/>
      </c>
      <c r="AA298" s="180" t="str">
        <f ca="1"/>
        <v/>
      </c>
      <c r="AB298" s="180" t="str">
        <f ca="1"/>
        <v/>
      </c>
      <c r="AC298" s="180" t="str">
        <f ca="1"/>
        <v/>
      </c>
      <c r="AD298" s="180" t="str">
        <f ca="1"/>
        <v/>
      </c>
      <c r="AE298" s="180" t="str">
        <f ca="1"/>
        <v/>
      </c>
      <c r="AF298" s="180" t="str">
        <f ca="1"/>
        <v/>
      </c>
      <c r="AG298" s="180" t="str">
        <f ca="1"/>
        <v/>
      </c>
      <c r="AH298" s="180" t="str">
        <f ca="1"/>
        <v/>
      </c>
      <c r="AI298" s="180" t="str">
        <f ca="1"/>
        <v/>
      </c>
      <c r="AJ298" s="180" t="str">
        <f ca="1"/>
        <v/>
      </c>
      <c r="AK298" s="180" t="str">
        <f ca="1"/>
        <v/>
      </c>
      <c r="AL298" s="180" t="str">
        <f ca="1"/>
        <v/>
      </c>
      <c r="AM298" s="180" t="str">
        <f ca="1"/>
        <v/>
      </c>
      <c r="AN298" s="180" t="str">
        <f ca="1"/>
        <v/>
      </c>
      <c r="AO298" s="180" t="str">
        <f ca="1"/>
        <v/>
      </c>
      <c r="AP298" s="180" t="str">
        <f ca="1"/>
        <v/>
      </c>
      <c r="AQ298" s="187" t="str">
        <f ca="1"/>
        <v/>
      </c>
    </row>
    <row r="299" spans="2:43" x14ac:dyDescent="0.25">
      <c r="B299" s="179" t="str">
        <f ca="1"/>
        <v/>
      </c>
      <c r="C299" s="180" t="str">
        <f ca="1"/>
        <v/>
      </c>
      <c r="D299" s="180" t="str">
        <f ca="1"/>
        <v/>
      </c>
      <c r="E299" s="180" t="str">
        <f ca="1"/>
        <v/>
      </c>
      <c r="F299" s="180" t="str">
        <f ca="1"/>
        <v/>
      </c>
      <c r="G299" s="180" t="str">
        <f ca="1"/>
        <v/>
      </c>
      <c r="H299" s="180" t="str">
        <f ca="1"/>
        <v/>
      </c>
      <c r="I299" s="180" t="str">
        <f ca="1"/>
        <v/>
      </c>
      <c r="J299" s="180" t="str">
        <f ca="1"/>
        <v/>
      </c>
      <c r="K299" s="180" t="str">
        <f ca="1"/>
        <v/>
      </c>
      <c r="L299" s="180" t="str">
        <f ca="1"/>
        <v/>
      </c>
      <c r="M299" s="180" t="str">
        <f ca="1"/>
        <v/>
      </c>
      <c r="N299" s="180" t="str">
        <f ca="1"/>
        <v/>
      </c>
      <c r="O299" s="180" t="str">
        <f ca="1"/>
        <v/>
      </c>
      <c r="P299" s="180" t="str">
        <f ca="1"/>
        <v/>
      </c>
      <c r="Q299" s="180" t="str">
        <f ca="1"/>
        <v/>
      </c>
      <c r="R299" s="180" t="str">
        <f ca="1"/>
        <v/>
      </c>
      <c r="S299" s="180" t="str">
        <f ca="1"/>
        <v/>
      </c>
      <c r="T299" s="180" t="str">
        <f ca="1"/>
        <v/>
      </c>
      <c r="U299" s="180" t="str">
        <f ca="1"/>
        <v/>
      </c>
      <c r="V299" s="180" t="str">
        <f ca="1"/>
        <v/>
      </c>
      <c r="W299" s="180" t="str">
        <f ca="1"/>
        <v/>
      </c>
      <c r="X299" s="180" t="str">
        <f ca="1"/>
        <v/>
      </c>
      <c r="Y299" s="180" t="str">
        <f ca="1"/>
        <v/>
      </c>
      <c r="Z299" s="180" t="str">
        <f ca="1"/>
        <v/>
      </c>
      <c r="AA299" s="180" t="str">
        <f ca="1"/>
        <v/>
      </c>
      <c r="AB299" s="180" t="str">
        <f ca="1"/>
        <v/>
      </c>
      <c r="AC299" s="180" t="str">
        <f ca="1"/>
        <v/>
      </c>
      <c r="AD299" s="180" t="str">
        <f ca="1"/>
        <v/>
      </c>
      <c r="AE299" s="180" t="str">
        <f ca="1"/>
        <v/>
      </c>
      <c r="AF299" s="180" t="str">
        <f ca="1"/>
        <v/>
      </c>
      <c r="AG299" s="180" t="str">
        <f ca="1"/>
        <v/>
      </c>
      <c r="AH299" s="180" t="str">
        <f ca="1"/>
        <v/>
      </c>
      <c r="AI299" s="180" t="str">
        <f ca="1"/>
        <v/>
      </c>
      <c r="AJ299" s="180" t="str">
        <f ca="1"/>
        <v/>
      </c>
      <c r="AK299" s="180" t="str">
        <f ca="1"/>
        <v/>
      </c>
      <c r="AL299" s="180" t="str">
        <f ca="1"/>
        <v/>
      </c>
      <c r="AM299" s="180" t="str">
        <f ca="1"/>
        <v/>
      </c>
      <c r="AN299" s="180" t="str">
        <f ca="1"/>
        <v/>
      </c>
      <c r="AO299" s="180" t="str">
        <f ca="1"/>
        <v/>
      </c>
      <c r="AP299" s="180" t="str">
        <f ca="1"/>
        <v/>
      </c>
      <c r="AQ299" s="187" t="str">
        <f ca="1"/>
        <v/>
      </c>
    </row>
    <row r="300" spans="2:43" x14ac:dyDescent="0.25">
      <c r="B300" s="179" t="str">
        <f ca="1"/>
        <v/>
      </c>
      <c r="C300" s="180" t="str">
        <f ca="1"/>
        <v/>
      </c>
      <c r="D300" s="180" t="str">
        <f ca="1"/>
        <v/>
      </c>
      <c r="E300" s="180" t="str">
        <f ca="1"/>
        <v/>
      </c>
      <c r="F300" s="180" t="str">
        <f ca="1"/>
        <v/>
      </c>
      <c r="G300" s="180" t="str">
        <f ca="1"/>
        <v/>
      </c>
      <c r="H300" s="180" t="str">
        <f ca="1"/>
        <v/>
      </c>
      <c r="I300" s="180" t="str">
        <f ca="1"/>
        <v/>
      </c>
      <c r="J300" s="180" t="str">
        <f ca="1"/>
        <v/>
      </c>
      <c r="K300" s="180" t="str">
        <f ca="1"/>
        <v/>
      </c>
      <c r="L300" s="180" t="str">
        <f ca="1"/>
        <v/>
      </c>
      <c r="M300" s="180" t="str">
        <f ca="1"/>
        <v/>
      </c>
      <c r="N300" s="180" t="str">
        <f ca="1"/>
        <v/>
      </c>
      <c r="O300" s="180" t="str">
        <f ca="1"/>
        <v/>
      </c>
      <c r="P300" s="180" t="str">
        <f ca="1"/>
        <v/>
      </c>
      <c r="Q300" s="180" t="str">
        <f ca="1"/>
        <v/>
      </c>
      <c r="R300" s="180" t="str">
        <f ca="1"/>
        <v/>
      </c>
      <c r="S300" s="180" t="str">
        <f ca="1"/>
        <v/>
      </c>
      <c r="T300" s="180" t="str">
        <f ca="1"/>
        <v/>
      </c>
      <c r="U300" s="180" t="str">
        <f ca="1"/>
        <v/>
      </c>
      <c r="V300" s="180" t="str">
        <f ca="1"/>
        <v/>
      </c>
      <c r="W300" s="180" t="str">
        <f ca="1"/>
        <v/>
      </c>
      <c r="X300" s="180" t="str">
        <f ca="1"/>
        <v/>
      </c>
      <c r="Y300" s="180" t="str">
        <f ca="1"/>
        <v/>
      </c>
      <c r="Z300" s="180" t="str">
        <f ca="1"/>
        <v/>
      </c>
      <c r="AA300" s="180" t="str">
        <f ca="1"/>
        <v/>
      </c>
      <c r="AB300" s="180" t="str">
        <f ca="1"/>
        <v/>
      </c>
      <c r="AC300" s="180" t="str">
        <f ca="1"/>
        <v/>
      </c>
      <c r="AD300" s="180" t="str">
        <f ca="1"/>
        <v/>
      </c>
      <c r="AE300" s="180" t="str">
        <f ca="1"/>
        <v/>
      </c>
      <c r="AF300" s="180" t="str">
        <f ca="1"/>
        <v/>
      </c>
      <c r="AG300" s="180" t="str">
        <f ca="1"/>
        <v/>
      </c>
      <c r="AH300" s="180" t="str">
        <f ca="1"/>
        <v/>
      </c>
      <c r="AI300" s="180" t="str">
        <f ca="1"/>
        <v/>
      </c>
      <c r="AJ300" s="180" t="str">
        <f ca="1"/>
        <v/>
      </c>
      <c r="AK300" s="180" t="str">
        <f ca="1"/>
        <v/>
      </c>
      <c r="AL300" s="180" t="str">
        <f ca="1"/>
        <v/>
      </c>
      <c r="AM300" s="180" t="str">
        <f ca="1"/>
        <v/>
      </c>
      <c r="AN300" s="180" t="str">
        <f ca="1"/>
        <v/>
      </c>
      <c r="AO300" s="180" t="str">
        <f ca="1"/>
        <v/>
      </c>
      <c r="AP300" s="180" t="str">
        <f ca="1"/>
        <v/>
      </c>
      <c r="AQ300" s="187" t="str">
        <f ca="1"/>
        <v/>
      </c>
    </row>
    <row r="301" spans="2:43" x14ac:dyDescent="0.25">
      <c r="B301" s="179" t="str">
        <f ca="1"/>
        <v/>
      </c>
      <c r="C301" s="180" t="str">
        <f ca="1"/>
        <v/>
      </c>
      <c r="D301" s="180" t="str">
        <f ca="1"/>
        <v/>
      </c>
      <c r="E301" s="180" t="str">
        <f ca="1"/>
        <v/>
      </c>
      <c r="F301" s="180" t="str">
        <f ca="1"/>
        <v/>
      </c>
      <c r="G301" s="180" t="str">
        <f ca="1"/>
        <v/>
      </c>
      <c r="H301" s="180" t="str">
        <f ca="1"/>
        <v/>
      </c>
      <c r="I301" s="180" t="str">
        <f ca="1"/>
        <v/>
      </c>
      <c r="J301" s="180" t="str">
        <f ca="1"/>
        <v/>
      </c>
      <c r="K301" s="180" t="str">
        <f ca="1"/>
        <v/>
      </c>
      <c r="L301" s="180" t="str">
        <f ca="1"/>
        <v/>
      </c>
      <c r="M301" s="180" t="str">
        <f ca="1"/>
        <v/>
      </c>
      <c r="N301" s="180" t="str">
        <f ca="1"/>
        <v/>
      </c>
      <c r="O301" s="180" t="str">
        <f ca="1"/>
        <v/>
      </c>
      <c r="P301" s="180" t="str">
        <f ca="1"/>
        <v/>
      </c>
      <c r="Q301" s="180" t="str">
        <f ca="1"/>
        <v/>
      </c>
      <c r="R301" s="180" t="str">
        <f ca="1"/>
        <v/>
      </c>
      <c r="S301" s="180" t="str">
        <f ca="1"/>
        <v/>
      </c>
      <c r="T301" s="180" t="str">
        <f ca="1"/>
        <v/>
      </c>
      <c r="U301" s="180" t="str">
        <f ca="1"/>
        <v/>
      </c>
      <c r="V301" s="180" t="str">
        <f ca="1"/>
        <v/>
      </c>
      <c r="W301" s="180" t="str">
        <f ca="1"/>
        <v/>
      </c>
      <c r="X301" s="180" t="str">
        <f ca="1"/>
        <v/>
      </c>
      <c r="Y301" s="180" t="str">
        <f ca="1"/>
        <v/>
      </c>
      <c r="Z301" s="180" t="str">
        <f ca="1"/>
        <v/>
      </c>
      <c r="AA301" s="180" t="str">
        <f ca="1"/>
        <v/>
      </c>
      <c r="AB301" s="180" t="str">
        <f ca="1"/>
        <v/>
      </c>
      <c r="AC301" s="180" t="str">
        <f ca="1"/>
        <v/>
      </c>
      <c r="AD301" s="180" t="str">
        <f ca="1"/>
        <v/>
      </c>
      <c r="AE301" s="180" t="str">
        <f ca="1"/>
        <v/>
      </c>
      <c r="AF301" s="180" t="str">
        <f ca="1"/>
        <v/>
      </c>
      <c r="AG301" s="180" t="str">
        <f ca="1"/>
        <v/>
      </c>
      <c r="AH301" s="180" t="str">
        <f ca="1"/>
        <v/>
      </c>
      <c r="AI301" s="180" t="str">
        <f ca="1"/>
        <v/>
      </c>
      <c r="AJ301" s="180" t="str">
        <f ca="1"/>
        <v/>
      </c>
      <c r="AK301" s="180" t="str">
        <f ca="1"/>
        <v/>
      </c>
      <c r="AL301" s="180" t="str">
        <f ca="1"/>
        <v/>
      </c>
      <c r="AM301" s="180" t="str">
        <f ca="1"/>
        <v/>
      </c>
      <c r="AN301" s="180" t="str">
        <f ca="1"/>
        <v/>
      </c>
      <c r="AO301" s="180" t="str">
        <f ca="1"/>
        <v/>
      </c>
      <c r="AP301" s="180" t="str">
        <f ca="1"/>
        <v/>
      </c>
      <c r="AQ301" s="187" t="str">
        <f ca="1"/>
        <v/>
      </c>
    </row>
    <row r="302" spans="2:43" x14ac:dyDescent="0.25">
      <c r="B302" s="179" t="str">
        <f ca="1"/>
        <v/>
      </c>
      <c r="C302" s="180" t="str">
        <f ca="1"/>
        <v/>
      </c>
      <c r="D302" s="180" t="str">
        <f ca="1"/>
        <v/>
      </c>
      <c r="E302" s="180" t="str">
        <f ca="1"/>
        <v/>
      </c>
      <c r="F302" s="180" t="str">
        <f ca="1"/>
        <v/>
      </c>
      <c r="G302" s="180" t="str">
        <f ca="1"/>
        <v/>
      </c>
      <c r="H302" s="180" t="str">
        <f ca="1"/>
        <v/>
      </c>
      <c r="I302" s="180" t="str">
        <f ca="1"/>
        <v/>
      </c>
      <c r="J302" s="180" t="str">
        <f ca="1"/>
        <v/>
      </c>
      <c r="K302" s="180" t="str">
        <f ca="1"/>
        <v/>
      </c>
      <c r="L302" s="180" t="str">
        <f ca="1"/>
        <v/>
      </c>
      <c r="M302" s="180" t="str">
        <f ca="1"/>
        <v/>
      </c>
      <c r="N302" s="180" t="str">
        <f ca="1"/>
        <v/>
      </c>
      <c r="O302" s="180" t="str">
        <f ca="1"/>
        <v/>
      </c>
      <c r="P302" s="180" t="str">
        <f ca="1"/>
        <v/>
      </c>
      <c r="Q302" s="180" t="str">
        <f ca="1"/>
        <v/>
      </c>
      <c r="R302" s="180" t="str">
        <f ca="1"/>
        <v/>
      </c>
      <c r="S302" s="180" t="str">
        <f ca="1"/>
        <v/>
      </c>
      <c r="T302" s="180" t="str">
        <f ca="1"/>
        <v/>
      </c>
      <c r="U302" s="180" t="str">
        <f ca="1"/>
        <v/>
      </c>
      <c r="V302" s="180" t="str">
        <f ca="1"/>
        <v/>
      </c>
      <c r="W302" s="180" t="str">
        <f ca="1"/>
        <v/>
      </c>
      <c r="X302" s="180" t="str">
        <f ca="1"/>
        <v/>
      </c>
      <c r="Y302" s="180" t="str">
        <f ca="1"/>
        <v/>
      </c>
      <c r="Z302" s="180" t="str">
        <f ca="1"/>
        <v/>
      </c>
      <c r="AA302" s="180" t="str">
        <f ca="1"/>
        <v/>
      </c>
      <c r="AB302" s="180" t="str">
        <f ca="1"/>
        <v/>
      </c>
      <c r="AC302" s="180" t="str">
        <f ca="1"/>
        <v/>
      </c>
      <c r="AD302" s="180" t="str">
        <f ca="1"/>
        <v/>
      </c>
      <c r="AE302" s="180" t="str">
        <f ca="1"/>
        <v/>
      </c>
      <c r="AF302" s="180" t="str">
        <f ca="1"/>
        <v/>
      </c>
      <c r="AG302" s="180" t="str">
        <f ca="1"/>
        <v/>
      </c>
      <c r="AH302" s="180" t="str">
        <f ca="1"/>
        <v/>
      </c>
      <c r="AI302" s="180" t="str">
        <f ca="1"/>
        <v/>
      </c>
      <c r="AJ302" s="180" t="str">
        <f ca="1"/>
        <v/>
      </c>
      <c r="AK302" s="180" t="str">
        <f ca="1"/>
        <v/>
      </c>
      <c r="AL302" s="180" t="str">
        <f ca="1"/>
        <v/>
      </c>
      <c r="AM302" s="180" t="str">
        <f ca="1"/>
        <v/>
      </c>
      <c r="AN302" s="180" t="str">
        <f ca="1"/>
        <v/>
      </c>
      <c r="AO302" s="180" t="str">
        <f ca="1"/>
        <v/>
      </c>
      <c r="AP302" s="180" t="str">
        <f ca="1"/>
        <v/>
      </c>
      <c r="AQ302" s="187" t="str">
        <f ca="1"/>
        <v/>
      </c>
    </row>
    <row r="303" spans="2:43" x14ac:dyDescent="0.25">
      <c r="B303" s="179" t="str">
        <f ca="1"/>
        <v/>
      </c>
      <c r="C303" s="180" t="str">
        <f ca="1"/>
        <v/>
      </c>
      <c r="D303" s="180" t="str">
        <f ca="1"/>
        <v/>
      </c>
      <c r="E303" s="180" t="str">
        <f ca="1"/>
        <v/>
      </c>
      <c r="F303" s="180" t="str">
        <f ca="1"/>
        <v/>
      </c>
      <c r="G303" s="180" t="str">
        <f ca="1"/>
        <v/>
      </c>
      <c r="H303" s="180" t="str">
        <f ca="1"/>
        <v/>
      </c>
      <c r="I303" s="180" t="str">
        <f ca="1"/>
        <v/>
      </c>
      <c r="J303" s="180" t="str">
        <f ca="1"/>
        <v/>
      </c>
      <c r="K303" s="180" t="str">
        <f ca="1"/>
        <v/>
      </c>
      <c r="L303" s="180" t="str">
        <f ca="1"/>
        <v/>
      </c>
      <c r="M303" s="180" t="str">
        <f ca="1"/>
        <v/>
      </c>
      <c r="N303" s="180" t="str">
        <f ca="1"/>
        <v/>
      </c>
      <c r="O303" s="180" t="str">
        <f ca="1"/>
        <v/>
      </c>
      <c r="P303" s="180" t="str">
        <f ca="1"/>
        <v/>
      </c>
      <c r="Q303" s="180" t="str">
        <f ca="1"/>
        <v/>
      </c>
      <c r="R303" s="180" t="str">
        <f ca="1"/>
        <v/>
      </c>
      <c r="S303" s="180" t="str">
        <f ca="1"/>
        <v/>
      </c>
      <c r="T303" s="180" t="str">
        <f ca="1"/>
        <v/>
      </c>
      <c r="U303" s="180" t="str">
        <f ca="1"/>
        <v/>
      </c>
      <c r="V303" s="180" t="str">
        <f ca="1"/>
        <v/>
      </c>
      <c r="W303" s="180" t="str">
        <f ca="1"/>
        <v/>
      </c>
      <c r="X303" s="180" t="str">
        <f ca="1"/>
        <v/>
      </c>
      <c r="Y303" s="180" t="str">
        <f ca="1"/>
        <v/>
      </c>
      <c r="Z303" s="180" t="str">
        <f ca="1"/>
        <v/>
      </c>
      <c r="AA303" s="180" t="str">
        <f ca="1"/>
        <v/>
      </c>
      <c r="AB303" s="180" t="str">
        <f ca="1"/>
        <v/>
      </c>
      <c r="AC303" s="180" t="str">
        <f ca="1"/>
        <v/>
      </c>
      <c r="AD303" s="180" t="str">
        <f ca="1"/>
        <v/>
      </c>
      <c r="AE303" s="180" t="str">
        <f ca="1"/>
        <v/>
      </c>
      <c r="AF303" s="180" t="str">
        <f ca="1"/>
        <v/>
      </c>
      <c r="AG303" s="180" t="str">
        <f ca="1"/>
        <v/>
      </c>
      <c r="AH303" s="180" t="str">
        <f ca="1"/>
        <v/>
      </c>
      <c r="AI303" s="180" t="str">
        <f ca="1"/>
        <v/>
      </c>
      <c r="AJ303" s="180" t="str">
        <f ca="1"/>
        <v/>
      </c>
      <c r="AK303" s="180" t="str">
        <f ca="1"/>
        <v/>
      </c>
      <c r="AL303" s="180" t="str">
        <f ca="1"/>
        <v/>
      </c>
      <c r="AM303" s="180" t="str">
        <f ca="1"/>
        <v/>
      </c>
      <c r="AN303" s="180" t="str">
        <f ca="1"/>
        <v/>
      </c>
      <c r="AO303" s="180" t="str">
        <f ca="1"/>
        <v/>
      </c>
      <c r="AP303" s="180" t="str">
        <f ca="1"/>
        <v/>
      </c>
      <c r="AQ303" s="187" t="str">
        <f ca="1"/>
        <v/>
      </c>
    </row>
    <row r="304" spans="2:43" x14ac:dyDescent="0.25">
      <c r="B304" s="179" t="str">
        <f ca="1"/>
        <v/>
      </c>
      <c r="C304" s="180" t="str">
        <f ca="1"/>
        <v/>
      </c>
      <c r="D304" s="180" t="str">
        <f ca="1"/>
        <v/>
      </c>
      <c r="E304" s="180" t="str">
        <f ca="1"/>
        <v/>
      </c>
      <c r="F304" s="180" t="str">
        <f ca="1"/>
        <v/>
      </c>
      <c r="G304" s="180" t="str">
        <f ca="1"/>
        <v/>
      </c>
      <c r="H304" s="180" t="str">
        <f ca="1"/>
        <v/>
      </c>
      <c r="I304" s="180" t="str">
        <f ca="1"/>
        <v/>
      </c>
      <c r="J304" s="180" t="str">
        <f ca="1"/>
        <v/>
      </c>
      <c r="K304" s="180" t="str">
        <f ca="1"/>
        <v/>
      </c>
      <c r="L304" s="180" t="str">
        <f ca="1"/>
        <v/>
      </c>
      <c r="M304" s="180" t="str">
        <f ca="1"/>
        <v/>
      </c>
      <c r="N304" s="180" t="str">
        <f ca="1"/>
        <v/>
      </c>
      <c r="O304" s="180" t="str">
        <f ca="1"/>
        <v/>
      </c>
      <c r="P304" s="180" t="str">
        <f ca="1"/>
        <v/>
      </c>
      <c r="Q304" s="180" t="str">
        <f ca="1"/>
        <v/>
      </c>
      <c r="R304" s="180" t="str">
        <f ca="1"/>
        <v/>
      </c>
      <c r="S304" s="180" t="str">
        <f ca="1"/>
        <v/>
      </c>
      <c r="T304" s="180" t="str">
        <f ca="1"/>
        <v/>
      </c>
      <c r="U304" s="180" t="str">
        <f ca="1"/>
        <v/>
      </c>
      <c r="V304" s="180" t="str">
        <f ca="1"/>
        <v/>
      </c>
      <c r="W304" s="180" t="str">
        <f ca="1"/>
        <v/>
      </c>
      <c r="X304" s="180" t="str">
        <f ca="1"/>
        <v/>
      </c>
      <c r="Y304" s="180" t="str">
        <f ca="1"/>
        <v/>
      </c>
      <c r="Z304" s="180" t="str">
        <f ca="1"/>
        <v/>
      </c>
      <c r="AA304" s="180" t="str">
        <f ca="1"/>
        <v/>
      </c>
      <c r="AB304" s="180" t="str">
        <f ca="1"/>
        <v/>
      </c>
      <c r="AC304" s="180" t="str">
        <f ca="1"/>
        <v/>
      </c>
      <c r="AD304" s="180" t="str">
        <f ca="1"/>
        <v/>
      </c>
      <c r="AE304" s="180" t="str">
        <f ca="1"/>
        <v/>
      </c>
      <c r="AF304" s="180" t="str">
        <f ca="1"/>
        <v/>
      </c>
      <c r="AG304" s="180" t="str">
        <f ca="1"/>
        <v/>
      </c>
      <c r="AH304" s="180" t="str">
        <f ca="1"/>
        <v/>
      </c>
      <c r="AI304" s="180" t="str">
        <f ca="1"/>
        <v/>
      </c>
      <c r="AJ304" s="180" t="str">
        <f ca="1"/>
        <v/>
      </c>
      <c r="AK304" s="180" t="str">
        <f ca="1"/>
        <v/>
      </c>
      <c r="AL304" s="180" t="str">
        <f ca="1"/>
        <v/>
      </c>
      <c r="AM304" s="180" t="str">
        <f ca="1"/>
        <v/>
      </c>
      <c r="AN304" s="180" t="str">
        <f ca="1"/>
        <v/>
      </c>
      <c r="AO304" s="180" t="str">
        <f ca="1"/>
        <v/>
      </c>
      <c r="AP304" s="180" t="str">
        <f ca="1"/>
        <v/>
      </c>
      <c r="AQ304" s="187" t="str">
        <f ca="1"/>
        <v/>
      </c>
    </row>
    <row r="305" spans="2:43" x14ac:dyDescent="0.25">
      <c r="B305" s="179" t="str">
        <f ca="1"/>
        <v/>
      </c>
      <c r="C305" s="180" t="str">
        <f ca="1"/>
        <v/>
      </c>
      <c r="D305" s="180" t="str">
        <f ca="1"/>
        <v/>
      </c>
      <c r="E305" s="180" t="str">
        <f ca="1"/>
        <v/>
      </c>
      <c r="F305" s="180" t="str">
        <f ca="1"/>
        <v/>
      </c>
      <c r="G305" s="180" t="str">
        <f ca="1"/>
        <v/>
      </c>
      <c r="H305" s="180" t="str">
        <f ca="1"/>
        <v/>
      </c>
      <c r="I305" s="180" t="str">
        <f ca="1"/>
        <v/>
      </c>
      <c r="J305" s="180" t="str">
        <f ca="1"/>
        <v/>
      </c>
      <c r="K305" s="180" t="str">
        <f ca="1"/>
        <v/>
      </c>
      <c r="L305" s="180" t="str">
        <f ca="1"/>
        <v/>
      </c>
      <c r="M305" s="180" t="str">
        <f ca="1"/>
        <v/>
      </c>
      <c r="N305" s="180" t="str">
        <f ca="1"/>
        <v/>
      </c>
      <c r="O305" s="180" t="str">
        <f ca="1"/>
        <v/>
      </c>
      <c r="P305" s="180" t="str">
        <f ca="1"/>
        <v/>
      </c>
      <c r="Q305" s="180" t="str">
        <f ca="1"/>
        <v/>
      </c>
      <c r="R305" s="180" t="str">
        <f ca="1"/>
        <v/>
      </c>
      <c r="S305" s="180" t="str">
        <f ca="1"/>
        <v/>
      </c>
      <c r="T305" s="180" t="str">
        <f ca="1"/>
        <v/>
      </c>
      <c r="U305" s="180" t="str">
        <f ca="1"/>
        <v/>
      </c>
      <c r="V305" s="180" t="str">
        <f ca="1"/>
        <v/>
      </c>
      <c r="W305" s="180" t="str">
        <f ca="1"/>
        <v/>
      </c>
      <c r="X305" s="180" t="str">
        <f ca="1"/>
        <v/>
      </c>
      <c r="Y305" s="180" t="str">
        <f ca="1"/>
        <v/>
      </c>
      <c r="Z305" s="180" t="str">
        <f ca="1"/>
        <v/>
      </c>
      <c r="AA305" s="180" t="str">
        <f ca="1"/>
        <v/>
      </c>
      <c r="AB305" s="180" t="str">
        <f ca="1"/>
        <v/>
      </c>
      <c r="AC305" s="180" t="str">
        <f ca="1"/>
        <v/>
      </c>
      <c r="AD305" s="180" t="str">
        <f ca="1"/>
        <v/>
      </c>
      <c r="AE305" s="180" t="str">
        <f ca="1"/>
        <v/>
      </c>
      <c r="AF305" s="180" t="str">
        <f ca="1"/>
        <v/>
      </c>
      <c r="AG305" s="180" t="str">
        <f ca="1"/>
        <v/>
      </c>
      <c r="AH305" s="180" t="str">
        <f ca="1"/>
        <v/>
      </c>
      <c r="AI305" s="180" t="str">
        <f ca="1"/>
        <v/>
      </c>
      <c r="AJ305" s="180" t="str">
        <f ca="1"/>
        <v/>
      </c>
      <c r="AK305" s="180" t="str">
        <f ca="1"/>
        <v/>
      </c>
      <c r="AL305" s="180" t="str">
        <f ca="1"/>
        <v/>
      </c>
      <c r="AM305" s="180" t="str">
        <f ca="1"/>
        <v/>
      </c>
      <c r="AN305" s="180" t="str">
        <f ca="1"/>
        <v/>
      </c>
      <c r="AO305" s="180" t="str">
        <f ca="1"/>
        <v/>
      </c>
      <c r="AP305" s="180" t="str">
        <f ca="1"/>
        <v/>
      </c>
      <c r="AQ305" s="187" t="str">
        <f ca="1"/>
        <v/>
      </c>
    </row>
    <row r="306" spans="2:43" x14ac:dyDescent="0.25">
      <c r="B306" s="179" t="str">
        <f ca="1"/>
        <v/>
      </c>
      <c r="C306" s="180" t="str">
        <f ca="1"/>
        <v/>
      </c>
      <c r="D306" s="180" t="str">
        <f ca="1"/>
        <v/>
      </c>
      <c r="E306" s="180" t="str">
        <f ca="1"/>
        <v/>
      </c>
      <c r="F306" s="180" t="str">
        <f ca="1"/>
        <v/>
      </c>
      <c r="G306" s="180" t="str">
        <f ca="1"/>
        <v/>
      </c>
      <c r="H306" s="180" t="str">
        <f ca="1"/>
        <v/>
      </c>
      <c r="I306" s="180" t="str">
        <f ca="1"/>
        <v/>
      </c>
      <c r="J306" s="180" t="str">
        <f ca="1"/>
        <v/>
      </c>
      <c r="K306" s="180" t="str">
        <f ca="1"/>
        <v/>
      </c>
      <c r="L306" s="180" t="str">
        <f ca="1"/>
        <v/>
      </c>
      <c r="M306" s="180" t="str">
        <f ca="1"/>
        <v/>
      </c>
      <c r="N306" s="180" t="str">
        <f ca="1"/>
        <v/>
      </c>
      <c r="O306" s="180" t="str">
        <f ca="1"/>
        <v/>
      </c>
      <c r="P306" s="180" t="str">
        <f ca="1"/>
        <v/>
      </c>
      <c r="Q306" s="180" t="str">
        <f ca="1"/>
        <v/>
      </c>
      <c r="R306" s="180" t="str">
        <f ca="1"/>
        <v/>
      </c>
      <c r="S306" s="180" t="str">
        <f ca="1"/>
        <v/>
      </c>
      <c r="T306" s="180" t="str">
        <f ca="1"/>
        <v/>
      </c>
      <c r="U306" s="180" t="str">
        <f ca="1"/>
        <v/>
      </c>
      <c r="V306" s="180" t="str">
        <f ca="1"/>
        <v/>
      </c>
      <c r="W306" s="180" t="str">
        <f ca="1"/>
        <v/>
      </c>
      <c r="X306" s="180" t="str">
        <f ca="1"/>
        <v/>
      </c>
      <c r="Y306" s="180" t="str">
        <f ca="1"/>
        <v/>
      </c>
      <c r="Z306" s="180" t="str">
        <f ca="1"/>
        <v/>
      </c>
      <c r="AA306" s="180" t="str">
        <f ca="1"/>
        <v/>
      </c>
      <c r="AB306" s="180" t="str">
        <f ca="1"/>
        <v/>
      </c>
      <c r="AC306" s="180" t="str">
        <f ca="1"/>
        <v/>
      </c>
      <c r="AD306" s="180" t="str">
        <f ca="1"/>
        <v/>
      </c>
      <c r="AE306" s="180" t="str">
        <f ca="1"/>
        <v/>
      </c>
      <c r="AF306" s="180" t="str">
        <f ca="1"/>
        <v/>
      </c>
      <c r="AG306" s="180" t="str">
        <f ca="1"/>
        <v/>
      </c>
      <c r="AH306" s="180" t="str">
        <f ca="1"/>
        <v/>
      </c>
      <c r="AI306" s="180" t="str">
        <f ca="1"/>
        <v/>
      </c>
      <c r="AJ306" s="180" t="str">
        <f ca="1"/>
        <v/>
      </c>
      <c r="AK306" s="180" t="str">
        <f ca="1"/>
        <v/>
      </c>
      <c r="AL306" s="180" t="str">
        <f ca="1"/>
        <v/>
      </c>
      <c r="AM306" s="180" t="str">
        <f ca="1"/>
        <v/>
      </c>
      <c r="AN306" s="180" t="str">
        <f ca="1"/>
        <v/>
      </c>
      <c r="AO306" s="180" t="str">
        <f ca="1"/>
        <v/>
      </c>
      <c r="AP306" s="180" t="str">
        <f ca="1"/>
        <v/>
      </c>
      <c r="AQ306" s="187" t="str">
        <f ca="1"/>
        <v/>
      </c>
    </row>
    <row r="307" spans="2:43" x14ac:dyDescent="0.25">
      <c r="B307" s="179" t="str">
        <f ca="1"/>
        <v/>
      </c>
      <c r="C307" s="180" t="str">
        <f ca="1"/>
        <v/>
      </c>
      <c r="D307" s="180" t="str">
        <f ca="1"/>
        <v/>
      </c>
      <c r="E307" s="180" t="str">
        <f ca="1"/>
        <v/>
      </c>
      <c r="F307" s="180" t="str">
        <f ca="1"/>
        <v/>
      </c>
      <c r="G307" s="180" t="str">
        <f ca="1"/>
        <v/>
      </c>
      <c r="H307" s="180" t="str">
        <f ca="1"/>
        <v/>
      </c>
      <c r="I307" s="180" t="str">
        <f ca="1"/>
        <v/>
      </c>
      <c r="J307" s="180" t="str">
        <f ca="1"/>
        <v/>
      </c>
      <c r="K307" s="180" t="str">
        <f ca="1"/>
        <v/>
      </c>
      <c r="L307" s="180" t="str">
        <f ca="1"/>
        <v/>
      </c>
      <c r="M307" s="180" t="str">
        <f ca="1"/>
        <v/>
      </c>
      <c r="N307" s="180" t="str">
        <f ca="1"/>
        <v/>
      </c>
      <c r="O307" s="180" t="str">
        <f ca="1"/>
        <v/>
      </c>
      <c r="P307" s="180" t="str">
        <f ca="1"/>
        <v/>
      </c>
      <c r="Q307" s="180" t="str">
        <f ca="1"/>
        <v/>
      </c>
      <c r="R307" s="180" t="str">
        <f ca="1"/>
        <v/>
      </c>
      <c r="S307" s="180" t="str">
        <f ca="1"/>
        <v/>
      </c>
      <c r="T307" s="180" t="str">
        <f ca="1"/>
        <v/>
      </c>
      <c r="U307" s="180" t="str">
        <f ca="1"/>
        <v/>
      </c>
      <c r="V307" s="180" t="str">
        <f ca="1"/>
        <v/>
      </c>
      <c r="W307" s="180" t="str">
        <f ca="1"/>
        <v/>
      </c>
      <c r="X307" s="180" t="str">
        <f ca="1"/>
        <v/>
      </c>
      <c r="Y307" s="180" t="str">
        <f ca="1"/>
        <v/>
      </c>
      <c r="Z307" s="180" t="str">
        <f ca="1"/>
        <v/>
      </c>
      <c r="AA307" s="180" t="str">
        <f ca="1"/>
        <v/>
      </c>
      <c r="AB307" s="180" t="str">
        <f ca="1"/>
        <v/>
      </c>
      <c r="AC307" s="180" t="str">
        <f ca="1"/>
        <v/>
      </c>
      <c r="AD307" s="180" t="str">
        <f ca="1"/>
        <v/>
      </c>
      <c r="AE307" s="180" t="str">
        <f ca="1"/>
        <v/>
      </c>
      <c r="AF307" s="180" t="str">
        <f ca="1"/>
        <v/>
      </c>
      <c r="AG307" s="180" t="str">
        <f ca="1"/>
        <v/>
      </c>
      <c r="AH307" s="180" t="str">
        <f ca="1"/>
        <v/>
      </c>
      <c r="AI307" s="180" t="str">
        <f ca="1"/>
        <v/>
      </c>
      <c r="AJ307" s="180" t="str">
        <f ca="1"/>
        <v/>
      </c>
      <c r="AK307" s="180" t="str">
        <f ca="1"/>
        <v/>
      </c>
      <c r="AL307" s="180" t="str">
        <f ca="1"/>
        <v/>
      </c>
      <c r="AM307" s="180" t="str">
        <f ca="1"/>
        <v/>
      </c>
      <c r="AN307" s="180" t="str">
        <f ca="1"/>
        <v/>
      </c>
      <c r="AO307" s="180" t="str">
        <f ca="1"/>
        <v/>
      </c>
      <c r="AP307" s="180" t="str">
        <f ca="1"/>
        <v/>
      </c>
      <c r="AQ307" s="187" t="str">
        <f ca="1"/>
        <v/>
      </c>
    </row>
    <row r="308" spans="2:43" x14ac:dyDescent="0.25">
      <c r="B308" s="179" t="str">
        <f ca="1"/>
        <v/>
      </c>
      <c r="C308" s="180" t="str">
        <f ca="1"/>
        <v/>
      </c>
      <c r="D308" s="180" t="str">
        <f ca="1"/>
        <v/>
      </c>
      <c r="E308" s="180" t="str">
        <f ca="1"/>
        <v/>
      </c>
      <c r="F308" s="180" t="str">
        <f ca="1"/>
        <v/>
      </c>
      <c r="G308" s="180" t="str">
        <f ca="1"/>
        <v/>
      </c>
      <c r="H308" s="180" t="str">
        <f ca="1"/>
        <v/>
      </c>
      <c r="I308" s="180" t="str">
        <f ca="1"/>
        <v/>
      </c>
      <c r="J308" s="180" t="str">
        <f ca="1"/>
        <v/>
      </c>
      <c r="K308" s="180" t="str">
        <f ca="1"/>
        <v/>
      </c>
      <c r="L308" s="180" t="str">
        <f ca="1"/>
        <v/>
      </c>
      <c r="M308" s="180" t="str">
        <f ca="1"/>
        <v/>
      </c>
      <c r="N308" s="180" t="str">
        <f ca="1"/>
        <v/>
      </c>
      <c r="O308" s="180" t="str">
        <f ca="1"/>
        <v/>
      </c>
      <c r="P308" s="180" t="str">
        <f ca="1"/>
        <v/>
      </c>
      <c r="Q308" s="180" t="str">
        <f ca="1"/>
        <v/>
      </c>
      <c r="R308" s="180" t="str">
        <f ca="1"/>
        <v/>
      </c>
      <c r="S308" s="180" t="str">
        <f ca="1"/>
        <v/>
      </c>
      <c r="T308" s="180" t="str">
        <f ca="1"/>
        <v/>
      </c>
      <c r="U308" s="180" t="str">
        <f ca="1"/>
        <v/>
      </c>
      <c r="V308" s="180" t="str">
        <f ca="1"/>
        <v/>
      </c>
      <c r="W308" s="180" t="str">
        <f ca="1"/>
        <v/>
      </c>
      <c r="X308" s="180" t="str">
        <f ca="1"/>
        <v/>
      </c>
      <c r="Y308" s="180" t="str">
        <f ca="1"/>
        <v/>
      </c>
      <c r="Z308" s="180" t="str">
        <f ca="1"/>
        <v/>
      </c>
      <c r="AA308" s="180" t="str">
        <f ca="1"/>
        <v/>
      </c>
      <c r="AB308" s="180" t="str">
        <f ca="1"/>
        <v/>
      </c>
      <c r="AC308" s="180" t="str">
        <f ca="1"/>
        <v/>
      </c>
      <c r="AD308" s="180" t="str">
        <f ca="1"/>
        <v/>
      </c>
      <c r="AE308" s="180" t="str">
        <f ca="1"/>
        <v/>
      </c>
      <c r="AF308" s="180" t="str">
        <f ca="1"/>
        <v/>
      </c>
      <c r="AG308" s="180" t="str">
        <f ca="1"/>
        <v/>
      </c>
      <c r="AH308" s="180" t="str">
        <f ca="1"/>
        <v/>
      </c>
      <c r="AI308" s="180" t="str">
        <f ca="1"/>
        <v/>
      </c>
      <c r="AJ308" s="180" t="str">
        <f ca="1"/>
        <v/>
      </c>
      <c r="AK308" s="180" t="str">
        <f ca="1"/>
        <v/>
      </c>
      <c r="AL308" s="180" t="str">
        <f ca="1"/>
        <v/>
      </c>
      <c r="AM308" s="180" t="str">
        <f ca="1"/>
        <v/>
      </c>
      <c r="AN308" s="180" t="str">
        <f ca="1"/>
        <v/>
      </c>
      <c r="AO308" s="180" t="str">
        <f ca="1"/>
        <v/>
      </c>
      <c r="AP308" s="180" t="str">
        <f ca="1"/>
        <v/>
      </c>
      <c r="AQ308" s="187" t="str">
        <f ca="1"/>
        <v/>
      </c>
    </row>
    <row r="309" spans="2:43" x14ac:dyDescent="0.25">
      <c r="B309" s="179" t="str">
        <f ca="1"/>
        <v/>
      </c>
      <c r="C309" s="180" t="str">
        <f ca="1"/>
        <v/>
      </c>
      <c r="D309" s="180" t="str">
        <f ca="1"/>
        <v/>
      </c>
      <c r="E309" s="180" t="str">
        <f ca="1"/>
        <v/>
      </c>
      <c r="F309" s="180" t="str">
        <f ca="1"/>
        <v/>
      </c>
      <c r="G309" s="180" t="str">
        <f ca="1"/>
        <v/>
      </c>
      <c r="H309" s="180" t="str">
        <f ca="1"/>
        <v/>
      </c>
      <c r="I309" s="180" t="str">
        <f ca="1"/>
        <v/>
      </c>
      <c r="J309" s="180" t="str">
        <f ca="1"/>
        <v/>
      </c>
      <c r="K309" s="180" t="str">
        <f ca="1"/>
        <v/>
      </c>
      <c r="L309" s="180" t="str">
        <f ca="1"/>
        <v/>
      </c>
      <c r="M309" s="180" t="str">
        <f ca="1"/>
        <v/>
      </c>
      <c r="N309" s="180" t="str">
        <f ca="1"/>
        <v/>
      </c>
      <c r="O309" s="180" t="str">
        <f ca="1"/>
        <v/>
      </c>
      <c r="P309" s="180" t="str">
        <f ca="1"/>
        <v/>
      </c>
      <c r="Q309" s="180" t="str">
        <f ca="1"/>
        <v/>
      </c>
      <c r="R309" s="180" t="str">
        <f ca="1"/>
        <v/>
      </c>
      <c r="S309" s="180" t="str">
        <f ca="1"/>
        <v/>
      </c>
      <c r="T309" s="180" t="str">
        <f ca="1"/>
        <v/>
      </c>
      <c r="U309" s="180" t="str">
        <f ca="1"/>
        <v/>
      </c>
      <c r="V309" s="180" t="str">
        <f ca="1"/>
        <v/>
      </c>
      <c r="W309" s="180" t="str">
        <f ca="1"/>
        <v/>
      </c>
      <c r="X309" s="180" t="str">
        <f ca="1"/>
        <v/>
      </c>
      <c r="Y309" s="180" t="str">
        <f ca="1"/>
        <v/>
      </c>
      <c r="Z309" s="180" t="str">
        <f ca="1"/>
        <v/>
      </c>
      <c r="AA309" s="180" t="str">
        <f ca="1"/>
        <v/>
      </c>
      <c r="AB309" s="180" t="str">
        <f ca="1"/>
        <v/>
      </c>
      <c r="AC309" s="180" t="str">
        <f ca="1"/>
        <v/>
      </c>
      <c r="AD309" s="180" t="str">
        <f ca="1"/>
        <v/>
      </c>
      <c r="AE309" s="180" t="str">
        <f ca="1"/>
        <v/>
      </c>
      <c r="AF309" s="180" t="str">
        <f ca="1"/>
        <v/>
      </c>
      <c r="AG309" s="180" t="str">
        <f ca="1"/>
        <v/>
      </c>
      <c r="AH309" s="180" t="str">
        <f ca="1"/>
        <v/>
      </c>
      <c r="AI309" s="180" t="str">
        <f ca="1"/>
        <v/>
      </c>
      <c r="AJ309" s="180" t="str">
        <f ca="1"/>
        <v/>
      </c>
      <c r="AK309" s="180" t="str">
        <f ca="1"/>
        <v/>
      </c>
      <c r="AL309" s="180" t="str">
        <f ca="1"/>
        <v/>
      </c>
      <c r="AM309" s="180" t="str">
        <f ca="1"/>
        <v/>
      </c>
      <c r="AN309" s="180" t="str">
        <f ca="1"/>
        <v/>
      </c>
      <c r="AO309" s="180" t="str">
        <f ca="1"/>
        <v/>
      </c>
      <c r="AP309" s="180" t="str">
        <f ca="1"/>
        <v/>
      </c>
      <c r="AQ309" s="187" t="str">
        <f ca="1"/>
        <v/>
      </c>
    </row>
    <row r="310" spans="2:43" x14ac:dyDescent="0.25">
      <c r="B310" s="179" t="str">
        <f ca="1"/>
        <v/>
      </c>
      <c r="C310" s="180" t="str">
        <f ca="1"/>
        <v/>
      </c>
      <c r="D310" s="180" t="str">
        <f ca="1"/>
        <v/>
      </c>
      <c r="E310" s="180" t="str">
        <f ca="1"/>
        <v/>
      </c>
      <c r="F310" s="180" t="str">
        <f ca="1"/>
        <v/>
      </c>
      <c r="G310" s="180" t="str">
        <f ca="1"/>
        <v/>
      </c>
      <c r="H310" s="180" t="str">
        <f ca="1"/>
        <v/>
      </c>
      <c r="I310" s="180" t="str">
        <f ca="1"/>
        <v/>
      </c>
      <c r="J310" s="180" t="str">
        <f ca="1"/>
        <v/>
      </c>
      <c r="K310" s="180" t="str">
        <f ca="1"/>
        <v/>
      </c>
      <c r="L310" s="180" t="str">
        <f ca="1"/>
        <v/>
      </c>
      <c r="M310" s="180" t="str">
        <f ca="1"/>
        <v/>
      </c>
      <c r="N310" s="180" t="str">
        <f ca="1"/>
        <v/>
      </c>
      <c r="O310" s="180" t="str">
        <f ca="1"/>
        <v/>
      </c>
      <c r="P310" s="180" t="str">
        <f ca="1"/>
        <v/>
      </c>
      <c r="Q310" s="180" t="str">
        <f ca="1"/>
        <v/>
      </c>
      <c r="R310" s="180" t="str">
        <f ca="1"/>
        <v/>
      </c>
      <c r="S310" s="180" t="str">
        <f ca="1"/>
        <v/>
      </c>
      <c r="T310" s="180" t="str">
        <f ca="1"/>
        <v/>
      </c>
      <c r="U310" s="180" t="str">
        <f ca="1"/>
        <v/>
      </c>
      <c r="V310" s="180" t="str">
        <f ca="1"/>
        <v/>
      </c>
      <c r="W310" s="180" t="str">
        <f ca="1"/>
        <v/>
      </c>
      <c r="X310" s="180" t="str">
        <f ca="1"/>
        <v/>
      </c>
      <c r="Y310" s="180" t="str">
        <f ca="1"/>
        <v/>
      </c>
      <c r="Z310" s="180" t="str">
        <f ca="1"/>
        <v/>
      </c>
      <c r="AA310" s="180" t="str">
        <f ca="1"/>
        <v/>
      </c>
      <c r="AB310" s="180" t="str">
        <f ca="1"/>
        <v/>
      </c>
      <c r="AC310" s="180" t="str">
        <f ca="1"/>
        <v/>
      </c>
      <c r="AD310" s="180" t="str">
        <f ca="1"/>
        <v/>
      </c>
      <c r="AE310" s="180" t="str">
        <f ca="1"/>
        <v/>
      </c>
      <c r="AF310" s="180" t="str">
        <f ca="1"/>
        <v/>
      </c>
      <c r="AG310" s="180" t="str">
        <f ca="1"/>
        <v/>
      </c>
      <c r="AH310" s="180" t="str">
        <f ca="1"/>
        <v/>
      </c>
      <c r="AI310" s="180" t="str">
        <f ca="1"/>
        <v/>
      </c>
      <c r="AJ310" s="180" t="str">
        <f ca="1"/>
        <v/>
      </c>
      <c r="AK310" s="180" t="str">
        <f ca="1"/>
        <v/>
      </c>
      <c r="AL310" s="180" t="str">
        <f ca="1"/>
        <v/>
      </c>
      <c r="AM310" s="180" t="str">
        <f ca="1"/>
        <v/>
      </c>
      <c r="AN310" s="180" t="str">
        <f ca="1"/>
        <v/>
      </c>
      <c r="AO310" s="180" t="str">
        <f ca="1"/>
        <v/>
      </c>
      <c r="AP310" s="180" t="str">
        <f ca="1"/>
        <v/>
      </c>
      <c r="AQ310" s="187" t="str">
        <f ca="1"/>
        <v/>
      </c>
    </row>
    <row r="311" spans="2:43" x14ac:dyDescent="0.25">
      <c r="B311" s="179" t="str">
        <f ca="1"/>
        <v/>
      </c>
      <c r="C311" s="180" t="str">
        <f ca="1"/>
        <v/>
      </c>
      <c r="D311" s="180" t="str">
        <f ca="1"/>
        <v/>
      </c>
      <c r="E311" s="180" t="str">
        <f ca="1"/>
        <v/>
      </c>
      <c r="F311" s="180" t="str">
        <f ca="1"/>
        <v/>
      </c>
      <c r="G311" s="180" t="str">
        <f ca="1"/>
        <v/>
      </c>
      <c r="H311" s="180" t="str">
        <f ca="1"/>
        <v/>
      </c>
      <c r="I311" s="180" t="str">
        <f ca="1"/>
        <v/>
      </c>
      <c r="J311" s="180" t="str">
        <f ca="1"/>
        <v/>
      </c>
      <c r="K311" s="180" t="str">
        <f ca="1"/>
        <v/>
      </c>
      <c r="L311" s="180" t="str">
        <f ca="1"/>
        <v/>
      </c>
      <c r="M311" s="180" t="str">
        <f ca="1"/>
        <v/>
      </c>
      <c r="N311" s="180" t="str">
        <f ca="1"/>
        <v/>
      </c>
      <c r="O311" s="180" t="str">
        <f ca="1"/>
        <v/>
      </c>
      <c r="P311" s="180" t="str">
        <f ca="1"/>
        <v/>
      </c>
      <c r="Q311" s="180" t="str">
        <f ca="1"/>
        <v/>
      </c>
      <c r="R311" s="180" t="str">
        <f ca="1"/>
        <v/>
      </c>
      <c r="S311" s="180" t="str">
        <f ca="1"/>
        <v/>
      </c>
      <c r="T311" s="180" t="str">
        <f ca="1"/>
        <v/>
      </c>
      <c r="U311" s="180" t="str">
        <f ca="1"/>
        <v/>
      </c>
      <c r="V311" s="180" t="str">
        <f ca="1"/>
        <v/>
      </c>
      <c r="W311" s="180" t="str">
        <f ca="1"/>
        <v/>
      </c>
      <c r="X311" s="180" t="str">
        <f ca="1"/>
        <v/>
      </c>
      <c r="Y311" s="180" t="str">
        <f ca="1"/>
        <v/>
      </c>
      <c r="Z311" s="180" t="str">
        <f ca="1"/>
        <v/>
      </c>
      <c r="AA311" s="180" t="str">
        <f ca="1"/>
        <v/>
      </c>
      <c r="AB311" s="180" t="str">
        <f ca="1"/>
        <v/>
      </c>
      <c r="AC311" s="180" t="str">
        <f ca="1"/>
        <v/>
      </c>
      <c r="AD311" s="180" t="str">
        <f ca="1"/>
        <v/>
      </c>
      <c r="AE311" s="180" t="str">
        <f ca="1"/>
        <v/>
      </c>
      <c r="AF311" s="180" t="str">
        <f ca="1"/>
        <v/>
      </c>
      <c r="AG311" s="180" t="str">
        <f ca="1"/>
        <v/>
      </c>
      <c r="AH311" s="180" t="str">
        <f ca="1"/>
        <v/>
      </c>
      <c r="AI311" s="180" t="str">
        <f ca="1"/>
        <v/>
      </c>
      <c r="AJ311" s="180" t="str">
        <f ca="1"/>
        <v/>
      </c>
      <c r="AK311" s="180" t="str">
        <f ca="1"/>
        <v/>
      </c>
      <c r="AL311" s="180" t="str">
        <f ca="1"/>
        <v/>
      </c>
      <c r="AM311" s="180" t="str">
        <f ca="1"/>
        <v/>
      </c>
      <c r="AN311" s="180" t="str">
        <f ca="1"/>
        <v/>
      </c>
      <c r="AO311" s="180" t="str">
        <f ca="1"/>
        <v/>
      </c>
      <c r="AP311" s="180" t="str">
        <f ca="1"/>
        <v/>
      </c>
      <c r="AQ311" s="187" t="str">
        <f ca="1"/>
        <v/>
      </c>
    </row>
    <row r="312" spans="2:43" x14ac:dyDescent="0.25">
      <c r="B312" s="179" t="str">
        <f ca="1"/>
        <v/>
      </c>
      <c r="C312" s="180" t="str">
        <f ca="1"/>
        <v/>
      </c>
      <c r="D312" s="180" t="str">
        <f ca="1"/>
        <v/>
      </c>
      <c r="E312" s="180" t="str">
        <f ca="1"/>
        <v/>
      </c>
      <c r="F312" s="180" t="str">
        <f ca="1"/>
        <v/>
      </c>
      <c r="G312" s="180" t="str">
        <f ca="1"/>
        <v/>
      </c>
      <c r="H312" s="180" t="str">
        <f ca="1"/>
        <v/>
      </c>
      <c r="I312" s="180" t="str">
        <f ca="1"/>
        <v/>
      </c>
      <c r="J312" s="180" t="str">
        <f ca="1"/>
        <v/>
      </c>
      <c r="K312" s="180" t="str">
        <f ca="1"/>
        <v/>
      </c>
      <c r="L312" s="180" t="str">
        <f ca="1"/>
        <v/>
      </c>
      <c r="M312" s="180" t="str">
        <f ca="1"/>
        <v/>
      </c>
      <c r="N312" s="180" t="str">
        <f ca="1"/>
        <v/>
      </c>
      <c r="O312" s="180" t="str">
        <f ca="1"/>
        <v/>
      </c>
      <c r="P312" s="180" t="str">
        <f ca="1"/>
        <v/>
      </c>
      <c r="Q312" s="180" t="str">
        <f ca="1"/>
        <v/>
      </c>
      <c r="R312" s="180" t="str">
        <f ca="1"/>
        <v/>
      </c>
      <c r="S312" s="180" t="str">
        <f ca="1"/>
        <v/>
      </c>
      <c r="T312" s="180" t="str">
        <f ca="1"/>
        <v/>
      </c>
      <c r="U312" s="180" t="str">
        <f ca="1"/>
        <v/>
      </c>
      <c r="V312" s="180" t="str">
        <f ca="1"/>
        <v/>
      </c>
      <c r="W312" s="180" t="str">
        <f ca="1"/>
        <v/>
      </c>
      <c r="X312" s="180" t="str">
        <f ca="1"/>
        <v/>
      </c>
      <c r="Y312" s="180" t="str">
        <f ca="1"/>
        <v/>
      </c>
      <c r="Z312" s="180" t="str">
        <f ca="1"/>
        <v/>
      </c>
      <c r="AA312" s="180" t="str">
        <f ca="1"/>
        <v/>
      </c>
      <c r="AB312" s="180" t="str">
        <f ca="1"/>
        <v/>
      </c>
      <c r="AC312" s="180" t="str">
        <f ca="1"/>
        <v/>
      </c>
      <c r="AD312" s="180" t="str">
        <f ca="1"/>
        <v/>
      </c>
      <c r="AE312" s="180" t="str">
        <f ca="1"/>
        <v/>
      </c>
      <c r="AF312" s="180" t="str">
        <f ca="1"/>
        <v/>
      </c>
      <c r="AG312" s="180" t="str">
        <f ca="1"/>
        <v/>
      </c>
      <c r="AH312" s="180" t="str">
        <f ca="1"/>
        <v/>
      </c>
      <c r="AI312" s="180" t="str">
        <f ca="1"/>
        <v/>
      </c>
      <c r="AJ312" s="180" t="str">
        <f ca="1"/>
        <v/>
      </c>
      <c r="AK312" s="180" t="str">
        <f ca="1"/>
        <v/>
      </c>
      <c r="AL312" s="180" t="str">
        <f ca="1"/>
        <v/>
      </c>
      <c r="AM312" s="180" t="str">
        <f ca="1"/>
        <v/>
      </c>
      <c r="AN312" s="180" t="str">
        <f ca="1"/>
        <v/>
      </c>
      <c r="AO312" s="180" t="str">
        <f ca="1"/>
        <v/>
      </c>
      <c r="AP312" s="180" t="str">
        <f ca="1"/>
        <v/>
      </c>
      <c r="AQ312" s="187" t="str">
        <f ca="1"/>
        <v/>
      </c>
    </row>
    <row r="313" spans="2:43" x14ac:dyDescent="0.25">
      <c r="B313" s="179" t="str">
        <f ca="1"/>
        <v/>
      </c>
      <c r="C313" s="180" t="str">
        <f ca="1"/>
        <v/>
      </c>
      <c r="D313" s="180" t="str">
        <f ca="1"/>
        <v/>
      </c>
      <c r="E313" s="180" t="str">
        <f ca="1"/>
        <v/>
      </c>
      <c r="F313" s="180" t="str">
        <f ca="1"/>
        <v/>
      </c>
      <c r="G313" s="180" t="str">
        <f ca="1"/>
        <v/>
      </c>
      <c r="H313" s="180" t="str">
        <f ca="1"/>
        <v/>
      </c>
      <c r="I313" s="180" t="str">
        <f ca="1"/>
        <v/>
      </c>
      <c r="J313" s="180" t="str">
        <f ca="1"/>
        <v/>
      </c>
      <c r="K313" s="180" t="str">
        <f ca="1"/>
        <v/>
      </c>
      <c r="L313" s="180" t="str">
        <f ca="1"/>
        <v/>
      </c>
      <c r="M313" s="180" t="str">
        <f ca="1"/>
        <v/>
      </c>
      <c r="N313" s="180" t="str">
        <f ca="1"/>
        <v/>
      </c>
      <c r="O313" s="180" t="str">
        <f ca="1"/>
        <v/>
      </c>
      <c r="P313" s="180" t="str">
        <f ca="1"/>
        <v/>
      </c>
      <c r="Q313" s="180" t="str">
        <f ca="1"/>
        <v/>
      </c>
      <c r="R313" s="180" t="str">
        <f ca="1"/>
        <v/>
      </c>
      <c r="S313" s="180" t="str">
        <f ca="1"/>
        <v/>
      </c>
      <c r="T313" s="180" t="str">
        <f ca="1"/>
        <v/>
      </c>
      <c r="U313" s="180" t="str">
        <f ca="1"/>
        <v/>
      </c>
      <c r="V313" s="180" t="str">
        <f ca="1"/>
        <v/>
      </c>
      <c r="W313" s="180" t="str">
        <f ca="1"/>
        <v/>
      </c>
      <c r="X313" s="180" t="str">
        <f ca="1"/>
        <v/>
      </c>
      <c r="Y313" s="180" t="str">
        <f ca="1"/>
        <v/>
      </c>
      <c r="Z313" s="180" t="str">
        <f ca="1"/>
        <v/>
      </c>
      <c r="AA313" s="180" t="str">
        <f ca="1"/>
        <v/>
      </c>
      <c r="AB313" s="180" t="str">
        <f ca="1"/>
        <v/>
      </c>
      <c r="AC313" s="180" t="str">
        <f ca="1"/>
        <v/>
      </c>
      <c r="AD313" s="180" t="str">
        <f ca="1"/>
        <v/>
      </c>
      <c r="AE313" s="180" t="str">
        <f ca="1"/>
        <v/>
      </c>
      <c r="AF313" s="180" t="str">
        <f ca="1"/>
        <v/>
      </c>
      <c r="AG313" s="180" t="str">
        <f ca="1"/>
        <v/>
      </c>
      <c r="AH313" s="180" t="str">
        <f ca="1"/>
        <v/>
      </c>
      <c r="AI313" s="180" t="str">
        <f ca="1"/>
        <v/>
      </c>
      <c r="AJ313" s="180" t="str">
        <f ca="1"/>
        <v/>
      </c>
      <c r="AK313" s="180" t="str">
        <f ca="1"/>
        <v/>
      </c>
      <c r="AL313" s="180" t="str">
        <f ca="1"/>
        <v/>
      </c>
      <c r="AM313" s="180" t="str">
        <f ca="1"/>
        <v/>
      </c>
      <c r="AN313" s="180" t="str">
        <f ca="1"/>
        <v/>
      </c>
      <c r="AO313" s="180" t="str">
        <f ca="1"/>
        <v/>
      </c>
      <c r="AP313" s="180" t="str">
        <f ca="1"/>
        <v/>
      </c>
      <c r="AQ313" s="187" t="str">
        <f ca="1"/>
        <v/>
      </c>
    </row>
    <row r="314" spans="2:43" x14ac:dyDescent="0.25">
      <c r="B314" s="179" t="str">
        <f ca="1"/>
        <v/>
      </c>
      <c r="C314" s="180" t="str">
        <f ca="1"/>
        <v/>
      </c>
      <c r="D314" s="180" t="str">
        <f ca="1"/>
        <v/>
      </c>
      <c r="E314" s="180" t="str">
        <f ca="1"/>
        <v/>
      </c>
      <c r="F314" s="180" t="str">
        <f ca="1"/>
        <v/>
      </c>
      <c r="G314" s="180" t="str">
        <f ca="1"/>
        <v/>
      </c>
      <c r="H314" s="180" t="str">
        <f ca="1"/>
        <v/>
      </c>
      <c r="I314" s="180" t="str">
        <f ca="1"/>
        <v/>
      </c>
      <c r="J314" s="180" t="str">
        <f ca="1"/>
        <v/>
      </c>
      <c r="K314" s="180" t="str">
        <f ca="1"/>
        <v/>
      </c>
      <c r="L314" s="180" t="str">
        <f ca="1"/>
        <v/>
      </c>
      <c r="M314" s="180" t="str">
        <f ca="1"/>
        <v/>
      </c>
      <c r="N314" s="180" t="str">
        <f ca="1"/>
        <v/>
      </c>
      <c r="O314" s="180" t="str">
        <f ca="1"/>
        <v/>
      </c>
      <c r="P314" s="180" t="str">
        <f ca="1"/>
        <v/>
      </c>
      <c r="Q314" s="180" t="str">
        <f ca="1"/>
        <v/>
      </c>
      <c r="R314" s="180" t="str">
        <f ca="1"/>
        <v/>
      </c>
      <c r="S314" s="180" t="str">
        <f ca="1"/>
        <v/>
      </c>
      <c r="T314" s="180" t="str">
        <f ca="1"/>
        <v/>
      </c>
      <c r="U314" s="180" t="str">
        <f ca="1"/>
        <v/>
      </c>
      <c r="V314" s="180" t="str">
        <f ca="1"/>
        <v/>
      </c>
      <c r="W314" s="180" t="str">
        <f ca="1"/>
        <v/>
      </c>
      <c r="X314" s="180" t="str">
        <f ca="1"/>
        <v/>
      </c>
      <c r="Y314" s="180" t="str">
        <f ca="1"/>
        <v/>
      </c>
      <c r="Z314" s="180" t="str">
        <f ca="1"/>
        <v/>
      </c>
      <c r="AA314" s="180" t="str">
        <f ca="1"/>
        <v/>
      </c>
      <c r="AB314" s="180" t="str">
        <f ca="1"/>
        <v/>
      </c>
      <c r="AC314" s="180" t="str">
        <f ca="1"/>
        <v/>
      </c>
      <c r="AD314" s="180" t="str">
        <f ca="1"/>
        <v/>
      </c>
      <c r="AE314" s="180" t="str">
        <f ca="1"/>
        <v/>
      </c>
      <c r="AF314" s="180" t="str">
        <f ca="1"/>
        <v/>
      </c>
      <c r="AG314" s="180" t="str">
        <f ca="1"/>
        <v/>
      </c>
      <c r="AH314" s="180" t="str">
        <f ca="1"/>
        <v/>
      </c>
      <c r="AI314" s="180" t="str">
        <f ca="1"/>
        <v/>
      </c>
      <c r="AJ314" s="180" t="str">
        <f ca="1"/>
        <v/>
      </c>
      <c r="AK314" s="180" t="str">
        <f ca="1"/>
        <v/>
      </c>
      <c r="AL314" s="180" t="str">
        <f ca="1"/>
        <v/>
      </c>
      <c r="AM314" s="180" t="str">
        <f ca="1"/>
        <v/>
      </c>
      <c r="AN314" s="180" t="str">
        <f ca="1"/>
        <v/>
      </c>
      <c r="AO314" s="180" t="str">
        <f ca="1"/>
        <v/>
      </c>
      <c r="AP314" s="180" t="str">
        <f ca="1"/>
        <v/>
      </c>
      <c r="AQ314" s="187" t="str">
        <f ca="1"/>
        <v/>
      </c>
    </row>
    <row r="315" spans="2:43" x14ac:dyDescent="0.25">
      <c r="B315" s="179" t="str">
        <f ca="1"/>
        <v/>
      </c>
      <c r="C315" s="180" t="str">
        <f ca="1"/>
        <v/>
      </c>
      <c r="D315" s="180" t="str">
        <f ca="1"/>
        <v/>
      </c>
      <c r="E315" s="180" t="str">
        <f ca="1"/>
        <v/>
      </c>
      <c r="F315" s="180" t="str">
        <f ca="1"/>
        <v/>
      </c>
      <c r="G315" s="180" t="str">
        <f ca="1"/>
        <v/>
      </c>
      <c r="H315" s="180" t="str">
        <f ca="1"/>
        <v/>
      </c>
      <c r="I315" s="180" t="str">
        <f ca="1"/>
        <v/>
      </c>
      <c r="J315" s="180" t="str">
        <f ca="1"/>
        <v/>
      </c>
      <c r="K315" s="180" t="str">
        <f ca="1"/>
        <v/>
      </c>
      <c r="L315" s="180" t="str">
        <f ca="1"/>
        <v/>
      </c>
      <c r="M315" s="180" t="str">
        <f ca="1"/>
        <v/>
      </c>
      <c r="N315" s="180" t="str">
        <f ca="1"/>
        <v/>
      </c>
      <c r="O315" s="180" t="str">
        <f ca="1"/>
        <v/>
      </c>
      <c r="P315" s="180" t="str">
        <f ca="1"/>
        <v/>
      </c>
      <c r="Q315" s="180" t="str">
        <f ca="1"/>
        <v/>
      </c>
      <c r="R315" s="180" t="str">
        <f ca="1"/>
        <v/>
      </c>
      <c r="S315" s="180" t="str">
        <f ca="1"/>
        <v/>
      </c>
      <c r="T315" s="180" t="str">
        <f ca="1"/>
        <v/>
      </c>
      <c r="U315" s="180" t="str">
        <f ca="1"/>
        <v/>
      </c>
      <c r="V315" s="180" t="str">
        <f ca="1"/>
        <v/>
      </c>
      <c r="W315" s="180" t="str">
        <f ca="1"/>
        <v/>
      </c>
      <c r="X315" s="180" t="str">
        <f ca="1"/>
        <v/>
      </c>
      <c r="Y315" s="180" t="str">
        <f ca="1"/>
        <v/>
      </c>
      <c r="Z315" s="180" t="str">
        <f ca="1"/>
        <v/>
      </c>
      <c r="AA315" s="180" t="str">
        <f ca="1"/>
        <v/>
      </c>
      <c r="AB315" s="180" t="str">
        <f ca="1"/>
        <v/>
      </c>
      <c r="AC315" s="180" t="str">
        <f ca="1"/>
        <v/>
      </c>
      <c r="AD315" s="180" t="str">
        <f ca="1"/>
        <v/>
      </c>
      <c r="AE315" s="180" t="str">
        <f ca="1"/>
        <v/>
      </c>
      <c r="AF315" s="180" t="str">
        <f ca="1"/>
        <v/>
      </c>
      <c r="AG315" s="180" t="str">
        <f ca="1"/>
        <v/>
      </c>
      <c r="AH315" s="180" t="str">
        <f ca="1"/>
        <v/>
      </c>
      <c r="AI315" s="180" t="str">
        <f ca="1"/>
        <v/>
      </c>
      <c r="AJ315" s="180" t="str">
        <f ca="1"/>
        <v/>
      </c>
      <c r="AK315" s="180" t="str">
        <f ca="1"/>
        <v/>
      </c>
      <c r="AL315" s="180" t="str">
        <f ca="1"/>
        <v/>
      </c>
      <c r="AM315" s="180" t="str">
        <f ca="1"/>
        <v/>
      </c>
      <c r="AN315" s="180" t="str">
        <f ca="1"/>
        <v/>
      </c>
      <c r="AO315" s="180" t="str">
        <f ca="1"/>
        <v/>
      </c>
      <c r="AP315" s="180" t="str">
        <f ca="1"/>
        <v/>
      </c>
      <c r="AQ315" s="187" t="str">
        <f ca="1"/>
        <v/>
      </c>
    </row>
    <row r="316" spans="2:43" x14ac:dyDescent="0.25">
      <c r="B316" s="179" t="str">
        <f ca="1"/>
        <v/>
      </c>
      <c r="C316" s="180" t="str">
        <f ca="1"/>
        <v/>
      </c>
      <c r="D316" s="180" t="str">
        <f ca="1"/>
        <v/>
      </c>
      <c r="E316" s="180" t="str">
        <f ca="1"/>
        <v/>
      </c>
      <c r="F316" s="180" t="str">
        <f ca="1"/>
        <v/>
      </c>
      <c r="G316" s="180" t="str">
        <f ca="1"/>
        <v/>
      </c>
      <c r="H316" s="180" t="str">
        <f ca="1"/>
        <v/>
      </c>
      <c r="I316" s="180" t="str">
        <f ca="1"/>
        <v/>
      </c>
      <c r="J316" s="180" t="str">
        <f ca="1"/>
        <v/>
      </c>
      <c r="K316" s="180" t="str">
        <f ca="1"/>
        <v/>
      </c>
      <c r="L316" s="180" t="str">
        <f ca="1"/>
        <v/>
      </c>
      <c r="M316" s="180" t="str">
        <f ca="1"/>
        <v/>
      </c>
      <c r="N316" s="180" t="str">
        <f ca="1"/>
        <v/>
      </c>
      <c r="O316" s="180" t="str">
        <f ca="1"/>
        <v/>
      </c>
      <c r="P316" s="180" t="str">
        <f ca="1"/>
        <v/>
      </c>
      <c r="Q316" s="180" t="str">
        <f ca="1"/>
        <v/>
      </c>
      <c r="R316" s="180" t="str">
        <f ca="1"/>
        <v/>
      </c>
      <c r="S316" s="180" t="str">
        <f ca="1"/>
        <v/>
      </c>
      <c r="T316" s="180" t="str">
        <f ca="1"/>
        <v/>
      </c>
      <c r="U316" s="180" t="str">
        <f ca="1"/>
        <v/>
      </c>
      <c r="V316" s="180" t="str">
        <f ca="1"/>
        <v/>
      </c>
      <c r="W316" s="180" t="str">
        <f ca="1"/>
        <v/>
      </c>
      <c r="X316" s="180" t="str">
        <f ca="1"/>
        <v/>
      </c>
      <c r="Y316" s="180" t="str">
        <f ca="1"/>
        <v/>
      </c>
      <c r="Z316" s="180" t="str">
        <f ca="1"/>
        <v/>
      </c>
      <c r="AA316" s="180" t="str">
        <f ca="1"/>
        <v/>
      </c>
      <c r="AB316" s="180" t="str">
        <f ca="1"/>
        <v/>
      </c>
      <c r="AC316" s="180" t="str">
        <f ca="1"/>
        <v/>
      </c>
      <c r="AD316" s="180" t="str">
        <f ca="1"/>
        <v/>
      </c>
      <c r="AE316" s="180" t="str">
        <f ca="1"/>
        <v/>
      </c>
      <c r="AF316" s="180" t="str">
        <f ca="1"/>
        <v/>
      </c>
      <c r="AG316" s="180" t="str">
        <f ca="1"/>
        <v/>
      </c>
      <c r="AH316" s="180" t="str">
        <f ca="1"/>
        <v/>
      </c>
      <c r="AI316" s="180" t="str">
        <f ca="1"/>
        <v/>
      </c>
      <c r="AJ316" s="180" t="str">
        <f ca="1"/>
        <v/>
      </c>
      <c r="AK316" s="180" t="str">
        <f ca="1"/>
        <v/>
      </c>
      <c r="AL316" s="180" t="str">
        <f ca="1"/>
        <v/>
      </c>
      <c r="AM316" s="180" t="str">
        <f ca="1"/>
        <v/>
      </c>
      <c r="AN316" s="180" t="str">
        <f ca="1"/>
        <v/>
      </c>
      <c r="AO316" s="180" t="str">
        <f ca="1"/>
        <v/>
      </c>
      <c r="AP316" s="180" t="str">
        <f ca="1"/>
        <v/>
      </c>
      <c r="AQ316" s="187" t="str">
        <f ca="1"/>
        <v/>
      </c>
    </row>
    <row r="317" spans="2:43" x14ac:dyDescent="0.25">
      <c r="B317" s="179" t="str">
        <f ca="1"/>
        <v/>
      </c>
      <c r="C317" s="180" t="str">
        <f ca="1"/>
        <v/>
      </c>
      <c r="D317" s="180" t="str">
        <f ca="1"/>
        <v/>
      </c>
      <c r="E317" s="180" t="str">
        <f ca="1"/>
        <v/>
      </c>
      <c r="F317" s="180" t="str">
        <f ca="1"/>
        <v/>
      </c>
      <c r="G317" s="180" t="str">
        <f ca="1"/>
        <v/>
      </c>
      <c r="H317" s="180" t="str">
        <f ca="1"/>
        <v/>
      </c>
      <c r="I317" s="180" t="str">
        <f ca="1"/>
        <v/>
      </c>
      <c r="J317" s="180" t="str">
        <f ca="1"/>
        <v/>
      </c>
      <c r="K317" s="180" t="str">
        <f ca="1"/>
        <v/>
      </c>
      <c r="L317" s="180" t="str">
        <f ca="1"/>
        <v/>
      </c>
      <c r="M317" s="180" t="str">
        <f ca="1"/>
        <v/>
      </c>
      <c r="N317" s="180" t="str">
        <f ca="1"/>
        <v/>
      </c>
      <c r="O317" s="180" t="str">
        <f ca="1"/>
        <v/>
      </c>
      <c r="P317" s="180" t="str">
        <f ca="1"/>
        <v/>
      </c>
      <c r="Q317" s="180" t="str">
        <f ca="1"/>
        <v/>
      </c>
      <c r="R317" s="180" t="str">
        <f ca="1"/>
        <v/>
      </c>
      <c r="S317" s="180" t="str">
        <f ca="1"/>
        <v/>
      </c>
      <c r="T317" s="180" t="str">
        <f ca="1"/>
        <v/>
      </c>
      <c r="U317" s="180" t="str">
        <f ca="1"/>
        <v/>
      </c>
      <c r="V317" s="180" t="str">
        <f ca="1"/>
        <v/>
      </c>
      <c r="W317" s="180" t="str">
        <f ca="1"/>
        <v/>
      </c>
      <c r="X317" s="180" t="str">
        <f ca="1"/>
        <v/>
      </c>
      <c r="Y317" s="180" t="str">
        <f ca="1"/>
        <v/>
      </c>
      <c r="Z317" s="180" t="str">
        <f ca="1"/>
        <v/>
      </c>
      <c r="AA317" s="180" t="str">
        <f ca="1"/>
        <v/>
      </c>
      <c r="AB317" s="180" t="str">
        <f ca="1"/>
        <v/>
      </c>
      <c r="AC317" s="180" t="str">
        <f ca="1"/>
        <v/>
      </c>
      <c r="AD317" s="180" t="str">
        <f ca="1"/>
        <v/>
      </c>
      <c r="AE317" s="180" t="str">
        <f ca="1"/>
        <v/>
      </c>
      <c r="AF317" s="180" t="str">
        <f ca="1"/>
        <v/>
      </c>
      <c r="AG317" s="180" t="str">
        <f ca="1"/>
        <v/>
      </c>
      <c r="AH317" s="180" t="str">
        <f ca="1"/>
        <v/>
      </c>
      <c r="AI317" s="180" t="str">
        <f ca="1"/>
        <v/>
      </c>
      <c r="AJ317" s="180" t="str">
        <f ca="1"/>
        <v/>
      </c>
      <c r="AK317" s="180" t="str">
        <f ca="1"/>
        <v/>
      </c>
      <c r="AL317" s="180" t="str">
        <f ca="1"/>
        <v/>
      </c>
      <c r="AM317" s="180" t="str">
        <f ca="1"/>
        <v/>
      </c>
      <c r="AN317" s="180" t="str">
        <f ca="1"/>
        <v/>
      </c>
      <c r="AO317" s="180" t="str">
        <f ca="1"/>
        <v/>
      </c>
      <c r="AP317" s="180" t="str">
        <f ca="1"/>
        <v/>
      </c>
      <c r="AQ317" s="187" t="str">
        <f ca="1"/>
        <v/>
      </c>
    </row>
    <row r="318" spans="2:43" x14ac:dyDescent="0.25">
      <c r="B318" s="179" t="str">
        <f ca="1"/>
        <v/>
      </c>
      <c r="C318" s="180" t="str">
        <f ca="1"/>
        <v/>
      </c>
      <c r="D318" s="180" t="str">
        <f ca="1"/>
        <v/>
      </c>
      <c r="E318" s="180" t="str">
        <f ca="1"/>
        <v/>
      </c>
      <c r="F318" s="180" t="str">
        <f ca="1"/>
        <v/>
      </c>
      <c r="G318" s="180" t="str">
        <f ca="1"/>
        <v/>
      </c>
      <c r="H318" s="180" t="str">
        <f ca="1"/>
        <v/>
      </c>
      <c r="I318" s="180" t="str">
        <f ca="1"/>
        <v/>
      </c>
      <c r="J318" s="180" t="str">
        <f ca="1"/>
        <v/>
      </c>
      <c r="K318" s="180" t="str">
        <f ca="1"/>
        <v/>
      </c>
      <c r="L318" s="180" t="str">
        <f ca="1"/>
        <v/>
      </c>
      <c r="M318" s="180" t="str">
        <f ca="1"/>
        <v/>
      </c>
      <c r="N318" s="180" t="str">
        <f ca="1"/>
        <v/>
      </c>
      <c r="O318" s="180" t="str">
        <f ca="1"/>
        <v/>
      </c>
      <c r="P318" s="180" t="str">
        <f ca="1"/>
        <v/>
      </c>
      <c r="Q318" s="180" t="str">
        <f ca="1"/>
        <v/>
      </c>
      <c r="R318" s="180" t="str">
        <f ca="1"/>
        <v/>
      </c>
      <c r="S318" s="180" t="str">
        <f ca="1"/>
        <v/>
      </c>
      <c r="T318" s="180" t="str">
        <f ca="1"/>
        <v/>
      </c>
      <c r="U318" s="180" t="str">
        <f ca="1"/>
        <v/>
      </c>
      <c r="V318" s="180" t="str">
        <f ca="1"/>
        <v/>
      </c>
      <c r="W318" s="180" t="str">
        <f ca="1"/>
        <v/>
      </c>
      <c r="X318" s="180" t="str">
        <f ca="1"/>
        <v/>
      </c>
      <c r="Y318" s="180" t="str">
        <f ca="1"/>
        <v/>
      </c>
      <c r="Z318" s="180" t="str">
        <f ca="1"/>
        <v/>
      </c>
      <c r="AA318" s="180" t="str">
        <f ca="1"/>
        <v/>
      </c>
      <c r="AB318" s="180" t="str">
        <f ca="1"/>
        <v/>
      </c>
      <c r="AC318" s="180" t="str">
        <f ca="1"/>
        <v/>
      </c>
      <c r="AD318" s="180" t="str">
        <f ca="1"/>
        <v/>
      </c>
      <c r="AE318" s="180" t="str">
        <f ca="1"/>
        <v/>
      </c>
      <c r="AF318" s="180" t="str">
        <f ca="1"/>
        <v/>
      </c>
      <c r="AG318" s="180" t="str">
        <f ca="1"/>
        <v/>
      </c>
      <c r="AH318" s="180" t="str">
        <f ca="1"/>
        <v/>
      </c>
      <c r="AI318" s="180" t="str">
        <f ca="1"/>
        <v/>
      </c>
      <c r="AJ318" s="180" t="str">
        <f ca="1"/>
        <v/>
      </c>
      <c r="AK318" s="180" t="str">
        <f ca="1"/>
        <v/>
      </c>
      <c r="AL318" s="180" t="str">
        <f ca="1"/>
        <v/>
      </c>
      <c r="AM318" s="180" t="str">
        <f ca="1"/>
        <v/>
      </c>
      <c r="AN318" s="180" t="str">
        <f ca="1"/>
        <v/>
      </c>
      <c r="AO318" s="180" t="str">
        <f ca="1"/>
        <v/>
      </c>
      <c r="AP318" s="180" t="str">
        <f ca="1"/>
        <v/>
      </c>
      <c r="AQ318" s="187" t="str">
        <f ca="1"/>
        <v/>
      </c>
    </row>
    <row r="319" spans="2:43" x14ac:dyDescent="0.25">
      <c r="B319" s="179" t="str">
        <f ca="1"/>
        <v/>
      </c>
      <c r="C319" s="180" t="str">
        <f ca="1"/>
        <v/>
      </c>
      <c r="D319" s="180" t="str">
        <f ca="1"/>
        <v/>
      </c>
      <c r="E319" s="180" t="str">
        <f ca="1"/>
        <v/>
      </c>
      <c r="F319" s="180" t="str">
        <f ca="1"/>
        <v/>
      </c>
      <c r="G319" s="180" t="str">
        <f ca="1"/>
        <v/>
      </c>
      <c r="H319" s="180" t="str">
        <f ca="1"/>
        <v/>
      </c>
      <c r="I319" s="180" t="str">
        <f ca="1"/>
        <v/>
      </c>
      <c r="J319" s="180" t="str">
        <f ca="1"/>
        <v/>
      </c>
      <c r="K319" s="180" t="str">
        <f ca="1"/>
        <v/>
      </c>
      <c r="L319" s="180" t="str">
        <f ca="1"/>
        <v/>
      </c>
      <c r="M319" s="180" t="str">
        <f ca="1"/>
        <v/>
      </c>
      <c r="N319" s="180" t="str">
        <f ca="1"/>
        <v/>
      </c>
      <c r="O319" s="180" t="str">
        <f ca="1"/>
        <v/>
      </c>
      <c r="P319" s="180" t="str">
        <f ca="1"/>
        <v/>
      </c>
      <c r="Q319" s="180" t="str">
        <f ca="1"/>
        <v/>
      </c>
      <c r="R319" s="180" t="str">
        <f ca="1"/>
        <v/>
      </c>
      <c r="S319" s="180" t="str">
        <f ca="1"/>
        <v/>
      </c>
      <c r="T319" s="180" t="str">
        <f ca="1"/>
        <v/>
      </c>
      <c r="U319" s="180" t="str">
        <f ca="1"/>
        <v/>
      </c>
      <c r="V319" s="180" t="str">
        <f ca="1"/>
        <v/>
      </c>
      <c r="W319" s="180" t="str">
        <f ca="1"/>
        <v/>
      </c>
      <c r="X319" s="180" t="str">
        <f ca="1"/>
        <v/>
      </c>
      <c r="Y319" s="180" t="str">
        <f ca="1"/>
        <v/>
      </c>
      <c r="Z319" s="180" t="str">
        <f ca="1"/>
        <v/>
      </c>
      <c r="AA319" s="180" t="str">
        <f ca="1"/>
        <v/>
      </c>
      <c r="AB319" s="180" t="str">
        <f ca="1"/>
        <v/>
      </c>
      <c r="AC319" s="180" t="str">
        <f ca="1"/>
        <v/>
      </c>
      <c r="AD319" s="180" t="str">
        <f ca="1"/>
        <v/>
      </c>
      <c r="AE319" s="180" t="str">
        <f ca="1"/>
        <v/>
      </c>
      <c r="AF319" s="180" t="str">
        <f ca="1"/>
        <v/>
      </c>
      <c r="AG319" s="180" t="str">
        <f ca="1"/>
        <v/>
      </c>
      <c r="AH319" s="180" t="str">
        <f ca="1"/>
        <v/>
      </c>
      <c r="AI319" s="180" t="str">
        <f ca="1"/>
        <v/>
      </c>
      <c r="AJ319" s="180" t="str">
        <f ca="1"/>
        <v/>
      </c>
      <c r="AK319" s="180" t="str">
        <f ca="1"/>
        <v/>
      </c>
      <c r="AL319" s="180" t="str">
        <f ca="1"/>
        <v/>
      </c>
      <c r="AM319" s="180" t="str">
        <f ca="1"/>
        <v/>
      </c>
      <c r="AN319" s="180" t="str">
        <f ca="1"/>
        <v/>
      </c>
      <c r="AO319" s="180" t="str">
        <f ca="1"/>
        <v/>
      </c>
      <c r="AP319" s="180" t="str">
        <f ca="1"/>
        <v/>
      </c>
      <c r="AQ319" s="187" t="str">
        <f ca="1"/>
        <v/>
      </c>
    </row>
    <row r="320" spans="2:43" x14ac:dyDescent="0.25">
      <c r="B320" s="179" t="str">
        <f ca="1"/>
        <v/>
      </c>
      <c r="C320" s="180" t="str">
        <f ca="1"/>
        <v/>
      </c>
      <c r="D320" s="180" t="str">
        <f ca="1"/>
        <v/>
      </c>
      <c r="E320" s="180" t="str">
        <f ca="1"/>
        <v/>
      </c>
      <c r="F320" s="180" t="str">
        <f ca="1"/>
        <v/>
      </c>
      <c r="G320" s="180" t="str">
        <f ca="1"/>
        <v/>
      </c>
      <c r="H320" s="180" t="str">
        <f ca="1"/>
        <v/>
      </c>
      <c r="I320" s="180" t="str">
        <f ca="1"/>
        <v/>
      </c>
      <c r="J320" s="180" t="str">
        <f ca="1"/>
        <v/>
      </c>
      <c r="K320" s="180" t="str">
        <f ca="1"/>
        <v/>
      </c>
      <c r="L320" s="180" t="str">
        <f ca="1"/>
        <v/>
      </c>
      <c r="M320" s="180" t="str">
        <f ca="1"/>
        <v/>
      </c>
      <c r="N320" s="180" t="str">
        <f ca="1"/>
        <v/>
      </c>
      <c r="O320" s="180" t="str">
        <f ca="1"/>
        <v/>
      </c>
      <c r="P320" s="180" t="str">
        <f ca="1"/>
        <v/>
      </c>
      <c r="Q320" s="180" t="str">
        <f ca="1"/>
        <v/>
      </c>
      <c r="R320" s="180" t="str">
        <f ca="1"/>
        <v/>
      </c>
      <c r="S320" s="180" t="str">
        <f ca="1"/>
        <v/>
      </c>
      <c r="T320" s="180" t="str">
        <f ca="1"/>
        <v/>
      </c>
      <c r="U320" s="180" t="str">
        <f ca="1"/>
        <v/>
      </c>
      <c r="V320" s="180" t="str">
        <f ca="1"/>
        <v/>
      </c>
      <c r="W320" s="180" t="str">
        <f ca="1"/>
        <v/>
      </c>
      <c r="X320" s="180" t="str">
        <f ca="1"/>
        <v/>
      </c>
      <c r="Y320" s="180" t="str">
        <f ca="1"/>
        <v/>
      </c>
      <c r="Z320" s="180" t="str">
        <f ca="1"/>
        <v/>
      </c>
      <c r="AA320" s="180" t="str">
        <f ca="1"/>
        <v/>
      </c>
      <c r="AB320" s="180" t="str">
        <f ca="1"/>
        <v/>
      </c>
      <c r="AC320" s="180" t="str">
        <f ca="1"/>
        <v/>
      </c>
      <c r="AD320" s="180" t="str">
        <f ca="1"/>
        <v/>
      </c>
      <c r="AE320" s="180" t="str">
        <f ca="1"/>
        <v/>
      </c>
      <c r="AF320" s="180" t="str">
        <f ca="1"/>
        <v/>
      </c>
      <c r="AG320" s="180" t="str">
        <f ca="1"/>
        <v/>
      </c>
      <c r="AH320" s="180" t="str">
        <f ca="1"/>
        <v/>
      </c>
      <c r="AI320" s="180" t="str">
        <f ca="1"/>
        <v/>
      </c>
      <c r="AJ320" s="180" t="str">
        <f ca="1"/>
        <v/>
      </c>
      <c r="AK320" s="180" t="str">
        <f ca="1"/>
        <v/>
      </c>
      <c r="AL320" s="180" t="str">
        <f ca="1"/>
        <v/>
      </c>
      <c r="AM320" s="180" t="str">
        <f ca="1"/>
        <v/>
      </c>
      <c r="AN320" s="180" t="str">
        <f ca="1"/>
        <v/>
      </c>
      <c r="AO320" s="180" t="str">
        <f ca="1"/>
        <v/>
      </c>
      <c r="AP320" s="180" t="str">
        <f ca="1"/>
        <v/>
      </c>
      <c r="AQ320" s="187" t="str">
        <f ca="1"/>
        <v/>
      </c>
    </row>
    <row r="321" spans="2:43" x14ac:dyDescent="0.25">
      <c r="B321" s="179" t="str">
        <f ca="1"/>
        <v/>
      </c>
      <c r="C321" s="180" t="str">
        <f ca="1"/>
        <v/>
      </c>
      <c r="D321" s="180" t="str">
        <f ca="1"/>
        <v/>
      </c>
      <c r="E321" s="180" t="str">
        <f ca="1"/>
        <v/>
      </c>
      <c r="F321" s="180" t="str">
        <f ca="1"/>
        <v/>
      </c>
      <c r="G321" s="180" t="str">
        <f ca="1"/>
        <v/>
      </c>
      <c r="H321" s="180" t="str">
        <f ca="1"/>
        <v/>
      </c>
      <c r="I321" s="180" t="str">
        <f ca="1"/>
        <v/>
      </c>
      <c r="J321" s="180" t="str">
        <f ca="1"/>
        <v/>
      </c>
      <c r="K321" s="180" t="str">
        <f ca="1"/>
        <v/>
      </c>
      <c r="L321" s="180" t="str">
        <f ca="1"/>
        <v/>
      </c>
      <c r="M321" s="180" t="str">
        <f ca="1"/>
        <v/>
      </c>
      <c r="N321" s="180" t="str">
        <f ca="1"/>
        <v/>
      </c>
      <c r="O321" s="180" t="str">
        <f ca="1"/>
        <v/>
      </c>
      <c r="P321" s="180" t="str">
        <f ca="1"/>
        <v/>
      </c>
      <c r="Q321" s="180" t="str">
        <f ca="1"/>
        <v/>
      </c>
      <c r="R321" s="180" t="str">
        <f ca="1"/>
        <v/>
      </c>
      <c r="S321" s="180" t="str">
        <f ca="1"/>
        <v/>
      </c>
      <c r="T321" s="180" t="str">
        <f ca="1"/>
        <v/>
      </c>
      <c r="U321" s="180" t="str">
        <f ca="1"/>
        <v/>
      </c>
      <c r="V321" s="180" t="str">
        <f ca="1"/>
        <v/>
      </c>
      <c r="W321" s="180" t="str">
        <f ca="1"/>
        <v/>
      </c>
      <c r="X321" s="180" t="str">
        <f ca="1"/>
        <v/>
      </c>
      <c r="Y321" s="180" t="str">
        <f ca="1"/>
        <v/>
      </c>
      <c r="Z321" s="180" t="str">
        <f ca="1"/>
        <v/>
      </c>
      <c r="AA321" s="180" t="str">
        <f ca="1"/>
        <v/>
      </c>
      <c r="AB321" s="180" t="str">
        <f ca="1"/>
        <v/>
      </c>
      <c r="AC321" s="180" t="str">
        <f ca="1"/>
        <v/>
      </c>
      <c r="AD321" s="180" t="str">
        <f ca="1"/>
        <v/>
      </c>
      <c r="AE321" s="180" t="str">
        <f ca="1"/>
        <v/>
      </c>
      <c r="AF321" s="180" t="str">
        <f ca="1"/>
        <v/>
      </c>
      <c r="AG321" s="180" t="str">
        <f ca="1"/>
        <v/>
      </c>
      <c r="AH321" s="180" t="str">
        <f ca="1"/>
        <v/>
      </c>
      <c r="AI321" s="180" t="str">
        <f ca="1"/>
        <v/>
      </c>
      <c r="AJ321" s="180" t="str">
        <f ca="1"/>
        <v/>
      </c>
      <c r="AK321" s="180" t="str">
        <f ca="1"/>
        <v/>
      </c>
      <c r="AL321" s="180" t="str">
        <f ca="1"/>
        <v/>
      </c>
      <c r="AM321" s="180" t="str">
        <f ca="1"/>
        <v/>
      </c>
      <c r="AN321" s="180" t="str">
        <f ca="1"/>
        <v/>
      </c>
      <c r="AO321" s="180" t="str">
        <f ca="1"/>
        <v/>
      </c>
      <c r="AP321" s="180" t="str">
        <f ca="1"/>
        <v/>
      </c>
      <c r="AQ321" s="187" t="str">
        <f ca="1"/>
        <v/>
      </c>
    </row>
    <row r="322" spans="2:43" x14ac:dyDescent="0.25">
      <c r="B322" s="179" t="str">
        <f ca="1"/>
        <v/>
      </c>
      <c r="C322" s="180" t="str">
        <f ca="1"/>
        <v/>
      </c>
      <c r="D322" s="180" t="str">
        <f ca="1"/>
        <v/>
      </c>
      <c r="E322" s="180" t="str">
        <f ca="1"/>
        <v/>
      </c>
      <c r="F322" s="180" t="str">
        <f ca="1"/>
        <v/>
      </c>
      <c r="G322" s="180" t="str">
        <f ca="1"/>
        <v/>
      </c>
      <c r="H322" s="180" t="str">
        <f ca="1"/>
        <v/>
      </c>
      <c r="I322" s="180" t="str">
        <f ca="1"/>
        <v/>
      </c>
      <c r="J322" s="180" t="str">
        <f ca="1"/>
        <v/>
      </c>
      <c r="K322" s="180" t="str">
        <f ca="1"/>
        <v/>
      </c>
      <c r="L322" s="180" t="str">
        <f ca="1"/>
        <v/>
      </c>
      <c r="M322" s="180" t="str">
        <f ca="1"/>
        <v/>
      </c>
      <c r="N322" s="180" t="str">
        <f ca="1"/>
        <v/>
      </c>
      <c r="O322" s="180" t="str">
        <f ca="1"/>
        <v/>
      </c>
      <c r="P322" s="180" t="str">
        <f ca="1"/>
        <v/>
      </c>
      <c r="Q322" s="180" t="str">
        <f ca="1"/>
        <v/>
      </c>
      <c r="R322" s="180" t="str">
        <f ca="1"/>
        <v/>
      </c>
      <c r="S322" s="180" t="str">
        <f ca="1"/>
        <v/>
      </c>
      <c r="T322" s="180" t="str">
        <f ca="1"/>
        <v/>
      </c>
      <c r="U322" s="180" t="str">
        <f ca="1"/>
        <v/>
      </c>
      <c r="V322" s="180" t="str">
        <f ca="1"/>
        <v/>
      </c>
      <c r="W322" s="180" t="str">
        <f ca="1"/>
        <v/>
      </c>
      <c r="X322" s="180" t="str">
        <f ca="1"/>
        <v/>
      </c>
      <c r="Y322" s="180" t="str">
        <f ca="1"/>
        <v/>
      </c>
      <c r="Z322" s="180" t="str">
        <f ca="1"/>
        <v/>
      </c>
      <c r="AA322" s="180" t="str">
        <f ca="1"/>
        <v/>
      </c>
      <c r="AB322" s="180" t="str">
        <f ca="1"/>
        <v/>
      </c>
      <c r="AC322" s="180" t="str">
        <f ca="1"/>
        <v/>
      </c>
      <c r="AD322" s="180" t="str">
        <f ca="1"/>
        <v/>
      </c>
      <c r="AE322" s="180" t="str">
        <f ca="1"/>
        <v/>
      </c>
      <c r="AF322" s="180" t="str">
        <f ca="1"/>
        <v/>
      </c>
      <c r="AG322" s="180" t="str">
        <f ca="1"/>
        <v/>
      </c>
      <c r="AH322" s="180" t="str">
        <f ca="1"/>
        <v/>
      </c>
      <c r="AI322" s="180" t="str">
        <f ca="1"/>
        <v/>
      </c>
      <c r="AJ322" s="180" t="str">
        <f ca="1"/>
        <v/>
      </c>
      <c r="AK322" s="180" t="str">
        <f ca="1"/>
        <v/>
      </c>
      <c r="AL322" s="180" t="str">
        <f ca="1"/>
        <v/>
      </c>
      <c r="AM322" s="180" t="str">
        <f ca="1"/>
        <v/>
      </c>
      <c r="AN322" s="180" t="str">
        <f ca="1"/>
        <v/>
      </c>
      <c r="AO322" s="180" t="str">
        <f ca="1"/>
        <v/>
      </c>
      <c r="AP322" s="180" t="str">
        <f ca="1"/>
        <v/>
      </c>
      <c r="AQ322" s="187" t="str">
        <f ca="1"/>
        <v/>
      </c>
    </row>
    <row r="323" spans="2:43" x14ac:dyDescent="0.25">
      <c r="B323" s="179" t="str">
        <f ca="1"/>
        <v/>
      </c>
      <c r="C323" s="180" t="str">
        <f ca="1"/>
        <v/>
      </c>
      <c r="D323" s="180" t="str">
        <f ca="1"/>
        <v/>
      </c>
      <c r="E323" s="180" t="str">
        <f ca="1"/>
        <v/>
      </c>
      <c r="F323" s="180" t="str">
        <f ca="1"/>
        <v/>
      </c>
      <c r="G323" s="180" t="str">
        <f ca="1"/>
        <v/>
      </c>
      <c r="H323" s="180" t="str">
        <f ca="1"/>
        <v/>
      </c>
      <c r="I323" s="180" t="str">
        <f ca="1"/>
        <v/>
      </c>
      <c r="J323" s="180" t="str">
        <f ca="1"/>
        <v/>
      </c>
      <c r="K323" s="180" t="str">
        <f ca="1"/>
        <v/>
      </c>
      <c r="L323" s="180" t="str">
        <f ca="1"/>
        <v/>
      </c>
      <c r="M323" s="180" t="str">
        <f ca="1"/>
        <v/>
      </c>
      <c r="N323" s="180" t="str">
        <f ca="1"/>
        <v/>
      </c>
      <c r="O323" s="180" t="str">
        <f ca="1"/>
        <v/>
      </c>
      <c r="P323" s="180" t="str">
        <f ca="1"/>
        <v/>
      </c>
      <c r="Q323" s="180" t="str">
        <f ca="1"/>
        <v/>
      </c>
      <c r="R323" s="180" t="str">
        <f ca="1"/>
        <v/>
      </c>
      <c r="S323" s="180" t="str">
        <f ca="1"/>
        <v/>
      </c>
      <c r="T323" s="180" t="str">
        <f ca="1"/>
        <v/>
      </c>
      <c r="U323" s="180" t="str">
        <f ca="1"/>
        <v/>
      </c>
      <c r="V323" s="180" t="str">
        <f ca="1"/>
        <v/>
      </c>
      <c r="W323" s="180" t="str">
        <f ca="1"/>
        <v/>
      </c>
      <c r="X323" s="180" t="str">
        <f ca="1"/>
        <v/>
      </c>
      <c r="Y323" s="180" t="str">
        <f ca="1"/>
        <v/>
      </c>
      <c r="Z323" s="180" t="str">
        <f ca="1"/>
        <v/>
      </c>
      <c r="AA323" s="180" t="str">
        <f ca="1"/>
        <v/>
      </c>
      <c r="AB323" s="180" t="str">
        <f ca="1"/>
        <v/>
      </c>
      <c r="AC323" s="180" t="str">
        <f ca="1"/>
        <v/>
      </c>
      <c r="AD323" s="180" t="str">
        <f ca="1"/>
        <v/>
      </c>
      <c r="AE323" s="180" t="str">
        <f ca="1"/>
        <v/>
      </c>
      <c r="AF323" s="180" t="str">
        <f ca="1"/>
        <v/>
      </c>
      <c r="AG323" s="180" t="str">
        <f ca="1"/>
        <v/>
      </c>
      <c r="AH323" s="180" t="str">
        <f ca="1"/>
        <v/>
      </c>
      <c r="AI323" s="180" t="str">
        <f ca="1"/>
        <v/>
      </c>
      <c r="AJ323" s="180" t="str">
        <f ca="1"/>
        <v/>
      </c>
      <c r="AK323" s="180" t="str">
        <f ca="1"/>
        <v/>
      </c>
      <c r="AL323" s="180" t="str">
        <f ca="1"/>
        <v/>
      </c>
      <c r="AM323" s="180" t="str">
        <f ca="1"/>
        <v/>
      </c>
      <c r="AN323" s="180" t="str">
        <f ca="1"/>
        <v/>
      </c>
      <c r="AO323" s="180" t="str">
        <f ca="1"/>
        <v/>
      </c>
      <c r="AP323" s="180" t="str">
        <f ca="1"/>
        <v/>
      </c>
      <c r="AQ323" s="187" t="str">
        <f ca="1"/>
        <v/>
      </c>
    </row>
    <row r="324" spans="2:43" x14ac:dyDescent="0.25">
      <c r="B324" s="179" t="str">
        <f ca="1"/>
        <v/>
      </c>
      <c r="C324" s="180" t="str">
        <f ca="1"/>
        <v/>
      </c>
      <c r="D324" s="180" t="str">
        <f ca="1"/>
        <v/>
      </c>
      <c r="E324" s="180" t="str">
        <f ca="1"/>
        <v/>
      </c>
      <c r="F324" s="180" t="str">
        <f ca="1"/>
        <v/>
      </c>
      <c r="G324" s="180" t="str">
        <f ca="1"/>
        <v/>
      </c>
      <c r="H324" s="180" t="str">
        <f ca="1"/>
        <v/>
      </c>
      <c r="I324" s="180" t="str">
        <f ca="1"/>
        <v/>
      </c>
      <c r="J324" s="180" t="str">
        <f ca="1"/>
        <v/>
      </c>
      <c r="K324" s="180" t="str">
        <f ca="1"/>
        <v/>
      </c>
      <c r="L324" s="180" t="str">
        <f ca="1"/>
        <v/>
      </c>
      <c r="M324" s="180" t="str">
        <f ca="1"/>
        <v/>
      </c>
      <c r="N324" s="180" t="str">
        <f ca="1"/>
        <v/>
      </c>
      <c r="O324" s="180" t="str">
        <f ca="1"/>
        <v/>
      </c>
      <c r="P324" s="180" t="str">
        <f ca="1"/>
        <v/>
      </c>
      <c r="Q324" s="180" t="str">
        <f ca="1"/>
        <v/>
      </c>
      <c r="R324" s="180" t="str">
        <f ca="1"/>
        <v/>
      </c>
      <c r="S324" s="180" t="str">
        <f ca="1"/>
        <v/>
      </c>
      <c r="T324" s="180" t="str">
        <f ca="1"/>
        <v/>
      </c>
      <c r="U324" s="180" t="str">
        <f ca="1"/>
        <v/>
      </c>
      <c r="V324" s="180" t="str">
        <f ca="1"/>
        <v/>
      </c>
      <c r="W324" s="180" t="str">
        <f ca="1"/>
        <v/>
      </c>
      <c r="X324" s="180" t="str">
        <f ca="1"/>
        <v/>
      </c>
      <c r="Y324" s="180" t="str">
        <f ca="1"/>
        <v/>
      </c>
      <c r="Z324" s="180" t="str">
        <f ca="1"/>
        <v/>
      </c>
      <c r="AA324" s="180" t="str">
        <f ca="1"/>
        <v/>
      </c>
      <c r="AB324" s="180" t="str">
        <f ca="1"/>
        <v/>
      </c>
      <c r="AC324" s="180" t="str">
        <f ca="1"/>
        <v/>
      </c>
      <c r="AD324" s="180" t="str">
        <f ca="1"/>
        <v/>
      </c>
      <c r="AE324" s="180" t="str">
        <f ca="1"/>
        <v/>
      </c>
      <c r="AF324" s="180" t="str">
        <f ca="1"/>
        <v/>
      </c>
      <c r="AG324" s="180" t="str">
        <f ca="1"/>
        <v/>
      </c>
      <c r="AH324" s="180" t="str">
        <f ca="1"/>
        <v/>
      </c>
      <c r="AI324" s="180" t="str">
        <f ca="1"/>
        <v/>
      </c>
      <c r="AJ324" s="180" t="str">
        <f ca="1"/>
        <v/>
      </c>
      <c r="AK324" s="180" t="str">
        <f ca="1"/>
        <v/>
      </c>
      <c r="AL324" s="180" t="str">
        <f ca="1"/>
        <v/>
      </c>
      <c r="AM324" s="180" t="str">
        <f ca="1"/>
        <v/>
      </c>
      <c r="AN324" s="180" t="str">
        <f ca="1"/>
        <v/>
      </c>
      <c r="AO324" s="180" t="str">
        <f ca="1"/>
        <v/>
      </c>
      <c r="AP324" s="180" t="str">
        <f ca="1"/>
        <v/>
      </c>
      <c r="AQ324" s="187" t="str">
        <f ca="1"/>
        <v/>
      </c>
    </row>
    <row r="325" spans="2:43" x14ac:dyDescent="0.25">
      <c r="B325" s="179" t="str">
        <f ca="1"/>
        <v/>
      </c>
      <c r="C325" s="180" t="str">
        <f ca="1"/>
        <v/>
      </c>
      <c r="D325" s="180" t="str">
        <f ca="1"/>
        <v/>
      </c>
      <c r="E325" s="180" t="str">
        <f ca="1"/>
        <v/>
      </c>
      <c r="F325" s="180" t="str">
        <f ca="1"/>
        <v/>
      </c>
      <c r="G325" s="180" t="str">
        <f ca="1"/>
        <v/>
      </c>
      <c r="H325" s="180" t="str">
        <f ca="1"/>
        <v/>
      </c>
      <c r="I325" s="180" t="str">
        <f ca="1"/>
        <v/>
      </c>
      <c r="J325" s="180" t="str">
        <f ca="1"/>
        <v/>
      </c>
      <c r="K325" s="180" t="str">
        <f ca="1"/>
        <v/>
      </c>
      <c r="L325" s="180" t="str">
        <f ca="1"/>
        <v/>
      </c>
      <c r="M325" s="180" t="str">
        <f ca="1"/>
        <v/>
      </c>
      <c r="N325" s="180" t="str">
        <f ca="1"/>
        <v/>
      </c>
      <c r="O325" s="180" t="str">
        <f ca="1"/>
        <v/>
      </c>
      <c r="P325" s="180" t="str">
        <f ca="1"/>
        <v/>
      </c>
      <c r="Q325" s="180" t="str">
        <f ca="1"/>
        <v/>
      </c>
      <c r="R325" s="180" t="str">
        <f ca="1"/>
        <v/>
      </c>
      <c r="S325" s="180" t="str">
        <f ca="1"/>
        <v/>
      </c>
      <c r="T325" s="180" t="str">
        <f ca="1"/>
        <v/>
      </c>
      <c r="U325" s="180" t="str">
        <f ca="1"/>
        <v/>
      </c>
      <c r="V325" s="180" t="str">
        <f ca="1"/>
        <v/>
      </c>
      <c r="W325" s="180" t="str">
        <f ca="1"/>
        <v/>
      </c>
      <c r="X325" s="180" t="str">
        <f ca="1"/>
        <v/>
      </c>
      <c r="Y325" s="180" t="str">
        <f ca="1"/>
        <v/>
      </c>
      <c r="Z325" s="180" t="str">
        <f ca="1"/>
        <v/>
      </c>
      <c r="AA325" s="180" t="str">
        <f ca="1"/>
        <v/>
      </c>
      <c r="AB325" s="180" t="str">
        <f ca="1"/>
        <v/>
      </c>
      <c r="AC325" s="180" t="str">
        <f ca="1"/>
        <v/>
      </c>
      <c r="AD325" s="180" t="str">
        <f ca="1"/>
        <v/>
      </c>
      <c r="AE325" s="180" t="str">
        <f ca="1"/>
        <v/>
      </c>
      <c r="AF325" s="180" t="str">
        <f ca="1"/>
        <v/>
      </c>
      <c r="AG325" s="180" t="str">
        <f ca="1"/>
        <v/>
      </c>
      <c r="AH325" s="180" t="str">
        <f ca="1"/>
        <v/>
      </c>
      <c r="AI325" s="180" t="str">
        <f ca="1"/>
        <v/>
      </c>
      <c r="AJ325" s="180" t="str">
        <f ca="1"/>
        <v/>
      </c>
      <c r="AK325" s="180" t="str">
        <f ca="1"/>
        <v/>
      </c>
      <c r="AL325" s="180" t="str">
        <f ca="1"/>
        <v/>
      </c>
      <c r="AM325" s="180" t="str">
        <f ca="1"/>
        <v/>
      </c>
      <c r="AN325" s="180" t="str">
        <f ca="1"/>
        <v/>
      </c>
      <c r="AO325" s="180" t="str">
        <f ca="1"/>
        <v/>
      </c>
      <c r="AP325" s="180" t="str">
        <f ca="1"/>
        <v/>
      </c>
      <c r="AQ325" s="187" t="str">
        <f ca="1"/>
        <v/>
      </c>
    </row>
    <row r="326" spans="2:43" x14ac:dyDescent="0.25">
      <c r="B326" s="179" t="str">
        <f ca="1"/>
        <v/>
      </c>
      <c r="C326" s="180" t="str">
        <f ca="1"/>
        <v/>
      </c>
      <c r="D326" s="180" t="str">
        <f ca="1"/>
        <v/>
      </c>
      <c r="E326" s="180" t="str">
        <f ca="1"/>
        <v/>
      </c>
      <c r="F326" s="180" t="str">
        <f ca="1"/>
        <v/>
      </c>
      <c r="G326" s="180" t="str">
        <f ca="1"/>
        <v/>
      </c>
      <c r="H326" s="180" t="str">
        <f ca="1"/>
        <v/>
      </c>
      <c r="I326" s="180" t="str">
        <f ca="1"/>
        <v/>
      </c>
      <c r="J326" s="180" t="str">
        <f ca="1"/>
        <v/>
      </c>
      <c r="K326" s="180" t="str">
        <f ca="1"/>
        <v/>
      </c>
      <c r="L326" s="180" t="str">
        <f ca="1"/>
        <v/>
      </c>
      <c r="M326" s="180" t="str">
        <f ca="1"/>
        <v/>
      </c>
      <c r="N326" s="180" t="str">
        <f ca="1"/>
        <v/>
      </c>
      <c r="O326" s="180" t="str">
        <f ca="1"/>
        <v/>
      </c>
      <c r="P326" s="180" t="str">
        <f ca="1"/>
        <v/>
      </c>
      <c r="Q326" s="180" t="str">
        <f ca="1"/>
        <v/>
      </c>
      <c r="R326" s="180" t="str">
        <f ca="1"/>
        <v/>
      </c>
      <c r="S326" s="180" t="str">
        <f ca="1"/>
        <v/>
      </c>
      <c r="T326" s="180" t="str">
        <f ca="1"/>
        <v/>
      </c>
      <c r="U326" s="180" t="str">
        <f ca="1"/>
        <v/>
      </c>
      <c r="V326" s="180" t="str">
        <f ca="1"/>
        <v/>
      </c>
      <c r="W326" s="180" t="str">
        <f ca="1"/>
        <v/>
      </c>
      <c r="X326" s="180" t="str">
        <f ca="1"/>
        <v/>
      </c>
      <c r="Y326" s="180" t="str">
        <f ca="1"/>
        <v/>
      </c>
      <c r="Z326" s="180" t="str">
        <f ca="1"/>
        <v/>
      </c>
      <c r="AA326" s="180" t="str">
        <f ca="1"/>
        <v/>
      </c>
      <c r="AB326" s="180" t="str">
        <f ca="1"/>
        <v/>
      </c>
      <c r="AC326" s="180" t="str">
        <f ca="1"/>
        <v/>
      </c>
      <c r="AD326" s="180" t="str">
        <f ca="1"/>
        <v/>
      </c>
      <c r="AE326" s="180" t="str">
        <f ca="1"/>
        <v/>
      </c>
      <c r="AF326" s="180" t="str">
        <f ca="1"/>
        <v/>
      </c>
      <c r="AG326" s="180" t="str">
        <f ca="1"/>
        <v/>
      </c>
      <c r="AH326" s="180" t="str">
        <f ca="1"/>
        <v/>
      </c>
      <c r="AI326" s="180" t="str">
        <f ca="1"/>
        <v/>
      </c>
      <c r="AJ326" s="180" t="str">
        <f ca="1"/>
        <v/>
      </c>
      <c r="AK326" s="180" t="str">
        <f ca="1"/>
        <v/>
      </c>
      <c r="AL326" s="180" t="str">
        <f ca="1"/>
        <v/>
      </c>
      <c r="AM326" s="180" t="str">
        <f ca="1"/>
        <v/>
      </c>
      <c r="AN326" s="180" t="str">
        <f ca="1"/>
        <v/>
      </c>
      <c r="AO326" s="180" t="str">
        <f ca="1"/>
        <v/>
      </c>
      <c r="AP326" s="180" t="str">
        <f ca="1"/>
        <v/>
      </c>
      <c r="AQ326" s="187" t="str">
        <f ca="1"/>
        <v/>
      </c>
    </row>
    <row r="327" spans="2:43" x14ac:dyDescent="0.25">
      <c r="B327" s="179" t="str">
        <f ca="1"/>
        <v/>
      </c>
      <c r="C327" s="180" t="str">
        <f ca="1"/>
        <v/>
      </c>
      <c r="D327" s="180" t="str">
        <f ca="1"/>
        <v/>
      </c>
      <c r="E327" s="180" t="str">
        <f ca="1"/>
        <v/>
      </c>
      <c r="F327" s="180" t="str">
        <f ca="1"/>
        <v/>
      </c>
      <c r="G327" s="180" t="str">
        <f ca="1"/>
        <v/>
      </c>
      <c r="H327" s="180" t="str">
        <f ca="1"/>
        <v/>
      </c>
      <c r="I327" s="180" t="str">
        <f ca="1"/>
        <v/>
      </c>
      <c r="J327" s="180" t="str">
        <f ca="1"/>
        <v/>
      </c>
      <c r="K327" s="180" t="str">
        <f ca="1"/>
        <v/>
      </c>
      <c r="L327" s="180" t="str">
        <f ca="1"/>
        <v/>
      </c>
      <c r="M327" s="180" t="str">
        <f ca="1"/>
        <v/>
      </c>
      <c r="N327" s="180" t="str">
        <f ca="1"/>
        <v/>
      </c>
      <c r="O327" s="180" t="str">
        <f ca="1"/>
        <v/>
      </c>
      <c r="P327" s="180" t="str">
        <f ca="1"/>
        <v/>
      </c>
      <c r="Q327" s="180" t="str">
        <f ca="1"/>
        <v/>
      </c>
      <c r="R327" s="180" t="str">
        <f ca="1"/>
        <v/>
      </c>
      <c r="S327" s="180" t="str">
        <f ca="1"/>
        <v/>
      </c>
      <c r="T327" s="180" t="str">
        <f ca="1"/>
        <v/>
      </c>
      <c r="U327" s="180" t="str">
        <f ca="1"/>
        <v/>
      </c>
      <c r="V327" s="180" t="str">
        <f ca="1"/>
        <v/>
      </c>
      <c r="W327" s="180" t="str">
        <f ca="1"/>
        <v/>
      </c>
      <c r="X327" s="180" t="str">
        <f ca="1"/>
        <v/>
      </c>
      <c r="Y327" s="180" t="str">
        <f ca="1"/>
        <v/>
      </c>
      <c r="Z327" s="180" t="str">
        <f ca="1"/>
        <v/>
      </c>
      <c r="AA327" s="180" t="str">
        <f ca="1"/>
        <v/>
      </c>
      <c r="AB327" s="180" t="str">
        <f ca="1"/>
        <v/>
      </c>
      <c r="AC327" s="180" t="str">
        <f ca="1"/>
        <v/>
      </c>
      <c r="AD327" s="180" t="str">
        <f ca="1"/>
        <v/>
      </c>
      <c r="AE327" s="180" t="str">
        <f ca="1"/>
        <v/>
      </c>
      <c r="AF327" s="180" t="str">
        <f ca="1"/>
        <v/>
      </c>
      <c r="AG327" s="180" t="str">
        <f ca="1"/>
        <v/>
      </c>
      <c r="AH327" s="180" t="str">
        <f ca="1"/>
        <v/>
      </c>
      <c r="AI327" s="180" t="str">
        <f ca="1"/>
        <v/>
      </c>
      <c r="AJ327" s="180" t="str">
        <f ca="1"/>
        <v/>
      </c>
      <c r="AK327" s="180" t="str">
        <f ca="1"/>
        <v/>
      </c>
      <c r="AL327" s="180" t="str">
        <f ca="1"/>
        <v/>
      </c>
      <c r="AM327" s="180" t="str">
        <f ca="1"/>
        <v/>
      </c>
      <c r="AN327" s="180" t="str">
        <f ca="1"/>
        <v/>
      </c>
      <c r="AO327" s="180" t="str">
        <f ca="1"/>
        <v/>
      </c>
      <c r="AP327" s="180" t="str">
        <f ca="1"/>
        <v/>
      </c>
      <c r="AQ327" s="187" t="str">
        <f ca="1"/>
        <v/>
      </c>
    </row>
    <row r="328" spans="2:43" x14ac:dyDescent="0.25">
      <c r="B328" s="179" t="str">
        <f ca="1"/>
        <v/>
      </c>
      <c r="C328" s="180" t="str">
        <f ca="1"/>
        <v/>
      </c>
      <c r="D328" s="180" t="str">
        <f ca="1"/>
        <v/>
      </c>
      <c r="E328" s="180" t="str">
        <f ca="1"/>
        <v/>
      </c>
      <c r="F328" s="180" t="str">
        <f ca="1"/>
        <v/>
      </c>
      <c r="G328" s="180" t="str">
        <f ca="1"/>
        <v/>
      </c>
      <c r="H328" s="180" t="str">
        <f ca="1"/>
        <v/>
      </c>
      <c r="I328" s="180" t="str">
        <f ca="1"/>
        <v/>
      </c>
      <c r="J328" s="180" t="str">
        <f ca="1"/>
        <v/>
      </c>
      <c r="K328" s="180" t="str">
        <f ca="1"/>
        <v/>
      </c>
      <c r="L328" s="180" t="str">
        <f ca="1"/>
        <v/>
      </c>
      <c r="M328" s="180" t="str">
        <f ca="1"/>
        <v/>
      </c>
      <c r="N328" s="180" t="str">
        <f ca="1"/>
        <v/>
      </c>
      <c r="O328" s="180" t="str">
        <f ca="1"/>
        <v/>
      </c>
      <c r="P328" s="180" t="str">
        <f ca="1"/>
        <v/>
      </c>
      <c r="Q328" s="180" t="str">
        <f ca="1"/>
        <v/>
      </c>
      <c r="R328" s="180" t="str">
        <f ca="1"/>
        <v/>
      </c>
      <c r="S328" s="180" t="str">
        <f ca="1"/>
        <v/>
      </c>
      <c r="T328" s="180" t="str">
        <f ca="1"/>
        <v/>
      </c>
      <c r="U328" s="180" t="str">
        <f ca="1"/>
        <v/>
      </c>
      <c r="V328" s="180" t="str">
        <f ca="1"/>
        <v/>
      </c>
      <c r="W328" s="180" t="str">
        <f ca="1"/>
        <v/>
      </c>
      <c r="X328" s="180" t="str">
        <f ca="1"/>
        <v/>
      </c>
      <c r="Y328" s="180" t="str">
        <f ca="1"/>
        <v/>
      </c>
      <c r="Z328" s="180" t="str">
        <f ca="1"/>
        <v/>
      </c>
      <c r="AA328" s="180" t="str">
        <f ca="1"/>
        <v/>
      </c>
      <c r="AB328" s="180" t="str">
        <f ca="1"/>
        <v/>
      </c>
      <c r="AC328" s="180" t="str">
        <f ca="1"/>
        <v/>
      </c>
      <c r="AD328" s="180" t="str">
        <f ca="1"/>
        <v/>
      </c>
      <c r="AE328" s="180" t="str">
        <f ca="1"/>
        <v/>
      </c>
      <c r="AF328" s="180" t="str">
        <f ca="1"/>
        <v/>
      </c>
      <c r="AG328" s="180" t="str">
        <f ca="1"/>
        <v/>
      </c>
      <c r="AH328" s="180" t="str">
        <f ca="1"/>
        <v/>
      </c>
      <c r="AI328" s="180" t="str">
        <f ca="1"/>
        <v/>
      </c>
      <c r="AJ328" s="180" t="str">
        <f ca="1"/>
        <v/>
      </c>
      <c r="AK328" s="180" t="str">
        <f ca="1"/>
        <v/>
      </c>
      <c r="AL328" s="180" t="str">
        <f ca="1"/>
        <v/>
      </c>
      <c r="AM328" s="180" t="str">
        <f ca="1"/>
        <v/>
      </c>
      <c r="AN328" s="180" t="str">
        <f ca="1"/>
        <v/>
      </c>
      <c r="AO328" s="180" t="str">
        <f ca="1"/>
        <v/>
      </c>
      <c r="AP328" s="180" t="str">
        <f ca="1"/>
        <v/>
      </c>
      <c r="AQ328" s="187" t="str">
        <f ca="1"/>
        <v/>
      </c>
    </row>
    <row r="329" spans="2:43" x14ac:dyDescent="0.25">
      <c r="B329" s="179" t="str">
        <f ca="1"/>
        <v/>
      </c>
      <c r="C329" s="180" t="str">
        <f ca="1"/>
        <v/>
      </c>
      <c r="D329" s="180" t="str">
        <f ca="1"/>
        <v/>
      </c>
      <c r="E329" s="180" t="str">
        <f ca="1"/>
        <v/>
      </c>
      <c r="F329" s="180" t="str">
        <f ca="1"/>
        <v/>
      </c>
      <c r="G329" s="180" t="str">
        <f ca="1"/>
        <v/>
      </c>
      <c r="H329" s="180" t="str">
        <f ca="1"/>
        <v/>
      </c>
      <c r="I329" s="180" t="str">
        <f ca="1"/>
        <v/>
      </c>
      <c r="J329" s="180" t="str">
        <f ca="1"/>
        <v/>
      </c>
      <c r="K329" s="180" t="str">
        <f ca="1"/>
        <v/>
      </c>
      <c r="L329" s="180" t="str">
        <f ca="1"/>
        <v/>
      </c>
      <c r="M329" s="180" t="str">
        <f ca="1"/>
        <v/>
      </c>
      <c r="N329" s="180" t="str">
        <f ca="1"/>
        <v/>
      </c>
      <c r="O329" s="180" t="str">
        <f ca="1"/>
        <v/>
      </c>
      <c r="P329" s="180" t="str">
        <f ca="1"/>
        <v/>
      </c>
      <c r="Q329" s="180" t="str">
        <f ca="1"/>
        <v/>
      </c>
      <c r="R329" s="180" t="str">
        <f ca="1"/>
        <v/>
      </c>
      <c r="S329" s="180" t="str">
        <f ca="1"/>
        <v/>
      </c>
      <c r="T329" s="180" t="str">
        <f ca="1"/>
        <v/>
      </c>
      <c r="U329" s="180" t="str">
        <f ca="1"/>
        <v/>
      </c>
      <c r="V329" s="180" t="str">
        <f ca="1"/>
        <v/>
      </c>
      <c r="W329" s="180" t="str">
        <f ca="1"/>
        <v/>
      </c>
      <c r="X329" s="180" t="str">
        <f ca="1"/>
        <v/>
      </c>
      <c r="Y329" s="180" t="str">
        <f ca="1"/>
        <v/>
      </c>
      <c r="Z329" s="180" t="str">
        <f ca="1"/>
        <v/>
      </c>
      <c r="AA329" s="180" t="str">
        <f ca="1"/>
        <v/>
      </c>
      <c r="AB329" s="180" t="str">
        <f ca="1"/>
        <v/>
      </c>
      <c r="AC329" s="180" t="str">
        <f ca="1"/>
        <v/>
      </c>
      <c r="AD329" s="180" t="str">
        <f ca="1"/>
        <v/>
      </c>
      <c r="AE329" s="180" t="str">
        <f ca="1"/>
        <v/>
      </c>
      <c r="AF329" s="180" t="str">
        <f ca="1"/>
        <v/>
      </c>
      <c r="AG329" s="180" t="str">
        <f ca="1"/>
        <v/>
      </c>
      <c r="AH329" s="180" t="str">
        <f ca="1"/>
        <v/>
      </c>
      <c r="AI329" s="180" t="str">
        <f ca="1"/>
        <v/>
      </c>
      <c r="AJ329" s="180" t="str">
        <f ca="1"/>
        <v/>
      </c>
      <c r="AK329" s="180" t="str">
        <f ca="1"/>
        <v/>
      </c>
      <c r="AL329" s="180" t="str">
        <f ca="1"/>
        <v/>
      </c>
      <c r="AM329" s="180" t="str">
        <f ca="1"/>
        <v/>
      </c>
      <c r="AN329" s="180" t="str">
        <f ca="1"/>
        <v/>
      </c>
      <c r="AO329" s="180" t="str">
        <f ca="1"/>
        <v/>
      </c>
      <c r="AP329" s="180" t="str">
        <f ca="1"/>
        <v/>
      </c>
      <c r="AQ329" s="187" t="str">
        <f ca="1"/>
        <v/>
      </c>
    </row>
    <row r="330" spans="2:43" x14ac:dyDescent="0.25">
      <c r="B330" s="179" t="str">
        <f ca="1"/>
        <v/>
      </c>
      <c r="C330" s="180" t="str">
        <f ca="1"/>
        <v/>
      </c>
      <c r="D330" s="180" t="str">
        <f ca="1"/>
        <v/>
      </c>
      <c r="E330" s="180" t="str">
        <f ca="1"/>
        <v/>
      </c>
      <c r="F330" s="180" t="str">
        <f ca="1"/>
        <v/>
      </c>
      <c r="G330" s="180" t="str">
        <f ca="1"/>
        <v/>
      </c>
      <c r="H330" s="180" t="str">
        <f ca="1"/>
        <v/>
      </c>
      <c r="I330" s="180" t="str">
        <f ca="1"/>
        <v/>
      </c>
      <c r="J330" s="180" t="str">
        <f ca="1"/>
        <v/>
      </c>
      <c r="K330" s="180" t="str">
        <f ca="1"/>
        <v/>
      </c>
      <c r="L330" s="180" t="str">
        <f ca="1"/>
        <v/>
      </c>
      <c r="M330" s="180" t="str">
        <f ca="1"/>
        <v/>
      </c>
      <c r="N330" s="180" t="str">
        <f ca="1"/>
        <v/>
      </c>
      <c r="O330" s="180" t="str">
        <f ca="1"/>
        <v/>
      </c>
      <c r="P330" s="180" t="str">
        <f ca="1"/>
        <v/>
      </c>
      <c r="Q330" s="180" t="str">
        <f ca="1"/>
        <v/>
      </c>
      <c r="R330" s="180" t="str">
        <f ca="1"/>
        <v/>
      </c>
      <c r="S330" s="180" t="str">
        <f ca="1"/>
        <v/>
      </c>
      <c r="T330" s="180" t="str">
        <f ca="1"/>
        <v/>
      </c>
      <c r="U330" s="180" t="str">
        <f ca="1"/>
        <v/>
      </c>
      <c r="V330" s="180" t="str">
        <f ca="1"/>
        <v/>
      </c>
      <c r="W330" s="180" t="str">
        <f ca="1"/>
        <v/>
      </c>
      <c r="X330" s="180" t="str">
        <f ca="1"/>
        <v/>
      </c>
      <c r="Y330" s="180" t="str">
        <f ca="1"/>
        <v/>
      </c>
      <c r="Z330" s="180" t="str">
        <f ca="1"/>
        <v/>
      </c>
      <c r="AA330" s="180" t="str">
        <f ca="1"/>
        <v/>
      </c>
      <c r="AB330" s="180" t="str">
        <f ca="1"/>
        <v/>
      </c>
      <c r="AC330" s="180" t="str">
        <f ca="1"/>
        <v/>
      </c>
      <c r="AD330" s="180" t="str">
        <f ca="1"/>
        <v/>
      </c>
      <c r="AE330" s="180" t="str">
        <f ca="1"/>
        <v/>
      </c>
      <c r="AF330" s="180" t="str">
        <f ca="1"/>
        <v/>
      </c>
      <c r="AG330" s="180" t="str">
        <f ca="1"/>
        <v/>
      </c>
      <c r="AH330" s="180" t="str">
        <f ca="1"/>
        <v/>
      </c>
      <c r="AI330" s="180" t="str">
        <f ca="1"/>
        <v/>
      </c>
      <c r="AJ330" s="180" t="str">
        <f ca="1"/>
        <v/>
      </c>
      <c r="AK330" s="180" t="str">
        <f ca="1"/>
        <v/>
      </c>
      <c r="AL330" s="180" t="str">
        <f ca="1"/>
        <v/>
      </c>
      <c r="AM330" s="180" t="str">
        <f ca="1"/>
        <v/>
      </c>
      <c r="AN330" s="180" t="str">
        <f ca="1"/>
        <v/>
      </c>
      <c r="AO330" s="180" t="str">
        <f ca="1"/>
        <v/>
      </c>
      <c r="AP330" s="180" t="str">
        <f ca="1"/>
        <v/>
      </c>
      <c r="AQ330" s="187" t="str">
        <f ca="1"/>
        <v/>
      </c>
    </row>
    <row r="331" spans="2:43" x14ac:dyDescent="0.25">
      <c r="B331" s="179" t="str">
        <f ca="1"/>
        <v/>
      </c>
      <c r="C331" s="180" t="str">
        <f ca="1"/>
        <v/>
      </c>
      <c r="D331" s="180" t="str">
        <f ca="1"/>
        <v/>
      </c>
      <c r="E331" s="180" t="str">
        <f ca="1"/>
        <v/>
      </c>
      <c r="F331" s="180" t="str">
        <f ca="1"/>
        <v/>
      </c>
      <c r="G331" s="180" t="str">
        <f ca="1"/>
        <v/>
      </c>
      <c r="H331" s="180" t="str">
        <f ca="1"/>
        <v/>
      </c>
      <c r="I331" s="180" t="str">
        <f ca="1"/>
        <v/>
      </c>
      <c r="J331" s="180" t="str">
        <f ca="1"/>
        <v/>
      </c>
      <c r="K331" s="180" t="str">
        <f ca="1"/>
        <v/>
      </c>
      <c r="L331" s="180" t="str">
        <f ca="1"/>
        <v/>
      </c>
      <c r="M331" s="180" t="str">
        <f ca="1"/>
        <v/>
      </c>
      <c r="N331" s="180" t="str">
        <f ca="1"/>
        <v/>
      </c>
      <c r="O331" s="180" t="str">
        <f ca="1"/>
        <v/>
      </c>
      <c r="P331" s="180" t="str">
        <f ca="1"/>
        <v/>
      </c>
      <c r="Q331" s="180" t="str">
        <f ca="1"/>
        <v/>
      </c>
      <c r="R331" s="180" t="str">
        <f ca="1"/>
        <v/>
      </c>
      <c r="S331" s="180" t="str">
        <f ca="1"/>
        <v/>
      </c>
      <c r="T331" s="180" t="str">
        <f ca="1"/>
        <v/>
      </c>
      <c r="U331" s="180" t="str">
        <f ca="1"/>
        <v/>
      </c>
      <c r="V331" s="180" t="str">
        <f ca="1"/>
        <v/>
      </c>
      <c r="W331" s="180" t="str">
        <f ca="1"/>
        <v/>
      </c>
      <c r="X331" s="180" t="str">
        <f ca="1"/>
        <v/>
      </c>
      <c r="Y331" s="180" t="str">
        <f ca="1"/>
        <v/>
      </c>
      <c r="Z331" s="180" t="str">
        <f ca="1"/>
        <v/>
      </c>
      <c r="AA331" s="180" t="str">
        <f ca="1"/>
        <v/>
      </c>
      <c r="AB331" s="180" t="str">
        <f ca="1"/>
        <v/>
      </c>
      <c r="AC331" s="180" t="str">
        <f ca="1"/>
        <v/>
      </c>
      <c r="AD331" s="180" t="str">
        <f ca="1"/>
        <v/>
      </c>
      <c r="AE331" s="180" t="str">
        <f ca="1"/>
        <v/>
      </c>
      <c r="AF331" s="180" t="str">
        <f ca="1"/>
        <v/>
      </c>
      <c r="AG331" s="180" t="str">
        <f ca="1"/>
        <v/>
      </c>
      <c r="AH331" s="180" t="str">
        <f ca="1"/>
        <v/>
      </c>
      <c r="AI331" s="180" t="str">
        <f ca="1"/>
        <v/>
      </c>
      <c r="AJ331" s="180" t="str">
        <f ca="1"/>
        <v/>
      </c>
      <c r="AK331" s="180" t="str">
        <f ca="1"/>
        <v/>
      </c>
      <c r="AL331" s="180" t="str">
        <f ca="1"/>
        <v/>
      </c>
      <c r="AM331" s="180" t="str">
        <f ca="1"/>
        <v/>
      </c>
      <c r="AN331" s="180" t="str">
        <f ca="1"/>
        <v/>
      </c>
      <c r="AO331" s="180" t="str">
        <f ca="1"/>
        <v/>
      </c>
      <c r="AP331" s="180" t="str">
        <f ca="1"/>
        <v/>
      </c>
      <c r="AQ331" s="187" t="str">
        <f ca="1"/>
        <v/>
      </c>
    </row>
    <row r="332" spans="2:43" x14ac:dyDescent="0.25">
      <c r="B332" s="179" t="str">
        <f ca="1"/>
        <v/>
      </c>
      <c r="C332" s="180" t="str">
        <f ca="1"/>
        <v/>
      </c>
      <c r="D332" s="180" t="str">
        <f ca="1"/>
        <v/>
      </c>
      <c r="E332" s="180" t="str">
        <f ca="1"/>
        <v/>
      </c>
      <c r="F332" s="180" t="str">
        <f ca="1"/>
        <v/>
      </c>
      <c r="G332" s="180" t="str">
        <f ca="1"/>
        <v/>
      </c>
      <c r="H332" s="180" t="str">
        <f ca="1"/>
        <v/>
      </c>
      <c r="I332" s="180" t="str">
        <f ca="1"/>
        <v/>
      </c>
      <c r="J332" s="180" t="str">
        <f ca="1"/>
        <v/>
      </c>
      <c r="K332" s="180" t="str">
        <f ca="1"/>
        <v/>
      </c>
      <c r="L332" s="180" t="str">
        <f ca="1"/>
        <v/>
      </c>
      <c r="M332" s="180" t="str">
        <f ca="1"/>
        <v/>
      </c>
      <c r="N332" s="180" t="str">
        <f ca="1"/>
        <v/>
      </c>
      <c r="O332" s="180" t="str">
        <f ca="1"/>
        <v/>
      </c>
      <c r="P332" s="180" t="str">
        <f ca="1"/>
        <v/>
      </c>
      <c r="Q332" s="180" t="str">
        <f ca="1"/>
        <v/>
      </c>
      <c r="R332" s="180" t="str">
        <f ca="1"/>
        <v/>
      </c>
      <c r="S332" s="180" t="str">
        <f ca="1"/>
        <v/>
      </c>
      <c r="T332" s="180" t="str">
        <f ca="1"/>
        <v/>
      </c>
      <c r="U332" s="180" t="str">
        <f ca="1"/>
        <v/>
      </c>
      <c r="V332" s="180" t="str">
        <f ca="1"/>
        <v/>
      </c>
      <c r="W332" s="180" t="str">
        <f ca="1"/>
        <v/>
      </c>
      <c r="X332" s="180" t="str">
        <f ca="1"/>
        <v/>
      </c>
      <c r="Y332" s="180" t="str">
        <f ca="1"/>
        <v/>
      </c>
      <c r="Z332" s="180" t="str">
        <f ca="1"/>
        <v/>
      </c>
      <c r="AA332" s="180" t="str">
        <f ca="1"/>
        <v/>
      </c>
      <c r="AB332" s="180" t="str">
        <f ca="1"/>
        <v/>
      </c>
      <c r="AC332" s="180" t="str">
        <f ca="1"/>
        <v/>
      </c>
      <c r="AD332" s="180" t="str">
        <f ca="1"/>
        <v/>
      </c>
      <c r="AE332" s="180" t="str">
        <f ca="1"/>
        <v/>
      </c>
      <c r="AF332" s="180" t="str">
        <f ca="1"/>
        <v/>
      </c>
      <c r="AG332" s="180" t="str">
        <f ca="1"/>
        <v/>
      </c>
      <c r="AH332" s="180" t="str">
        <f ca="1"/>
        <v/>
      </c>
      <c r="AI332" s="180" t="str">
        <f ca="1"/>
        <v/>
      </c>
      <c r="AJ332" s="180" t="str">
        <f ca="1"/>
        <v/>
      </c>
      <c r="AK332" s="180" t="str">
        <f ca="1"/>
        <v/>
      </c>
      <c r="AL332" s="180" t="str">
        <f ca="1"/>
        <v/>
      </c>
      <c r="AM332" s="180" t="str">
        <f ca="1"/>
        <v/>
      </c>
      <c r="AN332" s="180" t="str">
        <f ca="1"/>
        <v/>
      </c>
      <c r="AO332" s="180" t="str">
        <f ca="1"/>
        <v/>
      </c>
      <c r="AP332" s="180" t="str">
        <f ca="1"/>
        <v/>
      </c>
      <c r="AQ332" s="187" t="str">
        <f ca="1"/>
        <v/>
      </c>
    </row>
    <row r="333" spans="2:43" x14ac:dyDescent="0.25">
      <c r="B333" s="179" t="str">
        <f ca="1"/>
        <v/>
      </c>
      <c r="C333" s="180" t="str">
        <f ca="1"/>
        <v/>
      </c>
      <c r="D333" s="180" t="str">
        <f ca="1"/>
        <v/>
      </c>
      <c r="E333" s="180" t="str">
        <f ca="1"/>
        <v/>
      </c>
      <c r="F333" s="180" t="str">
        <f ca="1"/>
        <v/>
      </c>
      <c r="G333" s="180" t="str">
        <f ca="1"/>
        <v/>
      </c>
      <c r="H333" s="180" t="str">
        <f ca="1"/>
        <v/>
      </c>
      <c r="I333" s="180" t="str">
        <f ca="1"/>
        <v/>
      </c>
      <c r="J333" s="180" t="str">
        <f ca="1"/>
        <v/>
      </c>
      <c r="K333" s="180" t="str">
        <f ca="1"/>
        <v/>
      </c>
      <c r="L333" s="180" t="str">
        <f ca="1"/>
        <v/>
      </c>
      <c r="M333" s="180" t="str">
        <f ca="1"/>
        <v/>
      </c>
      <c r="N333" s="180" t="str">
        <f ca="1"/>
        <v/>
      </c>
      <c r="O333" s="180" t="str">
        <f ca="1"/>
        <v/>
      </c>
      <c r="P333" s="180" t="str">
        <f ca="1"/>
        <v/>
      </c>
      <c r="Q333" s="180" t="str">
        <f ca="1"/>
        <v/>
      </c>
      <c r="R333" s="180" t="str">
        <f ca="1"/>
        <v/>
      </c>
      <c r="S333" s="180" t="str">
        <f ca="1"/>
        <v/>
      </c>
      <c r="T333" s="180" t="str">
        <f ca="1"/>
        <v/>
      </c>
      <c r="U333" s="180" t="str">
        <f ca="1"/>
        <v/>
      </c>
      <c r="V333" s="180" t="str">
        <f ca="1"/>
        <v/>
      </c>
      <c r="W333" s="180" t="str">
        <f ca="1"/>
        <v/>
      </c>
      <c r="X333" s="180" t="str">
        <f ca="1"/>
        <v/>
      </c>
      <c r="Y333" s="180" t="str">
        <f ca="1"/>
        <v/>
      </c>
      <c r="Z333" s="180" t="str">
        <f ca="1"/>
        <v/>
      </c>
      <c r="AA333" s="180" t="str">
        <f ca="1"/>
        <v/>
      </c>
      <c r="AB333" s="180" t="str">
        <f ca="1"/>
        <v/>
      </c>
      <c r="AC333" s="180" t="str">
        <f ca="1"/>
        <v/>
      </c>
      <c r="AD333" s="180" t="str">
        <f ca="1"/>
        <v/>
      </c>
      <c r="AE333" s="180" t="str">
        <f ca="1"/>
        <v/>
      </c>
      <c r="AF333" s="180" t="str">
        <f ca="1"/>
        <v/>
      </c>
      <c r="AG333" s="180" t="str">
        <f ca="1"/>
        <v/>
      </c>
      <c r="AH333" s="180" t="str">
        <f ca="1"/>
        <v/>
      </c>
      <c r="AI333" s="180" t="str">
        <f ca="1"/>
        <v/>
      </c>
      <c r="AJ333" s="180" t="str">
        <f ca="1"/>
        <v/>
      </c>
      <c r="AK333" s="180" t="str">
        <f ca="1"/>
        <v/>
      </c>
      <c r="AL333" s="180" t="str">
        <f ca="1"/>
        <v/>
      </c>
      <c r="AM333" s="180" t="str">
        <f ca="1"/>
        <v/>
      </c>
      <c r="AN333" s="180" t="str">
        <f ca="1"/>
        <v/>
      </c>
      <c r="AO333" s="180" t="str">
        <f ca="1"/>
        <v/>
      </c>
      <c r="AP333" s="180" t="str">
        <f ca="1"/>
        <v/>
      </c>
      <c r="AQ333" s="187" t="str">
        <f ca="1"/>
        <v/>
      </c>
    </row>
    <row r="334" spans="2:43" x14ac:dyDescent="0.25">
      <c r="B334" s="179" t="str">
        <f ca="1"/>
        <v/>
      </c>
      <c r="C334" s="180" t="str">
        <f ca="1"/>
        <v/>
      </c>
      <c r="D334" s="180" t="str">
        <f ca="1"/>
        <v/>
      </c>
      <c r="E334" s="180" t="str">
        <f ca="1"/>
        <v/>
      </c>
      <c r="F334" s="180" t="str">
        <f ca="1"/>
        <v/>
      </c>
      <c r="G334" s="180" t="str">
        <f ca="1"/>
        <v/>
      </c>
      <c r="H334" s="180" t="str">
        <f ca="1"/>
        <v/>
      </c>
      <c r="I334" s="180" t="str">
        <f ca="1"/>
        <v/>
      </c>
      <c r="J334" s="180" t="str">
        <f ca="1"/>
        <v/>
      </c>
      <c r="K334" s="180" t="str">
        <f ca="1"/>
        <v/>
      </c>
      <c r="L334" s="180" t="str">
        <f ca="1"/>
        <v/>
      </c>
      <c r="M334" s="180" t="str">
        <f ca="1"/>
        <v/>
      </c>
      <c r="N334" s="180" t="str">
        <f ca="1"/>
        <v/>
      </c>
      <c r="O334" s="180" t="str">
        <f ca="1"/>
        <v/>
      </c>
      <c r="P334" s="180" t="str">
        <f ca="1"/>
        <v/>
      </c>
      <c r="Q334" s="180" t="str">
        <f ca="1"/>
        <v/>
      </c>
      <c r="R334" s="180" t="str">
        <f ca="1"/>
        <v/>
      </c>
      <c r="S334" s="180" t="str">
        <f ca="1"/>
        <v/>
      </c>
      <c r="T334" s="180" t="str">
        <f ca="1"/>
        <v/>
      </c>
      <c r="U334" s="180" t="str">
        <f ca="1"/>
        <v/>
      </c>
      <c r="V334" s="180" t="str">
        <f ca="1"/>
        <v/>
      </c>
      <c r="W334" s="180" t="str">
        <f ca="1"/>
        <v/>
      </c>
      <c r="X334" s="180" t="str">
        <f ca="1"/>
        <v/>
      </c>
      <c r="Y334" s="180" t="str">
        <f ca="1"/>
        <v/>
      </c>
      <c r="Z334" s="180" t="str">
        <f ca="1"/>
        <v/>
      </c>
      <c r="AA334" s="180" t="str">
        <f ca="1"/>
        <v/>
      </c>
      <c r="AB334" s="180" t="str">
        <f ca="1"/>
        <v/>
      </c>
      <c r="AC334" s="180" t="str">
        <f ca="1"/>
        <v/>
      </c>
      <c r="AD334" s="180" t="str">
        <f ca="1"/>
        <v/>
      </c>
      <c r="AE334" s="180" t="str">
        <f ca="1"/>
        <v/>
      </c>
      <c r="AF334" s="180" t="str">
        <f ca="1"/>
        <v/>
      </c>
      <c r="AG334" s="180" t="str">
        <f ca="1"/>
        <v/>
      </c>
      <c r="AH334" s="180" t="str">
        <f ca="1"/>
        <v/>
      </c>
      <c r="AI334" s="180" t="str">
        <f ca="1"/>
        <v/>
      </c>
      <c r="AJ334" s="180" t="str">
        <f ca="1"/>
        <v/>
      </c>
      <c r="AK334" s="180" t="str">
        <f ca="1"/>
        <v/>
      </c>
      <c r="AL334" s="180" t="str">
        <f ca="1"/>
        <v/>
      </c>
      <c r="AM334" s="180" t="str">
        <f ca="1"/>
        <v/>
      </c>
      <c r="AN334" s="180" t="str">
        <f ca="1"/>
        <v/>
      </c>
      <c r="AO334" s="180" t="str">
        <f ca="1"/>
        <v/>
      </c>
      <c r="AP334" s="180" t="str">
        <f ca="1"/>
        <v/>
      </c>
      <c r="AQ334" s="187" t="str">
        <f ca="1"/>
        <v/>
      </c>
    </row>
    <row r="335" spans="2:43" x14ac:dyDescent="0.25">
      <c r="B335" s="179" t="str">
        <f ca="1"/>
        <v/>
      </c>
      <c r="C335" s="180" t="str">
        <f ca="1"/>
        <v/>
      </c>
      <c r="D335" s="180" t="str">
        <f ca="1"/>
        <v/>
      </c>
      <c r="E335" s="180" t="str">
        <f ca="1"/>
        <v/>
      </c>
      <c r="F335" s="180" t="str">
        <f ca="1"/>
        <v/>
      </c>
      <c r="G335" s="180" t="str">
        <f ca="1"/>
        <v/>
      </c>
      <c r="H335" s="180" t="str">
        <f ca="1"/>
        <v/>
      </c>
      <c r="I335" s="180" t="str">
        <f ca="1"/>
        <v/>
      </c>
      <c r="J335" s="180" t="str">
        <f ca="1"/>
        <v/>
      </c>
      <c r="K335" s="180" t="str">
        <f ca="1"/>
        <v/>
      </c>
      <c r="L335" s="180" t="str">
        <f ca="1"/>
        <v/>
      </c>
      <c r="M335" s="180" t="str">
        <f ca="1"/>
        <v/>
      </c>
      <c r="N335" s="180" t="str">
        <f ca="1"/>
        <v/>
      </c>
      <c r="O335" s="180" t="str">
        <f ca="1"/>
        <v/>
      </c>
      <c r="P335" s="180" t="str">
        <f ca="1"/>
        <v/>
      </c>
      <c r="Q335" s="180" t="str">
        <f ca="1"/>
        <v/>
      </c>
      <c r="R335" s="180" t="str">
        <f ca="1"/>
        <v/>
      </c>
      <c r="S335" s="180" t="str">
        <f ca="1"/>
        <v/>
      </c>
      <c r="T335" s="180" t="str">
        <f ca="1"/>
        <v/>
      </c>
      <c r="U335" s="180" t="str">
        <f ca="1"/>
        <v/>
      </c>
      <c r="V335" s="180" t="str">
        <f ca="1"/>
        <v/>
      </c>
      <c r="W335" s="180" t="str">
        <f ca="1"/>
        <v/>
      </c>
      <c r="X335" s="180" t="str">
        <f ca="1"/>
        <v/>
      </c>
      <c r="Y335" s="180" t="str">
        <f ca="1"/>
        <v/>
      </c>
      <c r="Z335" s="180" t="str">
        <f ca="1"/>
        <v/>
      </c>
      <c r="AA335" s="180" t="str">
        <f ca="1"/>
        <v/>
      </c>
      <c r="AB335" s="180" t="str">
        <f ca="1"/>
        <v/>
      </c>
      <c r="AC335" s="180" t="str">
        <f ca="1"/>
        <v/>
      </c>
      <c r="AD335" s="180" t="str">
        <f ca="1"/>
        <v/>
      </c>
      <c r="AE335" s="180" t="str">
        <f ca="1"/>
        <v/>
      </c>
      <c r="AF335" s="180" t="str">
        <f ca="1"/>
        <v/>
      </c>
      <c r="AG335" s="180" t="str">
        <f ca="1"/>
        <v/>
      </c>
      <c r="AH335" s="180" t="str">
        <f ca="1"/>
        <v/>
      </c>
      <c r="AI335" s="180" t="str">
        <f ca="1"/>
        <v/>
      </c>
      <c r="AJ335" s="180" t="str">
        <f ca="1"/>
        <v/>
      </c>
      <c r="AK335" s="180" t="str">
        <f ca="1"/>
        <v/>
      </c>
      <c r="AL335" s="180" t="str">
        <f ca="1"/>
        <v/>
      </c>
      <c r="AM335" s="180" t="str">
        <f ca="1"/>
        <v/>
      </c>
      <c r="AN335" s="180" t="str">
        <f ca="1"/>
        <v/>
      </c>
      <c r="AO335" s="180" t="str">
        <f ca="1"/>
        <v/>
      </c>
      <c r="AP335" s="180" t="str">
        <f ca="1"/>
        <v/>
      </c>
      <c r="AQ335" s="187" t="str">
        <f ca="1"/>
        <v/>
      </c>
    </row>
    <row r="336" spans="2:43" x14ac:dyDescent="0.25">
      <c r="B336" s="179" t="str">
        <f ca="1"/>
        <v/>
      </c>
      <c r="C336" s="180" t="str">
        <f ca="1"/>
        <v/>
      </c>
      <c r="D336" s="180" t="str">
        <f ca="1"/>
        <v/>
      </c>
      <c r="E336" s="180" t="str">
        <f ca="1"/>
        <v/>
      </c>
      <c r="F336" s="180" t="str">
        <f ca="1"/>
        <v/>
      </c>
      <c r="G336" s="180" t="str">
        <f ca="1"/>
        <v/>
      </c>
      <c r="H336" s="180" t="str">
        <f ca="1"/>
        <v/>
      </c>
      <c r="I336" s="180" t="str">
        <f ca="1"/>
        <v/>
      </c>
      <c r="J336" s="180" t="str">
        <f ca="1"/>
        <v/>
      </c>
      <c r="K336" s="180" t="str">
        <f ca="1"/>
        <v/>
      </c>
      <c r="L336" s="180" t="str">
        <f ca="1"/>
        <v/>
      </c>
      <c r="M336" s="180" t="str">
        <f ca="1"/>
        <v/>
      </c>
      <c r="N336" s="180" t="str">
        <f ca="1"/>
        <v/>
      </c>
      <c r="O336" s="180" t="str">
        <f ca="1"/>
        <v/>
      </c>
      <c r="P336" s="180" t="str">
        <f ca="1"/>
        <v/>
      </c>
      <c r="Q336" s="180" t="str">
        <f ca="1"/>
        <v/>
      </c>
      <c r="R336" s="180" t="str">
        <f ca="1"/>
        <v/>
      </c>
      <c r="S336" s="180" t="str">
        <f ca="1"/>
        <v/>
      </c>
      <c r="T336" s="180" t="str">
        <f ca="1"/>
        <v/>
      </c>
      <c r="U336" s="180" t="str">
        <f ca="1"/>
        <v/>
      </c>
      <c r="V336" s="180" t="str">
        <f ca="1"/>
        <v/>
      </c>
      <c r="W336" s="180" t="str">
        <f ca="1"/>
        <v/>
      </c>
      <c r="X336" s="180" t="str">
        <f ca="1"/>
        <v/>
      </c>
      <c r="Y336" s="180" t="str">
        <f ca="1"/>
        <v/>
      </c>
      <c r="Z336" s="180" t="str">
        <f ca="1"/>
        <v/>
      </c>
      <c r="AA336" s="180" t="str">
        <f ca="1"/>
        <v/>
      </c>
      <c r="AB336" s="180" t="str">
        <f ca="1"/>
        <v/>
      </c>
      <c r="AC336" s="180" t="str">
        <f ca="1"/>
        <v/>
      </c>
      <c r="AD336" s="180" t="str">
        <f ca="1"/>
        <v/>
      </c>
      <c r="AE336" s="180" t="str">
        <f ca="1"/>
        <v/>
      </c>
      <c r="AF336" s="180" t="str">
        <f ca="1"/>
        <v/>
      </c>
      <c r="AG336" s="180" t="str">
        <f ca="1"/>
        <v/>
      </c>
      <c r="AH336" s="180" t="str">
        <f ca="1"/>
        <v/>
      </c>
      <c r="AI336" s="180" t="str">
        <f ca="1"/>
        <v/>
      </c>
      <c r="AJ336" s="180" t="str">
        <f ca="1"/>
        <v/>
      </c>
      <c r="AK336" s="180" t="str">
        <f ca="1"/>
        <v/>
      </c>
      <c r="AL336" s="180" t="str">
        <f ca="1"/>
        <v/>
      </c>
      <c r="AM336" s="180" t="str">
        <f ca="1"/>
        <v/>
      </c>
      <c r="AN336" s="180" t="str">
        <f ca="1"/>
        <v/>
      </c>
      <c r="AO336" s="180" t="str">
        <f ca="1"/>
        <v/>
      </c>
      <c r="AP336" s="180" t="str">
        <f ca="1"/>
        <v/>
      </c>
      <c r="AQ336" s="187" t="str">
        <f ca="1"/>
        <v/>
      </c>
    </row>
    <row r="337" spans="2:43" x14ac:dyDescent="0.25">
      <c r="B337" s="179" t="str">
        <f ca="1"/>
        <v/>
      </c>
      <c r="C337" s="180" t="str">
        <f ca="1"/>
        <v/>
      </c>
      <c r="D337" s="180" t="str">
        <f ca="1"/>
        <v/>
      </c>
      <c r="E337" s="180" t="str">
        <f ca="1"/>
        <v/>
      </c>
      <c r="F337" s="180" t="str">
        <f ca="1"/>
        <v/>
      </c>
      <c r="G337" s="180" t="str">
        <f ca="1"/>
        <v/>
      </c>
      <c r="H337" s="180" t="str">
        <f ca="1"/>
        <v/>
      </c>
      <c r="I337" s="180" t="str">
        <f ca="1"/>
        <v/>
      </c>
      <c r="J337" s="180" t="str">
        <f ca="1"/>
        <v/>
      </c>
      <c r="K337" s="180" t="str">
        <f ca="1"/>
        <v/>
      </c>
      <c r="L337" s="180" t="str">
        <f ca="1"/>
        <v/>
      </c>
      <c r="M337" s="180" t="str">
        <f ca="1"/>
        <v/>
      </c>
      <c r="N337" s="180" t="str">
        <f ca="1"/>
        <v/>
      </c>
      <c r="O337" s="180" t="str">
        <f ca="1"/>
        <v/>
      </c>
      <c r="P337" s="180" t="str">
        <f ca="1"/>
        <v/>
      </c>
      <c r="Q337" s="180" t="str">
        <f ca="1"/>
        <v/>
      </c>
      <c r="R337" s="180" t="str">
        <f ca="1"/>
        <v/>
      </c>
      <c r="S337" s="180" t="str">
        <f ca="1"/>
        <v/>
      </c>
      <c r="T337" s="180" t="str">
        <f ca="1"/>
        <v/>
      </c>
      <c r="U337" s="180" t="str">
        <f ca="1"/>
        <v/>
      </c>
      <c r="V337" s="180" t="str">
        <f ca="1"/>
        <v/>
      </c>
      <c r="W337" s="180" t="str">
        <f ca="1"/>
        <v/>
      </c>
      <c r="X337" s="180" t="str">
        <f ca="1"/>
        <v/>
      </c>
      <c r="Y337" s="180" t="str">
        <f ca="1"/>
        <v/>
      </c>
      <c r="Z337" s="180" t="str">
        <f ca="1"/>
        <v/>
      </c>
      <c r="AA337" s="180" t="str">
        <f ca="1"/>
        <v/>
      </c>
      <c r="AB337" s="180" t="str">
        <f ca="1"/>
        <v/>
      </c>
      <c r="AC337" s="180" t="str">
        <f ca="1"/>
        <v/>
      </c>
      <c r="AD337" s="180" t="str">
        <f ca="1"/>
        <v/>
      </c>
      <c r="AE337" s="180" t="str">
        <f ca="1"/>
        <v/>
      </c>
      <c r="AF337" s="180" t="str">
        <f ca="1"/>
        <v/>
      </c>
      <c r="AG337" s="180" t="str">
        <f ca="1"/>
        <v/>
      </c>
      <c r="AH337" s="180" t="str">
        <f ca="1"/>
        <v/>
      </c>
      <c r="AI337" s="180" t="str">
        <f ca="1"/>
        <v/>
      </c>
      <c r="AJ337" s="180" t="str">
        <f ca="1"/>
        <v/>
      </c>
      <c r="AK337" s="180" t="str">
        <f ca="1"/>
        <v/>
      </c>
      <c r="AL337" s="180" t="str">
        <f ca="1"/>
        <v/>
      </c>
      <c r="AM337" s="180" t="str">
        <f ca="1"/>
        <v/>
      </c>
      <c r="AN337" s="180" t="str">
        <f ca="1"/>
        <v/>
      </c>
      <c r="AO337" s="180" t="str">
        <f ca="1"/>
        <v/>
      </c>
      <c r="AP337" s="180" t="str">
        <f ca="1"/>
        <v/>
      </c>
      <c r="AQ337" s="187" t="str">
        <f ca="1"/>
        <v/>
      </c>
    </row>
    <row r="338" spans="2:43" x14ac:dyDescent="0.25">
      <c r="B338" s="179" t="str">
        <f ca="1"/>
        <v/>
      </c>
      <c r="C338" s="180" t="str">
        <f ca="1"/>
        <v/>
      </c>
      <c r="D338" s="180" t="str">
        <f ca="1"/>
        <v/>
      </c>
      <c r="E338" s="180" t="str">
        <f ca="1"/>
        <v/>
      </c>
      <c r="F338" s="180" t="str">
        <f ca="1"/>
        <v/>
      </c>
      <c r="G338" s="180" t="str">
        <f ca="1"/>
        <v/>
      </c>
      <c r="H338" s="180" t="str">
        <f ca="1"/>
        <v/>
      </c>
      <c r="I338" s="180" t="str">
        <f ca="1"/>
        <v/>
      </c>
      <c r="J338" s="180" t="str">
        <f ca="1"/>
        <v/>
      </c>
      <c r="K338" s="180" t="str">
        <f ca="1"/>
        <v/>
      </c>
      <c r="L338" s="180" t="str">
        <f ca="1"/>
        <v/>
      </c>
      <c r="M338" s="180" t="str">
        <f ca="1"/>
        <v/>
      </c>
      <c r="N338" s="180" t="str">
        <f ca="1"/>
        <v/>
      </c>
      <c r="O338" s="180" t="str">
        <f ca="1"/>
        <v/>
      </c>
      <c r="P338" s="180" t="str">
        <f ca="1"/>
        <v/>
      </c>
      <c r="Q338" s="180" t="str">
        <f ca="1"/>
        <v/>
      </c>
      <c r="R338" s="180" t="str">
        <f ca="1"/>
        <v/>
      </c>
      <c r="S338" s="180" t="str">
        <f ca="1"/>
        <v/>
      </c>
      <c r="T338" s="180" t="str">
        <f ca="1"/>
        <v/>
      </c>
      <c r="U338" s="180" t="str">
        <f ca="1"/>
        <v/>
      </c>
      <c r="V338" s="180" t="str">
        <f ca="1"/>
        <v/>
      </c>
      <c r="W338" s="180" t="str">
        <f ca="1"/>
        <v/>
      </c>
      <c r="X338" s="180" t="str">
        <f ca="1"/>
        <v/>
      </c>
      <c r="Y338" s="180" t="str">
        <f ca="1"/>
        <v/>
      </c>
      <c r="Z338" s="180" t="str">
        <f ca="1"/>
        <v/>
      </c>
      <c r="AA338" s="180" t="str">
        <f ca="1"/>
        <v/>
      </c>
      <c r="AB338" s="180" t="str">
        <f ca="1"/>
        <v/>
      </c>
      <c r="AC338" s="180" t="str">
        <f ca="1"/>
        <v/>
      </c>
      <c r="AD338" s="180" t="str">
        <f ca="1"/>
        <v/>
      </c>
      <c r="AE338" s="180" t="str">
        <f ca="1"/>
        <v/>
      </c>
      <c r="AF338" s="180" t="str">
        <f ca="1"/>
        <v/>
      </c>
      <c r="AG338" s="180" t="str">
        <f ca="1"/>
        <v/>
      </c>
      <c r="AH338" s="180" t="str">
        <f ca="1"/>
        <v/>
      </c>
      <c r="AI338" s="180" t="str">
        <f ca="1"/>
        <v/>
      </c>
      <c r="AJ338" s="180" t="str">
        <f ca="1"/>
        <v/>
      </c>
      <c r="AK338" s="180" t="str">
        <f ca="1"/>
        <v/>
      </c>
      <c r="AL338" s="180" t="str">
        <f ca="1"/>
        <v/>
      </c>
      <c r="AM338" s="180" t="str">
        <f ca="1"/>
        <v/>
      </c>
      <c r="AN338" s="180" t="str">
        <f ca="1"/>
        <v/>
      </c>
      <c r="AO338" s="180" t="str">
        <f ca="1"/>
        <v/>
      </c>
      <c r="AP338" s="180" t="str">
        <f ca="1"/>
        <v/>
      </c>
      <c r="AQ338" s="187" t="str">
        <f ca="1"/>
        <v/>
      </c>
    </row>
    <row r="339" spans="2:43" x14ac:dyDescent="0.25">
      <c r="B339" s="179" t="str">
        <f ca="1"/>
        <v/>
      </c>
      <c r="C339" s="180" t="str">
        <f ca="1"/>
        <v/>
      </c>
      <c r="D339" s="180" t="str">
        <f ca="1"/>
        <v/>
      </c>
      <c r="E339" s="180" t="str">
        <f ca="1"/>
        <v/>
      </c>
      <c r="F339" s="180" t="str">
        <f ca="1"/>
        <v/>
      </c>
      <c r="G339" s="180" t="str">
        <f ca="1"/>
        <v/>
      </c>
      <c r="H339" s="180" t="str">
        <f ca="1"/>
        <v/>
      </c>
      <c r="I339" s="180" t="str">
        <f ca="1"/>
        <v/>
      </c>
      <c r="J339" s="180" t="str">
        <f ca="1"/>
        <v/>
      </c>
      <c r="K339" s="180" t="str">
        <f ca="1"/>
        <v/>
      </c>
      <c r="L339" s="180" t="str">
        <f ca="1"/>
        <v/>
      </c>
      <c r="M339" s="180" t="str">
        <f ca="1"/>
        <v/>
      </c>
      <c r="N339" s="180" t="str">
        <f ca="1"/>
        <v/>
      </c>
      <c r="O339" s="180" t="str">
        <f ca="1"/>
        <v/>
      </c>
      <c r="P339" s="180" t="str">
        <f ca="1"/>
        <v/>
      </c>
      <c r="Q339" s="180" t="str">
        <f ca="1"/>
        <v/>
      </c>
      <c r="R339" s="180" t="str">
        <f ca="1"/>
        <v/>
      </c>
      <c r="S339" s="180" t="str">
        <f ca="1"/>
        <v/>
      </c>
      <c r="T339" s="180" t="str">
        <f ca="1"/>
        <v/>
      </c>
      <c r="U339" s="180" t="str">
        <f ca="1"/>
        <v/>
      </c>
      <c r="V339" s="180" t="str">
        <f ca="1"/>
        <v/>
      </c>
      <c r="W339" s="180" t="str">
        <f ca="1"/>
        <v/>
      </c>
      <c r="X339" s="180" t="str">
        <f ca="1"/>
        <v/>
      </c>
      <c r="Y339" s="180" t="str">
        <f ca="1"/>
        <v/>
      </c>
      <c r="Z339" s="180" t="str">
        <f ca="1"/>
        <v/>
      </c>
      <c r="AA339" s="180" t="str">
        <f ca="1"/>
        <v/>
      </c>
      <c r="AB339" s="180" t="str">
        <f ca="1"/>
        <v/>
      </c>
      <c r="AC339" s="180" t="str">
        <f ca="1"/>
        <v/>
      </c>
      <c r="AD339" s="180" t="str">
        <f ca="1"/>
        <v/>
      </c>
      <c r="AE339" s="180" t="str">
        <f ca="1"/>
        <v/>
      </c>
      <c r="AF339" s="180" t="str">
        <f ca="1"/>
        <v/>
      </c>
      <c r="AG339" s="180" t="str">
        <f ca="1"/>
        <v/>
      </c>
      <c r="AH339" s="180" t="str">
        <f ca="1"/>
        <v/>
      </c>
      <c r="AI339" s="180" t="str">
        <f ca="1"/>
        <v/>
      </c>
      <c r="AJ339" s="180" t="str">
        <f ca="1"/>
        <v/>
      </c>
      <c r="AK339" s="180" t="str">
        <f ca="1"/>
        <v/>
      </c>
      <c r="AL339" s="180" t="str">
        <f ca="1"/>
        <v/>
      </c>
      <c r="AM339" s="180" t="str">
        <f ca="1"/>
        <v/>
      </c>
      <c r="AN339" s="180" t="str">
        <f ca="1"/>
        <v/>
      </c>
      <c r="AO339" s="180" t="str">
        <f ca="1"/>
        <v/>
      </c>
      <c r="AP339" s="180" t="str">
        <f ca="1"/>
        <v/>
      </c>
      <c r="AQ339" s="187" t="str">
        <f ca="1"/>
        <v/>
      </c>
    </row>
    <row r="340" spans="2:43" x14ac:dyDescent="0.25">
      <c r="B340" s="179" t="str">
        <f ca="1"/>
        <v/>
      </c>
      <c r="C340" s="180" t="str">
        <f ca="1"/>
        <v/>
      </c>
      <c r="D340" s="180" t="str">
        <f ca="1"/>
        <v/>
      </c>
      <c r="E340" s="180" t="str">
        <f ca="1"/>
        <v/>
      </c>
      <c r="F340" s="180" t="str">
        <f ca="1"/>
        <v/>
      </c>
      <c r="G340" s="180" t="str">
        <f ca="1"/>
        <v/>
      </c>
      <c r="H340" s="180" t="str">
        <f ca="1"/>
        <v/>
      </c>
      <c r="I340" s="180" t="str">
        <f ca="1"/>
        <v/>
      </c>
      <c r="J340" s="180" t="str">
        <f ca="1"/>
        <v/>
      </c>
      <c r="K340" s="180" t="str">
        <f ca="1"/>
        <v/>
      </c>
      <c r="L340" s="180" t="str">
        <f ca="1"/>
        <v/>
      </c>
      <c r="M340" s="180" t="str">
        <f ca="1"/>
        <v/>
      </c>
      <c r="N340" s="180" t="str">
        <f ca="1"/>
        <v/>
      </c>
      <c r="O340" s="180" t="str">
        <f ca="1"/>
        <v/>
      </c>
      <c r="P340" s="180" t="str">
        <f ca="1"/>
        <v/>
      </c>
      <c r="Q340" s="180" t="str">
        <f ca="1"/>
        <v/>
      </c>
      <c r="R340" s="180" t="str">
        <f ca="1"/>
        <v/>
      </c>
      <c r="S340" s="180" t="str">
        <f ca="1"/>
        <v/>
      </c>
      <c r="T340" s="180" t="str">
        <f ca="1"/>
        <v/>
      </c>
      <c r="U340" s="180" t="str">
        <f ca="1"/>
        <v/>
      </c>
      <c r="V340" s="180" t="str">
        <f ca="1"/>
        <v/>
      </c>
      <c r="W340" s="180" t="str">
        <f ca="1"/>
        <v/>
      </c>
      <c r="X340" s="180" t="str">
        <f ca="1"/>
        <v/>
      </c>
      <c r="Y340" s="180" t="str">
        <f ca="1"/>
        <v/>
      </c>
      <c r="Z340" s="180" t="str">
        <f ca="1"/>
        <v/>
      </c>
      <c r="AA340" s="180" t="str">
        <f ca="1"/>
        <v/>
      </c>
      <c r="AB340" s="180" t="str">
        <f ca="1"/>
        <v/>
      </c>
      <c r="AC340" s="180" t="str">
        <f ca="1"/>
        <v/>
      </c>
      <c r="AD340" s="180" t="str">
        <f ca="1"/>
        <v/>
      </c>
      <c r="AE340" s="180" t="str">
        <f ca="1"/>
        <v/>
      </c>
      <c r="AF340" s="180" t="str">
        <f ca="1"/>
        <v/>
      </c>
      <c r="AG340" s="180" t="str">
        <f ca="1"/>
        <v/>
      </c>
      <c r="AH340" s="180" t="str">
        <f ca="1"/>
        <v/>
      </c>
      <c r="AI340" s="180" t="str">
        <f ca="1"/>
        <v/>
      </c>
      <c r="AJ340" s="180" t="str">
        <f ca="1"/>
        <v/>
      </c>
      <c r="AK340" s="180" t="str">
        <f ca="1"/>
        <v/>
      </c>
      <c r="AL340" s="180" t="str">
        <f ca="1"/>
        <v/>
      </c>
      <c r="AM340" s="180" t="str">
        <f ca="1"/>
        <v/>
      </c>
      <c r="AN340" s="180" t="str">
        <f ca="1"/>
        <v/>
      </c>
      <c r="AO340" s="180" t="str">
        <f ca="1"/>
        <v/>
      </c>
      <c r="AP340" s="180" t="str">
        <f ca="1"/>
        <v/>
      </c>
      <c r="AQ340" s="187" t="str">
        <f ca="1"/>
        <v/>
      </c>
    </row>
    <row r="341" spans="2:43" x14ac:dyDescent="0.25">
      <c r="B341" s="179" t="str">
        <f ca="1"/>
        <v/>
      </c>
      <c r="C341" s="180" t="str">
        <f ca="1"/>
        <v/>
      </c>
      <c r="D341" s="180" t="str">
        <f ca="1"/>
        <v/>
      </c>
      <c r="E341" s="180" t="str">
        <f ca="1"/>
        <v/>
      </c>
      <c r="F341" s="180" t="str">
        <f ca="1"/>
        <v/>
      </c>
      <c r="G341" s="180" t="str">
        <f ca="1"/>
        <v/>
      </c>
      <c r="H341" s="180" t="str">
        <f ca="1"/>
        <v/>
      </c>
      <c r="I341" s="180" t="str">
        <f ca="1"/>
        <v/>
      </c>
      <c r="J341" s="180" t="str">
        <f ca="1"/>
        <v/>
      </c>
      <c r="K341" s="180" t="str">
        <f ca="1"/>
        <v/>
      </c>
      <c r="L341" s="180" t="str">
        <f ca="1"/>
        <v/>
      </c>
      <c r="M341" s="180" t="str">
        <f ca="1"/>
        <v/>
      </c>
      <c r="N341" s="180" t="str">
        <f ca="1"/>
        <v/>
      </c>
      <c r="O341" s="180" t="str">
        <f ca="1"/>
        <v/>
      </c>
      <c r="P341" s="180" t="str">
        <f ca="1"/>
        <v/>
      </c>
      <c r="Q341" s="180" t="str">
        <f ca="1"/>
        <v/>
      </c>
      <c r="R341" s="180" t="str">
        <f ca="1"/>
        <v/>
      </c>
      <c r="S341" s="180" t="str">
        <f ca="1"/>
        <v/>
      </c>
      <c r="T341" s="180" t="str">
        <f ca="1"/>
        <v/>
      </c>
      <c r="U341" s="180" t="str">
        <f ca="1"/>
        <v/>
      </c>
      <c r="V341" s="180" t="str">
        <f ca="1"/>
        <v/>
      </c>
      <c r="W341" s="180" t="str">
        <f ca="1"/>
        <v/>
      </c>
      <c r="X341" s="180" t="str">
        <f ca="1"/>
        <v/>
      </c>
      <c r="Y341" s="180" t="str">
        <f ca="1"/>
        <v/>
      </c>
      <c r="Z341" s="180" t="str">
        <f ca="1"/>
        <v/>
      </c>
      <c r="AA341" s="180" t="str">
        <f ca="1"/>
        <v/>
      </c>
      <c r="AB341" s="180" t="str">
        <f ca="1"/>
        <v/>
      </c>
      <c r="AC341" s="180" t="str">
        <f ca="1"/>
        <v/>
      </c>
      <c r="AD341" s="180" t="str">
        <f ca="1"/>
        <v/>
      </c>
      <c r="AE341" s="180" t="str">
        <f ca="1"/>
        <v/>
      </c>
      <c r="AF341" s="180" t="str">
        <f ca="1"/>
        <v/>
      </c>
      <c r="AG341" s="180" t="str">
        <f ca="1"/>
        <v/>
      </c>
      <c r="AH341" s="180" t="str">
        <f ca="1"/>
        <v/>
      </c>
      <c r="AI341" s="180" t="str">
        <f ca="1"/>
        <v/>
      </c>
      <c r="AJ341" s="180" t="str">
        <f ca="1"/>
        <v/>
      </c>
      <c r="AK341" s="180" t="str">
        <f ca="1"/>
        <v/>
      </c>
      <c r="AL341" s="180" t="str">
        <f ca="1"/>
        <v/>
      </c>
      <c r="AM341" s="180" t="str">
        <f ca="1"/>
        <v/>
      </c>
      <c r="AN341" s="180" t="str">
        <f ca="1"/>
        <v/>
      </c>
      <c r="AO341" s="180" t="str">
        <f ca="1"/>
        <v/>
      </c>
      <c r="AP341" s="180" t="str">
        <f ca="1"/>
        <v/>
      </c>
      <c r="AQ341" s="187" t="str">
        <f ca="1"/>
        <v/>
      </c>
    </row>
    <row r="342" spans="2:43" x14ac:dyDescent="0.25">
      <c r="B342" s="179" t="str">
        <f ca="1"/>
        <v/>
      </c>
      <c r="C342" s="180" t="str">
        <f ca="1"/>
        <v/>
      </c>
      <c r="D342" s="180" t="str">
        <f ca="1"/>
        <v/>
      </c>
      <c r="E342" s="180" t="str">
        <f ca="1"/>
        <v/>
      </c>
      <c r="F342" s="180" t="str">
        <f ca="1"/>
        <v/>
      </c>
      <c r="G342" s="180" t="str">
        <f ca="1"/>
        <v/>
      </c>
      <c r="H342" s="180" t="str">
        <f ca="1"/>
        <v/>
      </c>
      <c r="I342" s="180" t="str">
        <f ca="1"/>
        <v/>
      </c>
      <c r="J342" s="180" t="str">
        <f ca="1"/>
        <v/>
      </c>
      <c r="K342" s="180" t="str">
        <f ca="1"/>
        <v/>
      </c>
      <c r="L342" s="180" t="str">
        <f ca="1"/>
        <v/>
      </c>
      <c r="M342" s="180" t="str">
        <f ca="1"/>
        <v/>
      </c>
      <c r="N342" s="180" t="str">
        <f ca="1"/>
        <v/>
      </c>
      <c r="O342" s="180" t="str">
        <f ca="1"/>
        <v/>
      </c>
      <c r="P342" s="180" t="str">
        <f ca="1"/>
        <v/>
      </c>
      <c r="Q342" s="180" t="str">
        <f ca="1"/>
        <v/>
      </c>
      <c r="R342" s="180" t="str">
        <f ca="1"/>
        <v/>
      </c>
      <c r="S342" s="180" t="str">
        <f ca="1"/>
        <v/>
      </c>
      <c r="T342" s="180" t="str">
        <f ca="1"/>
        <v/>
      </c>
      <c r="U342" s="180" t="str">
        <f ca="1"/>
        <v/>
      </c>
      <c r="V342" s="180" t="str">
        <f ca="1"/>
        <v/>
      </c>
      <c r="W342" s="180" t="str">
        <f ca="1"/>
        <v/>
      </c>
      <c r="X342" s="180" t="str">
        <f ca="1"/>
        <v/>
      </c>
      <c r="Y342" s="180" t="str">
        <f ca="1"/>
        <v/>
      </c>
      <c r="Z342" s="180" t="str">
        <f ca="1"/>
        <v/>
      </c>
      <c r="AA342" s="180" t="str">
        <f ca="1"/>
        <v/>
      </c>
      <c r="AB342" s="180" t="str">
        <f ca="1"/>
        <v/>
      </c>
      <c r="AC342" s="180" t="str">
        <f ca="1"/>
        <v/>
      </c>
      <c r="AD342" s="180" t="str">
        <f ca="1"/>
        <v/>
      </c>
      <c r="AE342" s="180" t="str">
        <f ca="1"/>
        <v/>
      </c>
      <c r="AF342" s="180" t="str">
        <f ca="1"/>
        <v/>
      </c>
      <c r="AG342" s="180" t="str">
        <f ca="1"/>
        <v/>
      </c>
      <c r="AH342" s="180" t="str">
        <f ca="1"/>
        <v/>
      </c>
      <c r="AI342" s="180" t="str">
        <f ca="1"/>
        <v/>
      </c>
      <c r="AJ342" s="180" t="str">
        <f ca="1"/>
        <v/>
      </c>
      <c r="AK342" s="180" t="str">
        <f ca="1"/>
        <v/>
      </c>
      <c r="AL342" s="180" t="str">
        <f ca="1"/>
        <v/>
      </c>
      <c r="AM342" s="180" t="str">
        <f ca="1"/>
        <v/>
      </c>
      <c r="AN342" s="180" t="str">
        <f ca="1"/>
        <v/>
      </c>
      <c r="AO342" s="180" t="str">
        <f ca="1"/>
        <v/>
      </c>
      <c r="AP342" s="180" t="str">
        <f ca="1"/>
        <v/>
      </c>
      <c r="AQ342" s="187" t="str">
        <f ca="1"/>
        <v/>
      </c>
    </row>
    <row r="343" spans="2:43" x14ac:dyDescent="0.25">
      <c r="B343" s="179" t="str">
        <f ca="1"/>
        <v/>
      </c>
      <c r="C343" s="180" t="str">
        <f ca="1"/>
        <v/>
      </c>
      <c r="D343" s="180" t="str">
        <f ca="1"/>
        <v/>
      </c>
      <c r="E343" s="180" t="str">
        <f ca="1"/>
        <v/>
      </c>
      <c r="F343" s="180" t="str">
        <f ca="1"/>
        <v/>
      </c>
      <c r="G343" s="180" t="str">
        <f ca="1"/>
        <v/>
      </c>
      <c r="H343" s="180" t="str">
        <f ca="1"/>
        <v/>
      </c>
      <c r="I343" s="180" t="str">
        <f ca="1"/>
        <v/>
      </c>
      <c r="J343" s="180" t="str">
        <f ca="1"/>
        <v/>
      </c>
      <c r="K343" s="180" t="str">
        <f ca="1"/>
        <v/>
      </c>
      <c r="L343" s="180" t="str">
        <f ca="1"/>
        <v/>
      </c>
      <c r="M343" s="180" t="str">
        <f ca="1"/>
        <v/>
      </c>
      <c r="N343" s="180" t="str">
        <f ca="1"/>
        <v/>
      </c>
      <c r="O343" s="180" t="str">
        <f ca="1"/>
        <v/>
      </c>
      <c r="P343" s="180" t="str">
        <f ca="1"/>
        <v/>
      </c>
      <c r="Q343" s="180" t="str">
        <f ca="1"/>
        <v/>
      </c>
      <c r="R343" s="180" t="str">
        <f ca="1"/>
        <v/>
      </c>
      <c r="S343" s="180" t="str">
        <f ca="1"/>
        <v/>
      </c>
      <c r="T343" s="180" t="str">
        <f ca="1"/>
        <v/>
      </c>
      <c r="U343" s="180" t="str">
        <f ca="1"/>
        <v/>
      </c>
      <c r="V343" s="180" t="str">
        <f ca="1"/>
        <v/>
      </c>
      <c r="W343" s="180" t="str">
        <f ca="1"/>
        <v/>
      </c>
      <c r="X343" s="180" t="str">
        <f ca="1"/>
        <v/>
      </c>
      <c r="Y343" s="180" t="str">
        <f ca="1"/>
        <v/>
      </c>
      <c r="Z343" s="180" t="str">
        <f ca="1"/>
        <v/>
      </c>
      <c r="AA343" s="180" t="str">
        <f ca="1"/>
        <v/>
      </c>
      <c r="AB343" s="180" t="str">
        <f ca="1"/>
        <v/>
      </c>
      <c r="AC343" s="180" t="str">
        <f ca="1"/>
        <v/>
      </c>
      <c r="AD343" s="180" t="str">
        <f ca="1"/>
        <v/>
      </c>
      <c r="AE343" s="180" t="str">
        <f ca="1"/>
        <v/>
      </c>
      <c r="AF343" s="180" t="str">
        <f ca="1"/>
        <v/>
      </c>
      <c r="AG343" s="180" t="str">
        <f ca="1"/>
        <v/>
      </c>
      <c r="AH343" s="180" t="str">
        <f ca="1"/>
        <v/>
      </c>
      <c r="AI343" s="180" t="str">
        <f ca="1"/>
        <v/>
      </c>
      <c r="AJ343" s="180" t="str">
        <f ca="1"/>
        <v/>
      </c>
      <c r="AK343" s="180" t="str">
        <f ca="1"/>
        <v/>
      </c>
      <c r="AL343" s="180" t="str">
        <f ca="1"/>
        <v/>
      </c>
      <c r="AM343" s="180" t="str">
        <f ca="1"/>
        <v/>
      </c>
      <c r="AN343" s="180" t="str">
        <f ca="1"/>
        <v/>
      </c>
      <c r="AO343" s="180" t="str">
        <f ca="1"/>
        <v/>
      </c>
      <c r="AP343" s="180" t="str">
        <f ca="1"/>
        <v/>
      </c>
      <c r="AQ343" s="187" t="str">
        <f ca="1"/>
        <v/>
      </c>
    </row>
    <row r="344" spans="2:43" x14ac:dyDescent="0.25">
      <c r="B344" s="179" t="str">
        <f ca="1"/>
        <v/>
      </c>
      <c r="C344" s="180" t="str">
        <f ca="1"/>
        <v/>
      </c>
      <c r="D344" s="180" t="str">
        <f ca="1"/>
        <v/>
      </c>
      <c r="E344" s="180" t="str">
        <f ca="1"/>
        <v/>
      </c>
      <c r="F344" s="180" t="str">
        <f ca="1"/>
        <v/>
      </c>
      <c r="G344" s="180" t="str">
        <f ca="1"/>
        <v/>
      </c>
      <c r="H344" s="180" t="str">
        <f ca="1"/>
        <v/>
      </c>
      <c r="I344" s="180" t="str">
        <f ca="1"/>
        <v/>
      </c>
      <c r="J344" s="180" t="str">
        <f ca="1"/>
        <v/>
      </c>
      <c r="K344" s="180" t="str">
        <f ca="1"/>
        <v/>
      </c>
      <c r="L344" s="180" t="str">
        <f ca="1"/>
        <v/>
      </c>
      <c r="M344" s="180" t="str">
        <f ca="1"/>
        <v/>
      </c>
      <c r="N344" s="180" t="str">
        <f ca="1"/>
        <v/>
      </c>
      <c r="O344" s="180" t="str">
        <f ca="1"/>
        <v/>
      </c>
      <c r="P344" s="180" t="str">
        <f ca="1"/>
        <v/>
      </c>
      <c r="Q344" s="180" t="str">
        <f ca="1"/>
        <v/>
      </c>
      <c r="R344" s="180" t="str">
        <f ca="1"/>
        <v/>
      </c>
      <c r="S344" s="180" t="str">
        <f ca="1"/>
        <v/>
      </c>
      <c r="T344" s="180" t="str">
        <f ca="1"/>
        <v/>
      </c>
      <c r="U344" s="180" t="str">
        <f ca="1"/>
        <v/>
      </c>
      <c r="V344" s="180" t="str">
        <f ca="1"/>
        <v/>
      </c>
      <c r="W344" s="180" t="str">
        <f ca="1"/>
        <v/>
      </c>
      <c r="X344" s="180" t="str">
        <f ca="1"/>
        <v/>
      </c>
      <c r="Y344" s="180" t="str">
        <f ca="1"/>
        <v/>
      </c>
      <c r="Z344" s="180" t="str">
        <f ca="1"/>
        <v/>
      </c>
      <c r="AA344" s="180" t="str">
        <f ca="1"/>
        <v/>
      </c>
      <c r="AB344" s="180" t="str">
        <f ca="1"/>
        <v/>
      </c>
      <c r="AC344" s="180" t="str">
        <f ca="1"/>
        <v/>
      </c>
      <c r="AD344" s="180" t="str">
        <f ca="1"/>
        <v/>
      </c>
      <c r="AE344" s="180" t="str">
        <f ca="1"/>
        <v/>
      </c>
      <c r="AF344" s="180" t="str">
        <f ca="1"/>
        <v/>
      </c>
      <c r="AG344" s="180" t="str">
        <f ca="1"/>
        <v/>
      </c>
      <c r="AH344" s="180" t="str">
        <f ca="1"/>
        <v/>
      </c>
      <c r="AI344" s="180" t="str">
        <f ca="1"/>
        <v/>
      </c>
      <c r="AJ344" s="180" t="str">
        <f ca="1"/>
        <v/>
      </c>
      <c r="AK344" s="180" t="str">
        <f ca="1"/>
        <v/>
      </c>
      <c r="AL344" s="180" t="str">
        <f ca="1"/>
        <v/>
      </c>
      <c r="AM344" s="180" t="str">
        <f ca="1"/>
        <v/>
      </c>
      <c r="AN344" s="180" t="str">
        <f ca="1"/>
        <v/>
      </c>
      <c r="AO344" s="180" t="str">
        <f ca="1"/>
        <v/>
      </c>
      <c r="AP344" s="180" t="str">
        <f ca="1"/>
        <v/>
      </c>
      <c r="AQ344" s="187" t="str">
        <f ca="1"/>
        <v/>
      </c>
    </row>
    <row r="345" spans="2:43" x14ac:dyDescent="0.25">
      <c r="B345" s="179" t="str">
        <f ca="1"/>
        <v/>
      </c>
      <c r="C345" s="180" t="str">
        <f ca="1"/>
        <v/>
      </c>
      <c r="D345" s="180" t="str">
        <f ca="1"/>
        <v/>
      </c>
      <c r="E345" s="180" t="str">
        <f ca="1"/>
        <v/>
      </c>
      <c r="F345" s="180" t="str">
        <f ca="1"/>
        <v/>
      </c>
      <c r="G345" s="180" t="str">
        <f ca="1"/>
        <v/>
      </c>
      <c r="H345" s="180" t="str">
        <f ca="1"/>
        <v/>
      </c>
      <c r="I345" s="180" t="str">
        <f ca="1"/>
        <v/>
      </c>
      <c r="J345" s="180" t="str">
        <f ca="1"/>
        <v/>
      </c>
      <c r="K345" s="180" t="str">
        <f ca="1"/>
        <v/>
      </c>
      <c r="L345" s="180" t="str">
        <f ca="1"/>
        <v/>
      </c>
      <c r="M345" s="180" t="str">
        <f ca="1"/>
        <v/>
      </c>
      <c r="N345" s="180" t="str">
        <f ca="1"/>
        <v/>
      </c>
      <c r="O345" s="180" t="str">
        <f ca="1"/>
        <v/>
      </c>
      <c r="P345" s="180" t="str">
        <f ca="1"/>
        <v/>
      </c>
      <c r="Q345" s="180" t="str">
        <f ca="1"/>
        <v/>
      </c>
      <c r="R345" s="180" t="str">
        <f ca="1"/>
        <v/>
      </c>
      <c r="S345" s="180" t="str">
        <f ca="1"/>
        <v/>
      </c>
      <c r="T345" s="180" t="str">
        <f ca="1"/>
        <v/>
      </c>
      <c r="U345" s="180" t="str">
        <f ca="1"/>
        <v/>
      </c>
      <c r="V345" s="180" t="str">
        <f ca="1"/>
        <v/>
      </c>
      <c r="W345" s="180" t="str">
        <f ca="1"/>
        <v/>
      </c>
      <c r="X345" s="180" t="str">
        <f ca="1"/>
        <v/>
      </c>
      <c r="Y345" s="180" t="str">
        <f ca="1"/>
        <v/>
      </c>
      <c r="Z345" s="180" t="str">
        <f ca="1"/>
        <v/>
      </c>
      <c r="AA345" s="180" t="str">
        <f ca="1"/>
        <v/>
      </c>
      <c r="AB345" s="180" t="str">
        <f ca="1"/>
        <v/>
      </c>
      <c r="AC345" s="180" t="str">
        <f ca="1"/>
        <v/>
      </c>
      <c r="AD345" s="180" t="str">
        <f ca="1"/>
        <v/>
      </c>
      <c r="AE345" s="180" t="str">
        <f ca="1"/>
        <v/>
      </c>
      <c r="AF345" s="180" t="str">
        <f ca="1"/>
        <v/>
      </c>
      <c r="AG345" s="180" t="str">
        <f ca="1"/>
        <v/>
      </c>
      <c r="AH345" s="180" t="str">
        <f ca="1"/>
        <v/>
      </c>
      <c r="AI345" s="180" t="str">
        <f ca="1"/>
        <v/>
      </c>
      <c r="AJ345" s="180" t="str">
        <f ca="1"/>
        <v/>
      </c>
      <c r="AK345" s="180" t="str">
        <f ca="1"/>
        <v/>
      </c>
      <c r="AL345" s="180" t="str">
        <f ca="1"/>
        <v/>
      </c>
      <c r="AM345" s="180" t="str">
        <f ca="1"/>
        <v/>
      </c>
      <c r="AN345" s="180" t="str">
        <f ca="1"/>
        <v/>
      </c>
      <c r="AO345" s="180" t="str">
        <f ca="1"/>
        <v/>
      </c>
      <c r="AP345" s="180" t="str">
        <f ca="1"/>
        <v/>
      </c>
      <c r="AQ345" s="187" t="str">
        <f ca="1"/>
        <v/>
      </c>
    </row>
    <row r="346" spans="2:43" x14ac:dyDescent="0.25">
      <c r="B346" s="179" t="str">
        <f ca="1"/>
        <v/>
      </c>
      <c r="C346" s="180" t="str">
        <f ca="1"/>
        <v/>
      </c>
      <c r="D346" s="180" t="str">
        <f ca="1"/>
        <v/>
      </c>
      <c r="E346" s="180" t="str">
        <f ca="1"/>
        <v/>
      </c>
      <c r="F346" s="180" t="str">
        <f ca="1"/>
        <v/>
      </c>
      <c r="G346" s="180" t="str">
        <f ca="1"/>
        <v/>
      </c>
      <c r="H346" s="180" t="str">
        <f ca="1"/>
        <v/>
      </c>
      <c r="I346" s="180" t="str">
        <f ca="1"/>
        <v/>
      </c>
      <c r="J346" s="180" t="str">
        <f ca="1"/>
        <v/>
      </c>
      <c r="K346" s="180" t="str">
        <f ca="1"/>
        <v/>
      </c>
      <c r="L346" s="180" t="str">
        <f ca="1"/>
        <v/>
      </c>
      <c r="M346" s="180" t="str">
        <f ca="1"/>
        <v/>
      </c>
      <c r="N346" s="180" t="str">
        <f ca="1"/>
        <v/>
      </c>
      <c r="O346" s="180" t="str">
        <f ca="1"/>
        <v/>
      </c>
      <c r="P346" s="180" t="str">
        <f ca="1"/>
        <v/>
      </c>
      <c r="Q346" s="180" t="str">
        <f ca="1"/>
        <v/>
      </c>
      <c r="R346" s="180" t="str">
        <f ca="1"/>
        <v/>
      </c>
      <c r="S346" s="180" t="str">
        <f ca="1"/>
        <v/>
      </c>
      <c r="T346" s="180" t="str">
        <f ca="1"/>
        <v/>
      </c>
      <c r="U346" s="180" t="str">
        <f ca="1"/>
        <v/>
      </c>
      <c r="V346" s="180" t="str">
        <f ca="1"/>
        <v/>
      </c>
      <c r="W346" s="180" t="str">
        <f ca="1"/>
        <v/>
      </c>
      <c r="X346" s="180" t="str">
        <f ca="1"/>
        <v/>
      </c>
      <c r="Y346" s="180" t="str">
        <f ca="1"/>
        <v/>
      </c>
      <c r="Z346" s="180" t="str">
        <f ca="1"/>
        <v/>
      </c>
      <c r="AA346" s="180" t="str">
        <f ca="1"/>
        <v/>
      </c>
      <c r="AB346" s="180" t="str">
        <f ca="1"/>
        <v/>
      </c>
      <c r="AC346" s="180" t="str">
        <f ca="1"/>
        <v/>
      </c>
      <c r="AD346" s="180" t="str">
        <f ca="1"/>
        <v/>
      </c>
      <c r="AE346" s="180" t="str">
        <f ca="1"/>
        <v/>
      </c>
      <c r="AF346" s="180" t="str">
        <f ca="1"/>
        <v/>
      </c>
      <c r="AG346" s="180" t="str">
        <f ca="1"/>
        <v/>
      </c>
      <c r="AH346" s="180" t="str">
        <f ca="1"/>
        <v/>
      </c>
      <c r="AI346" s="180" t="str">
        <f ca="1"/>
        <v/>
      </c>
      <c r="AJ346" s="180" t="str">
        <f ca="1"/>
        <v/>
      </c>
      <c r="AK346" s="180" t="str">
        <f ca="1"/>
        <v/>
      </c>
      <c r="AL346" s="180" t="str">
        <f ca="1"/>
        <v/>
      </c>
      <c r="AM346" s="180" t="str">
        <f ca="1"/>
        <v/>
      </c>
      <c r="AN346" s="180" t="str">
        <f ca="1"/>
        <v/>
      </c>
      <c r="AO346" s="180" t="str">
        <f ca="1"/>
        <v/>
      </c>
      <c r="AP346" s="180" t="str">
        <f ca="1"/>
        <v/>
      </c>
      <c r="AQ346" s="187" t="str">
        <f ca="1"/>
        <v/>
      </c>
    </row>
    <row r="347" spans="2:43" x14ac:dyDescent="0.25">
      <c r="B347" s="179" t="str">
        <f ca="1"/>
        <v/>
      </c>
      <c r="C347" s="180" t="str">
        <f ca="1"/>
        <v/>
      </c>
      <c r="D347" s="180" t="str">
        <f ca="1"/>
        <v/>
      </c>
      <c r="E347" s="180" t="str">
        <f ca="1"/>
        <v/>
      </c>
      <c r="F347" s="180" t="str">
        <f ca="1"/>
        <v/>
      </c>
      <c r="G347" s="180" t="str">
        <f ca="1"/>
        <v/>
      </c>
      <c r="H347" s="180" t="str">
        <f ca="1"/>
        <v/>
      </c>
      <c r="I347" s="180" t="str">
        <f ca="1"/>
        <v/>
      </c>
      <c r="J347" s="180" t="str">
        <f ca="1"/>
        <v/>
      </c>
      <c r="K347" s="180" t="str">
        <f ca="1"/>
        <v/>
      </c>
      <c r="L347" s="180" t="str">
        <f ca="1"/>
        <v/>
      </c>
      <c r="M347" s="180" t="str">
        <f ca="1"/>
        <v/>
      </c>
      <c r="N347" s="180" t="str">
        <f ca="1"/>
        <v/>
      </c>
      <c r="O347" s="180" t="str">
        <f ca="1"/>
        <v/>
      </c>
      <c r="P347" s="180" t="str">
        <f ca="1"/>
        <v/>
      </c>
      <c r="Q347" s="180" t="str">
        <f ca="1"/>
        <v/>
      </c>
      <c r="R347" s="180" t="str">
        <f ca="1"/>
        <v/>
      </c>
      <c r="S347" s="180" t="str">
        <f ca="1"/>
        <v/>
      </c>
      <c r="T347" s="180" t="str">
        <f ca="1"/>
        <v/>
      </c>
      <c r="U347" s="180" t="str">
        <f ca="1"/>
        <v/>
      </c>
      <c r="V347" s="180" t="str">
        <f ca="1"/>
        <v/>
      </c>
      <c r="W347" s="180" t="str">
        <f ca="1"/>
        <v/>
      </c>
      <c r="X347" s="180" t="str">
        <f ca="1"/>
        <v/>
      </c>
      <c r="Y347" s="180" t="str">
        <f ca="1"/>
        <v/>
      </c>
      <c r="Z347" s="180" t="str">
        <f ca="1"/>
        <v/>
      </c>
      <c r="AA347" s="180" t="str">
        <f ca="1"/>
        <v/>
      </c>
      <c r="AB347" s="180" t="str">
        <f ca="1"/>
        <v/>
      </c>
      <c r="AC347" s="180" t="str">
        <f ca="1"/>
        <v/>
      </c>
      <c r="AD347" s="180" t="str">
        <f ca="1"/>
        <v/>
      </c>
      <c r="AE347" s="180" t="str">
        <f ca="1"/>
        <v/>
      </c>
      <c r="AF347" s="180" t="str">
        <f ca="1"/>
        <v/>
      </c>
      <c r="AG347" s="180" t="str">
        <f ca="1"/>
        <v/>
      </c>
      <c r="AH347" s="180" t="str">
        <f ca="1"/>
        <v/>
      </c>
      <c r="AI347" s="180" t="str">
        <f ca="1"/>
        <v/>
      </c>
      <c r="AJ347" s="180" t="str">
        <f ca="1"/>
        <v/>
      </c>
      <c r="AK347" s="180" t="str">
        <f ca="1"/>
        <v/>
      </c>
      <c r="AL347" s="180" t="str">
        <f ca="1"/>
        <v/>
      </c>
      <c r="AM347" s="180" t="str">
        <f ca="1"/>
        <v/>
      </c>
      <c r="AN347" s="180" t="str">
        <f ca="1"/>
        <v/>
      </c>
      <c r="AO347" s="180" t="str">
        <f ca="1"/>
        <v/>
      </c>
      <c r="AP347" s="180" t="str">
        <f ca="1"/>
        <v/>
      </c>
      <c r="AQ347" s="187" t="str">
        <f ca="1"/>
        <v/>
      </c>
    </row>
    <row r="348" spans="2:43" x14ac:dyDescent="0.25">
      <c r="B348" s="179" t="str">
        <f ca="1"/>
        <v/>
      </c>
      <c r="C348" s="180" t="str">
        <f ca="1"/>
        <v/>
      </c>
      <c r="D348" s="180" t="str">
        <f ca="1"/>
        <v/>
      </c>
      <c r="E348" s="180" t="str">
        <f ca="1"/>
        <v/>
      </c>
      <c r="F348" s="180" t="str">
        <f ca="1"/>
        <v/>
      </c>
      <c r="G348" s="180" t="str">
        <f ca="1"/>
        <v/>
      </c>
      <c r="H348" s="180" t="str">
        <f ca="1"/>
        <v/>
      </c>
      <c r="I348" s="180" t="str">
        <f ca="1"/>
        <v/>
      </c>
      <c r="J348" s="180" t="str">
        <f ca="1"/>
        <v/>
      </c>
      <c r="K348" s="180" t="str">
        <f ca="1"/>
        <v/>
      </c>
      <c r="L348" s="180" t="str">
        <f ca="1"/>
        <v/>
      </c>
      <c r="M348" s="180" t="str">
        <f ca="1"/>
        <v/>
      </c>
      <c r="N348" s="180" t="str">
        <f ca="1"/>
        <v/>
      </c>
      <c r="O348" s="180" t="str">
        <f ca="1"/>
        <v/>
      </c>
      <c r="P348" s="180" t="str">
        <f ca="1"/>
        <v/>
      </c>
      <c r="Q348" s="180" t="str">
        <f ca="1"/>
        <v/>
      </c>
      <c r="R348" s="180" t="str">
        <f ca="1"/>
        <v/>
      </c>
      <c r="S348" s="180" t="str">
        <f ca="1"/>
        <v/>
      </c>
      <c r="T348" s="180" t="str">
        <f ca="1"/>
        <v/>
      </c>
      <c r="U348" s="180" t="str">
        <f ca="1"/>
        <v/>
      </c>
      <c r="V348" s="180" t="str">
        <f ca="1"/>
        <v/>
      </c>
      <c r="W348" s="180" t="str">
        <f ca="1"/>
        <v/>
      </c>
      <c r="X348" s="180" t="str">
        <f ca="1"/>
        <v/>
      </c>
      <c r="Y348" s="180" t="str">
        <f ca="1"/>
        <v/>
      </c>
      <c r="Z348" s="180" t="str">
        <f ca="1"/>
        <v/>
      </c>
      <c r="AA348" s="180" t="str">
        <f ca="1"/>
        <v/>
      </c>
      <c r="AB348" s="180" t="str">
        <f ca="1"/>
        <v/>
      </c>
      <c r="AC348" s="180" t="str">
        <f ca="1"/>
        <v/>
      </c>
      <c r="AD348" s="180" t="str">
        <f ca="1"/>
        <v/>
      </c>
      <c r="AE348" s="180" t="str">
        <f ca="1"/>
        <v/>
      </c>
      <c r="AF348" s="180" t="str">
        <f ca="1"/>
        <v/>
      </c>
      <c r="AG348" s="180" t="str">
        <f ca="1"/>
        <v/>
      </c>
      <c r="AH348" s="180" t="str">
        <f ca="1"/>
        <v/>
      </c>
      <c r="AI348" s="180" t="str">
        <f ca="1"/>
        <v/>
      </c>
      <c r="AJ348" s="180" t="str">
        <f ca="1"/>
        <v/>
      </c>
      <c r="AK348" s="180" t="str">
        <f ca="1"/>
        <v/>
      </c>
      <c r="AL348" s="180" t="str">
        <f ca="1"/>
        <v/>
      </c>
      <c r="AM348" s="180" t="str">
        <f ca="1"/>
        <v/>
      </c>
      <c r="AN348" s="180" t="str">
        <f ca="1"/>
        <v/>
      </c>
      <c r="AO348" s="180" t="str">
        <f ca="1"/>
        <v/>
      </c>
      <c r="AP348" s="180" t="str">
        <f ca="1"/>
        <v/>
      </c>
      <c r="AQ348" s="187" t="str">
        <f ca="1"/>
        <v/>
      </c>
    </row>
    <row r="349" spans="2:43" x14ac:dyDescent="0.25">
      <c r="B349" s="179" t="str">
        <f ca="1"/>
        <v/>
      </c>
      <c r="C349" s="180" t="str">
        <f ca="1"/>
        <v/>
      </c>
      <c r="D349" s="180" t="str">
        <f ca="1"/>
        <v/>
      </c>
      <c r="E349" s="180" t="str">
        <f ca="1"/>
        <v/>
      </c>
      <c r="F349" s="180" t="str">
        <f ca="1"/>
        <v/>
      </c>
      <c r="G349" s="180" t="str">
        <f ca="1"/>
        <v/>
      </c>
      <c r="H349" s="180" t="str">
        <f ca="1"/>
        <v/>
      </c>
      <c r="I349" s="180" t="str">
        <f ca="1"/>
        <v/>
      </c>
      <c r="J349" s="180" t="str">
        <f ca="1"/>
        <v/>
      </c>
      <c r="K349" s="180" t="str">
        <f ca="1"/>
        <v/>
      </c>
      <c r="L349" s="180" t="str">
        <f ca="1"/>
        <v/>
      </c>
      <c r="M349" s="180" t="str">
        <f ca="1"/>
        <v/>
      </c>
      <c r="N349" s="180" t="str">
        <f ca="1"/>
        <v/>
      </c>
      <c r="O349" s="180" t="str">
        <f ca="1"/>
        <v/>
      </c>
      <c r="P349" s="180" t="str">
        <f ca="1"/>
        <v/>
      </c>
      <c r="Q349" s="180" t="str">
        <f ca="1"/>
        <v/>
      </c>
      <c r="R349" s="180" t="str">
        <f ca="1"/>
        <v/>
      </c>
      <c r="S349" s="180" t="str">
        <f ca="1"/>
        <v/>
      </c>
      <c r="T349" s="180" t="str">
        <f ca="1"/>
        <v/>
      </c>
      <c r="U349" s="180" t="str">
        <f ca="1"/>
        <v/>
      </c>
      <c r="V349" s="180" t="str">
        <f ca="1"/>
        <v/>
      </c>
      <c r="W349" s="180" t="str">
        <f ca="1"/>
        <v/>
      </c>
      <c r="X349" s="180" t="str">
        <f ca="1"/>
        <v/>
      </c>
      <c r="Y349" s="180" t="str">
        <f ca="1"/>
        <v/>
      </c>
      <c r="Z349" s="180" t="str">
        <f ca="1"/>
        <v/>
      </c>
      <c r="AA349" s="180" t="str">
        <f ca="1"/>
        <v/>
      </c>
      <c r="AB349" s="180" t="str">
        <f ca="1"/>
        <v/>
      </c>
      <c r="AC349" s="180" t="str">
        <f ca="1"/>
        <v/>
      </c>
      <c r="AD349" s="180" t="str">
        <f ca="1"/>
        <v/>
      </c>
      <c r="AE349" s="180" t="str">
        <f ca="1"/>
        <v/>
      </c>
      <c r="AF349" s="180" t="str">
        <f ca="1"/>
        <v/>
      </c>
      <c r="AG349" s="180" t="str">
        <f ca="1"/>
        <v/>
      </c>
      <c r="AH349" s="180" t="str">
        <f ca="1"/>
        <v/>
      </c>
      <c r="AI349" s="180" t="str">
        <f ca="1"/>
        <v/>
      </c>
      <c r="AJ349" s="180" t="str">
        <f ca="1"/>
        <v/>
      </c>
      <c r="AK349" s="180" t="str">
        <f ca="1"/>
        <v/>
      </c>
      <c r="AL349" s="180" t="str">
        <f ca="1"/>
        <v/>
      </c>
      <c r="AM349" s="180" t="str">
        <f ca="1"/>
        <v/>
      </c>
      <c r="AN349" s="180" t="str">
        <f ca="1"/>
        <v/>
      </c>
      <c r="AO349" s="180" t="str">
        <f ca="1"/>
        <v/>
      </c>
      <c r="AP349" s="180" t="str">
        <f ca="1"/>
        <v/>
      </c>
      <c r="AQ349" s="187" t="str">
        <f ca="1"/>
        <v/>
      </c>
    </row>
    <row r="350" spans="2:43" x14ac:dyDescent="0.25">
      <c r="B350" s="179" t="str">
        <f ca="1"/>
        <v/>
      </c>
      <c r="C350" s="180" t="str">
        <f ca="1"/>
        <v/>
      </c>
      <c r="D350" s="180" t="str">
        <f ca="1"/>
        <v/>
      </c>
      <c r="E350" s="180" t="str">
        <f ca="1"/>
        <v/>
      </c>
      <c r="F350" s="180" t="str">
        <f ca="1"/>
        <v/>
      </c>
      <c r="G350" s="180" t="str">
        <f ca="1"/>
        <v/>
      </c>
      <c r="H350" s="180" t="str">
        <f ca="1"/>
        <v/>
      </c>
      <c r="I350" s="180" t="str">
        <f ca="1"/>
        <v/>
      </c>
      <c r="J350" s="180" t="str">
        <f ca="1"/>
        <v/>
      </c>
      <c r="K350" s="180" t="str">
        <f ca="1"/>
        <v/>
      </c>
      <c r="L350" s="180" t="str">
        <f ca="1"/>
        <v/>
      </c>
      <c r="M350" s="180" t="str">
        <f ca="1"/>
        <v/>
      </c>
      <c r="N350" s="180" t="str">
        <f ca="1"/>
        <v/>
      </c>
      <c r="O350" s="180" t="str">
        <f ca="1"/>
        <v/>
      </c>
      <c r="P350" s="180" t="str">
        <f ca="1"/>
        <v/>
      </c>
      <c r="Q350" s="180" t="str">
        <f ca="1"/>
        <v/>
      </c>
      <c r="R350" s="180" t="str">
        <f ca="1"/>
        <v/>
      </c>
      <c r="S350" s="180" t="str">
        <f ca="1"/>
        <v/>
      </c>
      <c r="T350" s="180" t="str">
        <f ca="1"/>
        <v/>
      </c>
      <c r="U350" s="180" t="str">
        <f ca="1"/>
        <v/>
      </c>
      <c r="V350" s="180" t="str">
        <f ca="1"/>
        <v/>
      </c>
      <c r="W350" s="180" t="str">
        <f ca="1"/>
        <v/>
      </c>
      <c r="X350" s="180" t="str">
        <f ca="1"/>
        <v/>
      </c>
      <c r="Y350" s="180" t="str">
        <f ca="1"/>
        <v/>
      </c>
      <c r="Z350" s="180" t="str">
        <f ca="1"/>
        <v/>
      </c>
      <c r="AA350" s="180" t="str">
        <f ca="1"/>
        <v/>
      </c>
      <c r="AB350" s="180" t="str">
        <f ca="1"/>
        <v/>
      </c>
      <c r="AC350" s="180" t="str">
        <f ca="1"/>
        <v/>
      </c>
      <c r="AD350" s="180" t="str">
        <f ca="1"/>
        <v/>
      </c>
      <c r="AE350" s="180" t="str">
        <f ca="1"/>
        <v/>
      </c>
      <c r="AF350" s="180" t="str">
        <f ca="1"/>
        <v/>
      </c>
      <c r="AG350" s="180" t="str">
        <f ca="1"/>
        <v/>
      </c>
      <c r="AH350" s="180" t="str">
        <f ca="1"/>
        <v/>
      </c>
      <c r="AI350" s="180" t="str">
        <f ca="1"/>
        <v/>
      </c>
      <c r="AJ350" s="180" t="str">
        <f ca="1"/>
        <v/>
      </c>
      <c r="AK350" s="180" t="str">
        <f ca="1"/>
        <v/>
      </c>
      <c r="AL350" s="180" t="str">
        <f ca="1"/>
        <v/>
      </c>
      <c r="AM350" s="180" t="str">
        <f ca="1"/>
        <v/>
      </c>
      <c r="AN350" s="180" t="str">
        <f ca="1"/>
        <v/>
      </c>
      <c r="AO350" s="180" t="str">
        <f ca="1"/>
        <v/>
      </c>
      <c r="AP350" s="180" t="str">
        <f ca="1"/>
        <v/>
      </c>
      <c r="AQ350" s="187" t="str">
        <f ca="1"/>
        <v/>
      </c>
    </row>
    <row r="351" spans="2:43" x14ac:dyDescent="0.25">
      <c r="B351" s="179" t="str">
        <f ca="1"/>
        <v/>
      </c>
      <c r="C351" s="180" t="str">
        <f ca="1"/>
        <v/>
      </c>
      <c r="D351" s="180" t="str">
        <f ca="1"/>
        <v/>
      </c>
      <c r="E351" s="180" t="str">
        <f ca="1"/>
        <v/>
      </c>
      <c r="F351" s="180" t="str">
        <f ca="1"/>
        <v/>
      </c>
      <c r="G351" s="180" t="str">
        <f ca="1"/>
        <v/>
      </c>
      <c r="H351" s="180" t="str">
        <f ca="1"/>
        <v/>
      </c>
      <c r="I351" s="180" t="str">
        <f ca="1"/>
        <v/>
      </c>
      <c r="J351" s="180" t="str">
        <f ca="1"/>
        <v/>
      </c>
      <c r="K351" s="180" t="str">
        <f ca="1"/>
        <v/>
      </c>
      <c r="L351" s="180" t="str">
        <f ca="1"/>
        <v/>
      </c>
      <c r="M351" s="180" t="str">
        <f ca="1"/>
        <v/>
      </c>
      <c r="N351" s="180" t="str">
        <f ca="1"/>
        <v/>
      </c>
      <c r="O351" s="180" t="str">
        <f ca="1"/>
        <v/>
      </c>
      <c r="P351" s="180" t="str">
        <f ca="1"/>
        <v/>
      </c>
      <c r="Q351" s="180" t="str">
        <f ca="1"/>
        <v/>
      </c>
      <c r="R351" s="180" t="str">
        <f ca="1"/>
        <v/>
      </c>
      <c r="S351" s="180" t="str">
        <f ca="1"/>
        <v/>
      </c>
      <c r="T351" s="180" t="str">
        <f ca="1"/>
        <v/>
      </c>
      <c r="U351" s="180" t="str">
        <f ca="1"/>
        <v/>
      </c>
      <c r="V351" s="180" t="str">
        <f ca="1"/>
        <v/>
      </c>
      <c r="W351" s="180" t="str">
        <f ca="1"/>
        <v/>
      </c>
      <c r="X351" s="180" t="str">
        <f ca="1"/>
        <v/>
      </c>
      <c r="Y351" s="180" t="str">
        <f ca="1"/>
        <v/>
      </c>
      <c r="Z351" s="180" t="str">
        <f ca="1"/>
        <v/>
      </c>
      <c r="AA351" s="180" t="str">
        <f ca="1"/>
        <v/>
      </c>
      <c r="AB351" s="180" t="str">
        <f ca="1"/>
        <v/>
      </c>
      <c r="AC351" s="180" t="str">
        <f ca="1"/>
        <v/>
      </c>
      <c r="AD351" s="180" t="str">
        <f ca="1"/>
        <v/>
      </c>
      <c r="AE351" s="180" t="str">
        <f ca="1"/>
        <v/>
      </c>
      <c r="AF351" s="180" t="str">
        <f ca="1"/>
        <v/>
      </c>
      <c r="AG351" s="180" t="str">
        <f ca="1"/>
        <v/>
      </c>
      <c r="AH351" s="180" t="str">
        <f ca="1"/>
        <v/>
      </c>
      <c r="AI351" s="180" t="str">
        <f ca="1"/>
        <v/>
      </c>
      <c r="AJ351" s="180" t="str">
        <f ca="1"/>
        <v/>
      </c>
      <c r="AK351" s="180" t="str">
        <f ca="1"/>
        <v/>
      </c>
      <c r="AL351" s="180" t="str">
        <f ca="1"/>
        <v/>
      </c>
      <c r="AM351" s="180" t="str">
        <f ca="1"/>
        <v/>
      </c>
      <c r="AN351" s="180" t="str">
        <f ca="1"/>
        <v/>
      </c>
      <c r="AO351" s="180" t="str">
        <f ca="1"/>
        <v/>
      </c>
      <c r="AP351" s="180" t="str">
        <f ca="1"/>
        <v/>
      </c>
      <c r="AQ351" s="187" t="str">
        <f ca="1"/>
        <v/>
      </c>
    </row>
    <row r="352" spans="2:43" x14ac:dyDescent="0.25">
      <c r="B352" s="179" t="str">
        <f ca="1"/>
        <v/>
      </c>
      <c r="C352" s="180" t="str">
        <f ca="1"/>
        <v/>
      </c>
      <c r="D352" s="180" t="str">
        <f ca="1"/>
        <v/>
      </c>
      <c r="E352" s="180" t="str">
        <f ca="1"/>
        <v/>
      </c>
      <c r="F352" s="180" t="str">
        <f ca="1"/>
        <v/>
      </c>
      <c r="G352" s="180" t="str">
        <f ca="1"/>
        <v/>
      </c>
      <c r="H352" s="180" t="str">
        <f ca="1"/>
        <v/>
      </c>
      <c r="I352" s="180" t="str">
        <f ca="1"/>
        <v/>
      </c>
      <c r="J352" s="180" t="str">
        <f ca="1"/>
        <v/>
      </c>
      <c r="K352" s="180" t="str">
        <f ca="1"/>
        <v/>
      </c>
      <c r="L352" s="180" t="str">
        <f ca="1"/>
        <v/>
      </c>
      <c r="M352" s="180" t="str">
        <f ca="1"/>
        <v/>
      </c>
      <c r="N352" s="180" t="str">
        <f ca="1"/>
        <v/>
      </c>
      <c r="O352" s="180" t="str">
        <f ca="1"/>
        <v/>
      </c>
      <c r="P352" s="180" t="str">
        <f ca="1"/>
        <v/>
      </c>
      <c r="Q352" s="180" t="str">
        <f ca="1"/>
        <v/>
      </c>
      <c r="R352" s="180" t="str">
        <f ca="1"/>
        <v/>
      </c>
      <c r="S352" s="180" t="str">
        <f ca="1"/>
        <v/>
      </c>
      <c r="T352" s="180" t="str">
        <f ca="1"/>
        <v/>
      </c>
      <c r="U352" s="180" t="str">
        <f ca="1"/>
        <v/>
      </c>
      <c r="V352" s="180" t="str">
        <f ca="1"/>
        <v/>
      </c>
      <c r="W352" s="180" t="str">
        <f ca="1"/>
        <v/>
      </c>
      <c r="X352" s="180" t="str">
        <f ca="1"/>
        <v/>
      </c>
      <c r="Y352" s="180" t="str">
        <f ca="1"/>
        <v/>
      </c>
      <c r="Z352" s="180" t="str">
        <f ca="1"/>
        <v/>
      </c>
      <c r="AA352" s="180" t="str">
        <f ca="1"/>
        <v/>
      </c>
      <c r="AB352" s="180" t="str">
        <f ca="1"/>
        <v/>
      </c>
      <c r="AC352" s="180" t="str">
        <f ca="1"/>
        <v/>
      </c>
      <c r="AD352" s="180" t="str">
        <f ca="1"/>
        <v/>
      </c>
      <c r="AE352" s="180" t="str">
        <f ca="1"/>
        <v/>
      </c>
      <c r="AF352" s="180" t="str">
        <f ca="1"/>
        <v/>
      </c>
      <c r="AG352" s="180" t="str">
        <f ca="1"/>
        <v/>
      </c>
      <c r="AH352" s="180" t="str">
        <f ca="1"/>
        <v/>
      </c>
      <c r="AI352" s="180" t="str">
        <f ca="1"/>
        <v/>
      </c>
      <c r="AJ352" s="180" t="str">
        <f ca="1"/>
        <v/>
      </c>
      <c r="AK352" s="180" t="str">
        <f ca="1"/>
        <v/>
      </c>
      <c r="AL352" s="180" t="str">
        <f ca="1"/>
        <v/>
      </c>
      <c r="AM352" s="180" t="str">
        <f ca="1"/>
        <v/>
      </c>
      <c r="AN352" s="180" t="str">
        <f ca="1"/>
        <v/>
      </c>
      <c r="AO352" s="180" t="str">
        <f ca="1"/>
        <v/>
      </c>
      <c r="AP352" s="180" t="str">
        <f ca="1"/>
        <v/>
      </c>
      <c r="AQ352" s="187" t="str">
        <f ca="1"/>
        <v/>
      </c>
    </row>
    <row r="353" spans="2:43" x14ac:dyDescent="0.25">
      <c r="B353" s="179" t="str">
        <f ca="1"/>
        <v/>
      </c>
      <c r="C353" s="180" t="str">
        <f ca="1"/>
        <v/>
      </c>
      <c r="D353" s="180" t="str">
        <f ca="1"/>
        <v/>
      </c>
      <c r="E353" s="180" t="str">
        <f ca="1"/>
        <v/>
      </c>
      <c r="F353" s="180" t="str">
        <f ca="1"/>
        <v/>
      </c>
      <c r="G353" s="180" t="str">
        <f ca="1"/>
        <v/>
      </c>
      <c r="H353" s="180" t="str">
        <f ca="1"/>
        <v/>
      </c>
      <c r="I353" s="180" t="str">
        <f ca="1"/>
        <v/>
      </c>
      <c r="J353" s="180" t="str">
        <f ca="1"/>
        <v/>
      </c>
      <c r="K353" s="180" t="str">
        <f ca="1"/>
        <v/>
      </c>
      <c r="L353" s="180" t="str">
        <f ca="1"/>
        <v/>
      </c>
      <c r="M353" s="180" t="str">
        <f ca="1"/>
        <v/>
      </c>
      <c r="N353" s="180" t="str">
        <f ca="1"/>
        <v/>
      </c>
      <c r="O353" s="180" t="str">
        <f ca="1"/>
        <v/>
      </c>
      <c r="P353" s="180" t="str">
        <f ca="1"/>
        <v/>
      </c>
      <c r="Q353" s="180" t="str">
        <f ca="1"/>
        <v/>
      </c>
      <c r="R353" s="180" t="str">
        <f ca="1"/>
        <v/>
      </c>
      <c r="S353" s="180" t="str">
        <f ca="1"/>
        <v/>
      </c>
      <c r="T353" s="180" t="str">
        <f ca="1"/>
        <v/>
      </c>
      <c r="U353" s="180" t="str">
        <f ca="1"/>
        <v/>
      </c>
      <c r="V353" s="180" t="str">
        <f ca="1"/>
        <v/>
      </c>
      <c r="W353" s="180" t="str">
        <f ca="1"/>
        <v/>
      </c>
      <c r="X353" s="180" t="str">
        <f ca="1"/>
        <v/>
      </c>
      <c r="Y353" s="180" t="str">
        <f ca="1"/>
        <v/>
      </c>
      <c r="Z353" s="180" t="str">
        <f ca="1"/>
        <v/>
      </c>
      <c r="AA353" s="180" t="str">
        <f ca="1"/>
        <v/>
      </c>
      <c r="AB353" s="180" t="str">
        <f ca="1"/>
        <v/>
      </c>
      <c r="AC353" s="180" t="str">
        <f ca="1"/>
        <v/>
      </c>
      <c r="AD353" s="180" t="str">
        <f ca="1"/>
        <v/>
      </c>
      <c r="AE353" s="180" t="str">
        <f ca="1"/>
        <v/>
      </c>
      <c r="AF353" s="180" t="str">
        <f ca="1"/>
        <v/>
      </c>
      <c r="AG353" s="180" t="str">
        <f ca="1"/>
        <v/>
      </c>
      <c r="AH353" s="180" t="str">
        <f ca="1"/>
        <v/>
      </c>
      <c r="AI353" s="180" t="str">
        <f ca="1"/>
        <v/>
      </c>
      <c r="AJ353" s="180" t="str">
        <f ca="1"/>
        <v/>
      </c>
      <c r="AK353" s="180" t="str">
        <f ca="1"/>
        <v/>
      </c>
      <c r="AL353" s="180" t="str">
        <f ca="1"/>
        <v/>
      </c>
      <c r="AM353" s="180" t="str">
        <f ca="1"/>
        <v/>
      </c>
      <c r="AN353" s="180" t="str">
        <f ca="1"/>
        <v/>
      </c>
      <c r="AO353" s="180" t="str">
        <f ca="1"/>
        <v/>
      </c>
      <c r="AP353" s="180" t="str">
        <f ca="1"/>
        <v/>
      </c>
      <c r="AQ353" s="187" t="str">
        <f ca="1"/>
        <v/>
      </c>
    </row>
    <row r="354" spans="2:43" x14ac:dyDescent="0.25">
      <c r="B354" s="179" t="str">
        <f ca="1"/>
        <v/>
      </c>
      <c r="C354" s="180" t="str">
        <f ca="1"/>
        <v/>
      </c>
      <c r="D354" s="180" t="str">
        <f ca="1"/>
        <v/>
      </c>
      <c r="E354" s="180" t="str">
        <f ca="1"/>
        <v/>
      </c>
      <c r="F354" s="180" t="str">
        <f ca="1"/>
        <v/>
      </c>
      <c r="G354" s="180" t="str">
        <f ca="1"/>
        <v/>
      </c>
      <c r="H354" s="180" t="str">
        <f ca="1"/>
        <v/>
      </c>
      <c r="I354" s="180" t="str">
        <f ca="1"/>
        <v/>
      </c>
      <c r="J354" s="180" t="str">
        <f ca="1"/>
        <v/>
      </c>
      <c r="K354" s="180" t="str">
        <f ca="1"/>
        <v/>
      </c>
      <c r="L354" s="180" t="str">
        <f ca="1"/>
        <v/>
      </c>
      <c r="M354" s="180" t="str">
        <f ca="1"/>
        <v/>
      </c>
      <c r="N354" s="180" t="str">
        <f ca="1"/>
        <v/>
      </c>
      <c r="O354" s="180" t="str">
        <f ca="1"/>
        <v/>
      </c>
      <c r="P354" s="180" t="str">
        <f ca="1"/>
        <v/>
      </c>
      <c r="Q354" s="180" t="str">
        <f ca="1"/>
        <v/>
      </c>
      <c r="R354" s="180" t="str">
        <f ca="1"/>
        <v/>
      </c>
      <c r="S354" s="180" t="str">
        <f ca="1"/>
        <v/>
      </c>
      <c r="T354" s="180" t="str">
        <f ca="1"/>
        <v/>
      </c>
      <c r="U354" s="180" t="str">
        <f ca="1"/>
        <v/>
      </c>
      <c r="V354" s="180" t="str">
        <f ca="1"/>
        <v/>
      </c>
      <c r="W354" s="180" t="str">
        <f ca="1"/>
        <v/>
      </c>
      <c r="X354" s="180" t="str">
        <f ca="1"/>
        <v/>
      </c>
      <c r="Y354" s="180" t="str">
        <f ca="1"/>
        <v/>
      </c>
      <c r="Z354" s="180" t="str">
        <f ca="1"/>
        <v/>
      </c>
      <c r="AA354" s="180" t="str">
        <f ca="1"/>
        <v/>
      </c>
      <c r="AB354" s="180" t="str">
        <f ca="1"/>
        <v/>
      </c>
      <c r="AC354" s="180" t="str">
        <f ca="1"/>
        <v/>
      </c>
      <c r="AD354" s="180" t="str">
        <f ca="1"/>
        <v/>
      </c>
      <c r="AE354" s="180" t="str">
        <f ca="1"/>
        <v/>
      </c>
      <c r="AF354" s="180" t="str">
        <f ca="1"/>
        <v/>
      </c>
      <c r="AG354" s="180" t="str">
        <f ca="1"/>
        <v/>
      </c>
      <c r="AH354" s="180" t="str">
        <f ca="1"/>
        <v/>
      </c>
      <c r="AI354" s="180" t="str">
        <f ca="1"/>
        <v/>
      </c>
      <c r="AJ354" s="180" t="str">
        <f ca="1"/>
        <v/>
      </c>
      <c r="AK354" s="180" t="str">
        <f ca="1"/>
        <v/>
      </c>
      <c r="AL354" s="180" t="str">
        <f ca="1"/>
        <v/>
      </c>
      <c r="AM354" s="180" t="str">
        <f ca="1"/>
        <v/>
      </c>
      <c r="AN354" s="180" t="str">
        <f ca="1"/>
        <v/>
      </c>
      <c r="AO354" s="180" t="str">
        <f ca="1"/>
        <v/>
      </c>
      <c r="AP354" s="180" t="str">
        <f ca="1"/>
        <v/>
      </c>
      <c r="AQ354" s="187" t="str">
        <f ca="1"/>
        <v/>
      </c>
    </row>
    <row r="355" spans="2:43" x14ac:dyDescent="0.25">
      <c r="B355" s="179" t="str">
        <f ca="1"/>
        <v/>
      </c>
      <c r="C355" s="180" t="str">
        <f ca="1"/>
        <v/>
      </c>
      <c r="D355" s="180" t="str">
        <f ca="1"/>
        <v/>
      </c>
      <c r="E355" s="180" t="str">
        <f ca="1"/>
        <v/>
      </c>
      <c r="F355" s="180" t="str">
        <f ca="1"/>
        <v/>
      </c>
      <c r="G355" s="180" t="str">
        <f ca="1"/>
        <v/>
      </c>
      <c r="H355" s="180" t="str">
        <f ca="1"/>
        <v/>
      </c>
      <c r="I355" s="180" t="str">
        <f ca="1"/>
        <v/>
      </c>
      <c r="J355" s="180" t="str">
        <f ca="1"/>
        <v/>
      </c>
      <c r="K355" s="180" t="str">
        <f ca="1"/>
        <v/>
      </c>
      <c r="L355" s="180" t="str">
        <f ca="1"/>
        <v/>
      </c>
      <c r="M355" s="180" t="str">
        <f ca="1"/>
        <v/>
      </c>
      <c r="N355" s="180" t="str">
        <f ca="1"/>
        <v/>
      </c>
      <c r="O355" s="180" t="str">
        <f ca="1"/>
        <v/>
      </c>
      <c r="P355" s="180" t="str">
        <f ca="1"/>
        <v/>
      </c>
      <c r="Q355" s="180" t="str">
        <f ca="1"/>
        <v/>
      </c>
      <c r="R355" s="180" t="str">
        <f ca="1"/>
        <v/>
      </c>
      <c r="S355" s="180" t="str">
        <f ca="1"/>
        <v/>
      </c>
      <c r="T355" s="180" t="str">
        <f ca="1"/>
        <v/>
      </c>
      <c r="U355" s="180" t="str">
        <f ca="1"/>
        <v/>
      </c>
      <c r="V355" s="180" t="str">
        <f ca="1"/>
        <v/>
      </c>
      <c r="W355" s="180" t="str">
        <f ca="1"/>
        <v/>
      </c>
      <c r="X355" s="180" t="str">
        <f ca="1"/>
        <v/>
      </c>
      <c r="Y355" s="180" t="str">
        <f ca="1"/>
        <v/>
      </c>
      <c r="Z355" s="180" t="str">
        <f ca="1"/>
        <v/>
      </c>
      <c r="AA355" s="180" t="str">
        <f ca="1"/>
        <v/>
      </c>
      <c r="AB355" s="180" t="str">
        <f ca="1"/>
        <v/>
      </c>
      <c r="AC355" s="180" t="str">
        <f ca="1"/>
        <v/>
      </c>
      <c r="AD355" s="180" t="str">
        <f ca="1"/>
        <v/>
      </c>
      <c r="AE355" s="180" t="str">
        <f ca="1"/>
        <v/>
      </c>
      <c r="AF355" s="180" t="str">
        <f ca="1"/>
        <v/>
      </c>
      <c r="AG355" s="180" t="str">
        <f ca="1"/>
        <v/>
      </c>
      <c r="AH355" s="180" t="str">
        <f ca="1"/>
        <v/>
      </c>
      <c r="AI355" s="180" t="str">
        <f ca="1"/>
        <v/>
      </c>
      <c r="AJ355" s="180" t="str">
        <f ca="1"/>
        <v/>
      </c>
      <c r="AK355" s="180" t="str">
        <f ca="1"/>
        <v/>
      </c>
      <c r="AL355" s="180" t="str">
        <f ca="1"/>
        <v/>
      </c>
      <c r="AM355" s="180" t="str">
        <f ca="1"/>
        <v/>
      </c>
      <c r="AN355" s="180" t="str">
        <f ca="1"/>
        <v/>
      </c>
      <c r="AO355" s="180" t="str">
        <f ca="1"/>
        <v/>
      </c>
      <c r="AP355" s="180" t="str">
        <f ca="1"/>
        <v/>
      </c>
      <c r="AQ355" s="187" t="str">
        <f ca="1"/>
        <v/>
      </c>
    </row>
    <row r="356" spans="2:43" x14ac:dyDescent="0.25">
      <c r="B356" s="179" t="str">
        <f ca="1"/>
        <v/>
      </c>
      <c r="C356" s="180" t="str">
        <f ca="1"/>
        <v/>
      </c>
      <c r="D356" s="180" t="str">
        <f ca="1"/>
        <v/>
      </c>
      <c r="E356" s="180" t="str">
        <f ca="1"/>
        <v/>
      </c>
      <c r="F356" s="180" t="str">
        <f ca="1"/>
        <v/>
      </c>
      <c r="G356" s="180" t="str">
        <f ca="1"/>
        <v/>
      </c>
      <c r="H356" s="180" t="str">
        <f ca="1"/>
        <v/>
      </c>
      <c r="I356" s="180" t="str">
        <f ca="1"/>
        <v/>
      </c>
      <c r="J356" s="180" t="str">
        <f ca="1"/>
        <v/>
      </c>
      <c r="K356" s="180" t="str">
        <f ca="1"/>
        <v/>
      </c>
      <c r="L356" s="180" t="str">
        <f ca="1"/>
        <v/>
      </c>
      <c r="M356" s="180" t="str">
        <f ca="1"/>
        <v/>
      </c>
      <c r="N356" s="180" t="str">
        <f ca="1"/>
        <v/>
      </c>
      <c r="O356" s="180" t="str">
        <f ca="1"/>
        <v/>
      </c>
      <c r="P356" s="180" t="str">
        <f ca="1"/>
        <v/>
      </c>
      <c r="Q356" s="180" t="str">
        <f ca="1"/>
        <v/>
      </c>
      <c r="R356" s="180" t="str">
        <f ca="1"/>
        <v/>
      </c>
      <c r="S356" s="180" t="str">
        <f ca="1"/>
        <v/>
      </c>
      <c r="T356" s="180" t="str">
        <f ca="1"/>
        <v/>
      </c>
      <c r="U356" s="180" t="str">
        <f ca="1"/>
        <v/>
      </c>
      <c r="V356" s="180" t="str">
        <f ca="1"/>
        <v/>
      </c>
      <c r="W356" s="180" t="str">
        <f ca="1"/>
        <v/>
      </c>
      <c r="X356" s="180" t="str">
        <f ca="1"/>
        <v/>
      </c>
      <c r="Y356" s="180" t="str">
        <f ca="1"/>
        <v/>
      </c>
      <c r="Z356" s="180" t="str">
        <f ca="1"/>
        <v/>
      </c>
      <c r="AA356" s="180" t="str">
        <f ca="1"/>
        <v/>
      </c>
      <c r="AB356" s="180" t="str">
        <f ca="1"/>
        <v/>
      </c>
      <c r="AC356" s="180" t="str">
        <f ca="1"/>
        <v/>
      </c>
      <c r="AD356" s="180" t="str">
        <f ca="1"/>
        <v/>
      </c>
      <c r="AE356" s="180" t="str">
        <f ca="1"/>
        <v/>
      </c>
      <c r="AF356" s="180" t="str">
        <f ca="1"/>
        <v/>
      </c>
      <c r="AG356" s="180" t="str">
        <f ca="1"/>
        <v/>
      </c>
      <c r="AH356" s="180" t="str">
        <f ca="1"/>
        <v/>
      </c>
      <c r="AI356" s="180" t="str">
        <f ca="1"/>
        <v/>
      </c>
      <c r="AJ356" s="180" t="str">
        <f ca="1"/>
        <v/>
      </c>
      <c r="AK356" s="180" t="str">
        <f ca="1"/>
        <v/>
      </c>
      <c r="AL356" s="180" t="str">
        <f ca="1"/>
        <v/>
      </c>
      <c r="AM356" s="180" t="str">
        <f ca="1"/>
        <v/>
      </c>
      <c r="AN356" s="180" t="str">
        <f ca="1"/>
        <v/>
      </c>
      <c r="AO356" s="180" t="str">
        <f ca="1"/>
        <v/>
      </c>
      <c r="AP356" s="180" t="str">
        <f ca="1"/>
        <v/>
      </c>
      <c r="AQ356" s="187" t="str">
        <f ca="1"/>
        <v/>
      </c>
    </row>
    <row r="357" spans="2:43" x14ac:dyDescent="0.25">
      <c r="B357" s="179" t="str">
        <f ca="1"/>
        <v/>
      </c>
      <c r="C357" s="180" t="str">
        <f ca="1"/>
        <v/>
      </c>
      <c r="D357" s="180" t="str">
        <f ca="1"/>
        <v/>
      </c>
      <c r="E357" s="180" t="str">
        <f ca="1"/>
        <v/>
      </c>
      <c r="F357" s="180" t="str">
        <f ca="1"/>
        <v/>
      </c>
      <c r="G357" s="180" t="str">
        <f ca="1"/>
        <v/>
      </c>
      <c r="H357" s="180" t="str">
        <f ca="1"/>
        <v/>
      </c>
      <c r="I357" s="180" t="str">
        <f ca="1"/>
        <v/>
      </c>
      <c r="J357" s="180" t="str">
        <f ca="1"/>
        <v/>
      </c>
      <c r="K357" s="180" t="str">
        <f ca="1"/>
        <v/>
      </c>
      <c r="L357" s="180" t="str">
        <f ca="1"/>
        <v/>
      </c>
      <c r="M357" s="180" t="str">
        <f ca="1"/>
        <v/>
      </c>
      <c r="N357" s="180" t="str">
        <f ca="1"/>
        <v/>
      </c>
      <c r="O357" s="180" t="str">
        <f ca="1"/>
        <v/>
      </c>
      <c r="P357" s="180" t="str">
        <f ca="1"/>
        <v/>
      </c>
      <c r="Q357" s="180" t="str">
        <f ca="1"/>
        <v/>
      </c>
      <c r="R357" s="180" t="str">
        <f ca="1"/>
        <v/>
      </c>
      <c r="S357" s="180" t="str">
        <f ca="1"/>
        <v/>
      </c>
      <c r="T357" s="180" t="str">
        <f ca="1"/>
        <v/>
      </c>
      <c r="U357" s="180" t="str">
        <f ca="1"/>
        <v/>
      </c>
      <c r="V357" s="180" t="str">
        <f ca="1"/>
        <v/>
      </c>
      <c r="W357" s="180" t="str">
        <f ca="1"/>
        <v/>
      </c>
      <c r="X357" s="180" t="str">
        <f ca="1"/>
        <v/>
      </c>
      <c r="Y357" s="180" t="str">
        <f ca="1"/>
        <v/>
      </c>
      <c r="Z357" s="180" t="str">
        <f ca="1"/>
        <v/>
      </c>
      <c r="AA357" s="180" t="str">
        <f ca="1"/>
        <v/>
      </c>
      <c r="AB357" s="180" t="str">
        <f ca="1"/>
        <v/>
      </c>
      <c r="AC357" s="180" t="str">
        <f ca="1"/>
        <v/>
      </c>
      <c r="AD357" s="180" t="str">
        <f ca="1"/>
        <v/>
      </c>
      <c r="AE357" s="180" t="str">
        <f ca="1"/>
        <v/>
      </c>
      <c r="AF357" s="180" t="str">
        <f ca="1"/>
        <v/>
      </c>
      <c r="AG357" s="180" t="str">
        <f ca="1"/>
        <v/>
      </c>
      <c r="AH357" s="180" t="str">
        <f ca="1"/>
        <v/>
      </c>
      <c r="AI357" s="180" t="str">
        <f ca="1"/>
        <v/>
      </c>
      <c r="AJ357" s="180" t="str">
        <f ca="1"/>
        <v/>
      </c>
      <c r="AK357" s="180" t="str">
        <f ca="1"/>
        <v/>
      </c>
      <c r="AL357" s="180" t="str">
        <f ca="1"/>
        <v/>
      </c>
      <c r="AM357" s="180" t="str">
        <f ca="1"/>
        <v/>
      </c>
      <c r="AN357" s="180" t="str">
        <f ca="1"/>
        <v/>
      </c>
      <c r="AO357" s="180" t="str">
        <f ca="1"/>
        <v/>
      </c>
      <c r="AP357" s="180" t="str">
        <f ca="1"/>
        <v/>
      </c>
      <c r="AQ357" s="187" t="str">
        <f ca="1"/>
        <v/>
      </c>
    </row>
    <row r="358" spans="2:43" x14ac:dyDescent="0.25">
      <c r="B358" s="179" t="str">
        <f ca="1"/>
        <v/>
      </c>
      <c r="C358" s="180" t="str">
        <f ca="1"/>
        <v/>
      </c>
      <c r="D358" s="180" t="str">
        <f ca="1"/>
        <v/>
      </c>
      <c r="E358" s="180" t="str">
        <f ca="1"/>
        <v/>
      </c>
      <c r="F358" s="180" t="str">
        <f ca="1"/>
        <v/>
      </c>
      <c r="G358" s="180" t="str">
        <f ca="1"/>
        <v/>
      </c>
      <c r="H358" s="180" t="str">
        <f ca="1"/>
        <v/>
      </c>
      <c r="I358" s="180" t="str">
        <f ca="1"/>
        <v/>
      </c>
      <c r="J358" s="180" t="str">
        <f ca="1"/>
        <v/>
      </c>
      <c r="K358" s="180" t="str">
        <f ca="1"/>
        <v/>
      </c>
      <c r="L358" s="180" t="str">
        <f ca="1"/>
        <v/>
      </c>
      <c r="M358" s="180" t="str">
        <f ca="1"/>
        <v/>
      </c>
      <c r="N358" s="180" t="str">
        <f ca="1"/>
        <v/>
      </c>
      <c r="O358" s="180" t="str">
        <f ca="1"/>
        <v/>
      </c>
      <c r="P358" s="180" t="str">
        <f ca="1"/>
        <v/>
      </c>
      <c r="Q358" s="180" t="str">
        <f ca="1"/>
        <v/>
      </c>
      <c r="R358" s="180" t="str">
        <f ca="1"/>
        <v/>
      </c>
      <c r="S358" s="180" t="str">
        <f ca="1"/>
        <v/>
      </c>
      <c r="T358" s="180" t="str">
        <f ca="1"/>
        <v/>
      </c>
      <c r="U358" s="180" t="str">
        <f ca="1"/>
        <v/>
      </c>
      <c r="V358" s="180" t="str">
        <f ca="1"/>
        <v/>
      </c>
      <c r="W358" s="180" t="str">
        <f ca="1"/>
        <v/>
      </c>
      <c r="X358" s="180" t="str">
        <f ca="1"/>
        <v/>
      </c>
      <c r="Y358" s="180" t="str">
        <f ca="1"/>
        <v/>
      </c>
      <c r="Z358" s="180" t="str">
        <f ca="1"/>
        <v/>
      </c>
      <c r="AA358" s="180" t="str">
        <f ca="1"/>
        <v/>
      </c>
      <c r="AB358" s="180" t="str">
        <f ca="1"/>
        <v/>
      </c>
      <c r="AC358" s="180" t="str">
        <f ca="1"/>
        <v/>
      </c>
      <c r="AD358" s="180" t="str">
        <f ca="1"/>
        <v/>
      </c>
      <c r="AE358" s="180" t="str">
        <f ca="1"/>
        <v/>
      </c>
      <c r="AF358" s="180" t="str">
        <f ca="1"/>
        <v/>
      </c>
      <c r="AG358" s="180" t="str">
        <f ca="1"/>
        <v/>
      </c>
      <c r="AH358" s="180" t="str">
        <f ca="1"/>
        <v/>
      </c>
      <c r="AI358" s="180" t="str">
        <f ca="1"/>
        <v/>
      </c>
      <c r="AJ358" s="180" t="str">
        <f ca="1"/>
        <v/>
      </c>
      <c r="AK358" s="180" t="str">
        <f ca="1"/>
        <v/>
      </c>
      <c r="AL358" s="180" t="str">
        <f ca="1"/>
        <v/>
      </c>
      <c r="AM358" s="180" t="str">
        <f ca="1"/>
        <v/>
      </c>
      <c r="AN358" s="180" t="str">
        <f ca="1"/>
        <v/>
      </c>
      <c r="AO358" s="180" t="str">
        <f ca="1"/>
        <v/>
      </c>
      <c r="AP358" s="180" t="str">
        <f ca="1"/>
        <v/>
      </c>
      <c r="AQ358" s="187" t="str">
        <f ca="1"/>
        <v/>
      </c>
    </row>
    <row r="359" spans="2:43" x14ac:dyDescent="0.25">
      <c r="B359" s="179" t="str">
        <f ca="1"/>
        <v/>
      </c>
      <c r="C359" s="180" t="str">
        <f ca="1"/>
        <v/>
      </c>
      <c r="D359" s="180" t="str">
        <f ca="1"/>
        <v/>
      </c>
      <c r="E359" s="180" t="str">
        <f ca="1"/>
        <v/>
      </c>
      <c r="F359" s="180" t="str">
        <f ca="1"/>
        <v/>
      </c>
      <c r="G359" s="180" t="str">
        <f ca="1"/>
        <v/>
      </c>
      <c r="H359" s="180" t="str">
        <f ca="1"/>
        <v/>
      </c>
      <c r="I359" s="180" t="str">
        <f ca="1"/>
        <v/>
      </c>
      <c r="J359" s="180" t="str">
        <f ca="1"/>
        <v/>
      </c>
      <c r="K359" s="180" t="str">
        <f ca="1"/>
        <v/>
      </c>
      <c r="L359" s="180" t="str">
        <f ca="1"/>
        <v/>
      </c>
      <c r="M359" s="180" t="str">
        <f ca="1"/>
        <v/>
      </c>
      <c r="N359" s="180" t="str">
        <f ca="1"/>
        <v/>
      </c>
      <c r="O359" s="180" t="str">
        <f ca="1"/>
        <v/>
      </c>
      <c r="P359" s="180" t="str">
        <f ca="1"/>
        <v/>
      </c>
      <c r="Q359" s="180" t="str">
        <f ca="1"/>
        <v/>
      </c>
      <c r="R359" s="180" t="str">
        <f ca="1"/>
        <v/>
      </c>
      <c r="S359" s="180" t="str">
        <f ca="1"/>
        <v/>
      </c>
      <c r="T359" s="180" t="str">
        <f ca="1"/>
        <v/>
      </c>
      <c r="U359" s="180" t="str">
        <f ca="1"/>
        <v/>
      </c>
      <c r="V359" s="180" t="str">
        <f ca="1"/>
        <v/>
      </c>
      <c r="W359" s="180" t="str">
        <f ca="1"/>
        <v/>
      </c>
      <c r="X359" s="180" t="str">
        <f ca="1"/>
        <v/>
      </c>
      <c r="Y359" s="180" t="str">
        <f ca="1"/>
        <v/>
      </c>
      <c r="Z359" s="180" t="str">
        <f ca="1"/>
        <v/>
      </c>
      <c r="AA359" s="180" t="str">
        <f ca="1"/>
        <v/>
      </c>
      <c r="AB359" s="180" t="str">
        <f ca="1"/>
        <v/>
      </c>
      <c r="AC359" s="180" t="str">
        <f ca="1"/>
        <v/>
      </c>
      <c r="AD359" s="180" t="str">
        <f ca="1"/>
        <v/>
      </c>
      <c r="AE359" s="180" t="str">
        <f ca="1"/>
        <v/>
      </c>
      <c r="AF359" s="180" t="str">
        <f ca="1"/>
        <v/>
      </c>
      <c r="AG359" s="180" t="str">
        <f ca="1"/>
        <v/>
      </c>
      <c r="AH359" s="180" t="str">
        <f ca="1"/>
        <v/>
      </c>
      <c r="AI359" s="180" t="str">
        <f ca="1"/>
        <v/>
      </c>
      <c r="AJ359" s="180" t="str">
        <f ca="1"/>
        <v/>
      </c>
      <c r="AK359" s="180" t="str">
        <f ca="1"/>
        <v/>
      </c>
      <c r="AL359" s="180" t="str">
        <f ca="1"/>
        <v/>
      </c>
      <c r="AM359" s="180" t="str">
        <f ca="1"/>
        <v/>
      </c>
      <c r="AN359" s="180" t="str">
        <f ca="1"/>
        <v/>
      </c>
      <c r="AO359" s="180" t="str">
        <f ca="1"/>
        <v/>
      </c>
      <c r="AP359" s="180" t="str">
        <f ca="1"/>
        <v/>
      </c>
      <c r="AQ359" s="187" t="str">
        <f ca="1"/>
        <v/>
      </c>
    </row>
    <row r="360" spans="2:43" x14ac:dyDescent="0.25">
      <c r="B360" s="179" t="str">
        <f ca="1"/>
        <v/>
      </c>
      <c r="C360" s="180" t="str">
        <f ca="1"/>
        <v/>
      </c>
      <c r="D360" s="180" t="str">
        <f ca="1"/>
        <v/>
      </c>
      <c r="E360" s="180" t="str">
        <f ca="1"/>
        <v/>
      </c>
      <c r="F360" s="180" t="str">
        <f ca="1"/>
        <v/>
      </c>
      <c r="G360" s="180" t="str">
        <f ca="1"/>
        <v/>
      </c>
      <c r="H360" s="180" t="str">
        <f ca="1"/>
        <v/>
      </c>
      <c r="I360" s="180" t="str">
        <f ca="1"/>
        <v/>
      </c>
      <c r="J360" s="180" t="str">
        <f ca="1"/>
        <v/>
      </c>
      <c r="K360" s="180" t="str">
        <f ca="1"/>
        <v/>
      </c>
      <c r="L360" s="180" t="str">
        <f ca="1"/>
        <v/>
      </c>
      <c r="M360" s="180" t="str">
        <f ca="1"/>
        <v/>
      </c>
      <c r="N360" s="180" t="str">
        <f ca="1"/>
        <v/>
      </c>
      <c r="O360" s="180" t="str">
        <f ca="1"/>
        <v/>
      </c>
      <c r="P360" s="180" t="str">
        <f ca="1"/>
        <v/>
      </c>
      <c r="Q360" s="180" t="str">
        <f ca="1"/>
        <v/>
      </c>
      <c r="R360" s="180" t="str">
        <f ca="1"/>
        <v/>
      </c>
      <c r="S360" s="180" t="str">
        <f ca="1"/>
        <v/>
      </c>
      <c r="T360" s="180" t="str">
        <f ca="1"/>
        <v/>
      </c>
      <c r="U360" s="180" t="str">
        <f ca="1"/>
        <v/>
      </c>
      <c r="V360" s="180" t="str">
        <f ca="1"/>
        <v/>
      </c>
      <c r="W360" s="180" t="str">
        <f ca="1"/>
        <v/>
      </c>
      <c r="X360" s="180" t="str">
        <f ca="1"/>
        <v/>
      </c>
      <c r="Y360" s="180" t="str">
        <f ca="1"/>
        <v/>
      </c>
      <c r="Z360" s="180" t="str">
        <f ca="1"/>
        <v/>
      </c>
      <c r="AA360" s="180" t="str">
        <f ca="1"/>
        <v/>
      </c>
      <c r="AB360" s="180" t="str">
        <f ca="1"/>
        <v/>
      </c>
      <c r="AC360" s="180" t="str">
        <f ca="1"/>
        <v/>
      </c>
      <c r="AD360" s="180" t="str">
        <f ca="1"/>
        <v/>
      </c>
      <c r="AE360" s="180" t="str">
        <f ca="1"/>
        <v/>
      </c>
      <c r="AF360" s="180" t="str">
        <f ca="1"/>
        <v/>
      </c>
      <c r="AG360" s="180" t="str">
        <f ca="1"/>
        <v/>
      </c>
      <c r="AH360" s="180" t="str">
        <f ca="1"/>
        <v/>
      </c>
      <c r="AI360" s="180" t="str">
        <f ca="1"/>
        <v/>
      </c>
      <c r="AJ360" s="180" t="str">
        <f ca="1"/>
        <v/>
      </c>
      <c r="AK360" s="180" t="str">
        <f ca="1"/>
        <v/>
      </c>
      <c r="AL360" s="180" t="str">
        <f ca="1"/>
        <v/>
      </c>
      <c r="AM360" s="180" t="str">
        <f ca="1"/>
        <v/>
      </c>
      <c r="AN360" s="180" t="str">
        <f ca="1"/>
        <v/>
      </c>
      <c r="AO360" s="180" t="str">
        <f ca="1"/>
        <v/>
      </c>
      <c r="AP360" s="180" t="str">
        <f ca="1"/>
        <v/>
      </c>
      <c r="AQ360" s="187" t="str">
        <f ca="1"/>
        <v/>
      </c>
    </row>
    <row r="361" spans="2:43" x14ac:dyDescent="0.25">
      <c r="B361" s="179" t="str">
        <f ca="1"/>
        <v/>
      </c>
      <c r="C361" s="180" t="str">
        <f ca="1"/>
        <v/>
      </c>
      <c r="D361" s="180" t="str">
        <f ca="1"/>
        <v/>
      </c>
      <c r="E361" s="180" t="str">
        <f ca="1"/>
        <v/>
      </c>
      <c r="F361" s="180" t="str">
        <f ca="1"/>
        <v/>
      </c>
      <c r="G361" s="180" t="str">
        <f ca="1"/>
        <v/>
      </c>
      <c r="H361" s="180" t="str">
        <f ca="1"/>
        <v/>
      </c>
      <c r="I361" s="180" t="str">
        <f ca="1"/>
        <v/>
      </c>
      <c r="J361" s="180" t="str">
        <f ca="1"/>
        <v/>
      </c>
      <c r="K361" s="180" t="str">
        <f ca="1"/>
        <v/>
      </c>
      <c r="L361" s="180" t="str">
        <f ca="1"/>
        <v/>
      </c>
      <c r="M361" s="180" t="str">
        <f ca="1"/>
        <v/>
      </c>
      <c r="N361" s="180" t="str">
        <f ca="1"/>
        <v/>
      </c>
      <c r="O361" s="180" t="str">
        <f ca="1"/>
        <v/>
      </c>
      <c r="P361" s="180" t="str">
        <f ca="1"/>
        <v/>
      </c>
      <c r="Q361" s="180" t="str">
        <f ca="1"/>
        <v/>
      </c>
      <c r="R361" s="180" t="str">
        <f ca="1"/>
        <v/>
      </c>
      <c r="S361" s="180" t="str">
        <f ca="1"/>
        <v/>
      </c>
      <c r="T361" s="180" t="str">
        <f ca="1"/>
        <v/>
      </c>
      <c r="U361" s="180" t="str">
        <f ca="1"/>
        <v/>
      </c>
      <c r="V361" s="180" t="str">
        <f ca="1"/>
        <v/>
      </c>
      <c r="W361" s="180" t="str">
        <f ca="1"/>
        <v/>
      </c>
      <c r="X361" s="180" t="str">
        <f ca="1"/>
        <v/>
      </c>
      <c r="Y361" s="180" t="str">
        <f ca="1"/>
        <v/>
      </c>
      <c r="Z361" s="180" t="str">
        <f ca="1"/>
        <v/>
      </c>
      <c r="AA361" s="180" t="str">
        <f ca="1"/>
        <v/>
      </c>
      <c r="AB361" s="180" t="str">
        <f ca="1"/>
        <v/>
      </c>
      <c r="AC361" s="180" t="str">
        <f ca="1"/>
        <v/>
      </c>
      <c r="AD361" s="180" t="str">
        <f ca="1"/>
        <v/>
      </c>
      <c r="AE361" s="180" t="str">
        <f ca="1"/>
        <v/>
      </c>
      <c r="AF361" s="180" t="str">
        <f ca="1"/>
        <v/>
      </c>
      <c r="AG361" s="180" t="str">
        <f ca="1"/>
        <v/>
      </c>
      <c r="AH361" s="180" t="str">
        <f ca="1"/>
        <v/>
      </c>
      <c r="AI361" s="180" t="str">
        <f ca="1"/>
        <v/>
      </c>
      <c r="AJ361" s="180" t="str">
        <f ca="1"/>
        <v/>
      </c>
      <c r="AK361" s="180" t="str">
        <f ca="1"/>
        <v/>
      </c>
      <c r="AL361" s="180" t="str">
        <f ca="1"/>
        <v/>
      </c>
      <c r="AM361" s="180" t="str">
        <f ca="1"/>
        <v/>
      </c>
      <c r="AN361" s="180" t="str">
        <f ca="1"/>
        <v/>
      </c>
      <c r="AO361" s="180" t="str">
        <f ca="1"/>
        <v/>
      </c>
      <c r="AP361" s="180" t="str">
        <f ca="1"/>
        <v/>
      </c>
      <c r="AQ361" s="187" t="str">
        <f ca="1"/>
        <v/>
      </c>
    </row>
    <row r="362" spans="2:43" x14ac:dyDescent="0.25">
      <c r="B362" s="179" t="str">
        <f ca="1"/>
        <v/>
      </c>
      <c r="C362" s="180" t="str">
        <f ca="1"/>
        <v/>
      </c>
      <c r="D362" s="180" t="str">
        <f ca="1"/>
        <v/>
      </c>
      <c r="E362" s="180" t="str">
        <f ca="1"/>
        <v/>
      </c>
      <c r="F362" s="180" t="str">
        <f ca="1"/>
        <v/>
      </c>
      <c r="G362" s="180" t="str">
        <f ca="1"/>
        <v/>
      </c>
      <c r="H362" s="180" t="str">
        <f ca="1"/>
        <v/>
      </c>
      <c r="I362" s="180" t="str">
        <f ca="1"/>
        <v/>
      </c>
      <c r="J362" s="180" t="str">
        <f ca="1"/>
        <v/>
      </c>
      <c r="K362" s="180" t="str">
        <f ca="1"/>
        <v/>
      </c>
      <c r="L362" s="180" t="str">
        <f ca="1"/>
        <v/>
      </c>
      <c r="M362" s="180" t="str">
        <f ca="1"/>
        <v/>
      </c>
      <c r="N362" s="180" t="str">
        <f ca="1"/>
        <v/>
      </c>
      <c r="O362" s="180" t="str">
        <f ca="1"/>
        <v/>
      </c>
      <c r="P362" s="180" t="str">
        <f ca="1"/>
        <v/>
      </c>
      <c r="Q362" s="180" t="str">
        <f ca="1"/>
        <v/>
      </c>
      <c r="R362" s="180" t="str">
        <f ca="1"/>
        <v/>
      </c>
      <c r="S362" s="180" t="str">
        <f ca="1"/>
        <v/>
      </c>
      <c r="T362" s="180" t="str">
        <f ca="1"/>
        <v/>
      </c>
      <c r="U362" s="180" t="str">
        <f ca="1"/>
        <v/>
      </c>
      <c r="V362" s="180" t="str">
        <f ca="1"/>
        <v/>
      </c>
      <c r="W362" s="180" t="str">
        <f ca="1"/>
        <v/>
      </c>
      <c r="X362" s="180" t="str">
        <f ca="1"/>
        <v/>
      </c>
      <c r="Y362" s="180" t="str">
        <f ca="1"/>
        <v/>
      </c>
      <c r="Z362" s="180" t="str">
        <f ca="1"/>
        <v/>
      </c>
      <c r="AA362" s="180" t="str">
        <f ca="1"/>
        <v/>
      </c>
      <c r="AB362" s="180" t="str">
        <f ca="1"/>
        <v/>
      </c>
      <c r="AC362" s="180" t="str">
        <f ca="1"/>
        <v/>
      </c>
      <c r="AD362" s="180" t="str">
        <f ca="1"/>
        <v/>
      </c>
      <c r="AE362" s="180" t="str">
        <f ca="1"/>
        <v/>
      </c>
      <c r="AF362" s="180" t="str">
        <f ca="1"/>
        <v/>
      </c>
      <c r="AG362" s="180" t="str">
        <f ca="1"/>
        <v/>
      </c>
      <c r="AH362" s="180" t="str">
        <f ca="1"/>
        <v/>
      </c>
      <c r="AI362" s="180" t="str">
        <f ca="1"/>
        <v/>
      </c>
      <c r="AJ362" s="180" t="str">
        <f ca="1"/>
        <v/>
      </c>
      <c r="AK362" s="180" t="str">
        <f ca="1"/>
        <v/>
      </c>
      <c r="AL362" s="180" t="str">
        <f ca="1"/>
        <v/>
      </c>
      <c r="AM362" s="180" t="str">
        <f ca="1"/>
        <v/>
      </c>
      <c r="AN362" s="180" t="str">
        <f ca="1"/>
        <v/>
      </c>
      <c r="AO362" s="180" t="str">
        <f ca="1"/>
        <v/>
      </c>
      <c r="AP362" s="180" t="str">
        <f ca="1"/>
        <v/>
      </c>
      <c r="AQ362" s="187" t="str">
        <f ca="1"/>
        <v/>
      </c>
    </row>
    <row r="363" spans="2:43" x14ac:dyDescent="0.25">
      <c r="B363" s="179" t="str">
        <f ca="1"/>
        <v/>
      </c>
      <c r="C363" s="180" t="str">
        <f ca="1"/>
        <v/>
      </c>
      <c r="D363" s="180" t="str">
        <f ca="1"/>
        <v/>
      </c>
      <c r="E363" s="180" t="str">
        <f ca="1"/>
        <v/>
      </c>
      <c r="F363" s="180" t="str">
        <f ca="1"/>
        <v/>
      </c>
      <c r="G363" s="180" t="str">
        <f ca="1"/>
        <v/>
      </c>
      <c r="H363" s="180" t="str">
        <f ca="1"/>
        <v/>
      </c>
      <c r="I363" s="180" t="str">
        <f ca="1"/>
        <v/>
      </c>
      <c r="J363" s="180" t="str">
        <f ca="1"/>
        <v/>
      </c>
      <c r="K363" s="180" t="str">
        <f ca="1"/>
        <v/>
      </c>
      <c r="L363" s="180" t="str">
        <f ca="1"/>
        <v/>
      </c>
      <c r="M363" s="180" t="str">
        <f ca="1"/>
        <v/>
      </c>
      <c r="N363" s="180" t="str">
        <f ca="1"/>
        <v/>
      </c>
      <c r="O363" s="180" t="str">
        <f ca="1"/>
        <v/>
      </c>
      <c r="P363" s="180" t="str">
        <f ca="1"/>
        <v/>
      </c>
      <c r="Q363" s="180" t="str">
        <f ca="1"/>
        <v/>
      </c>
      <c r="R363" s="180" t="str">
        <f ca="1"/>
        <v/>
      </c>
      <c r="S363" s="180" t="str">
        <f ca="1"/>
        <v/>
      </c>
      <c r="T363" s="180" t="str">
        <f ca="1"/>
        <v/>
      </c>
      <c r="U363" s="180" t="str">
        <f ca="1"/>
        <v/>
      </c>
      <c r="V363" s="180" t="str">
        <f ca="1"/>
        <v/>
      </c>
      <c r="W363" s="180" t="str">
        <f ca="1"/>
        <v/>
      </c>
      <c r="X363" s="180" t="str">
        <f ca="1"/>
        <v/>
      </c>
      <c r="Y363" s="180" t="str">
        <f ca="1"/>
        <v/>
      </c>
      <c r="Z363" s="180" t="str">
        <f ca="1"/>
        <v/>
      </c>
      <c r="AA363" s="180" t="str">
        <f ca="1"/>
        <v/>
      </c>
      <c r="AB363" s="180" t="str">
        <f ca="1"/>
        <v/>
      </c>
      <c r="AC363" s="180" t="str">
        <f ca="1"/>
        <v/>
      </c>
      <c r="AD363" s="180" t="str">
        <f ca="1"/>
        <v/>
      </c>
      <c r="AE363" s="180" t="str">
        <f ca="1"/>
        <v/>
      </c>
      <c r="AF363" s="180" t="str">
        <f ca="1"/>
        <v/>
      </c>
      <c r="AG363" s="180" t="str">
        <f ca="1"/>
        <v/>
      </c>
      <c r="AH363" s="180" t="str">
        <f ca="1"/>
        <v/>
      </c>
      <c r="AI363" s="180" t="str">
        <f ca="1"/>
        <v/>
      </c>
      <c r="AJ363" s="180" t="str">
        <f ca="1"/>
        <v/>
      </c>
      <c r="AK363" s="180" t="str">
        <f ca="1"/>
        <v/>
      </c>
      <c r="AL363" s="180" t="str">
        <f ca="1"/>
        <v/>
      </c>
      <c r="AM363" s="180" t="str">
        <f ca="1"/>
        <v/>
      </c>
      <c r="AN363" s="180" t="str">
        <f ca="1"/>
        <v/>
      </c>
      <c r="AO363" s="180" t="str">
        <f ca="1"/>
        <v/>
      </c>
      <c r="AP363" s="180" t="str">
        <f ca="1"/>
        <v/>
      </c>
      <c r="AQ363" s="187" t="str">
        <f ca="1"/>
        <v/>
      </c>
    </row>
    <row r="364" spans="2:43" x14ac:dyDescent="0.25">
      <c r="B364" s="179" t="str">
        <f ca="1"/>
        <v/>
      </c>
      <c r="C364" s="180" t="str">
        <f ca="1"/>
        <v/>
      </c>
      <c r="D364" s="180" t="str">
        <f ca="1"/>
        <v/>
      </c>
      <c r="E364" s="180" t="str">
        <f ca="1"/>
        <v/>
      </c>
      <c r="F364" s="180" t="str">
        <f ca="1"/>
        <v/>
      </c>
      <c r="G364" s="180" t="str">
        <f ca="1"/>
        <v/>
      </c>
      <c r="H364" s="180" t="str">
        <f ca="1"/>
        <v/>
      </c>
      <c r="I364" s="180" t="str">
        <f ca="1"/>
        <v/>
      </c>
      <c r="J364" s="180" t="str">
        <f ca="1"/>
        <v/>
      </c>
      <c r="K364" s="180" t="str">
        <f ca="1"/>
        <v/>
      </c>
      <c r="L364" s="180" t="str">
        <f ca="1"/>
        <v/>
      </c>
      <c r="M364" s="180" t="str">
        <f ca="1"/>
        <v/>
      </c>
      <c r="N364" s="180" t="str">
        <f ca="1"/>
        <v/>
      </c>
      <c r="O364" s="180" t="str">
        <f ca="1"/>
        <v/>
      </c>
      <c r="P364" s="180" t="str">
        <f ca="1"/>
        <v/>
      </c>
      <c r="Q364" s="180" t="str">
        <f ca="1"/>
        <v/>
      </c>
      <c r="R364" s="180" t="str">
        <f ca="1"/>
        <v/>
      </c>
      <c r="S364" s="180" t="str">
        <f ca="1"/>
        <v/>
      </c>
      <c r="T364" s="180" t="str">
        <f ca="1"/>
        <v/>
      </c>
      <c r="U364" s="180" t="str">
        <f ca="1"/>
        <v/>
      </c>
      <c r="V364" s="180" t="str">
        <f ca="1"/>
        <v/>
      </c>
      <c r="W364" s="180" t="str">
        <f ca="1"/>
        <v/>
      </c>
      <c r="X364" s="180" t="str">
        <f ca="1"/>
        <v/>
      </c>
      <c r="Y364" s="180" t="str">
        <f ca="1"/>
        <v/>
      </c>
      <c r="Z364" s="180" t="str">
        <f ca="1"/>
        <v/>
      </c>
      <c r="AA364" s="180" t="str">
        <f ca="1"/>
        <v/>
      </c>
      <c r="AB364" s="180" t="str">
        <f ca="1"/>
        <v/>
      </c>
      <c r="AC364" s="180" t="str">
        <f ca="1"/>
        <v/>
      </c>
      <c r="AD364" s="180" t="str">
        <f ca="1"/>
        <v/>
      </c>
      <c r="AE364" s="180" t="str">
        <f ca="1"/>
        <v/>
      </c>
      <c r="AF364" s="180" t="str">
        <f ca="1"/>
        <v/>
      </c>
      <c r="AG364" s="180" t="str">
        <f ca="1"/>
        <v/>
      </c>
      <c r="AH364" s="180" t="str">
        <f ca="1"/>
        <v/>
      </c>
      <c r="AI364" s="180" t="str">
        <f ca="1"/>
        <v/>
      </c>
      <c r="AJ364" s="180" t="str">
        <f ca="1"/>
        <v/>
      </c>
      <c r="AK364" s="180" t="str">
        <f ca="1"/>
        <v/>
      </c>
      <c r="AL364" s="180" t="str">
        <f ca="1"/>
        <v/>
      </c>
      <c r="AM364" s="180" t="str">
        <f ca="1"/>
        <v/>
      </c>
      <c r="AN364" s="180" t="str">
        <f ca="1"/>
        <v/>
      </c>
      <c r="AO364" s="180" t="str">
        <f ca="1"/>
        <v/>
      </c>
      <c r="AP364" s="180" t="str">
        <f ca="1"/>
        <v/>
      </c>
      <c r="AQ364" s="187" t="str">
        <f ca="1"/>
        <v/>
      </c>
    </row>
    <row r="365" spans="2:43" x14ac:dyDescent="0.25">
      <c r="B365" s="179" t="str">
        <f ca="1"/>
        <v/>
      </c>
      <c r="C365" s="180" t="str">
        <f ca="1"/>
        <v/>
      </c>
      <c r="D365" s="180" t="str">
        <f ca="1"/>
        <v/>
      </c>
      <c r="E365" s="180" t="str">
        <f ca="1"/>
        <v/>
      </c>
      <c r="F365" s="180" t="str">
        <f ca="1"/>
        <v/>
      </c>
      <c r="G365" s="180" t="str">
        <f ca="1"/>
        <v/>
      </c>
      <c r="H365" s="180" t="str">
        <f ca="1"/>
        <v/>
      </c>
      <c r="I365" s="180" t="str">
        <f ca="1"/>
        <v/>
      </c>
      <c r="J365" s="180" t="str">
        <f ca="1"/>
        <v/>
      </c>
      <c r="K365" s="180" t="str">
        <f ca="1"/>
        <v/>
      </c>
      <c r="L365" s="180" t="str">
        <f ca="1"/>
        <v/>
      </c>
      <c r="M365" s="180" t="str">
        <f ca="1"/>
        <v/>
      </c>
      <c r="N365" s="180" t="str">
        <f ca="1"/>
        <v/>
      </c>
      <c r="O365" s="180" t="str">
        <f ca="1"/>
        <v/>
      </c>
      <c r="P365" s="180" t="str">
        <f ca="1"/>
        <v/>
      </c>
      <c r="Q365" s="180" t="str">
        <f ca="1"/>
        <v/>
      </c>
      <c r="R365" s="180" t="str">
        <f ca="1"/>
        <v/>
      </c>
      <c r="S365" s="180" t="str">
        <f ca="1"/>
        <v/>
      </c>
      <c r="T365" s="180" t="str">
        <f ca="1"/>
        <v/>
      </c>
      <c r="U365" s="180" t="str">
        <f ca="1"/>
        <v/>
      </c>
      <c r="V365" s="180" t="str">
        <f ca="1"/>
        <v/>
      </c>
      <c r="W365" s="180" t="str">
        <f ca="1"/>
        <v/>
      </c>
      <c r="X365" s="180" t="str">
        <f ca="1"/>
        <v/>
      </c>
      <c r="Y365" s="180" t="str">
        <f ca="1"/>
        <v/>
      </c>
      <c r="Z365" s="180" t="str">
        <f ca="1"/>
        <v/>
      </c>
      <c r="AA365" s="180" t="str">
        <f ca="1"/>
        <v/>
      </c>
      <c r="AB365" s="180" t="str">
        <f ca="1"/>
        <v/>
      </c>
      <c r="AC365" s="180" t="str">
        <f ca="1"/>
        <v/>
      </c>
      <c r="AD365" s="180" t="str">
        <f ca="1"/>
        <v/>
      </c>
      <c r="AE365" s="180" t="str">
        <f ca="1"/>
        <v/>
      </c>
      <c r="AF365" s="180" t="str">
        <f ca="1"/>
        <v/>
      </c>
      <c r="AG365" s="180" t="str">
        <f ca="1"/>
        <v/>
      </c>
      <c r="AH365" s="180" t="str">
        <f ca="1"/>
        <v/>
      </c>
      <c r="AI365" s="180" t="str">
        <f ca="1"/>
        <v/>
      </c>
      <c r="AJ365" s="180" t="str">
        <f ca="1"/>
        <v/>
      </c>
      <c r="AK365" s="180" t="str">
        <f ca="1"/>
        <v/>
      </c>
      <c r="AL365" s="180" t="str">
        <f ca="1"/>
        <v/>
      </c>
      <c r="AM365" s="180" t="str">
        <f ca="1"/>
        <v/>
      </c>
      <c r="AN365" s="180" t="str">
        <f ca="1"/>
        <v/>
      </c>
      <c r="AO365" s="180" t="str">
        <f ca="1"/>
        <v/>
      </c>
      <c r="AP365" s="180" t="str">
        <f ca="1"/>
        <v/>
      </c>
      <c r="AQ365" s="187" t="str">
        <f ca="1"/>
        <v/>
      </c>
    </row>
    <row r="366" spans="2:43" x14ac:dyDescent="0.25">
      <c r="B366" s="179" t="str">
        <f ca="1"/>
        <v/>
      </c>
      <c r="C366" s="180" t="str">
        <f ca="1"/>
        <v/>
      </c>
      <c r="D366" s="180" t="str">
        <f ca="1"/>
        <v/>
      </c>
      <c r="E366" s="180" t="str">
        <f ca="1"/>
        <v/>
      </c>
      <c r="F366" s="180" t="str">
        <f ca="1"/>
        <v/>
      </c>
      <c r="G366" s="180" t="str">
        <f ca="1"/>
        <v/>
      </c>
      <c r="H366" s="180" t="str">
        <f ca="1"/>
        <v/>
      </c>
      <c r="I366" s="180" t="str">
        <f ca="1"/>
        <v/>
      </c>
      <c r="J366" s="180" t="str">
        <f ca="1"/>
        <v/>
      </c>
      <c r="K366" s="180" t="str">
        <f ca="1"/>
        <v/>
      </c>
      <c r="L366" s="180" t="str">
        <f ca="1"/>
        <v/>
      </c>
      <c r="M366" s="180" t="str">
        <f ca="1"/>
        <v/>
      </c>
      <c r="N366" s="180" t="str">
        <f ca="1"/>
        <v/>
      </c>
      <c r="O366" s="180" t="str">
        <f ca="1"/>
        <v/>
      </c>
      <c r="P366" s="180" t="str">
        <f ca="1"/>
        <v/>
      </c>
      <c r="Q366" s="180" t="str">
        <f ca="1"/>
        <v/>
      </c>
      <c r="R366" s="180" t="str">
        <f ca="1"/>
        <v/>
      </c>
      <c r="S366" s="180" t="str">
        <f ca="1"/>
        <v/>
      </c>
      <c r="T366" s="180" t="str">
        <f ca="1"/>
        <v/>
      </c>
      <c r="U366" s="180" t="str">
        <f ca="1"/>
        <v/>
      </c>
      <c r="V366" s="180" t="str">
        <f ca="1"/>
        <v/>
      </c>
      <c r="W366" s="180" t="str">
        <f ca="1"/>
        <v/>
      </c>
      <c r="X366" s="180" t="str">
        <f ca="1"/>
        <v/>
      </c>
      <c r="Y366" s="180" t="str">
        <f ca="1"/>
        <v/>
      </c>
      <c r="Z366" s="180" t="str">
        <f ca="1"/>
        <v/>
      </c>
      <c r="AA366" s="180" t="str">
        <f ca="1"/>
        <v/>
      </c>
      <c r="AB366" s="180" t="str">
        <f ca="1"/>
        <v/>
      </c>
      <c r="AC366" s="180" t="str">
        <f ca="1"/>
        <v/>
      </c>
      <c r="AD366" s="180" t="str">
        <f ca="1"/>
        <v/>
      </c>
      <c r="AE366" s="180" t="str">
        <f ca="1"/>
        <v/>
      </c>
      <c r="AF366" s="180" t="str">
        <f ca="1"/>
        <v/>
      </c>
      <c r="AG366" s="180" t="str">
        <f ca="1"/>
        <v/>
      </c>
      <c r="AH366" s="180" t="str">
        <f ca="1"/>
        <v/>
      </c>
      <c r="AI366" s="180" t="str">
        <f ca="1"/>
        <v/>
      </c>
      <c r="AJ366" s="180" t="str">
        <f ca="1"/>
        <v/>
      </c>
      <c r="AK366" s="180" t="str">
        <f ca="1"/>
        <v/>
      </c>
      <c r="AL366" s="180" t="str">
        <f ca="1"/>
        <v/>
      </c>
      <c r="AM366" s="180" t="str">
        <f ca="1"/>
        <v/>
      </c>
      <c r="AN366" s="180" t="str">
        <f ca="1"/>
        <v/>
      </c>
      <c r="AO366" s="180" t="str">
        <f ca="1"/>
        <v/>
      </c>
      <c r="AP366" s="180" t="str">
        <f ca="1"/>
        <v/>
      </c>
      <c r="AQ366" s="187" t="str">
        <f ca="1"/>
        <v/>
      </c>
    </row>
    <row r="367" spans="2:43" x14ac:dyDescent="0.25">
      <c r="B367" s="179" t="str">
        <f ca="1"/>
        <v/>
      </c>
      <c r="C367" s="180" t="str">
        <f ca="1"/>
        <v/>
      </c>
      <c r="D367" s="180" t="str">
        <f ca="1"/>
        <v/>
      </c>
      <c r="E367" s="180" t="str">
        <f ca="1"/>
        <v/>
      </c>
      <c r="F367" s="180" t="str">
        <f ca="1"/>
        <v/>
      </c>
      <c r="G367" s="180" t="str">
        <f ca="1"/>
        <v/>
      </c>
      <c r="H367" s="180" t="str">
        <f ca="1"/>
        <v/>
      </c>
      <c r="I367" s="180" t="str">
        <f ca="1"/>
        <v/>
      </c>
      <c r="J367" s="180" t="str">
        <f ca="1"/>
        <v/>
      </c>
      <c r="K367" s="180" t="str">
        <f ca="1"/>
        <v/>
      </c>
      <c r="L367" s="180" t="str">
        <f ca="1"/>
        <v/>
      </c>
      <c r="M367" s="180" t="str">
        <f ca="1"/>
        <v/>
      </c>
      <c r="N367" s="180" t="str">
        <f ca="1"/>
        <v/>
      </c>
      <c r="O367" s="180" t="str">
        <f ca="1"/>
        <v/>
      </c>
      <c r="P367" s="180" t="str">
        <f ca="1"/>
        <v/>
      </c>
      <c r="Q367" s="180" t="str">
        <f ca="1"/>
        <v/>
      </c>
      <c r="R367" s="180" t="str">
        <f ca="1"/>
        <v/>
      </c>
      <c r="S367" s="180" t="str">
        <f ca="1"/>
        <v/>
      </c>
      <c r="T367" s="180" t="str">
        <f ca="1"/>
        <v/>
      </c>
      <c r="U367" s="180" t="str">
        <f ca="1"/>
        <v/>
      </c>
      <c r="V367" s="180" t="str">
        <f ca="1"/>
        <v/>
      </c>
      <c r="W367" s="180" t="str">
        <f ca="1"/>
        <v/>
      </c>
      <c r="X367" s="180" t="str">
        <f ca="1"/>
        <v/>
      </c>
      <c r="Y367" s="180" t="str">
        <f ca="1"/>
        <v/>
      </c>
      <c r="Z367" s="180" t="str">
        <f ca="1"/>
        <v/>
      </c>
      <c r="AA367" s="180" t="str">
        <f ca="1"/>
        <v/>
      </c>
      <c r="AB367" s="180" t="str">
        <f ca="1"/>
        <v/>
      </c>
      <c r="AC367" s="180" t="str">
        <f ca="1"/>
        <v/>
      </c>
      <c r="AD367" s="180" t="str">
        <f ca="1"/>
        <v/>
      </c>
      <c r="AE367" s="180" t="str">
        <f ca="1"/>
        <v/>
      </c>
      <c r="AF367" s="180" t="str">
        <f ca="1"/>
        <v/>
      </c>
      <c r="AG367" s="180" t="str">
        <f ca="1"/>
        <v/>
      </c>
      <c r="AH367" s="180" t="str">
        <f ca="1"/>
        <v/>
      </c>
      <c r="AI367" s="180" t="str">
        <f ca="1"/>
        <v/>
      </c>
      <c r="AJ367" s="180" t="str">
        <f ca="1"/>
        <v/>
      </c>
      <c r="AK367" s="180" t="str">
        <f ca="1"/>
        <v/>
      </c>
      <c r="AL367" s="180" t="str">
        <f ca="1"/>
        <v/>
      </c>
      <c r="AM367" s="180" t="str">
        <f ca="1"/>
        <v/>
      </c>
      <c r="AN367" s="180" t="str">
        <f ca="1"/>
        <v/>
      </c>
      <c r="AO367" s="180" t="str">
        <f ca="1"/>
        <v/>
      </c>
      <c r="AP367" s="180" t="str">
        <f ca="1"/>
        <v/>
      </c>
      <c r="AQ367" s="187" t="str">
        <f ca="1"/>
        <v/>
      </c>
    </row>
    <row r="368" spans="2:43" x14ac:dyDescent="0.25">
      <c r="B368" s="179" t="str">
        <f ca="1"/>
        <v/>
      </c>
      <c r="C368" s="180" t="str">
        <f ca="1"/>
        <v/>
      </c>
      <c r="D368" s="180" t="str">
        <f ca="1"/>
        <v/>
      </c>
      <c r="E368" s="180" t="str">
        <f ca="1"/>
        <v/>
      </c>
      <c r="F368" s="180" t="str">
        <f ca="1"/>
        <v/>
      </c>
      <c r="G368" s="180" t="str">
        <f ca="1"/>
        <v/>
      </c>
      <c r="H368" s="180" t="str">
        <f ca="1"/>
        <v/>
      </c>
      <c r="I368" s="180" t="str">
        <f ca="1"/>
        <v/>
      </c>
      <c r="J368" s="180" t="str">
        <f ca="1"/>
        <v/>
      </c>
      <c r="K368" s="180" t="str">
        <f ca="1"/>
        <v/>
      </c>
      <c r="L368" s="180" t="str">
        <f ca="1"/>
        <v/>
      </c>
      <c r="M368" s="180" t="str">
        <f ca="1"/>
        <v/>
      </c>
      <c r="N368" s="180" t="str">
        <f ca="1"/>
        <v/>
      </c>
      <c r="O368" s="180" t="str">
        <f ca="1"/>
        <v/>
      </c>
      <c r="P368" s="180" t="str">
        <f ca="1"/>
        <v/>
      </c>
      <c r="Q368" s="180" t="str">
        <f ca="1"/>
        <v/>
      </c>
      <c r="R368" s="180" t="str">
        <f ca="1"/>
        <v/>
      </c>
      <c r="S368" s="180" t="str">
        <f ca="1"/>
        <v/>
      </c>
      <c r="T368" s="180" t="str">
        <f ca="1"/>
        <v/>
      </c>
      <c r="U368" s="180" t="str">
        <f ca="1"/>
        <v/>
      </c>
      <c r="V368" s="180" t="str">
        <f ca="1"/>
        <v/>
      </c>
      <c r="W368" s="180" t="str">
        <f ca="1"/>
        <v/>
      </c>
      <c r="X368" s="180" t="str">
        <f ca="1"/>
        <v/>
      </c>
      <c r="Y368" s="180" t="str">
        <f ca="1"/>
        <v/>
      </c>
      <c r="Z368" s="180" t="str">
        <f ca="1"/>
        <v/>
      </c>
      <c r="AA368" s="180" t="str">
        <f ca="1"/>
        <v/>
      </c>
      <c r="AB368" s="180" t="str">
        <f ca="1"/>
        <v/>
      </c>
      <c r="AC368" s="180" t="str">
        <f ca="1"/>
        <v/>
      </c>
      <c r="AD368" s="180" t="str">
        <f ca="1"/>
        <v/>
      </c>
      <c r="AE368" s="180" t="str">
        <f ca="1"/>
        <v/>
      </c>
      <c r="AF368" s="180" t="str">
        <f ca="1"/>
        <v/>
      </c>
      <c r="AG368" s="180" t="str">
        <f ca="1"/>
        <v/>
      </c>
      <c r="AH368" s="180" t="str">
        <f ca="1"/>
        <v/>
      </c>
      <c r="AI368" s="180" t="str">
        <f ca="1"/>
        <v/>
      </c>
      <c r="AJ368" s="180" t="str">
        <f ca="1"/>
        <v/>
      </c>
      <c r="AK368" s="180" t="str">
        <f ca="1"/>
        <v/>
      </c>
      <c r="AL368" s="180" t="str">
        <f ca="1"/>
        <v/>
      </c>
      <c r="AM368" s="180" t="str">
        <f ca="1"/>
        <v/>
      </c>
      <c r="AN368" s="180" t="str">
        <f ca="1"/>
        <v/>
      </c>
      <c r="AO368" s="180" t="str">
        <f ca="1"/>
        <v/>
      </c>
      <c r="AP368" s="180" t="str">
        <f ca="1"/>
        <v/>
      </c>
      <c r="AQ368" s="187" t="str">
        <f ca="1"/>
        <v/>
      </c>
    </row>
    <row r="369" spans="2:43" x14ac:dyDescent="0.25">
      <c r="B369" s="179" t="str">
        <f ca="1"/>
        <v/>
      </c>
      <c r="C369" s="180" t="str">
        <f ca="1"/>
        <v/>
      </c>
      <c r="D369" s="180" t="str">
        <f ca="1"/>
        <v/>
      </c>
      <c r="E369" s="180" t="str">
        <f ca="1"/>
        <v/>
      </c>
      <c r="F369" s="180" t="str">
        <f ca="1"/>
        <v/>
      </c>
      <c r="G369" s="180" t="str">
        <f ca="1"/>
        <v/>
      </c>
      <c r="H369" s="180" t="str">
        <f ca="1"/>
        <v/>
      </c>
      <c r="I369" s="180" t="str">
        <f ca="1"/>
        <v/>
      </c>
      <c r="J369" s="180" t="str">
        <f ca="1"/>
        <v/>
      </c>
      <c r="K369" s="180" t="str">
        <f ca="1"/>
        <v/>
      </c>
      <c r="L369" s="180" t="str">
        <f ca="1"/>
        <v/>
      </c>
      <c r="M369" s="180" t="str">
        <f ca="1"/>
        <v/>
      </c>
      <c r="N369" s="180" t="str">
        <f ca="1"/>
        <v/>
      </c>
      <c r="O369" s="180" t="str">
        <f ca="1"/>
        <v/>
      </c>
      <c r="P369" s="180" t="str">
        <f ca="1"/>
        <v/>
      </c>
      <c r="Q369" s="180" t="str">
        <f ca="1"/>
        <v/>
      </c>
      <c r="R369" s="180" t="str">
        <f ca="1"/>
        <v/>
      </c>
      <c r="S369" s="180" t="str">
        <f ca="1"/>
        <v/>
      </c>
      <c r="T369" s="180" t="str">
        <f ca="1"/>
        <v/>
      </c>
      <c r="U369" s="180" t="str">
        <f ca="1"/>
        <v/>
      </c>
      <c r="V369" s="180" t="str">
        <f ca="1"/>
        <v/>
      </c>
      <c r="W369" s="180" t="str">
        <f ca="1"/>
        <v/>
      </c>
      <c r="X369" s="180" t="str">
        <f ca="1"/>
        <v/>
      </c>
      <c r="Y369" s="180" t="str">
        <f ca="1"/>
        <v/>
      </c>
      <c r="Z369" s="180" t="str">
        <f ca="1"/>
        <v/>
      </c>
      <c r="AA369" s="180" t="str">
        <f ca="1"/>
        <v/>
      </c>
      <c r="AB369" s="180" t="str">
        <f ca="1"/>
        <v/>
      </c>
      <c r="AC369" s="180" t="str">
        <f ca="1"/>
        <v/>
      </c>
      <c r="AD369" s="180" t="str">
        <f ca="1"/>
        <v/>
      </c>
      <c r="AE369" s="180" t="str">
        <f ca="1"/>
        <v/>
      </c>
      <c r="AF369" s="180" t="str">
        <f ca="1"/>
        <v/>
      </c>
      <c r="AG369" s="180" t="str">
        <f ca="1"/>
        <v/>
      </c>
      <c r="AH369" s="180" t="str">
        <f ca="1"/>
        <v/>
      </c>
      <c r="AI369" s="180" t="str">
        <f ca="1"/>
        <v/>
      </c>
      <c r="AJ369" s="180" t="str">
        <f ca="1"/>
        <v/>
      </c>
      <c r="AK369" s="180" t="str">
        <f ca="1"/>
        <v/>
      </c>
      <c r="AL369" s="180" t="str">
        <f ca="1"/>
        <v/>
      </c>
      <c r="AM369" s="180" t="str">
        <f ca="1"/>
        <v/>
      </c>
      <c r="AN369" s="180" t="str">
        <f ca="1"/>
        <v/>
      </c>
      <c r="AO369" s="180" t="str">
        <f ca="1"/>
        <v/>
      </c>
      <c r="AP369" s="180" t="str">
        <f ca="1"/>
        <v/>
      </c>
      <c r="AQ369" s="187" t="str">
        <f ca="1"/>
        <v/>
      </c>
    </row>
    <row r="370" spans="2:43" x14ac:dyDescent="0.25">
      <c r="B370" s="179" t="str">
        <f ca="1"/>
        <v/>
      </c>
      <c r="C370" s="180" t="str">
        <f ca="1"/>
        <v/>
      </c>
      <c r="D370" s="180" t="str">
        <f ca="1"/>
        <v/>
      </c>
      <c r="E370" s="180" t="str">
        <f ca="1"/>
        <v/>
      </c>
      <c r="F370" s="180" t="str">
        <f ca="1"/>
        <v/>
      </c>
      <c r="G370" s="180" t="str">
        <f ca="1"/>
        <v/>
      </c>
      <c r="H370" s="180" t="str">
        <f ca="1"/>
        <v/>
      </c>
      <c r="I370" s="180" t="str">
        <f ca="1"/>
        <v/>
      </c>
      <c r="J370" s="180" t="str">
        <f ca="1"/>
        <v/>
      </c>
      <c r="K370" s="180" t="str">
        <f ca="1"/>
        <v/>
      </c>
      <c r="L370" s="180" t="str">
        <f ca="1"/>
        <v/>
      </c>
      <c r="M370" s="180" t="str">
        <f ca="1"/>
        <v/>
      </c>
      <c r="N370" s="180" t="str">
        <f ca="1"/>
        <v/>
      </c>
      <c r="O370" s="180" t="str">
        <f ca="1"/>
        <v/>
      </c>
      <c r="P370" s="180" t="str">
        <f ca="1"/>
        <v/>
      </c>
      <c r="Q370" s="180" t="str">
        <f ca="1"/>
        <v/>
      </c>
      <c r="R370" s="180" t="str">
        <f ca="1"/>
        <v/>
      </c>
      <c r="S370" s="180" t="str">
        <f ca="1"/>
        <v/>
      </c>
      <c r="T370" s="180" t="str">
        <f ca="1"/>
        <v/>
      </c>
      <c r="U370" s="180" t="str">
        <f ca="1"/>
        <v/>
      </c>
      <c r="V370" s="180" t="str">
        <f ca="1"/>
        <v/>
      </c>
      <c r="W370" s="180" t="str">
        <f ca="1"/>
        <v/>
      </c>
      <c r="X370" s="180" t="str">
        <f ca="1"/>
        <v/>
      </c>
      <c r="Y370" s="180" t="str">
        <f ca="1"/>
        <v/>
      </c>
      <c r="Z370" s="180" t="str">
        <f ca="1"/>
        <v/>
      </c>
      <c r="AA370" s="180" t="str">
        <f ca="1"/>
        <v/>
      </c>
      <c r="AB370" s="180" t="str">
        <f ca="1"/>
        <v/>
      </c>
      <c r="AC370" s="180" t="str">
        <f ca="1"/>
        <v/>
      </c>
      <c r="AD370" s="180" t="str">
        <f ca="1"/>
        <v/>
      </c>
      <c r="AE370" s="180" t="str">
        <f ca="1"/>
        <v/>
      </c>
      <c r="AF370" s="180" t="str">
        <f ca="1"/>
        <v/>
      </c>
      <c r="AG370" s="180" t="str">
        <f ca="1"/>
        <v/>
      </c>
      <c r="AH370" s="180" t="str">
        <f ca="1"/>
        <v/>
      </c>
      <c r="AI370" s="180" t="str">
        <f ca="1"/>
        <v/>
      </c>
      <c r="AJ370" s="180" t="str">
        <f ca="1"/>
        <v/>
      </c>
      <c r="AK370" s="180" t="str">
        <f ca="1"/>
        <v/>
      </c>
      <c r="AL370" s="180" t="str">
        <f ca="1"/>
        <v/>
      </c>
      <c r="AM370" s="180" t="str">
        <f ca="1"/>
        <v/>
      </c>
      <c r="AN370" s="180" t="str">
        <f ca="1"/>
        <v/>
      </c>
      <c r="AO370" s="180" t="str">
        <f ca="1"/>
        <v/>
      </c>
      <c r="AP370" s="180" t="str">
        <f ca="1"/>
        <v/>
      </c>
      <c r="AQ370" s="187" t="str">
        <f ca="1"/>
        <v/>
      </c>
    </row>
    <row r="371" spans="2:43" x14ac:dyDescent="0.25">
      <c r="B371" s="179" t="str">
        <f ca="1"/>
        <v/>
      </c>
      <c r="C371" s="180" t="str">
        <f ca="1"/>
        <v/>
      </c>
      <c r="D371" s="180" t="str">
        <f ca="1"/>
        <v/>
      </c>
      <c r="E371" s="180" t="str">
        <f ca="1"/>
        <v/>
      </c>
      <c r="F371" s="180" t="str">
        <f ca="1"/>
        <v/>
      </c>
      <c r="G371" s="180" t="str">
        <f ca="1"/>
        <v/>
      </c>
      <c r="H371" s="180" t="str">
        <f ca="1"/>
        <v/>
      </c>
      <c r="I371" s="180" t="str">
        <f ca="1"/>
        <v/>
      </c>
      <c r="J371" s="180" t="str">
        <f ca="1"/>
        <v/>
      </c>
      <c r="K371" s="180" t="str">
        <f ca="1"/>
        <v/>
      </c>
      <c r="L371" s="180" t="str">
        <f ca="1"/>
        <v/>
      </c>
      <c r="M371" s="180" t="str">
        <f ca="1"/>
        <v/>
      </c>
      <c r="N371" s="180" t="str">
        <f ca="1"/>
        <v/>
      </c>
      <c r="O371" s="180" t="str">
        <f ca="1"/>
        <v/>
      </c>
      <c r="P371" s="180" t="str">
        <f ca="1"/>
        <v/>
      </c>
      <c r="Q371" s="180" t="str">
        <f ca="1"/>
        <v/>
      </c>
      <c r="R371" s="180" t="str">
        <f ca="1"/>
        <v/>
      </c>
      <c r="S371" s="180" t="str">
        <f ca="1"/>
        <v/>
      </c>
      <c r="T371" s="180" t="str">
        <f ca="1"/>
        <v/>
      </c>
      <c r="U371" s="180" t="str">
        <f ca="1"/>
        <v/>
      </c>
      <c r="V371" s="180" t="str">
        <f ca="1"/>
        <v/>
      </c>
      <c r="W371" s="180" t="str">
        <f ca="1"/>
        <v/>
      </c>
      <c r="X371" s="180" t="str">
        <f ca="1"/>
        <v/>
      </c>
      <c r="Y371" s="180" t="str">
        <f ca="1"/>
        <v/>
      </c>
      <c r="Z371" s="180" t="str">
        <f ca="1"/>
        <v/>
      </c>
      <c r="AA371" s="180" t="str">
        <f ca="1"/>
        <v/>
      </c>
      <c r="AB371" s="180" t="str">
        <f ca="1"/>
        <v/>
      </c>
      <c r="AC371" s="180" t="str">
        <f ca="1"/>
        <v/>
      </c>
      <c r="AD371" s="180" t="str">
        <f ca="1"/>
        <v/>
      </c>
      <c r="AE371" s="180" t="str">
        <f ca="1"/>
        <v/>
      </c>
      <c r="AF371" s="180" t="str">
        <f ca="1"/>
        <v/>
      </c>
      <c r="AG371" s="180" t="str">
        <f ca="1"/>
        <v/>
      </c>
      <c r="AH371" s="180" t="str">
        <f ca="1"/>
        <v/>
      </c>
      <c r="AI371" s="180" t="str">
        <f ca="1"/>
        <v/>
      </c>
      <c r="AJ371" s="180" t="str">
        <f ca="1"/>
        <v/>
      </c>
      <c r="AK371" s="180" t="str">
        <f ca="1"/>
        <v/>
      </c>
      <c r="AL371" s="180" t="str">
        <f ca="1"/>
        <v/>
      </c>
      <c r="AM371" s="180" t="str">
        <f ca="1"/>
        <v/>
      </c>
      <c r="AN371" s="180" t="str">
        <f ca="1"/>
        <v/>
      </c>
      <c r="AO371" s="180" t="str">
        <f ca="1"/>
        <v/>
      </c>
      <c r="AP371" s="180" t="str">
        <f ca="1"/>
        <v/>
      </c>
      <c r="AQ371" s="187" t="str">
        <f ca="1"/>
        <v/>
      </c>
    </row>
    <row r="372" spans="2:43" x14ac:dyDescent="0.25">
      <c r="B372" s="179" t="str">
        <f ca="1"/>
        <v/>
      </c>
      <c r="C372" s="180" t="str">
        <f ca="1"/>
        <v/>
      </c>
      <c r="D372" s="180" t="str">
        <f ca="1"/>
        <v/>
      </c>
      <c r="E372" s="180" t="str">
        <f ca="1"/>
        <v/>
      </c>
      <c r="F372" s="180" t="str">
        <f ca="1"/>
        <v/>
      </c>
      <c r="G372" s="180" t="str">
        <f ca="1"/>
        <v/>
      </c>
      <c r="H372" s="180" t="str">
        <f ca="1"/>
        <v/>
      </c>
      <c r="I372" s="180" t="str">
        <f ca="1"/>
        <v/>
      </c>
      <c r="J372" s="180" t="str">
        <f ca="1"/>
        <v/>
      </c>
      <c r="K372" s="180" t="str">
        <f ca="1"/>
        <v/>
      </c>
      <c r="L372" s="180" t="str">
        <f ca="1"/>
        <v/>
      </c>
      <c r="M372" s="180" t="str">
        <f ca="1"/>
        <v/>
      </c>
      <c r="N372" s="180" t="str">
        <f ca="1"/>
        <v/>
      </c>
      <c r="O372" s="180" t="str">
        <f ca="1"/>
        <v/>
      </c>
      <c r="P372" s="180" t="str">
        <f ca="1"/>
        <v/>
      </c>
      <c r="Q372" s="180" t="str">
        <f ca="1"/>
        <v/>
      </c>
      <c r="R372" s="180" t="str">
        <f ca="1"/>
        <v/>
      </c>
      <c r="S372" s="180" t="str">
        <f ca="1"/>
        <v/>
      </c>
      <c r="T372" s="180" t="str">
        <f ca="1"/>
        <v/>
      </c>
      <c r="U372" s="180" t="str">
        <f ca="1"/>
        <v/>
      </c>
      <c r="V372" s="180" t="str">
        <f ca="1"/>
        <v/>
      </c>
      <c r="W372" s="180" t="str">
        <f ca="1"/>
        <v/>
      </c>
      <c r="X372" s="180" t="str">
        <f ca="1"/>
        <v/>
      </c>
      <c r="Y372" s="180" t="str">
        <f ca="1"/>
        <v/>
      </c>
      <c r="Z372" s="180" t="str">
        <f ca="1"/>
        <v/>
      </c>
      <c r="AA372" s="180" t="str">
        <f ca="1"/>
        <v/>
      </c>
      <c r="AB372" s="180" t="str">
        <f ca="1"/>
        <v/>
      </c>
      <c r="AC372" s="180" t="str">
        <f ca="1"/>
        <v/>
      </c>
      <c r="AD372" s="180" t="str">
        <f ca="1"/>
        <v/>
      </c>
      <c r="AE372" s="180" t="str">
        <f ca="1"/>
        <v/>
      </c>
      <c r="AF372" s="180" t="str">
        <f ca="1"/>
        <v/>
      </c>
      <c r="AG372" s="180" t="str">
        <f ca="1"/>
        <v/>
      </c>
      <c r="AH372" s="180" t="str">
        <f ca="1"/>
        <v/>
      </c>
      <c r="AI372" s="180" t="str">
        <f ca="1"/>
        <v/>
      </c>
      <c r="AJ372" s="180" t="str">
        <f ca="1"/>
        <v/>
      </c>
      <c r="AK372" s="180" t="str">
        <f ca="1"/>
        <v/>
      </c>
      <c r="AL372" s="180" t="str">
        <f ca="1"/>
        <v/>
      </c>
      <c r="AM372" s="180" t="str">
        <f ca="1"/>
        <v/>
      </c>
      <c r="AN372" s="180" t="str">
        <f ca="1"/>
        <v/>
      </c>
      <c r="AO372" s="180" t="str">
        <f ca="1"/>
        <v/>
      </c>
      <c r="AP372" s="180" t="str">
        <f ca="1"/>
        <v/>
      </c>
      <c r="AQ372" s="187" t="str">
        <f ca="1"/>
        <v/>
      </c>
    </row>
    <row r="373" spans="2:43" x14ac:dyDescent="0.25">
      <c r="B373" s="179" t="str">
        <f ca="1"/>
        <v/>
      </c>
      <c r="C373" s="180" t="str">
        <f ca="1"/>
        <v/>
      </c>
      <c r="D373" s="180" t="str">
        <f ca="1"/>
        <v/>
      </c>
      <c r="E373" s="180" t="str">
        <f ca="1"/>
        <v/>
      </c>
      <c r="F373" s="180" t="str">
        <f ca="1"/>
        <v/>
      </c>
      <c r="G373" s="180" t="str">
        <f ca="1"/>
        <v/>
      </c>
      <c r="H373" s="180" t="str">
        <f ca="1"/>
        <v/>
      </c>
      <c r="I373" s="180" t="str">
        <f ca="1"/>
        <v/>
      </c>
      <c r="J373" s="180" t="str">
        <f ca="1"/>
        <v/>
      </c>
      <c r="K373" s="180" t="str">
        <f ca="1"/>
        <v/>
      </c>
      <c r="L373" s="180" t="str">
        <f ca="1"/>
        <v/>
      </c>
      <c r="M373" s="180" t="str">
        <f ca="1"/>
        <v/>
      </c>
      <c r="N373" s="180" t="str">
        <f ca="1"/>
        <v/>
      </c>
      <c r="O373" s="180" t="str">
        <f ca="1"/>
        <v/>
      </c>
      <c r="P373" s="180" t="str">
        <f ca="1"/>
        <v/>
      </c>
      <c r="Q373" s="180" t="str">
        <f ca="1"/>
        <v/>
      </c>
      <c r="R373" s="180" t="str">
        <f ca="1"/>
        <v/>
      </c>
      <c r="S373" s="180" t="str">
        <f ca="1"/>
        <v/>
      </c>
      <c r="T373" s="180" t="str">
        <f ca="1"/>
        <v/>
      </c>
      <c r="U373" s="180" t="str">
        <f ca="1"/>
        <v/>
      </c>
      <c r="V373" s="180" t="str">
        <f ca="1"/>
        <v/>
      </c>
      <c r="W373" s="180" t="str">
        <f ca="1"/>
        <v/>
      </c>
      <c r="X373" s="180" t="str">
        <f ca="1"/>
        <v/>
      </c>
      <c r="Y373" s="180" t="str">
        <f ca="1"/>
        <v/>
      </c>
      <c r="Z373" s="180" t="str">
        <f ca="1"/>
        <v/>
      </c>
      <c r="AA373" s="180" t="str">
        <f ca="1"/>
        <v/>
      </c>
      <c r="AB373" s="180" t="str">
        <f ca="1"/>
        <v/>
      </c>
      <c r="AC373" s="180" t="str">
        <f ca="1"/>
        <v/>
      </c>
      <c r="AD373" s="180" t="str">
        <f ca="1"/>
        <v/>
      </c>
      <c r="AE373" s="180" t="str">
        <f ca="1"/>
        <v/>
      </c>
      <c r="AF373" s="180" t="str">
        <f ca="1"/>
        <v/>
      </c>
      <c r="AG373" s="180" t="str">
        <f ca="1"/>
        <v/>
      </c>
      <c r="AH373" s="180" t="str">
        <f ca="1"/>
        <v/>
      </c>
      <c r="AI373" s="180" t="str">
        <f ca="1"/>
        <v/>
      </c>
      <c r="AJ373" s="180" t="str">
        <f ca="1"/>
        <v/>
      </c>
      <c r="AK373" s="180" t="str">
        <f ca="1"/>
        <v/>
      </c>
      <c r="AL373" s="180" t="str">
        <f ca="1"/>
        <v/>
      </c>
      <c r="AM373" s="180" t="str">
        <f ca="1"/>
        <v/>
      </c>
      <c r="AN373" s="180" t="str">
        <f ca="1"/>
        <v/>
      </c>
      <c r="AO373" s="180" t="str">
        <f ca="1"/>
        <v/>
      </c>
      <c r="AP373" s="180" t="str">
        <f ca="1"/>
        <v/>
      </c>
      <c r="AQ373" s="187" t="str">
        <f ca="1"/>
        <v/>
      </c>
    </row>
    <row r="374" spans="2:43" x14ac:dyDescent="0.25">
      <c r="B374" s="179" t="str">
        <f ca="1"/>
        <v/>
      </c>
      <c r="C374" s="180" t="str">
        <f ca="1"/>
        <v/>
      </c>
      <c r="D374" s="180" t="str">
        <f ca="1"/>
        <v/>
      </c>
      <c r="E374" s="180" t="str">
        <f ca="1"/>
        <v/>
      </c>
      <c r="F374" s="180" t="str">
        <f ca="1"/>
        <v/>
      </c>
      <c r="G374" s="180" t="str">
        <f ca="1"/>
        <v/>
      </c>
      <c r="H374" s="180" t="str">
        <f ca="1"/>
        <v/>
      </c>
      <c r="I374" s="180" t="str">
        <f ca="1"/>
        <v/>
      </c>
      <c r="J374" s="180" t="str">
        <f ca="1"/>
        <v/>
      </c>
      <c r="K374" s="180" t="str">
        <f ca="1"/>
        <v/>
      </c>
      <c r="L374" s="180" t="str">
        <f ca="1"/>
        <v/>
      </c>
      <c r="M374" s="180" t="str">
        <f ca="1"/>
        <v/>
      </c>
      <c r="N374" s="180" t="str">
        <f ca="1"/>
        <v/>
      </c>
      <c r="O374" s="180" t="str">
        <f ca="1"/>
        <v/>
      </c>
      <c r="P374" s="180" t="str">
        <f ca="1"/>
        <v/>
      </c>
      <c r="Q374" s="180" t="str">
        <f ca="1"/>
        <v/>
      </c>
      <c r="R374" s="180" t="str">
        <f ca="1"/>
        <v/>
      </c>
      <c r="S374" s="180" t="str">
        <f ca="1"/>
        <v/>
      </c>
      <c r="T374" s="180" t="str">
        <f ca="1"/>
        <v/>
      </c>
      <c r="U374" s="180" t="str">
        <f ca="1"/>
        <v/>
      </c>
      <c r="V374" s="180" t="str">
        <f ca="1"/>
        <v/>
      </c>
      <c r="W374" s="180" t="str">
        <f ca="1"/>
        <v/>
      </c>
      <c r="X374" s="180" t="str">
        <f ca="1"/>
        <v/>
      </c>
      <c r="Y374" s="180" t="str">
        <f ca="1"/>
        <v/>
      </c>
      <c r="Z374" s="180" t="str">
        <f ca="1"/>
        <v/>
      </c>
      <c r="AA374" s="180" t="str">
        <f ca="1"/>
        <v/>
      </c>
      <c r="AB374" s="180" t="str">
        <f ca="1"/>
        <v/>
      </c>
      <c r="AC374" s="180" t="str">
        <f ca="1"/>
        <v/>
      </c>
      <c r="AD374" s="180" t="str">
        <f ca="1"/>
        <v/>
      </c>
      <c r="AE374" s="180" t="str">
        <f ca="1"/>
        <v/>
      </c>
      <c r="AF374" s="180" t="str">
        <f ca="1"/>
        <v/>
      </c>
      <c r="AG374" s="180" t="str">
        <f ca="1"/>
        <v/>
      </c>
      <c r="AH374" s="180" t="str">
        <f ca="1"/>
        <v/>
      </c>
      <c r="AI374" s="180" t="str">
        <f ca="1"/>
        <v/>
      </c>
      <c r="AJ374" s="180" t="str">
        <f ca="1"/>
        <v/>
      </c>
      <c r="AK374" s="180" t="str">
        <f ca="1"/>
        <v/>
      </c>
      <c r="AL374" s="180" t="str">
        <f ca="1"/>
        <v/>
      </c>
      <c r="AM374" s="180" t="str">
        <f ca="1"/>
        <v/>
      </c>
      <c r="AN374" s="180" t="str">
        <f ca="1"/>
        <v/>
      </c>
      <c r="AO374" s="180" t="str">
        <f ca="1"/>
        <v/>
      </c>
      <c r="AP374" s="180" t="str">
        <f ca="1"/>
        <v/>
      </c>
      <c r="AQ374" s="187" t="str">
        <f ca="1"/>
        <v/>
      </c>
    </row>
    <row r="375" spans="2:43" x14ac:dyDescent="0.25">
      <c r="B375" s="179" t="str">
        <f ca="1"/>
        <v/>
      </c>
      <c r="C375" s="180" t="str">
        <f ca="1"/>
        <v/>
      </c>
      <c r="D375" s="180" t="str">
        <f ca="1"/>
        <v/>
      </c>
      <c r="E375" s="180" t="str">
        <f ca="1"/>
        <v/>
      </c>
      <c r="F375" s="180" t="str">
        <f ca="1"/>
        <v/>
      </c>
      <c r="G375" s="180" t="str">
        <f ca="1"/>
        <v/>
      </c>
      <c r="H375" s="180" t="str">
        <f ca="1"/>
        <v/>
      </c>
      <c r="I375" s="180" t="str">
        <f ca="1"/>
        <v/>
      </c>
      <c r="J375" s="180" t="str">
        <f ca="1"/>
        <v/>
      </c>
      <c r="K375" s="180" t="str">
        <f ca="1"/>
        <v/>
      </c>
      <c r="L375" s="180" t="str">
        <f ca="1"/>
        <v/>
      </c>
      <c r="M375" s="180" t="str">
        <f ca="1"/>
        <v/>
      </c>
      <c r="N375" s="180" t="str">
        <f ca="1"/>
        <v/>
      </c>
      <c r="O375" s="180" t="str">
        <f ca="1"/>
        <v/>
      </c>
      <c r="P375" s="180" t="str">
        <f ca="1"/>
        <v/>
      </c>
      <c r="Q375" s="180" t="str">
        <f ca="1"/>
        <v/>
      </c>
      <c r="R375" s="180" t="str">
        <f ca="1"/>
        <v/>
      </c>
      <c r="S375" s="180" t="str">
        <f ca="1"/>
        <v/>
      </c>
      <c r="T375" s="180" t="str">
        <f ca="1"/>
        <v/>
      </c>
      <c r="U375" s="180" t="str">
        <f ca="1"/>
        <v/>
      </c>
      <c r="V375" s="180" t="str">
        <f ca="1"/>
        <v/>
      </c>
      <c r="W375" s="180" t="str">
        <f ca="1"/>
        <v/>
      </c>
      <c r="X375" s="180" t="str">
        <f ca="1"/>
        <v/>
      </c>
      <c r="Y375" s="180" t="str">
        <f ca="1"/>
        <v/>
      </c>
      <c r="Z375" s="180" t="str">
        <f ca="1"/>
        <v/>
      </c>
      <c r="AA375" s="180" t="str">
        <f ca="1"/>
        <v/>
      </c>
      <c r="AB375" s="180" t="str">
        <f ca="1"/>
        <v/>
      </c>
      <c r="AC375" s="180" t="str">
        <f ca="1"/>
        <v/>
      </c>
      <c r="AD375" s="180" t="str">
        <f ca="1"/>
        <v/>
      </c>
      <c r="AE375" s="180" t="str">
        <f ca="1"/>
        <v/>
      </c>
      <c r="AF375" s="180" t="str">
        <f ca="1"/>
        <v/>
      </c>
      <c r="AG375" s="180" t="str">
        <f ca="1"/>
        <v/>
      </c>
      <c r="AH375" s="180" t="str">
        <f ca="1"/>
        <v/>
      </c>
      <c r="AI375" s="180" t="str">
        <f ca="1"/>
        <v/>
      </c>
      <c r="AJ375" s="180" t="str">
        <f ca="1"/>
        <v/>
      </c>
      <c r="AK375" s="180" t="str">
        <f ca="1"/>
        <v/>
      </c>
      <c r="AL375" s="180" t="str">
        <f ca="1"/>
        <v/>
      </c>
      <c r="AM375" s="180" t="str">
        <f ca="1"/>
        <v/>
      </c>
      <c r="AN375" s="180" t="str">
        <f ca="1"/>
        <v/>
      </c>
      <c r="AO375" s="180" t="str">
        <f ca="1"/>
        <v/>
      </c>
      <c r="AP375" s="180" t="str">
        <f ca="1"/>
        <v/>
      </c>
      <c r="AQ375" s="187" t="str">
        <f ca="1"/>
        <v/>
      </c>
    </row>
    <row r="376" spans="2:43" x14ac:dyDescent="0.25">
      <c r="B376" s="179" t="str">
        <f ca="1"/>
        <v/>
      </c>
      <c r="C376" s="180" t="str">
        <f ca="1"/>
        <v/>
      </c>
      <c r="D376" s="180" t="str">
        <f ca="1"/>
        <v/>
      </c>
      <c r="E376" s="180" t="str">
        <f ca="1"/>
        <v/>
      </c>
      <c r="F376" s="180" t="str">
        <f ca="1"/>
        <v/>
      </c>
      <c r="G376" s="180" t="str">
        <f ca="1"/>
        <v/>
      </c>
      <c r="H376" s="180" t="str">
        <f ca="1"/>
        <v/>
      </c>
      <c r="I376" s="180" t="str">
        <f ca="1"/>
        <v/>
      </c>
      <c r="J376" s="180" t="str">
        <f ca="1"/>
        <v/>
      </c>
      <c r="K376" s="180" t="str">
        <f ca="1"/>
        <v/>
      </c>
      <c r="L376" s="180" t="str">
        <f ca="1"/>
        <v/>
      </c>
      <c r="M376" s="180" t="str">
        <f ca="1"/>
        <v/>
      </c>
      <c r="N376" s="180" t="str">
        <f ca="1"/>
        <v/>
      </c>
      <c r="O376" s="180" t="str">
        <f ca="1"/>
        <v/>
      </c>
      <c r="P376" s="180" t="str">
        <f ca="1"/>
        <v/>
      </c>
      <c r="Q376" s="180" t="str">
        <f ca="1"/>
        <v/>
      </c>
      <c r="R376" s="180" t="str">
        <f ca="1"/>
        <v/>
      </c>
      <c r="S376" s="180" t="str">
        <f ca="1"/>
        <v/>
      </c>
      <c r="T376" s="180" t="str">
        <f ca="1"/>
        <v/>
      </c>
      <c r="U376" s="180" t="str">
        <f ca="1"/>
        <v/>
      </c>
      <c r="V376" s="180" t="str">
        <f ca="1"/>
        <v/>
      </c>
      <c r="W376" s="180" t="str">
        <f ca="1"/>
        <v/>
      </c>
      <c r="X376" s="180" t="str">
        <f ca="1"/>
        <v/>
      </c>
      <c r="Y376" s="180" t="str">
        <f ca="1"/>
        <v/>
      </c>
      <c r="Z376" s="180" t="str">
        <f ca="1"/>
        <v/>
      </c>
      <c r="AA376" s="180" t="str">
        <f ca="1"/>
        <v/>
      </c>
      <c r="AB376" s="180" t="str">
        <f ca="1"/>
        <v/>
      </c>
      <c r="AC376" s="180" t="str">
        <f ca="1"/>
        <v/>
      </c>
      <c r="AD376" s="180" t="str">
        <f ca="1"/>
        <v/>
      </c>
      <c r="AE376" s="180" t="str">
        <f ca="1"/>
        <v/>
      </c>
      <c r="AF376" s="180" t="str">
        <f ca="1"/>
        <v/>
      </c>
      <c r="AG376" s="180" t="str">
        <f ca="1"/>
        <v/>
      </c>
      <c r="AH376" s="180" t="str">
        <f ca="1"/>
        <v/>
      </c>
      <c r="AI376" s="180" t="str">
        <f ca="1"/>
        <v/>
      </c>
      <c r="AJ376" s="180" t="str">
        <f ca="1"/>
        <v/>
      </c>
      <c r="AK376" s="180" t="str">
        <f ca="1"/>
        <v/>
      </c>
      <c r="AL376" s="180" t="str">
        <f ca="1"/>
        <v/>
      </c>
      <c r="AM376" s="180" t="str">
        <f ca="1"/>
        <v/>
      </c>
      <c r="AN376" s="180" t="str">
        <f ca="1"/>
        <v/>
      </c>
      <c r="AO376" s="180" t="str">
        <f ca="1"/>
        <v/>
      </c>
      <c r="AP376" s="180" t="str">
        <f ca="1"/>
        <v/>
      </c>
      <c r="AQ376" s="187" t="str">
        <f ca="1"/>
        <v/>
      </c>
    </row>
    <row r="377" spans="2:43" x14ac:dyDescent="0.25">
      <c r="B377" s="179" t="str">
        <f ca="1"/>
        <v/>
      </c>
      <c r="C377" s="180" t="str">
        <f ca="1"/>
        <v/>
      </c>
      <c r="D377" s="180" t="str">
        <f ca="1"/>
        <v/>
      </c>
      <c r="E377" s="180" t="str">
        <f ca="1"/>
        <v/>
      </c>
      <c r="F377" s="180" t="str">
        <f ca="1"/>
        <v/>
      </c>
      <c r="G377" s="180" t="str">
        <f ca="1"/>
        <v/>
      </c>
      <c r="H377" s="180" t="str">
        <f ca="1"/>
        <v/>
      </c>
      <c r="I377" s="180" t="str">
        <f ca="1"/>
        <v/>
      </c>
      <c r="J377" s="180" t="str">
        <f ca="1"/>
        <v/>
      </c>
      <c r="K377" s="180" t="str">
        <f ca="1"/>
        <v/>
      </c>
      <c r="L377" s="180" t="str">
        <f ca="1"/>
        <v/>
      </c>
      <c r="M377" s="180" t="str">
        <f ca="1"/>
        <v/>
      </c>
      <c r="N377" s="180" t="str">
        <f ca="1"/>
        <v/>
      </c>
      <c r="O377" s="180" t="str">
        <f ca="1"/>
        <v/>
      </c>
      <c r="P377" s="180" t="str">
        <f ca="1"/>
        <v/>
      </c>
      <c r="Q377" s="180" t="str">
        <f ca="1"/>
        <v/>
      </c>
      <c r="R377" s="180" t="str">
        <f ca="1"/>
        <v/>
      </c>
      <c r="S377" s="180" t="str">
        <f ca="1"/>
        <v/>
      </c>
      <c r="T377" s="180" t="str">
        <f ca="1"/>
        <v/>
      </c>
      <c r="U377" s="180" t="str">
        <f ca="1"/>
        <v/>
      </c>
      <c r="V377" s="180" t="str">
        <f ca="1"/>
        <v/>
      </c>
      <c r="W377" s="180" t="str">
        <f ca="1"/>
        <v/>
      </c>
      <c r="X377" s="180" t="str">
        <f ca="1"/>
        <v/>
      </c>
      <c r="Y377" s="180" t="str">
        <f ca="1"/>
        <v/>
      </c>
      <c r="Z377" s="180" t="str">
        <f ca="1"/>
        <v/>
      </c>
      <c r="AA377" s="180" t="str">
        <f ca="1"/>
        <v/>
      </c>
      <c r="AB377" s="180" t="str">
        <f ca="1"/>
        <v/>
      </c>
      <c r="AC377" s="180" t="str">
        <f ca="1"/>
        <v/>
      </c>
      <c r="AD377" s="180" t="str">
        <f ca="1"/>
        <v/>
      </c>
      <c r="AE377" s="180" t="str">
        <f ca="1"/>
        <v/>
      </c>
      <c r="AF377" s="180" t="str">
        <f ca="1"/>
        <v/>
      </c>
      <c r="AG377" s="180" t="str">
        <f ca="1"/>
        <v/>
      </c>
      <c r="AH377" s="180" t="str">
        <f ca="1"/>
        <v/>
      </c>
      <c r="AI377" s="180" t="str">
        <f ca="1"/>
        <v/>
      </c>
      <c r="AJ377" s="180" t="str">
        <f ca="1"/>
        <v/>
      </c>
      <c r="AK377" s="180" t="str">
        <f ca="1"/>
        <v/>
      </c>
      <c r="AL377" s="180" t="str">
        <f ca="1"/>
        <v/>
      </c>
      <c r="AM377" s="180" t="str">
        <f ca="1"/>
        <v/>
      </c>
      <c r="AN377" s="180" t="str">
        <f ca="1"/>
        <v/>
      </c>
      <c r="AO377" s="180" t="str">
        <f ca="1"/>
        <v/>
      </c>
      <c r="AP377" s="180" t="str">
        <f ca="1"/>
        <v/>
      </c>
      <c r="AQ377" s="187" t="str">
        <f ca="1"/>
        <v/>
      </c>
    </row>
    <row r="378" spans="2:43" x14ac:dyDescent="0.25">
      <c r="B378" s="179" t="str">
        <f ca="1"/>
        <v/>
      </c>
      <c r="C378" s="180" t="str">
        <f ca="1"/>
        <v/>
      </c>
      <c r="D378" s="180" t="str">
        <f ca="1"/>
        <v/>
      </c>
      <c r="E378" s="180" t="str">
        <f ca="1"/>
        <v/>
      </c>
      <c r="F378" s="180" t="str">
        <f ca="1"/>
        <v/>
      </c>
      <c r="G378" s="180" t="str">
        <f ca="1"/>
        <v/>
      </c>
      <c r="H378" s="180" t="str">
        <f ca="1"/>
        <v/>
      </c>
      <c r="I378" s="180" t="str">
        <f ca="1"/>
        <v/>
      </c>
      <c r="J378" s="180" t="str">
        <f ca="1"/>
        <v/>
      </c>
      <c r="K378" s="180" t="str">
        <f ca="1"/>
        <v/>
      </c>
      <c r="L378" s="180" t="str">
        <f ca="1"/>
        <v/>
      </c>
      <c r="M378" s="180" t="str">
        <f ca="1"/>
        <v/>
      </c>
      <c r="N378" s="180" t="str">
        <f ca="1"/>
        <v/>
      </c>
      <c r="O378" s="180" t="str">
        <f ca="1"/>
        <v/>
      </c>
      <c r="P378" s="180" t="str">
        <f ca="1"/>
        <v/>
      </c>
      <c r="Q378" s="180" t="str">
        <f ca="1"/>
        <v/>
      </c>
      <c r="R378" s="180" t="str">
        <f ca="1"/>
        <v/>
      </c>
      <c r="S378" s="180" t="str">
        <f ca="1"/>
        <v/>
      </c>
      <c r="T378" s="180" t="str">
        <f ca="1"/>
        <v/>
      </c>
      <c r="U378" s="180" t="str">
        <f ca="1"/>
        <v/>
      </c>
      <c r="V378" s="180" t="str">
        <f ca="1"/>
        <v/>
      </c>
      <c r="W378" s="180" t="str">
        <f ca="1"/>
        <v/>
      </c>
      <c r="X378" s="180" t="str">
        <f ca="1"/>
        <v/>
      </c>
      <c r="Y378" s="180" t="str">
        <f ca="1"/>
        <v/>
      </c>
      <c r="Z378" s="180" t="str">
        <f ca="1"/>
        <v/>
      </c>
      <c r="AA378" s="180" t="str">
        <f ca="1"/>
        <v/>
      </c>
      <c r="AB378" s="180" t="str">
        <f ca="1"/>
        <v/>
      </c>
      <c r="AC378" s="180" t="str">
        <f ca="1"/>
        <v/>
      </c>
      <c r="AD378" s="180" t="str">
        <f ca="1"/>
        <v/>
      </c>
      <c r="AE378" s="180" t="str">
        <f ca="1"/>
        <v/>
      </c>
      <c r="AF378" s="180" t="str">
        <f ca="1"/>
        <v/>
      </c>
      <c r="AG378" s="180" t="str">
        <f ca="1"/>
        <v/>
      </c>
      <c r="AH378" s="180" t="str">
        <f ca="1"/>
        <v/>
      </c>
      <c r="AI378" s="180" t="str">
        <f ca="1"/>
        <v/>
      </c>
      <c r="AJ378" s="180" t="str">
        <f ca="1"/>
        <v/>
      </c>
      <c r="AK378" s="180" t="str">
        <f ca="1"/>
        <v/>
      </c>
      <c r="AL378" s="180" t="str">
        <f ca="1"/>
        <v/>
      </c>
      <c r="AM378" s="180" t="str">
        <f ca="1"/>
        <v/>
      </c>
      <c r="AN378" s="180" t="str">
        <f ca="1"/>
        <v/>
      </c>
      <c r="AO378" s="180" t="str">
        <f ca="1"/>
        <v/>
      </c>
      <c r="AP378" s="180" t="str">
        <f ca="1"/>
        <v/>
      </c>
      <c r="AQ378" s="187" t="str">
        <f ca="1"/>
        <v/>
      </c>
    </row>
    <row r="379" spans="2:43" x14ac:dyDescent="0.25">
      <c r="B379" s="179" t="str">
        <f ca="1"/>
        <v/>
      </c>
      <c r="C379" s="180" t="str">
        <f ca="1"/>
        <v/>
      </c>
      <c r="D379" s="180" t="str">
        <f ca="1"/>
        <v/>
      </c>
      <c r="E379" s="180" t="str">
        <f ca="1"/>
        <v/>
      </c>
      <c r="F379" s="180" t="str">
        <f ca="1"/>
        <v/>
      </c>
      <c r="G379" s="180" t="str">
        <f ca="1"/>
        <v/>
      </c>
      <c r="H379" s="180" t="str">
        <f ca="1"/>
        <v/>
      </c>
      <c r="I379" s="180" t="str">
        <f ca="1"/>
        <v/>
      </c>
      <c r="J379" s="180" t="str">
        <f ca="1"/>
        <v/>
      </c>
      <c r="K379" s="180" t="str">
        <f ca="1"/>
        <v/>
      </c>
      <c r="L379" s="180" t="str">
        <f ca="1"/>
        <v/>
      </c>
      <c r="M379" s="180" t="str">
        <f ca="1"/>
        <v/>
      </c>
      <c r="N379" s="180" t="str">
        <f ca="1"/>
        <v/>
      </c>
      <c r="O379" s="180" t="str">
        <f ca="1"/>
        <v/>
      </c>
      <c r="P379" s="180" t="str">
        <f ca="1"/>
        <v/>
      </c>
      <c r="Q379" s="180" t="str">
        <f ca="1"/>
        <v/>
      </c>
      <c r="R379" s="180" t="str">
        <f ca="1"/>
        <v/>
      </c>
      <c r="S379" s="180" t="str">
        <f ca="1"/>
        <v/>
      </c>
      <c r="T379" s="180" t="str">
        <f ca="1"/>
        <v/>
      </c>
      <c r="U379" s="180" t="str">
        <f ca="1"/>
        <v/>
      </c>
      <c r="V379" s="180" t="str">
        <f ca="1"/>
        <v/>
      </c>
      <c r="W379" s="180" t="str">
        <f ca="1"/>
        <v/>
      </c>
      <c r="X379" s="180" t="str">
        <f ca="1"/>
        <v/>
      </c>
      <c r="Y379" s="180" t="str">
        <f ca="1"/>
        <v/>
      </c>
      <c r="Z379" s="180" t="str">
        <f ca="1"/>
        <v/>
      </c>
      <c r="AA379" s="180" t="str">
        <f ca="1"/>
        <v/>
      </c>
      <c r="AB379" s="180" t="str">
        <f ca="1"/>
        <v/>
      </c>
      <c r="AC379" s="180" t="str">
        <f ca="1"/>
        <v/>
      </c>
      <c r="AD379" s="180" t="str">
        <f ca="1"/>
        <v/>
      </c>
      <c r="AE379" s="180" t="str">
        <f ca="1"/>
        <v/>
      </c>
      <c r="AF379" s="180" t="str">
        <f ca="1"/>
        <v/>
      </c>
      <c r="AG379" s="180" t="str">
        <f ca="1"/>
        <v/>
      </c>
      <c r="AH379" s="180" t="str">
        <f ca="1"/>
        <v/>
      </c>
      <c r="AI379" s="180" t="str">
        <f ca="1"/>
        <v/>
      </c>
      <c r="AJ379" s="180" t="str">
        <f ca="1"/>
        <v/>
      </c>
      <c r="AK379" s="180" t="str">
        <f ca="1"/>
        <v/>
      </c>
      <c r="AL379" s="180" t="str">
        <f ca="1"/>
        <v/>
      </c>
      <c r="AM379" s="180" t="str">
        <f ca="1"/>
        <v/>
      </c>
      <c r="AN379" s="180" t="str">
        <f ca="1"/>
        <v/>
      </c>
      <c r="AO379" s="180" t="str">
        <f ca="1"/>
        <v/>
      </c>
      <c r="AP379" s="180" t="str">
        <f ca="1"/>
        <v/>
      </c>
      <c r="AQ379" s="187" t="str">
        <f ca="1"/>
        <v/>
      </c>
    </row>
    <row r="380" spans="2:43" x14ac:dyDescent="0.25">
      <c r="B380" s="179" t="str">
        <f ca="1"/>
        <v/>
      </c>
      <c r="C380" s="180" t="str">
        <f ca="1"/>
        <v/>
      </c>
      <c r="D380" s="180" t="str">
        <f ca="1"/>
        <v/>
      </c>
      <c r="E380" s="180" t="str">
        <f ca="1"/>
        <v/>
      </c>
      <c r="F380" s="180" t="str">
        <f ca="1"/>
        <v/>
      </c>
      <c r="G380" s="180" t="str">
        <f ca="1"/>
        <v/>
      </c>
      <c r="H380" s="180" t="str">
        <f ca="1"/>
        <v/>
      </c>
      <c r="I380" s="180" t="str">
        <f ca="1"/>
        <v/>
      </c>
      <c r="J380" s="180" t="str">
        <f ca="1"/>
        <v/>
      </c>
      <c r="K380" s="180" t="str">
        <f ca="1"/>
        <v/>
      </c>
      <c r="L380" s="180" t="str">
        <f ca="1"/>
        <v/>
      </c>
      <c r="M380" s="180" t="str">
        <f ca="1"/>
        <v/>
      </c>
      <c r="N380" s="180" t="str">
        <f ca="1"/>
        <v/>
      </c>
      <c r="O380" s="180" t="str">
        <f ca="1"/>
        <v/>
      </c>
      <c r="P380" s="180" t="str">
        <f ca="1"/>
        <v/>
      </c>
      <c r="Q380" s="180" t="str">
        <f ca="1"/>
        <v/>
      </c>
      <c r="R380" s="180" t="str">
        <f ca="1"/>
        <v/>
      </c>
      <c r="S380" s="180" t="str">
        <f ca="1"/>
        <v/>
      </c>
      <c r="T380" s="180" t="str">
        <f ca="1"/>
        <v/>
      </c>
      <c r="U380" s="180" t="str">
        <f ca="1"/>
        <v/>
      </c>
      <c r="V380" s="180" t="str">
        <f ca="1"/>
        <v/>
      </c>
      <c r="W380" s="180" t="str">
        <f ca="1"/>
        <v/>
      </c>
      <c r="X380" s="180" t="str">
        <f ca="1"/>
        <v/>
      </c>
      <c r="Y380" s="180" t="str">
        <f ca="1"/>
        <v/>
      </c>
      <c r="Z380" s="180" t="str">
        <f ca="1"/>
        <v/>
      </c>
      <c r="AA380" s="180" t="str">
        <f ca="1"/>
        <v/>
      </c>
      <c r="AB380" s="180" t="str">
        <f ca="1"/>
        <v/>
      </c>
      <c r="AC380" s="180" t="str">
        <f ca="1"/>
        <v/>
      </c>
      <c r="AD380" s="180" t="str">
        <f ca="1"/>
        <v/>
      </c>
      <c r="AE380" s="180" t="str">
        <f ca="1"/>
        <v/>
      </c>
      <c r="AF380" s="180" t="str">
        <f ca="1"/>
        <v/>
      </c>
      <c r="AG380" s="180" t="str">
        <f ca="1"/>
        <v/>
      </c>
      <c r="AH380" s="180" t="str">
        <f ca="1"/>
        <v/>
      </c>
      <c r="AI380" s="180" t="str">
        <f ca="1"/>
        <v/>
      </c>
      <c r="AJ380" s="180" t="str">
        <f ca="1"/>
        <v/>
      </c>
      <c r="AK380" s="180" t="str">
        <f ca="1"/>
        <v/>
      </c>
      <c r="AL380" s="180" t="str">
        <f ca="1"/>
        <v/>
      </c>
      <c r="AM380" s="180" t="str">
        <f ca="1"/>
        <v/>
      </c>
      <c r="AN380" s="180" t="str">
        <f ca="1"/>
        <v/>
      </c>
      <c r="AO380" s="180" t="str">
        <f ca="1"/>
        <v/>
      </c>
      <c r="AP380" s="180" t="str">
        <f ca="1"/>
        <v/>
      </c>
      <c r="AQ380" s="187" t="str">
        <f ca="1"/>
        <v/>
      </c>
    </row>
    <row r="381" spans="2:43" x14ac:dyDescent="0.25">
      <c r="B381" s="179" t="str">
        <f ca="1"/>
        <v/>
      </c>
      <c r="C381" s="180" t="str">
        <f ca="1"/>
        <v/>
      </c>
      <c r="D381" s="180" t="str">
        <f ca="1"/>
        <v/>
      </c>
      <c r="E381" s="180" t="str">
        <f ca="1"/>
        <v/>
      </c>
      <c r="F381" s="180" t="str">
        <f ca="1"/>
        <v/>
      </c>
      <c r="G381" s="180" t="str">
        <f ca="1"/>
        <v/>
      </c>
      <c r="H381" s="180" t="str">
        <f ca="1"/>
        <v/>
      </c>
      <c r="I381" s="180" t="str">
        <f ca="1"/>
        <v/>
      </c>
      <c r="J381" s="180" t="str">
        <f ca="1"/>
        <v/>
      </c>
      <c r="K381" s="180" t="str">
        <f ca="1"/>
        <v/>
      </c>
      <c r="L381" s="180" t="str">
        <f ca="1"/>
        <v/>
      </c>
      <c r="M381" s="180" t="str">
        <f ca="1"/>
        <v/>
      </c>
      <c r="N381" s="180" t="str">
        <f ca="1"/>
        <v/>
      </c>
      <c r="O381" s="180" t="str">
        <f ca="1"/>
        <v/>
      </c>
      <c r="P381" s="180" t="str">
        <f ca="1"/>
        <v/>
      </c>
      <c r="Q381" s="180" t="str">
        <f ca="1"/>
        <v/>
      </c>
      <c r="R381" s="180" t="str">
        <f ca="1"/>
        <v/>
      </c>
      <c r="S381" s="180" t="str">
        <f ca="1"/>
        <v/>
      </c>
      <c r="T381" s="180" t="str">
        <f ca="1"/>
        <v/>
      </c>
      <c r="U381" s="180" t="str">
        <f ca="1"/>
        <v/>
      </c>
      <c r="V381" s="180" t="str">
        <f ca="1"/>
        <v/>
      </c>
      <c r="W381" s="180" t="str">
        <f ca="1"/>
        <v/>
      </c>
      <c r="X381" s="180" t="str">
        <f ca="1"/>
        <v/>
      </c>
      <c r="Y381" s="180" t="str">
        <f ca="1"/>
        <v/>
      </c>
      <c r="Z381" s="180" t="str">
        <f ca="1"/>
        <v/>
      </c>
      <c r="AA381" s="180" t="str">
        <f ca="1"/>
        <v/>
      </c>
      <c r="AB381" s="180" t="str">
        <f ca="1"/>
        <v/>
      </c>
      <c r="AC381" s="180" t="str">
        <f ca="1"/>
        <v/>
      </c>
      <c r="AD381" s="180" t="str">
        <f ca="1"/>
        <v/>
      </c>
      <c r="AE381" s="180" t="str">
        <f ca="1"/>
        <v/>
      </c>
      <c r="AF381" s="180" t="str">
        <f ca="1"/>
        <v/>
      </c>
      <c r="AG381" s="180" t="str">
        <f ca="1"/>
        <v/>
      </c>
      <c r="AH381" s="180" t="str">
        <f ca="1"/>
        <v/>
      </c>
      <c r="AI381" s="180" t="str">
        <f ca="1"/>
        <v/>
      </c>
      <c r="AJ381" s="180" t="str">
        <f ca="1"/>
        <v/>
      </c>
      <c r="AK381" s="180" t="str">
        <f ca="1"/>
        <v/>
      </c>
      <c r="AL381" s="180" t="str">
        <f ca="1"/>
        <v/>
      </c>
      <c r="AM381" s="180" t="str">
        <f ca="1"/>
        <v/>
      </c>
      <c r="AN381" s="180" t="str">
        <f ca="1"/>
        <v/>
      </c>
      <c r="AO381" s="180" t="str">
        <f ca="1"/>
        <v/>
      </c>
      <c r="AP381" s="180" t="str">
        <f ca="1"/>
        <v/>
      </c>
      <c r="AQ381" s="187" t="str">
        <f ca="1"/>
        <v/>
      </c>
    </row>
    <row r="382" spans="2:43" x14ac:dyDescent="0.25">
      <c r="B382" s="179" t="str">
        <f ca="1"/>
        <v/>
      </c>
      <c r="C382" s="180" t="str">
        <f ca="1"/>
        <v/>
      </c>
      <c r="D382" s="180" t="str">
        <f ca="1"/>
        <v/>
      </c>
      <c r="E382" s="180" t="str">
        <f ca="1"/>
        <v/>
      </c>
      <c r="F382" s="180" t="str">
        <f ca="1"/>
        <v/>
      </c>
      <c r="G382" s="180" t="str">
        <f ca="1"/>
        <v/>
      </c>
      <c r="H382" s="180" t="str">
        <f ca="1"/>
        <v/>
      </c>
      <c r="I382" s="180" t="str">
        <f ca="1"/>
        <v/>
      </c>
      <c r="J382" s="180" t="str">
        <f ca="1"/>
        <v/>
      </c>
      <c r="K382" s="180" t="str">
        <f ca="1"/>
        <v/>
      </c>
      <c r="L382" s="180" t="str">
        <f ca="1"/>
        <v/>
      </c>
      <c r="M382" s="180" t="str">
        <f ca="1"/>
        <v/>
      </c>
      <c r="N382" s="180" t="str">
        <f ca="1"/>
        <v/>
      </c>
      <c r="O382" s="180" t="str">
        <f ca="1"/>
        <v/>
      </c>
      <c r="P382" s="180" t="str">
        <f ca="1"/>
        <v/>
      </c>
      <c r="Q382" s="180" t="str">
        <f ca="1"/>
        <v/>
      </c>
      <c r="R382" s="180" t="str">
        <f ca="1"/>
        <v/>
      </c>
      <c r="S382" s="180" t="str">
        <f ca="1"/>
        <v/>
      </c>
      <c r="T382" s="180" t="str">
        <f ca="1"/>
        <v/>
      </c>
      <c r="U382" s="180" t="str">
        <f ca="1"/>
        <v/>
      </c>
      <c r="V382" s="180" t="str">
        <f ca="1"/>
        <v/>
      </c>
      <c r="W382" s="180" t="str">
        <f ca="1"/>
        <v/>
      </c>
      <c r="X382" s="180" t="str">
        <f ca="1"/>
        <v/>
      </c>
      <c r="Y382" s="180" t="str">
        <f ca="1"/>
        <v/>
      </c>
      <c r="Z382" s="180" t="str">
        <f ca="1"/>
        <v/>
      </c>
      <c r="AA382" s="180" t="str">
        <f ca="1"/>
        <v/>
      </c>
      <c r="AB382" s="180" t="str">
        <f ca="1"/>
        <v/>
      </c>
      <c r="AC382" s="180" t="str">
        <f ca="1"/>
        <v/>
      </c>
      <c r="AD382" s="180" t="str">
        <f ca="1"/>
        <v/>
      </c>
      <c r="AE382" s="180" t="str">
        <f ca="1"/>
        <v/>
      </c>
      <c r="AF382" s="180" t="str">
        <f ca="1"/>
        <v/>
      </c>
      <c r="AG382" s="180" t="str">
        <f ca="1"/>
        <v/>
      </c>
      <c r="AH382" s="180" t="str">
        <f ca="1"/>
        <v/>
      </c>
      <c r="AI382" s="180" t="str">
        <f ca="1"/>
        <v/>
      </c>
      <c r="AJ382" s="180" t="str">
        <f ca="1"/>
        <v/>
      </c>
      <c r="AK382" s="180" t="str">
        <f ca="1"/>
        <v/>
      </c>
      <c r="AL382" s="180" t="str">
        <f ca="1"/>
        <v/>
      </c>
      <c r="AM382" s="180" t="str">
        <f ca="1"/>
        <v/>
      </c>
      <c r="AN382" s="180" t="str">
        <f ca="1"/>
        <v/>
      </c>
      <c r="AO382" s="180" t="str">
        <f ca="1"/>
        <v/>
      </c>
      <c r="AP382" s="180" t="str">
        <f ca="1"/>
        <v/>
      </c>
      <c r="AQ382" s="187" t="str">
        <f ca="1"/>
        <v/>
      </c>
    </row>
    <row r="383" spans="2:43" x14ac:dyDescent="0.25">
      <c r="B383" s="179" t="str">
        <f ca="1"/>
        <v/>
      </c>
      <c r="C383" s="180" t="str">
        <f ca="1"/>
        <v/>
      </c>
      <c r="D383" s="180" t="str">
        <f ca="1"/>
        <v/>
      </c>
      <c r="E383" s="180" t="str">
        <f ca="1"/>
        <v/>
      </c>
      <c r="F383" s="180" t="str">
        <f ca="1"/>
        <v/>
      </c>
      <c r="G383" s="180" t="str">
        <f ca="1"/>
        <v/>
      </c>
      <c r="H383" s="180" t="str">
        <f ca="1"/>
        <v/>
      </c>
      <c r="I383" s="180" t="str">
        <f ca="1"/>
        <v/>
      </c>
      <c r="J383" s="180" t="str">
        <f ca="1"/>
        <v/>
      </c>
      <c r="K383" s="180" t="str">
        <f ca="1"/>
        <v/>
      </c>
      <c r="L383" s="180" t="str">
        <f ca="1"/>
        <v/>
      </c>
      <c r="M383" s="180" t="str">
        <f ca="1"/>
        <v/>
      </c>
      <c r="N383" s="180" t="str">
        <f ca="1"/>
        <v/>
      </c>
      <c r="O383" s="180" t="str">
        <f ca="1"/>
        <v/>
      </c>
      <c r="P383" s="180" t="str">
        <f ca="1"/>
        <v/>
      </c>
      <c r="Q383" s="180" t="str">
        <f ca="1"/>
        <v/>
      </c>
      <c r="R383" s="180" t="str">
        <f ca="1"/>
        <v/>
      </c>
      <c r="S383" s="180" t="str">
        <f ca="1"/>
        <v/>
      </c>
      <c r="T383" s="180" t="str">
        <f ca="1"/>
        <v/>
      </c>
      <c r="U383" s="180" t="str">
        <f ca="1"/>
        <v/>
      </c>
      <c r="V383" s="180" t="str">
        <f ca="1"/>
        <v/>
      </c>
      <c r="W383" s="180" t="str">
        <f ca="1"/>
        <v/>
      </c>
      <c r="X383" s="180" t="str">
        <f ca="1"/>
        <v/>
      </c>
      <c r="Y383" s="180" t="str">
        <f ca="1"/>
        <v/>
      </c>
      <c r="Z383" s="180" t="str">
        <f ca="1"/>
        <v/>
      </c>
      <c r="AA383" s="180" t="str">
        <f ca="1"/>
        <v/>
      </c>
      <c r="AB383" s="180" t="str">
        <f ca="1"/>
        <v/>
      </c>
      <c r="AC383" s="180" t="str">
        <f ca="1"/>
        <v/>
      </c>
      <c r="AD383" s="180" t="str">
        <f ca="1"/>
        <v/>
      </c>
      <c r="AE383" s="180" t="str">
        <f ca="1"/>
        <v/>
      </c>
      <c r="AF383" s="180" t="str">
        <f ca="1"/>
        <v/>
      </c>
      <c r="AG383" s="180" t="str">
        <f ca="1"/>
        <v/>
      </c>
      <c r="AH383" s="180" t="str">
        <f ca="1"/>
        <v/>
      </c>
      <c r="AI383" s="180" t="str">
        <f ca="1"/>
        <v/>
      </c>
      <c r="AJ383" s="180" t="str">
        <f ca="1"/>
        <v/>
      </c>
      <c r="AK383" s="180" t="str">
        <f ca="1"/>
        <v/>
      </c>
      <c r="AL383" s="180" t="str">
        <f ca="1"/>
        <v/>
      </c>
      <c r="AM383" s="180" t="str">
        <f ca="1"/>
        <v/>
      </c>
      <c r="AN383" s="180" t="str">
        <f ca="1"/>
        <v/>
      </c>
      <c r="AO383" s="180" t="str">
        <f ca="1"/>
        <v/>
      </c>
      <c r="AP383" s="180" t="str">
        <f ca="1"/>
        <v/>
      </c>
      <c r="AQ383" s="187" t="str">
        <f ca="1"/>
        <v/>
      </c>
    </row>
    <row r="384" spans="2:43" x14ac:dyDescent="0.25">
      <c r="B384" s="179" t="str">
        <f ca="1"/>
        <v/>
      </c>
      <c r="C384" s="180" t="str">
        <f ca="1"/>
        <v/>
      </c>
      <c r="D384" s="180" t="str">
        <f ca="1"/>
        <v/>
      </c>
      <c r="E384" s="180" t="str">
        <f ca="1"/>
        <v/>
      </c>
      <c r="F384" s="180" t="str">
        <f ca="1"/>
        <v/>
      </c>
      <c r="G384" s="180" t="str">
        <f ca="1"/>
        <v/>
      </c>
      <c r="H384" s="180" t="str">
        <f ca="1"/>
        <v/>
      </c>
      <c r="I384" s="180" t="str">
        <f ca="1"/>
        <v/>
      </c>
      <c r="J384" s="180" t="str">
        <f ca="1"/>
        <v/>
      </c>
      <c r="K384" s="180" t="str">
        <f ca="1"/>
        <v/>
      </c>
      <c r="L384" s="180" t="str">
        <f ca="1"/>
        <v/>
      </c>
      <c r="M384" s="180" t="str">
        <f ca="1"/>
        <v/>
      </c>
      <c r="N384" s="180" t="str">
        <f ca="1"/>
        <v/>
      </c>
      <c r="O384" s="180" t="str">
        <f ca="1"/>
        <v/>
      </c>
      <c r="P384" s="180" t="str">
        <f ca="1"/>
        <v/>
      </c>
      <c r="Q384" s="180" t="str">
        <f ca="1"/>
        <v/>
      </c>
      <c r="R384" s="180" t="str">
        <f ca="1"/>
        <v/>
      </c>
      <c r="S384" s="180" t="str">
        <f ca="1"/>
        <v/>
      </c>
      <c r="T384" s="180" t="str">
        <f ca="1"/>
        <v/>
      </c>
      <c r="U384" s="180" t="str">
        <f ca="1"/>
        <v/>
      </c>
      <c r="V384" s="180" t="str">
        <f ca="1"/>
        <v/>
      </c>
      <c r="W384" s="180" t="str">
        <f ca="1"/>
        <v/>
      </c>
      <c r="X384" s="180" t="str">
        <f ca="1"/>
        <v/>
      </c>
      <c r="Y384" s="180" t="str">
        <f ca="1"/>
        <v/>
      </c>
      <c r="Z384" s="180" t="str">
        <f ca="1"/>
        <v/>
      </c>
      <c r="AA384" s="180" t="str">
        <f ca="1"/>
        <v/>
      </c>
      <c r="AB384" s="180" t="str">
        <f ca="1"/>
        <v/>
      </c>
      <c r="AC384" s="180" t="str">
        <f ca="1"/>
        <v/>
      </c>
      <c r="AD384" s="180" t="str">
        <f ca="1"/>
        <v/>
      </c>
      <c r="AE384" s="180" t="str">
        <f ca="1"/>
        <v/>
      </c>
      <c r="AF384" s="180" t="str">
        <f ca="1"/>
        <v/>
      </c>
      <c r="AG384" s="180" t="str">
        <f ca="1"/>
        <v/>
      </c>
      <c r="AH384" s="180" t="str">
        <f ca="1"/>
        <v/>
      </c>
      <c r="AI384" s="180" t="str">
        <f ca="1"/>
        <v/>
      </c>
      <c r="AJ384" s="180" t="str">
        <f ca="1"/>
        <v/>
      </c>
      <c r="AK384" s="180" t="str">
        <f ca="1"/>
        <v/>
      </c>
      <c r="AL384" s="180" t="str">
        <f ca="1"/>
        <v/>
      </c>
      <c r="AM384" s="180" t="str">
        <f ca="1"/>
        <v/>
      </c>
      <c r="AN384" s="180" t="str">
        <f ca="1"/>
        <v/>
      </c>
      <c r="AO384" s="180" t="str">
        <f ca="1"/>
        <v/>
      </c>
      <c r="AP384" s="180" t="str">
        <f ca="1"/>
        <v/>
      </c>
      <c r="AQ384" s="187" t="str">
        <f ca="1"/>
        <v/>
      </c>
    </row>
    <row r="385" spans="2:43" x14ac:dyDescent="0.25">
      <c r="B385" s="179" t="str">
        <f ca="1"/>
        <v/>
      </c>
      <c r="C385" s="180" t="str">
        <f ca="1"/>
        <v/>
      </c>
      <c r="D385" s="180" t="str">
        <f ca="1"/>
        <v/>
      </c>
      <c r="E385" s="180" t="str">
        <f ca="1"/>
        <v/>
      </c>
      <c r="F385" s="180" t="str">
        <f ca="1"/>
        <v/>
      </c>
      <c r="G385" s="180" t="str">
        <f ca="1"/>
        <v/>
      </c>
      <c r="H385" s="180" t="str">
        <f ca="1"/>
        <v/>
      </c>
      <c r="I385" s="180" t="str">
        <f ca="1"/>
        <v/>
      </c>
      <c r="J385" s="180" t="str">
        <f ca="1"/>
        <v/>
      </c>
      <c r="K385" s="180" t="str">
        <f ca="1"/>
        <v/>
      </c>
      <c r="L385" s="180" t="str">
        <f ca="1"/>
        <v/>
      </c>
      <c r="M385" s="180" t="str">
        <f ca="1"/>
        <v/>
      </c>
      <c r="N385" s="180" t="str">
        <f ca="1"/>
        <v/>
      </c>
      <c r="O385" s="180" t="str">
        <f ca="1"/>
        <v/>
      </c>
      <c r="P385" s="180" t="str">
        <f ca="1"/>
        <v/>
      </c>
      <c r="Q385" s="180" t="str">
        <f ca="1"/>
        <v/>
      </c>
      <c r="R385" s="180" t="str">
        <f ca="1"/>
        <v/>
      </c>
      <c r="S385" s="180" t="str">
        <f ca="1"/>
        <v/>
      </c>
      <c r="T385" s="180" t="str">
        <f ca="1"/>
        <v/>
      </c>
      <c r="U385" s="180" t="str">
        <f ca="1"/>
        <v/>
      </c>
      <c r="V385" s="180" t="str">
        <f ca="1"/>
        <v/>
      </c>
      <c r="W385" s="180" t="str">
        <f ca="1"/>
        <v/>
      </c>
      <c r="X385" s="180" t="str">
        <f ca="1"/>
        <v/>
      </c>
      <c r="Y385" s="180" t="str">
        <f ca="1"/>
        <v/>
      </c>
      <c r="Z385" s="180" t="str">
        <f ca="1"/>
        <v/>
      </c>
      <c r="AA385" s="180" t="str">
        <f ca="1"/>
        <v/>
      </c>
      <c r="AB385" s="180" t="str">
        <f ca="1"/>
        <v/>
      </c>
      <c r="AC385" s="180" t="str">
        <f ca="1"/>
        <v/>
      </c>
      <c r="AD385" s="180" t="str">
        <f ca="1"/>
        <v/>
      </c>
      <c r="AE385" s="180" t="str">
        <f ca="1"/>
        <v/>
      </c>
      <c r="AF385" s="180" t="str">
        <f ca="1"/>
        <v/>
      </c>
      <c r="AG385" s="180" t="str">
        <f ca="1"/>
        <v/>
      </c>
      <c r="AH385" s="180" t="str">
        <f ca="1"/>
        <v/>
      </c>
      <c r="AI385" s="180" t="str">
        <f ca="1"/>
        <v/>
      </c>
      <c r="AJ385" s="180" t="str">
        <f ca="1"/>
        <v/>
      </c>
      <c r="AK385" s="180" t="str">
        <f ca="1"/>
        <v/>
      </c>
      <c r="AL385" s="180" t="str">
        <f ca="1"/>
        <v/>
      </c>
      <c r="AM385" s="180" t="str">
        <f ca="1"/>
        <v/>
      </c>
      <c r="AN385" s="180" t="str">
        <f ca="1"/>
        <v/>
      </c>
      <c r="AO385" s="180" t="str">
        <f ca="1"/>
        <v/>
      </c>
      <c r="AP385" s="180" t="str">
        <f ca="1"/>
        <v/>
      </c>
      <c r="AQ385" s="187" t="str">
        <f ca="1"/>
        <v/>
      </c>
    </row>
    <row r="386" spans="2:43" x14ac:dyDescent="0.25">
      <c r="B386" s="179" t="str">
        <f ca="1"/>
        <v/>
      </c>
      <c r="C386" s="180" t="str">
        <f ca="1"/>
        <v/>
      </c>
      <c r="D386" s="180" t="str">
        <f ca="1"/>
        <v/>
      </c>
      <c r="E386" s="180" t="str">
        <f ca="1"/>
        <v/>
      </c>
      <c r="F386" s="180" t="str">
        <f ca="1"/>
        <v/>
      </c>
      <c r="G386" s="180" t="str">
        <f ca="1"/>
        <v/>
      </c>
      <c r="H386" s="180" t="str">
        <f ca="1"/>
        <v/>
      </c>
      <c r="I386" s="180" t="str">
        <f ca="1"/>
        <v/>
      </c>
      <c r="J386" s="180" t="str">
        <f ca="1"/>
        <v/>
      </c>
      <c r="K386" s="180" t="str">
        <f ca="1"/>
        <v/>
      </c>
      <c r="L386" s="180" t="str">
        <f ca="1"/>
        <v/>
      </c>
      <c r="M386" s="180" t="str">
        <f ca="1"/>
        <v/>
      </c>
      <c r="N386" s="180" t="str">
        <f ca="1"/>
        <v/>
      </c>
      <c r="O386" s="180" t="str">
        <f ca="1"/>
        <v/>
      </c>
      <c r="P386" s="180" t="str">
        <f ca="1"/>
        <v/>
      </c>
      <c r="Q386" s="180" t="str">
        <f ca="1"/>
        <v/>
      </c>
      <c r="R386" s="180" t="str">
        <f ca="1"/>
        <v/>
      </c>
      <c r="S386" s="180" t="str">
        <f ca="1"/>
        <v/>
      </c>
      <c r="T386" s="180" t="str">
        <f ca="1"/>
        <v/>
      </c>
      <c r="U386" s="180" t="str">
        <f ca="1"/>
        <v/>
      </c>
      <c r="V386" s="180" t="str">
        <f ca="1"/>
        <v/>
      </c>
      <c r="W386" s="180" t="str">
        <f ca="1"/>
        <v/>
      </c>
      <c r="X386" s="180" t="str">
        <f ca="1"/>
        <v/>
      </c>
      <c r="Y386" s="180" t="str">
        <f ca="1"/>
        <v/>
      </c>
      <c r="Z386" s="180" t="str">
        <f ca="1"/>
        <v/>
      </c>
      <c r="AA386" s="180" t="str">
        <f ca="1"/>
        <v/>
      </c>
      <c r="AB386" s="180" t="str">
        <f ca="1"/>
        <v/>
      </c>
      <c r="AC386" s="180" t="str">
        <f ca="1"/>
        <v/>
      </c>
      <c r="AD386" s="180" t="str">
        <f ca="1"/>
        <v/>
      </c>
      <c r="AE386" s="180" t="str">
        <f ca="1"/>
        <v/>
      </c>
      <c r="AF386" s="180" t="str">
        <f ca="1"/>
        <v/>
      </c>
      <c r="AG386" s="180" t="str">
        <f ca="1"/>
        <v/>
      </c>
      <c r="AH386" s="180" t="str">
        <f ca="1"/>
        <v/>
      </c>
      <c r="AI386" s="180" t="str">
        <f ca="1"/>
        <v/>
      </c>
      <c r="AJ386" s="180" t="str">
        <f ca="1"/>
        <v/>
      </c>
      <c r="AK386" s="180" t="str">
        <f ca="1"/>
        <v/>
      </c>
      <c r="AL386" s="180" t="str">
        <f ca="1"/>
        <v/>
      </c>
      <c r="AM386" s="180" t="str">
        <f ca="1"/>
        <v/>
      </c>
      <c r="AN386" s="180" t="str">
        <f ca="1"/>
        <v/>
      </c>
      <c r="AO386" s="180" t="str">
        <f ca="1"/>
        <v/>
      </c>
      <c r="AP386" s="180" t="str">
        <f ca="1"/>
        <v/>
      </c>
      <c r="AQ386" s="187" t="str">
        <f ca="1"/>
        <v/>
      </c>
    </row>
    <row r="387" spans="2:43" x14ac:dyDescent="0.25">
      <c r="B387" s="179" t="str">
        <f ca="1"/>
        <v/>
      </c>
      <c r="C387" s="180" t="str">
        <f ca="1"/>
        <v/>
      </c>
      <c r="D387" s="180" t="str">
        <f ca="1"/>
        <v/>
      </c>
      <c r="E387" s="180" t="str">
        <f ca="1"/>
        <v/>
      </c>
      <c r="F387" s="180" t="str">
        <f ca="1"/>
        <v/>
      </c>
      <c r="G387" s="180" t="str">
        <f ca="1"/>
        <v/>
      </c>
      <c r="H387" s="180" t="str">
        <f ca="1"/>
        <v/>
      </c>
      <c r="I387" s="180" t="str">
        <f ca="1"/>
        <v/>
      </c>
      <c r="J387" s="180" t="str">
        <f ca="1"/>
        <v/>
      </c>
      <c r="K387" s="180" t="str">
        <f ca="1"/>
        <v/>
      </c>
      <c r="L387" s="180" t="str">
        <f ca="1"/>
        <v/>
      </c>
      <c r="M387" s="180" t="str">
        <f ca="1"/>
        <v/>
      </c>
      <c r="N387" s="180" t="str">
        <f ca="1"/>
        <v/>
      </c>
      <c r="O387" s="180" t="str">
        <f ca="1"/>
        <v/>
      </c>
      <c r="P387" s="180" t="str">
        <f ca="1"/>
        <v/>
      </c>
      <c r="Q387" s="180" t="str">
        <f ca="1"/>
        <v/>
      </c>
      <c r="R387" s="180" t="str">
        <f ca="1"/>
        <v/>
      </c>
      <c r="S387" s="180" t="str">
        <f ca="1"/>
        <v/>
      </c>
      <c r="T387" s="180" t="str">
        <f ca="1"/>
        <v/>
      </c>
      <c r="U387" s="180" t="str">
        <f ca="1"/>
        <v/>
      </c>
      <c r="V387" s="180" t="str">
        <f ca="1"/>
        <v/>
      </c>
      <c r="W387" s="180" t="str">
        <f ca="1"/>
        <v/>
      </c>
      <c r="X387" s="180" t="str">
        <f ca="1"/>
        <v/>
      </c>
      <c r="Y387" s="180" t="str">
        <f ca="1"/>
        <v/>
      </c>
      <c r="Z387" s="180" t="str">
        <f ca="1"/>
        <v/>
      </c>
      <c r="AA387" s="180" t="str">
        <f ca="1"/>
        <v/>
      </c>
      <c r="AB387" s="180" t="str">
        <f ca="1"/>
        <v/>
      </c>
      <c r="AC387" s="180" t="str">
        <f ca="1"/>
        <v/>
      </c>
      <c r="AD387" s="180" t="str">
        <f ca="1"/>
        <v/>
      </c>
      <c r="AE387" s="180" t="str">
        <f ca="1"/>
        <v/>
      </c>
      <c r="AF387" s="180" t="str">
        <f ca="1"/>
        <v/>
      </c>
      <c r="AG387" s="180" t="str">
        <f ca="1"/>
        <v/>
      </c>
      <c r="AH387" s="180" t="str">
        <f ca="1"/>
        <v/>
      </c>
      <c r="AI387" s="180" t="str">
        <f ca="1"/>
        <v/>
      </c>
      <c r="AJ387" s="180" t="str">
        <f ca="1"/>
        <v/>
      </c>
      <c r="AK387" s="180" t="str">
        <f ca="1"/>
        <v/>
      </c>
      <c r="AL387" s="180" t="str">
        <f ca="1"/>
        <v/>
      </c>
      <c r="AM387" s="180" t="str">
        <f ca="1"/>
        <v/>
      </c>
      <c r="AN387" s="180" t="str">
        <f ca="1"/>
        <v/>
      </c>
      <c r="AO387" s="180" t="str">
        <f ca="1"/>
        <v/>
      </c>
      <c r="AP387" s="180" t="str">
        <f ca="1"/>
        <v/>
      </c>
      <c r="AQ387" s="187" t="str">
        <f ca="1"/>
        <v/>
      </c>
    </row>
    <row r="388" spans="2:43" x14ac:dyDescent="0.25">
      <c r="B388" s="179" t="str">
        <f ca="1"/>
        <v/>
      </c>
      <c r="C388" s="180" t="str">
        <f ca="1"/>
        <v/>
      </c>
      <c r="D388" s="180" t="str">
        <f ca="1"/>
        <v/>
      </c>
      <c r="E388" s="180" t="str">
        <f ca="1"/>
        <v/>
      </c>
      <c r="F388" s="180" t="str">
        <f ca="1"/>
        <v/>
      </c>
      <c r="G388" s="180" t="str">
        <f ca="1"/>
        <v/>
      </c>
      <c r="H388" s="180" t="str">
        <f ca="1"/>
        <v/>
      </c>
      <c r="I388" s="180" t="str">
        <f ca="1"/>
        <v/>
      </c>
      <c r="J388" s="180" t="str">
        <f ca="1"/>
        <v/>
      </c>
      <c r="K388" s="180" t="str">
        <f ca="1"/>
        <v/>
      </c>
      <c r="L388" s="180" t="str">
        <f ca="1"/>
        <v/>
      </c>
      <c r="M388" s="180" t="str">
        <f ca="1"/>
        <v/>
      </c>
      <c r="N388" s="180" t="str">
        <f ca="1"/>
        <v/>
      </c>
      <c r="O388" s="180" t="str">
        <f ca="1"/>
        <v/>
      </c>
      <c r="P388" s="180" t="str">
        <f ca="1"/>
        <v/>
      </c>
      <c r="Q388" s="180" t="str">
        <f ca="1"/>
        <v/>
      </c>
      <c r="R388" s="180" t="str">
        <f ca="1"/>
        <v/>
      </c>
      <c r="S388" s="180" t="str">
        <f ca="1"/>
        <v/>
      </c>
      <c r="T388" s="180" t="str">
        <f ca="1"/>
        <v/>
      </c>
      <c r="U388" s="180" t="str">
        <f ca="1"/>
        <v/>
      </c>
      <c r="V388" s="180" t="str">
        <f ca="1"/>
        <v/>
      </c>
      <c r="W388" s="180" t="str">
        <f ca="1"/>
        <v/>
      </c>
      <c r="X388" s="180" t="str">
        <f ca="1"/>
        <v/>
      </c>
      <c r="Y388" s="180" t="str">
        <f ca="1"/>
        <v/>
      </c>
      <c r="Z388" s="180" t="str">
        <f ca="1"/>
        <v/>
      </c>
      <c r="AA388" s="180" t="str">
        <f ca="1"/>
        <v/>
      </c>
      <c r="AB388" s="180" t="str">
        <f ca="1"/>
        <v/>
      </c>
      <c r="AC388" s="180" t="str">
        <f ca="1"/>
        <v/>
      </c>
      <c r="AD388" s="180" t="str">
        <f ca="1"/>
        <v/>
      </c>
      <c r="AE388" s="180" t="str">
        <f ca="1"/>
        <v/>
      </c>
      <c r="AF388" s="180" t="str">
        <f ca="1"/>
        <v/>
      </c>
      <c r="AG388" s="180" t="str">
        <f ca="1"/>
        <v/>
      </c>
      <c r="AH388" s="180" t="str">
        <f ca="1"/>
        <v/>
      </c>
      <c r="AI388" s="180" t="str">
        <f ca="1"/>
        <v/>
      </c>
      <c r="AJ388" s="180" t="str">
        <f ca="1"/>
        <v/>
      </c>
      <c r="AK388" s="180" t="str">
        <f ca="1"/>
        <v/>
      </c>
      <c r="AL388" s="180" t="str">
        <f ca="1"/>
        <v/>
      </c>
      <c r="AM388" s="180" t="str">
        <f ca="1"/>
        <v/>
      </c>
      <c r="AN388" s="180" t="str">
        <f ca="1"/>
        <v/>
      </c>
      <c r="AO388" s="180" t="str">
        <f ca="1"/>
        <v/>
      </c>
      <c r="AP388" s="180" t="str">
        <f ca="1"/>
        <v/>
      </c>
      <c r="AQ388" s="187" t="str">
        <f ca="1"/>
        <v/>
      </c>
    </row>
    <row r="389" spans="2:43" x14ac:dyDescent="0.25">
      <c r="B389" s="179" t="str">
        <f ca="1"/>
        <v/>
      </c>
      <c r="C389" s="180" t="str">
        <f ca="1"/>
        <v/>
      </c>
      <c r="D389" s="180" t="str">
        <f ca="1"/>
        <v/>
      </c>
      <c r="E389" s="180" t="str">
        <f ca="1"/>
        <v/>
      </c>
      <c r="F389" s="180" t="str">
        <f ca="1"/>
        <v/>
      </c>
      <c r="G389" s="180" t="str">
        <f ca="1"/>
        <v/>
      </c>
      <c r="H389" s="180" t="str">
        <f ca="1"/>
        <v/>
      </c>
      <c r="I389" s="180" t="str">
        <f ca="1"/>
        <v/>
      </c>
      <c r="J389" s="180" t="str">
        <f ca="1"/>
        <v/>
      </c>
      <c r="K389" s="180" t="str">
        <f ca="1"/>
        <v/>
      </c>
      <c r="L389" s="180" t="str">
        <f ca="1"/>
        <v/>
      </c>
      <c r="M389" s="180" t="str">
        <f ca="1"/>
        <v/>
      </c>
      <c r="N389" s="180" t="str">
        <f ca="1"/>
        <v/>
      </c>
      <c r="O389" s="180" t="str">
        <f ca="1"/>
        <v/>
      </c>
      <c r="P389" s="180" t="str">
        <f ca="1"/>
        <v/>
      </c>
      <c r="Q389" s="180" t="str">
        <f ca="1"/>
        <v/>
      </c>
      <c r="R389" s="180" t="str">
        <f ca="1"/>
        <v/>
      </c>
      <c r="S389" s="180" t="str">
        <f ca="1"/>
        <v/>
      </c>
      <c r="T389" s="180" t="str">
        <f ca="1"/>
        <v/>
      </c>
      <c r="U389" s="180" t="str">
        <f ca="1"/>
        <v/>
      </c>
      <c r="V389" s="180" t="str">
        <f ca="1"/>
        <v/>
      </c>
      <c r="W389" s="180" t="str">
        <f ca="1"/>
        <v/>
      </c>
      <c r="X389" s="180" t="str">
        <f ca="1"/>
        <v/>
      </c>
      <c r="Y389" s="180" t="str">
        <f ca="1"/>
        <v/>
      </c>
      <c r="Z389" s="180" t="str">
        <f ca="1"/>
        <v/>
      </c>
      <c r="AA389" s="180" t="str">
        <f ca="1"/>
        <v/>
      </c>
      <c r="AB389" s="180" t="str">
        <f ca="1"/>
        <v/>
      </c>
      <c r="AC389" s="180" t="str">
        <f ca="1"/>
        <v/>
      </c>
      <c r="AD389" s="180" t="str">
        <f ca="1"/>
        <v/>
      </c>
      <c r="AE389" s="180" t="str">
        <f ca="1"/>
        <v/>
      </c>
      <c r="AF389" s="180" t="str">
        <f ca="1"/>
        <v/>
      </c>
      <c r="AG389" s="180" t="str">
        <f ca="1"/>
        <v/>
      </c>
      <c r="AH389" s="180" t="str">
        <f ca="1"/>
        <v/>
      </c>
      <c r="AI389" s="180" t="str">
        <f ca="1"/>
        <v/>
      </c>
      <c r="AJ389" s="180" t="str">
        <f ca="1"/>
        <v/>
      </c>
      <c r="AK389" s="180" t="str">
        <f ca="1"/>
        <v/>
      </c>
      <c r="AL389" s="180" t="str">
        <f ca="1"/>
        <v/>
      </c>
      <c r="AM389" s="180" t="str">
        <f ca="1"/>
        <v/>
      </c>
      <c r="AN389" s="180" t="str">
        <f ca="1"/>
        <v/>
      </c>
      <c r="AO389" s="180" t="str">
        <f ca="1"/>
        <v/>
      </c>
      <c r="AP389" s="180" t="str">
        <f ca="1"/>
        <v/>
      </c>
      <c r="AQ389" s="187" t="str">
        <f ca="1"/>
        <v/>
      </c>
    </row>
    <row r="390" spans="2:43" x14ac:dyDescent="0.25">
      <c r="B390" s="179" t="str">
        <f ca="1"/>
        <v/>
      </c>
      <c r="C390" s="180" t="str">
        <f ca="1"/>
        <v/>
      </c>
      <c r="D390" s="180" t="str">
        <f ca="1"/>
        <v/>
      </c>
      <c r="E390" s="180" t="str">
        <f ca="1"/>
        <v/>
      </c>
      <c r="F390" s="180" t="str">
        <f ca="1"/>
        <v/>
      </c>
      <c r="G390" s="180" t="str">
        <f ca="1"/>
        <v/>
      </c>
      <c r="H390" s="180" t="str">
        <f ca="1"/>
        <v/>
      </c>
      <c r="I390" s="180" t="str">
        <f ca="1"/>
        <v/>
      </c>
      <c r="J390" s="180" t="str">
        <f ca="1"/>
        <v/>
      </c>
      <c r="K390" s="180" t="str">
        <f ca="1"/>
        <v/>
      </c>
      <c r="L390" s="180" t="str">
        <f ca="1"/>
        <v/>
      </c>
      <c r="M390" s="180" t="str">
        <f ca="1"/>
        <v/>
      </c>
      <c r="N390" s="180" t="str">
        <f ca="1"/>
        <v/>
      </c>
      <c r="O390" s="180" t="str">
        <f ca="1"/>
        <v/>
      </c>
      <c r="P390" s="180" t="str">
        <f ca="1"/>
        <v/>
      </c>
      <c r="Q390" s="180" t="str">
        <f ca="1"/>
        <v/>
      </c>
      <c r="R390" s="180" t="str">
        <f ca="1"/>
        <v/>
      </c>
      <c r="S390" s="180" t="str">
        <f ca="1"/>
        <v/>
      </c>
      <c r="T390" s="180" t="str">
        <f ca="1"/>
        <v/>
      </c>
      <c r="U390" s="180" t="str">
        <f ca="1"/>
        <v/>
      </c>
      <c r="V390" s="180" t="str">
        <f ca="1"/>
        <v/>
      </c>
      <c r="W390" s="180" t="str">
        <f ca="1"/>
        <v/>
      </c>
      <c r="X390" s="180" t="str">
        <f ca="1"/>
        <v/>
      </c>
      <c r="Y390" s="180" t="str">
        <f ca="1"/>
        <v/>
      </c>
      <c r="Z390" s="180" t="str">
        <f ca="1"/>
        <v/>
      </c>
      <c r="AA390" s="180" t="str">
        <f ca="1"/>
        <v/>
      </c>
      <c r="AB390" s="180" t="str">
        <f ca="1"/>
        <v/>
      </c>
      <c r="AC390" s="180" t="str">
        <f ca="1"/>
        <v/>
      </c>
      <c r="AD390" s="180" t="str">
        <f ca="1"/>
        <v/>
      </c>
      <c r="AE390" s="180" t="str">
        <f ca="1"/>
        <v/>
      </c>
      <c r="AF390" s="180" t="str">
        <f ca="1"/>
        <v/>
      </c>
      <c r="AG390" s="180" t="str">
        <f ca="1"/>
        <v/>
      </c>
      <c r="AH390" s="180" t="str">
        <f ca="1"/>
        <v/>
      </c>
      <c r="AI390" s="180" t="str">
        <f ca="1"/>
        <v/>
      </c>
      <c r="AJ390" s="180" t="str">
        <f ca="1"/>
        <v/>
      </c>
      <c r="AK390" s="180" t="str">
        <f ca="1"/>
        <v/>
      </c>
      <c r="AL390" s="180" t="str">
        <f ca="1"/>
        <v/>
      </c>
      <c r="AM390" s="180" t="str">
        <f ca="1"/>
        <v/>
      </c>
      <c r="AN390" s="180" t="str">
        <f ca="1"/>
        <v/>
      </c>
      <c r="AO390" s="180" t="str">
        <f ca="1"/>
        <v/>
      </c>
      <c r="AP390" s="180" t="str">
        <f ca="1"/>
        <v/>
      </c>
      <c r="AQ390" s="187" t="str">
        <f ca="1"/>
        <v/>
      </c>
    </row>
    <row r="391" spans="2:43" x14ac:dyDescent="0.25">
      <c r="B391" s="179" t="str">
        <f ca="1"/>
        <v/>
      </c>
      <c r="C391" s="180" t="str">
        <f ca="1"/>
        <v/>
      </c>
      <c r="D391" s="180" t="str">
        <f ca="1"/>
        <v/>
      </c>
      <c r="E391" s="180" t="str">
        <f ca="1"/>
        <v/>
      </c>
      <c r="F391" s="180" t="str">
        <f ca="1"/>
        <v/>
      </c>
      <c r="G391" s="180" t="str">
        <f ca="1"/>
        <v/>
      </c>
      <c r="H391" s="180" t="str">
        <f ca="1"/>
        <v/>
      </c>
      <c r="I391" s="180" t="str">
        <f ca="1"/>
        <v/>
      </c>
      <c r="J391" s="180" t="str">
        <f ca="1"/>
        <v/>
      </c>
      <c r="K391" s="180" t="str">
        <f ca="1"/>
        <v/>
      </c>
      <c r="L391" s="180" t="str">
        <f ca="1"/>
        <v/>
      </c>
      <c r="M391" s="180" t="str">
        <f ca="1"/>
        <v/>
      </c>
      <c r="N391" s="180" t="str">
        <f ca="1"/>
        <v/>
      </c>
      <c r="O391" s="180" t="str">
        <f ca="1"/>
        <v/>
      </c>
      <c r="P391" s="180" t="str">
        <f ca="1"/>
        <v/>
      </c>
      <c r="Q391" s="180" t="str">
        <f ca="1"/>
        <v/>
      </c>
      <c r="R391" s="180" t="str">
        <f ca="1"/>
        <v/>
      </c>
      <c r="S391" s="180" t="str">
        <f ca="1"/>
        <v/>
      </c>
      <c r="T391" s="180" t="str">
        <f ca="1"/>
        <v/>
      </c>
      <c r="U391" s="180" t="str">
        <f ca="1"/>
        <v/>
      </c>
      <c r="V391" s="180" t="str">
        <f ca="1"/>
        <v/>
      </c>
      <c r="W391" s="180" t="str">
        <f ca="1"/>
        <v/>
      </c>
      <c r="X391" s="180" t="str">
        <f ca="1"/>
        <v/>
      </c>
      <c r="Y391" s="180" t="str">
        <f ca="1"/>
        <v/>
      </c>
      <c r="Z391" s="180" t="str">
        <f ca="1"/>
        <v/>
      </c>
      <c r="AA391" s="180" t="str">
        <f ca="1"/>
        <v/>
      </c>
      <c r="AB391" s="180" t="str">
        <f ca="1"/>
        <v/>
      </c>
      <c r="AC391" s="180" t="str">
        <f ca="1"/>
        <v/>
      </c>
      <c r="AD391" s="180" t="str">
        <f ca="1"/>
        <v/>
      </c>
      <c r="AE391" s="180" t="str">
        <f ca="1"/>
        <v/>
      </c>
      <c r="AF391" s="180" t="str">
        <f ca="1"/>
        <v/>
      </c>
      <c r="AG391" s="180" t="str">
        <f ca="1"/>
        <v/>
      </c>
      <c r="AH391" s="180" t="str">
        <f ca="1"/>
        <v/>
      </c>
      <c r="AI391" s="180" t="str">
        <f ca="1"/>
        <v/>
      </c>
      <c r="AJ391" s="180" t="str">
        <f ca="1"/>
        <v/>
      </c>
      <c r="AK391" s="180" t="str">
        <f ca="1"/>
        <v/>
      </c>
      <c r="AL391" s="180" t="str">
        <f ca="1"/>
        <v/>
      </c>
      <c r="AM391" s="180" t="str">
        <f ca="1"/>
        <v/>
      </c>
      <c r="AN391" s="180" t="str">
        <f ca="1"/>
        <v/>
      </c>
      <c r="AO391" s="180" t="str">
        <f ca="1"/>
        <v/>
      </c>
      <c r="AP391" s="180" t="str">
        <f ca="1"/>
        <v/>
      </c>
      <c r="AQ391" s="187" t="str">
        <f ca="1"/>
        <v/>
      </c>
    </row>
    <row r="392" spans="2:43" x14ac:dyDescent="0.25">
      <c r="B392" s="179" t="str">
        <f ca="1"/>
        <v/>
      </c>
      <c r="C392" s="180" t="str">
        <f ca="1"/>
        <v/>
      </c>
      <c r="D392" s="180" t="str">
        <f ca="1"/>
        <v/>
      </c>
      <c r="E392" s="180" t="str">
        <f ca="1"/>
        <v/>
      </c>
      <c r="F392" s="180" t="str">
        <f ca="1"/>
        <v/>
      </c>
      <c r="G392" s="180" t="str">
        <f ca="1"/>
        <v/>
      </c>
      <c r="H392" s="180" t="str">
        <f ca="1"/>
        <v/>
      </c>
      <c r="I392" s="180" t="str">
        <f ca="1"/>
        <v/>
      </c>
      <c r="J392" s="180" t="str">
        <f ca="1"/>
        <v/>
      </c>
      <c r="K392" s="180" t="str">
        <f ca="1"/>
        <v/>
      </c>
      <c r="L392" s="180" t="str">
        <f ca="1"/>
        <v/>
      </c>
      <c r="M392" s="180" t="str">
        <f ca="1"/>
        <v/>
      </c>
      <c r="N392" s="180" t="str">
        <f ca="1"/>
        <v/>
      </c>
      <c r="O392" s="180" t="str">
        <f ca="1"/>
        <v/>
      </c>
      <c r="P392" s="180" t="str">
        <f ca="1"/>
        <v/>
      </c>
      <c r="Q392" s="180" t="str">
        <f ca="1"/>
        <v/>
      </c>
      <c r="R392" s="180" t="str">
        <f ca="1"/>
        <v/>
      </c>
      <c r="S392" s="180" t="str">
        <f ca="1"/>
        <v/>
      </c>
      <c r="T392" s="180" t="str">
        <f ca="1"/>
        <v/>
      </c>
      <c r="U392" s="180" t="str">
        <f ca="1"/>
        <v/>
      </c>
      <c r="V392" s="180" t="str">
        <f ca="1"/>
        <v/>
      </c>
      <c r="W392" s="180" t="str">
        <f ca="1"/>
        <v/>
      </c>
      <c r="X392" s="180" t="str">
        <f ca="1"/>
        <v/>
      </c>
      <c r="Y392" s="180" t="str">
        <f ca="1"/>
        <v/>
      </c>
      <c r="Z392" s="180" t="str">
        <f ca="1"/>
        <v/>
      </c>
      <c r="AA392" s="180" t="str">
        <f ca="1"/>
        <v/>
      </c>
      <c r="AB392" s="180" t="str">
        <f ca="1"/>
        <v/>
      </c>
      <c r="AC392" s="180" t="str">
        <f ca="1"/>
        <v/>
      </c>
      <c r="AD392" s="180" t="str">
        <f ca="1"/>
        <v/>
      </c>
      <c r="AE392" s="180" t="str">
        <f ca="1"/>
        <v/>
      </c>
      <c r="AF392" s="180" t="str">
        <f ca="1"/>
        <v/>
      </c>
      <c r="AG392" s="180" t="str">
        <f ca="1"/>
        <v/>
      </c>
      <c r="AH392" s="180" t="str">
        <f ca="1"/>
        <v/>
      </c>
      <c r="AI392" s="180" t="str">
        <f ca="1"/>
        <v/>
      </c>
      <c r="AJ392" s="180" t="str">
        <f ca="1"/>
        <v/>
      </c>
      <c r="AK392" s="180" t="str">
        <f ca="1"/>
        <v/>
      </c>
      <c r="AL392" s="180" t="str">
        <f ca="1"/>
        <v/>
      </c>
      <c r="AM392" s="180" t="str">
        <f ca="1"/>
        <v/>
      </c>
      <c r="AN392" s="180" t="str">
        <f ca="1"/>
        <v/>
      </c>
      <c r="AO392" s="180" t="str">
        <f ca="1"/>
        <v/>
      </c>
      <c r="AP392" s="180" t="str">
        <f ca="1"/>
        <v/>
      </c>
      <c r="AQ392" s="187" t="str">
        <f ca="1"/>
        <v/>
      </c>
    </row>
    <row r="393" spans="2:43" x14ac:dyDescent="0.25">
      <c r="B393" s="179" t="str">
        <f ca="1"/>
        <v/>
      </c>
      <c r="C393" s="180" t="str">
        <f ca="1"/>
        <v/>
      </c>
      <c r="D393" s="180" t="str">
        <f ca="1"/>
        <v/>
      </c>
      <c r="E393" s="180" t="str">
        <f ca="1"/>
        <v/>
      </c>
      <c r="F393" s="180" t="str">
        <f ca="1"/>
        <v/>
      </c>
      <c r="G393" s="180" t="str">
        <f ca="1"/>
        <v/>
      </c>
      <c r="H393" s="180" t="str">
        <f ca="1"/>
        <v/>
      </c>
      <c r="I393" s="180" t="str">
        <f ca="1"/>
        <v/>
      </c>
      <c r="J393" s="180" t="str">
        <f ca="1"/>
        <v/>
      </c>
      <c r="K393" s="180" t="str">
        <f ca="1"/>
        <v/>
      </c>
      <c r="L393" s="180" t="str">
        <f ca="1"/>
        <v/>
      </c>
      <c r="M393" s="180" t="str">
        <f ca="1"/>
        <v/>
      </c>
      <c r="N393" s="180" t="str">
        <f ca="1"/>
        <v/>
      </c>
      <c r="O393" s="180" t="str">
        <f ca="1"/>
        <v/>
      </c>
      <c r="P393" s="180" t="str">
        <f ca="1"/>
        <v/>
      </c>
      <c r="Q393" s="180" t="str">
        <f ca="1"/>
        <v/>
      </c>
      <c r="R393" s="180" t="str">
        <f ca="1"/>
        <v/>
      </c>
      <c r="S393" s="180" t="str">
        <f ca="1"/>
        <v/>
      </c>
      <c r="T393" s="180" t="str">
        <f ca="1"/>
        <v/>
      </c>
      <c r="U393" s="180" t="str">
        <f ca="1"/>
        <v/>
      </c>
      <c r="V393" s="180" t="str">
        <f ca="1"/>
        <v/>
      </c>
      <c r="W393" s="180" t="str">
        <f ca="1"/>
        <v/>
      </c>
      <c r="X393" s="180" t="str">
        <f ca="1"/>
        <v/>
      </c>
      <c r="Y393" s="180" t="str">
        <f ca="1"/>
        <v/>
      </c>
      <c r="Z393" s="180" t="str">
        <f ca="1"/>
        <v/>
      </c>
      <c r="AA393" s="180" t="str">
        <f ca="1"/>
        <v/>
      </c>
      <c r="AB393" s="180" t="str">
        <f ca="1"/>
        <v/>
      </c>
      <c r="AC393" s="180" t="str">
        <f ca="1"/>
        <v/>
      </c>
      <c r="AD393" s="180" t="str">
        <f ca="1"/>
        <v/>
      </c>
      <c r="AE393" s="180" t="str">
        <f ca="1"/>
        <v/>
      </c>
      <c r="AF393" s="180" t="str">
        <f ca="1"/>
        <v/>
      </c>
      <c r="AG393" s="180" t="str">
        <f ca="1"/>
        <v/>
      </c>
      <c r="AH393" s="180" t="str">
        <f ca="1"/>
        <v/>
      </c>
      <c r="AI393" s="180" t="str">
        <f ca="1"/>
        <v/>
      </c>
      <c r="AJ393" s="180" t="str">
        <f ca="1"/>
        <v/>
      </c>
      <c r="AK393" s="180" t="str">
        <f ca="1"/>
        <v/>
      </c>
      <c r="AL393" s="180" t="str">
        <f ca="1"/>
        <v/>
      </c>
      <c r="AM393" s="180" t="str">
        <f ca="1"/>
        <v/>
      </c>
      <c r="AN393" s="180" t="str">
        <f ca="1"/>
        <v/>
      </c>
      <c r="AO393" s="180" t="str">
        <f ca="1"/>
        <v/>
      </c>
      <c r="AP393" s="180" t="str">
        <f ca="1"/>
        <v/>
      </c>
      <c r="AQ393" s="187" t="str">
        <f ca="1"/>
        <v/>
      </c>
    </row>
    <row r="394" spans="2:43" x14ac:dyDescent="0.25">
      <c r="B394" s="179" t="str">
        <f ca="1"/>
        <v/>
      </c>
      <c r="C394" s="180" t="str">
        <f ca="1"/>
        <v/>
      </c>
      <c r="D394" s="180" t="str">
        <f ca="1"/>
        <v/>
      </c>
      <c r="E394" s="180" t="str">
        <f ca="1"/>
        <v/>
      </c>
      <c r="F394" s="180" t="str">
        <f ca="1"/>
        <v/>
      </c>
      <c r="G394" s="180" t="str">
        <f ca="1"/>
        <v/>
      </c>
      <c r="H394" s="180" t="str">
        <f ca="1"/>
        <v/>
      </c>
      <c r="I394" s="180" t="str">
        <f ca="1"/>
        <v/>
      </c>
      <c r="J394" s="180" t="str">
        <f ca="1"/>
        <v/>
      </c>
      <c r="K394" s="180" t="str">
        <f ca="1"/>
        <v/>
      </c>
      <c r="L394" s="180" t="str">
        <f ca="1"/>
        <v/>
      </c>
      <c r="M394" s="180" t="str">
        <f ca="1"/>
        <v/>
      </c>
      <c r="N394" s="180" t="str">
        <f ca="1"/>
        <v/>
      </c>
      <c r="O394" s="180" t="str">
        <f ca="1"/>
        <v/>
      </c>
      <c r="P394" s="180" t="str">
        <f ca="1"/>
        <v/>
      </c>
      <c r="Q394" s="180" t="str">
        <f ca="1"/>
        <v/>
      </c>
      <c r="R394" s="180" t="str">
        <f ca="1"/>
        <v/>
      </c>
      <c r="S394" s="180" t="str">
        <f ca="1"/>
        <v/>
      </c>
      <c r="T394" s="180" t="str">
        <f ca="1"/>
        <v/>
      </c>
      <c r="U394" s="180" t="str">
        <f ca="1"/>
        <v/>
      </c>
      <c r="V394" s="180" t="str">
        <f ca="1"/>
        <v/>
      </c>
      <c r="W394" s="180" t="str">
        <f ca="1"/>
        <v/>
      </c>
      <c r="X394" s="180" t="str">
        <f ca="1"/>
        <v/>
      </c>
      <c r="Y394" s="180" t="str">
        <f ca="1"/>
        <v/>
      </c>
      <c r="Z394" s="180" t="str">
        <f ca="1"/>
        <v/>
      </c>
      <c r="AA394" s="180" t="str">
        <f ca="1"/>
        <v/>
      </c>
      <c r="AB394" s="180" t="str">
        <f ca="1"/>
        <v/>
      </c>
      <c r="AC394" s="180" t="str">
        <f ca="1"/>
        <v/>
      </c>
      <c r="AD394" s="180" t="str">
        <f ca="1"/>
        <v/>
      </c>
      <c r="AE394" s="180" t="str">
        <f ca="1"/>
        <v/>
      </c>
      <c r="AF394" s="180" t="str">
        <f ca="1"/>
        <v/>
      </c>
      <c r="AG394" s="180" t="str">
        <f ca="1"/>
        <v/>
      </c>
      <c r="AH394" s="180" t="str">
        <f ca="1"/>
        <v/>
      </c>
      <c r="AI394" s="180" t="str">
        <f ca="1"/>
        <v/>
      </c>
      <c r="AJ394" s="180" t="str">
        <f ca="1"/>
        <v/>
      </c>
      <c r="AK394" s="180" t="str">
        <f ca="1"/>
        <v/>
      </c>
      <c r="AL394" s="180" t="str">
        <f ca="1"/>
        <v/>
      </c>
      <c r="AM394" s="180" t="str">
        <f ca="1"/>
        <v/>
      </c>
      <c r="AN394" s="180" t="str">
        <f ca="1"/>
        <v/>
      </c>
      <c r="AO394" s="180" t="str">
        <f ca="1"/>
        <v/>
      </c>
      <c r="AP394" s="180" t="str">
        <f ca="1"/>
        <v/>
      </c>
      <c r="AQ394" s="187" t="str">
        <f ca="1"/>
        <v/>
      </c>
    </row>
    <row r="395" spans="2:43" x14ac:dyDescent="0.25">
      <c r="B395" s="179" t="str">
        <f ca="1"/>
        <v/>
      </c>
      <c r="C395" s="180" t="str">
        <f ca="1"/>
        <v/>
      </c>
      <c r="D395" s="180" t="str">
        <f ca="1"/>
        <v/>
      </c>
      <c r="E395" s="180" t="str">
        <f ca="1"/>
        <v/>
      </c>
      <c r="F395" s="180" t="str">
        <f ca="1"/>
        <v/>
      </c>
      <c r="G395" s="180" t="str">
        <f ca="1"/>
        <v/>
      </c>
      <c r="H395" s="180" t="str">
        <f ca="1"/>
        <v/>
      </c>
      <c r="I395" s="180" t="str">
        <f ca="1"/>
        <v/>
      </c>
      <c r="J395" s="180" t="str">
        <f ca="1"/>
        <v/>
      </c>
      <c r="K395" s="180" t="str">
        <f ca="1"/>
        <v/>
      </c>
      <c r="L395" s="180" t="str">
        <f ca="1"/>
        <v/>
      </c>
      <c r="M395" s="180" t="str">
        <f ca="1"/>
        <v/>
      </c>
      <c r="N395" s="180" t="str">
        <f ca="1"/>
        <v/>
      </c>
      <c r="O395" s="180" t="str">
        <f ca="1"/>
        <v/>
      </c>
      <c r="P395" s="180" t="str">
        <f ca="1"/>
        <v/>
      </c>
      <c r="Q395" s="180" t="str">
        <f ca="1"/>
        <v/>
      </c>
      <c r="R395" s="180" t="str">
        <f ca="1"/>
        <v/>
      </c>
      <c r="S395" s="180" t="str">
        <f ca="1"/>
        <v/>
      </c>
      <c r="T395" s="180" t="str">
        <f ca="1"/>
        <v/>
      </c>
      <c r="U395" s="180" t="str">
        <f ca="1"/>
        <v/>
      </c>
      <c r="V395" s="180" t="str">
        <f ca="1"/>
        <v/>
      </c>
      <c r="W395" s="180" t="str">
        <f ca="1"/>
        <v/>
      </c>
      <c r="X395" s="180" t="str">
        <f ca="1"/>
        <v/>
      </c>
      <c r="Y395" s="180" t="str">
        <f ca="1"/>
        <v/>
      </c>
      <c r="Z395" s="180" t="str">
        <f ca="1"/>
        <v/>
      </c>
      <c r="AA395" s="180" t="str">
        <f ca="1"/>
        <v/>
      </c>
      <c r="AB395" s="180" t="str">
        <f ca="1"/>
        <v/>
      </c>
      <c r="AC395" s="180" t="str">
        <f ca="1"/>
        <v/>
      </c>
      <c r="AD395" s="180" t="str">
        <f ca="1"/>
        <v/>
      </c>
      <c r="AE395" s="180" t="str">
        <f ca="1"/>
        <v/>
      </c>
      <c r="AF395" s="180" t="str">
        <f ca="1"/>
        <v/>
      </c>
      <c r="AG395" s="180" t="str">
        <f ca="1"/>
        <v/>
      </c>
      <c r="AH395" s="180" t="str">
        <f ca="1"/>
        <v/>
      </c>
      <c r="AI395" s="180" t="str">
        <f ca="1"/>
        <v/>
      </c>
      <c r="AJ395" s="180" t="str">
        <f ca="1"/>
        <v/>
      </c>
      <c r="AK395" s="180" t="str">
        <f ca="1"/>
        <v/>
      </c>
      <c r="AL395" s="180" t="str">
        <f ca="1"/>
        <v/>
      </c>
      <c r="AM395" s="180" t="str">
        <f ca="1"/>
        <v/>
      </c>
      <c r="AN395" s="180" t="str">
        <f ca="1"/>
        <v/>
      </c>
      <c r="AO395" s="180" t="str">
        <f ca="1"/>
        <v/>
      </c>
      <c r="AP395" s="180" t="str">
        <f ca="1"/>
        <v/>
      </c>
      <c r="AQ395" s="187" t="str">
        <f ca="1"/>
        <v/>
      </c>
    </row>
    <row r="396" spans="2:43" x14ac:dyDescent="0.25">
      <c r="B396" s="179" t="str">
        <f ca="1"/>
        <v/>
      </c>
      <c r="C396" s="180" t="str">
        <f ca="1"/>
        <v/>
      </c>
      <c r="D396" s="180" t="str">
        <f ca="1"/>
        <v/>
      </c>
      <c r="E396" s="180" t="str">
        <f ca="1"/>
        <v/>
      </c>
      <c r="F396" s="180" t="str">
        <f ca="1"/>
        <v/>
      </c>
      <c r="G396" s="180" t="str">
        <f ca="1"/>
        <v/>
      </c>
      <c r="H396" s="180" t="str">
        <f ca="1"/>
        <v/>
      </c>
      <c r="I396" s="180" t="str">
        <f ca="1"/>
        <v/>
      </c>
      <c r="J396" s="180" t="str">
        <f ca="1"/>
        <v/>
      </c>
      <c r="K396" s="180" t="str">
        <f ca="1"/>
        <v/>
      </c>
      <c r="L396" s="180" t="str">
        <f ca="1"/>
        <v/>
      </c>
      <c r="M396" s="180" t="str">
        <f ca="1"/>
        <v/>
      </c>
      <c r="N396" s="180" t="str">
        <f ca="1"/>
        <v/>
      </c>
      <c r="O396" s="180" t="str">
        <f ca="1"/>
        <v/>
      </c>
      <c r="P396" s="180" t="str">
        <f ca="1"/>
        <v/>
      </c>
      <c r="Q396" s="180" t="str">
        <f ca="1"/>
        <v/>
      </c>
      <c r="R396" s="180" t="str">
        <f ca="1"/>
        <v/>
      </c>
      <c r="S396" s="180" t="str">
        <f ca="1"/>
        <v/>
      </c>
      <c r="T396" s="180" t="str">
        <f ca="1"/>
        <v/>
      </c>
      <c r="U396" s="180" t="str">
        <f ca="1"/>
        <v/>
      </c>
      <c r="V396" s="180" t="str">
        <f ca="1"/>
        <v/>
      </c>
      <c r="W396" s="180" t="str">
        <f ca="1"/>
        <v/>
      </c>
      <c r="X396" s="180" t="str">
        <f ca="1"/>
        <v/>
      </c>
      <c r="Y396" s="180" t="str">
        <f ca="1"/>
        <v/>
      </c>
      <c r="Z396" s="180" t="str">
        <f ca="1"/>
        <v/>
      </c>
      <c r="AA396" s="180" t="str">
        <f ca="1"/>
        <v/>
      </c>
      <c r="AB396" s="180" t="str">
        <f ca="1"/>
        <v/>
      </c>
      <c r="AC396" s="180" t="str">
        <f ca="1"/>
        <v/>
      </c>
      <c r="AD396" s="180" t="str">
        <f ca="1"/>
        <v/>
      </c>
      <c r="AE396" s="180" t="str">
        <f ca="1"/>
        <v/>
      </c>
      <c r="AF396" s="180" t="str">
        <f ca="1"/>
        <v/>
      </c>
      <c r="AG396" s="180" t="str">
        <f ca="1"/>
        <v/>
      </c>
      <c r="AH396" s="180" t="str">
        <f ca="1"/>
        <v/>
      </c>
      <c r="AI396" s="180" t="str">
        <f ca="1"/>
        <v/>
      </c>
      <c r="AJ396" s="180" t="str">
        <f ca="1"/>
        <v/>
      </c>
      <c r="AK396" s="180" t="str">
        <f ca="1"/>
        <v/>
      </c>
      <c r="AL396" s="180" t="str">
        <f ca="1"/>
        <v/>
      </c>
      <c r="AM396" s="180" t="str">
        <f ca="1"/>
        <v/>
      </c>
      <c r="AN396" s="180" t="str">
        <f ca="1"/>
        <v/>
      </c>
      <c r="AO396" s="180" t="str">
        <f ca="1"/>
        <v/>
      </c>
      <c r="AP396" s="180" t="str">
        <f ca="1"/>
        <v/>
      </c>
      <c r="AQ396" s="187" t="str">
        <f ca="1"/>
        <v/>
      </c>
    </row>
    <row r="397" spans="2:43" x14ac:dyDescent="0.25">
      <c r="B397" s="179" t="str">
        <f ca="1"/>
        <v/>
      </c>
      <c r="C397" s="180" t="str">
        <f ca="1"/>
        <v/>
      </c>
      <c r="D397" s="180" t="str">
        <f ca="1"/>
        <v/>
      </c>
      <c r="E397" s="180" t="str">
        <f ca="1"/>
        <v/>
      </c>
      <c r="F397" s="180" t="str">
        <f ca="1"/>
        <v/>
      </c>
      <c r="G397" s="180" t="str">
        <f ca="1"/>
        <v/>
      </c>
      <c r="H397" s="180" t="str">
        <f ca="1"/>
        <v/>
      </c>
      <c r="I397" s="180" t="str">
        <f ca="1"/>
        <v/>
      </c>
      <c r="J397" s="180" t="str">
        <f ca="1"/>
        <v/>
      </c>
      <c r="K397" s="180" t="str">
        <f ca="1"/>
        <v/>
      </c>
      <c r="L397" s="180" t="str">
        <f ca="1"/>
        <v/>
      </c>
      <c r="M397" s="180" t="str">
        <f ca="1"/>
        <v/>
      </c>
      <c r="N397" s="180" t="str">
        <f ca="1"/>
        <v/>
      </c>
      <c r="O397" s="180" t="str">
        <f ca="1"/>
        <v/>
      </c>
      <c r="P397" s="180" t="str">
        <f ca="1"/>
        <v/>
      </c>
      <c r="Q397" s="180" t="str">
        <f ca="1"/>
        <v/>
      </c>
      <c r="R397" s="180" t="str">
        <f ca="1"/>
        <v/>
      </c>
      <c r="S397" s="180" t="str">
        <f ca="1"/>
        <v/>
      </c>
      <c r="T397" s="180" t="str">
        <f ca="1"/>
        <v/>
      </c>
      <c r="U397" s="180" t="str">
        <f ca="1"/>
        <v/>
      </c>
      <c r="V397" s="180" t="str">
        <f ca="1"/>
        <v/>
      </c>
      <c r="W397" s="180" t="str">
        <f ca="1"/>
        <v/>
      </c>
      <c r="X397" s="180" t="str">
        <f ca="1"/>
        <v/>
      </c>
      <c r="Y397" s="180" t="str">
        <f ca="1"/>
        <v/>
      </c>
      <c r="Z397" s="180" t="str">
        <f ca="1"/>
        <v/>
      </c>
      <c r="AA397" s="180" t="str">
        <f ca="1"/>
        <v/>
      </c>
      <c r="AB397" s="180" t="str">
        <f ca="1"/>
        <v/>
      </c>
      <c r="AC397" s="180" t="str">
        <f ca="1"/>
        <v/>
      </c>
      <c r="AD397" s="180" t="str">
        <f ca="1"/>
        <v/>
      </c>
      <c r="AE397" s="180" t="str">
        <f ca="1"/>
        <v/>
      </c>
      <c r="AF397" s="180" t="str">
        <f ca="1"/>
        <v/>
      </c>
      <c r="AG397" s="180" t="str">
        <f ca="1"/>
        <v/>
      </c>
      <c r="AH397" s="180" t="str">
        <f ca="1"/>
        <v/>
      </c>
      <c r="AI397" s="180" t="str">
        <f ca="1"/>
        <v/>
      </c>
      <c r="AJ397" s="180" t="str">
        <f ca="1"/>
        <v/>
      </c>
      <c r="AK397" s="180" t="str">
        <f ca="1"/>
        <v/>
      </c>
      <c r="AL397" s="180" t="str">
        <f ca="1"/>
        <v/>
      </c>
      <c r="AM397" s="180" t="str">
        <f ca="1"/>
        <v/>
      </c>
      <c r="AN397" s="180" t="str">
        <f ca="1"/>
        <v/>
      </c>
      <c r="AO397" s="180" t="str">
        <f ca="1"/>
        <v/>
      </c>
      <c r="AP397" s="180" t="str">
        <f ca="1"/>
        <v/>
      </c>
      <c r="AQ397" s="187" t="str">
        <f ca="1"/>
        <v/>
      </c>
    </row>
    <row r="398" spans="2:43" x14ac:dyDescent="0.25">
      <c r="B398" s="179" t="str">
        <f ca="1"/>
        <v/>
      </c>
      <c r="C398" s="180" t="str">
        <f ca="1"/>
        <v/>
      </c>
      <c r="D398" s="180" t="str">
        <f ca="1"/>
        <v/>
      </c>
      <c r="E398" s="180" t="str">
        <f ca="1"/>
        <v/>
      </c>
      <c r="F398" s="180" t="str">
        <f ca="1"/>
        <v/>
      </c>
      <c r="G398" s="180" t="str">
        <f ca="1"/>
        <v/>
      </c>
      <c r="H398" s="180" t="str">
        <f ca="1"/>
        <v/>
      </c>
      <c r="I398" s="180" t="str">
        <f ca="1"/>
        <v/>
      </c>
      <c r="J398" s="180" t="str">
        <f ca="1"/>
        <v/>
      </c>
      <c r="K398" s="180" t="str">
        <f ca="1"/>
        <v/>
      </c>
      <c r="L398" s="180" t="str">
        <f ca="1"/>
        <v/>
      </c>
      <c r="M398" s="180" t="str">
        <f ca="1"/>
        <v/>
      </c>
      <c r="N398" s="180" t="str">
        <f ca="1"/>
        <v/>
      </c>
      <c r="O398" s="180" t="str">
        <f ca="1"/>
        <v/>
      </c>
      <c r="P398" s="180" t="str">
        <f ca="1"/>
        <v/>
      </c>
      <c r="Q398" s="180" t="str">
        <f ca="1"/>
        <v/>
      </c>
      <c r="R398" s="180" t="str">
        <f ca="1"/>
        <v/>
      </c>
      <c r="S398" s="180" t="str">
        <f ca="1"/>
        <v/>
      </c>
      <c r="T398" s="180" t="str">
        <f ca="1"/>
        <v/>
      </c>
      <c r="U398" s="180" t="str">
        <f ca="1"/>
        <v/>
      </c>
      <c r="V398" s="180" t="str">
        <f ca="1"/>
        <v/>
      </c>
      <c r="W398" s="180" t="str">
        <f ca="1"/>
        <v/>
      </c>
      <c r="X398" s="180" t="str">
        <f ca="1"/>
        <v/>
      </c>
      <c r="Y398" s="180" t="str">
        <f ca="1"/>
        <v/>
      </c>
      <c r="Z398" s="180" t="str">
        <f ca="1"/>
        <v/>
      </c>
      <c r="AA398" s="180" t="str">
        <f ca="1"/>
        <v/>
      </c>
      <c r="AB398" s="180" t="str">
        <f ca="1"/>
        <v/>
      </c>
      <c r="AC398" s="180" t="str">
        <f ca="1"/>
        <v/>
      </c>
      <c r="AD398" s="180" t="str">
        <f ca="1"/>
        <v/>
      </c>
      <c r="AE398" s="180" t="str">
        <f ca="1"/>
        <v/>
      </c>
      <c r="AF398" s="180" t="str">
        <f ca="1"/>
        <v/>
      </c>
      <c r="AG398" s="180" t="str">
        <f ca="1"/>
        <v/>
      </c>
      <c r="AH398" s="180" t="str">
        <f ca="1"/>
        <v/>
      </c>
      <c r="AI398" s="180" t="str">
        <f ca="1"/>
        <v/>
      </c>
      <c r="AJ398" s="180" t="str">
        <f ca="1"/>
        <v/>
      </c>
      <c r="AK398" s="180" t="str">
        <f ca="1"/>
        <v/>
      </c>
      <c r="AL398" s="180" t="str">
        <f ca="1"/>
        <v/>
      </c>
      <c r="AM398" s="180" t="str">
        <f ca="1"/>
        <v/>
      </c>
      <c r="AN398" s="180" t="str">
        <f ca="1"/>
        <v/>
      </c>
      <c r="AO398" s="180" t="str">
        <f ca="1"/>
        <v/>
      </c>
      <c r="AP398" s="180" t="str">
        <f ca="1"/>
        <v/>
      </c>
      <c r="AQ398" s="187" t="str">
        <f ca="1"/>
        <v/>
      </c>
    </row>
    <row r="399" spans="2:43" x14ac:dyDescent="0.25">
      <c r="B399" s="179" t="str">
        <f ca="1"/>
        <v/>
      </c>
      <c r="C399" s="180" t="str">
        <f ca="1"/>
        <v/>
      </c>
      <c r="D399" s="180" t="str">
        <f ca="1"/>
        <v/>
      </c>
      <c r="E399" s="180" t="str">
        <f ca="1"/>
        <v/>
      </c>
      <c r="F399" s="180" t="str">
        <f ca="1"/>
        <v/>
      </c>
      <c r="G399" s="180" t="str">
        <f ca="1"/>
        <v/>
      </c>
      <c r="H399" s="180" t="str">
        <f ca="1"/>
        <v/>
      </c>
      <c r="I399" s="180" t="str">
        <f ca="1"/>
        <v/>
      </c>
      <c r="J399" s="180" t="str">
        <f ca="1"/>
        <v/>
      </c>
      <c r="K399" s="180" t="str">
        <f ca="1"/>
        <v/>
      </c>
      <c r="L399" s="180" t="str">
        <f ca="1"/>
        <v/>
      </c>
      <c r="M399" s="180" t="str">
        <f ca="1"/>
        <v/>
      </c>
      <c r="N399" s="180" t="str">
        <f ca="1"/>
        <v/>
      </c>
      <c r="O399" s="180" t="str">
        <f ca="1"/>
        <v/>
      </c>
      <c r="P399" s="180" t="str">
        <f ca="1"/>
        <v/>
      </c>
      <c r="Q399" s="180" t="str">
        <f ca="1"/>
        <v/>
      </c>
      <c r="R399" s="180" t="str">
        <f ca="1"/>
        <v/>
      </c>
      <c r="S399" s="180" t="str">
        <f ca="1"/>
        <v/>
      </c>
      <c r="T399" s="180" t="str">
        <f ca="1"/>
        <v/>
      </c>
      <c r="U399" s="180" t="str">
        <f ca="1"/>
        <v/>
      </c>
      <c r="V399" s="180" t="str">
        <f ca="1"/>
        <v/>
      </c>
      <c r="W399" s="180" t="str">
        <f ca="1"/>
        <v/>
      </c>
      <c r="X399" s="180" t="str">
        <f ca="1"/>
        <v/>
      </c>
      <c r="Y399" s="180" t="str">
        <f ca="1"/>
        <v/>
      </c>
      <c r="Z399" s="180" t="str">
        <f ca="1"/>
        <v/>
      </c>
      <c r="AA399" s="180" t="str">
        <f ca="1"/>
        <v/>
      </c>
      <c r="AB399" s="180" t="str">
        <f ca="1"/>
        <v/>
      </c>
      <c r="AC399" s="180" t="str">
        <f ca="1"/>
        <v/>
      </c>
      <c r="AD399" s="180" t="str">
        <f ca="1"/>
        <v/>
      </c>
      <c r="AE399" s="180" t="str">
        <f ca="1"/>
        <v/>
      </c>
      <c r="AF399" s="180" t="str">
        <f ca="1"/>
        <v/>
      </c>
      <c r="AG399" s="180" t="str">
        <f ca="1"/>
        <v/>
      </c>
      <c r="AH399" s="180" t="str">
        <f ca="1"/>
        <v/>
      </c>
      <c r="AI399" s="180" t="str">
        <f ca="1"/>
        <v/>
      </c>
      <c r="AJ399" s="180" t="str">
        <f ca="1"/>
        <v/>
      </c>
      <c r="AK399" s="180" t="str">
        <f ca="1"/>
        <v/>
      </c>
      <c r="AL399" s="180" t="str">
        <f ca="1"/>
        <v/>
      </c>
      <c r="AM399" s="180" t="str">
        <f ca="1"/>
        <v/>
      </c>
      <c r="AN399" s="180" t="str">
        <f ca="1"/>
        <v/>
      </c>
      <c r="AO399" s="180" t="str">
        <f ca="1"/>
        <v/>
      </c>
      <c r="AP399" s="180" t="str">
        <f ca="1"/>
        <v/>
      </c>
      <c r="AQ399" s="187" t="str">
        <f ca="1"/>
        <v/>
      </c>
    </row>
  </sheetData>
  <conditionalFormatting sqref="C15:AQ399">
    <cfRule type="cellIs" dxfId="1" priority="1" operator="between">
      <formula>-0.00000000000001</formula>
      <formula>0.00000000000001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34"/>
  <sheetViews>
    <sheetView showGridLines="0" workbookViewId="0"/>
  </sheetViews>
  <sheetFormatPr defaultRowHeight="15" x14ac:dyDescent="0.25"/>
  <cols>
    <col min="2" max="2" width="14.140625" bestFit="1" customWidth="1"/>
    <col min="4" max="4" width="17" bestFit="1" customWidth="1"/>
    <col min="8" max="8" width="16.42578125" customWidth="1"/>
    <col min="14" max="14" width="24.5703125" bestFit="1" customWidth="1"/>
    <col min="15" max="15" width="15.28515625" bestFit="1" customWidth="1"/>
    <col min="16" max="16" width="12" customWidth="1"/>
    <col min="19" max="19" width="11.140625" bestFit="1" customWidth="1"/>
  </cols>
  <sheetData>
    <row r="2" spans="2:20" x14ac:dyDescent="0.25">
      <c r="B2" s="188" t="s">
        <v>230</v>
      </c>
      <c r="C2" s="188"/>
      <c r="F2" s="189" t="s">
        <v>231</v>
      </c>
      <c r="M2" s="190"/>
      <c r="N2" s="188" t="s">
        <v>232</v>
      </c>
      <c r="R2" s="188" t="s">
        <v>233</v>
      </c>
    </row>
    <row r="3" spans="2:20" x14ac:dyDescent="0.25">
      <c r="D3" s="191" t="s">
        <v>234</v>
      </c>
      <c r="H3" s="191" t="s">
        <v>235</v>
      </c>
      <c r="M3" s="190"/>
    </row>
    <row r="4" spans="2:20" x14ac:dyDescent="0.25">
      <c r="B4" s="171" t="s">
        <v>236</v>
      </c>
      <c r="C4" s="171" t="s">
        <v>79</v>
      </c>
      <c r="D4" s="192" t="s">
        <v>237</v>
      </c>
      <c r="E4" s="192"/>
      <c r="F4" s="192" t="s">
        <v>236</v>
      </c>
      <c r="G4" s="171" t="s">
        <v>238</v>
      </c>
      <c r="H4" s="171" t="s">
        <v>239</v>
      </c>
      <c r="I4" s="171" t="s">
        <v>240</v>
      </c>
      <c r="J4" s="171" t="s">
        <v>241</v>
      </c>
      <c r="K4" s="171" t="s">
        <v>242</v>
      </c>
      <c r="L4" s="171" t="s">
        <v>243</v>
      </c>
      <c r="M4" s="190"/>
      <c r="N4" s="171" t="s">
        <v>244</v>
      </c>
      <c r="O4" s="171" t="s">
        <v>222</v>
      </c>
      <c r="P4" s="171" t="s">
        <v>254</v>
      </c>
      <c r="Q4" s="171"/>
      <c r="R4" s="171" t="s">
        <v>5</v>
      </c>
      <c r="S4" s="171" t="s">
        <v>252</v>
      </c>
      <c r="T4" s="193" t="s">
        <v>245</v>
      </c>
    </row>
    <row r="5" spans="2:20" x14ac:dyDescent="0.25">
      <c r="B5" s="194">
        <f ca="1">_xll.meDateFromTenor('SWAP - USD3ML'!$D$7,F5,"MOD_FOLLOWING",C5,"")</f>
        <v>43816</v>
      </c>
      <c r="C5" s="195" t="s">
        <v>251</v>
      </c>
      <c r="D5" s="196">
        <f ca="1">_xll.meDateFromTenor(B5,G5)</f>
        <v>44912</v>
      </c>
      <c r="E5" s="192"/>
      <c r="F5" s="197" t="s">
        <v>53</v>
      </c>
      <c r="G5" s="198" t="str">
        <f ca="1">'SWAP - USD3ML'!O5</f>
        <v>3Y</v>
      </c>
      <c r="H5" s="199" t="s">
        <v>246</v>
      </c>
      <c r="I5" s="200" t="s">
        <v>247</v>
      </c>
      <c r="J5" s="201">
        <v>1000000</v>
      </c>
      <c r="K5" s="202">
        <v>0.01</v>
      </c>
      <c r="L5" s="203">
        <v>0</v>
      </c>
      <c r="M5" s="190"/>
      <c r="N5" s="204" t="str">
        <f ca="1">_xll.meLWOSwapCreateFromGenerator(H5&amp;"_"&amp;G5,H5,I5,J5,B5,D5,K5,L5)</f>
        <v>USD_3ML_3Y@11:1</v>
      </c>
      <c r="O5" s="205" t="s">
        <v>24</v>
      </c>
      <c r="P5" s="206">
        <f ca="1">_xll.meLWOSwapParRate(N5,O5)</f>
        <v>1.584800000000277E-2</v>
      </c>
      <c r="R5" s="172" t="str">
        <f ca="1">'SWAP - USD3ML'!O5</f>
        <v>3Y</v>
      </c>
      <c r="S5" s="207">
        <f ca="1">'SWAP - USD3ML'!P5</f>
        <v>1.5848000000000001E-2</v>
      </c>
      <c r="T5" s="208">
        <f t="shared" ref="T5:T14" ca="1" si="0">(P5-S5)*10000</f>
        <v>2.7686186676589841E-11</v>
      </c>
    </row>
    <row r="6" spans="2:20" x14ac:dyDescent="0.25">
      <c r="B6" s="209">
        <f ca="1">_xll.meDateFromTenor('SWAP - USD3ML'!$D$7,F6,"MOD_FOLLOWING",C6,"")</f>
        <v>43816</v>
      </c>
      <c r="C6" s="210" t="s">
        <v>251</v>
      </c>
      <c r="D6" s="211">
        <f ca="1">_xll.meDateFromTenor(B6,G6)</f>
        <v>45277</v>
      </c>
      <c r="F6" s="212" t="s">
        <v>53</v>
      </c>
      <c r="G6" s="213" t="str">
        <f ca="1">'SWAP - USD3ML'!O6</f>
        <v>4Y</v>
      </c>
      <c r="H6" s="214" t="s">
        <v>246</v>
      </c>
      <c r="I6" s="120" t="s">
        <v>247</v>
      </c>
      <c r="J6" s="215">
        <v>1000000</v>
      </c>
      <c r="K6" s="216">
        <v>0.01</v>
      </c>
      <c r="L6" s="217">
        <v>0</v>
      </c>
      <c r="M6" s="190"/>
      <c r="N6" s="218" t="str">
        <f ca="1">_xll.meLWOSwapCreateFromGenerator(H6&amp;"_"&amp;G6,H6,I6,J6,B6,D6,K6,L6)</f>
        <v>USD_3ML_4Y@12:1</v>
      </c>
      <c r="O6" s="219" t="s">
        <v>24</v>
      </c>
      <c r="P6" s="220">
        <f ca="1">_xll.meLWOSwapParRate(N6,O6)</f>
        <v>1.5839999999953908E-2</v>
      </c>
      <c r="R6" s="148" t="str">
        <f ca="1">'SWAP - USD3ML'!O6</f>
        <v>4Y</v>
      </c>
      <c r="S6" s="221">
        <f ca="1">'SWAP - USD3ML'!P6</f>
        <v>1.584E-2</v>
      </c>
      <c r="T6" s="222">
        <f t="shared" ca="1" si="0"/>
        <v>-4.6091602756703764E-10</v>
      </c>
    </row>
    <row r="7" spans="2:20" x14ac:dyDescent="0.25">
      <c r="B7" s="209">
        <f ca="1">_xll.meDateFromTenor('SWAP - USD3ML'!$D$7,F7,"MOD_FOLLOWING",C7,"")</f>
        <v>43816</v>
      </c>
      <c r="C7" s="210" t="s">
        <v>251</v>
      </c>
      <c r="D7" s="211">
        <f ca="1">_xll.meDateFromTenor(B7,G7)</f>
        <v>45643</v>
      </c>
      <c r="F7" s="212" t="s">
        <v>53</v>
      </c>
      <c r="G7" s="213" t="str">
        <f ca="1">'SWAP - USD3ML'!O7</f>
        <v>5Y</v>
      </c>
      <c r="H7" s="214" t="s">
        <v>246</v>
      </c>
      <c r="I7" s="120" t="s">
        <v>247</v>
      </c>
      <c r="J7" s="215">
        <v>1000000</v>
      </c>
      <c r="K7" s="216">
        <v>0.01</v>
      </c>
      <c r="L7" s="217">
        <v>0</v>
      </c>
      <c r="M7" s="190"/>
      <c r="N7" s="218" t="str">
        <f ca="1">_xll.meLWOSwapCreateFromGenerator(H7&amp;"_"&amp;G7,H7,I7,J7,B7,D7,K7,L7)</f>
        <v>USD_3ML_5Y@13:1</v>
      </c>
      <c r="O7" s="219" t="s">
        <v>24</v>
      </c>
      <c r="P7" s="220">
        <f ca="1">_xll.meLWOSwapParRate(N7,O7)</f>
        <v>1.5964000000010935E-2</v>
      </c>
      <c r="R7" s="148" t="str">
        <f ca="1">'SWAP - USD3ML'!O7</f>
        <v>5Y</v>
      </c>
      <c r="S7" s="221">
        <f ca="1">'SWAP - USD3ML'!P7</f>
        <v>1.5963999999999999E-2</v>
      </c>
      <c r="T7" s="222">
        <f t="shared" ca="1" si="0"/>
        <v>1.0935696792557792E-10</v>
      </c>
    </row>
    <row r="8" spans="2:20" x14ac:dyDescent="0.25">
      <c r="B8" s="209">
        <f ca="1">_xll.meDateFromTenor('SWAP - USD3ML'!$D$7,F8,"MOD_FOLLOWING",C8,"")</f>
        <v>43816</v>
      </c>
      <c r="C8" s="210" t="s">
        <v>251</v>
      </c>
      <c r="D8" s="211">
        <f ca="1">_xll.meDateFromTenor(B8,G8)</f>
        <v>46373</v>
      </c>
      <c r="F8" s="212" t="s">
        <v>53</v>
      </c>
      <c r="G8" s="213" t="str">
        <f ca="1">'SWAP - USD3ML'!O8</f>
        <v>7Y</v>
      </c>
      <c r="H8" s="214" t="s">
        <v>246</v>
      </c>
      <c r="I8" s="120" t="s">
        <v>247</v>
      </c>
      <c r="J8" s="215">
        <v>1000000</v>
      </c>
      <c r="K8" s="216">
        <v>0.01</v>
      </c>
      <c r="L8" s="217">
        <v>0</v>
      </c>
      <c r="M8" s="190"/>
      <c r="N8" s="218" t="str">
        <f ca="1">_xll.meLWOSwapCreateFromGenerator(H8&amp;"_"&amp;G8,H8,I8,J8,B8,D8,K8,L8)</f>
        <v>USD_3ML_7Y@14:1</v>
      </c>
      <c r="O8" s="219" t="s">
        <v>24</v>
      </c>
      <c r="P8" s="220">
        <f ca="1">_xll.meLWOSwapParRate(N8,O8)</f>
        <v>1.6360999999952976E-2</v>
      </c>
      <c r="R8" s="148" t="str">
        <f ca="1">'SWAP - USD3ML'!O8</f>
        <v>7Y</v>
      </c>
      <c r="S8" s="221">
        <f ca="1">'SWAP - USD3ML'!P8</f>
        <v>1.6361000000000001E-2</v>
      </c>
      <c r="T8" s="222">
        <f t="shared" ca="1" si="0"/>
        <v>-4.7024883986779287E-10</v>
      </c>
    </row>
    <row r="9" spans="2:20" x14ac:dyDescent="0.25">
      <c r="B9" s="209">
        <f ca="1">_xll.meDateFromTenor('SWAP - USD3ML'!$D$7,F9,"MOD_FOLLOWING",C9,"")</f>
        <v>43816</v>
      </c>
      <c r="C9" s="210" t="s">
        <v>251</v>
      </c>
      <c r="D9" s="211">
        <f ca="1">_xll.meDateFromTenor(B9,G9)</f>
        <v>46738</v>
      </c>
      <c r="F9" s="212" t="s">
        <v>53</v>
      </c>
      <c r="G9" s="213" t="str">
        <f ca="1">'SWAP - USD3ML'!O9</f>
        <v>8Y</v>
      </c>
      <c r="H9" s="214" t="s">
        <v>246</v>
      </c>
      <c r="I9" s="120" t="s">
        <v>247</v>
      </c>
      <c r="J9" s="215">
        <v>1000000</v>
      </c>
      <c r="K9" s="216">
        <v>0.01</v>
      </c>
      <c r="L9" s="217">
        <v>0</v>
      </c>
      <c r="M9" s="190"/>
      <c r="N9" s="218" t="str">
        <f ca="1">_xll.meLWOSwapCreateFromGenerator(H9&amp;"_"&amp;G9,H9,I9,J9,B9,D9,K9,L9)</f>
        <v>USD_3ML_8Y@15:1</v>
      </c>
      <c r="O9" s="219" t="s">
        <v>24</v>
      </c>
      <c r="P9" s="220">
        <f ca="1">_xll.meLWOSwapParRate(N9,O9)</f>
        <v>1.6623000000237573E-2</v>
      </c>
      <c r="R9" s="148" t="str">
        <f ca="1">'SWAP - USD3ML'!O9</f>
        <v>8Y</v>
      </c>
      <c r="S9" s="221">
        <f ca="1">'SWAP - USD3ML'!P9</f>
        <v>1.6623000000000002E-2</v>
      </c>
      <c r="T9" s="222">
        <f t="shared" ca="1" si="0"/>
        <v>2.3757038003502373E-9</v>
      </c>
    </row>
    <row r="10" spans="2:20" x14ac:dyDescent="0.25">
      <c r="B10" s="209">
        <f ca="1">_xll.meDateFromTenor('SWAP - USD3ML'!$D$7,F10,"MOD_FOLLOWING",C10,"")</f>
        <v>43816</v>
      </c>
      <c r="C10" s="210" t="s">
        <v>251</v>
      </c>
      <c r="D10" s="211">
        <f ca="1">_xll.meDateFromTenor(B10,G10)</f>
        <v>47104</v>
      </c>
      <c r="F10" s="212" t="s">
        <v>53</v>
      </c>
      <c r="G10" s="213" t="str">
        <f ca="1">'SWAP - USD3ML'!O10</f>
        <v>9Y</v>
      </c>
      <c r="H10" s="214" t="s">
        <v>246</v>
      </c>
      <c r="I10" s="120" t="s">
        <v>247</v>
      </c>
      <c r="J10" s="215">
        <v>1000000</v>
      </c>
      <c r="K10" s="216">
        <v>0.01</v>
      </c>
      <c r="L10" s="217">
        <v>0</v>
      </c>
      <c r="M10" s="190"/>
      <c r="N10" s="218" t="str">
        <f ca="1">_xll.meLWOSwapCreateFromGenerator(H10&amp;"_"&amp;G10,H10,I10,J10,B10,D10,K10,L10)</f>
        <v>USD_3ML_9Y@16:1</v>
      </c>
      <c r="O10" s="219" t="s">
        <v>24</v>
      </c>
      <c r="P10" s="220">
        <f ca="1">_xll.meLWOSwapParRate(N10,O10)</f>
        <v>1.6902000000321743E-2</v>
      </c>
      <c r="R10" s="148" t="str">
        <f ca="1">'SWAP - USD3ML'!O10</f>
        <v>9Y</v>
      </c>
      <c r="S10" s="221">
        <f ca="1">'SWAP - USD3ML'!P10</f>
        <v>1.6902E-2</v>
      </c>
      <c r="T10" s="222">
        <f t="shared" ca="1" si="0"/>
        <v>3.2174263253637037E-9</v>
      </c>
    </row>
    <row r="11" spans="2:20" x14ac:dyDescent="0.25">
      <c r="B11" s="209">
        <f ca="1">_xll.meDateFromTenor('SWAP - USD3ML'!$D$7,F11,"MOD_FOLLOWING",C11,"")</f>
        <v>43816</v>
      </c>
      <c r="C11" s="210" t="s">
        <v>251</v>
      </c>
      <c r="D11" s="211">
        <f ca="1">_xll.meDateFromTenor(B11,G11)</f>
        <v>47469</v>
      </c>
      <c r="F11" s="212" t="s">
        <v>53</v>
      </c>
      <c r="G11" s="213" t="str">
        <f ca="1">'SWAP - USD3ML'!O11</f>
        <v>10Y</v>
      </c>
      <c r="H11" s="214" t="s">
        <v>246</v>
      </c>
      <c r="I11" s="120" t="s">
        <v>247</v>
      </c>
      <c r="J11" s="215">
        <v>1000000</v>
      </c>
      <c r="K11" s="216">
        <v>0.01</v>
      </c>
      <c r="L11" s="217">
        <v>0</v>
      </c>
      <c r="M11" s="190"/>
      <c r="N11" s="218" t="str">
        <f ca="1">_xll.meLWOSwapCreateFromGenerator(H11&amp;"_"&amp;G11,H11,I11,J11,B11,D11,K11,L11)</f>
        <v>USD_3ML_10Y@17:1</v>
      </c>
      <c r="O11" s="219" t="s">
        <v>24</v>
      </c>
      <c r="P11" s="220">
        <f ca="1">_xll.meLWOSwapParRate(N11,O11)</f>
        <v>1.7186000000305932E-2</v>
      </c>
      <c r="R11" s="148" t="str">
        <f ca="1">'SWAP - USD3ML'!O11</f>
        <v>10Y</v>
      </c>
      <c r="S11" s="221">
        <f ca="1">'SWAP - USD3ML'!P11</f>
        <v>1.7186E-2</v>
      </c>
      <c r="T11" s="222">
        <f t="shared" ca="1" si="0"/>
        <v>3.0593236277631775E-9</v>
      </c>
    </row>
    <row r="12" spans="2:20" x14ac:dyDescent="0.25">
      <c r="B12" s="209">
        <f ca="1">_xll.meDateFromTenor('SWAP - USD3ML'!$D$7,F12,"MOD_FOLLOWING",C12,"")</f>
        <v>43816</v>
      </c>
      <c r="C12" s="210" t="s">
        <v>251</v>
      </c>
      <c r="D12" s="211">
        <f ca="1">_xll.meDateFromTenor(B12,G12)</f>
        <v>48199</v>
      </c>
      <c r="F12" s="212" t="s">
        <v>53</v>
      </c>
      <c r="G12" s="213" t="str">
        <f ca="1">'SWAP - USD3ML'!O12</f>
        <v>12Y</v>
      </c>
      <c r="H12" s="214" t="s">
        <v>246</v>
      </c>
      <c r="I12" s="120" t="s">
        <v>247</v>
      </c>
      <c r="J12" s="215">
        <v>1000000</v>
      </c>
      <c r="K12" s="216">
        <v>0.01</v>
      </c>
      <c r="L12" s="217">
        <v>0</v>
      </c>
      <c r="M12" s="190"/>
      <c r="N12" s="218" t="str">
        <f ca="1">_xll.meLWOSwapCreateFromGenerator(H12&amp;"_"&amp;G12,H12,I12,J12,B12,D12,K12,L12)</f>
        <v>USD_3ML_12Y@18:1</v>
      </c>
      <c r="O12" s="219" t="s">
        <v>24</v>
      </c>
      <c r="P12" s="220">
        <f ca="1">_xll.meLWOSwapParRate(N12,O12)</f>
        <v>1.7693000000124484E-2</v>
      </c>
      <c r="R12" s="148" t="str">
        <f ca="1">'SWAP - USD3ML'!O12</f>
        <v>12Y</v>
      </c>
      <c r="S12" s="221">
        <f ca="1">'SWAP - USD3ML'!P12</f>
        <v>1.7693E-2</v>
      </c>
      <c r="T12" s="222">
        <f t="shared" ca="1" si="0"/>
        <v>1.2448375663609568E-9</v>
      </c>
    </row>
    <row r="13" spans="2:20" x14ac:dyDescent="0.25">
      <c r="B13" s="209">
        <f ca="1">_xll.meDateFromTenor('SWAP - USD3ML'!$D$7,F13,"MOD_FOLLOWING",C13,"")</f>
        <v>43816</v>
      </c>
      <c r="C13" s="210" t="s">
        <v>251</v>
      </c>
      <c r="D13" s="211">
        <f ca="1">_xll.meDateFromTenor(B13,G13)</f>
        <v>49295</v>
      </c>
      <c r="F13" s="212" t="s">
        <v>53</v>
      </c>
      <c r="G13" s="213" t="str">
        <f ca="1">'SWAP - USD3ML'!O13</f>
        <v>15Y</v>
      </c>
      <c r="H13" s="214" t="s">
        <v>246</v>
      </c>
      <c r="I13" s="120" t="s">
        <v>247</v>
      </c>
      <c r="J13" s="215">
        <v>1000000</v>
      </c>
      <c r="K13" s="216">
        <v>0.01</v>
      </c>
      <c r="L13" s="217">
        <v>0</v>
      </c>
      <c r="M13" s="190"/>
      <c r="N13" s="218" t="str">
        <f ca="1">_xll.meLWOSwapCreateFromGenerator(H13&amp;"_"&amp;G13,H13,I13,J13,B13,D13,K13,L13)</f>
        <v>USD_3ML_15Y@19:1</v>
      </c>
      <c r="O13" s="219" t="s">
        <v>24</v>
      </c>
      <c r="P13" s="220">
        <f ca="1">_xll.meLWOSwapParRate(N13,O13)</f>
        <v>1.8256000000186602E-2</v>
      </c>
      <c r="R13" s="148" t="str">
        <f ca="1">'SWAP - USD3ML'!O13</f>
        <v>15Y</v>
      </c>
      <c r="S13" s="221">
        <f ca="1">'SWAP - USD3ML'!P13</f>
        <v>1.8255999999999998E-2</v>
      </c>
      <c r="T13" s="222">
        <f t="shared" ca="1" si="0"/>
        <v>1.8660420431082514E-9</v>
      </c>
    </row>
    <row r="14" spans="2:20" x14ac:dyDescent="0.25">
      <c r="B14" s="223">
        <f ca="1">_xll.meDateFromTenor('SWAP - USD3ML'!$D$7,F14,"MOD_FOLLOWING",C14,"")</f>
        <v>43816</v>
      </c>
      <c r="C14" s="224" t="s">
        <v>251</v>
      </c>
      <c r="D14" s="225">
        <f ca="1">_xll.meDateFromTenor(B14,G14)</f>
        <v>51121</v>
      </c>
      <c r="F14" s="226" t="s">
        <v>53</v>
      </c>
      <c r="G14" s="227" t="str">
        <f ca="1">'SWAP - USD3ML'!O14</f>
        <v>20Y</v>
      </c>
      <c r="H14" s="228" t="s">
        <v>246</v>
      </c>
      <c r="I14" s="229" t="s">
        <v>247</v>
      </c>
      <c r="J14" s="230">
        <v>1000000</v>
      </c>
      <c r="K14" s="231">
        <v>0.01</v>
      </c>
      <c r="L14" s="232">
        <v>0</v>
      </c>
      <c r="M14" s="190"/>
      <c r="N14" s="233" t="str">
        <f ca="1">_xll.meLWOSwapCreateFromGenerator(H14&amp;"_"&amp;G14,H14,I14,J14,B14,D14,K14,L14)</f>
        <v>USD_3ML_20Y@20:1</v>
      </c>
      <c r="O14" s="234" t="s">
        <v>24</v>
      </c>
      <c r="P14" s="235">
        <f ca="1">_xll.meLWOSwapParRate(N14,O14)</f>
        <v>1.8835000000217858E-2</v>
      </c>
      <c r="R14" s="236" t="str">
        <f ca="1">'SWAP - USD3ML'!O14</f>
        <v>20Y</v>
      </c>
      <c r="S14" s="237">
        <f ca="1">'SWAP - USD3ML'!P14</f>
        <v>1.8835000000000001E-2</v>
      </c>
      <c r="T14" s="238">
        <f t="shared" ca="1" si="0"/>
        <v>2.178569824540233E-9</v>
      </c>
    </row>
    <row r="15" spans="2:20" x14ac:dyDescent="0.25">
      <c r="M15" s="190"/>
      <c r="O15" s="171"/>
    </row>
    <row r="16" spans="2:20" x14ac:dyDescent="0.25">
      <c r="M16" s="190"/>
    </row>
    <row r="17" spans="2:20" x14ac:dyDescent="0.25">
      <c r="B17" s="188" t="s">
        <v>230</v>
      </c>
      <c r="C17" s="188"/>
      <c r="F17" s="189" t="s">
        <v>248</v>
      </c>
      <c r="M17" s="190"/>
      <c r="N17" s="188" t="s">
        <v>232</v>
      </c>
      <c r="R17" s="188" t="s">
        <v>233</v>
      </c>
    </row>
    <row r="18" spans="2:20" x14ac:dyDescent="0.25">
      <c r="D18" s="191" t="s">
        <v>234</v>
      </c>
      <c r="H18" s="191" t="s">
        <v>235</v>
      </c>
      <c r="M18" s="190"/>
    </row>
    <row r="19" spans="2:20" x14ac:dyDescent="0.25">
      <c r="B19" s="171" t="s">
        <v>236</v>
      </c>
      <c r="C19" s="171" t="s">
        <v>79</v>
      </c>
      <c r="D19" s="192" t="s">
        <v>237</v>
      </c>
      <c r="E19" s="192"/>
      <c r="F19" s="192" t="s">
        <v>236</v>
      </c>
      <c r="G19" s="171" t="s">
        <v>238</v>
      </c>
      <c r="H19" s="171" t="s">
        <v>239</v>
      </c>
      <c r="I19" s="171" t="s">
        <v>240</v>
      </c>
      <c r="J19" s="171" t="s">
        <v>241</v>
      </c>
      <c r="K19" s="171" t="s">
        <v>249</v>
      </c>
      <c r="L19" s="171" t="s">
        <v>250</v>
      </c>
      <c r="M19" s="190"/>
      <c r="N19" s="171" t="s">
        <v>244</v>
      </c>
      <c r="O19" s="171" t="s">
        <v>222</v>
      </c>
      <c r="P19" s="171" t="s">
        <v>253</v>
      </c>
      <c r="R19" s="171" t="s">
        <v>5</v>
      </c>
      <c r="S19" s="171" t="s">
        <v>253</v>
      </c>
      <c r="T19" s="193" t="s">
        <v>245</v>
      </c>
    </row>
    <row r="20" spans="2:20" x14ac:dyDescent="0.25">
      <c r="B20" s="194">
        <f ca="1">_xll.meDateFromTenor('BASIS - USD6ML'!$C$6,F20,"MOD_FOLLOWING",C20,"")</f>
        <v>43816</v>
      </c>
      <c r="C20" s="195" t="s">
        <v>251</v>
      </c>
      <c r="D20" s="196">
        <f ca="1">_xll.meDateFromTenor(B20,G20)</f>
        <v>44182</v>
      </c>
      <c r="E20" s="192"/>
      <c r="F20" s="197" t="s">
        <v>53</v>
      </c>
      <c r="G20" s="198" t="str">
        <f ca="1">'BASIS - USD6ML'!E4</f>
        <v>1Y</v>
      </c>
      <c r="H20" s="199" t="s">
        <v>169</v>
      </c>
      <c r="I20" s="200" t="s">
        <v>247</v>
      </c>
      <c r="J20" s="201">
        <v>1000000</v>
      </c>
      <c r="K20" s="202">
        <v>0</v>
      </c>
      <c r="L20" s="203">
        <v>0</v>
      </c>
      <c r="M20" s="190"/>
      <c r="N20" s="204" t="str">
        <f ca="1">_xll.meLWOSwapCreateFromGenerator(H20&amp;"_"&amp;G20,H20,I20,J20,B20,D20,K20,L20)</f>
        <v>USD_BASIS_3X6_1Y@10:1</v>
      </c>
      <c r="O20" s="205" t="s">
        <v>24</v>
      </c>
      <c r="P20" s="239">
        <f ca="1">_xll.meLWOSwapParSpread(N20,O20)</f>
        <v>6.6250000273999294</v>
      </c>
      <c r="R20" s="172" t="str">
        <f ca="1">'BASIS - USD6ML'!E4</f>
        <v>1Y</v>
      </c>
      <c r="S20" s="242">
        <f ca="1">'BASIS - USD6ML'!F4*10000</f>
        <v>6.625</v>
      </c>
      <c r="T20" s="208">
        <f ca="1">P20-S20</f>
        <v>2.739992943645575E-8</v>
      </c>
    </row>
    <row r="21" spans="2:20" x14ac:dyDescent="0.25">
      <c r="B21" s="209">
        <f ca="1">_xll.meDateFromTenor('BASIS - USD6ML'!$C$6,F21,"MOD_FOLLOWING",C21,"")</f>
        <v>43816</v>
      </c>
      <c r="C21" s="210" t="s">
        <v>251</v>
      </c>
      <c r="D21" s="211">
        <f ca="1">_xll.meDateFromTenor(B21,G21)</f>
        <v>44547</v>
      </c>
      <c r="F21" s="212" t="s">
        <v>53</v>
      </c>
      <c r="G21" s="213" t="str">
        <f ca="1">'BASIS - USD6ML'!E5</f>
        <v>2Y</v>
      </c>
      <c r="H21" s="214" t="s">
        <v>169</v>
      </c>
      <c r="I21" s="120" t="s">
        <v>247</v>
      </c>
      <c r="J21" s="215">
        <v>1000000</v>
      </c>
      <c r="K21" s="216">
        <v>0</v>
      </c>
      <c r="L21" s="217">
        <v>0</v>
      </c>
      <c r="M21" s="190"/>
      <c r="N21" s="218" t="str">
        <f ca="1">_xll.meLWOSwapCreateFromGenerator(H21&amp;"_"&amp;G21,H21,I21,J21,B21,D21,K21,L21)</f>
        <v>USD_BASIS_3X6_2Y@21:1</v>
      </c>
      <c r="O21" s="219" t="s">
        <v>24</v>
      </c>
      <c r="P21" s="240">
        <f ca="1">_xll.meLWOSwapParSpread(N21,O21)</f>
        <v>6.1250000244434268</v>
      </c>
      <c r="R21" s="148" t="str">
        <f ca="1">'BASIS - USD6ML'!E5</f>
        <v>2Y</v>
      </c>
      <c r="S21" s="243">
        <f ca="1">'BASIS - USD6ML'!F5*10000</f>
        <v>6.125</v>
      </c>
      <c r="T21" s="222">
        <f t="shared" ref="T21:T34" ca="1" si="1">P21-S21</f>
        <v>2.4443426838161031E-8</v>
      </c>
    </row>
    <row r="22" spans="2:20" x14ac:dyDescent="0.25">
      <c r="B22" s="209">
        <f ca="1">_xll.meDateFromTenor('BASIS - USD6ML'!$C$6,F22,"MOD_FOLLOWING",C22,"")</f>
        <v>43816</v>
      </c>
      <c r="C22" s="210" t="s">
        <v>251</v>
      </c>
      <c r="D22" s="211">
        <f ca="1">_xll.meDateFromTenor(B22,G22)</f>
        <v>44912</v>
      </c>
      <c r="F22" s="212" t="s">
        <v>53</v>
      </c>
      <c r="G22" s="213" t="str">
        <f ca="1">'BASIS - USD6ML'!E6</f>
        <v>3Y</v>
      </c>
      <c r="H22" s="214" t="s">
        <v>169</v>
      </c>
      <c r="I22" s="120" t="s">
        <v>247</v>
      </c>
      <c r="J22" s="215">
        <v>1000000</v>
      </c>
      <c r="K22" s="216">
        <v>0</v>
      </c>
      <c r="L22" s="217">
        <v>0</v>
      </c>
      <c r="M22" s="190"/>
      <c r="N22" s="218" t="str">
        <f ca="1">_xll.meLWOSwapCreateFromGenerator(H22&amp;"_"&amp;G22,H22,I22,J22,B22,D22,K22,L22)</f>
        <v>USD_BASIS_3X6_3Y@22:1</v>
      </c>
      <c r="O22" s="219" t="s">
        <v>24</v>
      </c>
      <c r="P22" s="240">
        <f ca="1">_xll.meLWOSwapParSpread(N22,O22)</f>
        <v>5.875000016689734</v>
      </c>
      <c r="R22" s="148" t="str">
        <f ca="1">'BASIS - USD6ML'!E6</f>
        <v>3Y</v>
      </c>
      <c r="S22" s="243">
        <f ca="1">'BASIS - USD6ML'!F6*10000</f>
        <v>5.875</v>
      </c>
      <c r="T22" s="222">
        <f t="shared" ca="1" si="1"/>
        <v>1.6689734039232462E-8</v>
      </c>
    </row>
    <row r="23" spans="2:20" x14ac:dyDescent="0.25">
      <c r="B23" s="209">
        <f ca="1">_xll.meDateFromTenor('BASIS - USD6ML'!$C$6,F23,"MOD_FOLLOWING",C23,"")</f>
        <v>43816</v>
      </c>
      <c r="C23" s="210" t="s">
        <v>251</v>
      </c>
      <c r="D23" s="211">
        <f ca="1">_xll.meDateFromTenor(B23,G23)</f>
        <v>45277</v>
      </c>
      <c r="F23" s="212" t="s">
        <v>53</v>
      </c>
      <c r="G23" s="213" t="str">
        <f ca="1">'BASIS - USD6ML'!E7</f>
        <v>4Y</v>
      </c>
      <c r="H23" s="214" t="s">
        <v>169</v>
      </c>
      <c r="I23" s="120" t="s">
        <v>247</v>
      </c>
      <c r="J23" s="215">
        <v>1000000</v>
      </c>
      <c r="K23" s="216">
        <v>0</v>
      </c>
      <c r="L23" s="217">
        <v>0</v>
      </c>
      <c r="M23" s="190"/>
      <c r="N23" s="218" t="str">
        <f ca="1">_xll.meLWOSwapCreateFromGenerator(H23&amp;"_"&amp;G23,H23,I23,J23,B23,D23,K23,L23)</f>
        <v>USD_BASIS_3X6_4Y@23:1</v>
      </c>
      <c r="O23" s="219" t="s">
        <v>24</v>
      </c>
      <c r="P23" s="240">
        <f ca="1">_xll.meLWOSwapParSpread(N23,O23)</f>
        <v>6.2499999492863729</v>
      </c>
      <c r="R23" s="148" t="str">
        <f ca="1">'BASIS - USD6ML'!E7</f>
        <v>4Y</v>
      </c>
      <c r="S23" s="243">
        <f ca="1">'BASIS - USD6ML'!F7*10000</f>
        <v>6.25</v>
      </c>
      <c r="T23" s="222">
        <f t="shared" ca="1" si="1"/>
        <v>-5.071362707553817E-8</v>
      </c>
    </row>
    <row r="24" spans="2:20" x14ac:dyDescent="0.25">
      <c r="B24" s="209">
        <f ca="1">_xll.meDateFromTenor('BASIS - USD6ML'!$C$6,F24,"MOD_FOLLOWING",C24,"")</f>
        <v>43816</v>
      </c>
      <c r="C24" s="210" t="s">
        <v>251</v>
      </c>
      <c r="D24" s="211">
        <f ca="1">_xll.meDateFromTenor(B24,G24)</f>
        <v>45643</v>
      </c>
      <c r="F24" s="212" t="s">
        <v>53</v>
      </c>
      <c r="G24" s="213" t="str">
        <f ca="1">'BASIS - USD6ML'!E8</f>
        <v>5Y</v>
      </c>
      <c r="H24" s="214" t="s">
        <v>169</v>
      </c>
      <c r="I24" s="120" t="s">
        <v>247</v>
      </c>
      <c r="J24" s="215">
        <v>1000000</v>
      </c>
      <c r="K24" s="216">
        <v>0</v>
      </c>
      <c r="L24" s="217">
        <v>0</v>
      </c>
      <c r="M24" s="190"/>
      <c r="N24" s="218" t="str">
        <f ca="1">_xll.meLWOSwapCreateFromGenerator(H24&amp;"_"&amp;G24,H24,I24,J24,B24,D24,K24,L24)</f>
        <v>USD_BASIS_3X6_5Y@24:1</v>
      </c>
      <c r="O24" s="219" t="s">
        <v>24</v>
      </c>
      <c r="P24" s="240">
        <f ca="1">_xll.meLWOSwapParSpread(N24,O24)</f>
        <v>6.5000002109996604</v>
      </c>
      <c r="R24" s="148" t="str">
        <f ca="1">'BASIS - USD6ML'!E8</f>
        <v>5Y</v>
      </c>
      <c r="S24" s="243">
        <f ca="1">'BASIS - USD6ML'!F8*10000</f>
        <v>6.5</v>
      </c>
      <c r="T24" s="222">
        <f t="shared" ca="1" si="1"/>
        <v>2.1099966041049356E-7</v>
      </c>
    </row>
    <row r="25" spans="2:20" x14ac:dyDescent="0.25">
      <c r="B25" s="209">
        <f ca="1">_xll.meDateFromTenor('BASIS - USD6ML'!$C$6,F25,"MOD_FOLLOWING",C25,"")</f>
        <v>43816</v>
      </c>
      <c r="C25" s="210" t="s">
        <v>251</v>
      </c>
      <c r="D25" s="211">
        <f ca="1">_xll.meDateFromTenor(B25,G25)</f>
        <v>46008</v>
      </c>
      <c r="F25" s="212" t="s">
        <v>53</v>
      </c>
      <c r="G25" s="213" t="str">
        <f ca="1">'BASIS - USD6ML'!E9</f>
        <v>6Y</v>
      </c>
      <c r="H25" s="214" t="s">
        <v>169</v>
      </c>
      <c r="I25" s="120" t="s">
        <v>247</v>
      </c>
      <c r="J25" s="215">
        <v>1000000</v>
      </c>
      <c r="K25" s="216">
        <v>0</v>
      </c>
      <c r="L25" s="217">
        <v>0</v>
      </c>
      <c r="M25" s="190"/>
      <c r="N25" s="218" t="str">
        <f ca="1">_xll.meLWOSwapCreateFromGenerator(H25&amp;"_"&amp;G25,H25,I25,J25,B25,D25,K25,L25)</f>
        <v>USD_BASIS_3X6_6Y@25:1</v>
      </c>
      <c r="O25" s="219" t="s">
        <v>24</v>
      </c>
      <c r="P25" s="240">
        <f ca="1">_xll.meLWOSwapParSpread(N25,O25)</f>
        <v>6.7500001337529891</v>
      </c>
      <c r="R25" s="148" t="str">
        <f ca="1">'BASIS - USD6ML'!E9</f>
        <v>6Y</v>
      </c>
      <c r="S25" s="243">
        <f ca="1">'BASIS - USD6ML'!F9*10000</f>
        <v>6.75</v>
      </c>
      <c r="T25" s="222">
        <f t="shared" ca="1" si="1"/>
        <v>1.3375298912876588E-7</v>
      </c>
    </row>
    <row r="26" spans="2:20" x14ac:dyDescent="0.25">
      <c r="B26" s="209">
        <f ca="1">_xll.meDateFromTenor('BASIS - USD6ML'!$C$6,F26,"MOD_FOLLOWING",C26,"")</f>
        <v>43816</v>
      </c>
      <c r="C26" s="210" t="s">
        <v>251</v>
      </c>
      <c r="D26" s="211">
        <f ca="1">_xll.meDateFromTenor(B26,G26)</f>
        <v>46373</v>
      </c>
      <c r="F26" s="212" t="s">
        <v>53</v>
      </c>
      <c r="G26" s="213" t="str">
        <f ca="1">'BASIS - USD6ML'!E10</f>
        <v>7Y</v>
      </c>
      <c r="H26" s="214" t="s">
        <v>169</v>
      </c>
      <c r="I26" s="120" t="s">
        <v>247</v>
      </c>
      <c r="J26" s="215">
        <v>1000000</v>
      </c>
      <c r="K26" s="216">
        <v>0</v>
      </c>
      <c r="L26" s="217">
        <v>0</v>
      </c>
      <c r="M26" s="190"/>
      <c r="N26" s="218" t="str">
        <f ca="1">_xll.meLWOSwapCreateFromGenerator(H26&amp;"_"&amp;G26,H26,I26,J26,B26,D26,K26,L26)</f>
        <v>USD_BASIS_3X6_7Y@26:1</v>
      </c>
      <c r="O26" s="219" t="s">
        <v>24</v>
      </c>
      <c r="P26" s="240">
        <f ca="1">_xll.meLWOSwapParSpread(N26,O26)</f>
        <v>7.0000001919161452</v>
      </c>
      <c r="R26" s="148" t="str">
        <f ca="1">'BASIS - USD6ML'!E10</f>
        <v>7Y</v>
      </c>
      <c r="S26" s="243">
        <f ca="1">'BASIS - USD6ML'!F10*10000</f>
        <v>7</v>
      </c>
      <c r="T26" s="222">
        <f t="shared" ca="1" si="1"/>
        <v>1.9191614519797895E-7</v>
      </c>
    </row>
    <row r="27" spans="2:20" x14ac:dyDescent="0.25">
      <c r="B27" s="209">
        <f ca="1">_xll.meDateFromTenor('BASIS - USD6ML'!$C$6,F27,"MOD_FOLLOWING",C27,"")</f>
        <v>43816</v>
      </c>
      <c r="C27" s="210" t="s">
        <v>251</v>
      </c>
      <c r="D27" s="211">
        <f ca="1">_xll.meDateFromTenor(B27,G27)</f>
        <v>46738</v>
      </c>
      <c r="F27" s="212" t="s">
        <v>53</v>
      </c>
      <c r="G27" s="213" t="str">
        <f ca="1">'BASIS - USD6ML'!E11</f>
        <v>8Y</v>
      </c>
      <c r="H27" s="214" t="s">
        <v>169</v>
      </c>
      <c r="I27" s="120" t="s">
        <v>247</v>
      </c>
      <c r="J27" s="215">
        <v>1000000</v>
      </c>
      <c r="K27" s="216">
        <v>0</v>
      </c>
      <c r="L27" s="217">
        <v>0</v>
      </c>
      <c r="M27" s="190"/>
      <c r="N27" s="218" t="str">
        <f ca="1">_xll.meLWOSwapCreateFromGenerator(H27&amp;"_"&amp;G27,H27,I27,J27,B27,D27,K27,L27)</f>
        <v>USD_BASIS_3X6_8Y@27:1</v>
      </c>
      <c r="O27" s="219" t="s">
        <v>24</v>
      </c>
      <c r="P27" s="240">
        <f ca="1">_xll.meLWOSwapParSpread(N27,O27)</f>
        <v>7.2500001600273425</v>
      </c>
      <c r="R27" s="148" t="str">
        <f ca="1">'BASIS - USD6ML'!E11</f>
        <v>8Y</v>
      </c>
      <c r="S27" s="243">
        <f ca="1">'BASIS - USD6ML'!F11*10000</f>
        <v>7.2499999999999991</v>
      </c>
      <c r="T27" s="222">
        <f t="shared" ca="1" si="1"/>
        <v>1.6002734337661195E-7</v>
      </c>
    </row>
    <row r="28" spans="2:20" x14ac:dyDescent="0.25">
      <c r="B28" s="209">
        <f ca="1">_xll.meDateFromTenor('BASIS - USD6ML'!$C$6,F28,"MOD_FOLLOWING",C28,"")</f>
        <v>43816</v>
      </c>
      <c r="C28" s="210" t="s">
        <v>251</v>
      </c>
      <c r="D28" s="211">
        <f ca="1">_xll.meDateFromTenor(B28,G28)</f>
        <v>47104</v>
      </c>
      <c r="F28" s="212" t="s">
        <v>53</v>
      </c>
      <c r="G28" s="213" t="str">
        <f ca="1">'BASIS - USD6ML'!E12</f>
        <v>9Y</v>
      </c>
      <c r="H28" s="214" t="s">
        <v>169</v>
      </c>
      <c r="I28" s="120" t="s">
        <v>247</v>
      </c>
      <c r="J28" s="215">
        <v>1000000</v>
      </c>
      <c r="K28" s="216">
        <v>0</v>
      </c>
      <c r="L28" s="217">
        <v>0</v>
      </c>
      <c r="M28" s="190"/>
      <c r="N28" s="218" t="str">
        <f ca="1">_xll.meLWOSwapCreateFromGenerator(H28&amp;"_"&amp;G28,H28,I28,J28,B28,D28,K28,L28)</f>
        <v>USD_BASIS_3X6_9Y@28:1</v>
      </c>
      <c r="O28" s="219" t="s">
        <v>24</v>
      </c>
      <c r="P28" s="240">
        <f ca="1">_xll.meLWOSwapParSpread(N28,O28)</f>
        <v>7.3750003733645251</v>
      </c>
      <c r="R28" s="148" t="str">
        <f ca="1">'BASIS - USD6ML'!E12</f>
        <v>9Y</v>
      </c>
      <c r="S28" s="243">
        <f ca="1">'BASIS - USD6ML'!F12*10000</f>
        <v>7.375</v>
      </c>
      <c r="T28" s="222">
        <f t="shared" ca="1" si="1"/>
        <v>3.733645250747486E-7</v>
      </c>
    </row>
    <row r="29" spans="2:20" x14ac:dyDescent="0.25">
      <c r="B29" s="209">
        <f ca="1">_xll.meDateFromTenor('BASIS - USD6ML'!$C$6,F29,"MOD_FOLLOWING",C29,"")</f>
        <v>43816</v>
      </c>
      <c r="C29" s="210" t="s">
        <v>251</v>
      </c>
      <c r="D29" s="211">
        <f ca="1">_xll.meDateFromTenor(B29,G29)</f>
        <v>47469</v>
      </c>
      <c r="F29" s="212" t="s">
        <v>53</v>
      </c>
      <c r="G29" s="213" t="str">
        <f ca="1">'BASIS - USD6ML'!E13</f>
        <v>10Y</v>
      </c>
      <c r="H29" s="214" t="s">
        <v>169</v>
      </c>
      <c r="I29" s="120" t="s">
        <v>247</v>
      </c>
      <c r="J29" s="215">
        <v>1000000</v>
      </c>
      <c r="K29" s="216">
        <v>0</v>
      </c>
      <c r="L29" s="217">
        <v>0</v>
      </c>
      <c r="M29" s="190"/>
      <c r="N29" s="218" t="str">
        <f ca="1">_xll.meLWOSwapCreateFromGenerator(H29&amp;"_"&amp;G29,H29,I29,J29,B29,D29,K29,L29)</f>
        <v>USD_BASIS_3X6_10Y@29:1</v>
      </c>
      <c r="O29" s="219" t="s">
        <v>24</v>
      </c>
      <c r="P29" s="240">
        <f ca="1">_xll.meLWOSwapParSpread(N29,O29)</f>
        <v>7.6250001821238138</v>
      </c>
      <c r="R29" s="148" t="str">
        <f ca="1">'BASIS - USD6ML'!E13</f>
        <v>10Y</v>
      </c>
      <c r="S29" s="243">
        <f ca="1">'BASIS - USD6ML'!F13*10000</f>
        <v>7.6250000000000009</v>
      </c>
      <c r="T29" s="222">
        <f t="shared" ca="1" si="1"/>
        <v>1.82123812919599E-7</v>
      </c>
    </row>
    <row r="30" spans="2:20" x14ac:dyDescent="0.25">
      <c r="B30" s="209">
        <f ca="1">_xll.meDateFromTenor('BASIS - USD6ML'!$C$6,F30,"MOD_FOLLOWING",C30,"")</f>
        <v>43816</v>
      </c>
      <c r="C30" s="210" t="s">
        <v>251</v>
      </c>
      <c r="D30" s="211">
        <f ca="1">_xll.meDateFromTenor(B30,G30)</f>
        <v>48199</v>
      </c>
      <c r="F30" s="212" t="s">
        <v>53</v>
      </c>
      <c r="G30" s="213" t="str">
        <f ca="1">'BASIS - USD6ML'!E14</f>
        <v>12Y</v>
      </c>
      <c r="H30" s="214" t="s">
        <v>169</v>
      </c>
      <c r="I30" s="120" t="s">
        <v>247</v>
      </c>
      <c r="J30" s="215">
        <v>1000000</v>
      </c>
      <c r="K30" s="216">
        <v>0</v>
      </c>
      <c r="L30" s="217">
        <v>0</v>
      </c>
      <c r="M30" s="190"/>
      <c r="N30" s="218" t="str">
        <f ca="1">_xll.meLWOSwapCreateFromGenerator(H30&amp;"_"&amp;G30,H30,I30,J30,B30,D30,K30,L30)</f>
        <v>USD_BASIS_3X6_12Y@30:1</v>
      </c>
      <c r="O30" s="219" t="s">
        <v>24</v>
      </c>
      <c r="P30" s="240">
        <f ca="1">_xll.meLWOSwapParSpread(N30,O30)</f>
        <v>8.0000001840161872</v>
      </c>
      <c r="R30" s="148" t="str">
        <f ca="1">'BASIS - USD6ML'!E14</f>
        <v>12Y</v>
      </c>
      <c r="S30" s="243">
        <f ca="1">'BASIS - USD6ML'!F14*10000</f>
        <v>8</v>
      </c>
      <c r="T30" s="222">
        <f t="shared" ca="1" si="1"/>
        <v>1.8401618717689416E-7</v>
      </c>
    </row>
    <row r="31" spans="2:20" x14ac:dyDescent="0.25">
      <c r="B31" s="209">
        <f ca="1">_xll.meDateFromTenor('BASIS - USD6ML'!$C$6,F31,"MOD_FOLLOWING",C31,"")</f>
        <v>43816</v>
      </c>
      <c r="C31" s="210" t="s">
        <v>251</v>
      </c>
      <c r="D31" s="211">
        <f ca="1">_xll.meDateFromTenor(B31,G31)</f>
        <v>49295</v>
      </c>
      <c r="F31" s="212" t="s">
        <v>53</v>
      </c>
      <c r="G31" s="213" t="str">
        <f ca="1">'BASIS - USD6ML'!E15</f>
        <v>15Y</v>
      </c>
      <c r="H31" s="214" t="s">
        <v>169</v>
      </c>
      <c r="I31" s="120" t="s">
        <v>247</v>
      </c>
      <c r="J31" s="215">
        <v>1000000</v>
      </c>
      <c r="K31" s="216">
        <v>0</v>
      </c>
      <c r="L31" s="217">
        <v>0</v>
      </c>
      <c r="M31" s="190"/>
      <c r="N31" s="218" t="str">
        <f ca="1">_xll.meLWOSwapCreateFromGenerator(H31&amp;"_"&amp;G31,H31,I31,J31,B31,D31,K31,L31)</f>
        <v>USD_BASIS_3X6_15Y@31:1</v>
      </c>
      <c r="O31" s="219" t="s">
        <v>24</v>
      </c>
      <c r="P31" s="240">
        <f ca="1">_xll.meLWOSwapParSpread(N31,O31)</f>
        <v>8.3750000699501594</v>
      </c>
      <c r="R31" s="148" t="str">
        <f ca="1">'BASIS - USD6ML'!E15</f>
        <v>15Y</v>
      </c>
      <c r="S31" s="243">
        <f ca="1">'BASIS - USD6ML'!F15*10000</f>
        <v>8.375</v>
      </c>
      <c r="T31" s="222">
        <f t="shared" ca="1" si="1"/>
        <v>6.995015944255556E-8</v>
      </c>
    </row>
    <row r="32" spans="2:20" x14ac:dyDescent="0.25">
      <c r="B32" s="209">
        <f ca="1">_xll.meDateFromTenor('BASIS - USD6ML'!$C$6,F32,"MOD_FOLLOWING",C32,"")</f>
        <v>43816</v>
      </c>
      <c r="C32" s="210" t="s">
        <v>251</v>
      </c>
      <c r="D32" s="211">
        <f ca="1">_xll.meDateFromTenor(B32,G32)</f>
        <v>51121</v>
      </c>
      <c r="F32" s="212" t="s">
        <v>53</v>
      </c>
      <c r="G32" s="213" t="str">
        <f ca="1">'BASIS - USD6ML'!E16</f>
        <v>20Y</v>
      </c>
      <c r="H32" s="214" t="s">
        <v>169</v>
      </c>
      <c r="I32" s="120" t="s">
        <v>247</v>
      </c>
      <c r="J32" s="215">
        <v>1000000</v>
      </c>
      <c r="K32" s="216">
        <v>0</v>
      </c>
      <c r="L32" s="217">
        <v>0</v>
      </c>
      <c r="M32" s="190"/>
      <c r="N32" s="218" t="str">
        <f ca="1">_xll.meLWOSwapCreateFromGenerator(H32&amp;"_"&amp;G32,H32,I32,J32,B32,D32,K32,L32)</f>
        <v>USD_BASIS_3X6_20Y@32:1</v>
      </c>
      <c r="O32" s="219" t="s">
        <v>24</v>
      </c>
      <c r="P32" s="240">
        <f ca="1">_xll.meLWOSwapParSpread(N32,O32)</f>
        <v>8.6250002365992167</v>
      </c>
      <c r="R32" s="148" t="str">
        <f ca="1">'BASIS - USD6ML'!E16</f>
        <v>20Y</v>
      </c>
      <c r="S32" s="243">
        <f ca="1">'BASIS - USD6ML'!F16*10000</f>
        <v>8.625</v>
      </c>
      <c r="T32" s="222">
        <f t="shared" ca="1" si="1"/>
        <v>2.3659921666308037E-7</v>
      </c>
    </row>
    <row r="33" spans="2:20" x14ac:dyDescent="0.25">
      <c r="B33" s="209">
        <f ca="1">_xll.meDateFromTenor('BASIS - USD6ML'!$C$6,F33,"MOD_FOLLOWING",C33,"")</f>
        <v>43816</v>
      </c>
      <c r="C33" s="210" t="s">
        <v>251</v>
      </c>
      <c r="D33" s="211">
        <f ca="1">_xll.meDateFromTenor(B33,G33)</f>
        <v>52948</v>
      </c>
      <c r="F33" s="212" t="s">
        <v>53</v>
      </c>
      <c r="G33" s="213" t="str">
        <f ca="1">'BASIS - USD6ML'!E17</f>
        <v>25Y</v>
      </c>
      <c r="H33" s="214" t="s">
        <v>169</v>
      </c>
      <c r="I33" s="120" t="s">
        <v>247</v>
      </c>
      <c r="J33" s="215">
        <v>1000000</v>
      </c>
      <c r="K33" s="216">
        <v>0</v>
      </c>
      <c r="L33" s="217">
        <v>0</v>
      </c>
      <c r="M33" s="190"/>
      <c r="N33" s="218" t="str">
        <f ca="1">_xll.meLWOSwapCreateFromGenerator(H33&amp;"_"&amp;G33,H33,I33,J33,B33,D33,K33,L33)</f>
        <v>USD_BASIS_3X6_25Y@33:1</v>
      </c>
      <c r="O33" s="219" t="s">
        <v>24</v>
      </c>
      <c r="P33" s="240">
        <f ca="1">_xll.meLWOSwapParSpread(N33,O33)</f>
        <v>8.8750002304825397</v>
      </c>
      <c r="R33" s="148" t="str">
        <f ca="1">'BASIS - USD6ML'!E17</f>
        <v>25Y</v>
      </c>
      <c r="S33" s="243">
        <f ca="1">'BASIS - USD6ML'!F17*10000</f>
        <v>8.875</v>
      </c>
      <c r="T33" s="222">
        <f t="shared" ca="1" si="1"/>
        <v>2.3048253972035582E-7</v>
      </c>
    </row>
    <row r="34" spans="2:20" x14ac:dyDescent="0.25">
      <c r="B34" s="223">
        <f ca="1">_xll.meDateFromTenor('BASIS - USD6ML'!$C$6,F34,"MOD_FOLLOWING",C34,"")</f>
        <v>43816</v>
      </c>
      <c r="C34" s="224" t="s">
        <v>251</v>
      </c>
      <c r="D34" s="225">
        <f ca="1">_xll.meDateFromTenor(B34,G34)</f>
        <v>54774</v>
      </c>
      <c r="F34" s="226" t="s">
        <v>53</v>
      </c>
      <c r="G34" s="227" t="str">
        <f ca="1">'BASIS - USD6ML'!E18</f>
        <v>30Y</v>
      </c>
      <c r="H34" s="228" t="s">
        <v>169</v>
      </c>
      <c r="I34" s="229" t="s">
        <v>247</v>
      </c>
      <c r="J34" s="230">
        <v>1000000</v>
      </c>
      <c r="K34" s="231">
        <v>0</v>
      </c>
      <c r="L34" s="232">
        <v>0</v>
      </c>
      <c r="M34" s="190"/>
      <c r="N34" s="233" t="str">
        <f ca="1">_xll.meLWOSwapCreateFromGenerator(H34&amp;"_"&amp;G34,H34,I34,J34,B34,D34,K34,L34)</f>
        <v>USD_BASIS_3X6_30Y@34:1</v>
      </c>
      <c r="O34" s="234" t="s">
        <v>24</v>
      </c>
      <c r="P34" s="241">
        <f ca="1">_xll.meLWOSwapParSpread(N34,O34)</f>
        <v>9.0000000666810536</v>
      </c>
      <c r="R34" s="236" t="str">
        <f ca="1">'BASIS - USD6ML'!E18</f>
        <v>30Y</v>
      </c>
      <c r="S34" s="244">
        <f ca="1">'BASIS - USD6ML'!F18*10000</f>
        <v>9</v>
      </c>
      <c r="T34" s="238">
        <f t="shared" ca="1" si="1"/>
        <v>6.6681053567663184E-8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L433"/>
  <sheetViews>
    <sheetView showGridLines="0" workbookViewId="0"/>
  </sheetViews>
  <sheetFormatPr defaultRowHeight="15" outlineLevelCol="1" x14ac:dyDescent="0.25"/>
  <cols>
    <col min="2" max="2" width="16.7109375" customWidth="1"/>
    <col min="3" max="3" width="19.7109375" customWidth="1"/>
    <col min="6" max="6" width="12.42578125" hidden="1" customWidth="1" outlineLevel="1"/>
    <col min="7" max="9" width="9.140625" hidden="1" customWidth="1" outlineLevel="1"/>
    <col min="10" max="10" width="19.5703125" style="171" hidden="1" customWidth="1" outlineLevel="1"/>
    <col min="11" max="11" width="13.140625" style="171" hidden="1" customWidth="1" outlineLevel="1"/>
    <col min="12" max="12" width="17.28515625" style="171" hidden="1" customWidth="1" outlineLevel="1"/>
    <col min="13" max="21" width="9.140625" hidden="1" customWidth="1" outlineLevel="1"/>
    <col min="22" max="22" width="15.42578125" style="171" hidden="1" customWidth="1" outlineLevel="1"/>
    <col min="23" max="23" width="9.140625" collapsed="1"/>
    <col min="24" max="24" width="19.42578125" customWidth="1"/>
    <col min="26" max="26" width="9.140625" style="247"/>
    <col min="27" max="27" width="10.140625" style="247" bestFit="1" customWidth="1"/>
    <col min="28" max="29" width="10.140625" style="247" customWidth="1"/>
    <col min="30" max="32" width="10.140625" style="247" hidden="1" customWidth="1" outlineLevel="1"/>
    <col min="33" max="33" width="9.140625" style="247" hidden="1" customWidth="1" outlineLevel="1"/>
    <col min="34" max="34" width="15.7109375" style="247" customWidth="1" collapsed="1"/>
    <col min="35" max="35" width="11.7109375" style="247" bestFit="1" customWidth="1"/>
    <col min="36" max="36" width="9.140625" style="247"/>
    <col min="37" max="37" width="9.85546875" style="247" hidden="1" customWidth="1" outlineLevel="1"/>
    <col min="38" max="40" width="9.140625" style="247" hidden="1" customWidth="1" outlineLevel="1"/>
    <col min="41" max="41" width="9.85546875" style="247" bestFit="1" customWidth="1" collapsed="1"/>
    <col min="42" max="43" width="9.140625" style="247"/>
    <col min="44" max="44" width="14.7109375" hidden="1" customWidth="1" outlineLevel="1"/>
    <col min="45" max="45" width="12.140625" hidden="1" customWidth="1" outlineLevel="1"/>
    <col min="46" max="54" width="13" hidden="1" customWidth="1" outlineLevel="1"/>
    <col min="55" max="55" width="12" hidden="1" customWidth="1" outlineLevel="1"/>
    <col min="56" max="62" width="13" hidden="1" customWidth="1" outlineLevel="1"/>
    <col min="63" max="63" width="12" hidden="1" customWidth="1" outlineLevel="1"/>
    <col min="64" max="66" width="9.5703125" hidden="1" customWidth="1" outlineLevel="1"/>
    <col min="67" max="72" width="9.42578125" hidden="1" customWidth="1" outlineLevel="1"/>
    <col min="73" max="73" width="12.140625" hidden="1" customWidth="1" outlineLevel="1"/>
    <col min="74" max="75" width="12" hidden="1" customWidth="1" outlineLevel="1"/>
    <col min="76" max="84" width="9.140625" hidden="1" customWidth="1" outlineLevel="1"/>
    <col min="85" max="85" width="9.140625" collapsed="1"/>
    <col min="89" max="89" width="13.28515625" hidden="1" customWidth="1" outlineLevel="1"/>
    <col min="90" max="90" width="11.85546875" hidden="1" customWidth="1" outlineLevel="1"/>
    <col min="91" max="91" width="12.85546875" hidden="1" customWidth="1" outlineLevel="1"/>
    <col min="92" max="92" width="15.28515625" hidden="1" customWidth="1" outlineLevel="1"/>
    <col min="93" max="99" width="12.85546875" hidden="1" customWidth="1" outlineLevel="1"/>
    <col min="100" max="100" width="11.85546875" hidden="1" customWidth="1" outlineLevel="1"/>
    <col min="101" max="107" width="12.85546875" hidden="1" customWidth="1" outlineLevel="1"/>
    <col min="108" max="108" width="11.85546875" hidden="1" customWidth="1" outlineLevel="1"/>
    <col min="109" max="117" width="9.42578125" hidden="1" customWidth="1" outlineLevel="1"/>
    <col min="118" max="120" width="12.140625" hidden="1" customWidth="1" outlineLevel="1"/>
    <col min="121" max="127" width="9.42578125" hidden="1" customWidth="1" outlineLevel="1"/>
    <col min="128" max="128" width="12.7109375" hidden="1" customWidth="1" outlineLevel="1"/>
    <col min="129" max="129" width="12" hidden="1" customWidth="1" outlineLevel="1"/>
    <col min="130" max="130" width="9.140625" collapsed="1"/>
    <col min="131" max="131" width="14.5703125" style="127" customWidth="1"/>
    <col min="132" max="132" width="9.140625" style="245"/>
    <col min="133" max="133" width="14.28515625" bestFit="1" customWidth="1"/>
    <col min="134" max="134" width="15.28515625" hidden="1" customWidth="1" outlineLevel="1"/>
    <col min="135" max="135" width="12.7109375" hidden="1" customWidth="1" outlineLevel="1"/>
    <col min="136" max="136" width="10.7109375" hidden="1" customWidth="1" outlineLevel="1"/>
    <col min="137" max="146" width="12.7109375" hidden="1" customWidth="1" outlineLevel="1"/>
    <col min="147" max="154" width="9.28515625" hidden="1" customWidth="1" outlineLevel="1"/>
    <col min="155" max="157" width="9.140625" hidden="1" customWidth="1" outlineLevel="1"/>
    <col min="158" max="158" width="5" hidden="1" customWidth="1" outlineLevel="1"/>
    <col min="159" max="159" width="9.140625" collapsed="1"/>
    <col min="160" max="160" width="18.7109375" customWidth="1"/>
    <col min="161" max="161" width="12" bestFit="1" customWidth="1"/>
    <col min="162" max="162" width="14.28515625" bestFit="1" customWidth="1"/>
    <col min="164" max="164" width="32.28515625" bestFit="1" customWidth="1"/>
    <col min="165" max="165" width="10.42578125" bestFit="1" customWidth="1"/>
    <col min="166" max="166" width="48.140625" bestFit="1" customWidth="1"/>
    <col min="167" max="167" width="10.42578125" bestFit="1" customWidth="1"/>
  </cols>
  <sheetData>
    <row r="1" spans="2:168" x14ac:dyDescent="0.25">
      <c r="W1" s="133" t="s">
        <v>262</v>
      </c>
      <c r="X1" s="133"/>
      <c r="Y1" s="133"/>
      <c r="Z1" s="265"/>
      <c r="AA1" s="265"/>
      <c r="AB1" s="265"/>
      <c r="AC1" s="265"/>
      <c r="AD1" s="265"/>
      <c r="AE1" s="265"/>
      <c r="AF1" s="265"/>
      <c r="AG1" s="265"/>
      <c r="AH1" s="268" t="s">
        <v>312</v>
      </c>
      <c r="AI1" s="265"/>
      <c r="AJ1" s="265"/>
      <c r="AK1" s="265"/>
      <c r="AL1" s="265"/>
      <c r="AM1" s="265"/>
      <c r="AN1" s="265"/>
      <c r="AO1" s="268" t="s">
        <v>313</v>
      </c>
      <c r="AP1" s="265"/>
      <c r="AQ1" s="265"/>
      <c r="CG1" s="133" t="s">
        <v>278</v>
      </c>
      <c r="CH1" s="133"/>
      <c r="CI1" s="133"/>
      <c r="CJ1" s="133"/>
      <c r="DZ1" s="133" t="s">
        <v>277</v>
      </c>
      <c r="FC1" s="133" t="s">
        <v>289</v>
      </c>
      <c r="FH1" s="184" t="s">
        <v>315</v>
      </c>
    </row>
    <row r="2" spans="2:168" x14ac:dyDescent="0.25">
      <c r="W2" s="133"/>
      <c r="X2" s="133"/>
      <c r="Y2" s="133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CG2" s="133"/>
      <c r="CH2" s="133"/>
      <c r="CI2" s="133"/>
      <c r="CJ2" s="133"/>
      <c r="CK2" s="126" t="s">
        <v>287</v>
      </c>
      <c r="DZ2" s="126" t="s">
        <v>291</v>
      </c>
      <c r="ED2" s="126" t="s">
        <v>288</v>
      </c>
      <c r="FC2" s="126" t="s">
        <v>290</v>
      </c>
      <c r="FH2" s="183" t="b">
        <v>1</v>
      </c>
    </row>
    <row r="3" spans="2:168" x14ac:dyDescent="0.25">
      <c r="W3" s="133"/>
      <c r="X3" s="273" t="s">
        <v>286</v>
      </c>
      <c r="Y3" s="274">
        <f ca="1">SUMPRODUCT(Y7:Y136,AB7:AB136)</f>
        <v>-6.7664009353765771</v>
      </c>
      <c r="Z3" s="265"/>
      <c r="AA3" s="265"/>
      <c r="AB3" s="265"/>
      <c r="AC3" s="265"/>
      <c r="AD3" s="265"/>
      <c r="AE3" s="265"/>
      <c r="AF3" s="265"/>
      <c r="AG3" s="265"/>
      <c r="AH3" s="273" t="s">
        <v>285</v>
      </c>
      <c r="AI3" s="260">
        <f ca="1">SUMPRODUCT(AI7:AI136,AP7:AP136)</f>
        <v>481.64251040995509</v>
      </c>
      <c r="AJ3" s="265"/>
      <c r="AK3" s="265"/>
      <c r="AL3" s="265"/>
      <c r="AM3" s="265"/>
      <c r="AN3" s="265"/>
      <c r="AO3" s="265"/>
      <c r="AP3" s="265"/>
      <c r="AQ3" s="265"/>
      <c r="AR3" s="273" t="s">
        <v>296</v>
      </c>
      <c r="CG3" s="133"/>
      <c r="CH3" s="133"/>
      <c r="CI3" s="133"/>
      <c r="CJ3" s="133"/>
      <c r="CK3" t="s">
        <v>269</v>
      </c>
      <c r="CL3" s="261">
        <f ca="1">SUM(CL4:DY4)</f>
        <v>-6.7664009353765779</v>
      </c>
      <c r="ED3" t="s">
        <v>269</v>
      </c>
      <c r="EE3" s="260">
        <f ca="1">SUM(EE4:FR4)</f>
        <v>481.64251040995526</v>
      </c>
    </row>
    <row r="4" spans="2:168" x14ac:dyDescent="0.25">
      <c r="AR4" s="273" t="s">
        <v>270</v>
      </c>
      <c r="AS4" s="261">
        <f t="array" aca="1" ref="AS4:CF4" ca="1">MMULT(TRANSPOSE($Y$7:$Y$136),AS7:CF136)</f>
        <v>-3.1913443186923303E-2</v>
      </c>
      <c r="AT4" s="267">
        <f ca="1"/>
        <v>-6.5722290832307325E-5</v>
      </c>
      <c r="AU4" s="267">
        <f ca="1"/>
        <v>2.6281380128297626E-4</v>
      </c>
      <c r="AV4" s="267">
        <f ca="1"/>
        <v>-6.9229569101292082E-4</v>
      </c>
      <c r="AW4" s="267">
        <f ca="1"/>
        <v>8.9110526495992813E-4</v>
      </c>
      <c r="AX4" s="267">
        <f ca="1"/>
        <v>-2.0152631301806963E-3</v>
      </c>
      <c r="AY4" s="267">
        <f ca="1"/>
        <v>-0.11351083661834488</v>
      </c>
      <c r="AZ4" s="267">
        <f ca="1"/>
        <v>-2.4630204192542696E-2</v>
      </c>
      <c r="BA4" s="267">
        <f ca="1"/>
        <v>9.4823959798243582E-2</v>
      </c>
      <c r="BB4" s="267">
        <f ca="1"/>
        <v>-0.10450109046642478</v>
      </c>
      <c r="BC4" s="267">
        <f ca="1"/>
        <v>-6.5064534387294301E-3</v>
      </c>
      <c r="BD4" s="267">
        <f ca="1"/>
        <v>1.7487222027193586E-9</v>
      </c>
      <c r="BE4" s="267">
        <f ca="1"/>
        <v>1.7487222027193586E-9</v>
      </c>
      <c r="BF4" s="267">
        <f ca="1"/>
        <v>1.7487222027193586E-9</v>
      </c>
      <c r="BG4" s="267">
        <f ca="1"/>
        <v>1.7487222027193586E-9</v>
      </c>
      <c r="BH4" s="267">
        <f ca="1"/>
        <v>1.7487222027193586E-9</v>
      </c>
      <c r="BI4" s="267">
        <f ca="1"/>
        <v>0.45074544002042399</v>
      </c>
      <c r="BJ4" s="267">
        <f ca="1"/>
        <v>0.95997654486087602</v>
      </c>
      <c r="BK4" s="267">
        <f ca="1"/>
        <v>1.5504901653121814</v>
      </c>
      <c r="BL4" s="267">
        <f ca="1"/>
        <v>2.6747166692420432</v>
      </c>
      <c r="BM4" s="267">
        <f ca="1"/>
        <v>1.1157576369262254</v>
      </c>
      <c r="BN4" s="267">
        <f ca="1"/>
        <v>-7.3304231581721946E-2</v>
      </c>
      <c r="BO4" s="267">
        <f ca="1"/>
        <v>1.4632147593569412E-2</v>
      </c>
      <c r="BP4" s="267">
        <f ca="1"/>
        <v>-5.1258172112719188E-3</v>
      </c>
      <c r="BQ4" s="267">
        <f ca="1"/>
        <v>7.2807747536673354E-4</v>
      </c>
      <c r="BR4" s="267">
        <f ca="1"/>
        <v>-1.0865310550429863E-4</v>
      </c>
      <c r="BS4" s="267">
        <f ca="1"/>
        <v>2.7860562482046781E-5</v>
      </c>
      <c r="BT4" s="267">
        <f ca="1"/>
        <v>-4.7351928965942508E-6</v>
      </c>
      <c r="BU4" s="267">
        <f ca="1"/>
        <v>-0.44245872960863092</v>
      </c>
      <c r="BV4" s="267">
        <f ca="1"/>
        <v>-0.94384685836316995</v>
      </c>
      <c r="BW4" s="267">
        <f ca="1"/>
        <v>-1.5251596036752817</v>
      </c>
      <c r="BX4" s="267">
        <f ca="1"/>
        <v>-2.6317588871969253</v>
      </c>
      <c r="BY4" s="267">
        <f ca="1"/>
        <v>-1.0974859712052649</v>
      </c>
      <c r="BZ4" s="267">
        <f ca="1"/>
        <v>7.2154335167954498E-2</v>
      </c>
      <c r="CA4" s="267">
        <f ca="1"/>
        <v>-1.440295959191122E-2</v>
      </c>
      <c r="CB4" s="267">
        <f ca="1"/>
        <v>5.0480073666332561E-3</v>
      </c>
      <c r="CC4" s="267">
        <f ca="1"/>
        <v>-7.1711095238643423E-4</v>
      </c>
      <c r="CD4" s="267">
        <f ca="1"/>
        <v>1.0705657406898012E-4</v>
      </c>
      <c r="CE4" s="267">
        <f ca="1"/>
        <v>-2.7466919723224091E-5</v>
      </c>
      <c r="CF4" s="267">
        <f ca="1"/>
        <v>4.6744349538752219E-6</v>
      </c>
      <c r="CK4" t="s">
        <v>270</v>
      </c>
      <c r="CL4" s="261">
        <f t="array" aca="1" ref="CL4:DY4" ca="1">MMULT(TRANSPOSE($Y$7:$Y$136),CL7:DY136)</f>
        <v>-3.1913443186923303E-2</v>
      </c>
      <c r="CM4" s="267">
        <f ca="1"/>
        <v>-6.5722290832307325E-5</v>
      </c>
      <c r="CN4" s="267">
        <f ca="1"/>
        <v>2.6281380128297626E-4</v>
      </c>
      <c r="CO4" s="267">
        <f ca="1"/>
        <v>-6.9229569101292082E-4</v>
      </c>
      <c r="CP4" s="267">
        <f ca="1"/>
        <v>8.9110526495992813E-4</v>
      </c>
      <c r="CQ4" s="267">
        <f ca="1"/>
        <v>-2.0152631301806963E-3</v>
      </c>
      <c r="CR4" s="267">
        <f ca="1"/>
        <v>-0.11351083661834488</v>
      </c>
      <c r="CS4" s="267">
        <f ca="1"/>
        <v>-2.4630204192542696E-2</v>
      </c>
      <c r="CT4" s="267">
        <f ca="1"/>
        <v>9.4823959798243582E-2</v>
      </c>
      <c r="CU4" s="267">
        <f ca="1"/>
        <v>-0.10450109046642478</v>
      </c>
      <c r="CV4" s="267">
        <f ca="1"/>
        <v>-6.5064534387294301E-3</v>
      </c>
      <c r="CW4" s="267">
        <f ca="1"/>
        <v>1.7487222027193586E-9</v>
      </c>
      <c r="CX4" s="267">
        <f ca="1"/>
        <v>1.7487222027193586E-9</v>
      </c>
      <c r="CY4" s="267">
        <f ca="1"/>
        <v>1.7487222027193586E-9</v>
      </c>
      <c r="CZ4" s="267">
        <f ca="1"/>
        <v>1.7487222027193586E-9</v>
      </c>
      <c r="DA4" s="267">
        <f ca="1"/>
        <v>1.7487222027193586E-9</v>
      </c>
      <c r="DB4" s="267">
        <f ca="1"/>
        <v>0</v>
      </c>
      <c r="DC4" s="267">
        <f ca="1"/>
        <v>0</v>
      </c>
      <c r="DD4" s="267">
        <f ca="1"/>
        <v>0</v>
      </c>
      <c r="DE4" s="267">
        <f ca="1"/>
        <v>0</v>
      </c>
      <c r="DF4" s="267">
        <f ca="1"/>
        <v>0</v>
      </c>
      <c r="DG4" s="267">
        <f ca="1"/>
        <v>0</v>
      </c>
      <c r="DH4" s="267">
        <f ca="1"/>
        <v>0</v>
      </c>
      <c r="DI4" s="267">
        <f ca="1"/>
        <v>0</v>
      </c>
      <c r="DJ4" s="267">
        <f ca="1"/>
        <v>0</v>
      </c>
      <c r="DK4" s="267">
        <f ca="1"/>
        <v>0</v>
      </c>
      <c r="DL4" s="267">
        <f ca="1"/>
        <v>0</v>
      </c>
      <c r="DM4" s="267">
        <f ca="1"/>
        <v>0</v>
      </c>
      <c r="DN4" s="267">
        <f ca="1"/>
        <v>-0.44245872960863092</v>
      </c>
      <c r="DO4" s="267">
        <f ca="1"/>
        <v>-0.94384685836316995</v>
      </c>
      <c r="DP4" s="267">
        <f ca="1"/>
        <v>-1.5251596036752817</v>
      </c>
      <c r="DQ4" s="267">
        <f ca="1"/>
        <v>-2.6317588871969253</v>
      </c>
      <c r="DR4" s="267">
        <f ca="1"/>
        <v>-1.0974859712052649</v>
      </c>
      <c r="DS4" s="267">
        <f ca="1"/>
        <v>7.2154335167954498E-2</v>
      </c>
      <c r="DT4" s="267">
        <f ca="1"/>
        <v>-1.440295959191122E-2</v>
      </c>
      <c r="DU4" s="267">
        <f ca="1"/>
        <v>5.0480073666332561E-3</v>
      </c>
      <c r="DV4" s="267">
        <f ca="1"/>
        <v>-7.1711095238643423E-4</v>
      </c>
      <c r="DW4" s="267">
        <f ca="1"/>
        <v>1.0705657406898012E-4</v>
      </c>
      <c r="DX4" s="267">
        <f ca="1"/>
        <v>-2.7466919723224091E-5</v>
      </c>
      <c r="DY4" s="267">
        <f ca="1"/>
        <v>4.6744349538752219E-6</v>
      </c>
      <c r="EA4" s="285" t="s">
        <v>267</v>
      </c>
      <c r="EB4" s="281"/>
      <c r="EC4" s="282"/>
      <c r="ED4" s="282" t="s">
        <v>270</v>
      </c>
      <c r="EE4" s="283">
        <f t="array" aca="1" ref="EE4:FB4" ca="1">MMULT(TRANSPOSE(AI7:AI136),EE7:FB136)</f>
        <v>1.4946484870253522E-6</v>
      </c>
      <c r="EF4" s="284">
        <f ca="1"/>
        <v>-25.174458945559127</v>
      </c>
      <c r="EG4" s="284">
        <f ca="1"/>
        <v>2.8845700669032328E-5</v>
      </c>
      <c r="EH4" s="284">
        <f ca="1"/>
        <v>1.4923468737282978E-6</v>
      </c>
      <c r="EI4" s="284">
        <f ca="1"/>
        <v>24.899049796555921</v>
      </c>
      <c r="EJ4" s="284">
        <f ca="1"/>
        <v>-2.1360723429075801E-4</v>
      </c>
      <c r="EK4" s="284">
        <f ca="1"/>
        <v>0.27457112210995321</v>
      </c>
      <c r="EL4" s="284">
        <f ca="1"/>
        <v>6.522896156269109E-6</v>
      </c>
      <c r="EM4" s="284">
        <f ca="1"/>
        <v>6.3238445844326918E-6</v>
      </c>
      <c r="EN4" s="284">
        <f ca="1"/>
        <v>6.3788171240641844E-6</v>
      </c>
      <c r="EO4" s="284">
        <f ca="1"/>
        <v>4.475021518790534E-6</v>
      </c>
      <c r="EP4" s="284">
        <f ca="1"/>
        <v>1.1979127199079898E-5</v>
      </c>
      <c r="EQ4" s="284">
        <f ca="1"/>
        <v>-3.8531253693463441E-5</v>
      </c>
      <c r="ER4" s="284">
        <f ca="1"/>
        <v>-1.531643525254367E-5</v>
      </c>
      <c r="ES4" s="284">
        <f ca="1"/>
        <v>481.64350062249702</v>
      </c>
      <c r="ET4" s="284">
        <f ca="1"/>
        <v>-5.908875216675824E-6</v>
      </c>
      <c r="EU4" s="284">
        <f ca="1"/>
        <v>1.8769179348510079E-5</v>
      </c>
      <c r="EV4" s="284">
        <f ca="1"/>
        <v>1.0697890989064263E-5</v>
      </c>
      <c r="EW4" s="284">
        <f ca="1"/>
        <v>2.0927675567605775E-5</v>
      </c>
      <c r="EX4" s="284">
        <f ca="1"/>
        <v>8.3948982559922669E-7</v>
      </c>
      <c r="EY4" s="284">
        <f ca="1"/>
        <v>9.2639150934409331E-7</v>
      </c>
      <c r="EZ4" s="284">
        <f ca="1"/>
        <v>6.4801421951251464E-7</v>
      </c>
      <c r="FA4" s="284">
        <f ca="1"/>
        <v>-9.2939276195684595E-7</v>
      </c>
      <c r="FB4" s="284">
        <f ca="1"/>
        <v>1.786498546832709E-6</v>
      </c>
      <c r="FC4" s="282"/>
      <c r="FD4" s="285" t="s">
        <v>267</v>
      </c>
      <c r="FE4" s="282"/>
      <c r="FH4" s="133" t="s">
        <v>268</v>
      </c>
    </row>
    <row r="5" spans="2:168" x14ac:dyDescent="0.25">
      <c r="B5" s="133" t="s">
        <v>261</v>
      </c>
      <c r="F5" s="133" t="s">
        <v>255</v>
      </c>
      <c r="V5" s="171" t="s">
        <v>284</v>
      </c>
      <c r="X5" s="188" t="s">
        <v>264</v>
      </c>
      <c r="AA5" s="188" t="s">
        <v>279</v>
      </c>
      <c r="AB5" s="133"/>
      <c r="AC5" s="133"/>
      <c r="AD5" s="133"/>
      <c r="AE5" s="133"/>
      <c r="AF5" s="133"/>
      <c r="AH5" s="268" t="s">
        <v>283</v>
      </c>
      <c r="AO5" s="188" t="s">
        <v>280</v>
      </c>
      <c r="AR5" s="133" t="s">
        <v>263</v>
      </c>
      <c r="EA5" s="279" t="s">
        <v>295</v>
      </c>
      <c r="EC5" s="171"/>
      <c r="FD5" s="279" t="s">
        <v>294</v>
      </c>
      <c r="FH5" s="11" t="str">
        <f t="array" aca="1" ref="FH5:FL45" ca="1">IF($FH$2=TRUE,_xll.meLWOSwapDeltaLadder(C6,C7),"#DISABLED")</f>
        <v>USD : Pillars</v>
      </c>
      <c r="FI5" s="11" t="str">
        <f ca="1"/>
        <v>USD : Total</v>
      </c>
      <c r="FJ5" s="11" t="str">
        <f ca="1"/>
        <v>USD : Pillars</v>
      </c>
      <c r="FK5" s="275" t="str">
        <f ca="1"/>
        <v>USD : Total</v>
      </c>
      <c r="FL5" s="11" t="e">
        <f ca="1"/>
        <v>#N/A</v>
      </c>
    </row>
    <row r="6" spans="2:168" x14ac:dyDescent="0.25">
      <c r="B6" t="s">
        <v>260</v>
      </c>
      <c r="C6" s="171" t="str">
        <f ca="1">PRICING!N7</f>
        <v>USD_3ML_5Y@13:1</v>
      </c>
      <c r="F6" s="1" t="str">
        <f t="array" aca="1" ref="F6:U41" ca="1">_xll.meUtilityResize(_xll.meLWOSwapDisplayCashflows(C6,C7),50,50)</f>
        <v>Leg1:Fixed Leg Schedule &amp; Cashflows</v>
      </c>
      <c r="G6" s="4" t="str">
        <f ca="1"/>
        <v/>
      </c>
      <c r="H6" s="4" t="str">
        <f ca="1"/>
        <v/>
      </c>
      <c r="I6" s="4" t="str">
        <f ca="1"/>
        <v/>
      </c>
      <c r="J6" s="249" t="str">
        <f ca="1"/>
        <v/>
      </c>
      <c r="K6" s="249" t="str">
        <f ca="1"/>
        <v/>
      </c>
      <c r="L6" s="249" t="str">
        <f ca="1"/>
        <v/>
      </c>
      <c r="M6" s="4" t="str">
        <f ca="1"/>
        <v/>
      </c>
      <c r="N6" s="4" t="str">
        <f ca="1"/>
        <v/>
      </c>
      <c r="O6" s="249" t="str">
        <f ca="1"/>
        <v/>
      </c>
      <c r="P6" s="4" t="str">
        <f ca="1"/>
        <v/>
      </c>
      <c r="Q6" s="4" t="str">
        <f ca="1"/>
        <v/>
      </c>
      <c r="R6" s="4" t="str">
        <f ca="1"/>
        <v/>
      </c>
      <c r="S6" s="4" t="str">
        <f ca="1"/>
        <v/>
      </c>
      <c r="T6" s="4" t="str">
        <f ca="1"/>
        <v/>
      </c>
      <c r="U6" s="5" t="str">
        <f ca="1"/>
        <v/>
      </c>
      <c r="V6" s="58"/>
      <c r="X6" t="str">
        <f t="shared" ref="X6:X37" ca="1" si="0">AR6</f>
        <v>PaymentDate</v>
      </c>
      <c r="AA6" s="247" t="s">
        <v>281</v>
      </c>
      <c r="AB6" s="247" t="s">
        <v>304</v>
      </c>
      <c r="AD6" s="289" t="s">
        <v>281</v>
      </c>
      <c r="AE6" s="289" t="s">
        <v>304</v>
      </c>
      <c r="AF6" s="289" t="s">
        <v>311</v>
      </c>
      <c r="AH6" s="247" t="s">
        <v>282</v>
      </c>
      <c r="AK6" s="289" t="s">
        <v>282</v>
      </c>
      <c r="AL6" s="289" t="s">
        <v>304</v>
      </c>
      <c r="AM6" s="289" t="s">
        <v>311</v>
      </c>
      <c r="AO6" s="247" t="s">
        <v>282</v>
      </c>
      <c r="AP6" s="247" t="s">
        <v>304</v>
      </c>
      <c r="AR6" s="248" t="str">
        <f ca="1">'JACOBIAN - OIS USDOIS'!B15</f>
        <v>PaymentDate</v>
      </c>
      <c r="AS6" t="str">
        <f ca="1">'JACOBIAN - OIS USDOIS'!C15</f>
        <v>OIS_ON</v>
      </c>
      <c r="AT6" t="str">
        <f ca="1">'JACOBIAN - OIS USDOIS'!D15</f>
        <v>OIS_1W</v>
      </c>
      <c r="AU6" t="str">
        <f ca="1">'JACOBIAN - OIS USDOIS'!E15</f>
        <v>OIS_2W</v>
      </c>
      <c r="AV6" t="str">
        <f ca="1">'JACOBIAN - OIS USDOIS'!F15</f>
        <v>OIS_3W</v>
      </c>
      <c r="AW6" t="str">
        <f ca="1">'JACOBIAN - OIS USDOIS'!G15</f>
        <v>OIS_1M</v>
      </c>
      <c r="AX6" t="str">
        <f ca="1">'JACOBIAN - OIS USDOIS'!H15</f>
        <v>OIS_2M</v>
      </c>
      <c r="AY6" t="str">
        <f ca="1">'JACOBIAN - OIS USDOIS'!I15</f>
        <v>OIS_3M</v>
      </c>
      <c r="AZ6" t="str">
        <f ca="1">'JACOBIAN - OIS USDOIS'!J15</f>
        <v>OIS_4M</v>
      </c>
      <c r="BA6" t="str">
        <f ca="1">'JACOBIAN - OIS USDOIS'!K15</f>
        <v>OIS_5M</v>
      </c>
      <c r="BB6" t="str">
        <f ca="1">'JACOBIAN - OIS USDOIS'!L15</f>
        <v>OIS_6M</v>
      </c>
      <c r="BC6" t="str">
        <f ca="1">'JACOBIAN - OIS USDOIS'!M15</f>
        <v>OIS_9M</v>
      </c>
      <c r="BD6" t="str">
        <f ca="1">'JACOBIAN - OIS USDOIS'!N15</f>
        <v>OIS_1Y</v>
      </c>
      <c r="BE6" t="str">
        <f ca="1">'JACOBIAN - OIS USDOIS'!O15</f>
        <v>OIS_2Y</v>
      </c>
      <c r="BF6" t="str">
        <f ca="1">'JACOBIAN - OIS USDOIS'!P15</f>
        <v>OIS_3Y</v>
      </c>
      <c r="BG6" t="str">
        <f ca="1">'JACOBIAN - OIS USDOIS'!Q15</f>
        <v>OIS_4Y</v>
      </c>
      <c r="BH6" t="str">
        <f ca="1">'JACOBIAN - OIS USDOIS'!R15</f>
        <v>OIS_5Y</v>
      </c>
      <c r="BI6" s="161" t="str">
        <f ca="1">'JACOBIAN - OIS USDOIS'!S15</f>
        <v>LIBOROIS_1Y</v>
      </c>
      <c r="BJ6" s="161" t="str">
        <f ca="1">'JACOBIAN - OIS USDOIS'!T15</f>
        <v>LIBOROIS_2Y</v>
      </c>
      <c r="BK6" s="161" t="str">
        <f ca="1">'JACOBIAN - OIS USDOIS'!U15</f>
        <v>LIBOROIS_3Y</v>
      </c>
      <c r="BL6" s="161" t="str">
        <f ca="1">'JACOBIAN - OIS USDOIS'!V15</f>
        <v>LIBOROIS_4Y</v>
      </c>
      <c r="BM6" s="161" t="str">
        <f ca="1">'JACOBIAN - OIS USDOIS'!W15</f>
        <v>LIBOROIS_5Y</v>
      </c>
      <c r="BN6" s="161" t="str">
        <f ca="1">'JACOBIAN - OIS USDOIS'!X15</f>
        <v>LIBOROIS_7Y</v>
      </c>
      <c r="BO6" s="161" t="str">
        <f ca="1">'JACOBIAN - OIS USDOIS'!Y15</f>
        <v>LIBOROIS_10Y</v>
      </c>
      <c r="BP6" s="161" t="str">
        <f ca="1">'JACOBIAN - OIS USDOIS'!Z15</f>
        <v>LIBOROIS_12Y</v>
      </c>
      <c r="BQ6" s="161" t="str">
        <f ca="1">'JACOBIAN - OIS USDOIS'!AA15</f>
        <v>LIBOROIS_15Y</v>
      </c>
      <c r="BR6" s="161" t="str">
        <f ca="1">'JACOBIAN - OIS USDOIS'!AB15</f>
        <v>LIBOROIS_20Y</v>
      </c>
      <c r="BS6" s="161" t="str">
        <f ca="1">'JACOBIAN - OIS USDOIS'!AC15</f>
        <v>LIBOROIS_25Y</v>
      </c>
      <c r="BT6" s="161" t="str">
        <f ca="1">'JACOBIAN - OIS USDOIS'!AD15</f>
        <v>LIBOROIS_30Y</v>
      </c>
      <c r="BU6" t="str">
        <f ca="1">'JACOBIAN - OIS USDOIS'!AE15</f>
        <v>SWAP_1Y</v>
      </c>
      <c r="BV6" t="str">
        <f ca="1">'JACOBIAN - OIS USDOIS'!AF15</f>
        <v>SWAP_2Y</v>
      </c>
      <c r="BW6" t="str">
        <f ca="1">'JACOBIAN - OIS USDOIS'!AG15</f>
        <v>SWAP_3Y</v>
      </c>
      <c r="BX6" t="str">
        <f ca="1">'JACOBIAN - OIS USDOIS'!AH15</f>
        <v>SWAP_4Y</v>
      </c>
      <c r="BY6" t="str">
        <f ca="1">'JACOBIAN - OIS USDOIS'!AI15</f>
        <v>SWAP_5Y</v>
      </c>
      <c r="BZ6" t="str">
        <f ca="1">'JACOBIAN - OIS USDOIS'!AJ15</f>
        <v>SWAP_7Y</v>
      </c>
      <c r="CA6" t="str">
        <f ca="1">'JACOBIAN - OIS USDOIS'!AK15</f>
        <v>SWAP_10Y</v>
      </c>
      <c r="CB6" t="str">
        <f ca="1">'JACOBIAN - OIS USDOIS'!AL15</f>
        <v>SWAP_12Y</v>
      </c>
      <c r="CC6" t="str">
        <f ca="1">'JACOBIAN - OIS USDOIS'!AM15</f>
        <v>SWAP_15Y</v>
      </c>
      <c r="CD6" t="str">
        <f ca="1">'JACOBIAN - OIS USDOIS'!AN15</f>
        <v>SWAP_20Y</v>
      </c>
      <c r="CE6" t="str">
        <f ca="1">'JACOBIAN - OIS USDOIS'!AO15</f>
        <v>SWAP_25Y</v>
      </c>
      <c r="CF6" t="str">
        <f ca="1">'JACOBIAN - OIS USDOIS'!AP15</f>
        <v>SWAP_30Y</v>
      </c>
      <c r="CK6" t="str">
        <f t="shared" ref="CK6:DY6" ca="1" si="1">AR6</f>
        <v>PaymentDate</v>
      </c>
      <c r="CL6" t="str">
        <f t="shared" ca="1" si="1"/>
        <v>OIS_ON</v>
      </c>
      <c r="CM6" t="str">
        <f t="shared" ca="1" si="1"/>
        <v>OIS_1W</v>
      </c>
      <c r="CN6" t="str">
        <f t="shared" ca="1" si="1"/>
        <v>OIS_2W</v>
      </c>
      <c r="CO6" t="str">
        <f t="shared" ca="1" si="1"/>
        <v>OIS_3W</v>
      </c>
      <c r="CP6" t="str">
        <f t="shared" ca="1" si="1"/>
        <v>OIS_1M</v>
      </c>
      <c r="CQ6" t="str">
        <f t="shared" ca="1" si="1"/>
        <v>OIS_2M</v>
      </c>
      <c r="CR6" t="str">
        <f t="shared" ca="1" si="1"/>
        <v>OIS_3M</v>
      </c>
      <c r="CS6" t="str">
        <f t="shared" ca="1" si="1"/>
        <v>OIS_4M</v>
      </c>
      <c r="CT6" t="str">
        <f t="shared" ca="1" si="1"/>
        <v>OIS_5M</v>
      </c>
      <c r="CU6" t="str">
        <f t="shared" ca="1" si="1"/>
        <v>OIS_6M</v>
      </c>
      <c r="CV6" t="str">
        <f t="shared" ca="1" si="1"/>
        <v>OIS_9M</v>
      </c>
      <c r="CW6" t="str">
        <f t="shared" ca="1" si="1"/>
        <v>OIS_1Y</v>
      </c>
      <c r="CX6" t="str">
        <f t="shared" ca="1" si="1"/>
        <v>OIS_2Y</v>
      </c>
      <c r="CY6" t="str">
        <f t="shared" ca="1" si="1"/>
        <v>OIS_3Y</v>
      </c>
      <c r="CZ6" t="str">
        <f t="shared" ca="1" si="1"/>
        <v>OIS_4Y</v>
      </c>
      <c r="DA6" t="str">
        <f t="shared" ca="1" si="1"/>
        <v>OIS_5Y</v>
      </c>
      <c r="DB6" s="146" t="str">
        <f t="shared" ca="1" si="1"/>
        <v>LIBOROIS_1Y</v>
      </c>
      <c r="DC6" s="146" t="str">
        <f t="shared" ca="1" si="1"/>
        <v>LIBOROIS_2Y</v>
      </c>
      <c r="DD6" s="146" t="str">
        <f t="shared" ca="1" si="1"/>
        <v>LIBOROIS_3Y</v>
      </c>
      <c r="DE6" s="146" t="str">
        <f t="shared" ca="1" si="1"/>
        <v>LIBOROIS_4Y</v>
      </c>
      <c r="DF6" s="146" t="str">
        <f t="shared" ca="1" si="1"/>
        <v>LIBOROIS_5Y</v>
      </c>
      <c r="DG6" s="146" t="str">
        <f t="shared" ca="1" si="1"/>
        <v>LIBOROIS_7Y</v>
      </c>
      <c r="DH6" s="146" t="str">
        <f t="shared" ca="1" si="1"/>
        <v>LIBOROIS_10Y</v>
      </c>
      <c r="DI6" s="146" t="str">
        <f t="shared" ca="1" si="1"/>
        <v>LIBOROIS_12Y</v>
      </c>
      <c r="DJ6" s="146" t="str">
        <f t="shared" ca="1" si="1"/>
        <v>LIBOROIS_15Y</v>
      </c>
      <c r="DK6" s="146" t="str">
        <f t="shared" ca="1" si="1"/>
        <v>LIBOROIS_20Y</v>
      </c>
      <c r="DL6" s="146" t="str">
        <f t="shared" ca="1" si="1"/>
        <v>LIBOROIS_25Y</v>
      </c>
      <c r="DM6" s="146" t="str">
        <f t="shared" ca="1" si="1"/>
        <v>LIBOROIS_30Y</v>
      </c>
      <c r="DN6" t="str">
        <f t="shared" ca="1" si="1"/>
        <v>SWAP_1Y</v>
      </c>
      <c r="DO6" t="str">
        <f t="shared" ca="1" si="1"/>
        <v>SWAP_2Y</v>
      </c>
      <c r="DP6" t="str">
        <f t="shared" ca="1" si="1"/>
        <v>SWAP_3Y</v>
      </c>
      <c r="DQ6" t="str">
        <f t="shared" ca="1" si="1"/>
        <v>SWAP_4Y</v>
      </c>
      <c r="DR6" t="str">
        <f t="shared" ca="1" si="1"/>
        <v>SWAP_5Y</v>
      </c>
      <c r="DS6" t="str">
        <f t="shared" ca="1" si="1"/>
        <v>SWAP_7Y</v>
      </c>
      <c r="DT6" t="str">
        <f t="shared" ca="1" si="1"/>
        <v>SWAP_10Y</v>
      </c>
      <c r="DU6" t="str">
        <f t="shared" ca="1" si="1"/>
        <v>SWAP_12Y</v>
      </c>
      <c r="DV6" t="str">
        <f t="shared" ca="1" si="1"/>
        <v>SWAP_15Y</v>
      </c>
      <c r="DW6" t="str">
        <f t="shared" ca="1" si="1"/>
        <v>SWAP_20Y</v>
      </c>
      <c r="DX6" t="str">
        <f t="shared" ca="1" si="1"/>
        <v>SWAP_25Y</v>
      </c>
      <c r="DY6" t="str">
        <f t="shared" ca="1" si="1"/>
        <v>SWAP_30Y</v>
      </c>
      <c r="EA6" s="278" t="str">
        <f t="array" aca="1" ref="EA6:EA45" ca="1">TRANSPOSE(CL6:DY6)</f>
        <v>OIS_ON</v>
      </c>
      <c r="EB6" s="277">
        <f t="array" aca="1" ref="EB6:EB45" ca="1">TRANSPOSE(AS4:CF4)</f>
        <v>-3.1913443186923303E-2</v>
      </c>
      <c r="EC6" s="171"/>
      <c r="ED6" s="248" t="str">
        <f ca="1">'JACOBIAN - SWAP USD3ML'!B15</f>
        <v>FixingDate</v>
      </c>
      <c r="EE6" t="str">
        <f ca="1">'JACOBIAN - SWAP USD3ML'!C15</f>
        <v>LIBORFIXING_1M</v>
      </c>
      <c r="EF6" t="str">
        <f ca="1">'JACOBIAN - SWAP USD3ML'!D15</f>
        <v>LIBORFIXING_3M</v>
      </c>
      <c r="EG6" t="str">
        <f ca="1">'JACOBIAN - SWAP USD3ML'!E15</f>
        <v>LIBORFIXING_6M</v>
      </c>
      <c r="EH6" t="str">
        <f ca="1">'JACOBIAN - SWAP USD3ML'!F15</f>
        <v>LIBORFIXING_12M</v>
      </c>
      <c r="EI6" t="str">
        <f ca="1">'JACOBIAN - SWAP USD3ML'!G15</f>
        <v>ED1 Comdty</v>
      </c>
      <c r="EJ6" t="str">
        <f ca="1">'JACOBIAN - SWAP USD3ML'!H15</f>
        <v>ED2 Comdty</v>
      </c>
      <c r="EK6" t="str">
        <f ca="1">'JACOBIAN - SWAP USD3ML'!I15</f>
        <v>ED3 Comdty</v>
      </c>
      <c r="EL6" t="str">
        <f ca="1">'JACOBIAN - SWAP USD3ML'!J15</f>
        <v>ED4 Comdty</v>
      </c>
      <c r="EM6" t="str">
        <f ca="1">'JACOBIAN - SWAP USD3ML'!K15</f>
        <v>ED5 Comdty</v>
      </c>
      <c r="EN6" t="str">
        <f ca="1">'JACOBIAN - SWAP USD3ML'!L15</f>
        <v>ED6 Comdty</v>
      </c>
      <c r="EO6" t="str">
        <f ca="1">'JACOBIAN - SWAP USD3ML'!M15</f>
        <v>ED7 Comdty</v>
      </c>
      <c r="EP6" t="str">
        <f ca="1">'JACOBIAN - SWAP USD3ML'!N15</f>
        <v>ED8 Comdty</v>
      </c>
      <c r="EQ6" t="str">
        <f ca="1">'JACOBIAN - SWAP USD3ML'!O15</f>
        <v>SWAP_3Y</v>
      </c>
      <c r="ER6" t="str">
        <f ca="1">'JACOBIAN - SWAP USD3ML'!P15</f>
        <v>SWAP_4Y</v>
      </c>
      <c r="ES6" t="str">
        <f ca="1">'JACOBIAN - SWAP USD3ML'!Q15</f>
        <v>SWAP_5Y</v>
      </c>
      <c r="ET6" t="str">
        <f ca="1">'JACOBIAN - SWAP USD3ML'!R15</f>
        <v>SWAP_7Y</v>
      </c>
      <c r="EU6" t="str">
        <f ca="1">'JACOBIAN - SWAP USD3ML'!S15</f>
        <v>SWAP_8Y</v>
      </c>
      <c r="EV6" t="str">
        <f ca="1">'JACOBIAN - SWAP USD3ML'!T15</f>
        <v>SWAP_9Y</v>
      </c>
      <c r="EW6" t="str">
        <f ca="1">'JACOBIAN - SWAP USD3ML'!U15</f>
        <v>SWAP_10Y</v>
      </c>
      <c r="EX6" t="str">
        <f ca="1">'JACOBIAN - SWAP USD3ML'!V15</f>
        <v>SWAP_12Y</v>
      </c>
      <c r="EY6" t="str">
        <f ca="1">'JACOBIAN - SWAP USD3ML'!W15</f>
        <v>SWAP_15Y</v>
      </c>
      <c r="EZ6" t="str">
        <f ca="1">'JACOBIAN - SWAP USD3ML'!X15</f>
        <v>SWAP_20Y</v>
      </c>
      <c r="FA6" t="str">
        <f ca="1">'JACOBIAN - SWAP USD3ML'!Y15</f>
        <v>SWAP_25Y</v>
      </c>
      <c r="FB6" t="str">
        <f ca="1">'JACOBIAN - SWAP USD3ML'!Z15</f>
        <v>SWAP_30Y</v>
      </c>
      <c r="FD6" s="146" t="str">
        <f t="array" aca="1" ref="FD6:FD29" ca="1">TRANSPOSE(EE6:FB6)</f>
        <v>LIBORFIXING_1M</v>
      </c>
      <c r="FE6" s="280">
        <f t="array" aca="1" ref="FE6:FE29" ca="1">TRANSPOSE(EE4:FB4)</f>
        <v>1.4946484870253522E-6</v>
      </c>
      <c r="FF6" s="171" t="s">
        <v>268</v>
      </c>
      <c r="FH6" s="11" t="str">
        <f ca="1"/>
        <v>USDYC.OIS.OUTRIGHTOISSWAP.ON</v>
      </c>
      <c r="FI6" s="275">
        <f ca="1"/>
        <v>-2.4322464014403522E-2</v>
      </c>
      <c r="FJ6" s="11" t="str">
        <f ca="1"/>
        <v>USDYC.STD.O_N</v>
      </c>
      <c r="FK6" s="275">
        <f ca="1"/>
        <v>7.5908799772150815E-3</v>
      </c>
      <c r="FL6" s="11" t="e">
        <f ca="1"/>
        <v>#N/A</v>
      </c>
    </row>
    <row r="7" spans="2:168" x14ac:dyDescent="0.25">
      <c r="B7" t="s">
        <v>222</v>
      </c>
      <c r="C7" s="171" t="str">
        <f ca="1">PRICING!O7</f>
        <v>USDYC</v>
      </c>
      <c r="F7" s="6" t="str">
        <f ca="1"/>
        <v>AccrualStart</v>
      </c>
      <c r="G7" s="9" t="str">
        <f ca="1"/>
        <v>AccrualEnd</v>
      </c>
      <c r="H7" s="9" t="str">
        <f ca="1"/>
        <v>AccrualDays</v>
      </c>
      <c r="I7" s="9" t="str">
        <f ca="1"/>
        <v>AccrualYearFractions</v>
      </c>
      <c r="J7" s="58" t="str">
        <f ca="1"/>
        <v>PaymentDate</v>
      </c>
      <c r="K7" s="58" t="str">
        <f ca="1"/>
        <v>Notional</v>
      </c>
      <c r="L7" s="58" t="str">
        <f ca="1"/>
        <v>NotionalExchange</v>
      </c>
      <c r="M7" s="9" t="str">
        <f ca="1"/>
        <v>Leverage</v>
      </c>
      <c r="N7" s="9" t="str">
        <f ca="1"/>
        <v>FixedRate</v>
      </c>
      <c r="O7" s="58" t="str">
        <f ca="1"/>
        <v>Coupon</v>
      </c>
      <c r="P7" s="9" t="str">
        <f ca="1"/>
        <v>DiscountFactor</v>
      </c>
      <c r="Q7" s="9" t="str">
        <f ca="1"/>
        <v>CouponPV</v>
      </c>
      <c r="R7" s="9" t="str">
        <f ca="1"/>
        <v/>
      </c>
      <c r="S7" s="9" t="str">
        <f ca="1"/>
        <v/>
      </c>
      <c r="T7" s="9" t="str">
        <f ca="1"/>
        <v/>
      </c>
      <c r="U7" s="12" t="str">
        <f ca="1"/>
        <v/>
      </c>
      <c r="V7" s="58"/>
      <c r="X7" s="257">
        <f t="shared" ca="1" si="0"/>
        <v>43812</v>
      </c>
      <c r="Y7" s="261">
        <v>0</v>
      </c>
      <c r="AA7" s="257">
        <f ca="1">CK7</f>
        <v>43812</v>
      </c>
      <c r="AB7" s="266">
        <f t="shared" ref="AB7:AB38" ca="1" si="2">SUM(CL7:DY7)</f>
        <v>0</v>
      </c>
      <c r="AC7" s="266"/>
      <c r="AD7" s="290">
        <f t="array" aca="1" ref="AD7:AE136" ca="1">_xll.meCurveResultsJacobianRiskTotals("USDYC","USDOIS","DISCOUNT_FACTORS")</f>
        <v>43812</v>
      </c>
      <c r="AE7" s="291">
        <f ca="1"/>
        <v>0</v>
      </c>
      <c r="AF7" s="291" t="b">
        <f ca="1">ABS(AE7-AB7)&lt;0.0000000000000001</f>
        <v>1</v>
      </c>
      <c r="AH7" s="257">
        <f t="shared" ref="AH7:AH38" ca="1" si="3">AO7</f>
        <v>43812</v>
      </c>
      <c r="AI7" s="260">
        <v>0</v>
      </c>
      <c r="AK7" s="290">
        <f t="array" aca="1" ref="AK7:AL136" ca="1">_xll.meCurveResultsJacobianRiskTotals("USDYC","USD3ML","FORWARD_RATES")</f>
        <v>43812</v>
      </c>
      <c r="AL7" s="291">
        <f ca="1"/>
        <v>9.9998896251920349E-5</v>
      </c>
      <c r="AM7" s="291" t="b">
        <f t="shared" ref="AM7:AM38" ca="1" si="4">ABS(AP7-AL7)&lt;0.0000000000000001</f>
        <v>1</v>
      </c>
      <c r="AO7" s="257">
        <f ca="1">ED7</f>
        <v>43812</v>
      </c>
      <c r="AP7" s="266">
        <f ca="1">SUM(EE7:FB7)</f>
        <v>9.9998896251920349E-5</v>
      </c>
      <c r="AR7" s="248">
        <f ca="1">'JACOBIAN - OIS USDOIS'!B16</f>
        <v>43812</v>
      </c>
      <c r="AS7">
        <f ca="1">'JACOBIAN - OIS USDOIS'!C16</f>
        <v>0</v>
      </c>
      <c r="AT7">
        <f ca="1">'JACOBIAN - OIS USDOIS'!D16</f>
        <v>0</v>
      </c>
      <c r="AU7">
        <f ca="1">'JACOBIAN - OIS USDOIS'!E16</f>
        <v>0</v>
      </c>
      <c r="AV7">
        <f ca="1">'JACOBIAN - OIS USDOIS'!F16</f>
        <v>0</v>
      </c>
      <c r="AW7">
        <f ca="1">'JACOBIAN - OIS USDOIS'!G16</f>
        <v>0</v>
      </c>
      <c r="AX7">
        <f ca="1">'JACOBIAN - OIS USDOIS'!H16</f>
        <v>0</v>
      </c>
      <c r="AY7">
        <f ca="1">'JACOBIAN - OIS USDOIS'!I16</f>
        <v>0</v>
      </c>
      <c r="AZ7">
        <f ca="1">'JACOBIAN - OIS USDOIS'!J16</f>
        <v>0</v>
      </c>
      <c r="BA7">
        <f ca="1">'JACOBIAN - OIS USDOIS'!K16</f>
        <v>0</v>
      </c>
      <c r="BB7">
        <f ca="1">'JACOBIAN - OIS USDOIS'!L16</f>
        <v>0</v>
      </c>
      <c r="BC7">
        <f ca="1">'JACOBIAN - OIS USDOIS'!M16</f>
        <v>0</v>
      </c>
      <c r="BD7">
        <f ca="1">'JACOBIAN - OIS USDOIS'!N16</f>
        <v>0</v>
      </c>
      <c r="BE7">
        <f ca="1">'JACOBIAN - OIS USDOIS'!O16</f>
        <v>0</v>
      </c>
      <c r="BF7">
        <f ca="1">'JACOBIAN - OIS USDOIS'!P16</f>
        <v>0</v>
      </c>
      <c r="BG7">
        <f ca="1">'JACOBIAN - OIS USDOIS'!Q16</f>
        <v>0</v>
      </c>
      <c r="BH7">
        <f ca="1">'JACOBIAN - OIS USDOIS'!R16</f>
        <v>0</v>
      </c>
      <c r="BI7" s="161">
        <f ca="1">'JACOBIAN - OIS USDOIS'!S16</f>
        <v>0</v>
      </c>
      <c r="BJ7" s="161">
        <f ca="1">'JACOBIAN - OIS USDOIS'!T16</f>
        <v>0</v>
      </c>
      <c r="BK7" s="161">
        <f ca="1">'JACOBIAN - OIS USDOIS'!U16</f>
        <v>0</v>
      </c>
      <c r="BL7" s="161">
        <f ca="1">'JACOBIAN - OIS USDOIS'!V16</f>
        <v>0</v>
      </c>
      <c r="BM7" s="161">
        <f ca="1">'JACOBIAN - OIS USDOIS'!W16</f>
        <v>0</v>
      </c>
      <c r="BN7" s="161">
        <f ca="1">'JACOBIAN - OIS USDOIS'!X16</f>
        <v>0</v>
      </c>
      <c r="BO7" s="161">
        <f ca="1">'JACOBIAN - OIS USDOIS'!Y16</f>
        <v>0</v>
      </c>
      <c r="BP7" s="161">
        <f ca="1">'JACOBIAN - OIS USDOIS'!Z16</f>
        <v>0</v>
      </c>
      <c r="BQ7" s="161">
        <f ca="1">'JACOBIAN - OIS USDOIS'!AA16</f>
        <v>0</v>
      </c>
      <c r="BR7" s="161">
        <f ca="1">'JACOBIAN - OIS USDOIS'!AB16</f>
        <v>0</v>
      </c>
      <c r="BS7" s="161">
        <f ca="1">'JACOBIAN - OIS USDOIS'!AC16</f>
        <v>0</v>
      </c>
      <c r="BT7" s="161">
        <f ca="1">'JACOBIAN - OIS USDOIS'!AD16</f>
        <v>0</v>
      </c>
      <c r="BU7">
        <f ca="1">'JACOBIAN - OIS USDOIS'!AE16</f>
        <v>0</v>
      </c>
      <c r="BV7">
        <f ca="1">'JACOBIAN - OIS USDOIS'!AF16</f>
        <v>0</v>
      </c>
      <c r="BW7">
        <f ca="1">'JACOBIAN - OIS USDOIS'!AG16</f>
        <v>0</v>
      </c>
      <c r="BX7">
        <f ca="1">'JACOBIAN - OIS USDOIS'!AH16</f>
        <v>0</v>
      </c>
      <c r="BY7">
        <f ca="1">'JACOBIAN - OIS USDOIS'!AI16</f>
        <v>0</v>
      </c>
      <c r="BZ7">
        <f ca="1">'JACOBIAN - OIS USDOIS'!AJ16</f>
        <v>0</v>
      </c>
      <c r="CA7">
        <f ca="1">'JACOBIAN - OIS USDOIS'!AK16</f>
        <v>0</v>
      </c>
      <c r="CB7">
        <f ca="1">'JACOBIAN - OIS USDOIS'!AL16</f>
        <v>0</v>
      </c>
      <c r="CC7">
        <f ca="1">'JACOBIAN - OIS USDOIS'!AM16</f>
        <v>0</v>
      </c>
      <c r="CD7">
        <f ca="1">'JACOBIAN - OIS USDOIS'!AN16</f>
        <v>0</v>
      </c>
      <c r="CE7">
        <f ca="1">'JACOBIAN - OIS USDOIS'!AO16</f>
        <v>0</v>
      </c>
      <c r="CF7">
        <f ca="1">'JACOBIAN - OIS USDOIS'!AP16</f>
        <v>0</v>
      </c>
      <c r="CK7" s="248">
        <f t="shared" ref="CK7:CK38" ca="1" si="5">AR7</f>
        <v>43812</v>
      </c>
      <c r="CL7">
        <f t="shared" ref="CL7:CL38" ca="1" si="6">AS7</f>
        <v>0</v>
      </c>
      <c r="CM7">
        <f t="shared" ref="CM7:CM38" ca="1" si="7">AT7</f>
        <v>0</v>
      </c>
      <c r="CN7">
        <f t="shared" ref="CN7:CN38" ca="1" si="8">AU7</f>
        <v>0</v>
      </c>
      <c r="CO7">
        <f t="shared" ref="CO7:CO38" ca="1" si="9">AV7</f>
        <v>0</v>
      </c>
      <c r="CP7">
        <f t="shared" ref="CP7:CP38" ca="1" si="10">AW7</f>
        <v>0</v>
      </c>
      <c r="CQ7">
        <f t="shared" ref="CQ7:CQ38" ca="1" si="11">AX7</f>
        <v>0</v>
      </c>
      <c r="CR7">
        <f t="shared" ref="CR7:CR38" ca="1" si="12">AY7</f>
        <v>0</v>
      </c>
      <c r="CS7">
        <f t="shared" ref="CS7:CS38" ca="1" si="13">AZ7</f>
        <v>0</v>
      </c>
      <c r="CT7">
        <f t="shared" ref="CT7:CT38" ca="1" si="14">BA7</f>
        <v>0</v>
      </c>
      <c r="CU7">
        <f t="shared" ref="CU7:CU38" ca="1" si="15">BB7</f>
        <v>0</v>
      </c>
      <c r="CV7">
        <f t="shared" ref="CV7:CV38" ca="1" si="16">BC7</f>
        <v>0</v>
      </c>
      <c r="CW7">
        <f t="shared" ref="CW7:CW38" ca="1" si="17">BD7</f>
        <v>0</v>
      </c>
      <c r="CX7">
        <f t="shared" ref="CX7:CX38" ca="1" si="18">BE7</f>
        <v>0</v>
      </c>
      <c r="CY7">
        <f t="shared" ref="CY7:CY38" ca="1" si="19">BF7</f>
        <v>0</v>
      </c>
      <c r="CZ7">
        <f t="shared" ref="CZ7:CZ38" ca="1" si="20">BG7</f>
        <v>0</v>
      </c>
      <c r="DA7">
        <f t="shared" ref="DA7:DA38" ca="1" si="21">BH7</f>
        <v>0</v>
      </c>
      <c r="DB7" s="146">
        <v>0</v>
      </c>
      <c r="DC7" s="146">
        <v>0</v>
      </c>
      <c r="DD7" s="146">
        <v>0</v>
      </c>
      <c r="DE7" s="146">
        <v>0</v>
      </c>
      <c r="DF7" s="146">
        <v>0</v>
      </c>
      <c r="DG7" s="146">
        <v>0</v>
      </c>
      <c r="DH7" s="146">
        <v>0</v>
      </c>
      <c r="DI7" s="146">
        <v>0</v>
      </c>
      <c r="DJ7" s="146">
        <v>0</v>
      </c>
      <c r="DK7" s="146">
        <v>0</v>
      </c>
      <c r="DL7" s="146">
        <v>0</v>
      </c>
      <c r="DM7" s="146">
        <v>0</v>
      </c>
      <c r="DN7">
        <f t="shared" ref="DN7:DN38" ca="1" si="22">BU7</f>
        <v>0</v>
      </c>
      <c r="DO7">
        <f t="shared" ref="DO7:DO38" ca="1" si="23">BV7</f>
        <v>0</v>
      </c>
      <c r="DP7">
        <f t="shared" ref="DP7:DP38" ca="1" si="24">BW7</f>
        <v>0</v>
      </c>
      <c r="DQ7">
        <f t="shared" ref="DQ7:DQ38" ca="1" si="25">BX7</f>
        <v>0</v>
      </c>
      <c r="DR7">
        <f t="shared" ref="DR7:DR38" ca="1" si="26">BY7</f>
        <v>0</v>
      </c>
      <c r="DS7">
        <f t="shared" ref="DS7:DS38" ca="1" si="27">BZ7</f>
        <v>0</v>
      </c>
      <c r="DT7">
        <f t="shared" ref="DT7:DT38" ca="1" si="28">CA7</f>
        <v>0</v>
      </c>
      <c r="DU7">
        <f t="shared" ref="DU7:DU38" ca="1" si="29">CB7</f>
        <v>0</v>
      </c>
      <c r="DV7">
        <f t="shared" ref="DV7:DV38" ca="1" si="30">CC7</f>
        <v>0</v>
      </c>
      <c r="DW7">
        <f t="shared" ref="DW7:DW38" ca="1" si="31">CD7</f>
        <v>0</v>
      </c>
      <c r="DX7">
        <f t="shared" ref="DX7:DX38" ca="1" si="32">CE7</f>
        <v>0</v>
      </c>
      <c r="DY7">
        <f t="shared" ref="DY7:DY38" ca="1" si="33">CF7</f>
        <v>0</v>
      </c>
      <c r="EA7" s="278" t="str">
        <f ca="1"/>
        <v>OIS_1W</v>
      </c>
      <c r="EB7" s="277">
        <f ca="1"/>
        <v>-6.5722290832307325E-5</v>
      </c>
      <c r="EC7" s="171"/>
      <c r="ED7" s="248">
        <f ca="1">'JACOBIAN - SWAP USD3ML'!B16</f>
        <v>43812</v>
      </c>
      <c r="EE7">
        <f ca="1">'JACOBIAN - SWAP USD3ML'!C16</f>
        <v>4.4160360326769801E-6</v>
      </c>
      <c r="EF7">
        <f ca="1">'JACOBIAN - SWAP USD3ML'!D16</f>
        <v>9.9998269403892004E-5</v>
      </c>
      <c r="EG7">
        <f ca="1">'JACOBIAN - SWAP USD3ML'!E16</f>
        <v>0</v>
      </c>
      <c r="EH7">
        <f ca="1">'JACOBIAN - SWAP USD3ML'!F16</f>
        <v>0</v>
      </c>
      <c r="EI7">
        <f ca="1">'JACOBIAN - SWAP USD3ML'!G16</f>
        <v>-4.4154091846486396E-6</v>
      </c>
      <c r="EJ7">
        <f ca="1">'JACOBIAN - SWAP USD3ML'!H16</f>
        <v>0</v>
      </c>
      <c r="EK7">
        <f ca="1">'JACOBIAN - SWAP USD3ML'!I16</f>
        <v>0</v>
      </c>
      <c r="EL7">
        <f ca="1">'JACOBIAN - SWAP USD3ML'!J16</f>
        <v>0</v>
      </c>
      <c r="EM7">
        <f ca="1">'JACOBIAN - SWAP USD3ML'!K16</f>
        <v>0</v>
      </c>
      <c r="EN7">
        <f ca="1">'JACOBIAN - SWAP USD3ML'!L16</f>
        <v>0</v>
      </c>
      <c r="EO7">
        <f ca="1">'JACOBIAN - SWAP USD3ML'!M16</f>
        <v>0</v>
      </c>
      <c r="EP7">
        <f ca="1">'JACOBIAN - SWAP USD3ML'!N16</f>
        <v>0</v>
      </c>
      <c r="EQ7">
        <f ca="1">'JACOBIAN - SWAP USD3ML'!O16</f>
        <v>0</v>
      </c>
      <c r="ER7">
        <f ca="1">'JACOBIAN - SWAP USD3ML'!P16</f>
        <v>0</v>
      </c>
      <c r="ES7">
        <f ca="1">'JACOBIAN - SWAP USD3ML'!Q16</f>
        <v>0</v>
      </c>
      <c r="ET7">
        <f ca="1">'JACOBIAN - SWAP USD3ML'!R16</f>
        <v>0</v>
      </c>
      <c r="EU7">
        <f ca="1">'JACOBIAN - SWAP USD3ML'!S16</f>
        <v>0</v>
      </c>
      <c r="EV7">
        <f ca="1">'JACOBIAN - SWAP USD3ML'!T16</f>
        <v>0</v>
      </c>
      <c r="EW7">
        <f ca="1">'JACOBIAN - SWAP USD3ML'!U16</f>
        <v>0</v>
      </c>
      <c r="EX7">
        <f ca="1">'JACOBIAN - SWAP USD3ML'!V16</f>
        <v>0</v>
      </c>
      <c r="EY7">
        <f ca="1">'JACOBIAN - SWAP USD3ML'!W16</f>
        <v>0</v>
      </c>
      <c r="EZ7">
        <f ca="1">'JACOBIAN - SWAP USD3ML'!X16</f>
        <v>0</v>
      </c>
      <c r="FA7">
        <f ca="1">'JACOBIAN - SWAP USD3ML'!Y16</f>
        <v>0</v>
      </c>
      <c r="FB7">
        <f ca="1">'JACOBIAN - SWAP USD3ML'!Z16</f>
        <v>0</v>
      </c>
      <c r="FD7" s="146" t="str">
        <f ca="1"/>
        <v>LIBORFIXING_3M</v>
      </c>
      <c r="FE7" s="280">
        <f ca="1"/>
        <v>-25.174458945559127</v>
      </c>
      <c r="FF7" s="171">
        <v>0</v>
      </c>
      <c r="FH7" s="11" t="str">
        <f ca="1"/>
        <v>USDYC.OIS.OUTRIGHTOISSWAP.1W</v>
      </c>
      <c r="FI7" s="275">
        <f ca="1"/>
        <v>7.5395684689283371E-3</v>
      </c>
      <c r="FJ7" s="11" t="str">
        <f ca="1"/>
        <v>USDYC.STD.T_N</v>
      </c>
      <c r="FK7" s="275">
        <f ca="1"/>
        <v>7.5909250881522894E-3</v>
      </c>
      <c r="FL7" s="11" t="e">
        <f ca="1"/>
        <v>#N/A</v>
      </c>
    </row>
    <row r="8" spans="2:168" x14ac:dyDescent="0.25">
      <c r="F8" s="6">
        <f ca="1"/>
        <v>43816</v>
      </c>
      <c r="G8" s="9">
        <f ca="1"/>
        <v>43999</v>
      </c>
      <c r="H8" s="9">
        <f ca="1"/>
        <v>183</v>
      </c>
      <c r="I8" s="255">
        <f ca="1"/>
        <v>0.5</v>
      </c>
      <c r="J8" s="269">
        <f ca="1"/>
        <v>43999</v>
      </c>
      <c r="K8" s="254">
        <f ca="1"/>
        <v>-1000000</v>
      </c>
      <c r="L8" s="58">
        <f ca="1"/>
        <v>0</v>
      </c>
      <c r="M8" s="9">
        <f ca="1"/>
        <v>1</v>
      </c>
      <c r="N8" s="9">
        <f ca="1"/>
        <v>0.01</v>
      </c>
      <c r="O8" s="264">
        <f ca="1"/>
        <v>-5000</v>
      </c>
      <c r="P8" s="9">
        <f ca="1"/>
        <v>0.99214918725762202</v>
      </c>
      <c r="Q8" s="9">
        <f ca="1"/>
        <v>-4960.74593628811</v>
      </c>
      <c r="R8" s="9" t="str">
        <f ca="1"/>
        <v/>
      </c>
      <c r="S8" s="9" t="str">
        <f ca="1"/>
        <v/>
      </c>
      <c r="T8" s="9" t="str">
        <f ca="1"/>
        <v/>
      </c>
      <c r="U8" s="12" t="str">
        <f ca="1"/>
        <v/>
      </c>
      <c r="V8" s="252">
        <f t="shared" ref="V8:V17" ca="1" si="34">K8*I8*P8</f>
        <v>-496074.59362881101</v>
      </c>
      <c r="X8" s="258">
        <f t="shared" ca="1" si="0"/>
        <v>43815</v>
      </c>
      <c r="Y8" s="261">
        <v>0</v>
      </c>
      <c r="AA8" s="257">
        <f t="shared" ref="AA8:AA71" ca="1" si="35">CK8</f>
        <v>43815</v>
      </c>
      <c r="AB8" s="266">
        <f t="shared" ca="1" si="2"/>
        <v>-8.3311740295410896E-7</v>
      </c>
      <c r="AC8" s="266"/>
      <c r="AD8" s="290">
        <f ca="1"/>
        <v>43815</v>
      </c>
      <c r="AE8" s="291">
        <f ca="1"/>
        <v>-8.3311740295410885E-7</v>
      </c>
      <c r="AF8" s="291" t="b">
        <f t="shared" ref="AF8:AF71" ca="1" si="36">ABS(AE8-AB8)&lt;0.0000000000000001</f>
        <v>1</v>
      </c>
      <c r="AH8" s="257">
        <f t="shared" ca="1" si="3"/>
        <v>43815</v>
      </c>
      <c r="AI8" s="260">
        <v>0</v>
      </c>
      <c r="AK8" s="290">
        <f ca="1"/>
        <v>43815</v>
      </c>
      <c r="AL8" s="291">
        <f ca="1"/>
        <v>9.9999628395047724E-5</v>
      </c>
      <c r="AM8" s="291" t="b">
        <f t="shared" ca="1" si="4"/>
        <v>1</v>
      </c>
      <c r="AO8" s="257">
        <f t="shared" ref="AO8:AO38" ca="1" si="37">ED8</f>
        <v>43815</v>
      </c>
      <c r="AP8" s="266">
        <f t="shared" ref="AP8:AP71" ca="1" si="38">SUM(EE8:FB8)</f>
        <v>9.9999628395047697E-5</v>
      </c>
      <c r="AR8" s="248">
        <f ca="1">'JACOBIAN - OIS USDOIS'!B17</f>
        <v>43815</v>
      </c>
      <c r="AS8">
        <f ca="1">'JACOBIAN - OIS USDOIS'!C17</f>
        <v>-8.3311740295410896E-7</v>
      </c>
      <c r="AT8">
        <f ca="1">'JACOBIAN - OIS USDOIS'!D17</f>
        <v>0</v>
      </c>
      <c r="AU8">
        <f ca="1">'JACOBIAN - OIS USDOIS'!E17</f>
        <v>0</v>
      </c>
      <c r="AV8">
        <f ca="1">'JACOBIAN - OIS USDOIS'!F17</f>
        <v>0</v>
      </c>
      <c r="AW8">
        <f ca="1">'JACOBIAN - OIS USDOIS'!G17</f>
        <v>0</v>
      </c>
      <c r="AX8">
        <f ca="1">'JACOBIAN - OIS USDOIS'!H17</f>
        <v>0</v>
      </c>
      <c r="AY8">
        <f ca="1">'JACOBIAN - OIS USDOIS'!I17</f>
        <v>0</v>
      </c>
      <c r="AZ8">
        <f ca="1">'JACOBIAN - OIS USDOIS'!J17</f>
        <v>0</v>
      </c>
      <c r="BA8">
        <f ca="1">'JACOBIAN - OIS USDOIS'!K17</f>
        <v>0</v>
      </c>
      <c r="BB8">
        <f ca="1">'JACOBIAN - OIS USDOIS'!L17</f>
        <v>0</v>
      </c>
      <c r="BC8">
        <f ca="1">'JACOBIAN - OIS USDOIS'!M17</f>
        <v>0</v>
      </c>
      <c r="BD8">
        <f ca="1">'JACOBIAN - OIS USDOIS'!N17</f>
        <v>0</v>
      </c>
      <c r="BE8">
        <f ca="1">'JACOBIAN - OIS USDOIS'!O17</f>
        <v>0</v>
      </c>
      <c r="BF8">
        <f ca="1">'JACOBIAN - OIS USDOIS'!P17</f>
        <v>0</v>
      </c>
      <c r="BG8">
        <f ca="1">'JACOBIAN - OIS USDOIS'!Q17</f>
        <v>0</v>
      </c>
      <c r="BH8">
        <f ca="1">'JACOBIAN - OIS USDOIS'!R17</f>
        <v>0</v>
      </c>
      <c r="BI8" s="161">
        <f ca="1">'JACOBIAN - OIS USDOIS'!S17</f>
        <v>0</v>
      </c>
      <c r="BJ8" s="161">
        <f ca="1">'JACOBIAN - OIS USDOIS'!T17</f>
        <v>0</v>
      </c>
      <c r="BK8" s="161">
        <f ca="1">'JACOBIAN - OIS USDOIS'!U17</f>
        <v>0</v>
      </c>
      <c r="BL8" s="161">
        <f ca="1">'JACOBIAN - OIS USDOIS'!V17</f>
        <v>0</v>
      </c>
      <c r="BM8" s="161">
        <f ca="1">'JACOBIAN - OIS USDOIS'!W17</f>
        <v>0</v>
      </c>
      <c r="BN8" s="161">
        <f ca="1">'JACOBIAN - OIS USDOIS'!X17</f>
        <v>0</v>
      </c>
      <c r="BO8" s="161">
        <f ca="1">'JACOBIAN - OIS USDOIS'!Y17</f>
        <v>0</v>
      </c>
      <c r="BP8" s="161">
        <f ca="1">'JACOBIAN - OIS USDOIS'!Z17</f>
        <v>0</v>
      </c>
      <c r="BQ8" s="161">
        <f ca="1">'JACOBIAN - OIS USDOIS'!AA17</f>
        <v>0</v>
      </c>
      <c r="BR8" s="161">
        <f ca="1">'JACOBIAN - OIS USDOIS'!AB17</f>
        <v>0</v>
      </c>
      <c r="BS8" s="161">
        <f ca="1">'JACOBIAN - OIS USDOIS'!AC17</f>
        <v>0</v>
      </c>
      <c r="BT8" s="161">
        <f ca="1">'JACOBIAN - OIS USDOIS'!AD17</f>
        <v>0</v>
      </c>
      <c r="BU8">
        <f ca="1">'JACOBIAN - OIS USDOIS'!AE17</f>
        <v>0</v>
      </c>
      <c r="BV8">
        <f ca="1">'JACOBIAN - OIS USDOIS'!AF17</f>
        <v>0</v>
      </c>
      <c r="BW8">
        <f ca="1">'JACOBIAN - OIS USDOIS'!AG17</f>
        <v>0</v>
      </c>
      <c r="BX8">
        <f ca="1">'JACOBIAN - OIS USDOIS'!AH17</f>
        <v>0</v>
      </c>
      <c r="BY8">
        <f ca="1">'JACOBIAN - OIS USDOIS'!AI17</f>
        <v>0</v>
      </c>
      <c r="BZ8">
        <f ca="1">'JACOBIAN - OIS USDOIS'!AJ17</f>
        <v>0</v>
      </c>
      <c r="CA8">
        <f ca="1">'JACOBIAN - OIS USDOIS'!AK17</f>
        <v>0</v>
      </c>
      <c r="CB8">
        <f ca="1">'JACOBIAN - OIS USDOIS'!AL17</f>
        <v>0</v>
      </c>
      <c r="CC8">
        <f ca="1">'JACOBIAN - OIS USDOIS'!AM17</f>
        <v>0</v>
      </c>
      <c r="CD8">
        <f ca="1">'JACOBIAN - OIS USDOIS'!AN17</f>
        <v>0</v>
      </c>
      <c r="CE8">
        <f ca="1">'JACOBIAN - OIS USDOIS'!AO17</f>
        <v>0</v>
      </c>
      <c r="CF8">
        <f ca="1">'JACOBIAN - OIS USDOIS'!AP17</f>
        <v>0</v>
      </c>
      <c r="CK8" s="248">
        <f t="shared" ca="1" si="5"/>
        <v>43815</v>
      </c>
      <c r="CL8">
        <f t="shared" ca="1" si="6"/>
        <v>-8.3311740295410896E-7</v>
      </c>
      <c r="CM8">
        <f t="shared" ca="1" si="7"/>
        <v>0</v>
      </c>
      <c r="CN8">
        <f t="shared" ca="1" si="8"/>
        <v>0</v>
      </c>
      <c r="CO8">
        <f t="shared" ca="1" si="9"/>
        <v>0</v>
      </c>
      <c r="CP8">
        <f t="shared" ca="1" si="10"/>
        <v>0</v>
      </c>
      <c r="CQ8">
        <f t="shared" ca="1" si="11"/>
        <v>0</v>
      </c>
      <c r="CR8">
        <f t="shared" ca="1" si="12"/>
        <v>0</v>
      </c>
      <c r="CS8">
        <f t="shared" ca="1" si="13"/>
        <v>0</v>
      </c>
      <c r="CT8">
        <f t="shared" ca="1" si="14"/>
        <v>0</v>
      </c>
      <c r="CU8">
        <f t="shared" ca="1" si="15"/>
        <v>0</v>
      </c>
      <c r="CV8">
        <f t="shared" ca="1" si="16"/>
        <v>0</v>
      </c>
      <c r="CW8">
        <f t="shared" ca="1" si="17"/>
        <v>0</v>
      </c>
      <c r="CX8">
        <f t="shared" ca="1" si="18"/>
        <v>0</v>
      </c>
      <c r="CY8">
        <f t="shared" ca="1" si="19"/>
        <v>0</v>
      </c>
      <c r="CZ8">
        <f t="shared" ca="1" si="20"/>
        <v>0</v>
      </c>
      <c r="DA8">
        <f t="shared" ca="1" si="21"/>
        <v>0</v>
      </c>
      <c r="DB8" s="146">
        <v>0</v>
      </c>
      <c r="DC8" s="146">
        <v>0</v>
      </c>
      <c r="DD8" s="146">
        <v>0</v>
      </c>
      <c r="DE8" s="146">
        <v>0</v>
      </c>
      <c r="DF8" s="146">
        <v>0</v>
      </c>
      <c r="DG8" s="146">
        <v>0</v>
      </c>
      <c r="DH8" s="146">
        <v>0</v>
      </c>
      <c r="DI8" s="146">
        <v>0</v>
      </c>
      <c r="DJ8" s="146">
        <v>0</v>
      </c>
      <c r="DK8" s="146">
        <v>0</v>
      </c>
      <c r="DL8" s="146">
        <v>0</v>
      </c>
      <c r="DM8" s="146">
        <v>0</v>
      </c>
      <c r="DN8">
        <f t="shared" ca="1" si="22"/>
        <v>0</v>
      </c>
      <c r="DO8">
        <f t="shared" ca="1" si="23"/>
        <v>0</v>
      </c>
      <c r="DP8">
        <f t="shared" ca="1" si="24"/>
        <v>0</v>
      </c>
      <c r="DQ8">
        <f t="shared" ca="1" si="25"/>
        <v>0</v>
      </c>
      <c r="DR8">
        <f t="shared" ca="1" si="26"/>
        <v>0</v>
      </c>
      <c r="DS8">
        <f t="shared" ca="1" si="27"/>
        <v>0</v>
      </c>
      <c r="DT8">
        <f t="shared" ca="1" si="28"/>
        <v>0</v>
      </c>
      <c r="DU8">
        <f t="shared" ca="1" si="29"/>
        <v>0</v>
      </c>
      <c r="DV8">
        <f t="shared" ca="1" si="30"/>
        <v>0</v>
      </c>
      <c r="DW8">
        <f t="shared" ca="1" si="31"/>
        <v>0</v>
      </c>
      <c r="DX8">
        <f t="shared" ca="1" si="32"/>
        <v>0</v>
      </c>
      <c r="DY8">
        <f t="shared" ca="1" si="33"/>
        <v>0</v>
      </c>
      <c r="EA8" s="278" t="str">
        <f ca="1"/>
        <v>OIS_2W</v>
      </c>
      <c r="EB8" s="277">
        <f ca="1"/>
        <v>2.6281380128297626E-4</v>
      </c>
      <c r="EC8" s="171"/>
      <c r="ED8" s="248">
        <f ca="1">'JACOBIAN - SWAP USD3ML'!B17</f>
        <v>43815</v>
      </c>
      <c r="EE8">
        <f ca="1">'JACOBIAN - SWAP USD3ML'!C17</f>
        <v>1.1041030665535901E-6</v>
      </c>
      <c r="EF8">
        <f ca="1">'JACOBIAN - SWAP USD3ML'!D17</f>
        <v>9.9999567107811994E-5</v>
      </c>
      <c r="EG8">
        <f ca="1">'JACOBIAN - SWAP USD3ML'!E17</f>
        <v>0</v>
      </c>
      <c r="EH8">
        <f ca="1">'JACOBIAN - SWAP USD3ML'!F17</f>
        <v>0</v>
      </c>
      <c r="EI8">
        <f ca="1">'JACOBIAN - SWAP USD3ML'!G17</f>
        <v>-1.10404177931789E-6</v>
      </c>
      <c r="EJ8">
        <f ca="1">'JACOBIAN - SWAP USD3ML'!H17</f>
        <v>0</v>
      </c>
      <c r="EK8">
        <f ca="1">'JACOBIAN - SWAP USD3ML'!I17</f>
        <v>0</v>
      </c>
      <c r="EL8">
        <f ca="1">'JACOBIAN - SWAP USD3ML'!J17</f>
        <v>0</v>
      </c>
      <c r="EM8">
        <f ca="1">'JACOBIAN - SWAP USD3ML'!K17</f>
        <v>0</v>
      </c>
      <c r="EN8">
        <f ca="1">'JACOBIAN - SWAP USD3ML'!L17</f>
        <v>0</v>
      </c>
      <c r="EO8">
        <f ca="1">'JACOBIAN - SWAP USD3ML'!M17</f>
        <v>0</v>
      </c>
      <c r="EP8">
        <f ca="1">'JACOBIAN - SWAP USD3ML'!N17</f>
        <v>0</v>
      </c>
      <c r="EQ8">
        <f ca="1">'JACOBIAN - SWAP USD3ML'!O17</f>
        <v>0</v>
      </c>
      <c r="ER8">
        <f ca="1">'JACOBIAN - SWAP USD3ML'!P17</f>
        <v>0</v>
      </c>
      <c r="ES8">
        <f ca="1">'JACOBIAN - SWAP USD3ML'!Q17</f>
        <v>0</v>
      </c>
      <c r="ET8">
        <f ca="1">'JACOBIAN - SWAP USD3ML'!R17</f>
        <v>0</v>
      </c>
      <c r="EU8">
        <f ca="1">'JACOBIAN - SWAP USD3ML'!S17</f>
        <v>0</v>
      </c>
      <c r="EV8">
        <f ca="1">'JACOBIAN - SWAP USD3ML'!T17</f>
        <v>0</v>
      </c>
      <c r="EW8">
        <f ca="1">'JACOBIAN - SWAP USD3ML'!U17</f>
        <v>0</v>
      </c>
      <c r="EX8">
        <f ca="1">'JACOBIAN - SWAP USD3ML'!V17</f>
        <v>0</v>
      </c>
      <c r="EY8">
        <f ca="1">'JACOBIAN - SWAP USD3ML'!W17</f>
        <v>0</v>
      </c>
      <c r="EZ8">
        <f ca="1">'JACOBIAN - SWAP USD3ML'!X17</f>
        <v>0</v>
      </c>
      <c r="FA8">
        <f ca="1">'JACOBIAN - SWAP USD3ML'!Y17</f>
        <v>0</v>
      </c>
      <c r="FB8">
        <f ca="1">'JACOBIAN - SWAP USD3ML'!Z17</f>
        <v>0</v>
      </c>
      <c r="FD8" s="146" t="str">
        <f ca="1"/>
        <v>LIBORFIXING_6M</v>
      </c>
      <c r="FE8" s="280">
        <f ca="1"/>
        <v>2.8845700669032328E-5</v>
      </c>
      <c r="FF8" s="171"/>
      <c r="FH8" s="11" t="str">
        <f ca="1"/>
        <v>USDYC.OIS.OUTRIGHTOISSWAP.2W</v>
      </c>
      <c r="FI8" s="275">
        <f ca="1"/>
        <v>7.7943950600456446E-3</v>
      </c>
      <c r="FJ8" s="11" t="str">
        <f ca="1"/>
        <v>USDYC.STD.LIBOR.1M</v>
      </c>
      <c r="FK8" s="275">
        <f ca="1"/>
        <v>7.5910094892606139E-3</v>
      </c>
      <c r="FL8" s="11" t="e">
        <f ca="1"/>
        <v>#N/A</v>
      </c>
    </row>
    <row r="9" spans="2:168" x14ac:dyDescent="0.25">
      <c r="B9" s="133" t="s">
        <v>259</v>
      </c>
      <c r="F9" s="6">
        <f ca="1"/>
        <v>43999</v>
      </c>
      <c r="G9" s="9">
        <f ca="1"/>
        <v>44182</v>
      </c>
      <c r="H9" s="9">
        <f ca="1"/>
        <v>183</v>
      </c>
      <c r="I9" s="255">
        <f ca="1"/>
        <v>0.5</v>
      </c>
      <c r="J9" s="269">
        <f ca="1"/>
        <v>44182</v>
      </c>
      <c r="K9" s="254">
        <f ca="1"/>
        <v>-1000000</v>
      </c>
      <c r="L9" s="58">
        <f ca="1"/>
        <v>0</v>
      </c>
      <c r="M9" s="9">
        <f ca="1"/>
        <v>1</v>
      </c>
      <c r="N9" s="9">
        <f ca="1"/>
        <v>0.01</v>
      </c>
      <c r="O9" s="264">
        <f ca="1"/>
        <v>-5000</v>
      </c>
      <c r="P9" s="9">
        <f ca="1"/>
        <v>0.985326973703886</v>
      </c>
      <c r="Q9" s="9">
        <f ca="1"/>
        <v>-4926.6348685194298</v>
      </c>
      <c r="R9" s="9" t="str">
        <f ca="1"/>
        <v/>
      </c>
      <c r="S9" s="9" t="str">
        <f ca="1"/>
        <v/>
      </c>
      <c r="T9" s="9" t="str">
        <f ca="1"/>
        <v/>
      </c>
      <c r="U9" s="12" t="str">
        <f ca="1"/>
        <v/>
      </c>
      <c r="V9" s="252">
        <f t="shared" ca="1" si="34"/>
        <v>-492663.48685194302</v>
      </c>
      <c r="X9" s="258">
        <f t="shared" ca="1" si="0"/>
        <v>43816</v>
      </c>
      <c r="Y9" s="261">
        <v>0</v>
      </c>
      <c r="AA9" s="257">
        <f t="shared" ca="1" si="35"/>
        <v>43816</v>
      </c>
      <c r="AB9" s="266">
        <f t="shared" ca="1" si="2"/>
        <v>-1.1107992133885201E-6</v>
      </c>
      <c r="AC9" s="266"/>
      <c r="AD9" s="290">
        <f ca="1"/>
        <v>43816</v>
      </c>
      <c r="AE9" s="291">
        <f ca="1"/>
        <v>-1.1107992133885247E-6</v>
      </c>
      <c r="AF9" s="291" t="b">
        <f t="shared" ca="1" si="36"/>
        <v>1</v>
      </c>
      <c r="AH9" s="257">
        <f t="shared" ca="1" si="3"/>
        <v>43816</v>
      </c>
      <c r="AI9" s="260">
        <v>0</v>
      </c>
      <c r="AK9" s="290">
        <f ca="1"/>
        <v>43816</v>
      </c>
      <c r="AL9" s="291">
        <f ca="1"/>
        <v>1.000000000002145E-4</v>
      </c>
      <c r="AM9" s="291" t="b">
        <f t="shared" ca="1" si="4"/>
        <v>1</v>
      </c>
      <c r="AO9" s="257">
        <f t="shared" ca="1" si="37"/>
        <v>43816</v>
      </c>
      <c r="AP9" s="266">
        <f t="shared" ca="1" si="38"/>
        <v>1.00000000000215E-4</v>
      </c>
      <c r="AR9" s="248">
        <f ca="1">'JACOBIAN - OIS USDOIS'!B18</f>
        <v>43816</v>
      </c>
      <c r="AS9">
        <f ca="1">'JACOBIAN - OIS USDOIS'!C18</f>
        <v>-1.1107992133885201E-6</v>
      </c>
      <c r="AT9">
        <f ca="1">'JACOBIAN - OIS USDOIS'!D18</f>
        <v>0</v>
      </c>
      <c r="AU9">
        <f ca="1">'JACOBIAN - OIS USDOIS'!E18</f>
        <v>0</v>
      </c>
      <c r="AV9">
        <f ca="1">'JACOBIAN - OIS USDOIS'!F18</f>
        <v>0</v>
      </c>
      <c r="AW9">
        <f ca="1">'JACOBIAN - OIS USDOIS'!G18</f>
        <v>0</v>
      </c>
      <c r="AX9">
        <f ca="1">'JACOBIAN - OIS USDOIS'!H18</f>
        <v>0</v>
      </c>
      <c r="AY9">
        <f ca="1">'JACOBIAN - OIS USDOIS'!I18</f>
        <v>0</v>
      </c>
      <c r="AZ9">
        <f ca="1">'JACOBIAN - OIS USDOIS'!J18</f>
        <v>0</v>
      </c>
      <c r="BA9">
        <f ca="1">'JACOBIAN - OIS USDOIS'!K18</f>
        <v>0</v>
      </c>
      <c r="BB9">
        <f ca="1">'JACOBIAN - OIS USDOIS'!L18</f>
        <v>0</v>
      </c>
      <c r="BC9">
        <f ca="1">'JACOBIAN - OIS USDOIS'!M18</f>
        <v>0</v>
      </c>
      <c r="BD9">
        <f ca="1">'JACOBIAN - OIS USDOIS'!N18</f>
        <v>0</v>
      </c>
      <c r="BE9">
        <f ca="1">'JACOBIAN - OIS USDOIS'!O18</f>
        <v>0</v>
      </c>
      <c r="BF9">
        <f ca="1">'JACOBIAN - OIS USDOIS'!P18</f>
        <v>0</v>
      </c>
      <c r="BG9">
        <f ca="1">'JACOBIAN - OIS USDOIS'!Q18</f>
        <v>0</v>
      </c>
      <c r="BH9">
        <f ca="1">'JACOBIAN - OIS USDOIS'!R18</f>
        <v>0</v>
      </c>
      <c r="BI9" s="161">
        <f ca="1">'JACOBIAN - OIS USDOIS'!S18</f>
        <v>0</v>
      </c>
      <c r="BJ9" s="161">
        <f ca="1">'JACOBIAN - OIS USDOIS'!T18</f>
        <v>0</v>
      </c>
      <c r="BK9" s="161">
        <f ca="1">'JACOBIAN - OIS USDOIS'!U18</f>
        <v>0</v>
      </c>
      <c r="BL9" s="161">
        <f ca="1">'JACOBIAN - OIS USDOIS'!V18</f>
        <v>0</v>
      </c>
      <c r="BM9" s="161">
        <f ca="1">'JACOBIAN - OIS USDOIS'!W18</f>
        <v>0</v>
      </c>
      <c r="BN9" s="161">
        <f ca="1">'JACOBIAN - OIS USDOIS'!X18</f>
        <v>0</v>
      </c>
      <c r="BO9" s="161">
        <f ca="1">'JACOBIAN - OIS USDOIS'!Y18</f>
        <v>0</v>
      </c>
      <c r="BP9" s="161">
        <f ca="1">'JACOBIAN - OIS USDOIS'!Z18</f>
        <v>0</v>
      </c>
      <c r="BQ9" s="161">
        <f ca="1">'JACOBIAN - OIS USDOIS'!AA18</f>
        <v>0</v>
      </c>
      <c r="BR9" s="161">
        <f ca="1">'JACOBIAN - OIS USDOIS'!AB18</f>
        <v>0</v>
      </c>
      <c r="BS9" s="161">
        <f ca="1">'JACOBIAN - OIS USDOIS'!AC18</f>
        <v>0</v>
      </c>
      <c r="BT9" s="161">
        <f ca="1">'JACOBIAN - OIS USDOIS'!AD18</f>
        <v>0</v>
      </c>
      <c r="BU9">
        <f ca="1">'JACOBIAN - OIS USDOIS'!AE18</f>
        <v>0</v>
      </c>
      <c r="BV9">
        <f ca="1">'JACOBIAN - OIS USDOIS'!AF18</f>
        <v>0</v>
      </c>
      <c r="BW9">
        <f ca="1">'JACOBIAN - OIS USDOIS'!AG18</f>
        <v>0</v>
      </c>
      <c r="BX9">
        <f ca="1">'JACOBIAN - OIS USDOIS'!AH18</f>
        <v>0</v>
      </c>
      <c r="BY9">
        <f ca="1">'JACOBIAN - OIS USDOIS'!AI18</f>
        <v>0</v>
      </c>
      <c r="BZ9">
        <f ca="1">'JACOBIAN - OIS USDOIS'!AJ18</f>
        <v>0</v>
      </c>
      <c r="CA9">
        <f ca="1">'JACOBIAN - OIS USDOIS'!AK18</f>
        <v>0</v>
      </c>
      <c r="CB9">
        <f ca="1">'JACOBIAN - OIS USDOIS'!AL18</f>
        <v>0</v>
      </c>
      <c r="CC9">
        <f ca="1">'JACOBIAN - OIS USDOIS'!AM18</f>
        <v>0</v>
      </c>
      <c r="CD9">
        <f ca="1">'JACOBIAN - OIS USDOIS'!AN18</f>
        <v>0</v>
      </c>
      <c r="CE9">
        <f ca="1">'JACOBIAN - OIS USDOIS'!AO18</f>
        <v>0</v>
      </c>
      <c r="CF9">
        <f ca="1">'JACOBIAN - OIS USDOIS'!AP18</f>
        <v>0</v>
      </c>
      <c r="CK9" s="248">
        <f t="shared" ca="1" si="5"/>
        <v>43816</v>
      </c>
      <c r="CL9">
        <f t="shared" ca="1" si="6"/>
        <v>-1.1107992133885201E-6</v>
      </c>
      <c r="CM9">
        <f t="shared" ca="1" si="7"/>
        <v>0</v>
      </c>
      <c r="CN9">
        <f t="shared" ca="1" si="8"/>
        <v>0</v>
      </c>
      <c r="CO9">
        <f t="shared" ca="1" si="9"/>
        <v>0</v>
      </c>
      <c r="CP9">
        <f t="shared" ca="1" si="10"/>
        <v>0</v>
      </c>
      <c r="CQ9">
        <f t="shared" ca="1" si="11"/>
        <v>0</v>
      </c>
      <c r="CR9">
        <f t="shared" ca="1" si="12"/>
        <v>0</v>
      </c>
      <c r="CS9">
        <f t="shared" ca="1" si="13"/>
        <v>0</v>
      </c>
      <c r="CT9">
        <f t="shared" ca="1" si="14"/>
        <v>0</v>
      </c>
      <c r="CU9">
        <f t="shared" ca="1" si="15"/>
        <v>0</v>
      </c>
      <c r="CV9">
        <f t="shared" ca="1" si="16"/>
        <v>0</v>
      </c>
      <c r="CW9">
        <f t="shared" ca="1" si="17"/>
        <v>0</v>
      </c>
      <c r="CX9">
        <f t="shared" ca="1" si="18"/>
        <v>0</v>
      </c>
      <c r="CY9">
        <f t="shared" ca="1" si="19"/>
        <v>0</v>
      </c>
      <c r="CZ9">
        <f t="shared" ca="1" si="20"/>
        <v>0</v>
      </c>
      <c r="DA9">
        <f t="shared" ca="1" si="21"/>
        <v>0</v>
      </c>
      <c r="DB9" s="146">
        <v>0</v>
      </c>
      <c r="DC9" s="146">
        <v>0</v>
      </c>
      <c r="DD9" s="146">
        <v>0</v>
      </c>
      <c r="DE9" s="146">
        <v>0</v>
      </c>
      <c r="DF9" s="146">
        <v>0</v>
      </c>
      <c r="DG9" s="146">
        <v>0</v>
      </c>
      <c r="DH9" s="146">
        <v>0</v>
      </c>
      <c r="DI9" s="146">
        <v>0</v>
      </c>
      <c r="DJ9" s="146">
        <v>0</v>
      </c>
      <c r="DK9" s="146">
        <v>0</v>
      </c>
      <c r="DL9" s="146">
        <v>0</v>
      </c>
      <c r="DM9" s="146">
        <v>0</v>
      </c>
      <c r="DN9">
        <f t="shared" ca="1" si="22"/>
        <v>0</v>
      </c>
      <c r="DO9">
        <f t="shared" ca="1" si="23"/>
        <v>0</v>
      </c>
      <c r="DP9">
        <f t="shared" ca="1" si="24"/>
        <v>0</v>
      </c>
      <c r="DQ9">
        <f t="shared" ca="1" si="25"/>
        <v>0</v>
      </c>
      <c r="DR9">
        <f t="shared" ca="1" si="26"/>
        <v>0</v>
      </c>
      <c r="DS9">
        <f t="shared" ca="1" si="27"/>
        <v>0</v>
      </c>
      <c r="DT9">
        <f t="shared" ca="1" si="28"/>
        <v>0</v>
      </c>
      <c r="DU9">
        <f t="shared" ca="1" si="29"/>
        <v>0</v>
      </c>
      <c r="DV9">
        <f t="shared" ca="1" si="30"/>
        <v>0</v>
      </c>
      <c r="DW9">
        <f t="shared" ca="1" si="31"/>
        <v>0</v>
      </c>
      <c r="DX9">
        <f t="shared" ca="1" si="32"/>
        <v>0</v>
      </c>
      <c r="DY9">
        <f t="shared" ca="1" si="33"/>
        <v>0</v>
      </c>
      <c r="EA9" s="278" t="str">
        <f ca="1"/>
        <v>OIS_3W</v>
      </c>
      <c r="EB9" s="277">
        <f ca="1"/>
        <v>-6.9229569101292082E-4</v>
      </c>
      <c r="EC9" s="171"/>
      <c r="ED9" s="248">
        <f ca="1">'JACOBIAN - SWAP USD3ML'!B18</f>
        <v>43816</v>
      </c>
      <c r="EE9">
        <f ca="1">'JACOBIAN - SWAP USD3ML'!C18</f>
        <v>0</v>
      </c>
      <c r="EF9">
        <f ca="1">'JACOBIAN - SWAP USD3ML'!D18</f>
        <v>1.00000000000215E-4</v>
      </c>
      <c r="EG9">
        <f ca="1">'JACOBIAN - SWAP USD3ML'!E18</f>
        <v>0</v>
      </c>
      <c r="EH9">
        <f ca="1">'JACOBIAN - SWAP USD3ML'!F18</f>
        <v>0</v>
      </c>
      <c r="EI9">
        <f ca="1">'JACOBIAN - SWAP USD3ML'!G18</f>
        <v>0</v>
      </c>
      <c r="EJ9">
        <f ca="1">'JACOBIAN - SWAP USD3ML'!H18</f>
        <v>0</v>
      </c>
      <c r="EK9">
        <f ca="1">'JACOBIAN - SWAP USD3ML'!I18</f>
        <v>0</v>
      </c>
      <c r="EL9">
        <f ca="1">'JACOBIAN - SWAP USD3ML'!J18</f>
        <v>0</v>
      </c>
      <c r="EM9">
        <f ca="1">'JACOBIAN - SWAP USD3ML'!K18</f>
        <v>0</v>
      </c>
      <c r="EN9">
        <f ca="1">'JACOBIAN - SWAP USD3ML'!L18</f>
        <v>0</v>
      </c>
      <c r="EO9">
        <f ca="1">'JACOBIAN - SWAP USD3ML'!M18</f>
        <v>0</v>
      </c>
      <c r="EP9">
        <f ca="1">'JACOBIAN - SWAP USD3ML'!N18</f>
        <v>0</v>
      </c>
      <c r="EQ9">
        <f ca="1">'JACOBIAN - SWAP USD3ML'!O18</f>
        <v>0</v>
      </c>
      <c r="ER9">
        <f ca="1">'JACOBIAN - SWAP USD3ML'!P18</f>
        <v>0</v>
      </c>
      <c r="ES9">
        <f ca="1">'JACOBIAN - SWAP USD3ML'!Q18</f>
        <v>0</v>
      </c>
      <c r="ET9">
        <f ca="1">'JACOBIAN - SWAP USD3ML'!R18</f>
        <v>0</v>
      </c>
      <c r="EU9">
        <f ca="1">'JACOBIAN - SWAP USD3ML'!S18</f>
        <v>0</v>
      </c>
      <c r="EV9">
        <f ca="1">'JACOBIAN - SWAP USD3ML'!T18</f>
        <v>0</v>
      </c>
      <c r="EW9">
        <f ca="1">'JACOBIAN - SWAP USD3ML'!U18</f>
        <v>0</v>
      </c>
      <c r="EX9">
        <f ca="1">'JACOBIAN - SWAP USD3ML'!V18</f>
        <v>0</v>
      </c>
      <c r="EY9">
        <f ca="1">'JACOBIAN - SWAP USD3ML'!W18</f>
        <v>0</v>
      </c>
      <c r="EZ9">
        <f ca="1">'JACOBIAN - SWAP USD3ML'!X18</f>
        <v>0</v>
      </c>
      <c r="FA9">
        <f ca="1">'JACOBIAN - SWAP USD3ML'!Y18</f>
        <v>0</v>
      </c>
      <c r="FB9">
        <f ca="1">'JACOBIAN - SWAP USD3ML'!Z18</f>
        <v>0</v>
      </c>
      <c r="FD9" s="146" t="str">
        <f ca="1"/>
        <v>LIBORFIXING_12M</v>
      </c>
      <c r="FE9" s="280">
        <f ca="1"/>
        <v>1.4923468737282978E-6</v>
      </c>
      <c r="FF9" s="171" t="s">
        <v>268</v>
      </c>
      <c r="FH9" s="11" t="str">
        <f ca="1"/>
        <v>USDYC.OIS.OUTRIGHTOISSWAP.3W</v>
      </c>
      <c r="FI9" s="275">
        <f ca="1"/>
        <v>7.0533562393393368E-3</v>
      </c>
      <c r="FJ9" s="11" t="str">
        <f ca="1"/>
        <v>USDYC.STD.LIBOR.3M</v>
      </c>
      <c r="FK9" s="275">
        <f ca="1"/>
        <v>7.582419493701309E-3</v>
      </c>
      <c r="FL9" s="11" t="e">
        <f ca="1"/>
        <v>#N/A</v>
      </c>
    </row>
    <row r="10" spans="2:168" x14ac:dyDescent="0.25">
      <c r="B10" t="s">
        <v>271</v>
      </c>
      <c r="C10" s="246">
        <f ca="1">_xll.meLWOSwapPV(C6,C7)</f>
        <v>28725.216372150207</v>
      </c>
      <c r="F10" s="6">
        <f ca="1"/>
        <v>44182</v>
      </c>
      <c r="G10" s="9">
        <f ca="1"/>
        <v>44364</v>
      </c>
      <c r="H10" s="9">
        <f ca="1"/>
        <v>182</v>
      </c>
      <c r="I10" s="255">
        <f ca="1"/>
        <v>0.5</v>
      </c>
      <c r="J10" s="269">
        <f ca="1"/>
        <v>44364</v>
      </c>
      <c r="K10" s="254">
        <f ca="1"/>
        <v>-1000000</v>
      </c>
      <c r="L10" s="58">
        <f ca="1"/>
        <v>0</v>
      </c>
      <c r="M10" s="9">
        <f ca="1"/>
        <v>1</v>
      </c>
      <c r="N10" s="9">
        <f ca="1"/>
        <v>0.01</v>
      </c>
      <c r="O10" s="264">
        <f ca="1"/>
        <v>-5000</v>
      </c>
      <c r="P10" s="9">
        <f ca="1"/>
        <v>0.97912714892599195</v>
      </c>
      <c r="Q10" s="9">
        <f ca="1"/>
        <v>-4895.6357446299598</v>
      </c>
      <c r="R10" s="9" t="str">
        <f ca="1"/>
        <v/>
      </c>
      <c r="S10" s="9" t="str">
        <f ca="1"/>
        <v/>
      </c>
      <c r="T10" s="9" t="str">
        <f ca="1"/>
        <v/>
      </c>
      <c r="U10" s="12" t="str">
        <f ca="1"/>
        <v/>
      </c>
      <c r="V10" s="252">
        <f t="shared" ca="1" si="34"/>
        <v>-489563.57446299598</v>
      </c>
      <c r="X10" s="258">
        <f t="shared" ca="1" si="0"/>
        <v>43823</v>
      </c>
      <c r="Y10" s="261">
        <v>0</v>
      </c>
      <c r="AA10" s="257">
        <f t="shared" ca="1" si="35"/>
        <v>43823</v>
      </c>
      <c r="AB10" s="266">
        <f t="shared" ca="1" si="2"/>
        <v>-3.0534077747335101E-6</v>
      </c>
      <c r="AC10" s="266"/>
      <c r="AD10" s="290">
        <f ca="1"/>
        <v>43823</v>
      </c>
      <c r="AE10" s="291">
        <f ca="1"/>
        <v>-3.0534077747335076E-6</v>
      </c>
      <c r="AF10" s="291" t="b">
        <f t="shared" ca="1" si="36"/>
        <v>1</v>
      </c>
      <c r="AH10" s="257">
        <f t="shared" ca="1" si="3"/>
        <v>43817</v>
      </c>
      <c r="AI10" s="260">
        <f ca="1">V20</f>
        <v>251744.84512493876</v>
      </c>
      <c r="AK10" s="290">
        <f ca="1"/>
        <v>43817</v>
      </c>
      <c r="AL10" s="291">
        <f ca="1"/>
        <v>1.000000000002145E-4</v>
      </c>
      <c r="AM10" s="291" t="b">
        <f t="shared" ca="1" si="4"/>
        <v>1</v>
      </c>
      <c r="AO10" s="257">
        <f t="shared" ca="1" si="37"/>
        <v>43817</v>
      </c>
      <c r="AP10" s="266">
        <f t="shared" ca="1" si="38"/>
        <v>1.00000000000215E-4</v>
      </c>
      <c r="AR10" s="248">
        <f ca="1">'JACOBIAN - OIS USDOIS'!B19</f>
        <v>43823</v>
      </c>
      <c r="AS10">
        <f ca="1">'JACOBIAN - OIS USDOIS'!C19</f>
        <v>-1.1104664744410199E-6</v>
      </c>
      <c r="AT10">
        <f ca="1">'JACOBIAN - OIS USDOIS'!D19</f>
        <v>-1.9429413002924902E-6</v>
      </c>
      <c r="AU10">
        <f ca="1">'JACOBIAN - OIS USDOIS'!E19</f>
        <v>0</v>
      </c>
      <c r="AV10">
        <f ca="1">'JACOBIAN - OIS USDOIS'!F19</f>
        <v>0</v>
      </c>
      <c r="AW10">
        <f ca="1">'JACOBIAN - OIS USDOIS'!G19</f>
        <v>0</v>
      </c>
      <c r="AX10">
        <f ca="1">'JACOBIAN - OIS USDOIS'!H19</f>
        <v>0</v>
      </c>
      <c r="AY10">
        <f ca="1">'JACOBIAN - OIS USDOIS'!I19</f>
        <v>0</v>
      </c>
      <c r="AZ10">
        <f ca="1">'JACOBIAN - OIS USDOIS'!J19</f>
        <v>0</v>
      </c>
      <c r="BA10">
        <f ca="1">'JACOBIAN - OIS USDOIS'!K19</f>
        <v>0</v>
      </c>
      <c r="BB10">
        <f ca="1">'JACOBIAN - OIS USDOIS'!L19</f>
        <v>0</v>
      </c>
      <c r="BC10">
        <f ca="1">'JACOBIAN - OIS USDOIS'!M19</f>
        <v>0</v>
      </c>
      <c r="BD10">
        <f ca="1">'JACOBIAN - OIS USDOIS'!N19</f>
        <v>0</v>
      </c>
      <c r="BE10">
        <f ca="1">'JACOBIAN - OIS USDOIS'!O19</f>
        <v>0</v>
      </c>
      <c r="BF10">
        <f ca="1">'JACOBIAN - OIS USDOIS'!P19</f>
        <v>0</v>
      </c>
      <c r="BG10">
        <f ca="1">'JACOBIAN - OIS USDOIS'!Q19</f>
        <v>0</v>
      </c>
      <c r="BH10">
        <f ca="1">'JACOBIAN - OIS USDOIS'!R19</f>
        <v>0</v>
      </c>
      <c r="BI10" s="161">
        <f ca="1">'JACOBIAN - OIS USDOIS'!S19</f>
        <v>0</v>
      </c>
      <c r="BJ10" s="161">
        <f ca="1">'JACOBIAN - OIS USDOIS'!T19</f>
        <v>0</v>
      </c>
      <c r="BK10" s="161">
        <f ca="1">'JACOBIAN - OIS USDOIS'!U19</f>
        <v>0</v>
      </c>
      <c r="BL10" s="161">
        <f ca="1">'JACOBIAN - OIS USDOIS'!V19</f>
        <v>0</v>
      </c>
      <c r="BM10" s="161">
        <f ca="1">'JACOBIAN - OIS USDOIS'!W19</f>
        <v>0</v>
      </c>
      <c r="BN10" s="161">
        <f ca="1">'JACOBIAN - OIS USDOIS'!X19</f>
        <v>0</v>
      </c>
      <c r="BO10" s="161">
        <f ca="1">'JACOBIAN - OIS USDOIS'!Y19</f>
        <v>0</v>
      </c>
      <c r="BP10" s="161">
        <f ca="1">'JACOBIAN - OIS USDOIS'!Z19</f>
        <v>0</v>
      </c>
      <c r="BQ10" s="161">
        <f ca="1">'JACOBIAN - OIS USDOIS'!AA19</f>
        <v>0</v>
      </c>
      <c r="BR10" s="161">
        <f ca="1">'JACOBIAN - OIS USDOIS'!AB19</f>
        <v>0</v>
      </c>
      <c r="BS10" s="161">
        <f ca="1">'JACOBIAN - OIS USDOIS'!AC19</f>
        <v>0</v>
      </c>
      <c r="BT10" s="161">
        <f ca="1">'JACOBIAN - OIS USDOIS'!AD19</f>
        <v>0</v>
      </c>
      <c r="BU10">
        <f ca="1">'JACOBIAN - OIS USDOIS'!AE19</f>
        <v>0</v>
      </c>
      <c r="BV10">
        <f ca="1">'JACOBIAN - OIS USDOIS'!AF19</f>
        <v>0</v>
      </c>
      <c r="BW10">
        <f ca="1">'JACOBIAN - OIS USDOIS'!AG19</f>
        <v>0</v>
      </c>
      <c r="BX10">
        <f ca="1">'JACOBIAN - OIS USDOIS'!AH19</f>
        <v>0</v>
      </c>
      <c r="BY10">
        <f ca="1">'JACOBIAN - OIS USDOIS'!AI19</f>
        <v>0</v>
      </c>
      <c r="BZ10">
        <f ca="1">'JACOBIAN - OIS USDOIS'!AJ19</f>
        <v>0</v>
      </c>
      <c r="CA10">
        <f ca="1">'JACOBIAN - OIS USDOIS'!AK19</f>
        <v>0</v>
      </c>
      <c r="CB10">
        <f ca="1">'JACOBIAN - OIS USDOIS'!AL19</f>
        <v>0</v>
      </c>
      <c r="CC10">
        <f ca="1">'JACOBIAN - OIS USDOIS'!AM19</f>
        <v>0</v>
      </c>
      <c r="CD10">
        <f ca="1">'JACOBIAN - OIS USDOIS'!AN19</f>
        <v>0</v>
      </c>
      <c r="CE10">
        <f ca="1">'JACOBIAN - OIS USDOIS'!AO19</f>
        <v>0</v>
      </c>
      <c r="CF10">
        <f ca="1">'JACOBIAN - OIS USDOIS'!AP19</f>
        <v>0</v>
      </c>
      <c r="CK10" s="248">
        <f t="shared" ca="1" si="5"/>
        <v>43823</v>
      </c>
      <c r="CL10">
        <f t="shared" ca="1" si="6"/>
        <v>-1.1104664744410199E-6</v>
      </c>
      <c r="CM10">
        <f t="shared" ca="1" si="7"/>
        <v>-1.9429413002924902E-6</v>
      </c>
      <c r="CN10">
        <f t="shared" ca="1" si="8"/>
        <v>0</v>
      </c>
      <c r="CO10">
        <f t="shared" ca="1" si="9"/>
        <v>0</v>
      </c>
      <c r="CP10">
        <f t="shared" ca="1" si="10"/>
        <v>0</v>
      </c>
      <c r="CQ10">
        <f t="shared" ca="1" si="11"/>
        <v>0</v>
      </c>
      <c r="CR10">
        <f t="shared" ca="1" si="12"/>
        <v>0</v>
      </c>
      <c r="CS10">
        <f t="shared" ca="1" si="13"/>
        <v>0</v>
      </c>
      <c r="CT10">
        <f t="shared" ca="1" si="14"/>
        <v>0</v>
      </c>
      <c r="CU10">
        <f t="shared" ca="1" si="15"/>
        <v>0</v>
      </c>
      <c r="CV10">
        <f t="shared" ca="1" si="16"/>
        <v>0</v>
      </c>
      <c r="CW10">
        <f t="shared" ca="1" si="17"/>
        <v>0</v>
      </c>
      <c r="CX10">
        <f t="shared" ca="1" si="18"/>
        <v>0</v>
      </c>
      <c r="CY10">
        <f t="shared" ca="1" si="19"/>
        <v>0</v>
      </c>
      <c r="CZ10">
        <f t="shared" ca="1" si="20"/>
        <v>0</v>
      </c>
      <c r="DA10">
        <f t="shared" ca="1" si="21"/>
        <v>0</v>
      </c>
      <c r="DB10" s="146">
        <v>0</v>
      </c>
      <c r="DC10" s="146">
        <v>0</v>
      </c>
      <c r="DD10" s="146">
        <v>0</v>
      </c>
      <c r="DE10" s="146">
        <v>0</v>
      </c>
      <c r="DF10" s="146">
        <v>0</v>
      </c>
      <c r="DG10" s="146">
        <v>0</v>
      </c>
      <c r="DH10" s="146">
        <v>0</v>
      </c>
      <c r="DI10" s="146">
        <v>0</v>
      </c>
      <c r="DJ10" s="146">
        <v>0</v>
      </c>
      <c r="DK10" s="146">
        <v>0</v>
      </c>
      <c r="DL10" s="146">
        <v>0</v>
      </c>
      <c r="DM10" s="146">
        <v>0</v>
      </c>
      <c r="DN10">
        <f t="shared" ca="1" si="22"/>
        <v>0</v>
      </c>
      <c r="DO10">
        <f t="shared" ca="1" si="23"/>
        <v>0</v>
      </c>
      <c r="DP10">
        <f t="shared" ca="1" si="24"/>
        <v>0</v>
      </c>
      <c r="DQ10">
        <f t="shared" ca="1" si="25"/>
        <v>0</v>
      </c>
      <c r="DR10">
        <f t="shared" ca="1" si="26"/>
        <v>0</v>
      </c>
      <c r="DS10">
        <f t="shared" ca="1" si="27"/>
        <v>0</v>
      </c>
      <c r="DT10">
        <f t="shared" ca="1" si="28"/>
        <v>0</v>
      </c>
      <c r="DU10">
        <f t="shared" ca="1" si="29"/>
        <v>0</v>
      </c>
      <c r="DV10">
        <f t="shared" ca="1" si="30"/>
        <v>0</v>
      </c>
      <c r="DW10">
        <f t="shared" ca="1" si="31"/>
        <v>0</v>
      </c>
      <c r="DX10">
        <f t="shared" ca="1" si="32"/>
        <v>0</v>
      </c>
      <c r="DY10">
        <f t="shared" ca="1" si="33"/>
        <v>0</v>
      </c>
      <c r="EA10" s="278" t="str">
        <f ca="1"/>
        <v>OIS_1M</v>
      </c>
      <c r="EB10" s="277">
        <f ca="1"/>
        <v>8.9110526495992813E-4</v>
      </c>
      <c r="EC10" s="171"/>
      <c r="ED10" s="248">
        <f ca="1">'JACOBIAN - SWAP USD3ML'!B19</f>
        <v>43817</v>
      </c>
      <c r="EE10">
        <f ca="1">'JACOBIAN - SWAP USD3ML'!C19</f>
        <v>0</v>
      </c>
      <c r="EF10">
        <f ca="1">'JACOBIAN - SWAP USD3ML'!D19</f>
        <v>0</v>
      </c>
      <c r="EG10">
        <f ca="1">'JACOBIAN - SWAP USD3ML'!E19</f>
        <v>0</v>
      </c>
      <c r="EH10">
        <f ca="1">'JACOBIAN - SWAP USD3ML'!F19</f>
        <v>0</v>
      </c>
      <c r="EI10">
        <f ca="1">'JACOBIAN - SWAP USD3ML'!G19</f>
        <v>1.00000000000215E-4</v>
      </c>
      <c r="EJ10">
        <f ca="1">'JACOBIAN - SWAP USD3ML'!H19</f>
        <v>0</v>
      </c>
      <c r="EK10">
        <f ca="1">'JACOBIAN - SWAP USD3ML'!I19</f>
        <v>0</v>
      </c>
      <c r="EL10">
        <f ca="1">'JACOBIAN - SWAP USD3ML'!J19</f>
        <v>0</v>
      </c>
      <c r="EM10">
        <f ca="1">'JACOBIAN - SWAP USD3ML'!K19</f>
        <v>0</v>
      </c>
      <c r="EN10">
        <f ca="1">'JACOBIAN - SWAP USD3ML'!L19</f>
        <v>0</v>
      </c>
      <c r="EO10">
        <f ca="1">'JACOBIAN - SWAP USD3ML'!M19</f>
        <v>0</v>
      </c>
      <c r="EP10">
        <f ca="1">'JACOBIAN - SWAP USD3ML'!N19</f>
        <v>0</v>
      </c>
      <c r="EQ10">
        <f ca="1">'JACOBIAN - SWAP USD3ML'!O19</f>
        <v>0</v>
      </c>
      <c r="ER10">
        <f ca="1">'JACOBIAN - SWAP USD3ML'!P19</f>
        <v>0</v>
      </c>
      <c r="ES10">
        <f ca="1">'JACOBIAN - SWAP USD3ML'!Q19</f>
        <v>0</v>
      </c>
      <c r="ET10">
        <f ca="1">'JACOBIAN - SWAP USD3ML'!R19</f>
        <v>0</v>
      </c>
      <c r="EU10">
        <f ca="1">'JACOBIAN - SWAP USD3ML'!S19</f>
        <v>0</v>
      </c>
      <c r="EV10">
        <f ca="1">'JACOBIAN - SWAP USD3ML'!T19</f>
        <v>0</v>
      </c>
      <c r="EW10">
        <f ca="1">'JACOBIAN - SWAP USD3ML'!U19</f>
        <v>0</v>
      </c>
      <c r="EX10">
        <f ca="1">'JACOBIAN - SWAP USD3ML'!V19</f>
        <v>0</v>
      </c>
      <c r="EY10">
        <f ca="1">'JACOBIAN - SWAP USD3ML'!W19</f>
        <v>0</v>
      </c>
      <c r="EZ10">
        <f ca="1">'JACOBIAN - SWAP USD3ML'!X19</f>
        <v>0</v>
      </c>
      <c r="FA10">
        <f ca="1">'JACOBIAN - SWAP USD3ML'!Y19</f>
        <v>0</v>
      </c>
      <c r="FB10">
        <f ca="1">'JACOBIAN - SWAP USD3ML'!Z19</f>
        <v>0</v>
      </c>
      <c r="FD10" s="146" t="str">
        <f ca="1"/>
        <v>ED1 Comdty</v>
      </c>
      <c r="FE10" s="280">
        <f ca="1"/>
        <v>24.899049796555921</v>
      </c>
      <c r="FF10" s="171">
        <v>0</v>
      </c>
      <c r="FH10" s="11" t="str">
        <f ca="1"/>
        <v>USDYC.OIS.OUTRIGHTOISSWAP.1M</v>
      </c>
      <c r="FI10" s="275">
        <f ca="1"/>
        <v>8.2824692071881145E-3</v>
      </c>
      <c r="FJ10" s="11" t="str">
        <f ca="1"/>
        <v>USDYC.STD.LIBOR.6M</v>
      </c>
      <c r="FK10" s="275">
        <f ca="1"/>
        <v>7.5996096711605787E-3</v>
      </c>
      <c r="FL10" s="11" t="e">
        <f ca="1"/>
        <v>#N/A</v>
      </c>
    </row>
    <row r="11" spans="2:168" x14ac:dyDescent="0.25">
      <c r="B11" t="s">
        <v>256</v>
      </c>
      <c r="C11" s="246">
        <f ca="1">_xll.meLWOSwapAnnuity(C6,C7,"Leg1:Fixed")</f>
        <v>4816434.682773293</v>
      </c>
      <c r="F11" s="6">
        <f ca="1"/>
        <v>44364</v>
      </c>
      <c r="G11" s="9">
        <f ca="1"/>
        <v>44547</v>
      </c>
      <c r="H11" s="9">
        <f ca="1"/>
        <v>183</v>
      </c>
      <c r="I11" s="255">
        <f ca="1"/>
        <v>0.5</v>
      </c>
      <c r="J11" s="269">
        <f ca="1"/>
        <v>44547</v>
      </c>
      <c r="K11" s="254">
        <f ca="1"/>
        <v>-1000000</v>
      </c>
      <c r="L11" s="58">
        <f ca="1"/>
        <v>0</v>
      </c>
      <c r="M11" s="9">
        <f ca="1"/>
        <v>1</v>
      </c>
      <c r="N11" s="9">
        <f ca="1"/>
        <v>0.01</v>
      </c>
      <c r="O11" s="264">
        <f ca="1"/>
        <v>-5000</v>
      </c>
      <c r="P11" s="9">
        <f ca="1"/>
        <v>0.972938196565036</v>
      </c>
      <c r="Q11" s="9">
        <f ca="1"/>
        <v>-4864.6909828251801</v>
      </c>
      <c r="R11" s="9" t="str">
        <f ca="1"/>
        <v/>
      </c>
      <c r="S11" s="9" t="str">
        <f ca="1"/>
        <v/>
      </c>
      <c r="T11" s="9" t="str">
        <f ca="1"/>
        <v/>
      </c>
      <c r="U11" s="12" t="str">
        <f ca="1"/>
        <v/>
      </c>
      <c r="V11" s="252">
        <f t="shared" ca="1" si="34"/>
        <v>-486469.09828251798</v>
      </c>
      <c r="X11" s="258">
        <f t="shared" ca="1" si="0"/>
        <v>43830</v>
      </c>
      <c r="Y11" s="261">
        <v>0</v>
      </c>
      <c r="AA11" s="257">
        <f t="shared" ca="1" si="35"/>
        <v>43830</v>
      </c>
      <c r="AB11" s="266">
        <f t="shared" ca="1" si="2"/>
        <v>-4.9936371289138748E-6</v>
      </c>
      <c r="AC11" s="266"/>
      <c r="AD11" s="290">
        <f ca="1"/>
        <v>43830</v>
      </c>
      <c r="AE11" s="291">
        <f ca="1"/>
        <v>-4.9936371289138748E-6</v>
      </c>
      <c r="AF11" s="291" t="b">
        <f t="shared" ca="1" si="36"/>
        <v>1</v>
      </c>
      <c r="AH11" s="257">
        <f t="shared" ca="1" si="3"/>
        <v>43907</v>
      </c>
      <c r="AI11" s="260">
        <v>0</v>
      </c>
      <c r="AK11" s="290">
        <f ca="1"/>
        <v>43907</v>
      </c>
      <c r="AL11" s="291">
        <f ca="1"/>
        <v>1.0000439023230903E-4</v>
      </c>
      <c r="AM11" s="291" t="b">
        <f t="shared" ca="1" si="4"/>
        <v>1</v>
      </c>
      <c r="AO11" s="257">
        <f t="shared" ca="1" si="37"/>
        <v>43907</v>
      </c>
      <c r="AP11" s="266">
        <f t="shared" ca="1" si="38"/>
        <v>1.0000439023230905E-4</v>
      </c>
      <c r="AR11" s="248">
        <f ca="1">'JACOBIAN - OIS USDOIS'!B20</f>
        <v>43830</v>
      </c>
      <c r="AS11">
        <f ca="1">'JACOBIAN - OIS USDOIS'!C20</f>
        <v>-1.1101283258208E-6</v>
      </c>
      <c r="AT11">
        <f ca="1">'JACOBIAN - OIS USDOIS'!D20</f>
        <v>0</v>
      </c>
      <c r="AU11">
        <f ca="1">'JACOBIAN - OIS USDOIS'!E20</f>
        <v>-3.8835088308486502E-6</v>
      </c>
      <c r="AV11">
        <f ca="1">'JACOBIAN - OIS USDOIS'!F20</f>
        <v>1.1102230246251601E-15</v>
      </c>
      <c r="AW11">
        <f ca="1">'JACOBIAN - OIS USDOIS'!G20</f>
        <v>1.1102230246251601E-15</v>
      </c>
      <c r="AX11">
        <f ca="1">'JACOBIAN - OIS USDOIS'!H20</f>
        <v>1.1102230246251601E-15</v>
      </c>
      <c r="AY11">
        <f ca="1">'JACOBIAN - OIS USDOIS'!I20</f>
        <v>1.1102230246251601E-15</v>
      </c>
      <c r="AZ11">
        <f ca="1">'JACOBIAN - OIS USDOIS'!J20</f>
        <v>1.1102230246251601E-15</v>
      </c>
      <c r="BA11">
        <f ca="1">'JACOBIAN - OIS USDOIS'!K20</f>
        <v>1.1102230246251601E-15</v>
      </c>
      <c r="BB11">
        <f ca="1">'JACOBIAN - OIS USDOIS'!L20</f>
        <v>1.1102230246251601E-15</v>
      </c>
      <c r="BC11">
        <f ca="1">'JACOBIAN - OIS USDOIS'!M20</f>
        <v>1.1102230246251601E-15</v>
      </c>
      <c r="BD11">
        <f ca="1">'JACOBIAN - OIS USDOIS'!N20</f>
        <v>1.1102230246251601E-15</v>
      </c>
      <c r="BE11">
        <f ca="1">'JACOBIAN - OIS USDOIS'!O20</f>
        <v>1.1102230246251601E-15</v>
      </c>
      <c r="BF11">
        <f ca="1">'JACOBIAN - OIS USDOIS'!P20</f>
        <v>1.1102230246251601E-15</v>
      </c>
      <c r="BG11">
        <f ca="1">'JACOBIAN - OIS USDOIS'!Q20</f>
        <v>1.1102230246251601E-15</v>
      </c>
      <c r="BH11">
        <f ca="1">'JACOBIAN - OIS USDOIS'!R20</f>
        <v>1.1102230246251601E-15</v>
      </c>
      <c r="BI11" s="161">
        <f ca="1">'JACOBIAN - OIS USDOIS'!S20</f>
        <v>1.1102230246251601E-15</v>
      </c>
      <c r="BJ11" s="161">
        <f ca="1">'JACOBIAN - OIS USDOIS'!T20</f>
        <v>1.1102230246251601E-15</v>
      </c>
      <c r="BK11" s="161">
        <f ca="1">'JACOBIAN - OIS USDOIS'!U20</f>
        <v>1.1102230246251601E-15</v>
      </c>
      <c r="BL11" s="161">
        <f ca="1">'JACOBIAN - OIS USDOIS'!V20</f>
        <v>1.1102230246251601E-15</v>
      </c>
      <c r="BM11" s="161">
        <f ca="1">'JACOBIAN - OIS USDOIS'!W20</f>
        <v>1.1102230246251601E-15</v>
      </c>
      <c r="BN11" s="161">
        <f ca="1">'JACOBIAN - OIS USDOIS'!X20</f>
        <v>1.1102230246251601E-15</v>
      </c>
      <c r="BO11" s="161">
        <f ca="1">'JACOBIAN - OIS USDOIS'!Y20</f>
        <v>1.1102230246251601E-15</v>
      </c>
      <c r="BP11" s="161">
        <f ca="1">'JACOBIAN - OIS USDOIS'!Z20</f>
        <v>1.1102230246251601E-15</v>
      </c>
      <c r="BQ11" s="161">
        <f ca="1">'JACOBIAN - OIS USDOIS'!AA20</f>
        <v>1.1102230246251601E-15</v>
      </c>
      <c r="BR11" s="161">
        <f ca="1">'JACOBIAN - OIS USDOIS'!AB20</f>
        <v>1.1102230246251601E-15</v>
      </c>
      <c r="BS11" s="161">
        <f ca="1">'JACOBIAN - OIS USDOIS'!AC20</f>
        <v>1.1102230246251601E-15</v>
      </c>
      <c r="BT11" s="161">
        <f ca="1">'JACOBIAN - OIS USDOIS'!AD20</f>
        <v>1.1102230246251601E-15</v>
      </c>
      <c r="BU11">
        <f ca="1">'JACOBIAN - OIS USDOIS'!AE20</f>
        <v>1.1102230246251601E-15</v>
      </c>
      <c r="BV11">
        <f ca="1">'JACOBIAN - OIS USDOIS'!AF20</f>
        <v>1.1102230246251601E-15</v>
      </c>
      <c r="BW11">
        <f ca="1">'JACOBIAN - OIS USDOIS'!AG20</f>
        <v>1.1102230246251601E-15</v>
      </c>
      <c r="BX11">
        <f ca="1">'JACOBIAN - OIS USDOIS'!AH20</f>
        <v>1.1102230246251601E-15</v>
      </c>
      <c r="BY11">
        <f ca="1">'JACOBIAN - OIS USDOIS'!AI20</f>
        <v>1.1102230246251601E-15</v>
      </c>
      <c r="BZ11">
        <f ca="1">'JACOBIAN - OIS USDOIS'!AJ20</f>
        <v>1.1102230246251601E-15</v>
      </c>
      <c r="CA11">
        <f ca="1">'JACOBIAN - OIS USDOIS'!AK20</f>
        <v>1.1102230246251601E-15</v>
      </c>
      <c r="CB11">
        <f ca="1">'JACOBIAN - OIS USDOIS'!AL20</f>
        <v>1.1102230246251601E-15</v>
      </c>
      <c r="CC11">
        <f ca="1">'JACOBIAN - OIS USDOIS'!AM20</f>
        <v>1.1102230246251601E-15</v>
      </c>
      <c r="CD11">
        <f ca="1">'JACOBIAN - OIS USDOIS'!AN20</f>
        <v>1.1102230246251601E-15</v>
      </c>
      <c r="CE11">
        <f ca="1">'JACOBIAN - OIS USDOIS'!AO20</f>
        <v>1.1102230246251601E-15</v>
      </c>
      <c r="CF11">
        <f ca="1">'JACOBIAN - OIS USDOIS'!AP20</f>
        <v>1.1102230246251601E-15</v>
      </c>
      <c r="CK11" s="248">
        <f t="shared" ca="1" si="5"/>
        <v>43830</v>
      </c>
      <c r="CL11">
        <f t="shared" ca="1" si="6"/>
        <v>-1.1101283258208E-6</v>
      </c>
      <c r="CM11">
        <f t="shared" ca="1" si="7"/>
        <v>0</v>
      </c>
      <c r="CN11">
        <f t="shared" ca="1" si="8"/>
        <v>-3.8835088308486502E-6</v>
      </c>
      <c r="CO11">
        <f t="shared" ca="1" si="9"/>
        <v>1.1102230246251601E-15</v>
      </c>
      <c r="CP11">
        <f t="shared" ca="1" si="10"/>
        <v>1.1102230246251601E-15</v>
      </c>
      <c r="CQ11">
        <f t="shared" ca="1" si="11"/>
        <v>1.1102230246251601E-15</v>
      </c>
      <c r="CR11">
        <f t="shared" ca="1" si="12"/>
        <v>1.1102230246251601E-15</v>
      </c>
      <c r="CS11">
        <f t="shared" ca="1" si="13"/>
        <v>1.1102230246251601E-15</v>
      </c>
      <c r="CT11">
        <f t="shared" ca="1" si="14"/>
        <v>1.1102230246251601E-15</v>
      </c>
      <c r="CU11">
        <f t="shared" ca="1" si="15"/>
        <v>1.1102230246251601E-15</v>
      </c>
      <c r="CV11">
        <f t="shared" ca="1" si="16"/>
        <v>1.1102230246251601E-15</v>
      </c>
      <c r="CW11">
        <f t="shared" ca="1" si="17"/>
        <v>1.1102230246251601E-15</v>
      </c>
      <c r="CX11">
        <f t="shared" ca="1" si="18"/>
        <v>1.1102230246251601E-15</v>
      </c>
      <c r="CY11">
        <f t="shared" ca="1" si="19"/>
        <v>1.1102230246251601E-15</v>
      </c>
      <c r="CZ11">
        <f t="shared" ca="1" si="20"/>
        <v>1.1102230246251601E-15</v>
      </c>
      <c r="DA11">
        <f t="shared" ca="1" si="21"/>
        <v>1.1102230246251601E-15</v>
      </c>
      <c r="DB11" s="146">
        <v>0</v>
      </c>
      <c r="DC11" s="146">
        <v>0</v>
      </c>
      <c r="DD11" s="146">
        <v>0</v>
      </c>
      <c r="DE11" s="146">
        <v>0</v>
      </c>
      <c r="DF11" s="146">
        <v>0</v>
      </c>
      <c r="DG11" s="146">
        <v>0</v>
      </c>
      <c r="DH11" s="146">
        <v>0</v>
      </c>
      <c r="DI11" s="146">
        <v>0</v>
      </c>
      <c r="DJ11" s="146">
        <v>0</v>
      </c>
      <c r="DK11" s="146">
        <v>0</v>
      </c>
      <c r="DL11" s="146">
        <v>0</v>
      </c>
      <c r="DM11" s="146">
        <v>0</v>
      </c>
      <c r="DN11">
        <f t="shared" ca="1" si="22"/>
        <v>1.1102230246251601E-15</v>
      </c>
      <c r="DO11">
        <f t="shared" ca="1" si="23"/>
        <v>1.1102230246251601E-15</v>
      </c>
      <c r="DP11">
        <f t="shared" ca="1" si="24"/>
        <v>1.1102230246251601E-15</v>
      </c>
      <c r="DQ11">
        <f t="shared" ca="1" si="25"/>
        <v>1.1102230246251601E-15</v>
      </c>
      <c r="DR11">
        <f t="shared" ca="1" si="26"/>
        <v>1.1102230246251601E-15</v>
      </c>
      <c r="DS11">
        <f t="shared" ca="1" si="27"/>
        <v>1.1102230246251601E-15</v>
      </c>
      <c r="DT11">
        <f t="shared" ca="1" si="28"/>
        <v>1.1102230246251601E-15</v>
      </c>
      <c r="DU11">
        <f t="shared" ca="1" si="29"/>
        <v>1.1102230246251601E-15</v>
      </c>
      <c r="DV11">
        <f t="shared" ca="1" si="30"/>
        <v>1.1102230246251601E-15</v>
      </c>
      <c r="DW11">
        <f t="shared" ca="1" si="31"/>
        <v>1.1102230246251601E-15</v>
      </c>
      <c r="DX11">
        <f t="shared" ca="1" si="32"/>
        <v>1.1102230246251601E-15</v>
      </c>
      <c r="DY11">
        <f t="shared" ca="1" si="33"/>
        <v>1.1102230246251601E-15</v>
      </c>
      <c r="EA11" s="278" t="str">
        <f ca="1"/>
        <v>OIS_2M</v>
      </c>
      <c r="EB11" s="277">
        <f ca="1"/>
        <v>-2.0152631301806963E-3</v>
      </c>
      <c r="EC11" s="171"/>
      <c r="ED11" s="248">
        <f ca="1">'JACOBIAN - SWAP USD3ML'!B20</f>
        <v>43907</v>
      </c>
      <c r="EE11">
        <f ca="1">'JACOBIAN - SWAP USD3ML'!C20</f>
        <v>-8.7083118494035696E-16</v>
      </c>
      <c r="EF11">
        <f ca="1">'JACOBIAN - SWAP USD3ML'!D20</f>
        <v>-1.6899090807265299E-10</v>
      </c>
      <c r="EG11">
        <f ca="1">'JACOBIAN - SWAP USD3ML'!E20</f>
        <v>0</v>
      </c>
      <c r="EH11">
        <f ca="1">'JACOBIAN - SWAP USD3ML'!F20</f>
        <v>0</v>
      </c>
      <c r="EI11">
        <f ca="1">'JACOBIAN - SWAP USD3ML'!G20</f>
        <v>1.0863214658235499E-6</v>
      </c>
      <c r="EJ11">
        <f ca="1">'JACOBIAN - SWAP USD3ML'!H20</f>
        <v>9.8918237758264401E-5</v>
      </c>
      <c r="EK11">
        <f ca="1">'JACOBIAN - SWAP USD3ML'!I20</f>
        <v>0</v>
      </c>
      <c r="EL11">
        <f ca="1">'JACOBIAN - SWAP USD3ML'!J20</f>
        <v>0</v>
      </c>
      <c r="EM11">
        <f ca="1">'JACOBIAN - SWAP USD3ML'!K20</f>
        <v>0</v>
      </c>
      <c r="EN11">
        <f ca="1">'JACOBIAN - SWAP USD3ML'!L20</f>
        <v>0</v>
      </c>
      <c r="EO11">
        <f ca="1">'JACOBIAN - SWAP USD3ML'!M20</f>
        <v>0</v>
      </c>
      <c r="EP11">
        <f ca="1">'JACOBIAN - SWAP USD3ML'!N20</f>
        <v>0</v>
      </c>
      <c r="EQ11">
        <f ca="1">'JACOBIAN - SWAP USD3ML'!O20</f>
        <v>0</v>
      </c>
      <c r="ER11">
        <f ca="1">'JACOBIAN - SWAP USD3ML'!P20</f>
        <v>0</v>
      </c>
      <c r="ES11">
        <f ca="1">'JACOBIAN - SWAP USD3ML'!Q20</f>
        <v>0</v>
      </c>
      <c r="ET11">
        <f ca="1">'JACOBIAN - SWAP USD3ML'!R20</f>
        <v>0</v>
      </c>
      <c r="EU11">
        <f ca="1">'JACOBIAN - SWAP USD3ML'!S20</f>
        <v>0</v>
      </c>
      <c r="EV11">
        <f ca="1">'JACOBIAN - SWAP USD3ML'!T20</f>
        <v>0</v>
      </c>
      <c r="EW11">
        <f ca="1">'JACOBIAN - SWAP USD3ML'!U20</f>
        <v>0</v>
      </c>
      <c r="EX11">
        <f ca="1">'JACOBIAN - SWAP USD3ML'!V20</f>
        <v>0</v>
      </c>
      <c r="EY11">
        <f ca="1">'JACOBIAN - SWAP USD3ML'!W20</f>
        <v>0</v>
      </c>
      <c r="EZ11">
        <f ca="1">'JACOBIAN - SWAP USD3ML'!X20</f>
        <v>0</v>
      </c>
      <c r="FA11">
        <f ca="1">'JACOBIAN - SWAP USD3ML'!Y20</f>
        <v>0</v>
      </c>
      <c r="FB11">
        <f ca="1">'JACOBIAN - SWAP USD3ML'!Z20</f>
        <v>0</v>
      </c>
      <c r="FD11" s="146" t="str">
        <f ca="1"/>
        <v>ED2 Comdty</v>
      </c>
      <c r="FE11" s="280">
        <f ca="1"/>
        <v>-2.1360723429075801E-4</v>
      </c>
      <c r="FF11" s="171"/>
      <c r="FH11" s="11" t="str">
        <f ca="1"/>
        <v>USDYC.OIS.OUTRIGHTOISSWAP.2M</v>
      </c>
      <c r="FI11" s="275">
        <f ca="1"/>
        <v>6.0264348576311022E-3</v>
      </c>
      <c r="FJ11" s="11" t="str">
        <f ca="1"/>
        <v>USDYC.STD.LIBOR.12M</v>
      </c>
      <c r="FK11" s="275">
        <f ca="1"/>
        <v>7.5909469160251319E-3</v>
      </c>
      <c r="FL11" s="11" t="e">
        <f ca="1"/>
        <v>#N/A</v>
      </c>
    </row>
    <row r="12" spans="2:168" x14ac:dyDescent="0.25">
      <c r="B12" t="s">
        <v>257</v>
      </c>
      <c r="C12" s="247">
        <f ca="1">_xll.meLWOSwapPV01(C6,C7)</f>
        <v>481.6434682773293</v>
      </c>
      <c r="F12" s="6">
        <f ca="1"/>
        <v>44547</v>
      </c>
      <c r="G12" s="9">
        <f ca="1"/>
        <v>44729</v>
      </c>
      <c r="H12" s="9">
        <f ca="1"/>
        <v>182</v>
      </c>
      <c r="I12" s="255">
        <f ca="1"/>
        <v>0.5</v>
      </c>
      <c r="J12" s="269">
        <f ca="1"/>
        <v>44729</v>
      </c>
      <c r="K12" s="254">
        <f ca="1"/>
        <v>-1000000</v>
      </c>
      <c r="L12" s="58">
        <f ca="1"/>
        <v>0</v>
      </c>
      <c r="M12" s="9">
        <f ca="1"/>
        <v>1</v>
      </c>
      <c r="N12" s="9">
        <f ca="1"/>
        <v>0.01</v>
      </c>
      <c r="O12" s="264">
        <f ca="1"/>
        <v>-5000</v>
      </c>
      <c r="P12" s="9">
        <f ca="1"/>
        <v>0.96672676354467801</v>
      </c>
      <c r="Q12" s="9">
        <f ca="1"/>
        <v>-4833.6338177233902</v>
      </c>
      <c r="R12" s="9" t="str">
        <f ca="1"/>
        <v/>
      </c>
      <c r="S12" s="9" t="str">
        <f ca="1"/>
        <v/>
      </c>
      <c r="T12" s="9" t="str">
        <f ca="1"/>
        <v/>
      </c>
      <c r="U12" s="12" t="str">
        <f ca="1"/>
        <v/>
      </c>
      <c r="V12" s="252">
        <f t="shared" ca="1" si="34"/>
        <v>-483363.38177233899</v>
      </c>
      <c r="X12" s="258">
        <f t="shared" ca="1" si="0"/>
        <v>43837</v>
      </c>
      <c r="Y12" s="261">
        <v>0</v>
      </c>
      <c r="AA12" s="257">
        <f t="shared" ca="1" si="35"/>
        <v>43837</v>
      </c>
      <c r="AB12" s="266">
        <f t="shared" ca="1" si="2"/>
        <v>-6.9314318261737301E-6</v>
      </c>
      <c r="AC12" s="266"/>
      <c r="AD12" s="290">
        <f ca="1"/>
        <v>43837</v>
      </c>
      <c r="AE12" s="291">
        <f ca="1"/>
        <v>-6.9314318261737284E-6</v>
      </c>
      <c r="AF12" s="291" t="b">
        <f t="shared" ca="1" si="36"/>
        <v>1</v>
      </c>
      <c r="AH12" s="257">
        <f t="shared" ca="1" si="3"/>
        <v>43908</v>
      </c>
      <c r="AI12" s="260">
        <f ca="1">V21</f>
        <v>253549.23674361492</v>
      </c>
      <c r="AK12" s="290">
        <f ca="1"/>
        <v>43908</v>
      </c>
      <c r="AL12" s="291">
        <f ca="1"/>
        <v>1.0000033581463244E-4</v>
      </c>
      <c r="AM12" s="291" t="b">
        <f t="shared" ca="1" si="4"/>
        <v>1</v>
      </c>
      <c r="AO12" s="257">
        <f t="shared" ca="1" si="37"/>
        <v>43908</v>
      </c>
      <c r="AP12" s="266">
        <f t="shared" ca="1" si="38"/>
        <v>1.0000033581463241E-4</v>
      </c>
      <c r="AR12" s="248">
        <f ca="1">'JACOBIAN - OIS USDOIS'!B21</f>
        <v>43837</v>
      </c>
      <c r="AS12">
        <f ca="1">'JACOBIAN - OIS USDOIS'!C21</f>
        <v>-1.10978477763091E-6</v>
      </c>
      <c r="AT12">
        <f ca="1">'JACOBIAN - OIS USDOIS'!D21</f>
        <v>0</v>
      </c>
      <c r="AU12">
        <f ca="1">'JACOBIAN - OIS USDOIS'!E21</f>
        <v>0</v>
      </c>
      <c r="AV12">
        <f ca="1">'JACOBIAN - OIS USDOIS'!F21</f>
        <v>-5.8216470485428201E-6</v>
      </c>
      <c r="AW12">
        <f ca="1">'JACOBIAN - OIS USDOIS'!G21</f>
        <v>0</v>
      </c>
      <c r="AX12">
        <f ca="1">'JACOBIAN - OIS USDOIS'!H21</f>
        <v>0</v>
      </c>
      <c r="AY12">
        <f ca="1">'JACOBIAN - OIS USDOIS'!I21</f>
        <v>0</v>
      </c>
      <c r="AZ12">
        <f ca="1">'JACOBIAN - OIS USDOIS'!J21</f>
        <v>0</v>
      </c>
      <c r="BA12">
        <f ca="1">'JACOBIAN - OIS USDOIS'!K21</f>
        <v>0</v>
      </c>
      <c r="BB12">
        <f ca="1">'JACOBIAN - OIS USDOIS'!L21</f>
        <v>0</v>
      </c>
      <c r="BC12">
        <f ca="1">'JACOBIAN - OIS USDOIS'!M21</f>
        <v>0</v>
      </c>
      <c r="BD12">
        <f ca="1">'JACOBIAN - OIS USDOIS'!N21</f>
        <v>0</v>
      </c>
      <c r="BE12">
        <f ca="1">'JACOBIAN - OIS USDOIS'!O21</f>
        <v>0</v>
      </c>
      <c r="BF12">
        <f ca="1">'JACOBIAN - OIS USDOIS'!P21</f>
        <v>0</v>
      </c>
      <c r="BG12">
        <f ca="1">'JACOBIAN - OIS USDOIS'!Q21</f>
        <v>0</v>
      </c>
      <c r="BH12">
        <f ca="1">'JACOBIAN - OIS USDOIS'!R21</f>
        <v>0</v>
      </c>
      <c r="BI12" s="161">
        <f ca="1">'JACOBIAN - OIS USDOIS'!S21</f>
        <v>0</v>
      </c>
      <c r="BJ12" s="161">
        <f ca="1">'JACOBIAN - OIS USDOIS'!T21</f>
        <v>0</v>
      </c>
      <c r="BK12" s="161">
        <f ca="1">'JACOBIAN - OIS USDOIS'!U21</f>
        <v>0</v>
      </c>
      <c r="BL12" s="161">
        <f ca="1">'JACOBIAN - OIS USDOIS'!V21</f>
        <v>0</v>
      </c>
      <c r="BM12" s="161">
        <f ca="1">'JACOBIAN - OIS USDOIS'!W21</f>
        <v>0</v>
      </c>
      <c r="BN12" s="161">
        <f ca="1">'JACOBIAN - OIS USDOIS'!X21</f>
        <v>0</v>
      </c>
      <c r="BO12" s="161">
        <f ca="1">'JACOBIAN - OIS USDOIS'!Y21</f>
        <v>0</v>
      </c>
      <c r="BP12" s="161">
        <f ca="1">'JACOBIAN - OIS USDOIS'!Z21</f>
        <v>0</v>
      </c>
      <c r="BQ12" s="161">
        <f ca="1">'JACOBIAN - OIS USDOIS'!AA21</f>
        <v>0</v>
      </c>
      <c r="BR12" s="161">
        <f ca="1">'JACOBIAN - OIS USDOIS'!AB21</f>
        <v>0</v>
      </c>
      <c r="BS12" s="161">
        <f ca="1">'JACOBIAN - OIS USDOIS'!AC21</f>
        <v>0</v>
      </c>
      <c r="BT12" s="161">
        <f ca="1">'JACOBIAN - OIS USDOIS'!AD21</f>
        <v>0</v>
      </c>
      <c r="BU12">
        <f ca="1">'JACOBIAN - OIS USDOIS'!AE21</f>
        <v>0</v>
      </c>
      <c r="BV12">
        <f ca="1">'JACOBIAN - OIS USDOIS'!AF21</f>
        <v>0</v>
      </c>
      <c r="BW12">
        <f ca="1">'JACOBIAN - OIS USDOIS'!AG21</f>
        <v>0</v>
      </c>
      <c r="BX12">
        <f ca="1">'JACOBIAN - OIS USDOIS'!AH21</f>
        <v>0</v>
      </c>
      <c r="BY12">
        <f ca="1">'JACOBIAN - OIS USDOIS'!AI21</f>
        <v>0</v>
      </c>
      <c r="BZ12">
        <f ca="1">'JACOBIAN - OIS USDOIS'!AJ21</f>
        <v>0</v>
      </c>
      <c r="CA12">
        <f ca="1">'JACOBIAN - OIS USDOIS'!AK21</f>
        <v>0</v>
      </c>
      <c r="CB12">
        <f ca="1">'JACOBIAN - OIS USDOIS'!AL21</f>
        <v>0</v>
      </c>
      <c r="CC12">
        <f ca="1">'JACOBIAN - OIS USDOIS'!AM21</f>
        <v>0</v>
      </c>
      <c r="CD12">
        <f ca="1">'JACOBIAN - OIS USDOIS'!AN21</f>
        <v>0</v>
      </c>
      <c r="CE12">
        <f ca="1">'JACOBIAN - OIS USDOIS'!AO21</f>
        <v>0</v>
      </c>
      <c r="CF12">
        <f ca="1">'JACOBIAN - OIS USDOIS'!AP21</f>
        <v>0</v>
      </c>
      <c r="CK12" s="248">
        <f t="shared" ca="1" si="5"/>
        <v>43837</v>
      </c>
      <c r="CL12">
        <f t="shared" ca="1" si="6"/>
        <v>-1.10978477763091E-6</v>
      </c>
      <c r="CM12">
        <f t="shared" ca="1" si="7"/>
        <v>0</v>
      </c>
      <c r="CN12">
        <f t="shared" ca="1" si="8"/>
        <v>0</v>
      </c>
      <c r="CO12">
        <f t="shared" ca="1" si="9"/>
        <v>-5.8216470485428201E-6</v>
      </c>
      <c r="CP12">
        <f t="shared" ca="1" si="10"/>
        <v>0</v>
      </c>
      <c r="CQ12">
        <f t="shared" ca="1" si="11"/>
        <v>0</v>
      </c>
      <c r="CR12">
        <f t="shared" ca="1" si="12"/>
        <v>0</v>
      </c>
      <c r="CS12">
        <f t="shared" ca="1" si="13"/>
        <v>0</v>
      </c>
      <c r="CT12">
        <f t="shared" ca="1" si="14"/>
        <v>0</v>
      </c>
      <c r="CU12">
        <f t="shared" ca="1" si="15"/>
        <v>0</v>
      </c>
      <c r="CV12">
        <f t="shared" ca="1" si="16"/>
        <v>0</v>
      </c>
      <c r="CW12">
        <f t="shared" ca="1" si="17"/>
        <v>0</v>
      </c>
      <c r="CX12">
        <f t="shared" ca="1" si="18"/>
        <v>0</v>
      </c>
      <c r="CY12">
        <f t="shared" ca="1" si="19"/>
        <v>0</v>
      </c>
      <c r="CZ12">
        <f t="shared" ca="1" si="20"/>
        <v>0</v>
      </c>
      <c r="DA12">
        <f t="shared" ca="1" si="21"/>
        <v>0</v>
      </c>
      <c r="DB12" s="146">
        <v>0</v>
      </c>
      <c r="DC12" s="146">
        <v>0</v>
      </c>
      <c r="DD12" s="146">
        <v>0</v>
      </c>
      <c r="DE12" s="146">
        <v>0</v>
      </c>
      <c r="DF12" s="146">
        <v>0</v>
      </c>
      <c r="DG12" s="146">
        <v>0</v>
      </c>
      <c r="DH12" s="146">
        <v>0</v>
      </c>
      <c r="DI12" s="146">
        <v>0</v>
      </c>
      <c r="DJ12" s="146">
        <v>0</v>
      </c>
      <c r="DK12" s="146">
        <v>0</v>
      </c>
      <c r="DL12" s="146">
        <v>0</v>
      </c>
      <c r="DM12" s="146">
        <v>0</v>
      </c>
      <c r="DN12">
        <f t="shared" ca="1" si="22"/>
        <v>0</v>
      </c>
      <c r="DO12">
        <f t="shared" ca="1" si="23"/>
        <v>0</v>
      </c>
      <c r="DP12">
        <f t="shared" ca="1" si="24"/>
        <v>0</v>
      </c>
      <c r="DQ12">
        <f t="shared" ca="1" si="25"/>
        <v>0</v>
      </c>
      <c r="DR12">
        <f t="shared" ca="1" si="26"/>
        <v>0</v>
      </c>
      <c r="DS12">
        <f t="shared" ca="1" si="27"/>
        <v>0</v>
      </c>
      <c r="DT12">
        <f t="shared" ca="1" si="28"/>
        <v>0</v>
      </c>
      <c r="DU12">
        <f t="shared" ca="1" si="29"/>
        <v>0</v>
      </c>
      <c r="DV12">
        <f t="shared" ca="1" si="30"/>
        <v>0</v>
      </c>
      <c r="DW12">
        <f t="shared" ca="1" si="31"/>
        <v>0</v>
      </c>
      <c r="DX12">
        <f t="shared" ca="1" si="32"/>
        <v>0</v>
      </c>
      <c r="DY12">
        <f t="shared" ca="1" si="33"/>
        <v>0</v>
      </c>
      <c r="EA12" s="278" t="str">
        <f ca="1"/>
        <v>OIS_3M</v>
      </c>
      <c r="EB12" s="277">
        <f ca="1"/>
        <v>-0.11351083661834488</v>
      </c>
      <c r="EC12" s="171"/>
      <c r="ED12" s="248">
        <f ca="1">'JACOBIAN - SWAP USD3ML'!B21</f>
        <v>43908</v>
      </c>
      <c r="EE12">
        <f ca="1">'JACOBIAN - SWAP USD3ML'!C21</f>
        <v>8.6736173798840404E-16</v>
      </c>
      <c r="EF12">
        <f ca="1">'JACOBIAN - SWAP USD3ML'!D21</f>
        <v>8.6736173798840404E-16</v>
      </c>
      <c r="EG12">
        <f ca="1">'JACOBIAN - SWAP USD3ML'!E21</f>
        <v>0</v>
      </c>
      <c r="EH12">
        <f ca="1">'JACOBIAN - SWAP USD3ML'!F21</f>
        <v>0</v>
      </c>
      <c r="EI12">
        <f ca="1">'JACOBIAN - SWAP USD3ML'!G21</f>
        <v>8.6736173798840404E-16</v>
      </c>
      <c r="EJ12">
        <f ca="1">'JACOBIAN - SWAP USD3ML'!H21</f>
        <v>9.8917452028519204E-5</v>
      </c>
      <c r="EK12">
        <f ca="1">'JACOBIAN - SWAP USD3ML'!I21</f>
        <v>1.08288378351112E-6</v>
      </c>
      <c r="EL12">
        <f ca="1">'JACOBIAN - SWAP USD3ML'!J21</f>
        <v>0</v>
      </c>
      <c r="EM12">
        <f ca="1">'JACOBIAN - SWAP USD3ML'!K21</f>
        <v>0</v>
      </c>
      <c r="EN12">
        <f ca="1">'JACOBIAN - SWAP USD3ML'!L21</f>
        <v>0</v>
      </c>
      <c r="EO12">
        <f ca="1">'JACOBIAN - SWAP USD3ML'!M21</f>
        <v>0</v>
      </c>
      <c r="EP12">
        <f ca="1">'JACOBIAN - SWAP USD3ML'!N21</f>
        <v>0</v>
      </c>
      <c r="EQ12">
        <f ca="1">'JACOBIAN - SWAP USD3ML'!O21</f>
        <v>0</v>
      </c>
      <c r="ER12">
        <f ca="1">'JACOBIAN - SWAP USD3ML'!P21</f>
        <v>0</v>
      </c>
      <c r="ES12">
        <f ca="1">'JACOBIAN - SWAP USD3ML'!Q21</f>
        <v>0</v>
      </c>
      <c r="ET12">
        <f ca="1">'JACOBIAN - SWAP USD3ML'!R21</f>
        <v>0</v>
      </c>
      <c r="EU12">
        <f ca="1">'JACOBIAN - SWAP USD3ML'!S21</f>
        <v>0</v>
      </c>
      <c r="EV12">
        <f ca="1">'JACOBIAN - SWAP USD3ML'!T21</f>
        <v>0</v>
      </c>
      <c r="EW12">
        <f ca="1">'JACOBIAN - SWAP USD3ML'!U21</f>
        <v>0</v>
      </c>
      <c r="EX12">
        <f ca="1">'JACOBIAN - SWAP USD3ML'!V21</f>
        <v>0</v>
      </c>
      <c r="EY12">
        <f ca="1">'JACOBIAN - SWAP USD3ML'!W21</f>
        <v>0</v>
      </c>
      <c r="EZ12">
        <f ca="1">'JACOBIAN - SWAP USD3ML'!X21</f>
        <v>0</v>
      </c>
      <c r="FA12">
        <f ca="1">'JACOBIAN - SWAP USD3ML'!Y21</f>
        <v>0</v>
      </c>
      <c r="FB12">
        <f ca="1">'JACOBIAN - SWAP USD3ML'!Z21</f>
        <v>0</v>
      </c>
      <c r="FD12" s="146" t="str">
        <f ca="1"/>
        <v>ED3 Comdty</v>
      </c>
      <c r="FE12" s="280">
        <f ca="1"/>
        <v>0.27457112210995321</v>
      </c>
      <c r="FF12" s="171"/>
      <c r="FH12" s="11" t="str">
        <f ca="1"/>
        <v>USDYC.OIS.OUTRIGHTOISSWAP.3M</v>
      </c>
      <c r="FI12" s="275">
        <f ca="1"/>
        <v>1.2500594311859459E-2</v>
      </c>
      <c r="FJ12" s="11" t="str">
        <f ca="1"/>
        <v>USDYC.STD.FUTURE.ED1 COMDTY.20191218.20200318</v>
      </c>
      <c r="FK12" s="275">
        <f ca="1"/>
        <v>7.5908232247456908E-3</v>
      </c>
      <c r="FL12" s="11" t="e">
        <f ca="1"/>
        <v>#N/A</v>
      </c>
    </row>
    <row r="13" spans="2:168" x14ac:dyDescent="0.25">
      <c r="B13" t="s">
        <v>258</v>
      </c>
      <c r="C13" s="247">
        <f ca="1">_xll.meLWOSwapDV01(C6,C7)</f>
        <v>473.86214819198358</v>
      </c>
      <c r="F13" s="6">
        <f ca="1"/>
        <v>44729</v>
      </c>
      <c r="G13" s="9">
        <f ca="1"/>
        <v>44914</v>
      </c>
      <c r="H13" s="9">
        <f ca="1"/>
        <v>185</v>
      </c>
      <c r="I13" s="255">
        <f ca="1"/>
        <v>0.50555555555555598</v>
      </c>
      <c r="J13" s="269">
        <f ca="1"/>
        <v>44914</v>
      </c>
      <c r="K13" s="254">
        <f ca="1"/>
        <v>-1000000</v>
      </c>
      <c r="L13" s="58">
        <f ca="1"/>
        <v>0</v>
      </c>
      <c r="M13" s="9">
        <f ca="1"/>
        <v>1</v>
      </c>
      <c r="N13" s="9">
        <f ca="1"/>
        <v>0.01</v>
      </c>
      <c r="O13" s="264">
        <f ca="1"/>
        <v>-5055.5555555555602</v>
      </c>
      <c r="P13" s="9">
        <f ca="1"/>
        <v>0.96030615302125</v>
      </c>
      <c r="Q13" s="9">
        <f ca="1"/>
        <v>-4854.8811069407602</v>
      </c>
      <c r="R13" s="9" t="str">
        <f ca="1"/>
        <v/>
      </c>
      <c r="S13" s="9" t="str">
        <f ca="1"/>
        <v/>
      </c>
      <c r="T13" s="9" t="str">
        <f ca="1"/>
        <v/>
      </c>
      <c r="U13" s="12" t="str">
        <f ca="1"/>
        <v/>
      </c>
      <c r="V13" s="252">
        <f t="shared" ca="1" si="34"/>
        <v>-485488.11069407681</v>
      </c>
      <c r="X13" s="258">
        <f t="shared" ca="1" si="0"/>
        <v>43847</v>
      </c>
      <c r="Y13" s="261">
        <v>0</v>
      </c>
      <c r="AA13" s="257">
        <f t="shared" ca="1" si="35"/>
        <v>43847</v>
      </c>
      <c r="AB13" s="266">
        <f t="shared" ca="1" si="2"/>
        <v>-9.6957316555457106E-6</v>
      </c>
      <c r="AC13" s="266"/>
      <c r="AD13" s="290">
        <f ca="1"/>
        <v>43847</v>
      </c>
      <c r="AE13" s="291">
        <f ca="1"/>
        <v>-9.695731655545714E-6</v>
      </c>
      <c r="AF13" s="291" t="b">
        <f t="shared" ca="1" si="36"/>
        <v>1</v>
      </c>
      <c r="AH13" s="257">
        <f t="shared" ca="1" si="3"/>
        <v>43999</v>
      </c>
      <c r="AI13" s="260">
        <f ca="1">V22</f>
        <v>252638.15874267215</v>
      </c>
      <c r="AK13" s="290">
        <f ca="1"/>
        <v>43999</v>
      </c>
      <c r="AL13" s="291">
        <f ca="1"/>
        <v>1.0000445006878855E-4</v>
      </c>
      <c r="AM13" s="291" t="b">
        <f t="shared" ca="1" si="4"/>
        <v>1</v>
      </c>
      <c r="AO13" s="257">
        <f t="shared" ca="1" si="37"/>
        <v>43999</v>
      </c>
      <c r="AP13" s="266">
        <f t="shared" ca="1" si="38"/>
        <v>1.0000445006878855E-4</v>
      </c>
      <c r="AR13" s="248">
        <f ca="1">'JACOBIAN - OIS USDOIS'!B22</f>
        <v>43847</v>
      </c>
      <c r="AS13">
        <f ca="1">'JACOBIAN - OIS USDOIS'!C22</f>
        <v>-1.1093061796918499E-6</v>
      </c>
      <c r="AT13">
        <f ca="1">'JACOBIAN - OIS USDOIS'!D22</f>
        <v>0</v>
      </c>
      <c r="AU13">
        <f ca="1">'JACOBIAN - OIS USDOIS'!E22</f>
        <v>0</v>
      </c>
      <c r="AV13">
        <f ca="1">'JACOBIAN - OIS USDOIS'!F22</f>
        <v>0</v>
      </c>
      <c r="AW13">
        <f ca="1">'JACOBIAN - OIS USDOIS'!G22</f>
        <v>-8.5864254758538599E-6</v>
      </c>
      <c r="AX13">
        <f ca="1">'JACOBIAN - OIS USDOIS'!H22</f>
        <v>0</v>
      </c>
      <c r="AY13">
        <f ca="1">'JACOBIAN - OIS USDOIS'!I22</f>
        <v>0</v>
      </c>
      <c r="AZ13">
        <f ca="1">'JACOBIAN - OIS USDOIS'!J22</f>
        <v>0</v>
      </c>
      <c r="BA13">
        <f ca="1">'JACOBIAN - OIS USDOIS'!K22</f>
        <v>0</v>
      </c>
      <c r="BB13">
        <f ca="1">'JACOBIAN - OIS USDOIS'!L22</f>
        <v>0</v>
      </c>
      <c r="BC13">
        <f ca="1">'JACOBIAN - OIS USDOIS'!M22</f>
        <v>0</v>
      </c>
      <c r="BD13">
        <f ca="1">'JACOBIAN - OIS USDOIS'!N22</f>
        <v>0</v>
      </c>
      <c r="BE13">
        <f ca="1">'JACOBIAN - OIS USDOIS'!O22</f>
        <v>0</v>
      </c>
      <c r="BF13">
        <f ca="1">'JACOBIAN - OIS USDOIS'!P22</f>
        <v>0</v>
      </c>
      <c r="BG13">
        <f ca="1">'JACOBIAN - OIS USDOIS'!Q22</f>
        <v>0</v>
      </c>
      <c r="BH13">
        <f ca="1">'JACOBIAN - OIS USDOIS'!R22</f>
        <v>0</v>
      </c>
      <c r="BI13" s="161">
        <f ca="1">'JACOBIAN - OIS USDOIS'!S22</f>
        <v>0</v>
      </c>
      <c r="BJ13" s="161">
        <f ca="1">'JACOBIAN - OIS USDOIS'!T22</f>
        <v>0</v>
      </c>
      <c r="BK13" s="161">
        <f ca="1">'JACOBIAN - OIS USDOIS'!U22</f>
        <v>0</v>
      </c>
      <c r="BL13" s="161">
        <f ca="1">'JACOBIAN - OIS USDOIS'!V22</f>
        <v>0</v>
      </c>
      <c r="BM13" s="161">
        <f ca="1">'JACOBIAN - OIS USDOIS'!W22</f>
        <v>0</v>
      </c>
      <c r="BN13" s="161">
        <f ca="1">'JACOBIAN - OIS USDOIS'!X22</f>
        <v>0</v>
      </c>
      <c r="BO13" s="161">
        <f ca="1">'JACOBIAN - OIS USDOIS'!Y22</f>
        <v>0</v>
      </c>
      <c r="BP13" s="161">
        <f ca="1">'JACOBIAN - OIS USDOIS'!Z22</f>
        <v>0</v>
      </c>
      <c r="BQ13" s="161">
        <f ca="1">'JACOBIAN - OIS USDOIS'!AA22</f>
        <v>0</v>
      </c>
      <c r="BR13" s="161">
        <f ca="1">'JACOBIAN - OIS USDOIS'!AB22</f>
        <v>0</v>
      </c>
      <c r="BS13" s="161">
        <f ca="1">'JACOBIAN - OIS USDOIS'!AC22</f>
        <v>0</v>
      </c>
      <c r="BT13" s="161">
        <f ca="1">'JACOBIAN - OIS USDOIS'!AD22</f>
        <v>0</v>
      </c>
      <c r="BU13">
        <f ca="1">'JACOBIAN - OIS USDOIS'!AE22</f>
        <v>0</v>
      </c>
      <c r="BV13">
        <f ca="1">'JACOBIAN - OIS USDOIS'!AF22</f>
        <v>0</v>
      </c>
      <c r="BW13">
        <f ca="1">'JACOBIAN - OIS USDOIS'!AG22</f>
        <v>0</v>
      </c>
      <c r="BX13">
        <f ca="1">'JACOBIAN - OIS USDOIS'!AH22</f>
        <v>0</v>
      </c>
      <c r="BY13">
        <f ca="1">'JACOBIAN - OIS USDOIS'!AI22</f>
        <v>0</v>
      </c>
      <c r="BZ13">
        <f ca="1">'JACOBIAN - OIS USDOIS'!AJ22</f>
        <v>0</v>
      </c>
      <c r="CA13">
        <f ca="1">'JACOBIAN - OIS USDOIS'!AK22</f>
        <v>0</v>
      </c>
      <c r="CB13">
        <f ca="1">'JACOBIAN - OIS USDOIS'!AL22</f>
        <v>0</v>
      </c>
      <c r="CC13">
        <f ca="1">'JACOBIAN - OIS USDOIS'!AM22</f>
        <v>0</v>
      </c>
      <c r="CD13">
        <f ca="1">'JACOBIAN - OIS USDOIS'!AN22</f>
        <v>0</v>
      </c>
      <c r="CE13">
        <f ca="1">'JACOBIAN - OIS USDOIS'!AO22</f>
        <v>0</v>
      </c>
      <c r="CF13">
        <f ca="1">'JACOBIAN - OIS USDOIS'!AP22</f>
        <v>0</v>
      </c>
      <c r="CK13" s="248">
        <f t="shared" ca="1" si="5"/>
        <v>43847</v>
      </c>
      <c r="CL13">
        <f t="shared" ca="1" si="6"/>
        <v>-1.1093061796918499E-6</v>
      </c>
      <c r="CM13">
        <f t="shared" ca="1" si="7"/>
        <v>0</v>
      </c>
      <c r="CN13">
        <f t="shared" ca="1" si="8"/>
        <v>0</v>
      </c>
      <c r="CO13">
        <f t="shared" ca="1" si="9"/>
        <v>0</v>
      </c>
      <c r="CP13">
        <f t="shared" ca="1" si="10"/>
        <v>-8.5864254758538599E-6</v>
      </c>
      <c r="CQ13">
        <f t="shared" ca="1" si="11"/>
        <v>0</v>
      </c>
      <c r="CR13">
        <f t="shared" ca="1" si="12"/>
        <v>0</v>
      </c>
      <c r="CS13">
        <f t="shared" ca="1" si="13"/>
        <v>0</v>
      </c>
      <c r="CT13">
        <f t="shared" ca="1" si="14"/>
        <v>0</v>
      </c>
      <c r="CU13">
        <f t="shared" ca="1" si="15"/>
        <v>0</v>
      </c>
      <c r="CV13">
        <f t="shared" ca="1" si="16"/>
        <v>0</v>
      </c>
      <c r="CW13">
        <f t="shared" ca="1" si="17"/>
        <v>0</v>
      </c>
      <c r="CX13">
        <f t="shared" ca="1" si="18"/>
        <v>0</v>
      </c>
      <c r="CY13">
        <f t="shared" ca="1" si="19"/>
        <v>0</v>
      </c>
      <c r="CZ13">
        <f t="shared" ca="1" si="20"/>
        <v>0</v>
      </c>
      <c r="DA13">
        <f t="shared" ca="1" si="21"/>
        <v>0</v>
      </c>
      <c r="DB13" s="146">
        <v>0</v>
      </c>
      <c r="DC13" s="146">
        <v>0</v>
      </c>
      <c r="DD13" s="146">
        <v>0</v>
      </c>
      <c r="DE13" s="146">
        <v>0</v>
      </c>
      <c r="DF13" s="146">
        <v>0</v>
      </c>
      <c r="DG13" s="146">
        <v>0</v>
      </c>
      <c r="DH13" s="146">
        <v>0</v>
      </c>
      <c r="DI13" s="146">
        <v>0</v>
      </c>
      <c r="DJ13" s="146">
        <v>0</v>
      </c>
      <c r="DK13" s="146">
        <v>0</v>
      </c>
      <c r="DL13" s="146">
        <v>0</v>
      </c>
      <c r="DM13" s="146">
        <v>0</v>
      </c>
      <c r="DN13">
        <f t="shared" ca="1" si="22"/>
        <v>0</v>
      </c>
      <c r="DO13">
        <f t="shared" ca="1" si="23"/>
        <v>0</v>
      </c>
      <c r="DP13">
        <f t="shared" ca="1" si="24"/>
        <v>0</v>
      </c>
      <c r="DQ13">
        <f t="shared" ca="1" si="25"/>
        <v>0</v>
      </c>
      <c r="DR13">
        <f t="shared" ca="1" si="26"/>
        <v>0</v>
      </c>
      <c r="DS13">
        <f t="shared" ca="1" si="27"/>
        <v>0</v>
      </c>
      <c r="DT13">
        <f t="shared" ca="1" si="28"/>
        <v>0</v>
      </c>
      <c r="DU13">
        <f t="shared" ca="1" si="29"/>
        <v>0</v>
      </c>
      <c r="DV13">
        <f t="shared" ca="1" si="30"/>
        <v>0</v>
      </c>
      <c r="DW13">
        <f t="shared" ca="1" si="31"/>
        <v>0</v>
      </c>
      <c r="DX13">
        <f t="shared" ca="1" si="32"/>
        <v>0</v>
      </c>
      <c r="DY13">
        <f t="shared" ca="1" si="33"/>
        <v>0</v>
      </c>
      <c r="EA13" s="278" t="str">
        <f ca="1"/>
        <v>OIS_4M</v>
      </c>
      <c r="EB13" s="277">
        <f ca="1"/>
        <v>-2.4630204192542696E-2</v>
      </c>
      <c r="EC13" s="171"/>
      <c r="ED13" s="248">
        <f ca="1">'JACOBIAN - SWAP USD3ML'!B22</f>
        <v>43999</v>
      </c>
      <c r="EE13">
        <f ca="1">'JACOBIAN - SWAP USD3ML'!C22</f>
        <v>0</v>
      </c>
      <c r="EF13">
        <f ca="1">'JACOBIAN - SWAP USD3ML'!D22</f>
        <v>0</v>
      </c>
      <c r="EG13">
        <f ca="1">'JACOBIAN - SWAP USD3ML'!E22</f>
        <v>0</v>
      </c>
      <c r="EH13">
        <f ca="1">'JACOBIAN - SWAP USD3ML'!F22</f>
        <v>0</v>
      </c>
      <c r="EI13">
        <f ca="1">'JACOBIAN - SWAP USD3ML'!G22</f>
        <v>-8.7083118494035696E-16</v>
      </c>
      <c r="EJ13">
        <f ca="1">'JACOBIAN - SWAP USD3ML'!H22</f>
        <v>0</v>
      </c>
      <c r="EK13">
        <f ca="1">'JACOBIAN - SWAP USD3ML'!I22</f>
        <v>9.8917245078409405E-5</v>
      </c>
      <c r="EL13">
        <f ca="1">'JACOBIAN - SWAP USD3ML'!J22</f>
        <v>1.0872049912499799E-6</v>
      </c>
      <c r="EM13">
        <f ca="1">'JACOBIAN - SWAP USD3ML'!K22</f>
        <v>0</v>
      </c>
      <c r="EN13">
        <f ca="1">'JACOBIAN - SWAP USD3ML'!L22</f>
        <v>0</v>
      </c>
      <c r="EO13">
        <f ca="1">'JACOBIAN - SWAP USD3ML'!M22</f>
        <v>0</v>
      </c>
      <c r="EP13">
        <f ca="1">'JACOBIAN - SWAP USD3ML'!N22</f>
        <v>0</v>
      </c>
      <c r="EQ13">
        <f ca="1">'JACOBIAN - SWAP USD3ML'!O22</f>
        <v>0</v>
      </c>
      <c r="ER13">
        <f ca="1">'JACOBIAN - SWAP USD3ML'!P22</f>
        <v>0</v>
      </c>
      <c r="ES13">
        <f ca="1">'JACOBIAN - SWAP USD3ML'!Q22</f>
        <v>0</v>
      </c>
      <c r="ET13">
        <f ca="1">'JACOBIAN - SWAP USD3ML'!R22</f>
        <v>0</v>
      </c>
      <c r="EU13">
        <f ca="1">'JACOBIAN - SWAP USD3ML'!S22</f>
        <v>0</v>
      </c>
      <c r="EV13">
        <f ca="1">'JACOBIAN - SWAP USD3ML'!T22</f>
        <v>0</v>
      </c>
      <c r="EW13">
        <f ca="1">'JACOBIAN - SWAP USD3ML'!U22</f>
        <v>0</v>
      </c>
      <c r="EX13">
        <f ca="1">'JACOBIAN - SWAP USD3ML'!V22</f>
        <v>0</v>
      </c>
      <c r="EY13">
        <f ca="1">'JACOBIAN - SWAP USD3ML'!W22</f>
        <v>0</v>
      </c>
      <c r="EZ13">
        <f ca="1">'JACOBIAN - SWAP USD3ML'!X22</f>
        <v>0</v>
      </c>
      <c r="FA13">
        <f ca="1">'JACOBIAN - SWAP USD3ML'!Y22</f>
        <v>0</v>
      </c>
      <c r="FB13">
        <f ca="1">'JACOBIAN - SWAP USD3ML'!Z22</f>
        <v>0</v>
      </c>
      <c r="FD13" s="146" t="str">
        <f ca="1"/>
        <v>ED4 Comdty</v>
      </c>
      <c r="FE13" s="280">
        <f ca="1"/>
        <v>6.522896156269109E-6</v>
      </c>
      <c r="FF13" s="171"/>
      <c r="FH13" s="11" t="str">
        <f ca="1"/>
        <v>USDYC.OIS.OUTRIGHTOISSWAP.4M</v>
      </c>
      <c r="FI13" s="275">
        <f ca="1"/>
        <v>-1.1530978372320533E-2</v>
      </c>
      <c r="FJ13" s="11" t="str">
        <f ca="1"/>
        <v>USDYC.STD.FUTURE.ED2 COMDTY.20200318.20200617</v>
      </c>
      <c r="FK13" s="275">
        <f ca="1"/>
        <v>7.5836855103261769E-3</v>
      </c>
      <c r="FL13" s="11" t="e">
        <f ca="1"/>
        <v>#N/A</v>
      </c>
    </row>
    <row r="14" spans="2:168" x14ac:dyDescent="0.25">
      <c r="F14" s="6">
        <f ca="1"/>
        <v>44914</v>
      </c>
      <c r="G14" s="9">
        <f ca="1"/>
        <v>45096</v>
      </c>
      <c r="H14" s="9">
        <f ca="1"/>
        <v>182</v>
      </c>
      <c r="I14" s="255">
        <f ca="1"/>
        <v>0.5</v>
      </c>
      <c r="J14" s="269">
        <f ca="1"/>
        <v>45096</v>
      </c>
      <c r="K14" s="254">
        <f ca="1"/>
        <v>-1000000</v>
      </c>
      <c r="L14" s="58">
        <f ca="1"/>
        <v>0</v>
      </c>
      <c r="M14" s="9">
        <f ca="1"/>
        <v>1</v>
      </c>
      <c r="N14" s="9">
        <f ca="1"/>
        <v>0.01</v>
      </c>
      <c r="O14" s="264">
        <f ca="1"/>
        <v>-5000</v>
      </c>
      <c r="P14" s="9">
        <f ca="1"/>
        <v>0.95388339090093299</v>
      </c>
      <c r="Q14" s="9">
        <f ca="1"/>
        <v>-4769.4169545046598</v>
      </c>
      <c r="R14" s="9" t="str">
        <f ca="1"/>
        <v/>
      </c>
      <c r="S14" s="9" t="str">
        <f ca="1"/>
        <v/>
      </c>
      <c r="T14" s="9" t="str">
        <f ca="1"/>
        <v/>
      </c>
      <c r="U14" s="12" t="str">
        <f ca="1"/>
        <v/>
      </c>
      <c r="V14" s="252">
        <f t="shared" ca="1" si="34"/>
        <v>-476941.69545046648</v>
      </c>
      <c r="X14" s="258">
        <f t="shared" ca="1" si="0"/>
        <v>43879</v>
      </c>
      <c r="Y14" s="261">
        <v>0</v>
      </c>
      <c r="AA14" s="257">
        <f t="shared" ca="1" si="35"/>
        <v>43879</v>
      </c>
      <c r="AB14" s="266">
        <f t="shared" ca="1" si="2"/>
        <v>-1.850950208537314E-5</v>
      </c>
      <c r="AC14" s="266"/>
      <c r="AD14" s="290">
        <f ca="1"/>
        <v>43879</v>
      </c>
      <c r="AE14" s="291">
        <f ca="1"/>
        <v>-1.8509502085373164E-5</v>
      </c>
      <c r="AF14" s="291" t="b">
        <f t="shared" ca="1" si="36"/>
        <v>1</v>
      </c>
      <c r="AH14" s="257">
        <f t="shared" ca="1" si="3"/>
        <v>44090</v>
      </c>
      <c r="AI14" s="260">
        <v>0</v>
      </c>
      <c r="AK14" s="290">
        <f ca="1"/>
        <v>44090</v>
      </c>
      <c r="AL14" s="291">
        <f ca="1"/>
        <v>9.9999999999336731E-5</v>
      </c>
      <c r="AM14" s="291" t="b">
        <f t="shared" ca="1" si="4"/>
        <v>1</v>
      </c>
      <c r="AO14" s="257">
        <f t="shared" ca="1" si="37"/>
        <v>44090</v>
      </c>
      <c r="AP14" s="266">
        <f t="shared" ca="1" si="38"/>
        <v>9.9999999999336703E-5</v>
      </c>
      <c r="AR14" s="248">
        <f ca="1">'JACOBIAN - OIS USDOIS'!B23</f>
        <v>43879</v>
      </c>
      <c r="AS14">
        <f ca="1">'JACOBIAN - OIS USDOIS'!C23</f>
        <v>-1.10778078765694E-6</v>
      </c>
      <c r="AT14">
        <f ca="1">'JACOBIAN - OIS USDOIS'!D23</f>
        <v>0</v>
      </c>
      <c r="AU14">
        <f ca="1">'JACOBIAN - OIS USDOIS'!E23</f>
        <v>0</v>
      </c>
      <c r="AV14">
        <f ca="1">'JACOBIAN - OIS USDOIS'!F23</f>
        <v>0</v>
      </c>
      <c r="AW14">
        <f ca="1">'JACOBIAN - OIS USDOIS'!G23</f>
        <v>0</v>
      </c>
      <c r="AX14">
        <f ca="1">'JACOBIAN - OIS USDOIS'!H23</f>
        <v>-1.7401721297716201E-5</v>
      </c>
      <c r="AY14">
        <f ca="1">'JACOBIAN - OIS USDOIS'!I23</f>
        <v>0</v>
      </c>
      <c r="AZ14">
        <f ca="1">'JACOBIAN - OIS USDOIS'!J23</f>
        <v>0</v>
      </c>
      <c r="BA14">
        <f ca="1">'JACOBIAN - OIS USDOIS'!K23</f>
        <v>0</v>
      </c>
      <c r="BB14">
        <f ca="1">'JACOBIAN - OIS USDOIS'!L23</f>
        <v>0</v>
      </c>
      <c r="BC14">
        <f ca="1">'JACOBIAN - OIS USDOIS'!M23</f>
        <v>0</v>
      </c>
      <c r="BD14">
        <f ca="1">'JACOBIAN - OIS USDOIS'!N23</f>
        <v>0</v>
      </c>
      <c r="BE14">
        <f ca="1">'JACOBIAN - OIS USDOIS'!O23</f>
        <v>0</v>
      </c>
      <c r="BF14">
        <f ca="1">'JACOBIAN - OIS USDOIS'!P23</f>
        <v>0</v>
      </c>
      <c r="BG14">
        <f ca="1">'JACOBIAN - OIS USDOIS'!Q23</f>
        <v>0</v>
      </c>
      <c r="BH14">
        <f ca="1">'JACOBIAN - OIS USDOIS'!R23</f>
        <v>0</v>
      </c>
      <c r="BI14" s="161">
        <f ca="1">'JACOBIAN - OIS USDOIS'!S23</f>
        <v>0</v>
      </c>
      <c r="BJ14" s="161">
        <f ca="1">'JACOBIAN - OIS USDOIS'!T23</f>
        <v>0</v>
      </c>
      <c r="BK14" s="161">
        <f ca="1">'JACOBIAN - OIS USDOIS'!U23</f>
        <v>0</v>
      </c>
      <c r="BL14" s="161">
        <f ca="1">'JACOBIAN - OIS USDOIS'!V23</f>
        <v>0</v>
      </c>
      <c r="BM14" s="161">
        <f ca="1">'JACOBIAN - OIS USDOIS'!W23</f>
        <v>0</v>
      </c>
      <c r="BN14" s="161">
        <f ca="1">'JACOBIAN - OIS USDOIS'!X23</f>
        <v>0</v>
      </c>
      <c r="BO14" s="161">
        <f ca="1">'JACOBIAN - OIS USDOIS'!Y23</f>
        <v>0</v>
      </c>
      <c r="BP14" s="161">
        <f ca="1">'JACOBIAN - OIS USDOIS'!Z23</f>
        <v>0</v>
      </c>
      <c r="BQ14" s="161">
        <f ca="1">'JACOBIAN - OIS USDOIS'!AA23</f>
        <v>0</v>
      </c>
      <c r="BR14" s="161">
        <f ca="1">'JACOBIAN - OIS USDOIS'!AB23</f>
        <v>0</v>
      </c>
      <c r="BS14" s="161">
        <f ca="1">'JACOBIAN - OIS USDOIS'!AC23</f>
        <v>0</v>
      </c>
      <c r="BT14" s="161">
        <f ca="1">'JACOBIAN - OIS USDOIS'!AD23</f>
        <v>0</v>
      </c>
      <c r="BU14">
        <f ca="1">'JACOBIAN - OIS USDOIS'!AE23</f>
        <v>0</v>
      </c>
      <c r="BV14">
        <f ca="1">'JACOBIAN - OIS USDOIS'!AF23</f>
        <v>0</v>
      </c>
      <c r="BW14">
        <f ca="1">'JACOBIAN - OIS USDOIS'!AG23</f>
        <v>0</v>
      </c>
      <c r="BX14">
        <f ca="1">'JACOBIAN - OIS USDOIS'!AH23</f>
        <v>0</v>
      </c>
      <c r="BY14">
        <f ca="1">'JACOBIAN - OIS USDOIS'!AI23</f>
        <v>0</v>
      </c>
      <c r="BZ14">
        <f ca="1">'JACOBIAN - OIS USDOIS'!AJ23</f>
        <v>0</v>
      </c>
      <c r="CA14">
        <f ca="1">'JACOBIAN - OIS USDOIS'!AK23</f>
        <v>0</v>
      </c>
      <c r="CB14">
        <f ca="1">'JACOBIAN - OIS USDOIS'!AL23</f>
        <v>0</v>
      </c>
      <c r="CC14">
        <f ca="1">'JACOBIAN - OIS USDOIS'!AM23</f>
        <v>0</v>
      </c>
      <c r="CD14">
        <f ca="1">'JACOBIAN - OIS USDOIS'!AN23</f>
        <v>0</v>
      </c>
      <c r="CE14">
        <f ca="1">'JACOBIAN - OIS USDOIS'!AO23</f>
        <v>0</v>
      </c>
      <c r="CF14">
        <f ca="1">'JACOBIAN - OIS USDOIS'!AP23</f>
        <v>0</v>
      </c>
      <c r="CK14" s="248">
        <f t="shared" ca="1" si="5"/>
        <v>43879</v>
      </c>
      <c r="CL14">
        <f t="shared" ca="1" si="6"/>
        <v>-1.10778078765694E-6</v>
      </c>
      <c r="CM14">
        <f t="shared" ca="1" si="7"/>
        <v>0</v>
      </c>
      <c r="CN14">
        <f t="shared" ca="1" si="8"/>
        <v>0</v>
      </c>
      <c r="CO14">
        <f t="shared" ca="1" si="9"/>
        <v>0</v>
      </c>
      <c r="CP14">
        <f t="shared" ca="1" si="10"/>
        <v>0</v>
      </c>
      <c r="CQ14">
        <f t="shared" ca="1" si="11"/>
        <v>-1.7401721297716201E-5</v>
      </c>
      <c r="CR14">
        <f t="shared" ca="1" si="12"/>
        <v>0</v>
      </c>
      <c r="CS14">
        <f t="shared" ca="1" si="13"/>
        <v>0</v>
      </c>
      <c r="CT14">
        <f t="shared" ca="1" si="14"/>
        <v>0</v>
      </c>
      <c r="CU14">
        <f t="shared" ca="1" si="15"/>
        <v>0</v>
      </c>
      <c r="CV14">
        <f t="shared" ca="1" si="16"/>
        <v>0</v>
      </c>
      <c r="CW14">
        <f t="shared" ca="1" si="17"/>
        <v>0</v>
      </c>
      <c r="CX14">
        <f t="shared" ca="1" si="18"/>
        <v>0</v>
      </c>
      <c r="CY14">
        <f t="shared" ca="1" si="19"/>
        <v>0</v>
      </c>
      <c r="CZ14">
        <f t="shared" ca="1" si="20"/>
        <v>0</v>
      </c>
      <c r="DA14">
        <f t="shared" ca="1" si="21"/>
        <v>0</v>
      </c>
      <c r="DB14" s="146">
        <v>0</v>
      </c>
      <c r="DC14" s="146">
        <v>0</v>
      </c>
      <c r="DD14" s="146">
        <v>0</v>
      </c>
      <c r="DE14" s="146">
        <v>0</v>
      </c>
      <c r="DF14" s="146">
        <v>0</v>
      </c>
      <c r="DG14" s="146">
        <v>0</v>
      </c>
      <c r="DH14" s="146">
        <v>0</v>
      </c>
      <c r="DI14" s="146">
        <v>0</v>
      </c>
      <c r="DJ14" s="146">
        <v>0</v>
      </c>
      <c r="DK14" s="146">
        <v>0</v>
      </c>
      <c r="DL14" s="146">
        <v>0</v>
      </c>
      <c r="DM14" s="146">
        <v>0</v>
      </c>
      <c r="DN14">
        <f t="shared" ca="1" si="22"/>
        <v>0</v>
      </c>
      <c r="DO14">
        <f t="shared" ca="1" si="23"/>
        <v>0</v>
      </c>
      <c r="DP14">
        <f t="shared" ca="1" si="24"/>
        <v>0</v>
      </c>
      <c r="DQ14">
        <f t="shared" ca="1" si="25"/>
        <v>0</v>
      </c>
      <c r="DR14">
        <f t="shared" ca="1" si="26"/>
        <v>0</v>
      </c>
      <c r="DS14">
        <f t="shared" ca="1" si="27"/>
        <v>0</v>
      </c>
      <c r="DT14">
        <f t="shared" ca="1" si="28"/>
        <v>0</v>
      </c>
      <c r="DU14">
        <f t="shared" ca="1" si="29"/>
        <v>0</v>
      </c>
      <c r="DV14">
        <f t="shared" ca="1" si="30"/>
        <v>0</v>
      </c>
      <c r="DW14">
        <f t="shared" ca="1" si="31"/>
        <v>0</v>
      </c>
      <c r="DX14">
        <f t="shared" ca="1" si="32"/>
        <v>0</v>
      </c>
      <c r="DY14">
        <f t="shared" ca="1" si="33"/>
        <v>0</v>
      </c>
      <c r="EA14" s="278" t="str">
        <f ca="1"/>
        <v>OIS_5M</v>
      </c>
      <c r="EB14" s="277">
        <f ca="1"/>
        <v>9.4823959798243582E-2</v>
      </c>
      <c r="EC14" s="171"/>
      <c r="ED14" s="248">
        <f ca="1">'JACOBIAN - SWAP USD3ML'!B23</f>
        <v>44090</v>
      </c>
      <c r="EE14">
        <f ca="1">'JACOBIAN - SWAP USD3ML'!C23</f>
        <v>0</v>
      </c>
      <c r="EF14">
        <f ca="1">'JACOBIAN - SWAP USD3ML'!D23</f>
        <v>0</v>
      </c>
      <c r="EG14">
        <f ca="1">'JACOBIAN - SWAP USD3ML'!E23</f>
        <v>0</v>
      </c>
      <c r="EH14">
        <f ca="1">'JACOBIAN - SWAP USD3ML'!F23</f>
        <v>0</v>
      </c>
      <c r="EI14">
        <f ca="1">'JACOBIAN - SWAP USD3ML'!G23</f>
        <v>0</v>
      </c>
      <c r="EJ14">
        <f ca="1">'JACOBIAN - SWAP USD3ML'!H23</f>
        <v>0</v>
      </c>
      <c r="EK14">
        <f ca="1">'JACOBIAN - SWAP USD3ML'!I23</f>
        <v>0</v>
      </c>
      <c r="EL14">
        <f ca="1">'JACOBIAN - SWAP USD3ML'!J23</f>
        <v>9.9999999999336703E-5</v>
      </c>
      <c r="EM14">
        <f ca="1">'JACOBIAN - SWAP USD3ML'!K23</f>
        <v>0</v>
      </c>
      <c r="EN14">
        <f ca="1">'JACOBIAN - SWAP USD3ML'!L23</f>
        <v>0</v>
      </c>
      <c r="EO14">
        <f ca="1">'JACOBIAN - SWAP USD3ML'!M23</f>
        <v>0</v>
      </c>
      <c r="EP14">
        <f ca="1">'JACOBIAN - SWAP USD3ML'!N23</f>
        <v>0</v>
      </c>
      <c r="EQ14">
        <f ca="1">'JACOBIAN - SWAP USD3ML'!O23</f>
        <v>0</v>
      </c>
      <c r="ER14">
        <f ca="1">'JACOBIAN - SWAP USD3ML'!P23</f>
        <v>0</v>
      </c>
      <c r="ES14">
        <f ca="1">'JACOBIAN - SWAP USD3ML'!Q23</f>
        <v>0</v>
      </c>
      <c r="ET14">
        <f ca="1">'JACOBIAN - SWAP USD3ML'!R23</f>
        <v>0</v>
      </c>
      <c r="EU14">
        <f ca="1">'JACOBIAN - SWAP USD3ML'!S23</f>
        <v>0</v>
      </c>
      <c r="EV14">
        <f ca="1">'JACOBIAN - SWAP USD3ML'!T23</f>
        <v>0</v>
      </c>
      <c r="EW14">
        <f ca="1">'JACOBIAN - SWAP USD3ML'!U23</f>
        <v>0</v>
      </c>
      <c r="EX14">
        <f ca="1">'JACOBIAN - SWAP USD3ML'!V23</f>
        <v>0</v>
      </c>
      <c r="EY14">
        <f ca="1">'JACOBIAN - SWAP USD3ML'!W23</f>
        <v>0</v>
      </c>
      <c r="EZ14">
        <f ca="1">'JACOBIAN - SWAP USD3ML'!X23</f>
        <v>0</v>
      </c>
      <c r="FA14">
        <f ca="1">'JACOBIAN - SWAP USD3ML'!Y23</f>
        <v>0</v>
      </c>
      <c r="FB14">
        <f ca="1">'JACOBIAN - SWAP USD3ML'!Z23</f>
        <v>0</v>
      </c>
      <c r="FD14" s="146" t="str">
        <f ca="1"/>
        <v>ED5 Comdty</v>
      </c>
      <c r="FE14" s="280">
        <f ca="1"/>
        <v>6.3238445844326918E-6</v>
      </c>
      <c r="FF14" s="171"/>
      <c r="FH14" s="11" t="str">
        <f ca="1"/>
        <v>USDYC.OIS.OUTRIGHTOISSWAP.5M</v>
      </c>
      <c r="FI14" s="275">
        <f ca="1"/>
        <v>8.119970589177683E-2</v>
      </c>
      <c r="FJ14" s="11" t="str">
        <f ca="1"/>
        <v>USDYC.STD.FUTURE.ED3 COMDTY.20200617.20200916</v>
      </c>
      <c r="FK14" s="275">
        <f ca="1"/>
        <v>7.5919335358776152E-3</v>
      </c>
      <c r="FL14" s="11" t="e">
        <f ca="1"/>
        <v>#N/A</v>
      </c>
    </row>
    <row r="15" spans="2:168" x14ac:dyDescent="0.25">
      <c r="B15" s="133" t="s">
        <v>268</v>
      </c>
      <c r="F15" s="6">
        <f ca="1"/>
        <v>45096</v>
      </c>
      <c r="G15" s="9">
        <f ca="1"/>
        <v>45278</v>
      </c>
      <c r="H15" s="9">
        <f ca="1"/>
        <v>182</v>
      </c>
      <c r="I15" s="255">
        <f ca="1"/>
        <v>0.49722222222222201</v>
      </c>
      <c r="J15" s="269">
        <f ca="1"/>
        <v>45278</v>
      </c>
      <c r="K15" s="254">
        <f ca="1"/>
        <v>-1000000</v>
      </c>
      <c r="L15" s="58">
        <f ca="1"/>
        <v>0</v>
      </c>
      <c r="M15" s="9">
        <f ca="1"/>
        <v>1</v>
      </c>
      <c r="N15" s="9">
        <f ca="1"/>
        <v>0.01</v>
      </c>
      <c r="O15" s="264">
        <f ca="1"/>
        <v>-4972.2222222222199</v>
      </c>
      <c r="P15" s="9">
        <f ca="1"/>
        <v>0.94736775422388897</v>
      </c>
      <c r="Q15" s="9">
        <f ca="1"/>
        <v>-4710.5230001687796</v>
      </c>
      <c r="R15" s="9" t="str">
        <f ca="1"/>
        <v/>
      </c>
      <c r="S15" s="9" t="str">
        <f ca="1"/>
        <v/>
      </c>
      <c r="T15" s="9" t="str">
        <f ca="1"/>
        <v/>
      </c>
      <c r="U15" s="12" t="str">
        <f ca="1"/>
        <v/>
      </c>
      <c r="V15" s="252">
        <f t="shared" ca="1" si="34"/>
        <v>-471052.30001687794</v>
      </c>
      <c r="X15" s="258">
        <f t="shared" ca="1" si="0"/>
        <v>43907</v>
      </c>
      <c r="Y15" s="292">
        <f ca="1">Q20</f>
        <v>4786.67583333325</v>
      </c>
      <c r="AA15" s="257">
        <f t="shared" ca="1" si="35"/>
        <v>43907</v>
      </c>
      <c r="AB15" s="266">
        <f t="shared" ca="1" si="2"/>
        <v>-2.6181750651721431E-5</v>
      </c>
      <c r="AC15" s="266"/>
      <c r="AD15" s="290">
        <f ca="1"/>
        <v>43907</v>
      </c>
      <c r="AE15" s="291">
        <f ca="1"/>
        <v>-2.6181750651721458E-5</v>
      </c>
      <c r="AF15" s="291" t="b">
        <f t="shared" ca="1" si="36"/>
        <v>1</v>
      </c>
      <c r="AH15" s="257">
        <f t="shared" ca="1" si="3"/>
        <v>44091</v>
      </c>
      <c r="AI15" s="260">
        <f ca="1">V23</f>
        <v>249068.7627973714</v>
      </c>
      <c r="AK15" s="290">
        <f ca="1"/>
        <v>44091</v>
      </c>
      <c r="AL15" s="291">
        <f ca="1"/>
        <v>9.9999972633098982E-5</v>
      </c>
      <c r="AM15" s="291" t="b">
        <f t="shared" ca="1" si="4"/>
        <v>1</v>
      </c>
      <c r="AO15" s="257">
        <f t="shared" ca="1" si="37"/>
        <v>44091</v>
      </c>
      <c r="AP15" s="266">
        <f t="shared" ca="1" si="38"/>
        <v>9.9999972633098942E-5</v>
      </c>
      <c r="AR15" s="248">
        <f ca="1">'JACOBIAN - OIS USDOIS'!B24</f>
        <v>43907</v>
      </c>
      <c r="AS15">
        <f ca="1">'JACOBIAN - OIS USDOIS'!C24</f>
        <v>-1.1064506533209299E-6</v>
      </c>
      <c r="AT15">
        <f ca="1">'JACOBIAN - OIS USDOIS'!D24</f>
        <v>0</v>
      </c>
      <c r="AU15">
        <f ca="1">'JACOBIAN - OIS USDOIS'!E24</f>
        <v>0</v>
      </c>
      <c r="AV15">
        <f ca="1">'JACOBIAN - OIS USDOIS'!F24</f>
        <v>0</v>
      </c>
      <c r="AW15">
        <f ca="1">'JACOBIAN - OIS USDOIS'!G24</f>
        <v>0</v>
      </c>
      <c r="AX15">
        <f ca="1">'JACOBIAN - OIS USDOIS'!H24</f>
        <v>0</v>
      </c>
      <c r="AY15">
        <f ca="1">'JACOBIAN - OIS USDOIS'!I24</f>
        <v>-2.5075299998400501E-5</v>
      </c>
      <c r="AZ15">
        <f ca="1">'JACOBIAN - OIS USDOIS'!J24</f>
        <v>0</v>
      </c>
      <c r="BA15">
        <f ca="1">'JACOBIAN - OIS USDOIS'!K24</f>
        <v>0</v>
      </c>
      <c r="BB15">
        <f ca="1">'JACOBIAN - OIS USDOIS'!L24</f>
        <v>0</v>
      </c>
      <c r="BC15">
        <f ca="1">'JACOBIAN - OIS USDOIS'!M24</f>
        <v>0</v>
      </c>
      <c r="BD15">
        <f ca="1">'JACOBIAN - OIS USDOIS'!N24</f>
        <v>0</v>
      </c>
      <c r="BE15">
        <f ca="1">'JACOBIAN - OIS USDOIS'!O24</f>
        <v>0</v>
      </c>
      <c r="BF15">
        <f ca="1">'JACOBIAN - OIS USDOIS'!P24</f>
        <v>0</v>
      </c>
      <c r="BG15">
        <f ca="1">'JACOBIAN - OIS USDOIS'!Q24</f>
        <v>0</v>
      </c>
      <c r="BH15">
        <f ca="1">'JACOBIAN - OIS USDOIS'!R24</f>
        <v>0</v>
      </c>
      <c r="BI15" s="161">
        <f ca="1">'JACOBIAN - OIS USDOIS'!S24</f>
        <v>0</v>
      </c>
      <c r="BJ15" s="161">
        <f ca="1">'JACOBIAN - OIS USDOIS'!T24</f>
        <v>0</v>
      </c>
      <c r="BK15" s="161">
        <f ca="1">'JACOBIAN - OIS USDOIS'!U24</f>
        <v>0</v>
      </c>
      <c r="BL15" s="161">
        <f ca="1">'JACOBIAN - OIS USDOIS'!V24</f>
        <v>0</v>
      </c>
      <c r="BM15" s="161">
        <f ca="1">'JACOBIAN - OIS USDOIS'!W24</f>
        <v>0</v>
      </c>
      <c r="BN15" s="161">
        <f ca="1">'JACOBIAN - OIS USDOIS'!X24</f>
        <v>0</v>
      </c>
      <c r="BO15" s="161">
        <f ca="1">'JACOBIAN - OIS USDOIS'!Y24</f>
        <v>0</v>
      </c>
      <c r="BP15" s="161">
        <f ca="1">'JACOBIAN - OIS USDOIS'!Z24</f>
        <v>0</v>
      </c>
      <c r="BQ15" s="161">
        <f ca="1">'JACOBIAN - OIS USDOIS'!AA24</f>
        <v>0</v>
      </c>
      <c r="BR15" s="161">
        <f ca="1">'JACOBIAN - OIS USDOIS'!AB24</f>
        <v>0</v>
      </c>
      <c r="BS15" s="161">
        <f ca="1">'JACOBIAN - OIS USDOIS'!AC24</f>
        <v>0</v>
      </c>
      <c r="BT15" s="161">
        <f ca="1">'JACOBIAN - OIS USDOIS'!AD24</f>
        <v>0</v>
      </c>
      <c r="BU15">
        <f ca="1">'JACOBIAN - OIS USDOIS'!AE24</f>
        <v>0</v>
      </c>
      <c r="BV15">
        <f ca="1">'JACOBIAN - OIS USDOIS'!AF24</f>
        <v>0</v>
      </c>
      <c r="BW15">
        <f ca="1">'JACOBIAN - OIS USDOIS'!AG24</f>
        <v>0</v>
      </c>
      <c r="BX15">
        <f ca="1">'JACOBIAN - OIS USDOIS'!AH24</f>
        <v>0</v>
      </c>
      <c r="BY15">
        <f ca="1">'JACOBIAN - OIS USDOIS'!AI24</f>
        <v>0</v>
      </c>
      <c r="BZ15">
        <f ca="1">'JACOBIAN - OIS USDOIS'!AJ24</f>
        <v>0</v>
      </c>
      <c r="CA15">
        <f ca="1">'JACOBIAN - OIS USDOIS'!AK24</f>
        <v>0</v>
      </c>
      <c r="CB15">
        <f ca="1">'JACOBIAN - OIS USDOIS'!AL24</f>
        <v>0</v>
      </c>
      <c r="CC15">
        <f ca="1">'JACOBIAN - OIS USDOIS'!AM24</f>
        <v>0</v>
      </c>
      <c r="CD15">
        <f ca="1">'JACOBIAN - OIS USDOIS'!AN24</f>
        <v>0</v>
      </c>
      <c r="CE15">
        <f ca="1">'JACOBIAN - OIS USDOIS'!AO24</f>
        <v>0</v>
      </c>
      <c r="CF15">
        <f ca="1">'JACOBIAN - OIS USDOIS'!AP24</f>
        <v>0</v>
      </c>
      <c r="CK15" s="248">
        <f t="shared" ca="1" si="5"/>
        <v>43907</v>
      </c>
      <c r="CL15">
        <f t="shared" ca="1" si="6"/>
        <v>-1.1064506533209299E-6</v>
      </c>
      <c r="CM15">
        <f t="shared" ca="1" si="7"/>
        <v>0</v>
      </c>
      <c r="CN15">
        <f t="shared" ca="1" si="8"/>
        <v>0</v>
      </c>
      <c r="CO15">
        <f t="shared" ca="1" si="9"/>
        <v>0</v>
      </c>
      <c r="CP15">
        <f t="shared" ca="1" si="10"/>
        <v>0</v>
      </c>
      <c r="CQ15">
        <f t="shared" ca="1" si="11"/>
        <v>0</v>
      </c>
      <c r="CR15">
        <f t="shared" ca="1" si="12"/>
        <v>-2.5075299998400501E-5</v>
      </c>
      <c r="CS15">
        <f t="shared" ca="1" si="13"/>
        <v>0</v>
      </c>
      <c r="CT15">
        <f t="shared" ca="1" si="14"/>
        <v>0</v>
      </c>
      <c r="CU15">
        <f t="shared" ca="1" si="15"/>
        <v>0</v>
      </c>
      <c r="CV15">
        <f t="shared" ca="1" si="16"/>
        <v>0</v>
      </c>
      <c r="CW15">
        <f t="shared" ca="1" si="17"/>
        <v>0</v>
      </c>
      <c r="CX15">
        <f t="shared" ca="1" si="18"/>
        <v>0</v>
      </c>
      <c r="CY15">
        <f t="shared" ca="1" si="19"/>
        <v>0</v>
      </c>
      <c r="CZ15">
        <f t="shared" ca="1" si="20"/>
        <v>0</v>
      </c>
      <c r="DA15">
        <f t="shared" ca="1" si="21"/>
        <v>0</v>
      </c>
      <c r="DB15" s="146">
        <v>0</v>
      </c>
      <c r="DC15" s="146">
        <v>0</v>
      </c>
      <c r="DD15" s="146">
        <v>0</v>
      </c>
      <c r="DE15" s="146">
        <v>0</v>
      </c>
      <c r="DF15" s="146">
        <v>0</v>
      </c>
      <c r="DG15" s="146">
        <v>0</v>
      </c>
      <c r="DH15" s="146">
        <v>0</v>
      </c>
      <c r="DI15" s="146">
        <v>0</v>
      </c>
      <c r="DJ15" s="146">
        <v>0</v>
      </c>
      <c r="DK15" s="146">
        <v>0</v>
      </c>
      <c r="DL15" s="146">
        <v>0</v>
      </c>
      <c r="DM15" s="146">
        <v>0</v>
      </c>
      <c r="DN15">
        <f t="shared" ca="1" si="22"/>
        <v>0</v>
      </c>
      <c r="DO15">
        <f t="shared" ca="1" si="23"/>
        <v>0</v>
      </c>
      <c r="DP15">
        <f t="shared" ca="1" si="24"/>
        <v>0</v>
      </c>
      <c r="DQ15">
        <f t="shared" ca="1" si="25"/>
        <v>0</v>
      </c>
      <c r="DR15">
        <f t="shared" ca="1" si="26"/>
        <v>0</v>
      </c>
      <c r="DS15">
        <f t="shared" ca="1" si="27"/>
        <v>0</v>
      </c>
      <c r="DT15">
        <f t="shared" ca="1" si="28"/>
        <v>0</v>
      </c>
      <c r="DU15">
        <f t="shared" ca="1" si="29"/>
        <v>0</v>
      </c>
      <c r="DV15">
        <f t="shared" ca="1" si="30"/>
        <v>0</v>
      </c>
      <c r="DW15">
        <f t="shared" ca="1" si="31"/>
        <v>0</v>
      </c>
      <c r="DX15">
        <f t="shared" ca="1" si="32"/>
        <v>0</v>
      </c>
      <c r="DY15">
        <f t="shared" ca="1" si="33"/>
        <v>0</v>
      </c>
      <c r="EA15" s="278" t="str">
        <f ca="1"/>
        <v>OIS_6M</v>
      </c>
      <c r="EB15" s="277">
        <f ca="1"/>
        <v>-0.10450109046642478</v>
      </c>
      <c r="EC15" s="171"/>
      <c r="ED15" s="248">
        <f ca="1">'JACOBIAN - SWAP USD3ML'!B24</f>
        <v>44091</v>
      </c>
      <c r="EE15">
        <f ca="1">'JACOBIAN - SWAP USD3ML'!C24</f>
        <v>0</v>
      </c>
      <c r="EF15">
        <f ca="1">'JACOBIAN - SWAP USD3ML'!D24</f>
        <v>0</v>
      </c>
      <c r="EG15">
        <f ca="1">'JACOBIAN - SWAP USD3ML'!E24</f>
        <v>0</v>
      </c>
      <c r="EH15">
        <f ca="1">'JACOBIAN - SWAP USD3ML'!F24</f>
        <v>0</v>
      </c>
      <c r="EI15">
        <f ca="1">'JACOBIAN - SWAP USD3ML'!G24</f>
        <v>0</v>
      </c>
      <c r="EJ15">
        <f ca="1">'JACOBIAN - SWAP USD3ML'!H24</f>
        <v>0</v>
      </c>
      <c r="EK15">
        <f ca="1">'JACOBIAN - SWAP USD3ML'!I24</f>
        <v>8.79504802320241E-16</v>
      </c>
      <c r="EL15">
        <f ca="1">'JACOBIAN - SWAP USD3ML'!J24</f>
        <v>9.8901057681972202E-5</v>
      </c>
      <c r="EM15">
        <f ca="1">'JACOBIAN - SWAP USD3ML'!K24</f>
        <v>1.0989149502472301E-6</v>
      </c>
      <c r="EN15">
        <f ca="1">'JACOBIAN - SWAP USD3ML'!L24</f>
        <v>0</v>
      </c>
      <c r="EO15">
        <f ca="1">'JACOBIAN - SWAP USD3ML'!M24</f>
        <v>0</v>
      </c>
      <c r="EP15">
        <f ca="1">'JACOBIAN - SWAP USD3ML'!N24</f>
        <v>0</v>
      </c>
      <c r="EQ15">
        <f ca="1">'JACOBIAN - SWAP USD3ML'!O24</f>
        <v>0</v>
      </c>
      <c r="ER15">
        <f ca="1">'JACOBIAN - SWAP USD3ML'!P24</f>
        <v>0</v>
      </c>
      <c r="ES15">
        <f ca="1">'JACOBIAN - SWAP USD3ML'!Q24</f>
        <v>0</v>
      </c>
      <c r="ET15">
        <f ca="1">'JACOBIAN - SWAP USD3ML'!R24</f>
        <v>0</v>
      </c>
      <c r="EU15">
        <f ca="1">'JACOBIAN - SWAP USD3ML'!S24</f>
        <v>0</v>
      </c>
      <c r="EV15">
        <f ca="1">'JACOBIAN - SWAP USD3ML'!T24</f>
        <v>0</v>
      </c>
      <c r="EW15">
        <f ca="1">'JACOBIAN - SWAP USD3ML'!U24</f>
        <v>0</v>
      </c>
      <c r="EX15">
        <f ca="1">'JACOBIAN - SWAP USD3ML'!V24</f>
        <v>0</v>
      </c>
      <c r="EY15">
        <f ca="1">'JACOBIAN - SWAP USD3ML'!W24</f>
        <v>0</v>
      </c>
      <c r="EZ15">
        <f ca="1">'JACOBIAN - SWAP USD3ML'!X24</f>
        <v>0</v>
      </c>
      <c r="FA15">
        <f ca="1">'JACOBIAN - SWAP USD3ML'!Y24</f>
        <v>0</v>
      </c>
      <c r="FB15">
        <f ca="1">'JACOBIAN - SWAP USD3ML'!Z24</f>
        <v>0</v>
      </c>
      <c r="FD15" s="146" t="str">
        <f ca="1"/>
        <v>ED6 Comdty</v>
      </c>
      <c r="FE15" s="280">
        <f ca="1"/>
        <v>6.3788171240641844E-6</v>
      </c>
      <c r="FF15" s="171"/>
      <c r="FH15" s="11" t="str">
        <f ca="1"/>
        <v>USDYC.OIS.OUTRIGHTOISSWAP.6M</v>
      </c>
      <c r="FI15" s="275">
        <f ca="1"/>
        <v>-0.24344456178369001</v>
      </c>
      <c r="FJ15" s="11" t="str">
        <f ca="1"/>
        <v>USDYC.STD.FUTURE.ED4 COMDTY.20200916.20201216</v>
      </c>
      <c r="FK15" s="275">
        <f ca="1"/>
        <v>7.5919131631962955E-3</v>
      </c>
      <c r="FL15" s="11" t="e">
        <f ca="1"/>
        <v>#N/A</v>
      </c>
    </row>
    <row r="16" spans="2:168" x14ac:dyDescent="0.25">
      <c r="B16" t="s">
        <v>265</v>
      </c>
      <c r="C16" s="247">
        <f ca="1">C12</f>
        <v>481.6434682773293</v>
      </c>
      <c r="F16" s="6">
        <f ca="1"/>
        <v>45278</v>
      </c>
      <c r="G16" s="9">
        <f ca="1"/>
        <v>45460</v>
      </c>
      <c r="H16" s="9">
        <f ca="1"/>
        <v>182</v>
      </c>
      <c r="I16" s="255">
        <f ca="1"/>
        <v>0.49722222222222201</v>
      </c>
      <c r="J16" s="269">
        <f ca="1"/>
        <v>45460</v>
      </c>
      <c r="K16" s="254">
        <f ca="1"/>
        <v>-1000000</v>
      </c>
      <c r="L16" s="58">
        <f ca="1"/>
        <v>0</v>
      </c>
      <c r="M16" s="9">
        <f ca="1"/>
        <v>1</v>
      </c>
      <c r="N16" s="9">
        <f ca="1"/>
        <v>0.01</v>
      </c>
      <c r="O16" s="264">
        <f ca="1"/>
        <v>-4972.2222222222199</v>
      </c>
      <c r="P16" s="9">
        <f ca="1"/>
        <v>0.94078344214865495</v>
      </c>
      <c r="Q16" s="9">
        <f ca="1"/>
        <v>-4677.7843373502601</v>
      </c>
      <c r="R16" s="9" t="str">
        <f ca="1"/>
        <v/>
      </c>
      <c r="S16" s="9" t="str">
        <f ca="1"/>
        <v/>
      </c>
      <c r="T16" s="9" t="str">
        <f ca="1"/>
        <v/>
      </c>
      <c r="U16" s="12" t="str">
        <f ca="1"/>
        <v/>
      </c>
      <c r="V16" s="252">
        <f t="shared" ca="1" si="34"/>
        <v>-467778.43373502546</v>
      </c>
      <c r="X16" s="258">
        <f t="shared" ca="1" si="0"/>
        <v>43938</v>
      </c>
      <c r="Y16" s="261">
        <v>0</v>
      </c>
      <c r="AA16" s="257">
        <f t="shared" ca="1" si="35"/>
        <v>43938</v>
      </c>
      <c r="AB16" s="266">
        <f t="shared" ca="1" si="2"/>
        <v>-3.4635075537359201E-5</v>
      </c>
      <c r="AC16" s="266"/>
      <c r="AD16" s="290">
        <f ca="1"/>
        <v>43938</v>
      </c>
      <c r="AE16" s="291">
        <f ca="1"/>
        <v>-3.4635075537359228E-5</v>
      </c>
      <c r="AF16" s="291" t="b">
        <f t="shared" ca="1" si="36"/>
        <v>1</v>
      </c>
      <c r="AH16" s="257">
        <f t="shared" ca="1" si="3"/>
        <v>44181</v>
      </c>
      <c r="AI16" s="260">
        <v>0</v>
      </c>
      <c r="AK16" s="290">
        <f ca="1"/>
        <v>44181</v>
      </c>
      <c r="AL16" s="291">
        <f ca="1"/>
        <v>9.9991564162849045E-5</v>
      </c>
      <c r="AM16" s="291" t="b">
        <f t="shared" ca="1" si="4"/>
        <v>1</v>
      </c>
      <c r="AO16" s="257">
        <f t="shared" ca="1" si="37"/>
        <v>44181</v>
      </c>
      <c r="AP16" s="266">
        <f t="shared" ca="1" si="38"/>
        <v>9.9991564162849004E-5</v>
      </c>
      <c r="AR16" s="248">
        <f ca="1">'JACOBIAN - OIS USDOIS'!B25</f>
        <v>43938</v>
      </c>
      <c r="AS16">
        <f ca="1">'JACOBIAN - OIS USDOIS'!C25</f>
        <v>-1.1050165268367E-6</v>
      </c>
      <c r="AT16">
        <f ca="1">'JACOBIAN - OIS USDOIS'!D25</f>
        <v>0</v>
      </c>
      <c r="AU16">
        <f ca="1">'JACOBIAN - OIS USDOIS'!E25</f>
        <v>0</v>
      </c>
      <c r="AV16">
        <f ca="1">'JACOBIAN - OIS USDOIS'!F25</f>
        <v>0</v>
      </c>
      <c r="AW16">
        <f ca="1">'JACOBIAN - OIS USDOIS'!G25</f>
        <v>0</v>
      </c>
      <c r="AX16">
        <f ca="1">'JACOBIAN - OIS USDOIS'!H25</f>
        <v>0</v>
      </c>
      <c r="AY16">
        <f ca="1">'JACOBIAN - OIS USDOIS'!I25</f>
        <v>0</v>
      </c>
      <c r="AZ16">
        <f ca="1">'JACOBIAN - OIS USDOIS'!J25</f>
        <v>-3.3530059010522501E-5</v>
      </c>
      <c r="BA16">
        <f ca="1">'JACOBIAN - OIS USDOIS'!K25</f>
        <v>0</v>
      </c>
      <c r="BB16">
        <f ca="1">'JACOBIAN - OIS USDOIS'!L25</f>
        <v>0</v>
      </c>
      <c r="BC16">
        <f ca="1">'JACOBIAN - OIS USDOIS'!M25</f>
        <v>0</v>
      </c>
      <c r="BD16">
        <f ca="1">'JACOBIAN - OIS USDOIS'!N25</f>
        <v>0</v>
      </c>
      <c r="BE16">
        <f ca="1">'JACOBIAN - OIS USDOIS'!O25</f>
        <v>0</v>
      </c>
      <c r="BF16">
        <f ca="1">'JACOBIAN - OIS USDOIS'!P25</f>
        <v>0</v>
      </c>
      <c r="BG16">
        <f ca="1">'JACOBIAN - OIS USDOIS'!Q25</f>
        <v>0</v>
      </c>
      <c r="BH16">
        <f ca="1">'JACOBIAN - OIS USDOIS'!R25</f>
        <v>0</v>
      </c>
      <c r="BI16" s="161">
        <f ca="1">'JACOBIAN - OIS USDOIS'!S25</f>
        <v>0</v>
      </c>
      <c r="BJ16" s="161">
        <f ca="1">'JACOBIAN - OIS USDOIS'!T25</f>
        <v>0</v>
      </c>
      <c r="BK16" s="161">
        <f ca="1">'JACOBIAN - OIS USDOIS'!U25</f>
        <v>0</v>
      </c>
      <c r="BL16" s="161">
        <f ca="1">'JACOBIAN - OIS USDOIS'!V25</f>
        <v>0</v>
      </c>
      <c r="BM16" s="161">
        <f ca="1">'JACOBIAN - OIS USDOIS'!W25</f>
        <v>0</v>
      </c>
      <c r="BN16" s="161">
        <f ca="1">'JACOBIAN - OIS USDOIS'!X25</f>
        <v>0</v>
      </c>
      <c r="BO16" s="161">
        <f ca="1">'JACOBIAN - OIS USDOIS'!Y25</f>
        <v>0</v>
      </c>
      <c r="BP16" s="161">
        <f ca="1">'JACOBIAN - OIS USDOIS'!Z25</f>
        <v>0</v>
      </c>
      <c r="BQ16" s="161">
        <f ca="1">'JACOBIAN - OIS USDOIS'!AA25</f>
        <v>0</v>
      </c>
      <c r="BR16" s="161">
        <f ca="1">'JACOBIAN - OIS USDOIS'!AB25</f>
        <v>0</v>
      </c>
      <c r="BS16" s="161">
        <f ca="1">'JACOBIAN - OIS USDOIS'!AC25</f>
        <v>0</v>
      </c>
      <c r="BT16" s="161">
        <f ca="1">'JACOBIAN - OIS USDOIS'!AD25</f>
        <v>0</v>
      </c>
      <c r="BU16">
        <f ca="1">'JACOBIAN - OIS USDOIS'!AE25</f>
        <v>0</v>
      </c>
      <c r="BV16">
        <f ca="1">'JACOBIAN - OIS USDOIS'!AF25</f>
        <v>0</v>
      </c>
      <c r="BW16">
        <f ca="1">'JACOBIAN - OIS USDOIS'!AG25</f>
        <v>0</v>
      </c>
      <c r="BX16">
        <f ca="1">'JACOBIAN - OIS USDOIS'!AH25</f>
        <v>0</v>
      </c>
      <c r="BY16">
        <f ca="1">'JACOBIAN - OIS USDOIS'!AI25</f>
        <v>0</v>
      </c>
      <c r="BZ16">
        <f ca="1">'JACOBIAN - OIS USDOIS'!AJ25</f>
        <v>0</v>
      </c>
      <c r="CA16">
        <f ca="1">'JACOBIAN - OIS USDOIS'!AK25</f>
        <v>0</v>
      </c>
      <c r="CB16">
        <f ca="1">'JACOBIAN - OIS USDOIS'!AL25</f>
        <v>0</v>
      </c>
      <c r="CC16">
        <f ca="1">'JACOBIAN - OIS USDOIS'!AM25</f>
        <v>0</v>
      </c>
      <c r="CD16">
        <f ca="1">'JACOBIAN - OIS USDOIS'!AN25</f>
        <v>0</v>
      </c>
      <c r="CE16">
        <f ca="1">'JACOBIAN - OIS USDOIS'!AO25</f>
        <v>0</v>
      </c>
      <c r="CF16">
        <f ca="1">'JACOBIAN - OIS USDOIS'!AP25</f>
        <v>0</v>
      </c>
      <c r="CK16" s="248">
        <f t="shared" ca="1" si="5"/>
        <v>43938</v>
      </c>
      <c r="CL16">
        <f t="shared" ca="1" si="6"/>
        <v>-1.1050165268367E-6</v>
      </c>
      <c r="CM16">
        <f t="shared" ca="1" si="7"/>
        <v>0</v>
      </c>
      <c r="CN16">
        <f t="shared" ca="1" si="8"/>
        <v>0</v>
      </c>
      <c r="CO16">
        <f t="shared" ca="1" si="9"/>
        <v>0</v>
      </c>
      <c r="CP16">
        <f t="shared" ca="1" si="10"/>
        <v>0</v>
      </c>
      <c r="CQ16">
        <f t="shared" ca="1" si="11"/>
        <v>0</v>
      </c>
      <c r="CR16">
        <f t="shared" ca="1" si="12"/>
        <v>0</v>
      </c>
      <c r="CS16">
        <f t="shared" ca="1" si="13"/>
        <v>-3.3530059010522501E-5</v>
      </c>
      <c r="CT16">
        <f t="shared" ca="1" si="14"/>
        <v>0</v>
      </c>
      <c r="CU16">
        <f t="shared" ca="1" si="15"/>
        <v>0</v>
      </c>
      <c r="CV16">
        <f t="shared" ca="1" si="16"/>
        <v>0</v>
      </c>
      <c r="CW16">
        <f t="shared" ca="1" si="17"/>
        <v>0</v>
      </c>
      <c r="CX16">
        <f t="shared" ca="1" si="18"/>
        <v>0</v>
      </c>
      <c r="CY16">
        <f t="shared" ca="1" si="19"/>
        <v>0</v>
      </c>
      <c r="CZ16">
        <f t="shared" ca="1" si="20"/>
        <v>0</v>
      </c>
      <c r="DA16">
        <f t="shared" ca="1" si="21"/>
        <v>0</v>
      </c>
      <c r="DB16" s="146">
        <v>0</v>
      </c>
      <c r="DC16" s="146">
        <v>0</v>
      </c>
      <c r="DD16" s="146">
        <v>0</v>
      </c>
      <c r="DE16" s="146">
        <v>0</v>
      </c>
      <c r="DF16" s="146">
        <v>0</v>
      </c>
      <c r="DG16" s="146">
        <v>0</v>
      </c>
      <c r="DH16" s="146">
        <v>0</v>
      </c>
      <c r="DI16" s="146">
        <v>0</v>
      </c>
      <c r="DJ16" s="146">
        <v>0</v>
      </c>
      <c r="DK16" s="146">
        <v>0</v>
      </c>
      <c r="DL16" s="146">
        <v>0</v>
      </c>
      <c r="DM16" s="146">
        <v>0</v>
      </c>
      <c r="DN16">
        <f t="shared" ca="1" si="22"/>
        <v>0</v>
      </c>
      <c r="DO16">
        <f t="shared" ca="1" si="23"/>
        <v>0</v>
      </c>
      <c r="DP16">
        <f t="shared" ca="1" si="24"/>
        <v>0</v>
      </c>
      <c r="DQ16">
        <f t="shared" ca="1" si="25"/>
        <v>0</v>
      </c>
      <c r="DR16">
        <f t="shared" ca="1" si="26"/>
        <v>0</v>
      </c>
      <c r="DS16">
        <f t="shared" ca="1" si="27"/>
        <v>0</v>
      </c>
      <c r="DT16">
        <f t="shared" ca="1" si="28"/>
        <v>0</v>
      </c>
      <c r="DU16">
        <f t="shared" ca="1" si="29"/>
        <v>0</v>
      </c>
      <c r="DV16">
        <f t="shared" ca="1" si="30"/>
        <v>0</v>
      </c>
      <c r="DW16">
        <f t="shared" ca="1" si="31"/>
        <v>0</v>
      </c>
      <c r="DX16">
        <f t="shared" ca="1" si="32"/>
        <v>0</v>
      </c>
      <c r="DY16">
        <f t="shared" ca="1" si="33"/>
        <v>0</v>
      </c>
      <c r="EA16" s="278" t="str">
        <f ca="1"/>
        <v>OIS_9M</v>
      </c>
      <c r="EB16" s="277">
        <f ca="1"/>
        <v>-6.5064534387294301E-3</v>
      </c>
      <c r="EC16" s="171"/>
      <c r="ED16" s="248">
        <f ca="1">'JACOBIAN - SWAP USD3ML'!B25</f>
        <v>44181</v>
      </c>
      <c r="EE16">
        <f ca="1">'JACOBIAN - SWAP USD3ML'!C25</f>
        <v>0</v>
      </c>
      <c r="EF16">
        <f ca="1">'JACOBIAN - SWAP USD3ML'!D25</f>
        <v>0</v>
      </c>
      <c r="EG16">
        <f ca="1">'JACOBIAN - SWAP USD3ML'!E25</f>
        <v>0</v>
      </c>
      <c r="EH16">
        <f ca="1">'JACOBIAN - SWAP USD3ML'!F25</f>
        <v>0</v>
      </c>
      <c r="EI16">
        <f ca="1">'JACOBIAN - SWAP USD3ML'!G25</f>
        <v>0</v>
      </c>
      <c r="EJ16">
        <f ca="1">'JACOBIAN - SWAP USD3ML'!H25</f>
        <v>0</v>
      </c>
      <c r="EK16">
        <f ca="1">'JACOBIAN - SWAP USD3ML'!I25</f>
        <v>0</v>
      </c>
      <c r="EL16">
        <f ca="1">'JACOBIAN - SWAP USD3ML'!J25</f>
        <v>0</v>
      </c>
      <c r="EM16">
        <f ca="1">'JACOBIAN - SWAP USD3ML'!K25</f>
        <v>9.9991564162849004E-5</v>
      </c>
      <c r="EN16">
        <f ca="1">'JACOBIAN - SWAP USD3ML'!L25</f>
        <v>0</v>
      </c>
      <c r="EO16">
        <f ca="1">'JACOBIAN - SWAP USD3ML'!M25</f>
        <v>0</v>
      </c>
      <c r="EP16">
        <f ca="1">'JACOBIAN - SWAP USD3ML'!N25</f>
        <v>0</v>
      </c>
      <c r="EQ16">
        <f ca="1">'JACOBIAN - SWAP USD3ML'!O25</f>
        <v>0</v>
      </c>
      <c r="ER16">
        <f ca="1">'JACOBIAN - SWAP USD3ML'!P25</f>
        <v>0</v>
      </c>
      <c r="ES16">
        <f ca="1">'JACOBIAN - SWAP USD3ML'!Q25</f>
        <v>0</v>
      </c>
      <c r="ET16">
        <f ca="1">'JACOBIAN - SWAP USD3ML'!R25</f>
        <v>0</v>
      </c>
      <c r="EU16">
        <f ca="1">'JACOBIAN - SWAP USD3ML'!S25</f>
        <v>0</v>
      </c>
      <c r="EV16">
        <f ca="1">'JACOBIAN - SWAP USD3ML'!T25</f>
        <v>0</v>
      </c>
      <c r="EW16">
        <f ca="1">'JACOBIAN - SWAP USD3ML'!U25</f>
        <v>0</v>
      </c>
      <c r="EX16">
        <f ca="1">'JACOBIAN - SWAP USD3ML'!V25</f>
        <v>0</v>
      </c>
      <c r="EY16">
        <f ca="1">'JACOBIAN - SWAP USD3ML'!W25</f>
        <v>0</v>
      </c>
      <c r="EZ16">
        <f ca="1">'JACOBIAN - SWAP USD3ML'!X25</f>
        <v>0</v>
      </c>
      <c r="FA16">
        <f ca="1">'JACOBIAN - SWAP USD3ML'!Y25</f>
        <v>0</v>
      </c>
      <c r="FB16">
        <f ca="1">'JACOBIAN - SWAP USD3ML'!Z25</f>
        <v>0</v>
      </c>
      <c r="FD16" s="146" t="str">
        <f ca="1"/>
        <v>ED7 Comdty</v>
      </c>
      <c r="FE16" s="280">
        <f ca="1"/>
        <v>4.475021518790534E-6</v>
      </c>
      <c r="FF16" s="171"/>
      <c r="FH16" s="11" t="str">
        <f ca="1"/>
        <v>USDYC.OIS.OUTRIGHTOISSWAP.9M</v>
      </c>
      <c r="FI16" s="275">
        <f ca="1"/>
        <v>0.24057323316810653</v>
      </c>
      <c r="FJ16" s="11" t="str">
        <f ca="1"/>
        <v>USDYC.STD.FUTURE.ED5 COMDTY.20201216.20210317</v>
      </c>
      <c r="FK16" s="275">
        <f ca="1"/>
        <v>7.5918142101727426E-3</v>
      </c>
      <c r="FL16" s="11" t="e">
        <f ca="1"/>
        <v>#N/A</v>
      </c>
    </row>
    <row r="17" spans="2:168" x14ac:dyDescent="0.25">
      <c r="B17" t="s">
        <v>266</v>
      </c>
      <c r="C17" s="247">
        <f ca="1">C13-C12</f>
        <v>-7.7813200853457261</v>
      </c>
      <c r="F17" s="6">
        <f ca="1"/>
        <v>45460</v>
      </c>
      <c r="G17" s="9">
        <f ca="1"/>
        <v>45643</v>
      </c>
      <c r="H17" s="9">
        <f ca="1"/>
        <v>183</v>
      </c>
      <c r="I17" s="255">
        <f ca="1"/>
        <v>0.5</v>
      </c>
      <c r="J17" s="269">
        <f ca="1"/>
        <v>45643</v>
      </c>
      <c r="K17" s="254">
        <f ca="1"/>
        <v>-1000000</v>
      </c>
      <c r="L17" s="58">
        <f ca="1"/>
        <v>0</v>
      </c>
      <c r="M17" s="9">
        <f ca="1"/>
        <v>1</v>
      </c>
      <c r="N17" s="9">
        <f ca="1"/>
        <v>0.01</v>
      </c>
      <c r="O17" s="264">
        <f ca="1"/>
        <v>-5000</v>
      </c>
      <c r="P17" s="9">
        <f ca="1"/>
        <v>0.93408001575647903</v>
      </c>
      <c r="Q17" s="9">
        <f ca="1"/>
        <v>-4670.4000787823998</v>
      </c>
      <c r="R17" s="9" t="str">
        <f ca="1"/>
        <v/>
      </c>
      <c r="S17" s="9" t="str">
        <f ca="1"/>
        <v/>
      </c>
      <c r="T17" s="9" t="str">
        <f ca="1"/>
        <v/>
      </c>
      <c r="U17" s="12" t="str">
        <f ca="1"/>
        <v/>
      </c>
      <c r="V17" s="252">
        <f t="shared" ca="1" si="34"/>
        <v>-467040.0078782395</v>
      </c>
      <c r="X17" s="258">
        <f t="shared" ca="1" si="0"/>
        <v>43969</v>
      </c>
      <c r="Y17" s="261">
        <v>0</v>
      </c>
      <c r="AA17" s="257">
        <f t="shared" ca="1" si="35"/>
        <v>43969</v>
      </c>
      <c r="AB17" s="266">
        <f t="shared" ca="1" si="2"/>
        <v>-4.3046362630305722E-5</v>
      </c>
      <c r="AC17" s="266"/>
      <c r="AD17" s="290">
        <f ca="1"/>
        <v>43969</v>
      </c>
      <c r="AE17" s="291">
        <f ca="1"/>
        <v>-4.3046362630305701E-5</v>
      </c>
      <c r="AF17" s="291" t="b">
        <f t="shared" ca="1" si="36"/>
        <v>1</v>
      </c>
      <c r="AH17" s="257">
        <f t="shared" ca="1" si="3"/>
        <v>44182</v>
      </c>
      <c r="AI17" s="260">
        <f ca="1">V24</f>
        <v>245559.84206572102</v>
      </c>
      <c r="AK17" s="290">
        <f ca="1"/>
        <v>44182</v>
      </c>
      <c r="AL17" s="291">
        <f ca="1"/>
        <v>9.999576641384067E-5</v>
      </c>
      <c r="AM17" s="291" t="b">
        <f t="shared" ca="1" si="4"/>
        <v>1</v>
      </c>
      <c r="AO17" s="257">
        <f t="shared" ca="1" si="37"/>
        <v>44182</v>
      </c>
      <c r="AP17" s="266">
        <f t="shared" ca="1" si="38"/>
        <v>9.9995766413840697E-5</v>
      </c>
      <c r="AR17" s="248">
        <f ca="1">'JACOBIAN - OIS USDOIS'!B26</f>
        <v>43969</v>
      </c>
      <c r="AS17">
        <f ca="1">'JACOBIAN - OIS USDOIS'!C26</f>
        <v>-1.1036112552709201E-6</v>
      </c>
      <c r="AT17">
        <f ca="1">'JACOBIAN - OIS USDOIS'!D26</f>
        <v>0</v>
      </c>
      <c r="AU17">
        <f ca="1">'JACOBIAN - OIS USDOIS'!E26</f>
        <v>0</v>
      </c>
      <c r="AV17">
        <f ca="1">'JACOBIAN - OIS USDOIS'!F26</f>
        <v>0</v>
      </c>
      <c r="AW17">
        <f ca="1">'JACOBIAN - OIS USDOIS'!G26</f>
        <v>0</v>
      </c>
      <c r="AX17">
        <f ca="1">'JACOBIAN - OIS USDOIS'!H26</f>
        <v>0</v>
      </c>
      <c r="AY17">
        <f ca="1">'JACOBIAN - OIS USDOIS'!I26</f>
        <v>0</v>
      </c>
      <c r="AZ17">
        <f ca="1">'JACOBIAN - OIS USDOIS'!J26</f>
        <v>0</v>
      </c>
      <c r="BA17">
        <f ca="1">'JACOBIAN - OIS USDOIS'!K26</f>
        <v>-4.1942751375034802E-5</v>
      </c>
      <c r="BB17">
        <f ca="1">'JACOBIAN - OIS USDOIS'!L26</f>
        <v>0</v>
      </c>
      <c r="BC17">
        <f ca="1">'JACOBIAN - OIS USDOIS'!M26</f>
        <v>0</v>
      </c>
      <c r="BD17">
        <f ca="1">'JACOBIAN - OIS USDOIS'!N26</f>
        <v>0</v>
      </c>
      <c r="BE17">
        <f ca="1">'JACOBIAN - OIS USDOIS'!O26</f>
        <v>0</v>
      </c>
      <c r="BF17">
        <f ca="1">'JACOBIAN - OIS USDOIS'!P26</f>
        <v>0</v>
      </c>
      <c r="BG17">
        <f ca="1">'JACOBIAN - OIS USDOIS'!Q26</f>
        <v>0</v>
      </c>
      <c r="BH17">
        <f ca="1">'JACOBIAN - OIS USDOIS'!R26</f>
        <v>0</v>
      </c>
      <c r="BI17" s="161">
        <f ca="1">'JACOBIAN - OIS USDOIS'!S26</f>
        <v>0</v>
      </c>
      <c r="BJ17" s="161">
        <f ca="1">'JACOBIAN - OIS USDOIS'!T26</f>
        <v>0</v>
      </c>
      <c r="BK17" s="161">
        <f ca="1">'JACOBIAN - OIS USDOIS'!U26</f>
        <v>0</v>
      </c>
      <c r="BL17" s="161">
        <f ca="1">'JACOBIAN - OIS USDOIS'!V26</f>
        <v>0</v>
      </c>
      <c r="BM17" s="161">
        <f ca="1">'JACOBIAN - OIS USDOIS'!W26</f>
        <v>0</v>
      </c>
      <c r="BN17" s="161">
        <f ca="1">'JACOBIAN - OIS USDOIS'!X26</f>
        <v>0</v>
      </c>
      <c r="BO17" s="161">
        <f ca="1">'JACOBIAN - OIS USDOIS'!Y26</f>
        <v>0</v>
      </c>
      <c r="BP17" s="161">
        <f ca="1">'JACOBIAN - OIS USDOIS'!Z26</f>
        <v>0</v>
      </c>
      <c r="BQ17" s="161">
        <f ca="1">'JACOBIAN - OIS USDOIS'!AA26</f>
        <v>0</v>
      </c>
      <c r="BR17" s="161">
        <f ca="1">'JACOBIAN - OIS USDOIS'!AB26</f>
        <v>0</v>
      </c>
      <c r="BS17" s="161">
        <f ca="1">'JACOBIAN - OIS USDOIS'!AC26</f>
        <v>0</v>
      </c>
      <c r="BT17" s="161">
        <f ca="1">'JACOBIAN - OIS USDOIS'!AD26</f>
        <v>0</v>
      </c>
      <c r="BU17">
        <f ca="1">'JACOBIAN - OIS USDOIS'!AE26</f>
        <v>0</v>
      </c>
      <c r="BV17">
        <f ca="1">'JACOBIAN - OIS USDOIS'!AF26</f>
        <v>0</v>
      </c>
      <c r="BW17">
        <f ca="1">'JACOBIAN - OIS USDOIS'!AG26</f>
        <v>0</v>
      </c>
      <c r="BX17">
        <f ca="1">'JACOBIAN - OIS USDOIS'!AH26</f>
        <v>0</v>
      </c>
      <c r="BY17">
        <f ca="1">'JACOBIAN - OIS USDOIS'!AI26</f>
        <v>0</v>
      </c>
      <c r="BZ17">
        <f ca="1">'JACOBIAN - OIS USDOIS'!AJ26</f>
        <v>0</v>
      </c>
      <c r="CA17">
        <f ca="1">'JACOBIAN - OIS USDOIS'!AK26</f>
        <v>0</v>
      </c>
      <c r="CB17">
        <f ca="1">'JACOBIAN - OIS USDOIS'!AL26</f>
        <v>0</v>
      </c>
      <c r="CC17">
        <f ca="1">'JACOBIAN - OIS USDOIS'!AM26</f>
        <v>0</v>
      </c>
      <c r="CD17">
        <f ca="1">'JACOBIAN - OIS USDOIS'!AN26</f>
        <v>0</v>
      </c>
      <c r="CE17">
        <f ca="1">'JACOBIAN - OIS USDOIS'!AO26</f>
        <v>0</v>
      </c>
      <c r="CF17">
        <f ca="1">'JACOBIAN - OIS USDOIS'!AP26</f>
        <v>0</v>
      </c>
      <c r="CK17" s="248">
        <f t="shared" ca="1" si="5"/>
        <v>43969</v>
      </c>
      <c r="CL17">
        <f t="shared" ca="1" si="6"/>
        <v>-1.1036112552709201E-6</v>
      </c>
      <c r="CM17">
        <f t="shared" ca="1" si="7"/>
        <v>0</v>
      </c>
      <c r="CN17">
        <f t="shared" ca="1" si="8"/>
        <v>0</v>
      </c>
      <c r="CO17">
        <f t="shared" ca="1" si="9"/>
        <v>0</v>
      </c>
      <c r="CP17">
        <f t="shared" ca="1" si="10"/>
        <v>0</v>
      </c>
      <c r="CQ17">
        <f t="shared" ca="1" si="11"/>
        <v>0</v>
      </c>
      <c r="CR17">
        <f t="shared" ca="1" si="12"/>
        <v>0</v>
      </c>
      <c r="CS17">
        <f t="shared" ca="1" si="13"/>
        <v>0</v>
      </c>
      <c r="CT17">
        <f t="shared" ca="1" si="14"/>
        <v>-4.1942751375034802E-5</v>
      </c>
      <c r="CU17">
        <f t="shared" ca="1" si="15"/>
        <v>0</v>
      </c>
      <c r="CV17">
        <f t="shared" ca="1" si="16"/>
        <v>0</v>
      </c>
      <c r="CW17">
        <f t="shared" ca="1" si="17"/>
        <v>0</v>
      </c>
      <c r="CX17">
        <f t="shared" ca="1" si="18"/>
        <v>0</v>
      </c>
      <c r="CY17">
        <f t="shared" ca="1" si="19"/>
        <v>0</v>
      </c>
      <c r="CZ17">
        <f t="shared" ca="1" si="20"/>
        <v>0</v>
      </c>
      <c r="DA17">
        <f t="shared" ca="1" si="21"/>
        <v>0</v>
      </c>
      <c r="DB17" s="146">
        <v>0</v>
      </c>
      <c r="DC17" s="146">
        <v>0</v>
      </c>
      <c r="DD17" s="146">
        <v>0</v>
      </c>
      <c r="DE17" s="146">
        <v>0</v>
      </c>
      <c r="DF17" s="146">
        <v>0</v>
      </c>
      <c r="DG17" s="146">
        <v>0</v>
      </c>
      <c r="DH17" s="146">
        <v>0</v>
      </c>
      <c r="DI17" s="146">
        <v>0</v>
      </c>
      <c r="DJ17" s="146">
        <v>0</v>
      </c>
      <c r="DK17" s="146">
        <v>0</v>
      </c>
      <c r="DL17" s="146">
        <v>0</v>
      </c>
      <c r="DM17" s="146">
        <v>0</v>
      </c>
      <c r="DN17">
        <f t="shared" ca="1" si="22"/>
        <v>0</v>
      </c>
      <c r="DO17">
        <f t="shared" ca="1" si="23"/>
        <v>0</v>
      </c>
      <c r="DP17">
        <f t="shared" ca="1" si="24"/>
        <v>0</v>
      </c>
      <c r="DQ17">
        <f t="shared" ca="1" si="25"/>
        <v>0</v>
      </c>
      <c r="DR17">
        <f t="shared" ca="1" si="26"/>
        <v>0</v>
      </c>
      <c r="DS17">
        <f t="shared" ca="1" si="27"/>
        <v>0</v>
      </c>
      <c r="DT17">
        <f t="shared" ca="1" si="28"/>
        <v>0</v>
      </c>
      <c r="DU17">
        <f t="shared" ca="1" si="29"/>
        <v>0</v>
      </c>
      <c r="DV17">
        <f t="shared" ca="1" si="30"/>
        <v>0</v>
      </c>
      <c r="DW17">
        <f t="shared" ca="1" si="31"/>
        <v>0</v>
      </c>
      <c r="DX17">
        <f t="shared" ca="1" si="32"/>
        <v>0</v>
      </c>
      <c r="DY17">
        <f t="shared" ca="1" si="33"/>
        <v>0</v>
      </c>
      <c r="EA17" s="278" t="str">
        <f ca="1"/>
        <v>OIS_1Y</v>
      </c>
      <c r="EB17" s="277">
        <f ca="1"/>
        <v>1.7487222027193586E-9</v>
      </c>
      <c r="EC17" s="171"/>
      <c r="ED17" s="248">
        <f ca="1">'JACOBIAN - SWAP USD3ML'!B26</f>
        <v>44182</v>
      </c>
      <c r="EE17">
        <f ca="1">'JACOBIAN - SWAP USD3ML'!C26</f>
        <v>0</v>
      </c>
      <c r="EF17">
        <f ca="1">'JACOBIAN - SWAP USD3ML'!D26</f>
        <v>0</v>
      </c>
      <c r="EG17">
        <f ca="1">'JACOBIAN - SWAP USD3ML'!E26</f>
        <v>0</v>
      </c>
      <c r="EH17">
        <f ca="1">'JACOBIAN - SWAP USD3ML'!F26</f>
        <v>0</v>
      </c>
      <c r="EI17">
        <f ca="1">'JACOBIAN - SWAP USD3ML'!G26</f>
        <v>0</v>
      </c>
      <c r="EJ17">
        <f ca="1">'JACOBIAN - SWAP USD3ML'!H26</f>
        <v>0</v>
      </c>
      <c r="EK17">
        <f ca="1">'JACOBIAN - SWAP USD3ML'!I26</f>
        <v>0</v>
      </c>
      <c r="EL17">
        <f ca="1">'JACOBIAN - SWAP USD3ML'!J26</f>
        <v>0</v>
      </c>
      <c r="EM17">
        <f ca="1">'JACOBIAN - SWAP USD3ML'!K26</f>
        <v>9.9995766413840697E-5</v>
      </c>
      <c r="EN17">
        <f ca="1">'JACOBIAN - SWAP USD3ML'!L26</f>
        <v>0</v>
      </c>
      <c r="EO17">
        <f ca="1">'JACOBIAN - SWAP USD3ML'!M26</f>
        <v>0</v>
      </c>
      <c r="EP17">
        <f ca="1">'JACOBIAN - SWAP USD3ML'!N26</f>
        <v>0</v>
      </c>
      <c r="EQ17">
        <f ca="1">'JACOBIAN - SWAP USD3ML'!O26</f>
        <v>0</v>
      </c>
      <c r="ER17">
        <f ca="1">'JACOBIAN - SWAP USD3ML'!P26</f>
        <v>0</v>
      </c>
      <c r="ES17">
        <f ca="1">'JACOBIAN - SWAP USD3ML'!Q26</f>
        <v>0</v>
      </c>
      <c r="ET17">
        <f ca="1">'JACOBIAN - SWAP USD3ML'!R26</f>
        <v>0</v>
      </c>
      <c r="EU17">
        <f ca="1">'JACOBIAN - SWAP USD3ML'!S26</f>
        <v>0</v>
      </c>
      <c r="EV17">
        <f ca="1">'JACOBIAN - SWAP USD3ML'!T26</f>
        <v>0</v>
      </c>
      <c r="EW17">
        <f ca="1">'JACOBIAN - SWAP USD3ML'!U26</f>
        <v>0</v>
      </c>
      <c r="EX17">
        <f ca="1">'JACOBIAN - SWAP USD3ML'!V26</f>
        <v>0</v>
      </c>
      <c r="EY17">
        <f ca="1">'JACOBIAN - SWAP USD3ML'!W26</f>
        <v>0</v>
      </c>
      <c r="EZ17">
        <f ca="1">'JACOBIAN - SWAP USD3ML'!X26</f>
        <v>0</v>
      </c>
      <c r="FA17">
        <f ca="1">'JACOBIAN - SWAP USD3ML'!Y26</f>
        <v>0</v>
      </c>
      <c r="FB17">
        <f ca="1">'JACOBIAN - SWAP USD3ML'!Z26</f>
        <v>0</v>
      </c>
      <c r="FD17" s="146" t="str">
        <f ca="1"/>
        <v>ED8 Comdty</v>
      </c>
      <c r="FE17" s="280">
        <f ca="1"/>
        <v>1.1979127199079898E-5</v>
      </c>
      <c r="FF17" s="171"/>
      <c r="FH17" s="11" t="str">
        <f ca="1"/>
        <v>USDYC.OIS.BASISRATE.1Y</v>
      </c>
      <c r="FI17" s="275">
        <f ca="1"/>
        <v>0.64731554812169634</v>
      </c>
      <c r="FJ17" s="11" t="str">
        <f ca="1"/>
        <v>USDYC.STD.FUTURE.ED6 COMDTY.20210317.20210616</v>
      </c>
      <c r="FK17" s="275">
        <f ca="1"/>
        <v>7.5917778303846717E-3</v>
      </c>
      <c r="FL17" s="11" t="e">
        <f ca="1"/>
        <v>#N/A</v>
      </c>
    </row>
    <row r="18" spans="2:168" x14ac:dyDescent="0.25">
      <c r="B18" t="s">
        <v>257</v>
      </c>
      <c r="C18" s="247">
        <f ca="1">C16</f>
        <v>481.6434682773293</v>
      </c>
      <c r="F18" s="6" t="str">
        <f ca="1"/>
        <v>Leg2:Float Leg Schedule &amp; Cashflows</v>
      </c>
      <c r="G18" s="9" t="str">
        <f ca="1"/>
        <v/>
      </c>
      <c r="H18" s="9" t="str">
        <f ca="1"/>
        <v/>
      </c>
      <c r="I18" s="9" t="str">
        <f ca="1"/>
        <v/>
      </c>
      <c r="J18" s="58" t="str">
        <f ca="1"/>
        <v/>
      </c>
      <c r="K18" s="58" t="str">
        <f ca="1"/>
        <v/>
      </c>
      <c r="L18" s="58" t="str">
        <f ca="1"/>
        <v/>
      </c>
      <c r="M18" s="9" t="str">
        <f ca="1"/>
        <v/>
      </c>
      <c r="N18" s="9" t="str">
        <f ca="1"/>
        <v/>
      </c>
      <c r="O18" s="9" t="str">
        <f ca="1"/>
        <v/>
      </c>
      <c r="P18" s="9" t="str">
        <f ca="1"/>
        <v/>
      </c>
      <c r="Q18" s="9" t="str">
        <f ca="1"/>
        <v/>
      </c>
      <c r="R18" s="9" t="str">
        <f ca="1"/>
        <v/>
      </c>
      <c r="S18" s="9" t="str">
        <f ca="1"/>
        <v/>
      </c>
      <c r="T18" s="9" t="str">
        <f ca="1"/>
        <v/>
      </c>
      <c r="U18" s="12" t="str">
        <f ca="1"/>
        <v/>
      </c>
      <c r="V18" s="58"/>
      <c r="X18" s="258">
        <f t="shared" ca="1" si="0"/>
        <v>43999</v>
      </c>
      <c r="Y18" s="292">
        <f ca="1">O8+Q21</f>
        <v>-628.29253730123037</v>
      </c>
      <c r="AA18" s="257">
        <f t="shared" ca="1" si="35"/>
        <v>43999</v>
      </c>
      <c r="AB18" s="266">
        <f t="shared" ca="1" si="2"/>
        <v>-5.114666245631392E-5</v>
      </c>
      <c r="AC18" s="266"/>
      <c r="AD18" s="290">
        <f ca="1"/>
        <v>43999</v>
      </c>
      <c r="AE18" s="291">
        <f ca="1"/>
        <v>-5.114666245631394E-5</v>
      </c>
      <c r="AF18" s="291" t="b">
        <f t="shared" ca="1" si="36"/>
        <v>1</v>
      </c>
      <c r="AH18" s="257">
        <f t="shared" ca="1" si="3"/>
        <v>44272</v>
      </c>
      <c r="AI18" s="260">
        <f ca="1">V25</f>
        <v>250221.38250330946</v>
      </c>
      <c r="AK18" s="290">
        <f ca="1"/>
        <v>44272</v>
      </c>
      <c r="AL18" s="291">
        <f ca="1"/>
        <v>1.0000399517354382E-4</v>
      </c>
      <c r="AM18" s="291" t="b">
        <f t="shared" ca="1" si="4"/>
        <v>1</v>
      </c>
      <c r="AO18" s="257">
        <f t="shared" ca="1" si="37"/>
        <v>44272</v>
      </c>
      <c r="AP18" s="266">
        <f t="shared" ca="1" si="38"/>
        <v>1.0000399517354379E-4</v>
      </c>
      <c r="AR18" s="248">
        <f ca="1">'JACOBIAN - OIS USDOIS'!B27</f>
        <v>43999</v>
      </c>
      <c r="AS18">
        <f ca="1">'JACOBIAN - OIS USDOIS'!C27</f>
        <v>-1.10226834537652E-6</v>
      </c>
      <c r="AT18">
        <f ca="1">'JACOBIAN - OIS USDOIS'!D27</f>
        <v>0</v>
      </c>
      <c r="AU18">
        <f ca="1">'JACOBIAN - OIS USDOIS'!E27</f>
        <v>0</v>
      </c>
      <c r="AV18">
        <f ca="1">'JACOBIAN - OIS USDOIS'!F27</f>
        <v>0</v>
      </c>
      <c r="AW18">
        <f ca="1">'JACOBIAN - OIS USDOIS'!G27</f>
        <v>0</v>
      </c>
      <c r="AX18">
        <f ca="1">'JACOBIAN - OIS USDOIS'!H27</f>
        <v>0</v>
      </c>
      <c r="AY18">
        <f ca="1">'JACOBIAN - OIS USDOIS'!I27</f>
        <v>0</v>
      </c>
      <c r="AZ18">
        <f ca="1">'JACOBIAN - OIS USDOIS'!J27</f>
        <v>0</v>
      </c>
      <c r="BA18">
        <f ca="1">'JACOBIAN - OIS USDOIS'!K27</f>
        <v>0</v>
      </c>
      <c r="BB18">
        <f ca="1">'JACOBIAN - OIS USDOIS'!L27</f>
        <v>-5.0044394110937398E-5</v>
      </c>
      <c r="BC18">
        <f ca="1">'JACOBIAN - OIS USDOIS'!M27</f>
        <v>0</v>
      </c>
      <c r="BD18">
        <f ca="1">'JACOBIAN - OIS USDOIS'!N27</f>
        <v>0</v>
      </c>
      <c r="BE18">
        <f ca="1">'JACOBIAN - OIS USDOIS'!O27</f>
        <v>0</v>
      </c>
      <c r="BF18">
        <f ca="1">'JACOBIAN - OIS USDOIS'!P27</f>
        <v>0</v>
      </c>
      <c r="BG18">
        <f ca="1">'JACOBIAN - OIS USDOIS'!Q27</f>
        <v>0</v>
      </c>
      <c r="BH18">
        <f ca="1">'JACOBIAN - OIS USDOIS'!R27</f>
        <v>0</v>
      </c>
      <c r="BI18" s="161">
        <f ca="1">'JACOBIAN - OIS USDOIS'!S27</f>
        <v>0</v>
      </c>
      <c r="BJ18" s="161">
        <f ca="1">'JACOBIAN - OIS USDOIS'!T27</f>
        <v>0</v>
      </c>
      <c r="BK18" s="161">
        <f ca="1">'JACOBIAN - OIS USDOIS'!U27</f>
        <v>0</v>
      </c>
      <c r="BL18" s="161">
        <f ca="1">'JACOBIAN - OIS USDOIS'!V27</f>
        <v>0</v>
      </c>
      <c r="BM18" s="161">
        <f ca="1">'JACOBIAN - OIS USDOIS'!W27</f>
        <v>0</v>
      </c>
      <c r="BN18" s="161">
        <f ca="1">'JACOBIAN - OIS USDOIS'!X27</f>
        <v>0</v>
      </c>
      <c r="BO18" s="161">
        <f ca="1">'JACOBIAN - OIS USDOIS'!Y27</f>
        <v>0</v>
      </c>
      <c r="BP18" s="161">
        <f ca="1">'JACOBIAN - OIS USDOIS'!Z27</f>
        <v>0</v>
      </c>
      <c r="BQ18" s="161">
        <f ca="1">'JACOBIAN - OIS USDOIS'!AA27</f>
        <v>0</v>
      </c>
      <c r="BR18" s="161">
        <f ca="1">'JACOBIAN - OIS USDOIS'!AB27</f>
        <v>0</v>
      </c>
      <c r="BS18" s="161">
        <f ca="1">'JACOBIAN - OIS USDOIS'!AC27</f>
        <v>0</v>
      </c>
      <c r="BT18" s="161">
        <f ca="1">'JACOBIAN - OIS USDOIS'!AD27</f>
        <v>0</v>
      </c>
      <c r="BU18">
        <f ca="1">'JACOBIAN - OIS USDOIS'!AE27</f>
        <v>0</v>
      </c>
      <c r="BV18">
        <f ca="1">'JACOBIAN - OIS USDOIS'!AF27</f>
        <v>0</v>
      </c>
      <c r="BW18">
        <f ca="1">'JACOBIAN - OIS USDOIS'!AG27</f>
        <v>0</v>
      </c>
      <c r="BX18">
        <f ca="1">'JACOBIAN - OIS USDOIS'!AH27</f>
        <v>0</v>
      </c>
      <c r="BY18">
        <f ca="1">'JACOBIAN - OIS USDOIS'!AI27</f>
        <v>0</v>
      </c>
      <c r="BZ18">
        <f ca="1">'JACOBIAN - OIS USDOIS'!AJ27</f>
        <v>0</v>
      </c>
      <c r="CA18">
        <f ca="1">'JACOBIAN - OIS USDOIS'!AK27</f>
        <v>0</v>
      </c>
      <c r="CB18">
        <f ca="1">'JACOBIAN - OIS USDOIS'!AL27</f>
        <v>0</v>
      </c>
      <c r="CC18">
        <f ca="1">'JACOBIAN - OIS USDOIS'!AM27</f>
        <v>0</v>
      </c>
      <c r="CD18">
        <f ca="1">'JACOBIAN - OIS USDOIS'!AN27</f>
        <v>0</v>
      </c>
      <c r="CE18">
        <f ca="1">'JACOBIAN - OIS USDOIS'!AO27</f>
        <v>0</v>
      </c>
      <c r="CF18">
        <f ca="1">'JACOBIAN - OIS USDOIS'!AP27</f>
        <v>0</v>
      </c>
      <c r="CK18" s="248">
        <f t="shared" ca="1" si="5"/>
        <v>43999</v>
      </c>
      <c r="CL18">
        <f t="shared" ca="1" si="6"/>
        <v>-1.10226834537652E-6</v>
      </c>
      <c r="CM18">
        <f t="shared" ca="1" si="7"/>
        <v>0</v>
      </c>
      <c r="CN18">
        <f t="shared" ca="1" si="8"/>
        <v>0</v>
      </c>
      <c r="CO18">
        <f t="shared" ca="1" si="9"/>
        <v>0</v>
      </c>
      <c r="CP18">
        <f t="shared" ca="1" si="10"/>
        <v>0</v>
      </c>
      <c r="CQ18">
        <f t="shared" ca="1" si="11"/>
        <v>0</v>
      </c>
      <c r="CR18">
        <f t="shared" ca="1" si="12"/>
        <v>0</v>
      </c>
      <c r="CS18">
        <f t="shared" ca="1" si="13"/>
        <v>0</v>
      </c>
      <c r="CT18">
        <f t="shared" ca="1" si="14"/>
        <v>0</v>
      </c>
      <c r="CU18">
        <f t="shared" ca="1" si="15"/>
        <v>-5.0044394110937398E-5</v>
      </c>
      <c r="CV18">
        <f t="shared" ca="1" si="16"/>
        <v>0</v>
      </c>
      <c r="CW18">
        <f t="shared" ca="1" si="17"/>
        <v>0</v>
      </c>
      <c r="CX18">
        <f t="shared" ca="1" si="18"/>
        <v>0</v>
      </c>
      <c r="CY18">
        <f t="shared" ca="1" si="19"/>
        <v>0</v>
      </c>
      <c r="CZ18">
        <f t="shared" ca="1" si="20"/>
        <v>0</v>
      </c>
      <c r="DA18">
        <f t="shared" ca="1" si="21"/>
        <v>0</v>
      </c>
      <c r="DB18" s="146">
        <v>0</v>
      </c>
      <c r="DC18" s="146">
        <v>0</v>
      </c>
      <c r="DD18" s="146">
        <v>0</v>
      </c>
      <c r="DE18" s="146">
        <v>0</v>
      </c>
      <c r="DF18" s="146">
        <v>0</v>
      </c>
      <c r="DG18" s="146">
        <v>0</v>
      </c>
      <c r="DH18" s="146">
        <v>0</v>
      </c>
      <c r="DI18" s="146">
        <v>0</v>
      </c>
      <c r="DJ18" s="146">
        <v>0</v>
      </c>
      <c r="DK18" s="146">
        <v>0</v>
      </c>
      <c r="DL18" s="146">
        <v>0</v>
      </c>
      <c r="DM18" s="146">
        <v>0</v>
      </c>
      <c r="DN18">
        <f t="shared" ca="1" si="22"/>
        <v>0</v>
      </c>
      <c r="DO18">
        <f t="shared" ca="1" si="23"/>
        <v>0</v>
      </c>
      <c r="DP18">
        <f t="shared" ca="1" si="24"/>
        <v>0</v>
      </c>
      <c r="DQ18">
        <f t="shared" ca="1" si="25"/>
        <v>0</v>
      </c>
      <c r="DR18">
        <f t="shared" ca="1" si="26"/>
        <v>0</v>
      </c>
      <c r="DS18">
        <f t="shared" ca="1" si="27"/>
        <v>0</v>
      </c>
      <c r="DT18">
        <f t="shared" ca="1" si="28"/>
        <v>0</v>
      </c>
      <c r="DU18">
        <f t="shared" ca="1" si="29"/>
        <v>0</v>
      </c>
      <c r="DV18">
        <f t="shared" ca="1" si="30"/>
        <v>0</v>
      </c>
      <c r="DW18">
        <f t="shared" ca="1" si="31"/>
        <v>0</v>
      </c>
      <c r="DX18">
        <f t="shared" ca="1" si="32"/>
        <v>0</v>
      </c>
      <c r="DY18">
        <f t="shared" ca="1" si="33"/>
        <v>0</v>
      </c>
      <c r="EA18" s="278" t="str">
        <f ca="1"/>
        <v>OIS_2Y</v>
      </c>
      <c r="EB18" s="277">
        <f ca="1"/>
        <v>1.7487222027193586E-9</v>
      </c>
      <c r="EC18" s="171"/>
      <c r="ED18" s="248">
        <f ca="1">'JACOBIAN - SWAP USD3ML'!B27</f>
        <v>44272</v>
      </c>
      <c r="EE18">
        <f ca="1">'JACOBIAN - SWAP USD3ML'!C27</f>
        <v>0</v>
      </c>
      <c r="EF18">
        <f ca="1">'JACOBIAN - SWAP USD3ML'!D27</f>
        <v>0</v>
      </c>
      <c r="EG18">
        <f ca="1">'JACOBIAN - SWAP USD3ML'!E27</f>
        <v>0</v>
      </c>
      <c r="EH18">
        <f ca="1">'JACOBIAN - SWAP USD3ML'!F27</f>
        <v>0</v>
      </c>
      <c r="EI18">
        <f ca="1">'JACOBIAN - SWAP USD3ML'!G27</f>
        <v>0</v>
      </c>
      <c r="EJ18">
        <f ca="1">'JACOBIAN - SWAP USD3ML'!H27</f>
        <v>0</v>
      </c>
      <c r="EK18">
        <f ca="1">'JACOBIAN - SWAP USD3ML'!I27</f>
        <v>0</v>
      </c>
      <c r="EL18">
        <f ca="1">'JACOBIAN - SWAP USD3ML'!J27</f>
        <v>0</v>
      </c>
      <c r="EM18">
        <f ca="1">'JACOBIAN - SWAP USD3ML'!K27</f>
        <v>0</v>
      </c>
      <c r="EN18">
        <f ca="1">'JACOBIAN - SWAP USD3ML'!L27</f>
        <v>9.8916988600095097E-5</v>
      </c>
      <c r="EO18">
        <f ca="1">'JACOBIAN - SWAP USD3ML'!M27</f>
        <v>1.08700657344869E-6</v>
      </c>
      <c r="EP18">
        <f ca="1">'JACOBIAN - SWAP USD3ML'!N27</f>
        <v>0</v>
      </c>
      <c r="EQ18">
        <f ca="1">'JACOBIAN - SWAP USD3ML'!O27</f>
        <v>0</v>
      </c>
      <c r="ER18">
        <f ca="1">'JACOBIAN - SWAP USD3ML'!P27</f>
        <v>0</v>
      </c>
      <c r="ES18">
        <f ca="1">'JACOBIAN - SWAP USD3ML'!Q27</f>
        <v>0</v>
      </c>
      <c r="ET18">
        <f ca="1">'JACOBIAN - SWAP USD3ML'!R27</f>
        <v>0</v>
      </c>
      <c r="EU18">
        <f ca="1">'JACOBIAN - SWAP USD3ML'!S27</f>
        <v>0</v>
      </c>
      <c r="EV18">
        <f ca="1">'JACOBIAN - SWAP USD3ML'!T27</f>
        <v>0</v>
      </c>
      <c r="EW18">
        <f ca="1">'JACOBIAN - SWAP USD3ML'!U27</f>
        <v>0</v>
      </c>
      <c r="EX18">
        <f ca="1">'JACOBIAN - SWAP USD3ML'!V27</f>
        <v>0</v>
      </c>
      <c r="EY18">
        <f ca="1">'JACOBIAN - SWAP USD3ML'!W27</f>
        <v>0</v>
      </c>
      <c r="EZ18">
        <f ca="1">'JACOBIAN - SWAP USD3ML'!X27</f>
        <v>0</v>
      </c>
      <c r="FA18">
        <f ca="1">'JACOBIAN - SWAP USD3ML'!Y27</f>
        <v>0</v>
      </c>
      <c r="FB18">
        <f ca="1">'JACOBIAN - SWAP USD3ML'!Z27</f>
        <v>0</v>
      </c>
      <c r="FD18" s="146" t="str">
        <f ca="1"/>
        <v>SWAP_3Y</v>
      </c>
      <c r="FE18" s="280">
        <f ca="1"/>
        <v>-3.8531253693463441E-5</v>
      </c>
      <c r="FF18" s="171"/>
      <c r="FH18" s="11" t="str">
        <f ca="1"/>
        <v>USDYC.OIS.3MLIBORSWAP.1Y</v>
      </c>
      <c r="FI18" s="275">
        <f ca="1"/>
        <v>-0.6205374316778034</v>
      </c>
      <c r="FJ18" s="11" t="str">
        <f ca="1"/>
        <v>USDYC.STD.FUTURE.ED7 COMDTY.20210616.20210915</v>
      </c>
      <c r="FK18" s="275">
        <f ca="1"/>
        <v>7.5917443609796464E-3</v>
      </c>
      <c r="FL18" s="11" t="e">
        <f ca="1"/>
        <v>#N/A</v>
      </c>
    </row>
    <row r="19" spans="2:168" x14ac:dyDescent="0.25">
      <c r="B19" t="s">
        <v>258</v>
      </c>
      <c r="C19" s="286">
        <f ca="1">SUM(C16:C17)</f>
        <v>473.86214819198358</v>
      </c>
      <c r="D19" s="287" t="s">
        <v>297</v>
      </c>
      <c r="E19" s="193"/>
      <c r="F19" s="6" t="str">
        <f ca="1"/>
        <v>FixingDate</v>
      </c>
      <c r="G19" s="9" t="str">
        <f ca="1"/>
        <v>AccrualStart</v>
      </c>
      <c r="H19" s="9" t="str">
        <f ca="1"/>
        <v>AccrualEnd</v>
      </c>
      <c r="I19" s="9" t="str">
        <f ca="1"/>
        <v>AccrualDays</v>
      </c>
      <c r="J19" s="58" t="str">
        <f ca="1"/>
        <v>AccrualYearFractions</v>
      </c>
      <c r="K19" s="58" t="str">
        <f ca="1"/>
        <v>PaymentDate</v>
      </c>
      <c r="L19" s="58" t="str">
        <f ca="1"/>
        <v>Notional</v>
      </c>
      <c r="M19" s="9" t="str">
        <f ca="1"/>
        <v>NotionalExchange</v>
      </c>
      <c r="N19" s="9" t="str">
        <f ca="1"/>
        <v>Leverage</v>
      </c>
      <c r="O19" s="9" t="str">
        <f ca="1"/>
        <v>FloatSpread</v>
      </c>
      <c r="P19" s="9" t="str">
        <f ca="1"/>
        <v>FloatRate</v>
      </c>
      <c r="Q19" s="252" t="str">
        <f ca="1"/>
        <v>Coupon</v>
      </c>
      <c r="R19" s="9" t="str">
        <f ca="1"/>
        <v>DiscountFactor</v>
      </c>
      <c r="S19" s="9" t="str">
        <f ca="1"/>
        <v>CouponPV</v>
      </c>
      <c r="T19" s="9" t="str">
        <f ca="1"/>
        <v/>
      </c>
      <c r="U19" s="12" t="str">
        <f ca="1"/>
        <v/>
      </c>
      <c r="V19" s="58" t="s">
        <v>284</v>
      </c>
      <c r="X19" s="258">
        <f t="shared" ca="1" si="0"/>
        <v>44091</v>
      </c>
      <c r="Y19" s="292">
        <f ca="1">Q22</f>
        <v>4114.8510045638805</v>
      </c>
      <c r="AA19" s="257">
        <f t="shared" ca="1" si="35"/>
        <v>44091</v>
      </c>
      <c r="AB19" s="266">
        <f t="shared" ca="1" si="2"/>
        <v>-7.576027415567839E-5</v>
      </c>
      <c r="AC19" s="266"/>
      <c r="AD19" s="290">
        <f ca="1"/>
        <v>44091</v>
      </c>
      <c r="AE19" s="291">
        <f ca="1"/>
        <v>-7.5760274155678431E-5</v>
      </c>
      <c r="AF19" s="291" t="b">
        <f t="shared" ca="1" si="36"/>
        <v>1</v>
      </c>
      <c r="AH19" s="257">
        <f t="shared" ca="1" si="3"/>
        <v>44363</v>
      </c>
      <c r="AI19" s="260">
        <v>0</v>
      </c>
      <c r="AK19" s="290">
        <f ca="1"/>
        <v>44363</v>
      </c>
      <c r="AL19" s="291">
        <f ca="1"/>
        <v>1.0000884599242234E-4</v>
      </c>
      <c r="AM19" s="291" t="b">
        <f t="shared" ca="1" si="4"/>
        <v>1</v>
      </c>
      <c r="AO19" s="257">
        <f t="shared" ca="1" si="37"/>
        <v>44363</v>
      </c>
      <c r="AP19" s="266">
        <f t="shared" ca="1" si="38"/>
        <v>1.0000884599242234E-4</v>
      </c>
      <c r="AR19" s="248">
        <f ca="1">'JACOBIAN - OIS USDOIS'!B28</f>
        <v>44091</v>
      </c>
      <c r="AS19">
        <f ca="1">'JACOBIAN - OIS USDOIS'!C28</f>
        <v>-1.09830756656049E-6</v>
      </c>
      <c r="AT19">
        <f ca="1">'JACOBIAN - OIS USDOIS'!D28</f>
        <v>0</v>
      </c>
      <c r="AU19">
        <f ca="1">'JACOBIAN - OIS USDOIS'!E28</f>
        <v>0</v>
      </c>
      <c r="AV19">
        <f ca="1">'JACOBIAN - OIS USDOIS'!F28</f>
        <v>0</v>
      </c>
      <c r="AW19">
        <f ca="1">'JACOBIAN - OIS USDOIS'!G28</f>
        <v>0</v>
      </c>
      <c r="AX19">
        <f ca="1">'JACOBIAN - OIS USDOIS'!H28</f>
        <v>0</v>
      </c>
      <c r="AY19">
        <f ca="1">'JACOBIAN - OIS USDOIS'!I28</f>
        <v>0</v>
      </c>
      <c r="AZ19">
        <f ca="1">'JACOBIAN - OIS USDOIS'!J28</f>
        <v>0</v>
      </c>
      <c r="BA19">
        <f ca="1">'JACOBIAN - OIS USDOIS'!K28</f>
        <v>0</v>
      </c>
      <c r="BB19">
        <f ca="1">'JACOBIAN - OIS USDOIS'!L28</f>
        <v>0</v>
      </c>
      <c r="BC19">
        <f ca="1">'JACOBIAN - OIS USDOIS'!M28</f>
        <v>-7.4661966589117904E-5</v>
      </c>
      <c r="BD19">
        <f ca="1">'JACOBIAN - OIS USDOIS'!N28</f>
        <v>0</v>
      </c>
      <c r="BE19">
        <f ca="1">'JACOBIAN - OIS USDOIS'!O28</f>
        <v>0</v>
      </c>
      <c r="BF19">
        <f ca="1">'JACOBIAN - OIS USDOIS'!P28</f>
        <v>0</v>
      </c>
      <c r="BG19">
        <f ca="1">'JACOBIAN - OIS USDOIS'!Q28</f>
        <v>0</v>
      </c>
      <c r="BH19">
        <f ca="1">'JACOBIAN - OIS USDOIS'!R28</f>
        <v>0</v>
      </c>
      <c r="BI19" s="161">
        <f ca="1">'JACOBIAN - OIS USDOIS'!S28</f>
        <v>0</v>
      </c>
      <c r="BJ19" s="161">
        <f ca="1">'JACOBIAN - OIS USDOIS'!T28</f>
        <v>0</v>
      </c>
      <c r="BK19" s="161">
        <f ca="1">'JACOBIAN - OIS USDOIS'!U28</f>
        <v>0</v>
      </c>
      <c r="BL19" s="161">
        <f ca="1">'JACOBIAN - OIS USDOIS'!V28</f>
        <v>0</v>
      </c>
      <c r="BM19" s="161">
        <f ca="1">'JACOBIAN - OIS USDOIS'!W28</f>
        <v>0</v>
      </c>
      <c r="BN19" s="161">
        <f ca="1">'JACOBIAN - OIS USDOIS'!X28</f>
        <v>0</v>
      </c>
      <c r="BO19" s="161">
        <f ca="1">'JACOBIAN - OIS USDOIS'!Y28</f>
        <v>0</v>
      </c>
      <c r="BP19" s="161">
        <f ca="1">'JACOBIAN - OIS USDOIS'!Z28</f>
        <v>0</v>
      </c>
      <c r="BQ19" s="161">
        <f ca="1">'JACOBIAN - OIS USDOIS'!AA28</f>
        <v>0</v>
      </c>
      <c r="BR19" s="161">
        <f ca="1">'JACOBIAN - OIS USDOIS'!AB28</f>
        <v>0</v>
      </c>
      <c r="BS19" s="161">
        <f ca="1">'JACOBIAN - OIS USDOIS'!AC28</f>
        <v>0</v>
      </c>
      <c r="BT19" s="161">
        <f ca="1">'JACOBIAN - OIS USDOIS'!AD28</f>
        <v>0</v>
      </c>
      <c r="BU19">
        <f ca="1">'JACOBIAN - OIS USDOIS'!AE28</f>
        <v>0</v>
      </c>
      <c r="BV19">
        <f ca="1">'JACOBIAN - OIS USDOIS'!AF28</f>
        <v>0</v>
      </c>
      <c r="BW19">
        <f ca="1">'JACOBIAN - OIS USDOIS'!AG28</f>
        <v>0</v>
      </c>
      <c r="BX19">
        <f ca="1">'JACOBIAN - OIS USDOIS'!AH28</f>
        <v>0</v>
      </c>
      <c r="BY19">
        <f ca="1">'JACOBIAN - OIS USDOIS'!AI28</f>
        <v>0</v>
      </c>
      <c r="BZ19">
        <f ca="1">'JACOBIAN - OIS USDOIS'!AJ28</f>
        <v>0</v>
      </c>
      <c r="CA19">
        <f ca="1">'JACOBIAN - OIS USDOIS'!AK28</f>
        <v>0</v>
      </c>
      <c r="CB19">
        <f ca="1">'JACOBIAN - OIS USDOIS'!AL28</f>
        <v>0</v>
      </c>
      <c r="CC19">
        <f ca="1">'JACOBIAN - OIS USDOIS'!AM28</f>
        <v>0</v>
      </c>
      <c r="CD19">
        <f ca="1">'JACOBIAN - OIS USDOIS'!AN28</f>
        <v>0</v>
      </c>
      <c r="CE19">
        <f ca="1">'JACOBIAN - OIS USDOIS'!AO28</f>
        <v>0</v>
      </c>
      <c r="CF19">
        <f ca="1">'JACOBIAN - OIS USDOIS'!AP28</f>
        <v>0</v>
      </c>
      <c r="CK19" s="248">
        <f t="shared" ca="1" si="5"/>
        <v>44091</v>
      </c>
      <c r="CL19">
        <f t="shared" ca="1" si="6"/>
        <v>-1.09830756656049E-6</v>
      </c>
      <c r="CM19">
        <f t="shared" ca="1" si="7"/>
        <v>0</v>
      </c>
      <c r="CN19">
        <f t="shared" ca="1" si="8"/>
        <v>0</v>
      </c>
      <c r="CO19">
        <f t="shared" ca="1" si="9"/>
        <v>0</v>
      </c>
      <c r="CP19">
        <f t="shared" ca="1" si="10"/>
        <v>0</v>
      </c>
      <c r="CQ19">
        <f t="shared" ca="1" si="11"/>
        <v>0</v>
      </c>
      <c r="CR19">
        <f t="shared" ca="1" si="12"/>
        <v>0</v>
      </c>
      <c r="CS19">
        <f t="shared" ca="1" si="13"/>
        <v>0</v>
      </c>
      <c r="CT19">
        <f t="shared" ca="1" si="14"/>
        <v>0</v>
      </c>
      <c r="CU19">
        <f t="shared" ca="1" si="15"/>
        <v>0</v>
      </c>
      <c r="CV19">
        <f t="shared" ca="1" si="16"/>
        <v>-7.4661966589117904E-5</v>
      </c>
      <c r="CW19">
        <f t="shared" ca="1" si="17"/>
        <v>0</v>
      </c>
      <c r="CX19">
        <f t="shared" ca="1" si="18"/>
        <v>0</v>
      </c>
      <c r="CY19">
        <f t="shared" ca="1" si="19"/>
        <v>0</v>
      </c>
      <c r="CZ19">
        <f t="shared" ca="1" si="20"/>
        <v>0</v>
      </c>
      <c r="DA19">
        <f t="shared" ca="1" si="21"/>
        <v>0</v>
      </c>
      <c r="DB19" s="146">
        <v>0</v>
      </c>
      <c r="DC19" s="146">
        <v>0</v>
      </c>
      <c r="DD19" s="146">
        <v>0</v>
      </c>
      <c r="DE19" s="146">
        <v>0</v>
      </c>
      <c r="DF19" s="146">
        <v>0</v>
      </c>
      <c r="DG19" s="146">
        <v>0</v>
      </c>
      <c r="DH19" s="146">
        <v>0</v>
      </c>
      <c r="DI19" s="146">
        <v>0</v>
      </c>
      <c r="DJ19" s="146">
        <v>0</v>
      </c>
      <c r="DK19" s="146">
        <v>0</v>
      </c>
      <c r="DL19" s="146">
        <v>0</v>
      </c>
      <c r="DM19" s="146">
        <v>0</v>
      </c>
      <c r="DN19">
        <f t="shared" ca="1" si="22"/>
        <v>0</v>
      </c>
      <c r="DO19">
        <f t="shared" ca="1" si="23"/>
        <v>0</v>
      </c>
      <c r="DP19">
        <f t="shared" ca="1" si="24"/>
        <v>0</v>
      </c>
      <c r="DQ19">
        <f t="shared" ca="1" si="25"/>
        <v>0</v>
      </c>
      <c r="DR19">
        <f t="shared" ca="1" si="26"/>
        <v>0</v>
      </c>
      <c r="DS19">
        <f t="shared" ca="1" si="27"/>
        <v>0</v>
      </c>
      <c r="DT19">
        <f t="shared" ca="1" si="28"/>
        <v>0</v>
      </c>
      <c r="DU19">
        <f t="shared" ca="1" si="29"/>
        <v>0</v>
      </c>
      <c r="DV19">
        <f t="shared" ca="1" si="30"/>
        <v>0</v>
      </c>
      <c r="DW19">
        <f t="shared" ca="1" si="31"/>
        <v>0</v>
      </c>
      <c r="DX19">
        <f t="shared" ca="1" si="32"/>
        <v>0</v>
      </c>
      <c r="DY19">
        <f t="shared" ca="1" si="33"/>
        <v>0</v>
      </c>
      <c r="EA19" s="278" t="str">
        <f ca="1"/>
        <v>OIS_3Y</v>
      </c>
      <c r="EB19" s="277">
        <f ca="1"/>
        <v>1.7487222027193586E-9</v>
      </c>
      <c r="EC19" s="171"/>
      <c r="ED19" s="248">
        <f ca="1">'JACOBIAN - SWAP USD3ML'!B28</f>
        <v>44363</v>
      </c>
      <c r="EE19">
        <f ca="1">'JACOBIAN - SWAP USD3ML'!C28</f>
        <v>0</v>
      </c>
      <c r="EF19">
        <f ca="1">'JACOBIAN - SWAP USD3ML'!D28</f>
        <v>2.6341457711257001E-8</v>
      </c>
      <c r="EG19">
        <f ca="1">'JACOBIAN - SWAP USD3ML'!E28</f>
        <v>8.6909646146437996E-16</v>
      </c>
      <c r="EH19">
        <f ca="1">'JACOBIAN - SWAP USD3ML'!F28</f>
        <v>0</v>
      </c>
      <c r="EI19">
        <f ca="1">'JACOBIAN - SWAP USD3ML'!G28</f>
        <v>2.88203374360085E-10</v>
      </c>
      <c r="EJ19">
        <f ca="1">'JACOBIAN - SWAP USD3ML'!H28</f>
        <v>2.62433118708438E-8</v>
      </c>
      <c r="EK19">
        <f ca="1">'JACOBIAN - SWAP USD3ML'!I28</f>
        <v>2.6148756203728301E-8</v>
      </c>
      <c r="EL19">
        <f ca="1">'JACOBIAN - SWAP USD3ML'!J28</f>
        <v>2.60624973772577E-8</v>
      </c>
      <c r="EM19">
        <f ca="1">'JACOBIAN - SWAP USD3ML'!K28</f>
        <v>2.5979642784279602E-8</v>
      </c>
      <c r="EN19">
        <f ca="1">'JACOBIAN - SWAP USD3ML'!L28</f>
        <v>2.5898545048114201E-8</v>
      </c>
      <c r="EO19">
        <f ca="1">'JACOBIAN - SWAP USD3ML'!M28</f>
        <v>9.9208703259480099E-5</v>
      </c>
      <c r="EP19">
        <f ca="1">'JACOBIAN - SWAP USD3ML'!N28</f>
        <v>9.3435463714014497E-7</v>
      </c>
      <c r="EQ19">
        <f ca="1">'JACOBIAN - SWAP USD3ML'!O28</f>
        <v>-3.68506083038914E-7</v>
      </c>
      <c r="ER19">
        <f ca="1">'JACOBIAN - SWAP USD3ML'!P28</f>
        <v>1.01759654615868E-7</v>
      </c>
      <c r="ES19">
        <f ca="1">'JACOBIAN - SWAP USD3ML'!Q28</f>
        <v>-2.7955405816626501E-8</v>
      </c>
      <c r="ET19">
        <f ca="1">'JACOBIAN - SWAP USD3ML'!R28</f>
        <v>6.3233027512016299E-9</v>
      </c>
      <c r="EU19">
        <f ca="1">'JACOBIAN - SWAP USD3ML'!S28</f>
        <v>-3.6353928565407999E-9</v>
      </c>
      <c r="EV19">
        <f ca="1">'JACOBIAN - SWAP USD3ML'!T28</f>
        <v>1.0738957553074701E-9</v>
      </c>
      <c r="EW19">
        <f ca="1">'JACOBIAN - SWAP USD3ML'!U28</f>
        <v>-2.6006675112044701E-10</v>
      </c>
      <c r="EX19">
        <f ca="1">'JACOBIAN - SWAP USD3ML'!V28</f>
        <v>3.0360930783346302E-11</v>
      </c>
      <c r="EY19">
        <f ca="1">'JACOBIAN - SWAP USD3ML'!W28</f>
        <v>-5.3800436328188499E-12</v>
      </c>
      <c r="EZ19">
        <f ca="1">'JACOBIAN - SWAP USD3ML'!X28</f>
        <v>1.06610380246064E-12</v>
      </c>
      <c r="FA19">
        <f ca="1">'JACOBIAN - SWAP USD3ML'!Y28</f>
        <v>-3.4059734199676198E-13</v>
      </c>
      <c r="FB19">
        <f ca="1">'JACOBIAN - SWAP USD3ML'!Z28</f>
        <v>6.9510369682390698E-14</v>
      </c>
      <c r="FD19" s="146" t="str">
        <f ca="1"/>
        <v>SWAP_4Y</v>
      </c>
      <c r="FE19" s="280">
        <f ca="1"/>
        <v>-1.531643525254367E-5</v>
      </c>
      <c r="FF19" s="171" t="s">
        <v>268</v>
      </c>
      <c r="FH19" s="11" t="str">
        <f ca="1"/>
        <v>USDYC.OIS.BASISRATE.2Y</v>
      </c>
      <c r="FI19" s="275">
        <f ca="1"/>
        <v>1.153365721256705</v>
      </c>
      <c r="FJ19" s="11" t="str">
        <f ca="1"/>
        <v>USDYC.STD.FUTURE.ED8 COMDTY.20210915.20211215</v>
      </c>
      <c r="FK19" s="275">
        <f ca="1"/>
        <v>7.5904506957158446E-3</v>
      </c>
      <c r="FL19" s="11" t="e">
        <f ca="1"/>
        <v>#N/A</v>
      </c>
    </row>
    <row r="20" spans="2:168" x14ac:dyDescent="0.25">
      <c r="D20" s="171"/>
      <c r="E20" s="171"/>
      <c r="F20" s="270">
        <f ca="1"/>
        <v>43816</v>
      </c>
      <c r="G20" s="9">
        <f ca="1"/>
        <v>43816</v>
      </c>
      <c r="H20" s="9">
        <f ca="1"/>
        <v>43907</v>
      </c>
      <c r="I20" s="9">
        <f ca="1"/>
        <v>91</v>
      </c>
      <c r="J20" s="252">
        <f ca="1"/>
        <v>0.25277777777777799</v>
      </c>
      <c r="K20" s="269">
        <f ca="1"/>
        <v>43907</v>
      </c>
      <c r="L20" s="254">
        <f ca="1"/>
        <v>1000000</v>
      </c>
      <c r="M20" s="9">
        <f ca="1"/>
        <v>0</v>
      </c>
      <c r="N20" s="9">
        <f ca="1"/>
        <v>1</v>
      </c>
      <c r="O20" s="9">
        <f ca="1"/>
        <v>0</v>
      </c>
      <c r="P20" s="9">
        <f ca="1"/>
        <v>1.8936299999999701E-2</v>
      </c>
      <c r="Q20" s="263">
        <f ca="1"/>
        <v>4786.67583333325</v>
      </c>
      <c r="R20" s="9">
        <f ca="1"/>
        <v>0.99591367302173495</v>
      </c>
      <c r="S20" s="9">
        <f ca="1"/>
        <v>4767.1159107392896</v>
      </c>
      <c r="T20" s="9" t="str">
        <f ca="1"/>
        <v/>
      </c>
      <c r="U20" s="12" t="str">
        <f ca="1"/>
        <v/>
      </c>
      <c r="V20" s="259">
        <f t="shared" ref="V20:V39" ca="1" si="39">L20*J20*R20</f>
        <v>251744.84512493876</v>
      </c>
      <c r="X20" s="258">
        <f t="shared" ca="1" si="0"/>
        <v>44182</v>
      </c>
      <c r="Y20" s="292">
        <f ca="1">O9+Q23</f>
        <v>-1127.4087987273001</v>
      </c>
      <c r="AA20" s="257">
        <f t="shared" ca="1" si="35"/>
        <v>44182</v>
      </c>
      <c r="AB20" s="266">
        <f t="shared" ca="1" si="2"/>
        <v>-9.884853763120209E-5</v>
      </c>
      <c r="AC20" s="266"/>
      <c r="AD20" s="290">
        <f ca="1"/>
        <v>44182</v>
      </c>
      <c r="AE20" s="291">
        <f ca="1"/>
        <v>-9.8848537631202049E-5</v>
      </c>
      <c r="AF20" s="291" t="b">
        <f t="shared" ca="1" si="36"/>
        <v>1</v>
      </c>
      <c r="AH20" s="257">
        <f t="shared" ca="1" si="3"/>
        <v>44364</v>
      </c>
      <c r="AI20" s="260">
        <f ca="1">V26</f>
        <v>249427.63096862799</v>
      </c>
      <c r="AK20" s="290">
        <f ca="1"/>
        <v>44364</v>
      </c>
      <c r="AL20" s="291">
        <f ca="1"/>
        <v>1.0001364473207798E-4</v>
      </c>
      <c r="AM20" s="291" t="b">
        <f t="shared" ca="1" si="4"/>
        <v>1</v>
      </c>
      <c r="AO20" s="257">
        <f t="shared" ca="1" si="37"/>
        <v>44364</v>
      </c>
      <c r="AP20" s="266">
        <f t="shared" ca="1" si="38"/>
        <v>1.0001364473207794E-4</v>
      </c>
      <c r="AR20" s="248">
        <f ca="1">'JACOBIAN - OIS USDOIS'!B29</f>
        <v>44182</v>
      </c>
      <c r="AS20">
        <f ca="1">'JACOBIAN - OIS USDOIS'!C29</f>
        <v>-1.0946889307250599E-6</v>
      </c>
      <c r="AT20">
        <f ca="1">'JACOBIAN - OIS USDOIS'!D29</f>
        <v>0</v>
      </c>
      <c r="AU20">
        <f ca="1">'JACOBIAN - OIS USDOIS'!E29</f>
        <v>0</v>
      </c>
      <c r="AV20">
        <f ca="1">'JACOBIAN - OIS USDOIS'!F29</f>
        <v>0</v>
      </c>
      <c r="AW20">
        <f ca="1">'JACOBIAN - OIS USDOIS'!G29</f>
        <v>0</v>
      </c>
      <c r="AX20">
        <f ca="1">'JACOBIAN - OIS USDOIS'!H29</f>
        <v>0</v>
      </c>
      <c r="AY20">
        <f ca="1">'JACOBIAN - OIS USDOIS'!I29</f>
        <v>-1.5917320461689101E-8</v>
      </c>
      <c r="AZ20">
        <f ca="1">'JACOBIAN - OIS USDOIS'!J29</f>
        <v>0</v>
      </c>
      <c r="BA20">
        <f ca="1">'JACOBIAN - OIS USDOIS'!K29</f>
        <v>0</v>
      </c>
      <c r="BB20">
        <f ca="1">'JACOBIAN - OIS USDOIS'!L29</f>
        <v>3.9594968237466301E-7</v>
      </c>
      <c r="BC20">
        <f ca="1">'JACOBIAN - OIS USDOIS'!M29</f>
        <v>-4.79147191922991E-8</v>
      </c>
      <c r="BD20">
        <f ca="1">'JACOBIAN - OIS USDOIS'!N29</f>
        <v>0</v>
      </c>
      <c r="BE20">
        <f ca="1">'JACOBIAN - OIS USDOIS'!O29</f>
        <v>0</v>
      </c>
      <c r="BF20">
        <f ca="1">'JACOBIAN - OIS USDOIS'!P29</f>
        <v>0</v>
      </c>
      <c r="BG20">
        <f ca="1">'JACOBIAN - OIS USDOIS'!Q29</f>
        <v>0</v>
      </c>
      <c r="BH20">
        <f ca="1">'JACOBIAN - OIS USDOIS'!R29</f>
        <v>0</v>
      </c>
      <c r="BI20" s="161">
        <f ca="1">'JACOBIAN - OIS USDOIS'!S29</f>
        <v>9.9905166927260995E-5</v>
      </c>
      <c r="BJ20" s="161">
        <f ca="1">'JACOBIAN - OIS USDOIS'!T29</f>
        <v>0</v>
      </c>
      <c r="BK20" s="161">
        <f ca="1">'JACOBIAN - OIS USDOIS'!U29</f>
        <v>0</v>
      </c>
      <c r="BL20" s="161">
        <f ca="1">'JACOBIAN - OIS USDOIS'!V29</f>
        <v>0</v>
      </c>
      <c r="BM20" s="161">
        <f ca="1">'JACOBIAN - OIS USDOIS'!W29</f>
        <v>0</v>
      </c>
      <c r="BN20" s="161">
        <f ca="1">'JACOBIAN - OIS USDOIS'!X29</f>
        <v>0</v>
      </c>
      <c r="BO20" s="161">
        <f ca="1">'JACOBIAN - OIS USDOIS'!Y29</f>
        <v>0</v>
      </c>
      <c r="BP20" s="161">
        <f ca="1">'JACOBIAN - OIS USDOIS'!Z29</f>
        <v>0</v>
      </c>
      <c r="BQ20" s="161">
        <f ca="1">'JACOBIAN - OIS USDOIS'!AA29</f>
        <v>0</v>
      </c>
      <c r="BR20" s="161">
        <f ca="1">'JACOBIAN - OIS USDOIS'!AB29</f>
        <v>0</v>
      </c>
      <c r="BS20" s="161">
        <f ca="1">'JACOBIAN - OIS USDOIS'!AC29</f>
        <v>0</v>
      </c>
      <c r="BT20" s="161">
        <f ca="1">'JACOBIAN - OIS USDOIS'!AD29</f>
        <v>0</v>
      </c>
      <c r="BU20">
        <f ca="1">'JACOBIAN - OIS USDOIS'!AE29</f>
        <v>-9.8085966343197702E-5</v>
      </c>
      <c r="BV20">
        <f ca="1">'JACOBIAN - OIS USDOIS'!AF29</f>
        <v>0</v>
      </c>
      <c r="BW20">
        <f ca="1">'JACOBIAN - OIS USDOIS'!AG29</f>
        <v>0</v>
      </c>
      <c r="BX20">
        <f ca="1">'JACOBIAN - OIS USDOIS'!AH29</f>
        <v>0</v>
      </c>
      <c r="BY20">
        <f ca="1">'JACOBIAN - OIS USDOIS'!AI29</f>
        <v>0</v>
      </c>
      <c r="BZ20">
        <f ca="1">'JACOBIAN - OIS USDOIS'!AJ29</f>
        <v>0</v>
      </c>
      <c r="CA20">
        <f ca="1">'JACOBIAN - OIS USDOIS'!AK29</f>
        <v>0</v>
      </c>
      <c r="CB20">
        <f ca="1">'JACOBIAN - OIS USDOIS'!AL29</f>
        <v>0</v>
      </c>
      <c r="CC20">
        <f ca="1">'JACOBIAN - OIS USDOIS'!AM29</f>
        <v>0</v>
      </c>
      <c r="CD20">
        <f ca="1">'JACOBIAN - OIS USDOIS'!AN29</f>
        <v>0</v>
      </c>
      <c r="CE20">
        <f ca="1">'JACOBIAN - OIS USDOIS'!AO29</f>
        <v>0</v>
      </c>
      <c r="CF20">
        <f ca="1">'JACOBIAN - OIS USDOIS'!AP29</f>
        <v>0</v>
      </c>
      <c r="CK20" s="248">
        <f t="shared" ca="1" si="5"/>
        <v>44182</v>
      </c>
      <c r="CL20">
        <f t="shared" ca="1" si="6"/>
        <v>-1.0946889307250599E-6</v>
      </c>
      <c r="CM20">
        <f t="shared" ca="1" si="7"/>
        <v>0</v>
      </c>
      <c r="CN20">
        <f t="shared" ca="1" si="8"/>
        <v>0</v>
      </c>
      <c r="CO20">
        <f t="shared" ca="1" si="9"/>
        <v>0</v>
      </c>
      <c r="CP20">
        <f t="shared" ca="1" si="10"/>
        <v>0</v>
      </c>
      <c r="CQ20">
        <f t="shared" ca="1" si="11"/>
        <v>0</v>
      </c>
      <c r="CR20">
        <f t="shared" ca="1" si="12"/>
        <v>-1.5917320461689101E-8</v>
      </c>
      <c r="CS20">
        <f t="shared" ca="1" si="13"/>
        <v>0</v>
      </c>
      <c r="CT20">
        <f t="shared" ca="1" si="14"/>
        <v>0</v>
      </c>
      <c r="CU20">
        <f t="shared" ca="1" si="15"/>
        <v>3.9594968237466301E-7</v>
      </c>
      <c r="CV20">
        <f t="shared" ca="1" si="16"/>
        <v>-4.79147191922991E-8</v>
      </c>
      <c r="CW20">
        <f t="shared" ca="1" si="17"/>
        <v>0</v>
      </c>
      <c r="CX20">
        <f t="shared" ca="1" si="18"/>
        <v>0</v>
      </c>
      <c r="CY20">
        <f t="shared" ca="1" si="19"/>
        <v>0</v>
      </c>
      <c r="CZ20">
        <f t="shared" ca="1" si="20"/>
        <v>0</v>
      </c>
      <c r="DA20">
        <f t="shared" ca="1" si="21"/>
        <v>0</v>
      </c>
      <c r="DB20" s="146">
        <v>0</v>
      </c>
      <c r="DC20" s="146">
        <v>0</v>
      </c>
      <c r="DD20" s="146">
        <v>0</v>
      </c>
      <c r="DE20" s="146">
        <v>0</v>
      </c>
      <c r="DF20" s="146">
        <v>0</v>
      </c>
      <c r="DG20" s="146">
        <v>0</v>
      </c>
      <c r="DH20" s="146">
        <v>0</v>
      </c>
      <c r="DI20" s="146">
        <v>0</v>
      </c>
      <c r="DJ20" s="146">
        <v>0</v>
      </c>
      <c r="DK20" s="146">
        <v>0</v>
      </c>
      <c r="DL20" s="146">
        <v>0</v>
      </c>
      <c r="DM20" s="146">
        <v>0</v>
      </c>
      <c r="DN20">
        <f t="shared" ca="1" si="22"/>
        <v>-9.8085966343197702E-5</v>
      </c>
      <c r="DO20">
        <f t="shared" ca="1" si="23"/>
        <v>0</v>
      </c>
      <c r="DP20">
        <f t="shared" ca="1" si="24"/>
        <v>0</v>
      </c>
      <c r="DQ20">
        <f t="shared" ca="1" si="25"/>
        <v>0</v>
      </c>
      <c r="DR20">
        <f t="shared" ca="1" si="26"/>
        <v>0</v>
      </c>
      <c r="DS20">
        <f t="shared" ca="1" si="27"/>
        <v>0</v>
      </c>
      <c r="DT20">
        <f t="shared" ca="1" si="28"/>
        <v>0</v>
      </c>
      <c r="DU20">
        <f t="shared" ca="1" si="29"/>
        <v>0</v>
      </c>
      <c r="DV20">
        <f t="shared" ca="1" si="30"/>
        <v>0</v>
      </c>
      <c r="DW20">
        <f t="shared" ca="1" si="31"/>
        <v>0</v>
      </c>
      <c r="DX20">
        <f t="shared" ca="1" si="32"/>
        <v>0</v>
      </c>
      <c r="DY20">
        <f t="shared" ca="1" si="33"/>
        <v>0</v>
      </c>
      <c r="EA20" s="278" t="str">
        <f ca="1"/>
        <v>OIS_4Y</v>
      </c>
      <c r="EB20" s="277">
        <f ca="1"/>
        <v>1.7487222027193586E-9</v>
      </c>
      <c r="EC20" s="171"/>
      <c r="ED20" s="248">
        <f ca="1">'JACOBIAN - SWAP USD3ML'!B29</f>
        <v>44364</v>
      </c>
      <c r="EE20">
        <f ca="1">'JACOBIAN - SWAP USD3ML'!C29</f>
        <v>0</v>
      </c>
      <c r="EF20">
        <f ca="1">'JACOBIAN - SWAP USD3ML'!D29</f>
        <v>5.2670606136978597E-8</v>
      </c>
      <c r="EG20">
        <f ca="1">'JACOBIAN - SWAP USD3ML'!E29</f>
        <v>2.6055546609171599E-15</v>
      </c>
      <c r="EH20">
        <f ca="1">'JACOBIAN - SWAP USD3ML'!F29</f>
        <v>0</v>
      </c>
      <c r="EI20">
        <f ca="1">'JACOBIAN - SWAP USD3ML'!G29</f>
        <v>5.7627207346311296E-10</v>
      </c>
      <c r="EJ20">
        <f ca="1">'JACOBIAN - SWAP USD3ML'!H29</f>
        <v>5.2474361376952899E-8</v>
      </c>
      <c r="EK20">
        <f ca="1">'JACOBIAN - SWAP USD3ML'!I29</f>
        <v>5.2285293485401798E-8</v>
      </c>
      <c r="EL20">
        <f ca="1">'JACOBIAN - SWAP USD3ML'!J29</f>
        <v>5.2112814933127902E-8</v>
      </c>
      <c r="EM20">
        <f ca="1">'JACOBIAN - SWAP USD3ML'!K29</f>
        <v>5.1947144846103998E-8</v>
      </c>
      <c r="EN20">
        <f ca="1">'JACOBIAN - SWAP USD3ML'!L29</f>
        <v>5.1784987601874397E-8</v>
      </c>
      <c r="EO20">
        <f ca="1">'JACOBIAN - SWAP USD3ML'!M29</f>
        <v>9.8395678239996496E-5</v>
      </c>
      <c r="EP20">
        <f ca="1">'JACOBIAN - SWAP USD3ML'!N29</f>
        <v>1.8863275063687999E-6</v>
      </c>
      <c r="EQ20">
        <f ca="1">'JACOBIAN - SWAP USD3ML'!O29</f>
        <v>-7.36839890842084E-7</v>
      </c>
      <c r="ER20">
        <f ca="1">'JACOBIAN - SWAP USD3ML'!P29</f>
        <v>2.0347176031033899E-7</v>
      </c>
      <c r="ES20">
        <f ca="1">'JACOBIAN - SWAP USD3ML'!Q29</f>
        <v>-5.5897746431554698E-8</v>
      </c>
      <c r="ET20">
        <f ca="1">'JACOBIAN - SWAP USD3ML'!R29</f>
        <v>1.2643649604723899E-8</v>
      </c>
      <c r="EU20">
        <f ca="1">'JACOBIAN - SWAP USD3ML'!S29</f>
        <v>-7.2690870718539199E-9</v>
      </c>
      <c r="EV20">
        <f ca="1">'JACOBIAN - SWAP USD3ML'!T29</f>
        <v>2.14728843386802E-9</v>
      </c>
      <c r="EW20">
        <f ca="1">'JACOBIAN - SWAP USD3ML'!U29</f>
        <v>-5.2001185996131096E-10</v>
      </c>
      <c r="EX20">
        <f ca="1">'JACOBIAN - SWAP USD3ML'!V29</f>
        <v>6.0707959492756203E-11</v>
      </c>
      <c r="EY20">
        <f ca="1">'JACOBIAN - SWAP USD3ML'!W29</f>
        <v>-1.07574817109768E-11</v>
      </c>
      <c r="EZ20">
        <f ca="1">'JACOBIAN - SWAP USD3ML'!X29</f>
        <v>2.13220760492128E-12</v>
      </c>
      <c r="FA20">
        <f ca="1">'JACOBIAN - SWAP USD3ML'!Y29</f>
        <v>-6.8119468399352497E-13</v>
      </c>
      <c r="FB20">
        <f ca="1">'JACOBIAN - SWAP USD3ML'!Z29</f>
        <v>1.3901900464130499E-13</v>
      </c>
      <c r="FD20" s="146" t="str">
        <f ca="1"/>
        <v>SWAP_5Y</v>
      </c>
      <c r="FE20" s="280">
        <f ca="1"/>
        <v>481.64350062249702</v>
      </c>
      <c r="FF20" s="246" t="str">
        <f ca="1">FK22</f>
        <v>#DISABLED</v>
      </c>
      <c r="FH20" s="11" t="str">
        <f ca="1"/>
        <v>USDYC.OIS.3MLIBORSWAP.2Y</v>
      </c>
      <c r="FI20" s="275">
        <f ca="1"/>
        <v>-1.1190446639375295</v>
      </c>
      <c r="FJ20" s="11" t="str">
        <f ca="1"/>
        <v>USDYC.STD.3MLIBORSWAP.3Y</v>
      </c>
      <c r="FK20" s="275">
        <f ca="1"/>
        <v>7.9097240814007819E-3</v>
      </c>
      <c r="FL20" s="11" t="e">
        <f ca="1"/>
        <v>#N/A</v>
      </c>
    </row>
    <row r="21" spans="2:168" x14ac:dyDescent="0.25">
      <c r="B21" s="133" t="s">
        <v>267</v>
      </c>
      <c r="C21" s="171"/>
      <c r="D21" s="247"/>
      <c r="E21" s="247"/>
      <c r="F21" s="270">
        <f ca="1"/>
        <v>43907</v>
      </c>
      <c r="G21" s="9">
        <f ca="1"/>
        <v>43907</v>
      </c>
      <c r="H21" s="9">
        <f ca="1"/>
        <v>43999</v>
      </c>
      <c r="I21" s="9">
        <f ca="1"/>
        <v>92</v>
      </c>
      <c r="J21" s="252">
        <f ca="1"/>
        <v>0.25555555555555598</v>
      </c>
      <c r="K21" s="269">
        <f ca="1"/>
        <v>43999</v>
      </c>
      <c r="L21" s="254">
        <f ca="1"/>
        <v>1000000</v>
      </c>
      <c r="M21" s="9">
        <f ca="1"/>
        <v>0</v>
      </c>
      <c r="N21" s="9">
        <f ca="1"/>
        <v>1</v>
      </c>
      <c r="O21" s="9">
        <f ca="1"/>
        <v>0</v>
      </c>
      <c r="P21" s="9">
        <f ca="1"/>
        <v>1.71066813757778E-2</v>
      </c>
      <c r="Q21" s="263">
        <f ca="1"/>
        <v>4371.7074626987696</v>
      </c>
      <c r="R21" s="9">
        <f ca="1"/>
        <v>0.99214918725762202</v>
      </c>
      <c r="S21" s="9">
        <f ca="1"/>
        <v>4337.3860060446696</v>
      </c>
      <c r="T21" s="9" t="str">
        <f ca="1"/>
        <v/>
      </c>
      <c r="U21" s="12" t="str">
        <f ca="1"/>
        <v/>
      </c>
      <c r="V21" s="259">
        <f t="shared" ca="1" si="39"/>
        <v>253549.23674361492</v>
      </c>
      <c r="X21" s="258">
        <f t="shared" ca="1" si="0"/>
        <v>44272</v>
      </c>
      <c r="Y21" s="292">
        <f ca="1">Q24</f>
        <v>3805.0775070968002</v>
      </c>
      <c r="AA21" s="257">
        <f t="shared" ca="1" si="35"/>
        <v>44272</v>
      </c>
      <c r="AB21" s="266">
        <f t="shared" ca="1" si="2"/>
        <v>-1.2157690680525375E-4</v>
      </c>
      <c r="AC21" s="266"/>
      <c r="AD21" s="290">
        <f ca="1"/>
        <v>44272</v>
      </c>
      <c r="AE21" s="291">
        <f ca="1"/>
        <v>-1.2157690680525413E-4</v>
      </c>
      <c r="AF21" s="291" t="b">
        <f t="shared" ca="1" si="36"/>
        <v>1</v>
      </c>
      <c r="AH21" s="257">
        <f t="shared" ca="1" si="3"/>
        <v>44454</v>
      </c>
      <c r="AI21" s="260">
        <v>0</v>
      </c>
      <c r="AK21" s="290">
        <f ca="1"/>
        <v>44454</v>
      </c>
      <c r="AL21" s="291">
        <f ca="1"/>
        <v>1.0000000000021624E-4</v>
      </c>
      <c r="AM21" s="291" t="b">
        <f t="shared" ca="1" si="4"/>
        <v>1</v>
      </c>
      <c r="AO21" s="257">
        <f t="shared" ca="1" si="37"/>
        <v>44454</v>
      </c>
      <c r="AP21" s="266">
        <f t="shared" ca="1" si="38"/>
        <v>1.00000000000216E-4</v>
      </c>
      <c r="AR21" s="248">
        <f ca="1">'JACOBIAN - OIS USDOIS'!B30</f>
        <v>44272</v>
      </c>
      <c r="AS21">
        <f ca="1">'JACOBIAN - OIS USDOIS'!C30</f>
        <v>-1.0912586303479801E-6</v>
      </c>
      <c r="AT21">
        <f ca="1">'JACOBIAN - OIS USDOIS'!D30</f>
        <v>-2.1672941219463801E-8</v>
      </c>
      <c r="AU21">
        <f ca="1">'JACOBIAN - OIS USDOIS'!E30</f>
        <v>8.6665301490818094E-8</v>
      </c>
      <c r="AV21">
        <f ca="1">'JACOBIAN - OIS USDOIS'!F30</f>
        <v>-2.28292080795001E-7</v>
      </c>
      <c r="AW21">
        <f ca="1">'JACOBIAN - OIS USDOIS'!G30</f>
        <v>2.93850263899387E-7</v>
      </c>
      <c r="AX21">
        <f ca="1">'JACOBIAN - OIS USDOIS'!H30</f>
        <v>-6.6455130021125797E-7</v>
      </c>
      <c r="AY21">
        <f ca="1">'JACOBIAN - OIS USDOIS'!I30</f>
        <v>2.2343064480789799E-6</v>
      </c>
      <c r="AZ21">
        <f ca="1">'JACOBIAN - OIS USDOIS'!J30</f>
        <v>-8.1220609006171801E-6</v>
      </c>
      <c r="BA21">
        <f ca="1">'JACOBIAN - OIS USDOIS'!K30</f>
        <v>3.1268789915661601E-5</v>
      </c>
      <c r="BB21">
        <f ca="1">'JACOBIAN - OIS USDOIS'!L30</f>
        <v>-4.6964024180251598E-5</v>
      </c>
      <c r="BC21">
        <f ca="1">'JACOBIAN - OIS USDOIS'!M30</f>
        <v>9.9418182370358794E-5</v>
      </c>
      <c r="BD21">
        <f ca="1">'JACOBIAN - OIS USDOIS'!N30</f>
        <v>1.7874590696465001E-14</v>
      </c>
      <c r="BE21">
        <f ca="1">'JACOBIAN - OIS USDOIS'!O30</f>
        <v>1.7874590696465001E-14</v>
      </c>
      <c r="BF21">
        <f ca="1">'JACOBIAN - OIS USDOIS'!P30</f>
        <v>1.7874590696465001E-14</v>
      </c>
      <c r="BG21">
        <f ca="1">'JACOBIAN - OIS USDOIS'!Q30</f>
        <v>1.7874590696465001E-14</v>
      </c>
      <c r="BH21">
        <f ca="1">'JACOBIAN - OIS USDOIS'!R30</f>
        <v>1.7874590696465001E-14</v>
      </c>
      <c r="BI21" s="161">
        <f ca="1">'JACOBIAN - OIS USDOIS'!S30</f>
        <v>1.82248155570441E-4</v>
      </c>
      <c r="BJ21" s="161">
        <f ca="1">'JACOBIAN - OIS USDOIS'!T30</f>
        <v>2.3823191022232E-5</v>
      </c>
      <c r="BK21" s="161">
        <f ca="1">'JACOBIAN - OIS USDOIS'!U30</f>
        <v>-5.8795910846676202E-6</v>
      </c>
      <c r="BL21" s="161">
        <f ca="1">'JACOBIAN - OIS USDOIS'!V30</f>
        <v>1.5578047495301599E-6</v>
      </c>
      <c r="BM21" s="161">
        <f ca="1">'JACOBIAN - OIS USDOIS'!W30</f>
        <v>-3.3610651184456899E-7</v>
      </c>
      <c r="BN21" s="161">
        <f ca="1">'JACOBIAN - OIS USDOIS'!X30</f>
        <v>3.3519921949220997E-8</v>
      </c>
      <c r="BO21" s="161">
        <f ca="1">'JACOBIAN - OIS USDOIS'!Y30</f>
        <v>-6.6907758222711802E-9</v>
      </c>
      <c r="BP21" s="161">
        <f ca="1">'JACOBIAN - OIS USDOIS'!Z30</f>
        <v>2.3438802010389302E-9</v>
      </c>
      <c r="BQ21" s="161">
        <f ca="1">'JACOBIAN - OIS USDOIS'!AA30</f>
        <v>-3.3292768542025902E-10</v>
      </c>
      <c r="BR21" s="161">
        <f ca="1">'JACOBIAN - OIS USDOIS'!AB30</f>
        <v>4.9693582582222E-11</v>
      </c>
      <c r="BS21" s="161">
        <f ca="1">'JACOBIAN - OIS USDOIS'!AC30</f>
        <v>-1.2740697385993401E-11</v>
      </c>
      <c r="BT21" s="161">
        <f ca="1">'JACOBIAN - OIS USDOIS'!AD30</f>
        <v>2.1797008642465698E-12</v>
      </c>
      <c r="BU21">
        <f ca="1">'JACOBIAN - OIS USDOIS'!AE30</f>
        <v>-1.7891466027797299E-4</v>
      </c>
      <c r="BV21">
        <f ca="1">'JACOBIAN - OIS USDOIS'!AF30</f>
        <v>-2.3426459270670101E-5</v>
      </c>
      <c r="BW21">
        <f ca="1">'JACOBIAN - OIS USDOIS'!AG30</f>
        <v>5.78526158889758E-6</v>
      </c>
      <c r="BX21">
        <f ca="1">'JACOBIAN - OIS USDOIS'!AH30</f>
        <v>-1.5332656856381601E-6</v>
      </c>
      <c r="BY21">
        <f ca="1">'JACOBIAN - OIS USDOIS'!AI30</f>
        <v>3.3070884941643902E-7</v>
      </c>
      <c r="BZ21">
        <f ca="1">'JACOBIAN - OIS USDOIS'!AJ30</f>
        <v>-3.29935151421878E-8</v>
      </c>
      <c r="CA21">
        <f ca="1">'JACOBIAN - OIS USDOIS'!AK30</f>
        <v>6.5860258358085802E-9</v>
      </c>
      <c r="CB21">
        <f ca="1">'JACOBIAN - OIS USDOIS'!AL30</f>
        <v>-2.3082752376168998E-9</v>
      </c>
      <c r="CC21">
        <f ca="1">'JACOBIAN - OIS USDOIS'!AM30</f>
        <v>3.2792435433748298E-10</v>
      </c>
      <c r="CD21">
        <f ca="1">'JACOBIAN - OIS USDOIS'!AN30</f>
        <v>-4.8952286668679803E-11</v>
      </c>
      <c r="CE21">
        <f ca="1">'JACOBIAN - OIS USDOIS'!AO30</f>
        <v>1.2565948281917399E-11</v>
      </c>
      <c r="CF21">
        <f ca="1">'JACOBIAN - OIS USDOIS'!AP30</f>
        <v>-2.1381785231255902E-12</v>
      </c>
      <c r="CK21" s="248">
        <f t="shared" ca="1" si="5"/>
        <v>44272</v>
      </c>
      <c r="CL21">
        <f t="shared" ca="1" si="6"/>
        <v>-1.0912586303479801E-6</v>
      </c>
      <c r="CM21">
        <f t="shared" ca="1" si="7"/>
        <v>-2.1672941219463801E-8</v>
      </c>
      <c r="CN21">
        <f t="shared" ca="1" si="8"/>
        <v>8.6665301490818094E-8</v>
      </c>
      <c r="CO21">
        <f t="shared" ca="1" si="9"/>
        <v>-2.28292080795001E-7</v>
      </c>
      <c r="CP21">
        <f t="shared" ca="1" si="10"/>
        <v>2.93850263899387E-7</v>
      </c>
      <c r="CQ21">
        <f t="shared" ca="1" si="11"/>
        <v>-6.6455130021125797E-7</v>
      </c>
      <c r="CR21">
        <f t="shared" ca="1" si="12"/>
        <v>2.2343064480789799E-6</v>
      </c>
      <c r="CS21">
        <f t="shared" ca="1" si="13"/>
        <v>-8.1220609006171801E-6</v>
      </c>
      <c r="CT21">
        <f t="shared" ca="1" si="14"/>
        <v>3.1268789915661601E-5</v>
      </c>
      <c r="CU21">
        <f t="shared" ca="1" si="15"/>
        <v>-4.6964024180251598E-5</v>
      </c>
      <c r="CV21">
        <f t="shared" ca="1" si="16"/>
        <v>9.9418182370358794E-5</v>
      </c>
      <c r="CW21">
        <f t="shared" ca="1" si="17"/>
        <v>1.7874590696465001E-14</v>
      </c>
      <c r="CX21">
        <f t="shared" ca="1" si="18"/>
        <v>1.7874590696465001E-14</v>
      </c>
      <c r="CY21">
        <f t="shared" ca="1" si="19"/>
        <v>1.7874590696465001E-14</v>
      </c>
      <c r="CZ21">
        <f t="shared" ca="1" si="20"/>
        <v>1.7874590696465001E-14</v>
      </c>
      <c r="DA21">
        <f t="shared" ca="1" si="21"/>
        <v>1.7874590696465001E-14</v>
      </c>
      <c r="DB21" s="146">
        <v>0</v>
      </c>
      <c r="DC21" s="146">
        <v>0</v>
      </c>
      <c r="DD21" s="146">
        <v>0</v>
      </c>
      <c r="DE21" s="146">
        <v>0</v>
      </c>
      <c r="DF21" s="146">
        <v>0</v>
      </c>
      <c r="DG21" s="146">
        <v>0</v>
      </c>
      <c r="DH21" s="146">
        <v>0</v>
      </c>
      <c r="DI21" s="146">
        <v>0</v>
      </c>
      <c r="DJ21" s="146">
        <v>0</v>
      </c>
      <c r="DK21" s="146">
        <v>0</v>
      </c>
      <c r="DL21" s="146">
        <v>0</v>
      </c>
      <c r="DM21" s="146">
        <v>0</v>
      </c>
      <c r="DN21">
        <f t="shared" ca="1" si="22"/>
        <v>-1.7891466027797299E-4</v>
      </c>
      <c r="DO21">
        <f t="shared" ca="1" si="23"/>
        <v>-2.3426459270670101E-5</v>
      </c>
      <c r="DP21">
        <f t="shared" ca="1" si="24"/>
        <v>5.78526158889758E-6</v>
      </c>
      <c r="DQ21">
        <f t="shared" ca="1" si="25"/>
        <v>-1.5332656856381601E-6</v>
      </c>
      <c r="DR21">
        <f t="shared" ca="1" si="26"/>
        <v>3.3070884941643902E-7</v>
      </c>
      <c r="DS21">
        <f t="shared" ca="1" si="27"/>
        <v>-3.29935151421878E-8</v>
      </c>
      <c r="DT21">
        <f t="shared" ca="1" si="28"/>
        <v>6.5860258358085802E-9</v>
      </c>
      <c r="DU21">
        <f t="shared" ca="1" si="29"/>
        <v>-2.3082752376168998E-9</v>
      </c>
      <c r="DV21">
        <f t="shared" ca="1" si="30"/>
        <v>3.2792435433748298E-10</v>
      </c>
      <c r="DW21">
        <f t="shared" ca="1" si="31"/>
        <v>-4.8952286668679803E-11</v>
      </c>
      <c r="DX21">
        <f t="shared" ca="1" si="32"/>
        <v>1.2565948281917399E-11</v>
      </c>
      <c r="DY21">
        <f t="shared" ca="1" si="33"/>
        <v>-2.1381785231255902E-12</v>
      </c>
      <c r="EA21" s="278" t="str">
        <f ca="1"/>
        <v>OIS_5Y</v>
      </c>
      <c r="EB21" s="277">
        <f ca="1"/>
        <v>1.7487222027193586E-9</v>
      </c>
      <c r="EC21" s="171" t="s">
        <v>268</v>
      </c>
      <c r="ED21" s="248">
        <f ca="1">'JACOBIAN - SWAP USD3ML'!B30</f>
        <v>44454</v>
      </c>
      <c r="EE21">
        <f ca="1">'JACOBIAN - SWAP USD3ML'!C30</f>
        <v>0</v>
      </c>
      <c r="EF21">
        <f ca="1">'JACOBIAN - SWAP USD3ML'!D30</f>
        <v>0</v>
      </c>
      <c r="EG21">
        <f ca="1">'JACOBIAN - SWAP USD3ML'!E30</f>
        <v>0</v>
      </c>
      <c r="EH21">
        <f ca="1">'JACOBIAN - SWAP USD3ML'!F30</f>
        <v>0</v>
      </c>
      <c r="EI21">
        <f ca="1">'JACOBIAN - SWAP USD3ML'!G30</f>
        <v>0</v>
      </c>
      <c r="EJ21">
        <f ca="1">'JACOBIAN - SWAP USD3ML'!H30</f>
        <v>0</v>
      </c>
      <c r="EK21">
        <f ca="1">'JACOBIAN - SWAP USD3ML'!I30</f>
        <v>0</v>
      </c>
      <c r="EL21">
        <f ca="1">'JACOBIAN - SWAP USD3ML'!J30</f>
        <v>0</v>
      </c>
      <c r="EM21">
        <f ca="1">'JACOBIAN - SWAP USD3ML'!K30</f>
        <v>0</v>
      </c>
      <c r="EN21">
        <f ca="1">'JACOBIAN - SWAP USD3ML'!L30</f>
        <v>0</v>
      </c>
      <c r="EO21">
        <f ca="1">'JACOBIAN - SWAP USD3ML'!M30</f>
        <v>0</v>
      </c>
      <c r="EP21">
        <f ca="1">'JACOBIAN - SWAP USD3ML'!N30</f>
        <v>1.00000000000216E-4</v>
      </c>
      <c r="EQ21">
        <f ca="1">'JACOBIAN - SWAP USD3ML'!O30</f>
        <v>0</v>
      </c>
      <c r="ER21">
        <f ca="1">'JACOBIAN - SWAP USD3ML'!P30</f>
        <v>0</v>
      </c>
      <c r="ES21">
        <f ca="1">'JACOBIAN - SWAP USD3ML'!Q30</f>
        <v>0</v>
      </c>
      <c r="ET21">
        <f ca="1">'JACOBIAN - SWAP USD3ML'!R30</f>
        <v>0</v>
      </c>
      <c r="EU21">
        <f ca="1">'JACOBIAN - SWAP USD3ML'!S30</f>
        <v>0</v>
      </c>
      <c r="EV21">
        <f ca="1">'JACOBIAN - SWAP USD3ML'!T30</f>
        <v>0</v>
      </c>
      <c r="EW21">
        <f ca="1">'JACOBIAN - SWAP USD3ML'!U30</f>
        <v>0</v>
      </c>
      <c r="EX21">
        <f ca="1">'JACOBIAN - SWAP USD3ML'!V30</f>
        <v>0</v>
      </c>
      <c r="EY21">
        <f ca="1">'JACOBIAN - SWAP USD3ML'!W30</f>
        <v>0</v>
      </c>
      <c r="EZ21">
        <f ca="1">'JACOBIAN - SWAP USD3ML'!X30</f>
        <v>0</v>
      </c>
      <c r="FA21">
        <f ca="1">'JACOBIAN - SWAP USD3ML'!Y30</f>
        <v>0</v>
      </c>
      <c r="FB21">
        <f ca="1">'JACOBIAN - SWAP USD3ML'!Z30</f>
        <v>0</v>
      </c>
      <c r="FD21" s="146" t="str">
        <f ca="1"/>
        <v>SWAP_7Y</v>
      </c>
      <c r="FE21" s="280">
        <f ca="1"/>
        <v>-5.908875216675824E-6</v>
      </c>
      <c r="FF21" s="171"/>
      <c r="FH21" s="11" t="str">
        <f ca="1"/>
        <v>USDYC.OIS.BASISRATE.3Y</v>
      </c>
      <c r="FI21" s="275">
        <f ca="1"/>
        <v>1.6897694629733451</v>
      </c>
      <c r="FJ21" s="11" t="str">
        <f ca="1"/>
        <v>USDYC.STD.3MLIBORSWAP.4Y</v>
      </c>
      <c r="FK21" s="275">
        <f ca="1"/>
        <v>8.0796628026291728E-3</v>
      </c>
      <c r="FL21" s="11" t="e">
        <f ca="1"/>
        <v>#N/A</v>
      </c>
    </row>
    <row r="22" spans="2:168" x14ac:dyDescent="0.25">
      <c r="B22" t="s">
        <v>265</v>
      </c>
      <c r="C22" s="247">
        <f t="array" aca="1" ref="C22" ca="1">SUM(MMULT(TRANSPOSE(AI7:AI136),EE7:FB136))</f>
        <v>481.64251040995526</v>
      </c>
      <c r="D22" s="185"/>
      <c r="F22" s="270">
        <f ca="1"/>
        <v>43999</v>
      </c>
      <c r="G22" s="9">
        <f ca="1"/>
        <v>43999</v>
      </c>
      <c r="H22" s="9">
        <f ca="1"/>
        <v>44091</v>
      </c>
      <c r="I22" s="9">
        <f ca="1"/>
        <v>92</v>
      </c>
      <c r="J22" s="252">
        <f ca="1"/>
        <v>0.25555555555555598</v>
      </c>
      <c r="K22" s="269">
        <f ca="1"/>
        <v>44091</v>
      </c>
      <c r="L22" s="254">
        <f ca="1"/>
        <v>1000000</v>
      </c>
      <c r="M22" s="9">
        <f ca="1"/>
        <v>0</v>
      </c>
      <c r="N22" s="9">
        <f ca="1"/>
        <v>1</v>
      </c>
      <c r="O22" s="9">
        <f ca="1"/>
        <v>0</v>
      </c>
      <c r="P22" s="9">
        <f ca="1"/>
        <v>1.6101590887423901E-2</v>
      </c>
      <c r="Q22" s="263">
        <f ca="1"/>
        <v>4114.8510045638805</v>
      </c>
      <c r="R22" s="9">
        <f ca="1"/>
        <v>0.98858409942784597</v>
      </c>
      <c r="S22" s="9">
        <f ca="1"/>
        <v>4067.8762746265502</v>
      </c>
      <c r="T22" s="9" t="str">
        <f ca="1"/>
        <v/>
      </c>
      <c r="U22" s="12" t="str">
        <f ca="1"/>
        <v/>
      </c>
      <c r="V22" s="259">
        <f t="shared" ca="1" si="39"/>
        <v>252638.15874267215</v>
      </c>
      <c r="X22" s="258">
        <f t="shared" ca="1" si="0"/>
        <v>44364</v>
      </c>
      <c r="Y22" s="292">
        <f ca="1">O10+Q25</f>
        <v>-1305.2500735567501</v>
      </c>
      <c r="AA22" s="257">
        <f t="shared" ca="1" si="35"/>
        <v>44364</v>
      </c>
      <c r="AB22" s="266">
        <f t="shared" ca="1" si="2"/>
        <v>-1.4543593332372331E-4</v>
      </c>
      <c r="AC22" s="266"/>
      <c r="AD22" s="290">
        <f ca="1"/>
        <v>44364</v>
      </c>
      <c r="AE22" s="291">
        <f ca="1"/>
        <v>-1.4543593332372318E-4</v>
      </c>
      <c r="AF22" s="291" t="b">
        <f t="shared" ca="1" si="36"/>
        <v>1</v>
      </c>
      <c r="AH22" s="257">
        <f t="shared" ca="1" si="3"/>
        <v>44456</v>
      </c>
      <c r="AI22" s="260">
        <f ca="1">V27</f>
        <v>245937.15524282874</v>
      </c>
      <c r="AK22" s="290">
        <f ca="1"/>
        <v>44456</v>
      </c>
      <c r="AL22" s="291">
        <f ca="1"/>
        <v>9.9961044908737293E-5</v>
      </c>
      <c r="AM22" s="291" t="b">
        <f t="shared" ca="1" si="4"/>
        <v>1</v>
      </c>
      <c r="AO22" s="257">
        <f t="shared" ca="1" si="37"/>
        <v>44456</v>
      </c>
      <c r="AP22" s="266">
        <f t="shared" ca="1" si="38"/>
        <v>9.9961044908737252E-5</v>
      </c>
      <c r="AR22" s="248">
        <f ca="1">'JACOBIAN - OIS USDOIS'!B31</f>
        <v>44364</v>
      </c>
      <c r="AS22">
        <f ca="1">'JACOBIAN - OIS USDOIS'!C31</f>
        <v>-1.0878009840675801E-6</v>
      </c>
      <c r="AT22">
        <f ca="1">'JACOBIAN - OIS USDOIS'!D31</f>
        <v>-2.70395477119934E-8</v>
      </c>
      <c r="AU22">
        <f ca="1">'JACOBIAN - OIS USDOIS'!E31</f>
        <v>1.0812521122893801E-7</v>
      </c>
      <c r="AV22">
        <f ca="1">'JACOBIAN - OIS USDOIS'!F31</f>
        <v>-2.8482122949036197E-7</v>
      </c>
      <c r="AW22">
        <f ca="1">'JACOBIAN - OIS USDOIS'!G31</f>
        <v>3.6661289481987298E-7</v>
      </c>
      <c r="AX22">
        <f ca="1">'JACOBIAN - OIS USDOIS'!H31</f>
        <v>-8.2910604759511799E-7</v>
      </c>
      <c r="AY22">
        <f ca="1">'JACOBIAN - OIS USDOIS'!I31</f>
        <v>2.7918337678345399E-6</v>
      </c>
      <c r="AZ22">
        <f ca="1">'JACOBIAN - OIS USDOIS'!J31</f>
        <v>-1.0133217923646901E-5</v>
      </c>
      <c r="BA22">
        <f ca="1">'JACOBIAN - OIS USDOIS'!K31</f>
        <v>3.90116565056609E-5</v>
      </c>
      <c r="BB22">
        <f ca="1">'JACOBIAN - OIS USDOIS'!L31</f>
        <v>-5.8700558046576001E-5</v>
      </c>
      <c r="BC22">
        <f ca="1">'JACOBIAN - OIS USDOIS'!M31</f>
        <v>1.2405033190110399E-4</v>
      </c>
      <c r="BD22">
        <f ca="1">'JACOBIAN - OIS USDOIS'!N31</f>
        <v>6.0063065632220994E-14</v>
      </c>
      <c r="BE22">
        <f ca="1">'JACOBIAN - OIS USDOIS'!O31</f>
        <v>6.0063065632220994E-14</v>
      </c>
      <c r="BF22">
        <f ca="1">'JACOBIAN - OIS USDOIS'!P31</f>
        <v>6.0063065632220994E-14</v>
      </c>
      <c r="BG22">
        <f ca="1">'JACOBIAN - OIS USDOIS'!Q31</f>
        <v>6.0063065632220994E-14</v>
      </c>
      <c r="BH22">
        <f ca="1">'JACOBIAN - OIS USDOIS'!R31</f>
        <v>6.0063065632220994E-14</v>
      </c>
      <c r="BI22" s="161">
        <f ca="1">'JACOBIAN - OIS USDOIS'!S31</f>
        <v>1.79714367891326E-4</v>
      </c>
      <c r="BJ22" s="161">
        <f ca="1">'JACOBIAN - OIS USDOIS'!T31</f>
        <v>7.78878091565183E-5</v>
      </c>
      <c r="BK22" s="161">
        <f ca="1">'JACOBIAN - OIS USDOIS'!U31</f>
        <v>-1.5894935672555698E-5</v>
      </c>
      <c r="BL22" s="161">
        <f ca="1">'JACOBIAN - OIS USDOIS'!V31</f>
        <v>4.2114096591161498E-6</v>
      </c>
      <c r="BM22" s="161">
        <f ca="1">'JACOBIAN - OIS USDOIS'!W31</f>
        <v>-9.0863754464987099E-7</v>
      </c>
      <c r="BN22" s="161">
        <f ca="1">'JACOBIAN - OIS USDOIS'!X31</f>
        <v>9.0618505477202405E-8</v>
      </c>
      <c r="BO22" s="161">
        <f ca="1">'JACOBIAN - OIS USDOIS'!Y31</f>
        <v>-1.8087983333359101E-8</v>
      </c>
      <c r="BP22" s="161">
        <f ca="1">'JACOBIAN - OIS USDOIS'!Z31</f>
        <v>6.3365035440909903E-9</v>
      </c>
      <c r="BQ22" s="161">
        <f ca="1">'JACOBIAN - OIS USDOIS'!AA31</f>
        <v>-9.0004481645422598E-10</v>
      </c>
      <c r="BR22" s="161">
        <f ca="1">'JACOBIAN - OIS USDOIS'!AB31</f>
        <v>1.34349753544427E-10</v>
      </c>
      <c r="BS22" s="161">
        <f ca="1">'JACOBIAN - OIS USDOIS'!AC31</f>
        <v>-3.44425599152487E-11</v>
      </c>
      <c r="BT22" s="161">
        <f ca="1">'JACOBIAN - OIS USDOIS'!AD31</f>
        <v>5.9006133312777804E-12</v>
      </c>
      <c r="BU22">
        <f ca="1">'JACOBIAN - OIS USDOIS'!AE31</f>
        <v>-1.7642763715863799E-4</v>
      </c>
      <c r="BV22">
        <f ca="1">'JACOBIAN - OIS USDOIS'!AF31</f>
        <v>-7.6586534905498396E-5</v>
      </c>
      <c r="BW22">
        <f ca="1">'JACOBIAN - OIS USDOIS'!AG31</f>
        <v>1.5640083421475398E-5</v>
      </c>
      <c r="BX22">
        <f ca="1">'JACOBIAN - OIS USDOIS'!AH31</f>
        <v>-4.1450589610692001E-6</v>
      </c>
      <c r="BY22">
        <f ca="1">'JACOBIAN - OIS USDOIS'!AI31</f>
        <v>8.9404590519759395E-7</v>
      </c>
      <c r="BZ22">
        <f ca="1">'JACOBIAN - OIS USDOIS'!AJ31</f>
        <v>-8.91953955139968E-8</v>
      </c>
      <c r="CA22">
        <f ca="1">'JACOBIAN - OIS USDOIS'!AK31</f>
        <v>1.7804817842304E-8</v>
      </c>
      <c r="CB22">
        <f ca="1">'JACOBIAN - OIS USDOIS'!AL31</f>
        <v>-6.2402339962019904E-9</v>
      </c>
      <c r="CC22">
        <f ca="1">'JACOBIAN - OIS USDOIS'!AM31</f>
        <v>8.8652662988408803E-10</v>
      </c>
      <c r="CD22">
        <f ca="1">'JACOBIAN - OIS USDOIS'!AN31</f>
        <v>-1.32336697156177E-10</v>
      </c>
      <c r="CE22">
        <f ca="1">'JACOBIAN - OIS USDOIS'!AO31</f>
        <v>3.3974267843461803E-11</v>
      </c>
      <c r="CF22">
        <f ca="1">'JACOBIAN - OIS USDOIS'!AP31</f>
        <v>-5.7795990215936399E-12</v>
      </c>
      <c r="CK22" s="248">
        <f t="shared" ca="1" si="5"/>
        <v>44364</v>
      </c>
      <c r="CL22">
        <f t="shared" ca="1" si="6"/>
        <v>-1.0878009840675801E-6</v>
      </c>
      <c r="CM22">
        <f t="shared" ca="1" si="7"/>
        <v>-2.70395477119934E-8</v>
      </c>
      <c r="CN22">
        <f t="shared" ca="1" si="8"/>
        <v>1.0812521122893801E-7</v>
      </c>
      <c r="CO22">
        <f t="shared" ca="1" si="9"/>
        <v>-2.8482122949036197E-7</v>
      </c>
      <c r="CP22">
        <f t="shared" ca="1" si="10"/>
        <v>3.6661289481987298E-7</v>
      </c>
      <c r="CQ22">
        <f t="shared" ca="1" si="11"/>
        <v>-8.2910604759511799E-7</v>
      </c>
      <c r="CR22">
        <f t="shared" ca="1" si="12"/>
        <v>2.7918337678345399E-6</v>
      </c>
      <c r="CS22">
        <f t="shared" ca="1" si="13"/>
        <v>-1.0133217923646901E-5</v>
      </c>
      <c r="CT22">
        <f t="shared" ca="1" si="14"/>
        <v>3.90116565056609E-5</v>
      </c>
      <c r="CU22">
        <f t="shared" ca="1" si="15"/>
        <v>-5.8700558046576001E-5</v>
      </c>
      <c r="CV22">
        <f t="shared" ca="1" si="16"/>
        <v>1.2405033190110399E-4</v>
      </c>
      <c r="CW22">
        <f t="shared" ca="1" si="17"/>
        <v>6.0063065632220994E-14</v>
      </c>
      <c r="CX22">
        <f t="shared" ca="1" si="18"/>
        <v>6.0063065632220994E-14</v>
      </c>
      <c r="CY22">
        <f t="shared" ca="1" si="19"/>
        <v>6.0063065632220994E-14</v>
      </c>
      <c r="CZ22">
        <f t="shared" ca="1" si="20"/>
        <v>6.0063065632220994E-14</v>
      </c>
      <c r="DA22">
        <f t="shared" ca="1" si="21"/>
        <v>6.0063065632220994E-14</v>
      </c>
      <c r="DB22" s="146">
        <v>0</v>
      </c>
      <c r="DC22" s="146">
        <v>0</v>
      </c>
      <c r="DD22" s="146">
        <v>0</v>
      </c>
      <c r="DE22" s="146">
        <v>0</v>
      </c>
      <c r="DF22" s="146">
        <v>0</v>
      </c>
      <c r="DG22" s="146">
        <v>0</v>
      </c>
      <c r="DH22" s="146">
        <v>0</v>
      </c>
      <c r="DI22" s="146">
        <v>0</v>
      </c>
      <c r="DJ22" s="146">
        <v>0</v>
      </c>
      <c r="DK22" s="146">
        <v>0</v>
      </c>
      <c r="DL22" s="146">
        <v>0</v>
      </c>
      <c r="DM22" s="146">
        <v>0</v>
      </c>
      <c r="DN22">
        <f t="shared" ca="1" si="22"/>
        <v>-1.7642763715863799E-4</v>
      </c>
      <c r="DO22">
        <f t="shared" ca="1" si="23"/>
        <v>-7.6586534905498396E-5</v>
      </c>
      <c r="DP22">
        <f t="shared" ca="1" si="24"/>
        <v>1.5640083421475398E-5</v>
      </c>
      <c r="DQ22">
        <f t="shared" ca="1" si="25"/>
        <v>-4.1450589610692001E-6</v>
      </c>
      <c r="DR22">
        <f t="shared" ca="1" si="26"/>
        <v>8.9404590519759395E-7</v>
      </c>
      <c r="DS22">
        <f t="shared" ca="1" si="27"/>
        <v>-8.91953955139968E-8</v>
      </c>
      <c r="DT22">
        <f t="shared" ca="1" si="28"/>
        <v>1.7804817842304E-8</v>
      </c>
      <c r="DU22">
        <f t="shared" ca="1" si="29"/>
        <v>-6.2402339962019904E-9</v>
      </c>
      <c r="DV22">
        <f t="shared" ca="1" si="30"/>
        <v>8.8652662988408803E-10</v>
      </c>
      <c r="DW22">
        <f t="shared" ca="1" si="31"/>
        <v>-1.32336697156177E-10</v>
      </c>
      <c r="DX22">
        <f t="shared" ca="1" si="32"/>
        <v>3.3974267843461803E-11</v>
      </c>
      <c r="DY22">
        <f t="shared" ca="1" si="33"/>
        <v>-5.7795990215936399E-12</v>
      </c>
      <c r="EA22" s="278" t="str">
        <f ca="1"/>
        <v>LIBOROIS_1Y</v>
      </c>
      <c r="EB22" s="277">
        <f ca="1"/>
        <v>0.45074544002042399</v>
      </c>
      <c r="EC22" s="246" t="str">
        <f ca="1">FI17</f>
        <v>#DISABLED</v>
      </c>
      <c r="ED22" s="248">
        <f ca="1">'JACOBIAN - SWAP USD3ML'!B31</f>
        <v>44456</v>
      </c>
      <c r="EE22">
        <f ca="1">'JACOBIAN - SWAP USD3ML'!C31</f>
        <v>-8.79504802320241E-16</v>
      </c>
      <c r="EF22">
        <f ca="1">'JACOBIAN - SWAP USD3ML'!D31</f>
        <v>-2.1474243306653101E-7</v>
      </c>
      <c r="EG22">
        <f ca="1">'JACOBIAN - SWAP USD3ML'!E31</f>
        <v>-8.7846396823465495E-15</v>
      </c>
      <c r="EH22">
        <f ca="1">'JACOBIAN - SWAP USD3ML'!F31</f>
        <v>-8.79504802320241E-16</v>
      </c>
      <c r="EI22">
        <f ca="1">'JACOBIAN - SWAP USD3ML'!G31</f>
        <v>-2.3495104767984299E-9</v>
      </c>
      <c r="EJ22">
        <f ca="1">'JACOBIAN - SWAP USD3ML'!H31</f>
        <v>-2.13942324954822E-7</v>
      </c>
      <c r="EK22">
        <f ca="1">'JACOBIAN - SWAP USD3ML'!I31</f>
        <v>-2.1317147607703699E-7</v>
      </c>
      <c r="EL22">
        <f ca="1">'JACOBIAN - SWAP USD3ML'!J31</f>
        <v>-2.1246826979216799E-7</v>
      </c>
      <c r="EM22">
        <f ca="1">'JACOBIAN - SWAP USD3ML'!K31</f>
        <v>-2.1179281713135101E-7</v>
      </c>
      <c r="EN22">
        <f ca="1">'JACOBIAN - SWAP USD3ML'!L31</f>
        <v>-2.1113168883688001E-7</v>
      </c>
      <c r="EO22">
        <f ca="1">'JACOBIAN - SWAP USD3ML'!M31</f>
        <v>-7.39269005572626E-7</v>
      </c>
      <c r="EP22">
        <f ca="1">'JACOBIAN - SWAP USD3ML'!N31</f>
        <v>9.9641376391163995E-5</v>
      </c>
      <c r="EQ22">
        <f ca="1">'JACOBIAN - SWAP USD3ML'!O31</f>
        <v>3.1415215984639802E-6</v>
      </c>
      <c r="ER22">
        <f ca="1">'JACOBIAN - SWAP USD3ML'!P31</f>
        <v>-1.05663753878493E-6</v>
      </c>
      <c r="ES22">
        <f ca="1">'JACOBIAN - SWAP USD3ML'!Q31</f>
        <v>2.9028062942249001E-7</v>
      </c>
      <c r="ET22">
        <f ca="1">'JACOBIAN - SWAP USD3ML'!R31</f>
        <v>-6.5659222236308405E-8</v>
      </c>
      <c r="EU22">
        <f ca="1">'JACOBIAN - SWAP USD3ML'!S31</f>
        <v>3.7748801886422503E-8</v>
      </c>
      <c r="EV22">
        <f ca="1">'JACOBIAN - SWAP USD3ML'!T31</f>
        <v>-1.1151004515597101E-8</v>
      </c>
      <c r="EW22">
        <f ca="1">'JACOBIAN - SWAP USD3ML'!U31</f>
        <v>2.7004455806917098E-9</v>
      </c>
      <c r="EX22">
        <f ca="1">'JACOBIAN - SWAP USD3ML'!V31</f>
        <v>-3.15258149446995E-10</v>
      </c>
      <c r="EY22">
        <f ca="1">'JACOBIAN - SWAP USD3ML'!W31</f>
        <v>5.5863005193890203E-11</v>
      </c>
      <c r="EZ22">
        <f ca="1">'JACOBIAN - SWAP USD3ML'!X31</f>
        <v>-1.1075097436363799E-11</v>
      </c>
      <c r="FA22">
        <f ca="1">'JACOBIAN - SWAP USD3ML'!Y31</f>
        <v>3.5373891316137202E-12</v>
      </c>
      <c r="FB22">
        <f ca="1">'JACOBIAN - SWAP USD3ML'!Z31</f>
        <v>-7.2293906971943005E-13</v>
      </c>
      <c r="FD22" s="146" t="str">
        <f ca="1"/>
        <v>SWAP_8Y</v>
      </c>
      <c r="FE22" s="280">
        <f ca="1"/>
        <v>1.8769179348510079E-5</v>
      </c>
      <c r="FF22" s="171"/>
      <c r="FH22" s="11" t="str">
        <f ca="1"/>
        <v>USDYC.OIS.3MLIBORSWAP.3Y</v>
      </c>
      <c r="FI22" s="275">
        <f ca="1"/>
        <v>-1.6471847528009675</v>
      </c>
      <c r="FJ22" s="11" t="str">
        <f ca="1"/>
        <v>USDYC.STD.3MLIBORSWAP.5Y</v>
      </c>
      <c r="FK22" s="294">
        <f ca="1"/>
        <v>481.65129208937287</v>
      </c>
      <c r="FL22" s="11" t="e">
        <f ca="1"/>
        <v>#N/A</v>
      </c>
    </row>
    <row r="23" spans="2:168" x14ac:dyDescent="0.25">
      <c r="B23" t="s">
        <v>266</v>
      </c>
      <c r="C23" s="247">
        <f t="array" aca="1" ref="C23" ca="1">SUM(MMULT(TRANSPOSE(Y7:Y136),CL7:DY136))</f>
        <v>-6.7664009353765779</v>
      </c>
      <c r="F23" s="270">
        <f ca="1"/>
        <v>44091</v>
      </c>
      <c r="G23" s="9">
        <f ca="1"/>
        <v>44091</v>
      </c>
      <c r="H23" s="9">
        <f ca="1"/>
        <v>44182</v>
      </c>
      <c r="I23" s="9">
        <f ca="1"/>
        <v>91</v>
      </c>
      <c r="J23" s="252">
        <f ca="1"/>
        <v>0.25277777777777799</v>
      </c>
      <c r="K23" s="269">
        <f ca="1"/>
        <v>44182</v>
      </c>
      <c r="L23" s="254">
        <f ca="1"/>
        <v>1000000</v>
      </c>
      <c r="M23" s="9">
        <f ca="1"/>
        <v>0</v>
      </c>
      <c r="N23" s="9">
        <f ca="1"/>
        <v>1</v>
      </c>
      <c r="O23" s="9">
        <f ca="1"/>
        <v>0</v>
      </c>
      <c r="P23" s="9">
        <f ca="1"/>
        <v>1.53201410160239E-2</v>
      </c>
      <c r="Q23" s="263">
        <f ca="1"/>
        <v>3872.5912012726999</v>
      </c>
      <c r="R23" s="9">
        <f ca="1"/>
        <v>0.985326973703886</v>
      </c>
      <c r="S23" s="9">
        <f ca="1"/>
        <v>3815.76856874233</v>
      </c>
      <c r="T23" s="9" t="str">
        <f ca="1"/>
        <v/>
      </c>
      <c r="U23" s="12" t="str">
        <f ca="1"/>
        <v/>
      </c>
      <c r="V23" s="259">
        <f t="shared" ca="1" si="39"/>
        <v>249068.7627973714</v>
      </c>
      <c r="X23" s="258">
        <f t="shared" ca="1" si="0"/>
        <v>44456</v>
      </c>
      <c r="Y23" s="292">
        <f ca="1">Q26</f>
        <v>3675.2745247068401</v>
      </c>
      <c r="AA23" s="257">
        <f t="shared" ca="1" si="35"/>
        <v>44456</v>
      </c>
      <c r="AB23" s="266">
        <f t="shared" ca="1" si="2"/>
        <v>-1.698677298658246E-4</v>
      </c>
      <c r="AC23" s="266"/>
      <c r="AD23" s="290">
        <f ca="1"/>
        <v>44456</v>
      </c>
      <c r="AE23" s="291">
        <f ca="1"/>
        <v>-1.6986772986582466E-4</v>
      </c>
      <c r="AF23" s="291" t="b">
        <f t="shared" ca="1" si="36"/>
        <v>1</v>
      </c>
      <c r="AH23" s="257">
        <f t="shared" ca="1" si="3"/>
        <v>44545</v>
      </c>
      <c r="AI23" s="260">
        <v>0</v>
      </c>
      <c r="AK23" s="290">
        <f ca="1"/>
        <v>44545</v>
      </c>
      <c r="AL23" s="291">
        <f ca="1"/>
        <v>9.7049488631206771E-5</v>
      </c>
      <c r="AM23" s="291" t="b">
        <f t="shared" ca="1" si="4"/>
        <v>1</v>
      </c>
      <c r="AO23" s="257">
        <f t="shared" ca="1" si="37"/>
        <v>44545</v>
      </c>
      <c r="AP23" s="266">
        <f t="shared" ca="1" si="38"/>
        <v>9.7049488631207231E-5</v>
      </c>
      <c r="AR23" s="248">
        <f ca="1">'JACOBIAN - OIS USDOIS'!B32</f>
        <v>44456</v>
      </c>
      <c r="AS23">
        <f ca="1">'JACOBIAN - OIS USDOIS'!C32</f>
        <v>-1.0843502650237401E-6</v>
      </c>
      <c r="AT23">
        <f ca="1">'JACOBIAN - OIS USDOIS'!D32</f>
        <v>-1.6642742295403001E-8</v>
      </c>
      <c r="AU23">
        <f ca="1">'JACOBIAN - OIS USDOIS'!E32</f>
        <v>6.6550747024329797E-8</v>
      </c>
      <c r="AV23">
        <f ca="1">'JACOBIAN - OIS USDOIS'!F32</f>
        <v>-1.7530637907991999E-7</v>
      </c>
      <c r="AW23">
        <f ca="1">'JACOBIAN - OIS USDOIS'!G32</f>
        <v>2.25649004592654E-7</v>
      </c>
      <c r="AX23">
        <f ca="1">'JACOBIAN - OIS USDOIS'!H32</f>
        <v>-5.1031200831719303E-7</v>
      </c>
      <c r="AY23">
        <f ca="1">'JACOBIAN - OIS USDOIS'!I32</f>
        <v>1.7127377428538499E-6</v>
      </c>
      <c r="AZ23">
        <f ca="1">'JACOBIAN - OIS USDOIS'!J32</f>
        <v>-6.2369724282973502E-6</v>
      </c>
      <c r="BA23">
        <f ca="1">'JACOBIAN - OIS USDOIS'!K32</f>
        <v>2.4011351819619401E-5</v>
      </c>
      <c r="BB23">
        <f ca="1">'JACOBIAN - OIS USDOIS'!L32</f>
        <v>-3.5993583364923898E-5</v>
      </c>
      <c r="BC23">
        <f ca="1">'JACOBIAN - OIS USDOIS'!M32</f>
        <v>7.6333733274758204E-5</v>
      </c>
      <c r="BD23">
        <f ca="1">'JACOBIAN - OIS USDOIS'!N32</f>
        <v>1.1723955140041701E-13</v>
      </c>
      <c r="BE23">
        <f ca="1">'JACOBIAN - OIS USDOIS'!O32</f>
        <v>1.1723955140041701E-13</v>
      </c>
      <c r="BF23">
        <f ca="1">'JACOBIAN - OIS USDOIS'!P32</f>
        <v>1.1723955140041701E-13</v>
      </c>
      <c r="BG23">
        <f ca="1">'JACOBIAN - OIS USDOIS'!Q32</f>
        <v>1.1723955140041701E-13</v>
      </c>
      <c r="BH23">
        <f ca="1">'JACOBIAN - OIS USDOIS'!R32</f>
        <v>1.1723955140041701E-13</v>
      </c>
      <c r="BI23" s="161">
        <f ca="1">'JACOBIAN - OIS USDOIS'!S32</f>
        <v>1.01364406108417E-4</v>
      </c>
      <c r="BJ23" s="161">
        <f ca="1">'JACOBIAN - OIS USDOIS'!T32</f>
        <v>1.4617919987824899E-4</v>
      </c>
      <c r="BK23" s="161">
        <f ca="1">'JACOBIAN - OIS USDOIS'!U32</f>
        <v>-1.9422817951642E-5</v>
      </c>
      <c r="BL23" s="161">
        <f ca="1">'JACOBIAN - OIS USDOIS'!V32</f>
        <v>5.1461442520661598E-6</v>
      </c>
      <c r="BM23" s="161">
        <f ca="1">'JACOBIAN - OIS USDOIS'!W32</f>
        <v>-1.11031165006548E-6</v>
      </c>
      <c r="BN23" s="161">
        <f ca="1">'JACOBIAN - OIS USDOIS'!X32</f>
        <v>1.10731499192163E-7</v>
      </c>
      <c r="BO23" s="161">
        <f ca="1">'JACOBIAN - OIS USDOIS'!Y32</f>
        <v>-2.2102622621034099E-8</v>
      </c>
      <c r="BP23" s="161">
        <f ca="1">'JACOBIAN - OIS USDOIS'!Z32</f>
        <v>7.7429258560357506E-9</v>
      </c>
      <c r="BQ23" s="161">
        <f ca="1">'JACOBIAN - OIS USDOIS'!AA32</f>
        <v>-1.09981679319304E-9</v>
      </c>
      <c r="BR23" s="161">
        <f ca="1">'JACOBIAN - OIS USDOIS'!AB32</f>
        <v>1.6419421378088799E-10</v>
      </c>
      <c r="BS23" s="161">
        <f ca="1">'JACOBIAN - OIS USDOIS'!AC32</f>
        <v>-4.2084336016046102E-11</v>
      </c>
      <c r="BT23" s="161">
        <f ca="1">'JACOBIAN - OIS USDOIS'!AD32</f>
        <v>7.24031945509296E-12</v>
      </c>
      <c r="BU23">
        <f ca="1">'JACOBIAN - OIS USDOIS'!AE32</f>
        <v>-9.9518585856772605E-5</v>
      </c>
      <c r="BV23">
        <f ca="1">'JACOBIAN - OIS USDOIS'!AF32</f>
        <v>-1.43726984979553E-4</v>
      </c>
      <c r="BW23">
        <f ca="1">'JACOBIAN - OIS USDOIS'!AG32</f>
        <v>1.91114703623763E-5</v>
      </c>
      <c r="BX23">
        <f ca="1">'JACOBIAN - OIS USDOIS'!AH32</f>
        <v>-5.0650619757286497E-6</v>
      </c>
      <c r="BY23">
        <f ca="1">'JACOBIAN - OIS USDOIS'!AI32</f>
        <v>1.0924815792012799E-6</v>
      </c>
      <c r="BZ23">
        <f ca="1">'JACOBIAN - OIS USDOIS'!AJ32</f>
        <v>-1.08992506797634E-7</v>
      </c>
      <c r="CA23">
        <f ca="1">'JACOBIAN - OIS USDOIS'!AK32</f>
        <v>2.1756672241579599E-8</v>
      </c>
      <c r="CB23">
        <f ca="1">'JACOBIAN - OIS USDOIS'!AL32</f>
        <v>-7.6252366643103592E-9</v>
      </c>
      <c r="CC23">
        <f ca="1">'JACOBIAN - OIS USDOIS'!AM32</f>
        <v>1.08332487425145E-9</v>
      </c>
      <c r="CD23">
        <f ca="1">'JACOBIAN - OIS USDOIS'!AN32</f>
        <v>-1.6170254024672201E-10</v>
      </c>
      <c r="CE23">
        <f ca="1">'JACOBIAN - OIS USDOIS'!AO32</f>
        <v>4.1526893035381798E-11</v>
      </c>
      <c r="CF23">
        <f ca="1">'JACOBIAN - OIS USDOIS'!AP32</f>
        <v>-7.0604633251036798E-12</v>
      </c>
      <c r="CK23" s="248">
        <f t="shared" ca="1" si="5"/>
        <v>44456</v>
      </c>
      <c r="CL23">
        <f t="shared" ca="1" si="6"/>
        <v>-1.0843502650237401E-6</v>
      </c>
      <c r="CM23">
        <f t="shared" ca="1" si="7"/>
        <v>-1.6642742295403001E-8</v>
      </c>
      <c r="CN23">
        <f t="shared" ca="1" si="8"/>
        <v>6.6550747024329797E-8</v>
      </c>
      <c r="CO23">
        <f t="shared" ca="1" si="9"/>
        <v>-1.7530637907991999E-7</v>
      </c>
      <c r="CP23">
        <f t="shared" ca="1" si="10"/>
        <v>2.25649004592654E-7</v>
      </c>
      <c r="CQ23">
        <f t="shared" ca="1" si="11"/>
        <v>-5.1031200831719303E-7</v>
      </c>
      <c r="CR23">
        <f t="shared" ca="1" si="12"/>
        <v>1.7127377428538499E-6</v>
      </c>
      <c r="CS23">
        <f t="shared" ca="1" si="13"/>
        <v>-6.2369724282973502E-6</v>
      </c>
      <c r="CT23">
        <f t="shared" ca="1" si="14"/>
        <v>2.4011351819619401E-5</v>
      </c>
      <c r="CU23">
        <f t="shared" ca="1" si="15"/>
        <v>-3.5993583364923898E-5</v>
      </c>
      <c r="CV23">
        <f t="shared" ca="1" si="16"/>
        <v>7.6333733274758204E-5</v>
      </c>
      <c r="CW23">
        <f t="shared" ca="1" si="17"/>
        <v>1.1723955140041701E-13</v>
      </c>
      <c r="CX23">
        <f t="shared" ca="1" si="18"/>
        <v>1.1723955140041701E-13</v>
      </c>
      <c r="CY23">
        <f t="shared" ca="1" si="19"/>
        <v>1.1723955140041701E-13</v>
      </c>
      <c r="CZ23">
        <f t="shared" ca="1" si="20"/>
        <v>1.1723955140041701E-13</v>
      </c>
      <c r="DA23">
        <f t="shared" ca="1" si="21"/>
        <v>1.1723955140041701E-13</v>
      </c>
      <c r="DB23" s="146">
        <v>0</v>
      </c>
      <c r="DC23" s="146">
        <v>0</v>
      </c>
      <c r="DD23" s="146">
        <v>0</v>
      </c>
      <c r="DE23" s="146">
        <v>0</v>
      </c>
      <c r="DF23" s="146">
        <v>0</v>
      </c>
      <c r="DG23" s="146">
        <v>0</v>
      </c>
      <c r="DH23" s="146">
        <v>0</v>
      </c>
      <c r="DI23" s="146">
        <v>0</v>
      </c>
      <c r="DJ23" s="146">
        <v>0</v>
      </c>
      <c r="DK23" s="146">
        <v>0</v>
      </c>
      <c r="DL23" s="146">
        <v>0</v>
      </c>
      <c r="DM23" s="146">
        <v>0</v>
      </c>
      <c r="DN23">
        <f t="shared" ca="1" si="22"/>
        <v>-9.9518585856772605E-5</v>
      </c>
      <c r="DO23">
        <f t="shared" ca="1" si="23"/>
        <v>-1.43726984979553E-4</v>
      </c>
      <c r="DP23">
        <f t="shared" ca="1" si="24"/>
        <v>1.91114703623763E-5</v>
      </c>
      <c r="DQ23">
        <f t="shared" ca="1" si="25"/>
        <v>-5.0650619757286497E-6</v>
      </c>
      <c r="DR23">
        <f t="shared" ca="1" si="26"/>
        <v>1.0924815792012799E-6</v>
      </c>
      <c r="DS23">
        <f t="shared" ca="1" si="27"/>
        <v>-1.08992506797634E-7</v>
      </c>
      <c r="DT23">
        <f t="shared" ca="1" si="28"/>
        <v>2.1756672241579599E-8</v>
      </c>
      <c r="DU23">
        <f t="shared" ca="1" si="29"/>
        <v>-7.6252366643103592E-9</v>
      </c>
      <c r="DV23">
        <f t="shared" ca="1" si="30"/>
        <v>1.08332487425145E-9</v>
      </c>
      <c r="DW23">
        <f t="shared" ca="1" si="31"/>
        <v>-1.6170254024672201E-10</v>
      </c>
      <c r="DX23">
        <f t="shared" ca="1" si="32"/>
        <v>4.1526893035381798E-11</v>
      </c>
      <c r="DY23">
        <f t="shared" ca="1" si="33"/>
        <v>-7.0604633251036798E-12</v>
      </c>
      <c r="EA23" s="278" t="str">
        <f ca="1"/>
        <v>LIBOROIS_2Y</v>
      </c>
      <c r="EB23" s="277">
        <f ca="1"/>
        <v>0.95997654486087602</v>
      </c>
      <c r="EC23" s="246" t="str">
        <f ca="1">FI19</f>
        <v>#DISABLED</v>
      </c>
      <c r="ED23" s="248">
        <f ca="1">'JACOBIAN - SWAP USD3ML'!B32</f>
        <v>44545</v>
      </c>
      <c r="EE23">
        <f ca="1">'JACOBIAN - SWAP USD3ML'!C32</f>
        <v>-2.57571741713036E-14</v>
      </c>
      <c r="EF23">
        <f ca="1">'JACOBIAN - SWAP USD3ML'!D32</f>
        <v>-1.6254378291336001E-5</v>
      </c>
      <c r="EG23">
        <f ca="1">'JACOBIAN - SWAP USD3ML'!E32</f>
        <v>-7.0166095156309903E-13</v>
      </c>
      <c r="EH23">
        <f ca="1">'JACOBIAN - SWAP USD3ML'!F32</f>
        <v>-2.57571741713036E-14</v>
      </c>
      <c r="EI23">
        <f ca="1">'JACOBIAN - SWAP USD3ML'!G32</f>
        <v>-1.7784053962799399E-7</v>
      </c>
      <c r="EJ23">
        <f ca="1">'JACOBIAN - SWAP USD3ML'!H32</f>
        <v>-1.6193816239962199E-5</v>
      </c>
      <c r="EK23">
        <f ca="1">'JACOBIAN - SWAP USD3ML'!I32</f>
        <v>-1.61354690124682E-5</v>
      </c>
      <c r="EL23">
        <f ca="1">'JACOBIAN - SWAP USD3ML'!J32</f>
        <v>-1.60822417170081E-5</v>
      </c>
      <c r="EM23">
        <f ca="1">'JACOBIAN - SWAP USD3ML'!K32</f>
        <v>-1.6031115167791702E-5</v>
      </c>
      <c r="EN23">
        <f ca="1">'JACOBIAN - SWAP USD3ML'!L32</f>
        <v>-1.59810728757037E-5</v>
      </c>
      <c r="EO23">
        <f ca="1">'JACOBIAN - SWAP USD3ML'!M32</f>
        <v>-1.61875916342424E-5</v>
      </c>
      <c r="EP23">
        <f ca="1">'JACOBIAN - SWAP USD3ML'!N32</f>
        <v>3.2727912416596901E-5</v>
      </c>
      <c r="EQ23">
        <f ca="1">'JACOBIAN - SWAP USD3ML'!O32</f>
        <v>2.36440226620616E-4</v>
      </c>
      <c r="ER23">
        <f ca="1">'JACOBIAN - SWAP USD3ML'!P32</f>
        <v>-7.7736441900455602E-5</v>
      </c>
      <c r="ES23">
        <f ca="1">'JACOBIAN - SWAP USD3ML'!Q32</f>
        <v>2.1356094475955E-5</v>
      </c>
      <c r="ET23">
        <f ca="1">'JACOBIAN - SWAP USD3ML'!R32</f>
        <v>-4.8305676001447801E-6</v>
      </c>
      <c r="EU23">
        <f ca="1">'JACOBIAN - SWAP USD3ML'!S32</f>
        <v>2.7771926429664998E-6</v>
      </c>
      <c r="EV23">
        <f ca="1">'JACOBIAN - SWAP USD3ML'!T32</f>
        <v>-8.2038287185781698E-7</v>
      </c>
      <c r="EW23">
        <f ca="1">'JACOBIAN - SWAP USD3ML'!U32</f>
        <v>1.9867265788065001E-7</v>
      </c>
      <c r="EX23">
        <f ca="1">'JACOBIAN - SWAP USD3ML'!V32</f>
        <v>-2.3193668319265699E-8</v>
      </c>
      <c r="EY23">
        <f ca="1">'JACOBIAN - SWAP USD3ML'!W32</f>
        <v>4.1098671132999698E-9</v>
      </c>
      <c r="EZ23">
        <f ca="1">'JACOBIAN - SWAP USD3ML'!X32</f>
        <v>-8.1483975122864597E-10</v>
      </c>
      <c r="FA23">
        <f ca="1">'JACOBIAN - SWAP USD3ML'!Y32</f>
        <v>2.6025581689736999E-10</v>
      </c>
      <c r="FB23">
        <f ca="1">'JACOBIAN - SWAP USD3ML'!Z32</f>
        <v>-5.31938937342602E-11</v>
      </c>
      <c r="FD23" s="146" t="str">
        <f ca="1"/>
        <v>SWAP_9Y</v>
      </c>
      <c r="FE23" s="280">
        <f ca="1"/>
        <v>1.0697890989064263E-5</v>
      </c>
      <c r="FF23" s="171"/>
      <c r="FH23" s="11" t="str">
        <f ca="1"/>
        <v>USDYC.OIS.BASISRATE.4Y</v>
      </c>
      <c r="FI23" s="275">
        <f ca="1"/>
        <v>2.5005659976159222</v>
      </c>
      <c r="FJ23" s="11" t="str">
        <f ca="1"/>
        <v>USDYC.STD.3MLIBORSWAP.7Y</v>
      </c>
      <c r="FK23" s="275">
        <f ca="1"/>
        <v>6.3458981458097696E-3</v>
      </c>
      <c r="FL23" s="11" t="e">
        <f ca="1"/>
        <v>#N/A</v>
      </c>
    </row>
    <row r="24" spans="2:168" x14ac:dyDescent="0.25">
      <c r="B24" t="s">
        <v>257</v>
      </c>
      <c r="C24" s="247">
        <f ca="1">C22</f>
        <v>481.64251040995526</v>
      </c>
      <c r="D24" s="186"/>
      <c r="F24" s="270">
        <f ca="1"/>
        <v>44182</v>
      </c>
      <c r="G24" s="9">
        <f ca="1"/>
        <v>44182</v>
      </c>
      <c r="H24" s="9">
        <f ca="1"/>
        <v>44272</v>
      </c>
      <c r="I24" s="9">
        <f ca="1"/>
        <v>90</v>
      </c>
      <c r="J24" s="252">
        <f ca="1"/>
        <v>0.25</v>
      </c>
      <c r="K24" s="269">
        <f ca="1"/>
        <v>44272</v>
      </c>
      <c r="L24" s="254">
        <f ca="1"/>
        <v>1000000</v>
      </c>
      <c r="M24" s="9">
        <f ca="1"/>
        <v>0</v>
      </c>
      <c r="N24" s="9">
        <f ca="1"/>
        <v>1</v>
      </c>
      <c r="O24" s="9">
        <f ca="1"/>
        <v>0</v>
      </c>
      <c r="P24" s="9">
        <f ca="1"/>
        <v>1.52203100283872E-2</v>
      </c>
      <c r="Q24" s="263">
        <f ca="1"/>
        <v>3805.0775070968002</v>
      </c>
      <c r="R24" s="9">
        <f ca="1"/>
        <v>0.98223936826288405</v>
      </c>
      <c r="S24" s="9">
        <f ca="1"/>
        <v>3737.49692676207</v>
      </c>
      <c r="T24" s="9" t="str">
        <f ca="1"/>
        <v/>
      </c>
      <c r="U24" s="12" t="str">
        <f ca="1"/>
        <v/>
      </c>
      <c r="V24" s="259">
        <f t="shared" ca="1" si="39"/>
        <v>245559.84206572102</v>
      </c>
      <c r="X24" s="258">
        <f t="shared" ca="1" si="0"/>
        <v>44547</v>
      </c>
      <c r="Y24" s="292">
        <f ca="1">O11+Q27</f>
        <v>-1383.98337349954</v>
      </c>
      <c r="AA24" s="257">
        <f t="shared" ca="1" si="35"/>
        <v>44547</v>
      </c>
      <c r="AB24" s="266">
        <f t="shared" ca="1" si="2"/>
        <v>-1.9416420929518869E-4</v>
      </c>
      <c r="AC24" s="266"/>
      <c r="AD24" s="290">
        <f ca="1"/>
        <v>44547</v>
      </c>
      <c r="AE24" s="291">
        <f ca="1"/>
        <v>-1.9416420929518896E-4</v>
      </c>
      <c r="AF24" s="291" t="b">
        <f t="shared" ca="1" si="36"/>
        <v>1</v>
      </c>
      <c r="AH24" s="257">
        <f t="shared" ca="1" si="3"/>
        <v>44547</v>
      </c>
      <c r="AI24" s="260">
        <f t="shared" ref="AI24:AI31" ca="1" si="40">V28</f>
        <v>242469.228251555</v>
      </c>
      <c r="AK24" s="290">
        <f ca="1"/>
        <v>44547</v>
      </c>
      <c r="AL24" s="291">
        <f ca="1"/>
        <v>9.6981624691849788E-5</v>
      </c>
      <c r="AM24" s="291" t="b">
        <f t="shared" ca="1" si="4"/>
        <v>1</v>
      </c>
      <c r="AO24" s="257">
        <f t="shared" ca="1" si="37"/>
        <v>44547</v>
      </c>
      <c r="AP24" s="266">
        <f t="shared" ca="1" si="38"/>
        <v>9.6981624691849449E-5</v>
      </c>
      <c r="AR24" s="248">
        <f ca="1">'JACOBIAN - OIS USDOIS'!B33</f>
        <v>44547</v>
      </c>
      <c r="AS24">
        <f ca="1">'JACOBIAN - OIS USDOIS'!C33</f>
        <v>-1.0809251166366E-6</v>
      </c>
      <c r="AT24">
        <f ca="1">'JACOBIAN - OIS USDOIS'!D33</f>
        <v>1.76910264215735E-10</v>
      </c>
      <c r="AU24">
        <f ca="1">'JACOBIAN - OIS USDOIS'!E33</f>
        <v>-7.0724270884170396E-10</v>
      </c>
      <c r="AV24">
        <f ca="1">'JACOBIAN - OIS USDOIS'!F33</f>
        <v>1.8635389897880798E-9</v>
      </c>
      <c r="AW24">
        <f ca="1">'JACOBIAN - OIS USDOIS'!G33</f>
        <v>-2.3982775765318799E-9</v>
      </c>
      <c r="AX24">
        <f ca="1">'JACOBIAN - OIS USDOIS'!H33</f>
        <v>5.4239575053571798E-9</v>
      </c>
      <c r="AY24">
        <f ca="1">'JACOBIAN - OIS USDOIS'!I33</f>
        <v>-3.3291281731351299E-8</v>
      </c>
      <c r="AZ24">
        <f ca="1">'JACOBIAN - OIS USDOIS'!J33</f>
        <v>6.6292789036026494E-8</v>
      </c>
      <c r="BA24">
        <f ca="1">'JACOBIAN - OIS USDOIS'!K33</f>
        <v>-2.5521905566705501E-7</v>
      </c>
      <c r="BB24">
        <f ca="1">'JACOBIAN - OIS USDOIS'!L33</f>
        <v>7.5137827137972103E-7</v>
      </c>
      <c r="BC24">
        <f ca="1">'JACOBIAN - OIS USDOIS'!M33</f>
        <v>-8.5678792682841699E-7</v>
      </c>
      <c r="BD24">
        <f ca="1">'JACOBIAN - OIS USDOIS'!N33</f>
        <v>1.7030821197749899E-13</v>
      </c>
      <c r="BE24">
        <f ca="1">'JACOBIAN - OIS USDOIS'!O33</f>
        <v>1.7030821197749899E-13</v>
      </c>
      <c r="BF24">
        <f ca="1">'JACOBIAN - OIS USDOIS'!P33</f>
        <v>1.7030821197749899E-13</v>
      </c>
      <c r="BG24">
        <f ca="1">'JACOBIAN - OIS USDOIS'!Q33</f>
        <v>1.7030821197749899E-13</v>
      </c>
      <c r="BH24">
        <f ca="1">'JACOBIAN - OIS USDOIS'!R33</f>
        <v>1.7030821197749899E-13</v>
      </c>
      <c r="BI24" s="161">
        <f ca="1">'JACOBIAN - OIS USDOIS'!S33</f>
        <v>-1.89814968809543E-6</v>
      </c>
      <c r="BJ24" s="161">
        <f ca="1">'JACOBIAN - OIS USDOIS'!T33</f>
        <v>1.9787406482563199E-4</v>
      </c>
      <c r="BK24" s="161">
        <f ca="1">'JACOBIAN - OIS USDOIS'!U33</f>
        <v>1.0219955148826899E-7</v>
      </c>
      <c r="BL24" s="161">
        <f ca="1">'JACOBIAN - OIS USDOIS'!V33</f>
        <v>-2.70780227129563E-8</v>
      </c>
      <c r="BM24" s="161">
        <f ca="1">'JACOBIAN - OIS USDOIS'!W33</f>
        <v>5.8421816273579502E-9</v>
      </c>
      <c r="BN24" s="161">
        <f ca="1">'JACOBIAN - OIS USDOIS'!X33</f>
        <v>-5.8262528135344403E-10</v>
      </c>
      <c r="BO24" s="161">
        <f ca="1">'JACOBIAN - OIS USDOIS'!Y33</f>
        <v>1.16418430451404E-10</v>
      </c>
      <c r="BP24" s="161">
        <f ca="1">'JACOBIAN - OIS USDOIS'!Z33</f>
        <v>-4.0661030098476697E-11</v>
      </c>
      <c r="BQ24" s="161">
        <f ca="1">'JACOBIAN - OIS USDOIS'!AA33</f>
        <v>5.76849679134739E-12</v>
      </c>
      <c r="BR24" s="161">
        <f ca="1">'JACOBIAN - OIS USDOIS'!AB33</f>
        <v>-7.6538775317658302E-13</v>
      </c>
      <c r="BS24" s="161">
        <f ca="1">'JACOBIAN - OIS USDOIS'!AC33</f>
        <v>2.3270274596143301E-13</v>
      </c>
      <c r="BT24" s="161">
        <f ca="1">'JACOBIAN - OIS USDOIS'!AD33</f>
        <v>7.8825834748386102E-14</v>
      </c>
      <c r="BU24">
        <f ca="1">'JACOBIAN - OIS USDOIS'!AE33</f>
        <v>1.86348903830069E-6</v>
      </c>
      <c r="BV24">
        <f ca="1">'JACOBIAN - OIS USDOIS'!AF33</f>
        <v>-1.94544342638103E-4</v>
      </c>
      <c r="BW24">
        <f ca="1">'JACOBIAN - OIS USDOIS'!AG33</f>
        <v>-1.00560721638665E-7</v>
      </c>
      <c r="BX24">
        <f ca="1">'JACOBIAN - OIS USDOIS'!AH33</f>
        <v>2.6651395979016002E-8</v>
      </c>
      <c r="BY24">
        <f ca="1">'JACOBIAN - OIS USDOIS'!AI33</f>
        <v>-5.7484043081146297E-9</v>
      </c>
      <c r="BZ24">
        <f ca="1">'JACOBIAN - OIS USDOIS'!AJ33</f>
        <v>5.7354432314582503E-10</v>
      </c>
      <c r="CA24">
        <f ca="1">'JACOBIAN - OIS USDOIS'!AK33</f>
        <v>-1.14347087354361E-10</v>
      </c>
      <c r="CB24">
        <f ca="1">'JACOBIAN - OIS USDOIS'!AL33</f>
        <v>4.0246361798779201E-11</v>
      </c>
      <c r="CC24">
        <f ca="1">'JACOBIAN - OIS USDOIS'!AM33</f>
        <v>-5.5772053642044698E-12</v>
      </c>
      <c r="CD24">
        <f ca="1">'JACOBIAN - OIS USDOIS'!AN33</f>
        <v>8.7685414484894904E-13</v>
      </c>
      <c r="CE24">
        <f ca="1">'JACOBIAN - OIS USDOIS'!AO33</f>
        <v>-1.7130741269966201E-13</v>
      </c>
      <c r="CF24">
        <f ca="1">'JACOBIAN - OIS USDOIS'!AP33</f>
        <v>4.50750547997814E-14</v>
      </c>
      <c r="CK24" s="248">
        <f t="shared" ca="1" si="5"/>
        <v>44547</v>
      </c>
      <c r="CL24">
        <f t="shared" ca="1" si="6"/>
        <v>-1.0809251166366E-6</v>
      </c>
      <c r="CM24">
        <f t="shared" ca="1" si="7"/>
        <v>1.76910264215735E-10</v>
      </c>
      <c r="CN24">
        <f t="shared" ca="1" si="8"/>
        <v>-7.0724270884170396E-10</v>
      </c>
      <c r="CO24">
        <f t="shared" ca="1" si="9"/>
        <v>1.8635389897880798E-9</v>
      </c>
      <c r="CP24">
        <f t="shared" ca="1" si="10"/>
        <v>-2.3982775765318799E-9</v>
      </c>
      <c r="CQ24">
        <f t="shared" ca="1" si="11"/>
        <v>5.4239575053571798E-9</v>
      </c>
      <c r="CR24">
        <f t="shared" ca="1" si="12"/>
        <v>-3.3291281731351299E-8</v>
      </c>
      <c r="CS24">
        <f t="shared" ca="1" si="13"/>
        <v>6.6292789036026494E-8</v>
      </c>
      <c r="CT24">
        <f t="shared" ca="1" si="14"/>
        <v>-2.5521905566705501E-7</v>
      </c>
      <c r="CU24">
        <f t="shared" ca="1" si="15"/>
        <v>7.5137827137972103E-7</v>
      </c>
      <c r="CV24">
        <f t="shared" ca="1" si="16"/>
        <v>-8.5678792682841699E-7</v>
      </c>
      <c r="CW24">
        <f t="shared" ca="1" si="17"/>
        <v>1.7030821197749899E-13</v>
      </c>
      <c r="CX24">
        <f t="shared" ca="1" si="18"/>
        <v>1.7030821197749899E-13</v>
      </c>
      <c r="CY24">
        <f t="shared" ca="1" si="19"/>
        <v>1.7030821197749899E-13</v>
      </c>
      <c r="CZ24">
        <f t="shared" ca="1" si="20"/>
        <v>1.7030821197749899E-13</v>
      </c>
      <c r="DA24">
        <f t="shared" ca="1" si="21"/>
        <v>1.7030821197749899E-13</v>
      </c>
      <c r="DB24" s="146">
        <v>0</v>
      </c>
      <c r="DC24" s="146">
        <v>0</v>
      </c>
      <c r="DD24" s="146">
        <v>0</v>
      </c>
      <c r="DE24" s="146">
        <v>0</v>
      </c>
      <c r="DF24" s="146">
        <v>0</v>
      </c>
      <c r="DG24" s="146">
        <v>0</v>
      </c>
      <c r="DH24" s="146">
        <v>0</v>
      </c>
      <c r="DI24" s="146">
        <v>0</v>
      </c>
      <c r="DJ24" s="146">
        <v>0</v>
      </c>
      <c r="DK24" s="146">
        <v>0</v>
      </c>
      <c r="DL24" s="146">
        <v>0</v>
      </c>
      <c r="DM24" s="146">
        <v>0</v>
      </c>
      <c r="DN24">
        <f t="shared" ca="1" si="22"/>
        <v>1.86348903830069E-6</v>
      </c>
      <c r="DO24">
        <f t="shared" ca="1" si="23"/>
        <v>-1.94544342638103E-4</v>
      </c>
      <c r="DP24">
        <f t="shared" ca="1" si="24"/>
        <v>-1.00560721638665E-7</v>
      </c>
      <c r="DQ24">
        <f t="shared" ca="1" si="25"/>
        <v>2.6651395979016002E-8</v>
      </c>
      <c r="DR24">
        <f t="shared" ca="1" si="26"/>
        <v>-5.7484043081146297E-9</v>
      </c>
      <c r="DS24">
        <f t="shared" ca="1" si="27"/>
        <v>5.7354432314582503E-10</v>
      </c>
      <c r="DT24">
        <f t="shared" ca="1" si="28"/>
        <v>-1.14347087354361E-10</v>
      </c>
      <c r="DU24">
        <f t="shared" ca="1" si="29"/>
        <v>4.0246361798779201E-11</v>
      </c>
      <c r="DV24">
        <f t="shared" ca="1" si="30"/>
        <v>-5.5772053642044698E-12</v>
      </c>
      <c r="DW24">
        <f t="shared" ca="1" si="31"/>
        <v>8.7685414484894904E-13</v>
      </c>
      <c r="DX24">
        <f t="shared" ca="1" si="32"/>
        <v>-1.7130741269966201E-13</v>
      </c>
      <c r="DY24">
        <f t="shared" ca="1" si="33"/>
        <v>4.50750547997814E-14</v>
      </c>
      <c r="EA24" s="278" t="str">
        <f ca="1"/>
        <v>LIBOROIS_3Y</v>
      </c>
      <c r="EB24" s="277">
        <f ca="1"/>
        <v>1.5504901653121814</v>
      </c>
      <c r="EC24" s="246" t="str">
        <f ca="1">FI21</f>
        <v>#DISABLED</v>
      </c>
      <c r="ED24" s="248">
        <f ca="1">'JACOBIAN - SWAP USD3ML'!B33</f>
        <v>44547</v>
      </c>
      <c r="EE24">
        <f ca="1">'JACOBIAN - SWAP USD3ML'!C33</f>
        <v>-2.6645352591003801E-14</v>
      </c>
      <c r="EF24">
        <f ca="1">'JACOBIAN - SWAP USD3ML'!D33</f>
        <v>-1.6624973484091801E-5</v>
      </c>
      <c r="EG24">
        <f ca="1">'JACOBIAN - SWAP USD3ML'!E33</f>
        <v>-7.2386541205560196E-13</v>
      </c>
      <c r="EH24">
        <f ca="1">'JACOBIAN - SWAP USD3ML'!F33</f>
        <v>-2.57571741713036E-14</v>
      </c>
      <c r="EI24">
        <f ca="1">'JACOBIAN - SWAP USD3ML'!G33</f>
        <v>-1.8189526151957101E-7</v>
      </c>
      <c r="EJ24">
        <f ca="1">'JACOBIAN - SWAP USD3ML'!H33</f>
        <v>-1.6563030638572199E-5</v>
      </c>
      <c r="EK24">
        <f ca="1">'JACOBIAN - SWAP USD3ML'!I33</f>
        <v>-1.6503353119645701E-5</v>
      </c>
      <c r="EL24">
        <f ca="1">'JACOBIAN - SWAP USD3ML'!J33</f>
        <v>-1.64489122598255E-5</v>
      </c>
      <c r="EM24">
        <f ca="1">'JACOBIAN - SWAP USD3ML'!K33</f>
        <v>-1.6396620043046499E-5</v>
      </c>
      <c r="EN24">
        <f ca="1">'JACOBIAN - SWAP USD3ML'!L33</f>
        <v>-1.6345436802289699E-5</v>
      </c>
      <c r="EO24">
        <f ca="1">'JACOBIAN - SWAP USD3ML'!M33</f>
        <v>-1.6545274267087999E-5</v>
      </c>
      <c r="EP24">
        <f ca="1">'JACOBIAN - SWAP USD3ML'!N33</f>
        <v>3.11259218044313E-5</v>
      </c>
      <c r="EQ24">
        <f ca="1">'JACOBIAN - SWAP USD3ML'!O33</f>
        <v>2.4161231161290401E-4</v>
      </c>
      <c r="ER24">
        <f ca="1">'JACOBIAN - SWAP USD3ML'!P33</f>
        <v>-7.9147062245432705E-5</v>
      </c>
      <c r="ES24">
        <f ca="1">'JACOBIAN - SWAP USD3ML'!Q33</f>
        <v>2.1743626775538898E-5</v>
      </c>
      <c r="ET24">
        <f ca="1">'JACOBIAN - SWAP USD3ML'!R33</f>
        <v>-4.9182239489908903E-6</v>
      </c>
      <c r="EU24">
        <f ca="1">'JACOBIAN - SWAP USD3ML'!S33</f>
        <v>2.8275881245321001E-6</v>
      </c>
      <c r="EV24">
        <f ca="1">'JACOBIAN - SWAP USD3ML'!T33</f>
        <v>-8.35269687193829E-7</v>
      </c>
      <c r="EW24">
        <f ca="1">'JACOBIAN - SWAP USD3ML'!U33</f>
        <v>2.0227781760695499E-7</v>
      </c>
      <c r="EX24">
        <f ca="1">'JACOBIAN - SWAP USD3ML'!V33</f>
        <v>-2.3614546762473801E-8</v>
      </c>
      <c r="EY24">
        <f ca="1">'JACOBIAN - SWAP USD3ML'!W33</f>
        <v>4.1844456788453499E-9</v>
      </c>
      <c r="EZ24">
        <f ca="1">'JACOBIAN - SWAP USD3ML'!X33</f>
        <v>-8.2962614555981397E-10</v>
      </c>
      <c r="FA24">
        <f ca="1">'JACOBIAN - SWAP USD3ML'!Y33</f>
        <v>2.6497737337649601E-10</v>
      </c>
      <c r="FB24">
        <f ca="1">'JACOBIAN - SWAP USD3ML'!Z33</f>
        <v>-5.4159343676474198E-11</v>
      </c>
      <c r="FD24" s="146" t="str">
        <f ca="1"/>
        <v>SWAP_10Y</v>
      </c>
      <c r="FE24" s="280">
        <f ca="1"/>
        <v>2.0927675567605775E-5</v>
      </c>
      <c r="FF24" s="171"/>
      <c r="FH24" s="11" t="str">
        <f ca="1"/>
        <v>USDYC.OIS.3MLIBORSWAP.4Y</v>
      </c>
      <c r="FI24" s="275">
        <f ca="1"/>
        <v>-2.444197017030092</v>
      </c>
      <c r="FJ24" s="11" t="str">
        <f ca="1"/>
        <v>USDYC.STD.3MLIBORSWAP.8Y</v>
      </c>
      <c r="FK24" s="275">
        <f ca="1"/>
        <v>1.048441044986248E-2</v>
      </c>
      <c r="FL24" s="11" t="e">
        <f ca="1"/>
        <v>#N/A</v>
      </c>
    </row>
    <row r="25" spans="2:168" x14ac:dyDescent="0.25">
      <c r="B25" t="s">
        <v>258</v>
      </c>
      <c r="C25" s="286">
        <f ca="1">C22+C23</f>
        <v>474.8761094745787</v>
      </c>
      <c r="D25" s="287" t="s">
        <v>298</v>
      </c>
      <c r="F25" s="270">
        <f ca="1"/>
        <v>44272</v>
      </c>
      <c r="G25" s="9">
        <f ca="1"/>
        <v>44272</v>
      </c>
      <c r="H25" s="9">
        <f ca="1"/>
        <v>44364</v>
      </c>
      <c r="I25" s="9">
        <f ca="1"/>
        <v>92</v>
      </c>
      <c r="J25" s="252">
        <f ca="1"/>
        <v>0.25555555555555598</v>
      </c>
      <c r="K25" s="269">
        <f ca="1"/>
        <v>44364</v>
      </c>
      <c r="L25" s="254">
        <f ca="1"/>
        <v>1000000</v>
      </c>
      <c r="M25" s="9">
        <f ca="1"/>
        <v>0</v>
      </c>
      <c r="N25" s="9">
        <f ca="1"/>
        <v>1</v>
      </c>
      <c r="O25" s="9">
        <f ca="1"/>
        <v>0</v>
      </c>
      <c r="P25" s="9">
        <f ca="1"/>
        <v>1.44577171034736E-2</v>
      </c>
      <c r="Q25" s="263">
        <f ca="1"/>
        <v>3694.7499264432499</v>
      </c>
      <c r="R25" s="9">
        <f ca="1"/>
        <v>0.97912714892599195</v>
      </c>
      <c r="S25" s="9">
        <f ca="1"/>
        <v>3617.6299614729</v>
      </c>
      <c r="T25" s="9" t="str">
        <f ca="1"/>
        <v/>
      </c>
      <c r="U25" s="12" t="str">
        <f ca="1"/>
        <v/>
      </c>
      <c r="V25" s="259">
        <f t="shared" ca="1" si="39"/>
        <v>250221.38250330946</v>
      </c>
      <c r="X25" s="258">
        <f t="shared" ca="1" si="0"/>
        <v>44637</v>
      </c>
      <c r="Y25" s="292">
        <f ca="1">Q28</f>
        <v>3700.2854405083799</v>
      </c>
      <c r="AA25" s="257">
        <f t="shared" ca="1" si="35"/>
        <v>44637</v>
      </c>
      <c r="AB25" s="266">
        <f t="shared" ca="1" si="2"/>
        <v>-2.1775513923238995E-4</v>
      </c>
      <c r="AC25" s="266"/>
      <c r="AD25" s="290">
        <f ca="1"/>
        <v>44637</v>
      </c>
      <c r="AE25" s="291">
        <f ca="1"/>
        <v>-2.1775513923238954E-4</v>
      </c>
      <c r="AF25" s="291" t="b">
        <f t="shared" ca="1" si="36"/>
        <v>1</v>
      </c>
      <c r="AH25" s="257">
        <f t="shared" ca="1" si="3"/>
        <v>44637</v>
      </c>
      <c r="AI25" s="260">
        <f t="shared" ca="1" si="40"/>
        <v>247052.39512808478</v>
      </c>
      <c r="AK25" s="290">
        <f ca="1"/>
        <v>44637</v>
      </c>
      <c r="AL25" s="291">
        <f ca="1"/>
        <v>9.4695658603231522E-5</v>
      </c>
      <c r="AM25" s="291" t="b">
        <f t="shared" ca="1" si="4"/>
        <v>1</v>
      </c>
      <c r="AO25" s="257">
        <f t="shared" ca="1" si="37"/>
        <v>44637</v>
      </c>
      <c r="AP25" s="266">
        <f t="shared" ca="1" si="38"/>
        <v>9.4695658603231685E-5</v>
      </c>
      <c r="AR25" s="248">
        <f ca="1">'JACOBIAN - OIS USDOIS'!B34</f>
        <v>44637</v>
      </c>
      <c r="AS25">
        <f ca="1">'JACOBIAN - OIS USDOIS'!C34</f>
        <v>-1.07752405975603E-6</v>
      </c>
      <c r="AT25">
        <f ca="1">'JACOBIAN - OIS USDOIS'!D34</f>
        <v>1.0581366005624199E-8</v>
      </c>
      <c r="AU25">
        <f ca="1">'JACOBIAN - OIS USDOIS'!E34</f>
        <v>-4.2312279457945598E-8</v>
      </c>
      <c r="AV25">
        <f ca="1">'JACOBIAN - OIS USDOIS'!F34</f>
        <v>1.11458836049572E-7</v>
      </c>
      <c r="AW25">
        <f ca="1">'JACOBIAN - OIS USDOIS'!G34</f>
        <v>-1.4346571708401299E-7</v>
      </c>
      <c r="AX25">
        <f ca="1">'JACOBIAN - OIS USDOIS'!H34</f>
        <v>3.24452454125712E-7</v>
      </c>
      <c r="AY25">
        <f ca="1">'JACOBIAN - OIS USDOIS'!I34</f>
        <v>-1.1132941344360601E-6</v>
      </c>
      <c r="AZ25">
        <f ca="1">'JACOBIAN - OIS USDOIS'!J34</f>
        <v>3.9654408443556798E-6</v>
      </c>
      <c r="BA25">
        <f ca="1">'JACOBIAN - OIS USDOIS'!K34</f>
        <v>-1.52659390376675E-5</v>
      </c>
      <c r="BB25">
        <f ca="1">'JACOBIAN - OIS USDOIS'!L34</f>
        <v>2.34809011007142E-5</v>
      </c>
      <c r="BC25">
        <f ca="1">'JACOBIAN - OIS USDOIS'!M34</f>
        <v>-4.8602688659138402E-5</v>
      </c>
      <c r="BD25">
        <f ca="1">'JACOBIAN - OIS USDOIS'!N34</f>
        <v>1.9761969838327799E-13</v>
      </c>
      <c r="BE25">
        <f ca="1">'JACOBIAN - OIS USDOIS'!O34</f>
        <v>1.9761969838327799E-13</v>
      </c>
      <c r="BF25">
        <f ca="1">'JACOBIAN - OIS USDOIS'!P34</f>
        <v>1.9761969838327799E-13</v>
      </c>
      <c r="BG25">
        <f ca="1">'JACOBIAN - OIS USDOIS'!Q34</f>
        <v>1.9761969838327799E-13</v>
      </c>
      <c r="BH25">
        <f ca="1">'JACOBIAN - OIS USDOIS'!R34</f>
        <v>1.9761969838327799E-13</v>
      </c>
      <c r="BI25" s="161">
        <f ca="1">'JACOBIAN - OIS USDOIS'!S34</f>
        <v>-6.4093190099923105E-5</v>
      </c>
      <c r="BJ25" s="161">
        <f ca="1">'JACOBIAN - OIS USDOIS'!T34</f>
        <v>2.0031861475788799E-4</v>
      </c>
      <c r="BK25" s="161">
        <f ca="1">'JACOBIAN - OIS USDOIS'!U34</f>
        <v>5.77147830599367E-5</v>
      </c>
      <c r="BL25" s="161">
        <f ca="1">'JACOBIAN - OIS USDOIS'!V34</f>
        <v>-1.4418053088105501E-5</v>
      </c>
      <c r="BM25" s="161">
        <f ca="1">'JACOBIAN - OIS USDOIS'!W34</f>
        <v>3.1108196971718601E-6</v>
      </c>
      <c r="BN25" s="161">
        <f ca="1">'JACOBIAN - OIS USDOIS'!X34</f>
        <v>-3.1024159119485999E-7</v>
      </c>
      <c r="BO25" s="161">
        <f ca="1">'JACOBIAN - OIS USDOIS'!Y34</f>
        <v>6.1926340610973796E-8</v>
      </c>
      <c r="BP25" s="161">
        <f ca="1">'JACOBIAN - OIS USDOIS'!Z34</f>
        <v>-2.1693475682482699E-8</v>
      </c>
      <c r="BQ25" s="161">
        <f ca="1">'JACOBIAN - OIS USDOIS'!AA34</f>
        <v>3.0813501750159799E-9</v>
      </c>
      <c r="BR25" s="161">
        <f ca="1">'JACOBIAN - OIS USDOIS'!AB34</f>
        <v>-4.5972770035263001E-10</v>
      </c>
      <c r="BS25" s="161">
        <f ca="1">'JACOBIAN - OIS USDOIS'!AC34</f>
        <v>1.1794631937789301E-10</v>
      </c>
      <c r="BT25" s="161">
        <f ca="1">'JACOBIAN - OIS USDOIS'!AD34</f>
        <v>-1.9925949779064899E-11</v>
      </c>
      <c r="BU25">
        <f ca="1">'JACOBIAN - OIS USDOIS'!AE34</f>
        <v>6.29361996671296E-5</v>
      </c>
      <c r="BV25">
        <f ca="1">'JACOBIAN - OIS USDOIS'!AF34</f>
        <v>-1.96947217938837E-4</v>
      </c>
      <c r="BW25">
        <f ca="1">'JACOBIAN - OIS USDOIS'!AG34</f>
        <v>-5.67851475373748E-5</v>
      </c>
      <c r="BX25">
        <f ca="1">'JACOBIAN - OIS USDOIS'!AH34</f>
        <v>1.41911663599226E-5</v>
      </c>
      <c r="BY25">
        <f ca="1">'JACOBIAN - OIS USDOIS'!AI34</f>
        <v>-3.0608511871754699E-6</v>
      </c>
      <c r="BZ25">
        <f ca="1">'JACOBIAN - OIS USDOIS'!AJ34</f>
        <v>3.0536971640238201E-7</v>
      </c>
      <c r="CA25">
        <f ca="1">'JACOBIAN - OIS USDOIS'!AK34</f>
        <v>-6.0956296898950795E-8</v>
      </c>
      <c r="CB25">
        <f ca="1">'JACOBIAN - OIS USDOIS'!AL34</f>
        <v>2.1364372160270801E-8</v>
      </c>
      <c r="CC25">
        <f ca="1">'JACOBIAN - OIS USDOIS'!AM34</f>
        <v>-3.03482416974532E-9</v>
      </c>
      <c r="CD25">
        <f ca="1">'JACOBIAN - OIS USDOIS'!AN34</f>
        <v>4.53131421274122E-10</v>
      </c>
      <c r="CE25">
        <f ca="1">'JACOBIAN - OIS USDOIS'!AO34</f>
        <v>-1.16203491273836E-10</v>
      </c>
      <c r="CF25">
        <f ca="1">'JACOBIAN - OIS USDOIS'!AP34</f>
        <v>1.98067118262202E-11</v>
      </c>
      <c r="CK25" s="248">
        <f t="shared" ca="1" si="5"/>
        <v>44637</v>
      </c>
      <c r="CL25">
        <f t="shared" ca="1" si="6"/>
        <v>-1.07752405975603E-6</v>
      </c>
      <c r="CM25">
        <f t="shared" ca="1" si="7"/>
        <v>1.0581366005624199E-8</v>
      </c>
      <c r="CN25">
        <f t="shared" ca="1" si="8"/>
        <v>-4.2312279457945598E-8</v>
      </c>
      <c r="CO25">
        <f t="shared" ca="1" si="9"/>
        <v>1.11458836049572E-7</v>
      </c>
      <c r="CP25">
        <f t="shared" ca="1" si="10"/>
        <v>-1.4346571708401299E-7</v>
      </c>
      <c r="CQ25">
        <f t="shared" ca="1" si="11"/>
        <v>3.24452454125712E-7</v>
      </c>
      <c r="CR25">
        <f t="shared" ca="1" si="12"/>
        <v>-1.1132941344360601E-6</v>
      </c>
      <c r="CS25">
        <f t="shared" ca="1" si="13"/>
        <v>3.9654408443556798E-6</v>
      </c>
      <c r="CT25">
        <f t="shared" ca="1" si="14"/>
        <v>-1.52659390376675E-5</v>
      </c>
      <c r="CU25">
        <f t="shared" ca="1" si="15"/>
        <v>2.34809011007142E-5</v>
      </c>
      <c r="CV25">
        <f t="shared" ca="1" si="16"/>
        <v>-4.8602688659138402E-5</v>
      </c>
      <c r="CW25">
        <f t="shared" ca="1" si="17"/>
        <v>1.9761969838327799E-13</v>
      </c>
      <c r="CX25">
        <f t="shared" ca="1" si="18"/>
        <v>1.9761969838327799E-13</v>
      </c>
      <c r="CY25">
        <f t="shared" ca="1" si="19"/>
        <v>1.9761969838327799E-13</v>
      </c>
      <c r="CZ25">
        <f t="shared" ca="1" si="20"/>
        <v>1.9761969838327799E-13</v>
      </c>
      <c r="DA25">
        <f t="shared" ca="1" si="21"/>
        <v>1.9761969838327799E-13</v>
      </c>
      <c r="DB25" s="146">
        <v>0</v>
      </c>
      <c r="DC25" s="146">
        <v>0</v>
      </c>
      <c r="DD25" s="146">
        <v>0</v>
      </c>
      <c r="DE25" s="146">
        <v>0</v>
      </c>
      <c r="DF25" s="146">
        <v>0</v>
      </c>
      <c r="DG25" s="146">
        <v>0</v>
      </c>
      <c r="DH25" s="146">
        <v>0</v>
      </c>
      <c r="DI25" s="146">
        <v>0</v>
      </c>
      <c r="DJ25" s="146">
        <v>0</v>
      </c>
      <c r="DK25" s="146">
        <v>0</v>
      </c>
      <c r="DL25" s="146">
        <v>0</v>
      </c>
      <c r="DM25" s="146">
        <v>0</v>
      </c>
      <c r="DN25">
        <f t="shared" ca="1" si="22"/>
        <v>6.29361996671296E-5</v>
      </c>
      <c r="DO25">
        <f t="shared" ca="1" si="23"/>
        <v>-1.96947217938837E-4</v>
      </c>
      <c r="DP25">
        <f t="shared" ca="1" si="24"/>
        <v>-5.67851475373748E-5</v>
      </c>
      <c r="DQ25">
        <f t="shared" ca="1" si="25"/>
        <v>1.41911663599226E-5</v>
      </c>
      <c r="DR25">
        <f t="shared" ca="1" si="26"/>
        <v>-3.0608511871754699E-6</v>
      </c>
      <c r="DS25">
        <f t="shared" ca="1" si="27"/>
        <v>3.0536971640238201E-7</v>
      </c>
      <c r="DT25">
        <f t="shared" ca="1" si="28"/>
        <v>-6.0956296898950795E-8</v>
      </c>
      <c r="DU25">
        <f t="shared" ca="1" si="29"/>
        <v>2.1364372160270801E-8</v>
      </c>
      <c r="DV25">
        <f t="shared" ca="1" si="30"/>
        <v>-3.03482416974532E-9</v>
      </c>
      <c r="DW25">
        <f t="shared" ca="1" si="31"/>
        <v>4.53131421274122E-10</v>
      </c>
      <c r="DX25">
        <f t="shared" ca="1" si="32"/>
        <v>-1.16203491273836E-10</v>
      </c>
      <c r="DY25">
        <f t="shared" ca="1" si="33"/>
        <v>1.98067118262202E-11</v>
      </c>
      <c r="EA25" s="278" t="str">
        <f ca="1"/>
        <v>LIBOROIS_4Y</v>
      </c>
      <c r="EB25" s="277">
        <f ca="1"/>
        <v>2.6747166692420432</v>
      </c>
      <c r="EC25" s="246" t="str">
        <f ca="1">FI23</f>
        <v>#DISABLED</v>
      </c>
      <c r="ED25" s="248">
        <f ca="1">'JACOBIAN - SWAP USD3ML'!B34</f>
        <v>44637</v>
      </c>
      <c r="EE25">
        <f ca="1">'JACOBIAN - SWAP USD3ML'!C34</f>
        <v>-7.3854117266236598E-14</v>
      </c>
      <c r="EF25">
        <f ca="1">'JACOBIAN - SWAP USD3ML'!D34</f>
        <v>-2.8756031714946201E-5</v>
      </c>
      <c r="EG25">
        <f ca="1">'JACOBIAN - SWAP USD3ML'!E34</f>
        <v>-2.0609607770394301E-12</v>
      </c>
      <c r="EH25">
        <f ca="1">'JACOBIAN - SWAP USD3ML'!F34</f>
        <v>-7.3854117266236598E-14</v>
      </c>
      <c r="EI25">
        <f ca="1">'JACOBIAN - SWAP USD3ML'!G34</f>
        <v>-3.1462272873962498E-7</v>
      </c>
      <c r="EJ25">
        <f ca="1">'JACOBIAN - SWAP USD3ML'!H34</f>
        <v>-2.8648890138465599E-5</v>
      </c>
      <c r="EK25">
        <f ca="1">'JACOBIAN - SWAP USD3ML'!I34</f>
        <v>-2.8545667554941499E-5</v>
      </c>
      <c r="EL25">
        <f ca="1">'JACOBIAN - SWAP USD3ML'!J34</f>
        <v>-2.84515019387671E-5</v>
      </c>
      <c r="EM25">
        <f ca="1">'JACOBIAN - SWAP USD3ML'!K34</f>
        <v>-2.8361052800154201E-5</v>
      </c>
      <c r="EN25">
        <f ca="1">'JACOBIAN - SWAP USD3ML'!L34</f>
        <v>-2.8272521854102699E-5</v>
      </c>
      <c r="EO25">
        <f ca="1">'JACOBIAN - SWAP USD3ML'!M34</f>
        <v>-2.8193097371459101E-5</v>
      </c>
      <c r="EP25">
        <f ca="1">'JACOBIAN - SWAP USD3ML'!N34</f>
        <v>-2.6428253470872999E-5</v>
      </c>
      <c r="EQ25">
        <f ca="1">'JACOBIAN - SWAP USD3ML'!O34</f>
        <v>3.9145254191956199E-4</v>
      </c>
      <c r="ER25">
        <f ca="1">'JACOBIAN - SWAP USD3ML'!P34</f>
        <v>-9.3145542208860496E-5</v>
      </c>
      <c r="ES25">
        <f ca="1">'JACOBIAN - SWAP USD3ML'!Q34</f>
        <v>2.5589229582246801E-5</v>
      </c>
      <c r="ET25">
        <f ca="1">'JACOBIAN - SWAP USD3ML'!R34</f>
        <v>-5.7880741008795702E-6</v>
      </c>
      <c r="EU25">
        <f ca="1">'JACOBIAN - SWAP USD3ML'!S34</f>
        <v>3.3276831229688002E-6</v>
      </c>
      <c r="EV25">
        <f ca="1">'JACOBIAN - SWAP USD3ML'!T34</f>
        <v>-9.8299690821923601E-7</v>
      </c>
      <c r="EW25">
        <f ca="1">'JACOBIAN - SWAP USD3ML'!U34</f>
        <v>2.3805417984600101E-7</v>
      </c>
      <c r="EX25">
        <f ca="1">'JACOBIAN - SWAP USD3ML'!V34</f>
        <v>-2.7791282318848101E-8</v>
      </c>
      <c r="EY25">
        <f ca="1">'JACOBIAN - SWAP USD3ML'!W34</f>
        <v>4.9245407751641299E-9</v>
      </c>
      <c r="EZ25">
        <f ca="1">'JACOBIAN - SWAP USD3ML'!X34</f>
        <v>-9.7640069987581194E-10</v>
      </c>
      <c r="FA25">
        <f ca="1">'JACOBIAN - SWAP USD3ML'!Y34</f>
        <v>3.1163245942100701E-10</v>
      </c>
      <c r="FB25">
        <f ca="1">'JACOBIAN - SWAP USD3ML'!Z34</f>
        <v>-6.3692530416492601E-11</v>
      </c>
      <c r="FD25" s="146" t="str">
        <f ca="1"/>
        <v>SWAP_12Y</v>
      </c>
      <c r="FE25" s="280">
        <f ca="1"/>
        <v>8.3948982559922669E-7</v>
      </c>
      <c r="FF25" s="171"/>
      <c r="FH25" s="11" t="str">
        <f ca="1"/>
        <v>USDYC.OIS.BASISRATE.5Y</v>
      </c>
      <c r="FI25" s="275">
        <f ca="1"/>
        <v>2.0146173759712838</v>
      </c>
      <c r="FJ25" s="11" t="str">
        <f ca="1"/>
        <v>USDYC.STD.3MLIBORSWAP.9Y</v>
      </c>
      <c r="FK25" s="275">
        <f ca="1"/>
        <v>5.8561738114804029E-3</v>
      </c>
      <c r="FL25" s="11" t="e">
        <f ca="1"/>
        <v>#N/A</v>
      </c>
    </row>
    <row r="26" spans="2:168" x14ac:dyDescent="0.25">
      <c r="F26" s="270">
        <f ca="1"/>
        <v>44364</v>
      </c>
      <c r="G26" s="9">
        <f ca="1"/>
        <v>44364</v>
      </c>
      <c r="H26" s="9">
        <f ca="1"/>
        <v>44456</v>
      </c>
      <c r="I26" s="9">
        <f ca="1"/>
        <v>92</v>
      </c>
      <c r="J26" s="252">
        <f ca="1"/>
        <v>0.25555555555555598</v>
      </c>
      <c r="K26" s="269">
        <f ca="1"/>
        <v>44456</v>
      </c>
      <c r="L26" s="254">
        <f ca="1"/>
        <v>1000000</v>
      </c>
      <c r="M26" s="9">
        <f ca="1"/>
        <v>0</v>
      </c>
      <c r="N26" s="9">
        <f ca="1"/>
        <v>1</v>
      </c>
      <c r="O26" s="9">
        <f ca="1"/>
        <v>0</v>
      </c>
      <c r="P26" s="9">
        <f ca="1"/>
        <v>1.4381509009722401E-2</v>
      </c>
      <c r="Q26" s="263">
        <f ca="1"/>
        <v>3675.2745247068401</v>
      </c>
      <c r="R26" s="9">
        <f ca="1"/>
        <v>0.97602116465984701</v>
      </c>
      <c r="S26" s="9">
        <f ca="1"/>
        <v>3587.1457220490402</v>
      </c>
      <c r="T26" s="9" t="str">
        <f ca="1"/>
        <v/>
      </c>
      <c r="U26" s="12" t="str">
        <f ca="1"/>
        <v/>
      </c>
      <c r="V26" s="259">
        <f t="shared" ca="1" si="39"/>
        <v>249427.63096862799</v>
      </c>
      <c r="X26" s="258">
        <f t="shared" ca="1" si="0"/>
        <v>44729</v>
      </c>
      <c r="Y26" s="292">
        <f ca="1">O12+Q29</f>
        <v>-1103.49274307519</v>
      </c>
      <c r="AA26" s="257">
        <f t="shared" ca="1" si="35"/>
        <v>44729</v>
      </c>
      <c r="AB26" s="266">
        <f t="shared" ca="1" si="2"/>
        <v>-2.4131210350020091E-4</v>
      </c>
      <c r="AC26" s="266"/>
      <c r="AD26" s="290">
        <f ca="1"/>
        <v>44729</v>
      </c>
      <c r="AE26" s="291">
        <f ca="1"/>
        <v>-2.4131210350020194E-4</v>
      </c>
      <c r="AF26" s="291" t="b">
        <f t="shared" ca="1" si="36"/>
        <v>1</v>
      </c>
      <c r="AH26" s="257">
        <f t="shared" ca="1" si="3"/>
        <v>44729</v>
      </c>
      <c r="AI26" s="260">
        <f t="shared" ca="1" si="40"/>
        <v>251575.11329537642</v>
      </c>
      <c r="AK26" s="290">
        <f ca="1"/>
        <v>44729</v>
      </c>
      <c r="AL26" s="291">
        <f ca="1"/>
        <v>9.3947840535135024E-5</v>
      </c>
      <c r="AM26" s="291" t="b">
        <f t="shared" ca="1" si="4"/>
        <v>1</v>
      </c>
      <c r="AO26" s="257">
        <f t="shared" ca="1" si="37"/>
        <v>44729</v>
      </c>
      <c r="AP26" s="266">
        <f t="shared" ca="1" si="38"/>
        <v>9.3947840535134916E-5</v>
      </c>
      <c r="AR26" s="248">
        <f ca="1">'JACOBIAN - OIS USDOIS'!B35</f>
        <v>44729</v>
      </c>
      <c r="AS26">
        <f ca="1">'JACOBIAN - OIS USDOIS'!C35</f>
        <v>-1.07402427351744E-6</v>
      </c>
      <c r="AT26">
        <f ca="1">'JACOBIAN - OIS USDOIS'!D35</f>
        <v>1.22472688657282E-8</v>
      </c>
      <c r="AU26">
        <f ca="1">'JACOBIAN - OIS USDOIS'!E35</f>
        <v>-4.89737869147078E-8</v>
      </c>
      <c r="AV26">
        <f ca="1">'JACOBIAN - OIS USDOIS'!F35</f>
        <v>1.2900640244950499E-7</v>
      </c>
      <c r="AW26">
        <f ca="1">'JACOBIAN - OIS USDOIS'!G35</f>
        <v>-1.6605240238387601E-7</v>
      </c>
      <c r="AX26">
        <f ca="1">'JACOBIAN - OIS USDOIS'!H35</f>
        <v>3.7553286236224903E-7</v>
      </c>
      <c r="AY26">
        <f ca="1">'JACOBIAN - OIS USDOIS'!I35</f>
        <v>-1.28606649196783E-6</v>
      </c>
      <c r="AZ26">
        <f ca="1">'JACOBIAN - OIS USDOIS'!J35</f>
        <v>4.5897440269504503E-6</v>
      </c>
      <c r="BA26">
        <f ca="1">'JACOBIAN - OIS USDOIS'!K35</f>
        <v>-1.76693187664556E-5</v>
      </c>
      <c r="BB26">
        <f ca="1">'JACOBIAN - OIS USDOIS'!L35</f>
        <v>2.7117397427223199E-5</v>
      </c>
      <c r="BC26">
        <f ca="1">'JACOBIAN - OIS USDOIS'!M35</f>
        <v>-5.6246726049535797E-5</v>
      </c>
      <c r="BD26">
        <f ca="1">'JACOBIAN - OIS USDOIS'!N35</f>
        <v>1.9684254226604E-13</v>
      </c>
      <c r="BE26">
        <f ca="1">'JACOBIAN - OIS USDOIS'!O35</f>
        <v>1.9684254226604E-13</v>
      </c>
      <c r="BF26">
        <f ca="1">'JACOBIAN - OIS USDOIS'!P35</f>
        <v>1.9684254226604E-13</v>
      </c>
      <c r="BG26">
        <f ca="1">'JACOBIAN - OIS USDOIS'!Q35</f>
        <v>1.9684254226604E-13</v>
      </c>
      <c r="BH26">
        <f ca="1">'JACOBIAN - OIS USDOIS'!R35</f>
        <v>1.9684254226604E-13</v>
      </c>
      <c r="BI26" s="161">
        <f ca="1">'JACOBIAN - OIS USDOIS'!S35</f>
        <v>-7.4044560972930093E-5</v>
      </c>
      <c r="BJ26" s="161">
        <f ca="1">'JACOBIAN - OIS USDOIS'!T35</f>
        <v>1.52856112855981E-4</v>
      </c>
      <c r="BK26" s="161">
        <f ca="1">'JACOBIAN - OIS USDOIS'!U35</f>
        <v>1.4609035901336201E-4</v>
      </c>
      <c r="BL26" s="161">
        <f ca="1">'JACOBIAN - OIS USDOIS'!V35</f>
        <v>-3.0701597510174303E-5</v>
      </c>
      <c r="BM26" s="161">
        <f ca="1">'JACOBIAN - OIS USDOIS'!W35</f>
        <v>6.6242033438523904E-6</v>
      </c>
      <c r="BN26" s="161">
        <f ca="1">'JACOBIAN - OIS USDOIS'!X35</f>
        <v>-6.6062953030243697E-7</v>
      </c>
      <c r="BO26" s="161">
        <f ca="1">'JACOBIAN - OIS USDOIS'!Y35</f>
        <v>1.3186603076142899E-7</v>
      </c>
      <c r="BP26" s="161">
        <f ca="1">'JACOBIAN - OIS USDOIS'!Z35</f>
        <v>-4.6194273073396597E-8</v>
      </c>
      <c r="BQ26" s="161">
        <f ca="1">'JACOBIAN - OIS USDOIS'!AA35</f>
        <v>6.5614497168908803E-9</v>
      </c>
      <c r="BR26" s="161">
        <f ca="1">'JACOBIAN - OIS USDOIS'!AB35</f>
        <v>-9.7907626450677299E-10</v>
      </c>
      <c r="BS26" s="161">
        <f ca="1">'JACOBIAN - OIS USDOIS'!AC35</f>
        <v>2.5115398649688798E-10</v>
      </c>
      <c r="BT26" s="161">
        <f ca="1">'JACOBIAN - OIS USDOIS'!AD35</f>
        <v>-4.25873780685038E-11</v>
      </c>
      <c r="BU26">
        <f ca="1">'JACOBIAN - OIS USDOIS'!AE35</f>
        <v>7.2708726443160301E-5</v>
      </c>
      <c r="BV26">
        <f ca="1">'JACOBIAN - OIS USDOIS'!AF35</f>
        <v>-1.50290877935721E-4</v>
      </c>
      <c r="BW26">
        <f ca="1">'JACOBIAN - OIS USDOIS'!AG35</f>
        <v>-1.4372416201613401E-4</v>
      </c>
      <c r="BX26">
        <f ca="1">'JACOBIAN - OIS USDOIS'!AH35</f>
        <v>3.02189742650283E-5</v>
      </c>
      <c r="BY26">
        <f ca="1">'JACOBIAN - OIS USDOIS'!AI35</f>
        <v>-6.5177764276835901E-6</v>
      </c>
      <c r="BZ26">
        <f ca="1">'JACOBIAN - OIS USDOIS'!AJ35</f>
        <v>6.5025547379970995E-7</v>
      </c>
      <c r="CA26">
        <f ca="1">'JACOBIAN - OIS USDOIS'!AK35</f>
        <v>-1.2980073382795599E-7</v>
      </c>
      <c r="CB26">
        <f ca="1">'JACOBIAN - OIS USDOIS'!AL35</f>
        <v>4.54932199689395E-8</v>
      </c>
      <c r="CC26">
        <f ca="1">'JACOBIAN - OIS USDOIS'!AM35</f>
        <v>-6.4625271800622402E-9</v>
      </c>
      <c r="CD26">
        <f ca="1">'JACOBIAN - OIS USDOIS'!AN35</f>
        <v>9.6487762224484207E-10</v>
      </c>
      <c r="CE26">
        <f ca="1">'JACOBIAN - OIS USDOIS'!AO35</f>
        <v>-2.4751167782000002E-10</v>
      </c>
      <c r="CF26">
        <f ca="1">'JACOBIAN - OIS USDOIS'!AP35</f>
        <v>4.2171155456571803E-11</v>
      </c>
      <c r="CK26" s="248">
        <f t="shared" ca="1" si="5"/>
        <v>44729</v>
      </c>
      <c r="CL26">
        <f t="shared" ca="1" si="6"/>
        <v>-1.07402427351744E-6</v>
      </c>
      <c r="CM26">
        <f t="shared" ca="1" si="7"/>
        <v>1.22472688657282E-8</v>
      </c>
      <c r="CN26">
        <f t="shared" ca="1" si="8"/>
        <v>-4.89737869147078E-8</v>
      </c>
      <c r="CO26">
        <f t="shared" ca="1" si="9"/>
        <v>1.2900640244950499E-7</v>
      </c>
      <c r="CP26">
        <f t="shared" ca="1" si="10"/>
        <v>-1.6605240238387601E-7</v>
      </c>
      <c r="CQ26">
        <f t="shared" ca="1" si="11"/>
        <v>3.7553286236224903E-7</v>
      </c>
      <c r="CR26">
        <f t="shared" ca="1" si="12"/>
        <v>-1.28606649196783E-6</v>
      </c>
      <c r="CS26">
        <f t="shared" ca="1" si="13"/>
        <v>4.5897440269504503E-6</v>
      </c>
      <c r="CT26">
        <f t="shared" ca="1" si="14"/>
        <v>-1.76693187664556E-5</v>
      </c>
      <c r="CU26">
        <f t="shared" ca="1" si="15"/>
        <v>2.7117397427223199E-5</v>
      </c>
      <c r="CV26">
        <f t="shared" ca="1" si="16"/>
        <v>-5.6246726049535797E-5</v>
      </c>
      <c r="CW26">
        <f t="shared" ca="1" si="17"/>
        <v>1.9684254226604E-13</v>
      </c>
      <c r="CX26">
        <f t="shared" ca="1" si="18"/>
        <v>1.9684254226604E-13</v>
      </c>
      <c r="CY26">
        <f t="shared" ca="1" si="19"/>
        <v>1.9684254226604E-13</v>
      </c>
      <c r="CZ26">
        <f t="shared" ca="1" si="20"/>
        <v>1.9684254226604E-13</v>
      </c>
      <c r="DA26">
        <f t="shared" ca="1" si="21"/>
        <v>1.9684254226604E-13</v>
      </c>
      <c r="DB26" s="146">
        <v>0</v>
      </c>
      <c r="DC26" s="146">
        <v>0</v>
      </c>
      <c r="DD26" s="146">
        <v>0</v>
      </c>
      <c r="DE26" s="146">
        <v>0</v>
      </c>
      <c r="DF26" s="146">
        <v>0</v>
      </c>
      <c r="DG26" s="146">
        <v>0</v>
      </c>
      <c r="DH26" s="146">
        <v>0</v>
      </c>
      <c r="DI26" s="146">
        <v>0</v>
      </c>
      <c r="DJ26" s="146">
        <v>0</v>
      </c>
      <c r="DK26" s="146">
        <v>0</v>
      </c>
      <c r="DL26" s="146">
        <v>0</v>
      </c>
      <c r="DM26" s="146">
        <v>0</v>
      </c>
      <c r="DN26">
        <f t="shared" ca="1" si="22"/>
        <v>7.2708726443160301E-5</v>
      </c>
      <c r="DO26">
        <f t="shared" ca="1" si="23"/>
        <v>-1.50290877935721E-4</v>
      </c>
      <c r="DP26">
        <f t="shared" ca="1" si="24"/>
        <v>-1.4372416201613401E-4</v>
      </c>
      <c r="DQ26">
        <f t="shared" ca="1" si="25"/>
        <v>3.02189742650283E-5</v>
      </c>
      <c r="DR26">
        <f t="shared" ca="1" si="26"/>
        <v>-6.5177764276835901E-6</v>
      </c>
      <c r="DS26">
        <f t="shared" ca="1" si="27"/>
        <v>6.5025547379970995E-7</v>
      </c>
      <c r="DT26">
        <f t="shared" ca="1" si="28"/>
        <v>-1.2980073382795599E-7</v>
      </c>
      <c r="DU26">
        <f t="shared" ca="1" si="29"/>
        <v>4.54932199689395E-8</v>
      </c>
      <c r="DV26">
        <f t="shared" ca="1" si="30"/>
        <v>-6.4625271800622402E-9</v>
      </c>
      <c r="DW26">
        <f t="shared" ca="1" si="31"/>
        <v>9.6487762224484207E-10</v>
      </c>
      <c r="DX26">
        <f t="shared" ca="1" si="32"/>
        <v>-2.4751167782000002E-10</v>
      </c>
      <c r="DY26">
        <f t="shared" ca="1" si="33"/>
        <v>4.2171155456571803E-11</v>
      </c>
      <c r="EA26" s="278" t="str">
        <f ca="1"/>
        <v>LIBOROIS_5Y</v>
      </c>
      <c r="EB26" s="277">
        <f ca="1"/>
        <v>1.1157576369262254</v>
      </c>
      <c r="EC26" s="246" t="str">
        <f ca="1">FI25</f>
        <v>#DISABLED</v>
      </c>
      <c r="ED26" s="248">
        <f ca="1">'JACOBIAN - SWAP USD3ML'!B35</f>
        <v>44729</v>
      </c>
      <c r="EE26">
        <f ca="1">'JACOBIAN - SWAP USD3ML'!C35</f>
        <v>-1.38613079347927E-13</v>
      </c>
      <c r="EF26">
        <f ca="1">'JACOBIAN - SWAP USD3ML'!D35</f>
        <v>-3.1610004871491703E-5</v>
      </c>
      <c r="EG26">
        <f ca="1">'JACOBIAN - SWAP USD3ML'!E35</f>
        <v>-4.0418744740033897E-12</v>
      </c>
      <c r="EH26">
        <f ca="1">'JACOBIAN - SWAP USD3ML'!F35</f>
        <v>-1.39463093851155E-13</v>
      </c>
      <c r="EI26">
        <f ca="1">'JACOBIAN - SWAP USD3ML'!G35</f>
        <v>-3.45848547248645E-7</v>
      </c>
      <c r="EJ26">
        <f ca="1">'JACOBIAN - SWAP USD3ML'!H35</f>
        <v>-3.1492230013540498E-5</v>
      </c>
      <c r="EK26">
        <f ca="1">'JACOBIAN - SWAP USD3ML'!I35</f>
        <v>-3.1378764606257103E-5</v>
      </c>
      <c r="EL26">
        <f ca="1">'JACOBIAN - SWAP USD3ML'!J35</f>
        <v>-3.1275253275687601E-5</v>
      </c>
      <c r="EM26">
        <f ca="1">'JACOBIAN - SWAP USD3ML'!K35</f>
        <v>-3.1175827278039101E-5</v>
      </c>
      <c r="EN26">
        <f ca="1">'JACOBIAN - SWAP USD3ML'!L35</f>
        <v>-3.1078509867738697E-5</v>
      </c>
      <c r="EO26">
        <f ca="1">'JACOBIAN - SWAP USD3ML'!M35</f>
        <v>-3.0857871881558697E-5</v>
      </c>
      <c r="EP26">
        <f ca="1">'JACOBIAN - SWAP USD3ML'!N35</f>
        <v>-5.4227312460835398E-5</v>
      </c>
      <c r="EQ26">
        <f ca="1">'JACOBIAN - SWAP USD3ML'!O35</f>
        <v>3.7214106932621598E-4</v>
      </c>
      <c r="ER26">
        <f ca="1">'JACOBIAN - SWAP USD3ML'!P35</f>
        <v>-6.2518397607787996E-6</v>
      </c>
      <c r="ES26">
        <f ca="1">'JACOBIAN - SWAP USD3ML'!Q35</f>
        <v>1.7168998707843599E-6</v>
      </c>
      <c r="ET26">
        <f ca="1">'JACOBIAN - SWAP USD3ML'!R35</f>
        <v>-3.8838666240568999E-7</v>
      </c>
      <c r="EU26">
        <f ca="1">'JACOBIAN - SWAP USD3ML'!S35</f>
        <v>2.2328997374351799E-7</v>
      </c>
      <c r="EV26">
        <f ca="1">'JACOBIAN - SWAP USD3ML'!T35</f>
        <v>-6.5957330661406397E-8</v>
      </c>
      <c r="EW26">
        <f ca="1">'JACOBIAN - SWAP USD3ML'!U35</f>
        <v>1.5976741631062999E-8</v>
      </c>
      <c r="EX26">
        <f ca="1">'JACOBIAN - SWAP USD3ML'!V35</f>
        <v>-1.86547203379073E-9</v>
      </c>
      <c r="EY26">
        <f ca="1">'JACOBIAN - SWAP USD3ML'!W35</f>
        <v>3.3051688989871299E-10</v>
      </c>
      <c r="EZ26">
        <f ca="1">'JACOBIAN - SWAP USD3ML'!X35</f>
        <v>-6.5658117831546305E-11</v>
      </c>
      <c r="FA26">
        <f ca="1">'JACOBIAN - SWAP USD3ML'!Y35</f>
        <v>2.0238278067297199E-11</v>
      </c>
      <c r="FB26">
        <f ca="1">'JACOBIAN - SWAP USD3ML'!Z35</f>
        <v>-4.1260623390160201E-12</v>
      </c>
      <c r="FD26" s="146" t="str">
        <f ca="1"/>
        <v>SWAP_15Y</v>
      </c>
      <c r="FE26" s="280">
        <f ca="1"/>
        <v>9.2639150934409331E-7</v>
      </c>
      <c r="FF26" s="171"/>
      <c r="FH26" s="11" t="str">
        <f ca="1"/>
        <v>USDYC.OIS.3MLIBORSWAP.5Y</v>
      </c>
      <c r="FI26" s="294">
        <f ca="1"/>
        <v>479.67696280466043</v>
      </c>
      <c r="FJ26" s="11" t="str">
        <f ca="1"/>
        <v>USDYC.STD.3MLIBORSWAP.10Y</v>
      </c>
      <c r="FK26" s="275">
        <f ca="1"/>
        <v>7.3213072028011084E-3</v>
      </c>
      <c r="FL26" s="11" t="e">
        <f ca="1"/>
        <v>#N/A</v>
      </c>
    </row>
    <row r="27" spans="2:168" x14ac:dyDescent="0.25">
      <c r="B27" s="133" t="s">
        <v>276</v>
      </c>
      <c r="C27" s="247"/>
      <c r="F27" s="270">
        <f ca="1"/>
        <v>44456</v>
      </c>
      <c r="G27" s="9">
        <f ca="1"/>
        <v>44456</v>
      </c>
      <c r="H27" s="9">
        <f ca="1"/>
        <v>44547</v>
      </c>
      <c r="I27" s="9">
        <f ca="1"/>
        <v>91</v>
      </c>
      <c r="J27" s="252">
        <f ca="1"/>
        <v>0.25277777777777799</v>
      </c>
      <c r="K27" s="269">
        <f ca="1"/>
        <v>44547</v>
      </c>
      <c r="L27" s="254">
        <f ca="1"/>
        <v>1000000</v>
      </c>
      <c r="M27" s="9">
        <f ca="1"/>
        <v>0</v>
      </c>
      <c r="N27" s="9">
        <f ca="1"/>
        <v>1</v>
      </c>
      <c r="O27" s="9">
        <f ca="1"/>
        <v>0</v>
      </c>
      <c r="P27" s="9">
        <f ca="1"/>
        <v>1.43051207202216E-2</v>
      </c>
      <c r="Q27" s="263">
        <f ca="1"/>
        <v>3616.01662650046</v>
      </c>
      <c r="R27" s="9">
        <f ca="1"/>
        <v>0.972938196565036</v>
      </c>
      <c r="S27" s="9">
        <f ca="1"/>
        <v>3518.1606953365499</v>
      </c>
      <c r="T27" s="9" t="str">
        <f ca="1"/>
        <v/>
      </c>
      <c r="U27" s="12" t="str">
        <f ca="1"/>
        <v/>
      </c>
      <c r="V27" s="259">
        <f t="shared" ca="1" si="39"/>
        <v>245937.15524282874</v>
      </c>
      <c r="X27" s="258">
        <f t="shared" ca="1" si="0"/>
        <v>44823</v>
      </c>
      <c r="Y27" s="292">
        <f ca="1">Q30</f>
        <v>4051.0758613303601</v>
      </c>
      <c r="AA27" s="257">
        <f t="shared" ca="1" si="35"/>
        <v>44823</v>
      </c>
      <c r="AB27" s="266">
        <f t="shared" ca="1" si="2"/>
        <v>-2.6490300067782936E-4</v>
      </c>
      <c r="AC27" s="266"/>
      <c r="AD27" s="290">
        <f ca="1"/>
        <v>44823</v>
      </c>
      <c r="AE27" s="291">
        <f ca="1"/>
        <v>-2.6490300067782968E-4</v>
      </c>
      <c r="AF27" s="291" t="b">
        <f t="shared" ca="1" si="36"/>
        <v>1</v>
      </c>
      <c r="AH27" s="257">
        <f t="shared" ca="1" si="3"/>
        <v>44823</v>
      </c>
      <c r="AI27" s="260">
        <f t="shared" ca="1" si="40"/>
        <v>242744.0553470384</v>
      </c>
      <c r="AK27" s="290">
        <f ca="1"/>
        <v>44823</v>
      </c>
      <c r="AL27" s="291">
        <f ca="1"/>
        <v>9.4777771594908508E-5</v>
      </c>
      <c r="AM27" s="291" t="b">
        <f t="shared" ca="1" si="4"/>
        <v>1</v>
      </c>
      <c r="AO27" s="257">
        <f t="shared" ca="1" si="37"/>
        <v>44823</v>
      </c>
      <c r="AP27" s="266">
        <f t="shared" ca="1" si="38"/>
        <v>9.477777159490905E-5</v>
      </c>
      <c r="AR27" s="248">
        <f ca="1">'JACOBIAN - OIS USDOIS'!B36</f>
        <v>44823</v>
      </c>
      <c r="AS27">
        <f ca="1">'JACOBIAN - OIS USDOIS'!C36</f>
        <v>-1.0704162136665499E-6</v>
      </c>
      <c r="AT27">
        <f ca="1">'JACOBIAN - OIS USDOIS'!D36</f>
        <v>7.11801328989736E-9</v>
      </c>
      <c r="AU27">
        <f ca="1">'JACOBIAN - OIS USDOIS'!E36</f>
        <v>-2.84629770863631E-8</v>
      </c>
      <c r="AV27">
        <f ca="1">'JACOBIAN - OIS USDOIS'!F36</f>
        <v>7.49770505681369E-8</v>
      </c>
      <c r="AW27">
        <f ca="1">'JACOBIAN - OIS USDOIS'!G36</f>
        <v>-9.6507681068835906E-8</v>
      </c>
      <c r="AX27">
        <f ca="1">'JACOBIAN - OIS USDOIS'!H36</f>
        <v>2.1825506235639801E-7</v>
      </c>
      <c r="AY27">
        <f ca="1">'JACOBIAN - OIS USDOIS'!I36</f>
        <v>-7.5340056504558096E-7</v>
      </c>
      <c r="AZ27">
        <f ca="1">'JACOBIAN - OIS USDOIS'!J36</f>
        <v>2.6675007160914498E-6</v>
      </c>
      <c r="BA27">
        <f ca="1">'JACOBIAN - OIS USDOIS'!K36</f>
        <v>-1.02692356245271E-5</v>
      </c>
      <c r="BB27">
        <f ca="1">'JACOBIAN - OIS USDOIS'!L36</f>
        <v>1.59076698109661E-5</v>
      </c>
      <c r="BC27">
        <f ca="1">'JACOBIAN - OIS USDOIS'!M36</f>
        <v>-3.2708261201275201E-5</v>
      </c>
      <c r="BD27">
        <f ca="1">'JACOBIAN - OIS USDOIS'!N36</f>
        <v>1.7419399256368701E-13</v>
      </c>
      <c r="BE27">
        <f ca="1">'JACOBIAN - OIS USDOIS'!O36</f>
        <v>1.7419399256368701E-13</v>
      </c>
      <c r="BF27">
        <f ca="1">'JACOBIAN - OIS USDOIS'!P36</f>
        <v>1.7419399256368701E-13</v>
      </c>
      <c r="BG27">
        <f ca="1">'JACOBIAN - OIS USDOIS'!Q36</f>
        <v>1.7419399256368701E-13</v>
      </c>
      <c r="BH27">
        <f ca="1">'JACOBIAN - OIS USDOIS'!R36</f>
        <v>1.7419399256368701E-13</v>
      </c>
      <c r="BI27" s="161">
        <f ca="1">'JACOBIAN - OIS USDOIS'!S36</f>
        <v>-4.3374341260227198E-5</v>
      </c>
      <c r="BJ27" s="161">
        <f ca="1">'JACOBIAN - OIS USDOIS'!T36</f>
        <v>7.2925919897937104E-5</v>
      </c>
      <c r="BK27" s="161">
        <f ca="1">'JACOBIAN - OIS USDOIS'!U36</f>
        <v>2.3954352249744301E-4</v>
      </c>
      <c r="BL27" s="161">
        <f ca="1">'JACOBIAN - OIS USDOIS'!V36</f>
        <v>-3.2783237920330797E-5</v>
      </c>
      <c r="BM27" s="161">
        <f ca="1">'JACOBIAN - OIS USDOIS'!W36</f>
        <v>7.0733493749974798E-6</v>
      </c>
      <c r="BN27" s="161">
        <f ca="1">'JACOBIAN - OIS USDOIS'!X36</f>
        <v>-7.0542255148353703E-7</v>
      </c>
      <c r="BO27" s="161">
        <f ca="1">'JACOBIAN - OIS USDOIS'!Y36</f>
        <v>1.4080698162999299E-7</v>
      </c>
      <c r="BP27" s="161">
        <f ca="1">'JACOBIAN - OIS USDOIS'!Z36</f>
        <v>-4.9326420836770497E-8</v>
      </c>
      <c r="BQ27" s="161">
        <f ca="1">'JACOBIAN - OIS USDOIS'!AA36</f>
        <v>7.00629532168762E-9</v>
      </c>
      <c r="BR27" s="161">
        <f ca="1">'JACOBIAN - OIS USDOIS'!AB36</f>
        <v>-1.04548614210387E-9</v>
      </c>
      <c r="BS27" s="161">
        <f ca="1">'JACOBIAN - OIS USDOIS'!AC36</f>
        <v>2.6822921661562299E-10</v>
      </c>
      <c r="BT27" s="161">
        <f ca="1">'JACOBIAN - OIS USDOIS'!AD36</f>
        <v>-4.5514036983718097E-11</v>
      </c>
      <c r="BU27">
        <f ca="1">'JACOBIAN - OIS USDOIS'!AE36</f>
        <v>4.2590362026917502E-5</v>
      </c>
      <c r="BV27">
        <f ca="1">'JACOBIAN - OIS USDOIS'!AF36</f>
        <v>-7.1708189251396006E-5</v>
      </c>
      <c r="BW27">
        <f ca="1">'JACOBIAN - OIS USDOIS'!AG36</f>
        <v>-2.3564090169458899E-4</v>
      </c>
      <c r="BX27">
        <f ca="1">'JACOBIAN - OIS USDOIS'!AH36</f>
        <v>3.2267962527643399E-5</v>
      </c>
      <c r="BY27">
        <f ca="1">'JACOBIAN - OIS USDOIS'!AI36</f>
        <v>-6.9597030627477403E-6</v>
      </c>
      <c r="BZ27">
        <f ca="1">'JACOBIAN - OIS USDOIS'!AJ36</f>
        <v>6.9434506733134803E-7</v>
      </c>
      <c r="CA27">
        <f ca="1">'JACOBIAN - OIS USDOIS'!AK36</f>
        <v>-1.3860169656432201E-7</v>
      </c>
      <c r="CB27">
        <f ca="1">'JACOBIAN - OIS USDOIS'!AL36</f>
        <v>4.8577819433681701E-8</v>
      </c>
      <c r="CC27">
        <f ca="1">'JACOBIAN - OIS USDOIS'!AM36</f>
        <v>-6.9007359826400699E-9</v>
      </c>
      <c r="CD27">
        <f ca="1">'JACOBIAN - OIS USDOIS'!AN36</f>
        <v>1.0303374819997701E-9</v>
      </c>
      <c r="CE27">
        <f ca="1">'JACOBIAN - OIS USDOIS'!AO36</f>
        <v>-2.6432467326031899E-10</v>
      </c>
      <c r="CF27">
        <f ca="1">'JACOBIAN - OIS USDOIS'!AP36</f>
        <v>4.5047743313375603E-11</v>
      </c>
      <c r="CK27" s="248">
        <f t="shared" ca="1" si="5"/>
        <v>44823</v>
      </c>
      <c r="CL27">
        <f t="shared" ca="1" si="6"/>
        <v>-1.0704162136665499E-6</v>
      </c>
      <c r="CM27">
        <f t="shared" ca="1" si="7"/>
        <v>7.11801328989736E-9</v>
      </c>
      <c r="CN27">
        <f t="shared" ca="1" si="8"/>
        <v>-2.84629770863631E-8</v>
      </c>
      <c r="CO27">
        <f t="shared" ca="1" si="9"/>
        <v>7.49770505681369E-8</v>
      </c>
      <c r="CP27">
        <f t="shared" ca="1" si="10"/>
        <v>-9.6507681068835906E-8</v>
      </c>
      <c r="CQ27">
        <f t="shared" ca="1" si="11"/>
        <v>2.1825506235639801E-7</v>
      </c>
      <c r="CR27">
        <f t="shared" ca="1" si="12"/>
        <v>-7.5340056504558096E-7</v>
      </c>
      <c r="CS27">
        <f t="shared" ca="1" si="13"/>
        <v>2.6675007160914498E-6</v>
      </c>
      <c r="CT27">
        <f t="shared" ca="1" si="14"/>
        <v>-1.02692356245271E-5</v>
      </c>
      <c r="CU27">
        <f t="shared" ca="1" si="15"/>
        <v>1.59076698109661E-5</v>
      </c>
      <c r="CV27">
        <f t="shared" ca="1" si="16"/>
        <v>-3.2708261201275201E-5</v>
      </c>
      <c r="CW27">
        <f t="shared" ca="1" si="17"/>
        <v>1.7419399256368701E-13</v>
      </c>
      <c r="CX27">
        <f t="shared" ca="1" si="18"/>
        <v>1.7419399256368701E-13</v>
      </c>
      <c r="CY27">
        <f t="shared" ca="1" si="19"/>
        <v>1.7419399256368701E-13</v>
      </c>
      <c r="CZ27">
        <f t="shared" ca="1" si="20"/>
        <v>1.7419399256368701E-13</v>
      </c>
      <c r="DA27">
        <f t="shared" ca="1" si="21"/>
        <v>1.7419399256368701E-13</v>
      </c>
      <c r="DB27" s="146">
        <v>0</v>
      </c>
      <c r="DC27" s="146">
        <v>0</v>
      </c>
      <c r="DD27" s="146">
        <v>0</v>
      </c>
      <c r="DE27" s="146">
        <v>0</v>
      </c>
      <c r="DF27" s="146">
        <v>0</v>
      </c>
      <c r="DG27" s="146">
        <v>0</v>
      </c>
      <c r="DH27" s="146">
        <v>0</v>
      </c>
      <c r="DI27" s="146">
        <v>0</v>
      </c>
      <c r="DJ27" s="146">
        <v>0</v>
      </c>
      <c r="DK27" s="146">
        <v>0</v>
      </c>
      <c r="DL27" s="146">
        <v>0</v>
      </c>
      <c r="DM27" s="146">
        <v>0</v>
      </c>
      <c r="DN27">
        <f t="shared" ca="1" si="22"/>
        <v>4.2590362026917502E-5</v>
      </c>
      <c r="DO27">
        <f t="shared" ca="1" si="23"/>
        <v>-7.1708189251396006E-5</v>
      </c>
      <c r="DP27">
        <f t="shared" ca="1" si="24"/>
        <v>-2.3564090169458899E-4</v>
      </c>
      <c r="DQ27">
        <f t="shared" ca="1" si="25"/>
        <v>3.2267962527643399E-5</v>
      </c>
      <c r="DR27">
        <f t="shared" ca="1" si="26"/>
        <v>-6.9597030627477403E-6</v>
      </c>
      <c r="DS27">
        <f t="shared" ca="1" si="27"/>
        <v>6.9434506733134803E-7</v>
      </c>
      <c r="DT27">
        <f t="shared" ca="1" si="28"/>
        <v>-1.3860169656432201E-7</v>
      </c>
      <c r="DU27">
        <f t="shared" ca="1" si="29"/>
        <v>4.8577819433681701E-8</v>
      </c>
      <c r="DV27">
        <f t="shared" ca="1" si="30"/>
        <v>-6.9007359826400699E-9</v>
      </c>
      <c r="DW27">
        <f t="shared" ca="1" si="31"/>
        <v>1.0303374819997701E-9</v>
      </c>
      <c r="DX27">
        <f t="shared" ca="1" si="32"/>
        <v>-2.6432467326031899E-10</v>
      </c>
      <c r="DY27">
        <f t="shared" ca="1" si="33"/>
        <v>4.5047743313375603E-11</v>
      </c>
      <c r="EA27" s="278" t="str">
        <f ca="1"/>
        <v>LIBOROIS_7Y</v>
      </c>
      <c r="EB27" s="277">
        <f ca="1"/>
        <v>-7.3304231581721946E-2</v>
      </c>
      <c r="EC27" s="171"/>
      <c r="ED27" s="248">
        <f ca="1">'JACOBIAN - SWAP USD3ML'!B36</f>
        <v>44823</v>
      </c>
      <c r="EE27">
        <f ca="1">'JACOBIAN - SWAP USD3ML'!C36</f>
        <v>-2.2399616883550499E-13</v>
      </c>
      <c r="EF27">
        <f ca="1">'JACOBIAN - SWAP USD3ML'!D36</f>
        <v>-2.4911736819333698E-5</v>
      </c>
      <c r="EG27">
        <f ca="1">'JACOBIAN - SWAP USD3ML'!E36</f>
        <v>-6.6250303853987398E-12</v>
      </c>
      <c r="EH27">
        <f ca="1">'JACOBIAN - SWAP USD3ML'!F36</f>
        <v>-2.2399616883550499E-13</v>
      </c>
      <c r="EI27">
        <f ca="1">'JACOBIAN - SWAP USD3ML'!G36</f>
        <v>-2.7256189042042202E-7</v>
      </c>
      <c r="EJ27">
        <f ca="1">'JACOBIAN - SWAP USD3ML'!H36</f>
        <v>-2.4818919216060299E-5</v>
      </c>
      <c r="EK27">
        <f ca="1">'JACOBIAN - SWAP USD3ML'!I36</f>
        <v>-2.4729500802287901E-5</v>
      </c>
      <c r="EL27">
        <f ca="1">'JACOBIAN - SWAP USD3ML'!J36</f>
        <v>-2.4647923742455001E-5</v>
      </c>
      <c r="EM27">
        <f ca="1">'JACOBIAN - SWAP USD3ML'!K36</f>
        <v>-2.45695663304672E-5</v>
      </c>
      <c r="EN27">
        <f ca="1">'JACOBIAN - SWAP USD3ML'!L36</f>
        <v>-2.44928707320239E-5</v>
      </c>
      <c r="EO27">
        <f ca="1">'JACOBIAN - SWAP USD3ML'!M36</f>
        <v>-2.42758393773773E-5</v>
      </c>
      <c r="EP27">
        <f ca="1">'JACOBIAN - SWAP USD3ML'!N36</f>
        <v>-5.0883599415720002E-5</v>
      </c>
      <c r="EQ27">
        <f ca="1">'JACOBIAN - SWAP USD3ML'!O36</f>
        <v>1.8068053442937501E-4</v>
      </c>
      <c r="ER27">
        <f ca="1">'JACOBIAN - SWAP USD3ML'!P36</f>
        <v>1.81196935207337E-4</v>
      </c>
      <c r="ES27">
        <f ca="1">'JACOBIAN - SWAP USD3ML'!Q36</f>
        <v>-4.9778415123505297E-5</v>
      </c>
      <c r="ET27">
        <f ca="1">'JACOBIAN - SWAP USD3ML'!R36</f>
        <v>1.1259501683541499E-5</v>
      </c>
      <c r="EU27">
        <f ca="1">'JACOBIAN - SWAP USD3ML'!S36</f>
        <v>-6.47330117245666E-6</v>
      </c>
      <c r="EV27">
        <f ca="1">'JACOBIAN - SWAP USD3ML'!T36</f>
        <v>1.9122217497363801E-6</v>
      </c>
      <c r="EW27">
        <f ca="1">'JACOBIAN - SWAP USD3ML'!U36</f>
        <v>-4.6307589674811398E-7</v>
      </c>
      <c r="EX27">
        <f ca="1">'JACOBIAN - SWAP USD3ML'!V36</f>
        <v>5.4060320177004599E-8</v>
      </c>
      <c r="EY27">
        <f ca="1">'JACOBIAN - SWAP USD3ML'!W36</f>
        <v>-9.5794528351400598E-9</v>
      </c>
      <c r="EZ27">
        <f ca="1">'JACOBIAN - SWAP USD3ML'!X36</f>
        <v>1.89899612527966E-9</v>
      </c>
      <c r="FA27">
        <f ca="1">'JACOBIAN - SWAP USD3ML'!Y36</f>
        <v>-6.0804987433993298E-10</v>
      </c>
      <c r="FB27">
        <f ca="1">'JACOBIAN - SWAP USD3ML'!Z36</f>
        <v>1.24303204881993E-10</v>
      </c>
      <c r="FD27" s="146" t="str">
        <f ca="1"/>
        <v>SWAP_20Y</v>
      </c>
      <c r="FE27" s="280">
        <f ca="1"/>
        <v>6.4801421951251464E-7</v>
      </c>
      <c r="FF27" s="171"/>
      <c r="FH27" s="11" t="str">
        <f ca="1"/>
        <v>USDYC.OIS.BASISRATE.7Y</v>
      </c>
      <c r="FI27" s="275">
        <f ca="1"/>
        <v>-3.3001043630065396E-2</v>
      </c>
      <c r="FJ27" s="11" t="str">
        <f ca="1"/>
        <v>USDYC.STD.3MLIBORSWAP.12Y</v>
      </c>
      <c r="FK27" s="275">
        <f ca="1"/>
        <v>1.2709389557130635E-2</v>
      </c>
      <c r="FL27" s="11" t="e">
        <f ca="1"/>
        <v>#N/A</v>
      </c>
    </row>
    <row r="28" spans="2:168" x14ac:dyDescent="0.25">
      <c r="B28" t="s">
        <v>265</v>
      </c>
      <c r="C28" s="247">
        <f ca="1">C30-C29</f>
        <v>481.64369076071307</v>
      </c>
      <c r="F28" s="270">
        <f ca="1"/>
        <v>44547</v>
      </c>
      <c r="G28" s="9">
        <f ca="1"/>
        <v>44547</v>
      </c>
      <c r="H28" s="9">
        <f ca="1"/>
        <v>44637</v>
      </c>
      <c r="I28" s="9">
        <f ca="1"/>
        <v>90</v>
      </c>
      <c r="J28" s="252">
        <f ca="1"/>
        <v>0.25</v>
      </c>
      <c r="K28" s="269">
        <f ca="1"/>
        <v>44637</v>
      </c>
      <c r="L28" s="254">
        <f ca="1"/>
        <v>1000000</v>
      </c>
      <c r="M28" s="9">
        <f ca="1"/>
        <v>0</v>
      </c>
      <c r="N28" s="9">
        <f ca="1"/>
        <v>1</v>
      </c>
      <c r="O28" s="9">
        <f ca="1"/>
        <v>0</v>
      </c>
      <c r="P28" s="9">
        <f ca="1"/>
        <v>1.4801141762033501E-2</v>
      </c>
      <c r="Q28" s="263">
        <f ca="1"/>
        <v>3700.2854405083799</v>
      </c>
      <c r="R28" s="9">
        <f ca="1"/>
        <v>0.96987691300622003</v>
      </c>
      <c r="S28" s="9">
        <f ca="1"/>
        <v>3588.82142028212</v>
      </c>
      <c r="T28" s="9" t="str">
        <f ca="1"/>
        <v/>
      </c>
      <c r="U28" s="12" t="str">
        <f ca="1"/>
        <v/>
      </c>
      <c r="V28" s="259">
        <f t="shared" ca="1" si="39"/>
        <v>242469.228251555</v>
      </c>
      <c r="X28" s="258">
        <f t="shared" ca="1" si="0"/>
        <v>44914</v>
      </c>
      <c r="Y28" s="292">
        <f ca="1">O13+Q31</f>
        <v>-1114.4595101577302</v>
      </c>
      <c r="AA28" s="257">
        <f t="shared" ca="1" si="35"/>
        <v>44914</v>
      </c>
      <c r="AB28" s="266">
        <f t="shared" ca="1" si="2"/>
        <v>-2.8748364565922601E-4</v>
      </c>
      <c r="AC28" s="266"/>
      <c r="AD28" s="290">
        <f ca="1"/>
        <v>44914</v>
      </c>
      <c r="AE28" s="291">
        <f ca="1"/>
        <v>-2.8748364565922557E-4</v>
      </c>
      <c r="AF28" s="291" t="b">
        <f t="shared" ca="1" si="36"/>
        <v>1</v>
      </c>
      <c r="AH28" s="257">
        <f t="shared" ca="1" si="3"/>
        <v>44914</v>
      </c>
      <c r="AI28" s="260">
        <f t="shared" ca="1" si="40"/>
        <v>233985.46261277862</v>
      </c>
      <c r="AK28" s="290">
        <f ca="1"/>
        <v>44914</v>
      </c>
      <c r="AL28" s="291">
        <f ca="1"/>
        <v>9.6810973261706595E-5</v>
      </c>
      <c r="AM28" s="291" t="b">
        <f t="shared" ca="1" si="4"/>
        <v>1</v>
      </c>
      <c r="AO28" s="257">
        <f t="shared" ca="1" si="37"/>
        <v>44914</v>
      </c>
      <c r="AP28" s="266">
        <f t="shared" ca="1" si="38"/>
        <v>9.6810973261706799E-5</v>
      </c>
      <c r="AR28" s="248">
        <f ca="1">'JACOBIAN - OIS USDOIS'!B37</f>
        <v>44914</v>
      </c>
      <c r="AS28">
        <f ca="1">'JACOBIAN - OIS USDOIS'!C37</f>
        <v>-1.0668910360722699E-6</v>
      </c>
      <c r="AT28">
        <f ca="1">'JACOBIAN - OIS USDOIS'!D37</f>
        <v>9.4403818096111497E-11</v>
      </c>
      <c r="AU28">
        <f ca="1">'JACOBIAN - OIS USDOIS'!E37</f>
        <v>-3.7708758338084201E-10</v>
      </c>
      <c r="AV28">
        <f ca="1">'JACOBIAN - OIS USDOIS'!F37</f>
        <v>9.9355523808242197E-10</v>
      </c>
      <c r="AW28">
        <f ca="1">'JACOBIAN - OIS USDOIS'!G37</f>
        <v>-1.2786233183348399E-9</v>
      </c>
      <c r="AX28">
        <f ca="1">'JACOBIAN - OIS USDOIS'!H37</f>
        <v>2.89140877907101E-9</v>
      </c>
      <c r="AY28">
        <f ca="1">'JACOBIAN - OIS USDOIS'!I37</f>
        <v>-2.4090492600770099E-8</v>
      </c>
      <c r="AZ28">
        <f ca="1">'JACOBIAN - OIS USDOIS'!J37</f>
        <v>3.5339881687690402E-8</v>
      </c>
      <c r="BA28">
        <f ca="1">'JACOBIAN - OIS USDOIS'!K37</f>
        <v>-1.36058926347715E-7</v>
      </c>
      <c r="BB28">
        <f ca="1">'JACOBIAN - OIS USDOIS'!L37</f>
        <v>5.5997165593346697E-7</v>
      </c>
      <c r="BC28">
        <f ca="1">'JACOBIAN - OIS USDOIS'!M37</f>
        <v>-4.7587612472810298E-7</v>
      </c>
      <c r="BD28">
        <f ca="1">'JACOBIAN - OIS USDOIS'!N37</f>
        <v>1.44551037806195E-13</v>
      </c>
      <c r="BE28">
        <f ca="1">'JACOBIAN - OIS USDOIS'!O37</f>
        <v>1.44551037806195E-13</v>
      </c>
      <c r="BF28">
        <f ca="1">'JACOBIAN - OIS USDOIS'!P37</f>
        <v>1.44551037806195E-13</v>
      </c>
      <c r="BG28">
        <f ca="1">'JACOBIAN - OIS USDOIS'!Q37</f>
        <v>1.44551037806195E-13</v>
      </c>
      <c r="BH28">
        <f ca="1">'JACOBIAN - OIS USDOIS'!R37</f>
        <v>1.44551037806195E-13</v>
      </c>
      <c r="BI28" s="161">
        <f ca="1">'JACOBIAN - OIS USDOIS'!S37</f>
        <v>-1.37954071510737E-6</v>
      </c>
      <c r="BJ28" s="161">
        <f ca="1">'JACOBIAN - OIS USDOIS'!T37</f>
        <v>-2.85759251994477E-6</v>
      </c>
      <c r="BK28" s="161">
        <f ca="1">'JACOBIAN - OIS USDOIS'!U37</f>
        <v>2.95235879196998E-4</v>
      </c>
      <c r="BL28" s="161">
        <f ca="1">'JACOBIAN - OIS USDOIS'!V37</f>
        <v>1.6858120588381101E-7</v>
      </c>
      <c r="BM28" s="161">
        <f ca="1">'JACOBIAN - OIS USDOIS'!W37</f>
        <v>-3.6373583922610899E-8</v>
      </c>
      <c r="BN28" s="161">
        <f ca="1">'JACOBIAN - OIS USDOIS'!X37</f>
        <v>3.6274542258851701E-9</v>
      </c>
      <c r="BO28" s="161">
        <f ca="1">'JACOBIAN - OIS USDOIS'!Y37</f>
        <v>-7.2399763961783502E-10</v>
      </c>
      <c r="BP28" s="161">
        <f ca="1">'JACOBIAN - OIS USDOIS'!Z37</f>
        <v>2.53734699917629E-10</v>
      </c>
      <c r="BQ28" s="161">
        <f ca="1">'JACOBIAN - OIS USDOIS'!AA37</f>
        <v>-3.62134766618283E-11</v>
      </c>
      <c r="BR28" s="161">
        <f ca="1">'JACOBIAN - OIS USDOIS'!AB37</f>
        <v>5.4447557573666903E-12</v>
      </c>
      <c r="BS28" s="161">
        <f ca="1">'JACOBIAN - OIS USDOIS'!AC37</f>
        <v>-1.19781962126808E-12</v>
      </c>
      <c r="BT28" s="161">
        <f ca="1">'JACOBIAN - OIS USDOIS'!AD37</f>
        <v>2.8277380437202702E-13</v>
      </c>
      <c r="BU28">
        <f ca="1">'JACOBIAN - OIS USDOIS'!AE37</f>
        <v>1.35424457980982E-6</v>
      </c>
      <c r="BV28">
        <f ca="1">'JACOBIAN - OIS USDOIS'!AF37</f>
        <v>2.8096126144516701E-6</v>
      </c>
      <c r="BW28">
        <f ca="1">'JACOBIAN - OIS USDOIS'!AG37</f>
        <v>-2.9040900310184402E-4</v>
      </c>
      <c r="BX28">
        <f ca="1">'JACOBIAN - OIS USDOIS'!AH37</f>
        <v>-1.6593230622863299E-7</v>
      </c>
      <c r="BY28">
        <f ca="1">'JACOBIAN - OIS USDOIS'!AI37</f>
        <v>3.57889059499072E-8</v>
      </c>
      <c r="BZ28">
        <f ca="1">'JACOBIAN - OIS USDOIS'!AJ37</f>
        <v>-3.5706027023962898E-9</v>
      </c>
      <c r="CA28">
        <f ca="1">'JACOBIAN - OIS USDOIS'!AK37</f>
        <v>7.1289008030106505E-10</v>
      </c>
      <c r="CB28">
        <f ca="1">'JACOBIAN - OIS USDOIS'!AL37</f>
        <v>-2.4960966626963501E-10</v>
      </c>
      <c r="CC28">
        <f ca="1">'JACOBIAN - OIS USDOIS'!AM37</f>
        <v>3.5588421098964299E-11</v>
      </c>
      <c r="CD28">
        <f ca="1">'JACOBIAN - OIS USDOIS'!AN37</f>
        <v>-5.1226800579229299E-12</v>
      </c>
      <c r="CE28">
        <f ca="1">'JACOBIAN - OIS USDOIS'!AO37</f>
        <v>1.32549526909997E-12</v>
      </c>
      <c r="CF28">
        <f ca="1">'JACOBIAN - OIS USDOIS'!AP37</f>
        <v>-1.5787371410169701E-13</v>
      </c>
      <c r="CK28" s="248">
        <f t="shared" ca="1" si="5"/>
        <v>44914</v>
      </c>
      <c r="CL28">
        <f t="shared" ca="1" si="6"/>
        <v>-1.0668910360722699E-6</v>
      </c>
      <c r="CM28">
        <f t="shared" ca="1" si="7"/>
        <v>9.4403818096111497E-11</v>
      </c>
      <c r="CN28">
        <f t="shared" ca="1" si="8"/>
        <v>-3.7708758338084201E-10</v>
      </c>
      <c r="CO28">
        <f t="shared" ca="1" si="9"/>
        <v>9.9355523808242197E-10</v>
      </c>
      <c r="CP28">
        <f t="shared" ca="1" si="10"/>
        <v>-1.2786233183348399E-9</v>
      </c>
      <c r="CQ28">
        <f t="shared" ca="1" si="11"/>
        <v>2.89140877907101E-9</v>
      </c>
      <c r="CR28">
        <f t="shared" ca="1" si="12"/>
        <v>-2.4090492600770099E-8</v>
      </c>
      <c r="CS28">
        <f t="shared" ca="1" si="13"/>
        <v>3.5339881687690402E-8</v>
      </c>
      <c r="CT28">
        <f t="shared" ca="1" si="14"/>
        <v>-1.36058926347715E-7</v>
      </c>
      <c r="CU28">
        <f t="shared" ca="1" si="15"/>
        <v>5.5997165593346697E-7</v>
      </c>
      <c r="CV28">
        <f t="shared" ca="1" si="16"/>
        <v>-4.7587612472810298E-7</v>
      </c>
      <c r="CW28">
        <f t="shared" ca="1" si="17"/>
        <v>1.44551037806195E-13</v>
      </c>
      <c r="CX28">
        <f t="shared" ca="1" si="18"/>
        <v>1.44551037806195E-13</v>
      </c>
      <c r="CY28">
        <f t="shared" ca="1" si="19"/>
        <v>1.44551037806195E-13</v>
      </c>
      <c r="CZ28">
        <f t="shared" ca="1" si="20"/>
        <v>1.44551037806195E-13</v>
      </c>
      <c r="DA28">
        <f t="shared" ca="1" si="21"/>
        <v>1.44551037806195E-13</v>
      </c>
      <c r="DB28" s="146">
        <v>0</v>
      </c>
      <c r="DC28" s="146">
        <v>0</v>
      </c>
      <c r="DD28" s="146">
        <v>0</v>
      </c>
      <c r="DE28" s="146">
        <v>0</v>
      </c>
      <c r="DF28" s="146">
        <v>0</v>
      </c>
      <c r="DG28" s="146">
        <v>0</v>
      </c>
      <c r="DH28" s="146">
        <v>0</v>
      </c>
      <c r="DI28" s="146">
        <v>0</v>
      </c>
      <c r="DJ28" s="146">
        <v>0</v>
      </c>
      <c r="DK28" s="146">
        <v>0</v>
      </c>
      <c r="DL28" s="146">
        <v>0</v>
      </c>
      <c r="DM28" s="146">
        <v>0</v>
      </c>
      <c r="DN28">
        <f t="shared" ca="1" si="22"/>
        <v>1.35424457980982E-6</v>
      </c>
      <c r="DO28">
        <f t="shared" ca="1" si="23"/>
        <v>2.8096126144516701E-6</v>
      </c>
      <c r="DP28">
        <f t="shared" ca="1" si="24"/>
        <v>-2.9040900310184402E-4</v>
      </c>
      <c r="DQ28">
        <f t="shared" ca="1" si="25"/>
        <v>-1.6593230622863299E-7</v>
      </c>
      <c r="DR28">
        <f t="shared" ca="1" si="26"/>
        <v>3.57889059499072E-8</v>
      </c>
      <c r="DS28">
        <f t="shared" ca="1" si="27"/>
        <v>-3.5706027023962898E-9</v>
      </c>
      <c r="DT28">
        <f t="shared" ca="1" si="28"/>
        <v>7.1289008030106505E-10</v>
      </c>
      <c r="DU28">
        <f t="shared" ca="1" si="29"/>
        <v>-2.4960966626963501E-10</v>
      </c>
      <c r="DV28">
        <f t="shared" ca="1" si="30"/>
        <v>3.5588421098964299E-11</v>
      </c>
      <c r="DW28">
        <f t="shared" ca="1" si="31"/>
        <v>-5.1226800579229299E-12</v>
      </c>
      <c r="DX28">
        <f t="shared" ca="1" si="32"/>
        <v>1.32549526909997E-12</v>
      </c>
      <c r="DY28">
        <f t="shared" ca="1" si="33"/>
        <v>-1.5787371410169701E-13</v>
      </c>
      <c r="EA28" s="278" t="str">
        <f ca="1"/>
        <v>LIBOROIS_10Y</v>
      </c>
      <c r="EB28" s="277">
        <f ca="1"/>
        <v>1.4632147593569412E-2</v>
      </c>
      <c r="EC28" s="171"/>
      <c r="ED28" s="248">
        <f ca="1">'JACOBIAN - SWAP USD3ML'!B37</f>
        <v>44914</v>
      </c>
      <c r="EE28">
        <f ca="1">'JACOBIAN - SWAP USD3ML'!C37</f>
        <v>-2.8899972692730798E-13</v>
      </c>
      <c r="EF28">
        <f ca="1">'JACOBIAN - SWAP USD3ML'!D37</f>
        <v>-1.1361827475337899E-5</v>
      </c>
      <c r="EG28">
        <f ca="1">'JACOBIAN - SWAP USD3ML'!E37</f>
        <v>-8.8201980441571205E-12</v>
      </c>
      <c r="EH28">
        <f ca="1">'JACOBIAN - SWAP USD3ML'!F37</f>
        <v>-2.8899972692730798E-13</v>
      </c>
      <c r="EI28">
        <f ca="1">'JACOBIAN - SWAP USD3ML'!G37</f>
        <v>-1.2431087104830501E-7</v>
      </c>
      <c r="EJ28">
        <f ca="1">'JACOBIAN - SWAP USD3ML'!H37</f>
        <v>-1.1319495602823599E-5</v>
      </c>
      <c r="EK28">
        <f ca="1">'JACOBIAN - SWAP USD3ML'!I37</f>
        <v>-1.12787189996306E-5</v>
      </c>
      <c r="EL28">
        <f ca="1">'JACOBIAN - SWAP USD3ML'!J37</f>
        <v>-1.1241512905601999E-5</v>
      </c>
      <c r="EM28">
        <f ca="1">'JACOBIAN - SWAP USD3ML'!K37</f>
        <v>-1.12057752554E-5</v>
      </c>
      <c r="EN28">
        <f ca="1">'JACOBIAN - SWAP USD3ML'!L37</f>
        <v>-1.1170795601939799E-5</v>
      </c>
      <c r="EO28">
        <f ca="1">'JACOBIAN - SWAP USD3ML'!M37</f>
        <v>-1.10675846316209E-5</v>
      </c>
      <c r="EP28">
        <f ca="1">'JACOBIAN - SWAP USD3ML'!N37</f>
        <v>-2.4006634213723199E-5</v>
      </c>
      <c r="EQ28">
        <f ca="1">'JACOBIAN - SWAP USD3ML'!O37</f>
        <v>-1.2478490469145301E-4</v>
      </c>
      <c r="ER28">
        <f ca="1">'JACOBIAN - SWAP USD3ML'!P37</f>
        <v>4.1886546836110601E-4</v>
      </c>
      <c r="ES28">
        <f ca="1">'JACOBIAN - SWAP USD3ML'!Q37</f>
        <v>-1.08138426984851E-4</v>
      </c>
      <c r="ET28">
        <f ca="1">'JACOBIAN - SWAP USD3ML'!R37</f>
        <v>2.44603309299627E-5</v>
      </c>
      <c r="EU28">
        <f ca="1">'JACOBIAN - SWAP USD3ML'!S37</f>
        <v>-1.4062674618632199E-5</v>
      </c>
      <c r="EV28">
        <f ca="1">'JACOBIAN - SWAP USD3ML'!T37</f>
        <v>4.1541340064545099E-6</v>
      </c>
      <c r="EW28">
        <f ca="1">'JACOBIAN - SWAP USD3ML'!U37</f>
        <v>-1.0059961988717599E-6</v>
      </c>
      <c r="EX28">
        <f ca="1">'JACOBIAN - SWAP USD3ML'!V37</f>
        <v>1.17442614754742E-7</v>
      </c>
      <c r="EY28">
        <f ca="1">'JACOBIAN - SWAP USD3ML'!W37</f>
        <v>-2.0810892349676398E-8</v>
      </c>
      <c r="EZ28">
        <f ca="1">'JACOBIAN - SWAP USD3ML'!X37</f>
        <v>4.1257169104691502E-9</v>
      </c>
      <c r="FA28">
        <f ca="1">'JACOBIAN - SWAP USD3ML'!Y37</f>
        <v>-1.3199393227719701E-9</v>
      </c>
      <c r="FB28">
        <f ca="1">'JACOBIAN - SWAP USD3ML'!Z37</f>
        <v>2.6991332259529401E-10</v>
      </c>
      <c r="FD28" s="146" t="str">
        <f ca="1"/>
        <v>SWAP_25Y</v>
      </c>
      <c r="FE28" s="280">
        <f ca="1"/>
        <v>-9.2939276195684595E-7</v>
      </c>
      <c r="FF28" s="171"/>
      <c r="FH28" s="11" t="str">
        <f ca="1"/>
        <v>USDYC.OIS.3MLIBORSWAP.7Y</v>
      </c>
      <c r="FI28" s="275">
        <f ca="1"/>
        <v>4.6365343587240204E-2</v>
      </c>
      <c r="FJ28" s="11" t="str">
        <f ca="1"/>
        <v>USDYC.STD.3MLIBORSWAP.15Y</v>
      </c>
      <c r="FK28" s="275">
        <f ca="1"/>
        <v>-1.6616380889900029E-3</v>
      </c>
      <c r="FL28" s="11" t="e">
        <f ca="1"/>
        <v>#N/A</v>
      </c>
    </row>
    <row r="29" spans="2:168" x14ac:dyDescent="0.25">
      <c r="B29" t="s">
        <v>272</v>
      </c>
      <c r="C29" s="260">
        <v>28725.216448060404</v>
      </c>
      <c r="D29" s="276" t="s">
        <v>293</v>
      </c>
      <c r="F29" s="270">
        <f ca="1"/>
        <v>44637</v>
      </c>
      <c r="G29" s="9">
        <f ca="1"/>
        <v>44637</v>
      </c>
      <c r="H29" s="9">
        <f ca="1"/>
        <v>44729</v>
      </c>
      <c r="I29" s="9">
        <f ca="1"/>
        <v>92</v>
      </c>
      <c r="J29" s="252">
        <f ca="1"/>
        <v>0.25555555555555598</v>
      </c>
      <c r="K29" s="269">
        <f ca="1"/>
        <v>44729</v>
      </c>
      <c r="L29" s="254">
        <f ca="1"/>
        <v>1000000</v>
      </c>
      <c r="M29" s="9">
        <f ca="1"/>
        <v>0</v>
      </c>
      <c r="N29" s="9">
        <f ca="1"/>
        <v>1</v>
      </c>
      <c r="O29" s="9">
        <f ca="1"/>
        <v>0</v>
      </c>
      <c r="P29" s="9">
        <f ca="1"/>
        <v>1.5247202309705801E-2</v>
      </c>
      <c r="Q29" s="263">
        <f ca="1"/>
        <v>3896.50725692481</v>
      </c>
      <c r="R29" s="9">
        <f ca="1"/>
        <v>0.96672676354467801</v>
      </c>
      <c r="S29" s="9">
        <f ca="1"/>
        <v>3766.85784961527</v>
      </c>
      <c r="T29" s="9" t="str">
        <f ca="1"/>
        <v/>
      </c>
      <c r="U29" s="12" t="str">
        <f ca="1"/>
        <v/>
      </c>
      <c r="V29" s="259">
        <f t="shared" ca="1" si="39"/>
        <v>247052.39512808478</v>
      </c>
      <c r="X29" s="258">
        <f t="shared" ca="1" si="0"/>
        <v>45002</v>
      </c>
      <c r="Y29" s="292">
        <f ca="1">Q32</f>
        <v>3795.51692701304</v>
      </c>
      <c r="AA29" s="257">
        <f t="shared" ca="1" si="35"/>
        <v>45002</v>
      </c>
      <c r="AB29" s="266">
        <f t="shared" ca="1" si="2"/>
        <v>-3.0930823813701824E-4</v>
      </c>
      <c r="AC29" s="266"/>
      <c r="AD29" s="290">
        <f ca="1"/>
        <v>45002</v>
      </c>
      <c r="AE29" s="291">
        <f ca="1"/>
        <v>-3.0930823813701824E-4</v>
      </c>
      <c r="AF29" s="291" t="b">
        <f t="shared" ca="1" si="36"/>
        <v>1</v>
      </c>
      <c r="AH29" s="257">
        <f t="shared" ca="1" si="3"/>
        <v>45002</v>
      </c>
      <c r="AI29" s="260">
        <f t="shared" ca="1" si="40"/>
        <v>249069.55206857686</v>
      </c>
      <c r="AK29" s="290">
        <f ca="1"/>
        <v>45002</v>
      </c>
      <c r="AL29" s="291">
        <f ca="1"/>
        <v>9.8441448172623472E-5</v>
      </c>
      <c r="AM29" s="291" t="b">
        <f t="shared" ca="1" si="4"/>
        <v>1</v>
      </c>
      <c r="AO29" s="257">
        <f t="shared" ca="1" si="37"/>
        <v>45002</v>
      </c>
      <c r="AP29" s="266">
        <f t="shared" ca="1" si="38"/>
        <v>9.8441448172623757E-5</v>
      </c>
      <c r="AR29" s="248">
        <f ca="1">'JACOBIAN - OIS USDOIS'!B38</f>
        <v>45002</v>
      </c>
      <c r="AS29">
        <f ca="1">'JACOBIAN - OIS USDOIS'!C38</f>
        <v>-1.06345485695325E-6</v>
      </c>
      <c r="AT29">
        <f ca="1">'JACOBIAN - OIS USDOIS'!D38</f>
        <v>-3.8443666028342696E-9</v>
      </c>
      <c r="AU29">
        <f ca="1">'JACOBIAN - OIS USDOIS'!E38</f>
        <v>1.5373190831446902E-8</v>
      </c>
      <c r="AV29">
        <f ca="1">'JACOBIAN - OIS USDOIS'!F38</f>
        <v>-4.04956365107623E-8</v>
      </c>
      <c r="AW29">
        <f ca="1">'JACOBIAN - OIS USDOIS'!G38</f>
        <v>5.2124887628402003E-8</v>
      </c>
      <c r="AX29">
        <f ca="1">'JACOBIAN - OIS USDOIS'!H38</f>
        <v>-1.1788229570264299E-7</v>
      </c>
      <c r="AY29">
        <f ca="1">'JACOBIAN - OIS USDOIS'!I38</f>
        <v>3.84959737309565E-7</v>
      </c>
      <c r="AZ29">
        <f ca="1">'JACOBIAN - OIS USDOIS'!J38</f>
        <v>-1.4407459700827E-6</v>
      </c>
      <c r="BA29">
        <f ca="1">'JACOBIAN - OIS USDOIS'!K38</f>
        <v>5.5465702660795202E-6</v>
      </c>
      <c r="BB29">
        <f ca="1">'JACOBIAN - OIS USDOIS'!L38</f>
        <v>-8.0472890314764507E-6</v>
      </c>
      <c r="BC29">
        <f ca="1">'JACOBIAN - OIS USDOIS'!M38</f>
        <v>1.76003728054042E-5</v>
      </c>
      <c r="BD29">
        <f ca="1">'JACOBIAN - OIS USDOIS'!N38</f>
        <v>1.22568621918617E-13</v>
      </c>
      <c r="BE29">
        <f ca="1">'JACOBIAN - OIS USDOIS'!O38</f>
        <v>1.22568621918617E-13</v>
      </c>
      <c r="BF29">
        <f ca="1">'JACOBIAN - OIS USDOIS'!P38</f>
        <v>1.22568621918617E-13</v>
      </c>
      <c r="BG29">
        <f ca="1">'JACOBIAN - OIS USDOIS'!Q38</f>
        <v>1.22568621918617E-13</v>
      </c>
      <c r="BH29">
        <f ca="1">'JACOBIAN - OIS USDOIS'!R38</f>
        <v>1.22568621918617E-13</v>
      </c>
      <c r="BI29" s="161">
        <f ca="1">'JACOBIAN - OIS USDOIS'!S38</f>
        <v>2.2172669424946899E-5</v>
      </c>
      <c r="BJ29" s="161">
        <f ca="1">'JACOBIAN - OIS USDOIS'!T38</f>
        <v>-4.3016643997195702E-5</v>
      </c>
      <c r="BK29" s="161">
        <f ca="1">'JACOBIAN - OIS USDOIS'!U38</f>
        <v>2.8238895357479699E-4</v>
      </c>
      <c r="BL29" s="161">
        <f ca="1">'JACOBIAN - OIS USDOIS'!V38</f>
        <v>8.1091399735111494E-5</v>
      </c>
      <c r="BM29" s="161">
        <f ca="1">'JACOBIAN - OIS USDOIS'!W38</f>
        <v>-1.6519507994416899E-5</v>
      </c>
      <c r="BN29" s="161">
        <f ca="1">'JACOBIAN - OIS USDOIS'!X38</f>
        <v>1.6475065633958499E-6</v>
      </c>
      <c r="BO29" s="161">
        <f ca="1">'JACOBIAN - OIS USDOIS'!Y38</f>
        <v>-3.2885239320545899E-7</v>
      </c>
      <c r="BP29" s="161">
        <f ca="1">'JACOBIAN - OIS USDOIS'!Z38</f>
        <v>1.15201481243332E-7</v>
      </c>
      <c r="BQ29" s="161">
        <f ca="1">'JACOBIAN - OIS USDOIS'!AA38</f>
        <v>-1.6363647881156901E-8</v>
      </c>
      <c r="BR29" s="161">
        <f ca="1">'JACOBIAN - OIS USDOIS'!AB38</f>
        <v>2.4419788413609901E-9</v>
      </c>
      <c r="BS29" s="161">
        <f ca="1">'JACOBIAN - OIS USDOIS'!AC38</f>
        <v>-6.2592120375626295E-10</v>
      </c>
      <c r="BT29" s="161">
        <f ca="1">'JACOBIAN - OIS USDOIS'!AD38</f>
        <v>1.06516573339377E-10</v>
      </c>
      <c r="BU29">
        <f ca="1">'JACOBIAN - OIS USDOIS'!AE38</f>
        <v>-2.17709030447821E-5</v>
      </c>
      <c r="BV29">
        <f ca="1">'JACOBIAN - OIS USDOIS'!AF38</f>
        <v>4.2302675489880301E-5</v>
      </c>
      <c r="BW29">
        <f ca="1">'JACOBIAN - OIS USDOIS'!AG38</f>
        <v>-2.7777557703001499E-4</v>
      </c>
      <c r="BX29">
        <f ca="1">'JACOBIAN - OIS USDOIS'!AH38</f>
        <v>-7.9807452599278697E-5</v>
      </c>
      <c r="BY29">
        <f ca="1">'JACOBIAN - OIS USDOIS'!AI38</f>
        <v>1.6254487082201199E-5</v>
      </c>
      <c r="BZ29">
        <f ca="1">'JACOBIAN - OIS USDOIS'!AJ38</f>
        <v>-1.6216315549266699E-6</v>
      </c>
      <c r="CA29">
        <f ca="1">'JACOBIAN - OIS USDOIS'!AK38</f>
        <v>3.2370296954020701E-7</v>
      </c>
      <c r="CB29">
        <f ca="1">'JACOBIAN - OIS USDOIS'!AL38</f>
        <v>-1.1345218908775901E-7</v>
      </c>
      <c r="CC29">
        <f ca="1">'JACOBIAN - OIS USDOIS'!AM38</f>
        <v>1.6116948997613198E-8</v>
      </c>
      <c r="CD29">
        <f ca="1">'JACOBIAN - OIS USDOIS'!AN38</f>
        <v>-2.4058209868727001E-9</v>
      </c>
      <c r="CE29">
        <f ca="1">'JACOBIAN - OIS USDOIS'!AO38</f>
        <v>6.1726257438721198E-10</v>
      </c>
      <c r="CF29">
        <f ca="1">'JACOBIAN - OIS USDOIS'!AP38</f>
        <v>-1.0499390246110399E-10</v>
      </c>
      <c r="CK29" s="248">
        <f t="shared" ca="1" si="5"/>
        <v>45002</v>
      </c>
      <c r="CL29">
        <f t="shared" ca="1" si="6"/>
        <v>-1.06345485695325E-6</v>
      </c>
      <c r="CM29">
        <f t="shared" ca="1" si="7"/>
        <v>-3.8443666028342696E-9</v>
      </c>
      <c r="CN29">
        <f t="shared" ca="1" si="8"/>
        <v>1.5373190831446902E-8</v>
      </c>
      <c r="CO29">
        <f t="shared" ca="1" si="9"/>
        <v>-4.04956365107623E-8</v>
      </c>
      <c r="CP29">
        <f t="shared" ca="1" si="10"/>
        <v>5.2124887628402003E-8</v>
      </c>
      <c r="CQ29">
        <f t="shared" ca="1" si="11"/>
        <v>-1.1788229570264299E-7</v>
      </c>
      <c r="CR29">
        <f t="shared" ca="1" si="12"/>
        <v>3.84959737309565E-7</v>
      </c>
      <c r="CS29">
        <f t="shared" ca="1" si="13"/>
        <v>-1.4407459700827E-6</v>
      </c>
      <c r="CT29">
        <f t="shared" ca="1" si="14"/>
        <v>5.5465702660795202E-6</v>
      </c>
      <c r="CU29">
        <f t="shared" ca="1" si="15"/>
        <v>-8.0472890314764507E-6</v>
      </c>
      <c r="CV29">
        <f t="shared" ca="1" si="16"/>
        <v>1.76003728054042E-5</v>
      </c>
      <c r="CW29">
        <f t="shared" ca="1" si="17"/>
        <v>1.22568621918617E-13</v>
      </c>
      <c r="CX29">
        <f t="shared" ca="1" si="18"/>
        <v>1.22568621918617E-13</v>
      </c>
      <c r="CY29">
        <f t="shared" ca="1" si="19"/>
        <v>1.22568621918617E-13</v>
      </c>
      <c r="CZ29">
        <f t="shared" ca="1" si="20"/>
        <v>1.22568621918617E-13</v>
      </c>
      <c r="DA29">
        <f t="shared" ca="1" si="21"/>
        <v>1.22568621918617E-13</v>
      </c>
      <c r="DB29" s="146">
        <v>0</v>
      </c>
      <c r="DC29" s="146">
        <v>0</v>
      </c>
      <c r="DD29" s="146">
        <v>0</v>
      </c>
      <c r="DE29" s="146">
        <v>0</v>
      </c>
      <c r="DF29" s="146">
        <v>0</v>
      </c>
      <c r="DG29" s="146">
        <v>0</v>
      </c>
      <c r="DH29" s="146">
        <v>0</v>
      </c>
      <c r="DI29" s="146">
        <v>0</v>
      </c>
      <c r="DJ29" s="146">
        <v>0</v>
      </c>
      <c r="DK29" s="146">
        <v>0</v>
      </c>
      <c r="DL29" s="146">
        <v>0</v>
      </c>
      <c r="DM29" s="146">
        <v>0</v>
      </c>
      <c r="DN29">
        <f t="shared" ca="1" si="22"/>
        <v>-2.17709030447821E-5</v>
      </c>
      <c r="DO29">
        <f t="shared" ca="1" si="23"/>
        <v>4.2302675489880301E-5</v>
      </c>
      <c r="DP29">
        <f t="shared" ca="1" si="24"/>
        <v>-2.7777557703001499E-4</v>
      </c>
      <c r="DQ29">
        <f t="shared" ca="1" si="25"/>
        <v>-7.9807452599278697E-5</v>
      </c>
      <c r="DR29">
        <f t="shared" ca="1" si="26"/>
        <v>1.6254487082201199E-5</v>
      </c>
      <c r="DS29">
        <f t="shared" ca="1" si="27"/>
        <v>-1.6216315549266699E-6</v>
      </c>
      <c r="DT29">
        <f t="shared" ca="1" si="28"/>
        <v>3.2370296954020701E-7</v>
      </c>
      <c r="DU29">
        <f t="shared" ca="1" si="29"/>
        <v>-1.1345218908775901E-7</v>
      </c>
      <c r="DV29">
        <f t="shared" ca="1" si="30"/>
        <v>1.6116948997613198E-8</v>
      </c>
      <c r="DW29">
        <f t="shared" ca="1" si="31"/>
        <v>-2.4058209868727001E-9</v>
      </c>
      <c r="DX29">
        <f t="shared" ca="1" si="32"/>
        <v>6.1726257438721198E-10</v>
      </c>
      <c r="DY29">
        <f t="shared" ca="1" si="33"/>
        <v>-1.0499390246110399E-10</v>
      </c>
      <c r="EA29" s="278" t="str">
        <f ca="1"/>
        <v>LIBOROIS_12Y</v>
      </c>
      <c r="EB29" s="277">
        <f ca="1"/>
        <v>-5.1258172112719188E-3</v>
      </c>
      <c r="EC29" s="171"/>
      <c r="ED29" s="248">
        <f ca="1">'JACOBIAN - SWAP USD3ML'!B38</f>
        <v>45002</v>
      </c>
      <c r="EE29">
        <f ca="1">'JACOBIAN - SWAP USD3ML'!C38</f>
        <v>-1.86234708210442E-13</v>
      </c>
      <c r="EF29">
        <f ca="1">'JACOBIAN - SWAP USD3ML'!D38</f>
        <v>-6.1123739431706601E-7</v>
      </c>
      <c r="EG29">
        <f ca="1">'JACOBIAN - SWAP USD3ML'!E38</f>
        <v>-6.9374297972934999E-12</v>
      </c>
      <c r="EH29">
        <f ca="1">'JACOBIAN - SWAP USD3ML'!F38</f>
        <v>-1.8708472271367099E-13</v>
      </c>
      <c r="EI29">
        <f ca="1">'JACOBIAN - SWAP USD3ML'!G38</f>
        <v>-6.6877108104851401E-9</v>
      </c>
      <c r="EJ29">
        <f ca="1">'JACOBIAN - SWAP USD3ML'!H38</f>
        <v>-6.0896090468137699E-7</v>
      </c>
      <c r="EK29">
        <f ca="1">'JACOBIAN - SWAP USD3ML'!I38</f>
        <v>-6.0677373848842798E-7</v>
      </c>
      <c r="EL29">
        <f ca="1">'JACOBIAN - SWAP USD3ML'!J38</f>
        <v>-6.0477202735130499E-7</v>
      </c>
      <c r="EM29">
        <f ca="1">'JACOBIAN - SWAP USD3ML'!K38</f>
        <v>-6.0284932960549798E-7</v>
      </c>
      <c r="EN29">
        <f ca="1">'JACOBIAN - SWAP USD3ML'!L38</f>
        <v>-6.0096749024060602E-7</v>
      </c>
      <c r="EO29">
        <f ca="1">'JACOBIAN - SWAP USD3ML'!M38</f>
        <v>-5.9541444795939403E-7</v>
      </c>
      <c r="EP29">
        <f ca="1">'JACOBIAN - SWAP USD3ML'!N38</f>
        <v>-1.29152806662217E-6</v>
      </c>
      <c r="EQ29">
        <f ca="1">'JACOBIAN - SWAP USD3ML'!O38</f>
        <v>-3.3652151959689399E-4</v>
      </c>
      <c r="ER29">
        <f ca="1">'JACOBIAN - SWAP USD3ML'!P38</f>
        <v>5.2490642170279801E-4</v>
      </c>
      <c r="ES29">
        <f ca="1">'JACOBIAN - SWAP USD3ML'!Q38</f>
        <v>-9.6604159606241606E-5</v>
      </c>
      <c r="ET29">
        <f ca="1">'JACOBIAN - SWAP USD3ML'!R38</f>
        <v>2.18511335868029E-5</v>
      </c>
      <c r="EU29">
        <f ca="1">'JACOBIAN - SWAP USD3ML'!S38</f>
        <v>-1.25626350709358E-5</v>
      </c>
      <c r="EV29">
        <f ca="1">'JACOBIAN - SWAP USD3ML'!T38</f>
        <v>3.7110172203275899E-6</v>
      </c>
      <c r="EW29">
        <f ca="1">'JACOBIAN - SWAP USD3ML'!U38</f>
        <v>-8.9868543670656997E-7</v>
      </c>
      <c r="EX29">
        <f ca="1">'JACOBIAN - SWAP USD3ML'!V38</f>
        <v>1.0491715071205E-7</v>
      </c>
      <c r="EY29">
        <f ca="1">'JACOBIAN - SWAP USD3ML'!W38</f>
        <v>-1.8592519863969098E-8</v>
      </c>
      <c r="EZ29">
        <f ca="1">'JACOBIAN - SWAP USD3ML'!X38</f>
        <v>3.6863227366457102E-9</v>
      </c>
      <c r="FA29">
        <f ca="1">'JACOBIAN - SWAP USD3ML'!Y38</f>
        <v>-1.1787617687497599E-9</v>
      </c>
      <c r="FB29">
        <f ca="1">'JACOBIAN - SWAP USD3ML'!Z38</f>
        <v>2.41602482811687E-10</v>
      </c>
      <c r="FD29" s="146" t="str">
        <f ca="1"/>
        <v>SWAP_30Y</v>
      </c>
      <c r="FE29" s="280">
        <f ca="1"/>
        <v>1.786498546832709E-6</v>
      </c>
      <c r="FF29" s="171"/>
      <c r="FH29" s="11" t="str">
        <f ca="1"/>
        <v>USDYC.OIS.BASISRATE.10Y</v>
      </c>
      <c r="FI29" s="275">
        <f ca="1"/>
        <v>1.567144863656722E-2</v>
      </c>
      <c r="FJ29" s="11" t="str">
        <f ca="1"/>
        <v>USDYC.STD.3MLIBORSWAP.20Y</v>
      </c>
      <c r="FK29" s="275">
        <f ca="1"/>
        <v>1.0992432362399995E-2</v>
      </c>
      <c r="FL29" s="11" t="e">
        <f ca="1"/>
        <v>#N/A</v>
      </c>
    </row>
    <row r="30" spans="2:168" x14ac:dyDescent="0.25">
      <c r="B30" t="s">
        <v>273</v>
      </c>
      <c r="C30" s="260">
        <v>29206.860138821117</v>
      </c>
      <c r="D30" s="276" t="s">
        <v>293</v>
      </c>
      <c r="F30" s="270">
        <f ca="1"/>
        <v>44729</v>
      </c>
      <c r="G30" s="9">
        <f ca="1"/>
        <v>44729</v>
      </c>
      <c r="H30" s="9">
        <f ca="1"/>
        <v>44823</v>
      </c>
      <c r="I30" s="9">
        <f ca="1"/>
        <v>94</v>
      </c>
      <c r="J30" s="252">
        <f ca="1"/>
        <v>0.26111111111111102</v>
      </c>
      <c r="K30" s="269">
        <f ca="1"/>
        <v>44823</v>
      </c>
      <c r="L30" s="254">
        <f ca="1"/>
        <v>1000000</v>
      </c>
      <c r="M30" s="9">
        <f ca="1"/>
        <v>0</v>
      </c>
      <c r="N30" s="9">
        <f ca="1"/>
        <v>1</v>
      </c>
      <c r="O30" s="9">
        <f ca="1"/>
        <v>0</v>
      </c>
      <c r="P30" s="9">
        <f ca="1"/>
        <v>1.55147586178609E-2</v>
      </c>
      <c r="Q30" s="263">
        <f ca="1"/>
        <v>4051.0758613303601</v>
      </c>
      <c r="R30" s="9">
        <f ca="1"/>
        <v>0.96347915730144196</v>
      </c>
      <c r="S30" s="9">
        <f ca="1"/>
        <v>3903.1271570387798</v>
      </c>
      <c r="T30" s="9" t="str">
        <f ca="1"/>
        <v/>
      </c>
      <c r="U30" s="12" t="str">
        <f ca="1"/>
        <v/>
      </c>
      <c r="V30" s="259">
        <f t="shared" ca="1" si="39"/>
        <v>251575.11329537642</v>
      </c>
      <c r="X30" s="258">
        <f t="shared" ca="1" si="0"/>
        <v>45096</v>
      </c>
      <c r="Y30" s="292">
        <f ca="1">O14+Q33</f>
        <v>-952.10287501756011</v>
      </c>
      <c r="AA30" s="257">
        <f t="shared" ca="1" si="35"/>
        <v>45096</v>
      </c>
      <c r="AB30" s="266">
        <f t="shared" ca="1" si="2"/>
        <v>-3.3262023706281984E-4</v>
      </c>
      <c r="AC30" s="266"/>
      <c r="AD30" s="290">
        <f ca="1"/>
        <v>45096</v>
      </c>
      <c r="AE30" s="291">
        <f ca="1"/>
        <v>-3.3262023706281951E-4</v>
      </c>
      <c r="AF30" s="291" t="b">
        <f t="shared" ca="1" si="36"/>
        <v>1</v>
      </c>
      <c r="AH30" s="257">
        <f t="shared" ca="1" si="3"/>
        <v>45096</v>
      </c>
      <c r="AI30" s="260">
        <f t="shared" ca="1" si="40"/>
        <v>240299.54849591973</v>
      </c>
      <c r="AK30" s="290">
        <f ca="1"/>
        <v>45096</v>
      </c>
      <c r="AL30" s="291">
        <f ca="1"/>
        <v>9.9273397107128847E-5</v>
      </c>
      <c r="AM30" s="291" t="b">
        <f t="shared" ca="1" si="4"/>
        <v>1</v>
      </c>
      <c r="AO30" s="257">
        <f t="shared" ca="1" si="37"/>
        <v>45096</v>
      </c>
      <c r="AP30" s="266">
        <f t="shared" ca="1" si="38"/>
        <v>9.927339710712863E-5</v>
      </c>
      <c r="AR30" s="248">
        <f ca="1">'JACOBIAN - OIS USDOIS'!B39</f>
        <v>45096</v>
      </c>
      <c r="AS30">
        <f ca="1">'JACOBIAN - OIS USDOIS'!C39</f>
        <v>-1.0597554082059099E-6</v>
      </c>
      <c r="AT30">
        <f ca="1">'JACOBIAN - OIS USDOIS'!D39</f>
        <v>-4.3800155724582599E-9</v>
      </c>
      <c r="AU30">
        <f ca="1">'JACOBIAN - OIS USDOIS'!E39</f>
        <v>1.7515114358879199E-8</v>
      </c>
      <c r="AV30">
        <f ca="1">'JACOBIAN - OIS USDOIS'!F39</f>
        <v>-4.61378978355853E-8</v>
      </c>
      <c r="AW30">
        <f ca="1">'JACOBIAN - OIS USDOIS'!G39</f>
        <v>5.9387437634228497E-8</v>
      </c>
      <c r="AX30">
        <f ca="1">'JACOBIAN - OIS USDOIS'!H39</f>
        <v>-1.34306678556406E-7</v>
      </c>
      <c r="AY30">
        <f ca="1">'JACOBIAN - OIS USDOIS'!I39</f>
        <v>4.40712078830785E-7</v>
      </c>
      <c r="AZ30">
        <f ca="1">'JACOBIAN - OIS USDOIS'!J39</f>
        <v>-1.64148361259109E-6</v>
      </c>
      <c r="BA30">
        <f ca="1">'JACOBIAN - OIS USDOIS'!K39</f>
        <v>6.3193727029009503E-6</v>
      </c>
      <c r="BB30">
        <f ca="1">'JACOBIAN - OIS USDOIS'!L39</f>
        <v>-9.2189408901211001E-6</v>
      </c>
      <c r="BC30">
        <f ca="1">'JACOBIAN - OIS USDOIS'!M39</f>
        <v>2.00590244213705E-5</v>
      </c>
      <c r="BD30">
        <f ca="1">'JACOBIAN - OIS USDOIS'!N39</f>
        <v>1.06026298851702E-13</v>
      </c>
      <c r="BE30">
        <f ca="1">'JACOBIAN - OIS USDOIS'!O39</f>
        <v>1.06026298851702E-13</v>
      </c>
      <c r="BF30">
        <f ca="1">'JACOBIAN - OIS USDOIS'!P39</f>
        <v>1.06026298851702E-13</v>
      </c>
      <c r="BG30">
        <f ca="1">'JACOBIAN - OIS USDOIS'!Q39</f>
        <v>1.06026298851702E-13</v>
      </c>
      <c r="BH30">
        <f ca="1">'JACOBIAN - OIS USDOIS'!R39</f>
        <v>1.06026298851702E-13</v>
      </c>
      <c r="BI30" s="161">
        <f ca="1">'JACOBIAN - OIS USDOIS'!S39</f>
        <v>2.53780902910172E-5</v>
      </c>
      <c r="BJ30" s="161">
        <f ca="1">'JACOBIAN - OIS USDOIS'!T39</f>
        <v>-4.8467780973004997E-5</v>
      </c>
      <c r="BK30" s="161">
        <f ca="1">'JACOBIAN - OIS USDOIS'!U39</f>
        <v>2.0495025647282401E-4</v>
      </c>
      <c r="BL30" s="161">
        <f ca="1">'JACOBIAN - OIS USDOIS'!V39</f>
        <v>2.02768764516414E-4</v>
      </c>
      <c r="BM30" s="161">
        <f ca="1">'JACOBIAN - OIS USDOIS'!W39</f>
        <v>-3.4461048425304999E-5</v>
      </c>
      <c r="BN30" s="161">
        <f ca="1">'JACOBIAN - OIS USDOIS'!X39</f>
        <v>3.4368696212316901E-6</v>
      </c>
      <c r="BO30" s="161">
        <f ca="1">'JACOBIAN - OIS USDOIS'!Y39</f>
        <v>-6.8601949498869896E-7</v>
      </c>
      <c r="BP30" s="161">
        <f ca="1">'JACOBIAN - OIS USDOIS'!Z39</f>
        <v>2.4032196355161501E-7</v>
      </c>
      <c r="BQ30" s="161">
        <f ca="1">'JACOBIAN - OIS USDOIS'!AA39</f>
        <v>-3.4136026783038202E-8</v>
      </c>
      <c r="BR30" s="161">
        <f ca="1">'JACOBIAN - OIS USDOIS'!AB39</f>
        <v>5.0941403317850098E-9</v>
      </c>
      <c r="BS30" s="161">
        <f ca="1">'JACOBIAN - OIS USDOIS'!AC39</f>
        <v>-1.3059577863572299E-9</v>
      </c>
      <c r="BT30" s="161">
        <f ca="1">'JACOBIAN - OIS USDOIS'!AD39</f>
        <v>2.22176388398054E-10</v>
      </c>
      <c r="BU30">
        <f ca="1">'JACOBIAN - OIS USDOIS'!AE39</f>
        <v>-2.4918106660387598E-5</v>
      </c>
      <c r="BV30">
        <f ca="1">'JACOBIAN - OIS USDOIS'!AF39</f>
        <v>4.7663687759991198E-5</v>
      </c>
      <c r="BW30">
        <f ca="1">'JACOBIAN - OIS USDOIS'!AG39</f>
        <v>-2.0161809129115601E-4</v>
      </c>
      <c r="BX30">
        <f ca="1">'JACOBIAN - OIS USDOIS'!AH39</f>
        <v>-1.9953295431107701E-4</v>
      </c>
      <c r="BY30">
        <f ca="1">'JACOBIAN - OIS USDOIS'!AI39</f>
        <v>3.3908829519146997E-5</v>
      </c>
      <c r="BZ30">
        <f ca="1">'JACOBIAN - OIS USDOIS'!AJ39</f>
        <v>-3.3828852050721302E-6</v>
      </c>
      <c r="CA30">
        <f ca="1">'JACOBIAN - OIS USDOIS'!AK39</f>
        <v>6.7527727909411105E-7</v>
      </c>
      <c r="CB30">
        <f ca="1">'JACOBIAN - OIS USDOIS'!AL39</f>
        <v>-2.36673023179534E-7</v>
      </c>
      <c r="CC30">
        <f ca="1">'JACOBIAN - OIS USDOIS'!AM39</f>
        <v>3.3621486150714501E-8</v>
      </c>
      <c r="CD30">
        <f ca="1">'JACOBIAN - OIS USDOIS'!AN39</f>
        <v>-5.0189969957870103E-9</v>
      </c>
      <c r="CE30">
        <f ca="1">'JACOBIAN - OIS USDOIS'!AO39</f>
        <v>1.28772337237848E-9</v>
      </c>
      <c r="CF30">
        <f ca="1">'JACOBIAN - OIS USDOIS'!AP39</f>
        <v>-2.19125051437175E-10</v>
      </c>
      <c r="CK30" s="248">
        <f t="shared" ca="1" si="5"/>
        <v>45096</v>
      </c>
      <c r="CL30">
        <f t="shared" ca="1" si="6"/>
        <v>-1.0597554082059099E-6</v>
      </c>
      <c r="CM30">
        <f t="shared" ca="1" si="7"/>
        <v>-4.3800155724582599E-9</v>
      </c>
      <c r="CN30">
        <f t="shared" ca="1" si="8"/>
        <v>1.7515114358879199E-8</v>
      </c>
      <c r="CO30">
        <f t="shared" ca="1" si="9"/>
        <v>-4.61378978355853E-8</v>
      </c>
      <c r="CP30">
        <f t="shared" ca="1" si="10"/>
        <v>5.9387437634228497E-8</v>
      </c>
      <c r="CQ30">
        <f t="shared" ca="1" si="11"/>
        <v>-1.34306678556406E-7</v>
      </c>
      <c r="CR30">
        <f t="shared" ca="1" si="12"/>
        <v>4.40712078830785E-7</v>
      </c>
      <c r="CS30">
        <f t="shared" ca="1" si="13"/>
        <v>-1.64148361259109E-6</v>
      </c>
      <c r="CT30">
        <f t="shared" ca="1" si="14"/>
        <v>6.3193727029009503E-6</v>
      </c>
      <c r="CU30">
        <f t="shared" ca="1" si="15"/>
        <v>-9.2189408901211001E-6</v>
      </c>
      <c r="CV30">
        <f t="shared" ca="1" si="16"/>
        <v>2.00590244213705E-5</v>
      </c>
      <c r="CW30">
        <f t="shared" ca="1" si="17"/>
        <v>1.06026298851702E-13</v>
      </c>
      <c r="CX30">
        <f t="shared" ca="1" si="18"/>
        <v>1.06026298851702E-13</v>
      </c>
      <c r="CY30">
        <f t="shared" ca="1" si="19"/>
        <v>1.06026298851702E-13</v>
      </c>
      <c r="CZ30">
        <f t="shared" ca="1" si="20"/>
        <v>1.06026298851702E-13</v>
      </c>
      <c r="DA30">
        <f t="shared" ca="1" si="21"/>
        <v>1.06026298851702E-13</v>
      </c>
      <c r="DB30" s="146">
        <v>0</v>
      </c>
      <c r="DC30" s="146">
        <v>0</v>
      </c>
      <c r="DD30" s="146">
        <v>0</v>
      </c>
      <c r="DE30" s="146">
        <v>0</v>
      </c>
      <c r="DF30" s="146">
        <v>0</v>
      </c>
      <c r="DG30" s="146">
        <v>0</v>
      </c>
      <c r="DH30" s="146">
        <v>0</v>
      </c>
      <c r="DI30" s="146">
        <v>0</v>
      </c>
      <c r="DJ30" s="146">
        <v>0</v>
      </c>
      <c r="DK30" s="146">
        <v>0</v>
      </c>
      <c r="DL30" s="146">
        <v>0</v>
      </c>
      <c r="DM30" s="146">
        <v>0</v>
      </c>
      <c r="DN30">
        <f t="shared" ca="1" si="22"/>
        <v>-2.4918106660387598E-5</v>
      </c>
      <c r="DO30">
        <f t="shared" ca="1" si="23"/>
        <v>4.7663687759991198E-5</v>
      </c>
      <c r="DP30">
        <f t="shared" ca="1" si="24"/>
        <v>-2.0161809129115601E-4</v>
      </c>
      <c r="DQ30">
        <f t="shared" ca="1" si="25"/>
        <v>-1.9953295431107701E-4</v>
      </c>
      <c r="DR30">
        <f t="shared" ca="1" si="26"/>
        <v>3.3908829519146997E-5</v>
      </c>
      <c r="DS30">
        <f t="shared" ca="1" si="27"/>
        <v>-3.3828852050721302E-6</v>
      </c>
      <c r="DT30">
        <f t="shared" ca="1" si="28"/>
        <v>6.7527727909411105E-7</v>
      </c>
      <c r="DU30">
        <f t="shared" ca="1" si="29"/>
        <v>-2.36673023179534E-7</v>
      </c>
      <c r="DV30">
        <f t="shared" ca="1" si="30"/>
        <v>3.3621486150714501E-8</v>
      </c>
      <c r="DW30">
        <f t="shared" ca="1" si="31"/>
        <v>-5.0189969957870103E-9</v>
      </c>
      <c r="DX30">
        <f t="shared" ca="1" si="32"/>
        <v>1.28772337237848E-9</v>
      </c>
      <c r="DY30">
        <f t="shared" ca="1" si="33"/>
        <v>-2.19125051437175E-10</v>
      </c>
      <c r="EA30" s="278" t="str">
        <f ca="1"/>
        <v>LIBOROIS_15Y</v>
      </c>
      <c r="EB30" s="277">
        <f ca="1"/>
        <v>7.2807747536673354E-4</v>
      </c>
      <c r="EC30" s="171"/>
      <c r="ED30" s="248">
        <f ca="1">'JACOBIAN - SWAP USD3ML'!B39</f>
        <v>45096</v>
      </c>
      <c r="EE30">
        <f ca="1">'JACOBIAN - SWAP USD3ML'!C39</f>
        <v>1.32067967673066E-13</v>
      </c>
      <c r="EF30">
        <f ca="1">'JACOBIAN - SWAP USD3ML'!D39</f>
        <v>5.4369862985698802E-6</v>
      </c>
      <c r="EG30">
        <f ca="1">'JACOBIAN - SWAP USD3ML'!E39</f>
        <v>2.09396736061684E-13</v>
      </c>
      <c r="EH30">
        <f ca="1">'JACOBIAN - SWAP USD3ML'!F39</f>
        <v>1.31198871211602E-13</v>
      </c>
      <c r="EI30">
        <f ca="1">'JACOBIAN - SWAP USD3ML'!G39</f>
        <v>5.9486560894175797E-8</v>
      </c>
      <c r="EJ30">
        <f ca="1">'JACOBIAN - SWAP USD3ML'!H39</f>
        <v>5.4167285726373898E-6</v>
      </c>
      <c r="EK30">
        <f ca="1">'JACOBIAN - SWAP USD3ML'!I39</f>
        <v>5.3972112196865701E-6</v>
      </c>
      <c r="EL30">
        <f ca="1">'JACOBIAN - SWAP USD3ML'!J39</f>
        <v>5.3794070102759798E-6</v>
      </c>
      <c r="EM30">
        <f ca="1">'JACOBIAN - SWAP USD3ML'!K39</f>
        <v>5.36230548659963E-6</v>
      </c>
      <c r="EN30">
        <f ca="1">'JACOBIAN - SWAP USD3ML'!L39</f>
        <v>5.3455666345573299E-6</v>
      </c>
      <c r="EO30">
        <f ca="1">'JACOBIAN - SWAP USD3ML'!M39</f>
        <v>5.2961732938342603E-6</v>
      </c>
      <c r="EP30">
        <f ca="1">'JACOBIAN - SWAP USD3ML'!N39</f>
        <v>1.1487925690723001E-5</v>
      </c>
      <c r="EQ30">
        <f ca="1">'JACOBIAN - SWAP USD3ML'!O39</f>
        <v>-4.1108053649965999E-4</v>
      </c>
      <c r="ER30">
        <f ca="1">'JACOBIAN - SWAP USD3ML'!P39</f>
        <v>4.5479801609086201E-4</v>
      </c>
      <c r="ES30">
        <f ca="1">'JACOBIAN - SWAP USD3ML'!Q39</f>
        <v>7.2950558611274002E-6</v>
      </c>
      <c r="ET30">
        <f ca="1">'JACOBIAN - SWAP USD3ML'!R39</f>
        <v>-1.6507180926519201E-6</v>
      </c>
      <c r="EU30">
        <f ca="1">'JACOBIAN - SWAP USD3ML'!S39</f>
        <v>9.48937709278896E-7</v>
      </c>
      <c r="EV30">
        <f ca="1">'JACOBIAN - SWAP USD3ML'!T39</f>
        <v>-2.8032200126426599E-7</v>
      </c>
      <c r="EW30">
        <f ca="1">'JACOBIAN - SWAP USD3ML'!U39</f>
        <v>6.7895649102922601E-8</v>
      </c>
      <c r="EX30">
        <f ca="1">'JACOBIAN - SWAP USD3ML'!V39</f>
        <v>-7.9192748018985792E-9</v>
      </c>
      <c r="EY30">
        <f ca="1">'JACOBIAN - SWAP USD3ML'!W39</f>
        <v>1.39958740083546E-9</v>
      </c>
      <c r="EZ30">
        <f ca="1">'JACOBIAN - SWAP USD3ML'!X39</f>
        <v>-2.7631810034511898E-10</v>
      </c>
      <c r="FA30">
        <f ca="1">'JACOBIAN - SWAP USD3ML'!Y39</f>
        <v>8.9700420702332195E-11</v>
      </c>
      <c r="FB30">
        <f ca="1">'JACOBIAN - SWAP USD3ML'!Z39</f>
        <v>-1.65450275008139E-11</v>
      </c>
      <c r="FH30" s="11" t="str">
        <f ca="1"/>
        <v>USDYC.OIS.3MLIBORSWAP.10Y</v>
      </c>
      <c r="FI30" s="275">
        <f ca="1"/>
        <v>5.4024567361921072E-4</v>
      </c>
      <c r="FJ30" s="11" t="str">
        <f ca="1"/>
        <v>USDYC.STD.3MLIBORSWAP.25Y</v>
      </c>
      <c r="FK30" s="275">
        <f ca="1"/>
        <v>7.6597672887146473E-3</v>
      </c>
      <c r="FL30" s="11" t="e">
        <f ca="1"/>
        <v>#N/A</v>
      </c>
    </row>
    <row r="31" spans="2:168" x14ac:dyDescent="0.25">
      <c r="F31" s="270">
        <f ca="1"/>
        <v>44823</v>
      </c>
      <c r="G31" s="9">
        <f ca="1"/>
        <v>44823</v>
      </c>
      <c r="H31" s="9">
        <f ca="1"/>
        <v>44914</v>
      </c>
      <c r="I31" s="9">
        <f ca="1"/>
        <v>91</v>
      </c>
      <c r="J31" s="252">
        <f ca="1"/>
        <v>0.25277777777777799</v>
      </c>
      <c r="K31" s="269">
        <f ca="1"/>
        <v>44914</v>
      </c>
      <c r="L31" s="254">
        <f ca="1"/>
        <v>1000000</v>
      </c>
      <c r="M31" s="9">
        <f ca="1"/>
        <v>0</v>
      </c>
      <c r="N31" s="9">
        <f ca="1"/>
        <v>1</v>
      </c>
      <c r="O31" s="9">
        <f ca="1"/>
        <v>0</v>
      </c>
      <c r="P31" s="9">
        <f ca="1"/>
        <v>1.55911491905848E-2</v>
      </c>
      <c r="Q31" s="263">
        <f ca="1"/>
        <v>3941.09604539783</v>
      </c>
      <c r="R31" s="9">
        <f ca="1"/>
        <v>0.96030615302125</v>
      </c>
      <c r="S31" s="9">
        <f ca="1"/>
        <v>3784.6587820432501</v>
      </c>
      <c r="T31" s="9" t="str">
        <f ca="1"/>
        <v/>
      </c>
      <c r="U31" s="12" t="str">
        <f ca="1"/>
        <v/>
      </c>
      <c r="V31" s="259">
        <f t="shared" ca="1" si="39"/>
        <v>242744.0553470384</v>
      </c>
      <c r="X31" s="258">
        <f t="shared" ca="1" si="0"/>
        <v>45187</v>
      </c>
      <c r="Y31" s="292">
        <f ca="1">Q34</f>
        <v>3933.15709198389</v>
      </c>
      <c r="AA31" s="257">
        <f t="shared" ca="1" si="35"/>
        <v>45187</v>
      </c>
      <c r="AB31" s="266">
        <f t="shared" ca="1" si="2"/>
        <v>-3.5510821113637881E-4</v>
      </c>
      <c r="AC31" s="266"/>
      <c r="AD31" s="290">
        <f ca="1"/>
        <v>45187</v>
      </c>
      <c r="AE31" s="291">
        <f ca="1"/>
        <v>-3.5510821113637903E-4</v>
      </c>
      <c r="AF31" s="291" t="b">
        <f t="shared" ca="1" si="36"/>
        <v>1</v>
      </c>
      <c r="AH31" s="257">
        <f t="shared" ca="1" si="3"/>
        <v>45187</v>
      </c>
      <c r="AI31" s="260">
        <f t="shared" ca="1" si="40"/>
        <v>239473.51565103879</v>
      </c>
      <c r="AK31" s="290">
        <f ca="1"/>
        <v>45187</v>
      </c>
      <c r="AL31" s="291">
        <f ca="1"/>
        <v>9.927171058553115E-5</v>
      </c>
      <c r="AM31" s="291" t="b">
        <f t="shared" ca="1" si="4"/>
        <v>1</v>
      </c>
      <c r="AO31" s="257">
        <f t="shared" ca="1" si="37"/>
        <v>45187</v>
      </c>
      <c r="AP31" s="266">
        <f t="shared" ca="1" si="38"/>
        <v>9.9271710585530201E-5</v>
      </c>
      <c r="AR31" s="248">
        <f ca="1">'JACOBIAN - OIS USDOIS'!B40</f>
        <v>45187</v>
      </c>
      <c r="AS31">
        <f ca="1">'JACOBIAN - OIS USDOIS'!C40</f>
        <v>-1.0561471172065899E-6</v>
      </c>
      <c r="AT31">
        <f ca="1">'JACOBIAN - OIS USDOIS'!D40</f>
        <v>-2.4873673121206302E-9</v>
      </c>
      <c r="AU31">
        <f ca="1">'JACOBIAN - OIS USDOIS'!E40</f>
        <v>9.9467897252125698E-9</v>
      </c>
      <c r="AV31">
        <f ca="1">'JACOBIAN - OIS USDOIS'!F40</f>
        <v>-2.6201571134976101E-8</v>
      </c>
      <c r="AW31">
        <f ca="1">'JACOBIAN - OIS USDOIS'!G40</f>
        <v>3.37260692706565E-8</v>
      </c>
      <c r="AX31">
        <f ca="1">'JACOBIAN - OIS USDOIS'!H40</f>
        <v>-7.6272576032820893E-8</v>
      </c>
      <c r="AY31">
        <f ca="1">'JACOBIAN - OIS USDOIS'!I40</f>
        <v>2.4434412337903698E-7</v>
      </c>
      <c r="AZ31">
        <f ca="1">'JACOBIAN - OIS USDOIS'!J40</f>
        <v>-9.3219673813482697E-7</v>
      </c>
      <c r="BA31">
        <f ca="1">'JACOBIAN - OIS USDOIS'!K40</f>
        <v>3.5887550791091602E-6</v>
      </c>
      <c r="BB31">
        <f ca="1">'JACOBIAN - OIS USDOIS'!L40</f>
        <v>-5.08461343518007E-6</v>
      </c>
      <c r="BC31">
        <f ca="1">'JACOBIAN - OIS USDOIS'!M40</f>
        <v>1.13735474431831E-5</v>
      </c>
      <c r="BD31">
        <f ca="1">'JACOBIAN - OIS USDOIS'!N40</f>
        <v>8.9817042692175202E-14</v>
      </c>
      <c r="BE31">
        <f ca="1">'JACOBIAN - OIS USDOIS'!O40</f>
        <v>8.9817042692175202E-14</v>
      </c>
      <c r="BF31">
        <f ca="1">'JACOBIAN - OIS USDOIS'!P40</f>
        <v>8.9817042692175202E-14</v>
      </c>
      <c r="BG31">
        <f ca="1">'JACOBIAN - OIS USDOIS'!Q40</f>
        <v>8.9817042692175202E-14</v>
      </c>
      <c r="BH31">
        <f ca="1">'JACOBIAN - OIS USDOIS'!R40</f>
        <v>8.9817042692175202E-14</v>
      </c>
      <c r="BI31" s="161">
        <f ca="1">'JACOBIAN - OIS USDOIS'!S40</f>
        <v>1.4064141654279701E-5</v>
      </c>
      <c r="BJ31" s="161">
        <f ca="1">'JACOBIAN - OIS USDOIS'!T40</f>
        <v>-2.91568055715841E-5</v>
      </c>
      <c r="BK31" s="161">
        <f ca="1">'JACOBIAN - OIS USDOIS'!U40</f>
        <v>9.7074239059025098E-5</v>
      </c>
      <c r="BL31" s="161">
        <f ca="1">'JACOBIAN - OIS USDOIS'!V40</f>
        <v>3.1960806964625998E-4</v>
      </c>
      <c r="BM31" s="161">
        <f ca="1">'JACOBIAN - OIS USDOIS'!W40</f>
        <v>-3.5504239159767102E-5</v>
      </c>
      <c r="BN31" s="161">
        <f ca="1">'JACOBIAN - OIS USDOIS'!X40</f>
        <v>3.5409116946327799E-6</v>
      </c>
      <c r="BO31" s="161">
        <f ca="1">'JACOBIAN - OIS USDOIS'!Y40</f>
        <v>-7.0678685870628797E-7</v>
      </c>
      <c r="BP31" s="161">
        <f ca="1">'JACOBIAN - OIS USDOIS'!Z40</f>
        <v>2.4759712569100098E-7</v>
      </c>
      <c r="BQ31" s="161">
        <f ca="1">'JACOBIAN - OIS USDOIS'!AA40</f>
        <v>-3.5169427592407501E-8</v>
      </c>
      <c r="BR31" s="161">
        <f ca="1">'JACOBIAN - OIS USDOIS'!AB40</f>
        <v>5.2483145607240503E-9</v>
      </c>
      <c r="BS31" s="161">
        <f ca="1">'JACOBIAN - OIS USDOIS'!AC40</f>
        <v>-1.34552602393256E-9</v>
      </c>
      <c r="BT31" s="161">
        <f ca="1">'JACOBIAN - OIS USDOIS'!AD40</f>
        <v>2.28936869461904E-10</v>
      </c>
      <c r="BU31">
        <f ca="1">'JACOBIAN - OIS USDOIS'!AE40</f>
        <v>-1.38095167894203E-5</v>
      </c>
      <c r="BV31">
        <f ca="1">'JACOBIAN - OIS USDOIS'!AF40</f>
        <v>2.8672355158354501E-5</v>
      </c>
      <c r="BW31">
        <f ca="1">'JACOBIAN - OIS USDOIS'!AG40</f>
        <v>-9.5506765698028003E-5</v>
      </c>
      <c r="BX31">
        <f ca="1">'JACOBIAN - OIS USDOIS'!AH40</f>
        <v>-3.14469192990052E-4</v>
      </c>
      <c r="BY31">
        <f ca="1">'JACOBIAN - OIS USDOIS'!AI40</f>
        <v>3.4935349727538402E-5</v>
      </c>
      <c r="BZ31">
        <f ca="1">'JACOBIAN - OIS USDOIS'!AJ40</f>
        <v>-3.4852926170669801E-6</v>
      </c>
      <c r="CA31">
        <f ca="1">'JACOBIAN - OIS USDOIS'!AK40</f>
        <v>6.9571942162838198E-7</v>
      </c>
      <c r="CB31">
        <f ca="1">'JACOBIAN - OIS USDOIS'!AL40</f>
        <v>-2.4383772179170601E-7</v>
      </c>
      <c r="CC31">
        <f ca="1">'JACOBIAN - OIS USDOIS'!AM40</f>
        <v>3.4639257462387698E-8</v>
      </c>
      <c r="CD31">
        <f ca="1">'JACOBIAN - OIS USDOIS'!AN40</f>
        <v>-5.1709555526357998E-9</v>
      </c>
      <c r="CE31">
        <f ca="1">'JACOBIAN - OIS USDOIS'!AO40</f>
        <v>1.3267174026054799E-9</v>
      </c>
      <c r="CF31">
        <f ca="1">'JACOBIAN - OIS USDOIS'!AP40</f>
        <v>-2.2579560443602999E-10</v>
      </c>
      <c r="CK31" s="248">
        <f t="shared" ca="1" si="5"/>
        <v>45187</v>
      </c>
      <c r="CL31">
        <f t="shared" ca="1" si="6"/>
        <v>-1.0561471172065899E-6</v>
      </c>
      <c r="CM31">
        <f t="shared" ca="1" si="7"/>
        <v>-2.4873673121206302E-9</v>
      </c>
      <c r="CN31">
        <f t="shared" ca="1" si="8"/>
        <v>9.9467897252125698E-9</v>
      </c>
      <c r="CO31">
        <f t="shared" ca="1" si="9"/>
        <v>-2.6201571134976101E-8</v>
      </c>
      <c r="CP31">
        <f t="shared" ca="1" si="10"/>
        <v>3.37260692706565E-8</v>
      </c>
      <c r="CQ31">
        <f t="shared" ca="1" si="11"/>
        <v>-7.6272576032820893E-8</v>
      </c>
      <c r="CR31">
        <f t="shared" ca="1" si="12"/>
        <v>2.4434412337903698E-7</v>
      </c>
      <c r="CS31">
        <f t="shared" ca="1" si="13"/>
        <v>-9.3219673813482697E-7</v>
      </c>
      <c r="CT31">
        <f t="shared" ca="1" si="14"/>
        <v>3.5887550791091602E-6</v>
      </c>
      <c r="CU31">
        <f t="shared" ca="1" si="15"/>
        <v>-5.08461343518007E-6</v>
      </c>
      <c r="CV31">
        <f t="shared" ca="1" si="16"/>
        <v>1.13735474431831E-5</v>
      </c>
      <c r="CW31">
        <f t="shared" ca="1" si="17"/>
        <v>8.9817042692175202E-14</v>
      </c>
      <c r="CX31">
        <f t="shared" ca="1" si="18"/>
        <v>8.9817042692175202E-14</v>
      </c>
      <c r="CY31">
        <f t="shared" ca="1" si="19"/>
        <v>8.9817042692175202E-14</v>
      </c>
      <c r="CZ31">
        <f t="shared" ca="1" si="20"/>
        <v>8.9817042692175202E-14</v>
      </c>
      <c r="DA31">
        <f t="shared" ca="1" si="21"/>
        <v>8.9817042692175202E-14</v>
      </c>
      <c r="DB31" s="146">
        <v>0</v>
      </c>
      <c r="DC31" s="146">
        <v>0</v>
      </c>
      <c r="DD31" s="146">
        <v>0</v>
      </c>
      <c r="DE31" s="146">
        <v>0</v>
      </c>
      <c r="DF31" s="146">
        <v>0</v>
      </c>
      <c r="DG31" s="146">
        <v>0</v>
      </c>
      <c r="DH31" s="146">
        <v>0</v>
      </c>
      <c r="DI31" s="146">
        <v>0</v>
      </c>
      <c r="DJ31" s="146">
        <v>0</v>
      </c>
      <c r="DK31" s="146">
        <v>0</v>
      </c>
      <c r="DL31" s="146">
        <v>0</v>
      </c>
      <c r="DM31" s="146">
        <v>0</v>
      </c>
      <c r="DN31">
        <f t="shared" ca="1" si="22"/>
        <v>-1.38095167894203E-5</v>
      </c>
      <c r="DO31">
        <f t="shared" ca="1" si="23"/>
        <v>2.8672355158354501E-5</v>
      </c>
      <c r="DP31">
        <f t="shared" ca="1" si="24"/>
        <v>-9.5506765698028003E-5</v>
      </c>
      <c r="DQ31">
        <f t="shared" ca="1" si="25"/>
        <v>-3.14469192990052E-4</v>
      </c>
      <c r="DR31">
        <f t="shared" ca="1" si="26"/>
        <v>3.4935349727538402E-5</v>
      </c>
      <c r="DS31">
        <f t="shared" ca="1" si="27"/>
        <v>-3.4852926170669801E-6</v>
      </c>
      <c r="DT31">
        <f t="shared" ca="1" si="28"/>
        <v>6.9571942162838198E-7</v>
      </c>
      <c r="DU31">
        <f t="shared" ca="1" si="29"/>
        <v>-2.4383772179170601E-7</v>
      </c>
      <c r="DV31">
        <f t="shared" ca="1" si="30"/>
        <v>3.4639257462387698E-8</v>
      </c>
      <c r="DW31">
        <f t="shared" ca="1" si="31"/>
        <v>-5.1709555526357998E-9</v>
      </c>
      <c r="DX31">
        <f t="shared" ca="1" si="32"/>
        <v>1.3267174026054799E-9</v>
      </c>
      <c r="DY31">
        <f t="shared" ca="1" si="33"/>
        <v>-2.2579560443602999E-10</v>
      </c>
      <c r="EA31" s="278" t="str">
        <f ca="1"/>
        <v>LIBOROIS_20Y</v>
      </c>
      <c r="EB31" s="277">
        <f ca="1"/>
        <v>-1.0865310550429863E-4</v>
      </c>
      <c r="EC31" s="171"/>
      <c r="ED31" s="248">
        <f ca="1">'JACOBIAN - SWAP USD3ML'!B40</f>
        <v>45187</v>
      </c>
      <c r="EE31">
        <f ca="1">'JACOBIAN - SWAP USD3ML'!C40</f>
        <v>6.5090988154992096E-13</v>
      </c>
      <c r="EF31">
        <f ca="1">'JACOBIAN - SWAP USD3ML'!D40</f>
        <v>6.28145306670255E-6</v>
      </c>
      <c r="EG31">
        <f ca="1">'JACOBIAN - SWAP USD3ML'!E40</f>
        <v>1.2268866478315501E-11</v>
      </c>
      <c r="EH31">
        <f ca="1">'JACOBIAN - SWAP USD3ML'!F40</f>
        <v>6.5090988154992096E-13</v>
      </c>
      <c r="EI31">
        <f ca="1">'JACOBIAN - SWAP USD3ML'!G40</f>
        <v>6.8726424991977204E-8</v>
      </c>
      <c r="EJ31">
        <f ca="1">'JACOBIAN - SWAP USD3ML'!H40</f>
        <v>6.2580504681629401E-6</v>
      </c>
      <c r="EK31">
        <f ca="1">'JACOBIAN - SWAP USD3ML'!I40</f>
        <v>6.2355131010272099E-6</v>
      </c>
      <c r="EL31">
        <f ca="1">'JACOBIAN - SWAP USD3ML'!J40</f>
        <v>6.2149433845484803E-6</v>
      </c>
      <c r="EM31">
        <f ca="1">'JACOBIAN - SWAP USD3ML'!K40</f>
        <v>6.1951855215083797E-6</v>
      </c>
      <c r="EN31">
        <f ca="1">'JACOBIAN - SWAP USD3ML'!L40</f>
        <v>6.1758467983577502E-6</v>
      </c>
      <c r="EO31">
        <f ca="1">'JACOBIAN - SWAP USD3ML'!M40</f>
        <v>6.1187817643401601E-6</v>
      </c>
      <c r="EP31">
        <f ca="1">'JACOBIAN - SWAP USD3ML'!N40</f>
        <v>1.3272247977570701E-5</v>
      </c>
      <c r="EQ31">
        <f ca="1">'JACOBIAN - SWAP USD3ML'!O40</f>
        <v>-3.40599973310976E-4</v>
      </c>
      <c r="ER31">
        <f ca="1">'JACOBIAN - SWAP USD3ML'!P40</f>
        <v>2.09322532612684E-4</v>
      </c>
      <c r="ES31">
        <f ca="1">'JACOBIAN - SWAP USD3ML'!Q40</f>
        <v>1.9881534456470801E-4</v>
      </c>
      <c r="ET31">
        <f ca="1">'JACOBIAN - SWAP USD3ML'!R40</f>
        <v>-4.4970132899259399E-5</v>
      </c>
      <c r="EU31">
        <f ca="1">'JACOBIAN - SWAP USD3ML'!S40</f>
        <v>2.58542839708699E-5</v>
      </c>
      <c r="EV31">
        <f ca="1">'JACOBIAN - SWAP USD3ML'!T40</f>
        <v>-7.6373509099343701E-6</v>
      </c>
      <c r="EW31">
        <f ca="1">'JACOBIAN - SWAP USD3ML'!U40</f>
        <v>1.84954627086356E-6</v>
      </c>
      <c r="EX31">
        <f ca="1">'JACOBIAN - SWAP USD3ML'!V40</f>
        <v>-2.1590672283008901E-7</v>
      </c>
      <c r="EY31">
        <f ca="1">'JACOBIAN - SWAP USD3ML'!W40</f>
        <v>3.8251226363444899E-8</v>
      </c>
      <c r="EZ31">
        <f ca="1">'JACOBIAN - SWAP USD3ML'!X40</f>
        <v>-7.5810021975264397E-9</v>
      </c>
      <c r="FA31">
        <f ca="1">'JACOBIAN - SWAP USD3ML'!Y40</f>
        <v>2.4274393502221599E-9</v>
      </c>
      <c r="FB31">
        <f ca="1">'JACOBIAN - SWAP USD3ML'!Z40</f>
        <v>-4.9273200797284003E-10</v>
      </c>
      <c r="FH31" s="11" t="str">
        <f ca="1"/>
        <v>USDYC.OIS.BASISRATE.12Y</v>
      </c>
      <c r="FI31" s="275">
        <f ca="1"/>
        <v>4.1347120713908225E-3</v>
      </c>
      <c r="FJ31" s="11" t="str">
        <f ca="1"/>
        <v>USDYC.STD.3MLIBORSWAP.30Y</v>
      </c>
      <c r="FK31" s="275">
        <f ca="1"/>
        <v>7.5708521762862802E-3</v>
      </c>
      <c r="FL31" s="11" t="e">
        <f ca="1"/>
        <v>#N/A</v>
      </c>
    </row>
    <row r="32" spans="2:168" x14ac:dyDescent="0.25">
      <c r="B32" t="s">
        <v>266</v>
      </c>
      <c r="C32" s="247">
        <f ca="1">C34-C33</f>
        <v>-6.7653675593755906</v>
      </c>
      <c r="F32" s="270">
        <f ca="1"/>
        <v>44914</v>
      </c>
      <c r="G32" s="9">
        <f ca="1"/>
        <v>44914</v>
      </c>
      <c r="H32" s="9">
        <f ca="1"/>
        <v>45002</v>
      </c>
      <c r="I32" s="9">
        <f ca="1"/>
        <v>88</v>
      </c>
      <c r="J32" s="252">
        <f ca="1"/>
        <v>0.24444444444444399</v>
      </c>
      <c r="K32" s="269">
        <f ca="1"/>
        <v>45002</v>
      </c>
      <c r="L32" s="254">
        <f ca="1"/>
        <v>1000000</v>
      </c>
      <c r="M32" s="9">
        <f ca="1"/>
        <v>0</v>
      </c>
      <c r="N32" s="9">
        <f ca="1"/>
        <v>1</v>
      </c>
      <c r="O32" s="9">
        <f ca="1"/>
        <v>0</v>
      </c>
      <c r="P32" s="9">
        <f ca="1"/>
        <v>1.5527114701417001E-2</v>
      </c>
      <c r="Q32" s="263">
        <f ca="1"/>
        <v>3795.51692701304</v>
      </c>
      <c r="R32" s="9">
        <f ca="1"/>
        <v>0.95721325614318697</v>
      </c>
      <c r="S32" s="9">
        <f ca="1"/>
        <v>3633.1191164527299</v>
      </c>
      <c r="T32" s="9" t="str">
        <f ca="1"/>
        <v/>
      </c>
      <c r="U32" s="12" t="str">
        <f ca="1"/>
        <v/>
      </c>
      <c r="V32" s="259">
        <f t="shared" ca="1" si="39"/>
        <v>233985.46261277862</v>
      </c>
      <c r="X32" s="258">
        <f t="shared" ca="1" si="0"/>
        <v>45278</v>
      </c>
      <c r="Y32" s="292">
        <f ca="1">O15+Q35</f>
        <v>-1003.94714021241</v>
      </c>
      <c r="AA32" s="257">
        <f t="shared" ca="1" si="35"/>
        <v>45278</v>
      </c>
      <c r="AB32" s="266">
        <f t="shared" ca="1" si="2"/>
        <v>-3.774375847843679E-4</v>
      </c>
      <c r="AC32" s="266"/>
      <c r="AD32" s="290">
        <f ca="1"/>
        <v>45278</v>
      </c>
      <c r="AE32" s="291">
        <f ca="1"/>
        <v>-3.7743758478436806E-4</v>
      </c>
      <c r="AF32" s="291" t="b">
        <f t="shared" ca="1" si="36"/>
        <v>1</v>
      </c>
      <c r="AH32" s="257">
        <f t="shared" ca="1" si="3"/>
        <v>45278</v>
      </c>
      <c r="AI32" s="260">
        <f t="shared" ref="AI32:AI35" ca="1" si="41">V36</f>
        <v>238643.50973300863</v>
      </c>
      <c r="AK32" s="290">
        <f ca="1"/>
        <v>45278</v>
      </c>
      <c r="AL32" s="291">
        <f ca="1"/>
        <v>9.868502346643479E-5</v>
      </c>
      <c r="AM32" s="291" t="b">
        <f t="shared" ca="1" si="4"/>
        <v>1</v>
      </c>
      <c r="AO32" s="257">
        <f t="shared" ca="1" si="37"/>
        <v>45278</v>
      </c>
      <c r="AP32" s="266">
        <f t="shared" ca="1" si="38"/>
        <v>9.8685023466434655E-5</v>
      </c>
      <c r="AR32" s="248">
        <f ca="1">'JACOBIAN - OIS USDOIS'!B41</f>
        <v>45278</v>
      </c>
      <c r="AS32">
        <f ca="1">'JACOBIAN - OIS USDOIS'!C41</f>
        <v>-1.05251659754391E-6</v>
      </c>
      <c r="AT32">
        <f ca="1">'JACOBIAN - OIS USDOIS'!D41</f>
        <v>5.4677706806671703E-11</v>
      </c>
      <c r="AU32">
        <f ca="1">'JACOBIAN - OIS USDOIS'!E41</f>
        <v>-2.18352891323548E-10</v>
      </c>
      <c r="AV32">
        <f ca="1">'JACOBIAN - OIS USDOIS'!F41</f>
        <v>5.7523730223607603E-10</v>
      </c>
      <c r="AW32">
        <f ca="1">'JACOBIAN - OIS USDOIS'!G41</f>
        <v>-7.40178141001024E-10</v>
      </c>
      <c r="AX32">
        <f ca="1">'JACOBIAN - OIS USDOIS'!H41</f>
        <v>1.6739734043369499E-9</v>
      </c>
      <c r="AY32">
        <f ca="1">'JACOBIAN - OIS USDOIS'!I41</f>
        <v>-1.9462338962661399E-8</v>
      </c>
      <c r="AZ32">
        <f ca="1">'JACOBIAN - OIS USDOIS'!J41</f>
        <v>2.0459170357867201E-8</v>
      </c>
      <c r="BA32">
        <f ca="1">'JACOBIAN - OIS USDOIS'!K41</f>
        <v>-7.8771046019277007E-8</v>
      </c>
      <c r="BB32">
        <f ca="1">'JACOBIAN - OIS USDOIS'!L41</f>
        <v>4.68893460725539E-7</v>
      </c>
      <c r="BC32">
        <f ca="1">'JACOBIAN - OIS USDOIS'!M41</f>
        <v>-2.92124046286091E-7</v>
      </c>
      <c r="BD32">
        <f ca="1">'JACOBIAN - OIS USDOIS'!N41</f>
        <v>6.4170890823333998E-14</v>
      </c>
      <c r="BE32">
        <f ca="1">'JACOBIAN - OIS USDOIS'!O41</f>
        <v>6.4170890823333998E-14</v>
      </c>
      <c r="BF32">
        <f ca="1">'JACOBIAN - OIS USDOIS'!P41</f>
        <v>6.4170890823333998E-14</v>
      </c>
      <c r="BG32">
        <f ca="1">'JACOBIAN - OIS USDOIS'!Q41</f>
        <v>6.4170890823333998E-14</v>
      </c>
      <c r="BH32">
        <f ca="1">'JACOBIAN - OIS USDOIS'!R41</f>
        <v>6.4170890823333998E-14</v>
      </c>
      <c r="BI32" s="161">
        <f ca="1">'JACOBIAN - OIS USDOIS'!S41</f>
        <v>-1.13289215264434E-6</v>
      </c>
      <c r="BJ32" s="161">
        <f ca="1">'JACOBIAN - OIS USDOIS'!T41</f>
        <v>-3.2247245038696799E-6</v>
      </c>
      <c r="BK32" s="161">
        <f ca="1">'JACOBIAN - OIS USDOIS'!U41</f>
        <v>-3.0871928666797999E-6</v>
      </c>
      <c r="BL32" s="161">
        <f ca="1">'JACOBIAN - OIS USDOIS'!V41</f>
        <v>3.9000670337840899E-4</v>
      </c>
      <c r="BM32" s="161">
        <f ca="1">'JACOBIAN - OIS USDOIS'!W41</f>
        <v>1.09358554101213E-7</v>
      </c>
      <c r="BN32" s="161">
        <f ca="1">'JACOBIAN - OIS USDOIS'!X41</f>
        <v>-1.09057889385866E-8</v>
      </c>
      <c r="BO32" s="161">
        <f ca="1">'JACOBIAN - OIS USDOIS'!Y41</f>
        <v>2.1768991054216299E-9</v>
      </c>
      <c r="BP32" s="161">
        <f ca="1">'JACOBIAN - OIS USDOIS'!Z41</f>
        <v>-7.6225492584569596E-10</v>
      </c>
      <c r="BQ32" s="161">
        <f ca="1">'JACOBIAN - OIS USDOIS'!AA41</f>
        <v>1.07985620445561E-10</v>
      </c>
      <c r="BR32" s="161">
        <f ca="1">'JACOBIAN - OIS USDOIS'!AB41</f>
        <v>-1.6239121158889699E-11</v>
      </c>
      <c r="BS32" s="161">
        <f ca="1">'JACOBIAN - OIS USDOIS'!AC41</f>
        <v>4.2652548160049296E-12</v>
      </c>
      <c r="BT32" s="161">
        <f ca="1">'JACOBIAN - OIS USDOIS'!AD41</f>
        <v>-5.6021853822585399E-13</v>
      </c>
      <c r="BU32">
        <f ca="1">'JACOBIAN - OIS USDOIS'!AE41</f>
        <v>1.11208289532705E-6</v>
      </c>
      <c r="BV32">
        <f ca="1">'JACOBIAN - OIS USDOIS'!AF41</f>
        <v>3.1706964098710001E-6</v>
      </c>
      <c r="BW32">
        <f ca="1">'JACOBIAN - OIS USDOIS'!AG41</f>
        <v>3.0374305578506601E-6</v>
      </c>
      <c r="BX32">
        <f ca="1">'JACOBIAN - OIS USDOIS'!AH41</f>
        <v>-3.8370727756620299E-4</v>
      </c>
      <c r="BY32">
        <f ca="1">'JACOBIAN - OIS USDOIS'!AI41</f>
        <v>-1.07589881892522E-7</v>
      </c>
      <c r="BZ32">
        <f ca="1">'JACOBIAN - OIS USDOIS'!AJ41</f>
        <v>1.0734366284737E-8</v>
      </c>
      <c r="CA32">
        <f ca="1">'JACOBIAN - OIS USDOIS'!AK41</f>
        <v>-2.1427551955E-9</v>
      </c>
      <c r="CB32">
        <f ca="1">'JACOBIAN - OIS USDOIS'!AL41</f>
        <v>7.5097095209031295E-10</v>
      </c>
      <c r="CC32">
        <f ca="1">'JACOBIAN - OIS USDOIS'!AM41</f>
        <v>-1.06690323242731E-10</v>
      </c>
      <c r="CD32">
        <f ca="1">'JACOBIAN - OIS USDOIS'!AN41</f>
        <v>1.6075696329664899E-11</v>
      </c>
      <c r="CE32">
        <f ca="1">'JACOBIAN - OIS USDOIS'!AO41</f>
        <v>-4.1077141688106199E-12</v>
      </c>
      <c r="CF32">
        <f ca="1">'JACOBIAN - OIS USDOIS'!AP41</f>
        <v>6.6047167734950603E-13</v>
      </c>
      <c r="CK32" s="248">
        <f t="shared" ca="1" si="5"/>
        <v>45278</v>
      </c>
      <c r="CL32">
        <f t="shared" ca="1" si="6"/>
        <v>-1.05251659754391E-6</v>
      </c>
      <c r="CM32">
        <f t="shared" ca="1" si="7"/>
        <v>5.4677706806671703E-11</v>
      </c>
      <c r="CN32">
        <f t="shared" ca="1" si="8"/>
        <v>-2.18352891323548E-10</v>
      </c>
      <c r="CO32">
        <f t="shared" ca="1" si="9"/>
        <v>5.7523730223607603E-10</v>
      </c>
      <c r="CP32">
        <f t="shared" ca="1" si="10"/>
        <v>-7.40178141001024E-10</v>
      </c>
      <c r="CQ32">
        <f t="shared" ca="1" si="11"/>
        <v>1.6739734043369499E-9</v>
      </c>
      <c r="CR32">
        <f t="shared" ca="1" si="12"/>
        <v>-1.9462338962661399E-8</v>
      </c>
      <c r="CS32">
        <f t="shared" ca="1" si="13"/>
        <v>2.0459170357867201E-8</v>
      </c>
      <c r="CT32">
        <f t="shared" ca="1" si="14"/>
        <v>-7.8771046019277007E-8</v>
      </c>
      <c r="CU32">
        <f t="shared" ca="1" si="15"/>
        <v>4.68893460725539E-7</v>
      </c>
      <c r="CV32">
        <f t="shared" ca="1" si="16"/>
        <v>-2.92124046286091E-7</v>
      </c>
      <c r="CW32">
        <f t="shared" ca="1" si="17"/>
        <v>6.4170890823333998E-14</v>
      </c>
      <c r="CX32">
        <f t="shared" ca="1" si="18"/>
        <v>6.4170890823333998E-14</v>
      </c>
      <c r="CY32">
        <f t="shared" ca="1" si="19"/>
        <v>6.4170890823333998E-14</v>
      </c>
      <c r="CZ32">
        <f t="shared" ca="1" si="20"/>
        <v>6.4170890823333998E-14</v>
      </c>
      <c r="DA32">
        <f t="shared" ca="1" si="21"/>
        <v>6.4170890823333998E-14</v>
      </c>
      <c r="DB32" s="146">
        <v>0</v>
      </c>
      <c r="DC32" s="146">
        <v>0</v>
      </c>
      <c r="DD32" s="146">
        <v>0</v>
      </c>
      <c r="DE32" s="146">
        <v>0</v>
      </c>
      <c r="DF32" s="146">
        <v>0</v>
      </c>
      <c r="DG32" s="146">
        <v>0</v>
      </c>
      <c r="DH32" s="146">
        <v>0</v>
      </c>
      <c r="DI32" s="146">
        <v>0</v>
      </c>
      <c r="DJ32" s="146">
        <v>0</v>
      </c>
      <c r="DK32" s="146">
        <v>0</v>
      </c>
      <c r="DL32" s="146">
        <v>0</v>
      </c>
      <c r="DM32" s="146">
        <v>0</v>
      </c>
      <c r="DN32">
        <f t="shared" ca="1" si="22"/>
        <v>1.11208289532705E-6</v>
      </c>
      <c r="DO32">
        <f t="shared" ca="1" si="23"/>
        <v>3.1706964098710001E-6</v>
      </c>
      <c r="DP32">
        <f t="shared" ca="1" si="24"/>
        <v>3.0374305578506601E-6</v>
      </c>
      <c r="DQ32">
        <f t="shared" ca="1" si="25"/>
        <v>-3.8370727756620299E-4</v>
      </c>
      <c r="DR32">
        <f t="shared" ca="1" si="26"/>
        <v>-1.07589881892522E-7</v>
      </c>
      <c r="DS32">
        <f t="shared" ca="1" si="27"/>
        <v>1.0734366284737E-8</v>
      </c>
      <c r="DT32">
        <f t="shared" ca="1" si="28"/>
        <v>-2.1427551955E-9</v>
      </c>
      <c r="DU32">
        <f t="shared" ca="1" si="29"/>
        <v>7.5097095209031295E-10</v>
      </c>
      <c r="DV32">
        <f t="shared" ca="1" si="30"/>
        <v>-1.06690323242731E-10</v>
      </c>
      <c r="DW32">
        <f t="shared" ca="1" si="31"/>
        <v>1.6075696329664899E-11</v>
      </c>
      <c r="DX32">
        <f t="shared" ca="1" si="32"/>
        <v>-4.1077141688106199E-12</v>
      </c>
      <c r="DY32">
        <f t="shared" ca="1" si="33"/>
        <v>6.6047167734950603E-13</v>
      </c>
      <c r="EA32" s="278" t="str">
        <f ca="1"/>
        <v>LIBOROIS_25Y</v>
      </c>
      <c r="EB32" s="277">
        <f ca="1"/>
        <v>2.7860562482046781E-5</v>
      </c>
      <c r="EC32" s="171"/>
      <c r="ED32" s="248">
        <f ca="1">'JACOBIAN - SWAP USD3ML'!B41</f>
        <v>45278</v>
      </c>
      <c r="EE32">
        <f ca="1">'JACOBIAN - SWAP USD3ML'!C41</f>
        <v>1.29391289349634E-12</v>
      </c>
      <c r="EF32">
        <f ca="1">'JACOBIAN - SWAP USD3ML'!D41</f>
        <v>3.15996812540881E-6</v>
      </c>
      <c r="EG32">
        <f ca="1">'JACOBIAN - SWAP USD3ML'!E41</f>
        <v>2.7388202816780401E-11</v>
      </c>
      <c r="EH32">
        <f ca="1">'JACOBIAN - SWAP USD3ML'!F41</f>
        <v>1.29303165397054E-12</v>
      </c>
      <c r="EI32">
        <f ca="1">'JACOBIAN - SWAP USD3ML'!G41</f>
        <v>3.4574735165160402E-8</v>
      </c>
      <c r="EJ32">
        <f ca="1">'JACOBIAN - SWAP USD3ML'!H41</f>
        <v>3.1481978219963202E-6</v>
      </c>
      <c r="EK32">
        <f ca="1">'JACOBIAN - SWAP USD3ML'!I41</f>
        <v>3.1368798714612199E-6</v>
      </c>
      <c r="EL32">
        <f ca="1">'JACOBIAN - SWAP USD3ML'!J41</f>
        <v>3.1265317236295302E-6</v>
      </c>
      <c r="EM32">
        <f ca="1">'JACOBIAN - SWAP USD3ML'!K41</f>
        <v>3.1165920306060199E-6</v>
      </c>
      <c r="EN32">
        <f ca="1">'JACOBIAN - SWAP USD3ML'!L41</f>
        <v>3.1068634328973401E-6</v>
      </c>
      <c r="EO32">
        <f ca="1">'JACOBIAN - SWAP USD3ML'!M41</f>
        <v>3.0781558559220302E-6</v>
      </c>
      <c r="EP32">
        <f ca="1">'JACOBIAN - SWAP USD3ML'!N41</f>
        <v>6.6768174532098904E-6</v>
      </c>
      <c r="EQ32">
        <f ca="1">'JACOBIAN - SWAP USD3ML'!O41</f>
        <v>-1.6174500270566699E-4</v>
      </c>
      <c r="ER32">
        <f ca="1">'JACOBIAN - SWAP USD3ML'!P41</f>
        <v>-1.5867138463264099E-4</v>
      </c>
      <c r="ES32">
        <f ca="1">'JACOBIAN - SWAP USD3ML'!Q41</f>
        <v>4.4235449478435498E-4</v>
      </c>
      <c r="ET32">
        <f ca="1">'JACOBIAN - SWAP USD3ML'!R41</f>
        <v>-9.2923529986292704E-5</v>
      </c>
      <c r="EU32">
        <f ca="1">'JACOBIAN - SWAP USD3ML'!S41</f>
        <v>5.3424250474928798E-5</v>
      </c>
      <c r="EV32">
        <f ca="1">'JACOBIAN - SWAP USD3ML'!T41</f>
        <v>-1.57814472461527E-5</v>
      </c>
      <c r="EW32">
        <f ca="1">'JACOBIAN - SWAP USD3ML'!U41</f>
        <v>3.8218044641109796E-6</v>
      </c>
      <c r="EX32">
        <f ca="1">'JACOBIAN - SWAP USD3ML'!V41</f>
        <v>-4.46146538612274E-7</v>
      </c>
      <c r="EY32">
        <f ca="1">'JACOBIAN - SWAP USD3ML'!W41</f>
        <v>7.9046393167137006E-8</v>
      </c>
      <c r="EZ32">
        <f ca="1">'JACOBIAN - SWAP USD3ML'!X41</f>
        <v>-1.5667549892878199E-8</v>
      </c>
      <c r="FA32">
        <f ca="1">'JACOBIAN - SWAP USD3ML'!Y41</f>
        <v>5.0150547464822298E-9</v>
      </c>
      <c r="FB32">
        <f ca="1">'JACOBIAN - SWAP USD3ML'!Z41</f>
        <v>-1.02007105887147E-9</v>
      </c>
      <c r="FH32" s="11" t="str">
        <f ca="1"/>
        <v>USDYC.OIS.3MLIBORSWAP.12Y</v>
      </c>
      <c r="FI32" s="275">
        <f ca="1"/>
        <v>1.6080064960988238E-2</v>
      </c>
      <c r="FJ32" s="11" t="str">
        <f ca="1"/>
        <v/>
      </c>
      <c r="FK32" s="275" t="str">
        <f ca="1"/>
        <v/>
      </c>
      <c r="FL32" s="11" t="e">
        <f ca="1"/>
        <v>#N/A</v>
      </c>
    </row>
    <row r="33" spans="2:168" x14ac:dyDescent="0.25">
      <c r="B33" t="s">
        <v>272</v>
      </c>
      <c r="C33" s="262">
        <v>28725.216448060404</v>
      </c>
      <c r="D33" s="276" t="s">
        <v>293</v>
      </c>
      <c r="F33" s="270">
        <f ca="1"/>
        <v>45002</v>
      </c>
      <c r="G33" s="9">
        <f ca="1"/>
        <v>45002</v>
      </c>
      <c r="H33" s="9">
        <f ca="1"/>
        <v>45096</v>
      </c>
      <c r="I33" s="9">
        <f ca="1"/>
        <v>94</v>
      </c>
      <c r="J33" s="252">
        <f ca="1"/>
        <v>0.26111111111111102</v>
      </c>
      <c r="K33" s="269">
        <f ca="1"/>
        <v>45096</v>
      </c>
      <c r="L33" s="254">
        <f ca="1"/>
        <v>1000000</v>
      </c>
      <c r="M33" s="9">
        <f ca="1"/>
        <v>0</v>
      </c>
      <c r="N33" s="9">
        <f ca="1"/>
        <v>1</v>
      </c>
      <c r="O33" s="9">
        <f ca="1"/>
        <v>0</v>
      </c>
      <c r="P33" s="9">
        <f ca="1"/>
        <v>1.55025847339753E-2</v>
      </c>
      <c r="Q33" s="263">
        <f ca="1"/>
        <v>4047.8971249824399</v>
      </c>
      <c r="R33" s="9">
        <f ca="1"/>
        <v>0.95388339090093299</v>
      </c>
      <c r="S33" s="9">
        <f ca="1"/>
        <v>3861.2218355963801</v>
      </c>
      <c r="T33" s="9" t="str">
        <f ca="1"/>
        <v/>
      </c>
      <c r="U33" s="12" t="str">
        <f ca="1"/>
        <v/>
      </c>
      <c r="V33" s="259">
        <f t="shared" ca="1" si="39"/>
        <v>249069.55206857686</v>
      </c>
      <c r="X33" s="258">
        <f t="shared" ca="1" si="0"/>
        <v>45369</v>
      </c>
      <c r="Y33" s="292">
        <f ca="1">Q36</f>
        <v>4020.0664601519602</v>
      </c>
      <c r="AA33" s="257">
        <f t="shared" ca="1" si="35"/>
        <v>45369</v>
      </c>
      <c r="AB33" s="266">
        <f t="shared" ca="1" si="2"/>
        <v>-3.9954840796674307E-4</v>
      </c>
      <c r="AC33" s="266"/>
      <c r="AD33" s="290">
        <f ca="1"/>
        <v>45369</v>
      </c>
      <c r="AE33" s="291">
        <f ca="1"/>
        <v>-3.9954840796674329E-4</v>
      </c>
      <c r="AF33" s="291" t="b">
        <f t="shared" ca="1" si="36"/>
        <v>1</v>
      </c>
      <c r="AH33" s="257">
        <f t="shared" ca="1" si="3"/>
        <v>45369</v>
      </c>
      <c r="AI33" s="260">
        <f t="shared" ca="1" si="41"/>
        <v>237809.14787646575</v>
      </c>
      <c r="AK33" s="290">
        <f ca="1"/>
        <v>45369</v>
      </c>
      <c r="AL33" s="291">
        <f ca="1"/>
        <v>9.8202132592654175E-5</v>
      </c>
      <c r="AM33" s="291" t="b">
        <f t="shared" ca="1" si="4"/>
        <v>1</v>
      </c>
      <c r="AO33" s="257">
        <f t="shared" ca="1" si="37"/>
        <v>45369</v>
      </c>
      <c r="AP33" s="266">
        <f t="shared" ca="1" si="38"/>
        <v>9.8202132592653524E-5</v>
      </c>
      <c r="AR33" s="248">
        <f ca="1">'JACOBIAN - OIS USDOIS'!B42</f>
        <v>45369</v>
      </c>
      <c r="AS33">
        <f ca="1">'JACOBIAN - OIS USDOIS'!C42</f>
        <v>-1.0488686158494099E-6</v>
      </c>
      <c r="AT33">
        <f ca="1">'JACOBIAN - OIS USDOIS'!D42</f>
        <v>1.49900991619489E-9</v>
      </c>
      <c r="AU33">
        <f ca="1">'JACOBIAN - OIS USDOIS'!E42</f>
        <v>-5.9940060692653699E-9</v>
      </c>
      <c r="AV33">
        <f ca="1">'JACOBIAN - OIS USDOIS'!F42</f>
        <v>1.5789286100798001E-8</v>
      </c>
      <c r="AW33">
        <f ca="1">'JACOBIAN - OIS USDOIS'!G42</f>
        <v>-2.03232917161955E-8</v>
      </c>
      <c r="AX33">
        <f ca="1">'JACOBIAN - OIS USDOIS'!H42</f>
        <v>4.5961701999885898E-8</v>
      </c>
      <c r="AY33">
        <f ca="1">'JACOBIAN - OIS USDOIS'!I42</f>
        <v>-1.6932476920583599E-7</v>
      </c>
      <c r="AZ33">
        <f ca="1">'JACOBIAN - OIS USDOIS'!J42</f>
        <v>5.6174066320746597E-7</v>
      </c>
      <c r="BA33">
        <f ca="1">'JACOBIAN - OIS USDOIS'!K42</f>
        <v>-2.1625837708372201E-6</v>
      </c>
      <c r="BB33">
        <f ca="1">'JACOBIAN - OIS USDOIS'!L42</f>
        <v>3.6241061649455701E-6</v>
      </c>
      <c r="BC33">
        <f ca="1">'JACOBIAN - OIS USDOIS'!M42</f>
        <v>-6.9201916732541904E-6</v>
      </c>
      <c r="BD33">
        <f ca="1">'JACOBIAN - OIS USDOIS'!N42</f>
        <v>2.1094237467878E-14</v>
      </c>
      <c r="BE33">
        <f ca="1">'JACOBIAN - OIS USDOIS'!O42</f>
        <v>2.1094237467878E-14</v>
      </c>
      <c r="BF33">
        <f ca="1">'JACOBIAN - OIS USDOIS'!P42</f>
        <v>2.1094237467878E-14</v>
      </c>
      <c r="BG33">
        <f ca="1">'JACOBIAN - OIS USDOIS'!Q42</f>
        <v>2.1094237467878E-14</v>
      </c>
      <c r="BH33">
        <f ca="1">'JACOBIAN - OIS USDOIS'!R42</f>
        <v>2.1094237467878E-14</v>
      </c>
      <c r="BI33" s="161">
        <f ca="1">'JACOBIAN - OIS USDOIS'!S42</f>
        <v>-9.7670336816069198E-6</v>
      </c>
      <c r="BJ33" s="161">
        <f ca="1">'JACOBIAN - OIS USDOIS'!T42</f>
        <v>1.1511346059145401E-5</v>
      </c>
      <c r="BK33" s="161">
        <f ca="1">'JACOBIAN - OIS USDOIS'!U42</f>
        <v>-5.6700768868767098E-5</v>
      </c>
      <c r="BL33" s="161">
        <f ca="1">'JACOBIAN - OIS USDOIS'!V42</f>
        <v>3.7291558012841902E-4</v>
      </c>
      <c r="BM33" s="161">
        <f ca="1">'JACOBIAN - OIS USDOIS'!W42</f>
        <v>8.90593050522082E-5</v>
      </c>
      <c r="BN33" s="161">
        <f ca="1">'JACOBIAN - OIS USDOIS'!X42</f>
        <v>-8.2370401912612596E-6</v>
      </c>
      <c r="BO33" s="161">
        <f ca="1">'JACOBIAN - OIS USDOIS'!Y42</f>
        <v>1.6441741902406499E-6</v>
      </c>
      <c r="BP33" s="161">
        <f ca="1">'JACOBIAN - OIS USDOIS'!Z42</f>
        <v>-5.7597477631787797E-7</v>
      </c>
      <c r="BQ33" s="161">
        <f ca="1">'JACOBIAN - OIS USDOIS'!AA42</f>
        <v>8.1812270846803896E-8</v>
      </c>
      <c r="BR33" s="161">
        <f ca="1">'JACOBIAN - OIS USDOIS'!AB42</f>
        <v>-1.2209157573828101E-8</v>
      </c>
      <c r="BS33" s="161">
        <f ca="1">'JACOBIAN - OIS USDOIS'!AC42</f>
        <v>3.13049763889239E-9</v>
      </c>
      <c r="BT33" s="161">
        <f ca="1">'JACOBIAN - OIS USDOIS'!AD42</f>
        <v>-5.32151323007213E-10</v>
      </c>
      <c r="BU33">
        <f ca="1">'JACOBIAN - OIS USDOIS'!AE42</f>
        <v>9.5899486386441507E-6</v>
      </c>
      <c r="BV33">
        <f ca="1">'JACOBIAN - OIS USDOIS'!AF42</f>
        <v>-1.1320168758155399E-5</v>
      </c>
      <c r="BW33">
        <f ca="1">'JACOBIAN - OIS USDOIS'!AG42</f>
        <v>5.5793833325212802E-5</v>
      </c>
      <c r="BX33">
        <f ca="1">'JACOBIAN - OIS USDOIS'!AH42</f>
        <v>-3.6689846507131902E-4</v>
      </c>
      <c r="BY33">
        <f ca="1">'JACOBIAN - OIS USDOIS'!AI42</f>
        <v>-8.7620817957989594E-5</v>
      </c>
      <c r="BZ33">
        <f ca="1">'JACOBIAN - OIS USDOIS'!AJ42</f>
        <v>8.1077559945796907E-6</v>
      </c>
      <c r="CA33">
        <f ca="1">'JACOBIAN - OIS USDOIS'!AK42</f>
        <v>-1.6184241605765601E-6</v>
      </c>
      <c r="CB33">
        <f ca="1">'JACOBIAN - OIS USDOIS'!AL42</f>
        <v>5.6723086760968002E-7</v>
      </c>
      <c r="CC33">
        <f ca="1">'JACOBIAN - OIS USDOIS'!AM42</f>
        <v>-8.0579993233520497E-8</v>
      </c>
      <c r="CD33">
        <f ca="1">'JACOBIAN - OIS USDOIS'!AN42</f>
        <v>1.2029529816715001E-8</v>
      </c>
      <c r="CE33">
        <f ca="1">'JACOBIAN - OIS USDOIS'!AO42</f>
        <v>-3.08638614665568E-9</v>
      </c>
      <c r="CF33">
        <f ca="1">'JACOBIAN - OIS USDOIS'!AP42</f>
        <v>5.2520010562773202E-10</v>
      </c>
      <c r="CK33" s="248">
        <f t="shared" ca="1" si="5"/>
        <v>45369</v>
      </c>
      <c r="CL33">
        <f t="shared" ca="1" si="6"/>
        <v>-1.0488686158494099E-6</v>
      </c>
      <c r="CM33">
        <f t="shared" ca="1" si="7"/>
        <v>1.49900991619489E-9</v>
      </c>
      <c r="CN33">
        <f t="shared" ca="1" si="8"/>
        <v>-5.9940060692653699E-9</v>
      </c>
      <c r="CO33">
        <f t="shared" ca="1" si="9"/>
        <v>1.5789286100798001E-8</v>
      </c>
      <c r="CP33">
        <f t="shared" ca="1" si="10"/>
        <v>-2.03232917161955E-8</v>
      </c>
      <c r="CQ33">
        <f t="shared" ca="1" si="11"/>
        <v>4.5961701999885898E-8</v>
      </c>
      <c r="CR33">
        <f t="shared" ca="1" si="12"/>
        <v>-1.6932476920583599E-7</v>
      </c>
      <c r="CS33">
        <f t="shared" ca="1" si="13"/>
        <v>5.6174066320746597E-7</v>
      </c>
      <c r="CT33">
        <f t="shared" ca="1" si="14"/>
        <v>-2.1625837708372201E-6</v>
      </c>
      <c r="CU33">
        <f t="shared" ca="1" si="15"/>
        <v>3.6241061649455701E-6</v>
      </c>
      <c r="CV33">
        <f t="shared" ca="1" si="16"/>
        <v>-6.9201916732541904E-6</v>
      </c>
      <c r="CW33">
        <f t="shared" ca="1" si="17"/>
        <v>2.1094237467878E-14</v>
      </c>
      <c r="CX33">
        <f t="shared" ca="1" si="18"/>
        <v>2.1094237467878E-14</v>
      </c>
      <c r="CY33">
        <f t="shared" ca="1" si="19"/>
        <v>2.1094237467878E-14</v>
      </c>
      <c r="CZ33">
        <f t="shared" ca="1" si="20"/>
        <v>2.1094237467878E-14</v>
      </c>
      <c r="DA33">
        <f t="shared" ca="1" si="21"/>
        <v>2.1094237467878E-14</v>
      </c>
      <c r="DB33" s="146">
        <v>0</v>
      </c>
      <c r="DC33" s="146">
        <v>0</v>
      </c>
      <c r="DD33" s="146">
        <v>0</v>
      </c>
      <c r="DE33" s="146">
        <v>0</v>
      </c>
      <c r="DF33" s="146">
        <v>0</v>
      </c>
      <c r="DG33" s="146">
        <v>0</v>
      </c>
      <c r="DH33" s="146">
        <v>0</v>
      </c>
      <c r="DI33" s="146">
        <v>0</v>
      </c>
      <c r="DJ33" s="146">
        <v>0</v>
      </c>
      <c r="DK33" s="146">
        <v>0</v>
      </c>
      <c r="DL33" s="146">
        <v>0</v>
      </c>
      <c r="DM33" s="146">
        <v>0</v>
      </c>
      <c r="DN33">
        <f t="shared" ca="1" si="22"/>
        <v>9.5899486386441507E-6</v>
      </c>
      <c r="DO33">
        <f t="shared" ca="1" si="23"/>
        <v>-1.1320168758155399E-5</v>
      </c>
      <c r="DP33">
        <f t="shared" ca="1" si="24"/>
        <v>5.5793833325212802E-5</v>
      </c>
      <c r="DQ33">
        <f t="shared" ca="1" si="25"/>
        <v>-3.6689846507131902E-4</v>
      </c>
      <c r="DR33">
        <f t="shared" ca="1" si="26"/>
        <v>-8.7620817957989594E-5</v>
      </c>
      <c r="DS33">
        <f t="shared" ca="1" si="27"/>
        <v>8.1077559945796907E-6</v>
      </c>
      <c r="DT33">
        <f t="shared" ca="1" si="28"/>
        <v>-1.6184241605765601E-6</v>
      </c>
      <c r="DU33">
        <f t="shared" ca="1" si="29"/>
        <v>5.6723086760968002E-7</v>
      </c>
      <c r="DV33">
        <f t="shared" ca="1" si="30"/>
        <v>-8.0579993233520497E-8</v>
      </c>
      <c r="DW33">
        <f t="shared" ca="1" si="31"/>
        <v>1.2029529816715001E-8</v>
      </c>
      <c r="DX33">
        <f t="shared" ca="1" si="32"/>
        <v>-3.08638614665568E-9</v>
      </c>
      <c r="DY33">
        <f t="shared" ca="1" si="33"/>
        <v>5.2520010562773202E-10</v>
      </c>
      <c r="EA33" s="278" t="str">
        <f ca="1"/>
        <v>LIBOROIS_30Y</v>
      </c>
      <c r="EB33" s="277">
        <f ca="1"/>
        <v>-4.7351928965942508E-6</v>
      </c>
      <c r="EC33" s="171" t="s">
        <v>268</v>
      </c>
      <c r="ED33" s="248">
        <f ca="1">'JACOBIAN - SWAP USD3ML'!B42</f>
        <v>45369</v>
      </c>
      <c r="EE33">
        <f ca="1">'JACOBIAN - SWAP USD3ML'!C42</f>
        <v>1.7142814945359E-12</v>
      </c>
      <c r="EF33">
        <f ca="1">'JACOBIAN - SWAP USD3ML'!D42</f>
        <v>2.1860403313575501E-7</v>
      </c>
      <c r="EG33">
        <f ca="1">'JACOBIAN - SWAP USD3ML'!E42</f>
        <v>3.7197200181138302E-11</v>
      </c>
      <c r="EH33">
        <f ca="1">'JACOBIAN - SWAP USD3ML'!F42</f>
        <v>1.7125433016129701E-12</v>
      </c>
      <c r="EI33">
        <f ca="1">'JACOBIAN - SWAP USD3ML'!G42</f>
        <v>2.39351060499216E-9</v>
      </c>
      <c r="EJ33">
        <f ca="1">'JACOBIAN - SWAP USD3ML'!H42</f>
        <v>2.17794227000412E-7</v>
      </c>
      <c r="EK33">
        <f ca="1">'JACOBIAN - SWAP USD3ML'!I42</f>
        <v>2.17044117459958E-7</v>
      </c>
      <c r="EL33">
        <f ca="1">'JACOBIAN - SWAP USD3ML'!J42</f>
        <v>2.1632776961086299E-7</v>
      </c>
      <c r="EM33">
        <f ca="1">'JACOBIAN - SWAP USD3ML'!K42</f>
        <v>2.15639750403285E-7</v>
      </c>
      <c r="EN33">
        <f ca="1">'JACOBIAN - SWAP USD3ML'!L42</f>
        <v>2.1496673137042E-7</v>
      </c>
      <c r="EO33">
        <f ca="1">'JACOBIAN - SWAP USD3ML'!M42</f>
        <v>2.1298032902572499E-7</v>
      </c>
      <c r="EP33">
        <f ca="1">'JACOBIAN - SWAP USD3ML'!N42</f>
        <v>4.6196284536961801E-7</v>
      </c>
      <c r="EQ33">
        <f ca="1">'JACOBIAN - SWAP USD3ML'!O42</f>
        <v>-1.1192577390992799E-5</v>
      </c>
      <c r="ER33">
        <f ca="1">'JACOBIAN - SWAP USD3ML'!P42</f>
        <v>-4.2853815770743002E-4</v>
      </c>
      <c r="ES33">
        <f ca="1">'JACOBIAN - SWAP USD3ML'!Q42</f>
        <v>5.8123391370944503E-4</v>
      </c>
      <c r="ET33">
        <f ca="1">'JACOBIAN - SWAP USD3ML'!R42</f>
        <v>-8.1165266480005799E-5</v>
      </c>
      <c r="EU33">
        <f ca="1">'JACOBIAN - SWAP USD3ML'!S42</f>
        <v>4.66635544804639E-5</v>
      </c>
      <c r="EV33">
        <f ca="1">'JACOBIAN - SWAP USD3ML'!T42</f>
        <v>-1.3784424885011899E-5</v>
      </c>
      <c r="EW33">
        <f ca="1">'JACOBIAN - SWAP USD3ML'!U42</f>
        <v>3.3381799559376001E-6</v>
      </c>
      <c r="EX33">
        <f ca="1">'JACOBIAN - SWAP USD3ML'!V42</f>
        <v>-3.8969253997669902E-7</v>
      </c>
      <c r="EY33">
        <f ca="1">'JACOBIAN - SWAP USD3ML'!W42</f>
        <v>6.9046782204956694E-8</v>
      </c>
      <c r="EZ33">
        <f ca="1">'JACOBIAN - SWAP USD3ML'!X42</f>
        <v>-1.36858654860295E-8</v>
      </c>
      <c r="FA33">
        <f ca="1">'JACOBIAN - SWAP USD3ML'!Y42</f>
        <v>4.3799146913492404E-9</v>
      </c>
      <c r="FB33">
        <f ca="1">'JACOBIAN - SWAP USD3ML'!Z42</f>
        <v>-8.9131919206453196E-10</v>
      </c>
      <c r="FH33" s="11" t="str">
        <f ca="1"/>
        <v>USDYC.OIS.BASISRATE.15Y</v>
      </c>
      <c r="FI33" s="275">
        <f ca="1"/>
        <v>2.2090505808591843E-3</v>
      </c>
      <c r="FJ33" s="11" t="str">
        <f ca="1"/>
        <v/>
      </c>
      <c r="FK33" s="275" t="str">
        <f ca="1"/>
        <v/>
      </c>
      <c r="FL33" s="11" t="e">
        <f ca="1"/>
        <v>#N/A</v>
      </c>
    </row>
    <row r="34" spans="2:168" x14ac:dyDescent="0.25">
      <c r="B34" t="s">
        <v>273</v>
      </c>
      <c r="C34" s="262">
        <v>28718.451080501029</v>
      </c>
      <c r="D34" s="276" t="s">
        <v>293</v>
      </c>
      <c r="F34" s="270">
        <f ca="1"/>
        <v>45096</v>
      </c>
      <c r="G34" s="9">
        <f ca="1"/>
        <v>45096</v>
      </c>
      <c r="H34" s="9">
        <f ca="1"/>
        <v>45187</v>
      </c>
      <c r="I34" s="9">
        <f ca="1"/>
        <v>91</v>
      </c>
      <c r="J34" s="252">
        <f ca="1"/>
        <v>0.25277777777777799</v>
      </c>
      <c r="K34" s="269">
        <f ca="1"/>
        <v>45187</v>
      </c>
      <c r="L34" s="254">
        <f ca="1"/>
        <v>1000000</v>
      </c>
      <c r="M34" s="9">
        <f ca="1"/>
        <v>0</v>
      </c>
      <c r="N34" s="9">
        <f ca="1"/>
        <v>1</v>
      </c>
      <c r="O34" s="9">
        <f ca="1"/>
        <v>0</v>
      </c>
      <c r="P34" s="9">
        <f ca="1"/>
        <v>1.55597423419143E-2</v>
      </c>
      <c r="Q34" s="263">
        <f ca="1"/>
        <v>3933.15709198389</v>
      </c>
      <c r="R34" s="9">
        <f ca="1"/>
        <v>0.95063557646737396</v>
      </c>
      <c r="S34" s="9">
        <f ca="1"/>
        <v>3738.9990594748401</v>
      </c>
      <c r="T34" s="9" t="str">
        <f ca="1"/>
        <v/>
      </c>
      <c r="U34" s="12" t="str">
        <f ca="1"/>
        <v/>
      </c>
      <c r="V34" s="259">
        <f t="shared" ca="1" si="39"/>
        <v>240299.54849591973</v>
      </c>
      <c r="X34" s="258">
        <f t="shared" ca="1" si="0"/>
        <v>45460</v>
      </c>
      <c r="Y34" s="292">
        <f ca="1">O16+Q37</f>
        <v>-901.48332943721971</v>
      </c>
      <c r="AA34" s="257">
        <f t="shared" ca="1" si="35"/>
        <v>45460</v>
      </c>
      <c r="AB34" s="266">
        <f t="shared" ca="1" si="2"/>
        <v>-4.2142765722374986E-4</v>
      </c>
      <c r="AC34" s="266"/>
      <c r="AD34" s="290">
        <f ca="1"/>
        <v>45460</v>
      </c>
      <c r="AE34" s="291">
        <f ca="1"/>
        <v>-4.2142765722374964E-4</v>
      </c>
      <c r="AF34" s="291" t="b">
        <f t="shared" ca="1" si="36"/>
        <v>1</v>
      </c>
      <c r="AH34" s="257">
        <f t="shared" ca="1" si="3"/>
        <v>45460</v>
      </c>
      <c r="AI34" s="260">
        <f t="shared" ca="1" si="41"/>
        <v>239564.30229126001</v>
      </c>
      <c r="AK34" s="290">
        <f ca="1"/>
        <v>45460</v>
      </c>
      <c r="AL34" s="291">
        <f ca="1"/>
        <v>9.7943067398149203E-5</v>
      </c>
      <c r="AM34" s="291" t="b">
        <f t="shared" ca="1" si="4"/>
        <v>1</v>
      </c>
      <c r="AO34" s="257">
        <f t="shared" ca="1" si="37"/>
        <v>45460</v>
      </c>
      <c r="AP34" s="266">
        <f t="shared" ca="1" si="38"/>
        <v>9.7943067398148607E-5</v>
      </c>
      <c r="AR34" s="248">
        <f ca="1">'JACOBIAN - OIS USDOIS'!B43</f>
        <v>45460</v>
      </c>
      <c r="AS34">
        <f ca="1">'JACOBIAN - OIS USDOIS'!C43</f>
        <v>-1.0452014892470299E-6</v>
      </c>
      <c r="AT34">
        <f ca="1">'JACOBIAN - OIS USDOIS'!D43</f>
        <v>1.6961835269668799E-9</v>
      </c>
      <c r="AU34">
        <f ca="1">'JACOBIAN - OIS USDOIS'!E43</f>
        <v>-6.7825607352745002E-9</v>
      </c>
      <c r="AV34">
        <f ca="1">'JACOBIAN - OIS USDOIS'!F43</f>
        <v>1.7866371160302201E-8</v>
      </c>
      <c r="AW34">
        <f ca="1">'JACOBIAN - OIS USDOIS'!G43</f>
        <v>-2.29969943088548E-8</v>
      </c>
      <c r="AX34">
        <f ca="1">'JACOBIAN - OIS USDOIS'!H43</f>
        <v>5.2008137574333098E-8</v>
      </c>
      <c r="AY34">
        <f ca="1">'JACOBIAN - OIS USDOIS'!I43</f>
        <v>-1.8972687720886201E-7</v>
      </c>
      <c r="AZ34">
        <f ca="1">'JACOBIAN - OIS USDOIS'!J43</f>
        <v>6.3564037378061002E-7</v>
      </c>
      <c r="BA34">
        <f ca="1">'JACOBIAN - OIS USDOIS'!K43</f>
        <v>-2.4470807917786898E-6</v>
      </c>
      <c r="BB34">
        <f ca="1">'JACOBIAN - OIS USDOIS'!L43</f>
        <v>4.0544915470563902E-6</v>
      </c>
      <c r="BC34">
        <f ca="1">'JACOBIAN - OIS USDOIS'!M43</f>
        <v>-7.8249248648409892E-6</v>
      </c>
      <c r="BD34">
        <f ca="1">'JACOBIAN - OIS USDOIS'!N43</f>
        <v>-3.3750779948604803E-14</v>
      </c>
      <c r="BE34">
        <f ca="1">'JACOBIAN - OIS USDOIS'!O43</f>
        <v>-3.3750779948604803E-14</v>
      </c>
      <c r="BF34">
        <f ca="1">'JACOBIAN - OIS USDOIS'!P43</f>
        <v>-3.3750779948604803E-14</v>
      </c>
      <c r="BG34">
        <f ca="1">'JACOBIAN - OIS USDOIS'!Q43</f>
        <v>-3.3750779948604803E-14</v>
      </c>
      <c r="BH34">
        <f ca="1">'JACOBIAN - OIS USDOIS'!R43</f>
        <v>-3.3750779948604803E-14</v>
      </c>
      <c r="BI34" s="161">
        <f ca="1">'JACOBIAN - OIS USDOIS'!S43</f>
        <v>-1.0945021773234301E-5</v>
      </c>
      <c r="BJ34" s="161">
        <f ca="1">'JACOBIAN - OIS USDOIS'!T43</f>
        <v>1.3526296491539499E-5</v>
      </c>
      <c r="BK34" s="161">
        <f ca="1">'JACOBIAN - OIS USDOIS'!U43</f>
        <v>-6.4015987874532803E-5</v>
      </c>
      <c r="BL34" s="161">
        <f ca="1">'JACOBIAN - OIS USDOIS'!V43</f>
        <v>2.78988729603746E-4</v>
      </c>
      <c r="BM34" s="161">
        <f ca="1">'JACOBIAN - OIS USDOIS'!W43</f>
        <v>2.17944405623394E-4</v>
      </c>
      <c r="BN34" s="161">
        <f ca="1">'JACOBIAN - OIS USDOIS'!X43</f>
        <v>-1.6294822939633098E-5</v>
      </c>
      <c r="BO34" s="161">
        <f ca="1">'JACOBIAN - OIS USDOIS'!Y43</f>
        <v>3.25258399047623E-6</v>
      </c>
      <c r="BP34" s="161">
        <f ca="1">'JACOBIAN - OIS USDOIS'!Z43</f>
        <v>-1.13941990553812E-6</v>
      </c>
      <c r="BQ34" s="161">
        <f ca="1">'JACOBIAN - OIS USDOIS'!AA43</f>
        <v>1.6184513496053699E-7</v>
      </c>
      <c r="BR34" s="161">
        <f ca="1">'JACOBIAN - OIS USDOIS'!AB43</f>
        <v>-2.41526503241829E-8</v>
      </c>
      <c r="BS34" s="161">
        <f ca="1">'JACOBIAN - OIS USDOIS'!AC43</f>
        <v>6.1927754035906396E-9</v>
      </c>
      <c r="BT34" s="161">
        <f ca="1">'JACOBIAN - OIS USDOIS'!AD43</f>
        <v>-1.0528941052356799E-9</v>
      </c>
      <c r="BU34">
        <f ca="1">'JACOBIAN - OIS USDOIS'!AE43</f>
        <v>1.07466279144486E-5</v>
      </c>
      <c r="BV34">
        <f ca="1">'JACOBIAN - OIS USDOIS'!AF43</f>
        <v>-1.3301555175870799E-5</v>
      </c>
      <c r="BW34">
        <f ca="1">'JACOBIAN - OIS USDOIS'!AG43</f>
        <v>6.2992570630804296E-5</v>
      </c>
      <c r="BX34">
        <f ca="1">'JACOBIAN - OIS USDOIS'!AH43</f>
        <v>-2.7451428754754497E-4</v>
      </c>
      <c r="BY34">
        <f ca="1">'JACOBIAN - OIS USDOIS'!AI43</f>
        <v>-2.14395014439095E-4</v>
      </c>
      <c r="BZ34">
        <f ca="1">'JACOBIAN - OIS USDOIS'!AJ43</f>
        <v>1.6039204937423599E-5</v>
      </c>
      <c r="CA34">
        <f ca="1">'JACOBIAN - OIS USDOIS'!AK43</f>
        <v>-3.2016386457556202E-6</v>
      </c>
      <c r="CB34">
        <f ca="1">'JACOBIAN - OIS USDOIS'!AL43</f>
        <v>1.1221226623447899E-6</v>
      </c>
      <c r="CC34">
        <f ca="1">'JACOBIAN - OIS USDOIS'!AM43</f>
        <v>-1.59407059219241E-7</v>
      </c>
      <c r="CD34">
        <f ca="1">'JACOBIAN - OIS USDOIS'!AN43</f>
        <v>2.3797235848554999E-8</v>
      </c>
      <c r="CE34">
        <f ca="1">'JACOBIAN - OIS USDOIS'!AO43</f>
        <v>-6.1056142364179802E-9</v>
      </c>
      <c r="CF34">
        <f ca="1">'JACOBIAN - OIS USDOIS'!AP43</f>
        <v>1.0390108773350401E-9</v>
      </c>
      <c r="CK34" s="248">
        <f t="shared" ca="1" si="5"/>
        <v>45460</v>
      </c>
      <c r="CL34">
        <f t="shared" ca="1" si="6"/>
        <v>-1.0452014892470299E-6</v>
      </c>
      <c r="CM34">
        <f t="shared" ca="1" si="7"/>
        <v>1.6961835269668799E-9</v>
      </c>
      <c r="CN34">
        <f t="shared" ca="1" si="8"/>
        <v>-6.7825607352745002E-9</v>
      </c>
      <c r="CO34">
        <f t="shared" ca="1" si="9"/>
        <v>1.7866371160302201E-8</v>
      </c>
      <c r="CP34">
        <f t="shared" ca="1" si="10"/>
        <v>-2.29969943088548E-8</v>
      </c>
      <c r="CQ34">
        <f t="shared" ca="1" si="11"/>
        <v>5.2008137574333098E-8</v>
      </c>
      <c r="CR34">
        <f t="shared" ca="1" si="12"/>
        <v>-1.8972687720886201E-7</v>
      </c>
      <c r="CS34">
        <f t="shared" ca="1" si="13"/>
        <v>6.3564037378061002E-7</v>
      </c>
      <c r="CT34">
        <f t="shared" ca="1" si="14"/>
        <v>-2.4470807917786898E-6</v>
      </c>
      <c r="CU34">
        <f t="shared" ca="1" si="15"/>
        <v>4.0544915470563902E-6</v>
      </c>
      <c r="CV34">
        <f t="shared" ca="1" si="16"/>
        <v>-7.8249248648409892E-6</v>
      </c>
      <c r="CW34">
        <f t="shared" ca="1" si="17"/>
        <v>-3.3750779948604803E-14</v>
      </c>
      <c r="CX34">
        <f t="shared" ca="1" si="18"/>
        <v>-3.3750779948604803E-14</v>
      </c>
      <c r="CY34">
        <f t="shared" ca="1" si="19"/>
        <v>-3.3750779948604803E-14</v>
      </c>
      <c r="CZ34">
        <f t="shared" ca="1" si="20"/>
        <v>-3.3750779948604803E-14</v>
      </c>
      <c r="DA34">
        <f t="shared" ca="1" si="21"/>
        <v>-3.3750779948604803E-14</v>
      </c>
      <c r="DB34" s="146">
        <v>0</v>
      </c>
      <c r="DC34" s="146">
        <v>0</v>
      </c>
      <c r="DD34" s="146">
        <v>0</v>
      </c>
      <c r="DE34" s="146">
        <v>0</v>
      </c>
      <c r="DF34" s="146">
        <v>0</v>
      </c>
      <c r="DG34" s="146">
        <v>0</v>
      </c>
      <c r="DH34" s="146">
        <v>0</v>
      </c>
      <c r="DI34" s="146">
        <v>0</v>
      </c>
      <c r="DJ34" s="146">
        <v>0</v>
      </c>
      <c r="DK34" s="146">
        <v>0</v>
      </c>
      <c r="DL34" s="146">
        <v>0</v>
      </c>
      <c r="DM34" s="146">
        <v>0</v>
      </c>
      <c r="DN34">
        <f t="shared" ca="1" si="22"/>
        <v>1.07466279144486E-5</v>
      </c>
      <c r="DO34">
        <f t="shared" ca="1" si="23"/>
        <v>-1.3301555175870799E-5</v>
      </c>
      <c r="DP34">
        <f t="shared" ca="1" si="24"/>
        <v>6.2992570630804296E-5</v>
      </c>
      <c r="DQ34">
        <f t="shared" ca="1" si="25"/>
        <v>-2.7451428754754497E-4</v>
      </c>
      <c r="DR34">
        <f t="shared" ca="1" si="26"/>
        <v>-2.14395014439095E-4</v>
      </c>
      <c r="DS34">
        <f t="shared" ca="1" si="27"/>
        <v>1.6039204937423599E-5</v>
      </c>
      <c r="DT34">
        <f t="shared" ca="1" si="28"/>
        <v>-3.2016386457556202E-6</v>
      </c>
      <c r="DU34">
        <f t="shared" ca="1" si="29"/>
        <v>1.1221226623447899E-6</v>
      </c>
      <c r="DV34">
        <f t="shared" ca="1" si="30"/>
        <v>-1.59407059219241E-7</v>
      </c>
      <c r="DW34">
        <f t="shared" ca="1" si="31"/>
        <v>2.3797235848554999E-8</v>
      </c>
      <c r="DX34">
        <f t="shared" ca="1" si="32"/>
        <v>-6.1056142364179802E-9</v>
      </c>
      <c r="DY34">
        <f t="shared" ca="1" si="33"/>
        <v>1.0390108773350401E-9</v>
      </c>
      <c r="EA34" s="278" t="str">
        <f ca="1"/>
        <v>SWAP_1Y</v>
      </c>
      <c r="EB34" s="277">
        <f ca="1"/>
        <v>-0.44245872960863092</v>
      </c>
      <c r="EC34" s="246" t="str">
        <f ca="1">FI18</f>
        <v>#DISABLED</v>
      </c>
      <c r="ED34" s="248">
        <f ca="1">'JACOBIAN - SWAP USD3ML'!B43</f>
        <v>45460</v>
      </c>
      <c r="EE34">
        <f ca="1">'JACOBIAN - SWAP USD3ML'!C43</f>
        <v>1.8220217001818599E-12</v>
      </c>
      <c r="EF34">
        <f ca="1">'JACOBIAN - SWAP USD3ML'!D43</f>
        <v>-1.46966705153601E-6</v>
      </c>
      <c r="EG34">
        <f ca="1">'JACOBIAN - SWAP USD3ML'!E43</f>
        <v>3.9512740301894699E-11</v>
      </c>
      <c r="EH34">
        <f ca="1">'JACOBIAN - SWAP USD3ML'!F43</f>
        <v>1.82028350725894E-12</v>
      </c>
      <c r="EI34">
        <f ca="1">'JACOBIAN - SWAP USD3ML'!G43</f>
        <v>-1.6077872946190799E-8</v>
      </c>
      <c r="EJ34">
        <f ca="1">'JACOBIAN - SWAP USD3ML'!H43</f>
        <v>-1.46418622530564E-6</v>
      </c>
      <c r="EK34">
        <f ca="1">'JACOBIAN - SWAP USD3ML'!I43</f>
        <v>-1.45887375918932E-6</v>
      </c>
      <c r="EL34">
        <f ca="1">'JACOBIAN - SWAP USD3ML'!J43</f>
        <v>-1.45406164847942E-6</v>
      </c>
      <c r="EM34">
        <f ca="1">'JACOBIAN - SWAP USD3ML'!K43</f>
        <v>-1.44943939980879E-6</v>
      </c>
      <c r="EN34">
        <f ca="1">'JACOBIAN - SWAP USD3ML'!L43</f>
        <v>-1.44491473742445E-6</v>
      </c>
      <c r="EO34">
        <f ca="1">'JACOBIAN - SWAP USD3ML'!M43</f>
        <v>-1.43156381184062E-6</v>
      </c>
      <c r="EP34">
        <f ca="1">'JACOBIAN - SWAP USD3ML'!N43</f>
        <v>-3.10521572281439E-6</v>
      </c>
      <c r="EQ34">
        <f ca="1">'JACOBIAN - SWAP USD3ML'!O43</f>
        <v>7.5223714321906402E-5</v>
      </c>
      <c r="ER34">
        <f ca="1">'JACOBIAN - SWAP USD3ML'!P43</f>
        <v>-5.4244022565186703E-4</v>
      </c>
      <c r="ES34">
        <f ca="1">'JACOBIAN - SWAP USD3ML'!Q43</f>
        <v>5.7510115408844096E-4</v>
      </c>
      <c r="ET34">
        <f ca="1">'JACOBIAN - SWAP USD3ML'!R43</f>
        <v>6.0116470714521897E-6</v>
      </c>
      <c r="EU34">
        <f ca="1">'JACOBIAN - SWAP USD3ML'!S43</f>
        <v>-3.4576677990332E-6</v>
      </c>
      <c r="EV34">
        <f ca="1">'JACOBIAN - SWAP USD3ML'!T43</f>
        <v>1.02119867344957E-6</v>
      </c>
      <c r="EW34">
        <f ca="1">'JACOBIAN - SWAP USD3ML'!U43</f>
        <v>-2.4730642490464199E-7</v>
      </c>
      <c r="EX34">
        <f ca="1">'JACOBIAN - SWAP USD3ML'!V43</f>
        <v>2.8865881858408699E-8</v>
      </c>
      <c r="EY34">
        <f ca="1">'JACOBIAN - SWAP USD3ML'!W43</f>
        <v>-5.1087030265850597E-9</v>
      </c>
      <c r="EZ34">
        <f ca="1">'JACOBIAN - SWAP USD3ML'!X43</f>
        <v>1.01246054942661E-9</v>
      </c>
      <c r="FA34">
        <f ca="1">'JACOBIAN - SWAP USD3ML'!Y43</f>
        <v>-3.25609105650271E-10</v>
      </c>
      <c r="FB34">
        <f ca="1">'JACOBIAN - SWAP USD3ML'!Z43</f>
        <v>6.6162728074026195E-11</v>
      </c>
      <c r="FH34" s="11" t="str">
        <f ca="1"/>
        <v>USDYC.OIS.3MLIBORSWAP.15Y</v>
      </c>
      <c r="FI34" s="275">
        <f ca="1"/>
        <v>3.7368066841736436E-3</v>
      </c>
      <c r="FJ34" s="11" t="str">
        <f ca="1"/>
        <v/>
      </c>
      <c r="FK34" s="275" t="str">
        <f ca="1"/>
        <v/>
      </c>
      <c r="FL34" s="11" t="e">
        <f ca="1"/>
        <v>#N/A</v>
      </c>
    </row>
    <row r="35" spans="2:168" x14ac:dyDescent="0.25">
      <c r="F35" s="270">
        <f ca="1"/>
        <v>45187</v>
      </c>
      <c r="G35" s="9">
        <f ca="1"/>
        <v>45187</v>
      </c>
      <c r="H35" s="9">
        <f ca="1"/>
        <v>45278</v>
      </c>
      <c r="I35" s="9">
        <f ca="1"/>
        <v>91</v>
      </c>
      <c r="J35" s="252">
        <f ca="1"/>
        <v>0.25277777777777799</v>
      </c>
      <c r="K35" s="269">
        <f ca="1"/>
        <v>45278</v>
      </c>
      <c r="L35" s="254">
        <f ca="1"/>
        <v>1000000</v>
      </c>
      <c r="M35" s="9">
        <f ca="1"/>
        <v>0</v>
      </c>
      <c r="N35" s="9">
        <f ca="1"/>
        <v>1</v>
      </c>
      <c r="O35" s="9">
        <f ca="1"/>
        <v>0</v>
      </c>
      <c r="P35" s="9">
        <f ca="1"/>
        <v>1.5698670654104699E-2</v>
      </c>
      <c r="Q35" s="263">
        <f ca="1"/>
        <v>3968.2750820098099</v>
      </c>
      <c r="R35" s="9">
        <f ca="1"/>
        <v>0.94736775422388897</v>
      </c>
      <c r="S35" s="9">
        <f ca="1"/>
        <v>3759.4158525862499</v>
      </c>
      <c r="T35" s="9" t="str">
        <f ca="1"/>
        <v/>
      </c>
      <c r="U35" s="12" t="str">
        <f ca="1"/>
        <v/>
      </c>
      <c r="V35" s="259">
        <f t="shared" ca="1" si="39"/>
        <v>239473.51565103879</v>
      </c>
      <c r="X35" s="258">
        <f t="shared" ca="1" si="0"/>
        <v>45552</v>
      </c>
      <c r="Y35" s="292">
        <f ca="1">Q38</f>
        <v>4160.3162544925399</v>
      </c>
      <c r="AA35" s="257">
        <f t="shared" ca="1" si="35"/>
        <v>45552</v>
      </c>
      <c r="AB35" s="266">
        <f t="shared" ca="1" si="2"/>
        <v>-4.4330772538936293E-4</v>
      </c>
      <c r="AC35" s="266"/>
      <c r="AD35" s="290">
        <f ca="1"/>
        <v>45552</v>
      </c>
      <c r="AE35" s="291">
        <f ca="1"/>
        <v>-4.4330772538936358E-4</v>
      </c>
      <c r="AF35" s="291" t="b">
        <f t="shared" ca="1" si="36"/>
        <v>1</v>
      </c>
      <c r="AH35" s="257">
        <f t="shared" ca="1" si="3"/>
        <v>45552</v>
      </c>
      <c r="AI35" s="260">
        <f t="shared" ca="1" si="41"/>
        <v>236114.67064955461</v>
      </c>
      <c r="AK35" s="290">
        <f ca="1"/>
        <v>45552</v>
      </c>
      <c r="AL35" s="291">
        <f ca="1"/>
        <v>9.7894387209310847E-5</v>
      </c>
      <c r="AM35" s="291" t="b">
        <f t="shared" ca="1" si="4"/>
        <v>1</v>
      </c>
      <c r="AO35" s="257">
        <f t="shared" ca="1" si="37"/>
        <v>45552</v>
      </c>
      <c r="AP35" s="266">
        <f t="shared" ca="1" si="38"/>
        <v>9.7894387209311728E-5</v>
      </c>
      <c r="AR35" s="248">
        <f ca="1">'JACOBIAN - OIS USDOIS'!B44</f>
        <v>45552</v>
      </c>
      <c r="AS35">
        <f ca="1">'JACOBIAN - OIS USDOIS'!C44</f>
        <v>-1.0414708815353901E-6</v>
      </c>
      <c r="AT35">
        <f ca="1">'JACOBIAN - OIS USDOIS'!D44</f>
        <v>1.0330652999712699E-9</v>
      </c>
      <c r="AU35">
        <f ca="1">'JACOBIAN - OIS USDOIS'!E44</f>
        <v>-4.1310043163988999E-9</v>
      </c>
      <c r="AV35">
        <f ca="1">'JACOBIAN - OIS USDOIS'!F44</f>
        <v>1.08815570998289E-8</v>
      </c>
      <c r="AW35">
        <f ca="1">'JACOBIAN - OIS USDOIS'!G44</f>
        <v>-1.4006544257760799E-8</v>
      </c>
      <c r="AX35">
        <f ca="1">'JACOBIAN - OIS USDOIS'!H44</f>
        <v>3.1675658318519602E-8</v>
      </c>
      <c r="AY35">
        <f ca="1">'JACOBIAN - OIS USDOIS'!I44</f>
        <v>-1.20826987748401E-7</v>
      </c>
      <c r="AZ35">
        <f ca="1">'JACOBIAN - OIS USDOIS'!J44</f>
        <v>3.8713911132415301E-7</v>
      </c>
      <c r="BA35">
        <f ca="1">'JACOBIAN - OIS USDOIS'!K44</f>
        <v>-1.49040776975529E-6</v>
      </c>
      <c r="BB35">
        <f ca="1">'JACOBIAN - OIS USDOIS'!L44</f>
        <v>2.6053341207754599E-6</v>
      </c>
      <c r="BC35">
        <f ca="1">'JACOBIAN - OIS USDOIS'!M44</f>
        <v>-4.78170564188751E-6</v>
      </c>
      <c r="BD35">
        <f ca="1">'JACOBIAN - OIS USDOIS'!N44</f>
        <v>-9.0483176506950296E-14</v>
      </c>
      <c r="BE35">
        <f ca="1">'JACOBIAN - OIS USDOIS'!O44</f>
        <v>-9.0483176506950296E-14</v>
      </c>
      <c r="BF35">
        <f ca="1">'JACOBIAN - OIS USDOIS'!P44</f>
        <v>-9.0483176506950296E-14</v>
      </c>
      <c r="BG35">
        <f ca="1">'JACOBIAN - OIS USDOIS'!Q44</f>
        <v>-9.0483176506950296E-14</v>
      </c>
      <c r="BH35">
        <f ca="1">'JACOBIAN - OIS USDOIS'!R44</f>
        <v>-9.0483176506950296E-14</v>
      </c>
      <c r="BI35" s="161">
        <f ca="1">'JACOBIAN - OIS USDOIS'!S44</f>
        <v>-6.97989013198619E-6</v>
      </c>
      <c r="BJ35" s="161">
        <f ca="1">'JACOBIAN - OIS USDOIS'!T44</f>
        <v>6.76550342004756E-6</v>
      </c>
      <c r="BK35" s="161">
        <f ca="1">'JACOBIAN - OIS USDOIS'!U44</f>
        <v>-3.9395491416627197E-5</v>
      </c>
      <c r="BL35" s="161">
        <f ca="1">'JACOBIAN - OIS USDOIS'!V44</f>
        <v>1.3818471895343801E-4</v>
      </c>
      <c r="BM35" s="161">
        <f ca="1">'JACOBIAN - OIS USDOIS'!W44</f>
        <v>3.6185457969917202E-4</v>
      </c>
      <c r="BN35" s="161">
        <f ca="1">'JACOBIAN - OIS USDOIS'!X44</f>
        <v>-1.6556096881226202E-5</v>
      </c>
      <c r="BO35" s="161">
        <f ca="1">'JACOBIAN - OIS USDOIS'!Y44</f>
        <v>3.3047371043037899E-6</v>
      </c>
      <c r="BP35" s="161">
        <f ca="1">'JACOBIAN - OIS USDOIS'!Z44</f>
        <v>-1.1576898255594199E-6</v>
      </c>
      <c r="BQ35" s="161">
        <f ca="1">'JACOBIAN - OIS USDOIS'!AA44</f>
        <v>1.64440168592961E-7</v>
      </c>
      <c r="BR35" s="161">
        <f ca="1">'JACOBIAN - OIS USDOIS'!AB44</f>
        <v>-2.4539971832382401E-8</v>
      </c>
      <c r="BS35" s="161">
        <f ca="1">'JACOBIAN - OIS USDOIS'!AC44</f>
        <v>6.2920262333676597E-9</v>
      </c>
      <c r="BT35" s="161">
        <f ca="1">'JACOBIAN - OIS USDOIS'!AD44</f>
        <v>-1.0698247843166099E-9</v>
      </c>
      <c r="BU35">
        <f ca="1">'JACOBIAN - OIS USDOIS'!AE44</f>
        <v>6.8532355343986504E-6</v>
      </c>
      <c r="BV35">
        <f ca="1">'JACOBIAN - OIS USDOIS'!AF44</f>
        <v>-6.6533444758043501E-6</v>
      </c>
      <c r="BW35">
        <f ca="1">'JACOBIAN - OIS USDOIS'!AG44</f>
        <v>3.87645888526578E-5</v>
      </c>
      <c r="BX35">
        <f ca="1">'JACOBIAN - OIS USDOIS'!AH44</f>
        <v>-1.35989191231922E-4</v>
      </c>
      <c r="BY35">
        <f ca="1">'JACOBIAN - OIS USDOIS'!AI44</f>
        <v>-3.55907122154497E-4</v>
      </c>
      <c r="BZ35">
        <f ca="1">'JACOBIAN - OIS USDOIS'!AJ44</f>
        <v>1.6296385515812701E-5</v>
      </c>
      <c r="CA35">
        <f ca="1">'JACOBIAN - OIS USDOIS'!AK44</f>
        <v>-3.2529746771814399E-6</v>
      </c>
      <c r="CB35">
        <f ca="1">'JACOBIAN - OIS USDOIS'!AL44</f>
        <v>1.14011517338142E-6</v>
      </c>
      <c r="CC35">
        <f ca="1">'JACOBIAN - OIS USDOIS'!AM44</f>
        <v>-1.61963099154505E-7</v>
      </c>
      <c r="CD35">
        <f ca="1">'JACOBIAN - OIS USDOIS'!AN44</f>
        <v>2.4178816948605699E-8</v>
      </c>
      <c r="CE35">
        <f ca="1">'JACOBIAN - OIS USDOIS'!AO44</f>
        <v>-6.2035104830826501E-9</v>
      </c>
      <c r="CF35">
        <f ca="1">'JACOBIAN - OIS USDOIS'!AP44</f>
        <v>1.0556355789503899E-9</v>
      </c>
      <c r="CK35" s="248">
        <f t="shared" ca="1" si="5"/>
        <v>45552</v>
      </c>
      <c r="CL35">
        <f t="shared" ca="1" si="6"/>
        <v>-1.0414708815353901E-6</v>
      </c>
      <c r="CM35">
        <f t="shared" ca="1" si="7"/>
        <v>1.0330652999712699E-9</v>
      </c>
      <c r="CN35">
        <f t="shared" ca="1" si="8"/>
        <v>-4.1310043163988999E-9</v>
      </c>
      <c r="CO35">
        <f t="shared" ca="1" si="9"/>
        <v>1.08815570998289E-8</v>
      </c>
      <c r="CP35">
        <f t="shared" ca="1" si="10"/>
        <v>-1.4006544257760799E-8</v>
      </c>
      <c r="CQ35">
        <f t="shared" ca="1" si="11"/>
        <v>3.1675658318519602E-8</v>
      </c>
      <c r="CR35">
        <f t="shared" ca="1" si="12"/>
        <v>-1.20826987748401E-7</v>
      </c>
      <c r="CS35">
        <f t="shared" ca="1" si="13"/>
        <v>3.8713911132415301E-7</v>
      </c>
      <c r="CT35">
        <f t="shared" ca="1" si="14"/>
        <v>-1.49040776975529E-6</v>
      </c>
      <c r="CU35">
        <f t="shared" ca="1" si="15"/>
        <v>2.6053341207754599E-6</v>
      </c>
      <c r="CV35">
        <f t="shared" ca="1" si="16"/>
        <v>-4.78170564188751E-6</v>
      </c>
      <c r="CW35">
        <f t="shared" ca="1" si="17"/>
        <v>-9.0483176506950296E-14</v>
      </c>
      <c r="CX35">
        <f t="shared" ca="1" si="18"/>
        <v>-9.0483176506950296E-14</v>
      </c>
      <c r="CY35">
        <f t="shared" ca="1" si="19"/>
        <v>-9.0483176506950296E-14</v>
      </c>
      <c r="CZ35">
        <f t="shared" ca="1" si="20"/>
        <v>-9.0483176506950296E-14</v>
      </c>
      <c r="DA35">
        <f t="shared" ca="1" si="21"/>
        <v>-9.0483176506950296E-14</v>
      </c>
      <c r="DB35" s="146">
        <v>0</v>
      </c>
      <c r="DC35" s="146">
        <v>0</v>
      </c>
      <c r="DD35" s="146">
        <v>0</v>
      </c>
      <c r="DE35" s="146">
        <v>0</v>
      </c>
      <c r="DF35" s="146">
        <v>0</v>
      </c>
      <c r="DG35" s="146">
        <v>0</v>
      </c>
      <c r="DH35" s="146">
        <v>0</v>
      </c>
      <c r="DI35" s="146">
        <v>0</v>
      </c>
      <c r="DJ35" s="146">
        <v>0</v>
      </c>
      <c r="DK35" s="146">
        <v>0</v>
      </c>
      <c r="DL35" s="146">
        <v>0</v>
      </c>
      <c r="DM35" s="146">
        <v>0</v>
      </c>
      <c r="DN35">
        <f t="shared" ca="1" si="22"/>
        <v>6.8532355343986504E-6</v>
      </c>
      <c r="DO35">
        <f t="shared" ca="1" si="23"/>
        <v>-6.6533444758043501E-6</v>
      </c>
      <c r="DP35">
        <f t="shared" ca="1" si="24"/>
        <v>3.87645888526578E-5</v>
      </c>
      <c r="DQ35">
        <f t="shared" ca="1" si="25"/>
        <v>-1.35989191231922E-4</v>
      </c>
      <c r="DR35">
        <f t="shared" ca="1" si="26"/>
        <v>-3.55907122154497E-4</v>
      </c>
      <c r="DS35">
        <f t="shared" ca="1" si="27"/>
        <v>1.6296385515812701E-5</v>
      </c>
      <c r="DT35">
        <f t="shared" ca="1" si="28"/>
        <v>-3.2529746771814399E-6</v>
      </c>
      <c r="DU35">
        <f t="shared" ca="1" si="29"/>
        <v>1.14011517338142E-6</v>
      </c>
      <c r="DV35">
        <f t="shared" ca="1" si="30"/>
        <v>-1.61963099154505E-7</v>
      </c>
      <c r="DW35">
        <f t="shared" ca="1" si="31"/>
        <v>2.4178816948605699E-8</v>
      </c>
      <c r="DX35">
        <f t="shared" ca="1" si="32"/>
        <v>-6.2035104830826501E-9</v>
      </c>
      <c r="DY35">
        <f t="shared" ca="1" si="33"/>
        <v>1.0556355789503899E-9</v>
      </c>
      <c r="EA35" s="278" t="str">
        <f ca="1"/>
        <v>SWAP_2Y</v>
      </c>
      <c r="EB35" s="277">
        <f ca="1"/>
        <v>-0.94384685836316995</v>
      </c>
      <c r="EC35" s="246" t="str">
        <f ca="1">FI20</f>
        <v>#DISABLED</v>
      </c>
      <c r="ED35" s="248">
        <f ca="1">'JACOBIAN - SWAP USD3ML'!B44</f>
        <v>45552</v>
      </c>
      <c r="EE35">
        <f ca="1">'JACOBIAN - SWAP USD3ML'!C44</f>
        <v>1.61804944442956E-12</v>
      </c>
      <c r="EF35">
        <f ca="1">'JACOBIAN - SWAP USD3ML'!D44</f>
        <v>-1.92297161842256E-6</v>
      </c>
      <c r="EG35">
        <f ca="1">'JACOBIAN - SWAP USD3ML'!E44</f>
        <v>3.4358450112792502E-11</v>
      </c>
      <c r="EH35">
        <f ca="1">'JACOBIAN - SWAP USD3ML'!F44</f>
        <v>1.61541266474607E-12</v>
      </c>
      <c r="EI35">
        <f ca="1">'JACOBIAN - SWAP USD3ML'!G44</f>
        <v>-2.1037721894406901E-8</v>
      </c>
      <c r="EJ35">
        <f ca="1">'JACOBIAN - SWAP USD3ML'!H44</f>
        <v>-1.9158024731451301E-6</v>
      </c>
      <c r="EK35">
        <f ca="1">'JACOBIAN - SWAP USD3ML'!I44</f>
        <v>-1.90886760112821E-6</v>
      </c>
      <c r="EL35">
        <f ca="1">'JACOBIAN - SWAP USD3ML'!J44</f>
        <v>-1.9025710088702E-6</v>
      </c>
      <c r="EM35">
        <f ca="1">'JACOBIAN - SWAP USD3ML'!K44</f>
        <v>-1.89652287632333E-6</v>
      </c>
      <c r="EN35">
        <f ca="1">'JACOBIAN - SWAP USD3ML'!L44</f>
        <v>-1.8906026256621001E-6</v>
      </c>
      <c r="EO35">
        <f ca="1">'JACOBIAN - SWAP USD3ML'!M44</f>
        <v>-1.87313352169663E-6</v>
      </c>
      <c r="EP35">
        <f ca="1">'JACOBIAN - SWAP USD3ML'!N44</f>
        <v>-4.0630218301890303E-6</v>
      </c>
      <c r="EQ35">
        <f ca="1">'JACOBIAN - SWAP USD3ML'!O44</f>
        <v>9.8427474092926305E-5</v>
      </c>
      <c r="ER35">
        <f ca="1">'JACOBIAN - SWAP USD3ML'!P44</f>
        <v>-5.0160419600963496E-4</v>
      </c>
      <c r="ES35">
        <f ca="1">'JACOBIAN - SWAP USD3ML'!Q44</f>
        <v>4.2387025353377402E-4</v>
      </c>
      <c r="ET35">
        <f ca="1">'JACOBIAN - SWAP USD3ML'!R44</f>
        <v>1.6956705015762401E-4</v>
      </c>
      <c r="EU35">
        <f ca="1">'JACOBIAN - SWAP USD3ML'!S44</f>
        <v>-9.7486687989835994E-5</v>
      </c>
      <c r="EV35">
        <f ca="1">'JACOBIAN - SWAP USD3ML'!T44</f>
        <v>2.8797723312806001E-5</v>
      </c>
      <c r="EW35">
        <f ca="1">'JACOBIAN - SWAP USD3ML'!U44</f>
        <v>-6.9739151763309496E-6</v>
      </c>
      <c r="EX35">
        <f ca="1">'JACOBIAN - SWAP USD3ML'!V44</f>
        <v>8.1411298537975595E-7</v>
      </c>
      <c r="EY35">
        <f ca="1">'JACOBIAN - SWAP USD3ML'!W44</f>
        <v>-1.4423222352566399E-7</v>
      </c>
      <c r="EZ35">
        <f ca="1">'JACOBIAN - SWAP USD3ML'!X44</f>
        <v>2.8588407245677699E-8</v>
      </c>
      <c r="FA35">
        <f ca="1">'JACOBIAN - SWAP USD3ML'!Y44</f>
        <v>-9.1530554559293692E-9</v>
      </c>
      <c r="FB35">
        <f ca="1">'JACOBIAN - SWAP USD3ML'!Z44</f>
        <v>1.8628597588110599E-9</v>
      </c>
      <c r="FH35" s="11" t="str">
        <f ca="1"/>
        <v>USDYC.OIS.BASISRATE.20Y</v>
      </c>
      <c r="FI35" s="275">
        <f ca="1"/>
        <v>1.099058281397447E-2</v>
      </c>
      <c r="FJ35" s="11" t="str">
        <f ca="1"/>
        <v/>
      </c>
      <c r="FK35" s="275" t="str">
        <f ca="1"/>
        <v/>
      </c>
      <c r="FL35" s="11" t="e">
        <f ca="1"/>
        <v>#N/A</v>
      </c>
    </row>
    <row r="36" spans="2:168" x14ac:dyDescent="0.25">
      <c r="B36" t="s">
        <v>257</v>
      </c>
      <c r="C36" s="247">
        <f ca="1">C28</f>
        <v>481.64369076071307</v>
      </c>
      <c r="F36" s="270">
        <f ca="1"/>
        <v>45278</v>
      </c>
      <c r="G36" s="9">
        <f ca="1"/>
        <v>45278</v>
      </c>
      <c r="H36" s="9">
        <f ca="1"/>
        <v>45369</v>
      </c>
      <c r="I36" s="9">
        <f ca="1"/>
        <v>91</v>
      </c>
      <c r="J36" s="252">
        <f ca="1"/>
        <v>0.25277777777777799</v>
      </c>
      <c r="K36" s="269">
        <f ca="1"/>
        <v>45369</v>
      </c>
      <c r="L36" s="254">
        <f ca="1"/>
        <v>1000000</v>
      </c>
      <c r="M36" s="9">
        <f ca="1"/>
        <v>0</v>
      </c>
      <c r="N36" s="9">
        <f ca="1"/>
        <v>1</v>
      </c>
      <c r="O36" s="9">
        <f ca="1"/>
        <v>0</v>
      </c>
      <c r="P36" s="9">
        <f ca="1"/>
        <v>1.5903559622579201E-2</v>
      </c>
      <c r="Q36" s="263">
        <f ca="1"/>
        <v>4020.0664601519602</v>
      </c>
      <c r="R36" s="9">
        <f ca="1"/>
        <v>0.94408421432838496</v>
      </c>
      <c r="S36" s="9">
        <f ca="1"/>
        <v>3795.28128558046</v>
      </c>
      <c r="T36" s="9" t="str">
        <f ca="1"/>
        <v/>
      </c>
      <c r="U36" s="12" t="str">
        <f ca="1"/>
        <v/>
      </c>
      <c r="V36" s="259">
        <f t="shared" ca="1" si="39"/>
        <v>238643.50973300863</v>
      </c>
      <c r="X36" s="258">
        <f t="shared" ca="1" si="0"/>
        <v>45643</v>
      </c>
      <c r="Y36" s="292">
        <f ca="1">O17+Q39</f>
        <v>-846.38329738073026</v>
      </c>
      <c r="AA36" s="257">
        <f t="shared" ca="1" si="35"/>
        <v>45643</v>
      </c>
      <c r="AB36" s="266">
        <f t="shared" ca="1" si="2"/>
        <v>-4.6473814788028372E-4</v>
      </c>
      <c r="AC36" s="266"/>
      <c r="AD36" s="290">
        <f ca="1"/>
        <v>45643</v>
      </c>
      <c r="AE36" s="291">
        <f ca="1"/>
        <v>-4.6473814788028367E-4</v>
      </c>
      <c r="AF36" s="291" t="b">
        <f t="shared" ca="1" si="36"/>
        <v>1</v>
      </c>
      <c r="AH36" s="257">
        <f t="shared" ca="1" si="3"/>
        <v>45643</v>
      </c>
      <c r="AI36" s="260">
        <v>0</v>
      </c>
      <c r="AK36" s="290">
        <f ca="1"/>
        <v>45643</v>
      </c>
      <c r="AL36" s="291">
        <f ca="1"/>
        <v>9.8046995534062376E-5</v>
      </c>
      <c r="AM36" s="291" t="b">
        <f t="shared" ca="1" si="4"/>
        <v>1</v>
      </c>
      <c r="AO36" s="257">
        <f t="shared" ca="1" si="37"/>
        <v>45643</v>
      </c>
      <c r="AP36" s="266">
        <f t="shared" ca="1" si="38"/>
        <v>9.8046995534062511E-5</v>
      </c>
      <c r="AR36" s="248">
        <f ca="1">'JACOBIAN - OIS USDOIS'!B45</f>
        <v>45643</v>
      </c>
      <c r="AS36">
        <f ca="1">'JACOBIAN - OIS USDOIS'!C45</f>
        <v>-1.0377540460293499E-6</v>
      </c>
      <c r="AT36">
        <f ca="1">'JACOBIAN - OIS USDOIS'!D45</f>
        <v>5.0027204601121899E-11</v>
      </c>
      <c r="AU36">
        <f ca="1">'JACOBIAN - OIS USDOIS'!E45</f>
        <v>-2.00149785634096E-10</v>
      </c>
      <c r="AV36">
        <f ca="1">'JACOBIAN - OIS USDOIS'!F45</f>
        <v>5.2684967499771998E-10</v>
      </c>
      <c r="AW36">
        <f ca="1">'JACOBIAN - OIS USDOIS'!G45</f>
        <v>-6.7845618012540895E-10</v>
      </c>
      <c r="AX36">
        <f ca="1">'JACOBIAN - OIS USDOIS'!H45</f>
        <v>1.5335018810347399E-9</v>
      </c>
      <c r="AY36">
        <f ca="1">'JACOBIAN - OIS USDOIS'!I45</f>
        <v>-1.8716536764884502E-8</v>
      </c>
      <c r="AZ36">
        <f ca="1">'JACOBIAN - OIS USDOIS'!J45</f>
        <v>1.87447365407323E-8</v>
      </c>
      <c r="BA36">
        <f ca="1">'JACOBIAN - OIS USDOIS'!K45</f>
        <v>-7.2171343679094906E-8</v>
      </c>
      <c r="BB36">
        <f ca="1">'JACOBIAN - OIS USDOIS'!L45</f>
        <v>4.5724635799882E-7</v>
      </c>
      <c r="BC36">
        <f ca="1">'JACOBIAN - OIS USDOIS'!M45</f>
        <v>-2.7031474858496599E-7</v>
      </c>
      <c r="BD36">
        <f ca="1">'JACOBIAN - OIS USDOIS'!N45</f>
        <v>-1.3400391907225599E-13</v>
      </c>
      <c r="BE36">
        <f ca="1">'JACOBIAN - OIS USDOIS'!O45</f>
        <v>-1.3400391907225599E-13</v>
      </c>
      <c r="BF36">
        <f ca="1">'JACOBIAN - OIS USDOIS'!P45</f>
        <v>-1.3400391907225599E-13</v>
      </c>
      <c r="BG36">
        <f ca="1">'JACOBIAN - OIS USDOIS'!Q45</f>
        <v>-1.3400391907225599E-13</v>
      </c>
      <c r="BH36">
        <f ca="1">'JACOBIAN - OIS USDOIS'!R45</f>
        <v>-1.3400391907225599E-13</v>
      </c>
      <c r="BI36" s="161">
        <f ca="1">'JACOBIAN - OIS USDOIS'!S45</f>
        <v>-1.1021805140787301E-6</v>
      </c>
      <c r="BJ36" s="161">
        <f ca="1">'JACOBIAN - OIS USDOIS'!T45</f>
        <v>-3.2589909793045999E-6</v>
      </c>
      <c r="BK36" s="161">
        <f ca="1">'JACOBIAN - OIS USDOIS'!U45</f>
        <v>-2.8975551067400599E-6</v>
      </c>
      <c r="BL36" s="161">
        <f ca="1">'JACOBIAN - OIS USDOIS'!V45</f>
        <v>-5.92959570333562E-6</v>
      </c>
      <c r="BM36" s="161">
        <f ca="1">'JACOBIAN - OIS USDOIS'!W45</f>
        <v>4.8476199404134902E-4</v>
      </c>
      <c r="BN36" s="161">
        <f ca="1">'JACOBIAN - OIS USDOIS'!X45</f>
        <v>6.7093537170492796E-8</v>
      </c>
      <c r="BO36" s="161">
        <f ca="1">'JACOBIAN - OIS USDOIS'!Y45</f>
        <v>-1.33924025202958E-8</v>
      </c>
      <c r="BP36" s="161">
        <f ca="1">'JACOBIAN - OIS USDOIS'!Z45</f>
        <v>4.6916047713452299E-9</v>
      </c>
      <c r="BQ36" s="161">
        <f ca="1">'JACOBIAN - OIS USDOIS'!AA45</f>
        <v>-6.6692207312257799E-10</v>
      </c>
      <c r="BR36" s="161">
        <f ca="1">'JACOBIAN - OIS USDOIS'!AB45</f>
        <v>9.9172559053783997E-11</v>
      </c>
      <c r="BS36" s="161">
        <f ca="1">'JACOBIAN - OIS USDOIS'!AC45</f>
        <v>-2.5556778915358801E-11</v>
      </c>
      <c r="BT36" s="161">
        <f ca="1">'JACOBIAN - OIS USDOIS'!AD45</f>
        <v>4.3531844795552396E-12</v>
      </c>
      <c r="BU36">
        <f ca="1">'JACOBIAN - OIS USDOIS'!AE45</f>
        <v>1.08192785575056E-6</v>
      </c>
      <c r="BV36">
        <f ca="1">'JACOBIAN - OIS USDOIS'!AF45</f>
        <v>3.2043935546122201E-6</v>
      </c>
      <c r="BW36">
        <f ca="1">'JACOBIAN - OIS USDOIS'!AG45</f>
        <v>2.8508250285996799E-6</v>
      </c>
      <c r="BX36">
        <f ca="1">'JACOBIAN - OIS USDOIS'!AH45</f>
        <v>5.8351057741212699E-6</v>
      </c>
      <c r="BY36">
        <f ca="1">'JACOBIAN - OIS USDOIS'!AI45</f>
        <v>-4.7673176600893102E-4</v>
      </c>
      <c r="BZ36">
        <f ca="1">'JACOBIAN - OIS USDOIS'!AJ45</f>
        <v>-6.6040923063504006E-8</v>
      </c>
      <c r="CA36">
        <f ca="1">'JACOBIAN - OIS USDOIS'!AK45</f>
        <v>1.31826685123571E-8</v>
      </c>
      <c r="CB36">
        <f ca="1">'JACOBIAN - OIS USDOIS'!AL45</f>
        <v>-4.6203588732751696E-9</v>
      </c>
      <c r="CC36">
        <f ca="1">'JACOBIAN - OIS USDOIS'!AM45</f>
        <v>6.5614647049017104E-10</v>
      </c>
      <c r="CD36">
        <f ca="1">'JACOBIAN - OIS USDOIS'!AN45</f>
        <v>-9.7814423227760004E-11</v>
      </c>
      <c r="CE36">
        <f ca="1">'JACOBIAN - OIS USDOIS'!AO45</f>
        <v>2.5139446080402201E-11</v>
      </c>
      <c r="CF36">
        <f ca="1">'JACOBIAN - OIS USDOIS'!AP45</f>
        <v>-4.4647618935300703E-12</v>
      </c>
      <c r="CK36" s="248">
        <f t="shared" ca="1" si="5"/>
        <v>45643</v>
      </c>
      <c r="CL36">
        <f t="shared" ca="1" si="6"/>
        <v>-1.0377540460293499E-6</v>
      </c>
      <c r="CM36">
        <f t="shared" ca="1" si="7"/>
        <v>5.0027204601121899E-11</v>
      </c>
      <c r="CN36">
        <f t="shared" ca="1" si="8"/>
        <v>-2.00149785634096E-10</v>
      </c>
      <c r="CO36">
        <f t="shared" ca="1" si="9"/>
        <v>5.2684967499771998E-10</v>
      </c>
      <c r="CP36">
        <f t="shared" ca="1" si="10"/>
        <v>-6.7845618012540895E-10</v>
      </c>
      <c r="CQ36">
        <f t="shared" ca="1" si="11"/>
        <v>1.5335018810347399E-9</v>
      </c>
      <c r="CR36">
        <f t="shared" ca="1" si="12"/>
        <v>-1.8716536764884502E-8</v>
      </c>
      <c r="CS36">
        <f t="shared" ca="1" si="13"/>
        <v>1.87447365407323E-8</v>
      </c>
      <c r="CT36">
        <f t="shared" ca="1" si="14"/>
        <v>-7.2171343679094906E-8</v>
      </c>
      <c r="CU36">
        <f t="shared" ca="1" si="15"/>
        <v>4.5724635799882E-7</v>
      </c>
      <c r="CV36">
        <f t="shared" ca="1" si="16"/>
        <v>-2.7031474858496599E-7</v>
      </c>
      <c r="CW36">
        <f t="shared" ca="1" si="17"/>
        <v>-1.3400391907225599E-13</v>
      </c>
      <c r="CX36">
        <f t="shared" ca="1" si="18"/>
        <v>-1.3400391907225599E-13</v>
      </c>
      <c r="CY36">
        <f t="shared" ca="1" si="19"/>
        <v>-1.3400391907225599E-13</v>
      </c>
      <c r="CZ36">
        <f t="shared" ca="1" si="20"/>
        <v>-1.3400391907225599E-13</v>
      </c>
      <c r="DA36">
        <f t="shared" ca="1" si="21"/>
        <v>-1.3400391907225599E-13</v>
      </c>
      <c r="DB36" s="146">
        <v>0</v>
      </c>
      <c r="DC36" s="146">
        <v>0</v>
      </c>
      <c r="DD36" s="146">
        <v>0</v>
      </c>
      <c r="DE36" s="146">
        <v>0</v>
      </c>
      <c r="DF36" s="146">
        <v>0</v>
      </c>
      <c r="DG36" s="146">
        <v>0</v>
      </c>
      <c r="DH36" s="146">
        <v>0</v>
      </c>
      <c r="DI36" s="146">
        <v>0</v>
      </c>
      <c r="DJ36" s="146">
        <v>0</v>
      </c>
      <c r="DK36" s="146">
        <v>0</v>
      </c>
      <c r="DL36" s="146">
        <v>0</v>
      </c>
      <c r="DM36" s="146">
        <v>0</v>
      </c>
      <c r="DN36">
        <f t="shared" ca="1" si="22"/>
        <v>1.08192785575056E-6</v>
      </c>
      <c r="DO36">
        <f t="shared" ca="1" si="23"/>
        <v>3.2043935546122201E-6</v>
      </c>
      <c r="DP36">
        <f t="shared" ca="1" si="24"/>
        <v>2.8508250285996799E-6</v>
      </c>
      <c r="DQ36">
        <f t="shared" ca="1" si="25"/>
        <v>5.8351057741212699E-6</v>
      </c>
      <c r="DR36">
        <f t="shared" ca="1" si="26"/>
        <v>-4.7673176600893102E-4</v>
      </c>
      <c r="DS36">
        <f t="shared" ca="1" si="27"/>
        <v>-6.6040923063504006E-8</v>
      </c>
      <c r="DT36">
        <f t="shared" ca="1" si="28"/>
        <v>1.31826685123571E-8</v>
      </c>
      <c r="DU36">
        <f t="shared" ca="1" si="29"/>
        <v>-4.6203588732751696E-9</v>
      </c>
      <c r="DV36">
        <f t="shared" ca="1" si="30"/>
        <v>6.5614647049017104E-10</v>
      </c>
      <c r="DW36">
        <f t="shared" ca="1" si="31"/>
        <v>-9.7814423227760004E-11</v>
      </c>
      <c r="DX36">
        <f t="shared" ca="1" si="32"/>
        <v>2.5139446080402201E-11</v>
      </c>
      <c r="DY36">
        <f t="shared" ca="1" si="33"/>
        <v>-4.4647618935300703E-12</v>
      </c>
      <c r="EA36" s="278" t="str">
        <f ca="1"/>
        <v>SWAP_3Y</v>
      </c>
      <c r="EB36" s="277">
        <f ca="1"/>
        <v>-1.5251596036752817</v>
      </c>
      <c r="EC36" s="246" t="str">
        <f ca="1">FI22</f>
        <v>#DISABLED</v>
      </c>
      <c r="ED36" s="248">
        <f ca="1">'JACOBIAN - SWAP USD3ML'!B45</f>
        <v>45643</v>
      </c>
      <c r="EE36">
        <f ca="1">'JACOBIAN - SWAP USD3ML'!C45</f>
        <v>1.17150733558447E-12</v>
      </c>
      <c r="EF36">
        <f ca="1">'JACOBIAN - SWAP USD3ML'!D45</f>
        <v>-1.36594890776109E-6</v>
      </c>
      <c r="EG36">
        <f ca="1">'JACOBIAN - SWAP USD3ML'!E45</f>
        <v>2.34736674542546E-11</v>
      </c>
      <c r="EH36">
        <f ca="1">'JACOBIAN - SWAP USD3ML'!F45</f>
        <v>1.17150733558447E-12</v>
      </c>
      <c r="EI36">
        <f ca="1">'JACOBIAN - SWAP USD3ML'!G45</f>
        <v>-1.49437511254291E-8</v>
      </c>
      <c r="EJ36">
        <f ca="1">'JACOBIAN - SWAP USD3ML'!H45</f>
        <v>-1.3608565581080301E-6</v>
      </c>
      <c r="EK36">
        <f ca="1">'JACOBIAN - SWAP USD3ML'!I45</f>
        <v>-1.3559314266942101E-6</v>
      </c>
      <c r="EL36">
        <f ca="1">'JACOBIAN - SWAP USD3ML'!J45</f>
        <v>-1.35145873958464E-6</v>
      </c>
      <c r="EM36">
        <f ca="1">'JACOBIAN - SWAP USD3ML'!K45</f>
        <v>-1.3471625432970301E-6</v>
      </c>
      <c r="EN36">
        <f ca="1">'JACOBIAN - SWAP USD3ML'!L45</f>
        <v>-1.34295719700361E-6</v>
      </c>
      <c r="EO36">
        <f ca="1">'JACOBIAN - SWAP USD3ML'!M45</f>
        <v>-1.3305483133052599E-6</v>
      </c>
      <c r="EP36">
        <f ca="1">'JACOBIAN - SWAP USD3ML'!N45</f>
        <v>-2.88609797838291E-6</v>
      </c>
      <c r="EQ36">
        <f ca="1">'JACOBIAN - SWAP USD3ML'!O45</f>
        <v>6.9915998221148397E-5</v>
      </c>
      <c r="ER36">
        <f ca="1">'JACOBIAN - SWAP USD3ML'!P45</f>
        <v>-3.3835117545333299E-4</v>
      </c>
      <c r="ES36">
        <f ca="1">'JACOBIAN - SWAP USD3ML'!Q45</f>
        <v>1.6405641506178601E-4</v>
      </c>
      <c r="ET36">
        <f ca="1">'JACOBIAN - SWAP USD3ML'!R45</f>
        <v>3.8065854891034001E-4</v>
      </c>
      <c r="EU36">
        <f ca="1">'JACOBIAN - SWAP USD3ML'!S45</f>
        <v>-2.1569342783323001E-4</v>
      </c>
      <c r="EV36">
        <f ca="1">'JACOBIAN - SWAP USD3ML'!T45</f>
        <v>6.3717560516707294E-5</v>
      </c>
      <c r="EW36">
        <f ca="1">'JACOBIAN - SWAP USD3ML'!U45</f>
        <v>-1.5430334535437902E-5</v>
      </c>
      <c r="EX36">
        <f ca="1">'JACOBIAN - SWAP USD3ML'!V45</f>
        <v>1.80129687876729E-6</v>
      </c>
      <c r="EY36">
        <f ca="1">'JACOBIAN - SWAP USD3ML'!W45</f>
        <v>-3.1913421150164801E-7</v>
      </c>
      <c r="EZ36">
        <f ca="1">'JACOBIAN - SWAP USD3ML'!X45</f>
        <v>6.3256216265017402E-8</v>
      </c>
      <c r="FA36">
        <f ca="1">'JACOBIAN - SWAP USD3ML'!Y45</f>
        <v>-2.0250408461208699E-8</v>
      </c>
      <c r="FB36">
        <f ca="1">'JACOBIAN - SWAP USD3ML'!Z45</f>
        <v>4.1217695923023703E-9</v>
      </c>
      <c r="FH36" s="11" t="str">
        <f ca="1"/>
        <v>USDYC.OIS.3MLIBORSWAP.20Y</v>
      </c>
      <c r="FI36" s="275">
        <f ca="1"/>
        <v>7.5987707532476634E-3</v>
      </c>
      <c r="FJ36" s="11" t="str">
        <f ca="1"/>
        <v/>
      </c>
      <c r="FK36" s="275" t="str">
        <f ca="1"/>
        <v/>
      </c>
      <c r="FL36" s="11" t="e">
        <f ca="1"/>
        <v>#N/A</v>
      </c>
    </row>
    <row r="37" spans="2:168" x14ac:dyDescent="0.25">
      <c r="B37" t="s">
        <v>258</v>
      </c>
      <c r="C37" s="286">
        <f ca="1">C36+C32</f>
        <v>474.87832320133748</v>
      </c>
      <c r="D37" s="287" t="s">
        <v>299</v>
      </c>
      <c r="F37" s="270">
        <f ca="1"/>
        <v>45369</v>
      </c>
      <c r="G37" s="9">
        <f ca="1"/>
        <v>45369</v>
      </c>
      <c r="H37" s="9">
        <f ca="1"/>
        <v>45460</v>
      </c>
      <c r="I37" s="9">
        <f ca="1"/>
        <v>91</v>
      </c>
      <c r="J37" s="252">
        <f ca="1"/>
        <v>0.25277777777777799</v>
      </c>
      <c r="K37" s="269">
        <f ca="1"/>
        <v>45460</v>
      </c>
      <c r="L37" s="254">
        <f ca="1"/>
        <v>1000000</v>
      </c>
      <c r="M37" s="9">
        <f ca="1"/>
        <v>0</v>
      </c>
      <c r="N37" s="9">
        <f ca="1"/>
        <v>1</v>
      </c>
      <c r="O37" s="9">
        <f ca="1"/>
        <v>0</v>
      </c>
      <c r="P37" s="9">
        <f ca="1"/>
        <v>1.6104021993435198E-2</v>
      </c>
      <c r="Q37" s="263">
        <f ca="1"/>
        <v>4070.7388927850002</v>
      </c>
      <c r="R37" s="9">
        <f ca="1"/>
        <v>0.94078344214865495</v>
      </c>
      <c r="S37" s="9">
        <f ca="1"/>
        <v>3829.6837476426799</v>
      </c>
      <c r="T37" s="9" t="str">
        <f ca="1"/>
        <v/>
      </c>
      <c r="U37" s="12" t="str">
        <f ca="1"/>
        <v/>
      </c>
      <c r="V37" s="259">
        <f t="shared" ca="1" si="39"/>
        <v>237809.14787646575</v>
      </c>
      <c r="X37" s="258">
        <f t="shared" ca="1" si="0"/>
        <v>45733</v>
      </c>
      <c r="Y37" s="261">
        <v>0</v>
      </c>
      <c r="AA37" s="257">
        <f t="shared" ca="1" si="35"/>
        <v>45733</v>
      </c>
      <c r="AB37" s="266">
        <f t="shared" ca="1" si="2"/>
        <v>-4.8578615024874659E-4</v>
      </c>
      <c r="AC37" s="266"/>
      <c r="AD37" s="290">
        <f ca="1"/>
        <v>45733</v>
      </c>
      <c r="AE37" s="291">
        <f ca="1"/>
        <v>-4.8578615024874594E-4</v>
      </c>
      <c r="AF37" s="291" t="b">
        <f t="shared" ca="1" si="36"/>
        <v>1</v>
      </c>
      <c r="AH37" s="257">
        <f t="shared" ca="1" si="3"/>
        <v>45733</v>
      </c>
      <c r="AI37" s="260">
        <v>0</v>
      </c>
      <c r="AK37" s="290">
        <f ca="1"/>
        <v>45733</v>
      </c>
      <c r="AL37" s="291">
        <f ca="1"/>
        <v>9.8251465809322258E-5</v>
      </c>
      <c r="AM37" s="291" t="b">
        <f t="shared" ca="1" si="4"/>
        <v>1</v>
      </c>
      <c r="AO37" s="257">
        <f t="shared" ca="1" si="37"/>
        <v>45733</v>
      </c>
      <c r="AP37" s="266">
        <f t="shared" ca="1" si="38"/>
        <v>9.8251465809322651E-5</v>
      </c>
      <c r="AR37" s="248">
        <f ca="1">'JACOBIAN - OIS USDOIS'!B46</f>
        <v>45733</v>
      </c>
      <c r="AS37">
        <f ca="1">'JACOBIAN - OIS USDOIS'!C46</f>
        <v>-1.0340484046800201E-6</v>
      </c>
      <c r="AT37">
        <f ca="1">'JACOBIAN - OIS USDOIS'!D46</f>
        <v>-7.2965278263836798E-10</v>
      </c>
      <c r="AU37">
        <f ca="1">'JACOBIAN - OIS USDOIS'!E46</f>
        <v>2.9175404314685201E-9</v>
      </c>
      <c r="AV37">
        <f ca="1">'JACOBIAN - OIS USDOIS'!F46</f>
        <v>-7.6857996633705705E-9</v>
      </c>
      <c r="AW37">
        <f ca="1">'JACOBIAN - OIS USDOIS'!G46</f>
        <v>9.8925065916688498E-9</v>
      </c>
      <c r="AX37">
        <f ca="1">'JACOBIAN - OIS USDOIS'!H46</f>
        <v>-2.23732227189188E-8</v>
      </c>
      <c r="AY37">
        <f ca="1">'JACOBIAN - OIS USDOIS'!I46</f>
        <v>6.2289909008583803E-8</v>
      </c>
      <c r="AZ37">
        <f ca="1">'JACOBIAN - OIS USDOIS'!J46</f>
        <v>-2.7344086162006702E-7</v>
      </c>
      <c r="BA37">
        <f ca="1">'JACOBIAN - OIS USDOIS'!K46</f>
        <v>1.05268021066696E-6</v>
      </c>
      <c r="BB37">
        <f ca="1">'JACOBIAN - OIS USDOIS'!L46</f>
        <v>-1.2465523629989799E-6</v>
      </c>
      <c r="BC37">
        <f ca="1">'JACOBIAN - OIS USDOIS'!M46</f>
        <v>3.30789142566346E-6</v>
      </c>
      <c r="BD37">
        <f ca="1">'JACOBIAN - OIS USDOIS'!N46</f>
        <v>-1.52655665885959E-13</v>
      </c>
      <c r="BE37">
        <f ca="1">'JACOBIAN - OIS USDOIS'!O46</f>
        <v>-1.52655665885959E-13</v>
      </c>
      <c r="BF37">
        <f ca="1">'JACOBIAN - OIS USDOIS'!P46</f>
        <v>-1.52655665885959E-13</v>
      </c>
      <c r="BG37">
        <f ca="1">'JACOBIAN - OIS USDOIS'!Q46</f>
        <v>-1.52655665885959E-13</v>
      </c>
      <c r="BH37">
        <f ca="1">'JACOBIAN - OIS USDOIS'!R46</f>
        <v>-1.52655665885959E-13</v>
      </c>
      <c r="BI37" s="161">
        <f ca="1">'JACOBIAN - OIS USDOIS'!S46</f>
        <v>3.55980764954467E-6</v>
      </c>
      <c r="BJ37" s="161">
        <f ca="1">'JACOBIAN - OIS USDOIS'!T46</f>
        <v>-1.1209197649963999E-5</v>
      </c>
      <c r="BK37" s="161">
        <f ca="1">'JACOBIAN - OIS USDOIS'!U46</f>
        <v>2.6052609951920901E-5</v>
      </c>
      <c r="BL37" s="161">
        <f ca="1">'JACOBIAN - OIS USDOIS'!V46</f>
        <v>-1.1451522716576801E-4</v>
      </c>
      <c r="BM37" s="161">
        <f ca="1">'JACOBIAN - OIS USDOIS'!W46</f>
        <v>5.5668693091670595E-4</v>
      </c>
      <c r="BN37" s="161">
        <f ca="1">'JACOBIAN - OIS USDOIS'!X46</f>
        <v>4.0919294304497797E-5</v>
      </c>
      <c r="BO37" s="161">
        <f ca="1">'JACOBIAN - OIS USDOIS'!Y46</f>
        <v>-7.9750144689194596E-6</v>
      </c>
      <c r="BP37" s="161">
        <f ca="1">'JACOBIAN - OIS USDOIS'!Z46</f>
        <v>2.7937683083623099E-6</v>
      </c>
      <c r="BQ37" s="161">
        <f ca="1">'JACOBIAN - OIS USDOIS'!AA46</f>
        <v>-3.9683215669050801E-7</v>
      </c>
      <c r="BR37" s="161">
        <f ca="1">'JACOBIAN - OIS USDOIS'!AB46</f>
        <v>5.9219529613407902E-8</v>
      </c>
      <c r="BS37" s="161">
        <f ca="1">'JACOBIAN - OIS USDOIS'!AC46</f>
        <v>-1.51841861306679E-8</v>
      </c>
      <c r="BT37" s="161">
        <f ca="1">'JACOBIAN - OIS USDOIS'!AD46</f>
        <v>2.5818635007723901E-9</v>
      </c>
      <c r="BU37">
        <f ca="1">'JACOBIAN - OIS USDOIS'!AE46</f>
        <v>-3.4956150255505098E-6</v>
      </c>
      <c r="BV37">
        <f ca="1">'JACOBIAN - OIS USDOIS'!AF46</f>
        <v>1.10224988365548E-5</v>
      </c>
      <c r="BW37">
        <f ca="1">'JACOBIAN - OIS USDOIS'!AG46</f>
        <v>-2.56339987468879E-5</v>
      </c>
      <c r="BX37">
        <f ca="1">'JACOBIAN - OIS USDOIS'!AH46</f>
        <v>1.12723941185666E-4</v>
      </c>
      <c r="BY37">
        <f ca="1">'JACOBIAN - OIS USDOIS'!AI46</f>
        <v>-5.4742264679497098E-4</v>
      </c>
      <c r="BZ37">
        <f ca="1">'JACOBIAN - OIS USDOIS'!AJ46</f>
        <v>-4.0274946851326397E-5</v>
      </c>
      <c r="CA37">
        <f ca="1">'JACOBIAN - OIS USDOIS'!AK46</f>
        <v>7.8501951343845599E-6</v>
      </c>
      <c r="CB37">
        <f ca="1">'JACOBIAN - OIS USDOIS'!AL46</f>
        <v>-2.7513449323279798E-6</v>
      </c>
      <c r="CC37">
        <f ca="1">'JACOBIAN - OIS USDOIS'!AM46</f>
        <v>3.9085232694802098E-7</v>
      </c>
      <c r="CD37">
        <f ca="1">'JACOBIAN - OIS USDOIS'!AN46</f>
        <v>-5.8348280873588003E-8</v>
      </c>
      <c r="CE37">
        <f ca="1">'JACOBIAN - OIS USDOIS'!AO46</f>
        <v>1.49704419971641E-8</v>
      </c>
      <c r="CF37">
        <f ca="1">'JACOBIAN - OIS USDOIS'!AP46</f>
        <v>-2.54806697963517E-9</v>
      </c>
      <c r="CK37" s="248">
        <f t="shared" ca="1" si="5"/>
        <v>45733</v>
      </c>
      <c r="CL37">
        <f t="shared" ca="1" si="6"/>
        <v>-1.0340484046800201E-6</v>
      </c>
      <c r="CM37">
        <f t="shared" ca="1" si="7"/>
        <v>-7.2965278263836798E-10</v>
      </c>
      <c r="CN37">
        <f t="shared" ca="1" si="8"/>
        <v>2.9175404314685201E-9</v>
      </c>
      <c r="CO37">
        <f t="shared" ca="1" si="9"/>
        <v>-7.6857996633705705E-9</v>
      </c>
      <c r="CP37">
        <f t="shared" ca="1" si="10"/>
        <v>9.8925065916688498E-9</v>
      </c>
      <c r="CQ37">
        <f t="shared" ca="1" si="11"/>
        <v>-2.23732227189188E-8</v>
      </c>
      <c r="CR37">
        <f t="shared" ca="1" si="12"/>
        <v>6.2289909008583803E-8</v>
      </c>
      <c r="CS37">
        <f t="shared" ca="1" si="13"/>
        <v>-2.7344086162006702E-7</v>
      </c>
      <c r="CT37">
        <f t="shared" ca="1" si="14"/>
        <v>1.05268021066696E-6</v>
      </c>
      <c r="CU37">
        <f t="shared" ca="1" si="15"/>
        <v>-1.2465523629989799E-6</v>
      </c>
      <c r="CV37">
        <f t="shared" ca="1" si="16"/>
        <v>3.30789142566346E-6</v>
      </c>
      <c r="CW37">
        <f t="shared" ca="1" si="17"/>
        <v>-1.52655665885959E-13</v>
      </c>
      <c r="CX37">
        <f t="shared" ca="1" si="18"/>
        <v>-1.52655665885959E-13</v>
      </c>
      <c r="CY37">
        <f t="shared" ca="1" si="19"/>
        <v>-1.52655665885959E-13</v>
      </c>
      <c r="CZ37">
        <f t="shared" ca="1" si="20"/>
        <v>-1.52655665885959E-13</v>
      </c>
      <c r="DA37">
        <f t="shared" ca="1" si="21"/>
        <v>-1.52655665885959E-13</v>
      </c>
      <c r="DB37" s="146">
        <v>0</v>
      </c>
      <c r="DC37" s="146">
        <v>0</v>
      </c>
      <c r="DD37" s="146">
        <v>0</v>
      </c>
      <c r="DE37" s="146">
        <v>0</v>
      </c>
      <c r="DF37" s="146">
        <v>0</v>
      </c>
      <c r="DG37" s="146">
        <v>0</v>
      </c>
      <c r="DH37" s="146">
        <v>0</v>
      </c>
      <c r="DI37" s="146">
        <v>0</v>
      </c>
      <c r="DJ37" s="146">
        <v>0</v>
      </c>
      <c r="DK37" s="146">
        <v>0</v>
      </c>
      <c r="DL37" s="146">
        <v>0</v>
      </c>
      <c r="DM37" s="146">
        <v>0</v>
      </c>
      <c r="DN37">
        <f t="shared" ca="1" si="22"/>
        <v>-3.4956150255505098E-6</v>
      </c>
      <c r="DO37">
        <f t="shared" ca="1" si="23"/>
        <v>1.10224988365548E-5</v>
      </c>
      <c r="DP37">
        <f t="shared" ca="1" si="24"/>
        <v>-2.56339987468879E-5</v>
      </c>
      <c r="DQ37">
        <f t="shared" ca="1" si="25"/>
        <v>1.12723941185666E-4</v>
      </c>
      <c r="DR37">
        <f t="shared" ca="1" si="26"/>
        <v>-5.4742264679497098E-4</v>
      </c>
      <c r="DS37">
        <f t="shared" ca="1" si="27"/>
        <v>-4.0274946851326397E-5</v>
      </c>
      <c r="DT37">
        <f t="shared" ca="1" si="28"/>
        <v>7.8501951343845599E-6</v>
      </c>
      <c r="DU37">
        <f t="shared" ca="1" si="29"/>
        <v>-2.7513449323279798E-6</v>
      </c>
      <c r="DV37">
        <f t="shared" ca="1" si="30"/>
        <v>3.9085232694802098E-7</v>
      </c>
      <c r="DW37">
        <f t="shared" ca="1" si="31"/>
        <v>-5.8348280873588003E-8</v>
      </c>
      <c r="DX37">
        <f t="shared" ca="1" si="32"/>
        <v>1.49704419971641E-8</v>
      </c>
      <c r="DY37">
        <f t="shared" ca="1" si="33"/>
        <v>-2.54806697963517E-9</v>
      </c>
      <c r="EA37" s="278" t="str">
        <f ca="1"/>
        <v>SWAP_4Y</v>
      </c>
      <c r="EB37" s="277">
        <f ca="1"/>
        <v>-2.6317588871969253</v>
      </c>
      <c r="EC37" s="246" t="str">
        <f ca="1">FI24</f>
        <v>#DISABLED</v>
      </c>
      <c r="ED37" s="248">
        <f ca="1">'JACOBIAN - SWAP USD3ML'!B46</f>
        <v>45733</v>
      </c>
      <c r="EE37">
        <f ca="1">'JACOBIAN - SWAP USD3ML'!C46</f>
        <v>7.46361306092069E-13</v>
      </c>
      <c r="EF37">
        <f ca="1">'JACOBIAN - SWAP USD3ML'!D46</f>
        <v>-7.0953372308113504E-7</v>
      </c>
      <c r="EG37">
        <f ca="1">'JACOBIAN - SWAP USD3ML'!E46</f>
        <v>1.32676473973969E-11</v>
      </c>
      <c r="EH37">
        <f ca="1">'JACOBIAN - SWAP USD3ML'!F46</f>
        <v>7.4462311316914104E-13</v>
      </c>
      <c r="EI37">
        <f ca="1">'JACOBIAN - SWAP USD3ML'!G46</f>
        <v>-7.7623012358085697E-9</v>
      </c>
      <c r="EJ37">
        <f ca="1">'JACOBIAN - SWAP USD3ML'!H46</f>
        <v>-7.0688840867611E-7</v>
      </c>
      <c r="EK37">
        <f ca="1">'JACOBIAN - SWAP USD3ML'!I46</f>
        <v>-7.0432916455739902E-7</v>
      </c>
      <c r="EL37">
        <f ca="1">'JACOBIAN - SWAP USD3ML'!J46</f>
        <v>-7.0200586821736498E-7</v>
      </c>
      <c r="EM37">
        <f ca="1">'JACOBIAN - SWAP USD3ML'!K46</f>
        <v>-6.9977424550435298E-7</v>
      </c>
      <c r="EN37">
        <f ca="1">'JACOBIAN - SWAP USD3ML'!L46</f>
        <v>-6.9758980504944202E-7</v>
      </c>
      <c r="EO37">
        <f ca="1">'JACOBIAN - SWAP USD3ML'!M46</f>
        <v>-6.9114409673512498E-7</v>
      </c>
      <c r="EP37">
        <f ca="1">'JACOBIAN - SWAP USD3ML'!N46</f>
        <v>-1.4991641945245901E-6</v>
      </c>
      <c r="EQ37">
        <f ca="1">'JACOBIAN - SWAP USD3ML'!O46</f>
        <v>3.6317151685949498E-5</v>
      </c>
      <c r="ER37">
        <f ca="1">'JACOBIAN - SWAP USD3ML'!P46</f>
        <v>-1.75759746625453E-4</v>
      </c>
      <c r="ES37">
        <f ca="1">'JACOBIAN - SWAP USD3ML'!Q46</f>
        <v>-7.2990126961620204E-5</v>
      </c>
      <c r="ET37">
        <f ca="1">'JACOBIAN - SWAP USD3ML'!R46</f>
        <v>5.3757474378490397E-4</v>
      </c>
      <c r="EU37">
        <f ca="1">'JACOBIAN - SWAP USD3ML'!S46</f>
        <v>-2.8668586179785699E-4</v>
      </c>
      <c r="EV37">
        <f ca="1">'JACOBIAN - SWAP USD3ML'!T46</f>
        <v>8.4689966314617504E-5</v>
      </c>
      <c r="EW37">
        <f ca="1">'JACOBIAN - SWAP USD3ML'!U46</f>
        <v>-2.0509131056053301E-5</v>
      </c>
      <c r="EX37">
        <f ca="1">'JACOBIAN - SWAP USD3ML'!V46</f>
        <v>2.3941855437324701E-6</v>
      </c>
      <c r="EY37">
        <f ca="1">'JACOBIAN - SWAP USD3ML'!W46</f>
        <v>-4.2417862005511601E-7</v>
      </c>
      <c r="EZ37">
        <f ca="1">'JACOBIAN - SWAP USD3ML'!X46</f>
        <v>8.4077403299936999E-8</v>
      </c>
      <c r="FA37">
        <f ca="1">'JACOBIAN - SWAP USD3ML'!Y46</f>
        <v>-2.6915326488408099E-8</v>
      </c>
      <c r="FB37">
        <f ca="1">'JACOBIAN - SWAP USD3ML'!Z46</f>
        <v>5.4785132957979599E-9</v>
      </c>
      <c r="FH37" s="11" t="str">
        <f ca="1"/>
        <v>USDYC.OIS.BASISRATE.25Y</v>
      </c>
      <c r="FI37" s="275">
        <f ca="1"/>
        <v>7.6564974733628333E-3</v>
      </c>
      <c r="FJ37" s="11" t="str">
        <f ca="1"/>
        <v/>
      </c>
      <c r="FK37" s="275" t="str">
        <f ca="1"/>
        <v/>
      </c>
      <c r="FL37" s="11" t="e">
        <f ca="1"/>
        <v>#N/A</v>
      </c>
    </row>
    <row r="38" spans="2:168" x14ac:dyDescent="0.25">
      <c r="F38" s="270">
        <f ca="1"/>
        <v>45460</v>
      </c>
      <c r="G38" s="9">
        <f ca="1"/>
        <v>45460</v>
      </c>
      <c r="H38" s="9">
        <f ca="1"/>
        <v>45552</v>
      </c>
      <c r="I38" s="9">
        <f ca="1"/>
        <v>92</v>
      </c>
      <c r="J38" s="252">
        <f ca="1"/>
        <v>0.25555555555555598</v>
      </c>
      <c r="K38" s="269">
        <f ca="1"/>
        <v>45552</v>
      </c>
      <c r="L38" s="254">
        <f ca="1"/>
        <v>1000000</v>
      </c>
      <c r="M38" s="9">
        <f ca="1"/>
        <v>0</v>
      </c>
      <c r="N38" s="9">
        <f ca="1"/>
        <v>1</v>
      </c>
      <c r="O38" s="9">
        <f ca="1"/>
        <v>0</v>
      </c>
      <c r="P38" s="9">
        <f ca="1"/>
        <v>1.6279498387144702E-2</v>
      </c>
      <c r="Q38" s="263">
        <f ca="1"/>
        <v>4160.3162544925399</v>
      </c>
      <c r="R38" s="9">
        <f ca="1"/>
        <v>0.93742553070492896</v>
      </c>
      <c r="S38" s="9">
        <f ca="1"/>
        <v>3899.9866727680101</v>
      </c>
      <c r="T38" s="9" t="str">
        <f ca="1"/>
        <v/>
      </c>
      <c r="U38" s="12" t="str">
        <f ca="1"/>
        <v/>
      </c>
      <c r="V38" s="259">
        <f t="shared" ca="1" si="39"/>
        <v>239564.30229126001</v>
      </c>
      <c r="X38" s="258">
        <f t="shared" ref="X38:X69" ca="1" si="42">AR38</f>
        <v>45825</v>
      </c>
      <c r="Y38" s="261">
        <v>0</v>
      </c>
      <c r="AA38" s="257">
        <f t="shared" ca="1" si="35"/>
        <v>45825</v>
      </c>
      <c r="AB38" s="266">
        <f t="shared" ca="1" si="2"/>
        <v>-5.0718014182982141E-4</v>
      </c>
      <c r="AC38" s="266"/>
      <c r="AD38" s="290">
        <f ca="1"/>
        <v>45825</v>
      </c>
      <c r="AE38" s="291">
        <f ca="1"/>
        <v>-5.0718014182982163E-4</v>
      </c>
      <c r="AF38" s="291" t="b">
        <f t="shared" ca="1" si="36"/>
        <v>1</v>
      </c>
      <c r="AH38" s="257">
        <f t="shared" ca="1" si="3"/>
        <v>45825</v>
      </c>
      <c r="AI38" s="260">
        <v>0</v>
      </c>
      <c r="AK38" s="290">
        <f ca="1"/>
        <v>45825</v>
      </c>
      <c r="AL38" s="291">
        <f ca="1"/>
        <v>9.8414306200885621E-5</v>
      </c>
      <c r="AM38" s="291" t="b">
        <f t="shared" ca="1" si="4"/>
        <v>1</v>
      </c>
      <c r="AO38" s="257">
        <f t="shared" ca="1" si="37"/>
        <v>45825</v>
      </c>
      <c r="AP38" s="266">
        <f t="shared" ca="1" si="38"/>
        <v>9.8414306200884997E-5</v>
      </c>
      <c r="AR38" s="248">
        <f ca="1">'JACOBIAN - OIS USDOIS'!B47</f>
        <v>45825</v>
      </c>
      <c r="AS38">
        <f ca="1">'JACOBIAN - OIS USDOIS'!C47</f>
        <v>-1.03022827591115E-6</v>
      </c>
      <c r="AT38">
        <f ca="1">'JACOBIAN - OIS USDOIS'!D47</f>
        <v>-1.2248743130882601E-9</v>
      </c>
      <c r="AU38">
        <f ca="1">'JACOBIAN - OIS USDOIS'!E47</f>
        <v>4.8977620847878703E-9</v>
      </c>
      <c r="AV38">
        <f ca="1">'JACOBIAN - OIS USDOIS'!F47</f>
        <v>-1.29021140438113E-8</v>
      </c>
      <c r="AW38">
        <f ca="1">'JACOBIAN - OIS USDOIS'!G47</f>
        <v>1.66067498641453E-8</v>
      </c>
      <c r="AX38">
        <f ca="1">'JACOBIAN - OIS USDOIS'!H47</f>
        <v>-3.7557741250360299E-8</v>
      </c>
      <c r="AY38">
        <f ca="1">'JACOBIAN - OIS USDOIS'!I47</f>
        <v>1.13774125010124E-7</v>
      </c>
      <c r="AZ38">
        <f ca="1">'JACOBIAN - OIS USDOIS'!J47</f>
        <v>-4.5902463086111599E-7</v>
      </c>
      <c r="BA38">
        <f ca="1">'JACOBIAN - OIS USDOIS'!K47</f>
        <v>1.7671386577378101E-6</v>
      </c>
      <c r="BB38">
        <f ca="1">'JACOBIAN - OIS USDOIS'!L47</f>
        <v>-2.3288314753289198E-6</v>
      </c>
      <c r="BC38">
        <f ca="1">'JACOBIAN - OIS USDOIS'!M47</f>
        <v>5.5807199863533399E-6</v>
      </c>
      <c r="BD38">
        <f ca="1">'JACOBIAN - OIS USDOIS'!N47</f>
        <v>-1.44884104713583E-13</v>
      </c>
      <c r="BE38">
        <f ca="1">'JACOBIAN - OIS USDOIS'!O47</f>
        <v>-1.44884104713583E-13</v>
      </c>
      <c r="BF38">
        <f ca="1">'JACOBIAN - OIS USDOIS'!P47</f>
        <v>-1.44884104713583E-13</v>
      </c>
      <c r="BG38">
        <f ca="1">'JACOBIAN - OIS USDOIS'!Q47</f>
        <v>-1.44884104713583E-13</v>
      </c>
      <c r="BH38">
        <f ca="1">'JACOBIAN - OIS USDOIS'!R47</f>
        <v>-1.44884104713583E-13</v>
      </c>
      <c r="BI38" s="161">
        <f ca="1">'JACOBIAN - OIS USDOIS'!S47</f>
        <v>6.5210858042341596E-6</v>
      </c>
      <c r="BJ38" s="161">
        <f ca="1">'JACOBIAN - OIS USDOIS'!T47</f>
        <v>-1.6258462822493799E-5</v>
      </c>
      <c r="BK38" s="161">
        <f ca="1">'JACOBIAN - OIS USDOIS'!U47</f>
        <v>4.4443406564842503E-5</v>
      </c>
      <c r="BL38" s="161">
        <f ca="1">'JACOBIAN - OIS USDOIS'!V47</f>
        <v>-1.8348951304736301E-4</v>
      </c>
      <c r="BM38" s="161">
        <f ca="1">'JACOBIAN - OIS USDOIS'!W47</f>
        <v>5.7531392296716899E-4</v>
      </c>
      <c r="BN38" s="161">
        <f ca="1">'JACOBIAN - OIS USDOIS'!X47</f>
        <v>1.06636072089161E-4</v>
      </c>
      <c r="BO38" s="161">
        <f ca="1">'JACOBIAN - OIS USDOIS'!Y47</f>
        <v>-1.9621465705665899E-5</v>
      </c>
      <c r="BP38" s="161">
        <f ca="1">'JACOBIAN - OIS USDOIS'!Z47</f>
        <v>6.8737548233333001E-6</v>
      </c>
      <c r="BQ38" s="161">
        <f ca="1">'JACOBIAN - OIS USDOIS'!AA47</f>
        <v>-9.7635794138461996E-7</v>
      </c>
      <c r="BR38" s="161">
        <f ca="1">'JACOBIAN - OIS USDOIS'!AB47</f>
        <v>1.45703152321097E-7</v>
      </c>
      <c r="BS38" s="161">
        <f ca="1">'JACOBIAN - OIS USDOIS'!AC47</f>
        <v>-3.7358800164533099E-8</v>
      </c>
      <c r="BT38" s="161">
        <f ca="1">'JACOBIAN - OIS USDOIS'!AD47</f>
        <v>6.3523795112985201E-9</v>
      </c>
      <c r="BU38">
        <f ca="1">'JACOBIAN - OIS USDOIS'!AE47</f>
        <v>-6.4032301214655999E-6</v>
      </c>
      <c r="BV38">
        <f ca="1">'JACOBIAN - OIS USDOIS'!AF47</f>
        <v>1.59879345043024E-5</v>
      </c>
      <c r="BW38">
        <f ca="1">'JACOBIAN - OIS USDOIS'!AG47</f>
        <v>-4.3728266981291098E-5</v>
      </c>
      <c r="BX38">
        <f ca="1">'JACOBIAN - OIS USDOIS'!AH47</f>
        <v>1.8063336111584499E-4</v>
      </c>
      <c r="BY38">
        <f ca="1">'JACOBIAN - OIS USDOIS'!AI47</f>
        <v>-5.6572770259222195E-4</v>
      </c>
      <c r="BZ38">
        <f ca="1">'JACOBIAN - OIS USDOIS'!AJ47</f>
        <v>-1.04949515011166E-4</v>
      </c>
      <c r="CA38">
        <f ca="1">'JACOBIAN - OIS USDOIS'!AK47</f>
        <v>1.9314605299247701E-5</v>
      </c>
      <c r="CB38">
        <f ca="1">'JACOBIAN - OIS USDOIS'!AL47</f>
        <v>-6.7693472253216297E-6</v>
      </c>
      <c r="CC38">
        <f ca="1">'JACOBIAN - OIS USDOIS'!AM47</f>
        <v>9.6164700669199E-7</v>
      </c>
      <c r="CD38">
        <f ca="1">'JACOBIAN - OIS USDOIS'!AN47</f>
        <v>-1.43559360399337E-7</v>
      </c>
      <c r="CE38">
        <f ca="1">'JACOBIAN - OIS USDOIS'!AO47</f>
        <v>3.6833020522486499E-8</v>
      </c>
      <c r="CF38">
        <f ca="1">'JACOBIAN - OIS USDOIS'!AP47</f>
        <v>-6.2689294866302703E-9</v>
      </c>
      <c r="CK38" s="248">
        <f t="shared" ca="1" si="5"/>
        <v>45825</v>
      </c>
      <c r="CL38">
        <f t="shared" ca="1" si="6"/>
        <v>-1.03022827591115E-6</v>
      </c>
      <c r="CM38">
        <f t="shared" ca="1" si="7"/>
        <v>-1.2248743130882601E-9</v>
      </c>
      <c r="CN38">
        <f t="shared" ca="1" si="8"/>
        <v>4.8977620847878703E-9</v>
      </c>
      <c r="CO38">
        <f t="shared" ca="1" si="9"/>
        <v>-1.29021140438113E-8</v>
      </c>
      <c r="CP38">
        <f t="shared" ca="1" si="10"/>
        <v>1.66067498641453E-8</v>
      </c>
      <c r="CQ38">
        <f t="shared" ca="1" si="11"/>
        <v>-3.7557741250360299E-8</v>
      </c>
      <c r="CR38">
        <f t="shared" ca="1" si="12"/>
        <v>1.13774125010124E-7</v>
      </c>
      <c r="CS38">
        <f t="shared" ca="1" si="13"/>
        <v>-4.5902463086111599E-7</v>
      </c>
      <c r="CT38">
        <f t="shared" ca="1" si="14"/>
        <v>1.7671386577378101E-6</v>
      </c>
      <c r="CU38">
        <f t="shared" ca="1" si="15"/>
        <v>-2.3288314753289198E-6</v>
      </c>
      <c r="CV38">
        <f t="shared" ca="1" si="16"/>
        <v>5.5807199863533399E-6</v>
      </c>
      <c r="CW38">
        <f t="shared" ca="1" si="17"/>
        <v>-1.44884104713583E-13</v>
      </c>
      <c r="CX38">
        <f t="shared" ca="1" si="18"/>
        <v>-1.44884104713583E-13</v>
      </c>
      <c r="CY38">
        <f t="shared" ca="1" si="19"/>
        <v>-1.44884104713583E-13</v>
      </c>
      <c r="CZ38">
        <f t="shared" ca="1" si="20"/>
        <v>-1.44884104713583E-13</v>
      </c>
      <c r="DA38">
        <f t="shared" ca="1" si="21"/>
        <v>-1.44884104713583E-13</v>
      </c>
      <c r="DB38" s="146">
        <v>0</v>
      </c>
      <c r="DC38" s="146">
        <v>0</v>
      </c>
      <c r="DD38" s="146">
        <v>0</v>
      </c>
      <c r="DE38" s="146">
        <v>0</v>
      </c>
      <c r="DF38" s="146">
        <v>0</v>
      </c>
      <c r="DG38" s="146">
        <v>0</v>
      </c>
      <c r="DH38" s="146">
        <v>0</v>
      </c>
      <c r="DI38" s="146">
        <v>0</v>
      </c>
      <c r="DJ38" s="146">
        <v>0</v>
      </c>
      <c r="DK38" s="146">
        <v>0</v>
      </c>
      <c r="DL38" s="146">
        <v>0</v>
      </c>
      <c r="DM38" s="146">
        <v>0</v>
      </c>
      <c r="DN38">
        <f t="shared" ca="1" si="22"/>
        <v>-6.4032301214655999E-6</v>
      </c>
      <c r="DO38">
        <f t="shared" ca="1" si="23"/>
        <v>1.59879345043024E-5</v>
      </c>
      <c r="DP38">
        <f t="shared" ca="1" si="24"/>
        <v>-4.3728266981291098E-5</v>
      </c>
      <c r="DQ38">
        <f t="shared" ca="1" si="25"/>
        <v>1.8063336111584499E-4</v>
      </c>
      <c r="DR38">
        <f t="shared" ca="1" si="26"/>
        <v>-5.6572770259222195E-4</v>
      </c>
      <c r="DS38">
        <f t="shared" ca="1" si="27"/>
        <v>-1.04949515011166E-4</v>
      </c>
      <c r="DT38">
        <f t="shared" ca="1" si="28"/>
        <v>1.9314605299247701E-5</v>
      </c>
      <c r="DU38">
        <f t="shared" ca="1" si="29"/>
        <v>-6.7693472253216297E-6</v>
      </c>
      <c r="DV38">
        <f t="shared" ca="1" si="30"/>
        <v>9.6164700669199E-7</v>
      </c>
      <c r="DW38">
        <f t="shared" ca="1" si="31"/>
        <v>-1.43559360399337E-7</v>
      </c>
      <c r="DX38">
        <f t="shared" ca="1" si="32"/>
        <v>3.6833020522486499E-8</v>
      </c>
      <c r="DY38">
        <f t="shared" ca="1" si="33"/>
        <v>-6.2689294866302703E-9</v>
      </c>
      <c r="EA38" s="278" t="str">
        <f ca="1"/>
        <v>SWAP_5Y</v>
      </c>
      <c r="EB38" s="277">
        <f ca="1"/>
        <v>-1.0974859712052649</v>
      </c>
      <c r="EC38" s="246" t="str">
        <f ca="1">FI25</f>
        <v>#DISABLED</v>
      </c>
      <c r="ED38" s="248">
        <f ca="1">'JACOBIAN - SWAP USD3ML'!B47</f>
        <v>45825</v>
      </c>
      <c r="EE38">
        <f ca="1">'JACOBIAN - SWAP USD3ML'!C47</f>
        <v>4.0402403644890198E-13</v>
      </c>
      <c r="EF38">
        <f ca="1">'JACOBIAN - SWAP USD3ML'!D47</f>
        <v>-1.8053229085615601E-7</v>
      </c>
      <c r="EG38">
        <f ca="1">'JACOBIAN - SWAP USD3ML'!E47</f>
        <v>5.3600596183756003E-12</v>
      </c>
      <c r="EH38">
        <f ca="1">'JACOBIAN - SWAP USD3ML'!F47</f>
        <v>4.0402403644890198E-13</v>
      </c>
      <c r="EI38">
        <f ca="1">'JACOBIAN - SWAP USD3ML'!G47</f>
        <v>-1.9748090142324099E-9</v>
      </c>
      <c r="EJ38">
        <f ca="1">'JACOBIAN - SWAP USD3ML'!H47</f>
        <v>-1.79858984230424E-7</v>
      </c>
      <c r="EK38">
        <f ca="1">'JACOBIAN - SWAP USD3ML'!I47</f>
        <v>-1.7920609083829599E-7</v>
      </c>
      <c r="EL38">
        <f ca="1">'JACOBIAN - SWAP USD3ML'!J47</f>
        <v>-1.7861498019869399E-7</v>
      </c>
      <c r="EM38">
        <f ca="1">'JACOBIAN - SWAP USD3ML'!K47</f>
        <v>-1.78047191774777E-7</v>
      </c>
      <c r="EN38">
        <f ca="1">'JACOBIAN - SWAP USD3ML'!L47</f>
        <v>-1.77491385935924E-7</v>
      </c>
      <c r="EO38">
        <f ca="1">'JACOBIAN - SWAP USD3ML'!M47</f>
        <v>-1.7585137607190001E-7</v>
      </c>
      <c r="EP38">
        <f ca="1">'JACOBIAN - SWAP USD3ML'!N47</f>
        <v>-3.8144095447501001E-7</v>
      </c>
      <c r="EQ38">
        <f ca="1">'JACOBIAN - SWAP USD3ML'!O47</f>
        <v>9.2402152937834398E-6</v>
      </c>
      <c r="ER38">
        <f ca="1">'JACOBIAN - SWAP USD3ML'!P47</f>
        <v>-4.4723367015862097E-5</v>
      </c>
      <c r="ES38">
        <f ca="1">'JACOBIAN - SWAP USD3ML'!Q47</f>
        <v>-2.5375914816656202E-4</v>
      </c>
      <c r="ET38">
        <f ca="1">'JACOBIAN - SWAP USD3ML'!R47</f>
        <v>6.1322984008216699E-4</v>
      </c>
      <c r="EU38">
        <f ca="1">'JACOBIAN - SWAP USD3ML'!S47</f>
        <v>-2.9119420319545199E-4</v>
      </c>
      <c r="EV38">
        <f ca="1">'JACOBIAN - SWAP USD3ML'!T47</f>
        <v>8.6020883057515206E-5</v>
      </c>
      <c r="EW38">
        <f ca="1">'JACOBIAN - SWAP USD3ML'!U47</f>
        <v>-2.0831497449635999E-5</v>
      </c>
      <c r="EX38">
        <f ca="1">'JACOBIAN - SWAP USD3ML'!V47</f>
        <v>2.43181732837577E-6</v>
      </c>
      <c r="EY38">
        <f ca="1">'JACOBIAN - SWAP USD3ML'!W47</f>
        <v>-4.3084751592467602E-7</v>
      </c>
      <c r="EZ38">
        <f ca="1">'JACOBIAN - SWAP USD3ML'!X47</f>
        <v>8.5399329347729496E-8</v>
      </c>
      <c r="FA38">
        <f ca="1">'JACOBIAN - SWAP USD3ML'!Y47</f>
        <v>-2.7338413272765E-8</v>
      </c>
      <c r="FB38">
        <f ca="1">'JACOBIAN - SWAP USD3ML'!Z47</f>
        <v>5.5647616931109303E-9</v>
      </c>
      <c r="FH38" s="11" t="str">
        <f ca="1"/>
        <v>USDYC.OIS.3MLIBORSWAP.25Y</v>
      </c>
      <c r="FI38" s="275">
        <f ca="1"/>
        <v>7.5923519034404308E-3</v>
      </c>
      <c r="FJ38" s="11" t="str">
        <f ca="1"/>
        <v/>
      </c>
      <c r="FK38" s="275" t="str">
        <f ca="1"/>
        <v/>
      </c>
      <c r="FL38" s="11" t="e">
        <f ca="1"/>
        <v>#N/A</v>
      </c>
    </row>
    <row r="39" spans="2:168" x14ac:dyDescent="0.25">
      <c r="F39" s="270">
        <f ca="1"/>
        <v>45552</v>
      </c>
      <c r="G39" s="9">
        <f ca="1"/>
        <v>45552</v>
      </c>
      <c r="H39" s="9">
        <f ca="1"/>
        <v>45643</v>
      </c>
      <c r="I39" s="9">
        <f ca="1"/>
        <v>91</v>
      </c>
      <c r="J39" s="252">
        <f ca="1"/>
        <v>0.25277777777777799</v>
      </c>
      <c r="K39" s="269">
        <f ca="1"/>
        <v>45643</v>
      </c>
      <c r="L39" s="254">
        <f ca="1"/>
        <v>1000000</v>
      </c>
      <c r="M39" s="9">
        <f ca="1"/>
        <v>0</v>
      </c>
      <c r="N39" s="9">
        <f ca="1"/>
        <v>1</v>
      </c>
      <c r="O39" s="9">
        <f ca="1"/>
        <v>0</v>
      </c>
      <c r="P39" s="9">
        <f ca="1"/>
        <v>1.6431890252120201E-2</v>
      </c>
      <c r="Q39" s="263">
        <f ca="1"/>
        <v>4153.6167026192697</v>
      </c>
      <c r="R39" s="9">
        <f ca="1"/>
        <v>0.93408001575647903</v>
      </c>
      <c r="S39" s="9">
        <f ca="1"/>
        <v>3879.8103550289802</v>
      </c>
      <c r="T39" s="9" t="str">
        <f ca="1"/>
        <v/>
      </c>
      <c r="U39" s="12" t="str">
        <f ca="1"/>
        <v/>
      </c>
      <c r="V39" s="259">
        <f t="shared" ca="1" si="39"/>
        <v>236114.67064955461</v>
      </c>
      <c r="X39" s="258">
        <f t="shared" ca="1" si="42"/>
        <v>45917</v>
      </c>
      <c r="Y39" s="261">
        <v>0</v>
      </c>
      <c r="AA39" s="257">
        <f t="shared" ca="1" si="35"/>
        <v>45917</v>
      </c>
      <c r="AB39" s="266">
        <f t="shared" ref="AB39:AB70" ca="1" si="43">SUM(CL39:DY39)</f>
        <v>-5.2845119869915347E-4</v>
      </c>
      <c r="AC39" s="266"/>
      <c r="AD39" s="290">
        <f ca="1"/>
        <v>45917</v>
      </c>
      <c r="AE39" s="291">
        <f ca="1"/>
        <v>-5.2845119869915358E-4</v>
      </c>
      <c r="AF39" s="291" t="b">
        <f t="shared" ca="1" si="36"/>
        <v>1</v>
      </c>
      <c r="AH39" s="257">
        <f t="shared" ref="AH39:AH70" ca="1" si="44">AO39</f>
        <v>45917</v>
      </c>
      <c r="AI39" s="260">
        <v>0</v>
      </c>
      <c r="AK39" s="290">
        <f ca="1"/>
        <v>45917</v>
      </c>
      <c r="AL39" s="291">
        <f ca="1"/>
        <v>9.8520542645391646E-5</v>
      </c>
      <c r="AM39" s="291" t="b">
        <f t="shared" ref="AM39:AM70" ca="1" si="45">ABS(AP39-AL39)&lt;0.0000000000000001</f>
        <v>1</v>
      </c>
      <c r="AO39" s="257">
        <f t="shared" ref="AO39:AO70" ca="1" si="46">ED39</f>
        <v>45917</v>
      </c>
      <c r="AP39" s="266">
        <f t="shared" ca="1" si="38"/>
        <v>9.8520542645391592E-5</v>
      </c>
      <c r="AR39" s="248">
        <f ca="1">'JACOBIAN - OIS USDOIS'!B48</f>
        <v>45917</v>
      </c>
      <c r="AS39">
        <f ca="1">'JACOBIAN - OIS USDOIS'!C48</f>
        <v>-1.02637474586054E-6</v>
      </c>
      <c r="AT39">
        <f ca="1">'JACOBIAN - OIS USDOIS'!D48</f>
        <v>-1.43776401895224E-9</v>
      </c>
      <c r="AU39">
        <f ca="1">'JACOBIAN - OIS USDOIS'!E48</f>
        <v>5.7490200378040901E-9</v>
      </c>
      <c r="AV39">
        <f ca="1">'JACOBIAN - OIS USDOIS'!F48</f>
        <v>-1.5144496989805101E-8</v>
      </c>
      <c r="AW39">
        <f ca="1">'JACOBIAN - OIS USDOIS'!G48</f>
        <v>1.94931074615212E-8</v>
      </c>
      <c r="AX39">
        <f ca="1">'JACOBIAN - OIS USDOIS'!H48</f>
        <v>-4.4085269657046002E-8</v>
      </c>
      <c r="AY39">
        <f ca="1">'JACOBIAN - OIS USDOIS'!I48</f>
        <v>1.35952085256186E-7</v>
      </c>
      <c r="AZ39">
        <f ca="1">'JACOBIAN - OIS USDOIS'!J48</f>
        <v>-5.3880367234526695E-7</v>
      </c>
      <c r="BA39">
        <f ca="1">'JACOBIAN - OIS USDOIS'!K48</f>
        <v>2.07427147336237E-6</v>
      </c>
      <c r="BB39">
        <f ca="1">'JACOBIAN - OIS USDOIS'!L48</f>
        <v>-2.7941662857910998E-6</v>
      </c>
      <c r="BC39">
        <f ca="1">'JACOBIAN - OIS USDOIS'!M48</f>
        <v>6.55790715342608E-6</v>
      </c>
      <c r="BD39">
        <f ca="1">'JACOBIAN - OIS USDOIS'!N48</f>
        <v>-1.12465592394528E-13</v>
      </c>
      <c r="BE39">
        <f ca="1">'JACOBIAN - OIS USDOIS'!O48</f>
        <v>-1.12465592394528E-13</v>
      </c>
      <c r="BF39">
        <f ca="1">'JACOBIAN - OIS USDOIS'!P48</f>
        <v>-1.12465592394528E-13</v>
      </c>
      <c r="BG39">
        <f ca="1">'JACOBIAN - OIS USDOIS'!Q48</f>
        <v>-1.12465592394528E-13</v>
      </c>
      <c r="BH39">
        <f ca="1">'JACOBIAN - OIS USDOIS'!R48</f>
        <v>-1.12465592394528E-13</v>
      </c>
      <c r="BI39" s="161">
        <f ca="1">'JACOBIAN - OIS USDOIS'!S48</f>
        <v>7.7941874736531196E-6</v>
      </c>
      <c r="BJ39" s="161">
        <f ca="1">'JACOBIAN - OIS USDOIS'!T48</f>
        <v>-1.84292722880119E-5</v>
      </c>
      <c r="BK39" s="161">
        <f ca="1">'JACOBIAN - OIS USDOIS'!U48</f>
        <v>5.23528284127606E-5</v>
      </c>
      <c r="BL39" s="161">
        <f ca="1">'JACOBIAN - OIS USDOIS'!V48</f>
        <v>-2.1315918953479499E-4</v>
      </c>
      <c r="BM39" s="161">
        <f ca="1">'JACOBIAN - OIS USDOIS'!W48</f>
        <v>5.4389803400190005E-4</v>
      </c>
      <c r="BN39" s="161">
        <f ca="1">'JACOBIAN - OIS USDOIS'!X48</f>
        <v>1.91949718640672E-4</v>
      </c>
      <c r="BO39" s="161">
        <f ca="1">'JACOBIAN - OIS USDOIS'!Y48</f>
        <v>-3.2399989444820102E-5</v>
      </c>
      <c r="BP39" s="161">
        <f ca="1">'JACOBIAN - OIS USDOIS'!Z48</f>
        <v>1.1350409570121101E-5</v>
      </c>
      <c r="BQ39" s="161">
        <f ca="1">'JACOBIAN - OIS USDOIS'!AA48</f>
        <v>-1.61222351413581E-6</v>
      </c>
      <c r="BR39" s="161">
        <f ca="1">'JACOBIAN - OIS USDOIS'!AB48</f>
        <v>2.4059454739600002E-7</v>
      </c>
      <c r="BS39" s="161">
        <f ca="1">'JACOBIAN - OIS USDOIS'!AC48</f>
        <v>-6.1689162556000099E-8</v>
      </c>
      <c r="BT39" s="161">
        <f ca="1">'JACOBIAN - OIS USDOIS'!AD48</f>
        <v>1.04894777308573E-8</v>
      </c>
      <c r="BU39">
        <f ca="1">'JACOBIAN - OIS USDOIS'!AE48</f>
        <v>-7.6532554142971793E-6</v>
      </c>
      <c r="BV39">
        <f ca="1">'JACOBIAN - OIS USDOIS'!AF48</f>
        <v>1.8122720721325299E-5</v>
      </c>
      <c r="BW39">
        <f ca="1">'JACOBIAN - OIS USDOIS'!AG48</f>
        <v>-5.15099361216853E-5</v>
      </c>
      <c r="BX39">
        <f ca="1">'JACOBIAN - OIS USDOIS'!AH48</f>
        <v>2.0984816985791799E-4</v>
      </c>
      <c r="BY39">
        <f ca="1">'JACOBIAN - OIS USDOIS'!AI48</f>
        <v>-5.3485288667753895E-4</v>
      </c>
      <c r="BZ39">
        <f ca="1">'JACOBIAN - OIS USDOIS'!AJ48</f>
        <v>-1.8889649396114399E-4</v>
      </c>
      <c r="CA39">
        <f ca="1">'JACOBIAN - OIS USDOIS'!AK48</f>
        <v>3.1893724945941698E-5</v>
      </c>
      <c r="CB39">
        <f ca="1">'JACOBIAN - OIS USDOIS'!AL48</f>
        <v>-1.1177950665519599E-5</v>
      </c>
      <c r="CC39">
        <f ca="1">'JACOBIAN - OIS USDOIS'!AM48</f>
        <v>1.58793352211806E-6</v>
      </c>
      <c r="CD39">
        <f ca="1">'JACOBIAN - OIS USDOIS'!AN48</f>
        <v>-2.37054468832376E-7</v>
      </c>
      <c r="CE39">
        <f ca="1">'JACOBIAN - OIS USDOIS'!AO48</f>
        <v>6.08210339869686E-8</v>
      </c>
      <c r="CF39">
        <f ca="1">'JACOBIAN - OIS USDOIS'!AP48</f>
        <v>-1.03515139793231E-8</v>
      </c>
      <c r="CK39" s="248">
        <f t="shared" ref="CK39:CK70" ca="1" si="47">AR39</f>
        <v>45917</v>
      </c>
      <c r="CL39">
        <f t="shared" ref="CL39:CL70" ca="1" si="48">AS39</f>
        <v>-1.02637474586054E-6</v>
      </c>
      <c r="CM39">
        <f t="shared" ref="CM39:CM70" ca="1" si="49">AT39</f>
        <v>-1.43776401895224E-9</v>
      </c>
      <c r="CN39">
        <f t="shared" ref="CN39:CN70" ca="1" si="50">AU39</f>
        <v>5.7490200378040901E-9</v>
      </c>
      <c r="CO39">
        <f t="shared" ref="CO39:CO70" ca="1" si="51">AV39</f>
        <v>-1.5144496989805101E-8</v>
      </c>
      <c r="CP39">
        <f t="shared" ref="CP39:CP70" ca="1" si="52">AW39</f>
        <v>1.94931074615212E-8</v>
      </c>
      <c r="CQ39">
        <f t="shared" ref="CQ39:CQ70" ca="1" si="53">AX39</f>
        <v>-4.4085269657046002E-8</v>
      </c>
      <c r="CR39">
        <f t="shared" ref="CR39:CR70" ca="1" si="54">AY39</f>
        <v>1.35952085256186E-7</v>
      </c>
      <c r="CS39">
        <f t="shared" ref="CS39:CS70" ca="1" si="55">AZ39</f>
        <v>-5.3880367234526695E-7</v>
      </c>
      <c r="CT39">
        <f t="shared" ref="CT39:CT70" ca="1" si="56">BA39</f>
        <v>2.07427147336237E-6</v>
      </c>
      <c r="CU39">
        <f t="shared" ref="CU39:CU70" ca="1" si="57">BB39</f>
        <v>-2.7941662857910998E-6</v>
      </c>
      <c r="CV39">
        <f t="shared" ref="CV39:CV70" ca="1" si="58">BC39</f>
        <v>6.55790715342608E-6</v>
      </c>
      <c r="CW39">
        <f t="shared" ref="CW39:CW70" ca="1" si="59">BD39</f>
        <v>-1.12465592394528E-13</v>
      </c>
      <c r="CX39">
        <f t="shared" ref="CX39:CX70" ca="1" si="60">BE39</f>
        <v>-1.12465592394528E-13</v>
      </c>
      <c r="CY39">
        <f t="shared" ref="CY39:CY70" ca="1" si="61">BF39</f>
        <v>-1.12465592394528E-13</v>
      </c>
      <c r="CZ39">
        <f t="shared" ref="CZ39:CZ70" ca="1" si="62">BG39</f>
        <v>-1.12465592394528E-13</v>
      </c>
      <c r="DA39">
        <f t="shared" ref="DA39:DA70" ca="1" si="63">BH39</f>
        <v>-1.12465592394528E-13</v>
      </c>
      <c r="DB39" s="146">
        <v>0</v>
      </c>
      <c r="DC39" s="146">
        <v>0</v>
      </c>
      <c r="DD39" s="146">
        <v>0</v>
      </c>
      <c r="DE39" s="146">
        <v>0</v>
      </c>
      <c r="DF39" s="146">
        <v>0</v>
      </c>
      <c r="DG39" s="146">
        <v>0</v>
      </c>
      <c r="DH39" s="146">
        <v>0</v>
      </c>
      <c r="DI39" s="146">
        <v>0</v>
      </c>
      <c r="DJ39" s="146">
        <v>0</v>
      </c>
      <c r="DK39" s="146">
        <v>0</v>
      </c>
      <c r="DL39" s="146">
        <v>0</v>
      </c>
      <c r="DM39" s="146">
        <v>0</v>
      </c>
      <c r="DN39">
        <f t="shared" ref="DN39:DN70" ca="1" si="64">BU39</f>
        <v>-7.6532554142971793E-6</v>
      </c>
      <c r="DO39">
        <f t="shared" ref="DO39:DO70" ca="1" si="65">BV39</f>
        <v>1.8122720721325299E-5</v>
      </c>
      <c r="DP39">
        <f t="shared" ref="DP39:DP70" ca="1" si="66">BW39</f>
        <v>-5.15099361216853E-5</v>
      </c>
      <c r="DQ39">
        <f t="shared" ref="DQ39:DQ70" ca="1" si="67">BX39</f>
        <v>2.0984816985791799E-4</v>
      </c>
      <c r="DR39">
        <f t="shared" ref="DR39:DR70" ca="1" si="68">BY39</f>
        <v>-5.3485288667753895E-4</v>
      </c>
      <c r="DS39">
        <f t="shared" ref="DS39:DS70" ca="1" si="69">BZ39</f>
        <v>-1.8889649396114399E-4</v>
      </c>
      <c r="DT39">
        <f t="shared" ref="DT39:DT70" ca="1" si="70">CA39</f>
        <v>3.1893724945941698E-5</v>
      </c>
      <c r="DU39">
        <f t="shared" ref="DU39:DU70" ca="1" si="71">CB39</f>
        <v>-1.1177950665519599E-5</v>
      </c>
      <c r="DV39">
        <f t="shared" ref="DV39:DV70" ca="1" si="72">CC39</f>
        <v>1.58793352211806E-6</v>
      </c>
      <c r="DW39">
        <f t="shared" ref="DW39:DW70" ca="1" si="73">CD39</f>
        <v>-2.37054468832376E-7</v>
      </c>
      <c r="DX39">
        <f t="shared" ref="DX39:DX70" ca="1" si="74">CE39</f>
        <v>6.08210339869686E-8</v>
      </c>
      <c r="DY39">
        <f t="shared" ref="DY39:DY70" ca="1" si="75">CF39</f>
        <v>-1.03515139793231E-8</v>
      </c>
      <c r="EA39" s="278" t="str">
        <f ca="1"/>
        <v>SWAP_7Y</v>
      </c>
      <c r="EB39" s="277">
        <f ca="1"/>
        <v>7.2154335167954498E-2</v>
      </c>
      <c r="EC39" s="171"/>
      <c r="ED39" s="248">
        <f ca="1">'JACOBIAN - SWAP USD3ML'!B48</f>
        <v>45917</v>
      </c>
      <c r="EE39">
        <f ca="1">'JACOBIAN - SWAP USD3ML'!C48</f>
        <v>1.54602025626005E-13</v>
      </c>
      <c r="EF39">
        <f ca="1">'JACOBIAN - SWAP USD3ML'!D48</f>
        <v>2.1106239657398001E-7</v>
      </c>
      <c r="EG39">
        <f ca="1">'JACOBIAN - SWAP USD3ML'!E48</f>
        <v>-9.39907873753754E-14</v>
      </c>
      <c r="EH39">
        <f ca="1">'JACOBIAN - SWAP USD3ML'!F48</f>
        <v>1.5548326515180099E-13</v>
      </c>
      <c r="EI39">
        <f ca="1">'JACOBIAN - SWAP USD3ML'!G48</f>
        <v>2.3094019023506298E-9</v>
      </c>
      <c r="EJ39">
        <f ca="1">'JACOBIAN - SWAP USD3ML'!H48</f>
        <v>2.1027596982387E-7</v>
      </c>
      <c r="EK39">
        <f ca="1">'JACOBIAN - SWAP USD3ML'!I48</f>
        <v>2.09518070587444E-7</v>
      </c>
      <c r="EL39">
        <f ca="1">'JACOBIAN - SWAP USD3ML'!J48</f>
        <v>2.0882691971480001E-7</v>
      </c>
      <c r="EM39">
        <f ca="1">'JACOBIAN - SWAP USD3ML'!K48</f>
        <v>2.0816304636267499E-7</v>
      </c>
      <c r="EN39">
        <f ca="1">'JACOBIAN - SWAP USD3ML'!L48</f>
        <v>2.0751324790457799E-7</v>
      </c>
      <c r="EO39">
        <f ca="1">'JACOBIAN - SWAP USD3ML'!M48</f>
        <v>2.0559582432355701E-7</v>
      </c>
      <c r="EP39">
        <f ca="1">'JACOBIAN - SWAP USD3ML'!N48</f>
        <v>4.4595750916393001E-7</v>
      </c>
      <c r="EQ39">
        <f ca="1">'JACOBIAN - SWAP USD3ML'!O48</f>
        <v>-1.0803448011350399E-5</v>
      </c>
      <c r="ER39">
        <f ca="1">'JACOBIAN - SWAP USD3ML'!P48</f>
        <v>5.22797117605764E-5</v>
      </c>
      <c r="ES39">
        <f ca="1">'JACOBIAN - SWAP USD3ML'!Q48</f>
        <v>-3.7473963530243503E-4</v>
      </c>
      <c r="ET39">
        <f ca="1">'JACOBIAN - SWAP USD3ML'!R48</f>
        <v>6.0563101127614595E-4</v>
      </c>
      <c r="EU39">
        <f ca="1">'JACOBIAN - SWAP USD3ML'!S48</f>
        <v>-2.2853685597758899E-4</v>
      </c>
      <c r="EV39">
        <f ca="1">'JACOBIAN - SWAP USD3ML'!T48</f>
        <v>6.7508898345791004E-5</v>
      </c>
      <c r="EW39">
        <f ca="1">'JACOBIAN - SWAP USD3ML'!U48</f>
        <v>-1.6348662451065601E-5</v>
      </c>
      <c r="EX39">
        <f ca="1">'JACOBIAN - SWAP USD3ML'!V48</f>
        <v>1.9084986646010502E-6</v>
      </c>
      <c r="EY39">
        <f ca="1">'JACOBIAN - SWAP USD3ML'!W48</f>
        <v>-3.3813213416028498E-7</v>
      </c>
      <c r="EZ39">
        <f ca="1">'JACOBIAN - SWAP USD3ML'!X48</f>
        <v>6.7022048570730699E-8</v>
      </c>
      <c r="FA39">
        <f ca="1">'JACOBIAN - SWAP USD3ML'!Y48</f>
        <v>-2.14556627395335E-8</v>
      </c>
      <c r="FB39">
        <f ca="1">'JACOBIAN - SWAP USD3ML'!Z48</f>
        <v>4.36748659460306E-9</v>
      </c>
      <c r="FH39" s="11" t="str">
        <f ca="1"/>
        <v>USDYC.OIS.BASISRATE.30Y</v>
      </c>
      <c r="FI39" s="275">
        <f ca="1"/>
        <v>7.5718657171819359E-3</v>
      </c>
      <c r="FJ39" s="11" t="str">
        <f ca="1"/>
        <v/>
      </c>
      <c r="FK39" s="275" t="str">
        <f ca="1"/>
        <v/>
      </c>
      <c r="FL39" s="11" t="e">
        <f ca="1"/>
        <v>#N/A</v>
      </c>
    </row>
    <row r="40" spans="2:168" x14ac:dyDescent="0.25">
      <c r="B40" t="s">
        <v>302</v>
      </c>
      <c r="C40" s="247">
        <v>28725.216448060404</v>
      </c>
      <c r="F40" s="271" t="str">
        <f ca="1"/>
        <v/>
      </c>
      <c r="G40" s="9" t="str">
        <f ca="1"/>
        <v/>
      </c>
      <c r="H40" s="9" t="str">
        <f ca="1"/>
        <v/>
      </c>
      <c r="I40" s="9" t="str">
        <f ca="1"/>
        <v/>
      </c>
      <c r="J40" s="252" t="str">
        <f ca="1"/>
        <v/>
      </c>
      <c r="K40" s="250" t="str">
        <f ca="1"/>
        <v/>
      </c>
      <c r="L40" s="254" t="str">
        <f ca="1"/>
        <v/>
      </c>
      <c r="M40" s="9" t="str">
        <f ca="1"/>
        <v/>
      </c>
      <c r="N40" s="9" t="str">
        <f ca="1"/>
        <v/>
      </c>
      <c r="O40" s="9" t="str">
        <f ca="1"/>
        <v/>
      </c>
      <c r="P40" s="9" t="str">
        <f ca="1"/>
        <v/>
      </c>
      <c r="Q40" s="252" t="str">
        <f ca="1"/>
        <v/>
      </c>
      <c r="R40" s="9" t="str">
        <f ca="1"/>
        <v/>
      </c>
      <c r="S40" s="9" t="str">
        <f ca="1"/>
        <v/>
      </c>
      <c r="T40" s="9" t="str">
        <f ca="1"/>
        <v/>
      </c>
      <c r="U40" s="12" t="str">
        <f ca="1"/>
        <v/>
      </c>
      <c r="V40" s="58"/>
      <c r="X40" s="258">
        <f t="shared" ca="1" si="42"/>
        <v>46008</v>
      </c>
      <c r="Y40" s="261">
        <v>0</v>
      </c>
      <c r="AA40" s="257">
        <f t="shared" ca="1" si="35"/>
        <v>46008</v>
      </c>
      <c r="AB40" s="266">
        <f t="shared" ca="1" si="43"/>
        <v>-5.4935500655217727E-4</v>
      </c>
      <c r="AC40" s="266"/>
      <c r="AD40" s="290">
        <f ca="1"/>
        <v>46008</v>
      </c>
      <c r="AE40" s="291">
        <f ca="1"/>
        <v>-5.4935500655217684E-4</v>
      </c>
      <c r="AF40" s="291" t="b">
        <f t="shared" ca="1" si="36"/>
        <v>1</v>
      </c>
      <c r="AH40" s="257">
        <f t="shared" ca="1" si="44"/>
        <v>46008</v>
      </c>
      <c r="AI40" s="260">
        <v>0</v>
      </c>
      <c r="AK40" s="290">
        <f ca="1"/>
        <v>46008</v>
      </c>
      <c r="AL40" s="291">
        <f ca="1"/>
        <v>9.8572320524681345E-5</v>
      </c>
      <c r="AM40" s="291" t="b">
        <f t="shared" ca="1" si="45"/>
        <v>1</v>
      </c>
      <c r="AO40" s="257">
        <f t="shared" ca="1" si="46"/>
        <v>46008</v>
      </c>
      <c r="AP40" s="266">
        <f t="shared" ca="1" si="38"/>
        <v>9.8572320524681955E-5</v>
      </c>
      <c r="AR40" s="248">
        <f ca="1">'JACOBIAN - OIS USDOIS'!B49</f>
        <v>46008</v>
      </c>
      <c r="AS40">
        <f ca="1">'JACOBIAN - OIS USDOIS'!C49</f>
        <v>-1.0225296799282199E-6</v>
      </c>
      <c r="AT40">
        <f ca="1">'JACOBIAN - OIS USDOIS'!D49</f>
        <v>-1.40489897493268E-9</v>
      </c>
      <c r="AU40">
        <f ca="1">'JACOBIAN - OIS USDOIS'!E49</f>
        <v>5.6175746276920799E-9</v>
      </c>
      <c r="AV40">
        <f ca="1">'JACOBIAN - OIS USDOIS'!F49</f>
        <v>-1.47982304188332E-8</v>
      </c>
      <c r="AW40">
        <f ca="1">'JACOBIAN - OIS USDOIS'!G49</f>
        <v>1.9047491583990002E-8</v>
      </c>
      <c r="AX40">
        <f ca="1">'JACOBIAN - OIS USDOIS'!H49</f>
        <v>-4.3077346467690301E-8</v>
      </c>
      <c r="AY40">
        <f ca="1">'JACOBIAN - OIS USDOIS'!I49</f>
        <v>1.3261752818127801E-7</v>
      </c>
      <c r="AZ40">
        <f ca="1">'JACOBIAN - OIS USDOIS'!J49</f>
        <v>-5.2648530879384502E-7</v>
      </c>
      <c r="BA40">
        <f ca="1">'JACOBIAN - OIS USDOIS'!K49</f>
        <v>2.02684847439016E-6</v>
      </c>
      <c r="BB40">
        <f ca="1">'JACOBIAN - OIS USDOIS'!L49</f>
        <v>-2.7224335400477499E-6</v>
      </c>
      <c r="BC40">
        <f ca="1">'JACOBIAN - OIS USDOIS'!M49</f>
        <v>6.4072943547488501E-6</v>
      </c>
      <c r="BD40">
        <f ca="1">'JACOBIAN - OIS USDOIS'!N49</f>
        <v>-5.9285909514983397E-14</v>
      </c>
      <c r="BE40">
        <f ca="1">'JACOBIAN - OIS USDOIS'!O49</f>
        <v>-5.9285909514983397E-14</v>
      </c>
      <c r="BF40">
        <f ca="1">'JACOBIAN - OIS USDOIS'!P49</f>
        <v>-5.9285909514983397E-14</v>
      </c>
      <c r="BG40">
        <f ca="1">'JACOBIAN - OIS USDOIS'!Q49</f>
        <v>-5.9285909514983397E-14</v>
      </c>
      <c r="BH40">
        <f ca="1">'JACOBIAN - OIS USDOIS'!R49</f>
        <v>-5.9285909514983397E-14</v>
      </c>
      <c r="BI40" s="161">
        <f ca="1">'JACOBIAN - OIS USDOIS'!S49</f>
        <v>7.5976991448234401E-6</v>
      </c>
      <c r="BJ40" s="161">
        <f ca="1">'JACOBIAN - OIS USDOIS'!T49</f>
        <v>-1.80950812895819E-5</v>
      </c>
      <c r="BK40" s="161">
        <f ca="1">'JACOBIAN - OIS USDOIS'!U49</f>
        <v>5.1138335786071702E-5</v>
      </c>
      <c r="BL40" s="161">
        <f ca="1">'JACOBIAN - OIS USDOIS'!V49</f>
        <v>-2.0862112732600299E-4</v>
      </c>
      <c r="BM40" s="161">
        <f ca="1">'JACOBIAN - OIS USDOIS'!W49</f>
        <v>4.7114587892993498E-4</v>
      </c>
      <c r="BN40" s="161">
        <f ca="1">'JACOBIAN - OIS USDOIS'!X49</f>
        <v>2.8988900164139702E-4</v>
      </c>
      <c r="BO40" s="161">
        <f ca="1">'JACOBIAN - OIS USDOIS'!Y49</f>
        <v>-4.3332855902411497E-5</v>
      </c>
      <c r="BP40" s="161">
        <f ca="1">'JACOBIAN - OIS USDOIS'!Z49</f>
        <v>1.51805493598944E-5</v>
      </c>
      <c r="BQ40" s="161">
        <f ca="1">'JACOBIAN - OIS USDOIS'!AA49</f>
        <v>-2.15625501964745E-6</v>
      </c>
      <c r="BR40" s="161">
        <f ca="1">'JACOBIAN - OIS USDOIS'!AB49</f>
        <v>3.2178144826477998E-7</v>
      </c>
      <c r="BS40" s="161">
        <f ca="1">'JACOBIAN - OIS USDOIS'!AC49</f>
        <v>-8.2505637100105402E-8</v>
      </c>
      <c r="BT40" s="161">
        <f ca="1">'JACOBIAN - OIS USDOIS'!AD49</f>
        <v>1.4029103767576601E-8</v>
      </c>
      <c r="BU40">
        <f ca="1">'JACOBIAN - OIS USDOIS'!AE49</f>
        <v>-7.4603289039743004E-6</v>
      </c>
      <c r="BV40">
        <f ca="1">'JACOBIAN - OIS USDOIS'!AF49</f>
        <v>1.7794075382271402E-5</v>
      </c>
      <c r="BW40">
        <f ca="1">'JACOBIAN - OIS USDOIS'!AG49</f>
        <v>-5.03150676500752E-5</v>
      </c>
      <c r="BX40">
        <f ca="1">'JACOBIAN - OIS USDOIS'!AH49</f>
        <v>2.0537965221856201E-4</v>
      </c>
      <c r="BY40">
        <f ca="1">'JACOBIAN - OIS USDOIS'!AI49</f>
        <v>-4.63347026666172E-4</v>
      </c>
      <c r="BZ40">
        <f ca="1">'JACOBIAN - OIS USDOIS'!AJ49</f>
        <v>-2.8524766495241499E-4</v>
      </c>
      <c r="CA40">
        <f ca="1">'JACOBIAN - OIS USDOIS'!AK49</f>
        <v>4.2656267088880797E-5</v>
      </c>
      <c r="CB40">
        <f ca="1">'JACOBIAN - OIS USDOIS'!AL49</f>
        <v>-1.4949832775723599E-5</v>
      </c>
      <c r="CC40">
        <f ca="1">'JACOBIAN - OIS USDOIS'!AM49</f>
        <v>2.1237701383070001E-6</v>
      </c>
      <c r="CD40">
        <f ca="1">'JACOBIAN - OIS USDOIS'!AN49</f>
        <v>-3.1704671521470802E-7</v>
      </c>
      <c r="CE40">
        <f ca="1">'JACOBIAN - OIS USDOIS'!AO49</f>
        <v>8.1344628588553305E-8</v>
      </c>
      <c r="CF40">
        <f ca="1">'JACOBIAN - OIS USDOIS'!AP49</f>
        <v>-1.3844467683377101E-8</v>
      </c>
      <c r="CK40" s="248">
        <f t="shared" ca="1" si="47"/>
        <v>46008</v>
      </c>
      <c r="CL40">
        <f t="shared" ca="1" si="48"/>
        <v>-1.0225296799282199E-6</v>
      </c>
      <c r="CM40">
        <f t="shared" ca="1" si="49"/>
        <v>-1.40489897493268E-9</v>
      </c>
      <c r="CN40">
        <f t="shared" ca="1" si="50"/>
        <v>5.6175746276920799E-9</v>
      </c>
      <c r="CO40">
        <f t="shared" ca="1" si="51"/>
        <v>-1.47982304188332E-8</v>
      </c>
      <c r="CP40">
        <f t="shared" ca="1" si="52"/>
        <v>1.9047491583990002E-8</v>
      </c>
      <c r="CQ40">
        <f t="shared" ca="1" si="53"/>
        <v>-4.3077346467690301E-8</v>
      </c>
      <c r="CR40">
        <f t="shared" ca="1" si="54"/>
        <v>1.3261752818127801E-7</v>
      </c>
      <c r="CS40">
        <f t="shared" ca="1" si="55"/>
        <v>-5.2648530879384502E-7</v>
      </c>
      <c r="CT40">
        <f t="shared" ca="1" si="56"/>
        <v>2.02684847439016E-6</v>
      </c>
      <c r="CU40">
        <f t="shared" ca="1" si="57"/>
        <v>-2.7224335400477499E-6</v>
      </c>
      <c r="CV40">
        <f t="shared" ca="1" si="58"/>
        <v>6.4072943547488501E-6</v>
      </c>
      <c r="CW40">
        <f t="shared" ca="1" si="59"/>
        <v>-5.9285909514983397E-14</v>
      </c>
      <c r="CX40">
        <f t="shared" ca="1" si="60"/>
        <v>-5.9285909514983397E-14</v>
      </c>
      <c r="CY40">
        <f t="shared" ca="1" si="61"/>
        <v>-5.9285909514983397E-14</v>
      </c>
      <c r="CZ40">
        <f t="shared" ca="1" si="62"/>
        <v>-5.9285909514983397E-14</v>
      </c>
      <c r="DA40">
        <f t="shared" ca="1" si="63"/>
        <v>-5.9285909514983397E-14</v>
      </c>
      <c r="DB40" s="146">
        <v>0</v>
      </c>
      <c r="DC40" s="146">
        <v>0</v>
      </c>
      <c r="DD40" s="146">
        <v>0</v>
      </c>
      <c r="DE40" s="146">
        <v>0</v>
      </c>
      <c r="DF40" s="146">
        <v>0</v>
      </c>
      <c r="DG40" s="146">
        <v>0</v>
      </c>
      <c r="DH40" s="146">
        <v>0</v>
      </c>
      <c r="DI40" s="146">
        <v>0</v>
      </c>
      <c r="DJ40" s="146">
        <v>0</v>
      </c>
      <c r="DK40" s="146">
        <v>0</v>
      </c>
      <c r="DL40" s="146">
        <v>0</v>
      </c>
      <c r="DM40" s="146">
        <v>0</v>
      </c>
      <c r="DN40">
        <f t="shared" ca="1" si="64"/>
        <v>-7.4603289039743004E-6</v>
      </c>
      <c r="DO40">
        <f t="shared" ca="1" si="65"/>
        <v>1.7794075382271402E-5</v>
      </c>
      <c r="DP40">
        <f t="shared" ca="1" si="66"/>
        <v>-5.03150676500752E-5</v>
      </c>
      <c r="DQ40">
        <f t="shared" ca="1" si="67"/>
        <v>2.0537965221856201E-4</v>
      </c>
      <c r="DR40">
        <f t="shared" ca="1" si="68"/>
        <v>-4.63347026666172E-4</v>
      </c>
      <c r="DS40">
        <f t="shared" ca="1" si="69"/>
        <v>-2.8524766495241499E-4</v>
      </c>
      <c r="DT40">
        <f t="shared" ca="1" si="70"/>
        <v>4.2656267088880797E-5</v>
      </c>
      <c r="DU40">
        <f t="shared" ca="1" si="71"/>
        <v>-1.4949832775723599E-5</v>
      </c>
      <c r="DV40">
        <f t="shared" ca="1" si="72"/>
        <v>2.1237701383070001E-6</v>
      </c>
      <c r="DW40">
        <f t="shared" ca="1" si="73"/>
        <v>-3.1704671521470802E-7</v>
      </c>
      <c r="DX40">
        <f t="shared" ca="1" si="74"/>
        <v>8.1344628588553305E-8</v>
      </c>
      <c r="DY40">
        <f t="shared" ca="1" si="75"/>
        <v>-1.3844467683377101E-8</v>
      </c>
      <c r="EA40" s="278" t="str">
        <f ca="1"/>
        <v>SWAP_10Y</v>
      </c>
      <c r="EB40" s="277">
        <f ca="1"/>
        <v>-1.440295959191122E-2</v>
      </c>
      <c r="EC40" s="171"/>
      <c r="ED40" s="248">
        <f ca="1">'JACOBIAN - SWAP USD3ML'!B49</f>
        <v>46008</v>
      </c>
      <c r="EE40">
        <f ca="1">'JACOBIAN - SWAP USD3ML'!C49</f>
        <v>-4.4408920985006301E-15</v>
      </c>
      <c r="EF40">
        <f ca="1">'JACOBIAN - SWAP USD3ML'!D49</f>
        <v>4.6625563587809898E-7</v>
      </c>
      <c r="EG40">
        <f ca="1">'JACOBIAN - SWAP USD3ML'!E49</f>
        <v>-3.1228353236656399E-12</v>
      </c>
      <c r="EH40">
        <f ca="1">'JACOBIAN - SWAP USD3ML'!F49</f>
        <v>-4.4408920985006301E-15</v>
      </c>
      <c r="EI40">
        <f ca="1">'JACOBIAN - SWAP USD3ML'!G49</f>
        <v>5.1013264723565002E-9</v>
      </c>
      <c r="EJ40">
        <f ca="1">'JACOBIAN - SWAP USD3ML'!H49</f>
        <v>4.6451800450597602E-7</v>
      </c>
      <c r="EK40">
        <f ca="1">'JACOBIAN - SWAP USD3ML'!I49</f>
        <v>4.6284123378370602E-7</v>
      </c>
      <c r="EL40">
        <f ca="1">'JACOBIAN - SWAP USD3ML'!J49</f>
        <v>4.6131445508024198E-7</v>
      </c>
      <c r="EM40">
        <f ca="1">'JACOBIAN - SWAP USD3ML'!K49</f>
        <v>4.5984792951259102E-7</v>
      </c>
      <c r="EN40">
        <f ca="1">'JACOBIAN - SWAP USD3ML'!L49</f>
        <v>4.5841246887334798E-7</v>
      </c>
      <c r="EO40">
        <f ca="1">'JACOBIAN - SWAP USD3ML'!M49</f>
        <v>4.5417673799619299E-7</v>
      </c>
      <c r="EP40">
        <f ca="1">'JACOBIAN - SWAP USD3ML'!N49</f>
        <v>9.851551681094859E-7</v>
      </c>
      <c r="EQ40">
        <f ca="1">'JACOBIAN - SWAP USD3ML'!O49</f>
        <v>-2.3865404370937399E-5</v>
      </c>
      <c r="ER40">
        <f ca="1">'JACOBIAN - SWAP USD3ML'!P49</f>
        <v>1.1549597854188E-4</v>
      </c>
      <c r="ES40">
        <f ca="1">'JACOBIAN - SWAP USD3ML'!Q49</f>
        <v>-4.3666757466365202E-4</v>
      </c>
      <c r="ET40">
        <f ca="1">'JACOBIAN - SWAP USD3ML'!R49</f>
        <v>5.16800438025378E-4</v>
      </c>
      <c r="EU40">
        <f ca="1">'JACOBIAN - SWAP USD3ML'!S49</f>
        <v>-1.00650237306432E-4</v>
      </c>
      <c r="EV40">
        <f ca="1">'JACOBIAN - SWAP USD3ML'!T49</f>
        <v>2.9727367651055699E-5</v>
      </c>
      <c r="EW40">
        <f ca="1">'JACOBIAN - SWAP USD3ML'!U49</f>
        <v>-7.1993835959460697E-6</v>
      </c>
      <c r="EX40">
        <f ca="1">'JACOBIAN - SWAP USD3ML'!V49</f>
        <v>8.40430073090204E-7</v>
      </c>
      <c r="EY40">
        <f ca="1">'JACOBIAN - SWAP USD3ML'!W49</f>
        <v>-1.4890268662526301E-7</v>
      </c>
      <c r="EZ40">
        <f ca="1">'JACOBIAN - SWAP USD3ML'!X49</f>
        <v>2.95144682027626E-8</v>
      </c>
      <c r="FA40">
        <f ca="1">'JACOBIAN - SWAP USD3ML'!Y49</f>
        <v>-9.4491916513561608E-9</v>
      </c>
      <c r="FB40">
        <f ca="1">'JACOBIAN - SWAP USD3ML'!Z49</f>
        <v>1.9237518245063302E-9</v>
      </c>
      <c r="FH40" s="11" t="str">
        <f ca="1"/>
        <v>USDYC.OIS.3MLIBORSWAP.30Y</v>
      </c>
      <c r="FI40" s="275">
        <f ca="1"/>
        <v>7.589917368022725E-3</v>
      </c>
      <c r="FJ40" s="11" t="str">
        <f ca="1"/>
        <v/>
      </c>
      <c r="FK40" s="275" t="str">
        <f ca="1"/>
        <v/>
      </c>
      <c r="FL40" s="11" t="e">
        <f ca="1"/>
        <v>#N/A</v>
      </c>
    </row>
    <row r="41" spans="2:168" x14ac:dyDescent="0.25">
      <c r="B41" t="s">
        <v>303</v>
      </c>
      <c r="C41" s="247">
        <v>29198.94</v>
      </c>
      <c r="F41" s="272" t="str">
        <f ca="1"/>
        <v/>
      </c>
      <c r="G41" s="55" t="str">
        <f ca="1"/>
        <v/>
      </c>
      <c r="H41" s="55" t="str">
        <f ca="1"/>
        <v/>
      </c>
      <c r="I41" s="55" t="str">
        <f ca="1"/>
        <v/>
      </c>
      <c r="J41" s="253" t="str">
        <f ca="1"/>
        <v/>
      </c>
      <c r="K41" s="251" t="str">
        <f ca="1"/>
        <v/>
      </c>
      <c r="L41" s="256" t="str">
        <f ca="1"/>
        <v/>
      </c>
      <c r="M41" s="55" t="str">
        <f ca="1"/>
        <v/>
      </c>
      <c r="N41" s="55" t="str">
        <f ca="1"/>
        <v/>
      </c>
      <c r="O41" s="55" t="str">
        <f ca="1"/>
        <v/>
      </c>
      <c r="P41" s="55" t="str">
        <f ca="1"/>
        <v/>
      </c>
      <c r="Q41" s="253" t="str">
        <f ca="1"/>
        <v/>
      </c>
      <c r="R41" s="55" t="str">
        <f ca="1"/>
        <v/>
      </c>
      <c r="S41" s="55" t="str">
        <f ca="1"/>
        <v/>
      </c>
      <c r="T41" s="55" t="str">
        <f ca="1"/>
        <v/>
      </c>
      <c r="U41" s="56" t="str">
        <f ca="1"/>
        <v/>
      </c>
      <c r="V41" s="58"/>
      <c r="X41" s="258">
        <f t="shared" ca="1" si="42"/>
        <v>46098</v>
      </c>
      <c r="Y41" s="261">
        <v>0</v>
      </c>
      <c r="AA41" s="257">
        <f t="shared" ca="1" si="35"/>
        <v>46098</v>
      </c>
      <c r="AB41" s="266">
        <f t="shared" ca="1" si="43"/>
        <v>-5.6987317244217039E-4</v>
      </c>
      <c r="AC41" s="266"/>
      <c r="AD41" s="290">
        <f ca="1"/>
        <v>46098</v>
      </c>
      <c r="AE41" s="291">
        <f ca="1"/>
        <v>-5.6987317244217017E-4</v>
      </c>
      <c r="AF41" s="291" t="b">
        <f t="shared" ca="1" si="36"/>
        <v>1</v>
      </c>
      <c r="AH41" s="257">
        <f t="shared" ca="1" si="44"/>
        <v>46098</v>
      </c>
      <c r="AI41" s="260">
        <v>0</v>
      </c>
      <c r="AK41" s="290">
        <f ca="1"/>
        <v>46098</v>
      </c>
      <c r="AL41" s="291">
        <f ca="1"/>
        <v>9.8594993308758676E-5</v>
      </c>
      <c r="AM41" s="291" t="b">
        <f t="shared" ca="1" si="45"/>
        <v>1</v>
      </c>
      <c r="AO41" s="257">
        <f t="shared" ca="1" si="46"/>
        <v>46098</v>
      </c>
      <c r="AP41" s="266">
        <f t="shared" ca="1" si="38"/>
        <v>9.8594993308758744E-5</v>
      </c>
      <c r="AR41" s="248">
        <f ca="1">'JACOBIAN - OIS USDOIS'!B50</f>
        <v>46098</v>
      </c>
      <c r="AS41">
        <f ca="1">'JACOBIAN - OIS USDOIS'!C50</f>
        <v>-1.0186939444212201E-6</v>
      </c>
      <c r="AT41">
        <f ca="1">'JACOBIAN - OIS USDOIS'!D50</f>
        <v>-1.17882847927575E-9</v>
      </c>
      <c r="AU41">
        <f ca="1">'JACOBIAN - OIS USDOIS'!E50</f>
        <v>4.7135546576981799E-9</v>
      </c>
      <c r="AV41">
        <f ca="1">'JACOBIAN - OIS USDOIS'!F50</f>
        <v>-1.2416839445528199E-8</v>
      </c>
      <c r="AW41">
        <f ca="1">'JACOBIAN - OIS USDOIS'!G50</f>
        <v>1.59823687617688E-8</v>
      </c>
      <c r="AX41">
        <f ca="1">'JACOBIAN - OIS USDOIS'!H50</f>
        <v>-3.61452601183032E-8</v>
      </c>
      <c r="AY41">
        <f ca="1">'JACOBIAN - OIS USDOIS'!I50</f>
        <v>1.09224099209548E-7</v>
      </c>
      <c r="AZ41">
        <f ca="1">'JACOBIAN - OIS USDOIS'!J50</f>
        <v>-4.4176250435512501E-7</v>
      </c>
      <c r="BA41">
        <f ca="1">'JACOBIAN - OIS USDOIS'!K50</f>
        <v>1.70068349669705E-6</v>
      </c>
      <c r="BB41">
        <f ca="1">'JACOBIAN - OIS USDOIS'!L50</f>
        <v>-2.2284380732928702E-6</v>
      </c>
      <c r="BC41">
        <f ca="1">'JACOBIAN - OIS USDOIS'!M50</f>
        <v>5.3700316582361296E-6</v>
      </c>
      <c r="BD41">
        <f ca="1">'JACOBIAN - OIS USDOIS'!N50</f>
        <v>1.0103029524088899E-14</v>
      </c>
      <c r="BE41">
        <f ca="1">'JACOBIAN - OIS USDOIS'!O50</f>
        <v>1.0103029524088899E-14</v>
      </c>
      <c r="BF41">
        <f ca="1">'JACOBIAN - OIS USDOIS'!P50</f>
        <v>1.0103029524088899E-14</v>
      </c>
      <c r="BG41">
        <f ca="1">'JACOBIAN - OIS USDOIS'!Q50</f>
        <v>1.0103029524088899E-14</v>
      </c>
      <c r="BH41">
        <f ca="1">'JACOBIAN - OIS USDOIS'!R50</f>
        <v>1.0103029524088899E-14</v>
      </c>
      <c r="BI41" s="161">
        <f ca="1">'JACOBIAN - OIS USDOIS'!S50</f>
        <v>6.24578004482235E-6</v>
      </c>
      <c r="BJ41" s="161">
        <f ca="1">'JACOBIAN - OIS USDOIS'!T50</f>
        <v>-1.5791898197225999E-5</v>
      </c>
      <c r="BK41" s="161">
        <f ca="1">'JACOBIAN - OIS USDOIS'!U50</f>
        <v>4.2750804616464902E-5</v>
      </c>
      <c r="BL41" s="161">
        <f ca="1">'JACOBIAN - OIS USDOIS'!V50</f>
        <v>-1.7719104313751501E-4</v>
      </c>
      <c r="BM41" s="161">
        <f ca="1">'JACOBIAN - OIS USDOIS'!W50</f>
        <v>3.6781390261297903E-4</v>
      </c>
      <c r="BN41" s="161">
        <f ca="1">'JACOBIAN - OIS USDOIS'!X50</f>
        <v>3.9334456182582599E-4</v>
      </c>
      <c r="BO41" s="161">
        <f ca="1">'JACOBIAN - OIS USDOIS'!Y50</f>
        <v>-4.9322578547283899E-5</v>
      </c>
      <c r="BP41" s="161">
        <f ca="1">'JACOBIAN - OIS USDOIS'!Z50</f>
        <v>1.7278971889966898E-5</v>
      </c>
      <c r="BQ41" s="161">
        <f ca="1">'JACOBIAN - OIS USDOIS'!AA50</f>
        <v>-2.4543129353293802E-6</v>
      </c>
      <c r="BR41" s="161">
        <f ca="1">'JACOBIAN - OIS USDOIS'!AB50</f>
        <v>3.6626126187488902E-7</v>
      </c>
      <c r="BS41" s="161">
        <f ca="1">'JACOBIAN - OIS USDOIS'!AC50</f>
        <v>-9.3910308862632506E-8</v>
      </c>
      <c r="BT41" s="161">
        <f ca="1">'JACOBIAN - OIS USDOIS'!AD50</f>
        <v>1.5968386390952098E-8</v>
      </c>
      <c r="BU41">
        <f ca="1">'JACOBIAN - OIS USDOIS'!AE50</f>
        <v>-6.1329144342980902E-6</v>
      </c>
      <c r="BV41">
        <f ca="1">'JACOBIAN - OIS USDOIS'!AF50</f>
        <v>1.5529114386847501E-5</v>
      </c>
      <c r="BW41">
        <f ca="1">'JACOBIAN - OIS USDOIS'!AG50</f>
        <v>-4.2062992456015602E-5</v>
      </c>
      <c r="BX41">
        <f ca="1">'JACOBIAN - OIS USDOIS'!AH50</f>
        <v>1.7443182316123599E-4</v>
      </c>
      <c r="BY41">
        <f ca="1">'JACOBIAN - OIS USDOIS'!AI50</f>
        <v>-3.6176677098143101E-4</v>
      </c>
      <c r="BZ41">
        <f ca="1">'JACOBIAN - OIS USDOIS'!AJ50</f>
        <v>-3.8700319324513899E-4</v>
      </c>
      <c r="CA41">
        <f ca="1">'JACOBIAN - OIS USDOIS'!AK50</f>
        <v>4.8552787695776998E-5</v>
      </c>
      <c r="CB41">
        <f ca="1">'JACOBIAN - OIS USDOIS'!AL50</f>
        <v>-1.70163237556142E-5</v>
      </c>
      <c r="CC41">
        <f ca="1">'JACOBIAN - OIS USDOIS'!AM50</f>
        <v>2.4173386564685398E-6</v>
      </c>
      <c r="CD41">
        <f ca="1">'JACOBIAN - OIS USDOIS'!AN50</f>
        <v>-3.6087199783985097E-7</v>
      </c>
      <c r="CE41">
        <f ca="1">'JACOBIAN - OIS USDOIS'!AO50</f>
        <v>9.2588882782962401E-8</v>
      </c>
      <c r="CF41">
        <f ca="1">'JACOBIAN - OIS USDOIS'!AP50</f>
        <v>-1.5758132909660099E-8</v>
      </c>
      <c r="CK41" s="248">
        <f t="shared" ca="1" si="47"/>
        <v>46098</v>
      </c>
      <c r="CL41">
        <f t="shared" ca="1" si="48"/>
        <v>-1.0186939444212201E-6</v>
      </c>
      <c r="CM41">
        <f t="shared" ca="1" si="49"/>
        <v>-1.17882847927575E-9</v>
      </c>
      <c r="CN41">
        <f t="shared" ca="1" si="50"/>
        <v>4.7135546576981799E-9</v>
      </c>
      <c r="CO41">
        <f t="shared" ca="1" si="51"/>
        <v>-1.2416839445528199E-8</v>
      </c>
      <c r="CP41">
        <f t="shared" ca="1" si="52"/>
        <v>1.59823687617688E-8</v>
      </c>
      <c r="CQ41">
        <f t="shared" ca="1" si="53"/>
        <v>-3.61452601183032E-8</v>
      </c>
      <c r="CR41">
        <f t="shared" ca="1" si="54"/>
        <v>1.09224099209548E-7</v>
      </c>
      <c r="CS41">
        <f t="shared" ca="1" si="55"/>
        <v>-4.4176250435512501E-7</v>
      </c>
      <c r="CT41">
        <f t="shared" ca="1" si="56"/>
        <v>1.70068349669705E-6</v>
      </c>
      <c r="CU41">
        <f t="shared" ca="1" si="57"/>
        <v>-2.2284380732928702E-6</v>
      </c>
      <c r="CV41">
        <f t="shared" ca="1" si="58"/>
        <v>5.3700316582361296E-6</v>
      </c>
      <c r="CW41">
        <f t="shared" ca="1" si="59"/>
        <v>1.0103029524088899E-14</v>
      </c>
      <c r="CX41">
        <f t="shared" ca="1" si="60"/>
        <v>1.0103029524088899E-14</v>
      </c>
      <c r="CY41">
        <f t="shared" ca="1" si="61"/>
        <v>1.0103029524088899E-14</v>
      </c>
      <c r="CZ41">
        <f t="shared" ca="1" si="62"/>
        <v>1.0103029524088899E-14</v>
      </c>
      <c r="DA41">
        <f t="shared" ca="1" si="63"/>
        <v>1.0103029524088899E-14</v>
      </c>
      <c r="DB41" s="146">
        <v>0</v>
      </c>
      <c r="DC41" s="146">
        <v>0</v>
      </c>
      <c r="DD41" s="146">
        <v>0</v>
      </c>
      <c r="DE41" s="146">
        <v>0</v>
      </c>
      <c r="DF41" s="146">
        <v>0</v>
      </c>
      <c r="DG41" s="146">
        <v>0</v>
      </c>
      <c r="DH41" s="146">
        <v>0</v>
      </c>
      <c r="DI41" s="146">
        <v>0</v>
      </c>
      <c r="DJ41" s="146">
        <v>0</v>
      </c>
      <c r="DK41" s="146">
        <v>0</v>
      </c>
      <c r="DL41" s="146">
        <v>0</v>
      </c>
      <c r="DM41" s="146">
        <v>0</v>
      </c>
      <c r="DN41">
        <f t="shared" ca="1" si="64"/>
        <v>-6.1329144342980902E-6</v>
      </c>
      <c r="DO41">
        <f t="shared" ca="1" si="65"/>
        <v>1.5529114386847501E-5</v>
      </c>
      <c r="DP41">
        <f t="shared" ca="1" si="66"/>
        <v>-4.2062992456015602E-5</v>
      </c>
      <c r="DQ41">
        <f t="shared" ca="1" si="67"/>
        <v>1.7443182316123599E-4</v>
      </c>
      <c r="DR41">
        <f t="shared" ca="1" si="68"/>
        <v>-3.6176677098143101E-4</v>
      </c>
      <c r="DS41">
        <f t="shared" ca="1" si="69"/>
        <v>-3.8700319324513899E-4</v>
      </c>
      <c r="DT41">
        <f t="shared" ca="1" si="70"/>
        <v>4.8552787695776998E-5</v>
      </c>
      <c r="DU41">
        <f t="shared" ca="1" si="71"/>
        <v>-1.70163237556142E-5</v>
      </c>
      <c r="DV41">
        <f t="shared" ca="1" si="72"/>
        <v>2.4173386564685398E-6</v>
      </c>
      <c r="DW41">
        <f t="shared" ca="1" si="73"/>
        <v>-3.6087199783985097E-7</v>
      </c>
      <c r="DX41">
        <f t="shared" ca="1" si="74"/>
        <v>9.2588882782962401E-8</v>
      </c>
      <c r="DY41">
        <f t="shared" ca="1" si="75"/>
        <v>-1.5758132909660099E-8</v>
      </c>
      <c r="EA41" s="278" t="str">
        <f ca="1"/>
        <v>SWAP_12Y</v>
      </c>
      <c r="EB41" s="277">
        <f ca="1"/>
        <v>5.0480073666332561E-3</v>
      </c>
      <c r="EC41" s="171"/>
      <c r="ED41" s="248">
        <f ca="1">'JACOBIAN - SWAP USD3ML'!B50</f>
        <v>46098</v>
      </c>
      <c r="EE41">
        <f ca="1">'JACOBIAN - SWAP USD3ML'!C50</f>
        <v>-7.2986755528248194E-14</v>
      </c>
      <c r="EF41">
        <f ca="1">'JACOBIAN - SWAP USD3ML'!D50</f>
        <v>5.9009551245381399E-7</v>
      </c>
      <c r="EG41">
        <f ca="1">'JACOBIAN - SWAP USD3ML'!E50</f>
        <v>-3.78740788731236E-12</v>
      </c>
      <c r="EH41">
        <f ca="1">'JACOBIAN - SWAP USD3ML'!F50</f>
        <v>-7.3854117266236598E-14</v>
      </c>
      <c r="EI41">
        <f ca="1">'JACOBIAN - SWAP USD3ML'!G50</f>
        <v>6.4561964455145401E-9</v>
      </c>
      <c r="EJ41">
        <f ca="1">'JACOBIAN - SWAP USD3ML'!H50</f>
        <v>5.8789638722120396E-7</v>
      </c>
      <c r="EK41">
        <f ca="1">'JACOBIAN - SWAP USD3ML'!I50</f>
        <v>5.8577448717664296E-7</v>
      </c>
      <c r="EL41">
        <f ca="1">'JACOBIAN - SWAP USD3ML'!J50</f>
        <v>5.8384218416113198E-7</v>
      </c>
      <c r="EM41">
        <f ca="1">'JACOBIAN - SWAP USD3ML'!K50</f>
        <v>5.8198613841001202E-7</v>
      </c>
      <c r="EN41">
        <f ca="1">'JACOBIAN - SWAP USD3ML'!L50</f>
        <v>5.8016941251182196E-7</v>
      </c>
      <c r="EO41">
        <f ca="1">'JACOBIAN - SWAP USD3ML'!M50</f>
        <v>5.7480864502912301E-7</v>
      </c>
      <c r="EP41">
        <f ca="1">'JACOBIAN - SWAP USD3ML'!N50</f>
        <v>1.2468180435910901E-6</v>
      </c>
      <c r="EQ41">
        <f ca="1">'JACOBIAN - SWAP USD3ML'!O50</f>
        <v>-3.02041032975917E-5</v>
      </c>
      <c r="ER41">
        <f ca="1">'JACOBIAN - SWAP USD3ML'!P50</f>
        <v>1.46174431282651E-4</v>
      </c>
      <c r="ES41">
        <f ca="1">'JACOBIAN - SWAP USD3ML'!Q50</f>
        <v>-4.40955121545437E-4</v>
      </c>
      <c r="ET41">
        <f ca="1">'JACOBIAN - SWAP USD3ML'!R50</f>
        <v>3.45772157870253E-4</v>
      </c>
      <c r="EU41">
        <f ca="1">'JACOBIAN - SWAP USD3ML'!S50</f>
        <v>9.4240906268312801E-5</v>
      </c>
      <c r="EV41">
        <f ca="1">'JACOBIAN - SWAP USD3ML'!T50</f>
        <v>-2.7845745094085699E-5</v>
      </c>
      <c r="EW41">
        <f ca="1">'JACOBIAN - SWAP USD3ML'!U50</f>
        <v>6.7429232719143404E-6</v>
      </c>
      <c r="EX41">
        <f ca="1">'JACOBIAN - SWAP USD3ML'!V50</f>
        <v>-7.8716139345971801E-7</v>
      </c>
      <c r="EY41">
        <f ca="1">'JACOBIAN - SWAP USD3ML'!W50</f>
        <v>1.3945823799932401E-7</v>
      </c>
      <c r="EZ41">
        <f ca="1">'JACOBIAN - SWAP USD3ML'!X50</f>
        <v>-2.7642204178390799E-8</v>
      </c>
      <c r="FA41">
        <f ca="1">'JACOBIAN - SWAP USD3ML'!Y50</f>
        <v>8.8470787189265393E-9</v>
      </c>
      <c r="FB41">
        <f ca="1">'JACOBIAN - SWAP USD3ML'!Z50</f>
        <v>-1.8002390897442501E-9</v>
      </c>
      <c r="FH41" s="11" t="e">
        <f ca="1"/>
        <v>#N/A</v>
      </c>
      <c r="FI41" s="275" t="e">
        <f ca="1"/>
        <v>#N/A</v>
      </c>
      <c r="FJ41" s="11" t="e">
        <f ca="1"/>
        <v>#N/A</v>
      </c>
      <c r="FK41" s="275" t="e">
        <f ca="1"/>
        <v>#N/A</v>
      </c>
      <c r="FL41" s="11" t="e">
        <f ca="1"/>
        <v>#N/A</v>
      </c>
    </row>
    <row r="42" spans="2:168" x14ac:dyDescent="0.25">
      <c r="B42" t="s">
        <v>258</v>
      </c>
      <c r="C42" s="286">
        <v>473.72355193959447</v>
      </c>
      <c r="D42" s="276" t="s">
        <v>300</v>
      </c>
      <c r="X42" s="258">
        <f t="shared" ca="1" si="42"/>
        <v>46190</v>
      </c>
      <c r="Y42" s="261">
        <v>0</v>
      </c>
      <c r="AA42" s="257">
        <f t="shared" ca="1" si="35"/>
        <v>46190</v>
      </c>
      <c r="AB42" s="266">
        <f t="shared" ca="1" si="43"/>
        <v>-5.9066292404896836E-4</v>
      </c>
      <c r="AC42" s="266"/>
      <c r="AD42" s="290">
        <f ca="1"/>
        <v>46190</v>
      </c>
      <c r="AE42" s="291">
        <f ca="1"/>
        <v>-5.9066292404896803E-4</v>
      </c>
      <c r="AF42" s="291" t="b">
        <f t="shared" ca="1" si="36"/>
        <v>1</v>
      </c>
      <c r="AH42" s="257">
        <f t="shared" ca="1" si="44"/>
        <v>46190</v>
      </c>
      <c r="AI42" s="260">
        <v>0</v>
      </c>
      <c r="AK42" s="290">
        <f ca="1"/>
        <v>46190</v>
      </c>
      <c r="AL42" s="291">
        <f ca="1"/>
        <v>9.8581869513728743E-5</v>
      </c>
      <c r="AM42" s="291" t="b">
        <f t="shared" ca="1" si="45"/>
        <v>1</v>
      </c>
      <c r="AO42" s="257">
        <f t="shared" ca="1" si="46"/>
        <v>46190</v>
      </c>
      <c r="AP42" s="266">
        <f t="shared" ca="1" si="38"/>
        <v>9.8581869513729027E-5</v>
      </c>
      <c r="AR42" s="248">
        <f ca="1">'JACOBIAN - OIS USDOIS'!B51</f>
        <v>46190</v>
      </c>
      <c r="AS42">
        <f ca="1">'JACOBIAN - OIS USDOIS'!C51</f>
        <v>-1.0147392157655601E-6</v>
      </c>
      <c r="AT42">
        <f ca="1">'JACOBIAN - OIS USDOIS'!D51</f>
        <v>-8.0591078255309898E-10</v>
      </c>
      <c r="AU42">
        <f ca="1">'JACOBIAN - OIS USDOIS'!E51</f>
        <v>3.22233040250808E-9</v>
      </c>
      <c r="AV42">
        <f ca="1">'JACOBIAN - OIS USDOIS'!F51</f>
        <v>-8.4886293549857295E-9</v>
      </c>
      <c r="AW42">
        <f ca="1">'JACOBIAN - OIS USDOIS'!G51</f>
        <v>1.09262608960492E-8</v>
      </c>
      <c r="AX42">
        <f ca="1">'JACOBIAN - OIS USDOIS'!H51</f>
        <v>-2.4710448243148201E-8</v>
      </c>
      <c r="AY42">
        <f ca="1">'JACOBIAN - OIS USDOIS'!I51</f>
        <v>7.0586021361229698E-8</v>
      </c>
      <c r="AZ42">
        <f ca="1">'JACOBIAN - OIS USDOIS'!J51</f>
        <v>-3.02007885033539E-7</v>
      </c>
      <c r="BA42">
        <f ca="1">'JACOBIAN - OIS USDOIS'!K51</f>
        <v>1.1626578266810101E-6</v>
      </c>
      <c r="BB42">
        <f ca="1">'JACOBIAN - OIS USDOIS'!L51</f>
        <v>-1.41347404913894E-6</v>
      </c>
      <c r="BC42">
        <f ca="1">'JACOBIAN - OIS USDOIS'!M51</f>
        <v>3.6588672731596699E-6</v>
      </c>
      <c r="BD42">
        <f ca="1">'JACOBIAN - OIS USDOIS'!N51</f>
        <v>9.3036689463588105E-14</v>
      </c>
      <c r="BE42">
        <f ca="1">'JACOBIAN - OIS USDOIS'!O51</f>
        <v>9.3036689463588105E-14</v>
      </c>
      <c r="BF42">
        <f ca="1">'JACOBIAN - OIS USDOIS'!P51</f>
        <v>9.3036689463588105E-14</v>
      </c>
      <c r="BG42">
        <f ca="1">'JACOBIAN - OIS USDOIS'!Q51</f>
        <v>9.3036689463588105E-14</v>
      </c>
      <c r="BH42">
        <f ca="1">'JACOBIAN - OIS USDOIS'!R51</f>
        <v>9.3036689463588105E-14</v>
      </c>
      <c r="BI42" s="161">
        <f ca="1">'JACOBIAN - OIS USDOIS'!S51</f>
        <v>4.0156103267019503E-6</v>
      </c>
      <c r="BJ42" s="161">
        <f ca="1">'JACOBIAN - OIS USDOIS'!T51</f>
        <v>-1.1992451361631E-5</v>
      </c>
      <c r="BK42" s="161">
        <f ca="1">'JACOBIAN - OIS USDOIS'!U51</f>
        <v>2.8911641675732899E-5</v>
      </c>
      <c r="BL42" s="161">
        <f ca="1">'JACOBIAN - OIS USDOIS'!V51</f>
        <v>-1.2532155930311501E-4</v>
      </c>
      <c r="BM42" s="161">
        <f ca="1">'JACOBIAN - OIS USDOIS'!W51</f>
        <v>2.4164755849931399E-4</v>
      </c>
      <c r="BN42" s="161">
        <f ca="1">'JACOBIAN - OIS USDOIS'!X51</f>
        <v>4.9791283211353399E-4</v>
      </c>
      <c r="BO42" s="161">
        <f ca="1">'JACOBIAN - OIS USDOIS'!Y51</f>
        <v>-4.6830433137468001E-5</v>
      </c>
      <c r="BP42" s="161">
        <f ca="1">'JACOBIAN - OIS USDOIS'!Z51</f>
        <v>1.6405879708081299E-5</v>
      </c>
      <c r="BQ42" s="161">
        <f ca="1">'JACOBIAN - OIS USDOIS'!AA51</f>
        <v>-2.3302997438357E-6</v>
      </c>
      <c r="BR42" s="161">
        <f ca="1">'JACOBIAN - OIS USDOIS'!AB51</f>
        <v>3.4775454715863E-7</v>
      </c>
      <c r="BS42" s="161">
        <f ca="1">'JACOBIAN - OIS USDOIS'!AC51</f>
        <v>-8.9165069772079204E-8</v>
      </c>
      <c r="BT42" s="161">
        <f ca="1">'JACOBIAN - OIS USDOIS'!AD51</f>
        <v>1.5161591759849099E-8</v>
      </c>
      <c r="BU42">
        <f ca="1">'JACOBIAN - OIS USDOIS'!AE51</f>
        <v>-3.9431600596939697E-6</v>
      </c>
      <c r="BV42">
        <f ca="1">'JACOBIAN - OIS USDOIS'!AF51</f>
        <v>1.17927441716237E-5</v>
      </c>
      <c r="BW42">
        <f ca="1">'JACOBIAN - OIS USDOIS'!AG51</f>
        <v>-2.8447008164067499E-5</v>
      </c>
      <c r="BX42">
        <f ca="1">'JACOBIAN - OIS USDOIS'!AH51</f>
        <v>1.23362649801395E-4</v>
      </c>
      <c r="BY42">
        <f ca="1">'JACOBIAN - OIS USDOIS'!AI51</f>
        <v>-2.37709147406062E-4</v>
      </c>
      <c r="BZ42">
        <f ca="1">'JACOBIAN - OIS USDOIS'!AJ51</f>
        <v>-4.8982943957454105E-4</v>
      </c>
      <c r="CA42">
        <f ca="1">'JACOBIAN - OIS USDOIS'!AK51</f>
        <v>4.60994163978823E-5</v>
      </c>
      <c r="CB42">
        <f ca="1">'JACOBIAN - OIS USDOIS'!AL51</f>
        <v>-1.6156517796184201E-5</v>
      </c>
      <c r="CC42">
        <f ca="1">'JACOBIAN - OIS USDOIS'!AM51</f>
        <v>2.2951934904868999E-6</v>
      </c>
      <c r="CD42">
        <f ca="1">'JACOBIAN - OIS USDOIS'!AN51</f>
        <v>-3.4263758785790799E-7</v>
      </c>
      <c r="CE42">
        <f ca="1">'JACOBIAN - OIS USDOIS'!AO51</f>
        <v>8.7910507762245502E-8</v>
      </c>
      <c r="CF42">
        <f ca="1">'JACOBIAN - OIS USDOIS'!AP51</f>
        <v>-1.4961869077012599E-8</v>
      </c>
      <c r="CK42" s="248">
        <f t="shared" ca="1" si="47"/>
        <v>46190</v>
      </c>
      <c r="CL42">
        <f t="shared" ca="1" si="48"/>
        <v>-1.0147392157655601E-6</v>
      </c>
      <c r="CM42">
        <f t="shared" ca="1" si="49"/>
        <v>-8.0591078255309898E-10</v>
      </c>
      <c r="CN42">
        <f t="shared" ca="1" si="50"/>
        <v>3.22233040250808E-9</v>
      </c>
      <c r="CO42">
        <f t="shared" ca="1" si="51"/>
        <v>-8.4886293549857295E-9</v>
      </c>
      <c r="CP42">
        <f t="shared" ca="1" si="52"/>
        <v>1.09262608960492E-8</v>
      </c>
      <c r="CQ42">
        <f t="shared" ca="1" si="53"/>
        <v>-2.4710448243148201E-8</v>
      </c>
      <c r="CR42">
        <f t="shared" ca="1" si="54"/>
        <v>7.0586021361229698E-8</v>
      </c>
      <c r="CS42">
        <f t="shared" ca="1" si="55"/>
        <v>-3.02007885033539E-7</v>
      </c>
      <c r="CT42">
        <f t="shared" ca="1" si="56"/>
        <v>1.1626578266810101E-6</v>
      </c>
      <c r="CU42">
        <f t="shared" ca="1" si="57"/>
        <v>-1.41347404913894E-6</v>
      </c>
      <c r="CV42">
        <f t="shared" ca="1" si="58"/>
        <v>3.6588672731596699E-6</v>
      </c>
      <c r="CW42">
        <f t="shared" ca="1" si="59"/>
        <v>9.3036689463588105E-14</v>
      </c>
      <c r="CX42">
        <f t="shared" ca="1" si="60"/>
        <v>9.3036689463588105E-14</v>
      </c>
      <c r="CY42">
        <f t="shared" ca="1" si="61"/>
        <v>9.3036689463588105E-14</v>
      </c>
      <c r="CZ42">
        <f t="shared" ca="1" si="62"/>
        <v>9.3036689463588105E-14</v>
      </c>
      <c r="DA42">
        <f t="shared" ca="1" si="63"/>
        <v>9.3036689463588105E-14</v>
      </c>
      <c r="DB42" s="146">
        <v>0</v>
      </c>
      <c r="DC42" s="146">
        <v>0</v>
      </c>
      <c r="DD42" s="146">
        <v>0</v>
      </c>
      <c r="DE42" s="146">
        <v>0</v>
      </c>
      <c r="DF42" s="146">
        <v>0</v>
      </c>
      <c r="DG42" s="146">
        <v>0</v>
      </c>
      <c r="DH42" s="146">
        <v>0</v>
      </c>
      <c r="DI42" s="146">
        <v>0</v>
      </c>
      <c r="DJ42" s="146">
        <v>0</v>
      </c>
      <c r="DK42" s="146">
        <v>0</v>
      </c>
      <c r="DL42" s="146">
        <v>0</v>
      </c>
      <c r="DM42" s="146">
        <v>0</v>
      </c>
      <c r="DN42">
        <f t="shared" ca="1" si="64"/>
        <v>-3.9431600596939697E-6</v>
      </c>
      <c r="DO42">
        <f t="shared" ca="1" si="65"/>
        <v>1.17927441716237E-5</v>
      </c>
      <c r="DP42">
        <f t="shared" ca="1" si="66"/>
        <v>-2.8447008164067499E-5</v>
      </c>
      <c r="DQ42">
        <f t="shared" ca="1" si="67"/>
        <v>1.23362649801395E-4</v>
      </c>
      <c r="DR42">
        <f t="shared" ca="1" si="68"/>
        <v>-2.37709147406062E-4</v>
      </c>
      <c r="DS42">
        <f t="shared" ca="1" si="69"/>
        <v>-4.8982943957454105E-4</v>
      </c>
      <c r="DT42">
        <f t="shared" ca="1" si="70"/>
        <v>4.60994163978823E-5</v>
      </c>
      <c r="DU42">
        <f t="shared" ca="1" si="71"/>
        <v>-1.6156517796184201E-5</v>
      </c>
      <c r="DV42">
        <f t="shared" ca="1" si="72"/>
        <v>2.2951934904868999E-6</v>
      </c>
      <c r="DW42">
        <f t="shared" ca="1" si="73"/>
        <v>-3.4263758785790799E-7</v>
      </c>
      <c r="DX42">
        <f t="shared" ca="1" si="74"/>
        <v>8.7910507762245502E-8</v>
      </c>
      <c r="DY42">
        <f t="shared" ca="1" si="75"/>
        <v>-1.4961869077012599E-8</v>
      </c>
      <c r="EA42" s="278" t="str">
        <f ca="1"/>
        <v>SWAP_15Y</v>
      </c>
      <c r="EB42" s="277">
        <f ca="1"/>
        <v>-7.1711095238643423E-4</v>
      </c>
      <c r="EC42" s="171"/>
      <c r="ED42" s="248">
        <f ca="1">'JACOBIAN - SWAP USD3ML'!B51</f>
        <v>46190</v>
      </c>
      <c r="EE42">
        <f ca="1">'JACOBIAN - SWAP USD3ML'!C51</f>
        <v>-5.7343019221889297E-14</v>
      </c>
      <c r="EF42">
        <f ca="1">'JACOBIAN - SWAP USD3ML'!D51</f>
        <v>5.8043922538178504E-7</v>
      </c>
      <c r="EG42">
        <f ca="1">'JACOBIAN - SWAP USD3ML'!E51</f>
        <v>-2.0470569683794801E-12</v>
      </c>
      <c r="EH42">
        <f ca="1">'JACOBIAN - SWAP USD3ML'!F51</f>
        <v>-5.64756574839009E-14</v>
      </c>
      <c r="EI42">
        <f ca="1">'JACOBIAN - SWAP USD3ML'!G51</f>
        <v>6.3505652923845398E-9</v>
      </c>
      <c r="EJ42">
        <f ca="1">'JACOBIAN - SWAP USD3ML'!H51</f>
        <v>5.7827630857779099E-7</v>
      </c>
      <c r="EK42">
        <f ca="1">'JACOBIAN - SWAP USD3ML'!I51</f>
        <v>5.7619075424092403E-7</v>
      </c>
      <c r="EL42">
        <f ca="1">'JACOBIAN - SWAP USD3ML'!J51</f>
        <v>5.7429004682307795E-7</v>
      </c>
      <c r="EM42">
        <f ca="1">'JACOBIAN - SWAP USD3ML'!K51</f>
        <v>5.7246435505170501E-7</v>
      </c>
      <c r="EN42">
        <f ca="1">'JACOBIAN - SWAP USD3ML'!L51</f>
        <v>5.7067735580868005E-7</v>
      </c>
      <c r="EO42">
        <f ca="1">'JACOBIAN - SWAP USD3ML'!M51</f>
        <v>5.65404290345239E-7</v>
      </c>
      <c r="EP42">
        <f ca="1">'JACOBIAN - SWAP USD3ML'!N51</f>
        <v>1.22641863013057E-6</v>
      </c>
      <c r="EQ42">
        <f ca="1">'JACOBIAN - SWAP USD3ML'!O51</f>
        <v>-2.97099055418283E-5</v>
      </c>
      <c r="ER42">
        <f ca="1">'JACOBIAN - SWAP USD3ML'!P51</f>
        <v>1.4378339978203501E-4</v>
      </c>
      <c r="ES42">
        <f ca="1">'JACOBIAN - SWAP USD3ML'!Q51</f>
        <v>-3.8633990073089197E-4</v>
      </c>
      <c r="ET42">
        <f ca="1">'JACOBIAN - SWAP USD3ML'!R51</f>
        <v>8.9832010115805495E-5</v>
      </c>
      <c r="EU42">
        <f ca="1">'JACOBIAN - SWAP USD3ML'!S51</f>
        <v>3.5858536336774401E-4</v>
      </c>
      <c r="EV42">
        <f ca="1">'JACOBIAN - SWAP USD3ML'!T51</f>
        <v>-1.05929937543398E-4</v>
      </c>
      <c r="EW42">
        <f ca="1">'JACOBIAN - SWAP USD3ML'!U51</f>
        <v>2.5652764448311199E-5</v>
      </c>
      <c r="EX42">
        <f ca="1">'JACOBIAN - SWAP USD3ML'!V51</f>
        <v>-2.9946403887065598E-6</v>
      </c>
      <c r="EY42">
        <f ca="1">'JACOBIAN - SWAP USD3ML'!W51</f>
        <v>5.3055880384900199E-7</v>
      </c>
      <c r="EZ42">
        <f ca="1">'JACOBIAN - SWAP USD3ML'!X51</f>
        <v>-1.05163154705268E-7</v>
      </c>
      <c r="FA42">
        <f ca="1">'JACOBIAN - SWAP USD3ML'!Y51</f>
        <v>3.3662073128937202E-8</v>
      </c>
      <c r="FB42">
        <f ca="1">'JACOBIAN - SWAP USD3ML'!Z51</f>
        <v>-6.8510883910466397E-9</v>
      </c>
      <c r="FH42" s="11" t="e">
        <f ca="1"/>
        <v>#N/A</v>
      </c>
      <c r="FI42" s="275" t="e">
        <f ca="1"/>
        <v>#N/A</v>
      </c>
      <c r="FJ42" s="11" t="e">
        <f ca="1"/>
        <v>#N/A</v>
      </c>
      <c r="FK42" s="275" t="e">
        <f ca="1"/>
        <v>#N/A</v>
      </c>
      <c r="FL42" s="11" t="e">
        <f ca="1"/>
        <v>#N/A</v>
      </c>
    </row>
    <row r="43" spans="2:168" x14ac:dyDescent="0.25">
      <c r="D43" s="276" t="s">
        <v>301</v>
      </c>
      <c r="X43" s="258">
        <f t="shared" ca="1" si="42"/>
        <v>46282</v>
      </c>
      <c r="Y43" s="261">
        <v>0</v>
      </c>
      <c r="AA43" s="257">
        <f t="shared" ca="1" si="35"/>
        <v>46282</v>
      </c>
      <c r="AB43" s="266">
        <f t="shared" ca="1" si="43"/>
        <v>-6.1124855804517398E-4</v>
      </c>
      <c r="AC43" s="266"/>
      <c r="AD43" s="290">
        <f ca="1"/>
        <v>46282</v>
      </c>
      <c r="AE43" s="291">
        <f ca="1"/>
        <v>-6.1124855804517431E-4</v>
      </c>
      <c r="AF43" s="291" t="b">
        <f t="shared" ca="1" si="36"/>
        <v>1</v>
      </c>
      <c r="AH43" s="257">
        <f t="shared" ca="1" si="44"/>
        <v>46282</v>
      </c>
      <c r="AI43" s="260">
        <v>0</v>
      </c>
      <c r="AK43" s="290">
        <f ca="1"/>
        <v>46282</v>
      </c>
      <c r="AL43" s="291">
        <f ca="1"/>
        <v>9.8571181857774027E-5</v>
      </c>
      <c r="AM43" s="291" t="b">
        <f t="shared" ca="1" si="45"/>
        <v>1</v>
      </c>
      <c r="AO43" s="257">
        <f t="shared" ca="1" si="46"/>
        <v>46282</v>
      </c>
      <c r="AP43" s="266">
        <f t="shared" ca="1" si="38"/>
        <v>9.8571181857774732E-5</v>
      </c>
      <c r="AR43" s="248">
        <f ca="1">'JACOBIAN - OIS USDOIS'!B52</f>
        <v>46282</v>
      </c>
      <c r="AS43">
        <f ca="1">'JACOBIAN - OIS USDOIS'!C52</f>
        <v>-1.0107507683043699E-6</v>
      </c>
      <c r="AT43">
        <f ca="1">'JACOBIAN - OIS USDOIS'!D52</f>
        <v>-3.5883085391930101E-10</v>
      </c>
      <c r="AU43">
        <f ca="1">'JACOBIAN - OIS USDOIS'!E52</f>
        <v>1.4345484800060099E-9</v>
      </c>
      <c r="AV43">
        <f ca="1">'JACOBIAN - OIS USDOIS'!F52</f>
        <v>-3.7792260432212296E-9</v>
      </c>
      <c r="AW43">
        <f ca="1">'JACOBIAN - OIS USDOIS'!G52</f>
        <v>4.8646375816474599E-9</v>
      </c>
      <c r="AX43">
        <f ca="1">'JACOBIAN - OIS USDOIS'!H52</f>
        <v>-1.10016143972658E-8</v>
      </c>
      <c r="AY43">
        <f ca="1">'JACOBIAN - OIS USDOIS'!I52</f>
        <v>2.4247226448892401E-8</v>
      </c>
      <c r="AZ43">
        <f ca="1">'JACOBIAN - OIS USDOIS'!J52</f>
        <v>-1.3446036639663801E-7</v>
      </c>
      <c r="BA43">
        <f ca="1">'JACOBIAN - OIS USDOIS'!K52</f>
        <v>5.1763586894626499E-7</v>
      </c>
      <c r="BB43">
        <f ca="1">'JACOBIAN - OIS USDOIS'!L52</f>
        <v>-4.36387177615849E-7</v>
      </c>
      <c r="BC43">
        <f ca="1">'JACOBIAN - OIS USDOIS'!M52</f>
        <v>1.60735873400153E-6</v>
      </c>
      <c r="BD43">
        <f ca="1">'JACOBIAN - OIS USDOIS'!N52</f>
        <v>1.82076576038526E-13</v>
      </c>
      <c r="BE43">
        <f ca="1">'JACOBIAN - OIS USDOIS'!O52</f>
        <v>1.82076576038526E-13</v>
      </c>
      <c r="BF43">
        <f ca="1">'JACOBIAN - OIS USDOIS'!P52</f>
        <v>1.82076576038526E-13</v>
      </c>
      <c r="BG43">
        <f ca="1">'JACOBIAN - OIS USDOIS'!Q52</f>
        <v>1.82076576038526E-13</v>
      </c>
      <c r="BH43">
        <f ca="1">'JACOBIAN - OIS USDOIS'!R52</f>
        <v>1.82076576038526E-13</v>
      </c>
      <c r="BI43" s="161">
        <f ca="1">'JACOBIAN - OIS USDOIS'!S52</f>
        <v>1.34185099898154E-6</v>
      </c>
      <c r="BJ43" s="161">
        <f ca="1">'JACOBIAN - OIS USDOIS'!T52</f>
        <v>-7.4375466704301704E-6</v>
      </c>
      <c r="BK43" s="161">
        <f ca="1">'JACOBIAN - OIS USDOIS'!U52</f>
        <v>1.2319418504325199E-5</v>
      </c>
      <c r="BL43" s="161">
        <f ca="1">'JACOBIAN - OIS USDOIS'!V52</f>
        <v>-6.3127367016191398E-5</v>
      </c>
      <c r="BM43" s="161">
        <f ca="1">'JACOBIAN - OIS USDOIS'!W52</f>
        <v>1.0864842776348E-4</v>
      </c>
      <c r="BN43" s="161">
        <f ca="1">'JACOBIAN - OIS USDOIS'!X52</f>
        <v>5.9209950293492896E-4</v>
      </c>
      <c r="BO43" s="161">
        <f ca="1">'JACOBIAN - OIS USDOIS'!Y52</f>
        <v>-3.1505085225314E-5</v>
      </c>
      <c r="BP43" s="161">
        <f ca="1">'JACOBIAN - OIS USDOIS'!Z52</f>
        <v>1.1036897482941099E-5</v>
      </c>
      <c r="BQ43" s="161">
        <f ca="1">'JACOBIAN - OIS USDOIS'!AA52</f>
        <v>-1.56769214176844E-6</v>
      </c>
      <c r="BR43" s="161">
        <f ca="1">'JACOBIAN - OIS USDOIS'!AB52</f>
        <v>2.33949136840828E-7</v>
      </c>
      <c r="BS43" s="161">
        <f ca="1">'JACOBIAN - OIS USDOIS'!AC52</f>
        <v>-5.9985006295448797E-8</v>
      </c>
      <c r="BT43" s="161">
        <f ca="1">'JACOBIAN - OIS USDOIS'!AD52</f>
        <v>1.01999669821495E-8</v>
      </c>
      <c r="BU43">
        <f ca="1">'JACOBIAN - OIS USDOIS'!AE52</f>
        <v>-1.3178410422920501E-6</v>
      </c>
      <c r="BV43">
        <f ca="1">'JACOBIAN - OIS USDOIS'!AF52</f>
        <v>7.3134975927535697E-6</v>
      </c>
      <c r="BW43">
        <f ca="1">'JACOBIAN - OIS USDOIS'!AG52</f>
        <v>-1.2121828066424799E-5</v>
      </c>
      <c r="BX43">
        <f ca="1">'JACOBIAN - OIS USDOIS'!AH52</f>
        <v>6.2135539923180398E-5</v>
      </c>
      <c r="BY43">
        <f ca="1">'JACOBIAN - OIS USDOIS'!AI52</f>
        <v>-1.06896600818307E-4</v>
      </c>
      <c r="BZ43">
        <f ca="1">'JACOBIAN - OIS USDOIS'!AJ52</f>
        <v>-5.8242633582084003E-4</v>
      </c>
      <c r="CA43">
        <f ca="1">'JACOBIAN - OIS USDOIS'!AK52</f>
        <v>3.1012770028149297E-5</v>
      </c>
      <c r="CB43">
        <f ca="1">'JACOBIAN - OIS USDOIS'!AL52</f>
        <v>-1.08692059874738E-5</v>
      </c>
      <c r="CC43">
        <f ca="1">'JACOBIAN - OIS USDOIS'!AM52</f>
        <v>1.5440732950011699E-6</v>
      </c>
      <c r="CD43">
        <f ca="1">'JACOBIAN - OIS USDOIS'!AN52</f>
        <v>-2.30506778442496E-7</v>
      </c>
      <c r="CE43">
        <f ca="1">'JACOBIAN - OIS USDOIS'!AO52</f>
        <v>5.9141172958909703E-8</v>
      </c>
      <c r="CF43">
        <f ca="1">'JACOBIAN - OIS USDOIS'!AP52</f>
        <v>-1.0065485667176699E-8</v>
      </c>
      <c r="CK43" s="248">
        <f t="shared" ca="1" si="47"/>
        <v>46282</v>
      </c>
      <c r="CL43">
        <f t="shared" ca="1" si="48"/>
        <v>-1.0107507683043699E-6</v>
      </c>
      <c r="CM43">
        <f t="shared" ca="1" si="49"/>
        <v>-3.5883085391930101E-10</v>
      </c>
      <c r="CN43">
        <f t="shared" ca="1" si="50"/>
        <v>1.4345484800060099E-9</v>
      </c>
      <c r="CO43">
        <f t="shared" ca="1" si="51"/>
        <v>-3.7792260432212296E-9</v>
      </c>
      <c r="CP43">
        <f t="shared" ca="1" si="52"/>
        <v>4.8646375816474599E-9</v>
      </c>
      <c r="CQ43">
        <f t="shared" ca="1" si="53"/>
        <v>-1.10016143972658E-8</v>
      </c>
      <c r="CR43">
        <f t="shared" ca="1" si="54"/>
        <v>2.4247226448892401E-8</v>
      </c>
      <c r="CS43">
        <f t="shared" ca="1" si="55"/>
        <v>-1.3446036639663801E-7</v>
      </c>
      <c r="CT43">
        <f t="shared" ca="1" si="56"/>
        <v>5.1763586894626499E-7</v>
      </c>
      <c r="CU43">
        <f t="shared" ca="1" si="57"/>
        <v>-4.36387177615849E-7</v>
      </c>
      <c r="CV43">
        <f t="shared" ca="1" si="58"/>
        <v>1.60735873400153E-6</v>
      </c>
      <c r="CW43">
        <f t="shared" ca="1" si="59"/>
        <v>1.82076576038526E-13</v>
      </c>
      <c r="CX43">
        <f t="shared" ca="1" si="60"/>
        <v>1.82076576038526E-13</v>
      </c>
      <c r="CY43">
        <f t="shared" ca="1" si="61"/>
        <v>1.82076576038526E-13</v>
      </c>
      <c r="CZ43">
        <f t="shared" ca="1" si="62"/>
        <v>1.82076576038526E-13</v>
      </c>
      <c r="DA43">
        <f t="shared" ca="1" si="63"/>
        <v>1.82076576038526E-13</v>
      </c>
      <c r="DB43" s="146">
        <v>0</v>
      </c>
      <c r="DC43" s="146">
        <v>0</v>
      </c>
      <c r="DD43" s="146">
        <v>0</v>
      </c>
      <c r="DE43" s="146">
        <v>0</v>
      </c>
      <c r="DF43" s="146">
        <v>0</v>
      </c>
      <c r="DG43" s="146">
        <v>0</v>
      </c>
      <c r="DH43" s="146">
        <v>0</v>
      </c>
      <c r="DI43" s="146">
        <v>0</v>
      </c>
      <c r="DJ43" s="146">
        <v>0</v>
      </c>
      <c r="DK43" s="146">
        <v>0</v>
      </c>
      <c r="DL43" s="146">
        <v>0</v>
      </c>
      <c r="DM43" s="146">
        <v>0</v>
      </c>
      <c r="DN43">
        <f t="shared" ca="1" si="64"/>
        <v>-1.3178410422920501E-6</v>
      </c>
      <c r="DO43">
        <f t="shared" ca="1" si="65"/>
        <v>7.3134975927535697E-6</v>
      </c>
      <c r="DP43">
        <f t="shared" ca="1" si="66"/>
        <v>-1.2121828066424799E-5</v>
      </c>
      <c r="DQ43">
        <f t="shared" ca="1" si="67"/>
        <v>6.2135539923180398E-5</v>
      </c>
      <c r="DR43">
        <f t="shared" ca="1" si="68"/>
        <v>-1.06896600818307E-4</v>
      </c>
      <c r="DS43">
        <f t="shared" ca="1" si="69"/>
        <v>-5.8242633582084003E-4</v>
      </c>
      <c r="DT43">
        <f t="shared" ca="1" si="70"/>
        <v>3.1012770028149297E-5</v>
      </c>
      <c r="DU43">
        <f t="shared" ca="1" si="71"/>
        <v>-1.08692059874738E-5</v>
      </c>
      <c r="DV43">
        <f t="shared" ca="1" si="72"/>
        <v>1.5440732950011699E-6</v>
      </c>
      <c r="DW43">
        <f t="shared" ca="1" si="73"/>
        <v>-2.30506778442496E-7</v>
      </c>
      <c r="DX43">
        <f t="shared" ca="1" si="74"/>
        <v>5.9141172958909703E-8</v>
      </c>
      <c r="DY43">
        <f t="shared" ca="1" si="75"/>
        <v>-1.0065485667176699E-8</v>
      </c>
      <c r="EA43" s="278" t="str">
        <f ca="1"/>
        <v>SWAP_20Y</v>
      </c>
      <c r="EB43" s="277">
        <f ca="1"/>
        <v>1.0705657406898012E-4</v>
      </c>
      <c r="EC43" s="171"/>
      <c r="ED43" s="248">
        <f ca="1">'JACOBIAN - SWAP USD3ML'!B52</f>
        <v>46282</v>
      </c>
      <c r="EE43">
        <f ca="1">'JACOBIAN - SWAP USD3ML'!C52</f>
        <v>5.1830068015234998E-14</v>
      </c>
      <c r="EF43">
        <f ca="1">'JACOBIAN - SWAP USD3ML'!D52</f>
        <v>4.3622476356489097E-7</v>
      </c>
      <c r="EG43">
        <f ca="1">'JACOBIAN - SWAP USD3ML'!E52</f>
        <v>2.0976657910676299E-12</v>
      </c>
      <c r="EH43">
        <f ca="1">'JACOBIAN - SWAP USD3ML'!F52</f>
        <v>5.1830068015234998E-14</v>
      </c>
      <c r="EI43">
        <f ca="1">'JACOBIAN - SWAP USD3ML'!G52</f>
        <v>4.7728186264306399E-9</v>
      </c>
      <c r="EJ43">
        <f ca="1">'JACOBIAN - SWAP USD3ML'!H52</f>
        <v>4.3459971182588401E-7</v>
      </c>
      <c r="EK43">
        <f ca="1">'JACOBIAN - SWAP USD3ML'!I52</f>
        <v>4.3303578569145499E-7</v>
      </c>
      <c r="EL43">
        <f ca="1">'JACOBIAN - SWAP USD3ML'!J52</f>
        <v>4.31607273879142E-7</v>
      </c>
      <c r="EM43">
        <f ca="1">'JACOBIAN - SWAP USD3ML'!K52</f>
        <v>4.3023514421577898E-7</v>
      </c>
      <c r="EN43">
        <f ca="1">'JACOBIAN - SWAP USD3ML'!L52</f>
        <v>4.2889213938690501E-7</v>
      </c>
      <c r="EO43">
        <f ca="1">'JACOBIAN - SWAP USD3ML'!M52</f>
        <v>4.2492915823533201E-7</v>
      </c>
      <c r="EP43">
        <f ca="1">'JACOBIAN - SWAP USD3ML'!N52</f>
        <v>9.2171296265861101E-7</v>
      </c>
      <c r="EQ43">
        <f ca="1">'JACOBIAN - SWAP USD3ML'!O52</f>
        <v>-2.2328448216521499E-5</v>
      </c>
      <c r="ER43">
        <f ca="1">'JACOBIAN - SWAP USD3ML'!P52</f>
        <v>1.08059868874508E-4</v>
      </c>
      <c r="ES43">
        <f ca="1">'JACOBIAN - SWAP USD3ML'!Q52</f>
        <v>-2.7319434713753799E-4</v>
      </c>
      <c r="ET43">
        <f ca="1">'JACOBIAN - SWAP USD3ML'!R52</f>
        <v>-2.4753575953127501E-4</v>
      </c>
      <c r="EU43">
        <f ca="1">'JACOBIAN - SWAP USD3ML'!S52</f>
        <v>6.8866493635249399E-4</v>
      </c>
      <c r="EV43">
        <f ca="1">'JACOBIAN - SWAP USD3ML'!T52</f>
        <v>-2.03421944254541E-4</v>
      </c>
      <c r="EW43">
        <f ca="1">'JACOBIAN - SWAP USD3ML'!U52</f>
        <v>4.9263299260575399E-5</v>
      </c>
      <c r="EX43">
        <f ca="1">'JACOBIAN - SWAP USD3ML'!V52</f>
        <v>-5.7508480825752004E-6</v>
      </c>
      <c r="EY43">
        <f ca="1">'JACOBIAN - SWAP USD3ML'!W52</f>
        <v>1.01887878178539E-6</v>
      </c>
      <c r="EZ43">
        <f ca="1">'JACOBIAN - SWAP USD3ML'!X52</f>
        <v>-2.0195419139085201E-7</v>
      </c>
      <c r="FA43">
        <f ca="1">'JACOBIAN - SWAP USD3ML'!Y52</f>
        <v>6.4645545180819206E-8</v>
      </c>
      <c r="FB43">
        <f ca="1">'JACOBIAN - SWAP USD3ML'!Z52</f>
        <v>-1.3157502337657299E-8</v>
      </c>
      <c r="FH43" s="11" t="e">
        <f ca="1"/>
        <v>#N/A</v>
      </c>
      <c r="FI43" s="275" t="e">
        <f ca="1"/>
        <v>#N/A</v>
      </c>
      <c r="FJ43" s="11" t="e">
        <f ca="1"/>
        <v>#N/A</v>
      </c>
      <c r="FK43" s="275" t="e">
        <f ca="1"/>
        <v>#N/A</v>
      </c>
      <c r="FL43" s="11" t="e">
        <f ca="1"/>
        <v>#N/A</v>
      </c>
    </row>
    <row r="44" spans="2:168" x14ac:dyDescent="0.25">
      <c r="X44" s="258">
        <f t="shared" ca="1" si="42"/>
        <v>46373</v>
      </c>
      <c r="Y44" s="261">
        <v>0</v>
      </c>
      <c r="AA44" s="257">
        <f t="shared" ca="1" si="35"/>
        <v>46373</v>
      </c>
      <c r="AB44" s="266">
        <f t="shared" ca="1" si="43"/>
        <v>-6.3140363165936598E-4</v>
      </c>
      <c r="AC44" s="266"/>
      <c r="AD44" s="290">
        <f ca="1"/>
        <v>46373</v>
      </c>
      <c r="AE44" s="291">
        <f ca="1"/>
        <v>-6.314036316593663E-4</v>
      </c>
      <c r="AF44" s="291" t="b">
        <f t="shared" ca="1" si="36"/>
        <v>1</v>
      </c>
      <c r="AH44" s="257">
        <f t="shared" ca="1" si="44"/>
        <v>46373</v>
      </c>
      <c r="AI44" s="260">
        <v>0</v>
      </c>
      <c r="AK44" s="290">
        <f ca="1"/>
        <v>46373</v>
      </c>
      <c r="AL44" s="291">
        <f ca="1"/>
        <v>9.8589420647776649E-5</v>
      </c>
      <c r="AM44" s="291" t="b">
        <f t="shared" ca="1" si="45"/>
        <v>1</v>
      </c>
      <c r="AO44" s="257">
        <f t="shared" ca="1" si="46"/>
        <v>46373</v>
      </c>
      <c r="AP44" s="266">
        <f t="shared" ca="1" si="38"/>
        <v>9.8589420647772461E-5</v>
      </c>
      <c r="AR44" s="248">
        <f ca="1">'JACOBIAN - OIS USDOIS'!B53</f>
        <v>46373</v>
      </c>
      <c r="AS44">
        <f ca="1">'JACOBIAN - OIS USDOIS'!C53</f>
        <v>-1.00677321401843E-6</v>
      </c>
      <c r="AT44">
        <f ca="1">'JACOBIAN - OIS USDOIS'!D53</f>
        <v>7.7156836475467104E-11</v>
      </c>
      <c r="AU44">
        <f ca="1">'JACOBIAN - OIS USDOIS'!E53</f>
        <v>-3.0888280821983502E-10</v>
      </c>
      <c r="AV44">
        <f ca="1">'JACOBIAN - OIS USDOIS'!F53</f>
        <v>8.1334528001519898E-10</v>
      </c>
      <c r="AW44">
        <f ca="1">'JACOBIAN - OIS USDOIS'!G53</f>
        <v>-1.0466120192731399E-9</v>
      </c>
      <c r="AX44">
        <f ca="1">'JACOBIAN - OIS USDOIS'!H53</f>
        <v>2.3671264948177399E-9</v>
      </c>
      <c r="AY44">
        <f ca="1">'JACOBIAN - OIS USDOIS'!I53</f>
        <v>-2.09417453378435E-8</v>
      </c>
      <c r="AZ44">
        <f ca="1">'JACOBIAN - OIS USDOIS'!J53</f>
        <v>2.89306559819735E-8</v>
      </c>
      <c r="BA44">
        <f ca="1">'JACOBIAN - OIS USDOIS'!K53</f>
        <v>-1.11383926970632E-7</v>
      </c>
      <c r="BB44">
        <f ca="1">'JACOBIAN - OIS USDOIS'!L53</f>
        <v>5.1648464749476396E-7</v>
      </c>
      <c r="BC44">
        <f ca="1">'JACOBIAN - OIS USDOIS'!M53</f>
        <v>-3.9325074863150199E-7</v>
      </c>
      <c r="BD44">
        <f ca="1">'JACOBIAN - OIS USDOIS'!N53</f>
        <v>2.6967317268145098E-13</v>
      </c>
      <c r="BE44">
        <f ca="1">'JACOBIAN - OIS USDOIS'!O53</f>
        <v>2.6967317268145098E-13</v>
      </c>
      <c r="BF44">
        <f ca="1">'JACOBIAN - OIS USDOIS'!P53</f>
        <v>2.6967317268145098E-13</v>
      </c>
      <c r="BG44">
        <f ca="1">'JACOBIAN - OIS USDOIS'!Q53</f>
        <v>2.6967317268145098E-13</v>
      </c>
      <c r="BH44">
        <f ca="1">'JACOBIAN - OIS USDOIS'!R53</f>
        <v>2.6967317268145098E-13</v>
      </c>
      <c r="BI44" s="161">
        <f ca="1">'JACOBIAN - OIS USDOIS'!S53</f>
        <v>-1.26562697722044E-6</v>
      </c>
      <c r="BJ44" s="161">
        <f ca="1">'JACOBIAN - OIS USDOIS'!T53</f>
        <v>-2.99590456753762E-6</v>
      </c>
      <c r="BK44" s="161">
        <f ca="1">'JACOBIAN - OIS USDOIS'!U53</f>
        <v>-3.8606755914383203E-6</v>
      </c>
      <c r="BL44" s="161">
        <f ca="1">'JACOBIAN - OIS USDOIS'!V53</f>
        <v>-2.47479826820385E-6</v>
      </c>
      <c r="BM44" s="161">
        <f ca="1">'JACOBIAN - OIS USDOIS'!W53</f>
        <v>-1.39053898634556E-5</v>
      </c>
      <c r="BN44" s="161">
        <f ca="1">'JACOBIAN - OIS USDOIS'!X53</f>
        <v>6.6492109063387395E-4</v>
      </c>
      <c r="BO44" s="161">
        <f ca="1">'JACOBIAN - OIS USDOIS'!Y53</f>
        <v>7.4697055840733405E-7</v>
      </c>
      <c r="BP44" s="161">
        <f ca="1">'JACOBIAN - OIS USDOIS'!Z53</f>
        <v>-2.6168128164361098E-7</v>
      </c>
      <c r="BQ44" s="161">
        <f ca="1">'JACOBIAN - OIS USDOIS'!AA53</f>
        <v>3.7169038957784999E-8</v>
      </c>
      <c r="BR44" s="161">
        <f ca="1">'JACOBIAN - OIS USDOIS'!AB53</f>
        <v>-5.5470886772823697E-9</v>
      </c>
      <c r="BS44" s="161">
        <f ca="1">'JACOBIAN - OIS USDOIS'!AC53</f>
        <v>1.42250267121113E-9</v>
      </c>
      <c r="BT44" s="161">
        <f ca="1">'JACOBIAN - OIS USDOIS'!AD53</f>
        <v>-2.4153246069857899E-10</v>
      </c>
      <c r="BU44">
        <f ca="1">'JACOBIAN - OIS USDOIS'!AE53</f>
        <v>1.2424120825471599E-6</v>
      </c>
      <c r="BV44">
        <f ca="1">'JACOBIAN - OIS USDOIS'!AF53</f>
        <v>2.9456745257450102E-6</v>
      </c>
      <c r="BW44">
        <f ca="1">'JACOBIAN - OIS USDOIS'!AG53</f>
        <v>3.7984215495168202E-6</v>
      </c>
      <c r="BX44">
        <f ca="1">'JACOBIAN - OIS USDOIS'!AH53</f>
        <v>2.4340208372164402E-6</v>
      </c>
      <c r="BY44">
        <f ca="1">'JACOBIAN - OIS USDOIS'!AI53</f>
        <v>1.3675739774288199E-5</v>
      </c>
      <c r="BZ44">
        <f ca="1">'JACOBIAN - OIS USDOIS'!AJ53</f>
        <v>-6.5400496052558899E-4</v>
      </c>
      <c r="CA44">
        <f ca="1">'JACOBIAN - OIS USDOIS'!AK53</f>
        <v>-7.3530631361506896E-7</v>
      </c>
      <c r="CB44">
        <f ca="1">'JACOBIAN - OIS USDOIS'!AL53</f>
        <v>2.5770472611430501E-7</v>
      </c>
      <c r="CC44">
        <f ca="1">'JACOBIAN - OIS USDOIS'!AM53</f>
        <v>-3.6609407949583803E-8</v>
      </c>
      <c r="CD44">
        <f ca="1">'JACOBIAN - OIS USDOIS'!AN53</f>
        <v>5.4654220038585802E-9</v>
      </c>
      <c r="CE44">
        <f ca="1">'JACOBIAN - OIS USDOIS'!AO53</f>
        <v>-1.4020821170746E-9</v>
      </c>
      <c r="CF44">
        <f ca="1">'JACOBIAN - OIS USDOIS'!AP53</f>
        <v>2.3860180498047601E-10</v>
      </c>
      <c r="CK44" s="248">
        <f t="shared" ca="1" si="47"/>
        <v>46373</v>
      </c>
      <c r="CL44">
        <f t="shared" ca="1" si="48"/>
        <v>-1.00677321401843E-6</v>
      </c>
      <c r="CM44">
        <f t="shared" ca="1" si="49"/>
        <v>7.7156836475467104E-11</v>
      </c>
      <c r="CN44">
        <f t="shared" ca="1" si="50"/>
        <v>-3.0888280821983502E-10</v>
      </c>
      <c r="CO44">
        <f t="shared" ca="1" si="51"/>
        <v>8.1334528001519898E-10</v>
      </c>
      <c r="CP44">
        <f t="shared" ca="1" si="52"/>
        <v>-1.0466120192731399E-9</v>
      </c>
      <c r="CQ44">
        <f t="shared" ca="1" si="53"/>
        <v>2.3671264948177399E-9</v>
      </c>
      <c r="CR44">
        <f t="shared" ca="1" si="54"/>
        <v>-2.09417453378435E-8</v>
      </c>
      <c r="CS44">
        <f t="shared" ca="1" si="55"/>
        <v>2.89306559819735E-8</v>
      </c>
      <c r="CT44">
        <f t="shared" ca="1" si="56"/>
        <v>-1.11383926970632E-7</v>
      </c>
      <c r="CU44">
        <f t="shared" ca="1" si="57"/>
        <v>5.1648464749476396E-7</v>
      </c>
      <c r="CV44">
        <f t="shared" ca="1" si="58"/>
        <v>-3.9325074863150199E-7</v>
      </c>
      <c r="CW44">
        <f t="shared" ca="1" si="59"/>
        <v>2.6967317268145098E-13</v>
      </c>
      <c r="CX44">
        <f t="shared" ca="1" si="60"/>
        <v>2.6967317268145098E-13</v>
      </c>
      <c r="CY44">
        <f t="shared" ca="1" si="61"/>
        <v>2.6967317268145098E-13</v>
      </c>
      <c r="CZ44">
        <f t="shared" ca="1" si="62"/>
        <v>2.6967317268145098E-13</v>
      </c>
      <c r="DA44">
        <f t="shared" ca="1" si="63"/>
        <v>2.6967317268145098E-13</v>
      </c>
      <c r="DB44" s="146">
        <v>0</v>
      </c>
      <c r="DC44" s="146">
        <v>0</v>
      </c>
      <c r="DD44" s="146">
        <v>0</v>
      </c>
      <c r="DE44" s="146">
        <v>0</v>
      </c>
      <c r="DF44" s="146">
        <v>0</v>
      </c>
      <c r="DG44" s="146">
        <v>0</v>
      </c>
      <c r="DH44" s="146">
        <v>0</v>
      </c>
      <c r="DI44" s="146">
        <v>0</v>
      </c>
      <c r="DJ44" s="146">
        <v>0</v>
      </c>
      <c r="DK44" s="146">
        <v>0</v>
      </c>
      <c r="DL44" s="146">
        <v>0</v>
      </c>
      <c r="DM44" s="146">
        <v>0</v>
      </c>
      <c r="DN44">
        <f t="shared" ca="1" si="64"/>
        <v>1.2424120825471599E-6</v>
      </c>
      <c r="DO44">
        <f t="shared" ca="1" si="65"/>
        <v>2.9456745257450102E-6</v>
      </c>
      <c r="DP44">
        <f t="shared" ca="1" si="66"/>
        <v>3.7984215495168202E-6</v>
      </c>
      <c r="DQ44">
        <f t="shared" ca="1" si="67"/>
        <v>2.4340208372164402E-6</v>
      </c>
      <c r="DR44">
        <f t="shared" ca="1" si="68"/>
        <v>1.3675739774288199E-5</v>
      </c>
      <c r="DS44">
        <f t="shared" ca="1" si="69"/>
        <v>-6.5400496052558899E-4</v>
      </c>
      <c r="DT44">
        <f t="shared" ca="1" si="70"/>
        <v>-7.3530631361506896E-7</v>
      </c>
      <c r="DU44">
        <f t="shared" ca="1" si="71"/>
        <v>2.5770472611430501E-7</v>
      </c>
      <c r="DV44">
        <f t="shared" ca="1" si="72"/>
        <v>-3.6609407949583803E-8</v>
      </c>
      <c r="DW44">
        <f t="shared" ca="1" si="73"/>
        <v>5.4654220038585802E-9</v>
      </c>
      <c r="DX44">
        <f t="shared" ca="1" si="74"/>
        <v>-1.4020821170746E-9</v>
      </c>
      <c r="DY44">
        <f t="shared" ca="1" si="75"/>
        <v>2.3860180498047601E-10</v>
      </c>
      <c r="EA44" s="278" t="str">
        <f ca="1"/>
        <v>SWAP_25Y</v>
      </c>
      <c r="EB44" s="277">
        <f ca="1"/>
        <v>-2.7466919723224091E-5</v>
      </c>
      <c r="EC44" s="171"/>
      <c r="ED44" s="248">
        <f ca="1">'JACOBIAN - SWAP USD3ML'!B53</f>
        <v>46373</v>
      </c>
      <c r="EE44">
        <f ca="1">'JACOBIAN - SWAP USD3ML'!C53</f>
        <v>2.1493917756743E-13</v>
      </c>
      <c r="EF44">
        <f ca="1">'JACOBIAN - SWAP USD3ML'!D53</f>
        <v>1.9736616874155299E-7</v>
      </c>
      <c r="EG44">
        <f ca="1">'JACOBIAN - SWAP USD3ML'!E53</f>
        <v>7.5957018452754694E-12</v>
      </c>
      <c r="EH44">
        <f ca="1">'JACOBIAN - SWAP USD3ML'!F53</f>
        <v>2.1405099914773E-13</v>
      </c>
      <c r="EI44">
        <f ca="1">'JACOBIAN - SWAP USD3ML'!G53</f>
        <v>2.1596182619987299E-9</v>
      </c>
      <c r="EJ44">
        <f ca="1">'JACOBIAN - SWAP USD3ML'!H53</f>
        <v>1.96631788185186E-7</v>
      </c>
      <c r="EK44">
        <f ca="1">'JACOBIAN - SWAP USD3ML'!I53</f>
        <v>1.9593050648580899E-7</v>
      </c>
      <c r="EL44">
        <f ca="1">'JACOBIAN - SWAP USD3ML'!J53</f>
        <v>1.9528409644919999E-7</v>
      </c>
      <c r="EM44">
        <f ca="1">'JACOBIAN - SWAP USD3ML'!K53</f>
        <v>1.9466321088401599E-7</v>
      </c>
      <c r="EN44">
        <f ca="1">'JACOBIAN - SWAP USD3ML'!L53</f>
        <v>1.94055577829033E-7</v>
      </c>
      <c r="EO44">
        <f ca="1">'JACOBIAN - SWAP USD3ML'!M53</f>
        <v>1.9226247349735101E-7</v>
      </c>
      <c r="EP44">
        <f ca="1">'JACOBIAN - SWAP USD3ML'!N53</f>
        <v>4.1703427733352798E-7</v>
      </c>
      <c r="EQ44">
        <f ca="1">'JACOBIAN - SWAP USD3ML'!O53</f>
        <v>-1.0102654683485899E-5</v>
      </c>
      <c r="ER44">
        <f ca="1">'JACOBIAN - SWAP USD3ML'!P53</f>
        <v>4.8891896757829998E-5</v>
      </c>
      <c r="ES44">
        <f ca="1">'JACOBIAN - SWAP USD3ML'!Q53</f>
        <v>-1.2180614996815099E-4</v>
      </c>
      <c r="ET44">
        <f ca="1">'JACOBIAN - SWAP USD3ML'!R53</f>
        <v>-6.1579341400808097E-4</v>
      </c>
      <c r="EU44">
        <f ca="1">'JACOBIAN - SWAP USD3ML'!S53</f>
        <v>1.0193098245290201E-3</v>
      </c>
      <c r="EV44">
        <f ca="1">'JACOBIAN - SWAP USD3ML'!T53</f>
        <v>-2.8611937388589597E-4</v>
      </c>
      <c r="EW44">
        <f ca="1">'JACOBIAN - SWAP USD3ML'!U53</f>
        <v>6.9291262261295103E-5</v>
      </c>
      <c r="EX44">
        <f ca="1">'JACOBIAN - SWAP USD3ML'!V53</f>
        <v>-8.0888303060078198E-6</v>
      </c>
      <c r="EY44">
        <f ca="1">'JACOBIAN - SWAP USD3ML'!W53</f>
        <v>1.43310203970515E-6</v>
      </c>
      <c r="EZ44">
        <f ca="1">'JACOBIAN - SWAP USD3ML'!X53</f>
        <v>-2.8405856156155101E-7</v>
      </c>
      <c r="FA44">
        <f ca="1">'JACOBIAN - SWAP USD3ML'!Y53</f>
        <v>9.0927750662217503E-8</v>
      </c>
      <c r="FB44">
        <f ca="1">'JACOBIAN - SWAP USD3ML'!Z53</f>
        <v>-1.8507019916569301E-8</v>
      </c>
      <c r="FH44" s="11" t="e">
        <f ca="1"/>
        <v>#N/A</v>
      </c>
      <c r="FI44" s="275" t="e">
        <f ca="1"/>
        <v>#N/A</v>
      </c>
      <c r="FJ44" s="11" t="e">
        <f ca="1"/>
        <v>#N/A</v>
      </c>
      <c r="FK44" s="275" t="e">
        <f ca="1"/>
        <v>#N/A</v>
      </c>
      <c r="FL44" s="11" t="e">
        <f ca="1"/>
        <v>#N/A</v>
      </c>
    </row>
    <row r="45" spans="2:168" x14ac:dyDescent="0.25">
      <c r="X45" s="258">
        <f t="shared" ca="1" si="42"/>
        <v>46463</v>
      </c>
      <c r="Y45" s="261">
        <v>0</v>
      </c>
      <c r="AA45" s="257">
        <f t="shared" ca="1" si="35"/>
        <v>46463</v>
      </c>
      <c r="AB45" s="266">
        <f t="shared" ca="1" si="43"/>
        <v>-6.5114041093783403E-4</v>
      </c>
      <c r="AC45" s="266"/>
      <c r="AD45" s="290">
        <f ca="1"/>
        <v>46463</v>
      </c>
      <c r="AE45" s="291">
        <f ca="1"/>
        <v>-6.5114041093783381E-4</v>
      </c>
      <c r="AF45" s="291" t="b">
        <f t="shared" ca="1" si="36"/>
        <v>1</v>
      </c>
      <c r="AH45" s="257">
        <f t="shared" ca="1" si="44"/>
        <v>46463</v>
      </c>
      <c r="AI45" s="260">
        <v>0</v>
      </c>
      <c r="AK45" s="290">
        <f ca="1"/>
        <v>46463</v>
      </c>
      <c r="AL45" s="291">
        <f ca="1"/>
        <v>9.8560890386571037E-5</v>
      </c>
      <c r="AM45" s="291" t="b">
        <f t="shared" ca="1" si="45"/>
        <v>1</v>
      </c>
      <c r="AO45" s="257">
        <f t="shared" ca="1" si="46"/>
        <v>46463</v>
      </c>
      <c r="AP45" s="266">
        <f t="shared" ca="1" si="38"/>
        <v>9.8560890386575835E-5</v>
      </c>
      <c r="AR45" s="248">
        <f ca="1">'JACOBIAN - OIS USDOIS'!B54</f>
        <v>46463</v>
      </c>
      <c r="AS45">
        <f ca="1">'JACOBIAN - OIS USDOIS'!C54</f>
        <v>-1.0028085082325299E-6</v>
      </c>
      <c r="AT45">
        <f ca="1">'JACOBIAN - OIS USDOIS'!D54</f>
        <v>4.3090009338442299E-10</v>
      </c>
      <c r="AU45">
        <f ca="1">'JACOBIAN - OIS USDOIS'!E54</f>
        <v>-1.7234498272955501E-9</v>
      </c>
      <c r="AV45">
        <f ca="1">'JACOBIAN - OIS USDOIS'!F54</f>
        <v>4.5396132408726E-9</v>
      </c>
      <c r="AW45">
        <f ca="1">'JACOBIAN - OIS USDOIS'!G54</f>
        <v>-5.8428107907460003E-9</v>
      </c>
      <c r="AX45">
        <f ca="1">'JACOBIAN - OIS USDOIS'!H54</f>
        <v>1.32140962616489E-8</v>
      </c>
      <c r="AY45">
        <f ca="1">'JACOBIAN - OIS USDOIS'!I54</f>
        <v>-5.7593471769479298E-8</v>
      </c>
      <c r="AZ45">
        <f ca="1">'JACOBIAN - OIS USDOIS'!J54</f>
        <v>1.6150096615596999E-7</v>
      </c>
      <c r="BA45">
        <f ca="1">'JACOBIAN - OIS USDOIS'!K54</f>
        <v>-6.21750292473244E-7</v>
      </c>
      <c r="BB45">
        <f ca="1">'JACOBIAN - OIS USDOIS'!L54</f>
        <v>1.2896204877321799E-6</v>
      </c>
      <c r="BC45">
        <f ca="1">'JACOBIAN - OIS USDOIS'!M54</f>
        <v>-2.0164388779830802E-6</v>
      </c>
      <c r="BD45">
        <f ca="1">'JACOBIAN - OIS USDOIS'!N54</f>
        <v>3.48943096639687E-13</v>
      </c>
      <c r="BE45">
        <f ca="1">'JACOBIAN - OIS USDOIS'!O54</f>
        <v>3.48943096639687E-13</v>
      </c>
      <c r="BF45">
        <f ca="1">'JACOBIAN - OIS USDOIS'!P54</f>
        <v>3.48943096639687E-13</v>
      </c>
      <c r="BG45">
        <f ca="1">'JACOBIAN - OIS USDOIS'!Q54</f>
        <v>3.48943096639687E-13</v>
      </c>
      <c r="BH45">
        <f ca="1">'JACOBIAN - OIS USDOIS'!R54</f>
        <v>3.48943096639687E-13</v>
      </c>
      <c r="BI45" s="161">
        <f ca="1">'JACOBIAN - OIS USDOIS'!S54</f>
        <v>-3.3812873079242001E-6</v>
      </c>
      <c r="BJ45" s="161">
        <f ca="1">'JACOBIAN - OIS USDOIS'!T54</f>
        <v>6.0750710417778496E-7</v>
      </c>
      <c r="BK45" s="161">
        <f ca="1">'JACOBIAN - OIS USDOIS'!U54</f>
        <v>-1.69871615441908E-5</v>
      </c>
      <c r="BL45" s="161">
        <f ca="1">'JACOBIAN - OIS USDOIS'!V54</f>
        <v>4.6730093810287698E-5</v>
      </c>
      <c r="BM45" s="161">
        <f ca="1">'JACOBIAN - OIS USDOIS'!W54</f>
        <v>-1.12295764041481E-4</v>
      </c>
      <c r="BN45" s="161">
        <f ca="1">'JACOBIAN - OIS USDOIS'!X54</f>
        <v>7.0831690091299705E-4</v>
      </c>
      <c r="BO45" s="161">
        <f ca="1">'JACOBIAN - OIS USDOIS'!Y54</f>
        <v>5.2851296485800801E-5</v>
      </c>
      <c r="BP45" s="161">
        <f ca="1">'JACOBIAN - OIS USDOIS'!Z54</f>
        <v>-1.8376829264865599E-5</v>
      </c>
      <c r="BQ45" s="161">
        <f ca="1">'JACOBIAN - OIS USDOIS'!AA54</f>
        <v>2.61031010329038E-6</v>
      </c>
      <c r="BR45" s="161">
        <f ca="1">'JACOBIAN - OIS USDOIS'!AB54</f>
        <v>-3.8954041048366898E-7</v>
      </c>
      <c r="BS45" s="161">
        <f ca="1">'JACOBIAN - OIS USDOIS'!AC54</f>
        <v>9.98794641438039E-8</v>
      </c>
      <c r="BT45" s="161">
        <f ca="1">'JACOBIAN - OIS USDOIS'!AD54</f>
        <v>-1.6982833694889601E-8</v>
      </c>
      <c r="BU45">
        <f ca="1">'JACOBIAN - OIS USDOIS'!AE54</f>
        <v>3.3197657332006999E-6</v>
      </c>
      <c r="BV45">
        <f ca="1">'JACOBIAN - OIS USDOIS'!AF54</f>
        <v>-5.9781844774509096E-7</v>
      </c>
      <c r="BW45">
        <f ca="1">'JACOBIAN - OIS USDOIS'!AG54</f>
        <v>1.6714516281934901E-5</v>
      </c>
      <c r="BX45">
        <f ca="1">'JACOBIAN - OIS USDOIS'!AH54</f>
        <v>-4.5993510855657498E-5</v>
      </c>
      <c r="BY45">
        <f ca="1">'JACOBIAN - OIS USDOIS'!AI54</f>
        <v>1.10498719862906E-4</v>
      </c>
      <c r="BZ45">
        <f ca="1">'JACOBIAN - OIS USDOIS'!AJ54</f>
        <v>-6.9665385342887497E-4</v>
      </c>
      <c r="CA45">
        <f ca="1">'JACOBIAN - OIS USDOIS'!AK54</f>
        <v>-5.2020693508514301E-5</v>
      </c>
      <c r="CB45">
        <f ca="1">'JACOBIAN - OIS USDOIS'!AL54</f>
        <v>1.80981906970912E-5</v>
      </c>
      <c r="CC45">
        <f ca="1">'JACOBIAN - OIS USDOIS'!AM54</f>
        <v>-2.5709725681721798E-6</v>
      </c>
      <c r="CD45">
        <f ca="1">'JACOBIAN - OIS USDOIS'!AN54</f>
        <v>3.8380878386590201E-7</v>
      </c>
      <c r="CE45">
        <f ca="1">'JACOBIAN - OIS USDOIS'!AO54</f>
        <v>-9.8473398324472301E-8</v>
      </c>
      <c r="CF45">
        <f ca="1">'JACOBIAN - OIS USDOIS'!AP54</f>
        <v>1.6759513332686999E-8</v>
      </c>
      <c r="CK45" s="248">
        <f t="shared" ca="1" si="47"/>
        <v>46463</v>
      </c>
      <c r="CL45">
        <f t="shared" ca="1" si="48"/>
        <v>-1.0028085082325299E-6</v>
      </c>
      <c r="CM45">
        <f t="shared" ca="1" si="49"/>
        <v>4.3090009338442299E-10</v>
      </c>
      <c r="CN45">
        <f t="shared" ca="1" si="50"/>
        <v>-1.7234498272955501E-9</v>
      </c>
      <c r="CO45">
        <f t="shared" ca="1" si="51"/>
        <v>4.5396132408726E-9</v>
      </c>
      <c r="CP45">
        <f t="shared" ca="1" si="52"/>
        <v>-5.8428107907460003E-9</v>
      </c>
      <c r="CQ45">
        <f t="shared" ca="1" si="53"/>
        <v>1.32140962616489E-8</v>
      </c>
      <c r="CR45">
        <f t="shared" ca="1" si="54"/>
        <v>-5.7593471769479298E-8</v>
      </c>
      <c r="CS45">
        <f t="shared" ca="1" si="55"/>
        <v>1.6150096615596999E-7</v>
      </c>
      <c r="CT45">
        <f t="shared" ca="1" si="56"/>
        <v>-6.21750292473244E-7</v>
      </c>
      <c r="CU45">
        <f t="shared" ca="1" si="57"/>
        <v>1.2896204877321799E-6</v>
      </c>
      <c r="CV45">
        <f t="shared" ca="1" si="58"/>
        <v>-2.0164388779830802E-6</v>
      </c>
      <c r="CW45">
        <f t="shared" ca="1" si="59"/>
        <v>3.48943096639687E-13</v>
      </c>
      <c r="CX45">
        <f t="shared" ca="1" si="60"/>
        <v>3.48943096639687E-13</v>
      </c>
      <c r="CY45">
        <f t="shared" ca="1" si="61"/>
        <v>3.48943096639687E-13</v>
      </c>
      <c r="CZ45">
        <f t="shared" ca="1" si="62"/>
        <v>3.48943096639687E-13</v>
      </c>
      <c r="DA45">
        <f t="shared" ca="1" si="63"/>
        <v>3.48943096639687E-13</v>
      </c>
      <c r="DB45" s="146">
        <v>0</v>
      </c>
      <c r="DC45" s="146">
        <v>0</v>
      </c>
      <c r="DD45" s="146">
        <v>0</v>
      </c>
      <c r="DE45" s="146">
        <v>0</v>
      </c>
      <c r="DF45" s="146">
        <v>0</v>
      </c>
      <c r="DG45" s="146">
        <v>0</v>
      </c>
      <c r="DH45" s="146">
        <v>0</v>
      </c>
      <c r="DI45" s="146">
        <v>0</v>
      </c>
      <c r="DJ45" s="146">
        <v>0</v>
      </c>
      <c r="DK45" s="146">
        <v>0</v>
      </c>
      <c r="DL45" s="146">
        <v>0</v>
      </c>
      <c r="DM45" s="146">
        <v>0</v>
      </c>
      <c r="DN45">
        <f t="shared" ca="1" si="64"/>
        <v>3.3197657332006999E-6</v>
      </c>
      <c r="DO45">
        <f t="shared" ca="1" si="65"/>
        <v>-5.9781844774509096E-7</v>
      </c>
      <c r="DP45">
        <f t="shared" ca="1" si="66"/>
        <v>1.6714516281934901E-5</v>
      </c>
      <c r="DQ45">
        <f t="shared" ca="1" si="67"/>
        <v>-4.5993510855657498E-5</v>
      </c>
      <c r="DR45">
        <f t="shared" ca="1" si="68"/>
        <v>1.10498719862906E-4</v>
      </c>
      <c r="DS45">
        <f t="shared" ca="1" si="69"/>
        <v>-6.9665385342887497E-4</v>
      </c>
      <c r="DT45">
        <f t="shared" ca="1" si="70"/>
        <v>-5.2020693508514301E-5</v>
      </c>
      <c r="DU45">
        <f t="shared" ca="1" si="71"/>
        <v>1.80981906970912E-5</v>
      </c>
      <c r="DV45">
        <f t="shared" ca="1" si="72"/>
        <v>-2.5709725681721798E-6</v>
      </c>
      <c r="DW45">
        <f t="shared" ca="1" si="73"/>
        <v>3.8380878386590201E-7</v>
      </c>
      <c r="DX45">
        <f t="shared" ca="1" si="74"/>
        <v>-9.8473398324472301E-8</v>
      </c>
      <c r="DY45">
        <f t="shared" ca="1" si="75"/>
        <v>1.6759513332686999E-8</v>
      </c>
      <c r="EA45" s="278" t="str">
        <f ca="1"/>
        <v>SWAP_30Y</v>
      </c>
      <c r="EB45" s="277">
        <f ca="1"/>
        <v>4.6744349538752219E-6</v>
      </c>
      <c r="EC45" s="171"/>
      <c r="ED45" s="248">
        <f ca="1">'JACOBIAN - SWAP USD3ML'!B54</f>
        <v>46463</v>
      </c>
      <c r="EE45">
        <f ca="1">'JACOBIAN - SWAP USD3ML'!C54</f>
        <v>2.97154661987875E-13</v>
      </c>
      <c r="EF45">
        <f ca="1">'JACOBIAN - SWAP USD3ML'!D54</f>
        <v>7.7518687129074504E-9</v>
      </c>
      <c r="EG45">
        <f ca="1">'JACOBIAN - SWAP USD3ML'!E54</f>
        <v>1.0568938085819801E-11</v>
      </c>
      <c r="EH45">
        <f ca="1">'JACOBIAN - SWAP USD3ML'!F54</f>
        <v>2.97154661987875E-13</v>
      </c>
      <c r="EI45">
        <f ca="1">'JACOBIAN - SWAP USD3ML'!G54</f>
        <v>8.5122343201904397E-11</v>
      </c>
      <c r="EJ45">
        <f ca="1">'JACOBIAN - SWAP USD3ML'!H54</f>
        <v>7.7243568069595997E-9</v>
      </c>
      <c r="EK45">
        <f ca="1">'JACOBIAN - SWAP USD3ML'!I54</f>
        <v>7.70655626119998E-9</v>
      </c>
      <c r="EL45">
        <f ca="1">'JACOBIAN - SWAP USD3ML'!J54</f>
        <v>7.6810253817061208E-9</v>
      </c>
      <c r="EM45">
        <f ca="1">'JACOBIAN - SWAP USD3ML'!K54</f>
        <v>7.6565188980581795E-9</v>
      </c>
      <c r="EN45">
        <f ca="1">'JACOBIAN - SWAP USD3ML'!L54</f>
        <v>7.6326527702341701E-9</v>
      </c>
      <c r="EO45">
        <f ca="1">'JACOBIAN - SWAP USD3ML'!M54</f>
        <v>7.5620900860662294E-9</v>
      </c>
      <c r="EP45">
        <f ca="1">'JACOBIAN - SWAP USD3ML'!N54</f>
        <v>1.6399996142363299E-8</v>
      </c>
      <c r="EQ45">
        <f ca="1">'JACOBIAN - SWAP USD3ML'!O54</f>
        <v>-3.9729975917848802E-7</v>
      </c>
      <c r="ER45">
        <f ca="1">'JACOBIAN - SWAP USD3ML'!P54</f>
        <v>1.9225708312309302E-6</v>
      </c>
      <c r="ES45">
        <f ca="1">'JACOBIAN - SWAP USD3ML'!Q54</f>
        <v>-4.79095391793527E-6</v>
      </c>
      <c r="ET45">
        <f ca="1">'JACOBIAN - SWAP USD3ML'!R54</f>
        <v>-8.29456461794997E-4</v>
      </c>
      <c r="EU45">
        <f ca="1">'JACOBIAN - SWAP USD3ML'!S54</f>
        <v>1.10271085808262E-3</v>
      </c>
      <c r="EV45">
        <f ca="1">'JACOBIAN - SWAP USD3ML'!T54</f>
        <v>-2.1935379873103499E-4</v>
      </c>
      <c r="EW45">
        <f ca="1">'JACOBIAN - SWAP USD3ML'!U54</f>
        <v>5.31205063501669E-5</v>
      </c>
      <c r="EX45">
        <f ca="1">'JACOBIAN - SWAP USD3ML'!V54</f>
        <v>-6.2011544290849199E-6</v>
      </c>
      <c r="EY45">
        <f ca="1">'JACOBIAN - SWAP USD3ML'!W54</f>
        <v>1.09866153044647E-6</v>
      </c>
      <c r="EZ45">
        <f ca="1">'JACOBIAN - SWAP USD3ML'!X54</f>
        <v>-2.1776967794317999E-7</v>
      </c>
      <c r="FA45">
        <f ca="1">'JACOBIAN - SWAP USD3ML'!Y54</f>
        <v>6.9708509398830305E-8</v>
      </c>
      <c r="FB45">
        <f ca="1">'JACOBIAN - SWAP USD3ML'!Z54</f>
        <v>-1.41879577635062E-8</v>
      </c>
      <c r="FH45" s="11" t="e">
        <f ca="1"/>
        <v>#N/A</v>
      </c>
      <c r="FI45" s="275" t="e">
        <f ca="1"/>
        <v>#N/A</v>
      </c>
      <c r="FJ45" s="11" t="e">
        <f ca="1"/>
        <v>#N/A</v>
      </c>
      <c r="FK45" s="275" t="e">
        <f ca="1"/>
        <v>#N/A</v>
      </c>
      <c r="FL45" s="11" t="e">
        <f ca="1"/>
        <v>#N/A</v>
      </c>
    </row>
    <row r="46" spans="2:168" x14ac:dyDescent="0.25">
      <c r="X46" s="258">
        <f t="shared" ca="1" si="42"/>
        <v>46555</v>
      </c>
      <c r="Y46" s="261">
        <v>0</v>
      </c>
      <c r="AA46" s="257">
        <f t="shared" ca="1" si="35"/>
        <v>46555</v>
      </c>
      <c r="AB46" s="266">
        <f t="shared" ca="1" si="43"/>
        <v>-6.7112195741703096E-4</v>
      </c>
      <c r="AC46" s="266"/>
      <c r="AD46" s="290">
        <f ca="1"/>
        <v>46555</v>
      </c>
      <c r="AE46" s="291">
        <f ca="1"/>
        <v>-6.7112195741703129E-4</v>
      </c>
      <c r="AF46" s="291" t="b">
        <f t="shared" ca="1" si="36"/>
        <v>1</v>
      </c>
      <c r="AH46" s="257">
        <f t="shared" ca="1" si="44"/>
        <v>46555</v>
      </c>
      <c r="AI46" s="260">
        <v>0</v>
      </c>
      <c r="AK46" s="290">
        <f ca="1"/>
        <v>46555</v>
      </c>
      <c r="AL46" s="291">
        <f ca="1"/>
        <v>9.8389686042792937E-5</v>
      </c>
      <c r="AM46" s="291" t="b">
        <f t="shared" ca="1" si="45"/>
        <v>1</v>
      </c>
      <c r="AO46" s="257">
        <f t="shared" ca="1" si="46"/>
        <v>46555</v>
      </c>
      <c r="AP46" s="266">
        <f t="shared" ca="1" si="38"/>
        <v>9.83896860427931E-5</v>
      </c>
      <c r="AR46" s="248">
        <f ca="1">'JACOBIAN - OIS USDOIS'!B55</f>
        <v>46555</v>
      </c>
      <c r="AS46">
        <f ca="1">'JACOBIAN - OIS USDOIS'!C55</f>
        <v>-9.987247650000701E-7</v>
      </c>
      <c r="AT46">
        <f ca="1">'JACOBIAN - OIS USDOIS'!D55</f>
        <v>6.9958094872646401E-10</v>
      </c>
      <c r="AU46">
        <f ca="1">'JACOBIAN - OIS USDOIS'!E55</f>
        <v>-2.79788148205284E-9</v>
      </c>
      <c r="AV46">
        <f ca="1">'JACOBIAN - OIS USDOIS'!F55</f>
        <v>7.3698882552264397E-9</v>
      </c>
      <c r="AW46">
        <f ca="1">'JACOBIAN - OIS USDOIS'!G55</f>
        <v>-9.4857415255944505E-9</v>
      </c>
      <c r="AX46">
        <f ca="1">'JACOBIAN - OIS USDOIS'!H55</f>
        <v>2.1452868148585899E-8</v>
      </c>
      <c r="AY46">
        <f ca="1">'JACOBIAN - OIS USDOIS'!I55</f>
        <v>-8.5413740413819994E-8</v>
      </c>
      <c r="AZ46">
        <f ca="1">'JACOBIAN - OIS USDOIS'!J55</f>
        <v>2.6219424698048499E-7</v>
      </c>
      <c r="BA46">
        <f ca="1">'JACOBIAN - OIS USDOIS'!K55</f>
        <v>-1.00939688907342E-6</v>
      </c>
      <c r="BB46">
        <f ca="1">'JACOBIAN - OIS USDOIS'!L55</f>
        <v>1.8768789737944001E-6</v>
      </c>
      <c r="BC46">
        <f ca="1">'JACOBIAN - OIS USDOIS'!M55</f>
        <v>-3.2492677688456001E-6</v>
      </c>
      <c r="BD46">
        <f ca="1">'JACOBIAN - OIS USDOIS'!N55</f>
        <v>4.21662704752634E-13</v>
      </c>
      <c r="BE46">
        <f ca="1">'JACOBIAN - OIS USDOIS'!O55</f>
        <v>4.21662704752634E-13</v>
      </c>
      <c r="BF46">
        <f ca="1">'JACOBIAN - OIS USDOIS'!P55</f>
        <v>4.21662704752634E-13</v>
      </c>
      <c r="BG46">
        <f ca="1">'JACOBIAN - OIS USDOIS'!Q55</f>
        <v>4.21662704752634E-13</v>
      </c>
      <c r="BH46">
        <f ca="1">'JACOBIAN - OIS USDOIS'!R55</f>
        <v>4.21662704752634E-13</v>
      </c>
      <c r="BI46" s="161">
        <f ca="1">'JACOBIAN - OIS USDOIS'!S55</f>
        <v>-4.9883271467931999E-6</v>
      </c>
      <c r="BJ46" s="161">
        <f ca="1">'JACOBIAN - OIS USDOIS'!T55</f>
        <v>3.3436793456242999E-6</v>
      </c>
      <c r="BK46" s="161">
        <f ca="1">'JACOBIAN - OIS USDOIS'!U55</f>
        <v>-2.6955387189442301E-5</v>
      </c>
      <c r="BL46" s="161">
        <f ca="1">'JACOBIAN - OIS USDOIS'!V55</f>
        <v>8.4090835035688399E-5</v>
      </c>
      <c r="BM46" s="161">
        <f ca="1">'JACOBIAN - OIS USDOIS'!W55</f>
        <v>-1.86994413666985E-4</v>
      </c>
      <c r="BN46" s="161">
        <f ca="1">'JACOBIAN - OIS USDOIS'!X55</f>
        <v>7.2266828672673501E-4</v>
      </c>
      <c r="BO46" s="161">
        <f ca="1">'JACOBIAN - OIS USDOIS'!Y55</f>
        <v>1.2537789885602699E-4</v>
      </c>
      <c r="BP46" s="161">
        <f ca="1">'JACOBIAN - OIS USDOIS'!Z55</f>
        <v>-4.2750295787152803E-5</v>
      </c>
      <c r="BQ46" s="161">
        <f ca="1">'JACOBIAN - OIS USDOIS'!AA55</f>
        <v>6.0724989620064596E-6</v>
      </c>
      <c r="BR46" s="161">
        <f ca="1">'JACOBIAN - OIS USDOIS'!AB55</f>
        <v>-9.0620555404097303E-7</v>
      </c>
      <c r="BS46" s="161">
        <f ca="1">'JACOBIAN - OIS USDOIS'!AC55</f>
        <v>2.32353904339178E-7</v>
      </c>
      <c r="BT46" s="161">
        <f ca="1">'JACOBIAN - OIS USDOIS'!AD55</f>
        <v>-3.9508384230835201E-8</v>
      </c>
      <c r="BU46">
        <f ca="1">'JACOBIAN - OIS USDOIS'!AE55</f>
        <v>4.8977145503670297E-6</v>
      </c>
      <c r="BV46">
        <f ca="1">'JACOBIAN - OIS USDOIS'!AF55</f>
        <v>-3.2884742139360801E-6</v>
      </c>
      <c r="BW46">
        <f ca="1">'JACOBIAN - OIS USDOIS'!AG55</f>
        <v>2.65232215125311E-5</v>
      </c>
      <c r="BX46">
        <f ca="1">'JACOBIAN - OIS USDOIS'!AH55</f>
        <v>-8.2760492254418895E-5</v>
      </c>
      <c r="BY46">
        <f ca="1">'JACOBIAN - OIS USDOIS'!AI55</f>
        <v>1.8402149253382601E-4</v>
      </c>
      <c r="BZ46">
        <f ca="1">'JACOBIAN - OIS USDOIS'!AJ55</f>
        <v>-7.1075643494777896E-4</v>
      </c>
      <c r="CA46">
        <f ca="1">'JACOBIAN - OIS USDOIS'!AK55</f>
        <v>-1.23397545155668E-4</v>
      </c>
      <c r="CB46">
        <f ca="1">'JACOBIAN - OIS USDOIS'!AL55</f>
        <v>4.2103234878299E-5</v>
      </c>
      <c r="CC46">
        <f ca="1">'JACOBIAN - OIS USDOIS'!AM55</f>
        <v>-5.9809626146156702E-6</v>
      </c>
      <c r="CD46">
        <f ca="1">'JACOBIAN - OIS USDOIS'!AN55</f>
        <v>8.9287237170498901E-7</v>
      </c>
      <c r="CE46">
        <f ca="1">'JACOBIAN - OIS USDOIS'!AO55</f>
        <v>-2.29083445102418E-7</v>
      </c>
      <c r="CF46">
        <f ca="1">'JACOBIAN - OIS USDOIS'!AP55</f>
        <v>3.8988487660596103E-8</v>
      </c>
      <c r="CK46" s="248">
        <f t="shared" ca="1" si="47"/>
        <v>46555</v>
      </c>
      <c r="CL46">
        <f t="shared" ca="1" si="48"/>
        <v>-9.987247650000701E-7</v>
      </c>
      <c r="CM46">
        <f t="shared" ca="1" si="49"/>
        <v>6.9958094872646401E-10</v>
      </c>
      <c r="CN46">
        <f t="shared" ca="1" si="50"/>
        <v>-2.79788148205284E-9</v>
      </c>
      <c r="CO46">
        <f t="shared" ca="1" si="51"/>
        <v>7.3698882552264397E-9</v>
      </c>
      <c r="CP46">
        <f t="shared" ca="1" si="52"/>
        <v>-9.4857415255944505E-9</v>
      </c>
      <c r="CQ46">
        <f t="shared" ca="1" si="53"/>
        <v>2.1452868148585899E-8</v>
      </c>
      <c r="CR46">
        <f t="shared" ca="1" si="54"/>
        <v>-8.5413740413819994E-8</v>
      </c>
      <c r="CS46">
        <f t="shared" ca="1" si="55"/>
        <v>2.6219424698048499E-7</v>
      </c>
      <c r="CT46">
        <f t="shared" ca="1" si="56"/>
        <v>-1.00939688907342E-6</v>
      </c>
      <c r="CU46">
        <f t="shared" ca="1" si="57"/>
        <v>1.8768789737944001E-6</v>
      </c>
      <c r="CV46">
        <f t="shared" ca="1" si="58"/>
        <v>-3.2492677688456001E-6</v>
      </c>
      <c r="CW46">
        <f t="shared" ca="1" si="59"/>
        <v>4.21662704752634E-13</v>
      </c>
      <c r="CX46">
        <f t="shared" ca="1" si="60"/>
        <v>4.21662704752634E-13</v>
      </c>
      <c r="CY46">
        <f t="shared" ca="1" si="61"/>
        <v>4.21662704752634E-13</v>
      </c>
      <c r="CZ46">
        <f t="shared" ca="1" si="62"/>
        <v>4.21662704752634E-13</v>
      </c>
      <c r="DA46">
        <f t="shared" ca="1" si="63"/>
        <v>4.21662704752634E-13</v>
      </c>
      <c r="DB46" s="146">
        <v>0</v>
      </c>
      <c r="DC46" s="146">
        <v>0</v>
      </c>
      <c r="DD46" s="146">
        <v>0</v>
      </c>
      <c r="DE46" s="146">
        <v>0</v>
      </c>
      <c r="DF46" s="146">
        <v>0</v>
      </c>
      <c r="DG46" s="146">
        <v>0</v>
      </c>
      <c r="DH46" s="146">
        <v>0</v>
      </c>
      <c r="DI46" s="146">
        <v>0</v>
      </c>
      <c r="DJ46" s="146">
        <v>0</v>
      </c>
      <c r="DK46" s="146">
        <v>0</v>
      </c>
      <c r="DL46" s="146">
        <v>0</v>
      </c>
      <c r="DM46" s="146">
        <v>0</v>
      </c>
      <c r="DN46">
        <f t="shared" ca="1" si="64"/>
        <v>4.8977145503670297E-6</v>
      </c>
      <c r="DO46">
        <f t="shared" ca="1" si="65"/>
        <v>-3.2884742139360801E-6</v>
      </c>
      <c r="DP46">
        <f t="shared" ca="1" si="66"/>
        <v>2.65232215125311E-5</v>
      </c>
      <c r="DQ46">
        <f t="shared" ca="1" si="67"/>
        <v>-8.2760492254418895E-5</v>
      </c>
      <c r="DR46">
        <f t="shared" ca="1" si="68"/>
        <v>1.8402149253382601E-4</v>
      </c>
      <c r="DS46">
        <f t="shared" ca="1" si="69"/>
        <v>-7.1075643494777896E-4</v>
      </c>
      <c r="DT46">
        <f t="shared" ca="1" si="70"/>
        <v>-1.23397545155668E-4</v>
      </c>
      <c r="DU46">
        <f t="shared" ca="1" si="71"/>
        <v>4.2103234878299E-5</v>
      </c>
      <c r="DV46">
        <f t="shared" ca="1" si="72"/>
        <v>-5.9809626146156702E-6</v>
      </c>
      <c r="DW46">
        <f t="shared" ca="1" si="73"/>
        <v>8.9287237170498901E-7</v>
      </c>
      <c r="DX46">
        <f t="shared" ca="1" si="74"/>
        <v>-2.29083445102418E-7</v>
      </c>
      <c r="DY46">
        <f t="shared" ca="1" si="75"/>
        <v>3.8988487660596103E-8</v>
      </c>
      <c r="ED46" s="248">
        <f ca="1">'JACOBIAN - SWAP USD3ML'!B55</f>
        <v>46555</v>
      </c>
      <c r="EE46">
        <f ca="1">'JACOBIAN - SWAP USD3ML'!C55</f>
        <v>2.6934704466796698E-13</v>
      </c>
      <c r="EF46">
        <f ca="1">'JACOBIAN - SWAP USD3ML'!D55</f>
        <v>-9.51858574564646E-8</v>
      </c>
      <c r="EG46">
        <f ca="1">'JACOBIAN - SWAP USD3ML'!E55</f>
        <v>9.9711523759982205E-12</v>
      </c>
      <c r="EH46">
        <f ca="1">'JACOBIAN - SWAP USD3ML'!F55</f>
        <v>2.6847968292997798E-13</v>
      </c>
      <c r="EI46">
        <f ca="1">'JACOBIAN - SWAP USD3ML'!G55</f>
        <v>-1.0411549886124599E-9</v>
      </c>
      <c r="EJ46">
        <f ca="1">'JACOBIAN - SWAP USD3ML'!H55</f>
        <v>-9.4829910011334797E-8</v>
      </c>
      <c r="EK46">
        <f ca="1">'JACOBIAN - SWAP USD3ML'!I55</f>
        <v>-9.4478748303983298E-8</v>
      </c>
      <c r="EL46">
        <f ca="1">'JACOBIAN - SWAP USD3ML'!J55</f>
        <v>-9.4167186222293697E-8</v>
      </c>
      <c r="EM46">
        <f ca="1">'JACOBIAN - SWAP USD3ML'!K55</f>
        <v>-9.3867906492822702E-8</v>
      </c>
      <c r="EN46">
        <f ca="1">'JACOBIAN - SWAP USD3ML'!L55</f>
        <v>-9.3574858299472195E-8</v>
      </c>
      <c r="EO46">
        <f ca="1">'JACOBIAN - SWAP USD3ML'!M55</f>
        <v>-9.2710257731248897E-8</v>
      </c>
      <c r="EP46">
        <f ca="1">'JACOBIAN - SWAP USD3ML'!N55</f>
        <v>-2.0110048409155399E-7</v>
      </c>
      <c r="EQ46">
        <f ca="1">'JACOBIAN - SWAP USD3ML'!O55</f>
        <v>4.8716553877892199E-6</v>
      </c>
      <c r="ER46">
        <f ca="1">'JACOBIAN - SWAP USD3ML'!P55</f>
        <v>-2.3576380661662801E-5</v>
      </c>
      <c r="ES46">
        <f ca="1">'JACOBIAN - SWAP USD3ML'!Q55</f>
        <v>5.8737011137507302E-5</v>
      </c>
      <c r="ET46">
        <f ca="1">'JACOBIAN - SWAP USD3ML'!R55</f>
        <v>-8.3763799359139505E-4</v>
      </c>
      <c r="EU46">
        <f ca="1">'JACOBIAN - SWAP USD3ML'!S55</f>
        <v>8.6948263376141605E-4</v>
      </c>
      <c r="EV46">
        <f ca="1">'JACOBIAN - SWAP USD3ML'!T55</f>
        <v>3.5016744495321903E-5</v>
      </c>
      <c r="EW46">
        <f ca="1">'JACOBIAN - SWAP USD3ML'!U55</f>
        <v>-8.4837746931951102E-6</v>
      </c>
      <c r="EX46">
        <f ca="1">'JACOBIAN - SWAP USD3ML'!V55</f>
        <v>9.9027770766174596E-7</v>
      </c>
      <c r="EY46">
        <f ca="1">'JACOBIAN - SWAP USD3ML'!W55</f>
        <v>-1.7544889628282E-7</v>
      </c>
      <c r="EZ46">
        <f ca="1">'JACOBIAN - SWAP USD3ML'!X55</f>
        <v>3.4772036552194199E-8</v>
      </c>
      <c r="FA46">
        <f ca="1">'JACOBIAN - SWAP USD3ML'!Y55</f>
        <v>-1.11312202961955E-8</v>
      </c>
      <c r="FB46">
        <f ca="1">'JACOBIAN - SWAP USD3ML'!Z55</f>
        <v>2.26643399534043E-9</v>
      </c>
    </row>
    <row r="47" spans="2:168" x14ac:dyDescent="0.25">
      <c r="X47" s="258">
        <f t="shared" ca="1" si="42"/>
        <v>46647</v>
      </c>
      <c r="Y47" s="261">
        <v>0</v>
      </c>
      <c r="AA47" s="257">
        <f t="shared" ca="1" si="35"/>
        <v>46647</v>
      </c>
      <c r="AB47" s="266">
        <f t="shared" ca="1" si="43"/>
        <v>-6.9091068144044887E-4</v>
      </c>
      <c r="AC47" s="266"/>
      <c r="AD47" s="290">
        <f ca="1"/>
        <v>46647</v>
      </c>
      <c r="AE47" s="291">
        <f ca="1"/>
        <v>-6.9091068144044865E-4</v>
      </c>
      <c r="AF47" s="291" t="b">
        <f t="shared" ca="1" si="36"/>
        <v>1</v>
      </c>
      <c r="AH47" s="257">
        <f t="shared" ca="1" si="44"/>
        <v>46647</v>
      </c>
      <c r="AI47" s="260">
        <v>0</v>
      </c>
      <c r="AK47" s="290">
        <f ca="1"/>
        <v>46647</v>
      </c>
      <c r="AL47" s="291">
        <f ca="1"/>
        <v>9.8175437925163785E-5</v>
      </c>
      <c r="AM47" s="291" t="b">
        <f t="shared" ca="1" si="45"/>
        <v>1</v>
      </c>
      <c r="AO47" s="257">
        <f t="shared" ca="1" si="46"/>
        <v>46647</v>
      </c>
      <c r="AP47" s="266">
        <f t="shared" ca="1" si="38"/>
        <v>9.817543792516373E-5</v>
      </c>
      <c r="AR47" s="248">
        <f ca="1">'JACOBIAN - OIS USDOIS'!B56</f>
        <v>46647</v>
      </c>
      <c r="AS47">
        <f ca="1">'JACOBIAN - OIS USDOIS'!C56</f>
        <v>-9.9461067559758497E-7</v>
      </c>
      <c r="AT47">
        <f ca="1">'JACOBIAN - OIS USDOIS'!D56</f>
        <v>8.7854634678308199E-10</v>
      </c>
      <c r="AU47">
        <f ca="1">'JACOBIAN - OIS USDOIS'!E56</f>
        <v>-3.5135706566435901E-9</v>
      </c>
      <c r="AV47">
        <f ca="1">'JACOBIAN - OIS USDOIS'!F56</f>
        <v>9.2551560859632803E-9</v>
      </c>
      <c r="AW47">
        <f ca="1">'JACOBIAN - OIS USDOIS'!G56</f>
        <v>-1.19123171327118E-8</v>
      </c>
      <c r="AX47">
        <f ca="1">'JACOBIAN - OIS USDOIS'!H56</f>
        <v>2.6940766395533401E-8</v>
      </c>
      <c r="AY47">
        <f ca="1">'JACOBIAN - OIS USDOIS'!I56</f>
        <v>-1.0392220750610201E-7</v>
      </c>
      <c r="AZ47">
        <f ca="1">'JACOBIAN - OIS USDOIS'!J56</f>
        <v>3.2926671911237501E-7</v>
      </c>
      <c r="BA47">
        <f ca="1">'JACOBIAN - OIS USDOIS'!K56</f>
        <v>-1.2676107614684199E-6</v>
      </c>
      <c r="BB47">
        <f ca="1">'JACOBIAN - OIS USDOIS'!L56</f>
        <v>2.2681144834502099E-6</v>
      </c>
      <c r="BC47">
        <f ca="1">'JACOBIAN - OIS USDOIS'!M56</f>
        <v>-4.0703937151942401E-6</v>
      </c>
      <c r="BD47">
        <f ca="1">'JACOBIAN - OIS USDOIS'!N56</f>
        <v>4.8538950636611804E-13</v>
      </c>
      <c r="BE47">
        <f ca="1">'JACOBIAN - OIS USDOIS'!O56</f>
        <v>4.8538950636611804E-13</v>
      </c>
      <c r="BF47">
        <f ca="1">'JACOBIAN - OIS USDOIS'!P56</f>
        <v>4.8538950636611804E-13</v>
      </c>
      <c r="BG47">
        <f ca="1">'JACOBIAN - OIS USDOIS'!Q56</f>
        <v>4.8538950636611804E-13</v>
      </c>
      <c r="BH47">
        <f ca="1">'JACOBIAN - OIS USDOIS'!R56</f>
        <v>4.8538950636611804E-13</v>
      </c>
      <c r="BI47" s="161">
        <f ca="1">'JACOBIAN - OIS USDOIS'!S56</f>
        <v>-6.0589750565664999E-6</v>
      </c>
      <c r="BJ47" s="161">
        <f ca="1">'JACOBIAN - OIS USDOIS'!T56</f>
        <v>5.1649656713781403E-6</v>
      </c>
      <c r="BK47" s="161">
        <f ca="1">'JACOBIAN - OIS USDOIS'!U56</f>
        <v>-3.3592956950823101E-5</v>
      </c>
      <c r="BL47" s="161">
        <f ca="1">'JACOBIAN - OIS USDOIS'!V56</f>
        <v>1.08958369669621E-4</v>
      </c>
      <c r="BM47" s="161">
        <f ca="1">'JACOBIAN - OIS USDOIS'!W56</f>
        <v>-2.36713902726504E-4</v>
      </c>
      <c r="BN47" s="161">
        <f ca="1">'JACOBIAN - OIS USDOIS'!X56</f>
        <v>7.0882719007292505E-4</v>
      </c>
      <c r="BO47" s="161">
        <f ca="1">'JACOBIAN - OIS USDOIS'!Y56</f>
        <v>2.14053388799429E-4</v>
      </c>
      <c r="BP47" s="161">
        <f ca="1">'JACOBIAN - OIS USDOIS'!Z56</f>
        <v>-7.0874524277009203E-5</v>
      </c>
      <c r="BQ47" s="161">
        <f ca="1">'JACOBIAN - OIS USDOIS'!AA56</f>
        <v>1.00676087351204E-5</v>
      </c>
      <c r="BR47" s="161">
        <f ca="1">'JACOBIAN - OIS USDOIS'!AB56</f>
        <v>-1.5023960356908E-6</v>
      </c>
      <c r="BS47" s="161">
        <f ca="1">'JACOBIAN - OIS USDOIS'!AC56</f>
        <v>3.8521897272048001E-7</v>
      </c>
      <c r="BT47" s="161">
        <f ca="1">'JACOBIAN - OIS USDOIS'!AD56</f>
        <v>-6.5501109425270001E-8</v>
      </c>
      <c r="BU47">
        <f ca="1">'JACOBIAN - OIS USDOIS'!AE56</f>
        <v>5.9489844099758199E-6</v>
      </c>
      <c r="BV47">
        <f ca="1">'JACOBIAN - OIS USDOIS'!AF56</f>
        <v>-5.0794544975696396E-6</v>
      </c>
      <c r="BW47">
        <f ca="1">'JACOBIAN - OIS USDOIS'!AG56</f>
        <v>3.3054692448963903E-5</v>
      </c>
      <c r="BX47">
        <f ca="1">'JACOBIAN - OIS USDOIS'!AH56</f>
        <v>-1.07231103524619E-4</v>
      </c>
      <c r="BY47">
        <f ca="1">'JACOBIAN - OIS USDOIS'!AI56</f>
        <v>2.3296520037818799E-4</v>
      </c>
      <c r="BZ47">
        <f ca="1">'JACOBIAN - OIS USDOIS'!AJ56</f>
        <v>-6.9715318722940499E-4</v>
      </c>
      <c r="CA47">
        <f ca="1">'JACOBIAN - OIS USDOIS'!AK56</f>
        <v>-2.1065160524258401E-4</v>
      </c>
      <c r="CB47">
        <f ca="1">'JACOBIAN - OIS USDOIS'!AL56</f>
        <v>6.9803969223625195E-5</v>
      </c>
      <c r="CC47">
        <f ca="1">'JACOBIAN - OIS USDOIS'!AM56</f>
        <v>-9.9158060835602396E-6</v>
      </c>
      <c r="CD47">
        <f ca="1">'JACOBIAN - OIS USDOIS'!AN56</f>
        <v>1.4802919849898899E-6</v>
      </c>
      <c r="CE47">
        <f ca="1">'JACOBIAN - OIS USDOIS'!AO56</f>
        <v>-3.7979712164126798E-7</v>
      </c>
      <c r="CF47">
        <f ca="1">'JACOBIAN - OIS USDOIS'!AP56</f>
        <v>6.4638962404828196E-8</v>
      </c>
      <c r="CK47" s="248">
        <f t="shared" ca="1" si="47"/>
        <v>46647</v>
      </c>
      <c r="CL47">
        <f t="shared" ca="1" si="48"/>
        <v>-9.9461067559758497E-7</v>
      </c>
      <c r="CM47">
        <f t="shared" ca="1" si="49"/>
        <v>8.7854634678308199E-10</v>
      </c>
      <c r="CN47">
        <f t="shared" ca="1" si="50"/>
        <v>-3.5135706566435901E-9</v>
      </c>
      <c r="CO47">
        <f t="shared" ca="1" si="51"/>
        <v>9.2551560859632803E-9</v>
      </c>
      <c r="CP47">
        <f t="shared" ca="1" si="52"/>
        <v>-1.19123171327118E-8</v>
      </c>
      <c r="CQ47">
        <f t="shared" ca="1" si="53"/>
        <v>2.6940766395533401E-8</v>
      </c>
      <c r="CR47">
        <f t="shared" ca="1" si="54"/>
        <v>-1.0392220750610201E-7</v>
      </c>
      <c r="CS47">
        <f t="shared" ca="1" si="55"/>
        <v>3.2926671911237501E-7</v>
      </c>
      <c r="CT47">
        <f t="shared" ca="1" si="56"/>
        <v>-1.2676107614684199E-6</v>
      </c>
      <c r="CU47">
        <f t="shared" ca="1" si="57"/>
        <v>2.2681144834502099E-6</v>
      </c>
      <c r="CV47">
        <f t="shared" ca="1" si="58"/>
        <v>-4.0703937151942401E-6</v>
      </c>
      <c r="CW47">
        <f t="shared" ca="1" si="59"/>
        <v>4.8538950636611804E-13</v>
      </c>
      <c r="CX47">
        <f t="shared" ca="1" si="60"/>
        <v>4.8538950636611804E-13</v>
      </c>
      <c r="CY47">
        <f t="shared" ca="1" si="61"/>
        <v>4.8538950636611804E-13</v>
      </c>
      <c r="CZ47">
        <f t="shared" ca="1" si="62"/>
        <v>4.8538950636611804E-13</v>
      </c>
      <c r="DA47">
        <f t="shared" ca="1" si="63"/>
        <v>4.8538950636611804E-13</v>
      </c>
      <c r="DB47" s="146">
        <v>0</v>
      </c>
      <c r="DC47" s="146">
        <v>0</v>
      </c>
      <c r="DD47" s="146">
        <v>0</v>
      </c>
      <c r="DE47" s="146">
        <v>0</v>
      </c>
      <c r="DF47" s="146">
        <v>0</v>
      </c>
      <c r="DG47" s="146">
        <v>0</v>
      </c>
      <c r="DH47" s="146">
        <v>0</v>
      </c>
      <c r="DI47" s="146">
        <v>0</v>
      </c>
      <c r="DJ47" s="146">
        <v>0</v>
      </c>
      <c r="DK47" s="146">
        <v>0</v>
      </c>
      <c r="DL47" s="146">
        <v>0</v>
      </c>
      <c r="DM47" s="146">
        <v>0</v>
      </c>
      <c r="DN47">
        <f t="shared" ca="1" si="64"/>
        <v>5.9489844099758199E-6</v>
      </c>
      <c r="DO47">
        <f t="shared" ca="1" si="65"/>
        <v>-5.0794544975696396E-6</v>
      </c>
      <c r="DP47">
        <f t="shared" ca="1" si="66"/>
        <v>3.3054692448963903E-5</v>
      </c>
      <c r="DQ47">
        <f t="shared" ca="1" si="67"/>
        <v>-1.07231103524619E-4</v>
      </c>
      <c r="DR47">
        <f t="shared" ca="1" si="68"/>
        <v>2.3296520037818799E-4</v>
      </c>
      <c r="DS47">
        <f t="shared" ca="1" si="69"/>
        <v>-6.9715318722940499E-4</v>
      </c>
      <c r="DT47">
        <f t="shared" ca="1" si="70"/>
        <v>-2.1065160524258401E-4</v>
      </c>
      <c r="DU47">
        <f t="shared" ca="1" si="71"/>
        <v>6.9803969223625195E-5</v>
      </c>
      <c r="DV47">
        <f t="shared" ca="1" si="72"/>
        <v>-9.9158060835602396E-6</v>
      </c>
      <c r="DW47">
        <f t="shared" ca="1" si="73"/>
        <v>1.4802919849898899E-6</v>
      </c>
      <c r="DX47">
        <f t="shared" ca="1" si="74"/>
        <v>-3.7979712164126798E-7</v>
      </c>
      <c r="DY47">
        <f t="shared" ca="1" si="75"/>
        <v>6.4638962404828196E-8</v>
      </c>
      <c r="ED47" s="248">
        <f ca="1">'JACOBIAN - SWAP USD3ML'!B56</f>
        <v>46647</v>
      </c>
      <c r="EE47">
        <f ca="1">'JACOBIAN - SWAP USD3ML'!C56</f>
        <v>1.2561479634243301E-13</v>
      </c>
      <c r="EF47">
        <f ca="1">'JACOBIAN - SWAP USD3ML'!D56</f>
        <v>-1.08924906018493E-7</v>
      </c>
      <c r="EG47">
        <f ca="1">'JACOBIAN - SWAP USD3ML'!E56</f>
        <v>5.7799910690992099E-12</v>
      </c>
      <c r="EH47">
        <f ca="1">'JACOBIAN - SWAP USD3ML'!F56</f>
        <v>1.26492566421277E-13</v>
      </c>
      <c r="EI47">
        <f ca="1">'JACOBIAN - SWAP USD3ML'!G56</f>
        <v>-1.1916226234920401E-9</v>
      </c>
      <c r="EJ47">
        <f ca="1">'JACOBIAN - SWAP USD3ML'!H56</f>
        <v>-1.08518306427691E-7</v>
      </c>
      <c r="EK47">
        <f ca="1">'JACOBIAN - SWAP USD3ML'!I56</f>
        <v>-1.08121777905867E-7</v>
      </c>
      <c r="EL47">
        <f ca="1">'JACOBIAN - SWAP USD3ML'!J56</f>
        <v>-1.07765168219642E-7</v>
      </c>
      <c r="EM47">
        <f ca="1">'JACOBIAN - SWAP USD3ML'!K56</f>
        <v>-1.07422622883796E-7</v>
      </c>
      <c r="EN47">
        <f ca="1">'JACOBIAN - SWAP USD3ML'!L56</f>
        <v>-1.07087277066709E-7</v>
      </c>
      <c r="EO47">
        <f ca="1">'JACOBIAN - SWAP USD3ML'!M56</f>
        <v>-1.06097808341005E-7</v>
      </c>
      <c r="EP47">
        <f ca="1">'JACOBIAN - SWAP USD3ML'!N56</f>
        <v>-2.30138210027125E-7</v>
      </c>
      <c r="EQ47">
        <f ca="1">'JACOBIAN - SWAP USD3ML'!O56</f>
        <v>5.5750983240926396E-6</v>
      </c>
      <c r="ER47">
        <f ca="1">'JACOBIAN - SWAP USD3ML'!P56</f>
        <v>-2.6980622188289801E-5</v>
      </c>
      <c r="ES47">
        <f ca="1">'JACOBIAN - SWAP USD3ML'!Q56</f>
        <v>6.7218672597298094E-5</v>
      </c>
      <c r="ET47">
        <f ca="1">'JACOBIAN - SWAP USD3ML'!R56</f>
        <v>-6.3832225492848802E-4</v>
      </c>
      <c r="EU47">
        <f ca="1">'JACOBIAN - SWAP USD3ML'!S56</f>
        <v>3.2065498135230901E-4</v>
      </c>
      <c r="EV47">
        <f ca="1">'JACOBIAN - SWAP USD3ML'!T56</f>
        <v>4.7454295416885601E-4</v>
      </c>
      <c r="EW47">
        <f ca="1">'JACOBIAN - SWAP USD3ML'!U56</f>
        <v>-1.14917574928514E-4</v>
      </c>
      <c r="EX47">
        <f ca="1">'JACOBIAN - SWAP USD3ML'!V56</f>
        <v>1.34152320548954E-5</v>
      </c>
      <c r="EY47">
        <f ca="1">'JACOBIAN - SWAP USD3ML'!W56</f>
        <v>-2.3767798445865898E-6</v>
      </c>
      <c r="EZ47">
        <f ca="1">'JACOBIAN - SWAP USD3ML'!X56</f>
        <v>4.71099200968772E-7</v>
      </c>
      <c r="FA47">
        <f ca="1">'JACOBIAN - SWAP USD3ML'!Y56</f>
        <v>-1.5080160768385399E-7</v>
      </c>
      <c r="FB47">
        <f ca="1">'JACOBIAN - SWAP USD3ML'!Z56</f>
        <v>3.0695391721458103E-8</v>
      </c>
    </row>
    <row r="48" spans="2:168" x14ac:dyDescent="0.25">
      <c r="X48" s="258">
        <f t="shared" ca="1" si="42"/>
        <v>46738</v>
      </c>
      <c r="Y48" s="261">
        <v>0</v>
      </c>
      <c r="AA48" s="257">
        <f t="shared" ca="1" si="35"/>
        <v>46738</v>
      </c>
      <c r="AB48" s="266">
        <f t="shared" ca="1" si="43"/>
        <v>-7.1029296281388521E-4</v>
      </c>
      <c r="AC48" s="266"/>
      <c r="AD48" s="290">
        <f ca="1"/>
        <v>46738</v>
      </c>
      <c r="AE48" s="291">
        <f ca="1"/>
        <v>-7.1029296281388543E-4</v>
      </c>
      <c r="AF48" s="291" t="b">
        <f t="shared" ca="1" si="36"/>
        <v>1</v>
      </c>
      <c r="AH48" s="257">
        <f t="shared" ca="1" si="44"/>
        <v>46738</v>
      </c>
      <c r="AI48" s="260">
        <v>0</v>
      </c>
      <c r="AK48" s="290">
        <f ca="1"/>
        <v>46738</v>
      </c>
      <c r="AL48" s="291">
        <f ca="1"/>
        <v>9.8130607318232228E-5</v>
      </c>
      <c r="AM48" s="291" t="b">
        <f t="shared" ca="1" si="45"/>
        <v>1</v>
      </c>
      <c r="AO48" s="257">
        <f t="shared" ca="1" si="46"/>
        <v>46738</v>
      </c>
      <c r="AP48" s="266">
        <f t="shared" ca="1" si="38"/>
        <v>9.8130607318232092E-5</v>
      </c>
      <c r="AR48" s="248">
        <f ca="1">'JACOBIAN - OIS USDOIS'!B57</f>
        <v>46738</v>
      </c>
      <c r="AS48">
        <f ca="1">'JACOBIAN - OIS USDOIS'!C57</f>
        <v>-9.9051258051208201E-7</v>
      </c>
      <c r="AT48">
        <f ca="1">'JACOBIAN - OIS USDOIS'!D57</f>
        <v>9.73312763719036E-10</v>
      </c>
      <c r="AU48">
        <f ca="1">'JACOBIAN - OIS USDOIS'!E57</f>
        <v>-3.8925721534965898E-9</v>
      </c>
      <c r="AV48">
        <f ca="1">'JACOBIAN - OIS USDOIS'!F57</f>
        <v>1.02535142598725E-8</v>
      </c>
      <c r="AW48">
        <f ca="1">'JACOBIAN - OIS USDOIS'!G57</f>
        <v>-1.31973180161893E-8</v>
      </c>
      <c r="AX48">
        <f ca="1">'JACOBIAN - OIS USDOIS'!H57</f>
        <v>2.9846911830944103E-8</v>
      </c>
      <c r="AY48">
        <f ca="1">'JACOBIAN - OIS USDOIS'!I57</f>
        <v>-1.13692975589608E-7</v>
      </c>
      <c r="AZ48">
        <f ca="1">'JACOBIAN - OIS USDOIS'!J57</f>
        <v>3.6478534748418699E-7</v>
      </c>
      <c r="BA48">
        <f ca="1">'JACOBIAN - OIS USDOIS'!K57</f>
        <v>-1.40434940076872E-6</v>
      </c>
      <c r="BB48">
        <f ca="1">'JACOBIAN - OIS USDOIS'!L57</f>
        <v>2.4753956220369099E-6</v>
      </c>
      <c r="BC48">
        <f ca="1">'JACOBIAN - OIS USDOIS'!M57</f>
        <v>-4.5051336965418204E-6</v>
      </c>
      <c r="BD48">
        <f ca="1">'JACOBIAN - OIS USDOIS'!N57</f>
        <v>5.39679412270289E-13</v>
      </c>
      <c r="BE48">
        <f ca="1">'JACOBIAN - OIS USDOIS'!O57</f>
        <v>5.39679412270289E-13</v>
      </c>
      <c r="BF48">
        <f ca="1">'JACOBIAN - OIS USDOIS'!P57</f>
        <v>5.39679412270289E-13</v>
      </c>
      <c r="BG48">
        <f ca="1">'JACOBIAN - OIS USDOIS'!Q57</f>
        <v>5.39679412270289E-13</v>
      </c>
      <c r="BH48">
        <f ca="1">'JACOBIAN - OIS USDOIS'!R57</f>
        <v>5.39679412270289E-13</v>
      </c>
      <c r="BI48" s="161">
        <f ca="1">'JACOBIAN - OIS USDOIS'!S57</f>
        <v>-6.6262480672429902E-6</v>
      </c>
      <c r="BJ48" s="161">
        <f ca="1">'JACOBIAN - OIS USDOIS'!T57</f>
        <v>6.1274421669921304E-6</v>
      </c>
      <c r="BK48" s="161">
        <f ca="1">'JACOBIAN - OIS USDOIS'!U57</f>
        <v>-3.7104851059011102E-5</v>
      </c>
      <c r="BL48" s="161">
        <f ca="1">'JACOBIAN - OIS USDOIS'!V57</f>
        <v>1.2209984984390399E-4</v>
      </c>
      <c r="BM48" s="161">
        <f ca="1">'JACOBIAN - OIS USDOIS'!W57</f>
        <v>-2.6299463239731801E-4</v>
      </c>
      <c r="BN48" s="161">
        <f ca="1">'JACOBIAN - OIS USDOIS'!X57</f>
        <v>6.7012442669467398E-4</v>
      </c>
      <c r="BO48" s="161">
        <f ca="1">'JACOBIAN - OIS USDOIS'!Y57</f>
        <v>3.1381756854387299E-4</v>
      </c>
      <c r="BP48" s="161">
        <f ca="1">'JACOBIAN - OIS USDOIS'!Z57</f>
        <v>-9.9948594923682203E-5</v>
      </c>
      <c r="BQ48" s="161">
        <f ca="1">'JACOBIAN - OIS USDOIS'!AA57</f>
        <v>1.4197799070747601E-5</v>
      </c>
      <c r="BR48" s="161">
        <f ca="1">'JACOBIAN - OIS USDOIS'!AB57</f>
        <v>-2.11874133282386E-6</v>
      </c>
      <c r="BS48" s="161">
        <f ca="1">'JACOBIAN - OIS USDOIS'!AC57</f>
        <v>5.4325192155868496E-7</v>
      </c>
      <c r="BT48" s="161">
        <f ca="1">'JACOBIAN - OIS USDOIS'!AD57</f>
        <v>-9.2372572257915006E-8</v>
      </c>
      <c r="BU48">
        <f ca="1">'JACOBIAN - OIS USDOIS'!AE57</f>
        <v>6.5059910536735501E-6</v>
      </c>
      <c r="BV48">
        <f ca="1">'JACOBIAN - OIS USDOIS'!AF57</f>
        <v>-6.02591290310706E-6</v>
      </c>
      <c r="BW48">
        <f ca="1">'JACOBIAN - OIS USDOIS'!AG57</f>
        <v>3.6510490394436899E-5</v>
      </c>
      <c r="BX48">
        <f ca="1">'JACOBIAN - OIS USDOIS'!AH57</f>
        <v>-1.20162249950373E-4</v>
      </c>
      <c r="BY48">
        <f ca="1">'JACOBIAN - OIS USDOIS'!AI57</f>
        <v>2.58838206249834E-4</v>
      </c>
      <c r="BZ48">
        <f ca="1">'JACOBIAN - OIS USDOIS'!AJ57</f>
        <v>-6.5911571144960902E-4</v>
      </c>
      <c r="CA48">
        <f ca="1">'JACOBIAN - OIS USDOIS'!AK57</f>
        <v>-3.08795812436924E-4</v>
      </c>
      <c r="CB48">
        <f ca="1">'JACOBIAN - OIS USDOIS'!AL57</f>
        <v>9.8442091099326694E-5</v>
      </c>
      <c r="CC48">
        <f ca="1">'JACOBIAN - OIS USDOIS'!AM57</f>
        <v>-1.39836551490413E-5</v>
      </c>
      <c r="CD48">
        <f ca="1">'JACOBIAN - OIS USDOIS'!AN57</f>
        <v>2.0875707291701E-6</v>
      </c>
      <c r="CE48">
        <f ca="1">'JACOBIAN - OIS USDOIS'!AO57</f>
        <v>-5.3560590262957696E-7</v>
      </c>
      <c r="CF48">
        <f ca="1">'JACOBIAN - OIS USDOIS'!AP57</f>
        <v>9.1156588166718704E-8</v>
      </c>
      <c r="CK48" s="248">
        <f t="shared" ca="1" si="47"/>
        <v>46738</v>
      </c>
      <c r="CL48">
        <f t="shared" ca="1" si="48"/>
        <v>-9.9051258051208201E-7</v>
      </c>
      <c r="CM48">
        <f t="shared" ca="1" si="49"/>
        <v>9.73312763719036E-10</v>
      </c>
      <c r="CN48">
        <f t="shared" ca="1" si="50"/>
        <v>-3.8925721534965898E-9</v>
      </c>
      <c r="CO48">
        <f t="shared" ca="1" si="51"/>
        <v>1.02535142598725E-8</v>
      </c>
      <c r="CP48">
        <f t="shared" ca="1" si="52"/>
        <v>-1.31973180161893E-8</v>
      </c>
      <c r="CQ48">
        <f t="shared" ca="1" si="53"/>
        <v>2.9846911830944103E-8</v>
      </c>
      <c r="CR48">
        <f t="shared" ca="1" si="54"/>
        <v>-1.13692975589608E-7</v>
      </c>
      <c r="CS48">
        <f t="shared" ca="1" si="55"/>
        <v>3.6478534748418699E-7</v>
      </c>
      <c r="CT48">
        <f t="shared" ca="1" si="56"/>
        <v>-1.40434940076872E-6</v>
      </c>
      <c r="CU48">
        <f t="shared" ca="1" si="57"/>
        <v>2.4753956220369099E-6</v>
      </c>
      <c r="CV48">
        <f t="shared" ca="1" si="58"/>
        <v>-4.5051336965418204E-6</v>
      </c>
      <c r="CW48">
        <f t="shared" ca="1" si="59"/>
        <v>5.39679412270289E-13</v>
      </c>
      <c r="CX48">
        <f t="shared" ca="1" si="60"/>
        <v>5.39679412270289E-13</v>
      </c>
      <c r="CY48">
        <f t="shared" ca="1" si="61"/>
        <v>5.39679412270289E-13</v>
      </c>
      <c r="CZ48">
        <f t="shared" ca="1" si="62"/>
        <v>5.39679412270289E-13</v>
      </c>
      <c r="DA48">
        <f t="shared" ca="1" si="63"/>
        <v>5.39679412270289E-13</v>
      </c>
      <c r="DB48" s="146">
        <v>0</v>
      </c>
      <c r="DC48" s="146">
        <v>0</v>
      </c>
      <c r="DD48" s="146">
        <v>0</v>
      </c>
      <c r="DE48" s="146">
        <v>0</v>
      </c>
      <c r="DF48" s="146">
        <v>0</v>
      </c>
      <c r="DG48" s="146">
        <v>0</v>
      </c>
      <c r="DH48" s="146">
        <v>0</v>
      </c>
      <c r="DI48" s="146">
        <v>0</v>
      </c>
      <c r="DJ48" s="146">
        <v>0</v>
      </c>
      <c r="DK48" s="146">
        <v>0</v>
      </c>
      <c r="DL48" s="146">
        <v>0</v>
      </c>
      <c r="DM48" s="146">
        <v>0</v>
      </c>
      <c r="DN48">
        <f t="shared" ca="1" si="64"/>
        <v>6.5059910536735501E-6</v>
      </c>
      <c r="DO48">
        <f t="shared" ca="1" si="65"/>
        <v>-6.02591290310706E-6</v>
      </c>
      <c r="DP48">
        <f t="shared" ca="1" si="66"/>
        <v>3.6510490394436899E-5</v>
      </c>
      <c r="DQ48">
        <f t="shared" ca="1" si="67"/>
        <v>-1.20162249950373E-4</v>
      </c>
      <c r="DR48">
        <f t="shared" ca="1" si="68"/>
        <v>2.58838206249834E-4</v>
      </c>
      <c r="DS48">
        <f t="shared" ca="1" si="69"/>
        <v>-6.5911571144960902E-4</v>
      </c>
      <c r="DT48">
        <f t="shared" ca="1" si="70"/>
        <v>-3.08795812436924E-4</v>
      </c>
      <c r="DU48">
        <f t="shared" ca="1" si="71"/>
        <v>9.8442091099326694E-5</v>
      </c>
      <c r="DV48">
        <f t="shared" ca="1" si="72"/>
        <v>-1.39836551490413E-5</v>
      </c>
      <c r="DW48">
        <f t="shared" ca="1" si="73"/>
        <v>2.0875707291701E-6</v>
      </c>
      <c r="DX48">
        <f t="shared" ca="1" si="74"/>
        <v>-5.3560590262957696E-7</v>
      </c>
      <c r="DY48">
        <f t="shared" ca="1" si="75"/>
        <v>9.1156588166718704E-8</v>
      </c>
      <c r="ED48" s="248">
        <f ca="1">'JACOBIAN - SWAP USD3ML'!B57</f>
        <v>46738</v>
      </c>
      <c r="EE48">
        <f ca="1">'JACOBIAN - SWAP USD3ML'!C57</f>
        <v>-1.07167746898895E-13</v>
      </c>
      <c r="EF48">
        <f ca="1">'JACOBIAN - SWAP USD3ML'!D57</f>
        <v>-5.3217538507899198E-8</v>
      </c>
      <c r="EG48">
        <f ca="1">'JACOBIAN - SWAP USD3ML'!E57</f>
        <v>-1.2025554163575001E-12</v>
      </c>
      <c r="EH48">
        <f ca="1">'JACOBIAN - SWAP USD3ML'!F57</f>
        <v>-1.07167746898895E-13</v>
      </c>
      <c r="EI48">
        <f ca="1">'JACOBIAN - SWAP USD3ML'!G57</f>
        <v>-5.8236404934519596E-10</v>
      </c>
      <c r="EJ48">
        <f ca="1">'JACOBIAN - SWAP USD3ML'!H57</f>
        <v>-5.3019397223269498E-8</v>
      </c>
      <c r="EK48">
        <f ca="1">'JACOBIAN - SWAP USD3ML'!I57</f>
        <v>-5.2829432259371403E-8</v>
      </c>
      <c r="EL48">
        <f ca="1">'JACOBIAN - SWAP USD3ML'!J57</f>
        <v>-5.2655147936286901E-8</v>
      </c>
      <c r="EM48">
        <f ca="1">'JACOBIAN - SWAP USD3ML'!K57</f>
        <v>-5.2487745139800903E-8</v>
      </c>
      <c r="EN48">
        <f ca="1">'JACOBIAN - SWAP USD3ML'!L57</f>
        <v>-5.2323904330825501E-8</v>
      </c>
      <c r="EO48">
        <f ca="1">'JACOBIAN - SWAP USD3ML'!M57</f>
        <v>-5.1840427336274899E-8</v>
      </c>
      <c r="EP48">
        <f ca="1">'JACOBIAN - SWAP USD3ML'!N57</f>
        <v>-1.1244658830456E-7</v>
      </c>
      <c r="EQ48">
        <f ca="1">'JACOBIAN - SWAP USD3ML'!O57</f>
        <v>2.7240187380483898E-6</v>
      </c>
      <c r="ER48">
        <f ca="1">'JACOBIAN - SWAP USD3ML'!P57</f>
        <v>-1.3182884415746E-5</v>
      </c>
      <c r="ES48">
        <f ca="1">'JACOBIAN - SWAP USD3ML'!Q57</f>
        <v>3.2843209981099603E-5</v>
      </c>
      <c r="ET48">
        <f ca="1">'JACOBIAN - SWAP USD3ML'!R57</f>
        <v>-2.8977948339354101E-4</v>
      </c>
      <c r="EU48">
        <f ca="1">'JACOBIAN - SWAP USD3ML'!S57</f>
        <v>-4.2842293768695702E-4</v>
      </c>
      <c r="EV48">
        <f ca="1">'JACOBIAN - SWAP USD3ML'!T57</f>
        <v>9.9996356958391409E-4</v>
      </c>
      <c r="EW48">
        <f ca="1">'JACOBIAN - SWAP USD3ML'!U57</f>
        <v>-2.2814528945596499E-4</v>
      </c>
      <c r="EX48">
        <f ca="1">'JACOBIAN - SWAP USD3ML'!V57</f>
        <v>2.6633651942348899E-5</v>
      </c>
      <c r="EY48">
        <f ca="1">'JACOBIAN - SWAP USD3ML'!W57</f>
        <v>-4.7186819049950501E-6</v>
      </c>
      <c r="EZ48">
        <f ca="1">'JACOBIAN - SWAP USD3ML'!X57</f>
        <v>9.3528992814104195E-7</v>
      </c>
      <c r="FA48">
        <f ca="1">'JACOBIAN - SWAP USD3ML'!Y57</f>
        <v>-2.9939145316723597E-7</v>
      </c>
      <c r="FB48">
        <f ca="1">'JACOBIAN - SWAP USD3ML'!Z57</f>
        <v>6.0939417029920504E-8</v>
      </c>
    </row>
    <row r="49" spans="24:158" x14ac:dyDescent="0.25">
      <c r="X49" s="258">
        <f t="shared" ca="1" si="42"/>
        <v>46829</v>
      </c>
      <c r="Y49" s="261">
        <v>0</v>
      </c>
      <c r="AA49" s="257">
        <f t="shared" ca="1" si="35"/>
        <v>46829</v>
      </c>
      <c r="AB49" s="266">
        <f t="shared" ca="1" si="43"/>
        <v>-7.2948060395317037E-4</v>
      </c>
      <c r="AC49" s="266"/>
      <c r="AD49" s="290">
        <f ca="1"/>
        <v>46829</v>
      </c>
      <c r="AE49" s="291">
        <f ca="1"/>
        <v>-7.2948060395316983E-4</v>
      </c>
      <c r="AF49" s="291" t="b">
        <f t="shared" ca="1" si="36"/>
        <v>1</v>
      </c>
      <c r="AH49" s="257">
        <f t="shared" ca="1" si="44"/>
        <v>46829</v>
      </c>
      <c r="AI49" s="260">
        <v>0</v>
      </c>
      <c r="AK49" s="290">
        <f ca="1"/>
        <v>46829</v>
      </c>
      <c r="AL49" s="291">
        <f ca="1"/>
        <v>9.8224393337224825E-5</v>
      </c>
      <c r="AM49" s="291" t="b">
        <f t="shared" ca="1" si="45"/>
        <v>1</v>
      </c>
      <c r="AO49" s="257">
        <f t="shared" ca="1" si="46"/>
        <v>46829</v>
      </c>
      <c r="AP49" s="266">
        <f t="shared" ca="1" si="38"/>
        <v>9.8224393337229188E-5</v>
      </c>
      <c r="AR49" s="248">
        <f ca="1">'JACOBIAN - OIS USDOIS'!B58</f>
        <v>46829</v>
      </c>
      <c r="AS49">
        <f ca="1">'JACOBIAN - OIS USDOIS'!C58</f>
        <v>-9.8638724543853605E-7</v>
      </c>
      <c r="AT49">
        <f ca="1">'JACOBIAN - OIS USDOIS'!D58</f>
        <v>9.9400054853759891E-10</v>
      </c>
      <c r="AU49">
        <f ca="1">'JACOBIAN - OIS USDOIS'!E58</f>
        <v>-3.9753517144802702E-9</v>
      </c>
      <c r="AV49">
        <f ca="1">'JACOBIAN - OIS USDOIS'!F58</f>
        <v>1.0471559397373699E-8</v>
      </c>
      <c r="AW49">
        <f ca="1">'JACOBIAN - OIS USDOIS'!G58</f>
        <v>-1.34779486460346E-8</v>
      </c>
      <c r="AX49">
        <f ca="1">'JACOBIAN - OIS USDOIS'!H58</f>
        <v>3.0481603463527998E-8</v>
      </c>
      <c r="AY49">
        <f ca="1">'JACOBIAN - OIS USDOIS'!I58</f>
        <v>-1.1577627168080101E-7</v>
      </c>
      <c r="AZ49">
        <f ca="1">'JACOBIAN - OIS USDOIS'!J58</f>
        <v>3.7254256191054898E-7</v>
      </c>
      <c r="BA49">
        <f ca="1">'JACOBIAN - OIS USDOIS'!K58</f>
        <v>-1.4342128726863E-6</v>
      </c>
      <c r="BB49">
        <f ca="1">'JACOBIAN - OIS USDOIS'!L58</f>
        <v>2.52084846075196E-6</v>
      </c>
      <c r="BC49">
        <f ca="1">'JACOBIAN - OIS USDOIS'!M58</f>
        <v>-4.5999277976660497E-6</v>
      </c>
      <c r="BD49">
        <f ca="1">'JACOBIAN - OIS USDOIS'!N58</f>
        <v>5.8564264548976997E-13</v>
      </c>
      <c r="BE49">
        <f ca="1">'JACOBIAN - OIS USDOIS'!O58</f>
        <v>5.8564264548976997E-13</v>
      </c>
      <c r="BF49">
        <f ca="1">'JACOBIAN - OIS USDOIS'!P58</f>
        <v>5.8564264548976997E-13</v>
      </c>
      <c r="BG49">
        <f ca="1">'JACOBIAN - OIS USDOIS'!Q58</f>
        <v>5.8564264548976997E-13</v>
      </c>
      <c r="BH49">
        <f ca="1">'JACOBIAN - OIS USDOIS'!R58</f>
        <v>5.8564264548976997E-13</v>
      </c>
      <c r="BI49" s="161">
        <f ca="1">'JACOBIAN - OIS USDOIS'!S58</f>
        <v>-6.7506874742440104E-6</v>
      </c>
      <c r="BJ49" s="161">
        <f ca="1">'JACOBIAN - OIS USDOIS'!T58</f>
        <v>6.3341275612360803E-6</v>
      </c>
      <c r="BK49" s="161">
        <f ca="1">'JACOBIAN - OIS USDOIS'!U58</f>
        <v>-3.7866769962091602E-5</v>
      </c>
      <c r="BL49" s="161">
        <f ca="1">'JACOBIAN - OIS USDOIS'!V58</f>
        <v>1.2492315080214799E-4</v>
      </c>
      <c r="BM49" s="161">
        <f ca="1">'JACOBIAN - OIS USDOIS'!W58</f>
        <v>-2.6865441682655299E-4</v>
      </c>
      <c r="BN49" s="161">
        <f ca="1">'JACOBIAN - OIS USDOIS'!X58</f>
        <v>6.0982895731986897E-4</v>
      </c>
      <c r="BO49" s="161">
        <f ca="1">'JACOBIAN - OIS USDOIS'!Y58</f>
        <v>4.2123651582681699E-4</v>
      </c>
      <c r="BP49" s="161">
        <f ca="1">'JACOBIAN - OIS USDOIS'!Z58</f>
        <v>-1.2757615981184899E-4</v>
      </c>
      <c r="BQ49" s="161">
        <f ca="1">'JACOBIAN - OIS USDOIS'!AA58</f>
        <v>1.8122648749230301E-5</v>
      </c>
      <c r="BR49" s="161">
        <f ca="1">'JACOBIAN - OIS USDOIS'!AB58</f>
        <v>-2.7044406750720301E-6</v>
      </c>
      <c r="BS49" s="161">
        <f ca="1">'JACOBIAN - OIS USDOIS'!AC58</f>
        <v>6.9342726916055099E-7</v>
      </c>
      <c r="BT49" s="161">
        <f ca="1">'JACOBIAN - OIS USDOIS'!AD58</f>
        <v>-1.17907953400831E-7</v>
      </c>
      <c r="BU49">
        <f ca="1">'JACOBIAN - OIS USDOIS'!AE58</f>
        <v>6.6281782513666301E-6</v>
      </c>
      <c r="BV49">
        <f ca="1">'JACOBIAN - OIS USDOIS'!AF58</f>
        <v>-6.2291589435492503E-6</v>
      </c>
      <c r="BW49">
        <f ca="1">'JACOBIAN - OIS USDOIS'!AG58</f>
        <v>3.7260242473857703E-5</v>
      </c>
      <c r="BX49">
        <f ca="1">'JACOBIAN - OIS USDOIS'!AH58</f>
        <v>-1.22940285732787E-4</v>
      </c>
      <c r="BY49">
        <f ca="1">'JACOBIAN - OIS USDOIS'!AI58</f>
        <v>2.6441054217418703E-4</v>
      </c>
      <c r="BZ49">
        <f ca="1">'JACOBIAN - OIS USDOIS'!AJ58</f>
        <v>-5.9985134563289599E-4</v>
      </c>
      <c r="CA49">
        <f ca="1">'JACOBIAN - OIS USDOIS'!AK58</f>
        <v>-4.1444563655967899E-4</v>
      </c>
      <c r="CB49">
        <f ca="1">'JACOBIAN - OIS USDOIS'!AL58</f>
        <v>1.2565716058576801E-4</v>
      </c>
      <c r="CC49">
        <f ca="1">'JACOBIAN - OIS USDOIS'!AM58</f>
        <v>-1.7849227400001899E-5</v>
      </c>
      <c r="CD49">
        <f ca="1">'JACOBIAN - OIS USDOIS'!AN58</f>
        <v>2.66465511133962E-6</v>
      </c>
      <c r="CE49">
        <f ca="1">'JACOBIAN - OIS USDOIS'!AO58</f>
        <v>-6.8366762140392702E-7</v>
      </c>
      <c r="CF49">
        <f ca="1">'JACOBIAN - OIS USDOIS'!AP58</f>
        <v>1.16355714174787E-7</v>
      </c>
      <c r="CK49" s="248">
        <f t="shared" ca="1" si="47"/>
        <v>46829</v>
      </c>
      <c r="CL49">
        <f t="shared" ca="1" si="48"/>
        <v>-9.8638724543853605E-7</v>
      </c>
      <c r="CM49">
        <f t="shared" ca="1" si="49"/>
        <v>9.9400054853759891E-10</v>
      </c>
      <c r="CN49">
        <f t="shared" ca="1" si="50"/>
        <v>-3.9753517144802702E-9</v>
      </c>
      <c r="CO49">
        <f t="shared" ca="1" si="51"/>
        <v>1.0471559397373699E-8</v>
      </c>
      <c r="CP49">
        <f t="shared" ca="1" si="52"/>
        <v>-1.34779486460346E-8</v>
      </c>
      <c r="CQ49">
        <f t="shared" ca="1" si="53"/>
        <v>3.0481603463527998E-8</v>
      </c>
      <c r="CR49">
        <f t="shared" ca="1" si="54"/>
        <v>-1.1577627168080101E-7</v>
      </c>
      <c r="CS49">
        <f t="shared" ca="1" si="55"/>
        <v>3.7254256191054898E-7</v>
      </c>
      <c r="CT49">
        <f t="shared" ca="1" si="56"/>
        <v>-1.4342128726863E-6</v>
      </c>
      <c r="CU49">
        <f t="shared" ca="1" si="57"/>
        <v>2.52084846075196E-6</v>
      </c>
      <c r="CV49">
        <f t="shared" ca="1" si="58"/>
        <v>-4.5999277976660497E-6</v>
      </c>
      <c r="CW49">
        <f t="shared" ca="1" si="59"/>
        <v>5.8564264548976997E-13</v>
      </c>
      <c r="CX49">
        <f t="shared" ca="1" si="60"/>
        <v>5.8564264548976997E-13</v>
      </c>
      <c r="CY49">
        <f t="shared" ca="1" si="61"/>
        <v>5.8564264548976997E-13</v>
      </c>
      <c r="CZ49">
        <f t="shared" ca="1" si="62"/>
        <v>5.8564264548976997E-13</v>
      </c>
      <c r="DA49">
        <f t="shared" ca="1" si="63"/>
        <v>5.8564264548976997E-13</v>
      </c>
      <c r="DB49" s="146">
        <v>0</v>
      </c>
      <c r="DC49" s="146">
        <v>0</v>
      </c>
      <c r="DD49" s="146">
        <v>0</v>
      </c>
      <c r="DE49" s="146">
        <v>0</v>
      </c>
      <c r="DF49" s="146">
        <v>0</v>
      </c>
      <c r="DG49" s="146">
        <v>0</v>
      </c>
      <c r="DH49" s="146">
        <v>0</v>
      </c>
      <c r="DI49" s="146">
        <v>0</v>
      </c>
      <c r="DJ49" s="146">
        <v>0</v>
      </c>
      <c r="DK49" s="146">
        <v>0</v>
      </c>
      <c r="DL49" s="146">
        <v>0</v>
      </c>
      <c r="DM49" s="146">
        <v>0</v>
      </c>
      <c r="DN49">
        <f t="shared" ca="1" si="64"/>
        <v>6.6281782513666301E-6</v>
      </c>
      <c r="DO49">
        <f t="shared" ca="1" si="65"/>
        <v>-6.2291589435492503E-6</v>
      </c>
      <c r="DP49">
        <f t="shared" ca="1" si="66"/>
        <v>3.7260242473857703E-5</v>
      </c>
      <c r="DQ49">
        <f t="shared" ca="1" si="67"/>
        <v>-1.22940285732787E-4</v>
      </c>
      <c r="DR49">
        <f t="shared" ca="1" si="68"/>
        <v>2.6441054217418703E-4</v>
      </c>
      <c r="DS49">
        <f t="shared" ca="1" si="69"/>
        <v>-5.9985134563289599E-4</v>
      </c>
      <c r="DT49">
        <f t="shared" ca="1" si="70"/>
        <v>-4.1444563655967899E-4</v>
      </c>
      <c r="DU49">
        <f t="shared" ca="1" si="71"/>
        <v>1.2565716058576801E-4</v>
      </c>
      <c r="DV49">
        <f t="shared" ca="1" si="72"/>
        <v>-1.7849227400001899E-5</v>
      </c>
      <c r="DW49">
        <f t="shared" ca="1" si="73"/>
        <v>2.66465511133962E-6</v>
      </c>
      <c r="DX49">
        <f t="shared" ca="1" si="74"/>
        <v>-6.8366762140392702E-7</v>
      </c>
      <c r="DY49">
        <f t="shared" ca="1" si="75"/>
        <v>1.16355714174787E-7</v>
      </c>
      <c r="ED49" s="248">
        <f ca="1">'JACOBIAN - SWAP USD3ML'!B58</f>
        <v>46829</v>
      </c>
      <c r="EE49">
        <f ca="1">'JACOBIAN - SWAP USD3ML'!C58</f>
        <v>-3.5631220196563598E-13</v>
      </c>
      <c r="EF49">
        <f ca="1">'JACOBIAN - SWAP USD3ML'!D58</f>
        <v>-1.70563223267362E-9</v>
      </c>
      <c r="EG49">
        <f ca="1">'JACOBIAN - SWAP USD3ML'!E58</f>
        <v>-8.1007561769652593E-12</v>
      </c>
      <c r="EH49">
        <f ca="1">'JACOBIAN - SWAP USD3ML'!F58</f>
        <v>-3.5631220196563598E-13</v>
      </c>
      <c r="EI49">
        <f ca="1">'JACOBIAN - SWAP USD3ML'!G58</f>
        <v>-1.9024781749976699E-11</v>
      </c>
      <c r="EJ49">
        <f ca="1">'JACOBIAN - SWAP USD3ML'!H58</f>
        <v>-1.7003028776607599E-9</v>
      </c>
      <c r="EK49">
        <f ca="1">'JACOBIAN - SWAP USD3ML'!I58</f>
        <v>-1.7017417267006799E-9</v>
      </c>
      <c r="EL49">
        <f ca="1">'JACOBIAN - SWAP USD3ML'!J58</f>
        <v>-1.69604670932633E-9</v>
      </c>
      <c r="EM49">
        <f ca="1">'JACOBIAN - SWAP USD3ML'!K58</f>
        <v>-1.69058979662684E-9</v>
      </c>
      <c r="EN49">
        <f ca="1">'JACOBIAN - SWAP USD3ML'!L58</f>
        <v>-1.6853369776137501E-9</v>
      </c>
      <c r="EO49">
        <f ca="1">'JACOBIAN - SWAP USD3ML'!M58</f>
        <v>-1.6697392427045301E-9</v>
      </c>
      <c r="EP49">
        <f ca="1">'JACOBIAN - SWAP USD3ML'!N58</f>
        <v>-3.6194128562316901E-9</v>
      </c>
      <c r="EQ49">
        <f ca="1">'JACOBIAN - SWAP USD3ML'!O58</f>
        <v>8.7681604102329796E-8</v>
      </c>
      <c r="ER49">
        <f ca="1">'JACOBIAN - SWAP USD3ML'!P58</f>
        <v>-4.2434435370067297E-7</v>
      </c>
      <c r="ES49">
        <f ca="1">'JACOBIAN - SWAP USD3ML'!Q58</f>
        <v>1.05711079379303E-6</v>
      </c>
      <c r="ET49">
        <f ca="1">'JACOBIAN - SWAP USD3ML'!R58</f>
        <v>-9.33231986241859E-6</v>
      </c>
      <c r="EU49">
        <f ca="1">'JACOBIAN - SWAP USD3ML'!S58</f>
        <v>-9.4198475276455901E-4</v>
      </c>
      <c r="EV49">
        <f ca="1">'JACOBIAN - SWAP USD3ML'!T58</f>
        <v>1.2259447083181199E-3</v>
      </c>
      <c r="EW49">
        <f ca="1">'JACOBIAN - SWAP USD3ML'!U58</f>
        <v>-1.96592326378881E-4</v>
      </c>
      <c r="EX49">
        <f ca="1">'JACOBIAN - SWAP USD3ML'!V58</f>
        <v>2.2949686855580601E-5</v>
      </c>
      <c r="EY49">
        <f ca="1">'JACOBIAN - SWAP USD3ML'!W58</f>
        <v>-4.0660046954910101E-6</v>
      </c>
      <c r="EZ49">
        <f ca="1">'JACOBIAN - SWAP USD3ML'!X58</f>
        <v>8.0592421246999903E-7</v>
      </c>
      <c r="FA49">
        <f ca="1">'JACOBIAN - SWAP USD3ML'!Y58</f>
        <v>-2.5798196430157302E-7</v>
      </c>
      <c r="FB49">
        <f ca="1">'JACOBIAN - SWAP USD3ML'!Z58</f>
        <v>5.2508213096991203E-8</v>
      </c>
    </row>
    <row r="50" spans="24:158" x14ac:dyDescent="0.25">
      <c r="X50" s="258">
        <f t="shared" ca="1" si="42"/>
        <v>46923</v>
      </c>
      <c r="Y50" s="261">
        <v>0</v>
      </c>
      <c r="AA50" s="257">
        <f t="shared" ca="1" si="35"/>
        <v>46923</v>
      </c>
      <c r="AB50" s="266">
        <f t="shared" ca="1" si="43"/>
        <v>-7.4909138438317342E-4</v>
      </c>
      <c r="AC50" s="266"/>
      <c r="AD50" s="290">
        <f ca="1"/>
        <v>46923</v>
      </c>
      <c r="AE50" s="291">
        <f ca="1"/>
        <v>-7.4909138438317147E-4</v>
      </c>
      <c r="AF50" s="291" t="b">
        <f t="shared" ca="1" si="36"/>
        <v>1</v>
      </c>
      <c r="AH50" s="257">
        <f t="shared" ca="1" si="44"/>
        <v>46923</v>
      </c>
      <c r="AI50" s="260">
        <v>0</v>
      </c>
      <c r="AK50" s="290">
        <f ca="1"/>
        <v>46923</v>
      </c>
      <c r="AL50" s="291">
        <f ca="1"/>
        <v>9.8179517520276954E-5</v>
      </c>
      <c r="AM50" s="291" t="b">
        <f t="shared" ca="1" si="45"/>
        <v>1</v>
      </c>
      <c r="AO50" s="257">
        <f t="shared" ca="1" si="46"/>
        <v>46923</v>
      </c>
      <c r="AP50" s="266">
        <f t="shared" ca="1" si="38"/>
        <v>9.8179517520276968E-5</v>
      </c>
      <c r="AR50" s="248">
        <f ca="1">'JACOBIAN - OIS USDOIS'!B59</f>
        <v>46923</v>
      </c>
      <c r="AS50">
        <f ca="1">'JACOBIAN - OIS USDOIS'!C59</f>
        <v>-9.8209892873679607E-7</v>
      </c>
      <c r="AT50">
        <f ca="1">'JACOBIAN - OIS USDOIS'!D59</f>
        <v>9.4760332913779207E-10</v>
      </c>
      <c r="AU50">
        <f ca="1">'JACOBIAN - OIS USDOIS'!E59</f>
        <v>-3.7898744142950103E-9</v>
      </c>
      <c r="AV50">
        <f ca="1">'JACOBIAN - OIS USDOIS'!F59</f>
        <v>9.9829580157972892E-9</v>
      </c>
      <c r="AW50">
        <f ca="1">'JACOBIAN - OIS USDOIS'!G59</f>
        <v>-1.28490279527327E-8</v>
      </c>
      <c r="AX50">
        <f ca="1">'JACOBIAN - OIS USDOIS'!H59</f>
        <v>2.9059282757870599E-8</v>
      </c>
      <c r="AY50">
        <f ca="1">'JACOBIAN - OIS USDOIS'!I59</f>
        <v>-1.10896266947158E-7</v>
      </c>
      <c r="AZ50">
        <f ca="1">'JACOBIAN - OIS USDOIS'!J59</f>
        <v>3.5515923946238798E-7</v>
      </c>
      <c r="BA50">
        <f ca="1">'JACOBIAN - OIS USDOIS'!K59</f>
        <v>-1.3672909783268801E-6</v>
      </c>
      <c r="BB50">
        <f ca="1">'JACOBIAN - OIS USDOIS'!L59</f>
        <v>2.41976988812898E-6</v>
      </c>
      <c r="BC50">
        <f ca="1">'JACOBIAN - OIS USDOIS'!M59</f>
        <v>-4.3868647334743801E-6</v>
      </c>
      <c r="BD50">
        <f ca="1">'JACOBIAN - OIS USDOIS'!N59</f>
        <v>6.2438942904918804E-13</v>
      </c>
      <c r="BE50">
        <f ca="1">'JACOBIAN - OIS USDOIS'!O59</f>
        <v>6.2438942904918804E-13</v>
      </c>
      <c r="BF50">
        <f ca="1">'JACOBIAN - OIS USDOIS'!P59</f>
        <v>6.2438942904918804E-13</v>
      </c>
      <c r="BG50">
        <f ca="1">'JACOBIAN - OIS USDOIS'!Q59</f>
        <v>6.2438942904918804E-13</v>
      </c>
      <c r="BH50">
        <f ca="1">'JACOBIAN - OIS USDOIS'!R59</f>
        <v>6.2438942904918804E-13</v>
      </c>
      <c r="BI50" s="161">
        <f ca="1">'JACOBIAN - OIS USDOIS'!S59</f>
        <v>-6.4741494606446199E-6</v>
      </c>
      <c r="BJ50" s="161">
        <f ca="1">'JACOBIAN - OIS USDOIS'!T59</f>
        <v>5.8561040725546601E-6</v>
      </c>
      <c r="BK50" s="161">
        <f ca="1">'JACOBIAN - OIS USDOIS'!U59</f>
        <v>-3.6138175125710603E-5</v>
      </c>
      <c r="BL50" s="161">
        <f ca="1">'JACOBIAN - OIS USDOIS'!V59</f>
        <v>1.1839998422391601E-4</v>
      </c>
      <c r="BM50" s="161">
        <f ca="1">'JACOBIAN - OIS USDOIS'!W59</f>
        <v>-2.5563707562503701E-4</v>
      </c>
      <c r="BN50" s="161">
        <f ca="1">'JACOBIAN - OIS USDOIS'!X59</f>
        <v>5.2895162570953903E-4</v>
      </c>
      <c r="BO50" s="161">
        <f ca="1">'JACOBIAN - OIS USDOIS'!Y59</f>
        <v>5.3509980716026596E-4</v>
      </c>
      <c r="BP50" s="161">
        <f ca="1">'JACOBIAN - OIS USDOIS'!Z59</f>
        <v>-1.5145225790535999E-4</v>
      </c>
      <c r="BQ50" s="161">
        <f ca="1">'JACOBIAN - OIS USDOIS'!AA59</f>
        <v>2.15146717453818E-5</v>
      </c>
      <c r="BR50" s="161">
        <f ca="1">'JACOBIAN - OIS USDOIS'!AB59</f>
        <v>-3.2106246048435598E-6</v>
      </c>
      <c r="BS50" s="161">
        <f ca="1">'JACOBIAN - OIS USDOIS'!AC59</f>
        <v>8.2321468564128295E-7</v>
      </c>
      <c r="BT50" s="161">
        <f ca="1">'JACOBIAN - OIS USDOIS'!AD59</f>
        <v>-1.3997663039777601E-7</v>
      </c>
      <c r="BU50">
        <f ca="1">'JACOBIAN - OIS USDOIS'!AE59</f>
        <v>6.3566442665141699E-6</v>
      </c>
      <c r="BV50">
        <f ca="1">'JACOBIAN - OIS USDOIS'!AF59</f>
        <v>-5.7590929258832801E-6</v>
      </c>
      <c r="BW50">
        <f ca="1">'JACOBIAN - OIS USDOIS'!AG59</f>
        <v>3.55592499340363E-5</v>
      </c>
      <c r="BX50">
        <f ca="1">'JACOBIAN - OIS USDOIS'!AH59</f>
        <v>-1.16521587380181E-4</v>
      </c>
      <c r="BY50">
        <f ca="1">'JACOBIAN - OIS USDOIS'!AI59</f>
        <v>2.5159498783144902E-4</v>
      </c>
      <c r="BZ50">
        <f ca="1">'JACOBIAN - OIS USDOIS'!AJ59</f>
        <v>-5.2034558218483405E-4</v>
      </c>
      <c r="CA50">
        <f ca="1">'JACOBIAN - OIS USDOIS'!AK59</f>
        <v>-5.2640523211677803E-4</v>
      </c>
      <c r="CB50">
        <f ca="1">'JACOBIAN - OIS USDOIS'!AL59</f>
        <v>1.4917818796467101E-4</v>
      </c>
      <c r="CC50">
        <f ca="1">'JACOBIAN - OIS USDOIS'!AM59</f>
        <v>-2.1189991804559901E-5</v>
      </c>
      <c r="CD50">
        <f ca="1">'JACOBIAN - OIS USDOIS'!AN59</f>
        <v>3.1633942848552399E-6</v>
      </c>
      <c r="CE50">
        <f ca="1">'JACOBIAN - OIS USDOIS'!AO59</f>
        <v>-8.1162831189196496E-7</v>
      </c>
      <c r="CF50">
        <f ca="1">'JACOBIAN - OIS USDOIS'!AP59</f>
        <v>1.3813377564009199E-7</v>
      </c>
      <c r="CK50" s="248">
        <f t="shared" ca="1" si="47"/>
        <v>46923</v>
      </c>
      <c r="CL50">
        <f t="shared" ca="1" si="48"/>
        <v>-9.8209892873679607E-7</v>
      </c>
      <c r="CM50">
        <f t="shared" ca="1" si="49"/>
        <v>9.4760332913779207E-10</v>
      </c>
      <c r="CN50">
        <f t="shared" ca="1" si="50"/>
        <v>-3.7898744142950103E-9</v>
      </c>
      <c r="CO50">
        <f t="shared" ca="1" si="51"/>
        <v>9.9829580157972892E-9</v>
      </c>
      <c r="CP50">
        <f t="shared" ca="1" si="52"/>
        <v>-1.28490279527327E-8</v>
      </c>
      <c r="CQ50">
        <f t="shared" ca="1" si="53"/>
        <v>2.9059282757870599E-8</v>
      </c>
      <c r="CR50">
        <f t="shared" ca="1" si="54"/>
        <v>-1.10896266947158E-7</v>
      </c>
      <c r="CS50">
        <f t="shared" ca="1" si="55"/>
        <v>3.5515923946238798E-7</v>
      </c>
      <c r="CT50">
        <f t="shared" ca="1" si="56"/>
        <v>-1.3672909783268801E-6</v>
      </c>
      <c r="CU50">
        <f t="shared" ca="1" si="57"/>
        <v>2.41976988812898E-6</v>
      </c>
      <c r="CV50">
        <f t="shared" ca="1" si="58"/>
        <v>-4.3868647334743801E-6</v>
      </c>
      <c r="CW50">
        <f t="shared" ca="1" si="59"/>
        <v>6.2438942904918804E-13</v>
      </c>
      <c r="CX50">
        <f t="shared" ca="1" si="60"/>
        <v>6.2438942904918804E-13</v>
      </c>
      <c r="CY50">
        <f t="shared" ca="1" si="61"/>
        <v>6.2438942904918804E-13</v>
      </c>
      <c r="CZ50">
        <f t="shared" ca="1" si="62"/>
        <v>6.2438942904918804E-13</v>
      </c>
      <c r="DA50">
        <f t="shared" ca="1" si="63"/>
        <v>6.2438942904918804E-13</v>
      </c>
      <c r="DB50" s="146">
        <v>0</v>
      </c>
      <c r="DC50" s="146">
        <v>0</v>
      </c>
      <c r="DD50" s="146">
        <v>0</v>
      </c>
      <c r="DE50" s="146">
        <v>0</v>
      </c>
      <c r="DF50" s="146">
        <v>0</v>
      </c>
      <c r="DG50" s="146">
        <v>0</v>
      </c>
      <c r="DH50" s="146">
        <v>0</v>
      </c>
      <c r="DI50" s="146">
        <v>0</v>
      </c>
      <c r="DJ50" s="146">
        <v>0</v>
      </c>
      <c r="DK50" s="146">
        <v>0</v>
      </c>
      <c r="DL50" s="146">
        <v>0</v>
      </c>
      <c r="DM50" s="146">
        <v>0</v>
      </c>
      <c r="DN50">
        <f t="shared" ca="1" si="64"/>
        <v>6.3566442665141699E-6</v>
      </c>
      <c r="DO50">
        <f t="shared" ca="1" si="65"/>
        <v>-5.7590929258832801E-6</v>
      </c>
      <c r="DP50">
        <f t="shared" ca="1" si="66"/>
        <v>3.55592499340363E-5</v>
      </c>
      <c r="DQ50">
        <f t="shared" ca="1" si="67"/>
        <v>-1.16521587380181E-4</v>
      </c>
      <c r="DR50">
        <f t="shared" ca="1" si="68"/>
        <v>2.5159498783144902E-4</v>
      </c>
      <c r="DS50">
        <f t="shared" ca="1" si="69"/>
        <v>-5.2034558218483405E-4</v>
      </c>
      <c r="DT50">
        <f t="shared" ca="1" si="70"/>
        <v>-5.2640523211677803E-4</v>
      </c>
      <c r="DU50">
        <f t="shared" ca="1" si="71"/>
        <v>1.4917818796467101E-4</v>
      </c>
      <c r="DV50">
        <f t="shared" ca="1" si="72"/>
        <v>-2.1189991804559901E-5</v>
      </c>
      <c r="DW50">
        <f t="shared" ca="1" si="73"/>
        <v>3.1633942848552399E-6</v>
      </c>
      <c r="DX50">
        <f t="shared" ca="1" si="74"/>
        <v>-8.1162831189196496E-7</v>
      </c>
      <c r="DY50">
        <f t="shared" ca="1" si="75"/>
        <v>1.3813377564009199E-7</v>
      </c>
      <c r="ED50" s="248">
        <f ca="1">'JACOBIAN - SWAP USD3ML'!B59</f>
        <v>46923</v>
      </c>
      <c r="EE50">
        <f ca="1">'JACOBIAN - SWAP USD3ML'!C59</f>
        <v>-5.9778224037465597E-13</v>
      </c>
      <c r="EF50">
        <f ca="1">'JACOBIAN - SWAP USD3ML'!D59</f>
        <v>2.5992417784087599E-8</v>
      </c>
      <c r="EG50">
        <f ca="1">'JACOBIAN - SWAP USD3ML'!E59</f>
        <v>-1.4060055203435299E-11</v>
      </c>
      <c r="EH50">
        <f ca="1">'JACOBIAN - SWAP USD3ML'!F59</f>
        <v>-5.9778224037465597E-13</v>
      </c>
      <c r="EI50">
        <f ca="1">'JACOBIAN - SWAP USD3ML'!G59</f>
        <v>2.8377561411829798E-10</v>
      </c>
      <c r="EJ50">
        <f ca="1">'JACOBIAN - SWAP USD3ML'!H59</f>
        <v>2.5893787985314899E-8</v>
      </c>
      <c r="EK50">
        <f ca="1">'JACOBIAN - SWAP USD3ML'!I59</f>
        <v>2.57873383549545E-8</v>
      </c>
      <c r="EL50">
        <f ca="1">'JACOBIAN - SWAP USD3ML'!J59</f>
        <v>2.5702411504680001E-8</v>
      </c>
      <c r="EM50">
        <f ca="1">'JACOBIAN - SWAP USD3ML'!K59</f>
        <v>2.5620816773708199E-8</v>
      </c>
      <c r="EN50">
        <f ca="1">'JACOBIAN - SWAP USD3ML'!L59</f>
        <v>2.55407938305752E-8</v>
      </c>
      <c r="EO50">
        <f ca="1">'JACOBIAN - SWAP USD3ML'!M59</f>
        <v>2.5304841701212499E-8</v>
      </c>
      <c r="EP50">
        <f ca="1">'JACOBIAN - SWAP USD3ML'!N59</f>
        <v>5.4892865038180798E-8</v>
      </c>
      <c r="EQ50">
        <f ca="1">'JACOBIAN - SWAP USD3ML'!O59</f>
        <v>-1.3297771084275199E-6</v>
      </c>
      <c r="ER50">
        <f ca="1">'JACOBIAN - SWAP USD3ML'!P59</f>
        <v>6.4354599171416398E-6</v>
      </c>
      <c r="ES50">
        <f ca="1">'JACOBIAN - SWAP USD3ML'!Q59</f>
        <v>-1.6032966456205898E-5</v>
      </c>
      <c r="ET50">
        <f ca="1">'JACOBIAN - SWAP USD3ML'!R59</f>
        <v>1.4146230047710299E-4</v>
      </c>
      <c r="EU50">
        <f ca="1">'JACOBIAN - SWAP USD3ML'!S59</f>
        <v>-1.0945201193848901E-3</v>
      </c>
      <c r="EV50">
        <f ca="1">'JACOBIAN - SWAP USD3ML'!T59</f>
        <v>1.04249934971992E-3</v>
      </c>
      <c r="EW50">
        <f ca="1">'JACOBIAN - SWAP USD3ML'!U59</f>
        <v>2.1569093316627801E-5</v>
      </c>
      <c r="EX50">
        <f ca="1">'JACOBIAN - SWAP USD3ML'!V59</f>
        <v>-2.5192119738094701E-6</v>
      </c>
      <c r="EY50">
        <f ca="1">'JACOBIAN - SWAP USD3ML'!W59</f>
        <v>4.4630268263706799E-7</v>
      </c>
      <c r="EZ50">
        <f ca="1">'JACOBIAN - SWAP USD3ML'!X59</f>
        <v>-8.84596283168282E-8</v>
      </c>
      <c r="FA50">
        <f ca="1">'JACOBIAN - SWAP USD3ML'!Y59</f>
        <v>2.8312417629100502E-8</v>
      </c>
      <c r="FB50">
        <f ca="1">'JACOBIAN - SWAP USD3ML'!Z59</f>
        <v>-5.7702520990521303E-9</v>
      </c>
    </row>
    <row r="51" spans="24:158" x14ac:dyDescent="0.25">
      <c r="X51" s="258">
        <f t="shared" ca="1" si="42"/>
        <v>47014</v>
      </c>
      <c r="Y51" s="261">
        <v>0</v>
      </c>
      <c r="AA51" s="257">
        <f t="shared" ca="1" si="35"/>
        <v>47014</v>
      </c>
      <c r="AB51" s="266">
        <f t="shared" ca="1" si="43"/>
        <v>-7.6787049450699463E-4</v>
      </c>
      <c r="AC51" s="266"/>
      <c r="AD51" s="290">
        <f ca="1"/>
        <v>47014</v>
      </c>
      <c r="AE51" s="291">
        <f ca="1"/>
        <v>-7.6787049450699474E-4</v>
      </c>
      <c r="AF51" s="291" t="b">
        <f t="shared" ca="1" si="36"/>
        <v>1</v>
      </c>
      <c r="AH51" s="257">
        <f t="shared" ca="1" si="44"/>
        <v>47014</v>
      </c>
      <c r="AI51" s="260">
        <v>0</v>
      </c>
      <c r="AK51" s="290">
        <f ca="1"/>
        <v>47014</v>
      </c>
      <c r="AL51" s="291">
        <f ca="1"/>
        <v>9.8078712406111349E-5</v>
      </c>
      <c r="AM51" s="291" t="b">
        <f t="shared" ca="1" si="45"/>
        <v>1</v>
      </c>
      <c r="AO51" s="257">
        <f t="shared" ca="1" si="46"/>
        <v>47014</v>
      </c>
      <c r="AP51" s="266">
        <f t="shared" ca="1" si="38"/>
        <v>9.8078712406110929E-5</v>
      </c>
      <c r="AR51" s="248">
        <f ca="1">'JACOBIAN - OIS USDOIS'!B60</f>
        <v>47014</v>
      </c>
      <c r="AS51">
        <f ca="1">'JACOBIAN - OIS USDOIS'!C60</f>
        <v>-9.7792312458988604E-7</v>
      </c>
      <c r="AT51">
        <f ca="1">'JACOBIAN - OIS USDOIS'!D60</f>
        <v>8.4851592418999603E-10</v>
      </c>
      <c r="AU51">
        <f ca="1">'JACOBIAN - OIS USDOIS'!E60</f>
        <v>-3.3936935484035799E-9</v>
      </c>
      <c r="AV51">
        <f ca="1">'JACOBIAN - OIS USDOIS'!F60</f>
        <v>8.9393199509402199E-9</v>
      </c>
      <c r="AW51">
        <f ca="1">'JACOBIAN - OIS USDOIS'!G60</f>
        <v>-1.15057003924335E-8</v>
      </c>
      <c r="AX51">
        <f ca="1">'JACOBIAN - OIS USDOIS'!H60</f>
        <v>2.6021282462096501E-8</v>
      </c>
      <c r="AY51">
        <f ca="1">'JACOBIAN - OIS USDOIS'!I60</f>
        <v>-1.00551136750227E-7</v>
      </c>
      <c r="AZ51">
        <f ca="1">'JACOBIAN - OIS USDOIS'!J60</f>
        <v>3.1802928324165002E-7</v>
      </c>
      <c r="BA51">
        <f ca="1">'JACOBIAN - OIS USDOIS'!K60</f>
        <v>-1.22434900495794E-6</v>
      </c>
      <c r="BB51">
        <f ca="1">'JACOBIAN - OIS USDOIS'!L60</f>
        <v>2.2035917777163401E-6</v>
      </c>
      <c r="BC51">
        <f ca="1">'JACOBIAN - OIS USDOIS'!M60</f>
        <v>-3.93200774295721E-6</v>
      </c>
      <c r="BD51">
        <f ca="1">'JACOBIAN - OIS USDOIS'!N60</f>
        <v>6.5414340610914203E-13</v>
      </c>
      <c r="BE51">
        <f ca="1">'JACOBIAN - OIS USDOIS'!O60</f>
        <v>6.5414340610914203E-13</v>
      </c>
      <c r="BF51">
        <f ca="1">'JACOBIAN - OIS USDOIS'!P60</f>
        <v>6.5414340610914203E-13</v>
      </c>
      <c r="BG51">
        <f ca="1">'JACOBIAN - OIS USDOIS'!Q60</f>
        <v>6.5414340610914203E-13</v>
      </c>
      <c r="BH51">
        <f ca="1">'JACOBIAN - OIS USDOIS'!R60</f>
        <v>6.5414340610914203E-13</v>
      </c>
      <c r="BI51" s="161">
        <f ca="1">'JACOBIAN - OIS USDOIS'!S60</f>
        <v>-5.8826388323884896E-6</v>
      </c>
      <c r="BJ51" s="161">
        <f ca="1">'JACOBIAN - OIS USDOIS'!T60</f>
        <v>4.8404654298117603E-6</v>
      </c>
      <c r="BK51" s="161">
        <f ca="1">'JACOBIAN - OIS USDOIS'!U60</f>
        <v>-3.2453815493327403E-5</v>
      </c>
      <c r="BL51" s="161">
        <f ca="1">'JACOBIAN - OIS USDOIS'!V60</f>
        <v>1.04539148256921E-4</v>
      </c>
      <c r="BM51" s="161">
        <f ca="1">'JACOBIAN - OIS USDOIS'!W60</f>
        <v>-2.27955262706026E-4</v>
      </c>
      <c r="BN51" s="161">
        <f ca="1">'JACOBIAN - OIS USDOIS'!X60</f>
        <v>4.3717212496419101E-4</v>
      </c>
      <c r="BO51" s="161">
        <f ca="1">'JACOBIAN - OIS USDOIS'!Y60</f>
        <v>6.4264907660060999E-4</v>
      </c>
      <c r="BP51" s="161">
        <f ca="1">'JACOBIAN - OIS USDOIS'!Z60</f>
        <v>-1.66734763684451E-4</v>
      </c>
      <c r="BQ51" s="161">
        <f ca="1">'JACOBIAN - OIS USDOIS'!AA60</f>
        <v>2.3685882655444198E-5</v>
      </c>
      <c r="BR51" s="161">
        <f ca="1">'JACOBIAN - OIS USDOIS'!AB60</f>
        <v>-3.53462822677564E-6</v>
      </c>
      <c r="BS51" s="161">
        <f ca="1">'JACOBIAN - OIS USDOIS'!AC60</f>
        <v>9.0629045002010897E-7</v>
      </c>
      <c r="BT51" s="161">
        <f ca="1">'JACOBIAN - OIS USDOIS'!AD60</f>
        <v>-1.5410259268655601E-7</v>
      </c>
      <c r="BU51">
        <f ca="1">'JACOBIAN - OIS USDOIS'!AE60</f>
        <v>5.7758380619388197E-6</v>
      </c>
      <c r="BV51">
        <f ca="1">'JACOBIAN - OIS USDOIS'!AF60</f>
        <v>-4.7603585618949404E-6</v>
      </c>
      <c r="BW51">
        <f ca="1">'JACOBIAN - OIS USDOIS'!AG60</f>
        <v>3.1933743265044598E-5</v>
      </c>
      <c r="BX51">
        <f ca="1">'JACOBIAN - OIS USDOIS'!AH60</f>
        <v>-1.0288247861289799E-4</v>
      </c>
      <c r="BY51">
        <f ca="1">'JACOBIAN - OIS USDOIS'!AI60</f>
        <v>2.24343212961942E-4</v>
      </c>
      <c r="BZ51">
        <f ca="1">'JACOBIAN - OIS USDOIS'!AJ60</f>
        <v>-4.3010594569403699E-4</v>
      </c>
      <c r="CA51">
        <f ca="1">'JACOBIAN - OIS USDOIS'!AK60</f>
        <v>-6.32129148311789E-4</v>
      </c>
      <c r="CB51">
        <f ca="1">'JACOBIAN - OIS USDOIS'!AL60</f>
        <v>1.64234145350717E-4</v>
      </c>
      <c r="CC51">
        <f ca="1">'JACOBIAN - OIS USDOIS'!AM60</f>
        <v>-2.3328377844578099E-5</v>
      </c>
      <c r="CD51">
        <f ca="1">'JACOBIAN - OIS USDOIS'!AN60</f>
        <v>3.48263289640105E-6</v>
      </c>
      <c r="CE51">
        <f ca="1">'JACOBIAN - OIS USDOIS'!AO60</f>
        <v>-8.9353477128462099E-7</v>
      </c>
      <c r="CF51">
        <f ca="1">'JACOBIAN - OIS USDOIS'!AP60</f>
        <v>1.52073706627398E-7</v>
      </c>
      <c r="CK51" s="248">
        <f t="shared" ca="1" si="47"/>
        <v>47014</v>
      </c>
      <c r="CL51">
        <f t="shared" ca="1" si="48"/>
        <v>-9.7792312458988604E-7</v>
      </c>
      <c r="CM51">
        <f t="shared" ca="1" si="49"/>
        <v>8.4851592418999603E-10</v>
      </c>
      <c r="CN51">
        <f t="shared" ca="1" si="50"/>
        <v>-3.3936935484035799E-9</v>
      </c>
      <c r="CO51">
        <f t="shared" ca="1" si="51"/>
        <v>8.9393199509402199E-9</v>
      </c>
      <c r="CP51">
        <f t="shared" ca="1" si="52"/>
        <v>-1.15057003924335E-8</v>
      </c>
      <c r="CQ51">
        <f t="shared" ca="1" si="53"/>
        <v>2.6021282462096501E-8</v>
      </c>
      <c r="CR51">
        <f t="shared" ca="1" si="54"/>
        <v>-1.00551136750227E-7</v>
      </c>
      <c r="CS51">
        <f t="shared" ca="1" si="55"/>
        <v>3.1802928324165002E-7</v>
      </c>
      <c r="CT51">
        <f t="shared" ca="1" si="56"/>
        <v>-1.22434900495794E-6</v>
      </c>
      <c r="CU51">
        <f t="shared" ca="1" si="57"/>
        <v>2.2035917777163401E-6</v>
      </c>
      <c r="CV51">
        <f t="shared" ca="1" si="58"/>
        <v>-3.93200774295721E-6</v>
      </c>
      <c r="CW51">
        <f t="shared" ca="1" si="59"/>
        <v>6.5414340610914203E-13</v>
      </c>
      <c r="CX51">
        <f t="shared" ca="1" si="60"/>
        <v>6.5414340610914203E-13</v>
      </c>
      <c r="CY51">
        <f t="shared" ca="1" si="61"/>
        <v>6.5414340610914203E-13</v>
      </c>
      <c r="CZ51">
        <f t="shared" ca="1" si="62"/>
        <v>6.5414340610914203E-13</v>
      </c>
      <c r="DA51">
        <f t="shared" ca="1" si="63"/>
        <v>6.5414340610914203E-13</v>
      </c>
      <c r="DB51" s="146">
        <v>0</v>
      </c>
      <c r="DC51" s="146">
        <v>0</v>
      </c>
      <c r="DD51" s="146">
        <v>0</v>
      </c>
      <c r="DE51" s="146">
        <v>0</v>
      </c>
      <c r="DF51" s="146">
        <v>0</v>
      </c>
      <c r="DG51" s="146">
        <v>0</v>
      </c>
      <c r="DH51" s="146">
        <v>0</v>
      </c>
      <c r="DI51" s="146">
        <v>0</v>
      </c>
      <c r="DJ51" s="146">
        <v>0</v>
      </c>
      <c r="DK51" s="146">
        <v>0</v>
      </c>
      <c r="DL51" s="146">
        <v>0</v>
      </c>
      <c r="DM51" s="146">
        <v>0</v>
      </c>
      <c r="DN51">
        <f t="shared" ca="1" si="64"/>
        <v>5.7758380619388197E-6</v>
      </c>
      <c r="DO51">
        <f t="shared" ca="1" si="65"/>
        <v>-4.7603585618949404E-6</v>
      </c>
      <c r="DP51">
        <f t="shared" ca="1" si="66"/>
        <v>3.1933743265044598E-5</v>
      </c>
      <c r="DQ51">
        <f t="shared" ca="1" si="67"/>
        <v>-1.0288247861289799E-4</v>
      </c>
      <c r="DR51">
        <f t="shared" ca="1" si="68"/>
        <v>2.24343212961942E-4</v>
      </c>
      <c r="DS51">
        <f t="shared" ca="1" si="69"/>
        <v>-4.3010594569403699E-4</v>
      </c>
      <c r="DT51">
        <f t="shared" ca="1" si="70"/>
        <v>-6.32129148311789E-4</v>
      </c>
      <c r="DU51">
        <f t="shared" ca="1" si="71"/>
        <v>1.64234145350717E-4</v>
      </c>
      <c r="DV51">
        <f t="shared" ca="1" si="72"/>
        <v>-2.3328377844578099E-5</v>
      </c>
      <c r="DW51">
        <f t="shared" ca="1" si="73"/>
        <v>3.48263289640105E-6</v>
      </c>
      <c r="DX51">
        <f t="shared" ca="1" si="74"/>
        <v>-8.9353477128462099E-7</v>
      </c>
      <c r="DY51">
        <f t="shared" ca="1" si="75"/>
        <v>1.52073706627398E-7</v>
      </c>
      <c r="ED51" s="248">
        <f ca="1">'JACOBIAN - SWAP USD3ML'!B60</f>
        <v>47014</v>
      </c>
      <c r="EE51">
        <f ca="1">'JACOBIAN - SWAP USD3ML'!C60</f>
        <v>-8.2132217693597899E-13</v>
      </c>
      <c r="EF51">
        <f ca="1">'JACOBIAN - SWAP USD3ML'!D60</f>
        <v>2.9620972046701101E-8</v>
      </c>
      <c r="EG51">
        <f ca="1">'JACOBIAN - SWAP USD3ML'!E60</f>
        <v>-1.89176174725247E-11</v>
      </c>
      <c r="EH51">
        <f ca="1">'JACOBIAN - SWAP USD3ML'!F60</f>
        <v>-8.2044440685713502E-13</v>
      </c>
      <c r="EI51">
        <f ca="1">'JACOBIAN - SWAP USD3ML'!G60</f>
        <v>3.2324824067453401E-10</v>
      </c>
      <c r="EJ51">
        <f ca="1">'JACOBIAN - SWAP USD3ML'!H60</f>
        <v>2.9508206867562301E-8</v>
      </c>
      <c r="EK51">
        <f ca="1">'JACOBIAN - SWAP USD3ML'!I60</f>
        <v>2.9384206713667401E-8</v>
      </c>
      <c r="EL51">
        <f ca="1">'JACOBIAN - SWAP USD3ML'!J60</f>
        <v>2.92874638811724E-8</v>
      </c>
      <c r="EM51">
        <f ca="1">'JACOBIAN - SWAP USD3ML'!K60</f>
        <v>2.91945096674018E-8</v>
      </c>
      <c r="EN51">
        <f ca="1">'JACOBIAN - SWAP USD3ML'!L60</f>
        <v>2.9103318435752501E-8</v>
      </c>
      <c r="EO51">
        <f ca="1">'JACOBIAN - SWAP USD3ML'!M60</f>
        <v>2.8834461849452901E-8</v>
      </c>
      <c r="EP51">
        <f ca="1">'JACOBIAN - SWAP USD3ML'!N60</f>
        <v>6.2550407929629097E-8</v>
      </c>
      <c r="EQ51">
        <f ca="1">'JACOBIAN - SWAP USD3ML'!O60</f>
        <v>-1.5152811085016E-6</v>
      </c>
      <c r="ER51">
        <f ca="1">'JACOBIAN - SWAP USD3ML'!P60</f>
        <v>7.33320845541785E-6</v>
      </c>
      <c r="ES51">
        <f ca="1">'JACOBIAN - SWAP USD3ML'!Q60</f>
        <v>-1.8269538529926799E-5</v>
      </c>
      <c r="ET51">
        <f ca="1">'JACOBIAN - SWAP USD3ML'!R60</f>
        <v>1.6119827427874E-4</v>
      </c>
      <c r="EU51">
        <f ca="1">'JACOBIAN - SWAP USD3ML'!S60</f>
        <v>-8.9110449096487302E-4</v>
      </c>
      <c r="EV51">
        <f ca="1">'JACOBIAN - SWAP USD3ML'!T60</f>
        <v>4.6695614663235999E-4</v>
      </c>
      <c r="EW51">
        <f ca="1">'JACOBIAN - SWAP USD3ML'!U60</f>
        <v>4.1427005383044098E-4</v>
      </c>
      <c r="EX51">
        <f ca="1">'JACOBIAN - SWAP USD3ML'!V60</f>
        <v>-4.8360138225386802E-5</v>
      </c>
      <c r="EY51">
        <f ca="1">'JACOBIAN - SWAP USD3ML'!W60</f>
        <v>8.5680004207958105E-6</v>
      </c>
      <c r="EZ51">
        <f ca="1">'JACOBIAN - SWAP USD3ML'!X60</f>
        <v>-1.6982585579576599E-6</v>
      </c>
      <c r="FA51">
        <f ca="1">'JACOBIAN - SWAP USD3ML'!Y60</f>
        <v>5.4361383350701197E-7</v>
      </c>
      <c r="FB51">
        <f ca="1">'JACOBIAN - SWAP USD3ML'!Z60</f>
        <v>-1.1066389475275499E-7</v>
      </c>
    </row>
    <row r="52" spans="24:158" x14ac:dyDescent="0.25">
      <c r="X52" s="258">
        <f t="shared" ca="1" si="42"/>
        <v>47105</v>
      </c>
      <c r="Y52" s="261">
        <v>0</v>
      </c>
      <c r="AA52" s="257">
        <f t="shared" ca="1" si="35"/>
        <v>47105</v>
      </c>
      <c r="AB52" s="266">
        <f t="shared" ca="1" si="43"/>
        <v>-7.8644783883341583E-4</v>
      </c>
      <c r="AC52" s="266"/>
      <c r="AD52" s="290">
        <f ca="1"/>
        <v>47105</v>
      </c>
      <c r="AE52" s="291">
        <f ca="1"/>
        <v>-7.8644783883341507E-4</v>
      </c>
      <c r="AF52" s="291" t="b">
        <f t="shared" ca="1" si="36"/>
        <v>1</v>
      </c>
      <c r="AH52" s="257">
        <f t="shared" ca="1" si="44"/>
        <v>47105</v>
      </c>
      <c r="AI52" s="260">
        <v>0</v>
      </c>
      <c r="AK52" s="290">
        <f ca="1"/>
        <v>47105</v>
      </c>
      <c r="AL52" s="291">
        <f ca="1"/>
        <v>9.8162829136404228E-5</v>
      </c>
      <c r="AM52" s="291" t="b">
        <f t="shared" ca="1" si="45"/>
        <v>1</v>
      </c>
      <c r="AO52" s="257">
        <f t="shared" ca="1" si="46"/>
        <v>47105</v>
      </c>
      <c r="AP52" s="266">
        <f t="shared" ca="1" si="38"/>
        <v>9.8162829136403781E-5</v>
      </c>
      <c r="AR52" s="248">
        <f ca="1">'JACOBIAN - OIS USDOIS'!B61</f>
        <v>47105</v>
      </c>
      <c r="AS52">
        <f ca="1">'JACOBIAN - OIS USDOIS'!C61</f>
        <v>-9.7372530549755296E-7</v>
      </c>
      <c r="AT52">
        <f ca="1">'JACOBIAN - OIS USDOIS'!D61</f>
        <v>7.0904948579197904E-10</v>
      </c>
      <c r="AU52">
        <f ca="1">'JACOBIAN - OIS USDOIS'!E61</f>
        <v>-2.8360368498070402E-9</v>
      </c>
      <c r="AV52">
        <f ca="1">'JACOBIAN - OIS USDOIS'!F61</f>
        <v>7.4703230268369192E-9</v>
      </c>
      <c r="AW52">
        <f ca="1">'JACOBIAN - OIS USDOIS'!G61</f>
        <v>-9.61487867101596E-9</v>
      </c>
      <c r="AX52">
        <f ca="1">'JACOBIAN - OIS USDOIS'!H61</f>
        <v>2.1745089173741399E-8</v>
      </c>
      <c r="AY52">
        <f ca="1">'JACOBIAN - OIS USDOIS'!I61</f>
        <v>-8.6016383682441205E-8</v>
      </c>
      <c r="AZ52">
        <f ca="1">'JACOBIAN - OIS USDOIS'!J61</f>
        <v>2.6576628830987701E-7</v>
      </c>
      <c r="BA52">
        <f ca="1">'JACOBIAN - OIS USDOIS'!K61</f>
        <v>-1.0231482105993501E-6</v>
      </c>
      <c r="BB52">
        <f ca="1">'JACOBIAN - OIS USDOIS'!L61</f>
        <v>1.8992160033537399E-6</v>
      </c>
      <c r="BC52">
        <f ca="1">'JACOBIAN - OIS USDOIS'!M61</f>
        <v>-3.2918449970331699E-6</v>
      </c>
      <c r="BD52">
        <f ca="1">'JACOBIAN - OIS USDOIS'!N61</f>
        <v>6.7668093350903301E-13</v>
      </c>
      <c r="BE52">
        <f ca="1">'JACOBIAN - OIS USDOIS'!O61</f>
        <v>6.7668093350903301E-13</v>
      </c>
      <c r="BF52">
        <f ca="1">'JACOBIAN - OIS USDOIS'!P61</f>
        <v>6.7668093350903301E-13</v>
      </c>
      <c r="BG52">
        <f ca="1">'JACOBIAN - OIS USDOIS'!Q61</f>
        <v>6.7668093350903301E-13</v>
      </c>
      <c r="BH52">
        <f ca="1">'JACOBIAN - OIS USDOIS'!R61</f>
        <v>6.7668093350903301E-13</v>
      </c>
      <c r="BI52" s="161">
        <f ca="1">'JACOBIAN - OIS USDOIS'!S61</f>
        <v>-5.04977199655698E-6</v>
      </c>
      <c r="BJ52" s="161">
        <f ca="1">'JACOBIAN - OIS USDOIS'!T61</f>
        <v>3.4126663035483101E-6</v>
      </c>
      <c r="BK52" s="161">
        <f ca="1">'JACOBIAN - OIS USDOIS'!U61</f>
        <v>-2.7270480563057499E-5</v>
      </c>
      <c r="BL52" s="161">
        <f ca="1">'JACOBIAN - OIS USDOIS'!V61</f>
        <v>8.5053773227095105E-5</v>
      </c>
      <c r="BM52" s="161">
        <f ca="1">'JACOBIAN - OIS USDOIS'!W61</f>
        <v>-1.89031565411613E-4</v>
      </c>
      <c r="BN52" s="161">
        <f ca="1">'JACOBIAN - OIS USDOIS'!X61</f>
        <v>3.3711640414724197E-4</v>
      </c>
      <c r="BO52" s="161">
        <f ca="1">'JACOBIAN - OIS USDOIS'!Y61</f>
        <v>7.4166247531382002E-4</v>
      </c>
      <c r="BP52" s="161">
        <f ca="1">'JACOBIAN - OIS USDOIS'!Z61</f>
        <v>-1.7078529904790399E-4</v>
      </c>
      <c r="BQ52" s="161">
        <f ca="1">'JACOBIAN - OIS USDOIS'!AA61</f>
        <v>2.4261362048805199E-5</v>
      </c>
      <c r="BR52" s="161">
        <f ca="1">'JACOBIAN - OIS USDOIS'!AB61</f>
        <v>-3.6205051021642702E-6</v>
      </c>
      <c r="BS52" s="161">
        <f ca="1">'JACOBIAN - OIS USDOIS'!AC61</f>
        <v>9.2830961095913299E-7</v>
      </c>
      <c r="BT52" s="161">
        <f ca="1">'JACOBIAN - OIS USDOIS'!AD61</f>
        <v>-1.5784666607121501E-7</v>
      </c>
      <c r="BU52">
        <f ca="1">'JACOBIAN - OIS USDOIS'!AE61</f>
        <v>4.9580447792907404E-6</v>
      </c>
      <c r="BV52">
        <f ca="1">'JACOBIAN - OIS USDOIS'!AF61</f>
        <v>-3.3563195742658502E-6</v>
      </c>
      <c r="BW52">
        <f ca="1">'JACOBIAN - OIS USDOIS'!AG61</f>
        <v>2.6833254370361999E-5</v>
      </c>
      <c r="BX52">
        <f ca="1">'JACOBIAN - OIS USDOIS'!AH61</f>
        <v>-8.37081248745708E-5</v>
      </c>
      <c r="BY52">
        <f ca="1">'JACOBIAN - OIS USDOIS'!AI61</f>
        <v>1.8602687519808601E-4</v>
      </c>
      <c r="BZ52">
        <f ca="1">'JACOBIAN - OIS USDOIS'!AJ61</f>
        <v>-3.3170841698004799E-4</v>
      </c>
      <c r="CA52">
        <f ca="1">'JACOBIAN - OIS USDOIS'!AK61</f>
        <v>-7.2943828727434201E-4</v>
      </c>
      <c r="CB52">
        <f ca="1">'JACOBIAN - OIS USDOIS'!AL61</f>
        <v>1.68224793691829E-4</v>
      </c>
      <c r="CC52">
        <f ca="1">'JACOBIAN - OIS USDOIS'!AM61</f>
        <v>-2.3895153823727499E-5</v>
      </c>
      <c r="CD52">
        <f ca="1">'JACOBIAN - OIS USDOIS'!AN61</f>
        <v>3.5672468488012801E-6</v>
      </c>
      <c r="CE52">
        <f ca="1">'JACOBIAN - OIS USDOIS'!AO61</f>
        <v>-9.1524397383135902E-7</v>
      </c>
      <c r="CF52">
        <f ca="1">'JACOBIAN - OIS USDOIS'!AP61</f>
        <v>1.5576845457942999E-7</v>
      </c>
      <c r="CK52" s="248">
        <f t="shared" ca="1" si="47"/>
        <v>47105</v>
      </c>
      <c r="CL52">
        <f t="shared" ca="1" si="48"/>
        <v>-9.7372530549755296E-7</v>
      </c>
      <c r="CM52">
        <f t="shared" ca="1" si="49"/>
        <v>7.0904948579197904E-10</v>
      </c>
      <c r="CN52">
        <f t="shared" ca="1" si="50"/>
        <v>-2.8360368498070402E-9</v>
      </c>
      <c r="CO52">
        <f t="shared" ca="1" si="51"/>
        <v>7.4703230268369192E-9</v>
      </c>
      <c r="CP52">
        <f t="shared" ca="1" si="52"/>
        <v>-9.61487867101596E-9</v>
      </c>
      <c r="CQ52">
        <f t="shared" ca="1" si="53"/>
        <v>2.1745089173741399E-8</v>
      </c>
      <c r="CR52">
        <f t="shared" ca="1" si="54"/>
        <v>-8.6016383682441205E-8</v>
      </c>
      <c r="CS52">
        <f t="shared" ca="1" si="55"/>
        <v>2.6576628830987701E-7</v>
      </c>
      <c r="CT52">
        <f t="shared" ca="1" si="56"/>
        <v>-1.0231482105993501E-6</v>
      </c>
      <c r="CU52">
        <f t="shared" ca="1" si="57"/>
        <v>1.8992160033537399E-6</v>
      </c>
      <c r="CV52">
        <f t="shared" ca="1" si="58"/>
        <v>-3.2918449970331699E-6</v>
      </c>
      <c r="CW52">
        <f t="shared" ca="1" si="59"/>
        <v>6.7668093350903301E-13</v>
      </c>
      <c r="CX52">
        <f t="shared" ca="1" si="60"/>
        <v>6.7668093350903301E-13</v>
      </c>
      <c r="CY52">
        <f t="shared" ca="1" si="61"/>
        <v>6.7668093350903301E-13</v>
      </c>
      <c r="CZ52">
        <f t="shared" ca="1" si="62"/>
        <v>6.7668093350903301E-13</v>
      </c>
      <c r="DA52">
        <f t="shared" ca="1" si="63"/>
        <v>6.7668093350903301E-13</v>
      </c>
      <c r="DB52" s="146">
        <v>0</v>
      </c>
      <c r="DC52" s="146">
        <v>0</v>
      </c>
      <c r="DD52" s="146">
        <v>0</v>
      </c>
      <c r="DE52" s="146">
        <v>0</v>
      </c>
      <c r="DF52" s="146">
        <v>0</v>
      </c>
      <c r="DG52" s="146">
        <v>0</v>
      </c>
      <c r="DH52" s="146">
        <v>0</v>
      </c>
      <c r="DI52" s="146">
        <v>0</v>
      </c>
      <c r="DJ52" s="146">
        <v>0</v>
      </c>
      <c r="DK52" s="146">
        <v>0</v>
      </c>
      <c r="DL52" s="146">
        <v>0</v>
      </c>
      <c r="DM52" s="146">
        <v>0</v>
      </c>
      <c r="DN52">
        <f t="shared" ca="1" si="64"/>
        <v>4.9580447792907404E-6</v>
      </c>
      <c r="DO52">
        <f t="shared" ca="1" si="65"/>
        <v>-3.3563195742658502E-6</v>
      </c>
      <c r="DP52">
        <f t="shared" ca="1" si="66"/>
        <v>2.6833254370361999E-5</v>
      </c>
      <c r="DQ52">
        <f t="shared" ca="1" si="67"/>
        <v>-8.37081248745708E-5</v>
      </c>
      <c r="DR52">
        <f t="shared" ca="1" si="68"/>
        <v>1.8602687519808601E-4</v>
      </c>
      <c r="DS52">
        <f t="shared" ca="1" si="69"/>
        <v>-3.3170841698004799E-4</v>
      </c>
      <c r="DT52">
        <f t="shared" ca="1" si="70"/>
        <v>-7.2943828727434201E-4</v>
      </c>
      <c r="DU52">
        <f t="shared" ca="1" si="71"/>
        <v>1.68224793691829E-4</v>
      </c>
      <c r="DV52">
        <f t="shared" ca="1" si="72"/>
        <v>-2.3895153823727499E-5</v>
      </c>
      <c r="DW52">
        <f t="shared" ca="1" si="73"/>
        <v>3.5672468488012801E-6</v>
      </c>
      <c r="DX52">
        <f t="shared" ca="1" si="74"/>
        <v>-9.1524397383135902E-7</v>
      </c>
      <c r="DY52">
        <f t="shared" ca="1" si="75"/>
        <v>1.5576845457942999E-7</v>
      </c>
      <c r="ED52" s="248">
        <f ca="1">'JACOBIAN - SWAP USD3ML'!B61</f>
        <v>47105</v>
      </c>
      <c r="EE52">
        <f ca="1">'JACOBIAN - SWAP USD3ML'!C61</f>
        <v>-1.00930375168673E-12</v>
      </c>
      <c r="EF52">
        <f ca="1">'JACOBIAN - SWAP USD3ML'!D61</f>
        <v>1.4906226582928101E-8</v>
      </c>
      <c r="EG52">
        <f ca="1">'JACOBIAN - SWAP USD3ML'!E61</f>
        <v>-2.2455884374217299E-11</v>
      </c>
      <c r="EH52">
        <f ca="1">'JACOBIAN - SWAP USD3ML'!F61</f>
        <v>-1.00842598160789E-12</v>
      </c>
      <c r="EI52">
        <f ca="1">'JACOBIAN - SWAP USD3ML'!G61</f>
        <v>1.6206289088494001E-10</v>
      </c>
      <c r="EJ52">
        <f ca="1">'JACOBIAN - SWAP USD3ML'!H61</f>
        <v>1.4847840758974699E-8</v>
      </c>
      <c r="EK52">
        <f ca="1">'JACOBIAN - SWAP USD3ML'!I61</f>
        <v>1.47733921797288E-8</v>
      </c>
      <c r="EL52">
        <f ca="1">'JACOBIAN - SWAP USD3ML'!J61</f>
        <v>1.4724882410610501E-8</v>
      </c>
      <c r="EM52">
        <f ca="1">'JACOBIAN - SWAP USD3ML'!K61</f>
        <v>1.4678253338479299E-8</v>
      </c>
      <c r="EN52">
        <f ca="1">'JACOBIAN - SWAP USD3ML'!L61</f>
        <v>1.4632363012218E-8</v>
      </c>
      <c r="EO52">
        <f ca="1">'JACOBIAN - SWAP USD3ML'!M61</f>
        <v>1.4497228910392801E-8</v>
      </c>
      <c r="EP52">
        <f ca="1">'JACOBIAN - SWAP USD3ML'!N61</f>
        <v>3.1452604916382099E-8</v>
      </c>
      <c r="EQ52">
        <f ca="1">'JACOBIAN - SWAP USD3ML'!O61</f>
        <v>-7.6193807395375E-7</v>
      </c>
      <c r="ER52">
        <f ca="1">'JACOBIAN - SWAP USD3ML'!P61</f>
        <v>3.6873941535314801E-6</v>
      </c>
      <c r="ES52">
        <f ca="1">'JACOBIAN - SWAP USD3ML'!Q61</f>
        <v>-9.1865852876460396E-6</v>
      </c>
      <c r="ET52">
        <f ca="1">'JACOBIAN - SWAP USD3ML'!R61</f>
        <v>8.1055324697428696E-5</v>
      </c>
      <c r="EU52">
        <f ca="1">'JACOBIAN - SWAP USD3ML'!S61</f>
        <v>-4.2225546848611802E-4</v>
      </c>
      <c r="EV52">
        <f ca="1">'JACOBIAN - SWAP USD3ML'!T61</f>
        <v>-3.8198248519238898E-4</v>
      </c>
      <c r="EW52">
        <f ca="1">'JACOBIAN - SWAP USD3ML'!U61</f>
        <v>9.1119459434795295E-4</v>
      </c>
      <c r="EX52">
        <f ca="1">'JACOBIAN - SWAP USD3ML'!V61</f>
        <v>-9.8614164657471998E-5</v>
      </c>
      <c r="EY52">
        <f ca="1">'JACOBIAN - SWAP USD3ML'!W61</f>
        <v>1.7471683578587601E-5</v>
      </c>
      <c r="EZ52">
        <f ca="1">'JACOBIAN - SWAP USD3ML'!X61</f>
        <v>-3.4630507173977199E-6</v>
      </c>
      <c r="FA52">
        <f ca="1">'JACOBIAN - SWAP USD3ML'!Y61</f>
        <v>1.1085300115204501E-6</v>
      </c>
      <c r="FB52">
        <f ca="1">'JACOBIAN - SWAP USD3ML'!Z61</f>
        <v>-2.2565561902734801E-7</v>
      </c>
    </row>
    <row r="53" spans="24:158" x14ac:dyDescent="0.25">
      <c r="X53" s="258">
        <f t="shared" ca="1" si="42"/>
        <v>47196</v>
      </c>
      <c r="Y53" s="261">
        <v>0</v>
      </c>
      <c r="AA53" s="257">
        <f t="shared" ca="1" si="35"/>
        <v>47196</v>
      </c>
      <c r="AB53" s="266">
        <f t="shared" ca="1" si="43"/>
        <v>-8.0482898273770464E-4</v>
      </c>
      <c r="AC53" s="266"/>
      <c r="AD53" s="290">
        <f ca="1"/>
        <v>47196</v>
      </c>
      <c r="AE53" s="291">
        <f ca="1"/>
        <v>-8.048289827377042E-4</v>
      </c>
      <c r="AF53" s="291" t="b">
        <f t="shared" ca="1" si="36"/>
        <v>1</v>
      </c>
      <c r="AH53" s="257">
        <f t="shared" ca="1" si="44"/>
        <v>47196</v>
      </c>
      <c r="AI53" s="260">
        <v>0</v>
      </c>
      <c r="AK53" s="290">
        <f ca="1"/>
        <v>47196</v>
      </c>
      <c r="AL53" s="291">
        <f ca="1"/>
        <v>9.841663774541598E-5</v>
      </c>
      <c r="AM53" s="291" t="b">
        <f t="shared" ca="1" si="45"/>
        <v>1</v>
      </c>
      <c r="AO53" s="257">
        <f t="shared" ca="1" si="46"/>
        <v>47196</v>
      </c>
      <c r="AP53" s="266">
        <f t="shared" ca="1" si="38"/>
        <v>9.8416637745415709E-5</v>
      </c>
      <c r="AR53" s="248">
        <f ca="1">'JACOBIAN - OIS USDOIS'!B62</f>
        <v>47196</v>
      </c>
      <c r="AS53">
        <f ca="1">'JACOBIAN - OIS USDOIS'!C62</f>
        <v>-9.6950757733082995E-7</v>
      </c>
      <c r="AT53">
        <f ca="1">'JACOBIAN - OIS USDOIS'!D62</f>
        <v>5.4358206824645105E-10</v>
      </c>
      <c r="AU53">
        <f ca="1">'JACOBIAN - OIS USDOIS'!E62</f>
        <v>-2.1743946643226801E-9</v>
      </c>
      <c r="AV53">
        <f ca="1">'JACOBIAN - OIS USDOIS'!F62</f>
        <v>5.72740888049594E-9</v>
      </c>
      <c r="AW53">
        <f ca="1">'JACOBIAN - OIS USDOIS'!G62</f>
        <v>-7.3714907511401903E-9</v>
      </c>
      <c r="AX53">
        <f ca="1">'JACOBIAN - OIS USDOIS'!H62</f>
        <v>1.667154669871E-8</v>
      </c>
      <c r="AY53">
        <f ca="1">'JACOBIAN - OIS USDOIS'!I62</f>
        <v>-6.8783849838105495E-8</v>
      </c>
      <c r="AZ53">
        <f ca="1">'JACOBIAN - OIS USDOIS'!J62</f>
        <v>2.0375819198559199E-7</v>
      </c>
      <c r="BA53">
        <f ca="1">'JACOBIAN - OIS USDOIS'!K62</f>
        <v>-7.8443090445468002E-7</v>
      </c>
      <c r="BB53">
        <f ca="1">'JACOBIAN - OIS USDOIS'!L62</f>
        <v>1.53804533831181E-6</v>
      </c>
      <c r="BC53">
        <f ca="1">'JACOBIAN - OIS USDOIS'!M62</f>
        <v>-2.5323524924791798E-6</v>
      </c>
      <c r="BD53">
        <f ca="1">'JACOBIAN - OIS USDOIS'!N62</f>
        <v>6.9277916736609798E-13</v>
      </c>
      <c r="BE53">
        <f ca="1">'JACOBIAN - OIS USDOIS'!O62</f>
        <v>6.9277916736609798E-13</v>
      </c>
      <c r="BF53">
        <f ca="1">'JACOBIAN - OIS USDOIS'!P62</f>
        <v>6.9277916736609798E-13</v>
      </c>
      <c r="BG53">
        <f ca="1">'JACOBIAN - OIS USDOIS'!Q62</f>
        <v>6.9277916736609798E-13</v>
      </c>
      <c r="BH53">
        <f ca="1">'JACOBIAN - OIS USDOIS'!R62</f>
        <v>6.9277916736609798E-13</v>
      </c>
      <c r="BI53" s="161">
        <f ca="1">'JACOBIAN - OIS USDOIS'!S62</f>
        <v>-4.0614821531503898E-6</v>
      </c>
      <c r="BJ53" s="161">
        <f ca="1">'JACOBIAN - OIS USDOIS'!T62</f>
        <v>1.719446767523E-6</v>
      </c>
      <c r="BK53" s="161">
        <f ca="1">'JACOBIAN - OIS USDOIS'!U62</f>
        <v>-2.1121862739947899E-5</v>
      </c>
      <c r="BL53" s="161">
        <f ca="1">'JACOBIAN - OIS USDOIS'!V62</f>
        <v>6.1946921735778204E-5</v>
      </c>
      <c r="BM53" s="161">
        <f ca="1">'JACOBIAN - OIS USDOIS'!W62</f>
        <v>-1.42867296454519E-4</v>
      </c>
      <c r="BN53" s="161">
        <f ca="1">'JACOBIAN - OIS USDOIS'!X62</f>
        <v>2.3424175306563399E-4</v>
      </c>
      <c r="BO53" s="161">
        <f ca="1">'JACOBIAN - OIS USDOIS'!Y62</f>
        <v>8.2582648846019101E-4</v>
      </c>
      <c r="BP53" s="161">
        <f ca="1">'JACOBIAN - OIS USDOIS'!Z62</f>
        <v>-1.59861797441319E-4</v>
      </c>
      <c r="BQ53" s="161">
        <f ca="1">'JACOBIAN - OIS USDOIS'!AA62</f>
        <v>2.27094372757808E-5</v>
      </c>
      <c r="BR53" s="161">
        <f ca="1">'JACOBIAN - OIS USDOIS'!AB62</f>
        <v>-3.38891589757306E-6</v>
      </c>
      <c r="BS53" s="161">
        <f ca="1">'JACOBIAN - OIS USDOIS'!AC62</f>
        <v>8.6892923378822897E-7</v>
      </c>
      <c r="BT53" s="161">
        <f ca="1">'JACOBIAN - OIS USDOIS'!AD62</f>
        <v>-1.4774979439913201E-7</v>
      </c>
      <c r="BU53">
        <f ca="1">'JACOBIAN - OIS USDOIS'!AE62</f>
        <v>3.98764337639079E-6</v>
      </c>
      <c r="BV53">
        <f ca="1">'JACOBIAN - OIS USDOIS'!AF62</f>
        <v>-1.69127108939904E-6</v>
      </c>
      <c r="BW53">
        <f ca="1">'JACOBIAN - OIS USDOIS'!AG62</f>
        <v>2.0782986106304701E-5</v>
      </c>
      <c r="BX53">
        <f ca="1">'JACOBIAN - OIS USDOIS'!AH62</f>
        <v>-6.0969037757652201E-5</v>
      </c>
      <c r="BY53">
        <f ca="1">'JACOBIAN - OIS USDOIS'!AI62</f>
        <v>1.4058716217046899E-4</v>
      </c>
      <c r="BZ53">
        <f ca="1">'JACOBIAN - OIS USDOIS'!AJ62</f>
        <v>-2.3051600328094499E-4</v>
      </c>
      <c r="CA53">
        <f ca="1">'JACOBIAN - OIS USDOIS'!AK62</f>
        <v>-8.1213523182865899E-4</v>
      </c>
      <c r="CB53">
        <f ca="1">'JACOBIAN - OIS USDOIS'!AL62</f>
        <v>1.5746316468567801E-4</v>
      </c>
      <c r="CC53">
        <f ca="1">'JACOBIAN - OIS USDOIS'!AM62</f>
        <v>-2.2366692592479301E-5</v>
      </c>
      <c r="CD53">
        <f ca="1">'JACOBIAN - OIS USDOIS'!AN62</f>
        <v>3.3390634482932698E-6</v>
      </c>
      <c r="CE53">
        <f ca="1">'JACOBIAN - OIS USDOIS'!AO62</f>
        <v>-8.5669931404463995E-7</v>
      </c>
      <c r="CF53">
        <f ca="1">'JACOBIAN - OIS USDOIS'!AP62</f>
        <v>1.4580451601631199E-7</v>
      </c>
      <c r="CK53" s="248">
        <f t="shared" ca="1" si="47"/>
        <v>47196</v>
      </c>
      <c r="CL53">
        <f t="shared" ca="1" si="48"/>
        <v>-9.6950757733082995E-7</v>
      </c>
      <c r="CM53">
        <f t="shared" ca="1" si="49"/>
        <v>5.4358206824645105E-10</v>
      </c>
      <c r="CN53">
        <f t="shared" ca="1" si="50"/>
        <v>-2.1743946643226801E-9</v>
      </c>
      <c r="CO53">
        <f t="shared" ca="1" si="51"/>
        <v>5.72740888049594E-9</v>
      </c>
      <c r="CP53">
        <f t="shared" ca="1" si="52"/>
        <v>-7.3714907511401903E-9</v>
      </c>
      <c r="CQ53">
        <f t="shared" ca="1" si="53"/>
        <v>1.667154669871E-8</v>
      </c>
      <c r="CR53">
        <f t="shared" ca="1" si="54"/>
        <v>-6.8783849838105495E-8</v>
      </c>
      <c r="CS53">
        <f t="shared" ca="1" si="55"/>
        <v>2.0375819198559199E-7</v>
      </c>
      <c r="CT53">
        <f t="shared" ca="1" si="56"/>
        <v>-7.8443090445468002E-7</v>
      </c>
      <c r="CU53">
        <f t="shared" ca="1" si="57"/>
        <v>1.53804533831181E-6</v>
      </c>
      <c r="CV53">
        <f t="shared" ca="1" si="58"/>
        <v>-2.5323524924791798E-6</v>
      </c>
      <c r="CW53">
        <f t="shared" ca="1" si="59"/>
        <v>6.9277916736609798E-13</v>
      </c>
      <c r="CX53">
        <f t="shared" ca="1" si="60"/>
        <v>6.9277916736609798E-13</v>
      </c>
      <c r="CY53">
        <f t="shared" ca="1" si="61"/>
        <v>6.9277916736609798E-13</v>
      </c>
      <c r="CZ53">
        <f t="shared" ca="1" si="62"/>
        <v>6.9277916736609798E-13</v>
      </c>
      <c r="DA53">
        <f t="shared" ca="1" si="63"/>
        <v>6.9277916736609798E-13</v>
      </c>
      <c r="DB53" s="146">
        <v>0</v>
      </c>
      <c r="DC53" s="146">
        <v>0</v>
      </c>
      <c r="DD53" s="146">
        <v>0</v>
      </c>
      <c r="DE53" s="146">
        <v>0</v>
      </c>
      <c r="DF53" s="146">
        <v>0</v>
      </c>
      <c r="DG53" s="146">
        <v>0</v>
      </c>
      <c r="DH53" s="146">
        <v>0</v>
      </c>
      <c r="DI53" s="146">
        <v>0</v>
      </c>
      <c r="DJ53" s="146">
        <v>0</v>
      </c>
      <c r="DK53" s="146">
        <v>0</v>
      </c>
      <c r="DL53" s="146">
        <v>0</v>
      </c>
      <c r="DM53" s="146">
        <v>0</v>
      </c>
      <c r="DN53">
        <f t="shared" ca="1" si="64"/>
        <v>3.98764337639079E-6</v>
      </c>
      <c r="DO53">
        <f t="shared" ca="1" si="65"/>
        <v>-1.69127108939904E-6</v>
      </c>
      <c r="DP53">
        <f t="shared" ca="1" si="66"/>
        <v>2.0782986106304701E-5</v>
      </c>
      <c r="DQ53">
        <f t="shared" ca="1" si="67"/>
        <v>-6.0969037757652201E-5</v>
      </c>
      <c r="DR53">
        <f t="shared" ca="1" si="68"/>
        <v>1.4058716217046899E-4</v>
      </c>
      <c r="DS53">
        <f t="shared" ca="1" si="69"/>
        <v>-2.3051600328094499E-4</v>
      </c>
      <c r="DT53">
        <f t="shared" ca="1" si="70"/>
        <v>-8.1213523182865899E-4</v>
      </c>
      <c r="DU53">
        <f t="shared" ca="1" si="71"/>
        <v>1.5746316468567801E-4</v>
      </c>
      <c r="DV53">
        <f t="shared" ca="1" si="72"/>
        <v>-2.2366692592479301E-5</v>
      </c>
      <c r="DW53">
        <f t="shared" ca="1" si="73"/>
        <v>3.3390634482932698E-6</v>
      </c>
      <c r="DX53">
        <f t="shared" ca="1" si="74"/>
        <v>-8.5669931404463995E-7</v>
      </c>
      <c r="DY53">
        <f t="shared" ca="1" si="75"/>
        <v>1.4580451601631199E-7</v>
      </c>
      <c r="ED53" s="248">
        <f ca="1">'JACOBIAN - SWAP USD3ML'!B62</f>
        <v>47196</v>
      </c>
      <c r="EE53">
        <f ca="1">'JACOBIAN - SWAP USD3ML'!C62</f>
        <v>-1.0513326320626999E-12</v>
      </c>
      <c r="EF53">
        <f ca="1">'JACOBIAN - SWAP USD3ML'!D62</f>
        <v>1.06647821129791E-9</v>
      </c>
      <c r="EG53">
        <f ca="1">'JACOBIAN - SWAP USD3ML'!E62</f>
        <v>-2.2997256876600099E-11</v>
      </c>
      <c r="EH53">
        <f ca="1">'JACOBIAN - SWAP USD3ML'!F62</f>
        <v>-1.0504652703247099E-12</v>
      </c>
      <c r="EI53">
        <f ca="1">'JACOBIAN - SWAP USD3ML'!G62</f>
        <v>1.05993477883537E-11</v>
      </c>
      <c r="EJ53">
        <f ca="1">'JACOBIAN - SWAP USD3ML'!H62</f>
        <v>1.0595915429789701E-9</v>
      </c>
      <c r="EK53">
        <f ca="1">'JACOBIAN - SWAP USD3ML'!I62</f>
        <v>1.0343369633014601E-9</v>
      </c>
      <c r="EL53">
        <f ca="1">'JACOBIAN - SWAP USD3ML'!J62</f>
        <v>1.0311542904262201E-9</v>
      </c>
      <c r="EM53">
        <f ca="1">'JACOBIAN - SWAP USD3ML'!K62</f>
        <v>1.02806285012802E-9</v>
      </c>
      <c r="EN53">
        <f ca="1">'JACOBIAN - SWAP USD3ML'!L62</f>
        <v>1.02478112801174E-9</v>
      </c>
      <c r="EO53">
        <f ca="1">'JACOBIAN - SWAP USD3ML'!M62</f>
        <v>1.01538429747583E-9</v>
      </c>
      <c r="EP53">
        <f ca="1">'JACOBIAN - SWAP USD3ML'!N62</f>
        <v>2.20931707650696E-9</v>
      </c>
      <c r="EQ53">
        <f ca="1">'JACOBIAN - SWAP USD3ML'!O62</f>
        <v>-5.3520358579001197E-8</v>
      </c>
      <c r="ER53">
        <f ca="1">'JACOBIAN - SWAP USD3ML'!P62</f>
        <v>2.5900111533597202E-7</v>
      </c>
      <c r="ES53">
        <f ca="1">'JACOBIAN - SWAP USD3ML'!Q62</f>
        <v>-6.4527729073254901E-7</v>
      </c>
      <c r="ET53">
        <f ca="1">'JACOBIAN - SWAP USD3ML'!R62</f>
        <v>5.6929788048928898E-6</v>
      </c>
      <c r="EU53">
        <f ca="1">'JACOBIAN - SWAP USD3ML'!S62</f>
        <v>-2.9669904077080099E-5</v>
      </c>
      <c r="EV53">
        <f ca="1">'JACOBIAN - SWAP USD3ML'!T62</f>
        <v>-1.0056853947224399E-3</v>
      </c>
      <c r="EW53">
        <f ca="1">'JACOBIAN - SWAP USD3ML'!U62</f>
        <v>1.20113604460278E-3</v>
      </c>
      <c r="EX53">
        <f ca="1">'JACOBIAN - SWAP USD3ML'!V62</f>
        <v>-8.5544516652064805E-5</v>
      </c>
      <c r="EY53">
        <f ca="1">'JACOBIAN - SWAP USD3ML'!W62</f>
        <v>1.5155964550327801E-5</v>
      </c>
      <c r="EZ53">
        <f ca="1">'JACOBIAN - SWAP USD3ML'!X62</f>
        <v>-3.0040556242561001E-6</v>
      </c>
      <c r="FA53">
        <f ca="1">'JACOBIAN - SWAP USD3ML'!Y62</f>
        <v>9.6160652223592491E-7</v>
      </c>
      <c r="FB53">
        <f ca="1">'JACOBIAN - SWAP USD3ML'!Z62</f>
        <v>-1.9574373165756601E-7</v>
      </c>
    </row>
    <row r="54" spans="24:158" x14ac:dyDescent="0.25">
      <c r="X54" s="258">
        <f t="shared" ca="1" si="42"/>
        <v>47287</v>
      </c>
      <c r="Y54" s="261">
        <v>0</v>
      </c>
      <c r="AA54" s="257">
        <f t="shared" ca="1" si="35"/>
        <v>47287</v>
      </c>
      <c r="AB54" s="266">
        <f t="shared" ca="1" si="43"/>
        <v>-8.2302454192884099E-4</v>
      </c>
      <c r="AC54" s="266"/>
      <c r="AD54" s="290">
        <f ca="1"/>
        <v>47287</v>
      </c>
      <c r="AE54" s="291">
        <f ca="1"/>
        <v>-8.2302454192884067E-4</v>
      </c>
      <c r="AF54" s="291" t="b">
        <f t="shared" ca="1" si="36"/>
        <v>1</v>
      </c>
      <c r="AH54" s="257">
        <f t="shared" ca="1" si="44"/>
        <v>47287</v>
      </c>
      <c r="AI54" s="260">
        <v>0</v>
      </c>
      <c r="AK54" s="290">
        <f ca="1"/>
        <v>47287</v>
      </c>
      <c r="AL54" s="291">
        <f ca="1"/>
        <v>9.8561501615895136E-5</v>
      </c>
      <c r="AM54" s="291" t="b">
        <f t="shared" ca="1" si="45"/>
        <v>1</v>
      </c>
      <c r="AO54" s="257">
        <f t="shared" ca="1" si="46"/>
        <v>47287</v>
      </c>
      <c r="AP54" s="266">
        <f t="shared" ca="1" si="38"/>
        <v>9.8561501615894486E-5</v>
      </c>
      <c r="AR54" s="248">
        <f ca="1">'JACOBIAN - OIS USDOIS'!B63</f>
        <v>47287</v>
      </c>
      <c r="AS54">
        <f ca="1">'JACOBIAN - OIS USDOIS'!C63</f>
        <v>-9.6527222759323905E-7</v>
      </c>
      <c r="AT54">
        <f ca="1">'JACOBIAN - OIS USDOIS'!D63</f>
        <v>3.68040709020079E-10</v>
      </c>
      <c r="AU54">
        <f ca="1">'JACOBIAN - OIS USDOIS'!E63</f>
        <v>-1.47244905157606E-9</v>
      </c>
      <c r="AV54">
        <f ca="1">'JACOBIAN - OIS USDOIS'!F63</f>
        <v>3.87833276604965E-9</v>
      </c>
      <c r="AW54">
        <f ca="1">'JACOBIAN - OIS USDOIS'!G63</f>
        <v>-4.9914600230849301E-9</v>
      </c>
      <c r="AX54">
        <f ca="1">'JACOBIAN - OIS USDOIS'!H63</f>
        <v>1.12889841918928E-8</v>
      </c>
      <c r="AY54">
        <f ca="1">'JACOBIAN - OIS USDOIS'!I63</f>
        <v>-5.0505872151163102E-8</v>
      </c>
      <c r="AZ54">
        <f ca="1">'JACOBIAN - OIS USDOIS'!J63</f>
        <v>1.3797328468623201E-7</v>
      </c>
      <c r="BA54">
        <f ca="1">'JACOBIAN - OIS USDOIS'!K63</f>
        <v>-5.3117363940646801E-7</v>
      </c>
      <c r="BB54">
        <f ca="1">'JACOBIAN - OIS USDOIS'!L63</f>
        <v>1.15486057761238E-6</v>
      </c>
      <c r="BC54">
        <f ca="1">'JACOBIAN - OIS USDOIS'!M63</f>
        <v>-1.72661233632798E-6</v>
      </c>
      <c r="BD54">
        <f ca="1">'JACOBIAN - OIS USDOIS'!N63</f>
        <v>7.0321526379757395E-13</v>
      </c>
      <c r="BE54">
        <f ca="1">'JACOBIAN - OIS USDOIS'!O63</f>
        <v>7.0321526379757395E-13</v>
      </c>
      <c r="BF54">
        <f ca="1">'JACOBIAN - OIS USDOIS'!P63</f>
        <v>7.0321526379757395E-13</v>
      </c>
      <c r="BG54">
        <f ca="1">'JACOBIAN - OIS USDOIS'!Q63</f>
        <v>7.0321526379757395E-13</v>
      </c>
      <c r="BH54">
        <f ca="1">'JACOBIAN - OIS USDOIS'!R63</f>
        <v>7.0321526379757395E-13</v>
      </c>
      <c r="BI54" s="161">
        <f ca="1">'JACOBIAN - OIS USDOIS'!S63</f>
        <v>-3.0129488050034702E-6</v>
      </c>
      <c r="BJ54" s="161">
        <f ca="1">'JACOBIAN - OIS USDOIS'!T63</f>
        <v>-7.6600775500423905E-8</v>
      </c>
      <c r="BK54" s="161">
        <f ca="1">'JACOBIAN - OIS USDOIS'!U63</f>
        <v>-1.45991373728949E-5</v>
      </c>
      <c r="BL54" s="161">
        <f ca="1">'JACOBIAN - OIS USDOIS'!V63</f>
        <v>3.7437376214422002E-5</v>
      </c>
      <c r="BM54" s="161">
        <f ca="1">'JACOBIAN - OIS USDOIS'!W63</f>
        <v>-9.3895548222366898E-5</v>
      </c>
      <c r="BN54" s="161">
        <f ca="1">'JACOBIAN - OIS USDOIS'!X63</f>
        <v>1.3450904459855201E-4</v>
      </c>
      <c r="BO54" s="161">
        <f ca="1">'JACOBIAN - OIS USDOIS'!Y63</f>
        <v>8.88367410297075E-4</v>
      </c>
      <c r="BP54" s="161">
        <f ca="1">'JACOBIAN - OIS USDOIS'!Z63</f>
        <v>-1.29978062185176E-4</v>
      </c>
      <c r="BQ54" s="161">
        <f ca="1">'JACOBIAN - OIS USDOIS'!AA63</f>
        <v>1.84638883576893E-5</v>
      </c>
      <c r="BR54" s="161">
        <f ca="1">'JACOBIAN - OIS USDOIS'!AB63</f>
        <v>-2.7553629651233502E-6</v>
      </c>
      <c r="BS54" s="161">
        <f ca="1">'JACOBIAN - OIS USDOIS'!AC63</f>
        <v>7.0648389460803397E-7</v>
      </c>
      <c r="BT54" s="161">
        <f ca="1">'JACOBIAN - OIS USDOIS'!AD63</f>
        <v>-1.20128043956669E-7</v>
      </c>
      <c r="BU54">
        <f ca="1">'JACOBIAN - OIS USDOIS'!AE63</f>
        <v>2.9580912369597799E-6</v>
      </c>
      <c r="BV54">
        <f ca="1">'JACOBIAN - OIS USDOIS'!AF63</f>
        <v>7.4901630675583406E-8</v>
      </c>
      <c r="BW54">
        <f ca="1">'JACOBIAN - OIS USDOIS'!AG63</f>
        <v>1.43646846317846E-5</v>
      </c>
      <c r="BX54">
        <f ca="1">'JACOBIAN - OIS USDOIS'!AH63</f>
        <v>-3.6848301097180998E-5</v>
      </c>
      <c r="BY54">
        <f ca="1">'JACOBIAN - OIS USDOIS'!AI63</f>
        <v>9.2389126459702098E-5</v>
      </c>
      <c r="BZ54">
        <f ca="1">'JACOBIAN - OIS USDOIS'!AJ63</f>
        <v>-1.32391930702247E-4</v>
      </c>
      <c r="CA54">
        <f ca="1">'JACOBIAN - OIS USDOIS'!AK63</f>
        <v>-8.7357441024160697E-4</v>
      </c>
      <c r="CB54">
        <f ca="1">'JACOBIAN - OIS USDOIS'!AL63</f>
        <v>1.2802342564222099E-4</v>
      </c>
      <c r="CC54">
        <f ca="1">'JACOBIAN - OIS USDOIS'!AM63</f>
        <v>-1.8185308741758301E-5</v>
      </c>
      <c r="CD54">
        <f ca="1">'JACOBIAN - OIS USDOIS'!AN63</f>
        <v>2.7148282888411799E-6</v>
      </c>
      <c r="CE54">
        <f ca="1">'JACOBIAN - OIS USDOIS'!AO63</f>
        <v>-6.9654026113585801E-7</v>
      </c>
      <c r="CF54">
        <f ca="1">'JACOBIAN - OIS USDOIS'!AP63</f>
        <v>1.18546473415471E-7</v>
      </c>
      <c r="CK54" s="248">
        <f t="shared" ca="1" si="47"/>
        <v>47287</v>
      </c>
      <c r="CL54">
        <f t="shared" ca="1" si="48"/>
        <v>-9.6527222759323905E-7</v>
      </c>
      <c r="CM54">
        <f t="shared" ca="1" si="49"/>
        <v>3.68040709020079E-10</v>
      </c>
      <c r="CN54">
        <f t="shared" ca="1" si="50"/>
        <v>-1.47244905157606E-9</v>
      </c>
      <c r="CO54">
        <f t="shared" ca="1" si="51"/>
        <v>3.87833276604965E-9</v>
      </c>
      <c r="CP54">
        <f t="shared" ca="1" si="52"/>
        <v>-4.9914600230849301E-9</v>
      </c>
      <c r="CQ54">
        <f t="shared" ca="1" si="53"/>
        <v>1.12889841918928E-8</v>
      </c>
      <c r="CR54">
        <f t="shared" ca="1" si="54"/>
        <v>-5.0505872151163102E-8</v>
      </c>
      <c r="CS54">
        <f t="shared" ca="1" si="55"/>
        <v>1.3797328468623201E-7</v>
      </c>
      <c r="CT54">
        <f t="shared" ca="1" si="56"/>
        <v>-5.3117363940646801E-7</v>
      </c>
      <c r="CU54">
        <f t="shared" ca="1" si="57"/>
        <v>1.15486057761238E-6</v>
      </c>
      <c r="CV54">
        <f t="shared" ca="1" si="58"/>
        <v>-1.72661233632798E-6</v>
      </c>
      <c r="CW54">
        <f t="shared" ca="1" si="59"/>
        <v>7.0321526379757395E-13</v>
      </c>
      <c r="CX54">
        <f t="shared" ca="1" si="60"/>
        <v>7.0321526379757395E-13</v>
      </c>
      <c r="CY54">
        <f t="shared" ca="1" si="61"/>
        <v>7.0321526379757395E-13</v>
      </c>
      <c r="CZ54">
        <f t="shared" ca="1" si="62"/>
        <v>7.0321526379757395E-13</v>
      </c>
      <c r="DA54">
        <f t="shared" ca="1" si="63"/>
        <v>7.0321526379757395E-13</v>
      </c>
      <c r="DB54" s="146">
        <v>0</v>
      </c>
      <c r="DC54" s="146">
        <v>0</v>
      </c>
      <c r="DD54" s="146">
        <v>0</v>
      </c>
      <c r="DE54" s="146">
        <v>0</v>
      </c>
      <c r="DF54" s="146">
        <v>0</v>
      </c>
      <c r="DG54" s="146">
        <v>0</v>
      </c>
      <c r="DH54" s="146">
        <v>0</v>
      </c>
      <c r="DI54" s="146">
        <v>0</v>
      </c>
      <c r="DJ54" s="146">
        <v>0</v>
      </c>
      <c r="DK54" s="146">
        <v>0</v>
      </c>
      <c r="DL54" s="146">
        <v>0</v>
      </c>
      <c r="DM54" s="146">
        <v>0</v>
      </c>
      <c r="DN54">
        <f t="shared" ca="1" si="64"/>
        <v>2.9580912369597799E-6</v>
      </c>
      <c r="DO54">
        <f t="shared" ca="1" si="65"/>
        <v>7.4901630675583406E-8</v>
      </c>
      <c r="DP54">
        <f t="shared" ca="1" si="66"/>
        <v>1.43646846317846E-5</v>
      </c>
      <c r="DQ54">
        <f t="shared" ca="1" si="67"/>
        <v>-3.6848301097180998E-5</v>
      </c>
      <c r="DR54">
        <f t="shared" ca="1" si="68"/>
        <v>9.2389126459702098E-5</v>
      </c>
      <c r="DS54">
        <f t="shared" ca="1" si="69"/>
        <v>-1.32391930702247E-4</v>
      </c>
      <c r="DT54">
        <f t="shared" ca="1" si="70"/>
        <v>-8.7357441024160697E-4</v>
      </c>
      <c r="DU54">
        <f t="shared" ca="1" si="71"/>
        <v>1.2802342564222099E-4</v>
      </c>
      <c r="DV54">
        <f t="shared" ca="1" si="72"/>
        <v>-1.8185308741758301E-5</v>
      </c>
      <c r="DW54">
        <f t="shared" ca="1" si="73"/>
        <v>2.7148282888411799E-6</v>
      </c>
      <c r="DX54">
        <f t="shared" ca="1" si="74"/>
        <v>-6.9654026113585801E-7</v>
      </c>
      <c r="DY54">
        <f t="shared" ca="1" si="75"/>
        <v>1.18546473415471E-7</v>
      </c>
      <c r="ED54" s="248">
        <f ca="1">'JACOBIAN - SWAP USD3ML'!B63</f>
        <v>47287</v>
      </c>
      <c r="EE54">
        <f ca="1">'JACOBIAN - SWAP USD3ML'!C63</f>
        <v>-9.1665910972871205E-13</v>
      </c>
      <c r="EF54">
        <f ca="1">'JACOBIAN - SWAP USD3ML'!D63</f>
        <v>-6.9227580196118402E-9</v>
      </c>
      <c r="EG54">
        <f ca="1">'JACOBIAN - SWAP USD3ML'!E63</f>
        <v>-2.0124769906093598E-11</v>
      </c>
      <c r="EH54">
        <f ca="1">'JACOBIAN - SWAP USD3ML'!F63</f>
        <v>-9.1578827854377209E-13</v>
      </c>
      <c r="EI54">
        <f ca="1">'JACOBIAN - SWAP USD3ML'!G63</f>
        <v>-7.6674319671177203E-11</v>
      </c>
      <c r="EJ54">
        <f ca="1">'JACOBIAN - SWAP USD3ML'!H63</f>
        <v>-6.89951487262142E-9</v>
      </c>
      <c r="EK54">
        <f ca="1">'JACOBIAN - SWAP USD3ML'!I63</f>
        <v>-6.8934180100233E-9</v>
      </c>
      <c r="EL54">
        <f ca="1">'JACOBIAN - SWAP USD3ML'!J63</f>
        <v>-6.8704772322736299E-9</v>
      </c>
      <c r="EM54">
        <f ca="1">'JACOBIAN - SWAP USD3ML'!K63</f>
        <v>-6.8484722233474998E-9</v>
      </c>
      <c r="EN54">
        <f ca="1">'JACOBIAN - SWAP USD3ML'!L63</f>
        <v>-6.8271579709011703E-9</v>
      </c>
      <c r="EO54">
        <f ca="1">'JACOBIAN - SWAP USD3ML'!M63</f>
        <v>-6.7640119581768903E-9</v>
      </c>
      <c r="EP54">
        <f ca="1">'JACOBIAN - SWAP USD3ML'!N63</f>
        <v>-1.46658285515855E-8</v>
      </c>
      <c r="EQ54">
        <f ca="1">'JACOBIAN - SWAP USD3ML'!O63</f>
        <v>3.5527965612861E-7</v>
      </c>
      <c r="ER54">
        <f ca="1">'JACOBIAN - SWAP USD3ML'!P63</f>
        <v>-1.7193869076316501E-6</v>
      </c>
      <c r="ES54">
        <f ca="1">'JACOBIAN - SWAP USD3ML'!Q63</f>
        <v>4.2835821081540997E-6</v>
      </c>
      <c r="ET54">
        <f ca="1">'JACOBIAN - SWAP USD3ML'!R63</f>
        <v>-3.7794966940465899E-5</v>
      </c>
      <c r="EU54">
        <f ca="1">'JACOBIAN - SWAP USD3ML'!S63</f>
        <v>1.96893991616039E-4</v>
      </c>
      <c r="EV54">
        <f ca="1">'JACOBIAN - SWAP USD3ML'!T63</f>
        <v>-1.27338430537158E-3</v>
      </c>
      <c r="EW54">
        <f ca="1">'JACOBIAN - SWAP USD3ML'!U63</f>
        <v>1.2037291536745999E-3</v>
      </c>
      <c r="EX54">
        <f ca="1">'JACOBIAN - SWAP USD3ML'!V63</f>
        <v>7.37491729163944E-6</v>
      </c>
      <c r="EY54">
        <f ca="1">'JACOBIAN - SWAP USD3ML'!W63</f>
        <v>-1.3069955031308499E-6</v>
      </c>
      <c r="EZ54">
        <f ca="1">'JACOBIAN - SWAP USD3ML'!X63</f>
        <v>2.5905794813485502E-7</v>
      </c>
      <c r="FA54">
        <f ca="1">'JACOBIAN - SWAP USD3ML'!Y63</f>
        <v>-8.2921794649498697E-8</v>
      </c>
      <c r="FB54">
        <f ca="1">'JACOBIAN - SWAP USD3ML'!Z63</f>
        <v>1.68861090318884E-8</v>
      </c>
    </row>
    <row r="55" spans="24:158" x14ac:dyDescent="0.25">
      <c r="X55" s="258">
        <f t="shared" ca="1" si="42"/>
        <v>47378</v>
      </c>
      <c r="Y55" s="261">
        <v>0</v>
      </c>
      <c r="AA55" s="257">
        <f t="shared" ca="1" si="35"/>
        <v>47378</v>
      </c>
      <c r="AB55" s="266">
        <f t="shared" ca="1" si="43"/>
        <v>-8.4104901187997928E-4</v>
      </c>
      <c r="AC55" s="266"/>
      <c r="AD55" s="290">
        <f ca="1"/>
        <v>47378</v>
      </c>
      <c r="AE55" s="291">
        <f ca="1"/>
        <v>-8.410490118799796E-4</v>
      </c>
      <c r="AF55" s="291" t="b">
        <f t="shared" ca="1" si="36"/>
        <v>1</v>
      </c>
      <c r="AH55" s="257">
        <f t="shared" ca="1" si="44"/>
        <v>47378</v>
      </c>
      <c r="AI55" s="260">
        <v>0</v>
      </c>
      <c r="AK55" s="290">
        <f ca="1"/>
        <v>47378</v>
      </c>
      <c r="AL55" s="291">
        <f ca="1"/>
        <v>9.850168675178139E-5</v>
      </c>
      <c r="AM55" s="291" t="b">
        <f t="shared" ca="1" si="45"/>
        <v>1</v>
      </c>
      <c r="AO55" s="257">
        <f t="shared" ca="1" si="46"/>
        <v>47378</v>
      </c>
      <c r="AP55" s="266">
        <f t="shared" ca="1" si="38"/>
        <v>9.8501686751785293E-5</v>
      </c>
      <c r="AR55" s="248">
        <f ca="1">'JACOBIAN - OIS USDOIS'!B64</f>
        <v>47378</v>
      </c>
      <c r="AS55">
        <f ca="1">'JACOBIAN - OIS USDOIS'!C64</f>
        <v>-9.6102172031375901E-7</v>
      </c>
      <c r="AT55">
        <f ca="1">'JACOBIAN - OIS USDOIS'!D64</f>
        <v>1.99857908000922E-10</v>
      </c>
      <c r="AU55">
        <f ca="1">'JACOBIAN - OIS USDOIS'!E64</f>
        <v>-7.9990447598987699E-10</v>
      </c>
      <c r="AV55">
        <f ca="1">'JACOBIAN - OIS USDOIS'!F64</f>
        <v>2.1067128042062702E-9</v>
      </c>
      <c r="AW55">
        <f ca="1">'JACOBIAN - OIS USDOIS'!G64</f>
        <v>-2.71112921002015E-9</v>
      </c>
      <c r="AX55">
        <f ca="1">'JACOBIAN - OIS USDOIS'!H64</f>
        <v>6.1319080923993901E-9</v>
      </c>
      <c r="AY55">
        <f ca="1">'JACOBIAN - OIS USDOIS'!I64</f>
        <v>-3.2990865928006499E-8</v>
      </c>
      <c r="AZ55">
        <f ca="1">'JACOBIAN - OIS USDOIS'!J64</f>
        <v>7.4944231043261298E-8</v>
      </c>
      <c r="BA55">
        <f ca="1">'JACOBIAN - OIS USDOIS'!K64</f>
        <v>-2.8852571742898903E-7</v>
      </c>
      <c r="BB55">
        <f ca="1">'JACOBIAN - OIS USDOIS'!L64</f>
        <v>7.87727497342239E-7</v>
      </c>
      <c r="BC55">
        <f ca="1">'JACOBIAN - OIS USDOIS'!M64</f>
        <v>-9.5461722593448407E-7</v>
      </c>
      <c r="BD55">
        <f ca="1">'JACOBIAN - OIS USDOIS'!N64</f>
        <v>7.0932149043301302E-13</v>
      </c>
      <c r="BE55">
        <f ca="1">'JACOBIAN - OIS USDOIS'!O64</f>
        <v>7.0932149043301302E-13</v>
      </c>
      <c r="BF55">
        <f ca="1">'JACOBIAN - OIS USDOIS'!P64</f>
        <v>7.0932149043301302E-13</v>
      </c>
      <c r="BG55">
        <f ca="1">'JACOBIAN - OIS USDOIS'!Q64</f>
        <v>7.0932149043301302E-13</v>
      </c>
      <c r="BH55">
        <f ca="1">'JACOBIAN - OIS USDOIS'!R64</f>
        <v>7.0932149043301302E-13</v>
      </c>
      <c r="BI55" s="161">
        <f ca="1">'JACOBIAN - OIS USDOIS'!S64</f>
        <v>-2.0083433474038502E-6</v>
      </c>
      <c r="BJ55" s="161">
        <f ca="1">'JACOBIAN - OIS USDOIS'!T64</f>
        <v>-1.79746827821958E-6</v>
      </c>
      <c r="BK55" s="161">
        <f ca="1">'JACOBIAN - OIS USDOIS'!U64</f>
        <v>-8.3493870980388996E-6</v>
      </c>
      <c r="BL55" s="161">
        <f ca="1">'JACOBIAN - OIS USDOIS'!V64</f>
        <v>1.3953604232730401E-5</v>
      </c>
      <c r="BM55" s="161">
        <f ca="1">'JACOBIAN - OIS USDOIS'!W64</f>
        <v>-4.6969693266896198E-5</v>
      </c>
      <c r="BN55" s="161">
        <f ca="1">'JACOBIAN - OIS USDOIS'!X64</f>
        <v>4.4368081725365502E-5</v>
      </c>
      <c r="BO55" s="161">
        <f ca="1">'JACOBIAN - OIS USDOIS'!Y64</f>
        <v>9.2206601020394796E-4</v>
      </c>
      <c r="BP55" s="161">
        <f ca="1">'JACOBIAN - OIS USDOIS'!Z64</f>
        <v>-7.6910168951172003E-5</v>
      </c>
      <c r="BQ55" s="161">
        <f ca="1">'JACOBIAN - OIS USDOIS'!AA64</f>
        <v>1.09249906125042E-5</v>
      </c>
      <c r="BR55" s="161">
        <f ca="1">'JACOBIAN - OIS USDOIS'!AB64</f>
        <v>-1.63034309397236E-6</v>
      </c>
      <c r="BS55" s="161">
        <f ca="1">'JACOBIAN - OIS USDOIS'!AC64</f>
        <v>4.1802496486553801E-7</v>
      </c>
      <c r="BT55" s="161">
        <f ca="1">'JACOBIAN - OIS USDOIS'!AD64</f>
        <v>-7.1079278241015205E-8</v>
      </c>
      <c r="BU55">
        <f ca="1">'JACOBIAN - OIS USDOIS'!AE64</f>
        <v>1.97167403170884E-6</v>
      </c>
      <c r="BV55">
        <f ca="1">'JACOBIAN - OIS USDOIS'!AF64</f>
        <v>1.7671516293615901E-6</v>
      </c>
      <c r="BW55">
        <f ca="1">'JACOBIAN - OIS USDOIS'!AG64</f>
        <v>8.2150761079313705E-6</v>
      </c>
      <c r="BX55">
        <f ca="1">'JACOBIAN - OIS USDOIS'!AH64</f>
        <v>-1.37358136119703E-5</v>
      </c>
      <c r="BY55">
        <f ca="1">'JACOBIAN - OIS USDOIS'!AI64</f>
        <v>4.6209642906358498E-5</v>
      </c>
      <c r="BZ55">
        <f ca="1">'JACOBIAN - OIS USDOIS'!AJ64</f>
        <v>-4.3685855462216601E-5</v>
      </c>
      <c r="CA55">
        <f ca="1">'JACOBIAN - OIS USDOIS'!AK64</f>
        <v>-9.0667423051338204E-4</v>
      </c>
      <c r="CB55">
        <f ca="1">'JACOBIAN - OIS USDOIS'!AL64</f>
        <v>7.5748789954643806E-5</v>
      </c>
      <c r="CC55">
        <f ca="1">'JACOBIAN - OIS USDOIS'!AM64</f>
        <v>-1.0760253128849801E-5</v>
      </c>
      <c r="CD55">
        <f ca="1">'JACOBIAN - OIS USDOIS'!AN64</f>
        <v>1.6063564765023101E-6</v>
      </c>
      <c r="CE55">
        <f ca="1">'JACOBIAN - OIS USDOIS'!AO64</f>
        <v>-4.1214104351539002E-7</v>
      </c>
      <c r="CF55">
        <f ca="1">'JACOBIAN - OIS USDOIS'!AP64</f>
        <v>7.0143582941995004E-8</v>
      </c>
      <c r="CK55" s="248">
        <f t="shared" ca="1" si="47"/>
        <v>47378</v>
      </c>
      <c r="CL55">
        <f t="shared" ca="1" si="48"/>
        <v>-9.6102172031375901E-7</v>
      </c>
      <c r="CM55">
        <f t="shared" ca="1" si="49"/>
        <v>1.99857908000922E-10</v>
      </c>
      <c r="CN55">
        <f t="shared" ca="1" si="50"/>
        <v>-7.9990447598987699E-10</v>
      </c>
      <c r="CO55">
        <f t="shared" ca="1" si="51"/>
        <v>2.1067128042062702E-9</v>
      </c>
      <c r="CP55">
        <f t="shared" ca="1" si="52"/>
        <v>-2.71112921002015E-9</v>
      </c>
      <c r="CQ55">
        <f t="shared" ca="1" si="53"/>
        <v>6.1319080923993901E-9</v>
      </c>
      <c r="CR55">
        <f t="shared" ca="1" si="54"/>
        <v>-3.2990865928006499E-8</v>
      </c>
      <c r="CS55">
        <f t="shared" ca="1" si="55"/>
        <v>7.4944231043261298E-8</v>
      </c>
      <c r="CT55">
        <f t="shared" ca="1" si="56"/>
        <v>-2.8852571742898903E-7</v>
      </c>
      <c r="CU55">
        <f t="shared" ca="1" si="57"/>
        <v>7.87727497342239E-7</v>
      </c>
      <c r="CV55">
        <f t="shared" ca="1" si="58"/>
        <v>-9.5461722593448407E-7</v>
      </c>
      <c r="CW55">
        <f t="shared" ca="1" si="59"/>
        <v>7.0932149043301302E-13</v>
      </c>
      <c r="CX55">
        <f t="shared" ca="1" si="60"/>
        <v>7.0932149043301302E-13</v>
      </c>
      <c r="CY55">
        <f t="shared" ca="1" si="61"/>
        <v>7.0932149043301302E-13</v>
      </c>
      <c r="CZ55">
        <f t="shared" ca="1" si="62"/>
        <v>7.0932149043301302E-13</v>
      </c>
      <c r="DA55">
        <f t="shared" ca="1" si="63"/>
        <v>7.0932149043301302E-13</v>
      </c>
      <c r="DB55" s="146">
        <v>0</v>
      </c>
      <c r="DC55" s="146">
        <v>0</v>
      </c>
      <c r="DD55" s="146">
        <v>0</v>
      </c>
      <c r="DE55" s="146">
        <v>0</v>
      </c>
      <c r="DF55" s="146">
        <v>0</v>
      </c>
      <c r="DG55" s="146">
        <v>0</v>
      </c>
      <c r="DH55" s="146">
        <v>0</v>
      </c>
      <c r="DI55" s="146">
        <v>0</v>
      </c>
      <c r="DJ55" s="146">
        <v>0</v>
      </c>
      <c r="DK55" s="146">
        <v>0</v>
      </c>
      <c r="DL55" s="146">
        <v>0</v>
      </c>
      <c r="DM55" s="146">
        <v>0</v>
      </c>
      <c r="DN55">
        <f t="shared" ca="1" si="64"/>
        <v>1.97167403170884E-6</v>
      </c>
      <c r="DO55">
        <f t="shared" ca="1" si="65"/>
        <v>1.7671516293615901E-6</v>
      </c>
      <c r="DP55">
        <f t="shared" ca="1" si="66"/>
        <v>8.2150761079313705E-6</v>
      </c>
      <c r="DQ55">
        <f t="shared" ca="1" si="67"/>
        <v>-1.37358136119703E-5</v>
      </c>
      <c r="DR55">
        <f t="shared" ca="1" si="68"/>
        <v>4.6209642906358498E-5</v>
      </c>
      <c r="DS55">
        <f t="shared" ca="1" si="69"/>
        <v>-4.3685855462216601E-5</v>
      </c>
      <c r="DT55">
        <f t="shared" ca="1" si="70"/>
        <v>-9.0667423051338204E-4</v>
      </c>
      <c r="DU55">
        <f t="shared" ca="1" si="71"/>
        <v>7.5748789954643806E-5</v>
      </c>
      <c r="DV55">
        <f t="shared" ca="1" si="72"/>
        <v>-1.0760253128849801E-5</v>
      </c>
      <c r="DW55">
        <f t="shared" ca="1" si="73"/>
        <v>1.6063564765023101E-6</v>
      </c>
      <c r="DX55">
        <f t="shared" ca="1" si="74"/>
        <v>-4.1214104351539002E-7</v>
      </c>
      <c r="DY55">
        <f t="shared" ca="1" si="75"/>
        <v>7.0143582941995004E-8</v>
      </c>
      <c r="ED55" s="248">
        <f ca="1">'JACOBIAN - SWAP USD3ML'!B64</f>
        <v>47378</v>
      </c>
      <c r="EE55">
        <f ca="1">'JACOBIAN - SWAP USD3ML'!C64</f>
        <v>-6.0874569274282899E-13</v>
      </c>
      <c r="EF55">
        <f ca="1">'JACOBIAN - SWAP USD3ML'!D64</f>
        <v>-9.1543722047227E-9</v>
      </c>
      <c r="EG55">
        <f ca="1">'JACOBIAN - SWAP USD3ML'!E64</f>
        <v>-1.38974561025851E-11</v>
      </c>
      <c r="EH55">
        <f ca="1">'JACOBIAN - SWAP USD3ML'!F64</f>
        <v>-6.0874569274282899E-13</v>
      </c>
      <c r="EI55">
        <f ca="1">'JACOBIAN - SWAP USD3ML'!G64</f>
        <v>-1.00779166262166E-10</v>
      </c>
      <c r="EJ55">
        <f ca="1">'JACOBIAN - SWAP USD3ML'!H64</f>
        <v>-9.1220306031036796E-9</v>
      </c>
      <c r="EK55">
        <f ca="1">'JACOBIAN - SWAP USD3ML'!I64</f>
        <v>-9.1021414572178794E-9</v>
      </c>
      <c r="EL55">
        <f ca="1">'JACOBIAN - SWAP USD3ML'!J64</f>
        <v>-9.0719765762081706E-9</v>
      </c>
      <c r="EM55">
        <f ca="1">'JACOBIAN - SWAP USD3ML'!K64</f>
        <v>-9.0430230352544999E-9</v>
      </c>
      <c r="EN55">
        <f ca="1">'JACOBIAN - SWAP USD3ML'!L64</f>
        <v>-9.0148381086396795E-9</v>
      </c>
      <c r="EO55">
        <f ca="1">'JACOBIAN - SWAP USD3ML'!M64</f>
        <v>-8.9314973021614697E-9</v>
      </c>
      <c r="EP55">
        <f ca="1">'JACOBIAN - SWAP USD3ML'!N64</f>
        <v>-1.9369205142560901E-8</v>
      </c>
      <c r="EQ55">
        <f ca="1">'JACOBIAN - SWAP USD3ML'!O64</f>
        <v>4.6921899332988398E-7</v>
      </c>
      <c r="ER55">
        <f ca="1">'JACOBIAN - SWAP USD3ML'!P64</f>
        <v>-2.27079418302009E-6</v>
      </c>
      <c r="ES55">
        <f ca="1">'JACOBIAN - SWAP USD3ML'!Q64</f>
        <v>5.6573355503540501E-6</v>
      </c>
      <c r="ET55">
        <f ca="1">'JACOBIAN - SWAP USD3ML'!R64</f>
        <v>-4.9915619094769603E-5</v>
      </c>
      <c r="EU55">
        <f ca="1">'JACOBIAN - SWAP USD3ML'!S64</f>
        <v>2.6004446305832201E-4</v>
      </c>
      <c r="EV55">
        <f ca="1">'JACOBIAN - SWAP USD3ML'!T64</f>
        <v>-1.1908633096163401E-3</v>
      </c>
      <c r="EW55">
        <f ca="1">'JACOBIAN - SWAP USD3ML'!U64</f>
        <v>9.2364076149541196E-4</v>
      </c>
      <c r="EX55">
        <f ca="1">'JACOBIAN - SWAP USD3ML'!V64</f>
        <v>1.78826222945232E-4</v>
      </c>
      <c r="EY55">
        <f ca="1">'JACOBIAN - SWAP USD3ML'!W64</f>
        <v>-3.1682511957252497E-5</v>
      </c>
      <c r="EZ55">
        <f ca="1">'JACOBIAN - SWAP USD3ML'!X64</f>
        <v>6.2798145821912899E-6</v>
      </c>
      <c r="FA55">
        <f ca="1">'JACOBIAN - SWAP USD3ML'!Y64</f>
        <v>-2.0101751639078902E-6</v>
      </c>
      <c r="FB55">
        <f ca="1">'JACOBIAN - SWAP USD3ML'!Z64</f>
        <v>4.09205120777828E-7</v>
      </c>
    </row>
    <row r="56" spans="24:158" x14ac:dyDescent="0.25">
      <c r="X56" s="258">
        <f t="shared" ca="1" si="42"/>
        <v>47469</v>
      </c>
      <c r="Y56" s="261">
        <v>0</v>
      </c>
      <c r="AA56" s="257">
        <f t="shared" ca="1" si="35"/>
        <v>47469</v>
      </c>
      <c r="AB56" s="266">
        <f t="shared" ca="1" si="43"/>
        <v>-8.5891782022928798E-4</v>
      </c>
      <c r="AC56" s="266"/>
      <c r="AD56" s="290">
        <f ca="1"/>
        <v>47469</v>
      </c>
      <c r="AE56" s="291">
        <f ca="1"/>
        <v>-8.5891782022928798E-4</v>
      </c>
      <c r="AF56" s="291" t="b">
        <f t="shared" ca="1" si="36"/>
        <v>1</v>
      </c>
      <c r="AH56" s="257">
        <f t="shared" ca="1" si="44"/>
        <v>47469</v>
      </c>
      <c r="AI56" s="260">
        <v>0</v>
      </c>
      <c r="AK56" s="290">
        <f ca="1"/>
        <v>47469</v>
      </c>
      <c r="AL56" s="291">
        <f ca="1"/>
        <v>9.8362847721009008E-5</v>
      </c>
      <c r="AM56" s="291" t="b">
        <f t="shared" ca="1" si="45"/>
        <v>1</v>
      </c>
      <c r="AO56" s="257">
        <f t="shared" ca="1" si="46"/>
        <v>47469</v>
      </c>
      <c r="AP56" s="266">
        <f t="shared" ca="1" si="38"/>
        <v>9.836284772100867E-5</v>
      </c>
      <c r="AR56" s="248">
        <f ca="1">'JACOBIAN - OIS USDOIS'!B65</f>
        <v>47469</v>
      </c>
      <c r="AS56">
        <f ca="1">'JACOBIAN - OIS USDOIS'!C65</f>
        <v>-9.56758691827986E-7</v>
      </c>
      <c r="AT56">
        <f ca="1">'JACOBIAN - OIS USDOIS'!D65</f>
        <v>5.7929994135008701E-11</v>
      </c>
      <c r="AU56">
        <f ca="1">'JACOBIAN - OIS USDOIS'!E65</f>
        <v>-2.32318608794913E-10</v>
      </c>
      <c r="AV56">
        <f ca="1">'JACOBIAN - OIS USDOIS'!F65</f>
        <v>6.1158422770546405E-10</v>
      </c>
      <c r="AW56">
        <f ca="1">'JACOBIAN - OIS USDOIS'!G65</f>
        <v>-7.8668538350257202E-10</v>
      </c>
      <c r="AX56">
        <f ca="1">'JACOBIAN - OIS USDOIS'!H65</f>
        <v>1.77970393977489E-9</v>
      </c>
      <c r="AY56">
        <f ca="1">'JACOBIAN - OIS USDOIS'!I65</f>
        <v>-1.8198935358704201E-8</v>
      </c>
      <c r="AZ56">
        <f ca="1">'JACOBIAN - OIS USDOIS'!J65</f>
        <v>2.1752205814351601E-8</v>
      </c>
      <c r="BA56">
        <f ca="1">'JACOBIAN - OIS USDOIS'!K65</f>
        <v>-8.3748120105475694E-8</v>
      </c>
      <c r="BB56">
        <f ca="1">'JACOBIAN - OIS USDOIS'!L65</f>
        <v>4.7790448343132397E-7</v>
      </c>
      <c r="BC56">
        <f ca="1">'JACOBIAN - OIS USDOIS'!M65</f>
        <v>-3.0307623788416999E-7</v>
      </c>
      <c r="BD56">
        <f ca="1">'JACOBIAN - OIS USDOIS'!N65</f>
        <v>7.1154193648226303E-13</v>
      </c>
      <c r="BE56">
        <f ca="1">'JACOBIAN - OIS USDOIS'!O65</f>
        <v>7.1154193648226303E-13</v>
      </c>
      <c r="BF56">
        <f ca="1">'JACOBIAN - OIS USDOIS'!P65</f>
        <v>7.1154193648226303E-13</v>
      </c>
      <c r="BG56">
        <f ca="1">'JACOBIAN - OIS USDOIS'!Q65</f>
        <v>7.1154193648226303E-13</v>
      </c>
      <c r="BH56">
        <f ca="1">'JACOBIAN - OIS USDOIS'!R65</f>
        <v>7.1154193648226303E-13</v>
      </c>
      <c r="BI56" s="161">
        <f ca="1">'JACOBIAN - OIS USDOIS'!S65</f>
        <v>-1.1605763391431299E-6</v>
      </c>
      <c r="BJ56" s="161">
        <f ca="1">'JACOBIAN - OIS USDOIS'!T65</f>
        <v>-3.2501653896010998E-6</v>
      </c>
      <c r="BK56" s="161">
        <f ca="1">'JACOBIAN - OIS USDOIS'!U65</f>
        <v>-3.0740332783718601E-6</v>
      </c>
      <c r="BL56" s="161">
        <f ca="1">'JACOBIAN - OIS USDOIS'!V65</f>
        <v>-5.8721783657844597E-6</v>
      </c>
      <c r="BM56" s="161">
        <f ca="1">'JACOBIAN - OIS USDOIS'!W65</f>
        <v>-7.3517432842562496E-6</v>
      </c>
      <c r="BN56" s="161">
        <f ca="1">'JACOBIAN - OIS USDOIS'!X65</f>
        <v>-2.9256427428126E-5</v>
      </c>
      <c r="BO56" s="161">
        <f ca="1">'JACOBIAN - OIS USDOIS'!Y65</f>
        <v>9.1927271253922104E-4</v>
      </c>
      <c r="BP56" s="161">
        <f ca="1">'JACOBIAN - OIS USDOIS'!Z65</f>
        <v>3.7976072745360399E-6</v>
      </c>
      <c r="BQ56" s="161">
        <f ca="1">'JACOBIAN - OIS USDOIS'!AA65</f>
        <v>-5.3946238121049795E-7</v>
      </c>
      <c r="BR56" s="161">
        <f ca="1">'JACOBIAN - OIS USDOIS'!AB65</f>
        <v>8.0503692601041594E-8</v>
      </c>
      <c r="BS56" s="161">
        <f ca="1">'JACOBIAN - OIS USDOIS'!AC65</f>
        <v>-2.0641076292626799E-8</v>
      </c>
      <c r="BT56" s="161">
        <f ca="1">'JACOBIAN - OIS USDOIS'!AD65</f>
        <v>3.51033258016997E-9</v>
      </c>
      <c r="BU56">
        <f ca="1">'JACOBIAN - OIS USDOIS'!AE65</f>
        <v>1.1392574325030899E-6</v>
      </c>
      <c r="BV56">
        <f ca="1">'JACOBIAN - OIS USDOIS'!AF65</f>
        <v>3.1956959997137E-6</v>
      </c>
      <c r="BW56">
        <f ca="1">'JACOBIAN - OIS USDOIS'!AG65</f>
        <v>3.02431817778004E-6</v>
      </c>
      <c r="BX56">
        <f ca="1">'JACOBIAN - OIS USDOIS'!AH65</f>
        <v>5.7774820123590604E-6</v>
      </c>
      <c r="BY56">
        <f ca="1">'JACOBIAN - OIS USDOIS'!AI65</f>
        <v>7.2256654316538203E-6</v>
      </c>
      <c r="BZ56">
        <f ca="1">'JACOBIAN - OIS USDOIS'!AJ65</f>
        <v>2.87802360448008E-5</v>
      </c>
      <c r="CA56">
        <f ca="1">'JACOBIAN - OIS USDOIS'!AK65</f>
        <v>-9.0392821126850098E-4</v>
      </c>
      <c r="CB56">
        <f ca="1">'JACOBIAN - OIS USDOIS'!AL65</f>
        <v>-3.7404641889393601E-6</v>
      </c>
      <c r="CC56">
        <f ca="1">'JACOBIAN - OIS USDOIS'!AM65</f>
        <v>5.3132359723040402E-7</v>
      </c>
      <c r="CD56">
        <f ca="1">'JACOBIAN - OIS USDOIS'!AN65</f>
        <v>-7.9319782186893004E-8</v>
      </c>
      <c r="CE56">
        <f ca="1">'JACOBIAN - OIS USDOIS'!AO65</f>
        <v>2.0351639595794799E-8</v>
      </c>
      <c r="CF56">
        <f ca="1">'JACOBIAN - OIS USDOIS'!AP65</f>
        <v>-3.4638012458287899E-9</v>
      </c>
      <c r="CK56" s="248">
        <f t="shared" ca="1" si="47"/>
        <v>47469</v>
      </c>
      <c r="CL56">
        <f t="shared" ca="1" si="48"/>
        <v>-9.56758691827986E-7</v>
      </c>
      <c r="CM56">
        <f t="shared" ca="1" si="49"/>
        <v>5.7929994135008701E-11</v>
      </c>
      <c r="CN56">
        <f t="shared" ca="1" si="50"/>
        <v>-2.32318608794913E-10</v>
      </c>
      <c r="CO56">
        <f t="shared" ca="1" si="51"/>
        <v>6.1158422770546405E-10</v>
      </c>
      <c r="CP56">
        <f t="shared" ca="1" si="52"/>
        <v>-7.8668538350257202E-10</v>
      </c>
      <c r="CQ56">
        <f t="shared" ca="1" si="53"/>
        <v>1.77970393977489E-9</v>
      </c>
      <c r="CR56">
        <f t="shared" ca="1" si="54"/>
        <v>-1.8198935358704201E-8</v>
      </c>
      <c r="CS56">
        <f t="shared" ca="1" si="55"/>
        <v>2.1752205814351601E-8</v>
      </c>
      <c r="CT56">
        <f t="shared" ca="1" si="56"/>
        <v>-8.3748120105475694E-8</v>
      </c>
      <c r="CU56">
        <f t="shared" ca="1" si="57"/>
        <v>4.7790448343132397E-7</v>
      </c>
      <c r="CV56">
        <f t="shared" ca="1" si="58"/>
        <v>-3.0307623788416999E-7</v>
      </c>
      <c r="CW56">
        <f t="shared" ca="1" si="59"/>
        <v>7.1154193648226303E-13</v>
      </c>
      <c r="CX56">
        <f t="shared" ca="1" si="60"/>
        <v>7.1154193648226303E-13</v>
      </c>
      <c r="CY56">
        <f t="shared" ca="1" si="61"/>
        <v>7.1154193648226303E-13</v>
      </c>
      <c r="CZ56">
        <f t="shared" ca="1" si="62"/>
        <v>7.1154193648226303E-13</v>
      </c>
      <c r="DA56">
        <f t="shared" ca="1" si="63"/>
        <v>7.1154193648226303E-13</v>
      </c>
      <c r="DB56" s="146">
        <v>0</v>
      </c>
      <c r="DC56" s="146">
        <v>0</v>
      </c>
      <c r="DD56" s="146">
        <v>0</v>
      </c>
      <c r="DE56" s="146">
        <v>0</v>
      </c>
      <c r="DF56" s="146">
        <v>0</v>
      </c>
      <c r="DG56" s="146">
        <v>0</v>
      </c>
      <c r="DH56" s="146">
        <v>0</v>
      </c>
      <c r="DI56" s="146">
        <v>0</v>
      </c>
      <c r="DJ56" s="146">
        <v>0</v>
      </c>
      <c r="DK56" s="146">
        <v>0</v>
      </c>
      <c r="DL56" s="146">
        <v>0</v>
      </c>
      <c r="DM56" s="146">
        <v>0</v>
      </c>
      <c r="DN56">
        <f t="shared" ca="1" si="64"/>
        <v>1.1392574325030899E-6</v>
      </c>
      <c r="DO56">
        <f t="shared" ca="1" si="65"/>
        <v>3.1956959997137E-6</v>
      </c>
      <c r="DP56">
        <f t="shared" ca="1" si="66"/>
        <v>3.02431817778004E-6</v>
      </c>
      <c r="DQ56">
        <f t="shared" ca="1" si="67"/>
        <v>5.7774820123590604E-6</v>
      </c>
      <c r="DR56">
        <f t="shared" ca="1" si="68"/>
        <v>7.2256654316538203E-6</v>
      </c>
      <c r="DS56">
        <f t="shared" ca="1" si="69"/>
        <v>2.87802360448008E-5</v>
      </c>
      <c r="DT56">
        <f t="shared" ca="1" si="70"/>
        <v>-9.0392821126850098E-4</v>
      </c>
      <c r="DU56">
        <f t="shared" ca="1" si="71"/>
        <v>-3.7404641889393601E-6</v>
      </c>
      <c r="DV56">
        <f t="shared" ca="1" si="72"/>
        <v>5.3132359723040402E-7</v>
      </c>
      <c r="DW56">
        <f t="shared" ca="1" si="73"/>
        <v>-7.9319782186893004E-8</v>
      </c>
      <c r="DX56">
        <f t="shared" ca="1" si="74"/>
        <v>2.0351639595794799E-8</v>
      </c>
      <c r="DY56">
        <f t="shared" ca="1" si="75"/>
        <v>-3.4638012458287899E-9</v>
      </c>
      <c r="ED56" s="248">
        <f ca="1">'JACOBIAN - SWAP USD3ML'!B65</f>
        <v>47469</v>
      </c>
      <c r="EE56">
        <f ca="1">'JACOBIAN - SWAP USD3ML'!C65</f>
        <v>-1.7129006546490201E-13</v>
      </c>
      <c r="EF56">
        <f ca="1">'JACOBIAN - SWAP USD3ML'!D65</f>
        <v>-6.6926719097248899E-9</v>
      </c>
      <c r="EG56">
        <f ca="1">'JACOBIAN - SWAP USD3ML'!E65</f>
        <v>-5.0737435086656299E-12</v>
      </c>
      <c r="EH56">
        <f ca="1">'JACOBIAN - SWAP USD3ML'!F65</f>
        <v>-1.7129006546490201E-13</v>
      </c>
      <c r="EI56">
        <f ca="1">'JACOBIAN - SWAP USD3ML'!G65</f>
        <v>-7.3400625855146702E-11</v>
      </c>
      <c r="EJ56">
        <f ca="1">'JACOBIAN - SWAP USD3ML'!H65</f>
        <v>-6.6683897952113397E-9</v>
      </c>
      <c r="EK56">
        <f ca="1">'JACOBIAN - SWAP USD3ML'!I65</f>
        <v>-6.6491515592070902E-9</v>
      </c>
      <c r="EL56">
        <f ca="1">'JACOBIAN - SWAP USD3ML'!J65</f>
        <v>-6.6271665065398302E-9</v>
      </c>
      <c r="EM56">
        <f ca="1">'JACOBIAN - SWAP USD3ML'!K65</f>
        <v>-6.6060563581882298E-9</v>
      </c>
      <c r="EN56">
        <f ca="1">'JACOBIAN - SWAP USD3ML'!L65</f>
        <v>-6.58545042456216E-9</v>
      </c>
      <c r="EO56">
        <f ca="1">'JACOBIAN - SWAP USD3ML'!M65</f>
        <v>-6.5245830717375297E-9</v>
      </c>
      <c r="EP56">
        <f ca="1">'JACOBIAN - SWAP USD3ML'!N65</f>
        <v>-1.41510434134573E-8</v>
      </c>
      <c r="EQ56">
        <f ca="1">'JACOBIAN - SWAP USD3ML'!O65</f>
        <v>3.4280935101715899E-7</v>
      </c>
      <c r="ER56">
        <f ca="1">'JACOBIAN - SWAP USD3ML'!P65</f>
        <v>-1.65903120867561E-6</v>
      </c>
      <c r="ES56">
        <f ca="1">'JACOBIAN - SWAP USD3ML'!Q65</f>
        <v>4.1332224377174704E-6</v>
      </c>
      <c r="ET56">
        <f ca="1">'JACOBIAN - SWAP USD3ML'!R65</f>
        <v>-3.6468180513196002E-5</v>
      </c>
      <c r="EU56">
        <f ca="1">'JACOBIAN - SWAP USD3ML'!S65</f>
        <v>1.89985568482539E-4</v>
      </c>
      <c r="EV56">
        <f ca="1">'JACOBIAN - SWAP USD3ML'!T65</f>
        <v>-8.2627750891515995E-4</v>
      </c>
      <c r="EW56">
        <f ca="1">'JACOBIAN - SWAP USD3ML'!U65</f>
        <v>4.2104919471601702E-4</v>
      </c>
      <c r="EX56">
        <f ca="1">'JACOBIAN - SWAP USD3ML'!V65</f>
        <v>4.0730112935031702E-4</v>
      </c>
      <c r="EY56">
        <f ca="1">'JACOBIAN - SWAP USD3ML'!W65</f>
        <v>-7.03770399636192E-5</v>
      </c>
      <c r="EZ56">
        <f ca="1">'JACOBIAN - SWAP USD3ML'!X65</f>
        <v>1.39495643467179E-5</v>
      </c>
      <c r="FA56">
        <f ca="1">'JACOBIAN - SWAP USD3ML'!Y65</f>
        <v>-4.46526931034696E-6</v>
      </c>
      <c r="FB56">
        <f ca="1">'JACOBIAN - SWAP USD3ML'!Z65</f>
        <v>9.0897227766895096E-7</v>
      </c>
    </row>
    <row r="57" spans="24:158" x14ac:dyDescent="0.25">
      <c r="X57" s="258">
        <f t="shared" ca="1" si="42"/>
        <v>47560</v>
      </c>
      <c r="Y57" s="261">
        <v>0</v>
      </c>
      <c r="AA57" s="257">
        <f t="shared" ca="1" si="35"/>
        <v>47560</v>
      </c>
      <c r="AB57" s="266">
        <f t="shared" ca="1" si="43"/>
        <v>-8.7663866298048941E-4</v>
      </c>
      <c r="AC57" s="266"/>
      <c r="AD57" s="290">
        <f ca="1"/>
        <v>47560</v>
      </c>
      <c r="AE57" s="291">
        <f ca="1"/>
        <v>-8.7663866298048898E-4</v>
      </c>
      <c r="AF57" s="291" t="b">
        <f t="shared" ca="1" si="36"/>
        <v>1</v>
      </c>
      <c r="AH57" s="257">
        <f t="shared" ca="1" si="44"/>
        <v>47560</v>
      </c>
      <c r="AI57" s="260">
        <v>0</v>
      </c>
      <c r="AK57" s="290">
        <f ca="1"/>
        <v>47560</v>
      </c>
      <c r="AL57" s="291">
        <f ca="1"/>
        <v>9.8327159901157035E-5</v>
      </c>
      <c r="AM57" s="291" t="b">
        <f t="shared" ca="1" si="45"/>
        <v>1</v>
      </c>
      <c r="AO57" s="257">
        <f t="shared" ca="1" si="46"/>
        <v>47560</v>
      </c>
      <c r="AP57" s="266">
        <f t="shared" ca="1" si="38"/>
        <v>9.8327159901157198E-5</v>
      </c>
      <c r="AR57" s="248">
        <f ca="1">'JACOBIAN - OIS USDOIS'!B66</f>
        <v>47560</v>
      </c>
      <c r="AS57">
        <f ca="1">'JACOBIAN - OIS USDOIS'!C66</f>
        <v>-9.5248599418784597E-7</v>
      </c>
      <c r="AT57">
        <f ca="1">'JACOBIAN - OIS USDOIS'!D66</f>
        <v>-4.1773029479941202E-11</v>
      </c>
      <c r="AU57">
        <f ca="1">'JACOBIAN - OIS USDOIS'!E66</f>
        <v>1.6645373968060501E-10</v>
      </c>
      <c r="AV57">
        <f ca="1">'JACOBIAN - OIS USDOIS'!F66</f>
        <v>-4.38842517880289E-10</v>
      </c>
      <c r="AW57">
        <f ca="1">'JACOBIAN - OIS USDOIS'!G66</f>
        <v>5.6536175740973197E-10</v>
      </c>
      <c r="AX57">
        <f ca="1">'JACOBIAN - OIS USDOIS'!H66</f>
        <v>-1.2779738378654301E-9</v>
      </c>
      <c r="AY57">
        <f ca="1">'JACOBIAN - OIS USDOIS'!I66</f>
        <v>-7.7866082470734504E-9</v>
      </c>
      <c r="AZ57">
        <f ca="1">'JACOBIAN - OIS USDOIS'!J66</f>
        <v>-1.56183084243366E-8</v>
      </c>
      <c r="BA57">
        <f ca="1">'JACOBIAN - OIS USDOIS'!K66</f>
        <v>6.0120171063715602E-8</v>
      </c>
      <c r="BB57">
        <f ca="1">'JACOBIAN - OIS USDOIS'!L66</f>
        <v>2.6025796939776997E-7</v>
      </c>
      <c r="BC57">
        <f ca="1">'JACOBIAN - OIS USDOIS'!M66</f>
        <v>1.5473033188051499E-7</v>
      </c>
      <c r="BD57">
        <f ca="1">'JACOBIAN - OIS USDOIS'!N66</f>
        <v>7.1120886957487498E-13</v>
      </c>
      <c r="BE57">
        <f ca="1">'JACOBIAN - OIS USDOIS'!O66</f>
        <v>7.1120886957487498E-13</v>
      </c>
      <c r="BF57">
        <f ca="1">'JACOBIAN - OIS USDOIS'!P66</f>
        <v>7.1120886957487498E-13</v>
      </c>
      <c r="BG57">
        <f ca="1">'JACOBIAN - OIS USDOIS'!Q66</f>
        <v>7.1120886957487498E-13</v>
      </c>
      <c r="BH57">
        <f ca="1">'JACOBIAN - OIS USDOIS'!R66</f>
        <v>7.1120886957487498E-13</v>
      </c>
      <c r="BI57" s="161">
        <f ca="1">'JACOBIAN - OIS USDOIS'!S66</f>
        <v>-5.65066933022607E-7</v>
      </c>
      <c r="BJ57" s="161">
        <f ca="1">'JACOBIAN - OIS USDOIS'!T66</f>
        <v>-4.2715680934613002E-6</v>
      </c>
      <c r="BK57" s="161">
        <f ca="1">'JACOBIAN - OIS USDOIS'!U66</f>
        <v>6.3412226070092004E-7</v>
      </c>
      <c r="BL57" s="161">
        <f ca="1">'JACOBIAN - OIS USDOIS'!V66</f>
        <v>-1.9815534231471001E-5</v>
      </c>
      <c r="BM57" s="161">
        <f ca="1">'JACOBIAN - OIS USDOIS'!W66</f>
        <v>2.0510282687902199E-5</v>
      </c>
      <c r="BN57" s="161">
        <f ca="1">'JACOBIAN - OIS USDOIS'!X66</f>
        <v>-8.0671132182352805E-5</v>
      </c>
      <c r="BO57" s="161">
        <f ca="1">'JACOBIAN - OIS USDOIS'!Y66</f>
        <v>8.7438994017918802E-4</v>
      </c>
      <c r="BP57" s="161">
        <f ca="1">'JACOBIAN - OIS USDOIS'!Z66</f>
        <v>1.14838848897847E-4</v>
      </c>
      <c r="BQ57" s="161">
        <f ca="1">'JACOBIAN - OIS USDOIS'!AA66</f>
        <v>-1.6043463699433301E-5</v>
      </c>
      <c r="BR57" s="161">
        <f ca="1">'JACOBIAN - OIS USDOIS'!AB66</f>
        <v>2.3942162651335901E-6</v>
      </c>
      <c r="BS57" s="161">
        <f ca="1">'JACOBIAN - OIS USDOIS'!AC66</f>
        <v>-6.1388188576927405E-7</v>
      </c>
      <c r="BT57" s="161">
        <f ca="1">'JACOBIAN - OIS USDOIS'!AD66</f>
        <v>1.04383502841365E-7</v>
      </c>
      <c r="BU57">
        <f ca="1">'JACOBIAN - OIS USDOIS'!AE66</f>
        <v>5.5453171765584799E-7</v>
      </c>
      <c r="BV57">
        <f ca="1">'JACOBIAN - OIS USDOIS'!AF66</f>
        <v>4.2001194936469596E-6</v>
      </c>
      <c r="BW57">
        <f ca="1">'JACOBIAN - OIS USDOIS'!AG66</f>
        <v>-6.2433688097218699E-7</v>
      </c>
      <c r="BX57">
        <f ca="1">'JACOBIAN - OIS USDOIS'!AH66</f>
        <v>1.9501601087879E-5</v>
      </c>
      <c r="BY57">
        <f ca="1">'JACOBIAN - OIS USDOIS'!AI66</f>
        <v>-2.01883856334462E-5</v>
      </c>
      <c r="BZ57">
        <f ca="1">'JACOBIAN - OIS USDOIS'!AJ66</f>
        <v>7.9393284794226901E-5</v>
      </c>
      <c r="CA57">
        <f ca="1">'JACOBIAN - OIS USDOIS'!AK66</f>
        <v>-8.5983792815169701E-4</v>
      </c>
      <c r="CB57">
        <f ca="1">'JACOBIAN - OIS USDOIS'!AL66</f>
        <v>-1.13081008346616E-4</v>
      </c>
      <c r="CC57">
        <f ca="1">'JACOBIAN - OIS USDOIS'!AM66</f>
        <v>1.5802010405185901E-5</v>
      </c>
      <c r="CD57">
        <f ca="1">'JACOBIAN - OIS USDOIS'!AN66</f>
        <v>-2.3589816576796699E-6</v>
      </c>
      <c r="CE57">
        <f ca="1">'JACOBIAN - OIS USDOIS'!AO66</f>
        <v>6.0524444245313404E-7</v>
      </c>
      <c r="CF57">
        <f ca="1">'JACOBIAN - OIS USDOIS'!AP66</f>
        <v>-1.0300859476508601E-7</v>
      </c>
      <c r="CK57" s="248">
        <f t="shared" ca="1" si="47"/>
        <v>47560</v>
      </c>
      <c r="CL57">
        <f t="shared" ca="1" si="48"/>
        <v>-9.5248599418784597E-7</v>
      </c>
      <c r="CM57">
        <f t="shared" ca="1" si="49"/>
        <v>-4.1773029479941202E-11</v>
      </c>
      <c r="CN57">
        <f t="shared" ca="1" si="50"/>
        <v>1.6645373968060501E-10</v>
      </c>
      <c r="CO57">
        <f t="shared" ca="1" si="51"/>
        <v>-4.38842517880289E-10</v>
      </c>
      <c r="CP57">
        <f t="shared" ca="1" si="52"/>
        <v>5.6536175740973197E-10</v>
      </c>
      <c r="CQ57">
        <f t="shared" ca="1" si="53"/>
        <v>-1.2779738378654301E-9</v>
      </c>
      <c r="CR57">
        <f t="shared" ca="1" si="54"/>
        <v>-7.7866082470734504E-9</v>
      </c>
      <c r="CS57">
        <f t="shared" ca="1" si="55"/>
        <v>-1.56183084243366E-8</v>
      </c>
      <c r="CT57">
        <f t="shared" ca="1" si="56"/>
        <v>6.0120171063715602E-8</v>
      </c>
      <c r="CU57">
        <f t="shared" ca="1" si="57"/>
        <v>2.6025796939776997E-7</v>
      </c>
      <c r="CV57">
        <f t="shared" ca="1" si="58"/>
        <v>1.5473033188051499E-7</v>
      </c>
      <c r="CW57">
        <f t="shared" ca="1" si="59"/>
        <v>7.1120886957487498E-13</v>
      </c>
      <c r="CX57">
        <f t="shared" ca="1" si="60"/>
        <v>7.1120886957487498E-13</v>
      </c>
      <c r="CY57">
        <f t="shared" ca="1" si="61"/>
        <v>7.1120886957487498E-13</v>
      </c>
      <c r="CZ57">
        <f t="shared" ca="1" si="62"/>
        <v>7.1120886957487498E-13</v>
      </c>
      <c r="DA57">
        <f t="shared" ca="1" si="63"/>
        <v>7.1120886957487498E-13</v>
      </c>
      <c r="DB57" s="146">
        <v>0</v>
      </c>
      <c r="DC57" s="146">
        <v>0</v>
      </c>
      <c r="DD57" s="146">
        <v>0</v>
      </c>
      <c r="DE57" s="146">
        <v>0</v>
      </c>
      <c r="DF57" s="146">
        <v>0</v>
      </c>
      <c r="DG57" s="146">
        <v>0</v>
      </c>
      <c r="DH57" s="146">
        <v>0</v>
      </c>
      <c r="DI57" s="146">
        <v>0</v>
      </c>
      <c r="DJ57" s="146">
        <v>0</v>
      </c>
      <c r="DK57" s="146">
        <v>0</v>
      </c>
      <c r="DL57" s="146">
        <v>0</v>
      </c>
      <c r="DM57" s="146">
        <v>0</v>
      </c>
      <c r="DN57">
        <f t="shared" ca="1" si="64"/>
        <v>5.5453171765584799E-7</v>
      </c>
      <c r="DO57">
        <f t="shared" ca="1" si="65"/>
        <v>4.2001194936469596E-6</v>
      </c>
      <c r="DP57">
        <f t="shared" ca="1" si="66"/>
        <v>-6.2433688097218699E-7</v>
      </c>
      <c r="DQ57">
        <f t="shared" ca="1" si="67"/>
        <v>1.9501601087879E-5</v>
      </c>
      <c r="DR57">
        <f t="shared" ca="1" si="68"/>
        <v>-2.01883856334462E-5</v>
      </c>
      <c r="DS57">
        <f t="shared" ca="1" si="69"/>
        <v>7.9393284794226901E-5</v>
      </c>
      <c r="DT57">
        <f t="shared" ca="1" si="70"/>
        <v>-8.5983792815169701E-4</v>
      </c>
      <c r="DU57">
        <f t="shared" ca="1" si="71"/>
        <v>-1.13081008346616E-4</v>
      </c>
      <c r="DV57">
        <f t="shared" ca="1" si="72"/>
        <v>1.5802010405185901E-5</v>
      </c>
      <c r="DW57">
        <f t="shared" ca="1" si="73"/>
        <v>-2.3589816576796699E-6</v>
      </c>
      <c r="DX57">
        <f t="shared" ca="1" si="74"/>
        <v>6.0524444245313404E-7</v>
      </c>
      <c r="DY57">
        <f t="shared" ca="1" si="75"/>
        <v>-1.0300859476508601E-7</v>
      </c>
      <c r="ED57" s="248">
        <f ca="1">'JACOBIAN - SWAP USD3ML'!B66</f>
        <v>47560</v>
      </c>
      <c r="EE57">
        <f ca="1">'JACOBIAN - SWAP USD3ML'!C66</f>
        <v>2.3285540162731902E-13</v>
      </c>
      <c r="EF57">
        <f ca="1">'JACOBIAN - SWAP USD3ML'!D66</f>
        <v>-3.6988151673467099E-9</v>
      </c>
      <c r="EG57">
        <f ca="1">'JACOBIAN - SWAP USD3ML'!E66</f>
        <v>3.0375701953744299E-12</v>
      </c>
      <c r="EH57">
        <f ca="1">'JACOBIAN - SWAP USD3ML'!F66</f>
        <v>2.3198803988933001E-13</v>
      </c>
      <c r="EI57">
        <f ca="1">'JACOBIAN - SWAP USD3ML'!G66</f>
        <v>-4.02356412076976E-11</v>
      </c>
      <c r="EJ57">
        <f ca="1">'JACOBIAN - SWAP USD3ML'!H66</f>
        <v>-3.6846664851208902E-9</v>
      </c>
      <c r="EK57">
        <f ca="1">'JACOBIAN - SWAP USD3ML'!I66</f>
        <v>-3.66864973122549E-9</v>
      </c>
      <c r="EL57">
        <f ca="1">'JACOBIAN - SWAP USD3ML'!J66</f>
        <v>-3.6565759135853701E-9</v>
      </c>
      <c r="EM57">
        <f ca="1">'JACOBIAN - SWAP USD3ML'!K66</f>
        <v>-3.64497475605075E-9</v>
      </c>
      <c r="EN57">
        <f ca="1">'JACOBIAN - SWAP USD3ML'!L66</f>
        <v>-3.6335873442039401E-9</v>
      </c>
      <c r="EO57">
        <f ca="1">'JACOBIAN - SWAP USD3ML'!M66</f>
        <v>-3.6000211527109601E-9</v>
      </c>
      <c r="EP57">
        <f ca="1">'JACOBIAN - SWAP USD3ML'!N66</f>
        <v>-7.8098345186739004E-9</v>
      </c>
      <c r="EQ57">
        <f ca="1">'JACOBIAN - SWAP USD3ML'!O66</f>
        <v>1.8919388838217799E-7</v>
      </c>
      <c r="ER57">
        <f ca="1">'JACOBIAN - SWAP USD3ML'!P66</f>
        <v>-9.1560568518320205E-7</v>
      </c>
      <c r="ES57">
        <f ca="1">'JACOBIAN - SWAP USD3ML'!Q66</f>
        <v>2.2810921534270599E-6</v>
      </c>
      <c r="ET57">
        <f ca="1">'JACOBIAN - SWAP USD3ML'!R66</f>
        <v>-2.0126561732877698E-5</v>
      </c>
      <c r="EU57">
        <f ca="1">'JACOBIAN - SWAP USD3ML'!S66</f>
        <v>1.04849812056086E-4</v>
      </c>
      <c r="EV57">
        <f ca="1">'JACOBIAN - SWAP USD3ML'!T66</f>
        <v>-4.5604830057984999E-4</v>
      </c>
      <c r="EW57">
        <f ca="1">'JACOBIAN - SWAP USD3ML'!U66</f>
        <v>-5.0772121368041601E-5</v>
      </c>
      <c r="EX57">
        <f ca="1">'JACOBIAN - SWAP USD3ML'!V66</f>
        <v>5.9857211274680399E-4</v>
      </c>
      <c r="EY57">
        <f ca="1">'JACOBIAN - SWAP USD3ML'!W66</f>
        <v>-9.3473149229503894E-5</v>
      </c>
      <c r="EZ57">
        <f ca="1">'JACOBIAN - SWAP USD3ML'!X66</f>
        <v>1.8527524242632799E-5</v>
      </c>
      <c r="FA57">
        <f ca="1">'JACOBIAN - SWAP USD3ML'!Y66</f>
        <v>-5.9306779582983501E-6</v>
      </c>
      <c r="FB57">
        <f ca="1">'JACOBIAN - SWAP USD3ML'!Z66</f>
        <v>1.20727522587641E-6</v>
      </c>
    </row>
    <row r="58" spans="24:158" x14ac:dyDescent="0.25">
      <c r="X58" s="258">
        <f t="shared" ca="1" si="42"/>
        <v>47651</v>
      </c>
      <c r="Y58" s="261">
        <v>0</v>
      </c>
      <c r="AA58" s="257">
        <f t="shared" ca="1" si="35"/>
        <v>47651</v>
      </c>
      <c r="AB58" s="266">
        <f t="shared" ca="1" si="43"/>
        <v>-8.9419680617408548E-4</v>
      </c>
      <c r="AC58" s="266"/>
      <c r="AD58" s="290">
        <f ca="1"/>
        <v>47651</v>
      </c>
      <c r="AE58" s="291">
        <f ca="1"/>
        <v>-8.941968061740857E-4</v>
      </c>
      <c r="AF58" s="291" t="b">
        <f t="shared" ca="1" si="36"/>
        <v>1</v>
      </c>
      <c r="AH58" s="257">
        <f t="shared" ca="1" si="44"/>
        <v>47651</v>
      </c>
      <c r="AI58" s="260">
        <v>0</v>
      </c>
      <c r="AK58" s="290">
        <f ca="1"/>
        <v>47651</v>
      </c>
      <c r="AL58" s="291">
        <f ca="1"/>
        <v>9.8360149655547097E-5</v>
      </c>
      <c r="AM58" s="291" t="b">
        <f t="shared" ca="1" si="45"/>
        <v>1</v>
      </c>
      <c r="AO58" s="257">
        <f t="shared" ca="1" si="46"/>
        <v>47651</v>
      </c>
      <c r="AP58" s="266">
        <f t="shared" ca="1" si="38"/>
        <v>9.8360149655547463E-5</v>
      </c>
      <c r="AR58" s="248">
        <f ca="1">'JACOBIAN - OIS USDOIS'!B67</f>
        <v>47651</v>
      </c>
      <c r="AS58">
        <f ca="1">'JACOBIAN - OIS USDOIS'!C67</f>
        <v>-9.4820684937157996E-7</v>
      </c>
      <c r="AT58">
        <f ca="1">'JACOBIAN - OIS USDOIS'!D67</f>
        <v>-9.9980801415711098E-11</v>
      </c>
      <c r="AU58">
        <f ca="1">'JACOBIAN - OIS USDOIS'!E67</f>
        <v>3.9932479545257102E-10</v>
      </c>
      <c r="AV58">
        <f ca="1">'JACOBIAN - OIS USDOIS'!F67</f>
        <v>-1.05224162716411E-9</v>
      </c>
      <c r="AW58">
        <f ca="1">'JACOBIAN - OIS USDOIS'!G67</f>
        <v>1.3548900890114601E-9</v>
      </c>
      <c r="AX58">
        <f ca="1">'JACOBIAN - OIS USDOIS'!H67</f>
        <v>-3.06346759071374E-9</v>
      </c>
      <c r="AY58">
        <f ca="1">'JACOBIAN - OIS USDOIS'!I67</f>
        <v>-1.67870906064849E-9</v>
      </c>
      <c r="AZ58">
        <f ca="1">'JACOBIAN - OIS USDOIS'!J67</f>
        <v>-3.7440377576025703E-8</v>
      </c>
      <c r="BA58">
        <f ca="1">'JACOBIAN - OIS USDOIS'!K67</f>
        <v>1.4413036020233199E-7</v>
      </c>
      <c r="BB58">
        <f ca="1">'JACOBIAN - OIS USDOIS'!L67</f>
        <v>1.3319638592079699E-7</v>
      </c>
      <c r="BC58">
        <f ca="1">'JACOBIAN - OIS USDOIS'!M67</f>
        <v>4.2214461115630499E-7</v>
      </c>
      <c r="BD58">
        <f ca="1">'JACOBIAN - OIS USDOIS'!N67</f>
        <v>7.0876637892070004E-13</v>
      </c>
      <c r="BE58">
        <f ca="1">'JACOBIAN - OIS USDOIS'!O67</f>
        <v>7.0876637892070004E-13</v>
      </c>
      <c r="BF58">
        <f ca="1">'JACOBIAN - OIS USDOIS'!P67</f>
        <v>7.0876637892070004E-13</v>
      </c>
      <c r="BG58">
        <f ca="1">'JACOBIAN - OIS USDOIS'!Q67</f>
        <v>7.0876637892070004E-13</v>
      </c>
      <c r="BH58">
        <f ca="1">'JACOBIAN - OIS USDOIS'!R67</f>
        <v>7.0876637892070004E-13</v>
      </c>
      <c r="BI58" s="161">
        <f ca="1">'JACOBIAN - OIS USDOIS'!S67</f>
        <v>-2.1745951472862399E-7</v>
      </c>
      <c r="BJ58" s="161">
        <f ca="1">'JACOBIAN - OIS USDOIS'!T67</f>
        <v>-4.8691032024095202E-6</v>
      </c>
      <c r="BK58" s="161">
        <f ca="1">'JACOBIAN - OIS USDOIS'!U67</f>
        <v>2.8020866763567298E-6</v>
      </c>
      <c r="BL58" s="161">
        <f ca="1">'JACOBIAN - OIS USDOIS'!V67</f>
        <v>-2.79780554528486E-5</v>
      </c>
      <c r="BM58" s="161">
        <f ca="1">'JACOBIAN - OIS USDOIS'!W67</f>
        <v>3.6817838606872899E-5</v>
      </c>
      <c r="BN58" s="161">
        <f ca="1">'JACOBIAN - OIS USDOIS'!X67</f>
        <v>-1.1077188750052699E-4</v>
      </c>
      <c r="BO58" s="161">
        <f ca="1">'JACOBIAN - OIS USDOIS'!Y67</f>
        <v>7.9167497816678999E-4</v>
      </c>
      <c r="BP58" s="161">
        <f ca="1">'JACOBIAN - OIS USDOIS'!Z67</f>
        <v>2.5085842183469902E-4</v>
      </c>
      <c r="BQ58" s="161">
        <f ca="1">'JACOBIAN - OIS USDOIS'!AA67</f>
        <v>-3.3446196782471697E-5</v>
      </c>
      <c r="BR58" s="161">
        <f ca="1">'JACOBIAN - OIS USDOIS'!AB67</f>
        <v>4.9913405053558799E-6</v>
      </c>
      <c r="BS58" s="161">
        <f ca="1">'JACOBIAN - OIS USDOIS'!AC67</f>
        <v>-1.27978762698433E-6</v>
      </c>
      <c r="BT58" s="161">
        <f ca="1">'JACOBIAN - OIS USDOIS'!AD67</f>
        <v>2.1761253676810799E-7</v>
      </c>
      <c r="BU58">
        <f ca="1">'JACOBIAN - OIS USDOIS'!AE67</f>
        <v>2.1321915155692E-7</v>
      </c>
      <c r="BV58">
        <f ca="1">'JACOBIAN - OIS USDOIS'!AF67</f>
        <v>4.78772247414216E-6</v>
      </c>
      <c r="BW58">
        <f ca="1">'JACOBIAN - OIS USDOIS'!AG67</f>
        <v>-2.7575016970926599E-6</v>
      </c>
      <c r="BX58">
        <f ca="1">'JACOBIAN - OIS USDOIS'!AH67</f>
        <v>2.7535986584781301E-5</v>
      </c>
      <c r="BY58">
        <f ca="1">'JACOBIAN - OIS USDOIS'!AI67</f>
        <v>-3.6232921335033197E-5</v>
      </c>
      <c r="BZ58">
        <f ca="1">'JACOBIAN - OIS USDOIS'!AJ67</f>
        <v>1.09027552032459E-4</v>
      </c>
      <c r="CA58">
        <f ca="1">'JACOBIAN - OIS USDOIS'!AK67</f>
        <v>-7.7857448344365E-4</v>
      </c>
      <c r="CB58">
        <f ca="1">'JACOBIAN - OIS USDOIS'!AL67</f>
        <v>-2.4697874581158802E-4</v>
      </c>
      <c r="CC58">
        <f ca="1">'JACOBIAN - OIS USDOIS'!AM67</f>
        <v>3.29435138508583E-5</v>
      </c>
      <c r="CD58">
        <f ca="1">'JACOBIAN - OIS USDOIS'!AN67</f>
        <v>-4.9178695767926303E-6</v>
      </c>
      <c r="CE58">
        <f ca="1">'JACOBIAN - OIS USDOIS'!AO67</f>
        <v>1.26178060522175E-6</v>
      </c>
      <c r="CF58">
        <f ca="1">'JACOBIAN - OIS USDOIS'!AP67</f>
        <v>-2.1474649891661799E-7</v>
      </c>
      <c r="CK58" s="248">
        <f t="shared" ca="1" si="47"/>
        <v>47651</v>
      </c>
      <c r="CL58">
        <f t="shared" ca="1" si="48"/>
        <v>-9.4820684937157996E-7</v>
      </c>
      <c r="CM58">
        <f t="shared" ca="1" si="49"/>
        <v>-9.9980801415711098E-11</v>
      </c>
      <c r="CN58">
        <f t="shared" ca="1" si="50"/>
        <v>3.9932479545257102E-10</v>
      </c>
      <c r="CO58">
        <f t="shared" ca="1" si="51"/>
        <v>-1.05224162716411E-9</v>
      </c>
      <c r="CP58">
        <f t="shared" ca="1" si="52"/>
        <v>1.3548900890114601E-9</v>
      </c>
      <c r="CQ58">
        <f t="shared" ca="1" si="53"/>
        <v>-3.06346759071374E-9</v>
      </c>
      <c r="CR58">
        <f t="shared" ca="1" si="54"/>
        <v>-1.67870906064849E-9</v>
      </c>
      <c r="CS58">
        <f t="shared" ca="1" si="55"/>
        <v>-3.7440377576025703E-8</v>
      </c>
      <c r="CT58">
        <f t="shared" ca="1" si="56"/>
        <v>1.4413036020233199E-7</v>
      </c>
      <c r="CU58">
        <f t="shared" ca="1" si="57"/>
        <v>1.3319638592079699E-7</v>
      </c>
      <c r="CV58">
        <f t="shared" ca="1" si="58"/>
        <v>4.2214461115630499E-7</v>
      </c>
      <c r="CW58">
        <f t="shared" ca="1" si="59"/>
        <v>7.0876637892070004E-13</v>
      </c>
      <c r="CX58">
        <f t="shared" ca="1" si="60"/>
        <v>7.0876637892070004E-13</v>
      </c>
      <c r="CY58">
        <f t="shared" ca="1" si="61"/>
        <v>7.0876637892070004E-13</v>
      </c>
      <c r="CZ58">
        <f t="shared" ca="1" si="62"/>
        <v>7.0876637892070004E-13</v>
      </c>
      <c r="DA58">
        <f t="shared" ca="1" si="63"/>
        <v>7.0876637892070004E-13</v>
      </c>
      <c r="DB58" s="146">
        <v>0</v>
      </c>
      <c r="DC58" s="146">
        <v>0</v>
      </c>
      <c r="DD58" s="146">
        <v>0</v>
      </c>
      <c r="DE58" s="146">
        <v>0</v>
      </c>
      <c r="DF58" s="146">
        <v>0</v>
      </c>
      <c r="DG58" s="146">
        <v>0</v>
      </c>
      <c r="DH58" s="146">
        <v>0</v>
      </c>
      <c r="DI58" s="146">
        <v>0</v>
      </c>
      <c r="DJ58" s="146">
        <v>0</v>
      </c>
      <c r="DK58" s="146">
        <v>0</v>
      </c>
      <c r="DL58" s="146">
        <v>0</v>
      </c>
      <c r="DM58" s="146">
        <v>0</v>
      </c>
      <c r="DN58">
        <f t="shared" ca="1" si="64"/>
        <v>2.1321915155692E-7</v>
      </c>
      <c r="DO58">
        <f t="shared" ca="1" si="65"/>
        <v>4.78772247414216E-6</v>
      </c>
      <c r="DP58">
        <f t="shared" ca="1" si="66"/>
        <v>-2.7575016970926599E-6</v>
      </c>
      <c r="DQ58">
        <f t="shared" ca="1" si="67"/>
        <v>2.7535986584781301E-5</v>
      </c>
      <c r="DR58">
        <f t="shared" ca="1" si="68"/>
        <v>-3.6232921335033197E-5</v>
      </c>
      <c r="DS58">
        <f t="shared" ca="1" si="69"/>
        <v>1.09027552032459E-4</v>
      </c>
      <c r="DT58">
        <f t="shared" ca="1" si="70"/>
        <v>-7.7857448344365E-4</v>
      </c>
      <c r="DU58">
        <f t="shared" ca="1" si="71"/>
        <v>-2.4697874581158802E-4</v>
      </c>
      <c r="DV58">
        <f t="shared" ca="1" si="72"/>
        <v>3.29435138508583E-5</v>
      </c>
      <c r="DW58">
        <f t="shared" ca="1" si="73"/>
        <v>-4.9178695767926303E-6</v>
      </c>
      <c r="DX58">
        <f t="shared" ca="1" si="74"/>
        <v>1.26178060522175E-6</v>
      </c>
      <c r="DY58">
        <f t="shared" ca="1" si="75"/>
        <v>-2.1474649891661799E-7</v>
      </c>
      <c r="ED58" s="248">
        <f ca="1">'JACOBIAN - SWAP USD3ML'!B67</f>
        <v>47651</v>
      </c>
      <c r="EE58">
        <f ca="1">'JACOBIAN - SWAP USD3ML'!C67</f>
        <v>5.4999407805844699E-13</v>
      </c>
      <c r="EF58">
        <f ca="1">'JACOBIAN - SWAP USD3ML'!D67</f>
        <v>-1.2537345085716901E-9</v>
      </c>
      <c r="EG58">
        <f ca="1">'JACOBIAN - SWAP USD3ML'!E67</f>
        <v>9.51499642964926E-12</v>
      </c>
      <c r="EH58">
        <f ca="1">'JACOBIAN - SWAP USD3ML'!F67</f>
        <v>5.4999407805844699E-13</v>
      </c>
      <c r="EI58">
        <f ca="1">'JACOBIAN - SWAP USD3ML'!G67</f>
        <v>-1.31616453846739E-11</v>
      </c>
      <c r="EJ58">
        <f ca="1">'JACOBIAN - SWAP USD3ML'!H67</f>
        <v>-1.2478791923398201E-9</v>
      </c>
      <c r="EK58">
        <f ca="1">'JACOBIAN - SWAP USD3ML'!I67</f>
        <v>-1.2346254470163601E-9</v>
      </c>
      <c r="EL58">
        <f ca="1">'JACOBIAN - SWAP USD3ML'!J67</f>
        <v>-1.2306451517563001E-9</v>
      </c>
      <c r="EM58">
        <f ca="1">'JACOBIAN - SWAP USD3ML'!K67</f>
        <v>-1.22680909181438E-9</v>
      </c>
      <c r="EN58">
        <f ca="1">'JACOBIAN - SWAP USD3ML'!L67</f>
        <v>-1.22294956800273E-9</v>
      </c>
      <c r="EO58">
        <f ca="1">'JACOBIAN - SWAP USD3ML'!M67</f>
        <v>-1.2116759783020699E-9</v>
      </c>
      <c r="EP58">
        <f ca="1">'JACOBIAN - SWAP USD3ML'!N67</f>
        <v>-2.63123522969977E-9</v>
      </c>
      <c r="EQ58">
        <f ca="1">'JACOBIAN - SWAP USD3ML'!O67</f>
        <v>6.37425225623323E-8</v>
      </c>
      <c r="ER58">
        <f ca="1">'JACOBIAN - SWAP USD3ML'!P67</f>
        <v>-3.0848086780832501E-7</v>
      </c>
      <c r="ES58">
        <f ca="1">'JACOBIAN - SWAP USD3ML'!Q67</f>
        <v>7.6853487486830397E-7</v>
      </c>
      <c r="ET58">
        <f ca="1">'JACOBIAN - SWAP USD3ML'!R67</f>
        <v>-6.7809901441798198E-6</v>
      </c>
      <c r="EU58">
        <f ca="1">'JACOBIAN - SWAP USD3ML'!S67</f>
        <v>3.5324322502736101E-5</v>
      </c>
      <c r="EV58">
        <f ca="1">'JACOBIAN - SWAP USD3ML'!T67</f>
        <v>-1.5367204353718101E-4</v>
      </c>
      <c r="EW58">
        <f ca="1">'JACOBIAN - SWAP USD3ML'!U67</f>
        <v>-4.2325218273752199E-4</v>
      </c>
      <c r="EX58">
        <f ca="1">'JACOBIAN - SWAP USD3ML'!V67</f>
        <v>7.2702001205672898E-4</v>
      </c>
      <c r="EY58">
        <f ca="1">'JACOBIAN - SWAP USD3ML'!W67</f>
        <v>-9.4790054255399603E-5</v>
      </c>
      <c r="EZ58">
        <f ca="1">'JACOBIAN - SWAP USD3ML'!X67</f>
        <v>1.8788490227104201E-5</v>
      </c>
      <c r="FA58">
        <f ca="1">'JACOBIAN - SWAP USD3ML'!Y67</f>
        <v>-6.0142186239890696E-6</v>
      </c>
      <c r="FB58">
        <f ca="1">'JACOBIAN - SWAP USD3ML'!Z67</f>
        <v>1.2242797384556801E-6</v>
      </c>
    </row>
    <row r="59" spans="24:158" x14ac:dyDescent="0.25">
      <c r="X59" s="258">
        <f t="shared" ca="1" si="42"/>
        <v>47743</v>
      </c>
      <c r="Y59" s="261">
        <v>0</v>
      </c>
      <c r="AA59" s="257">
        <f t="shared" ca="1" si="35"/>
        <v>47743</v>
      </c>
      <c r="AB59" s="266">
        <f t="shared" ca="1" si="43"/>
        <v>-9.1175954175237652E-4</v>
      </c>
      <c r="AC59" s="266"/>
      <c r="AD59" s="290">
        <f ca="1"/>
        <v>47743</v>
      </c>
      <c r="AE59" s="291">
        <f ca="1"/>
        <v>-9.1175954175237717E-4</v>
      </c>
      <c r="AF59" s="291" t="b">
        <f t="shared" ca="1" si="36"/>
        <v>1</v>
      </c>
      <c r="AH59" s="257">
        <f t="shared" ca="1" si="44"/>
        <v>47743</v>
      </c>
      <c r="AI59" s="260">
        <v>0</v>
      </c>
      <c r="AK59" s="290">
        <f ca="1"/>
        <v>47743</v>
      </c>
      <c r="AL59" s="291">
        <f ca="1"/>
        <v>9.841197161449336E-5</v>
      </c>
      <c r="AM59" s="291" t="b">
        <f t="shared" ca="1" si="45"/>
        <v>1</v>
      </c>
      <c r="AO59" s="257">
        <f t="shared" ca="1" si="46"/>
        <v>47743</v>
      </c>
      <c r="AP59" s="266">
        <f t="shared" ca="1" si="38"/>
        <v>9.8411971614493915E-5</v>
      </c>
      <c r="AR59" s="248">
        <f ca="1">'JACOBIAN - OIS USDOIS'!B68</f>
        <v>47743</v>
      </c>
      <c r="AS59">
        <f ca="1">'JACOBIAN - OIS USDOIS'!C68</f>
        <v>-9.4387764759673598E-7</v>
      </c>
      <c r="AT59">
        <f ca="1">'JACOBIAN - OIS USDOIS'!D68</f>
        <v>-1.2235779056624099E-10</v>
      </c>
      <c r="AU59">
        <f ca="1">'JACOBIAN - OIS USDOIS'!E68</f>
        <v>4.8893955550966005E-10</v>
      </c>
      <c r="AV59">
        <f ca="1">'JACOBIAN - OIS USDOIS'!F68</f>
        <v>-1.2882667155267301E-9</v>
      </c>
      <c r="AW59">
        <f ca="1">'JACOBIAN - OIS USDOIS'!G68</f>
        <v>1.6586819695518801E-9</v>
      </c>
      <c r="AX59">
        <f ca="1">'JACOBIAN - OIS USDOIS'!H68</f>
        <v>-3.7504293004531097E-9</v>
      </c>
      <c r="AY59">
        <f ca="1">'JACOBIAN - OIS USDOIS'!I68</f>
        <v>7.1249495192660096E-10</v>
      </c>
      <c r="AZ59">
        <f ca="1">'JACOBIAN - OIS USDOIS'!J68</f>
        <v>-4.5836351381112201E-8</v>
      </c>
      <c r="BA59">
        <f ca="1">'JACOBIAN - OIS USDOIS'!K68</f>
        <v>1.7645301031432599E-7</v>
      </c>
      <c r="BB59">
        <f ca="1">'JACOBIAN - OIS USDOIS'!L68</f>
        <v>8.4352684504018795E-8</v>
      </c>
      <c r="BC59">
        <f ca="1">'JACOBIAN - OIS USDOIS'!M68</f>
        <v>5.2515538340180999E-7</v>
      </c>
      <c r="BD59">
        <f ca="1">'JACOBIAN - OIS USDOIS'!N68</f>
        <v>7.0432548682219901E-13</v>
      </c>
      <c r="BE59">
        <f ca="1">'JACOBIAN - OIS USDOIS'!O68</f>
        <v>7.0432548682219901E-13</v>
      </c>
      <c r="BF59">
        <f ca="1">'JACOBIAN - OIS USDOIS'!P68</f>
        <v>7.0432548682219901E-13</v>
      </c>
      <c r="BG59">
        <f ca="1">'JACOBIAN - OIS USDOIS'!Q68</f>
        <v>7.0432548682219901E-13</v>
      </c>
      <c r="BH59">
        <f ca="1">'JACOBIAN - OIS USDOIS'!R68</f>
        <v>7.0432548682219901E-13</v>
      </c>
      <c r="BI59" s="161">
        <f ca="1">'JACOBIAN - OIS USDOIS'!S68</f>
        <v>-8.3910930870345597E-8</v>
      </c>
      <c r="BJ59" s="161">
        <f ca="1">'JACOBIAN - OIS USDOIS'!T68</f>
        <v>-5.1006071150050403E-6</v>
      </c>
      <c r="BK59" s="161">
        <f ca="1">'JACOBIAN - OIS USDOIS'!U68</f>
        <v>3.6401229045468501E-6</v>
      </c>
      <c r="BL59" s="161">
        <f ca="1">'JACOBIAN - OIS USDOIS'!V68</f>
        <v>-3.1149072850067398E-5</v>
      </c>
      <c r="BM59" s="161">
        <f ca="1">'JACOBIAN - OIS USDOIS'!W68</f>
        <v>4.3147923643682702E-5</v>
      </c>
      <c r="BN59" s="161">
        <f ca="1">'JACOBIAN - OIS USDOIS'!X68</f>
        <v>-1.22470269730335E-4</v>
      </c>
      <c r="BO59" s="161">
        <f ca="1">'JACOBIAN - OIS USDOIS'!Y68</f>
        <v>6.7713193068974498E-4</v>
      </c>
      <c r="BP59" s="161">
        <f ca="1">'JACOBIAN - OIS USDOIS'!Z68</f>
        <v>4.0561486699874899E-4</v>
      </c>
      <c r="BQ59" s="161">
        <f ca="1">'JACOBIAN - OIS USDOIS'!AA68</f>
        <v>-5.00154746955195E-5</v>
      </c>
      <c r="BR59" s="161">
        <f ca="1">'JACOBIAN - OIS USDOIS'!AB68</f>
        <v>7.4641402287856104E-6</v>
      </c>
      <c r="BS59" s="161">
        <f ca="1">'JACOBIAN - OIS USDOIS'!AC68</f>
        <v>-1.9138140068264399E-6</v>
      </c>
      <c r="BT59" s="161">
        <f ca="1">'JACOBIAN - OIS USDOIS'!AD68</f>
        <v>3.2542098205023999E-7</v>
      </c>
      <c r="BU59">
        <f ca="1">'JACOBIAN - OIS USDOIS'!AE68</f>
        <v>8.2088918440526002E-8</v>
      </c>
      <c r="BV59">
        <f ca="1">'JACOBIAN - OIS USDOIS'!AF68</f>
        <v>5.0153783329731596E-6</v>
      </c>
      <c r="BW59">
        <f ca="1">'JACOBIAN - OIS USDOIS'!AG68</f>
        <v>-3.5820856127966001E-6</v>
      </c>
      <c r="BX59">
        <f ca="1">'JACOBIAN - OIS USDOIS'!AH68</f>
        <v>3.0657266621658699E-5</v>
      </c>
      <c r="BY59">
        <f ca="1">'JACOBIAN - OIS USDOIS'!AI68</f>
        <v>-4.2460744482664098E-5</v>
      </c>
      <c r="BZ59">
        <f ca="1">'JACOBIAN - OIS USDOIS'!AJ68</f>
        <v>1.20545242132009E-4</v>
      </c>
      <c r="CA59">
        <f ca="1">'JACOBIAN - OIS USDOIS'!AK68</f>
        <v>-6.6601795848098E-4</v>
      </c>
      <c r="CB59">
        <f ca="1">'JACOBIAN - OIS USDOIS'!AL68</f>
        <v>-3.9926891000363602E-4</v>
      </c>
      <c r="CC59">
        <f ca="1">'JACOBIAN - OIS USDOIS'!AM68</f>
        <v>4.9264728138376201E-5</v>
      </c>
      <c r="CD59">
        <f ca="1">'JACOBIAN - OIS USDOIS'!AN68</f>
        <v>-7.3542487447619803E-6</v>
      </c>
      <c r="CE59">
        <f ca="1">'JACOBIAN - OIS USDOIS'!AO68</f>
        <v>1.88688692193129E-6</v>
      </c>
      <c r="CF59">
        <f ca="1">'JACOBIAN - OIS USDOIS'!AP68</f>
        <v>-3.2113515646692297E-7</v>
      </c>
      <c r="CK59" s="248">
        <f t="shared" ca="1" si="47"/>
        <v>47743</v>
      </c>
      <c r="CL59">
        <f t="shared" ca="1" si="48"/>
        <v>-9.4387764759673598E-7</v>
      </c>
      <c r="CM59">
        <f t="shared" ca="1" si="49"/>
        <v>-1.2235779056624099E-10</v>
      </c>
      <c r="CN59">
        <f t="shared" ca="1" si="50"/>
        <v>4.8893955550966005E-10</v>
      </c>
      <c r="CO59">
        <f t="shared" ca="1" si="51"/>
        <v>-1.2882667155267301E-9</v>
      </c>
      <c r="CP59">
        <f t="shared" ca="1" si="52"/>
        <v>1.6586819695518801E-9</v>
      </c>
      <c r="CQ59">
        <f t="shared" ca="1" si="53"/>
        <v>-3.7504293004531097E-9</v>
      </c>
      <c r="CR59">
        <f t="shared" ca="1" si="54"/>
        <v>7.1249495192660096E-10</v>
      </c>
      <c r="CS59">
        <f t="shared" ca="1" si="55"/>
        <v>-4.5836351381112201E-8</v>
      </c>
      <c r="CT59">
        <f t="shared" ca="1" si="56"/>
        <v>1.7645301031432599E-7</v>
      </c>
      <c r="CU59">
        <f t="shared" ca="1" si="57"/>
        <v>8.4352684504018795E-8</v>
      </c>
      <c r="CV59">
        <f t="shared" ca="1" si="58"/>
        <v>5.2515538340180999E-7</v>
      </c>
      <c r="CW59">
        <f t="shared" ca="1" si="59"/>
        <v>7.0432548682219901E-13</v>
      </c>
      <c r="CX59">
        <f t="shared" ca="1" si="60"/>
        <v>7.0432548682219901E-13</v>
      </c>
      <c r="CY59">
        <f t="shared" ca="1" si="61"/>
        <v>7.0432548682219901E-13</v>
      </c>
      <c r="CZ59">
        <f t="shared" ca="1" si="62"/>
        <v>7.0432548682219901E-13</v>
      </c>
      <c r="DA59">
        <f t="shared" ca="1" si="63"/>
        <v>7.0432548682219901E-13</v>
      </c>
      <c r="DB59" s="146">
        <v>0</v>
      </c>
      <c r="DC59" s="146">
        <v>0</v>
      </c>
      <c r="DD59" s="146">
        <v>0</v>
      </c>
      <c r="DE59" s="146">
        <v>0</v>
      </c>
      <c r="DF59" s="146">
        <v>0</v>
      </c>
      <c r="DG59" s="146">
        <v>0</v>
      </c>
      <c r="DH59" s="146">
        <v>0</v>
      </c>
      <c r="DI59" s="146">
        <v>0</v>
      </c>
      <c r="DJ59" s="146">
        <v>0</v>
      </c>
      <c r="DK59" s="146">
        <v>0</v>
      </c>
      <c r="DL59" s="146">
        <v>0</v>
      </c>
      <c r="DM59" s="146">
        <v>0</v>
      </c>
      <c r="DN59">
        <f t="shared" ca="1" si="64"/>
        <v>8.2088918440526002E-8</v>
      </c>
      <c r="DO59">
        <f t="shared" ca="1" si="65"/>
        <v>5.0153783329731596E-6</v>
      </c>
      <c r="DP59">
        <f t="shared" ca="1" si="66"/>
        <v>-3.5820856127966001E-6</v>
      </c>
      <c r="DQ59">
        <f t="shared" ca="1" si="67"/>
        <v>3.0657266621658699E-5</v>
      </c>
      <c r="DR59">
        <f t="shared" ca="1" si="68"/>
        <v>-4.2460744482664098E-5</v>
      </c>
      <c r="DS59">
        <f t="shared" ca="1" si="69"/>
        <v>1.20545242132009E-4</v>
      </c>
      <c r="DT59">
        <f t="shared" ca="1" si="70"/>
        <v>-6.6601795848098E-4</v>
      </c>
      <c r="DU59">
        <f t="shared" ca="1" si="71"/>
        <v>-3.9926891000363602E-4</v>
      </c>
      <c r="DV59">
        <f t="shared" ca="1" si="72"/>
        <v>4.9264728138376201E-5</v>
      </c>
      <c r="DW59">
        <f t="shared" ca="1" si="73"/>
        <v>-7.3542487447619803E-6</v>
      </c>
      <c r="DX59">
        <f t="shared" ca="1" si="74"/>
        <v>1.88688692193129E-6</v>
      </c>
      <c r="DY59">
        <f t="shared" ca="1" si="75"/>
        <v>-3.2113515646692297E-7</v>
      </c>
      <c r="ED59" s="248">
        <f ca="1">'JACOBIAN - SWAP USD3ML'!B68</f>
        <v>47743</v>
      </c>
      <c r="EE59">
        <f ca="1">'JACOBIAN - SWAP USD3ML'!C68</f>
        <v>7.8793915836428101E-13</v>
      </c>
      <c r="EF59">
        <f ca="1">'JACOBIAN - SWAP USD3ML'!D68</f>
        <v>6.6898486750233102E-10</v>
      </c>
      <c r="EG59">
        <f ca="1">'JACOBIAN - SWAP USD3ML'!E68</f>
        <v>1.44324101281068E-11</v>
      </c>
      <c r="EH59">
        <f ca="1">'JACOBIAN - SWAP USD3ML'!F68</f>
        <v>7.8706138828543705E-13</v>
      </c>
      <c r="EI59">
        <f ca="1">'JACOBIAN - SWAP USD3ML'!G68</f>
        <v>8.1174615640389208E-12</v>
      </c>
      <c r="EJ59">
        <f ca="1">'JACOBIAN - SWAP USD3ML'!H68</f>
        <v>6.6829618575181497E-10</v>
      </c>
      <c r="EK59">
        <f ca="1">'JACOBIAN - SWAP USD3ML'!I68</f>
        <v>6.7921756066735603E-10</v>
      </c>
      <c r="EL59">
        <f ca="1">'JACOBIAN - SWAP USD3ML'!J68</f>
        <v>6.7683617044345102E-10</v>
      </c>
      <c r="EM59">
        <f ca="1">'JACOBIAN - SWAP USD3ML'!K68</f>
        <v>6.7456897012707597E-10</v>
      </c>
      <c r="EN59">
        <f ca="1">'JACOBIAN - SWAP USD3ML'!L68</f>
        <v>6.7250820190434299E-10</v>
      </c>
      <c r="EO59">
        <f ca="1">'JACOBIAN - SWAP USD3ML'!M68</f>
        <v>6.6625123126828899E-10</v>
      </c>
      <c r="EP59">
        <f ca="1">'JACOBIAN - SWAP USD3ML'!N68</f>
        <v>1.4406963538826599E-9</v>
      </c>
      <c r="EQ59">
        <f ca="1">'JACOBIAN - SWAP USD3ML'!O68</f>
        <v>-3.4899901871221501E-8</v>
      </c>
      <c r="ER59">
        <f ca="1">'JACOBIAN - SWAP USD3ML'!P68</f>
        <v>1.6890151782744701E-7</v>
      </c>
      <c r="ES59">
        <f ca="1">'JACOBIAN - SWAP USD3ML'!Q68</f>
        <v>-4.2078881565960101E-7</v>
      </c>
      <c r="ET59">
        <f ca="1">'JACOBIAN - SWAP USD3ML'!R68</f>
        <v>3.7126687790038599E-6</v>
      </c>
      <c r="EU59">
        <f ca="1">'JACOBIAN - SWAP USD3ML'!S68</f>
        <v>-1.93426932457857E-5</v>
      </c>
      <c r="EV59">
        <f ca="1">'JACOBIAN - SWAP USD3ML'!T68</f>
        <v>8.4103410409174003E-5</v>
      </c>
      <c r="EW59">
        <f ca="1">'JACOBIAN - SWAP USD3ML'!U68</f>
        <v>-7.00441899387165E-4</v>
      </c>
      <c r="EX59">
        <f ca="1">'JACOBIAN - SWAP USD3ML'!V68</f>
        <v>7.94023385539491E-4</v>
      </c>
      <c r="EY59">
        <f ca="1">'JACOBIAN - SWAP USD3ML'!W68</f>
        <v>-7.4340756779488898E-5</v>
      </c>
      <c r="EZ59">
        <f ca="1">'JACOBIAN - SWAP USD3ML'!X68</f>
        <v>1.47350333438122E-5</v>
      </c>
      <c r="FA59">
        <f ca="1">'JACOBIAN - SWAP USD3ML'!Y68</f>
        <v>-4.7167147321954001E-6</v>
      </c>
      <c r="FB59">
        <f ca="1">'JACOBIAN - SWAP USD3ML'!Z68</f>
        <v>9.6015340293742501E-7</v>
      </c>
    </row>
    <row r="60" spans="24:158" x14ac:dyDescent="0.25">
      <c r="X60" s="258">
        <f t="shared" ca="1" si="42"/>
        <v>47834</v>
      </c>
      <c r="Y60" s="261">
        <v>0</v>
      </c>
      <c r="AA60" s="257">
        <f t="shared" ca="1" si="35"/>
        <v>47834</v>
      </c>
      <c r="AB60" s="266">
        <f t="shared" ca="1" si="43"/>
        <v>-9.2892461746474342E-4</v>
      </c>
      <c r="AC60" s="266"/>
      <c r="AD60" s="290">
        <f ca="1"/>
        <v>47834</v>
      </c>
      <c r="AE60" s="291">
        <f ca="1"/>
        <v>-9.2892461746474364E-4</v>
      </c>
      <c r="AF60" s="291" t="b">
        <f t="shared" ca="1" si="36"/>
        <v>1</v>
      </c>
      <c r="AH60" s="257">
        <f t="shared" ca="1" si="44"/>
        <v>47834</v>
      </c>
      <c r="AI60" s="260">
        <v>0</v>
      </c>
      <c r="AK60" s="290">
        <f ca="1"/>
        <v>47834</v>
      </c>
      <c r="AL60" s="291">
        <f ca="1"/>
        <v>9.8452079480892962E-5</v>
      </c>
      <c r="AM60" s="291" t="b">
        <f t="shared" ca="1" si="45"/>
        <v>1</v>
      </c>
      <c r="AO60" s="257">
        <f t="shared" ca="1" si="46"/>
        <v>47834</v>
      </c>
      <c r="AP60" s="266">
        <f t="shared" ca="1" si="38"/>
        <v>9.8452079480892637E-5</v>
      </c>
      <c r="AR60" s="248">
        <f ca="1">'JACOBIAN - OIS USDOIS'!B69</f>
        <v>47834</v>
      </c>
      <c r="AS60">
        <f ca="1">'JACOBIAN - OIS USDOIS'!C69</f>
        <v>-9.3959616054295502E-7</v>
      </c>
      <c r="AT60">
        <f ca="1">'JACOBIAN - OIS USDOIS'!D69</f>
        <v>-1.1474743377704E-10</v>
      </c>
      <c r="AU60">
        <f ca="1">'JACOBIAN - OIS USDOIS'!E69</f>
        <v>4.5865500286623702E-10</v>
      </c>
      <c r="AV60">
        <f ca="1">'JACOBIAN - OIS USDOIS'!F69</f>
        <v>-1.2084478973051201E-9</v>
      </c>
      <c r="AW60">
        <f ca="1">'JACOBIAN - OIS USDOIS'!G69</f>
        <v>1.5559367128048501E-9</v>
      </c>
      <c r="AX60">
        <f ca="1">'JACOBIAN - OIS USDOIS'!H69</f>
        <v>-3.51797802000675E-9</v>
      </c>
      <c r="AY60">
        <f ca="1">'JACOBIAN - OIS USDOIS'!I69</f>
        <v>-8.8834495315381901E-12</v>
      </c>
      <c r="AZ60">
        <f ca="1">'JACOBIAN - OIS USDOIS'!J69</f>
        <v>-4.2995398463752097E-8</v>
      </c>
      <c r="BA60">
        <f ca="1">'JACOBIAN - OIS USDOIS'!K69</f>
        <v>1.65515934735794E-7</v>
      </c>
      <c r="BB60">
        <f ca="1">'JACOBIAN - OIS USDOIS'!L69</f>
        <v>1.00965652616303E-7</v>
      </c>
      <c r="BC60">
        <f ca="1">'JACOBIAN - OIS USDOIS'!M69</f>
        <v>4.9056338280451005E-7</v>
      </c>
      <c r="BD60">
        <f ca="1">'JACOBIAN - OIS USDOIS'!N69</f>
        <v>6.9844130479168598E-13</v>
      </c>
      <c r="BE60">
        <f ca="1">'JACOBIAN - OIS USDOIS'!O69</f>
        <v>6.9844130479168598E-13</v>
      </c>
      <c r="BF60">
        <f ca="1">'JACOBIAN - OIS USDOIS'!P69</f>
        <v>6.9844130479168598E-13</v>
      </c>
      <c r="BG60">
        <f ca="1">'JACOBIAN - OIS USDOIS'!Q69</f>
        <v>6.9844130479168598E-13</v>
      </c>
      <c r="BH60">
        <f ca="1">'JACOBIAN - OIS USDOIS'!R69</f>
        <v>6.9844130479168598E-13</v>
      </c>
      <c r="BI60" s="161">
        <f ca="1">'JACOBIAN - OIS USDOIS'!S69</f>
        <v>-1.29496125267359E-7</v>
      </c>
      <c r="BJ60" s="161">
        <f ca="1">'JACOBIAN - OIS USDOIS'!T69</f>
        <v>-5.0256226555855898E-6</v>
      </c>
      <c r="BK60" s="161">
        <f ca="1">'JACOBIAN - OIS USDOIS'!U69</f>
        <v>3.3649193740270499E-6</v>
      </c>
      <c r="BL60" s="161">
        <f ca="1">'JACOBIAN - OIS USDOIS'!V69</f>
        <v>-3.0140923614418998E-5</v>
      </c>
      <c r="BM60" s="161">
        <f ca="1">'JACOBIAN - OIS USDOIS'!W69</f>
        <v>4.1124599640451898E-5</v>
      </c>
      <c r="BN60" s="161">
        <f ca="1">'JACOBIAN - OIS USDOIS'!X69</f>
        <v>-1.18761282929425E-4</v>
      </c>
      <c r="BO60" s="161">
        <f ca="1">'JACOBIAN - OIS USDOIS'!Y69</f>
        <v>5.4145408727890299E-4</v>
      </c>
      <c r="BP60" s="161">
        <f ca="1">'JACOBIAN - OIS USDOIS'!Z69</f>
        <v>5.6697060374921704E-4</v>
      </c>
      <c r="BQ60" s="161">
        <f ca="1">'JACOBIAN - OIS USDOIS'!AA69</f>
        <v>-6.2245165172503101E-5</v>
      </c>
      <c r="BR60" s="161">
        <f ca="1">'JACOBIAN - OIS USDOIS'!AB69</f>
        <v>9.2893364460611105E-6</v>
      </c>
      <c r="BS60" s="161">
        <f ca="1">'JACOBIAN - OIS USDOIS'!AC69</f>
        <v>-2.3817931712466502E-6</v>
      </c>
      <c r="BT60" s="161">
        <f ca="1">'JACOBIAN - OIS USDOIS'!AD69</f>
        <v>4.0499519515790899E-7</v>
      </c>
      <c r="BU60">
        <f ca="1">'JACOBIAN - OIS USDOIS'!AE69</f>
        <v>1.2684828709641499E-7</v>
      </c>
      <c r="BV60">
        <f ca="1">'JACOBIAN - OIS USDOIS'!AF69</f>
        <v>4.9416396804557996E-6</v>
      </c>
      <c r="BW60">
        <f ca="1">'JACOBIAN - OIS USDOIS'!AG69</f>
        <v>-3.31130526509682E-6</v>
      </c>
      <c r="BX60">
        <f ca="1">'JACOBIAN - OIS USDOIS'!AH69</f>
        <v>2.9664925396133399E-5</v>
      </c>
      <c r="BY60">
        <f ca="1">'JACOBIAN - OIS USDOIS'!AI69</f>
        <v>-4.0470120883262497E-5</v>
      </c>
      <c r="BZ60">
        <f ca="1">'JACOBIAN - OIS USDOIS'!AJ69</f>
        <v>1.16893559806486E-4</v>
      </c>
      <c r="CA60">
        <f ca="1">'JACOBIAN - OIS USDOIS'!AK69</f>
        <v>-5.3265615116504495E-4</v>
      </c>
      <c r="CB60">
        <f ca="1">'JACOBIAN - OIS USDOIS'!AL69</f>
        <v>-5.5799344540075101E-4</v>
      </c>
      <c r="CC60">
        <f ca="1">'JACOBIAN - OIS USDOIS'!AM69</f>
        <v>6.1311742552860898E-5</v>
      </c>
      <c r="CD60">
        <f ca="1">'JACOBIAN - OIS USDOIS'!AN69</f>
        <v>-9.1525532798231202E-6</v>
      </c>
      <c r="CE60">
        <f ca="1">'JACOBIAN - OIS USDOIS'!AO69</f>
        <v>2.3482827422593999E-6</v>
      </c>
      <c r="CF60">
        <f ca="1">'JACOBIAN - OIS USDOIS'!AP69</f>
        <v>-3.9966137432845299E-7</v>
      </c>
      <c r="CK60" s="248">
        <f t="shared" ca="1" si="47"/>
        <v>47834</v>
      </c>
      <c r="CL60">
        <f t="shared" ca="1" si="48"/>
        <v>-9.3959616054295502E-7</v>
      </c>
      <c r="CM60">
        <f t="shared" ca="1" si="49"/>
        <v>-1.1474743377704E-10</v>
      </c>
      <c r="CN60">
        <f t="shared" ca="1" si="50"/>
        <v>4.5865500286623702E-10</v>
      </c>
      <c r="CO60">
        <f t="shared" ca="1" si="51"/>
        <v>-1.2084478973051201E-9</v>
      </c>
      <c r="CP60">
        <f t="shared" ca="1" si="52"/>
        <v>1.5559367128048501E-9</v>
      </c>
      <c r="CQ60">
        <f t="shared" ca="1" si="53"/>
        <v>-3.51797802000675E-9</v>
      </c>
      <c r="CR60">
        <f t="shared" ca="1" si="54"/>
        <v>-8.8834495315381901E-12</v>
      </c>
      <c r="CS60">
        <f t="shared" ca="1" si="55"/>
        <v>-4.2995398463752097E-8</v>
      </c>
      <c r="CT60">
        <f t="shared" ca="1" si="56"/>
        <v>1.65515934735794E-7</v>
      </c>
      <c r="CU60">
        <f t="shared" ca="1" si="57"/>
        <v>1.00965652616303E-7</v>
      </c>
      <c r="CV60">
        <f t="shared" ca="1" si="58"/>
        <v>4.9056338280451005E-7</v>
      </c>
      <c r="CW60">
        <f t="shared" ca="1" si="59"/>
        <v>6.9844130479168598E-13</v>
      </c>
      <c r="CX60">
        <f t="shared" ca="1" si="60"/>
        <v>6.9844130479168598E-13</v>
      </c>
      <c r="CY60">
        <f t="shared" ca="1" si="61"/>
        <v>6.9844130479168598E-13</v>
      </c>
      <c r="CZ60">
        <f t="shared" ca="1" si="62"/>
        <v>6.9844130479168598E-13</v>
      </c>
      <c r="DA60">
        <f t="shared" ca="1" si="63"/>
        <v>6.9844130479168598E-13</v>
      </c>
      <c r="DB60" s="146">
        <v>0</v>
      </c>
      <c r="DC60" s="146">
        <v>0</v>
      </c>
      <c r="DD60" s="146">
        <v>0</v>
      </c>
      <c r="DE60" s="146">
        <v>0</v>
      </c>
      <c r="DF60" s="146">
        <v>0</v>
      </c>
      <c r="DG60" s="146">
        <v>0</v>
      </c>
      <c r="DH60" s="146">
        <v>0</v>
      </c>
      <c r="DI60" s="146">
        <v>0</v>
      </c>
      <c r="DJ60" s="146">
        <v>0</v>
      </c>
      <c r="DK60" s="146">
        <v>0</v>
      </c>
      <c r="DL60" s="146">
        <v>0</v>
      </c>
      <c r="DM60" s="146">
        <v>0</v>
      </c>
      <c r="DN60">
        <f t="shared" ca="1" si="64"/>
        <v>1.2684828709641499E-7</v>
      </c>
      <c r="DO60">
        <f t="shared" ca="1" si="65"/>
        <v>4.9416396804557996E-6</v>
      </c>
      <c r="DP60">
        <f t="shared" ca="1" si="66"/>
        <v>-3.31130526509682E-6</v>
      </c>
      <c r="DQ60">
        <f t="shared" ca="1" si="67"/>
        <v>2.9664925396133399E-5</v>
      </c>
      <c r="DR60">
        <f t="shared" ca="1" si="68"/>
        <v>-4.0470120883262497E-5</v>
      </c>
      <c r="DS60">
        <f t="shared" ca="1" si="69"/>
        <v>1.16893559806486E-4</v>
      </c>
      <c r="DT60">
        <f t="shared" ca="1" si="70"/>
        <v>-5.3265615116504495E-4</v>
      </c>
      <c r="DU60">
        <f t="shared" ca="1" si="71"/>
        <v>-5.5799344540075101E-4</v>
      </c>
      <c r="DV60">
        <f t="shared" ca="1" si="72"/>
        <v>6.1311742552860898E-5</v>
      </c>
      <c r="DW60">
        <f t="shared" ca="1" si="73"/>
        <v>-9.1525532798231202E-6</v>
      </c>
      <c r="DX60">
        <f t="shared" ca="1" si="74"/>
        <v>2.3482827422593999E-6</v>
      </c>
      <c r="DY60">
        <f t="shared" ca="1" si="75"/>
        <v>-3.9966137432845299E-7</v>
      </c>
      <c r="ED60" s="248">
        <f ca="1">'JACOBIAN - SWAP USD3ML'!B69</f>
        <v>47834</v>
      </c>
      <c r="EE60">
        <f ca="1">'JACOBIAN - SWAP USD3ML'!C69</f>
        <v>9.4146912488213295E-13</v>
      </c>
      <c r="EF60">
        <f ca="1">'JACOBIAN - SWAP USD3ML'!D69</f>
        <v>2.0415660273442898E-9</v>
      </c>
      <c r="EG60">
        <f ca="1">'JACOBIAN - SWAP USD3ML'!E69</f>
        <v>1.7719159473017498E-11</v>
      </c>
      <c r="EH60">
        <f ca="1">'JACOBIAN - SWAP USD3ML'!F69</f>
        <v>9.3969276804273209E-13</v>
      </c>
      <c r="EI60">
        <f ca="1">'JACOBIAN - SWAP USD3ML'!G69</f>
        <v>2.32907026997964E-11</v>
      </c>
      <c r="EJ60">
        <f ca="1">'JACOBIAN - SWAP USD3ML'!H69</f>
        <v>2.0361783370503901E-9</v>
      </c>
      <c r="EK60">
        <f ca="1">'JACOBIAN - SWAP USD3ML'!I69</f>
        <v>2.0452315396823902E-9</v>
      </c>
      <c r="EL60">
        <f ca="1">'JACOBIAN - SWAP USD3ML'!J69</f>
        <v>2.0383108534360901E-9</v>
      </c>
      <c r="EM60">
        <f ca="1">'JACOBIAN - SWAP USD3ML'!K69</f>
        <v>2.0316885951388002E-9</v>
      </c>
      <c r="EN60">
        <f ca="1">'JACOBIAN - SWAP USD3ML'!L69</f>
        <v>2.0254029564625898E-9</v>
      </c>
      <c r="EO60">
        <f ca="1">'JACOBIAN - SWAP USD3ML'!M69</f>
        <v>2.0066348582758999E-9</v>
      </c>
      <c r="EP60">
        <f ca="1">'JACOBIAN - SWAP USD3ML'!N69</f>
        <v>4.3471368726954998E-9</v>
      </c>
      <c r="EQ60">
        <f ca="1">'JACOBIAN - SWAP USD3ML'!O69</f>
        <v>-1.05308409104055E-7</v>
      </c>
      <c r="ER60">
        <f ca="1">'JACOBIAN - SWAP USD3ML'!P69</f>
        <v>5.0964519715535104E-7</v>
      </c>
      <c r="ES60">
        <f ca="1">'JACOBIAN - SWAP USD3ML'!Q69</f>
        <v>-1.26969835267943E-6</v>
      </c>
      <c r="ET60">
        <f ca="1">'JACOBIAN - SWAP USD3ML'!R69</f>
        <v>1.12028008691922E-5</v>
      </c>
      <c r="EU60">
        <f ca="1">'JACOBIAN - SWAP USD3ML'!S69</f>
        <v>-5.8362161878378101E-5</v>
      </c>
      <c r="EV60">
        <f ca="1">'JACOBIAN - SWAP USD3ML'!T69</f>
        <v>2.53830981163716E-4</v>
      </c>
      <c r="EW60">
        <f ca="1">'JACOBIAN - SWAP USD3ML'!U69</f>
        <v>-8.7853712905161497E-4</v>
      </c>
      <c r="EX60">
        <f ca="1">'JACOBIAN - SWAP USD3ML'!V69</f>
        <v>7.9897269497486401E-4</v>
      </c>
      <c r="EY60">
        <f ca="1">'JACOBIAN - SWAP USD3ML'!W69</f>
        <v>-3.2626309040217898E-5</v>
      </c>
      <c r="EZ60">
        <f ca="1">'JACOBIAN - SWAP USD3ML'!X69</f>
        <v>6.4665552752529703E-6</v>
      </c>
      <c r="FA60">
        <f ca="1">'JACOBIAN - SWAP USD3ML'!Y69</f>
        <v>-2.06997877061355E-6</v>
      </c>
      <c r="FB60">
        <f ca="1">'JACOBIAN - SWAP USD3ML'!Z69</f>
        <v>4.2137246225593101E-7</v>
      </c>
    </row>
    <row r="61" spans="24:158" x14ac:dyDescent="0.25">
      <c r="X61" s="258">
        <f t="shared" ca="1" si="42"/>
        <v>47924</v>
      </c>
      <c r="Y61" s="261">
        <v>0</v>
      </c>
      <c r="AA61" s="257">
        <f t="shared" ca="1" si="35"/>
        <v>47924</v>
      </c>
      <c r="AB61" s="266">
        <f t="shared" ca="1" si="43"/>
        <v>-9.4568652826543297E-4</v>
      </c>
      <c r="AC61" s="266"/>
      <c r="AD61" s="290">
        <f ca="1"/>
        <v>47924</v>
      </c>
      <c r="AE61" s="291">
        <f ca="1"/>
        <v>-9.4568652826543254E-4</v>
      </c>
      <c r="AF61" s="291" t="b">
        <f t="shared" ca="1" si="36"/>
        <v>1</v>
      </c>
      <c r="AH61" s="257">
        <f t="shared" ca="1" si="44"/>
        <v>47924</v>
      </c>
      <c r="AI61" s="260">
        <v>0</v>
      </c>
      <c r="AK61" s="290">
        <f ca="1"/>
        <v>47924</v>
      </c>
      <c r="AL61" s="291">
        <f ca="1"/>
        <v>9.8483678431480928E-5</v>
      </c>
      <c r="AM61" s="291" t="b">
        <f t="shared" ca="1" si="45"/>
        <v>1</v>
      </c>
      <c r="AO61" s="257">
        <f t="shared" ca="1" si="46"/>
        <v>47924</v>
      </c>
      <c r="AP61" s="266">
        <f t="shared" ca="1" si="38"/>
        <v>9.8483678431481497E-5</v>
      </c>
      <c r="AR61" s="248">
        <f ca="1">'JACOBIAN - OIS USDOIS'!B70</f>
        <v>47924</v>
      </c>
      <c r="AS61">
        <f ca="1">'JACOBIAN - OIS USDOIS'!C70</f>
        <v>-9.3536609924171898E-7</v>
      </c>
      <c r="AT61">
        <f ca="1">'JACOBIAN - OIS USDOIS'!D70</f>
        <v>-8.4938500677367301E-11</v>
      </c>
      <c r="AU61">
        <f ca="1">'JACOBIAN - OIS USDOIS'!E70</f>
        <v>3.3960600998028698E-10</v>
      </c>
      <c r="AV61">
        <f ca="1">'JACOBIAN - OIS USDOIS'!F70</f>
        <v>-8.9480489684490305E-10</v>
      </c>
      <c r="AW61">
        <f ca="1">'JACOBIAN - OIS USDOIS'!G70</f>
        <v>1.15222498209278E-9</v>
      </c>
      <c r="AX61">
        <f ca="1">'JACOBIAN - OIS USDOIS'!H70</f>
        <v>-2.60487376113616E-9</v>
      </c>
      <c r="AY61">
        <f ca="1">'JACOBIAN - OIS USDOIS'!I70</f>
        <v>-3.0353798363691499E-9</v>
      </c>
      <c r="AZ61">
        <f ca="1">'JACOBIAN - OIS USDOIS'!J70</f>
        <v>-3.1835609259900399E-8</v>
      </c>
      <c r="BA61">
        <f ca="1">'JACOBIAN - OIS USDOIS'!K70</f>
        <v>1.22553147408055E-7</v>
      </c>
      <c r="BB61">
        <f ca="1">'JACOBIAN - OIS USDOIS'!L70</f>
        <v>1.66026922432394E-7</v>
      </c>
      <c r="BC61">
        <f ca="1">'JACOBIAN - OIS USDOIS'!M70</f>
        <v>3.5409984366907602E-7</v>
      </c>
      <c r="BD61">
        <f ca="1">'JACOBIAN - OIS USDOIS'!N70</f>
        <v>6.9122485513162196E-13</v>
      </c>
      <c r="BE61">
        <f ca="1">'JACOBIAN - OIS USDOIS'!O70</f>
        <v>6.9122485513162196E-13</v>
      </c>
      <c r="BF61">
        <f ca="1">'JACOBIAN - OIS USDOIS'!P70</f>
        <v>6.9122485513162196E-13</v>
      </c>
      <c r="BG61">
        <f ca="1">'JACOBIAN - OIS USDOIS'!Q70</f>
        <v>6.9122485513162196E-13</v>
      </c>
      <c r="BH61">
        <f ca="1">'JACOBIAN - OIS USDOIS'!R70</f>
        <v>6.9122485513162196E-13</v>
      </c>
      <c r="BI61" s="161">
        <f ca="1">'JACOBIAN - OIS USDOIS'!S70</f>
        <v>-3.0767031111711402E-7</v>
      </c>
      <c r="BJ61" s="161">
        <f ca="1">'JACOBIAN - OIS USDOIS'!T70</f>
        <v>-4.7235991545990802E-6</v>
      </c>
      <c r="BK61" s="161">
        <f ca="1">'JACOBIAN - OIS USDOIS'!U70</f>
        <v>2.26552102666755E-6</v>
      </c>
      <c r="BL61" s="161">
        <f ca="1">'JACOBIAN - OIS USDOIS'!V70</f>
        <v>-2.6037894974351198E-5</v>
      </c>
      <c r="BM61" s="161">
        <f ca="1">'JACOBIAN - OIS USDOIS'!W70</f>
        <v>3.2915862188342997E-5</v>
      </c>
      <c r="BN61" s="161">
        <f ca="1">'JACOBIAN - OIS USDOIS'!X70</f>
        <v>-1.0364199134393901E-4</v>
      </c>
      <c r="BO61" s="161">
        <f ca="1">'JACOBIAN - OIS USDOIS'!Y70</f>
        <v>3.94072173174997E-4</v>
      </c>
      <c r="BP61" s="161">
        <f ca="1">'JACOBIAN - OIS USDOIS'!Z70</f>
        <v>7.2542846996770404E-4</v>
      </c>
      <c r="BQ61" s="161">
        <f ca="1">'JACOBIAN - OIS USDOIS'!AA70</f>
        <v>-6.69945712450382E-5</v>
      </c>
      <c r="BR61" s="161">
        <f ca="1">'JACOBIAN - OIS USDOIS'!AB70</f>
        <v>9.9981615254707296E-6</v>
      </c>
      <c r="BS61" s="161">
        <f ca="1">'JACOBIAN - OIS USDOIS'!AC70</f>
        <v>-2.56353508742979E-6</v>
      </c>
      <c r="BT61" s="161">
        <f ca="1">'JACOBIAN - OIS USDOIS'!AD70</f>
        <v>4.3589824516576701E-7</v>
      </c>
      <c r="BU61">
        <f ca="1">'JACOBIAN - OIS USDOIS'!AE70</f>
        <v>3.0179546084419E-7</v>
      </c>
      <c r="BV61">
        <f ca="1">'JACOBIAN - OIS USDOIS'!AF70</f>
        <v>4.6446354731166701E-6</v>
      </c>
      <c r="BW61">
        <f ca="1">'JACOBIAN - OIS USDOIS'!AG70</f>
        <v>-2.2295630334179301E-6</v>
      </c>
      <c r="BX61">
        <f ca="1">'JACOBIAN - OIS USDOIS'!AH70</f>
        <v>2.56262598604673E-5</v>
      </c>
      <c r="BY61">
        <f ca="1">'JACOBIAN - OIS USDOIS'!AI70</f>
        <v>-3.2393952769216299E-5</v>
      </c>
      <c r="BZ61">
        <f ca="1">'JACOBIAN - OIS USDOIS'!AJ70</f>
        <v>1.02008033263434E-4</v>
      </c>
      <c r="CA61">
        <f ca="1">'JACOBIAN - OIS USDOIS'!AK70</f>
        <v>-3.8774349540016102E-4</v>
      </c>
      <c r="CB61">
        <f ca="1">'JACOBIAN - OIS USDOIS'!AL70</f>
        <v>-7.1380728463266195E-4</v>
      </c>
      <c r="CC61">
        <f ca="1">'JACOBIAN - OIS USDOIS'!AM70</f>
        <v>6.5990311708286105E-5</v>
      </c>
      <c r="CD61">
        <f ca="1">'JACOBIAN - OIS USDOIS'!AN70</f>
        <v>-9.8509324505391405E-6</v>
      </c>
      <c r="CE61">
        <f ca="1">'JACOBIAN - OIS USDOIS'!AO70</f>
        <v>2.5274681456632898E-6</v>
      </c>
      <c r="CF61">
        <f ca="1">'JACOBIAN - OIS USDOIS'!AP70</f>
        <v>-4.30157386377417E-7</v>
      </c>
      <c r="CK61" s="248">
        <f t="shared" ca="1" si="47"/>
        <v>47924</v>
      </c>
      <c r="CL61">
        <f t="shared" ca="1" si="48"/>
        <v>-9.3536609924171898E-7</v>
      </c>
      <c r="CM61">
        <f t="shared" ca="1" si="49"/>
        <v>-8.4938500677367301E-11</v>
      </c>
      <c r="CN61">
        <f t="shared" ca="1" si="50"/>
        <v>3.3960600998028698E-10</v>
      </c>
      <c r="CO61">
        <f t="shared" ca="1" si="51"/>
        <v>-8.9480489684490305E-10</v>
      </c>
      <c r="CP61">
        <f t="shared" ca="1" si="52"/>
        <v>1.15222498209278E-9</v>
      </c>
      <c r="CQ61">
        <f t="shared" ca="1" si="53"/>
        <v>-2.60487376113616E-9</v>
      </c>
      <c r="CR61">
        <f t="shared" ca="1" si="54"/>
        <v>-3.0353798363691499E-9</v>
      </c>
      <c r="CS61">
        <f t="shared" ca="1" si="55"/>
        <v>-3.1835609259900399E-8</v>
      </c>
      <c r="CT61">
        <f t="shared" ca="1" si="56"/>
        <v>1.22553147408055E-7</v>
      </c>
      <c r="CU61">
        <f t="shared" ca="1" si="57"/>
        <v>1.66026922432394E-7</v>
      </c>
      <c r="CV61">
        <f t="shared" ca="1" si="58"/>
        <v>3.5409984366907602E-7</v>
      </c>
      <c r="CW61">
        <f t="shared" ca="1" si="59"/>
        <v>6.9122485513162196E-13</v>
      </c>
      <c r="CX61">
        <f t="shared" ca="1" si="60"/>
        <v>6.9122485513162196E-13</v>
      </c>
      <c r="CY61">
        <f t="shared" ca="1" si="61"/>
        <v>6.9122485513162196E-13</v>
      </c>
      <c r="CZ61">
        <f t="shared" ca="1" si="62"/>
        <v>6.9122485513162196E-13</v>
      </c>
      <c r="DA61">
        <f t="shared" ca="1" si="63"/>
        <v>6.9122485513162196E-13</v>
      </c>
      <c r="DB61" s="146">
        <v>0</v>
      </c>
      <c r="DC61" s="146">
        <v>0</v>
      </c>
      <c r="DD61" s="146">
        <v>0</v>
      </c>
      <c r="DE61" s="146">
        <v>0</v>
      </c>
      <c r="DF61" s="146">
        <v>0</v>
      </c>
      <c r="DG61" s="146">
        <v>0</v>
      </c>
      <c r="DH61" s="146">
        <v>0</v>
      </c>
      <c r="DI61" s="146">
        <v>0</v>
      </c>
      <c r="DJ61" s="146">
        <v>0</v>
      </c>
      <c r="DK61" s="146">
        <v>0</v>
      </c>
      <c r="DL61" s="146">
        <v>0</v>
      </c>
      <c r="DM61" s="146">
        <v>0</v>
      </c>
      <c r="DN61">
        <f t="shared" ca="1" si="64"/>
        <v>3.0179546084419E-7</v>
      </c>
      <c r="DO61">
        <f t="shared" ca="1" si="65"/>
        <v>4.6446354731166701E-6</v>
      </c>
      <c r="DP61">
        <f t="shared" ca="1" si="66"/>
        <v>-2.2295630334179301E-6</v>
      </c>
      <c r="DQ61">
        <f t="shared" ca="1" si="67"/>
        <v>2.56262598604673E-5</v>
      </c>
      <c r="DR61">
        <f t="shared" ca="1" si="68"/>
        <v>-3.2393952769216299E-5</v>
      </c>
      <c r="DS61">
        <f t="shared" ca="1" si="69"/>
        <v>1.02008033263434E-4</v>
      </c>
      <c r="DT61">
        <f t="shared" ca="1" si="70"/>
        <v>-3.8774349540016102E-4</v>
      </c>
      <c r="DU61">
        <f t="shared" ca="1" si="71"/>
        <v>-7.1380728463266195E-4</v>
      </c>
      <c r="DV61">
        <f t="shared" ca="1" si="72"/>
        <v>6.5990311708286105E-5</v>
      </c>
      <c r="DW61">
        <f t="shared" ca="1" si="73"/>
        <v>-9.8509324505391405E-6</v>
      </c>
      <c r="DX61">
        <f t="shared" ca="1" si="74"/>
        <v>2.5274681456632898E-6</v>
      </c>
      <c r="DY61">
        <f t="shared" ca="1" si="75"/>
        <v>-4.30157386377417E-7</v>
      </c>
      <c r="ED61" s="248">
        <f ca="1">'JACOBIAN - SWAP USD3ML'!B70</f>
        <v>47924</v>
      </c>
      <c r="EE61">
        <f ca="1">'JACOBIAN - SWAP USD3ML'!C70</f>
        <v>1.01484098902205E-12</v>
      </c>
      <c r="EF61">
        <f ca="1">'JACOBIAN - SWAP USD3ML'!D70</f>
        <v>2.8902254513296598E-9</v>
      </c>
      <c r="EG61">
        <f ca="1">'JACOBIAN - SWAP USD3ML'!E70</f>
        <v>1.9443578691547E-11</v>
      </c>
      <c r="EH61">
        <f ca="1">'JACOBIAN - SWAP USD3ML'!F70</f>
        <v>1.01484098902205E-12</v>
      </c>
      <c r="EI61">
        <f ca="1">'JACOBIAN - SWAP USD3ML'!G70</f>
        <v>3.26512740456142E-11</v>
      </c>
      <c r="EJ61">
        <f ca="1">'JACOBIAN - SWAP USD3ML'!H70</f>
        <v>2.8818964610544101E-9</v>
      </c>
      <c r="EK61">
        <f ca="1">'JACOBIAN - SWAP USD3ML'!I70</f>
        <v>2.88951471430487E-9</v>
      </c>
      <c r="EL61">
        <f ca="1">'JACOBIAN - SWAP USD3ML'!J70</f>
        <v>2.8797911867661802E-9</v>
      </c>
      <c r="EM61">
        <f ca="1">'JACOBIAN - SWAP USD3ML'!K70</f>
        <v>2.8704803742285502E-9</v>
      </c>
      <c r="EN61">
        <f ca="1">'JACOBIAN - SWAP USD3ML'!L70</f>
        <v>2.8615805384990501E-9</v>
      </c>
      <c r="EO61">
        <f ca="1">'JACOBIAN - SWAP USD3ML'!M70</f>
        <v>2.8350817353473001E-9</v>
      </c>
      <c r="EP61">
        <f ca="1">'JACOBIAN - SWAP USD3ML'!N70</f>
        <v>6.14361170617195E-9</v>
      </c>
      <c r="EQ61">
        <f ca="1">'JACOBIAN - SWAP USD3ML'!O70</f>
        <v>-1.48828087246505E-7</v>
      </c>
      <c r="ER61">
        <f ca="1">'JACOBIAN - SWAP USD3ML'!P70</f>
        <v>7.2025971013453496E-7</v>
      </c>
      <c r="ES61">
        <f ca="1">'JACOBIAN - SWAP USD3ML'!Q70</f>
        <v>-1.7944115219790899E-6</v>
      </c>
      <c r="ET61">
        <f ca="1">'JACOBIAN - SWAP USD3ML'!R70</f>
        <v>1.5832481852506199E-5</v>
      </c>
      <c r="EU61">
        <f ca="1">'JACOBIAN - SWAP USD3ML'!S70</f>
        <v>-8.2479943280474395E-5</v>
      </c>
      <c r="EV61">
        <f ca="1">'JACOBIAN - SWAP USD3ML'!T70</f>
        <v>3.5874498796302501E-4</v>
      </c>
      <c r="EW61">
        <f ca="1">'JACOBIAN - SWAP USD3ML'!U70</f>
        <v>-9.6120285727677504E-4</v>
      </c>
      <c r="EX61">
        <f ca="1">'JACOBIAN - SWAP USD3ML'!V70</f>
        <v>7.4242482359181496E-4</v>
      </c>
      <c r="EY61">
        <f ca="1">'JACOBIAN - SWAP USD3ML'!W70</f>
        <v>3.09287313620989E-5</v>
      </c>
      <c r="EZ61">
        <f ca="1">'JACOBIAN - SWAP USD3ML'!X70</f>
        <v>-6.1308459587336397E-6</v>
      </c>
      <c r="FA61">
        <f ca="1">'JACOBIAN - SWAP USD3ML'!Y70</f>
        <v>1.9624604185170002E-6</v>
      </c>
      <c r="FB61">
        <f ca="1">'JACOBIAN - SWAP USD3ML'!Z70</f>
        <v>-3.9948664810884898E-7</v>
      </c>
    </row>
    <row r="62" spans="24:158" x14ac:dyDescent="0.25">
      <c r="X62" s="258">
        <f t="shared" ca="1" si="42"/>
        <v>48016</v>
      </c>
      <c r="Y62" s="261">
        <v>0</v>
      </c>
      <c r="AA62" s="257">
        <f t="shared" ca="1" si="35"/>
        <v>48016</v>
      </c>
      <c r="AB62" s="266">
        <f t="shared" ca="1" si="43"/>
        <v>-9.6259978360069276E-4</v>
      </c>
      <c r="AC62" s="266"/>
      <c r="AD62" s="290">
        <f ca="1"/>
        <v>48016</v>
      </c>
      <c r="AE62" s="291">
        <f ca="1"/>
        <v>-9.6259978360069276E-4</v>
      </c>
      <c r="AF62" s="291" t="b">
        <f t="shared" ca="1" si="36"/>
        <v>1</v>
      </c>
      <c r="AH62" s="257">
        <f t="shared" ca="1" si="44"/>
        <v>48016</v>
      </c>
      <c r="AI62" s="260">
        <v>0</v>
      </c>
      <c r="AK62" s="290">
        <f ca="1"/>
        <v>48016</v>
      </c>
      <c r="AL62" s="291">
        <f ca="1"/>
        <v>9.8459995050148683E-5</v>
      </c>
      <c r="AM62" s="291" t="b">
        <f t="shared" ca="1" si="45"/>
        <v>1</v>
      </c>
      <c r="AO62" s="257">
        <f t="shared" ca="1" si="46"/>
        <v>48016</v>
      </c>
      <c r="AP62" s="266">
        <f t="shared" ca="1" si="38"/>
        <v>9.8459995050148344E-5</v>
      </c>
      <c r="AR62" s="248">
        <f ca="1">'JACOBIAN - OIS USDOIS'!B71</f>
        <v>48016</v>
      </c>
      <c r="AS62">
        <f ca="1">'JACOBIAN - OIS USDOIS'!C71</f>
        <v>-9.3105053744491105E-7</v>
      </c>
      <c r="AT62">
        <f ca="1">'JACOBIAN - OIS USDOIS'!D71</f>
        <v>-3.9211411895223598E-11</v>
      </c>
      <c r="AU62">
        <f ca="1">'JACOBIAN - OIS USDOIS'!E71</f>
        <v>1.56903934289687E-10</v>
      </c>
      <c r="AV62">
        <f ca="1">'JACOBIAN - OIS USDOIS'!F71</f>
        <v>-4.1348724444389998E-10</v>
      </c>
      <c r="AW62">
        <f ca="1">'JACOBIAN - OIS USDOIS'!G71</f>
        <v>5.3269133548638995E-10</v>
      </c>
      <c r="AX62">
        <f ca="1">'JACOBIAN - OIS USDOIS'!H71</f>
        <v>-1.2036778240798199E-9</v>
      </c>
      <c r="AY62">
        <f ca="1">'JACOBIAN - OIS USDOIS'!I71</f>
        <v>-7.7137515264169598E-9</v>
      </c>
      <c r="AZ62">
        <f ca="1">'JACOBIAN - OIS USDOIS'!J71</f>
        <v>-1.47104433079193E-8</v>
      </c>
      <c r="BA62">
        <f ca="1">'JACOBIAN - OIS USDOIS'!K71</f>
        <v>5.6624957944784198E-8</v>
      </c>
      <c r="BB62">
        <f ca="1">'JACOBIAN - OIS USDOIS'!L71</f>
        <v>2.65815900069022E-7</v>
      </c>
      <c r="BC62">
        <f ca="1">'JACOBIAN - OIS USDOIS'!M71</f>
        <v>1.4458834030062201E-7</v>
      </c>
      <c r="BD62">
        <f ca="1">'JACOBIAN - OIS USDOIS'!N71</f>
        <v>6.8312022705185902E-13</v>
      </c>
      <c r="BE62">
        <f ca="1">'JACOBIAN - OIS USDOIS'!O71</f>
        <v>6.8312022705185902E-13</v>
      </c>
      <c r="BF62">
        <f ca="1">'JACOBIAN - OIS USDOIS'!P71</f>
        <v>6.8312022705185902E-13</v>
      </c>
      <c r="BG62">
        <f ca="1">'JACOBIAN - OIS USDOIS'!Q71</f>
        <v>6.8312022705185902E-13</v>
      </c>
      <c r="BH62">
        <f ca="1">'JACOBIAN - OIS USDOIS'!R71</f>
        <v>6.8312022705185902E-13</v>
      </c>
      <c r="BI62" s="161">
        <f ca="1">'JACOBIAN - OIS USDOIS'!S71</f>
        <v>-5.8089140164696605E-7</v>
      </c>
      <c r="BJ62" s="161">
        <f ca="1">'JACOBIAN - OIS USDOIS'!T71</f>
        <v>-4.2586280684098199E-6</v>
      </c>
      <c r="BK62" s="161">
        <f ca="1">'JACOBIAN - OIS USDOIS'!U71</f>
        <v>5.7524736141179002E-7</v>
      </c>
      <c r="BL62" s="161">
        <f ca="1">'JACOBIAN - OIS USDOIS'!V71</f>
        <v>-1.9715680716236901E-5</v>
      </c>
      <c r="BM62" s="161">
        <f ca="1">'JACOBIAN - OIS USDOIS'!W71</f>
        <v>2.02728427399768E-5</v>
      </c>
      <c r="BN62" s="161">
        <f ca="1">'JACOBIAN - OIS USDOIS'!X71</f>
        <v>-8.0340356592656397E-5</v>
      </c>
      <c r="BO62" s="161">
        <f ca="1">'JACOBIAN - OIS USDOIS'!Y71</f>
        <v>2.39491938895053E-4</v>
      </c>
      <c r="BP62" s="161">
        <f ca="1">'JACOBIAN - OIS USDOIS'!Z71</f>
        <v>8.7609152284884295E-4</v>
      </c>
      <c r="BQ62" s="161">
        <f ca="1">'JACOBIAN - OIS USDOIS'!AA71</f>
        <v>-6.0718847784690903E-5</v>
      </c>
      <c r="BR62" s="161">
        <f ca="1">'JACOBIAN - OIS USDOIS'!AB71</f>
        <v>9.0615443101294008E-6</v>
      </c>
      <c r="BS62" s="161">
        <f ca="1">'JACOBIAN - OIS USDOIS'!AC71</f>
        <v>-2.32338740135951E-6</v>
      </c>
      <c r="BT62" s="161">
        <f ca="1">'JACOBIAN - OIS USDOIS'!AD71</f>
        <v>3.9506404392319899E-7</v>
      </c>
      <c r="BU62">
        <f ca="1">'JACOBIAN - OIS USDOIS'!AE71</f>
        <v>5.7006838494189104E-7</v>
      </c>
      <c r="BV62">
        <f ca="1">'JACOBIAN - OIS USDOIS'!AF71</f>
        <v>4.1873923102286898E-6</v>
      </c>
      <c r="BW62">
        <f ca="1">'JACOBIAN - OIS USDOIS'!AG71</f>
        <v>-5.6642727974676198E-7</v>
      </c>
      <c r="BX62">
        <f ca="1">'JACOBIAN - OIS USDOIS'!AH71</f>
        <v>1.9403295167919099E-5</v>
      </c>
      <c r="BY62">
        <f ca="1">'JACOBIAN - OIS USDOIS'!AI71</f>
        <v>-1.9954814736378199E-5</v>
      </c>
      <c r="BZ62">
        <f ca="1">'JACOBIAN - OIS USDOIS'!AJ71</f>
        <v>7.9067652655417903E-5</v>
      </c>
      <c r="CA62">
        <f ca="1">'JACOBIAN - OIS USDOIS'!AK71</f>
        <v>-2.3570016551044401E-4</v>
      </c>
      <c r="CB62">
        <f ca="1">'JACOBIAN - OIS USDOIS'!AL71</f>
        <v>-8.6190032066424404E-4</v>
      </c>
      <c r="CC62">
        <f ca="1">'JACOBIAN - OIS USDOIS'!AM71</f>
        <v>5.9808224470825297E-5</v>
      </c>
      <c r="CD62">
        <f ca="1">'JACOBIAN - OIS USDOIS'!AN71</f>
        <v>-8.9281172394040098E-6</v>
      </c>
      <c r="CE62">
        <f ca="1">'JACOBIAN - OIS USDOIS'!AO71</f>
        <v>2.2906986234527702E-6</v>
      </c>
      <c r="CF62">
        <f ca="1">'JACOBIAN - OIS USDOIS'!AP71</f>
        <v>-3.8986088368719899E-7</v>
      </c>
      <c r="CK62" s="248">
        <f t="shared" ca="1" si="47"/>
        <v>48016</v>
      </c>
      <c r="CL62">
        <f t="shared" ca="1" si="48"/>
        <v>-9.3105053744491105E-7</v>
      </c>
      <c r="CM62">
        <f t="shared" ca="1" si="49"/>
        <v>-3.9211411895223598E-11</v>
      </c>
      <c r="CN62">
        <f t="shared" ca="1" si="50"/>
        <v>1.56903934289687E-10</v>
      </c>
      <c r="CO62">
        <f t="shared" ca="1" si="51"/>
        <v>-4.1348724444389998E-10</v>
      </c>
      <c r="CP62">
        <f t="shared" ca="1" si="52"/>
        <v>5.3269133548638995E-10</v>
      </c>
      <c r="CQ62">
        <f t="shared" ca="1" si="53"/>
        <v>-1.2036778240798199E-9</v>
      </c>
      <c r="CR62">
        <f t="shared" ca="1" si="54"/>
        <v>-7.7137515264169598E-9</v>
      </c>
      <c r="CS62">
        <f t="shared" ca="1" si="55"/>
        <v>-1.47104433079193E-8</v>
      </c>
      <c r="CT62">
        <f t="shared" ca="1" si="56"/>
        <v>5.6624957944784198E-8</v>
      </c>
      <c r="CU62">
        <f t="shared" ca="1" si="57"/>
        <v>2.65815900069022E-7</v>
      </c>
      <c r="CV62">
        <f t="shared" ca="1" si="58"/>
        <v>1.4458834030062201E-7</v>
      </c>
      <c r="CW62">
        <f t="shared" ca="1" si="59"/>
        <v>6.8312022705185902E-13</v>
      </c>
      <c r="CX62">
        <f t="shared" ca="1" si="60"/>
        <v>6.8312022705185902E-13</v>
      </c>
      <c r="CY62">
        <f t="shared" ca="1" si="61"/>
        <v>6.8312022705185902E-13</v>
      </c>
      <c r="CZ62">
        <f t="shared" ca="1" si="62"/>
        <v>6.8312022705185902E-13</v>
      </c>
      <c r="DA62">
        <f t="shared" ca="1" si="63"/>
        <v>6.8312022705185902E-13</v>
      </c>
      <c r="DB62" s="146">
        <v>0</v>
      </c>
      <c r="DC62" s="146">
        <v>0</v>
      </c>
      <c r="DD62" s="146">
        <v>0</v>
      </c>
      <c r="DE62" s="146">
        <v>0</v>
      </c>
      <c r="DF62" s="146">
        <v>0</v>
      </c>
      <c r="DG62" s="146">
        <v>0</v>
      </c>
      <c r="DH62" s="146">
        <v>0</v>
      </c>
      <c r="DI62" s="146">
        <v>0</v>
      </c>
      <c r="DJ62" s="146">
        <v>0</v>
      </c>
      <c r="DK62" s="146">
        <v>0</v>
      </c>
      <c r="DL62" s="146">
        <v>0</v>
      </c>
      <c r="DM62" s="146">
        <v>0</v>
      </c>
      <c r="DN62">
        <f t="shared" ca="1" si="64"/>
        <v>5.7006838494189104E-7</v>
      </c>
      <c r="DO62">
        <f t="shared" ca="1" si="65"/>
        <v>4.1873923102286898E-6</v>
      </c>
      <c r="DP62">
        <f t="shared" ca="1" si="66"/>
        <v>-5.6642727974676198E-7</v>
      </c>
      <c r="DQ62">
        <f t="shared" ca="1" si="67"/>
        <v>1.9403295167919099E-5</v>
      </c>
      <c r="DR62">
        <f t="shared" ca="1" si="68"/>
        <v>-1.9954814736378199E-5</v>
      </c>
      <c r="DS62">
        <f t="shared" ca="1" si="69"/>
        <v>7.9067652655417903E-5</v>
      </c>
      <c r="DT62">
        <f t="shared" ca="1" si="70"/>
        <v>-2.3570016551044401E-4</v>
      </c>
      <c r="DU62">
        <f t="shared" ca="1" si="71"/>
        <v>-8.6190032066424404E-4</v>
      </c>
      <c r="DV62">
        <f t="shared" ca="1" si="72"/>
        <v>5.9808224470825297E-5</v>
      </c>
      <c r="DW62">
        <f t="shared" ca="1" si="73"/>
        <v>-8.9281172394040098E-6</v>
      </c>
      <c r="DX62">
        <f t="shared" ca="1" si="74"/>
        <v>2.2906986234527702E-6</v>
      </c>
      <c r="DY62">
        <f t="shared" ca="1" si="75"/>
        <v>-3.8986088368719899E-7</v>
      </c>
      <c r="ED62" s="248">
        <f ca="1">'JACOBIAN - SWAP USD3ML'!B71</f>
        <v>48016</v>
      </c>
      <c r="EE62">
        <f ca="1">'JACOBIAN - SWAP USD3ML'!C71</f>
        <v>1.00615349385436E-12</v>
      </c>
      <c r="EF62">
        <f ca="1">'JACOBIAN - SWAP USD3ML'!D71</f>
        <v>3.2082154328982899E-9</v>
      </c>
      <c r="EG62">
        <f ca="1">'JACOBIAN - SWAP USD3ML'!E71</f>
        <v>1.9575646659220099E-11</v>
      </c>
      <c r="EH62">
        <f ca="1">'JACOBIAN - SWAP USD3ML'!F71</f>
        <v>1.00441530093143E-12</v>
      </c>
      <c r="EI62">
        <f ca="1">'JACOBIAN - SWAP USD3ML'!G71</f>
        <v>3.61206724253105E-11</v>
      </c>
      <c r="EJ62">
        <f ca="1">'JACOBIAN - SWAP USD3ML'!H71</f>
        <v>3.1987204204830802E-9</v>
      </c>
      <c r="EK62">
        <f ca="1">'JACOBIAN - SWAP USD3ML'!I71</f>
        <v>3.2053351292638002E-9</v>
      </c>
      <c r="EL62">
        <f ca="1">'JACOBIAN - SWAP USD3ML'!J71</f>
        <v>3.19456895658821E-9</v>
      </c>
      <c r="EM62">
        <f ca="1">'JACOBIAN - SWAP USD3ML'!K71</f>
        <v>3.1842554669425599E-9</v>
      </c>
      <c r="EN62">
        <f ca="1">'JACOBIAN - SWAP USD3ML'!L71</f>
        <v>3.17437728186709E-9</v>
      </c>
      <c r="EO62">
        <f ca="1">'JACOBIAN - SWAP USD3ML'!M71</f>
        <v>3.1449877493927601E-9</v>
      </c>
      <c r="EP62">
        <f ca="1">'JACOBIAN - SWAP USD3ML'!N71</f>
        <v>6.8158053125044699E-9</v>
      </c>
      <c r="EQ62">
        <f ca="1">'JACOBIAN - SWAP USD3ML'!O71</f>
        <v>-1.6511221433493399E-7</v>
      </c>
      <c r="ER62">
        <f ca="1">'JACOBIAN - SWAP USD3ML'!P71</f>
        <v>7.9906706121346496E-7</v>
      </c>
      <c r="ES62">
        <f ca="1">'JACOBIAN - SWAP USD3ML'!Q71</f>
        <v>-1.9907480655230501E-6</v>
      </c>
      <c r="ET62">
        <f ca="1">'JACOBIAN - SWAP USD3ML'!R71</f>
        <v>1.7564815899155E-5</v>
      </c>
      <c r="EU62">
        <f ca="1">'JACOBIAN - SWAP USD3ML'!S71</f>
        <v>-9.1504191184199599E-5</v>
      </c>
      <c r="EV62">
        <f ca="1">'JACOBIAN - SWAP USD3ML'!T71</f>
        <v>3.9800389295166499E-4</v>
      </c>
      <c r="EW62">
        <f ca="1">'JACOBIAN - SWAP USD3ML'!U71</f>
        <v>-9.4669518966257504E-4</v>
      </c>
      <c r="EX62">
        <f ca="1">'JACOBIAN - SWAP USD3ML'!V71</f>
        <v>6.2259616812836496E-4</v>
      </c>
      <c r="EY62">
        <f ca="1">'JACOBIAN - SWAP USD3ML'!W71</f>
        <v>1.17118113489096E-4</v>
      </c>
      <c r="EZ62">
        <f ca="1">'JACOBIAN - SWAP USD3ML'!X71</f>
        <v>-2.3214243966247102E-5</v>
      </c>
      <c r="FA62">
        <f ca="1">'JACOBIAN - SWAP USD3ML'!Y71</f>
        <v>7.4309002264516499E-6</v>
      </c>
      <c r="FB62">
        <f ca="1">'JACOBIAN - SWAP USD3ML'!Z71</f>
        <v>-1.5126615855558201E-6</v>
      </c>
    </row>
    <row r="63" spans="24:158" x14ac:dyDescent="0.25">
      <c r="X63" s="258">
        <f t="shared" ca="1" si="42"/>
        <v>48108</v>
      </c>
      <c r="Y63" s="261">
        <v>0</v>
      </c>
      <c r="AA63" s="257">
        <f t="shared" ca="1" si="35"/>
        <v>48108</v>
      </c>
      <c r="AB63" s="266">
        <f t="shared" ca="1" si="43"/>
        <v>-9.7930295639792097E-4</v>
      </c>
      <c r="AC63" s="266"/>
      <c r="AD63" s="290">
        <f ca="1"/>
        <v>48108</v>
      </c>
      <c r="AE63" s="291">
        <f ca="1"/>
        <v>-9.7930295639792053E-4</v>
      </c>
      <c r="AF63" s="291" t="b">
        <f t="shared" ca="1" si="36"/>
        <v>1</v>
      </c>
      <c r="AH63" s="257">
        <f t="shared" ca="1" si="44"/>
        <v>48108</v>
      </c>
      <c r="AI63" s="260">
        <v>0</v>
      </c>
      <c r="AK63" s="290">
        <f ca="1"/>
        <v>48108</v>
      </c>
      <c r="AL63" s="291">
        <f ca="1"/>
        <v>9.83952905816538E-5</v>
      </c>
      <c r="AM63" s="291" t="b">
        <f t="shared" ca="1" si="45"/>
        <v>1</v>
      </c>
      <c r="AO63" s="257">
        <f t="shared" ca="1" si="46"/>
        <v>48108</v>
      </c>
      <c r="AP63" s="266">
        <f t="shared" ca="1" si="38"/>
        <v>9.839529058165376E-5</v>
      </c>
      <c r="AR63" s="248">
        <f ca="1">'JACOBIAN - OIS USDOIS'!B72</f>
        <v>48108</v>
      </c>
      <c r="AS63">
        <f ca="1">'JACOBIAN - OIS USDOIS'!C72</f>
        <v>-9.2674779550439002E-7</v>
      </c>
      <c r="AT63">
        <f ca="1">'JACOBIAN - OIS USDOIS'!D72</f>
        <v>1.3542722498982601E-11</v>
      </c>
      <c r="AU63">
        <f ca="1">'JACOBIAN - OIS USDOIS'!E72</f>
        <v>-5.3911985986587797E-11</v>
      </c>
      <c r="AV63">
        <f ca="1">'JACOBIAN - OIS USDOIS'!F72</f>
        <v>1.41882061654997E-10</v>
      </c>
      <c r="AW63">
        <f ca="1">'JACOBIAN - OIS USDOIS'!G72</f>
        <v>-1.82158066408533E-10</v>
      </c>
      <c r="AX63">
        <f ca="1">'JACOBIAN - OIS USDOIS'!H72</f>
        <v>4.1306902343052302E-10</v>
      </c>
      <c r="AY63">
        <f ca="1">'JACOBIAN - OIS USDOIS'!I72</f>
        <v>-1.31235913247707E-8</v>
      </c>
      <c r="AZ63">
        <f ca="1">'JACOBIAN - OIS USDOIS'!J72</f>
        <v>5.0491507641581304E-9</v>
      </c>
      <c r="BA63">
        <f ca="1">'JACOBIAN - OIS USDOIS'!K72</f>
        <v>-1.9445205445833799E-8</v>
      </c>
      <c r="BB63">
        <f ca="1">'JACOBIAN - OIS USDOIS'!L72</f>
        <v>3.8091206067125698E-7</v>
      </c>
      <c r="BC63">
        <f ca="1">'JACOBIAN - OIS USDOIS'!M72</f>
        <v>-9.7188450953744594E-8</v>
      </c>
      <c r="BD63">
        <f ca="1">'JACOBIAN - OIS USDOIS'!N72</f>
        <v>6.7434946515731998E-13</v>
      </c>
      <c r="BE63">
        <f ca="1">'JACOBIAN - OIS USDOIS'!O72</f>
        <v>6.7434946515731998E-13</v>
      </c>
      <c r="BF63">
        <f ca="1">'JACOBIAN - OIS USDOIS'!P72</f>
        <v>6.7434946515731998E-13</v>
      </c>
      <c r="BG63">
        <f ca="1">'JACOBIAN - OIS USDOIS'!Q72</f>
        <v>6.7434946515731998E-13</v>
      </c>
      <c r="BH63">
        <f ca="1">'JACOBIAN - OIS USDOIS'!R72</f>
        <v>6.7434946515731998E-13</v>
      </c>
      <c r="BI63" s="161">
        <f ca="1">'JACOBIAN - OIS USDOIS'!S72</f>
        <v>-8.96012669615587E-7</v>
      </c>
      <c r="BJ63" s="161">
        <f ca="1">'JACOBIAN - OIS USDOIS'!T72</f>
        <v>-3.7212961764287998E-6</v>
      </c>
      <c r="BK63" s="161">
        <f ca="1">'JACOBIAN - OIS USDOIS'!U72</f>
        <v>-1.3760861564682301E-6</v>
      </c>
      <c r="BL63" s="161">
        <f ca="1">'JACOBIAN - OIS USDOIS'!V72</f>
        <v>-1.2410725493627899E-5</v>
      </c>
      <c r="BM63" s="161">
        <f ca="1">'JACOBIAN - OIS USDOIS'!W72</f>
        <v>5.6682793860840502E-6</v>
      </c>
      <c r="BN63" s="161">
        <f ca="1">'JACOBIAN - OIS USDOIS'!X72</f>
        <v>-5.3413931134671501E-5</v>
      </c>
      <c r="BO63" s="161">
        <f ca="1">'JACOBIAN - OIS USDOIS'!Y72</f>
        <v>9.1415352851287297E-5</v>
      </c>
      <c r="BP63" s="161">
        <f ca="1">'JACOBIAN - OIS USDOIS'!Z72</f>
        <v>1.00433654146226E-3</v>
      </c>
      <c r="BQ63" s="161">
        <f ca="1">'JACOBIAN - OIS USDOIS'!AA72</f>
        <v>-3.9348081607770702E-5</v>
      </c>
      <c r="BR63" s="161">
        <f ca="1">'JACOBIAN - OIS USDOIS'!AB72</f>
        <v>5.8721310631781901E-6</v>
      </c>
      <c r="BS63" s="161">
        <f ca="1">'JACOBIAN - OIS USDOIS'!AC72</f>
        <v>-1.50562280176736E-6</v>
      </c>
      <c r="BT63" s="161">
        <f ca="1">'JACOBIAN - OIS USDOIS'!AD72</f>
        <v>2.5601313347056699E-7</v>
      </c>
      <c r="BU63">
        <f ca="1">'JACOBIAN - OIS USDOIS'!AE72</f>
        <v>8.7948294669182303E-7</v>
      </c>
      <c r="BV63">
        <f ca="1">'JACOBIAN - OIS USDOIS'!AF72</f>
        <v>3.6589916975193802E-6</v>
      </c>
      <c r="BW63">
        <f ca="1">'JACOBIAN - OIS USDOIS'!AG72</f>
        <v>1.35358595321211E-6</v>
      </c>
      <c r="BX63">
        <f ca="1">'JACOBIAN - OIS USDOIS'!AH72</f>
        <v>1.22131311294238E-5</v>
      </c>
      <c r="BY63">
        <f ca="1">'JACOBIAN - OIS USDOIS'!AI72</f>
        <v>-5.5853048405163397E-6</v>
      </c>
      <c r="BZ63">
        <f ca="1">'JACOBIAN - OIS USDOIS'!AJ72</f>
        <v>5.2560211174501603E-5</v>
      </c>
      <c r="CA63">
        <f ca="1">'JACOBIAN - OIS USDOIS'!AK72</f>
        <v>-9.0002217063678294E-5</v>
      </c>
      <c r="CB63">
        <f ca="1">'JACOBIAN - OIS USDOIS'!AL72</f>
        <v>-9.8791369629047708E-4</v>
      </c>
      <c r="CC63">
        <f ca="1">'JACOBIAN - OIS USDOIS'!AM72</f>
        <v>3.8756958652741397E-5</v>
      </c>
      <c r="CD63">
        <f ca="1">'JACOBIAN - OIS USDOIS'!AN72</f>
        <v>-5.7856890700591601E-6</v>
      </c>
      <c r="CE63">
        <f ca="1">'JACOBIAN - OIS USDOIS'!AO72</f>
        <v>1.48443845515711E-6</v>
      </c>
      <c r="CF63">
        <f ca="1">'JACOBIAN - OIS USDOIS'!AP72</f>
        <v>-2.5264110614653401E-7</v>
      </c>
      <c r="CK63" s="248">
        <f t="shared" ca="1" si="47"/>
        <v>48108</v>
      </c>
      <c r="CL63">
        <f t="shared" ca="1" si="48"/>
        <v>-9.2674779550439002E-7</v>
      </c>
      <c r="CM63">
        <f t="shared" ca="1" si="49"/>
        <v>1.3542722498982601E-11</v>
      </c>
      <c r="CN63">
        <f t="shared" ca="1" si="50"/>
        <v>-5.3911985986587797E-11</v>
      </c>
      <c r="CO63">
        <f t="shared" ca="1" si="51"/>
        <v>1.41882061654997E-10</v>
      </c>
      <c r="CP63">
        <f t="shared" ca="1" si="52"/>
        <v>-1.82158066408533E-10</v>
      </c>
      <c r="CQ63">
        <f t="shared" ca="1" si="53"/>
        <v>4.1306902343052302E-10</v>
      </c>
      <c r="CR63">
        <f t="shared" ca="1" si="54"/>
        <v>-1.31235913247707E-8</v>
      </c>
      <c r="CS63">
        <f t="shared" ca="1" si="55"/>
        <v>5.0491507641581304E-9</v>
      </c>
      <c r="CT63">
        <f t="shared" ca="1" si="56"/>
        <v>-1.9445205445833799E-8</v>
      </c>
      <c r="CU63">
        <f t="shared" ca="1" si="57"/>
        <v>3.8091206067125698E-7</v>
      </c>
      <c r="CV63">
        <f t="shared" ca="1" si="58"/>
        <v>-9.7188450953744594E-8</v>
      </c>
      <c r="CW63">
        <f t="shared" ca="1" si="59"/>
        <v>6.7434946515731998E-13</v>
      </c>
      <c r="CX63">
        <f t="shared" ca="1" si="60"/>
        <v>6.7434946515731998E-13</v>
      </c>
      <c r="CY63">
        <f t="shared" ca="1" si="61"/>
        <v>6.7434946515731998E-13</v>
      </c>
      <c r="CZ63">
        <f t="shared" ca="1" si="62"/>
        <v>6.7434946515731998E-13</v>
      </c>
      <c r="DA63">
        <f t="shared" ca="1" si="63"/>
        <v>6.7434946515731998E-13</v>
      </c>
      <c r="DB63" s="146">
        <v>0</v>
      </c>
      <c r="DC63" s="146">
        <v>0</v>
      </c>
      <c r="DD63" s="146">
        <v>0</v>
      </c>
      <c r="DE63" s="146">
        <v>0</v>
      </c>
      <c r="DF63" s="146">
        <v>0</v>
      </c>
      <c r="DG63" s="146">
        <v>0</v>
      </c>
      <c r="DH63" s="146">
        <v>0</v>
      </c>
      <c r="DI63" s="146">
        <v>0</v>
      </c>
      <c r="DJ63" s="146">
        <v>0</v>
      </c>
      <c r="DK63" s="146">
        <v>0</v>
      </c>
      <c r="DL63" s="146">
        <v>0</v>
      </c>
      <c r="DM63" s="146">
        <v>0</v>
      </c>
      <c r="DN63">
        <f t="shared" ca="1" si="64"/>
        <v>8.7948294669182303E-7</v>
      </c>
      <c r="DO63">
        <f t="shared" ca="1" si="65"/>
        <v>3.6589916975193802E-6</v>
      </c>
      <c r="DP63">
        <f t="shared" ca="1" si="66"/>
        <v>1.35358595321211E-6</v>
      </c>
      <c r="DQ63">
        <f t="shared" ca="1" si="67"/>
        <v>1.22131311294238E-5</v>
      </c>
      <c r="DR63">
        <f t="shared" ca="1" si="68"/>
        <v>-5.5853048405163397E-6</v>
      </c>
      <c r="DS63">
        <f t="shared" ca="1" si="69"/>
        <v>5.2560211174501603E-5</v>
      </c>
      <c r="DT63">
        <f t="shared" ca="1" si="70"/>
        <v>-9.0002217063678294E-5</v>
      </c>
      <c r="DU63">
        <f t="shared" ca="1" si="71"/>
        <v>-9.8791369629047708E-4</v>
      </c>
      <c r="DV63">
        <f t="shared" ca="1" si="72"/>
        <v>3.8756958652741397E-5</v>
      </c>
      <c r="DW63">
        <f t="shared" ca="1" si="73"/>
        <v>-5.7856890700591601E-6</v>
      </c>
      <c r="DX63">
        <f t="shared" ca="1" si="74"/>
        <v>1.48443845515711E-6</v>
      </c>
      <c r="DY63">
        <f t="shared" ca="1" si="75"/>
        <v>-2.5264110614653401E-7</v>
      </c>
      <c r="ED63" s="248">
        <f ca="1">'JACOBIAN - SWAP USD3ML'!B72</f>
        <v>48108</v>
      </c>
      <c r="EE63">
        <f ca="1">'JACOBIAN - SWAP USD3ML'!C72</f>
        <v>9.126761846278699E-13</v>
      </c>
      <c r="EF63">
        <f ca="1">'JACOBIAN - SWAP USD3ML'!D72</f>
        <v>2.9855010755253102E-9</v>
      </c>
      <c r="EG63">
        <f ca="1">'JACOBIAN - SWAP USD3ML'!E72</f>
        <v>1.8100684145983001E-11</v>
      </c>
      <c r="EH63">
        <f ca="1">'JACOBIAN - SWAP USD3ML'!F72</f>
        <v>9.126761846278699E-13</v>
      </c>
      <c r="EI63">
        <f ca="1">'JACOBIAN - SWAP USD3ML'!G72</f>
        <v>3.3590710074582501E-11</v>
      </c>
      <c r="EJ63">
        <f ca="1">'JACOBIAN - SWAP USD3ML'!H72</f>
        <v>2.97665276802195E-9</v>
      </c>
      <c r="EK63">
        <f ca="1">'JACOBIAN - SWAP USD3ML'!I72</f>
        <v>2.9827182460029401E-9</v>
      </c>
      <c r="EL63">
        <f ca="1">'JACOBIAN - SWAP USD3ML'!J72</f>
        <v>2.9726998883317099E-9</v>
      </c>
      <c r="EM63">
        <f ca="1">'JACOBIAN - SWAP USD3ML'!K72</f>
        <v>2.9631040468491899E-9</v>
      </c>
      <c r="EN63">
        <f ca="1">'JACOBIAN - SWAP USD3ML'!L72</f>
        <v>2.9539105224352098E-9</v>
      </c>
      <c r="EO63">
        <f ca="1">'JACOBIAN - SWAP USD3ML'!M72</f>
        <v>2.92656272826708E-9</v>
      </c>
      <c r="EP63">
        <f ca="1">'JACOBIAN - SWAP USD3ML'!N72</f>
        <v>6.3424896099006897E-9</v>
      </c>
      <c r="EQ63">
        <f ca="1">'JACOBIAN - SWAP USD3ML'!O72</f>
        <v>-1.53646437992677E-7</v>
      </c>
      <c r="ER63">
        <f ca="1">'JACOBIAN - SWAP USD3ML'!P72</f>
        <v>7.4357802376870397E-7</v>
      </c>
      <c r="ES63">
        <f ca="1">'JACOBIAN - SWAP USD3ML'!Q72</f>
        <v>-1.8525065332286601E-6</v>
      </c>
      <c r="ET63">
        <f ca="1">'JACOBIAN - SWAP USD3ML'!R72</f>
        <v>1.63450816538686E-5</v>
      </c>
      <c r="EU63">
        <f ca="1">'JACOBIAN - SWAP USD3ML'!S72</f>
        <v>-8.5149967627203699E-5</v>
      </c>
      <c r="EV63">
        <f ca="1">'JACOBIAN - SWAP USD3ML'!T72</f>
        <v>3.7036572571011803E-4</v>
      </c>
      <c r="EW63">
        <f ca="1">'JACOBIAN - SWAP USD3ML'!U72</f>
        <v>-8.3440897852533902E-4</v>
      </c>
      <c r="EX63">
        <f ca="1">'JACOBIAN - SWAP USD3ML'!V72</f>
        <v>4.4094418981703901E-4</v>
      </c>
      <c r="EY63">
        <f ca="1">'JACOBIAN - SWAP USD3ML'!W72</f>
        <v>2.24720479272821E-4</v>
      </c>
      <c r="EZ63">
        <f ca="1">'JACOBIAN - SWAP USD3ML'!X72</f>
        <v>-4.4541229667211003E-5</v>
      </c>
      <c r="FA63">
        <f ca="1">'JACOBIAN - SWAP USD3ML'!Y72</f>
        <v>1.42577677084456E-5</v>
      </c>
      <c r="FB63">
        <f ca="1">'JACOBIAN - SWAP USD3ML'!Z72</f>
        <v>-2.9023599690640398E-6</v>
      </c>
    </row>
    <row r="64" spans="24:158" x14ac:dyDescent="0.25">
      <c r="X64" s="258">
        <f t="shared" ca="1" si="42"/>
        <v>48199</v>
      </c>
      <c r="Y64" s="261">
        <v>0</v>
      </c>
      <c r="AA64" s="257">
        <f t="shared" ca="1" si="35"/>
        <v>48199</v>
      </c>
      <c r="AB64" s="266">
        <f t="shared" ca="1" si="43"/>
        <v>-9.9564415942787299E-4</v>
      </c>
      <c r="AC64" s="266"/>
      <c r="AD64" s="290">
        <f ca="1"/>
        <v>48199</v>
      </c>
      <c r="AE64" s="291">
        <f ca="1"/>
        <v>-9.9564415942787754E-4</v>
      </c>
      <c r="AF64" s="291" t="b">
        <f t="shared" ca="1" si="36"/>
        <v>1</v>
      </c>
      <c r="AH64" s="257">
        <f t="shared" ca="1" si="44"/>
        <v>48199</v>
      </c>
      <c r="AI64" s="260">
        <v>0</v>
      </c>
      <c r="AK64" s="290">
        <f ca="1"/>
        <v>48199</v>
      </c>
      <c r="AL64" s="291">
        <f ca="1"/>
        <v>9.8330203350215778E-5</v>
      </c>
      <c r="AM64" s="291" t="b">
        <f t="shared" ca="1" si="45"/>
        <v>1</v>
      </c>
      <c r="AO64" s="257">
        <f t="shared" ca="1" si="46"/>
        <v>48199</v>
      </c>
      <c r="AP64" s="266">
        <f t="shared" ca="1" si="38"/>
        <v>9.8330203350215859E-5</v>
      </c>
      <c r="AR64" s="248">
        <f ca="1">'JACOBIAN - OIS USDOIS'!B73</f>
        <v>48199</v>
      </c>
      <c r="AS64">
        <f ca="1">'JACOBIAN - OIS USDOIS'!C73</f>
        <v>-9.2250876193578101E-7</v>
      </c>
      <c r="AT64">
        <f ca="1">'JACOBIAN - OIS USDOIS'!D73</f>
        <v>6.3735683397681E-11</v>
      </c>
      <c r="AU64">
        <f ca="1">'JACOBIAN - OIS USDOIS'!E73</f>
        <v>-2.5451230012407698E-10</v>
      </c>
      <c r="AV64">
        <f ca="1">'JACOBIAN - OIS USDOIS'!F73</f>
        <v>6.7033212314271395E-10</v>
      </c>
      <c r="AW64">
        <f ca="1">'JACOBIAN - OIS USDOIS'!G73</f>
        <v>-8.6235829588332504E-10</v>
      </c>
      <c r="AX64">
        <f ca="1">'JACOBIAN - OIS USDOIS'!H73</f>
        <v>1.9514377891383101E-9</v>
      </c>
      <c r="AY64">
        <f ca="1">'JACOBIAN - OIS USDOIS'!I73</f>
        <v>-1.82712629470672E-8</v>
      </c>
      <c r="AZ64">
        <f ca="1">'JACOBIAN - OIS USDOIS'!J73</f>
        <v>2.3850812991277301E-8</v>
      </c>
      <c r="BA64">
        <f ca="1">'JACOBIAN - OIS USDOIS'!K73</f>
        <v>-9.1827538906130699E-8</v>
      </c>
      <c r="BB64">
        <f ca="1">'JACOBIAN - OIS USDOIS'!L73</f>
        <v>4.9037191196532603E-7</v>
      </c>
      <c r="BC64">
        <f ca="1">'JACOBIAN - OIS USDOIS'!M73</f>
        <v>-3.2724429077646299E-7</v>
      </c>
      <c r="BD64">
        <f ca="1">'JACOBIAN - OIS USDOIS'!N73</f>
        <v>6.6557870326278104E-13</v>
      </c>
      <c r="BE64">
        <f ca="1">'JACOBIAN - OIS USDOIS'!O73</f>
        <v>6.6557870326278104E-13</v>
      </c>
      <c r="BF64">
        <f ca="1">'JACOBIAN - OIS USDOIS'!P73</f>
        <v>6.6557870326278104E-13</v>
      </c>
      <c r="BG64">
        <f ca="1">'JACOBIAN - OIS USDOIS'!Q73</f>
        <v>6.6557870326278104E-13</v>
      </c>
      <c r="BH64">
        <f ca="1">'JACOBIAN - OIS USDOIS'!R73</f>
        <v>6.6557870326278104E-13</v>
      </c>
      <c r="BI64" s="161">
        <f ca="1">'JACOBIAN - OIS USDOIS'!S73</f>
        <v>-1.19572146162206E-6</v>
      </c>
      <c r="BJ64" s="161">
        <f ca="1">'JACOBIAN - OIS USDOIS'!T73</f>
        <v>-3.20933989961247E-6</v>
      </c>
      <c r="BK64" s="161">
        <f ca="1">'JACOBIAN - OIS USDOIS'!U73</f>
        <v>-3.2326939791715901E-6</v>
      </c>
      <c r="BL64" s="161">
        <f ca="1">'JACOBIAN - OIS USDOIS'!V73</f>
        <v>-5.4572587241397096E-6</v>
      </c>
      <c r="BM64" s="161">
        <f ca="1">'JACOBIAN - OIS USDOIS'!W73</f>
        <v>-8.2299043828726292E-6</v>
      </c>
      <c r="BN64" s="161">
        <f ca="1">'JACOBIAN - OIS USDOIS'!X73</f>
        <v>-2.7781204904986401E-5</v>
      </c>
      <c r="BO64" s="161">
        <f ca="1">'JACOBIAN - OIS USDOIS'!Y73</f>
        <v>-3.7655755799503899E-5</v>
      </c>
      <c r="BP64" s="161">
        <f ca="1">'JACOBIAN - OIS USDOIS'!Z73</f>
        <v>1.0976543097939201E-3</v>
      </c>
      <c r="BQ64" s="161">
        <f ca="1">'JACOBIAN - OIS USDOIS'!AA73</f>
        <v>6.3575179420905002E-7</v>
      </c>
      <c r="BR64" s="161">
        <f ca="1">'JACOBIAN - OIS USDOIS'!AB73</f>
        <v>-9.4881538847957398E-8</v>
      </c>
      <c r="BS64" s="161">
        <f ca="1">'JACOBIAN - OIS USDOIS'!AC73</f>
        <v>2.4327881931185399E-8</v>
      </c>
      <c r="BT64" s="161">
        <f ca="1">'JACOBIAN - OIS USDOIS'!AD73</f>
        <v>-4.1359432545462499E-9</v>
      </c>
      <c r="BU64">
        <f ca="1">'JACOBIAN - OIS USDOIS'!AE73</f>
        <v>1.17376441544081E-6</v>
      </c>
      <c r="BV64">
        <f ca="1">'JACOBIAN - OIS USDOIS'!AF73</f>
        <v>3.15554557828168E-6</v>
      </c>
      <c r="BW64">
        <f ca="1">'JACOBIAN - OIS USDOIS'!AG73</f>
        <v>3.1804023054027301E-6</v>
      </c>
      <c r="BX64">
        <f ca="1">'JACOBIAN - OIS USDOIS'!AH73</f>
        <v>5.3690468707623404E-6</v>
      </c>
      <c r="BY64">
        <f ca="1">'JACOBIAN - OIS USDOIS'!AI73</f>
        <v>8.0896576537536902E-6</v>
      </c>
      <c r="BZ64">
        <f ca="1">'JACOBIAN - OIS USDOIS'!AJ73</f>
        <v>2.7327890633199699E-5</v>
      </c>
      <c r="CA64">
        <f ca="1">'JACOBIAN - OIS USDOIS'!AK73</f>
        <v>3.7037186625954502E-5</v>
      </c>
      <c r="CB64">
        <f ca="1">'JACOBIAN - OIS USDOIS'!AL73</f>
        <v>-1.07958092205362E-3</v>
      </c>
      <c r="CC64">
        <f ca="1">'JACOBIAN - OIS USDOIS'!AM73</f>
        <v>-6.2625541685790196E-7</v>
      </c>
      <c r="CD64">
        <f ca="1">'JACOBIAN - OIS USDOIS'!AN73</f>
        <v>9.3483438767805196E-8</v>
      </c>
      <c r="CE64">
        <f ca="1">'JACOBIAN - OIS USDOIS'!AO73</f>
        <v>-2.39844926142041E-8</v>
      </c>
      <c r="CF64">
        <f ca="1">'JACOBIAN - OIS USDOIS'!AP73</f>
        <v>4.0821803715118701E-9</v>
      </c>
      <c r="CK64" s="248">
        <f t="shared" ca="1" si="47"/>
        <v>48199</v>
      </c>
      <c r="CL64">
        <f t="shared" ca="1" si="48"/>
        <v>-9.2250876193578101E-7</v>
      </c>
      <c r="CM64">
        <f t="shared" ca="1" si="49"/>
        <v>6.3735683397681E-11</v>
      </c>
      <c r="CN64">
        <f t="shared" ca="1" si="50"/>
        <v>-2.5451230012407698E-10</v>
      </c>
      <c r="CO64">
        <f t="shared" ca="1" si="51"/>
        <v>6.7033212314271395E-10</v>
      </c>
      <c r="CP64">
        <f t="shared" ca="1" si="52"/>
        <v>-8.6235829588332504E-10</v>
      </c>
      <c r="CQ64">
        <f t="shared" ca="1" si="53"/>
        <v>1.9514377891383101E-9</v>
      </c>
      <c r="CR64">
        <f t="shared" ca="1" si="54"/>
        <v>-1.82712629470672E-8</v>
      </c>
      <c r="CS64">
        <f t="shared" ca="1" si="55"/>
        <v>2.3850812991277301E-8</v>
      </c>
      <c r="CT64">
        <f t="shared" ca="1" si="56"/>
        <v>-9.1827538906130699E-8</v>
      </c>
      <c r="CU64">
        <f t="shared" ca="1" si="57"/>
        <v>4.9037191196532603E-7</v>
      </c>
      <c r="CV64">
        <f t="shared" ca="1" si="58"/>
        <v>-3.2724429077646299E-7</v>
      </c>
      <c r="CW64">
        <f t="shared" ca="1" si="59"/>
        <v>6.6557870326278104E-13</v>
      </c>
      <c r="CX64">
        <f t="shared" ca="1" si="60"/>
        <v>6.6557870326278104E-13</v>
      </c>
      <c r="CY64">
        <f t="shared" ca="1" si="61"/>
        <v>6.6557870326278104E-13</v>
      </c>
      <c r="CZ64">
        <f t="shared" ca="1" si="62"/>
        <v>6.6557870326278104E-13</v>
      </c>
      <c r="DA64">
        <f t="shared" ca="1" si="63"/>
        <v>6.6557870326278104E-13</v>
      </c>
      <c r="DB64" s="146">
        <v>0</v>
      </c>
      <c r="DC64" s="146">
        <v>0</v>
      </c>
      <c r="DD64" s="146">
        <v>0</v>
      </c>
      <c r="DE64" s="146">
        <v>0</v>
      </c>
      <c r="DF64" s="146">
        <v>0</v>
      </c>
      <c r="DG64" s="146">
        <v>0</v>
      </c>
      <c r="DH64" s="146">
        <v>0</v>
      </c>
      <c r="DI64" s="146">
        <v>0</v>
      </c>
      <c r="DJ64" s="146">
        <v>0</v>
      </c>
      <c r="DK64" s="146">
        <v>0</v>
      </c>
      <c r="DL64" s="146">
        <v>0</v>
      </c>
      <c r="DM64" s="146">
        <v>0</v>
      </c>
      <c r="DN64">
        <f t="shared" ca="1" si="64"/>
        <v>1.17376441544081E-6</v>
      </c>
      <c r="DO64">
        <f t="shared" ca="1" si="65"/>
        <v>3.15554557828168E-6</v>
      </c>
      <c r="DP64">
        <f t="shared" ca="1" si="66"/>
        <v>3.1804023054027301E-6</v>
      </c>
      <c r="DQ64">
        <f t="shared" ca="1" si="67"/>
        <v>5.3690468707623404E-6</v>
      </c>
      <c r="DR64">
        <f t="shared" ca="1" si="68"/>
        <v>8.0896576537536902E-6</v>
      </c>
      <c r="DS64">
        <f t="shared" ca="1" si="69"/>
        <v>2.7327890633199699E-5</v>
      </c>
      <c r="DT64">
        <f t="shared" ca="1" si="70"/>
        <v>3.7037186625954502E-5</v>
      </c>
      <c r="DU64">
        <f t="shared" ca="1" si="71"/>
        <v>-1.07958092205362E-3</v>
      </c>
      <c r="DV64">
        <f t="shared" ca="1" si="72"/>
        <v>-6.2625541685790196E-7</v>
      </c>
      <c r="DW64">
        <f t="shared" ca="1" si="73"/>
        <v>9.3483438767805196E-8</v>
      </c>
      <c r="DX64">
        <f t="shared" ca="1" si="74"/>
        <v>-2.39844926142041E-8</v>
      </c>
      <c r="DY64">
        <f t="shared" ca="1" si="75"/>
        <v>4.0821803715118701E-9</v>
      </c>
      <c r="ED64" s="248">
        <f ca="1">'JACOBIAN - SWAP USD3ML'!B73</f>
        <v>48199</v>
      </c>
      <c r="EE64">
        <f ca="1">'JACOBIAN - SWAP USD3ML'!C73</f>
        <v>7.58074159001865E-13</v>
      </c>
      <c r="EF64">
        <f ca="1">'JACOBIAN - SWAP USD3ML'!D73</f>
        <v>2.3315485792041498E-9</v>
      </c>
      <c r="EG64">
        <f ca="1">'JACOBIAN - SWAP USD3ML'!E73</f>
        <v>1.5378465861859399E-11</v>
      </c>
      <c r="EH64">
        <f ca="1">'JACOBIAN - SWAP USD3ML'!F73</f>
        <v>7.5631514939722402E-13</v>
      </c>
      <c r="EI64">
        <f ca="1">'JACOBIAN - SWAP USD3ML'!G73</f>
        <v>2.6278756948272501E-11</v>
      </c>
      <c r="EJ64">
        <f ca="1">'JACOBIAN - SWAP USD3ML'!H73</f>
        <v>2.3247979340224E-9</v>
      </c>
      <c r="EK64">
        <f ca="1">'JACOBIAN - SWAP USD3ML'!I73</f>
        <v>2.3307035398878499E-9</v>
      </c>
      <c r="EL64">
        <f ca="1">'JACOBIAN - SWAP USD3ML'!J73</f>
        <v>2.3228627805960101E-9</v>
      </c>
      <c r="EM64">
        <f ca="1">'JACOBIAN - SWAP USD3ML'!K73</f>
        <v>2.3153540612552699E-9</v>
      </c>
      <c r="EN64">
        <f ca="1">'JACOBIAN - SWAP USD3ML'!L73</f>
        <v>2.3081756263254602E-9</v>
      </c>
      <c r="EO64">
        <f ca="1">'JACOBIAN - SWAP USD3ML'!M73</f>
        <v>2.2868010748910999E-9</v>
      </c>
      <c r="EP64">
        <f ca="1">'JACOBIAN - SWAP USD3ML'!N73</f>
        <v>4.9556323870880698E-9</v>
      </c>
      <c r="EQ64">
        <f ca="1">'JACOBIAN - SWAP USD3ML'!O73</f>
        <v>-1.20050200991956E-7</v>
      </c>
      <c r="ER64">
        <f ca="1">'JACOBIAN - SWAP USD3ML'!P73</f>
        <v>5.8098806117457002E-7</v>
      </c>
      <c r="ES64">
        <f ca="1">'JACOBIAN - SWAP USD3ML'!Q73</f>
        <v>-1.4474400201504301E-6</v>
      </c>
      <c r="ET64">
        <f ca="1">'JACOBIAN - SWAP USD3ML'!R73</f>
        <v>1.2771085166975901E-5</v>
      </c>
      <c r="EU64">
        <f ca="1">'JACOBIAN - SWAP USD3ML'!S73</f>
        <v>-6.6531385997801299E-5</v>
      </c>
      <c r="EV64">
        <f ca="1">'JACOBIAN - SWAP USD3ML'!T73</f>
        <v>2.8937879712608001E-4</v>
      </c>
      <c r="EW64">
        <f ca="1">'JACOBIAN - SWAP USD3ML'!U73</f>
        <v>-6.4544016322203696E-4</v>
      </c>
      <c r="EX64">
        <f ca="1">'JACOBIAN - SWAP USD3ML'!V73</f>
        <v>2.13408718546474E-4</v>
      </c>
      <c r="EY64">
        <f ca="1">'JACOBIAN - SWAP USD3ML'!W73</f>
        <v>3.4628383363843201E-4</v>
      </c>
      <c r="EZ64">
        <f ca="1">'JACOBIAN - SWAP USD3ML'!X73</f>
        <v>-6.7881223699633994E-5</v>
      </c>
      <c r="FA64">
        <f ca="1">'JACOBIAN - SWAP USD3ML'!Y73</f>
        <v>2.17290613177268E-5</v>
      </c>
      <c r="FB64">
        <f ca="1">'JACOBIAN - SWAP USD3ML'!Z73</f>
        <v>-4.4232364136281801E-6</v>
      </c>
    </row>
    <row r="65" spans="24:158" x14ac:dyDescent="0.25">
      <c r="X65" s="258">
        <f t="shared" ca="1" si="42"/>
        <v>48290</v>
      </c>
      <c r="Y65" s="261">
        <v>0</v>
      </c>
      <c r="AA65" s="257">
        <f t="shared" ca="1" si="35"/>
        <v>48290</v>
      </c>
      <c r="AB65" s="266">
        <f t="shared" ca="1" si="43"/>
        <v>-1.0118366370048843E-3</v>
      </c>
      <c r="AC65" s="266"/>
      <c r="AD65" s="290">
        <f ca="1"/>
        <v>48290</v>
      </c>
      <c r="AE65" s="291">
        <f ca="1"/>
        <v>-1.0118366370048815E-3</v>
      </c>
      <c r="AF65" s="291" t="b">
        <f t="shared" ca="1" si="36"/>
        <v>1</v>
      </c>
      <c r="AH65" s="257">
        <f t="shared" ca="1" si="44"/>
        <v>48290</v>
      </c>
      <c r="AI65" s="260">
        <v>0</v>
      </c>
      <c r="AK65" s="290">
        <f ca="1"/>
        <v>48290</v>
      </c>
      <c r="AL65" s="291">
        <f ca="1"/>
        <v>9.8297941193745077E-5</v>
      </c>
      <c r="AM65" s="291" t="b">
        <f t="shared" ca="1" si="45"/>
        <v>1</v>
      </c>
      <c r="AO65" s="257">
        <f t="shared" ca="1" si="46"/>
        <v>48290</v>
      </c>
      <c r="AP65" s="266">
        <f t="shared" ca="1" si="38"/>
        <v>9.8297941193745239E-5</v>
      </c>
      <c r="AR65" s="248">
        <f ca="1">'JACOBIAN - OIS USDOIS'!B74</f>
        <v>48290</v>
      </c>
      <c r="AS65">
        <f ca="1">'JACOBIAN - OIS USDOIS'!C74</f>
        <v>-9.1829022419442897E-7</v>
      </c>
      <c r="AT65">
        <f ca="1">'JACOBIAN - OIS USDOIS'!D74</f>
        <v>1.04287023461325E-10</v>
      </c>
      <c r="AU65">
        <f ca="1">'JACOBIAN - OIS USDOIS'!E74</f>
        <v>-4.1658931859700498E-10</v>
      </c>
      <c r="AV65">
        <f ca="1">'JACOBIAN - OIS USDOIS'!F74</f>
        <v>1.09729292319116E-9</v>
      </c>
      <c r="AW65">
        <f ca="1">'JACOBIAN - OIS USDOIS'!G74</f>
        <v>-1.4119266866785599E-9</v>
      </c>
      <c r="AX65">
        <f ca="1">'JACOBIAN - OIS USDOIS'!H74</f>
        <v>3.1943542255774601E-9</v>
      </c>
      <c r="AY65">
        <f ca="1">'JACOBIAN - OIS USDOIS'!I74</f>
        <v>-2.2421788536952601E-8</v>
      </c>
      <c r="AZ65">
        <f ca="1">'JACOBIAN - OIS USDOIS'!J74</f>
        <v>3.9041489707791801E-8</v>
      </c>
      <c r="BA65">
        <f ca="1">'JACOBIAN - OIS USDOIS'!K74</f>
        <v>-1.50308370749919E-7</v>
      </c>
      <c r="BB65">
        <f ca="1">'JACOBIAN - OIS USDOIS'!L74</f>
        <v>5.7872567693628696E-7</v>
      </c>
      <c r="BC65">
        <f ca="1">'JACOBIAN - OIS USDOIS'!M74</f>
        <v>-5.1309075055350196E-7</v>
      </c>
      <c r="BD65">
        <f ca="1">'JACOBIAN - OIS USDOIS'!N74</f>
        <v>6.5702998597316804E-13</v>
      </c>
      <c r="BE65">
        <f ca="1">'JACOBIAN - OIS USDOIS'!O74</f>
        <v>6.5702998597316804E-13</v>
      </c>
      <c r="BF65">
        <f ca="1">'JACOBIAN - OIS USDOIS'!P74</f>
        <v>6.5702998597316804E-13</v>
      </c>
      <c r="BG65">
        <f ca="1">'JACOBIAN - OIS USDOIS'!Q74</f>
        <v>6.5702998597316804E-13</v>
      </c>
      <c r="BH65">
        <f ca="1">'JACOBIAN - OIS USDOIS'!R74</f>
        <v>6.5702998597316804E-13</v>
      </c>
      <c r="BI65" s="161">
        <f ca="1">'JACOBIAN - OIS USDOIS'!S74</f>
        <v>-1.43768759053309E-6</v>
      </c>
      <c r="BJ65" s="161">
        <f ca="1">'JACOBIAN - OIS USDOIS'!T74</f>
        <v>-2.7949419610928702E-6</v>
      </c>
      <c r="BK65" s="161">
        <f ca="1">'JACOBIAN - OIS USDOIS'!U74</f>
        <v>-4.7317069296060097E-6</v>
      </c>
      <c r="BL65" s="161">
        <f ca="1">'JACOBIAN - OIS USDOIS'!V74</f>
        <v>1.5865209890275601E-7</v>
      </c>
      <c r="BM65" s="161">
        <f ca="1">'JACOBIAN - OIS USDOIS'!W74</f>
        <v>-1.94501120531765E-5</v>
      </c>
      <c r="BN65" s="161">
        <f ca="1">'JACOBIAN - OIS USDOIS'!X74</f>
        <v>-7.0775943610268399E-6</v>
      </c>
      <c r="BO65" s="161">
        <f ca="1">'JACOBIAN - OIS USDOIS'!Y74</f>
        <v>-1.40164875960025E-4</v>
      </c>
      <c r="BP65" s="161">
        <f ca="1">'JACOBIAN - OIS USDOIS'!Z74</f>
        <v>1.1482437159807701E-3</v>
      </c>
      <c r="BQ65" s="161">
        <f ca="1">'JACOBIAN - OIS USDOIS'!AA74</f>
        <v>6.2370746267026406E-5</v>
      </c>
      <c r="BR65" s="161">
        <f ca="1">'JACOBIAN - OIS USDOIS'!AB74</f>
        <v>-9.2094449497537295E-6</v>
      </c>
      <c r="BS65" s="161">
        <f ca="1">'JACOBIAN - OIS USDOIS'!AC74</f>
        <v>2.3613418593804199E-6</v>
      </c>
      <c r="BT65" s="161">
        <f ca="1">'JACOBIAN - OIS USDOIS'!AD74</f>
        <v>-4.0151501989882398E-7</v>
      </c>
      <c r="BU65">
        <f ca="1">'JACOBIAN - OIS USDOIS'!AE74</f>
        <v>1.4113490707234901E-6</v>
      </c>
      <c r="BV65">
        <f ca="1">'JACOBIAN - OIS USDOIS'!AF74</f>
        <v>2.7480365757393001E-6</v>
      </c>
      <c r="BW65">
        <f ca="1">'JACOBIAN - OIS USDOIS'!AG74</f>
        <v>4.6553674225568997E-6</v>
      </c>
      <c r="BX65">
        <f ca="1">'JACOBIAN - OIS USDOIS'!AH74</f>
        <v>-1.5843982736907199E-7</v>
      </c>
      <c r="BY65">
        <f ca="1">'JACOBIAN - OIS USDOIS'!AI74</f>
        <v>1.9129989804134199E-5</v>
      </c>
      <c r="BZ65">
        <f ca="1">'JACOBIAN - OIS USDOIS'!AJ74</f>
        <v>6.9488064239342498E-6</v>
      </c>
      <c r="CA65">
        <f ca="1">'JACOBIAN - OIS USDOIS'!AK74</f>
        <v>1.37960685311689E-4</v>
      </c>
      <c r="CB65">
        <f ca="1">'JACOBIAN - OIS USDOIS'!AL74</f>
        <v>-1.12926432194527E-3</v>
      </c>
      <c r="CC65">
        <f ca="1">'JACOBIAN - OIS USDOIS'!AM74</f>
        <v>-6.1426495156280403E-5</v>
      </c>
      <c r="CD65">
        <f ca="1">'JACOBIAN - OIS USDOIS'!AN74</f>
        <v>9.0740339500072798E-6</v>
      </c>
      <c r="CE65">
        <f ca="1">'JACOBIAN - OIS USDOIS'!AO74</f>
        <v>-2.3281039851497098E-6</v>
      </c>
      <c r="CF65">
        <f ca="1">'JACOBIAN - OIS USDOIS'!AP74</f>
        <v>3.9622861447430298E-7</v>
      </c>
      <c r="CK65" s="248">
        <f t="shared" ca="1" si="47"/>
        <v>48290</v>
      </c>
      <c r="CL65">
        <f t="shared" ca="1" si="48"/>
        <v>-9.1829022419442897E-7</v>
      </c>
      <c r="CM65">
        <f t="shared" ca="1" si="49"/>
        <v>1.04287023461325E-10</v>
      </c>
      <c r="CN65">
        <f t="shared" ca="1" si="50"/>
        <v>-4.1658931859700498E-10</v>
      </c>
      <c r="CO65">
        <f t="shared" ca="1" si="51"/>
        <v>1.09729292319116E-9</v>
      </c>
      <c r="CP65">
        <f t="shared" ca="1" si="52"/>
        <v>-1.4119266866785599E-9</v>
      </c>
      <c r="CQ65">
        <f t="shared" ca="1" si="53"/>
        <v>3.1943542255774601E-9</v>
      </c>
      <c r="CR65">
        <f t="shared" ca="1" si="54"/>
        <v>-2.2421788536952601E-8</v>
      </c>
      <c r="CS65">
        <f t="shared" ca="1" si="55"/>
        <v>3.9041489707791801E-8</v>
      </c>
      <c r="CT65">
        <f t="shared" ca="1" si="56"/>
        <v>-1.50308370749919E-7</v>
      </c>
      <c r="CU65">
        <f t="shared" ca="1" si="57"/>
        <v>5.7872567693628696E-7</v>
      </c>
      <c r="CV65">
        <f t="shared" ca="1" si="58"/>
        <v>-5.1309075055350196E-7</v>
      </c>
      <c r="CW65">
        <f t="shared" ca="1" si="59"/>
        <v>6.5702998597316804E-13</v>
      </c>
      <c r="CX65">
        <f t="shared" ca="1" si="60"/>
        <v>6.5702998597316804E-13</v>
      </c>
      <c r="CY65">
        <f t="shared" ca="1" si="61"/>
        <v>6.5702998597316804E-13</v>
      </c>
      <c r="CZ65">
        <f t="shared" ca="1" si="62"/>
        <v>6.5702998597316804E-13</v>
      </c>
      <c r="DA65">
        <f t="shared" ca="1" si="63"/>
        <v>6.5702998597316804E-13</v>
      </c>
      <c r="DB65" s="146">
        <v>0</v>
      </c>
      <c r="DC65" s="146">
        <v>0</v>
      </c>
      <c r="DD65" s="146">
        <v>0</v>
      </c>
      <c r="DE65" s="146">
        <v>0</v>
      </c>
      <c r="DF65" s="146">
        <v>0</v>
      </c>
      <c r="DG65" s="146">
        <v>0</v>
      </c>
      <c r="DH65" s="146">
        <v>0</v>
      </c>
      <c r="DI65" s="146">
        <v>0</v>
      </c>
      <c r="DJ65" s="146">
        <v>0</v>
      </c>
      <c r="DK65" s="146">
        <v>0</v>
      </c>
      <c r="DL65" s="146">
        <v>0</v>
      </c>
      <c r="DM65" s="146">
        <v>0</v>
      </c>
      <c r="DN65">
        <f t="shared" ca="1" si="64"/>
        <v>1.4113490707234901E-6</v>
      </c>
      <c r="DO65">
        <f t="shared" ca="1" si="65"/>
        <v>2.7480365757393001E-6</v>
      </c>
      <c r="DP65">
        <f t="shared" ca="1" si="66"/>
        <v>4.6553674225568997E-6</v>
      </c>
      <c r="DQ65">
        <f t="shared" ca="1" si="67"/>
        <v>-1.5843982736907199E-7</v>
      </c>
      <c r="DR65">
        <f t="shared" ca="1" si="68"/>
        <v>1.9129989804134199E-5</v>
      </c>
      <c r="DS65">
        <f t="shared" ca="1" si="69"/>
        <v>6.9488064239342498E-6</v>
      </c>
      <c r="DT65">
        <f t="shared" ca="1" si="70"/>
        <v>1.37960685311689E-4</v>
      </c>
      <c r="DU65">
        <f t="shared" ca="1" si="71"/>
        <v>-1.12926432194527E-3</v>
      </c>
      <c r="DV65">
        <f t="shared" ca="1" si="72"/>
        <v>-6.1426495156280403E-5</v>
      </c>
      <c r="DW65">
        <f t="shared" ca="1" si="73"/>
        <v>9.0740339500072798E-6</v>
      </c>
      <c r="DX65">
        <f t="shared" ca="1" si="74"/>
        <v>-2.3281039851497098E-6</v>
      </c>
      <c r="DY65">
        <f t="shared" ca="1" si="75"/>
        <v>3.9622861447430298E-7</v>
      </c>
      <c r="ED65" s="248">
        <f ca="1">'JACOBIAN - SWAP USD3ML'!B74</f>
        <v>48290</v>
      </c>
      <c r="EE65">
        <f ca="1">'JACOBIAN - SWAP USD3ML'!C74</f>
        <v>6.0647320498929998E-13</v>
      </c>
      <c r="EF65">
        <f ca="1">'JACOBIAN - SWAP USD3ML'!D74</f>
        <v>1.64858127149614E-9</v>
      </c>
      <c r="EG65">
        <f ca="1">'JACOBIAN - SWAP USD3ML'!E74</f>
        <v>1.2724606091030199E-11</v>
      </c>
      <c r="EH65">
        <f ca="1">'JACOBIAN - SWAP USD3ML'!F74</f>
        <v>6.0647320498929998E-13</v>
      </c>
      <c r="EI65">
        <f ca="1">'JACOBIAN - SWAP USD3ML'!G74</f>
        <v>1.8654643801907501E-11</v>
      </c>
      <c r="EJ65">
        <f ca="1">'JACOBIAN - SWAP USD3ML'!H74</f>
        <v>1.6440431654940499E-9</v>
      </c>
      <c r="EK65">
        <f ca="1">'JACOBIAN - SWAP USD3ML'!I74</f>
        <v>1.64995756293806E-9</v>
      </c>
      <c r="EL65">
        <f ca="1">'JACOBIAN - SWAP USD3ML'!J74</f>
        <v>1.6443881048489E-9</v>
      </c>
      <c r="EM65">
        <f ca="1">'JACOBIAN - SWAP USD3ML'!K74</f>
        <v>1.63905845493306E-9</v>
      </c>
      <c r="EN65">
        <f ca="1">'JACOBIAN - SWAP USD3ML'!L74</f>
        <v>1.6339816479027401E-9</v>
      </c>
      <c r="EO65">
        <f ca="1">'JACOBIAN - SWAP USD3ML'!M74</f>
        <v>1.61884505800458E-9</v>
      </c>
      <c r="EP65">
        <f ca="1">'JACOBIAN - SWAP USD3ML'!N74</f>
        <v>3.50759421507973E-9</v>
      </c>
      <c r="EQ65">
        <f ca="1">'JACOBIAN - SWAP USD3ML'!O74</f>
        <v>-8.4971819143408998E-8</v>
      </c>
      <c r="ER65">
        <f ca="1">'JACOBIAN - SWAP USD3ML'!P74</f>
        <v>4.1122526340739397E-7</v>
      </c>
      <c r="ES65">
        <f ca="1">'JACOBIAN - SWAP USD3ML'!Q74</f>
        <v>-1.0245033838646201E-6</v>
      </c>
      <c r="ET65">
        <f ca="1">'JACOBIAN - SWAP USD3ML'!R74</f>
        <v>9.0394195424552092E-6</v>
      </c>
      <c r="EU65">
        <f ca="1">'JACOBIAN - SWAP USD3ML'!S74</f>
        <v>-4.70913379621435E-5</v>
      </c>
      <c r="EV65">
        <f ca="1">'JACOBIAN - SWAP USD3ML'!T74</f>
        <v>2.0482053086014201E-4</v>
      </c>
      <c r="EW65">
        <f ca="1">'JACOBIAN - SWAP USD3ML'!U74</f>
        <v>-4.5685971641175999E-4</v>
      </c>
      <c r="EX65">
        <f ca="1">'JACOBIAN - SWAP USD3ML'!V74</f>
        <v>-2.04608123921882E-6</v>
      </c>
      <c r="EY65">
        <f ca="1">'JACOBIAN - SWAP USD3ML'!W74</f>
        <v>4.54235602010338E-4</v>
      </c>
      <c r="EZ65">
        <f ca="1">'JACOBIAN - SWAP USD3ML'!X74</f>
        <v>-8.4714698660351404E-5</v>
      </c>
      <c r="FA65">
        <f ca="1">'JACOBIAN - SWAP USD3ML'!Y74</f>
        <v>2.7117592877299499E-5</v>
      </c>
      <c r="FB65">
        <f ca="1">'JACOBIAN - SWAP USD3ML'!Z74</f>
        <v>-5.5201389250920898E-6</v>
      </c>
    </row>
    <row r="66" spans="24:158" x14ac:dyDescent="0.25">
      <c r="X66" s="258">
        <f t="shared" ca="1" si="42"/>
        <v>48382</v>
      </c>
      <c r="Y66" s="261">
        <v>0</v>
      </c>
      <c r="AA66" s="257">
        <f t="shared" ca="1" si="35"/>
        <v>48382</v>
      </c>
      <c r="AB66" s="266">
        <f t="shared" ca="1" si="43"/>
        <v>-1.0280703805132278E-3</v>
      </c>
      <c r="AC66" s="266"/>
      <c r="AD66" s="290">
        <f ca="1"/>
        <v>48382</v>
      </c>
      <c r="AE66" s="291">
        <f ca="1"/>
        <v>-1.0280703805132241E-3</v>
      </c>
      <c r="AF66" s="291" t="b">
        <f t="shared" ca="1" si="36"/>
        <v>1</v>
      </c>
      <c r="AH66" s="257">
        <f t="shared" ca="1" si="44"/>
        <v>48382</v>
      </c>
      <c r="AI66" s="260">
        <v>0</v>
      </c>
      <c r="AK66" s="290">
        <f ca="1"/>
        <v>48382</v>
      </c>
      <c r="AL66" s="291">
        <f ca="1"/>
        <v>9.8284229416819441E-5</v>
      </c>
      <c r="AM66" s="291" t="b">
        <f t="shared" ca="1" si="45"/>
        <v>1</v>
      </c>
      <c r="AO66" s="257">
        <f t="shared" ca="1" si="46"/>
        <v>48382</v>
      </c>
      <c r="AP66" s="266">
        <f t="shared" ca="1" si="38"/>
        <v>9.8284229416820362E-5</v>
      </c>
      <c r="AR66" s="248">
        <f ca="1">'JACOBIAN - OIS USDOIS'!B75</f>
        <v>48382</v>
      </c>
      <c r="AS66">
        <f ca="1">'JACOBIAN - OIS USDOIS'!C75</f>
        <v>-9.1404668844940997E-7</v>
      </c>
      <c r="AT66">
        <f ca="1">'JACOBIAN - OIS USDOIS'!D75</f>
        <v>1.34465882872803E-10</v>
      </c>
      <c r="AU66">
        <f ca="1">'JACOBIAN - OIS USDOIS'!E75</f>
        <v>-5.3722304382830502E-10</v>
      </c>
      <c r="AV66">
        <f ca="1">'JACOBIAN - OIS USDOIS'!F75</f>
        <v>1.4150706162396899E-9</v>
      </c>
      <c r="AW66">
        <f ca="1">'JACOBIAN - OIS USDOIS'!G75</f>
        <v>-1.8209607155483801E-9</v>
      </c>
      <c r="AX66">
        <f ca="1">'JACOBIAN - OIS USDOIS'!H75</f>
        <v>4.1194224698060103E-9</v>
      </c>
      <c r="AY66">
        <f ca="1">'JACOBIAN - OIS USDOIS'!I75</f>
        <v>-2.5498807287860399E-8</v>
      </c>
      <c r="AZ66">
        <f ca="1">'JACOBIAN - OIS USDOIS'!J75</f>
        <v>5.0347464752853501E-8</v>
      </c>
      <c r="BA66">
        <f ca="1">'JACOBIAN - OIS USDOIS'!K75</f>
        <v>-1.9383395910566E-7</v>
      </c>
      <c r="BB66">
        <f ca="1">'JACOBIAN - OIS USDOIS'!L75</f>
        <v>6.4437854341292699E-7</v>
      </c>
      <c r="BC66">
        <f ca="1">'JACOBIAN - OIS USDOIS'!M75</f>
        <v>-6.5137442328833096E-7</v>
      </c>
      <c r="BD66">
        <f ca="1">'JACOBIAN - OIS USDOIS'!N75</f>
        <v>6.4848126868355404E-13</v>
      </c>
      <c r="BE66">
        <f ca="1">'JACOBIAN - OIS USDOIS'!O75</f>
        <v>6.4848126868355404E-13</v>
      </c>
      <c r="BF66">
        <f ca="1">'JACOBIAN - OIS USDOIS'!P75</f>
        <v>6.4848126868355404E-13</v>
      </c>
      <c r="BG66">
        <f ca="1">'JACOBIAN - OIS USDOIS'!Q75</f>
        <v>6.4848126868355404E-13</v>
      </c>
      <c r="BH66">
        <f ca="1">'JACOBIAN - OIS USDOIS'!R75</f>
        <v>6.4848126868355404E-13</v>
      </c>
      <c r="BI66" s="161">
        <f ca="1">'JACOBIAN - OIS USDOIS'!S75</f>
        <v>-1.6175479623514701E-6</v>
      </c>
      <c r="BJ66" s="161">
        <f ca="1">'JACOBIAN - OIS USDOIS'!T75</f>
        <v>-2.4855781600718902E-6</v>
      </c>
      <c r="BK66" s="161">
        <f ca="1">'JACOBIAN - OIS USDOIS'!U75</f>
        <v>-5.8459590818182903E-6</v>
      </c>
      <c r="BL66" s="161">
        <f ca="1">'JACOBIAN - OIS USDOIS'!V75</f>
        <v>4.33483324369099E-6</v>
      </c>
      <c r="BM66" s="161">
        <f ca="1">'JACOBIAN - OIS USDOIS'!W75</f>
        <v>-2.77883185993977E-5</v>
      </c>
      <c r="BN66" s="161">
        <f ca="1">'JACOBIAN - OIS USDOIS'!X75</f>
        <v>8.3198702455211693E-6</v>
      </c>
      <c r="BO66" s="161">
        <f ca="1">'JACOBIAN - OIS USDOIS'!Y75</f>
        <v>-2.1634765624911601E-4</v>
      </c>
      <c r="BP66" s="161">
        <f ca="1">'JACOBIAN - OIS USDOIS'!Z75</f>
        <v>1.15683827589075E-3</v>
      </c>
      <c r="BQ66" s="161">
        <f ca="1">'JACOBIAN - OIS USDOIS'!AA75</f>
        <v>1.45310111852592E-4</v>
      </c>
      <c r="BR66" s="161">
        <f ca="1">'JACOBIAN - OIS USDOIS'!AB75</f>
        <v>-2.08743188305771E-5</v>
      </c>
      <c r="BS66" s="161">
        <f ca="1">'JACOBIAN - OIS USDOIS'!AC75</f>
        <v>5.3523141927413997E-6</v>
      </c>
      <c r="BT66" s="161">
        <f ca="1">'JACOBIAN - OIS USDOIS'!AD75</f>
        <v>-9.1008935498848597E-7</v>
      </c>
      <c r="BU66">
        <f ca="1">'JACOBIAN - OIS USDOIS'!AE75</f>
        <v>1.58795271931744E-6</v>
      </c>
      <c r="BV66">
        <f ca="1">'JACOBIAN - OIS USDOIS'!AF75</f>
        <v>2.4438159244022398E-6</v>
      </c>
      <c r="BW66">
        <f ca="1">'JACOBIAN - OIS USDOIS'!AG75</f>
        <v>5.7517472147328197E-6</v>
      </c>
      <c r="BX66">
        <f ca="1">'JACOBIAN - OIS USDOIS'!AH75</f>
        <v>-4.2688177680494402E-6</v>
      </c>
      <c r="BY66">
        <f ca="1">'JACOBIAN - OIS USDOIS'!AI75</f>
        <v>2.7334721075522601E-5</v>
      </c>
      <c r="BZ66">
        <f ca="1">'JACOBIAN - OIS USDOIS'!AJ75</f>
        <v>-8.2066495654675703E-6</v>
      </c>
      <c r="CA66">
        <f ca="1">'JACOBIAN - OIS USDOIS'!AK75</f>
        <v>2.1298136736569399E-4</v>
      </c>
      <c r="CB66">
        <f ca="1">'JACOBIAN - OIS USDOIS'!AL75</f>
        <v>-1.1377008598378901E-3</v>
      </c>
      <c r="CC66">
        <f ca="1">'JACOBIAN - OIS USDOIS'!AM75</f>
        <v>-1.4309577856341801E-4</v>
      </c>
      <c r="CD66">
        <f ca="1">'JACOBIAN - OIS USDOIS'!AN75</f>
        <v>2.05676862229387E-5</v>
      </c>
      <c r="CE66">
        <f ca="1">'JACOBIAN - OIS USDOIS'!AO75</f>
        <v>-5.27695807595041E-6</v>
      </c>
      <c r="CF66">
        <f ca="1">'JACOBIAN - OIS USDOIS'!AP75</f>
        <v>8.9810662728950795E-7</v>
      </c>
      <c r="CK66" s="248">
        <f t="shared" ca="1" si="47"/>
        <v>48382</v>
      </c>
      <c r="CL66">
        <f t="shared" ca="1" si="48"/>
        <v>-9.1404668844940997E-7</v>
      </c>
      <c r="CM66">
        <f t="shared" ca="1" si="49"/>
        <v>1.34465882872803E-10</v>
      </c>
      <c r="CN66">
        <f t="shared" ca="1" si="50"/>
        <v>-5.3722304382830502E-10</v>
      </c>
      <c r="CO66">
        <f t="shared" ca="1" si="51"/>
        <v>1.4150706162396899E-9</v>
      </c>
      <c r="CP66">
        <f t="shared" ca="1" si="52"/>
        <v>-1.8209607155483801E-9</v>
      </c>
      <c r="CQ66">
        <f t="shared" ca="1" si="53"/>
        <v>4.1194224698060103E-9</v>
      </c>
      <c r="CR66">
        <f t="shared" ca="1" si="54"/>
        <v>-2.5498807287860399E-8</v>
      </c>
      <c r="CS66">
        <f t="shared" ca="1" si="55"/>
        <v>5.0347464752853501E-8</v>
      </c>
      <c r="CT66">
        <f t="shared" ca="1" si="56"/>
        <v>-1.9383395910566E-7</v>
      </c>
      <c r="CU66">
        <f t="shared" ca="1" si="57"/>
        <v>6.4437854341292699E-7</v>
      </c>
      <c r="CV66">
        <f t="shared" ca="1" si="58"/>
        <v>-6.5137442328833096E-7</v>
      </c>
      <c r="CW66">
        <f t="shared" ca="1" si="59"/>
        <v>6.4848126868355404E-13</v>
      </c>
      <c r="CX66">
        <f t="shared" ca="1" si="60"/>
        <v>6.4848126868355404E-13</v>
      </c>
      <c r="CY66">
        <f t="shared" ca="1" si="61"/>
        <v>6.4848126868355404E-13</v>
      </c>
      <c r="CZ66">
        <f t="shared" ca="1" si="62"/>
        <v>6.4848126868355404E-13</v>
      </c>
      <c r="DA66">
        <f t="shared" ca="1" si="63"/>
        <v>6.4848126868355404E-13</v>
      </c>
      <c r="DB66" s="146">
        <v>0</v>
      </c>
      <c r="DC66" s="146">
        <v>0</v>
      </c>
      <c r="DD66" s="146">
        <v>0</v>
      </c>
      <c r="DE66" s="146">
        <v>0</v>
      </c>
      <c r="DF66" s="146">
        <v>0</v>
      </c>
      <c r="DG66" s="146">
        <v>0</v>
      </c>
      <c r="DH66" s="146">
        <v>0</v>
      </c>
      <c r="DI66" s="146">
        <v>0</v>
      </c>
      <c r="DJ66" s="146">
        <v>0</v>
      </c>
      <c r="DK66" s="146">
        <v>0</v>
      </c>
      <c r="DL66" s="146">
        <v>0</v>
      </c>
      <c r="DM66" s="146">
        <v>0</v>
      </c>
      <c r="DN66">
        <f t="shared" ca="1" si="64"/>
        <v>1.58795271931744E-6</v>
      </c>
      <c r="DO66">
        <f t="shared" ca="1" si="65"/>
        <v>2.4438159244022398E-6</v>
      </c>
      <c r="DP66">
        <f t="shared" ca="1" si="66"/>
        <v>5.7517472147328197E-6</v>
      </c>
      <c r="DQ66">
        <f t="shared" ca="1" si="67"/>
        <v>-4.2688177680494402E-6</v>
      </c>
      <c r="DR66">
        <f t="shared" ca="1" si="68"/>
        <v>2.7334721075522601E-5</v>
      </c>
      <c r="DS66">
        <f t="shared" ca="1" si="69"/>
        <v>-8.2066495654675703E-6</v>
      </c>
      <c r="DT66">
        <f t="shared" ca="1" si="70"/>
        <v>2.1298136736569399E-4</v>
      </c>
      <c r="DU66">
        <f t="shared" ca="1" si="71"/>
        <v>-1.1377008598378901E-3</v>
      </c>
      <c r="DV66">
        <f t="shared" ca="1" si="72"/>
        <v>-1.4309577856341801E-4</v>
      </c>
      <c r="DW66">
        <f t="shared" ca="1" si="73"/>
        <v>2.05676862229387E-5</v>
      </c>
      <c r="DX66">
        <f t="shared" ca="1" si="74"/>
        <v>-5.27695807595041E-6</v>
      </c>
      <c r="DY66">
        <f t="shared" ca="1" si="75"/>
        <v>8.9810662728950795E-7</v>
      </c>
      <c r="ED66" s="248">
        <f ca="1">'JACOBIAN - SWAP USD3ML'!B75</f>
        <v>48382</v>
      </c>
      <c r="EE66">
        <f ca="1">'JACOBIAN - SWAP USD3ML'!C75</f>
        <v>4.8048717782300798E-13</v>
      </c>
      <c r="EF66">
        <f ca="1">'JACOBIAN - SWAP USD3ML'!D75</f>
        <v>1.03875516868634E-9</v>
      </c>
      <c r="EG66">
        <f ca="1">'JACOBIAN - SWAP USD3ML'!E75</f>
        <v>1.04777055087713E-11</v>
      </c>
      <c r="EH66">
        <f ca="1">'JACOBIAN - SWAP USD3ML'!F75</f>
        <v>4.8048717782300798E-13</v>
      </c>
      <c r="EI66">
        <f ca="1">'JACOBIAN - SWAP USD3ML'!G75</f>
        <v>1.1853996950694799E-11</v>
      </c>
      <c r="EJ66">
        <f ca="1">'JACOBIAN - SWAP USD3ML'!H75</f>
        <v>1.0362085113568801E-9</v>
      </c>
      <c r="EK66">
        <f ca="1">'JACOBIAN - SWAP USD3ML'!I75</f>
        <v>1.0422419455258201E-9</v>
      </c>
      <c r="EL66">
        <f ca="1">'JACOBIAN - SWAP USD3ML'!J75</f>
        <v>1.03869956386005E-9</v>
      </c>
      <c r="EM66">
        <f ca="1">'JACOBIAN - SWAP USD3ML'!K75</f>
        <v>1.0353118362616E-9</v>
      </c>
      <c r="EN66">
        <f ca="1">'JACOBIAN - SWAP USD3ML'!L75</f>
        <v>1.0321126592272E-9</v>
      </c>
      <c r="EO66">
        <f ca="1">'JACOBIAN - SWAP USD3ML'!M75</f>
        <v>1.0225446600564699E-9</v>
      </c>
      <c r="EP66">
        <f ca="1">'JACOBIAN - SWAP USD3ML'!N75</f>
        <v>2.2148561248935798E-9</v>
      </c>
      <c r="EQ66">
        <f ca="1">'JACOBIAN - SWAP USD3ML'!O75</f>
        <v>-5.3655517417983101E-8</v>
      </c>
      <c r="ER66">
        <f ca="1">'JACOBIAN - SWAP USD3ML'!P75</f>
        <v>2.5966921482836699E-7</v>
      </c>
      <c r="ES66">
        <f ca="1">'JACOBIAN - SWAP USD3ML'!Q75</f>
        <v>-6.4692581639227996E-7</v>
      </c>
      <c r="ET66">
        <f ca="1">'JACOBIAN - SWAP USD3ML'!R75</f>
        <v>5.7079703989493196E-6</v>
      </c>
      <c r="EU66">
        <f ca="1">'JACOBIAN - SWAP USD3ML'!S75</f>
        <v>-2.9736119220011299E-5</v>
      </c>
      <c r="EV66">
        <f ca="1">'JACOBIAN - SWAP USD3ML'!T75</f>
        <v>1.29332422429893E-4</v>
      </c>
      <c r="EW66">
        <f ca="1">'JACOBIAN - SWAP USD3ML'!U75</f>
        <v>-2.8849691419894502E-4</v>
      </c>
      <c r="EX66">
        <f ca="1">'JACOBIAN - SWAP USD3ML'!V75</f>
        <v>-1.90060700825438E-4</v>
      </c>
      <c r="EY66">
        <f ca="1">'JACOBIAN - SWAP USD3ML'!W75</f>
        <v>5.4106020182448399E-4</v>
      </c>
      <c r="EZ66">
        <f ca="1">'JACOBIAN - SWAP USD3ML'!X75</f>
        <v>-9.2732824640912704E-5</v>
      </c>
      <c r="FA66">
        <f ca="1">'JACOBIAN - SWAP USD3ML'!Y75</f>
        <v>2.96842335564228E-5</v>
      </c>
      <c r="FB66">
        <f ca="1">'JACOBIAN - SWAP USD3ML'!Z75</f>
        <v>-6.0426118117864999E-6</v>
      </c>
    </row>
    <row r="67" spans="24:158" x14ac:dyDescent="0.25">
      <c r="X67" s="258">
        <f t="shared" ca="1" si="42"/>
        <v>48474</v>
      </c>
      <c r="Y67" s="261">
        <v>0</v>
      </c>
      <c r="AA67" s="257">
        <f t="shared" ca="1" si="35"/>
        <v>48474</v>
      </c>
      <c r="AB67" s="266">
        <f t="shared" ca="1" si="43"/>
        <v>-1.0441673970820187E-3</v>
      </c>
      <c r="AC67" s="266"/>
      <c r="AD67" s="290">
        <f ca="1"/>
        <v>48474</v>
      </c>
      <c r="AE67" s="291">
        <f ca="1"/>
        <v>-1.0441673970820187E-3</v>
      </c>
      <c r="AF67" s="291" t="b">
        <f t="shared" ca="1" si="36"/>
        <v>1</v>
      </c>
      <c r="AH67" s="257">
        <f t="shared" ca="1" si="44"/>
        <v>48474</v>
      </c>
      <c r="AI67" s="260">
        <v>0</v>
      </c>
      <c r="AK67" s="290">
        <f ca="1"/>
        <v>48474</v>
      </c>
      <c r="AL67" s="291">
        <f ca="1"/>
        <v>9.8280579667483353E-5</v>
      </c>
      <c r="AM67" s="291" t="b">
        <f t="shared" ca="1" si="45"/>
        <v>1</v>
      </c>
      <c r="AO67" s="257">
        <f t="shared" ca="1" si="46"/>
        <v>48474</v>
      </c>
      <c r="AP67" s="266">
        <f t="shared" ca="1" si="38"/>
        <v>9.8280579667482676E-5</v>
      </c>
      <c r="AR67" s="248">
        <f ca="1">'JACOBIAN - OIS USDOIS'!B76</f>
        <v>48474</v>
      </c>
      <c r="AS67">
        <f ca="1">'JACOBIAN - OIS USDOIS'!C76</f>
        <v>-9.0982421374619104E-7</v>
      </c>
      <c r="AT67">
        <f ca="1">'JACOBIAN - OIS USDOIS'!D76</f>
        <v>1.54572910027184E-10</v>
      </c>
      <c r="AU67">
        <f ca="1">'JACOBIAN - OIS USDOIS'!E76</f>
        <v>-6.1761118441694397E-10</v>
      </c>
      <c r="AV67">
        <f ca="1">'JACOBIAN - OIS USDOIS'!F76</f>
        <v>1.62682223248112E-9</v>
      </c>
      <c r="AW67">
        <f ca="1">'JACOBIAN - OIS USDOIS'!G76</f>
        <v>-2.0935232436514201E-9</v>
      </c>
      <c r="AX67">
        <f ca="1">'JACOBIAN - OIS USDOIS'!H76</f>
        <v>4.7358335031333404E-9</v>
      </c>
      <c r="AY67">
        <f ca="1">'JACOBIAN - OIS USDOIS'!I76</f>
        <v>-2.75339112620898E-8</v>
      </c>
      <c r="AZ67">
        <f ca="1">'JACOBIAN - OIS USDOIS'!J76</f>
        <v>5.7881069492893302E-8</v>
      </c>
      <c r="BA67">
        <f ca="1">'JACOBIAN - OIS USDOIS'!K76</f>
        <v>-2.2283675549239501E-7</v>
      </c>
      <c r="BB67">
        <f ca="1">'JACOBIAN - OIS USDOIS'!L76</f>
        <v>6.8799254560047995E-7</v>
      </c>
      <c r="BC67">
        <f ca="1">'JACOBIAN - OIS USDOIS'!M76</f>
        <v>-7.4347232703608799E-7</v>
      </c>
      <c r="BD67">
        <f ca="1">'JACOBIAN - OIS USDOIS'!N76</f>
        <v>6.4026561830132798E-13</v>
      </c>
      <c r="BE67">
        <f ca="1">'JACOBIAN - OIS USDOIS'!O76</f>
        <v>6.4026561830132798E-13</v>
      </c>
      <c r="BF67">
        <f ca="1">'JACOBIAN - OIS USDOIS'!P76</f>
        <v>6.4026561830132798E-13</v>
      </c>
      <c r="BG67">
        <f ca="1">'JACOBIAN - OIS USDOIS'!Q76</f>
        <v>6.4026561830132798E-13</v>
      </c>
      <c r="BH67">
        <f ca="1">'JACOBIAN - OIS USDOIS'!R76</f>
        <v>6.4026561830132798E-13</v>
      </c>
      <c r="BI67" s="161">
        <f ca="1">'JACOBIAN - OIS USDOIS'!S76</f>
        <v>-1.73711071516092E-6</v>
      </c>
      <c r="BJ67" s="161">
        <f ca="1">'JACOBIAN - OIS USDOIS'!T76</f>
        <v>-2.27826337784176E-6</v>
      </c>
      <c r="BK67" s="161">
        <f ca="1">'JACOBIAN - OIS USDOIS'!U76</f>
        <v>-6.5866486699262E-6</v>
      </c>
      <c r="BL67" s="161">
        <f ca="1">'JACOBIAN - OIS USDOIS'!V76</f>
        <v>7.1130535668206801E-6</v>
      </c>
      <c r="BM67" s="161">
        <f ca="1">'JACOBIAN - OIS USDOIS'!W76</f>
        <v>-3.3328550169686701E-5</v>
      </c>
      <c r="BN67" s="161">
        <f ca="1">'JACOBIAN - OIS USDOIS'!X76</f>
        <v>1.8564851896774E-5</v>
      </c>
      <c r="BO67" s="161">
        <f ca="1">'JACOBIAN - OIS USDOIS'!Y76</f>
        <v>-2.6697714727985699E-4</v>
      </c>
      <c r="BP67" s="161">
        <f ca="1">'JACOBIAN - OIS USDOIS'!Z76</f>
        <v>1.12655216093183E-3</v>
      </c>
      <c r="BQ67" s="161">
        <f ca="1">'JACOBIAN - OIS USDOIS'!AA76</f>
        <v>2.4589633705729397E-4</v>
      </c>
      <c r="BR67" s="161">
        <f ca="1">'JACOBIAN - OIS USDOIS'!AB76</f>
        <v>-3.3903763520970499E-5</v>
      </c>
      <c r="BS67" s="161">
        <f ca="1">'JACOBIAN - OIS USDOIS'!AC76</f>
        <v>8.6932378660087295E-6</v>
      </c>
      <c r="BT67" s="161">
        <f ca="1">'JACOBIAN - OIS USDOIS'!AD76</f>
        <v>-1.4781655897078101E-6</v>
      </c>
      <c r="BU67">
        <f ca="1">'JACOBIAN - OIS USDOIS'!AE76</f>
        <v>1.7053506752295901E-6</v>
      </c>
      <c r="BV67">
        <f ca="1">'JACOBIAN - OIS USDOIS'!AF76</f>
        <v>2.2399479128187798E-6</v>
      </c>
      <c r="BW67">
        <f ca="1">'JACOBIAN - OIS USDOIS'!AG76</f>
        <v>6.4805573192217E-6</v>
      </c>
      <c r="BX67">
        <f ca="1">'JACOBIAN - OIS USDOIS'!AH76</f>
        <v>-7.0032393790775399E-6</v>
      </c>
      <c r="BY67">
        <f ca="1">'JACOBIAN - OIS USDOIS'!AI76</f>
        <v>3.2786363916015297E-5</v>
      </c>
      <c r="BZ67">
        <f ca="1">'JACOBIAN - OIS USDOIS'!AJ76</f>
        <v>-1.8290291170397502E-5</v>
      </c>
      <c r="CA67">
        <f ca="1">'JACOBIAN - OIS USDOIS'!AK76</f>
        <v>2.6284645178975601E-4</v>
      </c>
      <c r="CB67">
        <f ca="1">'JACOBIAN - OIS USDOIS'!AL76</f>
        <v>-1.1079531736512E-3</v>
      </c>
      <c r="CC67">
        <f ca="1">'JACOBIAN - OIS USDOIS'!AM76</f>
        <v>-2.4211954120501001E-4</v>
      </c>
      <c r="CD67">
        <f ca="1">'JACOBIAN - OIS USDOIS'!AN76</f>
        <v>3.3406267254454398E-5</v>
      </c>
      <c r="CE67">
        <f ca="1">'JACOBIAN - OIS USDOIS'!AO76</f>
        <v>-8.5708100580062003E-6</v>
      </c>
      <c r="CF67">
        <f ca="1">'JACOBIAN - OIS USDOIS'!AP76</f>
        <v>1.4587038110747101E-6</v>
      </c>
      <c r="CK67" s="248">
        <f t="shared" ca="1" si="47"/>
        <v>48474</v>
      </c>
      <c r="CL67">
        <f t="shared" ca="1" si="48"/>
        <v>-9.0982421374619104E-7</v>
      </c>
      <c r="CM67">
        <f t="shared" ca="1" si="49"/>
        <v>1.54572910027184E-10</v>
      </c>
      <c r="CN67">
        <f t="shared" ca="1" si="50"/>
        <v>-6.1761118441694397E-10</v>
      </c>
      <c r="CO67">
        <f t="shared" ca="1" si="51"/>
        <v>1.62682223248112E-9</v>
      </c>
      <c r="CP67">
        <f t="shared" ca="1" si="52"/>
        <v>-2.0935232436514201E-9</v>
      </c>
      <c r="CQ67">
        <f t="shared" ca="1" si="53"/>
        <v>4.7358335031333404E-9</v>
      </c>
      <c r="CR67">
        <f t="shared" ca="1" si="54"/>
        <v>-2.75339112620898E-8</v>
      </c>
      <c r="CS67">
        <f t="shared" ca="1" si="55"/>
        <v>5.7881069492893302E-8</v>
      </c>
      <c r="CT67">
        <f t="shared" ca="1" si="56"/>
        <v>-2.2283675549239501E-7</v>
      </c>
      <c r="CU67">
        <f t="shared" ca="1" si="57"/>
        <v>6.8799254560047995E-7</v>
      </c>
      <c r="CV67">
        <f t="shared" ca="1" si="58"/>
        <v>-7.4347232703608799E-7</v>
      </c>
      <c r="CW67">
        <f t="shared" ca="1" si="59"/>
        <v>6.4026561830132798E-13</v>
      </c>
      <c r="CX67">
        <f t="shared" ca="1" si="60"/>
        <v>6.4026561830132798E-13</v>
      </c>
      <c r="CY67">
        <f t="shared" ca="1" si="61"/>
        <v>6.4026561830132798E-13</v>
      </c>
      <c r="CZ67">
        <f t="shared" ca="1" si="62"/>
        <v>6.4026561830132798E-13</v>
      </c>
      <c r="DA67">
        <f t="shared" ca="1" si="63"/>
        <v>6.4026561830132798E-13</v>
      </c>
      <c r="DB67" s="146">
        <v>0</v>
      </c>
      <c r="DC67" s="146">
        <v>0</v>
      </c>
      <c r="DD67" s="146">
        <v>0</v>
      </c>
      <c r="DE67" s="146">
        <v>0</v>
      </c>
      <c r="DF67" s="146">
        <v>0</v>
      </c>
      <c r="DG67" s="146">
        <v>0</v>
      </c>
      <c r="DH67" s="146">
        <v>0</v>
      </c>
      <c r="DI67" s="146">
        <v>0</v>
      </c>
      <c r="DJ67" s="146">
        <v>0</v>
      </c>
      <c r="DK67" s="146">
        <v>0</v>
      </c>
      <c r="DL67" s="146">
        <v>0</v>
      </c>
      <c r="DM67" s="146">
        <v>0</v>
      </c>
      <c r="DN67">
        <f t="shared" ca="1" si="64"/>
        <v>1.7053506752295901E-6</v>
      </c>
      <c r="DO67">
        <f t="shared" ca="1" si="65"/>
        <v>2.2399479128187798E-6</v>
      </c>
      <c r="DP67">
        <f t="shared" ca="1" si="66"/>
        <v>6.4805573192217E-6</v>
      </c>
      <c r="DQ67">
        <f t="shared" ca="1" si="67"/>
        <v>-7.0032393790775399E-6</v>
      </c>
      <c r="DR67">
        <f t="shared" ca="1" si="68"/>
        <v>3.2786363916015297E-5</v>
      </c>
      <c r="DS67">
        <f t="shared" ca="1" si="69"/>
        <v>-1.8290291170397502E-5</v>
      </c>
      <c r="DT67">
        <f t="shared" ca="1" si="70"/>
        <v>2.6284645178975601E-4</v>
      </c>
      <c r="DU67">
        <f t="shared" ca="1" si="71"/>
        <v>-1.1079531736512E-3</v>
      </c>
      <c r="DV67">
        <f t="shared" ca="1" si="72"/>
        <v>-2.4211954120501001E-4</v>
      </c>
      <c r="DW67">
        <f t="shared" ca="1" si="73"/>
        <v>3.3406267254454398E-5</v>
      </c>
      <c r="DX67">
        <f t="shared" ca="1" si="74"/>
        <v>-8.5708100580062003E-6</v>
      </c>
      <c r="DY67">
        <f t="shared" ca="1" si="75"/>
        <v>1.4587038110747101E-6</v>
      </c>
      <c r="ED67" s="248">
        <f ca="1">'JACOBIAN - SWAP USD3ML'!B76</f>
        <v>48474</v>
      </c>
      <c r="EE67">
        <f ca="1">'JACOBIAN - SWAP USD3ML'!C76</f>
        <v>3.8035546934267498E-13</v>
      </c>
      <c r="EF67">
        <f ca="1">'JACOBIAN - SWAP USD3ML'!D76</f>
        <v>5.0880003335529403E-10</v>
      </c>
      <c r="EG67">
        <f ca="1">'JACOBIAN - SWAP USD3ML'!E76</f>
        <v>8.6638370089264798E-12</v>
      </c>
      <c r="EH67">
        <f ca="1">'JACOBIAN - SWAP USD3ML'!F76</f>
        <v>3.7947422981687901E-13</v>
      </c>
      <c r="EI67">
        <f ca="1">'JACOBIAN - SWAP USD3ML'!G76</f>
        <v>5.9530401441687498E-12</v>
      </c>
      <c r="EJ67">
        <f ca="1">'JACOBIAN - SWAP USD3ML'!H76</f>
        <v>5.0800155054764297E-10</v>
      </c>
      <c r="EK67">
        <f ca="1">'JACOBIAN - SWAP USD3ML'!I76</f>
        <v>5.1426291697298499E-10</v>
      </c>
      <c r="EL67">
        <f ca="1">'JACOBIAN - SWAP USD3ML'!J76</f>
        <v>5.1247972879253604E-10</v>
      </c>
      <c r="EM67">
        <f ca="1">'JACOBIAN - SWAP USD3ML'!K76</f>
        <v>5.1078086552025503E-10</v>
      </c>
      <c r="EN67">
        <f ca="1">'JACOBIAN - SWAP USD3ML'!L76</f>
        <v>5.0921376837376197E-10</v>
      </c>
      <c r="EO67">
        <f ca="1">'JACOBIAN - SWAP USD3ML'!M76</f>
        <v>5.0448173069539404E-10</v>
      </c>
      <c r="EP67">
        <f ca="1">'JACOBIAN - SWAP USD3ML'!N76</f>
        <v>1.0916902520863301E-9</v>
      </c>
      <c r="EQ67">
        <f ca="1">'JACOBIAN - SWAP USD3ML'!O76</f>
        <v>-2.64470116154158E-8</v>
      </c>
      <c r="ER67">
        <f ca="1">'JACOBIAN - SWAP USD3ML'!P76</f>
        <v>1.2799301838187201E-7</v>
      </c>
      <c r="ES67">
        <f ca="1">'JACOBIAN - SWAP USD3ML'!Q76</f>
        <v>-3.1887559845400497E-7</v>
      </c>
      <c r="ET67">
        <f ca="1">'JACOBIAN - SWAP USD3ML'!R76</f>
        <v>2.8135144139740399E-6</v>
      </c>
      <c r="EU67">
        <f ca="1">'JACOBIAN - SWAP USD3ML'!S76</f>
        <v>-1.4657345626455801E-5</v>
      </c>
      <c r="EV67">
        <f ca="1">'JACOBIAN - SWAP USD3ML'!T76</f>
        <v>6.3747387958224002E-5</v>
      </c>
      <c r="EW67">
        <f ca="1">'JACOBIAN - SWAP USD3ML'!U76</f>
        <v>-1.4221255889561001E-4</v>
      </c>
      <c r="EX67">
        <f ca="1">'JACOBIAN - SWAP USD3ML'!V76</f>
        <v>-3.48563563560632E-4</v>
      </c>
      <c r="EY67">
        <f ca="1">'JACOBIAN - SWAP USD3ML'!W76</f>
        <v>6.05797085083154E-4</v>
      </c>
      <c r="EZ67">
        <f ca="1">'JACOBIAN - SWAP USD3ML'!X76</f>
        <v>-9.1847004904468301E-5</v>
      </c>
      <c r="FA67">
        <f ca="1">'JACOBIAN - SWAP USD3ML'!Y76</f>
        <v>2.94005980756608E-5</v>
      </c>
      <c r="FB67">
        <f ca="1">'JACOBIAN - SWAP USD3ML'!Z76</f>
        <v>-5.9848783722296602E-6</v>
      </c>
    </row>
    <row r="68" spans="24:158" x14ac:dyDescent="0.25">
      <c r="X68" s="258">
        <f t="shared" ca="1" si="42"/>
        <v>48565</v>
      </c>
      <c r="Y68" s="261">
        <v>0</v>
      </c>
      <c r="AA68" s="257">
        <f t="shared" ca="1" si="35"/>
        <v>48565</v>
      </c>
      <c r="AB68" s="266">
        <f t="shared" ca="1" si="43"/>
        <v>-1.0599471977611437E-3</v>
      </c>
      <c r="AC68" s="266"/>
      <c r="AD68" s="290">
        <f ca="1"/>
        <v>48565</v>
      </c>
      <c r="AE68" s="291">
        <f ca="1"/>
        <v>-1.0599471977611463E-3</v>
      </c>
      <c r="AF68" s="291" t="b">
        <f t="shared" ca="1" si="36"/>
        <v>1</v>
      </c>
      <c r="AH68" s="257">
        <f t="shared" ca="1" si="44"/>
        <v>48565</v>
      </c>
      <c r="AI68" s="260">
        <v>0</v>
      </c>
      <c r="AK68" s="290">
        <f ca="1"/>
        <v>48565</v>
      </c>
      <c r="AL68" s="291">
        <f ca="1"/>
        <v>9.8285252666308054E-5</v>
      </c>
      <c r="AM68" s="291" t="b">
        <f t="shared" ca="1" si="45"/>
        <v>1</v>
      </c>
      <c r="AO68" s="257">
        <f t="shared" ca="1" si="46"/>
        <v>48565</v>
      </c>
      <c r="AP68" s="266">
        <f t="shared" ca="1" si="38"/>
        <v>9.8285252666308339E-5</v>
      </c>
      <c r="AR68" s="248">
        <f ca="1">'JACOBIAN - OIS USDOIS'!B77</f>
        <v>48565</v>
      </c>
      <c r="AS68">
        <f ca="1">'JACOBIAN - OIS USDOIS'!C77</f>
        <v>-9.05667793760223E-7</v>
      </c>
      <c r="AT68">
        <f ca="1">'JACOBIAN - OIS USDOIS'!D77</f>
        <v>1.6543788561307299E-10</v>
      </c>
      <c r="AU68">
        <f ca="1">'JACOBIAN - OIS USDOIS'!E77</f>
        <v>-6.6106897733675396E-10</v>
      </c>
      <c r="AV68">
        <f ca="1">'JACOBIAN - OIS USDOIS'!F77</f>
        <v>1.7412831176955001E-9</v>
      </c>
      <c r="AW68">
        <f ca="1">'JACOBIAN - OIS USDOIS'!G77</f>
        <v>-2.2408574995580499E-9</v>
      </c>
      <c r="AX68">
        <f ca="1">'JACOBIAN - OIS USDOIS'!H77</f>
        <v>5.0690167618938598E-9</v>
      </c>
      <c r="AY68">
        <f ca="1">'JACOBIAN - OIS USDOIS'!I77</f>
        <v>-2.8613465818949599E-8</v>
      </c>
      <c r="AZ68">
        <f ca="1">'JACOBIAN - OIS USDOIS'!J77</f>
        <v>6.19530959866665E-8</v>
      </c>
      <c r="BA68">
        <f ca="1">'JACOBIAN - OIS USDOIS'!K77</f>
        <v>-2.38513239714244E-7</v>
      </c>
      <c r="BB68">
        <f ca="1">'JACOBIAN - OIS USDOIS'!L77</f>
        <v>7.1138803192649604E-7</v>
      </c>
      <c r="BC68">
        <f ca="1">'JACOBIAN - OIS USDOIS'!M77</f>
        <v>-7.9319113333031797E-7</v>
      </c>
      <c r="BD68">
        <f ca="1">'JACOBIAN - OIS USDOIS'!N77</f>
        <v>6.3238303482648896E-13</v>
      </c>
      <c r="BE68">
        <f ca="1">'JACOBIAN - OIS USDOIS'!O77</f>
        <v>6.3238303482648896E-13</v>
      </c>
      <c r="BF68">
        <f ca="1">'JACOBIAN - OIS USDOIS'!P77</f>
        <v>6.3238303482648896E-13</v>
      </c>
      <c r="BG68">
        <f ca="1">'JACOBIAN - OIS USDOIS'!Q77</f>
        <v>6.3238303482648896E-13</v>
      </c>
      <c r="BH68">
        <f ca="1">'JACOBIAN - OIS USDOIS'!R77</f>
        <v>6.3238303482648896E-13</v>
      </c>
      <c r="BI68" s="161">
        <f ca="1">'JACOBIAN - OIS USDOIS'!S77</f>
        <v>-1.80135355332123E-6</v>
      </c>
      <c r="BJ68" s="161">
        <f ca="1">'JACOBIAN - OIS USDOIS'!T77</f>
        <v>-2.16463143831724E-6</v>
      </c>
      <c r="BK68" s="161">
        <f ca="1">'JACOBIAN - OIS USDOIS'!U77</f>
        <v>-6.9846233325954196E-6</v>
      </c>
      <c r="BL68" s="161">
        <f ca="1">'JACOBIAN - OIS USDOIS'!V77</f>
        <v>8.6086821764475002E-6</v>
      </c>
      <c r="BM68" s="161">
        <f ca="1">'JACOBIAN - OIS USDOIS'!W77</f>
        <v>-3.6302027933365899E-5</v>
      </c>
      <c r="BN68" s="161">
        <f ca="1">'JACOBIAN - OIS USDOIS'!X77</f>
        <v>2.4082393708102501E-5</v>
      </c>
      <c r="BO68" s="161">
        <f ca="1">'JACOBIAN - OIS USDOIS'!Y77</f>
        <v>-2.9416822333594401E-4</v>
      </c>
      <c r="BP68" s="161">
        <f ca="1">'JACOBIAN - OIS USDOIS'!Z77</f>
        <v>1.0625814746801901E-3</v>
      </c>
      <c r="BQ68" s="161">
        <f ca="1">'JACOBIAN - OIS USDOIS'!AA77</f>
        <v>3.5956369944323301E-4</v>
      </c>
      <c r="BR68" s="161">
        <f ca="1">'JACOBIAN - OIS USDOIS'!AB77</f>
        <v>-4.6980568311316702E-5</v>
      </c>
      <c r="BS68" s="161">
        <f ca="1">'JACOBIAN - OIS USDOIS'!AC77</f>
        <v>1.20463738627619E-5</v>
      </c>
      <c r="BT68" s="161">
        <f ca="1">'JACOBIAN - OIS USDOIS'!AD77</f>
        <v>-2.0483155771522402E-6</v>
      </c>
      <c r="BU68">
        <f ca="1">'JACOBIAN - OIS USDOIS'!AE77</f>
        <v>1.76843045263109E-6</v>
      </c>
      <c r="BV68">
        <f ca="1">'JACOBIAN - OIS USDOIS'!AF77</f>
        <v>2.1282053126458999E-6</v>
      </c>
      <c r="BW68">
        <f ca="1">'JACOBIAN - OIS USDOIS'!AG77</f>
        <v>6.8721487734846304E-6</v>
      </c>
      <c r="BX68">
        <f ca="1">'JACOBIAN - OIS USDOIS'!AH77</f>
        <v>-8.4752818302336103E-6</v>
      </c>
      <c r="BY68">
        <f ca="1">'JACOBIAN - OIS USDOIS'!AI77</f>
        <v>3.5712332691728597E-5</v>
      </c>
      <c r="BZ68">
        <f ca="1">'JACOBIAN - OIS USDOIS'!AJ77</f>
        <v>-2.3720832628138E-5</v>
      </c>
      <c r="CA68">
        <f ca="1">'JACOBIAN - OIS USDOIS'!AK77</f>
        <v>2.8962979198487998E-4</v>
      </c>
      <c r="CB68">
        <f ca="1">'JACOBIAN - OIS USDOIS'!AL77</f>
        <v>-1.04511828266651E-3</v>
      </c>
      <c r="CC68">
        <f ca="1">'JACOBIAN - OIS USDOIS'!AM77</f>
        <v>-3.5399174658468102E-4</v>
      </c>
      <c r="CD68">
        <f ca="1">'JACOBIAN - OIS USDOIS'!AN77</f>
        <v>4.6291930942521403E-5</v>
      </c>
      <c r="CE68">
        <f ca="1">'JACOBIAN - OIS USDOIS'!AO77</f>
        <v>-1.1876674906541299E-5</v>
      </c>
      <c r="CF68">
        <f ca="1">'JACOBIAN - OIS USDOIS'!AP77</f>
        <v>2.0213482285757999E-6</v>
      </c>
      <c r="CK68" s="248">
        <f t="shared" ca="1" si="47"/>
        <v>48565</v>
      </c>
      <c r="CL68">
        <f t="shared" ca="1" si="48"/>
        <v>-9.05667793760223E-7</v>
      </c>
      <c r="CM68">
        <f t="shared" ca="1" si="49"/>
        <v>1.6543788561307299E-10</v>
      </c>
      <c r="CN68">
        <f t="shared" ca="1" si="50"/>
        <v>-6.6106897733675396E-10</v>
      </c>
      <c r="CO68">
        <f t="shared" ca="1" si="51"/>
        <v>1.7412831176955001E-9</v>
      </c>
      <c r="CP68">
        <f t="shared" ca="1" si="52"/>
        <v>-2.2408574995580499E-9</v>
      </c>
      <c r="CQ68">
        <f t="shared" ca="1" si="53"/>
        <v>5.0690167618938598E-9</v>
      </c>
      <c r="CR68">
        <f t="shared" ca="1" si="54"/>
        <v>-2.8613465818949599E-8</v>
      </c>
      <c r="CS68">
        <f t="shared" ca="1" si="55"/>
        <v>6.19530959866665E-8</v>
      </c>
      <c r="CT68">
        <f t="shared" ca="1" si="56"/>
        <v>-2.38513239714244E-7</v>
      </c>
      <c r="CU68">
        <f t="shared" ca="1" si="57"/>
        <v>7.1138803192649604E-7</v>
      </c>
      <c r="CV68">
        <f t="shared" ca="1" si="58"/>
        <v>-7.9319113333031797E-7</v>
      </c>
      <c r="CW68">
        <f t="shared" ca="1" si="59"/>
        <v>6.3238303482648896E-13</v>
      </c>
      <c r="CX68">
        <f t="shared" ca="1" si="60"/>
        <v>6.3238303482648896E-13</v>
      </c>
      <c r="CY68">
        <f t="shared" ca="1" si="61"/>
        <v>6.3238303482648896E-13</v>
      </c>
      <c r="CZ68">
        <f t="shared" ca="1" si="62"/>
        <v>6.3238303482648896E-13</v>
      </c>
      <c r="DA68">
        <f t="shared" ca="1" si="63"/>
        <v>6.3238303482648896E-13</v>
      </c>
      <c r="DB68" s="146">
        <v>0</v>
      </c>
      <c r="DC68" s="146">
        <v>0</v>
      </c>
      <c r="DD68" s="146">
        <v>0</v>
      </c>
      <c r="DE68" s="146">
        <v>0</v>
      </c>
      <c r="DF68" s="146">
        <v>0</v>
      </c>
      <c r="DG68" s="146">
        <v>0</v>
      </c>
      <c r="DH68" s="146">
        <v>0</v>
      </c>
      <c r="DI68" s="146">
        <v>0</v>
      </c>
      <c r="DJ68" s="146">
        <v>0</v>
      </c>
      <c r="DK68" s="146">
        <v>0</v>
      </c>
      <c r="DL68" s="146">
        <v>0</v>
      </c>
      <c r="DM68" s="146">
        <v>0</v>
      </c>
      <c r="DN68">
        <f t="shared" ca="1" si="64"/>
        <v>1.76843045263109E-6</v>
      </c>
      <c r="DO68">
        <f t="shared" ca="1" si="65"/>
        <v>2.1282053126458999E-6</v>
      </c>
      <c r="DP68">
        <f t="shared" ca="1" si="66"/>
        <v>6.8721487734846304E-6</v>
      </c>
      <c r="DQ68">
        <f t="shared" ca="1" si="67"/>
        <v>-8.4752818302336103E-6</v>
      </c>
      <c r="DR68">
        <f t="shared" ca="1" si="68"/>
        <v>3.5712332691728597E-5</v>
      </c>
      <c r="DS68">
        <f t="shared" ca="1" si="69"/>
        <v>-2.3720832628138E-5</v>
      </c>
      <c r="DT68">
        <f t="shared" ca="1" si="70"/>
        <v>2.8962979198487998E-4</v>
      </c>
      <c r="DU68">
        <f t="shared" ca="1" si="71"/>
        <v>-1.04511828266651E-3</v>
      </c>
      <c r="DV68">
        <f t="shared" ca="1" si="72"/>
        <v>-3.5399174658468102E-4</v>
      </c>
      <c r="DW68">
        <f t="shared" ca="1" si="73"/>
        <v>4.6291930942521403E-5</v>
      </c>
      <c r="DX68">
        <f t="shared" ca="1" si="74"/>
        <v>-1.1876674906541299E-5</v>
      </c>
      <c r="DY68">
        <f t="shared" ca="1" si="75"/>
        <v>2.0213482285757999E-6</v>
      </c>
      <c r="ED68" s="248">
        <f ca="1">'JACOBIAN - SWAP USD3ML'!B77</f>
        <v>48565</v>
      </c>
      <c r="EE68">
        <f ca="1">'JACOBIAN - SWAP USD3ML'!C77</f>
        <v>3.0286884111774301E-13</v>
      </c>
      <c r="EF68">
        <f ca="1">'JACOBIAN - SWAP USD3ML'!D77</f>
        <v>5.9884541769861205E-11</v>
      </c>
      <c r="EG68">
        <f ca="1">'JACOBIAN - SWAP USD3ML'!E77</f>
        <v>7.2795103278622296E-12</v>
      </c>
      <c r="EH68">
        <f ca="1">'JACOBIAN - SWAP USD3ML'!F77</f>
        <v>3.0286884111774301E-13</v>
      </c>
      <c r="EI68">
        <f ca="1">'JACOBIAN - SWAP USD3ML'!G77</f>
        <v>9.64561763794336E-13</v>
      </c>
      <c r="EJ68">
        <f ca="1">'JACOBIAN - SWAP USD3ML'!H77</f>
        <v>6.0587090899844004E-11</v>
      </c>
      <c r="EK68">
        <f ca="1">'JACOBIAN - SWAP USD3ML'!I77</f>
        <v>6.7184480201376599E-11</v>
      </c>
      <c r="EL68">
        <f ca="1">'JACOBIAN - SWAP USD3ML'!J77</f>
        <v>6.6890493144455806E-11</v>
      </c>
      <c r="EM68">
        <f ca="1">'JACOBIAN - SWAP USD3ML'!K77</f>
        <v>6.6618710548027606E-11</v>
      </c>
      <c r="EN68">
        <f ca="1">'JACOBIAN - SWAP USD3ML'!L77</f>
        <v>6.6433081258310306E-11</v>
      </c>
      <c r="EO68">
        <f ca="1">'JACOBIAN - SWAP USD3ML'!M77</f>
        <v>6.5796257331385303E-11</v>
      </c>
      <c r="EP68">
        <f ca="1">'JACOBIAN - SWAP USD3ML'!N77</f>
        <v>1.4056755759384001E-10</v>
      </c>
      <c r="EQ68">
        <f ca="1">'JACOBIAN - SWAP USD3ML'!O77</f>
        <v>-3.4062184184335799E-9</v>
      </c>
      <c r="ER68">
        <f ca="1">'JACOBIAN - SWAP USD3ML'!P77</f>
        <v>1.6486620957323299E-8</v>
      </c>
      <c r="ES68">
        <f ca="1">'JACOBIAN - SWAP USD3ML'!Q77</f>
        <v>-4.1075124634915001E-8</v>
      </c>
      <c r="ET68">
        <f ca="1">'JACOBIAN - SWAP USD3ML'!R77</f>
        <v>3.62424344757528E-7</v>
      </c>
      <c r="EU68">
        <f ca="1">'JACOBIAN - SWAP USD3ML'!S77</f>
        <v>-1.8882467216485599E-6</v>
      </c>
      <c r="EV68">
        <f ca="1">'JACOBIAN - SWAP USD3ML'!T77</f>
        <v>8.2093653483994393E-6</v>
      </c>
      <c r="EW68">
        <f ca="1">'JACOBIAN - SWAP USD3ML'!U77</f>
        <v>-1.8331175686725501E-5</v>
      </c>
      <c r="EX68">
        <f ca="1">'JACOBIAN - SWAP USD3ML'!V77</f>
        <v>-4.7736815320398302E-4</v>
      </c>
      <c r="EY68">
        <f ca="1">'JACOBIAN - SWAP USD3ML'!W77</f>
        <v>6.4862966145806699E-4</v>
      </c>
      <c r="EZ68">
        <f ca="1">'JACOBIAN - SWAP USD3ML'!X77</f>
        <v>-8.2277020202248306E-5</v>
      </c>
      <c r="FA68">
        <f ca="1">'JACOBIAN - SWAP USD3ML'!Y77</f>
        <v>2.6337050750946399E-5</v>
      </c>
      <c r="FB68">
        <f ca="1">'JACOBIAN - SWAP USD3ML'!Z77</f>
        <v>-5.3612615111831002E-6</v>
      </c>
    </row>
    <row r="69" spans="24:158" x14ac:dyDescent="0.25">
      <c r="X69" s="258">
        <f t="shared" ca="1" si="42"/>
        <v>48655</v>
      </c>
      <c r="Y69" s="261">
        <v>0</v>
      </c>
      <c r="AA69" s="257">
        <f t="shared" ca="1" si="35"/>
        <v>48655</v>
      </c>
      <c r="AB69" s="266">
        <f t="shared" ca="1" si="43"/>
        <v>-1.0754017196134003E-3</v>
      </c>
      <c r="AC69" s="266"/>
      <c r="AD69" s="290">
        <f ca="1"/>
        <v>48655</v>
      </c>
      <c r="AE69" s="291">
        <f ca="1"/>
        <v>-1.0754017196134003E-3</v>
      </c>
      <c r="AF69" s="291" t="b">
        <f t="shared" ca="1" si="36"/>
        <v>1</v>
      </c>
      <c r="AH69" s="257">
        <f t="shared" ca="1" si="44"/>
        <v>48655</v>
      </c>
      <c r="AI69" s="260">
        <v>0</v>
      </c>
      <c r="AK69" s="290">
        <f ca="1"/>
        <v>48655</v>
      </c>
      <c r="AL69" s="291">
        <f ca="1"/>
        <v>9.8312532641746386E-5</v>
      </c>
      <c r="AM69" s="291" t="b">
        <f t="shared" ca="1" si="45"/>
        <v>1</v>
      </c>
      <c r="AO69" s="257">
        <f t="shared" ca="1" si="46"/>
        <v>48655</v>
      </c>
      <c r="AP69" s="266">
        <f t="shared" ca="1" si="38"/>
        <v>9.8312532641746088E-5</v>
      </c>
      <c r="AR69" s="248">
        <f ca="1">'JACOBIAN - OIS USDOIS'!B78</f>
        <v>48655</v>
      </c>
      <c r="AS69">
        <f ca="1">'JACOBIAN - OIS USDOIS'!C78</f>
        <v>-9.0157607868235303E-7</v>
      </c>
      <c r="AT69">
        <f ca="1">'JACOBIAN - OIS USDOIS'!D78</f>
        <v>1.6830370430653801E-10</v>
      </c>
      <c r="AU69">
        <f ca="1">'JACOBIAN - OIS USDOIS'!E78</f>
        <v>-6.7256389346681503E-10</v>
      </c>
      <c r="AV69">
        <f ca="1">'JACOBIAN - OIS USDOIS'!F78</f>
        <v>1.77153847147338E-9</v>
      </c>
      <c r="AW69">
        <f ca="1">'JACOBIAN - OIS USDOIS'!G78</f>
        <v>-2.2798068988194599E-9</v>
      </c>
      <c r="AX69">
        <f ca="1">'JACOBIAN - OIS USDOIS'!H78</f>
        <v>5.1570668846423498E-9</v>
      </c>
      <c r="AY69">
        <f ca="1">'JACOBIAN - OIS USDOIS'!I78</f>
        <v>-2.88660561009735E-8</v>
      </c>
      <c r="AZ69">
        <f ca="1">'JACOBIAN - OIS USDOIS'!J78</f>
        <v>6.3029139574233297E-8</v>
      </c>
      <c r="BA69">
        <f ca="1">'JACOBIAN - OIS USDOIS'!K78</f>
        <v>-2.4265585296667801E-7</v>
      </c>
      <c r="BB69">
        <f ca="1">'JACOBIAN - OIS USDOIS'!L78</f>
        <v>7.1728432127216003E-7</v>
      </c>
      <c r="BC69">
        <f ca="1">'JACOBIAN - OIS USDOIS'!M78</f>
        <v>-8.0623118103861902E-7</v>
      </c>
      <c r="BD69">
        <f ca="1">'JACOBIAN - OIS USDOIS'!N78</f>
        <v>6.2438942904918804E-13</v>
      </c>
      <c r="BE69">
        <f ca="1">'JACOBIAN - OIS USDOIS'!O78</f>
        <v>6.2438942904918804E-13</v>
      </c>
      <c r="BF69">
        <f ca="1">'JACOBIAN - OIS USDOIS'!P78</f>
        <v>6.2438942904918804E-13</v>
      </c>
      <c r="BG69">
        <f ca="1">'JACOBIAN - OIS USDOIS'!Q78</f>
        <v>6.2438942904918804E-13</v>
      </c>
      <c r="BH69">
        <f ca="1">'JACOBIAN - OIS USDOIS'!R78</f>
        <v>6.2438942904918804E-13</v>
      </c>
      <c r="BI69" s="161">
        <f ca="1">'JACOBIAN - OIS USDOIS'!S78</f>
        <v>-1.81771674723219E-6</v>
      </c>
      <c r="BJ69" s="161">
        <f ca="1">'JACOBIAN - OIS USDOIS'!T78</f>
        <v>-2.1320783248901499E-6</v>
      </c>
      <c r="BK69" s="161">
        <f ca="1">'JACOBIAN - OIS USDOIS'!U78</f>
        <v>-7.0859984615534401E-6</v>
      </c>
      <c r="BL69" s="161">
        <f ca="1">'JACOBIAN - OIS USDOIS'!V78</f>
        <v>8.9943554286708894E-6</v>
      </c>
      <c r="BM69" s="161">
        <f ca="1">'JACOBIAN - OIS USDOIS'!W78</f>
        <v>-3.70542657751605E-5</v>
      </c>
      <c r="BN69" s="161">
        <f ca="1">'JACOBIAN - OIS USDOIS'!X78</f>
        <v>2.5508765521764499E-5</v>
      </c>
      <c r="BO69" s="161">
        <f ca="1">'JACOBIAN - OIS USDOIS'!Y78</f>
        <v>-3.01077747438039E-4</v>
      </c>
      <c r="BP69" s="161">
        <f ca="1">'JACOBIAN - OIS USDOIS'!Z78</f>
        <v>9.7052688283549805E-4</v>
      </c>
      <c r="BQ69" s="161">
        <f ca="1">'JACOBIAN - OIS USDOIS'!AA78</f>
        <v>4.8252350752020501E-4</v>
      </c>
      <c r="BR69" s="161">
        <f ca="1">'JACOBIAN - OIS USDOIS'!AB78</f>
        <v>-5.8910256500843701E-5</v>
      </c>
      <c r="BS69" s="161">
        <f ca="1">'JACOBIAN - OIS USDOIS'!AC78</f>
        <v>1.5105428656903E-5</v>
      </c>
      <c r="BT69" s="161">
        <f ca="1">'JACOBIAN - OIS USDOIS'!AD78</f>
        <v>-2.5684590470031999E-6</v>
      </c>
      <c r="BU69">
        <f ca="1">'JACOBIAN - OIS USDOIS'!AE78</f>
        <v>1.7844975698233499E-6</v>
      </c>
      <c r="BV69">
        <f ca="1">'JACOBIAN - OIS USDOIS'!AF78</f>
        <v>2.0961935867092099E-6</v>
      </c>
      <c r="BW69">
        <f ca="1">'JACOBIAN - OIS USDOIS'!AG78</f>
        <v>6.9718965439724599E-6</v>
      </c>
      <c r="BX69">
        <f ca="1">'JACOBIAN - OIS USDOIS'!AH78</f>
        <v>-8.8548724372916593E-6</v>
      </c>
      <c r="BY69">
        <f ca="1">'JACOBIAN - OIS USDOIS'!AI78</f>
        <v>3.6452564196376402E-5</v>
      </c>
      <c r="BZ69">
        <f ca="1">'JACOBIAN - OIS USDOIS'!AJ78</f>
        <v>-2.5124694769895798E-5</v>
      </c>
      <c r="CA69">
        <f ca="1">'JACOBIAN - OIS USDOIS'!AK78</f>
        <v>2.9643627944864198E-4</v>
      </c>
      <c r="CB69">
        <f ca="1">'JACOBIAN - OIS USDOIS'!AL78</f>
        <v>-9.5468433994816404E-4</v>
      </c>
      <c r="CC69">
        <f ca="1">'JACOBIAN - OIS USDOIS'!AM78</f>
        <v>-4.7497405538876603E-4</v>
      </c>
      <c r="CD69">
        <f ca="1">'JACOBIAN - OIS USDOIS'!AN78</f>
        <v>5.8047614601264299E-5</v>
      </c>
      <c r="CE69">
        <f ca="1">'JACOBIAN - OIS USDOIS'!AO78</f>
        <v>-1.48925800876887E-5</v>
      </c>
      <c r="CF69">
        <f ca="1">'JACOBIAN - OIS USDOIS'!AP78</f>
        <v>2.5346451193453101E-6</v>
      </c>
      <c r="CK69" s="248">
        <f t="shared" ca="1" si="47"/>
        <v>48655</v>
      </c>
      <c r="CL69">
        <f t="shared" ca="1" si="48"/>
        <v>-9.0157607868235303E-7</v>
      </c>
      <c r="CM69">
        <f t="shared" ca="1" si="49"/>
        <v>1.6830370430653801E-10</v>
      </c>
      <c r="CN69">
        <f t="shared" ca="1" si="50"/>
        <v>-6.7256389346681503E-10</v>
      </c>
      <c r="CO69">
        <f t="shared" ca="1" si="51"/>
        <v>1.77153847147338E-9</v>
      </c>
      <c r="CP69">
        <f t="shared" ca="1" si="52"/>
        <v>-2.2798068988194599E-9</v>
      </c>
      <c r="CQ69">
        <f t="shared" ca="1" si="53"/>
        <v>5.1570668846423498E-9</v>
      </c>
      <c r="CR69">
        <f t="shared" ca="1" si="54"/>
        <v>-2.88660561009735E-8</v>
      </c>
      <c r="CS69">
        <f t="shared" ca="1" si="55"/>
        <v>6.3029139574233297E-8</v>
      </c>
      <c r="CT69">
        <f t="shared" ca="1" si="56"/>
        <v>-2.4265585296667801E-7</v>
      </c>
      <c r="CU69">
        <f t="shared" ca="1" si="57"/>
        <v>7.1728432127216003E-7</v>
      </c>
      <c r="CV69">
        <f t="shared" ca="1" si="58"/>
        <v>-8.0623118103861902E-7</v>
      </c>
      <c r="CW69">
        <f t="shared" ca="1" si="59"/>
        <v>6.2438942904918804E-13</v>
      </c>
      <c r="CX69">
        <f t="shared" ca="1" si="60"/>
        <v>6.2438942904918804E-13</v>
      </c>
      <c r="CY69">
        <f t="shared" ca="1" si="61"/>
        <v>6.2438942904918804E-13</v>
      </c>
      <c r="CZ69">
        <f t="shared" ca="1" si="62"/>
        <v>6.2438942904918804E-13</v>
      </c>
      <c r="DA69">
        <f t="shared" ca="1" si="63"/>
        <v>6.2438942904918804E-13</v>
      </c>
      <c r="DB69" s="146">
        <v>0</v>
      </c>
      <c r="DC69" s="146">
        <v>0</v>
      </c>
      <c r="DD69" s="146">
        <v>0</v>
      </c>
      <c r="DE69" s="146">
        <v>0</v>
      </c>
      <c r="DF69" s="146">
        <v>0</v>
      </c>
      <c r="DG69" s="146">
        <v>0</v>
      </c>
      <c r="DH69" s="146">
        <v>0</v>
      </c>
      <c r="DI69" s="146">
        <v>0</v>
      </c>
      <c r="DJ69" s="146">
        <v>0</v>
      </c>
      <c r="DK69" s="146">
        <v>0</v>
      </c>
      <c r="DL69" s="146">
        <v>0</v>
      </c>
      <c r="DM69" s="146">
        <v>0</v>
      </c>
      <c r="DN69">
        <f t="shared" ca="1" si="64"/>
        <v>1.7844975698233499E-6</v>
      </c>
      <c r="DO69">
        <f t="shared" ca="1" si="65"/>
        <v>2.0961935867092099E-6</v>
      </c>
      <c r="DP69">
        <f t="shared" ca="1" si="66"/>
        <v>6.9718965439724599E-6</v>
      </c>
      <c r="DQ69">
        <f t="shared" ca="1" si="67"/>
        <v>-8.8548724372916593E-6</v>
      </c>
      <c r="DR69">
        <f t="shared" ca="1" si="68"/>
        <v>3.6452564196376402E-5</v>
      </c>
      <c r="DS69">
        <f t="shared" ca="1" si="69"/>
        <v>-2.5124694769895798E-5</v>
      </c>
      <c r="DT69">
        <f t="shared" ca="1" si="70"/>
        <v>2.9643627944864198E-4</v>
      </c>
      <c r="DU69">
        <f t="shared" ca="1" si="71"/>
        <v>-9.5468433994816404E-4</v>
      </c>
      <c r="DV69">
        <f t="shared" ca="1" si="72"/>
        <v>-4.7497405538876603E-4</v>
      </c>
      <c r="DW69">
        <f t="shared" ca="1" si="73"/>
        <v>5.8047614601264299E-5</v>
      </c>
      <c r="DX69">
        <f t="shared" ca="1" si="74"/>
        <v>-1.48925800876887E-5</v>
      </c>
      <c r="DY69">
        <f t="shared" ca="1" si="75"/>
        <v>2.5346451193453101E-6</v>
      </c>
      <c r="ED69" s="248">
        <f ca="1">'JACOBIAN - SWAP USD3ML'!B78</f>
        <v>48655</v>
      </c>
      <c r="EE69">
        <f ca="1">'JACOBIAN - SWAP USD3ML'!C78</f>
        <v>2.5197205433258298E-13</v>
      </c>
      <c r="EF69">
        <f ca="1">'JACOBIAN - SWAP USD3ML'!D78</f>
        <v>-3.1590643295720302E-10</v>
      </c>
      <c r="EG69">
        <f ca="1">'JACOBIAN - SWAP USD3ML'!E78</f>
        <v>6.3079957923761802E-12</v>
      </c>
      <c r="EH69">
        <f ca="1">'JACOBIAN - SWAP USD3ML'!F78</f>
        <v>2.5197205433258298E-13</v>
      </c>
      <c r="EI69">
        <f ca="1">'JACOBIAN - SWAP USD3ML'!G78</f>
        <v>-3.20004786558137E-12</v>
      </c>
      <c r="EJ69">
        <f ca="1">'JACOBIAN - SWAP USD3ML'!H78</f>
        <v>-3.13927144696136E-10</v>
      </c>
      <c r="EK69">
        <f ca="1">'JACOBIAN - SWAP USD3ML'!I78</f>
        <v>-3.0688060773109699E-10</v>
      </c>
      <c r="EL69">
        <f ca="1">'JACOBIAN - SWAP USD3ML'!J78</f>
        <v>-3.0593093336417401E-10</v>
      </c>
      <c r="EM69">
        <f ca="1">'JACOBIAN - SWAP USD3ML'!K78</f>
        <v>-3.0500993050686098E-10</v>
      </c>
      <c r="EN69">
        <f ca="1">'JACOBIAN - SWAP USD3ML'!L78</f>
        <v>-3.04037666570833E-10</v>
      </c>
      <c r="EO69">
        <f ca="1">'JACOBIAN - SWAP USD3ML'!M78</f>
        <v>-3.0124772468220798E-10</v>
      </c>
      <c r="EP69">
        <f ca="1">'JACOBIAN - SWAP USD3ML'!N78</f>
        <v>-6.5528973566819596E-10</v>
      </c>
      <c r="EQ69">
        <f ca="1">'JACOBIAN - SWAP USD3ML'!O78</f>
        <v>1.5873417361783601E-8</v>
      </c>
      <c r="ER69">
        <f ca="1">'JACOBIAN - SWAP USD3ML'!P78</f>
        <v>-7.6817494105291302E-8</v>
      </c>
      <c r="ES69">
        <f ca="1">'JACOBIAN - SWAP USD3ML'!Q78</f>
        <v>1.9137736873356401E-7</v>
      </c>
      <c r="ET69">
        <f ca="1">'JACOBIAN - SWAP USD3ML'!R78</f>
        <v>-1.68854989469197E-6</v>
      </c>
      <c r="EU69">
        <f ca="1">'JACOBIAN - SWAP USD3ML'!S78</f>
        <v>8.7964646792691708E-6</v>
      </c>
      <c r="EV69">
        <f ca="1">'JACOBIAN - SWAP USD3ML'!T78</f>
        <v>-3.8262032893338099E-5</v>
      </c>
      <c r="EW69">
        <f ca="1">'JACOBIAN - SWAP USD3ML'!U78</f>
        <v>8.5331001363136302E-5</v>
      </c>
      <c r="EX69">
        <f ca="1">'JACOBIAN - SWAP USD3ML'!V78</f>
        <v>-5.7886832740260499E-4</v>
      </c>
      <c r="EY69">
        <f ca="1">'JACOBIAN - SWAP USD3ML'!W78</f>
        <v>6.7050405971522803E-4</v>
      </c>
      <c r="EZ69">
        <f ca="1">'JACOBIAN - SWAP USD3ML'!X78</f>
        <v>-6.3924489374912006E-5</v>
      </c>
      <c r="FA69">
        <f ca="1">'JACOBIAN - SWAP USD3ML'!Y78</f>
        <v>2.0462133211308901E-5</v>
      </c>
      <c r="FB69">
        <f ca="1">'JACOBIAN - SWAP USD3ML'!Z78</f>
        <v>-4.1653554353551797E-6</v>
      </c>
    </row>
    <row r="70" spans="24:158" x14ac:dyDescent="0.25">
      <c r="X70" s="258">
        <f t="shared" ref="X70:X101" ca="1" si="76">AR70</f>
        <v>48747</v>
      </c>
      <c r="Y70" s="261">
        <v>0</v>
      </c>
      <c r="AA70" s="257">
        <f t="shared" ca="1" si="35"/>
        <v>48747</v>
      </c>
      <c r="AB70" s="266">
        <f t="shared" ca="1" si="43"/>
        <v>-1.0910281931815204E-3</v>
      </c>
      <c r="AC70" s="266"/>
      <c r="AD70" s="290">
        <f ca="1"/>
        <v>48747</v>
      </c>
      <c r="AE70" s="291">
        <f ca="1"/>
        <v>-1.0910281931815202E-3</v>
      </c>
      <c r="AF70" s="291" t="b">
        <f t="shared" ca="1" si="36"/>
        <v>1</v>
      </c>
      <c r="AH70" s="257">
        <f t="shared" ca="1" si="44"/>
        <v>48747</v>
      </c>
      <c r="AI70" s="260">
        <v>0</v>
      </c>
      <c r="AK70" s="290">
        <f ca="1"/>
        <v>48747</v>
      </c>
      <c r="AL70" s="291">
        <f ca="1"/>
        <v>9.8339364125024642E-5</v>
      </c>
      <c r="AM70" s="291" t="b">
        <f t="shared" ca="1" si="45"/>
        <v>1</v>
      </c>
      <c r="AO70" s="257">
        <f t="shared" ca="1" si="46"/>
        <v>48747</v>
      </c>
      <c r="AP70" s="266">
        <f t="shared" ca="1" si="38"/>
        <v>9.8339364125024723E-5</v>
      </c>
      <c r="AR70" s="248">
        <f ca="1">'JACOBIAN - OIS USDOIS'!B79</f>
        <v>48747</v>
      </c>
      <c r="AS70">
        <f ca="1">'JACOBIAN - OIS USDOIS'!C79</f>
        <v>-8.9741214392979895E-7</v>
      </c>
      <c r="AT70">
        <f ca="1">'JACOBIAN - OIS USDOIS'!D79</f>
        <v>1.6419643422693799E-10</v>
      </c>
      <c r="AU70">
        <f ca="1">'JACOBIAN - OIS USDOIS'!E79</f>
        <v>-6.5619432110253198E-10</v>
      </c>
      <c r="AV70">
        <f ca="1">'JACOBIAN - OIS USDOIS'!F79</f>
        <v>1.72838632295225E-9</v>
      </c>
      <c r="AW70">
        <f ca="1">'JACOBIAN - OIS USDOIS'!G79</f>
        <v>-2.2242687691686999E-9</v>
      </c>
      <c r="AX70">
        <f ca="1">'JACOBIAN - OIS USDOIS'!H79</f>
        <v>5.0314160615627698E-9</v>
      </c>
      <c r="AY70">
        <f ca="1">'JACOBIAN - OIS USDOIS'!I79</f>
        <v>-2.8396246354311901E-8</v>
      </c>
      <c r="AZ70">
        <f ca="1">'JACOBIAN - OIS USDOIS'!J79</f>
        <v>6.1493350300700898E-8</v>
      </c>
      <c r="BA70">
        <f ca="1">'JACOBIAN - OIS USDOIS'!K79</f>
        <v>-2.3674348836877399E-7</v>
      </c>
      <c r="BB70">
        <f ca="1">'JACOBIAN - OIS USDOIS'!L79</f>
        <v>7.0791081197008097E-7</v>
      </c>
      <c r="BC70">
        <f ca="1">'JACOBIAN - OIS USDOIS'!M79</f>
        <v>-7.8729105890129603E-7</v>
      </c>
      <c r="BD70">
        <f ca="1">'JACOBIAN - OIS USDOIS'!N79</f>
        <v>6.1650684557434902E-13</v>
      </c>
      <c r="BE70">
        <f ca="1">'JACOBIAN - OIS USDOIS'!O79</f>
        <v>6.1650684557434902E-13</v>
      </c>
      <c r="BF70">
        <f ca="1">'JACOBIAN - OIS USDOIS'!P79</f>
        <v>6.1650684557434902E-13</v>
      </c>
      <c r="BG70">
        <f ca="1">'JACOBIAN - OIS USDOIS'!Q79</f>
        <v>6.1650684557434902E-13</v>
      </c>
      <c r="BH70">
        <f ca="1">'JACOBIAN - OIS USDOIS'!R79</f>
        <v>6.1650684557434902E-13</v>
      </c>
      <c r="BI70" s="161">
        <f ca="1">'JACOBIAN - OIS USDOIS'!S79</f>
        <v>-1.79230830787969E-6</v>
      </c>
      <c r="BJ70" s="161">
        <f ca="1">'JACOBIAN - OIS USDOIS'!T79</f>
        <v>-2.1700764624155202E-6</v>
      </c>
      <c r="BK70" s="161">
        <f ca="1">'JACOBIAN - OIS USDOIS'!U79</f>
        <v>-6.9286495754106204E-6</v>
      </c>
      <c r="BL70" s="161">
        <f ca="1">'JACOBIAN - OIS USDOIS'!V79</f>
        <v>8.4121475248943901E-6</v>
      </c>
      <c r="BM70" s="161">
        <f ca="1">'JACOBIAN - OIS USDOIS'!W79</f>
        <v>-3.5868865801647102E-5</v>
      </c>
      <c r="BN70" s="161">
        <f ca="1">'JACOBIAN - OIS USDOIS'!X79</f>
        <v>2.33678269880855E-5</v>
      </c>
      <c r="BO70" s="161">
        <f ca="1">'JACOBIAN - OIS USDOIS'!Y79</f>
        <v>-2.9029721137385799E-4</v>
      </c>
      <c r="BP70" s="161">
        <f ca="1">'JACOBIAN - OIS USDOIS'!Z79</f>
        <v>8.5181982697990499E-4</v>
      </c>
      <c r="BQ70" s="161">
        <f ca="1">'JACOBIAN - OIS USDOIS'!AA79</f>
        <v>6.1540287048944499E-4</v>
      </c>
      <c r="BR70" s="161">
        <f ca="1">'JACOBIAN - OIS USDOIS'!AB79</f>
        <v>-6.87839942909996E-5</v>
      </c>
      <c r="BS70" s="161">
        <f ca="1">'JACOBIAN - OIS USDOIS'!AC79</f>
        <v>1.76373340340374E-5</v>
      </c>
      <c r="BT70" s="161">
        <f ca="1">'JACOBIAN - OIS USDOIS'!AD79</f>
        <v>-2.99896734901051E-6</v>
      </c>
      <c r="BU70">
        <f ca="1">'JACOBIAN - OIS USDOIS'!AE79</f>
        <v>1.75954943937295E-6</v>
      </c>
      <c r="BV70">
        <f ca="1">'JACOBIAN - OIS USDOIS'!AF79</f>
        <v>2.1335601806393699E-6</v>
      </c>
      <c r="BW70">
        <f ca="1">'JACOBIAN - OIS USDOIS'!AG79</f>
        <v>6.8170685278978704E-6</v>
      </c>
      <c r="BX70">
        <f ca="1">'JACOBIAN - OIS USDOIS'!AH79</f>
        <v>-8.2818480010571298E-6</v>
      </c>
      <c r="BY70">
        <f ca="1">'JACOBIAN - OIS USDOIS'!AI79</f>
        <v>3.5286114937305198E-5</v>
      </c>
      <c r="BZ70">
        <f ca="1">'JACOBIAN - OIS USDOIS'!AJ79</f>
        <v>-2.3017519817591901E-5</v>
      </c>
      <c r="CA70">
        <f ca="1">'JACOBIAN - OIS USDOIS'!AK79</f>
        <v>2.85817402735478E-4</v>
      </c>
      <c r="CB70">
        <f ca="1">'JACOBIAN - OIS USDOIS'!AL79</f>
        <v>-8.3804008959631503E-4</v>
      </c>
      <c r="CC70">
        <f ca="1">'JACOBIAN - OIS USDOIS'!AM79</f>
        <v>-6.0567438187564303E-4</v>
      </c>
      <c r="CD70">
        <f ca="1">'JACOBIAN - OIS USDOIS'!AN79</f>
        <v>6.7777608841246298E-5</v>
      </c>
      <c r="CE70">
        <f ca="1">'JACOBIAN - OIS USDOIS'!AO79</f>
        <v>-1.738875360624E-5</v>
      </c>
      <c r="CF70">
        <f ca="1">'JACOBIAN - OIS USDOIS'!AP79</f>
        <v>2.9594872104077301E-6</v>
      </c>
      <c r="CK70" s="248">
        <f t="shared" ca="1" si="47"/>
        <v>48747</v>
      </c>
      <c r="CL70">
        <f t="shared" ca="1" si="48"/>
        <v>-8.9741214392979895E-7</v>
      </c>
      <c r="CM70">
        <f t="shared" ca="1" si="49"/>
        <v>1.6419643422693799E-10</v>
      </c>
      <c r="CN70">
        <f t="shared" ca="1" si="50"/>
        <v>-6.5619432110253198E-10</v>
      </c>
      <c r="CO70">
        <f t="shared" ca="1" si="51"/>
        <v>1.72838632295225E-9</v>
      </c>
      <c r="CP70">
        <f t="shared" ca="1" si="52"/>
        <v>-2.2242687691686999E-9</v>
      </c>
      <c r="CQ70">
        <f t="shared" ca="1" si="53"/>
        <v>5.0314160615627698E-9</v>
      </c>
      <c r="CR70">
        <f t="shared" ca="1" si="54"/>
        <v>-2.8396246354311901E-8</v>
      </c>
      <c r="CS70">
        <f t="shared" ca="1" si="55"/>
        <v>6.1493350300700898E-8</v>
      </c>
      <c r="CT70">
        <f t="shared" ca="1" si="56"/>
        <v>-2.3674348836877399E-7</v>
      </c>
      <c r="CU70">
        <f t="shared" ca="1" si="57"/>
        <v>7.0791081197008097E-7</v>
      </c>
      <c r="CV70">
        <f t="shared" ca="1" si="58"/>
        <v>-7.8729105890129603E-7</v>
      </c>
      <c r="CW70">
        <f t="shared" ca="1" si="59"/>
        <v>6.1650684557434902E-13</v>
      </c>
      <c r="CX70">
        <f t="shared" ca="1" si="60"/>
        <v>6.1650684557434902E-13</v>
      </c>
      <c r="CY70">
        <f t="shared" ca="1" si="61"/>
        <v>6.1650684557434902E-13</v>
      </c>
      <c r="CZ70">
        <f t="shared" ca="1" si="62"/>
        <v>6.1650684557434902E-13</v>
      </c>
      <c r="DA70">
        <f t="shared" ca="1" si="63"/>
        <v>6.1650684557434902E-13</v>
      </c>
      <c r="DB70" s="146">
        <v>0</v>
      </c>
      <c r="DC70" s="146">
        <v>0</v>
      </c>
      <c r="DD70" s="146">
        <v>0</v>
      </c>
      <c r="DE70" s="146">
        <v>0</v>
      </c>
      <c r="DF70" s="146">
        <v>0</v>
      </c>
      <c r="DG70" s="146">
        <v>0</v>
      </c>
      <c r="DH70" s="146">
        <v>0</v>
      </c>
      <c r="DI70" s="146">
        <v>0</v>
      </c>
      <c r="DJ70" s="146">
        <v>0</v>
      </c>
      <c r="DK70" s="146">
        <v>0</v>
      </c>
      <c r="DL70" s="146">
        <v>0</v>
      </c>
      <c r="DM70" s="146">
        <v>0</v>
      </c>
      <c r="DN70">
        <f t="shared" ca="1" si="64"/>
        <v>1.75954943937295E-6</v>
      </c>
      <c r="DO70">
        <f t="shared" ca="1" si="65"/>
        <v>2.1335601806393699E-6</v>
      </c>
      <c r="DP70">
        <f t="shared" ca="1" si="66"/>
        <v>6.8170685278978704E-6</v>
      </c>
      <c r="DQ70">
        <f t="shared" ca="1" si="67"/>
        <v>-8.2818480010571298E-6</v>
      </c>
      <c r="DR70">
        <f t="shared" ca="1" si="68"/>
        <v>3.5286114937305198E-5</v>
      </c>
      <c r="DS70">
        <f t="shared" ca="1" si="69"/>
        <v>-2.3017519817591901E-5</v>
      </c>
      <c r="DT70">
        <f t="shared" ca="1" si="70"/>
        <v>2.85817402735478E-4</v>
      </c>
      <c r="DU70">
        <f t="shared" ca="1" si="71"/>
        <v>-8.3804008959631503E-4</v>
      </c>
      <c r="DV70">
        <f t="shared" ca="1" si="72"/>
        <v>-6.0567438187564303E-4</v>
      </c>
      <c r="DW70">
        <f t="shared" ca="1" si="73"/>
        <v>6.7777608841246298E-5</v>
      </c>
      <c r="DX70">
        <f t="shared" ca="1" si="74"/>
        <v>-1.738875360624E-5</v>
      </c>
      <c r="DY70">
        <f t="shared" ca="1" si="75"/>
        <v>2.9594872104077301E-6</v>
      </c>
      <c r="ED70" s="248">
        <f ca="1">'JACOBIAN - SWAP USD3ML'!B79</f>
        <v>48747</v>
      </c>
      <c r="EE70">
        <f ca="1">'JACOBIAN - SWAP USD3ML'!C79</f>
        <v>2.2195092985732899E-13</v>
      </c>
      <c r="EF70">
        <f ca="1">'JACOBIAN - SWAP USD3ML'!D79</f>
        <v>-6.2190848304499703E-10</v>
      </c>
      <c r="EG70">
        <f ca="1">'JACOBIAN - SWAP USD3ML'!E79</f>
        <v>5.73838893069833E-12</v>
      </c>
      <c r="EH70">
        <f ca="1">'JACOBIAN - SWAP USD3ML'!F79</f>
        <v>2.2195092985732899E-13</v>
      </c>
      <c r="EI70">
        <f ca="1">'JACOBIAN - SWAP USD3ML'!G79</f>
        <v>-6.5768675228117198E-12</v>
      </c>
      <c r="EJ70">
        <f ca="1">'JACOBIAN - SWAP USD3ML'!H79</f>
        <v>-6.1885985919163399E-10</v>
      </c>
      <c r="EK70">
        <f ca="1">'JACOBIAN - SWAP USD3ML'!I79</f>
        <v>-6.1124041939031305E-10</v>
      </c>
      <c r="EL70">
        <f ca="1">'JACOBIAN - SWAP USD3ML'!J79</f>
        <v>-6.0928198597487396E-10</v>
      </c>
      <c r="EM70">
        <f ca="1">'JACOBIAN - SWAP USD3ML'!K79</f>
        <v>-6.0739158494471604E-10</v>
      </c>
      <c r="EN70">
        <f ca="1">'JACOBIAN - SWAP USD3ML'!L79</f>
        <v>-6.0547822311463103E-10</v>
      </c>
      <c r="EO70">
        <f ca="1">'JACOBIAN - SWAP USD3ML'!M79</f>
        <v>-5.9990140632848496E-10</v>
      </c>
      <c r="EP70">
        <f ca="1">'JACOBIAN - SWAP USD3ML'!N79</f>
        <v>-1.3029237272421701E-9</v>
      </c>
      <c r="EQ70">
        <f ca="1">'JACOBIAN - SWAP USD3ML'!O79</f>
        <v>3.1562353581399099E-8</v>
      </c>
      <c r="ER70">
        <f ca="1">'JACOBIAN - SWAP USD3ML'!P79</f>
        <v>-1.5274427935321699E-7</v>
      </c>
      <c r="ES70">
        <f ca="1">'JACOBIAN - SWAP USD3ML'!Q79</f>
        <v>3.8053709970273199E-7</v>
      </c>
      <c r="ET70">
        <f ca="1">'JACOBIAN - SWAP USD3ML'!R79</f>
        <v>-3.3575426294542299E-6</v>
      </c>
      <c r="EU70">
        <f ca="1">'JACOBIAN - SWAP USD3ML'!S79</f>
        <v>1.7491242326868301E-5</v>
      </c>
      <c r="EV70">
        <f ca="1">'JACOBIAN - SWAP USD3ML'!T79</f>
        <v>-7.6077977236264902E-5</v>
      </c>
      <c r="EW70">
        <f ca="1">'JACOBIAN - SWAP USD3ML'!U79</f>
        <v>1.6968905070867101E-4</v>
      </c>
      <c r="EX70">
        <f ca="1">'JACOBIAN - SWAP USD3ML'!V79</f>
        <v>-6.5358266808348403E-4</v>
      </c>
      <c r="EY70">
        <f ca="1">'JACOBIAN - SWAP USD3ML'!W79</f>
        <v>6.7084248092626501E-4</v>
      </c>
      <c r="EZ70">
        <f ca="1">'JACOBIAN - SWAP USD3ML'!X79</f>
        <v>-3.61294624286225E-5</v>
      </c>
      <c r="FA70">
        <f ca="1">'JACOBIAN - SWAP USD3ML'!Y79</f>
        <v>1.1564624128962399E-5</v>
      </c>
      <c r="FB70">
        <f ca="1">'JACOBIAN - SWAP USD3ML'!Z79</f>
        <v>-2.3541613815812601E-6</v>
      </c>
    </row>
    <row r="71" spans="24:158" x14ac:dyDescent="0.25">
      <c r="X71" s="258">
        <f t="shared" ca="1" si="76"/>
        <v>48841</v>
      </c>
      <c r="Y71" s="261">
        <v>0</v>
      </c>
      <c r="AA71" s="257">
        <f t="shared" ca="1" si="35"/>
        <v>48841</v>
      </c>
      <c r="AB71" s="266">
        <f t="shared" ref="AB71:AB102" ca="1" si="77">SUM(CL71:DY71)</f>
        <v>-1.1067997717039142E-3</v>
      </c>
      <c r="AC71" s="266"/>
      <c r="AD71" s="290">
        <f ca="1"/>
        <v>48841</v>
      </c>
      <c r="AE71" s="291">
        <f ca="1"/>
        <v>-1.1067997717039146E-3</v>
      </c>
      <c r="AF71" s="291" t="b">
        <f t="shared" ca="1" si="36"/>
        <v>1</v>
      </c>
      <c r="AH71" s="257">
        <f t="shared" ref="AH71:AH102" ca="1" si="78">AO71</f>
        <v>48841</v>
      </c>
      <c r="AI71" s="260">
        <v>0</v>
      </c>
      <c r="AK71" s="290">
        <f ca="1"/>
        <v>48841</v>
      </c>
      <c r="AL71" s="291">
        <f ca="1"/>
        <v>9.8327261557486223E-5</v>
      </c>
      <c r="AM71" s="291" t="b">
        <f t="shared" ref="AM71:AM102" ca="1" si="79">ABS(AP71-AL71)&lt;0.0000000000000001</f>
        <v>1</v>
      </c>
      <c r="AO71" s="257">
        <f t="shared" ref="AO71:AO102" ca="1" si="80">ED71</f>
        <v>48841</v>
      </c>
      <c r="AP71" s="266">
        <f t="shared" ca="1" si="38"/>
        <v>9.8327261557485789E-5</v>
      </c>
      <c r="AR71" s="248">
        <f ca="1">'JACOBIAN - OIS USDOIS'!B80</f>
        <v>48841</v>
      </c>
      <c r="AS71">
        <f ca="1">'JACOBIAN - OIS USDOIS'!C80</f>
        <v>-8.9317617257833604E-7</v>
      </c>
      <c r="AT71">
        <f ca="1">'JACOBIAN - OIS USDOIS'!D80</f>
        <v>1.53864143648264E-10</v>
      </c>
      <c r="AU71">
        <f ca="1">'JACOBIAN - OIS USDOIS'!E80</f>
        <v>-6.1495086800533696E-10</v>
      </c>
      <c r="AV71">
        <f ca="1">'JACOBIAN - OIS USDOIS'!F80</f>
        <v>1.61970525880406E-9</v>
      </c>
      <c r="AW71">
        <f ca="1">'JACOBIAN - OIS USDOIS'!G80</f>
        <v>-2.0843847758911201E-9</v>
      </c>
      <c r="AX71">
        <f ca="1">'JACOBIAN - OIS USDOIS'!H80</f>
        <v>4.7150009452323599E-9</v>
      </c>
      <c r="AY71">
        <f ca="1">'JACOBIAN - OIS USDOIS'!I80</f>
        <v>-2.72813691637452E-8</v>
      </c>
      <c r="AZ71">
        <f ca="1">'JACOBIAN - OIS USDOIS'!J80</f>
        <v>5.7626060145921101E-8</v>
      </c>
      <c r="BA71">
        <f ca="1">'JACOBIAN - OIS USDOIS'!K80</f>
        <v>-2.2185536163732401E-7</v>
      </c>
      <c r="BB71">
        <f ca="1">'JACOBIAN - OIS USDOIS'!L80</f>
        <v>6.8490202009829904E-7</v>
      </c>
      <c r="BC71">
        <f ca="1">'JACOBIAN - OIS USDOIS'!M80</f>
        <v>-7.3980263093353905E-7</v>
      </c>
      <c r="BD71">
        <f ca="1">'JACOBIAN - OIS USDOIS'!N80</f>
        <v>6.0829119519212297E-13</v>
      </c>
      <c r="BE71">
        <f ca="1">'JACOBIAN - OIS USDOIS'!O80</f>
        <v>6.0829119519212297E-13</v>
      </c>
      <c r="BF71">
        <f ca="1">'JACOBIAN - OIS USDOIS'!P80</f>
        <v>6.0829119519212297E-13</v>
      </c>
      <c r="BG71">
        <f ca="1">'JACOBIAN - OIS USDOIS'!Q80</f>
        <v>6.0829119519212297E-13</v>
      </c>
      <c r="BH71">
        <f ca="1">'JACOBIAN - OIS USDOIS'!R80</f>
        <v>6.0829119519212297E-13</v>
      </c>
      <c r="BI71" s="161">
        <f ca="1">'JACOBIAN - OIS USDOIS'!S80</f>
        <v>-1.72960152688972E-6</v>
      </c>
      <c r="BJ71" s="161">
        <f ca="1">'JACOBIAN - OIS USDOIS'!T80</f>
        <v>-2.27100650729284E-6</v>
      </c>
      <c r="BK71" s="161">
        <f ca="1">'JACOBIAN - OIS USDOIS'!U80</f>
        <v>-6.54034332114861E-6</v>
      </c>
      <c r="BL71" s="161">
        <f ca="1">'JACOBIAN - OIS USDOIS'!V80</f>
        <v>6.9661715914604E-6</v>
      </c>
      <c r="BM71" s="161">
        <f ca="1">'JACOBIAN - OIS USDOIS'!W80</f>
        <v>-3.2954016134900697E-5</v>
      </c>
      <c r="BN71" s="161">
        <f ca="1">'JACOBIAN - OIS USDOIS'!X80</f>
        <v>1.8043423176239401E-5</v>
      </c>
      <c r="BO71" s="161">
        <f ca="1">'JACOBIAN - OIS USDOIS'!Y80</f>
        <v>-2.6372726578016698E-4</v>
      </c>
      <c r="BP71" s="161">
        <f ca="1">'JACOBIAN - OIS USDOIS'!Z80</f>
        <v>7.1048067878665101E-4</v>
      </c>
      <c r="BQ71" s="161">
        <f ca="1">'JACOBIAN - OIS USDOIS'!AA80</f>
        <v>7.5458401984906899E-4</v>
      </c>
      <c r="BR71" s="161">
        <f ca="1">'JACOBIAN - OIS USDOIS'!AB80</f>
        <v>-7.5016730708199502E-5</v>
      </c>
      <c r="BS71" s="161">
        <f ca="1">'JACOBIAN - OIS USDOIS'!AC80</f>
        <v>1.92356062732602E-5</v>
      </c>
      <c r="BT71" s="161">
        <f ca="1">'JACOBIAN - OIS USDOIS'!AD80</f>
        <v>-3.2707259997044602E-6</v>
      </c>
      <c r="BU71">
        <f ca="1">'JACOBIAN - OIS USDOIS'!AE80</f>
        <v>1.6979783601378499E-6</v>
      </c>
      <c r="BV71">
        <f ca="1">'JACOBIAN - OIS USDOIS'!AF80</f>
        <v>2.2328124513748502E-6</v>
      </c>
      <c r="BW71">
        <f ca="1">'JACOBIAN - OIS USDOIS'!AG80</f>
        <v>6.43498639585349E-6</v>
      </c>
      <c r="BX71">
        <f ca="1">'JACOBIAN - OIS USDOIS'!AH80</f>
        <v>-6.8586760900712901E-6</v>
      </c>
      <c r="BY71">
        <f ca="1">'JACOBIAN - OIS USDOIS'!AI80</f>
        <v>3.2417859620381697E-5</v>
      </c>
      <c r="BZ71">
        <f ca="1">'JACOBIAN - OIS USDOIS'!AJ80</f>
        <v>-1.7777050949629999E-5</v>
      </c>
      <c r="CA71">
        <f ca="1">'JACOBIAN - OIS USDOIS'!AK80</f>
        <v>2.5964644424836302E-4</v>
      </c>
      <c r="CB71">
        <f ca="1">'JACOBIAN - OIS USDOIS'!AL80</f>
        <v>-6.9911544213707699E-4</v>
      </c>
      <c r="CC71">
        <f ca="1">'JACOBIAN - OIS USDOIS'!AM80</f>
        <v>-7.4252584136413901E-4</v>
      </c>
      <c r="CD71">
        <f ca="1">'JACOBIAN - OIS USDOIS'!AN80</f>
        <v>7.3919744659978206E-5</v>
      </c>
      <c r="CE71">
        <f ca="1">'JACOBIAN - OIS USDOIS'!AO80</f>
        <v>-1.8964461032444599E-5</v>
      </c>
      <c r="CF71">
        <f ca="1">'JACOBIAN - OIS USDOIS'!AP80</f>
        <v>3.2276693112676101E-6</v>
      </c>
      <c r="CK71" s="248">
        <f t="shared" ref="CK71:CK102" ca="1" si="81">AR71</f>
        <v>48841</v>
      </c>
      <c r="CL71">
        <f t="shared" ref="CL71:CL102" ca="1" si="82">AS71</f>
        <v>-8.9317617257833604E-7</v>
      </c>
      <c r="CM71">
        <f t="shared" ref="CM71:CM102" ca="1" si="83">AT71</f>
        <v>1.53864143648264E-10</v>
      </c>
      <c r="CN71">
        <f t="shared" ref="CN71:CN102" ca="1" si="84">AU71</f>
        <v>-6.1495086800533696E-10</v>
      </c>
      <c r="CO71">
        <f t="shared" ref="CO71:CO102" ca="1" si="85">AV71</f>
        <v>1.61970525880406E-9</v>
      </c>
      <c r="CP71">
        <f t="shared" ref="CP71:CP102" ca="1" si="86">AW71</f>
        <v>-2.0843847758911201E-9</v>
      </c>
      <c r="CQ71">
        <f t="shared" ref="CQ71:CQ102" ca="1" si="87">AX71</f>
        <v>4.7150009452323599E-9</v>
      </c>
      <c r="CR71">
        <f t="shared" ref="CR71:CR102" ca="1" si="88">AY71</f>
        <v>-2.72813691637452E-8</v>
      </c>
      <c r="CS71">
        <f t="shared" ref="CS71:CS102" ca="1" si="89">AZ71</f>
        <v>5.7626060145921101E-8</v>
      </c>
      <c r="CT71">
        <f t="shared" ref="CT71:CT102" ca="1" si="90">BA71</f>
        <v>-2.2185536163732401E-7</v>
      </c>
      <c r="CU71">
        <f t="shared" ref="CU71:CU102" ca="1" si="91">BB71</f>
        <v>6.8490202009829904E-7</v>
      </c>
      <c r="CV71">
        <f t="shared" ref="CV71:CV102" ca="1" si="92">BC71</f>
        <v>-7.3980263093353905E-7</v>
      </c>
      <c r="CW71">
        <f t="shared" ref="CW71:CW102" ca="1" si="93">BD71</f>
        <v>6.0829119519212297E-13</v>
      </c>
      <c r="CX71">
        <f t="shared" ref="CX71:CX102" ca="1" si="94">BE71</f>
        <v>6.0829119519212297E-13</v>
      </c>
      <c r="CY71">
        <f t="shared" ref="CY71:CY102" ca="1" si="95">BF71</f>
        <v>6.0829119519212297E-13</v>
      </c>
      <c r="CZ71">
        <f t="shared" ref="CZ71:CZ102" ca="1" si="96">BG71</f>
        <v>6.0829119519212297E-13</v>
      </c>
      <c r="DA71">
        <f t="shared" ref="DA71:DA102" ca="1" si="97">BH71</f>
        <v>6.0829119519212297E-13</v>
      </c>
      <c r="DB71" s="146">
        <v>0</v>
      </c>
      <c r="DC71" s="146">
        <v>0</v>
      </c>
      <c r="DD71" s="146">
        <v>0</v>
      </c>
      <c r="DE71" s="146">
        <v>0</v>
      </c>
      <c r="DF71" s="146">
        <v>0</v>
      </c>
      <c r="DG71" s="146">
        <v>0</v>
      </c>
      <c r="DH71" s="146">
        <v>0</v>
      </c>
      <c r="DI71" s="146">
        <v>0</v>
      </c>
      <c r="DJ71" s="146">
        <v>0</v>
      </c>
      <c r="DK71" s="146">
        <v>0</v>
      </c>
      <c r="DL71" s="146">
        <v>0</v>
      </c>
      <c r="DM71" s="146">
        <v>0</v>
      </c>
      <c r="DN71">
        <f t="shared" ref="DN71:DN102" ca="1" si="98">BU71</f>
        <v>1.6979783601378499E-6</v>
      </c>
      <c r="DO71">
        <f t="shared" ref="DO71:DO102" ca="1" si="99">BV71</f>
        <v>2.2328124513748502E-6</v>
      </c>
      <c r="DP71">
        <f t="shared" ref="DP71:DP102" ca="1" si="100">BW71</f>
        <v>6.43498639585349E-6</v>
      </c>
      <c r="DQ71">
        <f t="shared" ref="DQ71:DQ102" ca="1" si="101">BX71</f>
        <v>-6.8586760900712901E-6</v>
      </c>
      <c r="DR71">
        <f t="shared" ref="DR71:DR102" ca="1" si="102">BY71</f>
        <v>3.2417859620381697E-5</v>
      </c>
      <c r="DS71">
        <f t="shared" ref="DS71:DS102" ca="1" si="103">BZ71</f>
        <v>-1.7777050949629999E-5</v>
      </c>
      <c r="DT71">
        <f t="shared" ref="DT71:DT102" ca="1" si="104">CA71</f>
        <v>2.5964644424836302E-4</v>
      </c>
      <c r="DU71">
        <f t="shared" ref="DU71:DU102" ca="1" si="105">CB71</f>
        <v>-6.9911544213707699E-4</v>
      </c>
      <c r="DV71">
        <f t="shared" ref="DV71:DV102" ca="1" si="106">CC71</f>
        <v>-7.4252584136413901E-4</v>
      </c>
      <c r="DW71">
        <f t="shared" ref="DW71:DW102" ca="1" si="107">CD71</f>
        <v>7.3919744659978206E-5</v>
      </c>
      <c r="DX71">
        <f t="shared" ref="DX71:DX102" ca="1" si="108">CE71</f>
        <v>-1.8964461032444599E-5</v>
      </c>
      <c r="DY71">
        <f t="shared" ref="DY71:DY102" ca="1" si="109">CF71</f>
        <v>3.2276693112676101E-6</v>
      </c>
      <c r="ED71" s="248">
        <f ca="1">'JACOBIAN - SWAP USD3ML'!B80</f>
        <v>48841</v>
      </c>
      <c r="EE71">
        <f ca="1">'JACOBIAN - SWAP USD3ML'!C80</f>
        <v>2.18724344192012E-13</v>
      </c>
      <c r="EF71">
        <f ca="1">'JACOBIAN - SWAP USD3ML'!D80</f>
        <v>-8.48085560112288E-10</v>
      </c>
      <c r="EG71">
        <f ca="1">'JACOBIAN - SWAP USD3ML'!E80</f>
        <v>5.6007941340308097E-12</v>
      </c>
      <c r="EH71">
        <f ca="1">'JACOBIAN - SWAP USD3ML'!F80</f>
        <v>2.1784657411316701E-13</v>
      </c>
      <c r="EI71">
        <f ca="1">'JACOBIAN - SWAP USD3ML'!G80</f>
        <v>-9.0556138976349794E-12</v>
      </c>
      <c r="EJ71">
        <f ca="1">'JACOBIAN - SWAP USD3ML'!H80</f>
        <v>-8.44211735240297E-10</v>
      </c>
      <c r="EK71">
        <f ca="1">'JACOBIAN - SWAP USD3ML'!I80</f>
        <v>-8.3591156219142704E-10</v>
      </c>
      <c r="EL71">
        <f ca="1">'JACOBIAN - SWAP USD3ML'!J80</f>
        <v>-8.3321042426698397E-10</v>
      </c>
      <c r="EM71">
        <f ca="1">'JACOBIAN - SWAP USD3ML'!K80</f>
        <v>-8.3060679167967798E-10</v>
      </c>
      <c r="EN71">
        <f ca="1">'JACOBIAN - SWAP USD3ML'!L80</f>
        <v>-8.2799613346229397E-10</v>
      </c>
      <c r="EO71">
        <f ca="1">'JACOBIAN - SWAP USD3ML'!M80</f>
        <v>-8.2036355833481303E-10</v>
      </c>
      <c r="EP71">
        <f ca="1">'JACOBIAN - SWAP USD3ML'!N80</f>
        <v>-1.7810886827895899E-9</v>
      </c>
      <c r="EQ71">
        <f ca="1">'JACOBIAN - SWAP USD3ML'!O80</f>
        <v>4.3146010719058403E-8</v>
      </c>
      <c r="ER71">
        <f ca="1">'JACOBIAN - SWAP USD3ML'!P80</f>
        <v>-2.08803405336855E-7</v>
      </c>
      <c r="ES71">
        <f ca="1">'JACOBIAN - SWAP USD3ML'!Q80</f>
        <v>5.2019979444872799E-7</v>
      </c>
      <c r="ET71">
        <f ca="1">'JACOBIAN - SWAP USD3ML'!R80</f>
        <v>-4.5898130140512002E-6</v>
      </c>
      <c r="EU71">
        <f ca="1">'JACOBIAN - SWAP USD3ML'!S80</f>
        <v>2.39108881011432E-5</v>
      </c>
      <c r="EV71">
        <f ca="1">'JACOBIAN - SWAP USD3ML'!T80</f>
        <v>-1.03998463197683E-4</v>
      </c>
      <c r="EW71">
        <f ca="1">'JACOBIAN - SWAP USD3ML'!U80</f>
        <v>2.3197448743532401E-4</v>
      </c>
      <c r="EX71">
        <f ca="1">'JACOBIAN - SWAP USD3ML'!V80</f>
        <v>-6.9872842265524004E-4</v>
      </c>
      <c r="EY71">
        <f ca="1">'JACOBIAN - SWAP USD3ML'!W80</f>
        <v>6.4900817172519295E-4</v>
      </c>
      <c r="EZ71">
        <f ca="1">'JACOBIAN - SWAP USD3ML'!X80</f>
        <v>5.4235074804787096E-7</v>
      </c>
      <c r="FA71">
        <f ca="1">'JACOBIAN - SWAP USD3ML'!Y80</f>
        <v>-1.7430073736071599E-7</v>
      </c>
      <c r="FB71">
        <f ca="1">'JACOBIAN - SWAP USD3ML'!Z80</f>
        <v>3.5445244978699099E-8</v>
      </c>
    </row>
    <row r="72" spans="24:158" x14ac:dyDescent="0.25">
      <c r="X72" s="258">
        <f t="shared" ca="1" si="76"/>
        <v>48932</v>
      </c>
      <c r="Y72" s="261">
        <v>0</v>
      </c>
      <c r="AA72" s="257">
        <f t="shared" ref="AA72:AA135" ca="1" si="110">CK72</f>
        <v>48932</v>
      </c>
      <c r="AB72" s="266">
        <f t="shared" ca="1" si="77"/>
        <v>-1.1218689918199862E-3</v>
      </c>
      <c r="AC72" s="266"/>
      <c r="AD72" s="290">
        <f ca="1"/>
        <v>48932</v>
      </c>
      <c r="AE72" s="291">
        <f ca="1"/>
        <v>-1.1218689918199853E-3</v>
      </c>
      <c r="AF72" s="291" t="b">
        <f t="shared" ref="AF72:AF135" ca="1" si="111">ABS(AE72-AB72)&lt;0.0000000000000001</f>
        <v>1</v>
      </c>
      <c r="AH72" s="257">
        <f t="shared" ca="1" si="78"/>
        <v>48932</v>
      </c>
      <c r="AI72" s="260">
        <v>0</v>
      </c>
      <c r="AK72" s="290">
        <f ca="1"/>
        <v>48932</v>
      </c>
      <c r="AL72" s="291">
        <f ca="1"/>
        <v>9.8329560166251356E-5</v>
      </c>
      <c r="AM72" s="291" t="b">
        <f t="shared" ca="1" si="79"/>
        <v>1</v>
      </c>
      <c r="AO72" s="257">
        <f t="shared" ca="1" si="80"/>
        <v>48932</v>
      </c>
      <c r="AP72" s="266">
        <f t="shared" ref="AP72:AP135" ca="1" si="112">SUM(EE72:FB72)</f>
        <v>9.8329560166251966E-5</v>
      </c>
      <c r="AR72" s="248">
        <f ca="1">'JACOBIAN - OIS USDOIS'!B81</f>
        <v>48932</v>
      </c>
      <c r="AS72">
        <f ca="1">'JACOBIAN - OIS USDOIS'!C81</f>
        <v>-8.8909203266318602E-7</v>
      </c>
      <c r="AT72">
        <f ca="1">'JACOBIAN - OIS USDOIS'!D81</f>
        <v>1.39211975280773E-10</v>
      </c>
      <c r="AU72">
        <f ca="1">'JACOBIAN - OIS USDOIS'!E81</f>
        <v>-5.5644178154068403E-10</v>
      </c>
      <c r="AV72">
        <f ca="1">'JACOBIAN - OIS USDOIS'!F81</f>
        <v>1.46554046676073E-9</v>
      </c>
      <c r="AW72">
        <f ca="1">'JACOBIAN - OIS USDOIS'!G81</f>
        <v>-1.8859550587890798E-9</v>
      </c>
      <c r="AX72">
        <f ca="1">'JACOBIAN - OIS USDOIS'!H81</f>
        <v>4.2661774113383899E-9</v>
      </c>
      <c r="AY72">
        <f ca="1">'JACOBIAN - OIS USDOIS'!I81</f>
        <v>-2.57207745102406E-8</v>
      </c>
      <c r="AZ72">
        <f ca="1">'JACOBIAN - OIS USDOIS'!J81</f>
        <v>5.2140492368124602E-8</v>
      </c>
      <c r="BA72">
        <f ca="1">'JACOBIAN - OIS USDOIS'!K81</f>
        <v>-2.0073721773705699E-7</v>
      </c>
      <c r="BB72">
        <f ca="1">'JACOBIAN - OIS USDOIS'!L81</f>
        <v>6.5244287339449901E-7</v>
      </c>
      <c r="BC72">
        <f ca="1">'JACOBIAN - OIS USDOIS'!M81</f>
        <v>-6.7250509494520795E-7</v>
      </c>
      <c r="BD72">
        <f ca="1">'JACOBIAN - OIS USDOIS'!N81</f>
        <v>6.0007554480989701E-13</v>
      </c>
      <c r="BE72">
        <f ca="1">'JACOBIAN - OIS USDOIS'!O81</f>
        <v>6.0007554480989701E-13</v>
      </c>
      <c r="BF72">
        <f ca="1">'JACOBIAN - OIS USDOIS'!P81</f>
        <v>6.0007554480989701E-13</v>
      </c>
      <c r="BG72">
        <f ca="1">'JACOBIAN - OIS USDOIS'!Q81</f>
        <v>6.0007554480989701E-13</v>
      </c>
      <c r="BH72">
        <f ca="1">'JACOBIAN - OIS USDOIS'!R81</f>
        <v>6.0007554480989701E-13</v>
      </c>
      <c r="BI72" s="161">
        <f ca="1">'JACOBIAN - OIS USDOIS'!S81</f>
        <v>-1.64103483346612E-6</v>
      </c>
      <c r="BJ72" s="161">
        <f ca="1">'JACOBIAN - OIS USDOIS'!T81</f>
        <v>-2.4157271623081998E-6</v>
      </c>
      <c r="BK72" s="161">
        <f ca="1">'JACOBIAN - OIS USDOIS'!U81</f>
        <v>-5.9919926297391504E-6</v>
      </c>
      <c r="BL72" s="161">
        <f ca="1">'JACOBIAN - OIS USDOIS'!V81</f>
        <v>4.9216540838337204E-6</v>
      </c>
      <c r="BM72" s="161">
        <f ca="1">'JACOBIAN - OIS USDOIS'!W81</f>
        <v>-2.8841414915992101E-5</v>
      </c>
      <c r="BN72" s="161">
        <f ca="1">'JACOBIAN - OIS USDOIS'!X81</f>
        <v>1.0512991585609501E-5</v>
      </c>
      <c r="BO72" s="161">
        <f ca="1">'JACOBIAN - OIS USDOIS'!Y81</f>
        <v>-2.26219562280305E-4</v>
      </c>
      <c r="BP72" s="161">
        <f ca="1">'JACOBIAN - OIS USDOIS'!Z81</f>
        <v>5.6015734399372796E-4</v>
      </c>
      <c r="BQ72" s="161">
        <f ca="1">'JACOBIAN - OIS USDOIS'!AA81</f>
        <v>8.8842876837513796E-4</v>
      </c>
      <c r="BR72" s="161">
        <f ca="1">'JACOBIAN - OIS USDOIS'!AB81</f>
        <v>-7.5887833587584606E-5</v>
      </c>
      <c r="BS72" s="161">
        <f ca="1">'JACOBIAN - OIS USDOIS'!AC81</f>
        <v>1.9458989015896899E-5</v>
      </c>
      <c r="BT72" s="161">
        <f ca="1">'JACOBIAN - OIS USDOIS'!AD81</f>
        <v>-3.3087082412786001E-6</v>
      </c>
      <c r="BU72">
        <f ca="1">'JACOBIAN - OIS USDOIS'!AE81</f>
        <v>1.6110156434434601E-6</v>
      </c>
      <c r="BV72">
        <f ca="1">'JACOBIAN - OIS USDOIS'!AF81</f>
        <v>2.37512736589451E-6</v>
      </c>
      <c r="BW72">
        <f ca="1">'JACOBIAN - OIS USDOIS'!AG81</f>
        <v>5.8954266547450703E-6</v>
      </c>
      <c r="BX72">
        <f ca="1">'JACOBIAN - OIS USDOIS'!AH81</f>
        <v>-4.84639329256797E-6</v>
      </c>
      <c r="BY72">
        <f ca="1">'JACOBIAN - OIS USDOIS'!AI81</f>
        <v>2.8371026430051801E-5</v>
      </c>
      <c r="BZ72">
        <f ca="1">'JACOBIAN - OIS USDOIS'!AJ81</f>
        <v>-1.03652188023773E-5</v>
      </c>
      <c r="CA72">
        <f ca="1">'JACOBIAN - OIS USDOIS'!AK81</f>
        <v>2.2270456648676399E-4</v>
      </c>
      <c r="CB72">
        <f ca="1">'JACOBIAN - OIS USDOIS'!AL81</f>
        <v>-5.51309190162108E-4</v>
      </c>
      <c r="CC72">
        <f ca="1">'JACOBIAN - OIS USDOIS'!AM81</f>
        <v>-8.7408398580424195E-4</v>
      </c>
      <c r="CD72">
        <f ca="1">'JACOBIAN - OIS USDOIS'!AN81</f>
        <v>7.4778210517489896E-5</v>
      </c>
      <c r="CE72">
        <f ca="1">'JACOBIAN - OIS USDOIS'!AO81</f>
        <v>-1.9184688343609801E-5</v>
      </c>
      <c r="CF72">
        <f ca="1">'JACOBIAN - OIS USDOIS'!AP81</f>
        <v>3.2651517072324101E-6</v>
      </c>
      <c r="CK72" s="248">
        <f t="shared" ca="1" si="81"/>
        <v>48932</v>
      </c>
      <c r="CL72">
        <f t="shared" ca="1" si="82"/>
        <v>-8.8909203266318602E-7</v>
      </c>
      <c r="CM72">
        <f t="shared" ca="1" si="83"/>
        <v>1.39211975280773E-10</v>
      </c>
      <c r="CN72">
        <f t="shared" ca="1" si="84"/>
        <v>-5.5644178154068403E-10</v>
      </c>
      <c r="CO72">
        <f t="shared" ca="1" si="85"/>
        <v>1.46554046676073E-9</v>
      </c>
      <c r="CP72">
        <f t="shared" ca="1" si="86"/>
        <v>-1.8859550587890798E-9</v>
      </c>
      <c r="CQ72">
        <f t="shared" ca="1" si="87"/>
        <v>4.2661774113383899E-9</v>
      </c>
      <c r="CR72">
        <f t="shared" ca="1" si="88"/>
        <v>-2.57207745102406E-8</v>
      </c>
      <c r="CS72">
        <f t="shared" ca="1" si="89"/>
        <v>5.2140492368124602E-8</v>
      </c>
      <c r="CT72">
        <f t="shared" ca="1" si="90"/>
        <v>-2.0073721773705699E-7</v>
      </c>
      <c r="CU72">
        <f t="shared" ca="1" si="91"/>
        <v>6.5244287339449901E-7</v>
      </c>
      <c r="CV72">
        <f t="shared" ca="1" si="92"/>
        <v>-6.7250509494520795E-7</v>
      </c>
      <c r="CW72">
        <f t="shared" ca="1" si="93"/>
        <v>6.0007554480989701E-13</v>
      </c>
      <c r="CX72">
        <f t="shared" ca="1" si="94"/>
        <v>6.0007554480989701E-13</v>
      </c>
      <c r="CY72">
        <f t="shared" ca="1" si="95"/>
        <v>6.0007554480989701E-13</v>
      </c>
      <c r="CZ72">
        <f t="shared" ca="1" si="96"/>
        <v>6.0007554480989701E-13</v>
      </c>
      <c r="DA72">
        <f t="shared" ca="1" si="97"/>
        <v>6.0007554480989701E-13</v>
      </c>
      <c r="DB72" s="146">
        <v>0</v>
      </c>
      <c r="DC72" s="146">
        <v>0</v>
      </c>
      <c r="DD72" s="146">
        <v>0</v>
      </c>
      <c r="DE72" s="146">
        <v>0</v>
      </c>
      <c r="DF72" s="146">
        <v>0</v>
      </c>
      <c r="DG72" s="146">
        <v>0</v>
      </c>
      <c r="DH72" s="146">
        <v>0</v>
      </c>
      <c r="DI72" s="146">
        <v>0</v>
      </c>
      <c r="DJ72" s="146">
        <v>0</v>
      </c>
      <c r="DK72" s="146">
        <v>0</v>
      </c>
      <c r="DL72" s="146">
        <v>0</v>
      </c>
      <c r="DM72" s="146">
        <v>0</v>
      </c>
      <c r="DN72">
        <f t="shared" ca="1" si="98"/>
        <v>1.6110156434434601E-6</v>
      </c>
      <c r="DO72">
        <f t="shared" ca="1" si="99"/>
        <v>2.37512736589451E-6</v>
      </c>
      <c r="DP72">
        <f t="shared" ca="1" si="100"/>
        <v>5.8954266547450703E-6</v>
      </c>
      <c r="DQ72">
        <f t="shared" ca="1" si="101"/>
        <v>-4.84639329256797E-6</v>
      </c>
      <c r="DR72">
        <f t="shared" ca="1" si="102"/>
        <v>2.8371026430051801E-5</v>
      </c>
      <c r="DS72">
        <f t="shared" ca="1" si="103"/>
        <v>-1.03652188023773E-5</v>
      </c>
      <c r="DT72">
        <f t="shared" ca="1" si="104"/>
        <v>2.2270456648676399E-4</v>
      </c>
      <c r="DU72">
        <f t="shared" ca="1" si="105"/>
        <v>-5.51309190162108E-4</v>
      </c>
      <c r="DV72">
        <f t="shared" ca="1" si="106"/>
        <v>-8.7408398580424195E-4</v>
      </c>
      <c r="DW72">
        <f t="shared" ca="1" si="107"/>
        <v>7.4778210517489896E-5</v>
      </c>
      <c r="DX72">
        <f t="shared" ca="1" si="108"/>
        <v>-1.9184688343609801E-5</v>
      </c>
      <c r="DY72">
        <f t="shared" ca="1" si="109"/>
        <v>3.2651517072324101E-6</v>
      </c>
      <c r="ED72" s="248">
        <f ca="1">'JACOBIAN - SWAP USD3ML'!B81</f>
        <v>48932</v>
      </c>
      <c r="EE72">
        <f ca="1">'JACOBIAN - SWAP USD3ML'!C81</f>
        <v>2.3980817331903401E-13</v>
      </c>
      <c r="EF72">
        <f ca="1">'JACOBIAN - SWAP USD3ML'!D81</f>
        <v>-9.94249956670634E-10</v>
      </c>
      <c r="EG72">
        <f ca="1">'JACOBIAN - SWAP USD3ML'!E81</f>
        <v>5.8853998063934702E-12</v>
      </c>
      <c r="EH72">
        <f ca="1">'JACOBIAN - SWAP USD3ML'!F81</f>
        <v>2.3980817331903401E-13</v>
      </c>
      <c r="EI72">
        <f ca="1">'JACOBIAN - SWAP USD3ML'!G81</f>
        <v>-1.0633254693415101E-11</v>
      </c>
      <c r="EJ72">
        <f ca="1">'JACOBIAN - SWAP USD3ML'!H81</f>
        <v>-9.8979813581423493E-10</v>
      </c>
      <c r="EK72">
        <f ca="1">'JACOBIAN - SWAP USD3ML'!I81</f>
        <v>-9.8071441245739501E-10</v>
      </c>
      <c r="EL72">
        <f ca="1">'JACOBIAN - SWAP USD3ML'!J81</f>
        <v>-9.7753893174568104E-10</v>
      </c>
      <c r="EM72">
        <f ca="1">'JACOBIAN - SWAP USD3ML'!K81</f>
        <v>-9.7448027772117897E-10</v>
      </c>
      <c r="EN72">
        <f ca="1">'JACOBIAN - SWAP USD3ML'!L81</f>
        <v>-9.7141899038644099E-10</v>
      </c>
      <c r="EO72">
        <f ca="1">'JACOBIAN - SWAP USD3ML'!M81</f>
        <v>-9.6246175959602297E-10</v>
      </c>
      <c r="EP72">
        <f ca="1">'JACOBIAN - SWAP USD3ML'!N81</f>
        <v>-2.0894073311794599E-9</v>
      </c>
      <c r="EQ72">
        <f ca="1">'JACOBIAN - SWAP USD3ML'!O81</f>
        <v>5.0615213117999298E-8</v>
      </c>
      <c r="ER72">
        <f ca="1">'JACOBIAN - SWAP USD3ML'!P81</f>
        <v>-2.4495046167458102E-7</v>
      </c>
      <c r="ES72">
        <f ca="1">'JACOBIAN - SWAP USD3ML'!Q81</f>
        <v>6.1025480932105903E-7</v>
      </c>
      <c r="ET72">
        <f ca="1">'JACOBIAN - SWAP USD3ML'!R81</f>
        <v>-5.3843851048132599E-6</v>
      </c>
      <c r="EU72">
        <f ca="1">'JACOBIAN - SWAP USD3ML'!S81</f>
        <v>2.8050308757940999E-5</v>
      </c>
      <c r="EV72">
        <f ca="1">'JACOBIAN - SWAP USD3ML'!T81</f>
        <v>-1.22001513900637E-4</v>
      </c>
      <c r="EW72">
        <f ca="1">'JACOBIAN - SWAP USD3ML'!U81</f>
        <v>2.7213726118206397E-4</v>
      </c>
      <c r="EX72">
        <f ca="1">'JACOBIAN - SWAP USD3ML'!V81</f>
        <v>-7.1484229354077495E-4</v>
      </c>
      <c r="EY72">
        <f ca="1">'JACOBIAN - SWAP USD3ML'!W81</f>
        <v>6.0609851807864195E-4</v>
      </c>
      <c r="EZ72">
        <f ca="1">'JACOBIAN - SWAP USD3ML'!X81</f>
        <v>4.5453182036654E-5</v>
      </c>
      <c r="FA72">
        <f ca="1">'JACOBIAN - SWAP USD3ML'!Y81</f>
        <v>-1.45503839737333E-5</v>
      </c>
      <c r="FB72">
        <f ca="1">'JACOBIAN - SWAP USD3ML'!Z81</f>
        <v>2.9618914081791501E-6</v>
      </c>
    </row>
    <row r="73" spans="24:158" x14ac:dyDescent="0.25">
      <c r="X73" s="258">
        <f t="shared" ca="1" si="76"/>
        <v>49020</v>
      </c>
      <c r="Y73" s="261">
        <v>0</v>
      </c>
      <c r="AA73" s="257">
        <f t="shared" ca="1" si="110"/>
        <v>49020</v>
      </c>
      <c r="AB73" s="266">
        <f t="shared" ca="1" si="77"/>
        <v>-1.1362496462505862E-3</v>
      </c>
      <c r="AC73" s="266"/>
      <c r="AD73" s="290">
        <f ca="1"/>
        <v>49020</v>
      </c>
      <c r="AE73" s="291">
        <f ca="1"/>
        <v>-1.1362496462505867E-3</v>
      </c>
      <c r="AF73" s="291" t="b">
        <f t="shared" ca="1" si="111"/>
        <v>1</v>
      </c>
      <c r="AH73" s="257">
        <f t="shared" ca="1" si="78"/>
        <v>49020</v>
      </c>
      <c r="AI73" s="260">
        <v>0</v>
      </c>
      <c r="AK73" s="290">
        <f ca="1"/>
        <v>49020</v>
      </c>
      <c r="AL73" s="291">
        <f ca="1"/>
        <v>9.8346474433141234E-5</v>
      </c>
      <c r="AM73" s="291" t="b">
        <f t="shared" ca="1" si="79"/>
        <v>1</v>
      </c>
      <c r="AO73" s="257">
        <f t="shared" ca="1" si="80"/>
        <v>49020</v>
      </c>
      <c r="AP73" s="266">
        <f t="shared" ca="1" si="112"/>
        <v>9.8346474433141546E-5</v>
      </c>
      <c r="AR73" s="248">
        <f ca="1">'JACOBIAN - OIS USDOIS'!B82</f>
        <v>49020</v>
      </c>
      <c r="AS73">
        <f ca="1">'JACOBIAN - OIS USDOIS'!C82</f>
        <v>-8.8515691210044899E-7</v>
      </c>
      <c r="AT73">
        <f ca="1">'JACOBIAN - OIS USDOIS'!D82</f>
        <v>1.2192913345643301E-10</v>
      </c>
      <c r="AU73">
        <f ca="1">'JACOBIAN - OIS USDOIS'!E82</f>
        <v>-4.8741721769829403E-10</v>
      </c>
      <c r="AV73">
        <f ca="1">'JACOBIAN - OIS USDOIS'!F82</f>
        <v>1.283675610253E-9</v>
      </c>
      <c r="AW73">
        <f ca="1">'JACOBIAN - OIS USDOIS'!G82</f>
        <v>-1.6518703072065899E-9</v>
      </c>
      <c r="AX73">
        <f ca="1">'JACOBIAN - OIS USDOIS'!H82</f>
        <v>3.7367167138313603E-9</v>
      </c>
      <c r="AY73">
        <f ca="1">'JACOBIAN - OIS USDOIS'!I82</f>
        <v>-2.3889096589790901E-8</v>
      </c>
      <c r="AZ73">
        <f ca="1">'JACOBIAN - OIS USDOIS'!J82</f>
        <v>4.5669390602576197E-8</v>
      </c>
      <c r="BA73">
        <f ca="1">'JACOBIAN - OIS USDOIS'!K82</f>
        <v>-1.7582497913171101E-7</v>
      </c>
      <c r="BB73">
        <f ca="1">'JACOBIAN - OIS USDOIS'!L82</f>
        <v>6.1422621988604899E-7</v>
      </c>
      <c r="BC73">
        <f ca="1">'JACOBIAN - OIS USDOIS'!M82</f>
        <v>-5.9314484712746897E-7</v>
      </c>
      <c r="BD73">
        <f ca="1">'JACOBIAN - OIS USDOIS'!N82</f>
        <v>5.9197091673013296E-13</v>
      </c>
      <c r="BE73">
        <f ca="1">'JACOBIAN - OIS USDOIS'!O82</f>
        <v>5.9197091673013296E-13</v>
      </c>
      <c r="BF73">
        <f ca="1">'JACOBIAN - OIS USDOIS'!P82</f>
        <v>5.9197091673013296E-13</v>
      </c>
      <c r="BG73">
        <f ca="1">'JACOBIAN - OIS USDOIS'!Q82</f>
        <v>5.9197091673013296E-13</v>
      </c>
      <c r="BH73">
        <f ca="1">'JACOBIAN - OIS USDOIS'!R82</f>
        <v>5.9197091673013296E-13</v>
      </c>
      <c r="BI73" s="161">
        <f ca="1">'JACOBIAN - OIS USDOIS'!S82</f>
        <v>-1.5367132901733499E-6</v>
      </c>
      <c r="BJ73" s="161">
        <f ca="1">'JACOBIAN - OIS USDOIS'!T82</f>
        <v>-2.5870804313265998E-6</v>
      </c>
      <c r="BK73" s="161">
        <f ca="1">'JACOBIAN - OIS USDOIS'!U82</f>
        <v>-5.3462512403790202E-6</v>
      </c>
      <c r="BL73" s="161">
        <f ca="1">'JACOBIAN - OIS USDOIS'!V82</f>
        <v>2.5132699348340299E-6</v>
      </c>
      <c r="BM73" s="161">
        <f ca="1">'JACOBIAN - OIS USDOIS'!W82</f>
        <v>-2.4000514669664201E-5</v>
      </c>
      <c r="BN73" s="161">
        <f ca="1">'JACOBIAN - OIS USDOIS'!X82</f>
        <v>1.6416274888353399E-6</v>
      </c>
      <c r="BO73" s="161">
        <f ca="1">'JACOBIAN - OIS USDOIS'!Y82</f>
        <v>-1.8205990681463601E-4</v>
      </c>
      <c r="BP73" s="161">
        <f ca="1">'JACOBIAN - OIS USDOIS'!Z82</f>
        <v>4.0784221356060502E-4</v>
      </c>
      <c r="BQ73" s="161">
        <f ca="1">'JACOBIAN - OIS USDOIS'!AA82</f>
        <v>1.0129658184348E-3</v>
      </c>
      <c r="BR73" s="161">
        <f ca="1">'JACOBIAN - OIS USDOIS'!AB82</f>
        <v>-7.0503141365696505E-5</v>
      </c>
      <c r="BS73" s="161">
        <f ca="1">'JACOBIAN - OIS USDOIS'!AC82</f>
        <v>1.8078183463998702E-5</v>
      </c>
      <c r="BT73" s="161">
        <f ca="1">'JACOBIAN - OIS USDOIS'!AD82</f>
        <v>-3.0739260638013001E-6</v>
      </c>
      <c r="BU73">
        <f ca="1">'JACOBIAN - OIS USDOIS'!AE82</f>
        <v>1.5085833877659399E-6</v>
      </c>
      <c r="BV73">
        <f ca="1">'JACOBIAN - OIS USDOIS'!AF82</f>
        <v>2.5436322200755901E-6</v>
      </c>
      <c r="BW73">
        <f ca="1">'JACOBIAN - OIS USDOIS'!AG82</f>
        <v>5.2600388728008002E-6</v>
      </c>
      <c r="BX73">
        <f ca="1">'JACOBIAN - OIS USDOIS'!AH82</f>
        <v>-2.4759676325869502E-6</v>
      </c>
      <c r="BY73">
        <f ca="1">'JACOBIAN - OIS USDOIS'!AI82</f>
        <v>2.3607589227703199E-5</v>
      </c>
      <c r="BZ73">
        <f ca="1">'JACOBIAN - OIS USDOIS'!AJ82</f>
        <v>-1.6333980189520101E-6</v>
      </c>
      <c r="CA73">
        <f ca="1">'JACOBIAN - OIS USDOIS'!AK82</f>
        <v>1.7921524545727599E-4</v>
      </c>
      <c r="CB73">
        <f ca="1">'JACOBIAN - OIS USDOIS'!AL82</f>
        <v>-4.0149000873046498E-4</v>
      </c>
      <c r="CC73">
        <f ca="1">'JACOBIAN - OIS USDOIS'!AM82</f>
        <v>-9.964521276779601E-4</v>
      </c>
      <c r="CD73">
        <f ca="1">'JACOBIAN - OIS USDOIS'!AN82</f>
        <v>6.9471798411657696E-5</v>
      </c>
      <c r="CE73">
        <f ca="1">'JACOBIAN - OIS USDOIS'!AO82</f>
        <v>-1.7823376952108601E-5</v>
      </c>
      <c r="CF73">
        <f ca="1">'JACOBIAN - OIS USDOIS'!AP82</f>
        <v>3.0334594148806502E-6</v>
      </c>
      <c r="CK73" s="248">
        <f t="shared" ca="1" si="81"/>
        <v>49020</v>
      </c>
      <c r="CL73">
        <f t="shared" ca="1" si="82"/>
        <v>-8.8515691210044899E-7</v>
      </c>
      <c r="CM73">
        <f t="shared" ca="1" si="83"/>
        <v>1.2192913345643301E-10</v>
      </c>
      <c r="CN73">
        <f t="shared" ca="1" si="84"/>
        <v>-4.8741721769829403E-10</v>
      </c>
      <c r="CO73">
        <f t="shared" ca="1" si="85"/>
        <v>1.283675610253E-9</v>
      </c>
      <c r="CP73">
        <f t="shared" ca="1" si="86"/>
        <v>-1.6518703072065899E-9</v>
      </c>
      <c r="CQ73">
        <f t="shared" ca="1" si="87"/>
        <v>3.7367167138313603E-9</v>
      </c>
      <c r="CR73">
        <f t="shared" ca="1" si="88"/>
        <v>-2.3889096589790901E-8</v>
      </c>
      <c r="CS73">
        <f t="shared" ca="1" si="89"/>
        <v>4.5669390602576197E-8</v>
      </c>
      <c r="CT73">
        <f t="shared" ca="1" si="90"/>
        <v>-1.7582497913171101E-7</v>
      </c>
      <c r="CU73">
        <f t="shared" ca="1" si="91"/>
        <v>6.1422621988604899E-7</v>
      </c>
      <c r="CV73">
        <f t="shared" ca="1" si="92"/>
        <v>-5.9314484712746897E-7</v>
      </c>
      <c r="CW73">
        <f t="shared" ca="1" si="93"/>
        <v>5.9197091673013296E-13</v>
      </c>
      <c r="CX73">
        <f t="shared" ca="1" si="94"/>
        <v>5.9197091673013296E-13</v>
      </c>
      <c r="CY73">
        <f t="shared" ca="1" si="95"/>
        <v>5.9197091673013296E-13</v>
      </c>
      <c r="CZ73">
        <f t="shared" ca="1" si="96"/>
        <v>5.9197091673013296E-13</v>
      </c>
      <c r="DA73">
        <f t="shared" ca="1" si="97"/>
        <v>5.9197091673013296E-13</v>
      </c>
      <c r="DB73" s="146">
        <v>0</v>
      </c>
      <c r="DC73" s="146">
        <v>0</v>
      </c>
      <c r="DD73" s="146">
        <v>0</v>
      </c>
      <c r="DE73" s="146">
        <v>0</v>
      </c>
      <c r="DF73" s="146">
        <v>0</v>
      </c>
      <c r="DG73" s="146">
        <v>0</v>
      </c>
      <c r="DH73" s="146">
        <v>0</v>
      </c>
      <c r="DI73" s="146">
        <v>0</v>
      </c>
      <c r="DJ73" s="146">
        <v>0</v>
      </c>
      <c r="DK73" s="146">
        <v>0</v>
      </c>
      <c r="DL73" s="146">
        <v>0</v>
      </c>
      <c r="DM73" s="146">
        <v>0</v>
      </c>
      <c r="DN73">
        <f t="shared" ca="1" si="98"/>
        <v>1.5085833877659399E-6</v>
      </c>
      <c r="DO73">
        <f t="shared" ca="1" si="99"/>
        <v>2.5436322200755901E-6</v>
      </c>
      <c r="DP73">
        <f t="shared" ca="1" si="100"/>
        <v>5.2600388728008002E-6</v>
      </c>
      <c r="DQ73">
        <f t="shared" ca="1" si="101"/>
        <v>-2.4759676325869502E-6</v>
      </c>
      <c r="DR73">
        <f t="shared" ca="1" si="102"/>
        <v>2.3607589227703199E-5</v>
      </c>
      <c r="DS73">
        <f t="shared" ca="1" si="103"/>
        <v>-1.6333980189520101E-6</v>
      </c>
      <c r="DT73">
        <f t="shared" ca="1" si="104"/>
        <v>1.7921524545727599E-4</v>
      </c>
      <c r="DU73">
        <f t="shared" ca="1" si="105"/>
        <v>-4.0149000873046498E-4</v>
      </c>
      <c r="DV73">
        <f t="shared" ca="1" si="106"/>
        <v>-9.964521276779601E-4</v>
      </c>
      <c r="DW73">
        <f t="shared" ca="1" si="107"/>
        <v>6.9471798411657696E-5</v>
      </c>
      <c r="DX73">
        <f t="shared" ca="1" si="108"/>
        <v>-1.7823376952108601E-5</v>
      </c>
      <c r="DY73">
        <f t="shared" ca="1" si="109"/>
        <v>3.0334594148806502E-6</v>
      </c>
      <c r="ED73" s="248">
        <f ca="1">'JACOBIAN - SWAP USD3ML'!B82</f>
        <v>49020</v>
      </c>
      <c r="EE73">
        <f ca="1">'JACOBIAN - SWAP USD3ML'!C82</f>
        <v>2.8402974416863498E-13</v>
      </c>
      <c r="EF73">
        <f ca="1">'JACOBIAN - SWAP USD3ML'!D82</f>
        <v>-1.06422105156101E-9</v>
      </c>
      <c r="EG73">
        <f ca="1">'JACOBIAN - SWAP USD3ML'!E82</f>
        <v>6.5726139808486303E-12</v>
      </c>
      <c r="EH73">
        <f ca="1">'JACOBIAN - SWAP USD3ML'!F82</f>
        <v>2.8317972966540599E-13</v>
      </c>
      <c r="EI73">
        <f ca="1">'JACOBIAN - SWAP USD3ML'!G82</f>
        <v>-1.13543202617805E-11</v>
      </c>
      <c r="EJ73">
        <f ca="1">'JACOBIAN - SWAP USD3ML'!H82</f>
        <v>-1.05942233805112E-9</v>
      </c>
      <c r="EK73">
        <f ca="1">'JACOBIAN - SWAP USD3ML'!I82</f>
        <v>-1.0494626452584E-9</v>
      </c>
      <c r="EL73">
        <f ca="1">'JACOBIAN - SWAP USD3ML'!J82</f>
        <v>-1.0460653628030501E-9</v>
      </c>
      <c r="EM73">
        <f ca="1">'JACOBIAN - SWAP USD3ML'!K82</f>
        <v>-1.0427939345358801E-9</v>
      </c>
      <c r="EN73">
        <f ca="1">'JACOBIAN - SWAP USD3ML'!L82</f>
        <v>-1.03951740618169E-9</v>
      </c>
      <c r="EO73">
        <f ca="1">'JACOBIAN - SWAP USD3ML'!M82</f>
        <v>-1.0299327328488999E-9</v>
      </c>
      <c r="EP73">
        <f ca="1">'JACOBIAN - SWAP USD3ML'!N82</f>
        <v>-2.2359782116121399E-9</v>
      </c>
      <c r="EQ73">
        <f ca="1">'JACOBIAN - SWAP USD3ML'!O82</f>
        <v>5.4166116699588798E-8</v>
      </c>
      <c r="ER73">
        <f ca="1">'JACOBIAN - SWAP USD3ML'!P82</f>
        <v>-2.62134779414197E-7</v>
      </c>
      <c r="ES73">
        <f ca="1">'JACOBIAN - SWAP USD3ML'!Q82</f>
        <v>6.5306723773597697E-7</v>
      </c>
      <c r="ET73">
        <f ca="1">'JACOBIAN - SWAP USD3ML'!R82</f>
        <v>-5.7621268097357604E-6</v>
      </c>
      <c r="EU73">
        <f ca="1">'JACOBIAN - SWAP USD3ML'!S82</f>
        <v>3.0018212513992199E-5</v>
      </c>
      <c r="EV73">
        <f ca="1">'JACOBIAN - SWAP USD3ML'!T82</f>
        <v>-1.3056003115566301E-4</v>
      </c>
      <c r="EW73">
        <f ca="1">'JACOBIAN - SWAP USD3ML'!U82</f>
        <v>2.9123171163680101E-4</v>
      </c>
      <c r="EX73">
        <f ca="1">'JACOBIAN - SWAP USD3ML'!V82</f>
        <v>-7.0332241790623299E-4</v>
      </c>
      <c r="EY73">
        <f ca="1">'JACOBIAN - SWAP USD3ML'!W82</f>
        <v>5.4314566292823496E-4</v>
      </c>
      <c r="EZ73">
        <f ca="1">'JACOBIAN - SWAP USD3ML'!X82</f>
        <v>9.8193993748874707E-5</v>
      </c>
      <c r="FA73">
        <f ca="1">'JACOBIAN - SWAP USD3ML'!Y82</f>
        <v>-3.1432562545126401E-5</v>
      </c>
      <c r="FB73">
        <f ca="1">'JACOBIAN - SWAP USD3ML'!Z82</f>
        <v>6.3985050551551604E-6</v>
      </c>
    </row>
    <row r="74" spans="24:158" x14ac:dyDescent="0.25">
      <c r="X74" s="258">
        <f t="shared" ca="1" si="76"/>
        <v>49114</v>
      </c>
      <c r="Y74" s="261">
        <v>0</v>
      </c>
      <c r="AA74" s="257">
        <f t="shared" ca="1" si="110"/>
        <v>49114</v>
      </c>
      <c r="AB74" s="266">
        <f t="shared" ca="1" si="77"/>
        <v>-1.1514037021148602E-3</v>
      </c>
      <c r="AC74" s="266"/>
      <c r="AD74" s="290">
        <f ca="1"/>
        <v>49114</v>
      </c>
      <c r="AE74" s="291">
        <f ca="1"/>
        <v>-1.1514037021148615E-3</v>
      </c>
      <c r="AF74" s="291" t="b">
        <f t="shared" ca="1" si="111"/>
        <v>1</v>
      </c>
      <c r="AH74" s="257">
        <f t="shared" ca="1" si="78"/>
        <v>49114</v>
      </c>
      <c r="AI74" s="260">
        <v>0</v>
      </c>
      <c r="AK74" s="290">
        <f ca="1"/>
        <v>49114</v>
      </c>
      <c r="AL74" s="291">
        <f ca="1"/>
        <v>9.8324068210767224E-5</v>
      </c>
      <c r="AM74" s="291" t="b">
        <f t="shared" ca="1" si="79"/>
        <v>1</v>
      </c>
      <c r="AO74" s="257">
        <f t="shared" ca="1" si="80"/>
        <v>49114</v>
      </c>
      <c r="AP74" s="266">
        <f t="shared" ca="1" si="112"/>
        <v>9.8324068210767142E-5</v>
      </c>
      <c r="AR74" s="248">
        <f ca="1">'JACOBIAN - OIS USDOIS'!B83</f>
        <v>49114</v>
      </c>
      <c r="AS74">
        <f ca="1">'JACOBIAN - OIS USDOIS'!C83</f>
        <v>-8.8096767192347201E-7</v>
      </c>
      <c r="AT74">
        <f ca="1">'JACOBIAN - OIS USDOIS'!D83</f>
        <v>1.01511687944367E-10</v>
      </c>
      <c r="AU74">
        <f ca="1">'JACOBIAN - OIS USDOIS'!E83</f>
        <v>-4.0586611849135998E-10</v>
      </c>
      <c r="AV74">
        <f ca="1">'JACOBIAN - OIS USDOIS'!F83</f>
        <v>1.06881115069513E-9</v>
      </c>
      <c r="AW74">
        <f ca="1">'JACOBIAN - OIS USDOIS'!G83</f>
        <v>-1.3753082006573401E-9</v>
      </c>
      <c r="AX74">
        <f ca="1">'JACOBIAN - OIS USDOIS'!H83</f>
        <v>3.11118752982509E-9</v>
      </c>
      <c r="AY74">
        <f ca="1">'JACOBIAN - OIS USDOIS'!I83</f>
        <v>-2.1729480104149E-8</v>
      </c>
      <c r="AZ74">
        <f ca="1">'JACOBIAN - OIS USDOIS'!J83</f>
        <v>3.80241413910909E-8</v>
      </c>
      <c r="BA74">
        <f ca="1">'JACOBIAN - OIS USDOIS'!K83</f>
        <v>-1.46392530098183E-7</v>
      </c>
      <c r="BB74">
        <f ca="1">'JACOBIAN - OIS USDOIS'!L83</f>
        <v>5.69101306635567E-7</v>
      </c>
      <c r="BC74">
        <f ca="1">'JACOBIAN - OIS USDOIS'!M83</f>
        <v>-4.9939833313139601E-7</v>
      </c>
      <c r="BD74">
        <f ca="1">'JACOBIAN - OIS USDOIS'!N83</f>
        <v>5.8286708792820698E-13</v>
      </c>
      <c r="BE74">
        <f ca="1">'JACOBIAN - OIS USDOIS'!O83</f>
        <v>5.8286708792820698E-13</v>
      </c>
      <c r="BF74">
        <f ca="1">'JACOBIAN - OIS USDOIS'!P83</f>
        <v>5.8286708792820698E-13</v>
      </c>
      <c r="BG74">
        <f ca="1">'JACOBIAN - OIS USDOIS'!Q83</f>
        <v>5.8286708792820698E-13</v>
      </c>
      <c r="BH74">
        <f ca="1">'JACOBIAN - OIS USDOIS'!R83</f>
        <v>5.8286708792820698E-13</v>
      </c>
      <c r="BI74" s="161">
        <f ca="1">'JACOBIAN - OIS USDOIS'!S83</f>
        <v>-1.4135156026773301E-6</v>
      </c>
      <c r="BJ74" s="161">
        <f ca="1">'JACOBIAN - OIS USDOIS'!T83</f>
        <v>-2.7897156236189602E-6</v>
      </c>
      <c r="BK74" s="161">
        <f ca="1">'JACOBIAN - OIS USDOIS'!U83</f>
        <v>-4.5839354035903702E-6</v>
      </c>
      <c r="BL74" s="161">
        <f ca="1">'JACOBIAN - OIS USDOIS'!V83</f>
        <v>-3.2955402051726402E-7</v>
      </c>
      <c r="BM74" s="161">
        <f ca="1">'JACOBIAN - OIS USDOIS'!W83</f>
        <v>-1.8287563578911501E-5</v>
      </c>
      <c r="BN74" s="161">
        <f ca="1">'JACOBIAN - OIS USDOIS'!X83</f>
        <v>-8.8300328496826503E-6</v>
      </c>
      <c r="BO74" s="161">
        <f ca="1">'JACOBIAN - OIS USDOIS'!Y83</f>
        <v>-1.29939721348893E-4</v>
      </c>
      <c r="BP74" s="161">
        <f ca="1">'JACOBIAN - OIS USDOIS'!Z83</f>
        <v>2.4410320317169701E-4</v>
      </c>
      <c r="BQ74" s="161">
        <f ca="1">'JACOBIAN - OIS USDOIS'!AA83</f>
        <v>1.13605403109429E-3</v>
      </c>
      <c r="BR74" s="161">
        <f ca="1">'JACOBIAN - OIS USDOIS'!AB83</f>
        <v>-5.6408685102260499E-5</v>
      </c>
      <c r="BS74" s="161">
        <f ca="1">'JACOBIAN - OIS USDOIS'!AC83</f>
        <v>1.44639668014923E-5</v>
      </c>
      <c r="BT74" s="161">
        <f ca="1">'JACOBIAN - OIS USDOIS'!AD83</f>
        <v>-2.4593888312551801E-6</v>
      </c>
      <c r="BU74">
        <f ca="1">'JACOBIAN - OIS USDOIS'!AE83</f>
        <v>1.38761686352407E-6</v>
      </c>
      <c r="BV74">
        <f ca="1">'JACOBIAN - OIS USDOIS'!AF83</f>
        <v>2.74289910562331E-6</v>
      </c>
      <c r="BW74">
        <f ca="1">'JACOBIAN - OIS USDOIS'!AG83</f>
        <v>4.5099472759657602E-6</v>
      </c>
      <c r="BX74">
        <f ca="1">'JACOBIAN - OIS USDOIS'!AH83</f>
        <v>3.2206904543308202E-7</v>
      </c>
      <c r="BY74">
        <f ca="1">'JACOBIAN - OIS USDOIS'!AI83</f>
        <v>1.7986126019664502E-5</v>
      </c>
      <c r="BZ74">
        <f ca="1">'JACOBIAN - OIS USDOIS'!AJ83</f>
        <v>8.6737954606563895E-6</v>
      </c>
      <c r="CA74">
        <f ca="1">'JACOBIAN - OIS USDOIS'!AK83</f>
        <v>1.27892179782929E-4</v>
      </c>
      <c r="CB74">
        <f ca="1">'JACOBIAN - OIS USDOIS'!AL83</f>
        <v>-2.4037206863902801E-4</v>
      </c>
      <c r="CC74">
        <f ca="1">'JACOBIAN - OIS USDOIS'!AM83</f>
        <v>-1.1173567846795001E-3</v>
      </c>
      <c r="CD74">
        <f ca="1">'JACOBIAN - OIS USDOIS'!AN83</f>
        <v>5.5582532879627798E-5</v>
      </c>
      <c r="CE74">
        <f ca="1">'JACOBIAN - OIS USDOIS'!AO83</f>
        <v>-1.42601663954967E-5</v>
      </c>
      <c r="CF74">
        <f ca="1">'JACOBIAN - OIS USDOIS'!AP83</f>
        <v>2.4270104825863102E-6</v>
      </c>
      <c r="CK74" s="248">
        <f t="shared" ca="1" si="81"/>
        <v>49114</v>
      </c>
      <c r="CL74">
        <f t="shared" ca="1" si="82"/>
        <v>-8.8096767192347201E-7</v>
      </c>
      <c r="CM74">
        <f t="shared" ca="1" si="83"/>
        <v>1.01511687944367E-10</v>
      </c>
      <c r="CN74">
        <f t="shared" ca="1" si="84"/>
        <v>-4.0586611849135998E-10</v>
      </c>
      <c r="CO74">
        <f t="shared" ca="1" si="85"/>
        <v>1.06881115069513E-9</v>
      </c>
      <c r="CP74">
        <f t="shared" ca="1" si="86"/>
        <v>-1.3753082006573401E-9</v>
      </c>
      <c r="CQ74">
        <f t="shared" ca="1" si="87"/>
        <v>3.11118752982509E-9</v>
      </c>
      <c r="CR74">
        <f t="shared" ca="1" si="88"/>
        <v>-2.1729480104149E-8</v>
      </c>
      <c r="CS74">
        <f t="shared" ca="1" si="89"/>
        <v>3.80241413910909E-8</v>
      </c>
      <c r="CT74">
        <f t="shared" ca="1" si="90"/>
        <v>-1.46392530098183E-7</v>
      </c>
      <c r="CU74">
        <f t="shared" ca="1" si="91"/>
        <v>5.69101306635567E-7</v>
      </c>
      <c r="CV74">
        <f t="shared" ca="1" si="92"/>
        <v>-4.9939833313139601E-7</v>
      </c>
      <c r="CW74">
        <f t="shared" ca="1" si="93"/>
        <v>5.8286708792820698E-13</v>
      </c>
      <c r="CX74">
        <f t="shared" ca="1" si="94"/>
        <v>5.8286708792820698E-13</v>
      </c>
      <c r="CY74">
        <f t="shared" ca="1" si="95"/>
        <v>5.8286708792820698E-13</v>
      </c>
      <c r="CZ74">
        <f t="shared" ca="1" si="96"/>
        <v>5.8286708792820698E-13</v>
      </c>
      <c r="DA74">
        <f t="shared" ca="1" si="97"/>
        <v>5.8286708792820698E-13</v>
      </c>
      <c r="DB74" s="146">
        <v>0</v>
      </c>
      <c r="DC74" s="146">
        <v>0</v>
      </c>
      <c r="DD74" s="146">
        <v>0</v>
      </c>
      <c r="DE74" s="146">
        <v>0</v>
      </c>
      <c r="DF74" s="146">
        <v>0</v>
      </c>
      <c r="DG74" s="146">
        <v>0</v>
      </c>
      <c r="DH74" s="146">
        <v>0</v>
      </c>
      <c r="DI74" s="146">
        <v>0</v>
      </c>
      <c r="DJ74" s="146">
        <v>0</v>
      </c>
      <c r="DK74" s="146">
        <v>0</v>
      </c>
      <c r="DL74" s="146">
        <v>0</v>
      </c>
      <c r="DM74" s="146">
        <v>0</v>
      </c>
      <c r="DN74">
        <f t="shared" ca="1" si="98"/>
        <v>1.38761686352407E-6</v>
      </c>
      <c r="DO74">
        <f t="shared" ca="1" si="99"/>
        <v>2.74289910562331E-6</v>
      </c>
      <c r="DP74">
        <f t="shared" ca="1" si="100"/>
        <v>4.5099472759657602E-6</v>
      </c>
      <c r="DQ74">
        <f t="shared" ca="1" si="101"/>
        <v>3.2206904543308202E-7</v>
      </c>
      <c r="DR74">
        <f t="shared" ca="1" si="102"/>
        <v>1.7986126019664502E-5</v>
      </c>
      <c r="DS74">
        <f t="shared" ca="1" si="103"/>
        <v>8.6737954606563895E-6</v>
      </c>
      <c r="DT74">
        <f t="shared" ca="1" si="104"/>
        <v>1.27892179782929E-4</v>
      </c>
      <c r="DU74">
        <f t="shared" ca="1" si="105"/>
        <v>-2.4037206863902801E-4</v>
      </c>
      <c r="DV74">
        <f t="shared" ca="1" si="106"/>
        <v>-1.1173567846795001E-3</v>
      </c>
      <c r="DW74">
        <f t="shared" ca="1" si="107"/>
        <v>5.5582532879627798E-5</v>
      </c>
      <c r="DX74">
        <f t="shared" ca="1" si="108"/>
        <v>-1.42601663954967E-5</v>
      </c>
      <c r="DY74">
        <f t="shared" ca="1" si="109"/>
        <v>2.4270104825863102E-6</v>
      </c>
      <c r="ED74" s="248">
        <f ca="1">'JACOBIAN - SWAP USD3ML'!B83</f>
        <v>49114</v>
      </c>
      <c r="EE74">
        <f ca="1">'JACOBIAN - SWAP USD3ML'!C83</f>
        <v>3.5449768120976398E-13</v>
      </c>
      <c r="EF74">
        <f ca="1">'JACOBIAN - SWAP USD3ML'!D83</f>
        <v>-1.0594872826286099E-9</v>
      </c>
      <c r="EG74">
        <f ca="1">'JACOBIAN - SWAP USD3ML'!E83</f>
        <v>7.7060094416658793E-12</v>
      </c>
      <c r="EH74">
        <f ca="1">'JACOBIAN - SWAP USD3ML'!F83</f>
        <v>3.5449768120976398E-13</v>
      </c>
      <c r="EI74">
        <f ca="1">'JACOBIAN - SWAP USD3ML'!G83</f>
        <v>-1.12310161171081E-11</v>
      </c>
      <c r="EJ74">
        <f ca="1">'JACOBIAN - SWAP USD3ML'!H83</f>
        <v>-1.05456513313507E-9</v>
      </c>
      <c r="EK74">
        <f ca="1">'JACOBIAN - SWAP USD3ML'!I83</f>
        <v>-1.0435826126864399E-9</v>
      </c>
      <c r="EL74">
        <f ca="1">'JACOBIAN - SWAP USD3ML'!J83</f>
        <v>-1.04021747812655E-9</v>
      </c>
      <c r="EM74">
        <f ca="1">'JACOBIAN - SWAP USD3ML'!K83</f>
        <v>-1.03697224765331E-9</v>
      </c>
      <c r="EN74">
        <f ca="1">'JACOBIAN - SWAP USD3ML'!L83</f>
        <v>-1.0337113769132199E-9</v>
      </c>
      <c r="EO74">
        <f ca="1">'JACOBIAN - SWAP USD3ML'!M83</f>
        <v>-1.02418247840963E-9</v>
      </c>
      <c r="EP74">
        <f ca="1">'JACOBIAN - SWAP USD3ML'!N83</f>
        <v>-2.2238628334669801E-9</v>
      </c>
      <c r="EQ74">
        <f ca="1">'JACOBIAN - SWAP USD3ML'!O83</f>
        <v>5.3872965217333097E-8</v>
      </c>
      <c r="ER74">
        <f ca="1">'JACOBIAN - SWAP USD3ML'!P83</f>
        <v>-2.6071561866000702E-7</v>
      </c>
      <c r="ES74">
        <f ca="1">'JACOBIAN - SWAP USD3ML'!Q83</f>
        <v>6.4953213677054798E-7</v>
      </c>
      <c r="ET74">
        <f ca="1">'JACOBIAN - SWAP USD3ML'!R83</f>
        <v>-5.73093587194831E-6</v>
      </c>
      <c r="EU74">
        <f ca="1">'JACOBIAN - SWAP USD3ML'!S83</f>
        <v>2.9855728547672299E-5</v>
      </c>
      <c r="EV74">
        <f ca="1">'JACOBIAN - SWAP USD3ML'!T83</f>
        <v>-1.2985318737062499E-4</v>
      </c>
      <c r="EW74">
        <f ca="1">'JACOBIAN - SWAP USD3ML'!U83</f>
        <v>2.8965582570657602E-4</v>
      </c>
      <c r="EX74">
        <f ca="1">'JACOBIAN - SWAP USD3ML'!V83</f>
        <v>-6.62486547584513E-4</v>
      </c>
      <c r="EY74">
        <f ca="1">'JACOBIAN - SWAP USD3ML'!W83</f>
        <v>4.5583072267980202E-4</v>
      </c>
      <c r="EZ74">
        <f ca="1">'JACOBIAN - SWAP USD3ML'!X83</f>
        <v>1.6189197015741699E-4</v>
      </c>
      <c r="FA74">
        <f ca="1">'JACOBIAN - SWAP USD3ML'!Y83</f>
        <v>-5.1821715314578902E-5</v>
      </c>
      <c r="FB74">
        <f ca="1">'JACOBIAN - SWAP USD3ML'!Z83</f>
        <v>1.05490371750915E-5</v>
      </c>
    </row>
    <row r="75" spans="24:158" x14ac:dyDescent="0.25">
      <c r="X75" s="258">
        <f t="shared" ca="1" si="76"/>
        <v>49205</v>
      </c>
      <c r="Y75" s="261">
        <v>0</v>
      </c>
      <c r="AA75" s="257">
        <f t="shared" ca="1" si="110"/>
        <v>49205</v>
      </c>
      <c r="AB75" s="266">
        <f t="shared" ca="1" si="77"/>
        <v>-1.1658793029521999E-3</v>
      </c>
      <c r="AC75" s="266"/>
      <c r="AD75" s="290">
        <f ca="1"/>
        <v>49205</v>
      </c>
      <c r="AE75" s="291">
        <f ca="1"/>
        <v>-1.1658793029521997E-3</v>
      </c>
      <c r="AF75" s="291" t="b">
        <f t="shared" ca="1" si="111"/>
        <v>1</v>
      </c>
      <c r="AH75" s="257">
        <f t="shared" ca="1" si="78"/>
        <v>49205</v>
      </c>
      <c r="AI75" s="260">
        <v>0</v>
      </c>
      <c r="AK75" s="290">
        <f ca="1"/>
        <v>49205</v>
      </c>
      <c r="AL75" s="291">
        <f ca="1"/>
        <v>9.8307062016109864E-5</v>
      </c>
      <c r="AM75" s="291" t="b">
        <f t="shared" ca="1" si="79"/>
        <v>1</v>
      </c>
      <c r="AO75" s="257">
        <f t="shared" ca="1" si="80"/>
        <v>49205</v>
      </c>
      <c r="AP75" s="266">
        <f t="shared" ca="1" si="112"/>
        <v>9.8307062016110623E-5</v>
      </c>
      <c r="AR75" s="248">
        <f ca="1">'JACOBIAN - OIS USDOIS'!B84</f>
        <v>49205</v>
      </c>
      <c r="AS75">
        <f ca="1">'JACOBIAN - OIS USDOIS'!C84</f>
        <v>-8.7692455286170201E-7</v>
      </c>
      <c r="AT75">
        <f ca="1">'JACOBIAN - OIS USDOIS'!D84</f>
        <v>8.13012990263928E-11</v>
      </c>
      <c r="AU75">
        <f ca="1">'JACOBIAN - OIS USDOIS'!E84</f>
        <v>-3.2513747250106901E-10</v>
      </c>
      <c r="AV75">
        <f ca="1">'JACOBIAN - OIS USDOIS'!F84</f>
        <v>8.5611684408348796E-10</v>
      </c>
      <c r="AW75">
        <f ca="1">'JACOBIAN - OIS USDOIS'!G84</f>
        <v>-1.1015379719481199E-9</v>
      </c>
      <c r="AX75">
        <f ca="1">'JACOBIAN - OIS USDOIS'!H84</f>
        <v>2.4919778462972898E-9</v>
      </c>
      <c r="AY75">
        <f ca="1">'JACOBIAN - OIS USDOIS'!I84</f>
        <v>-1.95918895551372E-8</v>
      </c>
      <c r="AZ75">
        <f ca="1">'JACOBIAN - OIS USDOIS'!J84</f>
        <v>3.0456130173384097E-8</v>
      </c>
      <c r="BA75">
        <f ca="1">'JACOBIAN - OIS USDOIS'!K84</f>
        <v>-1.1725742143919901E-7</v>
      </c>
      <c r="BB75">
        <f ca="1">'JACOBIAN - OIS USDOIS'!L84</f>
        <v>5.2441506837031003E-7</v>
      </c>
      <c r="BC75">
        <f ca="1">'JACOBIAN - OIS USDOIS'!M84</f>
        <v>-4.0659951305865903E-7</v>
      </c>
      <c r="BD75">
        <f ca="1">'JACOBIAN - OIS USDOIS'!N84</f>
        <v>5.7354121452135597E-13</v>
      </c>
      <c r="BE75">
        <f ca="1">'JACOBIAN - OIS USDOIS'!O84</f>
        <v>5.7354121452135597E-13</v>
      </c>
      <c r="BF75">
        <f ca="1">'JACOBIAN - OIS USDOIS'!P84</f>
        <v>5.7354121452135597E-13</v>
      </c>
      <c r="BG75">
        <f ca="1">'JACOBIAN - OIS USDOIS'!Q84</f>
        <v>5.7354121452135597E-13</v>
      </c>
      <c r="BH75">
        <f ca="1">'JACOBIAN - OIS USDOIS'!R84</f>
        <v>5.7354121452135597E-13</v>
      </c>
      <c r="BI75" s="161">
        <f ca="1">'JACOBIAN - OIS USDOIS'!S84</f>
        <v>-1.29152088423901E-6</v>
      </c>
      <c r="BJ75" s="161">
        <f ca="1">'JACOBIAN - OIS USDOIS'!T84</f>
        <v>-2.9900939074733999E-6</v>
      </c>
      <c r="BK75" s="161">
        <f ca="1">'JACOBIAN - OIS USDOIS'!U84</f>
        <v>-3.8294625738233296E-6</v>
      </c>
      <c r="BL75" s="161">
        <f ca="1">'JACOBIAN - OIS USDOIS'!V84</f>
        <v>-3.14172875115482E-6</v>
      </c>
      <c r="BM75" s="161">
        <f ca="1">'JACOBIAN - OIS USDOIS'!W84</f>
        <v>-1.26351910126887E-5</v>
      </c>
      <c r="BN75" s="161">
        <f ca="1">'JACOBIAN - OIS USDOIS'!X84</f>
        <v>-1.9188178484785799E-5</v>
      </c>
      <c r="BO75" s="161">
        <f ca="1">'JACOBIAN - OIS USDOIS'!Y84</f>
        <v>-7.8370991509313397E-5</v>
      </c>
      <c r="BP75" s="161">
        <f ca="1">'JACOBIAN - OIS USDOIS'!Z84</f>
        <v>9.1291328066289701E-5</v>
      </c>
      <c r="BQ75" s="161">
        <f ca="1">'JACOBIAN - OIS USDOIS'!AA84</f>
        <v>1.24067852339094E-3</v>
      </c>
      <c r="BR75" s="161">
        <f ca="1">'JACOBIAN - OIS USDOIS'!AB84</f>
        <v>-3.2940745248177798E-5</v>
      </c>
      <c r="BS75" s="161">
        <f ca="1">'JACOBIAN - OIS USDOIS'!AC84</f>
        <v>8.4462978520161192E-6</v>
      </c>
      <c r="BT75" s="161">
        <f ca="1">'JACOBIAN - OIS USDOIS'!AD84</f>
        <v>-1.4361775705351599E-6</v>
      </c>
      <c r="BU75">
        <f ca="1">'JACOBIAN - OIS USDOIS'!AE84</f>
        <v>1.2678315759462301E-6</v>
      </c>
      <c r="BV75">
        <f ca="1">'JACOBIAN - OIS USDOIS'!AF84</f>
        <v>2.93994674482878E-6</v>
      </c>
      <c r="BW75">
        <f ca="1">'JACOBIAN - OIS USDOIS'!AG84</f>
        <v>3.7675743874698899E-6</v>
      </c>
      <c r="BX75">
        <f ca="1">'JACOBIAN - OIS USDOIS'!AH84</f>
        <v>3.0899592289301802E-6</v>
      </c>
      <c r="BY75">
        <f ca="1">'JACOBIAN - OIS USDOIS'!AI84</f>
        <v>1.24243484819209E-5</v>
      </c>
      <c r="BZ75">
        <f ca="1">'JACOBIAN - OIS USDOIS'!AJ84</f>
        <v>1.88695263788619E-5</v>
      </c>
      <c r="CA75">
        <f ca="1">'JACOBIAN - OIS USDOIS'!AK84</f>
        <v>7.7118578696855304E-5</v>
      </c>
      <c r="CB75">
        <f ca="1">'JACOBIAN - OIS USDOIS'!AL84</f>
        <v>-8.9947554857805506E-5</v>
      </c>
      <c r="CC75">
        <f ca="1">'JACOBIAN - OIS USDOIS'!AM84</f>
        <v>-1.2200932319448301E-3</v>
      </c>
      <c r="CD75">
        <f ca="1">'JACOBIAN - OIS USDOIS'!AN84</f>
        <v>3.2457299772970001E-5</v>
      </c>
      <c r="CE75">
        <f ca="1">'JACOBIAN - OIS USDOIS'!AO84</f>
        <v>-8.3273531855665405E-6</v>
      </c>
      <c r="CF75">
        <f ca="1">'JACOBIAN - OIS USDOIS'!AP84</f>
        <v>1.41726835833911E-6</v>
      </c>
      <c r="CK75" s="248">
        <f t="shared" ca="1" si="81"/>
        <v>49205</v>
      </c>
      <c r="CL75">
        <f t="shared" ca="1" si="82"/>
        <v>-8.7692455286170201E-7</v>
      </c>
      <c r="CM75">
        <f t="shared" ca="1" si="83"/>
        <v>8.13012990263928E-11</v>
      </c>
      <c r="CN75">
        <f t="shared" ca="1" si="84"/>
        <v>-3.2513747250106901E-10</v>
      </c>
      <c r="CO75">
        <f t="shared" ca="1" si="85"/>
        <v>8.5611684408348796E-10</v>
      </c>
      <c r="CP75">
        <f t="shared" ca="1" si="86"/>
        <v>-1.1015379719481199E-9</v>
      </c>
      <c r="CQ75">
        <f t="shared" ca="1" si="87"/>
        <v>2.4919778462972898E-9</v>
      </c>
      <c r="CR75">
        <f t="shared" ca="1" si="88"/>
        <v>-1.95918895551372E-8</v>
      </c>
      <c r="CS75">
        <f t="shared" ca="1" si="89"/>
        <v>3.0456130173384097E-8</v>
      </c>
      <c r="CT75">
        <f t="shared" ca="1" si="90"/>
        <v>-1.1725742143919901E-7</v>
      </c>
      <c r="CU75">
        <f t="shared" ca="1" si="91"/>
        <v>5.2441506837031003E-7</v>
      </c>
      <c r="CV75">
        <f t="shared" ca="1" si="92"/>
        <v>-4.0659951305865903E-7</v>
      </c>
      <c r="CW75">
        <f t="shared" ca="1" si="93"/>
        <v>5.7354121452135597E-13</v>
      </c>
      <c r="CX75">
        <f t="shared" ca="1" si="94"/>
        <v>5.7354121452135597E-13</v>
      </c>
      <c r="CY75">
        <f t="shared" ca="1" si="95"/>
        <v>5.7354121452135597E-13</v>
      </c>
      <c r="CZ75">
        <f t="shared" ca="1" si="96"/>
        <v>5.7354121452135597E-13</v>
      </c>
      <c r="DA75">
        <f t="shared" ca="1" si="97"/>
        <v>5.7354121452135597E-13</v>
      </c>
      <c r="DB75" s="146">
        <v>0</v>
      </c>
      <c r="DC75" s="146">
        <v>0</v>
      </c>
      <c r="DD75" s="146">
        <v>0</v>
      </c>
      <c r="DE75" s="146">
        <v>0</v>
      </c>
      <c r="DF75" s="146">
        <v>0</v>
      </c>
      <c r="DG75" s="146">
        <v>0</v>
      </c>
      <c r="DH75" s="146">
        <v>0</v>
      </c>
      <c r="DI75" s="146">
        <v>0</v>
      </c>
      <c r="DJ75" s="146">
        <v>0</v>
      </c>
      <c r="DK75" s="146">
        <v>0</v>
      </c>
      <c r="DL75" s="146">
        <v>0</v>
      </c>
      <c r="DM75" s="146">
        <v>0</v>
      </c>
      <c r="DN75">
        <f t="shared" ca="1" si="98"/>
        <v>1.2678315759462301E-6</v>
      </c>
      <c r="DO75">
        <f t="shared" ca="1" si="99"/>
        <v>2.93994674482878E-6</v>
      </c>
      <c r="DP75">
        <f t="shared" ca="1" si="100"/>
        <v>3.7675743874698899E-6</v>
      </c>
      <c r="DQ75">
        <f t="shared" ca="1" si="101"/>
        <v>3.0899592289301802E-6</v>
      </c>
      <c r="DR75">
        <f t="shared" ca="1" si="102"/>
        <v>1.24243484819209E-5</v>
      </c>
      <c r="DS75">
        <f t="shared" ca="1" si="103"/>
        <v>1.88695263788619E-5</v>
      </c>
      <c r="DT75">
        <f t="shared" ca="1" si="104"/>
        <v>7.7118578696855304E-5</v>
      </c>
      <c r="DU75">
        <f t="shared" ca="1" si="105"/>
        <v>-8.9947554857805506E-5</v>
      </c>
      <c r="DV75">
        <f t="shared" ca="1" si="106"/>
        <v>-1.2200932319448301E-3</v>
      </c>
      <c r="DW75">
        <f t="shared" ca="1" si="107"/>
        <v>3.2457299772970001E-5</v>
      </c>
      <c r="DX75">
        <f t="shared" ca="1" si="108"/>
        <v>-8.3273531855665405E-6</v>
      </c>
      <c r="DY75">
        <f t="shared" ca="1" si="109"/>
        <v>1.41726835833911E-6</v>
      </c>
      <c r="ED75" s="248">
        <f ca="1">'JACOBIAN - SWAP USD3ML'!B84</f>
        <v>49205</v>
      </c>
      <c r="EE75">
        <f ca="1">'JACOBIAN - SWAP USD3ML'!C84</f>
        <v>4.4799233767100998E-13</v>
      </c>
      <c r="EF75">
        <f ca="1">'JACOBIAN - SWAP USD3ML'!D84</f>
        <v>-9.7904453988384391E-10</v>
      </c>
      <c r="EG75">
        <f ca="1">'JACOBIAN - SWAP USD3ML'!E84</f>
        <v>9.2286595032575698E-12</v>
      </c>
      <c r="EH75">
        <f ca="1">'JACOBIAN - SWAP USD3ML'!F84</f>
        <v>4.4799233767100998E-13</v>
      </c>
      <c r="EI75">
        <f ca="1">'JACOBIAN - SWAP USD3ML'!G84</f>
        <v>-1.02564103043878E-11</v>
      </c>
      <c r="EJ75">
        <f ca="1">'JACOBIAN - SWAP USD3ML'!H84</f>
        <v>-9.7423256267825706E-10</v>
      </c>
      <c r="EK75">
        <f ca="1">'JACOBIAN - SWAP USD3ML'!I84</f>
        <v>-9.6214465214461399E-10</v>
      </c>
      <c r="EL75">
        <f ca="1">'JACOBIAN - SWAP USD3ML'!J84</f>
        <v>-9.5906228098074899E-10</v>
      </c>
      <c r="EM75">
        <f ca="1">'JACOBIAN - SWAP USD3ML'!K84</f>
        <v>-9.5608883657338793E-10</v>
      </c>
      <c r="EN75">
        <f ca="1">'JACOBIAN - SWAP USD3ML'!L84</f>
        <v>-9.5307410227785105E-10</v>
      </c>
      <c r="EO75">
        <f ca="1">'JACOBIAN - SWAP USD3ML'!M84</f>
        <v>-9.4429607189194797E-10</v>
      </c>
      <c r="EP75">
        <f ca="1">'JACOBIAN - SWAP USD3ML'!N84</f>
        <v>-2.0510626183578602E-9</v>
      </c>
      <c r="EQ75">
        <f ca="1">'JACOBIAN - SWAP USD3ML'!O84</f>
        <v>4.9687274072951502E-8</v>
      </c>
      <c r="ER75">
        <f ca="1">'JACOBIAN - SWAP USD3ML'!P84</f>
        <v>-2.4045837760527901E-7</v>
      </c>
      <c r="ES75">
        <f ca="1">'JACOBIAN - SWAP USD3ML'!Q84</f>
        <v>5.9906500946699195E-7</v>
      </c>
      <c r="ET75">
        <f ca="1">'JACOBIAN - SWAP USD3ML'!R84</f>
        <v>-5.2856548702733003E-6</v>
      </c>
      <c r="EU75">
        <f ca="1">'JACOBIAN - SWAP USD3ML'!S84</f>
        <v>2.7535997156283298E-5</v>
      </c>
      <c r="EV75">
        <f ca="1">'JACOBIAN - SWAP USD3ML'!T84</f>
        <v>-1.1976399905295E-4</v>
      </c>
      <c r="EW75">
        <f ca="1">'JACOBIAN - SWAP USD3ML'!U84</f>
        <v>2.67149599882711E-4</v>
      </c>
      <c r="EX75">
        <f ca="1">'JACOBIAN - SWAP USD3ML'!V84</f>
        <v>-5.9458789855913003E-4</v>
      </c>
      <c r="EY75">
        <f ca="1">'JACOBIAN - SWAP USD3ML'!W84</f>
        <v>3.4951839525566202E-4</v>
      </c>
      <c r="EZ75">
        <f ca="1">'JACOBIAN - SWAP USD3ML'!X84</f>
        <v>2.32652422219679E-4</v>
      </c>
      <c r="FA75">
        <f ca="1">'JACOBIAN - SWAP USD3ML'!Y84</f>
        <v>-7.4470998885821398E-5</v>
      </c>
      <c r="FB75">
        <f ca="1">'JACOBIAN - SWAP USD3ML'!Z84</f>
        <v>1.51596841014463E-5</v>
      </c>
    </row>
    <row r="76" spans="24:158" x14ac:dyDescent="0.25">
      <c r="X76" s="258">
        <f t="shared" ca="1" si="76"/>
        <v>49296</v>
      </c>
      <c r="Y76" s="261">
        <v>0</v>
      </c>
      <c r="AA76" s="257">
        <f t="shared" ca="1" si="110"/>
        <v>49296</v>
      </c>
      <c r="AB76" s="266">
        <f t="shared" ca="1" si="77"/>
        <v>-1.1801796686418146E-3</v>
      </c>
      <c r="AC76" s="266"/>
      <c r="AD76" s="290">
        <f ca="1"/>
        <v>49296</v>
      </c>
      <c r="AE76" s="291">
        <f ca="1"/>
        <v>-1.180179668641812E-3</v>
      </c>
      <c r="AF76" s="291" t="b">
        <f t="shared" ca="1" si="111"/>
        <v>1</v>
      </c>
      <c r="AH76" s="257">
        <f t="shared" ca="1" si="78"/>
        <v>49296</v>
      </c>
      <c r="AI76" s="260">
        <v>0</v>
      </c>
      <c r="AK76" s="290">
        <f ca="1"/>
        <v>49296</v>
      </c>
      <c r="AL76" s="291">
        <f ca="1"/>
        <v>9.8299289193765765E-5</v>
      </c>
      <c r="AM76" s="291" t="b">
        <f t="shared" ca="1" si="79"/>
        <v>1</v>
      </c>
      <c r="AO76" s="257">
        <f t="shared" ca="1" si="80"/>
        <v>49296</v>
      </c>
      <c r="AP76" s="266">
        <f t="shared" ca="1" si="112"/>
        <v>9.8299289193765359E-5</v>
      </c>
      <c r="AR76" s="248">
        <f ca="1">'JACOBIAN - OIS USDOIS'!B85</f>
        <v>49296</v>
      </c>
      <c r="AS76">
        <f ca="1">'JACOBIAN - OIS USDOIS'!C85</f>
        <v>-8.7289200234597096E-7</v>
      </c>
      <c r="AT76">
        <f ca="1">'JACOBIAN - OIS USDOIS'!D85</f>
        <v>6.2201577222253894E-11</v>
      </c>
      <c r="AU76">
        <f ca="1">'JACOBIAN - OIS USDOIS'!E85</f>
        <v>-2.4884183602580399E-10</v>
      </c>
      <c r="AV76">
        <f ca="1">'JACOBIAN - OIS USDOIS'!F85</f>
        <v>6.5510408209234997E-10</v>
      </c>
      <c r="AW76">
        <f ca="1">'JACOBIAN - OIS USDOIS'!G85</f>
        <v>-8.4280149525994799E-10</v>
      </c>
      <c r="AX76">
        <f ca="1">'JACOBIAN - OIS USDOIS'!H85</f>
        <v>1.9067754042367799E-9</v>
      </c>
      <c r="AY76">
        <f ca="1">'JACOBIAN - OIS USDOIS'!I85</f>
        <v>-1.7568002941281701E-8</v>
      </c>
      <c r="AZ76">
        <f ca="1">'JACOBIAN - OIS USDOIS'!J85</f>
        <v>2.3303750040781799E-8</v>
      </c>
      <c r="BA76">
        <f ca="1">'JACOBIAN - OIS USDOIS'!K85</f>
        <v>-8.9722390517188404E-8</v>
      </c>
      <c r="BB76">
        <f ca="1">'JACOBIAN - OIS USDOIS'!L85</f>
        <v>4.8212237979683405E-7</v>
      </c>
      <c r="BC76">
        <f ca="1">'JACOBIAN - OIS USDOIS'!M85</f>
        <v>-3.1888601326191001E-7</v>
      </c>
      <c r="BD76">
        <f ca="1">'JACOBIAN - OIS USDOIS'!N85</f>
        <v>5.6388227420711701E-13</v>
      </c>
      <c r="BE76">
        <f ca="1">'JACOBIAN - OIS USDOIS'!O85</f>
        <v>5.6388227420711701E-13</v>
      </c>
      <c r="BF76">
        <f ca="1">'JACOBIAN - OIS USDOIS'!P85</f>
        <v>5.6388227420711701E-13</v>
      </c>
      <c r="BG76">
        <f ca="1">'JACOBIAN - OIS USDOIS'!Q85</f>
        <v>5.6388227420711701E-13</v>
      </c>
      <c r="BH76">
        <f ca="1">'JACOBIAN - OIS USDOIS'!R85</f>
        <v>5.6388227420711701E-13</v>
      </c>
      <c r="BI76" s="161">
        <f ca="1">'JACOBIAN - OIS USDOIS'!S85</f>
        <v>-1.1760890719081399E-6</v>
      </c>
      <c r="BJ76" s="161">
        <f ca="1">'JACOBIAN - OIS USDOIS'!T85</f>
        <v>-3.1788466853255298E-6</v>
      </c>
      <c r="BK76" s="161">
        <f ca="1">'JACOBIAN - OIS USDOIS'!U85</f>
        <v>-3.1161674880486601E-6</v>
      </c>
      <c r="BL76" s="161">
        <f ca="1">'JACOBIAN - OIS USDOIS'!V85</f>
        <v>-5.7977943085374398E-6</v>
      </c>
      <c r="BM76" s="161">
        <f ca="1">'JACOBIAN - OIS USDOIS'!W85</f>
        <v>-7.2933635543170902E-6</v>
      </c>
      <c r="BN76" s="161">
        <f ca="1">'JACOBIAN - OIS USDOIS'!X85</f>
        <v>-2.89700337051668E-5</v>
      </c>
      <c r="BO76" s="161">
        <f ca="1">'JACOBIAN - OIS USDOIS'!Y85</f>
        <v>-2.9639025539207598E-5</v>
      </c>
      <c r="BP76" s="161">
        <f ca="1">'JACOBIAN - OIS USDOIS'!Z85</f>
        <v>-4.89147289000069E-5</v>
      </c>
      <c r="BQ76" s="161">
        <f ca="1">'JACOBIAN - OIS USDOIS'!AA85</f>
        <v>1.3260782147330699E-3</v>
      </c>
      <c r="BR76" s="161">
        <f ca="1">'JACOBIAN - OIS USDOIS'!AB85</f>
        <v>1.8537229918846899E-6</v>
      </c>
      <c r="BS76" s="161">
        <f ca="1">'JACOBIAN - OIS USDOIS'!AC85</f>
        <v>-4.7531872404693598E-7</v>
      </c>
      <c r="BT76" s="161">
        <f ca="1">'JACOBIAN - OIS USDOIS'!AD85</f>
        <v>8.0821616510462504E-8</v>
      </c>
      <c r="BU76">
        <f ca="1">'JACOBIAN - OIS USDOIS'!AE85</f>
        <v>1.15449041548921E-6</v>
      </c>
      <c r="BV76">
        <f ca="1">'JACOBIAN - OIS USDOIS'!AF85</f>
        <v>3.1255622885417701E-6</v>
      </c>
      <c r="BW76">
        <f ca="1">'JACOBIAN - OIS USDOIS'!AG85</f>
        <v>3.0657200984496301E-6</v>
      </c>
      <c r="BX76">
        <f ca="1">'JACOBIAN - OIS USDOIS'!AH85</f>
        <v>5.7042170246157704E-6</v>
      </c>
      <c r="BY76">
        <f ca="1">'JACOBIAN - OIS USDOIS'!AI85</f>
        <v>7.1682111110194E-6</v>
      </c>
      <c r="BZ76">
        <f ca="1">'JACOBIAN - OIS USDOIS'!AJ85</f>
        <v>2.849825386253E-5</v>
      </c>
      <c r="CA76">
        <f ca="1">'JACOBIAN - OIS USDOIS'!AK85</f>
        <v>2.91439686990191E-5</v>
      </c>
      <c r="CB76">
        <f ca="1">'JACOBIAN - OIS USDOIS'!AL85</f>
        <v>4.8118632740346001E-5</v>
      </c>
      <c r="CC76">
        <f ca="1">'JACOBIAN - OIS USDOIS'!AM85</f>
        <v>-1.3039289171158401E-3</v>
      </c>
      <c r="CD76">
        <f ca="1">'JACOBIAN - OIS USDOIS'!AN85</f>
        <v>-1.8265666101857601E-6</v>
      </c>
      <c r="CE76">
        <f ca="1">'JACOBIAN - OIS USDOIS'!AO85</f>
        <v>4.6862277292003498E-7</v>
      </c>
      <c r="CF76">
        <f ca="1">'JACOBIAN - OIS USDOIS'!AP85</f>
        <v>-7.9756906634642606E-8</v>
      </c>
      <c r="CK76" s="248">
        <f t="shared" ca="1" si="81"/>
        <v>49296</v>
      </c>
      <c r="CL76">
        <f t="shared" ca="1" si="82"/>
        <v>-8.7289200234597096E-7</v>
      </c>
      <c r="CM76">
        <f t="shared" ca="1" si="83"/>
        <v>6.2201577222253894E-11</v>
      </c>
      <c r="CN76">
        <f t="shared" ca="1" si="84"/>
        <v>-2.4884183602580399E-10</v>
      </c>
      <c r="CO76">
        <f t="shared" ca="1" si="85"/>
        <v>6.5510408209234997E-10</v>
      </c>
      <c r="CP76">
        <f t="shared" ca="1" si="86"/>
        <v>-8.4280149525994799E-10</v>
      </c>
      <c r="CQ76">
        <f t="shared" ca="1" si="87"/>
        <v>1.9067754042367799E-9</v>
      </c>
      <c r="CR76">
        <f t="shared" ca="1" si="88"/>
        <v>-1.7568002941281701E-8</v>
      </c>
      <c r="CS76">
        <f t="shared" ca="1" si="89"/>
        <v>2.3303750040781799E-8</v>
      </c>
      <c r="CT76">
        <f t="shared" ca="1" si="90"/>
        <v>-8.9722390517188404E-8</v>
      </c>
      <c r="CU76">
        <f t="shared" ca="1" si="91"/>
        <v>4.8212237979683405E-7</v>
      </c>
      <c r="CV76">
        <f t="shared" ca="1" si="92"/>
        <v>-3.1888601326191001E-7</v>
      </c>
      <c r="CW76">
        <f t="shared" ca="1" si="93"/>
        <v>5.6388227420711701E-13</v>
      </c>
      <c r="CX76">
        <f t="shared" ca="1" si="94"/>
        <v>5.6388227420711701E-13</v>
      </c>
      <c r="CY76">
        <f t="shared" ca="1" si="95"/>
        <v>5.6388227420711701E-13</v>
      </c>
      <c r="CZ76">
        <f t="shared" ca="1" si="96"/>
        <v>5.6388227420711701E-13</v>
      </c>
      <c r="DA76">
        <f t="shared" ca="1" si="97"/>
        <v>5.6388227420711701E-13</v>
      </c>
      <c r="DB76" s="146">
        <v>0</v>
      </c>
      <c r="DC76" s="146">
        <v>0</v>
      </c>
      <c r="DD76" s="146">
        <v>0</v>
      </c>
      <c r="DE76" s="146">
        <v>0</v>
      </c>
      <c r="DF76" s="146">
        <v>0</v>
      </c>
      <c r="DG76" s="146">
        <v>0</v>
      </c>
      <c r="DH76" s="146">
        <v>0</v>
      </c>
      <c r="DI76" s="146">
        <v>0</v>
      </c>
      <c r="DJ76" s="146">
        <v>0</v>
      </c>
      <c r="DK76" s="146">
        <v>0</v>
      </c>
      <c r="DL76" s="146">
        <v>0</v>
      </c>
      <c r="DM76" s="146">
        <v>0</v>
      </c>
      <c r="DN76">
        <f t="shared" ca="1" si="98"/>
        <v>1.15449041548921E-6</v>
      </c>
      <c r="DO76">
        <f t="shared" ca="1" si="99"/>
        <v>3.1255622885417701E-6</v>
      </c>
      <c r="DP76">
        <f t="shared" ca="1" si="100"/>
        <v>3.0657200984496301E-6</v>
      </c>
      <c r="DQ76">
        <f t="shared" ca="1" si="101"/>
        <v>5.7042170246157704E-6</v>
      </c>
      <c r="DR76">
        <f t="shared" ca="1" si="102"/>
        <v>7.1682111110194E-6</v>
      </c>
      <c r="DS76">
        <f t="shared" ca="1" si="103"/>
        <v>2.849825386253E-5</v>
      </c>
      <c r="DT76">
        <f t="shared" ca="1" si="104"/>
        <v>2.91439686990191E-5</v>
      </c>
      <c r="DU76">
        <f t="shared" ca="1" si="105"/>
        <v>4.8118632740346001E-5</v>
      </c>
      <c r="DV76">
        <f t="shared" ca="1" si="106"/>
        <v>-1.3039289171158401E-3</v>
      </c>
      <c r="DW76">
        <f t="shared" ca="1" si="107"/>
        <v>-1.8265666101857601E-6</v>
      </c>
      <c r="DX76">
        <f t="shared" ca="1" si="108"/>
        <v>4.6862277292003498E-7</v>
      </c>
      <c r="DY76">
        <f t="shared" ca="1" si="109"/>
        <v>-7.9756906634642606E-8</v>
      </c>
      <c r="ED76" s="248">
        <f ca="1">'JACOBIAN - SWAP USD3ML'!B85</f>
        <v>49296</v>
      </c>
      <c r="EE76">
        <f ca="1">'JACOBIAN - SWAP USD3ML'!C85</f>
        <v>5.59552404411079E-13</v>
      </c>
      <c r="EF76">
        <f ca="1">'JACOBIAN - SWAP USD3ML'!D85</f>
        <v>-8.3697971470231301E-10</v>
      </c>
      <c r="EG76">
        <f ca="1">'JACOBIAN - SWAP USD3ML'!E85</f>
        <v>1.10689478416415E-11</v>
      </c>
      <c r="EH76">
        <f ca="1">'JACOBIAN - SWAP USD3ML'!F85</f>
        <v>5.5867463433223504E-13</v>
      </c>
      <c r="EI76">
        <f ca="1">'JACOBIAN - SWAP USD3ML'!G85</f>
        <v>-8.5900522805992807E-12</v>
      </c>
      <c r="EJ76">
        <f ca="1">'JACOBIAN - SWAP USD3ML'!H85</f>
        <v>-8.32469038147821E-10</v>
      </c>
      <c r="EK76">
        <f ca="1">'JACOBIAN - SWAP USD3ML'!I85</f>
        <v>-8.1920316710726304E-10</v>
      </c>
      <c r="EL76">
        <f ca="1">'JACOBIAN - SWAP USD3ML'!J85</f>
        <v>-8.1661007469979698E-10</v>
      </c>
      <c r="EM76">
        <f ca="1">'JACOBIAN - SWAP USD3ML'!K85</f>
        <v>-8.1410306967954996E-10</v>
      </c>
      <c r="EN76">
        <f ca="1">'JACOBIAN - SWAP USD3ML'!L85</f>
        <v>-8.1152754655144901E-10</v>
      </c>
      <c r="EO76">
        <f ca="1">'JACOBIAN - SWAP USD3ML'!M85</f>
        <v>-8.0406099139951296E-10</v>
      </c>
      <c r="EP76">
        <f ca="1">'JACOBIAN - SWAP USD3ML'!N85</f>
        <v>-1.74745668282683E-9</v>
      </c>
      <c r="EQ76">
        <f ca="1">'JACOBIAN - SWAP USD3ML'!O85</f>
        <v>4.23328739111717E-8</v>
      </c>
      <c r="ER76">
        <f ca="1">'JACOBIAN - SWAP USD3ML'!P85</f>
        <v>-2.0486605115457899E-7</v>
      </c>
      <c r="ES76">
        <f ca="1">'JACOBIAN - SWAP USD3ML'!Q85</f>
        <v>5.1039301137215099E-7</v>
      </c>
      <c r="ET76">
        <f ca="1">'JACOBIAN - SWAP USD3ML'!R85</f>
        <v>-4.5032849818396597E-6</v>
      </c>
      <c r="EU76">
        <f ca="1">'JACOBIAN - SWAP USD3ML'!S85</f>
        <v>2.3460168653448299E-5</v>
      </c>
      <c r="EV76">
        <f ca="1">'JACOBIAN - SWAP USD3ML'!T85</f>
        <v>-1.02037073565868E-4</v>
      </c>
      <c r="EW76">
        <f ca="1">'JACOBIAN - SWAP USD3ML'!U85</f>
        <v>2.27605433167941E-4</v>
      </c>
      <c r="EX76">
        <f ca="1">'JACOBIAN - SWAP USD3ML'!V85</f>
        <v>-5.0400051604698401E-4</v>
      </c>
      <c r="EY76">
        <f ca="1">'JACOBIAN - SWAP USD3ML'!W85</f>
        <v>2.26516008571691E-4</v>
      </c>
      <c r="EZ76">
        <f ca="1">'JACOBIAN - SWAP USD3ML'!X85</f>
        <v>3.095368543952E-4</v>
      </c>
      <c r="FA76">
        <f ca="1">'JACOBIAN - SWAP USD3ML'!Y85</f>
        <v>-9.8713341491248705E-5</v>
      </c>
      <c r="FB76">
        <f ca="1">'JACOBIAN - SWAP USD3ML'!Z85</f>
        <v>2.0094659470459199E-5</v>
      </c>
    </row>
    <row r="77" spans="24:158" x14ac:dyDescent="0.25">
      <c r="X77" s="258">
        <f t="shared" ca="1" si="76"/>
        <v>49387</v>
      </c>
      <c r="Y77" s="261">
        <v>0</v>
      </c>
      <c r="AA77" s="257">
        <f t="shared" ca="1" si="110"/>
        <v>49387</v>
      </c>
      <c r="AB77" s="266">
        <f t="shared" ca="1" si="77"/>
        <v>-1.1943251233891331E-3</v>
      </c>
      <c r="AC77" s="266"/>
      <c r="AD77" s="290">
        <f ca="1"/>
        <v>49387</v>
      </c>
      <c r="AE77" s="291">
        <f ca="1"/>
        <v>-1.1943251233891283E-3</v>
      </c>
      <c r="AF77" s="291" t="b">
        <f t="shared" ca="1" si="111"/>
        <v>1</v>
      </c>
      <c r="AH77" s="257">
        <f t="shared" ca="1" si="78"/>
        <v>49387</v>
      </c>
      <c r="AI77" s="260">
        <v>0</v>
      </c>
      <c r="AK77" s="290">
        <f ca="1"/>
        <v>49387</v>
      </c>
      <c r="AL77" s="291">
        <f ca="1"/>
        <v>9.8304558026045957E-5</v>
      </c>
      <c r="AM77" s="291" t="b">
        <f t="shared" ca="1" si="79"/>
        <v>1</v>
      </c>
      <c r="AO77" s="257">
        <f t="shared" ca="1" si="80"/>
        <v>49387</v>
      </c>
      <c r="AP77" s="266">
        <f t="shared" ca="1" si="112"/>
        <v>9.8304558026046621E-5</v>
      </c>
      <c r="AR77" s="248">
        <f ca="1">'JACOBIAN - OIS USDOIS'!B86</f>
        <v>49387</v>
      </c>
      <c r="AS77">
        <f ca="1">'JACOBIAN - OIS USDOIS'!C86</f>
        <v>-8.68868740622197E-7</v>
      </c>
      <c r="AT77">
        <f ca="1">'JACOBIAN - OIS USDOIS'!D86</f>
        <v>4.5526471481593899E-11</v>
      </c>
      <c r="AU77">
        <f ca="1">'JACOBIAN - OIS USDOIS'!E86</f>
        <v>-1.8222989783822599E-10</v>
      </c>
      <c r="AV77">
        <f ca="1">'JACOBIAN - OIS USDOIS'!F86</f>
        <v>4.79606354630846E-10</v>
      </c>
      <c r="AW77">
        <f ca="1">'JACOBIAN - OIS USDOIS'!G86</f>
        <v>-6.1690486052867796E-10</v>
      </c>
      <c r="AX77">
        <f ca="1">'JACOBIAN - OIS USDOIS'!H86</f>
        <v>1.39585232261652E-9</v>
      </c>
      <c r="AY77">
        <f ca="1">'JACOBIAN - OIS USDOIS'!I86</f>
        <v>-1.5793553242993102E-8</v>
      </c>
      <c r="AZ77">
        <f ca="1">'JACOBIAN - OIS USDOIS'!J86</f>
        <v>1.7059200829727699E-8</v>
      </c>
      <c r="BA77">
        <f ca="1">'JACOBIAN - OIS USDOIS'!K86</f>
        <v>-6.5682300043334902E-8</v>
      </c>
      <c r="BB77">
        <f ca="1">'JACOBIAN - OIS USDOIS'!L86</f>
        <v>4.4509220742394701E-7</v>
      </c>
      <c r="BC77">
        <f ca="1">'JACOBIAN - OIS USDOIS'!M86</f>
        <v>-2.4228329087438999E-7</v>
      </c>
      <c r="BD77">
        <f ca="1">'JACOBIAN - OIS USDOIS'!N86</f>
        <v>5.5311311086825299E-13</v>
      </c>
      <c r="BE77">
        <f ca="1">'JACOBIAN - OIS USDOIS'!O86</f>
        <v>5.5311311086825299E-13</v>
      </c>
      <c r="BF77">
        <f ca="1">'JACOBIAN - OIS USDOIS'!P86</f>
        <v>5.5311311086825299E-13</v>
      </c>
      <c r="BG77">
        <f ca="1">'JACOBIAN - OIS USDOIS'!Q86</f>
        <v>5.5311311086825299E-13</v>
      </c>
      <c r="BH77">
        <f ca="1">'JACOBIAN - OIS USDOIS'!R86</f>
        <v>5.5311311086825299E-13</v>
      </c>
      <c r="BI77" s="161">
        <f ca="1">'JACOBIAN - OIS USDOIS'!S86</f>
        <v>-1.0750722790886501E-6</v>
      </c>
      <c r="BJ77" s="161">
        <f ca="1">'JACOBIAN - OIS USDOIS'!T86</f>
        <v>-3.3425869468972602E-6</v>
      </c>
      <c r="BK77" s="161">
        <f ca="1">'JACOBIAN - OIS USDOIS'!U86</f>
        <v>-2.49278521602392E-6</v>
      </c>
      <c r="BL77" s="161">
        <f ca="1">'JACOBIAN - OIS USDOIS'!V86</f>
        <v>-8.11502064457237E-6</v>
      </c>
      <c r="BM77" s="161">
        <f ca="1">'JACOBIAN - OIS USDOIS'!W86</f>
        <v>-2.62746989521112E-6</v>
      </c>
      <c r="BN77" s="161">
        <f ca="1">'JACOBIAN - OIS USDOIS'!X86</f>
        <v>-3.7501982038889998E-5</v>
      </c>
      <c r="BO77" s="161">
        <f ca="1">'JACOBIAN - OIS USDOIS'!Y86</f>
        <v>1.29178190750867E-5</v>
      </c>
      <c r="BP77" s="161">
        <f ca="1">'JACOBIAN - OIS USDOIS'!Z86</f>
        <v>-1.7063470183320599E-4</v>
      </c>
      <c r="BQ77" s="161">
        <f ca="1">'JACOBIAN - OIS USDOIS'!AA86</f>
        <v>1.38822105984315E-3</v>
      </c>
      <c r="BR77" s="161">
        <f ca="1">'JACOBIAN - OIS USDOIS'!AB86</f>
        <v>4.9218418676999498E-5</v>
      </c>
      <c r="BS77" s="161">
        <f ca="1">'JACOBIAN - OIS USDOIS'!AC86</f>
        <v>-1.25744587659016E-5</v>
      </c>
      <c r="BT77" s="161">
        <f ca="1">'JACOBIAN - OIS USDOIS'!AD86</f>
        <v>2.1381475824311401E-6</v>
      </c>
      <c r="BU77">
        <f ca="1">'JACOBIAN - OIS USDOIS'!AE86</f>
        <v>1.0553033017446401E-6</v>
      </c>
      <c r="BV77">
        <f ca="1">'JACOBIAN - OIS USDOIS'!AF86</f>
        <v>3.28658124015835E-6</v>
      </c>
      <c r="BW77">
        <f ca="1">'JACOBIAN - OIS USDOIS'!AG86</f>
        <v>2.4523373807205899E-6</v>
      </c>
      <c r="BX77">
        <f ca="1">'JACOBIAN - OIS USDOIS'!AH86</f>
        <v>7.9849841343460105E-6</v>
      </c>
      <c r="BY77">
        <f ca="1">'JACOBIAN - OIS USDOIS'!AI86</f>
        <v>2.5772239365951E-6</v>
      </c>
      <c r="BZ77">
        <f ca="1">'JACOBIAN - OIS USDOIS'!AJ86</f>
        <v>3.6896845368006297E-5</v>
      </c>
      <c r="CA77">
        <f ca="1">'JACOBIAN - OIS USDOIS'!AK86</f>
        <v>-1.2746692048315501E-5</v>
      </c>
      <c r="CB77">
        <f ca="1">'JACOBIAN - OIS USDOIS'!AL86</f>
        <v>1.68020593216522E-4</v>
      </c>
      <c r="CC77">
        <f ca="1">'JACOBIAN - OIS USDOIS'!AM86</f>
        <v>-1.3649193082830901E-3</v>
      </c>
      <c r="CD77">
        <f ca="1">'JACOBIAN - OIS USDOIS'!AN86</f>
        <v>-4.8491345784218398E-5</v>
      </c>
      <c r="CE77">
        <f ca="1">'JACOBIAN - OIS USDOIS'!AO86</f>
        <v>1.2397691420917801E-5</v>
      </c>
      <c r="CF77">
        <f ca="1">'JACOBIAN - OIS USDOIS'!AP86</f>
        <v>-2.1099854119466201E-6</v>
      </c>
      <c r="CK77" s="248">
        <f t="shared" ca="1" si="81"/>
        <v>49387</v>
      </c>
      <c r="CL77">
        <f t="shared" ca="1" si="82"/>
        <v>-8.68868740622197E-7</v>
      </c>
      <c r="CM77">
        <f t="shared" ca="1" si="83"/>
        <v>4.5526471481593899E-11</v>
      </c>
      <c r="CN77">
        <f t="shared" ca="1" si="84"/>
        <v>-1.8222989783822599E-10</v>
      </c>
      <c r="CO77">
        <f t="shared" ca="1" si="85"/>
        <v>4.79606354630846E-10</v>
      </c>
      <c r="CP77">
        <f t="shared" ca="1" si="86"/>
        <v>-6.1690486052867796E-10</v>
      </c>
      <c r="CQ77">
        <f t="shared" ca="1" si="87"/>
        <v>1.39585232261652E-9</v>
      </c>
      <c r="CR77">
        <f t="shared" ca="1" si="88"/>
        <v>-1.5793553242993102E-8</v>
      </c>
      <c r="CS77">
        <f t="shared" ca="1" si="89"/>
        <v>1.7059200829727699E-8</v>
      </c>
      <c r="CT77">
        <f t="shared" ca="1" si="90"/>
        <v>-6.5682300043334902E-8</v>
      </c>
      <c r="CU77">
        <f t="shared" ca="1" si="91"/>
        <v>4.4509220742394701E-7</v>
      </c>
      <c r="CV77">
        <f t="shared" ca="1" si="92"/>
        <v>-2.4228329087438999E-7</v>
      </c>
      <c r="CW77">
        <f t="shared" ca="1" si="93"/>
        <v>5.5311311086825299E-13</v>
      </c>
      <c r="CX77">
        <f t="shared" ca="1" si="94"/>
        <v>5.5311311086825299E-13</v>
      </c>
      <c r="CY77">
        <f t="shared" ca="1" si="95"/>
        <v>5.5311311086825299E-13</v>
      </c>
      <c r="CZ77">
        <f t="shared" ca="1" si="96"/>
        <v>5.5311311086825299E-13</v>
      </c>
      <c r="DA77">
        <f t="shared" ca="1" si="97"/>
        <v>5.5311311086825299E-13</v>
      </c>
      <c r="DB77" s="146">
        <v>0</v>
      </c>
      <c r="DC77" s="146">
        <v>0</v>
      </c>
      <c r="DD77" s="146">
        <v>0</v>
      </c>
      <c r="DE77" s="146">
        <v>0</v>
      </c>
      <c r="DF77" s="146">
        <v>0</v>
      </c>
      <c r="DG77" s="146">
        <v>0</v>
      </c>
      <c r="DH77" s="146">
        <v>0</v>
      </c>
      <c r="DI77" s="146">
        <v>0</v>
      </c>
      <c r="DJ77" s="146">
        <v>0</v>
      </c>
      <c r="DK77" s="146">
        <v>0</v>
      </c>
      <c r="DL77" s="146">
        <v>0</v>
      </c>
      <c r="DM77" s="146">
        <v>0</v>
      </c>
      <c r="DN77">
        <f t="shared" ca="1" si="98"/>
        <v>1.0553033017446401E-6</v>
      </c>
      <c r="DO77">
        <f t="shared" ca="1" si="99"/>
        <v>3.28658124015835E-6</v>
      </c>
      <c r="DP77">
        <f t="shared" ca="1" si="100"/>
        <v>2.4523373807205899E-6</v>
      </c>
      <c r="DQ77">
        <f t="shared" ca="1" si="101"/>
        <v>7.9849841343460105E-6</v>
      </c>
      <c r="DR77">
        <f t="shared" ca="1" si="102"/>
        <v>2.5772239365951E-6</v>
      </c>
      <c r="DS77">
        <f t="shared" ca="1" si="103"/>
        <v>3.6896845368006297E-5</v>
      </c>
      <c r="DT77">
        <f t="shared" ca="1" si="104"/>
        <v>-1.2746692048315501E-5</v>
      </c>
      <c r="DU77">
        <f t="shared" ca="1" si="105"/>
        <v>1.68020593216522E-4</v>
      </c>
      <c r="DV77">
        <f t="shared" ca="1" si="106"/>
        <v>-1.3649193082830901E-3</v>
      </c>
      <c r="DW77">
        <f t="shared" ca="1" si="107"/>
        <v>-4.8491345784218398E-5</v>
      </c>
      <c r="DX77">
        <f t="shared" ca="1" si="108"/>
        <v>1.2397691420917801E-5</v>
      </c>
      <c r="DY77">
        <f t="shared" ca="1" si="109"/>
        <v>-2.1099854119466201E-6</v>
      </c>
      <c r="ED77" s="248">
        <f ca="1">'JACOBIAN - SWAP USD3ML'!B86</f>
        <v>49387</v>
      </c>
      <c r="EE77">
        <f ca="1">'JACOBIAN - SWAP USD3ML'!C86</f>
        <v>6.6555441713411797E-13</v>
      </c>
      <c r="EF77">
        <f ca="1">'JACOBIAN - SWAP USD3ML'!D86</f>
        <v>-6.8978301195898903E-10</v>
      </c>
      <c r="EG77">
        <f ca="1">'JACOBIAN - SWAP USD3ML'!E86</f>
        <v>1.28253935249845E-11</v>
      </c>
      <c r="EH77">
        <f ca="1">'JACOBIAN - SWAP USD3ML'!F86</f>
        <v>6.6642524831905803E-13</v>
      </c>
      <c r="EI77">
        <f ca="1">'JACOBIAN - SWAP USD3ML'!G86</f>
        <v>-6.8718919443711002E-12</v>
      </c>
      <c r="EJ77">
        <f ca="1">'JACOBIAN - SWAP USD3ML'!H86</f>
        <v>-6.8560287655450303E-10</v>
      </c>
      <c r="EK77">
        <f ca="1">'JACOBIAN - SWAP USD3ML'!I86</f>
        <v>-6.7125435418424802E-10</v>
      </c>
      <c r="EL77">
        <f ca="1">'JACOBIAN - SWAP USD3ML'!J86</f>
        <v>-6.6916732918698204E-10</v>
      </c>
      <c r="EM77">
        <f ca="1">'JACOBIAN - SWAP USD3ML'!K86</f>
        <v>-6.67142861787706E-10</v>
      </c>
      <c r="EN77">
        <f ca="1">'JACOBIAN - SWAP USD3ML'!L86</f>
        <v>-6.6501934167795304E-10</v>
      </c>
      <c r="EO77">
        <f ca="1">'JACOBIAN - SWAP USD3ML'!M86</f>
        <v>-6.5891379158467E-10</v>
      </c>
      <c r="EP77">
        <f ca="1">'JACOBIAN - SWAP USD3ML'!N86</f>
        <v>-1.4331692325952899E-9</v>
      </c>
      <c r="EQ77">
        <f ca="1">'JACOBIAN - SWAP USD3ML'!O86</f>
        <v>3.4719662797555497E-8</v>
      </c>
      <c r="ER77">
        <f ca="1">'JACOBIAN - SWAP USD3ML'!P86</f>
        <v>-1.6802125777509701E-7</v>
      </c>
      <c r="ES77">
        <f ca="1">'JACOBIAN - SWAP USD3ML'!Q86</f>
        <v>4.1860065587776002E-7</v>
      </c>
      <c r="ET77">
        <f ca="1">'JACOBIAN - SWAP USD3ML'!R86</f>
        <v>-3.6933834694947999E-6</v>
      </c>
      <c r="EU77">
        <f ca="1">'JACOBIAN - SWAP USD3ML'!S86</f>
        <v>1.9240916587830201E-5</v>
      </c>
      <c r="EV77">
        <f ca="1">'JACOBIAN - SWAP USD3ML'!T86</f>
        <v>-8.3686261664786502E-5</v>
      </c>
      <c r="EW77">
        <f ca="1">'JACOBIAN - SWAP USD3ML'!U86</f>
        <v>1.8667010620732801E-4</v>
      </c>
      <c r="EX77">
        <f ca="1">'JACOBIAN - SWAP USD3ML'!V86</f>
        <v>-4.1336344712541301E-4</v>
      </c>
      <c r="EY77">
        <f ca="1">'JACOBIAN - SWAP USD3ML'!W86</f>
        <v>1.0728921944260999E-4</v>
      </c>
      <c r="EZ77">
        <f ca="1">'JACOBIAN - SWAP USD3ML'!X86</f>
        <v>3.8051160224097599E-4</v>
      </c>
      <c r="FA77">
        <f ca="1">'JACOBIAN - SWAP USD3ML'!Y86</f>
        <v>-1.19210645607111E-4</v>
      </c>
      <c r="FB77">
        <f ca="1">'JACOBIAN - SWAP USD3ML'!Z86</f>
        <v>2.4267285120525802E-5</v>
      </c>
    </row>
    <row r="78" spans="24:158" x14ac:dyDescent="0.25">
      <c r="X78" s="258">
        <f t="shared" ca="1" si="76"/>
        <v>49478</v>
      </c>
      <c r="Y78" s="261">
        <v>0</v>
      </c>
      <c r="AA78" s="257">
        <f t="shared" ca="1" si="110"/>
        <v>49478</v>
      </c>
      <c r="AB78" s="266">
        <f t="shared" ca="1" si="77"/>
        <v>-1.2083295945664091E-3</v>
      </c>
      <c r="AC78" s="266"/>
      <c r="AD78" s="290">
        <f ca="1"/>
        <v>49478</v>
      </c>
      <c r="AE78" s="291">
        <f ca="1"/>
        <v>-1.2083295945664041E-3</v>
      </c>
      <c r="AF78" s="291" t="b">
        <f t="shared" ca="1" si="111"/>
        <v>1</v>
      </c>
      <c r="AH78" s="257">
        <f t="shared" ca="1" si="78"/>
        <v>49478</v>
      </c>
      <c r="AI78" s="260">
        <v>0</v>
      </c>
      <c r="AK78" s="290">
        <f ca="1"/>
        <v>49478</v>
      </c>
      <c r="AL78" s="291">
        <f ca="1"/>
        <v>9.8309489683708117E-5</v>
      </c>
      <c r="AM78" s="291" t="b">
        <f t="shared" ca="1" si="79"/>
        <v>1</v>
      </c>
      <c r="AO78" s="257">
        <f t="shared" ca="1" si="80"/>
        <v>49478</v>
      </c>
      <c r="AP78" s="266">
        <f t="shared" ca="1" si="112"/>
        <v>9.8309489683707764E-5</v>
      </c>
      <c r="AR78" s="248">
        <f ca="1">'JACOBIAN - OIS USDOIS'!B87</f>
        <v>49478</v>
      </c>
      <c r="AS78">
        <f ca="1">'JACOBIAN - OIS USDOIS'!C87</f>
        <v>-8.6485531414215402E-7</v>
      </c>
      <c r="AT78">
        <f ca="1">'JACOBIAN - OIS USDOIS'!D87</f>
        <v>3.14747117258207E-11</v>
      </c>
      <c r="AU78">
        <f ca="1">'JACOBIAN - OIS USDOIS'!E87</f>
        <v>-1.2609491228943199E-10</v>
      </c>
      <c r="AV78">
        <f ca="1">'JACOBIAN - OIS USDOIS'!F87</f>
        <v>3.3171310143131899E-10</v>
      </c>
      <c r="AW78">
        <f ca="1">'JACOBIAN - OIS USDOIS'!G87</f>
        <v>-4.26537027919949E-10</v>
      </c>
      <c r="AX78">
        <f ca="1">'JACOBIAN - OIS USDOIS'!H87</f>
        <v>9.6529040316539708E-10</v>
      </c>
      <c r="AY78">
        <f ca="1">'JACOBIAN - OIS USDOIS'!I87</f>
        <v>-1.42891705134929E-8</v>
      </c>
      <c r="AZ78">
        <f ca="1">'JACOBIAN - OIS USDOIS'!J87</f>
        <v>1.17968143031888E-8</v>
      </c>
      <c r="BA78">
        <f ca="1">'JACOBIAN - OIS USDOIS'!K87</f>
        <v>-4.5423310557346497E-8</v>
      </c>
      <c r="BB78">
        <f ca="1">'JACOBIAN - OIS USDOIS'!L87</f>
        <v>4.13759988715512E-7</v>
      </c>
      <c r="BC78">
        <f ca="1">'JACOBIAN - OIS USDOIS'!M87</f>
        <v>-1.7770170590569699E-7</v>
      </c>
      <c r="BD78">
        <f ca="1">'JACOBIAN - OIS USDOIS'!N87</f>
        <v>5.4201088062200102E-13</v>
      </c>
      <c r="BE78">
        <f ca="1">'JACOBIAN - OIS USDOIS'!O87</f>
        <v>5.4201088062200102E-13</v>
      </c>
      <c r="BF78">
        <f ca="1">'JACOBIAN - OIS USDOIS'!P87</f>
        <v>5.4201088062200102E-13</v>
      </c>
      <c r="BG78">
        <f ca="1">'JACOBIAN - OIS USDOIS'!Q87</f>
        <v>5.4201088062200102E-13</v>
      </c>
      <c r="BH78">
        <f ca="1">'JACOBIAN - OIS USDOIS'!R87</f>
        <v>5.4201088062200102E-13</v>
      </c>
      <c r="BI78" s="161">
        <f ca="1">'JACOBIAN - OIS USDOIS'!S87</f>
        <v>-9.8966123351917901E-7</v>
      </c>
      <c r="BJ78" s="161">
        <f ca="1">'JACOBIAN - OIS USDOIS'!T87</f>
        <v>-3.4793152455803201E-6</v>
      </c>
      <c r="BK78" s="161">
        <f ca="1">'JACOBIAN - OIS USDOIS'!U87</f>
        <v>-1.9666839222720599E-6</v>
      </c>
      <c r="BL78" s="161">
        <f ca="1">'JACOBIAN - OIS USDOIS'!V87</f>
        <v>-1.00658813066978E-5</v>
      </c>
      <c r="BM78" s="161">
        <f ca="1">'JACOBIAN - OIS USDOIS'!W87</f>
        <v>1.3073187585810299E-6</v>
      </c>
      <c r="BN78" s="161">
        <f ca="1">'JACOBIAN - OIS USDOIS'!X87</f>
        <v>-4.4682621041403101E-5</v>
      </c>
      <c r="BO78" s="161">
        <f ca="1">'JACOBIAN - OIS USDOIS'!Y87</f>
        <v>4.8794873678481599E-5</v>
      </c>
      <c r="BP78" s="161">
        <f ca="1">'JACOBIAN - OIS USDOIS'!Z87</f>
        <v>-2.7318490080052699E-4</v>
      </c>
      <c r="BQ78" s="161">
        <f ca="1">'JACOBIAN - OIS USDOIS'!AA87</f>
        <v>1.4271068276205899E-3</v>
      </c>
      <c r="BR78" s="161">
        <f ca="1">'JACOBIAN - OIS USDOIS'!AB87</f>
        <v>1.0858278480696501E-4</v>
      </c>
      <c r="BS78" s="161">
        <f ca="1">'JACOBIAN - OIS USDOIS'!AC87</f>
        <v>-2.7475956468459E-5</v>
      </c>
      <c r="BT78" s="161">
        <f ca="1">'JACOBIAN - OIS USDOIS'!AD87</f>
        <v>4.6720352460116701E-6</v>
      </c>
      <c r="BU78">
        <f ca="1">'JACOBIAN - OIS USDOIS'!AE87</f>
        <v>9.7143938815324994E-7</v>
      </c>
      <c r="BV78">
        <f ca="1">'JACOBIAN - OIS USDOIS'!AF87</f>
        <v>3.4210373540677399E-6</v>
      </c>
      <c r="BW78">
        <f ca="1">'JACOBIAN - OIS USDOIS'!AG87</f>
        <v>1.9346757775817702E-6</v>
      </c>
      <c r="BX78">
        <f ca="1">'JACOBIAN - OIS USDOIS'!AH87</f>
        <v>9.9051612346690004E-6</v>
      </c>
      <c r="BY78">
        <f ca="1">'JACOBIAN - OIS USDOIS'!AI87</f>
        <v>-1.29435103457531E-6</v>
      </c>
      <c r="BZ78">
        <f ca="1">'JACOBIAN - OIS USDOIS'!AJ87</f>
        <v>4.39654020834013E-5</v>
      </c>
      <c r="CA78">
        <f ca="1">'JACOBIAN - OIS USDOIS'!AK87</f>
        <v>-4.8058609019352398E-5</v>
      </c>
      <c r="CB78">
        <f ca="1">'JACOBIAN - OIS USDOIS'!AL87</f>
        <v>2.6906818347649498E-4</v>
      </c>
      <c r="CC78">
        <f ca="1">'JACOBIAN - OIS USDOIS'!AM87</f>
        <v>-1.40307583769717E-3</v>
      </c>
      <c r="CD78">
        <f ca="1">'JACOBIAN - OIS USDOIS'!AN87</f>
        <v>-1.0697051149499701E-4</v>
      </c>
      <c r="CE78">
        <f ca="1">'JACOBIAN - OIS USDOIS'!AO87</f>
        <v>2.7090233539861501E-5</v>
      </c>
      <c r="CF78">
        <f ca="1">'JACOBIAN - OIS USDOIS'!AP87</f>
        <v>-4.6104840327743099E-6</v>
      </c>
      <c r="CK78" s="248">
        <f t="shared" ca="1" si="81"/>
        <v>49478</v>
      </c>
      <c r="CL78">
        <f t="shared" ca="1" si="82"/>
        <v>-8.6485531414215402E-7</v>
      </c>
      <c r="CM78">
        <f t="shared" ca="1" si="83"/>
        <v>3.14747117258207E-11</v>
      </c>
      <c r="CN78">
        <f t="shared" ca="1" si="84"/>
        <v>-1.2609491228943199E-10</v>
      </c>
      <c r="CO78">
        <f t="shared" ca="1" si="85"/>
        <v>3.3171310143131899E-10</v>
      </c>
      <c r="CP78">
        <f t="shared" ca="1" si="86"/>
        <v>-4.26537027919949E-10</v>
      </c>
      <c r="CQ78">
        <f t="shared" ca="1" si="87"/>
        <v>9.6529040316539708E-10</v>
      </c>
      <c r="CR78">
        <f t="shared" ca="1" si="88"/>
        <v>-1.42891705134929E-8</v>
      </c>
      <c r="CS78">
        <f t="shared" ca="1" si="89"/>
        <v>1.17968143031888E-8</v>
      </c>
      <c r="CT78">
        <f t="shared" ca="1" si="90"/>
        <v>-4.5423310557346497E-8</v>
      </c>
      <c r="CU78">
        <f t="shared" ca="1" si="91"/>
        <v>4.13759988715512E-7</v>
      </c>
      <c r="CV78">
        <f t="shared" ca="1" si="92"/>
        <v>-1.7770170590569699E-7</v>
      </c>
      <c r="CW78">
        <f t="shared" ca="1" si="93"/>
        <v>5.4201088062200102E-13</v>
      </c>
      <c r="CX78">
        <f t="shared" ca="1" si="94"/>
        <v>5.4201088062200102E-13</v>
      </c>
      <c r="CY78">
        <f t="shared" ca="1" si="95"/>
        <v>5.4201088062200102E-13</v>
      </c>
      <c r="CZ78">
        <f t="shared" ca="1" si="96"/>
        <v>5.4201088062200102E-13</v>
      </c>
      <c r="DA78">
        <f t="shared" ca="1" si="97"/>
        <v>5.4201088062200102E-13</v>
      </c>
      <c r="DB78" s="146">
        <v>0</v>
      </c>
      <c r="DC78" s="146">
        <v>0</v>
      </c>
      <c r="DD78" s="146">
        <v>0</v>
      </c>
      <c r="DE78" s="146">
        <v>0</v>
      </c>
      <c r="DF78" s="146">
        <v>0</v>
      </c>
      <c r="DG78" s="146">
        <v>0</v>
      </c>
      <c r="DH78" s="146">
        <v>0</v>
      </c>
      <c r="DI78" s="146">
        <v>0</v>
      </c>
      <c r="DJ78" s="146">
        <v>0</v>
      </c>
      <c r="DK78" s="146">
        <v>0</v>
      </c>
      <c r="DL78" s="146">
        <v>0</v>
      </c>
      <c r="DM78" s="146">
        <v>0</v>
      </c>
      <c r="DN78">
        <f t="shared" ca="1" si="98"/>
        <v>9.7143938815324994E-7</v>
      </c>
      <c r="DO78">
        <f t="shared" ca="1" si="99"/>
        <v>3.4210373540677399E-6</v>
      </c>
      <c r="DP78">
        <f t="shared" ca="1" si="100"/>
        <v>1.9346757775817702E-6</v>
      </c>
      <c r="DQ78">
        <f t="shared" ca="1" si="101"/>
        <v>9.9051612346690004E-6</v>
      </c>
      <c r="DR78">
        <f t="shared" ca="1" si="102"/>
        <v>-1.29435103457531E-6</v>
      </c>
      <c r="DS78">
        <f t="shared" ca="1" si="103"/>
        <v>4.39654020834013E-5</v>
      </c>
      <c r="DT78">
        <f t="shared" ca="1" si="104"/>
        <v>-4.8058609019352398E-5</v>
      </c>
      <c r="DU78">
        <f t="shared" ca="1" si="105"/>
        <v>2.6906818347649498E-4</v>
      </c>
      <c r="DV78">
        <f t="shared" ca="1" si="106"/>
        <v>-1.40307583769717E-3</v>
      </c>
      <c r="DW78">
        <f t="shared" ca="1" si="107"/>
        <v>-1.0697051149499701E-4</v>
      </c>
      <c r="DX78">
        <f t="shared" ca="1" si="108"/>
        <v>2.7090233539861501E-5</v>
      </c>
      <c r="DY78">
        <f t="shared" ca="1" si="109"/>
        <v>-4.6104840327743099E-6</v>
      </c>
      <c r="ED78" s="248">
        <f ca="1">'JACOBIAN - SWAP USD3ML'!B87</f>
        <v>49478</v>
      </c>
      <c r="EE78">
        <f ca="1">'JACOBIAN - SWAP USD3ML'!C87</f>
        <v>7.6113074176653604E-13</v>
      </c>
      <c r="EF78">
        <f ca="1">'JACOBIAN - SWAP USD3ML'!D87</f>
        <v>-5.5320443712036895E-10</v>
      </c>
      <c r="EG78">
        <f ca="1">'JACOBIAN - SWAP USD3ML'!E87</f>
        <v>1.4374588325205601E-11</v>
      </c>
      <c r="EH78">
        <f ca="1">'JACOBIAN - SWAP USD3ML'!F87</f>
        <v>7.6025991058159497E-13</v>
      </c>
      <c r="EI78">
        <f ca="1">'JACOBIAN - SWAP USD3ML'!G87</f>
        <v>-5.2818617535255202E-12</v>
      </c>
      <c r="EJ78">
        <f ca="1">'JACOBIAN - SWAP USD3ML'!H87</f>
        <v>-5.4933970566883903E-10</v>
      </c>
      <c r="EK78">
        <f ca="1">'JACOBIAN - SWAP USD3ML'!I87</f>
        <v>-5.3406236030784104E-10</v>
      </c>
      <c r="EL78">
        <f ca="1">'JACOBIAN - SWAP USD3ML'!J87</f>
        <v>-5.3244191694501504E-10</v>
      </c>
      <c r="EM78">
        <f ca="1">'JACOBIAN - SWAP USD3ML'!K87</f>
        <v>-5.3086404716573596E-10</v>
      </c>
      <c r="EN78">
        <f ca="1">'JACOBIAN - SWAP USD3ML'!L87</f>
        <v>-5.2916280038339803E-10</v>
      </c>
      <c r="EO78">
        <f ca="1">'JACOBIAN - SWAP USD3ML'!M87</f>
        <v>-5.2431450500711699E-10</v>
      </c>
      <c r="EP78">
        <f ca="1">'JACOBIAN - SWAP USD3ML'!N87</f>
        <v>-1.14170151457871E-9</v>
      </c>
      <c r="EQ78">
        <f ca="1">'JACOBIAN - SWAP USD3ML'!O87</f>
        <v>2.7659265312146601E-8</v>
      </c>
      <c r="ER78">
        <f ca="1">'JACOBIAN - SWAP USD3ML'!P87</f>
        <v>-1.3385187393188899E-7</v>
      </c>
      <c r="ES78">
        <f ca="1">'JACOBIAN - SWAP USD3ML'!Q87</f>
        <v>3.3347360872682001E-7</v>
      </c>
      <c r="ET78">
        <f ca="1">'JACOBIAN - SWAP USD3ML'!R87</f>
        <v>-2.9422911524586102E-6</v>
      </c>
      <c r="EU78">
        <f ca="1">'JACOBIAN - SWAP USD3ML'!S87</f>
        <v>1.5328040186678901E-5</v>
      </c>
      <c r="EV78">
        <f ca="1">'JACOBIAN - SWAP USD3ML'!T87</f>
        <v>-6.6667891637662403E-5</v>
      </c>
      <c r="EW78">
        <f ca="1">'JACOBIAN - SWAP USD3ML'!U87</f>
        <v>1.4870753260787199E-4</v>
      </c>
      <c r="EX78">
        <f ca="1">'JACOBIAN - SWAP USD3ML'!V87</f>
        <v>-3.2930624112016699E-4</v>
      </c>
      <c r="EY78">
        <f ca="1">'JACOBIAN - SWAP USD3ML'!W87</f>
        <v>-1.7567925097265699E-6</v>
      </c>
      <c r="EZ78">
        <f ca="1">'JACOBIAN - SWAP USD3ML'!X87</f>
        <v>4.4177089390205803E-4</v>
      </c>
      <c r="FA78">
        <f ca="1">'JACOBIAN - SWAP USD3ML'!Y87</f>
        <v>-1.3440694284159001E-4</v>
      </c>
      <c r="FB78">
        <f ca="1">'JACOBIAN - SWAP USD3ML'!Z87</f>
        <v>2.7360785725766299E-5</v>
      </c>
    </row>
    <row r="79" spans="24:158" x14ac:dyDescent="0.25">
      <c r="X79" s="258">
        <f t="shared" ca="1" si="76"/>
        <v>49569</v>
      </c>
      <c r="Y79" s="261">
        <v>0</v>
      </c>
      <c r="AA79" s="257">
        <f t="shared" ca="1" si="110"/>
        <v>49569</v>
      </c>
      <c r="AB79" s="266">
        <f t="shared" ca="1" si="77"/>
        <v>-1.2222013519758114E-3</v>
      </c>
      <c r="AC79" s="266"/>
      <c r="AD79" s="290">
        <f ca="1"/>
        <v>49569</v>
      </c>
      <c r="AE79" s="291">
        <f ca="1"/>
        <v>-1.2222013519758157E-3</v>
      </c>
      <c r="AF79" s="291" t="b">
        <f t="shared" ca="1" si="111"/>
        <v>1</v>
      </c>
      <c r="AH79" s="257">
        <f t="shared" ca="1" si="78"/>
        <v>49569</v>
      </c>
      <c r="AI79" s="260">
        <v>0</v>
      </c>
      <c r="AK79" s="290">
        <f ca="1"/>
        <v>49569</v>
      </c>
      <c r="AL79" s="291">
        <f ca="1"/>
        <v>9.8312378102177744E-5</v>
      </c>
      <c r="AM79" s="291" t="b">
        <f t="shared" ca="1" si="79"/>
        <v>1</v>
      </c>
      <c r="AO79" s="257">
        <f t="shared" ca="1" si="80"/>
        <v>49569</v>
      </c>
      <c r="AP79" s="266">
        <f t="shared" ca="1" si="112"/>
        <v>9.8312378102177473E-5</v>
      </c>
      <c r="AR79" s="248">
        <f ca="1">'JACOBIAN - OIS USDOIS'!B88</f>
        <v>49569</v>
      </c>
      <c r="AS79">
        <f ca="1">'JACOBIAN - OIS USDOIS'!C88</f>
        <v>-8.6085275119440805E-7</v>
      </c>
      <c r="AT79">
        <f ca="1">'JACOBIAN - OIS USDOIS'!D88</f>
        <v>1.9949486507187001E-11</v>
      </c>
      <c r="AU79">
        <f ca="1">'JACOBIAN - OIS USDOIS'!E88</f>
        <v>-8.0051298922967401E-11</v>
      </c>
      <c r="AV79">
        <f ca="1">'JACOBIAN - OIS USDOIS'!F88</f>
        <v>2.1040824638163299E-10</v>
      </c>
      <c r="AW79">
        <f ca="1">'JACOBIAN - OIS USDOIS'!G88</f>
        <v>-2.7039104288917299E-10</v>
      </c>
      <c r="AX79">
        <f ca="1">'JACOBIAN - OIS USDOIS'!H88</f>
        <v>6.1213301094653595E-10</v>
      </c>
      <c r="AY79">
        <f ca="1">'JACOBIAN - OIS USDOIS'!I88</f>
        <v>-1.3045048929960499E-8</v>
      </c>
      <c r="AZ79">
        <f ca="1">'JACOBIAN - OIS USDOIS'!J88</f>
        <v>7.4804566985164894E-9</v>
      </c>
      <c r="BA79">
        <f ca="1">'JACOBIAN - OIS USDOIS'!K88</f>
        <v>-2.8806315222062999E-8</v>
      </c>
      <c r="BB79">
        <f ca="1">'JACOBIAN - OIS USDOIS'!L88</f>
        <v>3.8791759315870401E-7</v>
      </c>
      <c r="BC79">
        <f ca="1">'JACOBIAN - OIS USDOIS'!M88</f>
        <v>-1.2469939247861101E-7</v>
      </c>
      <c r="BD79">
        <f ca="1">'JACOBIAN - OIS USDOIS'!N88</f>
        <v>5.3002047195605004E-13</v>
      </c>
      <c r="BE79">
        <f ca="1">'JACOBIAN - OIS USDOIS'!O88</f>
        <v>5.3002047195605004E-13</v>
      </c>
      <c r="BF79">
        <f ca="1">'JACOBIAN - OIS USDOIS'!P88</f>
        <v>5.3002047195605004E-13</v>
      </c>
      <c r="BG79">
        <f ca="1">'JACOBIAN - OIS USDOIS'!Q88</f>
        <v>5.3002047195605004E-13</v>
      </c>
      <c r="BH79">
        <f ca="1">'JACOBIAN - OIS USDOIS'!R88</f>
        <v>5.3002047195605004E-13</v>
      </c>
      <c r="BI79" s="161">
        <f ca="1">'JACOBIAN - OIS USDOIS'!S88</f>
        <v>-9.19285104594714E-7</v>
      </c>
      <c r="BJ79" s="161">
        <f ca="1">'JACOBIAN - OIS USDOIS'!T88</f>
        <v>-3.59003969485627E-6</v>
      </c>
      <c r="BK79" s="161">
        <f ca="1">'JACOBIAN - OIS USDOIS'!U88</f>
        <v>-1.5342952948138599E-6</v>
      </c>
      <c r="BL79" s="161">
        <f ca="1">'JACOBIAN - OIS USDOIS'!V88</f>
        <v>-1.1663869156186599E-5</v>
      </c>
      <c r="BM79" s="161">
        <f ca="1">'JACOBIAN - OIS USDOIS'!W88</f>
        <v>4.5378381413607701E-6</v>
      </c>
      <c r="BN79" s="161">
        <f ca="1">'JACOBIAN - OIS USDOIS'!X88</f>
        <v>-5.0561767912293797E-5</v>
      </c>
      <c r="BO79" s="161">
        <f ca="1">'JACOBIAN - OIS USDOIS'!Y88</f>
        <v>7.8236758057181901E-5</v>
      </c>
      <c r="BP79" s="161">
        <f ca="1">'JACOBIAN - OIS USDOIS'!Z88</f>
        <v>-3.5727683112230001E-4</v>
      </c>
      <c r="BQ79" s="161">
        <f ca="1">'JACOBIAN - OIS USDOIS'!AA88</f>
        <v>1.4438519763694301E-3</v>
      </c>
      <c r="BR79" s="161">
        <f ca="1">'JACOBIAN - OIS USDOIS'!AB88</f>
        <v>1.7885631179359601E-4</v>
      </c>
      <c r="BS79" s="161">
        <f ca="1">'JACOBIAN - OIS USDOIS'!AC88</f>
        <v>-4.4615147555160397E-5</v>
      </c>
      <c r="BT79" s="161">
        <f ca="1">'JACOBIAN - OIS USDOIS'!AD88</f>
        <v>7.5864968911432104E-6</v>
      </c>
      <c r="BU79">
        <f ca="1">'JACOBIAN - OIS USDOIS'!AE88</f>
        <v>9.0233817029439202E-7</v>
      </c>
      <c r="BV79">
        <f ca="1">'JACOBIAN - OIS USDOIS'!AF88</f>
        <v>3.5299219538487098E-6</v>
      </c>
      <c r="BW79">
        <f ca="1">'JACOBIAN - OIS USDOIS'!AG88</f>
        <v>1.50922386688013E-6</v>
      </c>
      <c r="BX79">
        <f ca="1">'JACOBIAN - OIS USDOIS'!AH88</f>
        <v>1.1478023686506399E-5</v>
      </c>
      <c r="BY79">
        <f ca="1">'JACOBIAN - OIS USDOIS'!AI88</f>
        <v>-4.4729392220110904E-6</v>
      </c>
      <c r="BZ79">
        <f ca="1">'JACOBIAN - OIS USDOIS'!AJ88</f>
        <v>4.97528915939238E-5</v>
      </c>
      <c r="CA79">
        <f ca="1">'JACOBIAN - OIS USDOIS'!AK88</f>
        <v>-7.7034280650534206E-5</v>
      </c>
      <c r="CB79">
        <f ca="1">'JACOBIAN - OIS USDOIS'!AL88</f>
        <v>3.5194818680883699E-4</v>
      </c>
      <c r="CC79">
        <f ca="1">'JACOBIAN - OIS USDOIS'!AM88</f>
        <v>-1.4195018620649601E-3</v>
      </c>
      <c r="CD79">
        <f ca="1">'JACOBIAN - OIS USDOIS'!AN88</f>
        <v>-1.7618461401869301E-4</v>
      </c>
      <c r="CE79">
        <f ca="1">'JACOBIAN - OIS USDOIS'!AO88</f>
        <v>4.3989790223575298E-5</v>
      </c>
      <c r="CF79">
        <f ca="1">'JACOBIAN - OIS USDOIS'!AP88</f>
        <v>-7.4865215640151899E-6</v>
      </c>
      <c r="CK79" s="248">
        <f t="shared" ca="1" si="81"/>
        <v>49569</v>
      </c>
      <c r="CL79">
        <f t="shared" ca="1" si="82"/>
        <v>-8.6085275119440805E-7</v>
      </c>
      <c r="CM79">
        <f t="shared" ca="1" si="83"/>
        <v>1.9949486507187001E-11</v>
      </c>
      <c r="CN79">
        <f t="shared" ca="1" si="84"/>
        <v>-8.0051298922967401E-11</v>
      </c>
      <c r="CO79">
        <f t="shared" ca="1" si="85"/>
        <v>2.1040824638163299E-10</v>
      </c>
      <c r="CP79">
        <f t="shared" ca="1" si="86"/>
        <v>-2.7039104288917299E-10</v>
      </c>
      <c r="CQ79">
        <f t="shared" ca="1" si="87"/>
        <v>6.1213301094653595E-10</v>
      </c>
      <c r="CR79">
        <f t="shared" ca="1" si="88"/>
        <v>-1.3045048929960499E-8</v>
      </c>
      <c r="CS79">
        <f t="shared" ca="1" si="89"/>
        <v>7.4804566985164894E-9</v>
      </c>
      <c r="CT79">
        <f t="shared" ca="1" si="90"/>
        <v>-2.8806315222062999E-8</v>
      </c>
      <c r="CU79">
        <f t="shared" ca="1" si="91"/>
        <v>3.8791759315870401E-7</v>
      </c>
      <c r="CV79">
        <f t="shared" ca="1" si="92"/>
        <v>-1.2469939247861101E-7</v>
      </c>
      <c r="CW79">
        <f t="shared" ca="1" si="93"/>
        <v>5.3002047195605004E-13</v>
      </c>
      <c r="CX79">
        <f t="shared" ca="1" si="94"/>
        <v>5.3002047195605004E-13</v>
      </c>
      <c r="CY79">
        <f t="shared" ca="1" si="95"/>
        <v>5.3002047195605004E-13</v>
      </c>
      <c r="CZ79">
        <f t="shared" ca="1" si="96"/>
        <v>5.3002047195605004E-13</v>
      </c>
      <c r="DA79">
        <f t="shared" ca="1" si="97"/>
        <v>5.3002047195605004E-13</v>
      </c>
      <c r="DB79" s="146">
        <v>0</v>
      </c>
      <c r="DC79" s="146">
        <v>0</v>
      </c>
      <c r="DD79" s="146">
        <v>0</v>
      </c>
      <c r="DE79" s="146">
        <v>0</v>
      </c>
      <c r="DF79" s="146">
        <v>0</v>
      </c>
      <c r="DG79" s="146">
        <v>0</v>
      </c>
      <c r="DH79" s="146">
        <v>0</v>
      </c>
      <c r="DI79" s="146">
        <v>0</v>
      </c>
      <c r="DJ79" s="146">
        <v>0</v>
      </c>
      <c r="DK79" s="146">
        <v>0</v>
      </c>
      <c r="DL79" s="146">
        <v>0</v>
      </c>
      <c r="DM79" s="146">
        <v>0</v>
      </c>
      <c r="DN79">
        <f t="shared" ca="1" si="98"/>
        <v>9.0233817029439202E-7</v>
      </c>
      <c r="DO79">
        <f t="shared" ca="1" si="99"/>
        <v>3.5299219538487098E-6</v>
      </c>
      <c r="DP79">
        <f t="shared" ca="1" si="100"/>
        <v>1.50922386688013E-6</v>
      </c>
      <c r="DQ79">
        <f t="shared" ca="1" si="101"/>
        <v>1.1478023686506399E-5</v>
      </c>
      <c r="DR79">
        <f t="shared" ca="1" si="102"/>
        <v>-4.4729392220110904E-6</v>
      </c>
      <c r="DS79">
        <f t="shared" ca="1" si="103"/>
        <v>4.97528915939238E-5</v>
      </c>
      <c r="DT79">
        <f t="shared" ca="1" si="104"/>
        <v>-7.7034280650534206E-5</v>
      </c>
      <c r="DU79">
        <f t="shared" ca="1" si="105"/>
        <v>3.5194818680883699E-4</v>
      </c>
      <c r="DV79">
        <f t="shared" ca="1" si="106"/>
        <v>-1.4195018620649601E-3</v>
      </c>
      <c r="DW79">
        <f t="shared" ca="1" si="107"/>
        <v>-1.7618461401869301E-4</v>
      </c>
      <c r="DX79">
        <f t="shared" ca="1" si="108"/>
        <v>4.3989790223575298E-5</v>
      </c>
      <c r="DY79">
        <f t="shared" ca="1" si="109"/>
        <v>-7.4865215640151899E-6</v>
      </c>
      <c r="ED79" s="248">
        <f ca="1">'JACOBIAN - SWAP USD3ML'!B88</f>
        <v>49569</v>
      </c>
      <c r="EE79">
        <f ca="1">'JACOBIAN - SWAP USD3ML'!C88</f>
        <v>8.4416154622069003E-13</v>
      </c>
      <c r="EF79">
        <f ca="1">'JACOBIAN - SWAP USD3ML'!D88</f>
        <v>-4.2710274900103998E-10</v>
      </c>
      <c r="EG79">
        <f ca="1">'JACOBIAN - SWAP USD3ML'!E88</f>
        <v>1.5719293922078499E-11</v>
      </c>
      <c r="EH79">
        <f ca="1">'JACOBIAN - SWAP USD3ML'!F88</f>
        <v>8.4328377614184496E-13</v>
      </c>
      <c r="EI79">
        <f ca="1">'JACOBIAN - SWAP USD3ML'!G88</f>
        <v>-3.8184837236609996E-12</v>
      </c>
      <c r="EJ79">
        <f ca="1">'JACOBIAN - SWAP USD3ML'!H88</f>
        <v>-4.2354252050014201E-10</v>
      </c>
      <c r="EK79">
        <f ca="1">'JACOBIAN - SWAP USD3ML'!I88</f>
        <v>-4.0748503529752799E-10</v>
      </c>
      <c r="EL79">
        <f ca="1">'JACOBIAN - SWAP USD3ML'!J88</f>
        <v>-4.0629565684069401E-10</v>
      </c>
      <c r="EM79">
        <f ca="1">'JACOBIAN - SWAP USD3ML'!K88</f>
        <v>-4.0512999552322302E-10</v>
      </c>
      <c r="EN79">
        <f ca="1">'JACOBIAN - SWAP USD3ML'!L88</f>
        <v>-4.0381588004012602E-10</v>
      </c>
      <c r="EO79">
        <f ca="1">'JACOBIAN - SWAP USD3ML'!M88</f>
        <v>-4.00130917982411E-10</v>
      </c>
      <c r="EP79">
        <f ca="1">'JACOBIAN - SWAP USD3ML'!N88</f>
        <v>-8.7275856680557595E-10</v>
      </c>
      <c r="EQ79">
        <f ca="1">'JACOBIAN - SWAP USD3ML'!O88</f>
        <v>2.11444672777727E-8</v>
      </c>
      <c r="ER79">
        <f ca="1">'JACOBIAN - SWAP USD3ML'!P88</f>
        <v>-1.0232301072415901E-7</v>
      </c>
      <c r="ES79">
        <f ca="1">'JACOBIAN - SWAP USD3ML'!Q88</f>
        <v>2.5492493830117599E-7</v>
      </c>
      <c r="ET79">
        <f ca="1">'JACOBIAN - SWAP USD3ML'!R88</f>
        <v>-2.24924105538329E-6</v>
      </c>
      <c r="EU79">
        <f ca="1">'JACOBIAN - SWAP USD3ML'!S88</f>
        <v>1.1717543434881799E-5</v>
      </c>
      <c r="EV79">
        <f ca="1">'JACOBIAN - SWAP USD3ML'!T88</f>
        <v>-5.0964591427060702E-5</v>
      </c>
      <c r="EW79">
        <f ca="1">'JACOBIAN - SWAP USD3ML'!U88</f>
        <v>1.13678914556003E-4</v>
      </c>
      <c r="EX79">
        <f ca="1">'JACOBIAN - SWAP USD3ML'!V88</f>
        <v>-2.5174320562566501E-4</v>
      </c>
      <c r="EY79">
        <f ca="1">'JACOBIAN - SWAP USD3ML'!W88</f>
        <v>-1.00760536615879E-4</v>
      </c>
      <c r="EZ79">
        <f ca="1">'JACOBIAN - SWAP USD3ML'!X88</f>
        <v>4.9345636346559798E-4</v>
      </c>
      <c r="FA79">
        <f ca="1">'JACOBIAN - SWAP USD3ML'!Y88</f>
        <v>-1.4438484188645701E-4</v>
      </c>
      <c r="FB79">
        <f ca="1">'JACOBIAN - SWAP USD3ML'!Z88</f>
        <v>2.9391959534351399E-5</v>
      </c>
    </row>
    <row r="80" spans="24:158" x14ac:dyDescent="0.25">
      <c r="X80" s="258">
        <f t="shared" ca="1" si="76"/>
        <v>49660</v>
      </c>
      <c r="Y80" s="261">
        <v>0</v>
      </c>
      <c r="AA80" s="257">
        <f t="shared" ca="1" si="110"/>
        <v>49660</v>
      </c>
      <c r="AB80" s="266">
        <f t="shared" ca="1" si="77"/>
        <v>-1.2359447668583961E-3</v>
      </c>
      <c r="AC80" s="266"/>
      <c r="AD80" s="290">
        <f ca="1"/>
        <v>49660</v>
      </c>
      <c r="AE80" s="291">
        <f ca="1"/>
        <v>-1.2359447668583989E-3</v>
      </c>
      <c r="AF80" s="291" t="b">
        <f t="shared" ca="1" si="111"/>
        <v>1</v>
      </c>
      <c r="AH80" s="257">
        <f t="shared" ca="1" si="78"/>
        <v>49660</v>
      </c>
      <c r="AI80" s="260">
        <v>0</v>
      </c>
      <c r="AK80" s="290">
        <f ca="1"/>
        <v>49660</v>
      </c>
      <c r="AL80" s="291">
        <f ca="1"/>
        <v>9.8323930224922251E-5</v>
      </c>
      <c r="AM80" s="291" t="b">
        <f t="shared" ca="1" si="79"/>
        <v>1</v>
      </c>
      <c r="AO80" s="257">
        <f t="shared" ca="1" si="80"/>
        <v>49660</v>
      </c>
      <c r="AP80" s="266">
        <f t="shared" ca="1" si="112"/>
        <v>9.8323930224922888E-5</v>
      </c>
      <c r="AR80" s="248">
        <f ca="1">'JACOBIAN - OIS USDOIS'!B89</f>
        <v>49660</v>
      </c>
      <c r="AS80">
        <f ca="1">'JACOBIAN - OIS USDOIS'!C89</f>
        <v>-8.5686209694291204E-7</v>
      </c>
      <c r="AT80">
        <f ca="1">'JACOBIAN - OIS USDOIS'!D89</f>
        <v>1.0842549080791699E-11</v>
      </c>
      <c r="AU80">
        <f ca="1">'JACOBIAN - OIS USDOIS'!E89</f>
        <v>-4.3666625870741901E-11</v>
      </c>
      <c r="AV80">
        <f ca="1">'JACOBIAN - OIS USDOIS'!F89</f>
        <v>1.1455247861391601E-10</v>
      </c>
      <c r="AW80">
        <f ca="1">'JACOBIAN - OIS USDOIS'!G89</f>
        <v>-1.4699985673161101E-10</v>
      </c>
      <c r="AX80">
        <f ca="1">'JACOBIAN - OIS USDOIS'!H89</f>
        <v>3.33062244450844E-10</v>
      </c>
      <c r="AY80">
        <f ca="1">'JACOBIAN - OIS USDOIS'!I89</f>
        <v>-1.2050155429044199E-8</v>
      </c>
      <c r="AZ80">
        <f ca="1">'JACOBIAN - OIS USDOIS'!J89</f>
        <v>4.0695780079147401E-9</v>
      </c>
      <c r="BA80">
        <f ca="1">'JACOBIAN - OIS USDOIS'!K89</f>
        <v>-1.56752067992372E-8</v>
      </c>
      <c r="BB80">
        <f ca="1">'JACOBIAN - OIS USDOIS'!L89</f>
        <v>3.6733083574880302E-7</v>
      </c>
      <c r="BC80">
        <f ca="1">'JACOBIAN - OIS USDOIS'!M89</f>
        <v>-8.2780397092641094E-8</v>
      </c>
      <c r="BD80">
        <f ca="1">'JACOBIAN - OIS USDOIS'!N89</f>
        <v>5.1758597408024798E-13</v>
      </c>
      <c r="BE80">
        <f ca="1">'JACOBIAN - OIS USDOIS'!O89</f>
        <v>5.1758597408024798E-13</v>
      </c>
      <c r="BF80">
        <f ca="1">'JACOBIAN - OIS USDOIS'!P89</f>
        <v>5.1758597408024798E-13</v>
      </c>
      <c r="BG80">
        <f ca="1">'JACOBIAN - OIS USDOIS'!Q89</f>
        <v>5.1758597408024798E-13</v>
      </c>
      <c r="BH80">
        <f ca="1">'JACOBIAN - OIS USDOIS'!R89</f>
        <v>5.1758597408024798E-13</v>
      </c>
      <c r="BI80" s="161">
        <f ca="1">'JACOBIAN - OIS USDOIS'!S89</f>
        <v>-8.6330188120431504E-7</v>
      </c>
      <c r="BJ80" s="161">
        <f ca="1">'JACOBIAN - OIS USDOIS'!T89</f>
        <v>-3.67588502958593E-6</v>
      </c>
      <c r="BK80" s="161">
        <f ca="1">'JACOBIAN - OIS USDOIS'!U89</f>
        <v>-1.19161264811041E-6</v>
      </c>
      <c r="BL80" s="161">
        <f ca="1">'JACOBIAN - OIS USDOIS'!V89</f>
        <v>-1.29241049515727E-5</v>
      </c>
      <c r="BM80" s="161">
        <f ca="1">'JACOBIAN - OIS USDOIS'!W89</f>
        <v>7.0941999019691304E-6</v>
      </c>
      <c r="BN80" s="161">
        <f ca="1">'JACOBIAN - OIS USDOIS'!X89</f>
        <v>-5.51952286619306E-5</v>
      </c>
      <c r="BO80" s="161">
        <f ca="1">'JACOBIAN - OIS USDOIS'!Y89</f>
        <v>1.0151815285997E-4</v>
      </c>
      <c r="BP80" s="161">
        <f ca="1">'JACOBIAN - OIS USDOIS'!Z89</f>
        <v>-4.2370589311602203E-4</v>
      </c>
      <c r="BQ80" s="161">
        <f ca="1">'JACOBIAN - OIS USDOIS'!AA89</f>
        <v>1.43968211992085E-3</v>
      </c>
      <c r="BR80" s="161">
        <f ca="1">'JACOBIAN - OIS USDOIS'!AB89</f>
        <v>2.5887596013052201E-4</v>
      </c>
      <c r="BS80" s="161">
        <f ca="1">'JACOBIAN - OIS USDOIS'!AC89</f>
        <v>-6.3396766363243997E-5</v>
      </c>
      <c r="BT80" s="161">
        <f ca="1">'JACOBIAN - OIS USDOIS'!AD89</f>
        <v>1.07803360299696E-5</v>
      </c>
      <c r="BU80">
        <f ca="1">'JACOBIAN - OIS USDOIS'!AE89</f>
        <v>8.4736925354267399E-7</v>
      </c>
      <c r="BV80">
        <f ca="1">'JACOBIAN - OIS USDOIS'!AF89</f>
        <v>3.6143410523381501E-6</v>
      </c>
      <c r="BW80">
        <f ca="1">'JACOBIAN - OIS USDOIS'!AG89</f>
        <v>1.17203896377038E-6</v>
      </c>
      <c r="BX80">
        <f ca="1">'JACOBIAN - OIS USDOIS'!AH89</f>
        <v>1.27184502564104E-5</v>
      </c>
      <c r="BY80">
        <f ca="1">'JACOBIAN - OIS USDOIS'!AI89</f>
        <v>-6.9881849176223199E-6</v>
      </c>
      <c r="BZ80">
        <f ca="1">'JACOBIAN - OIS USDOIS'!AJ89</f>
        <v>5.4314191949123001E-5</v>
      </c>
      <c r="CA80">
        <f ca="1">'JACOBIAN - OIS USDOIS'!AK89</f>
        <v>-9.9945423432945505E-5</v>
      </c>
      <c r="CB80">
        <f ca="1">'JACOBIAN - OIS USDOIS'!AL89</f>
        <v>4.1743309336317303E-4</v>
      </c>
      <c r="CC80">
        <f ca="1">'JACOBIAN - OIS USDOIS'!AM89</f>
        <v>-1.4154038883371601E-3</v>
      </c>
      <c r="CD80">
        <f ca="1">'JACOBIAN - OIS USDOIS'!AN89</f>
        <v>-2.5498250854716402E-4</v>
      </c>
      <c r="CE80">
        <f ca="1">'JACOBIAN - OIS USDOIS'!AO89</f>
        <v>6.2509678757982593E-5</v>
      </c>
      <c r="CF80">
        <f ca="1">'JACOBIAN - OIS USDOIS'!AP89</f>
        <v>-1.06382281560569E-5</v>
      </c>
      <c r="CK80" s="248">
        <f t="shared" ca="1" si="81"/>
        <v>49660</v>
      </c>
      <c r="CL80">
        <f t="shared" ca="1" si="82"/>
        <v>-8.5686209694291204E-7</v>
      </c>
      <c r="CM80">
        <f t="shared" ca="1" si="83"/>
        <v>1.0842549080791699E-11</v>
      </c>
      <c r="CN80">
        <f t="shared" ca="1" si="84"/>
        <v>-4.3666625870741901E-11</v>
      </c>
      <c r="CO80">
        <f t="shared" ca="1" si="85"/>
        <v>1.1455247861391601E-10</v>
      </c>
      <c r="CP80">
        <f t="shared" ca="1" si="86"/>
        <v>-1.4699985673161101E-10</v>
      </c>
      <c r="CQ80">
        <f t="shared" ca="1" si="87"/>
        <v>3.33062244450844E-10</v>
      </c>
      <c r="CR80">
        <f t="shared" ca="1" si="88"/>
        <v>-1.2050155429044199E-8</v>
      </c>
      <c r="CS80">
        <f t="shared" ca="1" si="89"/>
        <v>4.0695780079147401E-9</v>
      </c>
      <c r="CT80">
        <f t="shared" ca="1" si="90"/>
        <v>-1.56752067992372E-8</v>
      </c>
      <c r="CU80">
        <f t="shared" ca="1" si="91"/>
        <v>3.6733083574880302E-7</v>
      </c>
      <c r="CV80">
        <f t="shared" ca="1" si="92"/>
        <v>-8.2780397092641094E-8</v>
      </c>
      <c r="CW80">
        <f t="shared" ca="1" si="93"/>
        <v>5.1758597408024798E-13</v>
      </c>
      <c r="CX80">
        <f t="shared" ca="1" si="94"/>
        <v>5.1758597408024798E-13</v>
      </c>
      <c r="CY80">
        <f t="shared" ca="1" si="95"/>
        <v>5.1758597408024798E-13</v>
      </c>
      <c r="CZ80">
        <f t="shared" ca="1" si="96"/>
        <v>5.1758597408024798E-13</v>
      </c>
      <c r="DA80">
        <f t="shared" ca="1" si="97"/>
        <v>5.1758597408024798E-13</v>
      </c>
      <c r="DB80" s="146">
        <v>0</v>
      </c>
      <c r="DC80" s="146">
        <v>0</v>
      </c>
      <c r="DD80" s="146">
        <v>0</v>
      </c>
      <c r="DE80" s="146">
        <v>0</v>
      </c>
      <c r="DF80" s="146">
        <v>0</v>
      </c>
      <c r="DG80" s="146">
        <v>0</v>
      </c>
      <c r="DH80" s="146">
        <v>0</v>
      </c>
      <c r="DI80" s="146">
        <v>0</v>
      </c>
      <c r="DJ80" s="146">
        <v>0</v>
      </c>
      <c r="DK80" s="146">
        <v>0</v>
      </c>
      <c r="DL80" s="146">
        <v>0</v>
      </c>
      <c r="DM80" s="146">
        <v>0</v>
      </c>
      <c r="DN80">
        <f t="shared" ca="1" si="98"/>
        <v>8.4736925354267399E-7</v>
      </c>
      <c r="DO80">
        <f t="shared" ca="1" si="99"/>
        <v>3.6143410523381501E-6</v>
      </c>
      <c r="DP80">
        <f t="shared" ca="1" si="100"/>
        <v>1.17203896377038E-6</v>
      </c>
      <c r="DQ80">
        <f t="shared" ca="1" si="101"/>
        <v>1.27184502564104E-5</v>
      </c>
      <c r="DR80">
        <f t="shared" ca="1" si="102"/>
        <v>-6.9881849176223199E-6</v>
      </c>
      <c r="DS80">
        <f t="shared" ca="1" si="103"/>
        <v>5.4314191949123001E-5</v>
      </c>
      <c r="DT80">
        <f t="shared" ca="1" si="104"/>
        <v>-9.9945423432945505E-5</v>
      </c>
      <c r="DU80">
        <f t="shared" ca="1" si="105"/>
        <v>4.1743309336317303E-4</v>
      </c>
      <c r="DV80">
        <f t="shared" ca="1" si="106"/>
        <v>-1.4154038883371601E-3</v>
      </c>
      <c r="DW80">
        <f t="shared" ca="1" si="107"/>
        <v>-2.5498250854716402E-4</v>
      </c>
      <c r="DX80">
        <f t="shared" ca="1" si="108"/>
        <v>6.2509678757982593E-5</v>
      </c>
      <c r="DY80">
        <f t="shared" ca="1" si="109"/>
        <v>-1.06382281560569E-5</v>
      </c>
      <c r="ED80" s="248">
        <f ca="1">'JACOBIAN - SWAP USD3ML'!B89</f>
        <v>49660</v>
      </c>
      <c r="EE80">
        <f ca="1">'JACOBIAN - SWAP USD3ML'!C89</f>
        <v>9.1706850446904298E-13</v>
      </c>
      <c r="EF80">
        <f ca="1">'JACOBIAN - SWAP USD3ML'!D89</f>
        <v>-3.1016156656904503E-10</v>
      </c>
      <c r="EG80">
        <f ca="1">'JACOBIAN - SWAP USD3ML'!E89</f>
        <v>1.6876170599866601E-11</v>
      </c>
      <c r="EH80">
        <f ca="1">'JACOBIAN - SWAP USD3ML'!F89</f>
        <v>9.1619073439019892E-13</v>
      </c>
      <c r="EI80">
        <f ca="1">'JACOBIAN - SWAP USD3ML'!G89</f>
        <v>-2.4639630613609902E-12</v>
      </c>
      <c r="EJ80">
        <f ca="1">'JACOBIAN - SWAP USD3ML'!H89</f>
        <v>-3.0689297284003401E-10</v>
      </c>
      <c r="EK80">
        <f ca="1">'JACOBIAN - SWAP USD3ML'!I89</f>
        <v>-2.9019688041476102E-10</v>
      </c>
      <c r="EL80">
        <f ca="1">'JACOBIAN - SWAP USD3ML'!J89</f>
        <v>-2.8940542323718798E-10</v>
      </c>
      <c r="EM80">
        <f ca="1">'JACOBIAN - SWAP USD3ML'!K89</f>
        <v>-2.8862011738906002E-10</v>
      </c>
      <c r="EN80">
        <f ca="1">'JACOBIAN - SWAP USD3ML'!L89</f>
        <v>-2.8766615478570401E-10</v>
      </c>
      <c r="EO80">
        <f ca="1">'JACOBIAN - SWAP USD3ML'!M89</f>
        <v>-2.8505813334800401E-10</v>
      </c>
      <c r="EP80">
        <f ca="1">'JACOBIAN - SWAP USD3ML'!N89</f>
        <v>-6.2352321222869399E-10</v>
      </c>
      <c r="EQ80">
        <f ca="1">'JACOBIAN - SWAP USD3ML'!O89</f>
        <v>1.5107040892553501E-8</v>
      </c>
      <c r="ER80">
        <f ca="1">'JACOBIAN - SWAP USD3ML'!P89</f>
        <v>-7.3104453480327099E-8</v>
      </c>
      <c r="ES80">
        <f ca="1">'JACOBIAN - SWAP USD3ML'!Q89</f>
        <v>1.82131983338801E-7</v>
      </c>
      <c r="ET80">
        <f ca="1">'JACOBIAN - SWAP USD3ML'!R89</f>
        <v>-1.60697466147081E-6</v>
      </c>
      <c r="EU80">
        <f ca="1">'JACOBIAN - SWAP USD3ML'!S89</f>
        <v>8.3716121727153703E-6</v>
      </c>
      <c r="EV80">
        <f ca="1">'JACOBIAN - SWAP USD3ML'!T89</f>
        <v>-3.6411901477260998E-5</v>
      </c>
      <c r="EW80">
        <f ca="1">'JACOBIAN - SWAP USD3ML'!U89</f>
        <v>8.1217356916279306E-5</v>
      </c>
      <c r="EX80">
        <f ca="1">'JACOBIAN - SWAP USD3ML'!V89</f>
        <v>-1.7986215052982399E-4</v>
      </c>
      <c r="EY80">
        <f ca="1">'JACOBIAN - SWAP USD3ML'!W89</f>
        <v>-1.90805098672184E-4</v>
      </c>
      <c r="EZ80">
        <f ca="1">'JACOBIAN - SWAP USD3ML'!X89</f>
        <v>5.3617626872634301E-4</v>
      </c>
      <c r="FA80">
        <f ca="1">'JACOBIAN - SWAP USD3ML'!Y89</f>
        <v>-1.49261263252504E-4</v>
      </c>
      <c r="FB80">
        <f ca="1">'JACOBIAN - SWAP USD3ML'!Z89</f>
        <v>3.0384611711072E-5</v>
      </c>
    </row>
    <row r="81" spans="24:158" x14ac:dyDescent="0.25">
      <c r="X81" s="258">
        <f t="shared" ca="1" si="76"/>
        <v>49751</v>
      </c>
      <c r="Y81" s="261">
        <v>0</v>
      </c>
      <c r="AA81" s="257">
        <f t="shared" ca="1" si="110"/>
        <v>49751</v>
      </c>
      <c r="AB81" s="266">
        <f t="shared" ca="1" si="77"/>
        <v>-1.2495608996380115E-3</v>
      </c>
      <c r="AC81" s="266"/>
      <c r="AD81" s="290">
        <f ca="1"/>
        <v>49751</v>
      </c>
      <c r="AE81" s="291">
        <f ca="1"/>
        <v>-1.2495608996380136E-3</v>
      </c>
      <c r="AF81" s="291" t="b">
        <f t="shared" ca="1" si="111"/>
        <v>1</v>
      </c>
      <c r="AH81" s="257">
        <f t="shared" ca="1" si="78"/>
        <v>49751</v>
      </c>
      <c r="AI81" s="260">
        <v>0</v>
      </c>
      <c r="AK81" s="290">
        <f ca="1"/>
        <v>49751</v>
      </c>
      <c r="AL81" s="291">
        <f ca="1"/>
        <v>9.834292703229594E-5</v>
      </c>
      <c r="AM81" s="291" t="b">
        <f t="shared" ca="1" si="79"/>
        <v>1</v>
      </c>
      <c r="AO81" s="257">
        <f t="shared" ca="1" si="80"/>
        <v>49751</v>
      </c>
      <c r="AP81" s="266">
        <f t="shared" ca="1" si="112"/>
        <v>9.8342927032295995E-5</v>
      </c>
      <c r="AR81" s="248">
        <f ca="1">'JACOBIAN - OIS USDOIS'!B90</f>
        <v>49751</v>
      </c>
      <c r="AS81">
        <f ca="1">'JACOBIAN - OIS USDOIS'!C90</f>
        <v>-8.5288441342701304E-7</v>
      </c>
      <c r="AT81">
        <f ca="1">'JACOBIAN - OIS USDOIS'!D90</f>
        <v>4.0338843376730397E-12</v>
      </c>
      <c r="AU81">
        <f ca="1">'JACOBIAN - OIS USDOIS'!E90</f>
        <v>-1.6462720076049199E-11</v>
      </c>
      <c r="AV81">
        <f ca="1">'JACOBIAN - OIS USDOIS'!F90</f>
        <v>4.2885028861405798E-11</v>
      </c>
      <c r="AW81">
        <f ca="1">'JACOBIAN - OIS USDOIS'!G90</f>
        <v>-5.4741322585982698E-11</v>
      </c>
      <c r="AX81">
        <f ca="1">'JACOBIAN - OIS USDOIS'!H90</f>
        <v>1.2440881658193299E-10</v>
      </c>
      <c r="AY81">
        <f ca="1">'JACOBIAN - OIS USDOIS'!I90</f>
        <v>-1.12922632355961E-8</v>
      </c>
      <c r="AZ81">
        <f ca="1">'JACOBIAN - OIS USDOIS'!J90</f>
        <v>1.5193332147944699E-9</v>
      </c>
      <c r="BA81">
        <f ca="1">'JACOBIAN - OIS USDOIS'!K90</f>
        <v>-5.8573426109376198E-9</v>
      </c>
      <c r="BB81">
        <f ca="1">'JACOBIAN - OIS USDOIS'!L90</f>
        <v>3.5174018842010202E-7</v>
      </c>
      <c r="BC81">
        <f ca="1">'JACOBIAN - OIS USDOIS'!M90</f>
        <v>-5.1396157108030099E-8</v>
      </c>
      <c r="BD81">
        <f ca="1">'JACOBIAN - OIS USDOIS'!N90</f>
        <v>5.0448534238967103E-13</v>
      </c>
      <c r="BE81">
        <f ca="1">'JACOBIAN - OIS USDOIS'!O90</f>
        <v>5.0448534238967103E-13</v>
      </c>
      <c r="BF81">
        <f ca="1">'JACOBIAN - OIS USDOIS'!P90</f>
        <v>5.0448534238967103E-13</v>
      </c>
      <c r="BG81">
        <f ca="1">'JACOBIAN - OIS USDOIS'!Q90</f>
        <v>5.0448534238967103E-13</v>
      </c>
      <c r="BH81">
        <f ca="1">'JACOBIAN - OIS USDOIS'!R90</f>
        <v>5.0448534238967103E-13</v>
      </c>
      <c r="BI81" s="161">
        <f ca="1">'JACOBIAN - OIS USDOIS'!S90</f>
        <v>-8.2100031417731103E-7</v>
      </c>
      <c r="BJ81" s="161">
        <f ca="1">'JACOBIAN - OIS USDOIS'!T90</f>
        <v>-3.7380893938010499E-6</v>
      </c>
      <c r="BK81" s="161">
        <f ca="1">'JACOBIAN - OIS USDOIS'!U90</f>
        <v>-9.3420291025214705E-7</v>
      </c>
      <c r="BL81" s="161">
        <f ca="1">'JACOBIAN - OIS USDOIS'!V90</f>
        <v>-1.38632927674243E-5</v>
      </c>
      <c r="BM81" s="161">
        <f ca="1">'JACOBIAN - OIS USDOIS'!W90</f>
        <v>9.0097018718981997E-6</v>
      </c>
      <c r="BN81" s="161">
        <f ca="1">'JACOBIAN - OIS USDOIS'!X90</f>
        <v>-5.8644634277182903E-5</v>
      </c>
      <c r="BO81" s="161">
        <f ca="1">'JACOBIAN - OIS USDOIS'!Y90</f>
        <v>1.18942969608016E-4</v>
      </c>
      <c r="BP81" s="161">
        <f ca="1">'JACOBIAN - OIS USDOIS'!Z90</f>
        <v>-4.7334914458396798E-4</v>
      </c>
      <c r="BQ81" s="161">
        <f ca="1">'JACOBIAN - OIS USDOIS'!AA90</f>
        <v>1.4159287311299501E-3</v>
      </c>
      <c r="BR81" s="161">
        <f ca="1">'JACOBIAN - OIS USDOIS'!AB90</f>
        <v>3.4740810490252499E-4</v>
      </c>
      <c r="BS81" s="161">
        <f ca="1">'JACOBIAN - OIS USDOIS'!AC90</f>
        <v>-8.3195866249385894E-5</v>
      </c>
      <c r="BT81" s="161">
        <f ca="1">'JACOBIAN - OIS USDOIS'!AD90</f>
        <v>1.41473001449288E-5</v>
      </c>
      <c r="BU81">
        <f ca="1">'JACOBIAN - OIS USDOIS'!AE90</f>
        <v>8.05834260986238E-7</v>
      </c>
      <c r="BV81">
        <f ca="1">'JACOBIAN - OIS USDOIS'!AF90</f>
        <v>3.67551219193629E-6</v>
      </c>
      <c r="BW81">
        <f ca="1">'JACOBIAN - OIS USDOIS'!AG90</f>
        <v>9.1875891139459E-7</v>
      </c>
      <c r="BX81">
        <f ca="1">'JACOBIAN - OIS USDOIS'!AH90</f>
        <v>1.36428791647214E-5</v>
      </c>
      <c r="BY81">
        <f ca="1">'JACOBIAN - OIS USDOIS'!AI90</f>
        <v>-8.8728632846590793E-6</v>
      </c>
      <c r="BZ81">
        <f ca="1">'JACOBIAN - OIS USDOIS'!AJ90</f>
        <v>5.7709929401128499E-5</v>
      </c>
      <c r="CA81">
        <f ca="1">'JACOBIAN - OIS USDOIS'!AK90</f>
        <v>-1.17092179138911E-4</v>
      </c>
      <c r="CB81">
        <f ca="1">'JACOBIAN - OIS USDOIS'!AL90</f>
        <v>4.6637869685572898E-4</v>
      </c>
      <c r="CC81">
        <f ca="1">'JACOBIAN - OIS USDOIS'!AM90</f>
        <v>-1.3920888808999199E-3</v>
      </c>
      <c r="CD81">
        <f ca="1">'JACOBIAN - OIS USDOIS'!AN90</f>
        <v>-3.42143635038483E-4</v>
      </c>
      <c r="CE81">
        <f ca="1">'JACOBIAN - OIS USDOIS'!AO90</f>
        <v>8.2033863065156295E-5</v>
      </c>
      <c r="CF81">
        <f ca="1">'JACOBIAN - OIS USDOIS'!AP90</f>
        <v>-1.39607471184577E-5</v>
      </c>
      <c r="CK81" s="248">
        <f t="shared" ca="1" si="81"/>
        <v>49751</v>
      </c>
      <c r="CL81">
        <f t="shared" ca="1" si="82"/>
        <v>-8.5288441342701304E-7</v>
      </c>
      <c r="CM81">
        <f t="shared" ca="1" si="83"/>
        <v>4.0338843376730397E-12</v>
      </c>
      <c r="CN81">
        <f t="shared" ca="1" si="84"/>
        <v>-1.6462720076049199E-11</v>
      </c>
      <c r="CO81">
        <f t="shared" ca="1" si="85"/>
        <v>4.2885028861405798E-11</v>
      </c>
      <c r="CP81">
        <f t="shared" ca="1" si="86"/>
        <v>-5.4741322585982698E-11</v>
      </c>
      <c r="CQ81">
        <f t="shared" ca="1" si="87"/>
        <v>1.2440881658193299E-10</v>
      </c>
      <c r="CR81">
        <f t="shared" ca="1" si="88"/>
        <v>-1.12922632355961E-8</v>
      </c>
      <c r="CS81">
        <f t="shared" ca="1" si="89"/>
        <v>1.5193332147944699E-9</v>
      </c>
      <c r="CT81">
        <f t="shared" ca="1" si="90"/>
        <v>-5.8573426109376198E-9</v>
      </c>
      <c r="CU81">
        <f t="shared" ca="1" si="91"/>
        <v>3.5174018842010202E-7</v>
      </c>
      <c r="CV81">
        <f t="shared" ca="1" si="92"/>
        <v>-5.1396157108030099E-8</v>
      </c>
      <c r="CW81">
        <f t="shared" ca="1" si="93"/>
        <v>5.0448534238967103E-13</v>
      </c>
      <c r="CX81">
        <f t="shared" ca="1" si="94"/>
        <v>5.0448534238967103E-13</v>
      </c>
      <c r="CY81">
        <f t="shared" ca="1" si="95"/>
        <v>5.0448534238967103E-13</v>
      </c>
      <c r="CZ81">
        <f t="shared" ca="1" si="96"/>
        <v>5.0448534238967103E-13</v>
      </c>
      <c r="DA81">
        <f t="shared" ca="1" si="97"/>
        <v>5.0448534238967103E-13</v>
      </c>
      <c r="DB81" s="146">
        <v>0</v>
      </c>
      <c r="DC81" s="146">
        <v>0</v>
      </c>
      <c r="DD81" s="146">
        <v>0</v>
      </c>
      <c r="DE81" s="146">
        <v>0</v>
      </c>
      <c r="DF81" s="146">
        <v>0</v>
      </c>
      <c r="DG81" s="146">
        <v>0</v>
      </c>
      <c r="DH81" s="146">
        <v>0</v>
      </c>
      <c r="DI81" s="146">
        <v>0</v>
      </c>
      <c r="DJ81" s="146">
        <v>0</v>
      </c>
      <c r="DK81" s="146">
        <v>0</v>
      </c>
      <c r="DL81" s="146">
        <v>0</v>
      </c>
      <c r="DM81" s="146">
        <v>0</v>
      </c>
      <c r="DN81">
        <f t="shared" ca="1" si="98"/>
        <v>8.05834260986238E-7</v>
      </c>
      <c r="DO81">
        <f t="shared" ca="1" si="99"/>
        <v>3.67551219193629E-6</v>
      </c>
      <c r="DP81">
        <f t="shared" ca="1" si="100"/>
        <v>9.1875891139459E-7</v>
      </c>
      <c r="DQ81">
        <f t="shared" ca="1" si="101"/>
        <v>1.36428791647214E-5</v>
      </c>
      <c r="DR81">
        <f t="shared" ca="1" si="102"/>
        <v>-8.8728632846590793E-6</v>
      </c>
      <c r="DS81">
        <f t="shared" ca="1" si="103"/>
        <v>5.7709929401128499E-5</v>
      </c>
      <c r="DT81">
        <f t="shared" ca="1" si="104"/>
        <v>-1.17092179138911E-4</v>
      </c>
      <c r="DU81">
        <f t="shared" ca="1" si="105"/>
        <v>4.6637869685572898E-4</v>
      </c>
      <c r="DV81">
        <f t="shared" ca="1" si="106"/>
        <v>-1.3920888808999199E-3</v>
      </c>
      <c r="DW81">
        <f t="shared" ca="1" si="107"/>
        <v>-3.42143635038483E-4</v>
      </c>
      <c r="DX81">
        <f t="shared" ca="1" si="108"/>
        <v>8.2033863065156295E-5</v>
      </c>
      <c r="DY81">
        <f t="shared" ca="1" si="109"/>
        <v>-1.39607471184577E-5</v>
      </c>
      <c r="ED81" s="248">
        <f ca="1">'JACOBIAN - SWAP USD3ML'!B90</f>
        <v>49751</v>
      </c>
      <c r="EE81">
        <f ca="1">'JACOBIAN - SWAP USD3ML'!C90</f>
        <v>9.8008753890432802E-13</v>
      </c>
      <c r="EF81">
        <f ca="1">'JACOBIAN - SWAP USD3ML'!D90</f>
        <v>-2.02522346115508E-10</v>
      </c>
      <c r="EG81">
        <f ca="1">'JACOBIAN - SWAP USD3ML'!E90</f>
        <v>1.7843990174348799E-11</v>
      </c>
      <c r="EH81">
        <f ca="1">'JACOBIAN - SWAP USD3ML'!F90</f>
        <v>9.8008753890432802E-13</v>
      </c>
      <c r="EI81">
        <f ca="1">'JACOBIAN - SWAP USD3ML'!G90</f>
        <v>-1.22336862862227E-12</v>
      </c>
      <c r="EJ81">
        <f ca="1">'JACOBIAN - SWAP USD3ML'!H90</f>
        <v>-1.9953516963711101E-10</v>
      </c>
      <c r="EK81">
        <f ca="1">'JACOBIAN - SWAP USD3ML'!I90</f>
        <v>-1.8234283527540599E-10</v>
      </c>
      <c r="EL81">
        <f ca="1">'JACOBIAN - SWAP USD3ML'!J90</f>
        <v>-1.8191621820040599E-10</v>
      </c>
      <c r="EM81">
        <f ca="1">'JACOBIAN - SWAP USD3ML'!K90</f>
        <v>-1.81480917099686E-10</v>
      </c>
      <c r="EN81">
        <f ca="1">'JACOBIAN - SWAP USD3ML'!L90</f>
        <v>-1.80857065434914E-10</v>
      </c>
      <c r="EO81">
        <f ca="1">'JACOBIAN - SWAP USD3ML'!M90</f>
        <v>-1.79239231096195E-10</v>
      </c>
      <c r="EP81">
        <f ca="1">'JACOBIAN - SWAP USD3ML'!N90</f>
        <v>-3.9429850356986798E-10</v>
      </c>
      <c r="EQ81">
        <f ca="1">'JACOBIAN - SWAP USD3ML'!O90</f>
        <v>9.5544242101341903E-9</v>
      </c>
      <c r="ER81">
        <f ca="1">'JACOBIAN - SWAP USD3ML'!P90</f>
        <v>-4.6232205886537203E-8</v>
      </c>
      <c r="ES81">
        <f ca="1">'JACOBIAN - SWAP USD3ML'!Q90</f>
        <v>1.15184440249716E-7</v>
      </c>
      <c r="ET81">
        <f ca="1">'JACOBIAN - SWAP USD3ML'!R90</f>
        <v>-1.0162834313196E-6</v>
      </c>
      <c r="EU81">
        <f ca="1">'JACOBIAN - SWAP USD3ML'!S90</f>
        <v>5.2943684323604501E-6</v>
      </c>
      <c r="EV81">
        <f ca="1">'JACOBIAN - SWAP USD3ML'!T90</f>
        <v>-2.3027772262082501E-5</v>
      </c>
      <c r="EW81">
        <f ca="1">'JACOBIAN - SWAP USD3ML'!U90</f>
        <v>5.1362770113607501E-5</v>
      </c>
      <c r="EX81">
        <f ca="1">'JACOBIAN - SWAP USD3ML'!V90</f>
        <v>-1.13752090647769E-4</v>
      </c>
      <c r="EY81">
        <f ca="1">'JACOBIAN - SWAP USD3ML'!W90</f>
        <v>-2.7174915191238702E-4</v>
      </c>
      <c r="EZ81">
        <f ca="1">'JACOBIAN - SWAP USD3ML'!X90</f>
        <v>5.6978445548359598E-4</v>
      </c>
      <c r="FA81">
        <f ca="1">'JACOBIAN - SWAP USD3ML'!Y90</f>
        <v>-1.4895173432671901E-4</v>
      </c>
      <c r="FB81">
        <f ca="1">'JACOBIAN - SWAP USD3ML'!Z90</f>
        <v>3.03215425359257E-5</v>
      </c>
    </row>
    <row r="82" spans="24:158" x14ac:dyDescent="0.25">
      <c r="X82" s="258">
        <f t="shared" ca="1" si="76"/>
        <v>49843</v>
      </c>
      <c r="Y82" s="261">
        <v>0</v>
      </c>
      <c r="AA82" s="257">
        <f t="shared" ca="1" si="110"/>
        <v>49843</v>
      </c>
      <c r="AB82" s="266">
        <f t="shared" ca="1" si="77"/>
        <v>-1.2631956212295584E-3</v>
      </c>
      <c r="AC82" s="266"/>
      <c r="AD82" s="290">
        <f ca="1"/>
        <v>49843</v>
      </c>
      <c r="AE82" s="291">
        <f ca="1"/>
        <v>-1.2631956212295625E-3</v>
      </c>
      <c r="AF82" s="291" t="b">
        <f t="shared" ca="1" si="111"/>
        <v>1</v>
      </c>
      <c r="AH82" s="257">
        <f t="shared" ca="1" si="78"/>
        <v>49843</v>
      </c>
      <c r="AI82" s="260">
        <v>0</v>
      </c>
      <c r="AK82" s="290">
        <f ca="1"/>
        <v>49843</v>
      </c>
      <c r="AL82" s="291">
        <f ca="1"/>
        <v>9.8355777698892755E-5</v>
      </c>
      <c r="AM82" s="291" t="b">
        <f t="shared" ca="1" si="79"/>
        <v>1</v>
      </c>
      <c r="AO82" s="257">
        <f t="shared" ca="1" si="80"/>
        <v>49843</v>
      </c>
      <c r="AP82" s="266">
        <f t="shared" ca="1" si="112"/>
        <v>9.8355777698893351E-5</v>
      </c>
      <c r="AR82" s="248">
        <f ca="1">'JACOBIAN - OIS USDOIS'!B91</f>
        <v>49843</v>
      </c>
      <c r="AS82">
        <f ca="1">'JACOBIAN - OIS USDOIS'!C91</f>
        <v>-8.4887730389393599E-7</v>
      </c>
      <c r="AT82">
        <f ca="1">'JACOBIAN - OIS USDOIS'!D91</f>
        <v>-6.4670491184415399E-13</v>
      </c>
      <c r="AU82">
        <f ca="1">'JACOBIAN - OIS USDOIS'!E91</f>
        <v>2.2415402867181898E-12</v>
      </c>
      <c r="AV82">
        <f ca="1">'JACOBIAN - OIS USDOIS'!F91</f>
        <v>-6.3876681721808398E-12</v>
      </c>
      <c r="AW82">
        <f ca="1">'JACOBIAN - OIS USDOIS'!G91</f>
        <v>8.69293526051251E-12</v>
      </c>
      <c r="AX82">
        <f ca="1">'JACOBIAN - OIS USDOIS'!H91</f>
        <v>-1.90485405227037E-11</v>
      </c>
      <c r="AY82">
        <f ca="1">'JACOBIAN - OIS USDOIS'!I91</f>
        <v>-1.07533029147788E-8</v>
      </c>
      <c r="AZ82">
        <f ca="1">'JACOBIAN - OIS USDOIS'!J91</f>
        <v>-2.34089969630702E-10</v>
      </c>
      <c r="BA82">
        <f ca="1">'JACOBIAN - OIS USDOIS'!K91</f>
        <v>8.9293961114123001E-10</v>
      </c>
      <c r="BB82">
        <f ca="1">'JACOBIAN - OIS USDOIS'!L91</f>
        <v>3.4076698351981302E-7</v>
      </c>
      <c r="BC82">
        <f ca="1">'JACOBIAN - OIS USDOIS'!M91</f>
        <v>-2.97640717628056E-8</v>
      </c>
      <c r="BD82">
        <f ca="1">'JACOBIAN - OIS USDOIS'!N91</f>
        <v>4.9071857688431899E-13</v>
      </c>
      <c r="BE82">
        <f ca="1">'JACOBIAN - OIS USDOIS'!O91</f>
        <v>4.9071857688431899E-13</v>
      </c>
      <c r="BF82">
        <f ca="1">'JACOBIAN - OIS USDOIS'!P91</f>
        <v>4.9071857688431899E-13</v>
      </c>
      <c r="BG82">
        <f ca="1">'JACOBIAN - OIS USDOIS'!Q91</f>
        <v>4.9071857688431899E-13</v>
      </c>
      <c r="BH82">
        <f ca="1">'JACOBIAN - OIS USDOIS'!R91</f>
        <v>4.9071857688431899E-13</v>
      </c>
      <c r="BI82" s="161">
        <f ca="1">'JACOBIAN - OIS USDOIS'!S91</f>
        <v>-7.9134736585828602E-7</v>
      </c>
      <c r="BJ82" s="161">
        <f ca="1">'JACOBIAN - OIS USDOIS'!T91</f>
        <v>-3.7783212495368099E-6</v>
      </c>
      <c r="BK82" s="161">
        <f ca="1">'JACOBIAN - OIS USDOIS'!U91</f>
        <v>-7.5570114466128004E-7</v>
      </c>
      <c r="BL82" s="161">
        <f ca="1">'JACOBIAN - OIS USDOIS'!V91</f>
        <v>-1.4505059303115999E-5</v>
      </c>
      <c r="BM82" s="161">
        <f ca="1">'JACOBIAN - OIS USDOIS'!W91</f>
        <v>1.03319326908435E-5</v>
      </c>
      <c r="BN82" s="161">
        <f ca="1">'JACOBIAN - OIS USDOIS'!X91</f>
        <v>-6.0996975122296098E-5</v>
      </c>
      <c r="BO82" s="161">
        <f ca="1">'JACOBIAN - OIS USDOIS'!Y91</f>
        <v>1.3094493184495599E-4</v>
      </c>
      <c r="BP82" s="161">
        <f ca="1">'JACOBIAN - OIS USDOIS'!Z91</f>
        <v>-5.0745054824541402E-4</v>
      </c>
      <c r="BQ82" s="161">
        <f ca="1">'JACOBIAN - OIS USDOIS'!AA91</f>
        <v>1.37347018985368E-3</v>
      </c>
      <c r="BR82" s="161">
        <f ca="1">'JACOBIAN - OIS USDOIS'!AB91</f>
        <v>4.44237567042705E-4</v>
      </c>
      <c r="BS82" s="161">
        <f ca="1">'JACOBIAN - OIS USDOIS'!AC91</f>
        <v>-1.03579791456587E-4</v>
      </c>
      <c r="BT82" s="161">
        <f ca="1">'JACOBIAN - OIS USDOIS'!AD91</f>
        <v>1.7613827143603301E-5</v>
      </c>
      <c r="BU82">
        <f ca="1">'JACOBIAN - OIS USDOIS'!AE91</f>
        <v>7.7671886422603396E-7</v>
      </c>
      <c r="BV82">
        <f ca="1">'JACOBIAN - OIS USDOIS'!AF91</f>
        <v>3.7150760953119601E-6</v>
      </c>
      <c r="BW82">
        <f ca="1">'JACOBIAN - OIS USDOIS'!AG91</f>
        <v>7.4312074638260796E-7</v>
      </c>
      <c r="BX82">
        <f ca="1">'JACOBIAN - OIS USDOIS'!AH91</f>
        <v>1.42745634386099E-5</v>
      </c>
      <c r="BY82">
        <f ca="1">'JACOBIAN - OIS USDOIS'!AI91</f>
        <v>-1.01738064975931E-5</v>
      </c>
      <c r="BZ82">
        <f ca="1">'JACOBIAN - OIS USDOIS'!AJ91</f>
        <v>6.0025708181865603E-5</v>
      </c>
      <c r="CA82">
        <f ca="1">'JACOBIAN - OIS USDOIS'!AK91</f>
        <v>-1.2890211452043501E-4</v>
      </c>
      <c r="CB82">
        <f ca="1">'JACOBIAN - OIS USDOIS'!AL91</f>
        <v>5.0000514141446096E-4</v>
      </c>
      <c r="CC82">
        <f ca="1">'JACOBIAN - OIS USDOIS'!AM91</f>
        <v>-1.3504162472337501E-3</v>
      </c>
      <c r="CD82">
        <f ca="1">'JACOBIAN - OIS USDOIS'!AN91</f>
        <v>-4.3745014745710797E-4</v>
      </c>
      <c r="CE82">
        <f ca="1">'JACOBIAN - OIS USDOIS'!AO91</f>
        <v>1.02135830751804E-4</v>
      </c>
      <c r="CF82">
        <f ca="1">'JACOBIAN - OIS USDOIS'!AP91</f>
        <v>-1.7381483473077899E-5</v>
      </c>
      <c r="CK82" s="248">
        <f t="shared" ca="1" si="81"/>
        <v>49843</v>
      </c>
      <c r="CL82">
        <f t="shared" ca="1" si="82"/>
        <v>-8.4887730389393599E-7</v>
      </c>
      <c r="CM82">
        <f t="shared" ca="1" si="83"/>
        <v>-6.4670491184415399E-13</v>
      </c>
      <c r="CN82">
        <f t="shared" ca="1" si="84"/>
        <v>2.2415402867181898E-12</v>
      </c>
      <c r="CO82">
        <f t="shared" ca="1" si="85"/>
        <v>-6.3876681721808398E-12</v>
      </c>
      <c r="CP82">
        <f t="shared" ca="1" si="86"/>
        <v>8.69293526051251E-12</v>
      </c>
      <c r="CQ82">
        <f t="shared" ca="1" si="87"/>
        <v>-1.90485405227037E-11</v>
      </c>
      <c r="CR82">
        <f t="shared" ca="1" si="88"/>
        <v>-1.07533029147788E-8</v>
      </c>
      <c r="CS82">
        <f t="shared" ca="1" si="89"/>
        <v>-2.34089969630702E-10</v>
      </c>
      <c r="CT82">
        <f t="shared" ca="1" si="90"/>
        <v>8.9293961114123001E-10</v>
      </c>
      <c r="CU82">
        <f t="shared" ca="1" si="91"/>
        <v>3.4076698351981302E-7</v>
      </c>
      <c r="CV82">
        <f t="shared" ca="1" si="92"/>
        <v>-2.97640717628056E-8</v>
      </c>
      <c r="CW82">
        <f t="shared" ca="1" si="93"/>
        <v>4.9071857688431899E-13</v>
      </c>
      <c r="CX82">
        <f t="shared" ca="1" si="94"/>
        <v>4.9071857688431899E-13</v>
      </c>
      <c r="CY82">
        <f t="shared" ca="1" si="95"/>
        <v>4.9071857688431899E-13</v>
      </c>
      <c r="CZ82">
        <f t="shared" ca="1" si="96"/>
        <v>4.9071857688431899E-13</v>
      </c>
      <c r="DA82">
        <f t="shared" ca="1" si="97"/>
        <v>4.9071857688431899E-13</v>
      </c>
      <c r="DB82" s="146">
        <v>0</v>
      </c>
      <c r="DC82" s="146">
        <v>0</v>
      </c>
      <c r="DD82" s="146">
        <v>0</v>
      </c>
      <c r="DE82" s="146">
        <v>0</v>
      </c>
      <c r="DF82" s="146">
        <v>0</v>
      </c>
      <c r="DG82" s="146">
        <v>0</v>
      </c>
      <c r="DH82" s="146">
        <v>0</v>
      </c>
      <c r="DI82" s="146">
        <v>0</v>
      </c>
      <c r="DJ82" s="146">
        <v>0</v>
      </c>
      <c r="DK82" s="146">
        <v>0</v>
      </c>
      <c r="DL82" s="146">
        <v>0</v>
      </c>
      <c r="DM82" s="146">
        <v>0</v>
      </c>
      <c r="DN82">
        <f t="shared" ca="1" si="98"/>
        <v>7.7671886422603396E-7</v>
      </c>
      <c r="DO82">
        <f t="shared" ca="1" si="99"/>
        <v>3.7150760953119601E-6</v>
      </c>
      <c r="DP82">
        <f t="shared" ca="1" si="100"/>
        <v>7.4312074638260796E-7</v>
      </c>
      <c r="DQ82">
        <f t="shared" ca="1" si="101"/>
        <v>1.42745634386099E-5</v>
      </c>
      <c r="DR82">
        <f t="shared" ca="1" si="102"/>
        <v>-1.01738064975931E-5</v>
      </c>
      <c r="DS82">
        <f t="shared" ca="1" si="103"/>
        <v>6.0025708181865603E-5</v>
      </c>
      <c r="DT82">
        <f t="shared" ca="1" si="104"/>
        <v>-1.2890211452043501E-4</v>
      </c>
      <c r="DU82">
        <f t="shared" ca="1" si="105"/>
        <v>5.0000514141446096E-4</v>
      </c>
      <c r="DV82">
        <f t="shared" ca="1" si="106"/>
        <v>-1.3504162472337501E-3</v>
      </c>
      <c r="DW82">
        <f t="shared" ca="1" si="107"/>
        <v>-4.3745014745710797E-4</v>
      </c>
      <c r="DX82">
        <f t="shared" ca="1" si="108"/>
        <v>1.02135830751804E-4</v>
      </c>
      <c r="DY82">
        <f t="shared" ca="1" si="109"/>
        <v>-1.7381483473077899E-5</v>
      </c>
      <c r="ED82" s="248">
        <f ca="1">'JACOBIAN - SWAP USD3ML'!B91</f>
        <v>49843</v>
      </c>
      <c r="EE82">
        <f ca="1">'JACOBIAN - SWAP USD3ML'!C91</f>
        <v>1.03134861761944E-12</v>
      </c>
      <c r="EF82">
        <f ca="1">'JACOBIAN - SWAP USD3ML'!D91</f>
        <v>-1.04302653319843E-10</v>
      </c>
      <c r="EG82">
        <f ca="1">'JACOBIAN - SWAP USD3ML'!E91</f>
        <v>1.8613808411283001E-11</v>
      </c>
      <c r="EH82">
        <f ca="1">'JACOBIAN - SWAP USD3ML'!F91</f>
        <v>1.03134861761944E-12</v>
      </c>
      <c r="EI82">
        <f ca="1">'JACOBIAN - SWAP USD3ML'!G91</f>
        <v>-9.7311048108394996E-14</v>
      </c>
      <c r="EJ82">
        <f ca="1">'JACOBIAN - SWAP USD3ML'!H91</f>
        <v>-1.01585694717299E-10</v>
      </c>
      <c r="EK82">
        <f ca="1">'JACOBIAN - SWAP USD3ML'!I91</f>
        <v>-8.4043206421968706E-11</v>
      </c>
      <c r="EL82">
        <f ca="1">'JACOBIAN - SWAP USD3ML'!J91</f>
        <v>-8.3949368290259204E-11</v>
      </c>
      <c r="EM82">
        <f ca="1">'JACOBIAN - SWAP USD3ML'!K91</f>
        <v>-8.38294642035997E-11</v>
      </c>
      <c r="EN82">
        <f ca="1">'JACOBIAN - SWAP USD3ML'!L91</f>
        <v>-8.3510587334245695E-11</v>
      </c>
      <c r="EO82">
        <f ca="1">'JACOBIAN - SWAP USD3ML'!M91</f>
        <v>-8.2793771838396398E-11</v>
      </c>
      <c r="EP82">
        <f ca="1">'JACOBIAN - SWAP USD3ML'!N91</f>
        <v>-1.8534651938240099E-10</v>
      </c>
      <c r="EQ82">
        <f ca="1">'JACOBIAN - SWAP USD3ML'!O91</f>
        <v>4.4928052597703597E-9</v>
      </c>
      <c r="ER82">
        <f ca="1">'JACOBIAN - SWAP USD3ML'!P91</f>
        <v>-2.1736227599072899E-8</v>
      </c>
      <c r="ES82">
        <f ca="1">'JACOBIAN - SWAP USD3ML'!Q91</f>
        <v>5.41569319841007E-8</v>
      </c>
      <c r="ET82">
        <f ca="1">'JACOBIAN - SWAP USD3ML'!R91</f>
        <v>-4.7782585192723804E-7</v>
      </c>
      <c r="EU82">
        <f ca="1">'JACOBIAN - SWAP USD3ML'!S91</f>
        <v>2.4892417553323802E-6</v>
      </c>
      <c r="EV82">
        <f ca="1">'JACOBIAN - SWAP USD3ML'!T91</f>
        <v>-1.0827137215479999E-5</v>
      </c>
      <c r="EW82">
        <f ca="1">'JACOBIAN - SWAP USD3ML'!U91</f>
        <v>2.4148364865143198E-5</v>
      </c>
      <c r="EX82">
        <f ca="1">'JACOBIAN - SWAP USD3ML'!V91</f>
        <v>-5.34870580383012E-5</v>
      </c>
      <c r="EY82">
        <f ca="1">'JACOBIAN - SWAP USD3ML'!W91</f>
        <v>-3.4342579361605602E-4</v>
      </c>
      <c r="EZ82">
        <f ca="1">'JACOBIAN - SWAP USD3ML'!X91</f>
        <v>5.9407886660034503E-4</v>
      </c>
      <c r="FA82">
        <f ca="1">'JACOBIAN - SWAP USD3ML'!Y91</f>
        <v>-1.43362696197021E-4</v>
      </c>
      <c r="FB82">
        <f ca="1">'JACOBIAN - SWAP USD3ML'!Z91</f>
        <v>2.9183690669284299E-5</v>
      </c>
    </row>
    <row r="83" spans="24:158" x14ac:dyDescent="0.25">
      <c r="X83" s="258">
        <f t="shared" ca="1" si="76"/>
        <v>49935</v>
      </c>
      <c r="Y83" s="261">
        <v>0</v>
      </c>
      <c r="AA83" s="257">
        <f t="shared" ca="1" si="110"/>
        <v>49935</v>
      </c>
      <c r="AB83" s="266">
        <f t="shared" ca="1" si="77"/>
        <v>-1.2766948547723366E-3</v>
      </c>
      <c r="AC83" s="266"/>
      <c r="AD83" s="290">
        <f ca="1"/>
        <v>49935</v>
      </c>
      <c r="AE83" s="291">
        <f ca="1"/>
        <v>-1.2766948547723311E-3</v>
      </c>
      <c r="AF83" s="291" t="b">
        <f t="shared" ca="1" si="111"/>
        <v>1</v>
      </c>
      <c r="AH83" s="257">
        <f t="shared" ca="1" si="78"/>
        <v>49935</v>
      </c>
      <c r="AI83" s="260">
        <v>0</v>
      </c>
      <c r="AK83" s="290">
        <f ca="1"/>
        <v>49935</v>
      </c>
      <c r="AL83" s="291">
        <f ca="1"/>
        <v>9.8361083677077409E-5</v>
      </c>
      <c r="AM83" s="291" t="b">
        <f t="shared" ca="1" si="79"/>
        <v>1</v>
      </c>
      <c r="AO83" s="257">
        <f t="shared" ca="1" si="80"/>
        <v>49935</v>
      </c>
      <c r="AP83" s="266">
        <f t="shared" ca="1" si="112"/>
        <v>9.8361083677077409E-5</v>
      </c>
      <c r="AR83" s="248">
        <f ca="1">'JACOBIAN - OIS USDOIS'!B92</f>
        <v>49935</v>
      </c>
      <c r="AS83">
        <f ca="1">'JACOBIAN - OIS USDOIS'!C92</f>
        <v>-8.4488568274920805E-7</v>
      </c>
      <c r="AT83">
        <f ca="1">'JACOBIAN - OIS USDOIS'!D92</f>
        <v>-3.2587266218797599E-12</v>
      </c>
      <c r="AU83">
        <f ca="1">'JACOBIAN - OIS USDOIS'!E92</f>
        <v>1.2681855565688199E-11</v>
      </c>
      <c r="AV83">
        <f ca="1">'JACOBIAN - OIS USDOIS'!F92</f>
        <v>-3.3888114536750897E-11</v>
      </c>
      <c r="AW83">
        <f ca="1">'JACOBIAN - OIS USDOIS'!G92</f>
        <v>4.4104275787049099E-11</v>
      </c>
      <c r="AX83">
        <f ca="1">'JACOBIAN - OIS USDOIS'!H92</f>
        <v>-9.9122265950768503E-11</v>
      </c>
      <c r="AY83">
        <f ca="1">'JACOBIAN - OIS USDOIS'!I92</f>
        <v>-1.04278907731015E-8</v>
      </c>
      <c r="AZ83">
        <f ca="1">'JACOBIAN - OIS USDOIS'!J92</f>
        <v>-1.2128428261704E-9</v>
      </c>
      <c r="BA83">
        <f ca="1">'JACOBIAN - OIS USDOIS'!K92</f>
        <v>4.6609167636546503E-9</v>
      </c>
      <c r="BB83">
        <f ca="1">'JACOBIAN - OIS USDOIS'!L92</f>
        <v>3.3429128043493998E-7</v>
      </c>
      <c r="BC83">
        <f ca="1">'JACOBIAN - OIS USDOIS'!M92</f>
        <v>-1.76151530029145E-8</v>
      </c>
      <c r="BD83">
        <f ca="1">'JACOBIAN - OIS USDOIS'!N92</f>
        <v>4.7628567756419195E-13</v>
      </c>
      <c r="BE83">
        <f ca="1">'JACOBIAN - OIS USDOIS'!O92</f>
        <v>4.7628567756419195E-13</v>
      </c>
      <c r="BF83">
        <f ca="1">'JACOBIAN - OIS USDOIS'!P92</f>
        <v>4.7628567756419195E-13</v>
      </c>
      <c r="BG83">
        <f ca="1">'JACOBIAN - OIS USDOIS'!Q92</f>
        <v>4.7628567756419195E-13</v>
      </c>
      <c r="BH83">
        <f ca="1">'JACOBIAN - OIS USDOIS'!R92</f>
        <v>4.7628567756419195E-13</v>
      </c>
      <c r="BI83" s="161">
        <f ca="1">'JACOBIAN - OIS USDOIS'!S92</f>
        <v>-7.7401003595323203E-7</v>
      </c>
      <c r="BJ83" s="161">
        <f ca="1">'JACOBIAN - OIS USDOIS'!T92</f>
        <v>-3.79727267574292E-6</v>
      </c>
      <c r="BK83" s="161">
        <f ca="1">'JACOBIAN - OIS USDOIS'!U92</f>
        <v>-6.5397348825157998E-7</v>
      </c>
      <c r="BL83" s="161">
        <f ca="1">'JACOBIAN - OIS USDOIS'!V92</f>
        <v>-1.4857737917761701E-5</v>
      </c>
      <c r="BM83" s="161">
        <f ca="1">'JACOBIAN - OIS USDOIS'!W92</f>
        <v>1.1077082310961801E-5</v>
      </c>
      <c r="BN83" s="161">
        <f ca="1">'JACOBIAN - OIS USDOIS'!X92</f>
        <v>-6.2283141603613993E-5</v>
      </c>
      <c r="BO83" s="161">
        <f ca="1">'JACOBIAN - OIS USDOIS'!Y92</f>
        <v>1.3767267052189301E-4</v>
      </c>
      <c r="BP83" s="161">
        <f ca="1">'JACOBIAN - OIS USDOIS'!Z92</f>
        <v>-5.2644177018168503E-4</v>
      </c>
      <c r="BQ83" s="161">
        <f ca="1">'JACOBIAN - OIS USDOIS'!AA92</f>
        <v>1.3140462950178601E-3</v>
      </c>
      <c r="BR83" s="161">
        <f ca="1">'JACOBIAN - OIS USDOIS'!AB92</f>
        <v>5.4702130010864103E-4</v>
      </c>
      <c r="BS83" s="161">
        <f ca="1">'JACOBIAN - OIS USDOIS'!AC92</f>
        <v>-1.2363092258926801E-4</v>
      </c>
      <c r="BT83" s="161">
        <f ca="1">'JACOBIAN - OIS USDOIS'!AD92</f>
        <v>2.10238685326436E-5</v>
      </c>
      <c r="BU83">
        <f ca="1">'JACOBIAN - OIS USDOIS'!AE92</f>
        <v>7.5969608281933898E-7</v>
      </c>
      <c r="BV83">
        <f ca="1">'JACOBIAN - OIS USDOIS'!AF92</f>
        <v>3.7337133188541901E-6</v>
      </c>
      <c r="BW83">
        <f ca="1">'JACOBIAN - OIS USDOIS'!AG92</f>
        <v>6.4302475755173603E-7</v>
      </c>
      <c r="BX83">
        <f ca="1">'JACOBIAN - OIS USDOIS'!AH92</f>
        <v>1.46217038543561E-5</v>
      </c>
      <c r="BY83">
        <f ca="1">'JACOBIAN - OIS USDOIS'!AI92</f>
        <v>-1.09069502782777E-5</v>
      </c>
      <c r="BZ83">
        <f ca="1">'JACOBIAN - OIS USDOIS'!AJ92</f>
        <v>6.1291915764871696E-5</v>
      </c>
      <c r="CA83">
        <f ca="1">'JACOBIAN - OIS USDOIS'!AK92</f>
        <v>-1.35521994377497E-4</v>
      </c>
      <c r="CB83">
        <f ca="1">'JACOBIAN - OIS USDOIS'!AL92</f>
        <v>5.1873382017098002E-4</v>
      </c>
      <c r="CC83">
        <f ca="1">'JACOBIAN - OIS USDOIS'!AM92</f>
        <v>-1.2920885440526101E-3</v>
      </c>
      <c r="CD83">
        <f ca="1">'JACOBIAN - OIS USDOIS'!AN92</f>
        <v>-5.3859021435942499E-4</v>
      </c>
      <c r="CE83">
        <f ca="1">'JACOBIAN - OIS USDOIS'!AO92</f>
        <v>1.21910689847793E-4</v>
      </c>
      <c r="CF83">
        <f ca="1">'JACOBIAN - OIS USDOIS'!AP92</f>
        <v>-2.07464490280529E-5</v>
      </c>
      <c r="CK83" s="248">
        <f t="shared" ca="1" si="81"/>
        <v>49935</v>
      </c>
      <c r="CL83">
        <f t="shared" ca="1" si="82"/>
        <v>-8.4488568274920805E-7</v>
      </c>
      <c r="CM83">
        <f t="shared" ca="1" si="83"/>
        <v>-3.2587266218797599E-12</v>
      </c>
      <c r="CN83">
        <f t="shared" ca="1" si="84"/>
        <v>1.2681855565688199E-11</v>
      </c>
      <c r="CO83">
        <f t="shared" ca="1" si="85"/>
        <v>-3.3888114536750897E-11</v>
      </c>
      <c r="CP83">
        <f t="shared" ca="1" si="86"/>
        <v>4.4104275787049099E-11</v>
      </c>
      <c r="CQ83">
        <f t="shared" ca="1" si="87"/>
        <v>-9.9122265950768503E-11</v>
      </c>
      <c r="CR83">
        <f t="shared" ca="1" si="88"/>
        <v>-1.04278907731015E-8</v>
      </c>
      <c r="CS83">
        <f t="shared" ca="1" si="89"/>
        <v>-1.2128428261704E-9</v>
      </c>
      <c r="CT83">
        <f t="shared" ca="1" si="90"/>
        <v>4.6609167636546503E-9</v>
      </c>
      <c r="CU83">
        <f t="shared" ca="1" si="91"/>
        <v>3.3429128043493998E-7</v>
      </c>
      <c r="CV83">
        <f t="shared" ca="1" si="92"/>
        <v>-1.76151530029145E-8</v>
      </c>
      <c r="CW83">
        <f t="shared" ca="1" si="93"/>
        <v>4.7628567756419195E-13</v>
      </c>
      <c r="CX83">
        <f t="shared" ca="1" si="94"/>
        <v>4.7628567756419195E-13</v>
      </c>
      <c r="CY83">
        <f t="shared" ca="1" si="95"/>
        <v>4.7628567756419195E-13</v>
      </c>
      <c r="CZ83">
        <f t="shared" ca="1" si="96"/>
        <v>4.7628567756419195E-13</v>
      </c>
      <c r="DA83">
        <f t="shared" ca="1" si="97"/>
        <v>4.7628567756419195E-13</v>
      </c>
      <c r="DB83" s="146">
        <v>0</v>
      </c>
      <c r="DC83" s="146">
        <v>0</v>
      </c>
      <c r="DD83" s="146">
        <v>0</v>
      </c>
      <c r="DE83" s="146">
        <v>0</v>
      </c>
      <c r="DF83" s="146">
        <v>0</v>
      </c>
      <c r="DG83" s="146">
        <v>0</v>
      </c>
      <c r="DH83" s="146">
        <v>0</v>
      </c>
      <c r="DI83" s="146">
        <v>0</v>
      </c>
      <c r="DJ83" s="146">
        <v>0</v>
      </c>
      <c r="DK83" s="146">
        <v>0</v>
      </c>
      <c r="DL83" s="146">
        <v>0</v>
      </c>
      <c r="DM83" s="146">
        <v>0</v>
      </c>
      <c r="DN83">
        <f t="shared" ca="1" si="98"/>
        <v>7.5969608281933898E-7</v>
      </c>
      <c r="DO83">
        <f t="shared" ca="1" si="99"/>
        <v>3.7337133188541901E-6</v>
      </c>
      <c r="DP83">
        <f t="shared" ca="1" si="100"/>
        <v>6.4302475755173603E-7</v>
      </c>
      <c r="DQ83">
        <f t="shared" ca="1" si="101"/>
        <v>1.46217038543561E-5</v>
      </c>
      <c r="DR83">
        <f t="shared" ca="1" si="102"/>
        <v>-1.09069502782777E-5</v>
      </c>
      <c r="DS83">
        <f t="shared" ca="1" si="103"/>
        <v>6.1291915764871696E-5</v>
      </c>
      <c r="DT83">
        <f t="shared" ca="1" si="104"/>
        <v>-1.35521994377497E-4</v>
      </c>
      <c r="DU83">
        <f t="shared" ca="1" si="105"/>
        <v>5.1873382017098002E-4</v>
      </c>
      <c r="DV83">
        <f t="shared" ca="1" si="106"/>
        <v>-1.2920885440526101E-3</v>
      </c>
      <c r="DW83">
        <f t="shared" ca="1" si="107"/>
        <v>-5.3859021435942499E-4</v>
      </c>
      <c r="DX83">
        <f t="shared" ca="1" si="108"/>
        <v>1.21910689847793E-4</v>
      </c>
      <c r="DY83">
        <f t="shared" ca="1" si="109"/>
        <v>-2.07464490280529E-5</v>
      </c>
      <c r="ED83" s="248">
        <f ca="1">'JACOBIAN - SWAP USD3ML'!B92</f>
        <v>49935</v>
      </c>
      <c r="EE83">
        <f ca="1">'JACOBIAN - SWAP USD3ML'!C92</f>
        <v>1.0707892905692499E-12</v>
      </c>
      <c r="EF83">
        <f ca="1">'JACOBIAN - SWAP USD3ML'!D92</f>
        <v>-1.6587172607662701E-11</v>
      </c>
      <c r="EG83">
        <f ca="1">'JACOBIAN - SWAP USD3ML'!E92</f>
        <v>1.9178502536076901E-11</v>
      </c>
      <c r="EH83">
        <f ca="1">'JACOBIAN - SWAP USD3ML'!F92</f>
        <v>1.06903375041156E-12</v>
      </c>
      <c r="EI83">
        <f ca="1">'JACOBIAN - SWAP USD3ML'!G92</f>
        <v>9.01254765262038E-13</v>
      </c>
      <c r="EJ83">
        <f ca="1">'JACOBIAN - SWAP USD3ML'!H92</f>
        <v>-1.41284796362218E-11</v>
      </c>
      <c r="EK83">
        <f ca="1">'JACOBIAN - SWAP USD3ML'!I92</f>
        <v>3.6129328695455598E-12</v>
      </c>
      <c r="EL83">
        <f ca="1">'JACOBIAN - SWAP USD3ML'!J92</f>
        <v>3.4135298754289798E-12</v>
      </c>
      <c r="EM83">
        <f ca="1">'JACOBIAN - SWAP USD3ML'!K92</f>
        <v>3.2492689094887299E-12</v>
      </c>
      <c r="EN83">
        <f ca="1">'JACOBIAN - SWAP USD3ML'!L92</f>
        <v>3.3010955080570198E-12</v>
      </c>
      <c r="EO83">
        <f ca="1">'JACOBIAN - SWAP USD3ML'!M92</f>
        <v>3.2132525806804998E-12</v>
      </c>
      <c r="EP83">
        <f ca="1">'JACOBIAN - SWAP USD3ML'!N92</f>
        <v>1.0277473316833201E-12</v>
      </c>
      <c r="EQ83">
        <f ca="1">'JACOBIAN - SWAP USD3ML'!O92</f>
        <v>-2.1914779019249799E-11</v>
      </c>
      <c r="ER83">
        <f ca="1">'JACOBIAN - SWAP USD3ML'!P92</f>
        <v>1.12946135083503E-10</v>
      </c>
      <c r="ES83">
        <f ca="1">'JACOBIAN - SWAP USD3ML'!Q92</f>
        <v>-2.7654011025557398E-10</v>
      </c>
      <c r="ET83">
        <f ca="1">'JACOBIAN - SWAP USD3ML'!R92</f>
        <v>2.4512708321489099E-9</v>
      </c>
      <c r="EU83">
        <f ca="1">'JACOBIAN - SWAP USD3ML'!S92</f>
        <v>-1.27882285004544E-8</v>
      </c>
      <c r="EV83">
        <f ca="1">'JACOBIAN - SWAP USD3ML'!T92</f>
        <v>5.5248651365663599E-8</v>
      </c>
      <c r="EW83">
        <f ca="1">'JACOBIAN - SWAP USD3ML'!U92</f>
        <v>-1.2534839188837999E-7</v>
      </c>
      <c r="EX83">
        <f ca="1">'JACOBIAN - SWAP USD3ML'!V92</f>
        <v>2.6713477320125501E-7</v>
      </c>
      <c r="EY83">
        <f ca="1">'JACOBIAN - SWAP USD3ML'!W92</f>
        <v>-4.05044127434844E-4</v>
      </c>
      <c r="EZ83">
        <f ca="1">'JACOBIAN - SWAP USD3ML'!X92</f>
        <v>6.0879091762502599E-4</v>
      </c>
      <c r="FA83">
        <f ca="1">'JACOBIAN - SWAP USD3ML'!Y92</f>
        <v>-1.32555853852974E-4</v>
      </c>
      <c r="FB83">
        <f ca="1">'JACOBIAN - SWAP USD3ML'!Z92</f>
        <v>2.6983625451858201E-5</v>
      </c>
    </row>
    <row r="84" spans="24:158" x14ac:dyDescent="0.25">
      <c r="X84" s="258">
        <f t="shared" ca="1" si="76"/>
        <v>50026</v>
      </c>
      <c r="Y84" s="261">
        <v>0</v>
      </c>
      <c r="AA84" s="257">
        <f t="shared" ca="1" si="110"/>
        <v>50026</v>
      </c>
      <c r="AB84" s="266">
        <f t="shared" ca="1" si="77"/>
        <v>-1.2899090700696511E-3</v>
      </c>
      <c r="AC84" s="266"/>
      <c r="AD84" s="290">
        <f ca="1"/>
        <v>50026</v>
      </c>
      <c r="AE84" s="291">
        <f ca="1"/>
        <v>-1.2899090700696503E-3</v>
      </c>
      <c r="AF84" s="291" t="b">
        <f t="shared" ca="1" si="111"/>
        <v>1</v>
      </c>
      <c r="AH84" s="257">
        <f t="shared" ca="1" si="78"/>
        <v>50026</v>
      </c>
      <c r="AI84" s="260">
        <v>0</v>
      </c>
      <c r="AK84" s="290">
        <f ca="1"/>
        <v>50026</v>
      </c>
      <c r="AL84" s="291">
        <f ca="1"/>
        <v>9.83642552263575E-5</v>
      </c>
      <c r="AM84" s="291" t="b">
        <f t="shared" ca="1" si="79"/>
        <v>1</v>
      </c>
      <c r="AO84" s="257">
        <f t="shared" ca="1" si="80"/>
        <v>50026</v>
      </c>
      <c r="AP84" s="266">
        <f t="shared" ca="1" si="112"/>
        <v>9.8364255226358313E-5</v>
      </c>
      <c r="AR84" s="248">
        <f ca="1">'JACOBIAN - OIS USDOIS'!B93</f>
        <v>50026</v>
      </c>
      <c r="AS84">
        <f ca="1">'JACOBIAN - OIS USDOIS'!C93</f>
        <v>-8.4095380725735001E-7</v>
      </c>
      <c r="AT84">
        <f ca="1">'JACOBIAN - OIS USDOIS'!D93</f>
        <v>-3.9618308633748703E-12</v>
      </c>
      <c r="AU84">
        <f ca="1">'JACOBIAN - OIS USDOIS'!E93</f>
        <v>1.54959378662056E-11</v>
      </c>
      <c r="AV84">
        <f ca="1">'JACOBIAN - OIS USDOIS'!F93</f>
        <v>-4.1296410735469603E-11</v>
      </c>
      <c r="AW84">
        <f ca="1">'JACOBIAN - OIS USDOIS'!G93</f>
        <v>5.3653859133362403E-11</v>
      </c>
      <c r="AX84">
        <f ca="1">'JACOBIAN - OIS USDOIS'!H93</f>
        <v>-1.2070200394731501E-10</v>
      </c>
      <c r="AY84">
        <f ca="1">'JACOBIAN - OIS USDOIS'!I93</f>
        <v>-1.03002677498409E-8</v>
      </c>
      <c r="AZ84">
        <f ca="1">'JACOBIAN - OIS USDOIS'!J93</f>
        <v>-1.4766805556121201E-9</v>
      </c>
      <c r="BA84">
        <f ca="1">'JACOBIAN - OIS USDOIS'!K93</f>
        <v>5.6766313871747798E-9</v>
      </c>
      <c r="BB84">
        <f ca="1">'JACOBIAN - OIS USDOIS'!L93</f>
        <v>3.3197443527477301E-7</v>
      </c>
      <c r="BC84">
        <f ca="1">'JACOBIAN - OIS USDOIS'!M93</f>
        <v>-1.4220054911362501E-8</v>
      </c>
      <c r="BD84">
        <f ca="1">'JACOBIAN - OIS USDOIS'!N93</f>
        <v>4.6151971133667798E-13</v>
      </c>
      <c r="BE84">
        <f ca="1">'JACOBIAN - OIS USDOIS'!O93</f>
        <v>4.6151971133667798E-13</v>
      </c>
      <c r="BF84">
        <f ca="1">'JACOBIAN - OIS USDOIS'!P93</f>
        <v>4.6151971133667798E-13</v>
      </c>
      <c r="BG84">
        <f ca="1">'JACOBIAN - OIS USDOIS'!Q93</f>
        <v>4.6151971133667798E-13</v>
      </c>
      <c r="BH84">
        <f ca="1">'JACOBIAN - OIS USDOIS'!R93</f>
        <v>4.6151971133667798E-13</v>
      </c>
      <c r="BI84" s="161">
        <f ca="1">'JACOBIAN - OIS USDOIS'!S93</f>
        <v>-7.6805659654510805E-7</v>
      </c>
      <c r="BJ84" s="161">
        <f ca="1">'JACOBIAN - OIS USDOIS'!T93</f>
        <v>-3.7966643983145002E-6</v>
      </c>
      <c r="BK84" s="161">
        <f ca="1">'JACOBIAN - OIS USDOIS'!U93</f>
        <v>-6.2315864846063096E-7</v>
      </c>
      <c r="BL84" s="161">
        <f ca="1">'JACOBIAN - OIS USDOIS'!V93</f>
        <v>-1.49436764788069E-5</v>
      </c>
      <c r="BM84" s="161">
        <f ca="1">'JACOBIAN - OIS USDOIS'!W93</f>
        <v>1.1289340115294699E-5</v>
      </c>
      <c r="BN84" s="161">
        <f ca="1">'JACOBIAN - OIS USDOIS'!X93</f>
        <v>-6.2585698103800893E-5</v>
      </c>
      <c r="BO84" s="161">
        <f ca="1">'JACOBIAN - OIS USDOIS'!Y93</f>
        <v>1.3953078480777301E-4</v>
      </c>
      <c r="BP84" s="161">
        <f ca="1">'JACOBIAN - OIS USDOIS'!Z93</f>
        <v>-5.3148628736154901E-4</v>
      </c>
      <c r="BQ84" s="161">
        <f ca="1">'JACOBIAN - OIS USDOIS'!AA93</f>
        <v>1.2402303074980901E-3</v>
      </c>
      <c r="BR84" s="161">
        <f ca="1">'JACOBIAN - OIS USDOIS'!AB93</f>
        <v>6.5309190322604405E-4</v>
      </c>
      <c r="BS84" s="161">
        <f ca="1">'JACOBIAN - OIS USDOIS'!AC93</f>
        <v>-1.42418492239282E-4</v>
      </c>
      <c r="BT84" s="161">
        <f ca="1">'JACOBIAN - OIS USDOIS'!AD93</f>
        <v>2.4219120020818601E-5</v>
      </c>
      <c r="BU84">
        <f ca="1">'JACOBIAN - OIS USDOIS'!AE93</f>
        <v>7.5385105291481104E-7</v>
      </c>
      <c r="BV84">
        <f ca="1">'JACOBIAN - OIS USDOIS'!AF93</f>
        <v>3.73311597112735E-6</v>
      </c>
      <c r="BW84">
        <f ca="1">'JACOBIAN - OIS USDOIS'!AG93</f>
        <v>6.12703667024483E-7</v>
      </c>
      <c r="BX84">
        <f ca="1">'JACOBIAN - OIS USDOIS'!AH93</f>
        <v>1.47062961345368E-5</v>
      </c>
      <c r="BY84">
        <f ca="1">'JACOBIAN - OIS USDOIS'!AI93</f>
        <v>-1.1115776559655901E-5</v>
      </c>
      <c r="BZ84">
        <f ca="1">'JACOBIAN - OIS USDOIS'!AJ93</f>
        <v>6.1589818799001605E-5</v>
      </c>
      <c r="CA84">
        <f ca="1">'JACOBIAN - OIS USDOIS'!AK93</f>
        <v>-1.3735022687821899E-4</v>
      </c>
      <c r="CB84">
        <f ca="1">'JACOBIAN - OIS USDOIS'!AL93</f>
        <v>5.2370962866044003E-4</v>
      </c>
      <c r="CC84">
        <f ca="1">'JACOBIAN - OIS USDOIS'!AM93</f>
        <v>-1.2196249838578601E-3</v>
      </c>
      <c r="CD84">
        <f ca="1">'JACOBIAN - OIS USDOIS'!AN93</f>
        <v>-6.4293505469437096E-4</v>
      </c>
      <c r="CE84">
        <f ca="1">'JACOBIAN - OIS USDOIS'!AO93</f>
        <v>1.4044038712191E-4</v>
      </c>
      <c r="CF84">
        <f ca="1">'JACOBIAN - OIS USDOIS'!AP93</f>
        <v>-2.38994352398381E-5</v>
      </c>
      <c r="CK84" s="248">
        <f t="shared" ca="1" si="81"/>
        <v>50026</v>
      </c>
      <c r="CL84">
        <f t="shared" ca="1" si="82"/>
        <v>-8.4095380725735001E-7</v>
      </c>
      <c r="CM84">
        <f t="shared" ca="1" si="83"/>
        <v>-3.9618308633748703E-12</v>
      </c>
      <c r="CN84">
        <f t="shared" ca="1" si="84"/>
        <v>1.54959378662056E-11</v>
      </c>
      <c r="CO84">
        <f t="shared" ca="1" si="85"/>
        <v>-4.1296410735469603E-11</v>
      </c>
      <c r="CP84">
        <f t="shared" ca="1" si="86"/>
        <v>5.3653859133362403E-11</v>
      </c>
      <c r="CQ84">
        <f t="shared" ca="1" si="87"/>
        <v>-1.2070200394731501E-10</v>
      </c>
      <c r="CR84">
        <f t="shared" ca="1" si="88"/>
        <v>-1.03002677498409E-8</v>
      </c>
      <c r="CS84">
        <f t="shared" ca="1" si="89"/>
        <v>-1.4766805556121201E-9</v>
      </c>
      <c r="CT84">
        <f t="shared" ca="1" si="90"/>
        <v>5.6766313871747798E-9</v>
      </c>
      <c r="CU84">
        <f t="shared" ca="1" si="91"/>
        <v>3.3197443527477301E-7</v>
      </c>
      <c r="CV84">
        <f t="shared" ca="1" si="92"/>
        <v>-1.4220054911362501E-8</v>
      </c>
      <c r="CW84">
        <f t="shared" ca="1" si="93"/>
        <v>4.6151971133667798E-13</v>
      </c>
      <c r="CX84">
        <f t="shared" ca="1" si="94"/>
        <v>4.6151971133667798E-13</v>
      </c>
      <c r="CY84">
        <f t="shared" ca="1" si="95"/>
        <v>4.6151971133667798E-13</v>
      </c>
      <c r="CZ84">
        <f t="shared" ca="1" si="96"/>
        <v>4.6151971133667798E-13</v>
      </c>
      <c r="DA84">
        <f t="shared" ca="1" si="97"/>
        <v>4.6151971133667798E-13</v>
      </c>
      <c r="DB84" s="146">
        <v>0</v>
      </c>
      <c r="DC84" s="146">
        <v>0</v>
      </c>
      <c r="DD84" s="146">
        <v>0</v>
      </c>
      <c r="DE84" s="146">
        <v>0</v>
      </c>
      <c r="DF84" s="146">
        <v>0</v>
      </c>
      <c r="DG84" s="146">
        <v>0</v>
      </c>
      <c r="DH84" s="146">
        <v>0</v>
      </c>
      <c r="DI84" s="146">
        <v>0</v>
      </c>
      <c r="DJ84" s="146">
        <v>0</v>
      </c>
      <c r="DK84" s="146">
        <v>0</v>
      </c>
      <c r="DL84" s="146">
        <v>0</v>
      </c>
      <c r="DM84" s="146">
        <v>0</v>
      </c>
      <c r="DN84">
        <f t="shared" ca="1" si="98"/>
        <v>7.5385105291481104E-7</v>
      </c>
      <c r="DO84">
        <f t="shared" ca="1" si="99"/>
        <v>3.73311597112735E-6</v>
      </c>
      <c r="DP84">
        <f t="shared" ca="1" si="100"/>
        <v>6.12703667024483E-7</v>
      </c>
      <c r="DQ84">
        <f t="shared" ca="1" si="101"/>
        <v>1.47062961345368E-5</v>
      </c>
      <c r="DR84">
        <f t="shared" ca="1" si="102"/>
        <v>-1.1115776559655901E-5</v>
      </c>
      <c r="DS84">
        <f t="shared" ca="1" si="103"/>
        <v>6.1589818799001605E-5</v>
      </c>
      <c r="DT84">
        <f t="shared" ca="1" si="104"/>
        <v>-1.3735022687821899E-4</v>
      </c>
      <c r="DU84">
        <f t="shared" ca="1" si="105"/>
        <v>5.2370962866044003E-4</v>
      </c>
      <c r="DV84">
        <f t="shared" ca="1" si="106"/>
        <v>-1.2196249838578601E-3</v>
      </c>
      <c r="DW84">
        <f t="shared" ca="1" si="107"/>
        <v>-6.4293505469437096E-4</v>
      </c>
      <c r="DX84">
        <f t="shared" ca="1" si="108"/>
        <v>1.4044038712191E-4</v>
      </c>
      <c r="DY84">
        <f t="shared" ca="1" si="109"/>
        <v>-2.38994352398381E-5</v>
      </c>
      <c r="ED84" s="248">
        <f ca="1">'JACOBIAN - SWAP USD3ML'!B93</f>
        <v>50026</v>
      </c>
      <c r="EE84">
        <f ca="1">'JACOBIAN - SWAP USD3ML'!C93</f>
        <v>1.0995648835887601E-12</v>
      </c>
      <c r="EF84">
        <f ca="1">'JACOBIAN - SWAP USD3ML'!D93</f>
        <v>6.03730399006963E-11</v>
      </c>
      <c r="EG84">
        <f ca="1">'JACOBIAN - SWAP USD3ML'!E93</f>
        <v>1.9545254303921001E-11</v>
      </c>
      <c r="EH84">
        <f ca="1">'JACOBIAN - SWAP USD3ML'!F93</f>
        <v>1.0986767051690501E-12</v>
      </c>
      <c r="EI84">
        <f ca="1">'JACOBIAN - SWAP USD3ML'!G93</f>
        <v>1.7736923041411501E-12</v>
      </c>
      <c r="EJ84">
        <f ca="1">'JACOBIAN - SWAP USD3ML'!H93</f>
        <v>6.2589045057848099E-11</v>
      </c>
      <c r="EK84">
        <f ca="1">'JACOBIAN - SWAP USD3ML'!I93</f>
        <v>8.0382811518120395E-11</v>
      </c>
      <c r="EL84">
        <f ca="1">'JACOBIAN - SWAP USD3ML'!J93</f>
        <v>7.9925399631974895E-11</v>
      </c>
      <c r="EM84">
        <f ca="1">'JACOBIAN - SWAP USD3ML'!K93</f>
        <v>7.9516837558912799E-11</v>
      </c>
      <c r="EN84">
        <f ca="1">'JACOBIAN - SWAP USD3ML'!L93</f>
        <v>7.9329431912356098E-11</v>
      </c>
      <c r="EO84">
        <f ca="1">'JACOBIAN - SWAP USD3ML'!M93</f>
        <v>7.8538953118823E-11</v>
      </c>
      <c r="EP84">
        <f ca="1">'JACOBIAN - SWAP USD3ML'!N93</f>
        <v>1.64294355897709E-10</v>
      </c>
      <c r="EQ84">
        <f ca="1">'JACOBIAN - SWAP USD3ML'!O93</f>
        <v>-3.97684818409516E-9</v>
      </c>
      <c r="ER84">
        <f ca="1">'JACOBIAN - SWAP USD3ML'!P93</f>
        <v>1.9252965444138701E-8</v>
      </c>
      <c r="ES84">
        <f ca="1">'JACOBIAN - SWAP USD3ML'!Q93</f>
        <v>-4.7960636351263E-8</v>
      </c>
      <c r="ET84">
        <f ca="1">'JACOBIAN - SWAP USD3ML'!R93</f>
        <v>4.23177300312716E-7</v>
      </c>
      <c r="EU84">
        <f ca="1">'JACOBIAN - SWAP USD3ML'!S93</f>
        <v>-2.2045818122151702E-6</v>
      </c>
      <c r="EV84">
        <f ca="1">'JACOBIAN - SWAP USD3ML'!T93</f>
        <v>9.5883177495537097E-6</v>
      </c>
      <c r="EW84">
        <f ca="1">'JACOBIAN - SWAP USD3ML'!U93</f>
        <v>-2.1389153748607698E-5</v>
      </c>
      <c r="EX84">
        <f ca="1">'JACOBIAN - SWAP USD3ML'!V93</f>
        <v>4.7356806345710802E-5</v>
      </c>
      <c r="EY84">
        <f ca="1">'JACOBIAN - SWAP USD3ML'!W93</f>
        <v>-4.5651233002619302E-4</v>
      </c>
      <c r="EZ84">
        <f ca="1">'JACOBIAN - SWAP USD3ML'!X93</f>
        <v>6.1409676231871701E-4</v>
      </c>
      <c r="FA84">
        <f ca="1">'JACOBIAN - SWAP USD3ML'!Y93</f>
        <v>-1.16723222199688E-4</v>
      </c>
      <c r="FB84">
        <f ca="1">'JACOBIAN - SWAP USD3ML'!Z93</f>
        <v>2.3760455350796399E-5</v>
      </c>
    </row>
    <row r="85" spans="24:158" x14ac:dyDescent="0.25">
      <c r="X85" s="258">
        <f t="shared" ca="1" si="76"/>
        <v>50116</v>
      </c>
      <c r="Y85" s="261">
        <v>0</v>
      </c>
      <c r="AA85" s="257">
        <f t="shared" ca="1" si="110"/>
        <v>50116</v>
      </c>
      <c r="AB85" s="266">
        <f t="shared" ca="1" si="77"/>
        <v>-1.3028373395220754E-3</v>
      </c>
      <c r="AC85" s="266"/>
      <c r="AD85" s="290">
        <f ca="1"/>
        <v>50116</v>
      </c>
      <c r="AE85" s="291">
        <f ca="1"/>
        <v>-1.3028373395220783E-3</v>
      </c>
      <c r="AF85" s="291" t="b">
        <f t="shared" ca="1" si="111"/>
        <v>1</v>
      </c>
      <c r="AH85" s="257">
        <f t="shared" ca="1" si="78"/>
        <v>50116</v>
      </c>
      <c r="AI85" s="260">
        <v>0</v>
      </c>
      <c r="AK85" s="290">
        <f ca="1"/>
        <v>50116</v>
      </c>
      <c r="AL85" s="291">
        <f ca="1"/>
        <v>9.8384423996390052E-5</v>
      </c>
      <c r="AM85" s="291" t="b">
        <f t="shared" ca="1" si="79"/>
        <v>1</v>
      </c>
      <c r="AO85" s="257">
        <f t="shared" ca="1" si="80"/>
        <v>50116</v>
      </c>
      <c r="AP85" s="266">
        <f t="shared" ca="1" si="112"/>
        <v>9.8384423996390988E-5</v>
      </c>
      <c r="AR85" s="248">
        <f ca="1">'JACOBIAN - OIS USDOIS'!B94</f>
        <v>50116</v>
      </c>
      <c r="AS85">
        <f ca="1">'JACOBIAN - OIS USDOIS'!C94</f>
        <v>-8.3708224452028201E-7</v>
      </c>
      <c r="AT85">
        <f ca="1">'JACOBIAN - OIS USDOIS'!D94</f>
        <v>-2.9776181520446698E-12</v>
      </c>
      <c r="AU85">
        <f ca="1">'JACOBIAN - OIS USDOIS'!E94</f>
        <v>1.15690790281064E-11</v>
      </c>
      <c r="AV85">
        <f ca="1">'JACOBIAN - OIS USDOIS'!F94</f>
        <v>-3.09451353430745E-11</v>
      </c>
      <c r="AW85">
        <f ca="1">'JACOBIAN - OIS USDOIS'!G94</f>
        <v>4.0344727558761003E-11</v>
      </c>
      <c r="AX85">
        <f ca="1">'JACOBIAN - OIS USDOIS'!H94</f>
        <v>-9.0578877731672895E-11</v>
      </c>
      <c r="AY85">
        <f ca="1">'JACOBIAN - OIS USDOIS'!I94</f>
        <v>-1.03476456292384E-8</v>
      </c>
      <c r="AZ85">
        <f ca="1">'JACOBIAN - OIS USDOIS'!J94</f>
        <v>-1.1086066509236E-9</v>
      </c>
      <c r="BA85">
        <f ca="1">'JACOBIAN - OIS USDOIS'!K94</f>
        <v>4.2596302041175696E-9</v>
      </c>
      <c r="BB85">
        <f ca="1">'JACOBIAN - OIS USDOIS'!L94</f>
        <v>3.3333386051381798E-7</v>
      </c>
      <c r="BC85">
        <f ca="1">'JACOBIAN - OIS USDOIS'!M94</f>
        <v>-1.8562961057177999E-8</v>
      </c>
      <c r="BD85">
        <f ca="1">'JACOBIAN - OIS USDOIS'!N94</f>
        <v>4.4664272280670002E-13</v>
      </c>
      <c r="BE85">
        <f ca="1">'JACOBIAN - OIS USDOIS'!O94</f>
        <v>4.4664272280670002E-13</v>
      </c>
      <c r="BF85">
        <f ca="1">'JACOBIAN - OIS USDOIS'!P94</f>
        <v>4.4664272280670002E-13</v>
      </c>
      <c r="BG85">
        <f ca="1">'JACOBIAN - OIS USDOIS'!Q94</f>
        <v>4.4664272280670002E-13</v>
      </c>
      <c r="BH85">
        <f ca="1">'JACOBIAN - OIS USDOIS'!R94</f>
        <v>4.4664272280670002E-13</v>
      </c>
      <c r="BI85" s="161">
        <f ca="1">'JACOBIAN - OIS USDOIS'!S94</f>
        <v>-7.7216560390169796E-7</v>
      </c>
      <c r="BJ85" s="161">
        <f ca="1">'JACOBIAN - OIS USDOIS'!T94</f>
        <v>-3.77876587476234E-6</v>
      </c>
      <c r="BK85" s="161">
        <f ca="1">'JACOBIAN - OIS USDOIS'!U94</f>
        <v>-6.5503862600735395E-7</v>
      </c>
      <c r="BL85" s="161">
        <f ca="1">'JACOBIAN - OIS USDOIS'!V94</f>
        <v>-1.4793750345965E-5</v>
      </c>
      <c r="BM85" s="161">
        <f ca="1">'JACOBIAN - OIS USDOIS'!W94</f>
        <v>1.1030385529853201E-5</v>
      </c>
      <c r="BN85" s="161">
        <f ca="1">'JACOBIAN - OIS USDOIS'!X94</f>
        <v>-6.2018490620818794E-5</v>
      </c>
      <c r="BO85" s="161">
        <f ca="1">'JACOBIAN - OIS USDOIS'!Y94</f>
        <v>1.3708288481095699E-4</v>
      </c>
      <c r="BP85" s="161">
        <f ca="1">'JACOBIAN - OIS USDOIS'!Z94</f>
        <v>-5.2419874309494996E-4</v>
      </c>
      <c r="BQ85" s="161">
        <f ca="1">'JACOBIAN - OIS USDOIS'!AA94</f>
        <v>1.1542108961879499E-3</v>
      </c>
      <c r="BR85" s="161">
        <f ca="1">'JACOBIAN - OIS USDOIS'!AB94</f>
        <v>7.6083121559744604E-4</v>
      </c>
      <c r="BS85" s="161">
        <f ca="1">'JACOBIAN - OIS USDOIS'!AC94</f>
        <v>-1.5925340201106101E-4</v>
      </c>
      <c r="BT85" s="161">
        <f ca="1">'JACOBIAN - OIS USDOIS'!AD94</f>
        <v>2.7082361900410101E-5</v>
      </c>
      <c r="BU85">
        <f ca="1">'JACOBIAN - OIS USDOIS'!AE94</f>
        <v>7.57886258972995E-7</v>
      </c>
      <c r="BV85">
        <f ca="1">'JACOBIAN - OIS USDOIS'!AF94</f>
        <v>3.71551578393081E-6</v>
      </c>
      <c r="BW85">
        <f ca="1">'JACOBIAN - OIS USDOIS'!AG94</f>
        <v>6.4407134237054496E-7</v>
      </c>
      <c r="BX85">
        <f ca="1">'JACOBIAN - OIS USDOIS'!AH94</f>
        <v>1.45587301447758E-5</v>
      </c>
      <c r="BY85">
        <f ca="1">'JACOBIAN - OIS USDOIS'!AI94</f>
        <v>-1.0860973299053901E-5</v>
      </c>
      <c r="BZ85">
        <f ca="1">'JACOBIAN - OIS USDOIS'!AJ94</f>
        <v>6.1031487778251403E-5</v>
      </c>
      <c r="CA85">
        <f ca="1">'JACOBIAN - OIS USDOIS'!AK94</f>
        <v>-1.3494148086501401E-4</v>
      </c>
      <c r="CB85">
        <f ca="1">'JACOBIAN - OIS USDOIS'!AL94</f>
        <v>5.1652404708135702E-4</v>
      </c>
      <c r="CC85">
        <f ca="1">'JACOBIAN - OIS USDOIS'!AM94</f>
        <v>-1.1351669172557899E-3</v>
      </c>
      <c r="CD85">
        <f ca="1">'JACOBIAN - OIS USDOIS'!AN94</f>
        <v>-7.4889040558567799E-4</v>
      </c>
      <c r="CE85">
        <f ca="1">'JACOBIAN - OIS USDOIS'!AO94</f>
        <v>1.5704505687497199E-4</v>
      </c>
      <c r="CF85">
        <f ca="1">'JACOBIAN - OIS USDOIS'!AP94</f>
        <v>-2.67247794594194E-5</v>
      </c>
      <c r="CK85" s="248">
        <f t="shared" ca="1" si="81"/>
        <v>50116</v>
      </c>
      <c r="CL85">
        <f t="shared" ca="1" si="82"/>
        <v>-8.3708224452028201E-7</v>
      </c>
      <c r="CM85">
        <f t="shared" ca="1" si="83"/>
        <v>-2.9776181520446698E-12</v>
      </c>
      <c r="CN85">
        <f t="shared" ca="1" si="84"/>
        <v>1.15690790281064E-11</v>
      </c>
      <c r="CO85">
        <f t="shared" ca="1" si="85"/>
        <v>-3.09451353430745E-11</v>
      </c>
      <c r="CP85">
        <f t="shared" ca="1" si="86"/>
        <v>4.0344727558761003E-11</v>
      </c>
      <c r="CQ85">
        <f t="shared" ca="1" si="87"/>
        <v>-9.0578877731672895E-11</v>
      </c>
      <c r="CR85">
        <f t="shared" ca="1" si="88"/>
        <v>-1.03476456292384E-8</v>
      </c>
      <c r="CS85">
        <f t="shared" ca="1" si="89"/>
        <v>-1.1086066509236E-9</v>
      </c>
      <c r="CT85">
        <f t="shared" ca="1" si="90"/>
        <v>4.2596302041175696E-9</v>
      </c>
      <c r="CU85">
        <f t="shared" ca="1" si="91"/>
        <v>3.3333386051381798E-7</v>
      </c>
      <c r="CV85">
        <f t="shared" ca="1" si="92"/>
        <v>-1.8562961057177999E-8</v>
      </c>
      <c r="CW85">
        <f t="shared" ca="1" si="93"/>
        <v>4.4664272280670002E-13</v>
      </c>
      <c r="CX85">
        <f t="shared" ca="1" si="94"/>
        <v>4.4664272280670002E-13</v>
      </c>
      <c r="CY85">
        <f t="shared" ca="1" si="95"/>
        <v>4.4664272280670002E-13</v>
      </c>
      <c r="CZ85">
        <f t="shared" ca="1" si="96"/>
        <v>4.4664272280670002E-13</v>
      </c>
      <c r="DA85">
        <f t="shared" ca="1" si="97"/>
        <v>4.4664272280670002E-13</v>
      </c>
      <c r="DB85" s="146">
        <v>0</v>
      </c>
      <c r="DC85" s="146">
        <v>0</v>
      </c>
      <c r="DD85" s="146">
        <v>0</v>
      </c>
      <c r="DE85" s="146">
        <v>0</v>
      </c>
      <c r="DF85" s="146">
        <v>0</v>
      </c>
      <c r="DG85" s="146">
        <v>0</v>
      </c>
      <c r="DH85" s="146">
        <v>0</v>
      </c>
      <c r="DI85" s="146">
        <v>0</v>
      </c>
      <c r="DJ85" s="146">
        <v>0</v>
      </c>
      <c r="DK85" s="146">
        <v>0</v>
      </c>
      <c r="DL85" s="146">
        <v>0</v>
      </c>
      <c r="DM85" s="146">
        <v>0</v>
      </c>
      <c r="DN85">
        <f t="shared" ca="1" si="98"/>
        <v>7.57886258972995E-7</v>
      </c>
      <c r="DO85">
        <f t="shared" ca="1" si="99"/>
        <v>3.71551578393081E-6</v>
      </c>
      <c r="DP85">
        <f t="shared" ca="1" si="100"/>
        <v>6.4407134237054496E-7</v>
      </c>
      <c r="DQ85">
        <f t="shared" ca="1" si="101"/>
        <v>1.45587301447758E-5</v>
      </c>
      <c r="DR85">
        <f t="shared" ca="1" si="102"/>
        <v>-1.0860973299053901E-5</v>
      </c>
      <c r="DS85">
        <f t="shared" ca="1" si="103"/>
        <v>6.1031487778251403E-5</v>
      </c>
      <c r="DT85">
        <f t="shared" ca="1" si="104"/>
        <v>-1.3494148086501401E-4</v>
      </c>
      <c r="DU85">
        <f t="shared" ca="1" si="105"/>
        <v>5.1652404708135702E-4</v>
      </c>
      <c r="DV85">
        <f t="shared" ca="1" si="106"/>
        <v>-1.1351669172557899E-3</v>
      </c>
      <c r="DW85">
        <f t="shared" ca="1" si="107"/>
        <v>-7.4889040558567799E-4</v>
      </c>
      <c r="DX85">
        <f t="shared" ca="1" si="108"/>
        <v>1.5704505687497199E-4</v>
      </c>
      <c r="DY85">
        <f t="shared" ca="1" si="109"/>
        <v>-2.67247794594194E-5</v>
      </c>
      <c r="ED85" s="248">
        <f ca="1">'JACOBIAN - SWAP USD3ML'!B94</f>
        <v>50116</v>
      </c>
      <c r="EE85">
        <f ca="1">'JACOBIAN - SWAP USD3ML'!C94</f>
        <v>1.1156284229763001E-12</v>
      </c>
      <c r="EF85">
        <f ca="1">'JACOBIAN - SWAP USD3ML'!D94</f>
        <v>1.27924629222953E-10</v>
      </c>
      <c r="EG85">
        <f ca="1">'JACOBIAN - SWAP USD3ML'!E94</f>
        <v>1.97172729532458E-11</v>
      </c>
      <c r="EH85">
        <f ca="1">'JACOBIAN - SWAP USD3ML'!F94</f>
        <v>1.1156284229763001E-12</v>
      </c>
      <c r="EI85">
        <f ca="1">'JACOBIAN - SWAP USD3ML'!G94</f>
        <v>2.5275441462024901E-12</v>
      </c>
      <c r="EJ85">
        <f ca="1">'JACOBIAN - SWAP USD3ML'!H94</f>
        <v>1.2991086678626499E-10</v>
      </c>
      <c r="EK85">
        <f ca="1">'JACOBIAN - SWAP USD3ML'!I94</f>
        <v>1.4761409455887899E-10</v>
      </c>
      <c r="EL85">
        <f ca="1">'JACOBIAN - SWAP USD3ML'!J94</f>
        <v>1.4693377070606999E-10</v>
      </c>
      <c r="EM85">
        <f ca="1">'JACOBIAN - SWAP USD3ML'!K94</f>
        <v>1.4630992251074601E-10</v>
      </c>
      <c r="EN85">
        <f ca="1">'JACOBIAN - SWAP USD3ML'!L94</f>
        <v>1.4591545333120201E-10</v>
      </c>
      <c r="EO85">
        <f ca="1">'JACOBIAN - SWAP USD3ML'!M94</f>
        <v>1.44508752186745E-10</v>
      </c>
      <c r="EP85">
        <f ca="1">'JACOBIAN - SWAP USD3ML'!N94</f>
        <v>3.07328076182278E-10</v>
      </c>
      <c r="EQ85">
        <f ca="1">'JACOBIAN - SWAP USD3ML'!O94</f>
        <v>-7.4417281017980002E-9</v>
      </c>
      <c r="ER85">
        <f ca="1">'JACOBIAN - SWAP USD3ML'!P94</f>
        <v>3.60212859540354E-8</v>
      </c>
      <c r="ES85">
        <f ca="1">'JACOBIAN - SWAP USD3ML'!Q94</f>
        <v>-8.9736077697050205E-8</v>
      </c>
      <c r="ET85">
        <f ca="1">'JACOBIAN - SWAP USD3ML'!R94</f>
        <v>7.9177004083663704E-7</v>
      </c>
      <c r="EU85">
        <f ca="1">'JACOBIAN - SWAP USD3ML'!S94</f>
        <v>-4.1247830012448903E-6</v>
      </c>
      <c r="EV85">
        <f ca="1">'JACOBIAN - SWAP USD3ML'!T94</f>
        <v>1.7940139233306499E-5</v>
      </c>
      <c r="EW85">
        <f ca="1">'JACOBIAN - SWAP USD3ML'!U94</f>
        <v>-4.0017996273254697E-5</v>
      </c>
      <c r="EX85">
        <f ca="1">'JACOBIAN - SWAP USD3ML'!V94</f>
        <v>8.8611986827323602E-5</v>
      </c>
      <c r="EY85">
        <f ca="1">'JACOBIAN - SWAP USD3ML'!W94</f>
        <v>-4.9882270076779004E-4</v>
      </c>
      <c r="EZ85">
        <f ca="1">'JACOBIAN - SWAP USD3ML'!X94</f>
        <v>6.1024394494233998E-4</v>
      </c>
      <c r="FA85">
        <f ca="1">'JACOBIAN - SWAP USD3ML'!Y94</f>
        <v>-9.5648214246294604E-5</v>
      </c>
      <c r="FB85">
        <f ca="1">'JACOBIAN - SWAP USD3ML'!Z94</f>
        <v>1.94701128393739E-5</v>
      </c>
    </row>
    <row r="86" spans="24:158" x14ac:dyDescent="0.25">
      <c r="X86" s="258">
        <f t="shared" ca="1" si="76"/>
        <v>50208</v>
      </c>
      <c r="Y86" s="261">
        <v>0</v>
      </c>
      <c r="AA86" s="257">
        <f t="shared" ca="1" si="110"/>
        <v>50208</v>
      </c>
      <c r="AB86" s="266">
        <f t="shared" ca="1" si="77"/>
        <v>-1.3159026914201259E-3</v>
      </c>
      <c r="AC86" s="266"/>
      <c r="AD86" s="290">
        <f ca="1"/>
        <v>50208</v>
      </c>
      <c r="AE86" s="291">
        <f ca="1"/>
        <v>-1.3159026914201233E-3</v>
      </c>
      <c r="AF86" s="291" t="b">
        <f t="shared" ca="1" si="111"/>
        <v>1</v>
      </c>
      <c r="AH86" s="257">
        <f t="shared" ca="1" si="78"/>
        <v>50208</v>
      </c>
      <c r="AI86" s="260">
        <v>0</v>
      </c>
      <c r="AK86" s="290">
        <f ca="1"/>
        <v>50208</v>
      </c>
      <c r="AL86" s="291">
        <f ca="1"/>
        <v>9.8388762454690998E-5</v>
      </c>
      <c r="AM86" s="291" t="b">
        <f t="shared" ca="1" si="79"/>
        <v>1</v>
      </c>
      <c r="AO86" s="257">
        <f t="shared" ca="1" si="80"/>
        <v>50208</v>
      </c>
      <c r="AP86" s="266">
        <f t="shared" ca="1" si="112"/>
        <v>9.838876245469051E-5</v>
      </c>
      <c r="AR86" s="248">
        <f ca="1">'JACOBIAN - OIS USDOIS'!B95</f>
        <v>50208</v>
      </c>
      <c r="AS86">
        <f ca="1">'JACOBIAN - OIS USDOIS'!C95</f>
        <v>-8.3314337651074798E-7</v>
      </c>
      <c r="AT86">
        <f ca="1">'JACOBIAN - OIS USDOIS'!D95</f>
        <v>-4.20219414820622E-13</v>
      </c>
      <c r="AU86">
        <f ca="1">'JACOBIAN - OIS USDOIS'!E95</f>
        <v>1.35491617925254E-12</v>
      </c>
      <c r="AV86">
        <f ca="1">'JACOBIAN - OIS USDOIS'!F95</f>
        <v>-4.0299985570868598E-12</v>
      </c>
      <c r="AW86">
        <f ca="1">'JACOBIAN - OIS USDOIS'!G95</f>
        <v>5.71520608616538E-12</v>
      </c>
      <c r="AX86">
        <f ca="1">'JACOBIAN - OIS USDOIS'!H95</f>
        <v>-1.22341026198569E-11</v>
      </c>
      <c r="AY86">
        <f ca="1">'JACOBIAN - OIS USDOIS'!I95</f>
        <v>-1.0556588936339E-8</v>
      </c>
      <c r="AZ86">
        <f ca="1">'JACOBIAN - OIS USDOIS'!J95</f>
        <v>-1.51161527739418E-10</v>
      </c>
      <c r="BA86">
        <f ca="1">'JACOBIAN - OIS USDOIS'!K95</f>
        <v>5.7368132466706398E-10</v>
      </c>
      <c r="BB86">
        <f ca="1">'JACOBIAN - OIS USDOIS'!L95</f>
        <v>3.3809555899377799E-7</v>
      </c>
      <c r="BC86">
        <f ca="1">'JACOBIAN - OIS USDOIS'!M95</f>
        <v>-3.0117970784004897E-8</v>
      </c>
      <c r="BD86">
        <f ca="1">'JACOBIAN - OIS USDOIS'!N95</f>
        <v>4.3076653355456099E-13</v>
      </c>
      <c r="BE86">
        <f ca="1">'JACOBIAN - OIS USDOIS'!O95</f>
        <v>4.3076653355456099E-13</v>
      </c>
      <c r="BF86">
        <f ca="1">'JACOBIAN - OIS USDOIS'!P95</f>
        <v>4.3076653355456099E-13</v>
      </c>
      <c r="BG86">
        <f ca="1">'JACOBIAN - OIS USDOIS'!Q95</f>
        <v>4.3076653355456099E-13</v>
      </c>
      <c r="BH86">
        <f ca="1">'JACOBIAN - OIS USDOIS'!R95</f>
        <v>4.3076653355456099E-13</v>
      </c>
      <c r="BI86" s="161">
        <f ca="1">'JACOBIAN - OIS USDOIS'!S95</f>
        <v>-7.8559982530368402E-7</v>
      </c>
      <c r="BJ86" s="161">
        <f ca="1">'JACOBIAN - OIS USDOIS'!T95</f>
        <v>-3.74447047468696E-6</v>
      </c>
      <c r="BK86" s="161">
        <f ca="1">'JACOBIAN - OIS USDOIS'!U95</f>
        <v>-7.4525255522317501E-7</v>
      </c>
      <c r="BL86" s="161">
        <f ca="1">'JACOBIAN - OIS USDOIS'!V95</f>
        <v>-1.4423289576237499E-5</v>
      </c>
      <c r="BM86" s="161">
        <f ca="1">'JACOBIAN - OIS USDOIS'!W95</f>
        <v>1.03322354585433E-5</v>
      </c>
      <c r="BN86" s="161">
        <f ca="1">'JACOBIAN - OIS USDOIS'!X95</f>
        <v>-6.0637545011954501E-5</v>
      </c>
      <c r="BO86" s="161">
        <f ca="1">'JACOBIAN - OIS USDOIS'!Y95</f>
        <v>1.3061879101650099E-4</v>
      </c>
      <c r="BP86" s="161">
        <f ca="1">'JACOBIAN - OIS USDOIS'!Z95</f>
        <v>-5.0539929882520397E-4</v>
      </c>
      <c r="BQ86" s="161">
        <f ca="1">'JACOBIAN - OIS USDOIS'!AA95</f>
        <v>1.054736559015E-3</v>
      </c>
      <c r="BR86" s="161">
        <f ca="1">'JACOBIAN - OIS USDOIS'!AB95</f>
        <v>8.7230091147072497E-4</v>
      </c>
      <c r="BS86" s="161">
        <f ca="1">'JACOBIAN - OIS USDOIS'!AC95</f>
        <v>-1.73898139871675E-4</v>
      </c>
      <c r="BT86" s="161">
        <f ca="1">'JACOBIAN - OIS USDOIS'!AD95</f>
        <v>2.9573171462460301E-5</v>
      </c>
      <c r="BU86">
        <f ca="1">'JACOBIAN - OIS USDOIS'!AE95</f>
        <v>7.7107783935659303E-7</v>
      </c>
      <c r="BV86">
        <f ca="1">'JACOBIAN - OIS USDOIS'!AF95</f>
        <v>3.6817913050546401E-6</v>
      </c>
      <c r="BW86">
        <f ca="1">'JACOBIAN - OIS USDOIS'!AG95</f>
        <v>7.328368968329E-7</v>
      </c>
      <c r="BX86">
        <f ca="1">'JACOBIAN - OIS USDOIS'!AH95</f>
        <v>1.41940953315434E-5</v>
      </c>
      <c r="BY86">
        <f ca="1">'JACOBIAN - OIS USDOIS'!AI95</f>
        <v>-1.01740409229611E-5</v>
      </c>
      <c r="BZ86">
        <f ca="1">'JACOBIAN - OIS USDOIS'!AJ95</f>
        <v>5.9672080559014497E-5</v>
      </c>
      <c r="CA86">
        <f ca="1">'JACOBIAN - OIS USDOIS'!AK95</f>
        <v>-1.28580871138206E-4</v>
      </c>
      <c r="CB86">
        <f ca="1">'JACOBIAN - OIS USDOIS'!AL95</f>
        <v>4.9798635248510205E-4</v>
      </c>
      <c r="CC86">
        <f ca="1">'JACOBIAN - OIS USDOIS'!AM95</f>
        <v>-1.03747722081027E-3</v>
      </c>
      <c r="CD86">
        <f ca="1">'JACOBIAN - OIS USDOIS'!AN95</f>
        <v>-8.5848105132968499E-4</v>
      </c>
      <c r="CE86">
        <f ca="1">'JACOBIAN - OIS USDOIS'!AO95</f>
        <v>1.7149016744721901E-4</v>
      </c>
      <c r="CF86">
        <f ca="1">'JACOBIAN - OIS USDOIS'!AP95</f>
        <v>-2.9182601765320699E-5</v>
      </c>
      <c r="CK86" s="248">
        <f t="shared" ca="1" si="81"/>
        <v>50208</v>
      </c>
      <c r="CL86">
        <f t="shared" ca="1" si="82"/>
        <v>-8.3314337651074798E-7</v>
      </c>
      <c r="CM86">
        <f t="shared" ca="1" si="83"/>
        <v>-4.20219414820622E-13</v>
      </c>
      <c r="CN86">
        <f t="shared" ca="1" si="84"/>
        <v>1.35491617925254E-12</v>
      </c>
      <c r="CO86">
        <f t="shared" ca="1" si="85"/>
        <v>-4.0299985570868598E-12</v>
      </c>
      <c r="CP86">
        <f t="shared" ca="1" si="86"/>
        <v>5.71520608616538E-12</v>
      </c>
      <c r="CQ86">
        <f t="shared" ca="1" si="87"/>
        <v>-1.22341026198569E-11</v>
      </c>
      <c r="CR86">
        <f t="shared" ca="1" si="88"/>
        <v>-1.0556588936339E-8</v>
      </c>
      <c r="CS86">
        <f t="shared" ca="1" si="89"/>
        <v>-1.51161527739418E-10</v>
      </c>
      <c r="CT86">
        <f t="shared" ca="1" si="90"/>
        <v>5.7368132466706398E-10</v>
      </c>
      <c r="CU86">
        <f t="shared" ca="1" si="91"/>
        <v>3.3809555899377799E-7</v>
      </c>
      <c r="CV86">
        <f t="shared" ca="1" si="92"/>
        <v>-3.0117970784004897E-8</v>
      </c>
      <c r="CW86">
        <f t="shared" ca="1" si="93"/>
        <v>4.3076653355456099E-13</v>
      </c>
      <c r="CX86">
        <f t="shared" ca="1" si="94"/>
        <v>4.3076653355456099E-13</v>
      </c>
      <c r="CY86">
        <f t="shared" ca="1" si="95"/>
        <v>4.3076653355456099E-13</v>
      </c>
      <c r="CZ86">
        <f t="shared" ca="1" si="96"/>
        <v>4.3076653355456099E-13</v>
      </c>
      <c r="DA86">
        <f t="shared" ca="1" si="97"/>
        <v>4.3076653355456099E-13</v>
      </c>
      <c r="DB86" s="146">
        <v>0</v>
      </c>
      <c r="DC86" s="146">
        <v>0</v>
      </c>
      <c r="DD86" s="146">
        <v>0</v>
      </c>
      <c r="DE86" s="146">
        <v>0</v>
      </c>
      <c r="DF86" s="146">
        <v>0</v>
      </c>
      <c r="DG86" s="146">
        <v>0</v>
      </c>
      <c r="DH86" s="146">
        <v>0</v>
      </c>
      <c r="DI86" s="146">
        <v>0</v>
      </c>
      <c r="DJ86" s="146">
        <v>0</v>
      </c>
      <c r="DK86" s="146">
        <v>0</v>
      </c>
      <c r="DL86" s="146">
        <v>0</v>
      </c>
      <c r="DM86" s="146">
        <v>0</v>
      </c>
      <c r="DN86">
        <f t="shared" ca="1" si="98"/>
        <v>7.7107783935659303E-7</v>
      </c>
      <c r="DO86">
        <f t="shared" ca="1" si="99"/>
        <v>3.6817913050546401E-6</v>
      </c>
      <c r="DP86">
        <f t="shared" ca="1" si="100"/>
        <v>7.328368968329E-7</v>
      </c>
      <c r="DQ86">
        <f t="shared" ca="1" si="101"/>
        <v>1.41940953315434E-5</v>
      </c>
      <c r="DR86">
        <f t="shared" ca="1" si="102"/>
        <v>-1.01740409229611E-5</v>
      </c>
      <c r="DS86">
        <f t="shared" ca="1" si="103"/>
        <v>5.9672080559014497E-5</v>
      </c>
      <c r="DT86">
        <f t="shared" ca="1" si="104"/>
        <v>-1.28580871138206E-4</v>
      </c>
      <c r="DU86">
        <f t="shared" ca="1" si="105"/>
        <v>4.9798635248510205E-4</v>
      </c>
      <c r="DV86">
        <f t="shared" ca="1" si="106"/>
        <v>-1.03747722081027E-3</v>
      </c>
      <c r="DW86">
        <f t="shared" ca="1" si="107"/>
        <v>-8.5848105132968499E-4</v>
      </c>
      <c r="DX86">
        <f t="shared" ca="1" si="108"/>
        <v>1.7149016744721901E-4</v>
      </c>
      <c r="DY86">
        <f t="shared" ca="1" si="109"/>
        <v>-2.9182601765320699E-5</v>
      </c>
      <c r="ED86" s="248">
        <f ca="1">'JACOBIAN - SWAP USD3ML'!B95</f>
        <v>50208</v>
      </c>
      <c r="EE86">
        <f ca="1">'JACOBIAN - SWAP USD3ML'!C95</f>
        <v>1.12258119466802E-12</v>
      </c>
      <c r="EF86">
        <f ca="1">'JACOBIAN - SWAP USD3ML'!D95</f>
        <v>1.8622408129442801E-10</v>
      </c>
      <c r="EG86">
        <f ca="1">'JACOBIAN - SWAP USD3ML'!E95</f>
        <v>1.96903361671108E-11</v>
      </c>
      <c r="EH86">
        <f ca="1">'JACOBIAN - SWAP USD3ML'!F95</f>
        <v>1.12084300174509E-12</v>
      </c>
      <c r="EI86">
        <f ca="1">'JACOBIAN - SWAP USD3ML'!G95</f>
        <v>3.1722471871553601E-12</v>
      </c>
      <c r="EJ86">
        <f ca="1">'JACOBIAN - SWAP USD3ML'!H95</f>
        <v>1.87987889144203E-10</v>
      </c>
      <c r="EK86">
        <f ca="1">'JACOBIAN - SWAP USD3ML'!I95</f>
        <v>2.0545044138176E-10</v>
      </c>
      <c r="EL86">
        <f ca="1">'JACOBIAN - SWAP USD3ML'!J95</f>
        <v>2.04579832241425E-10</v>
      </c>
      <c r="EM86">
        <f ca="1">'JACOBIAN - SWAP USD3ML'!K95</f>
        <v>2.0377265153026501E-10</v>
      </c>
      <c r="EN86">
        <f ca="1">'JACOBIAN - SWAP USD3ML'!L95</f>
        <v>2.0319832969018E-10</v>
      </c>
      <c r="EO86">
        <f ca="1">'JACOBIAN - SWAP USD3ML'!M95</f>
        <v>2.0126335667503E-10</v>
      </c>
      <c r="EP86">
        <f ca="1">'JACOBIAN - SWAP USD3ML'!N95</f>
        <v>4.3043568709322198E-10</v>
      </c>
      <c r="EQ86">
        <f ca="1">'JACOBIAN - SWAP USD3ML'!O95</f>
        <v>-1.0423866117492699E-8</v>
      </c>
      <c r="ER86">
        <f ca="1">'JACOBIAN - SWAP USD3ML'!P95</f>
        <v>5.0453291981777902E-8</v>
      </c>
      <c r="ES86">
        <f ca="1">'JACOBIAN - SWAP USD3ML'!Q95</f>
        <v>-1.2569101759396501E-7</v>
      </c>
      <c r="ET86">
        <f ca="1">'JACOBIAN - SWAP USD3ML'!R95</f>
        <v>1.1090072955625999E-6</v>
      </c>
      <c r="EU86">
        <f ca="1">'JACOBIAN - SWAP USD3ML'!S95</f>
        <v>-5.7774442699491702E-6</v>
      </c>
      <c r="EV86">
        <f ca="1">'JACOBIAN - SWAP USD3ML'!T95</f>
        <v>2.5128329199170701E-5</v>
      </c>
      <c r="EW86">
        <f ca="1">'JACOBIAN - SWAP USD3ML'!U95</f>
        <v>-5.6051227276976403E-5</v>
      </c>
      <c r="EX86">
        <f ca="1">'JACOBIAN - SWAP USD3ML'!V95</f>
        <v>1.2411953615073E-4</v>
      </c>
      <c r="EY86">
        <f ca="1">'JACOBIAN - SWAP USD3ML'!W95</f>
        <v>-5.3188336848863601E-4</v>
      </c>
      <c r="EZ86">
        <f ca="1">'JACOBIAN - SWAP USD3ML'!X95</f>
        <v>5.9684473551945699E-4</v>
      </c>
      <c r="FA86">
        <f ca="1">'JACOBIAN - SWAP USD3ML'!Y95</f>
        <v>-6.9078151094029803E-5</v>
      </c>
      <c r="FB86">
        <f ca="1">'JACOBIAN - SWAP USD3ML'!Z95</f>
        <v>1.40611589928147E-5</v>
      </c>
    </row>
    <row r="87" spans="24:158" x14ac:dyDescent="0.25">
      <c r="X87" s="258">
        <f t="shared" ca="1" si="76"/>
        <v>50300</v>
      </c>
      <c r="Y87" s="261">
        <v>0</v>
      </c>
      <c r="AA87" s="257">
        <f t="shared" ca="1" si="110"/>
        <v>50300</v>
      </c>
      <c r="AB87" s="266">
        <f t="shared" ca="1" si="77"/>
        <v>-1.3288112526139706E-3</v>
      </c>
      <c r="AC87" s="266"/>
      <c r="AD87" s="290">
        <f ca="1"/>
        <v>50300</v>
      </c>
      <c r="AE87" s="291">
        <f ca="1"/>
        <v>-1.3288112526139706E-3</v>
      </c>
      <c r="AF87" s="291" t="b">
        <f t="shared" ca="1" si="111"/>
        <v>1</v>
      </c>
      <c r="AH87" s="257">
        <f t="shared" ca="1" si="78"/>
        <v>50300</v>
      </c>
      <c r="AI87" s="260">
        <v>0</v>
      </c>
      <c r="AK87" s="290">
        <f ca="1"/>
        <v>50300</v>
      </c>
      <c r="AL87" s="291">
        <f ca="1"/>
        <v>9.8383315750020378E-5</v>
      </c>
      <c r="AM87" s="291" t="b">
        <f t="shared" ca="1" si="79"/>
        <v>1</v>
      </c>
      <c r="AO87" s="257">
        <f t="shared" ca="1" si="80"/>
        <v>50300</v>
      </c>
      <c r="AP87" s="266">
        <f t="shared" ca="1" si="112"/>
        <v>9.8383315750019782E-5</v>
      </c>
      <c r="AR87" s="248">
        <f ca="1">'JACOBIAN - OIS USDOIS'!B96</f>
        <v>50300</v>
      </c>
      <c r="AS87">
        <f ca="1">'JACOBIAN - OIS USDOIS'!C96</f>
        <v>-8.2922462119050501E-7</v>
      </c>
      <c r="AT87">
        <f ca="1">'JACOBIAN - OIS USDOIS'!D96</f>
        <v>3.5189628988518998E-12</v>
      </c>
      <c r="AU87">
        <f ca="1">'JACOBIAN - OIS USDOIS'!E96</f>
        <v>-1.4380385771062301E-11</v>
      </c>
      <c r="AV87">
        <f ca="1">'JACOBIAN - OIS USDOIS'!F96</f>
        <v>3.7430392119119902E-11</v>
      </c>
      <c r="AW87">
        <f ca="1">'JACOBIAN - OIS USDOIS'!G96</f>
        <v>-4.7636228295289097E-11</v>
      </c>
      <c r="AX87">
        <f ca="1">'JACOBIAN - OIS USDOIS'!H96</f>
        <v>1.08456799097212E-10</v>
      </c>
      <c r="AY87">
        <f ca="1">'JACOBIAN - OIS USDOIS'!I96</f>
        <v>-1.0908589032077E-8</v>
      </c>
      <c r="AZ87">
        <f ca="1">'JACOBIAN - OIS USDOIS'!J96</f>
        <v>1.3238401486148599E-9</v>
      </c>
      <c r="BA87">
        <f ca="1">'JACOBIAN - OIS USDOIS'!K96</f>
        <v>-5.1047438498485998E-9</v>
      </c>
      <c r="BB87">
        <f ca="1">'JACOBIAN - OIS USDOIS'!L96</f>
        <v>3.45858381156638E-7</v>
      </c>
      <c r="BC87">
        <f ca="1">'JACOBIAN - OIS USDOIS'!M96</f>
        <v>-4.8009837105844597E-8</v>
      </c>
      <c r="BD87">
        <f ca="1">'JACOBIAN - OIS USDOIS'!N96</f>
        <v>4.1444625509257099E-13</v>
      </c>
      <c r="BE87">
        <f ca="1">'JACOBIAN - OIS USDOIS'!O96</f>
        <v>4.1444625509257099E-13</v>
      </c>
      <c r="BF87">
        <f ca="1">'JACOBIAN - OIS USDOIS'!P96</f>
        <v>4.1444625509257099E-13</v>
      </c>
      <c r="BG87">
        <f ca="1">'JACOBIAN - OIS USDOIS'!Q96</f>
        <v>4.1444625509257099E-13</v>
      </c>
      <c r="BH87">
        <f ca="1">'JACOBIAN - OIS USDOIS'!R96</f>
        <v>4.1444625509257099E-13</v>
      </c>
      <c r="BI87" s="161">
        <f ca="1">'JACOBIAN - OIS USDOIS'!S96</f>
        <v>-8.0725252171731696E-7</v>
      </c>
      <c r="BJ87" s="161">
        <f ca="1">'JACOBIAN - OIS USDOIS'!T96</f>
        <v>-3.69590402582443E-6</v>
      </c>
      <c r="BK87" s="161">
        <f ca="1">'JACOBIAN - OIS USDOIS'!U96</f>
        <v>-8.8679318133166905E-7</v>
      </c>
      <c r="BL87" s="161">
        <f ca="1">'JACOBIAN - OIS USDOIS'!V96</f>
        <v>-1.38592282059591E-5</v>
      </c>
      <c r="BM87" s="161">
        <f ca="1">'JACOBIAN - OIS USDOIS'!W96</f>
        <v>9.2478526281247803E-6</v>
      </c>
      <c r="BN87" s="161">
        <f ca="1">'JACOBIAN - OIS USDOIS'!X96</f>
        <v>-5.85424655549227E-5</v>
      </c>
      <c r="BO87" s="161">
        <f ca="1">'JACOBIAN - OIS USDOIS'!Y96</f>
        <v>1.20624278161507E-4</v>
      </c>
      <c r="BP87" s="161">
        <f ca="1">'JACOBIAN - OIS USDOIS'!Z96</f>
        <v>-4.76483965765717E-4</v>
      </c>
      <c r="BQ87" s="161">
        <f ca="1">'JACOBIAN - OIS USDOIS'!AA96</f>
        <v>9.4554213403252895E-4</v>
      </c>
      <c r="BR87" s="161">
        <f ca="1">'JACOBIAN - OIS USDOIS'!AB96</f>
        <v>9.8345969884905404E-4</v>
      </c>
      <c r="BS87" s="161">
        <f ca="1">'JACOBIAN - OIS USDOIS'!AC96</f>
        <v>-1.8514419077497699E-4</v>
      </c>
      <c r="BT87" s="161">
        <f ca="1">'JACOBIAN - OIS USDOIS'!AD96</f>
        <v>3.1485969781752699E-5</v>
      </c>
      <c r="BU87">
        <f ca="1">'JACOBIAN - OIS USDOIS'!AE96</f>
        <v>7.9233908512055304E-7</v>
      </c>
      <c r="BV87">
        <f ca="1">'JACOBIAN - OIS USDOIS'!AF96</f>
        <v>3.6340330121786801E-6</v>
      </c>
      <c r="BW87">
        <f ca="1">'JACOBIAN - OIS USDOIS'!AG96</f>
        <v>8.7210558574746202E-7</v>
      </c>
      <c r="BX87">
        <f ca="1">'JACOBIAN - OIS USDOIS'!AH96</f>
        <v>1.3638902872426E-5</v>
      </c>
      <c r="BY87">
        <f ca="1">'JACOBIAN - OIS USDOIS'!AI96</f>
        <v>-9.1070881987898E-6</v>
      </c>
      <c r="BZ87">
        <f ca="1">'JACOBIAN - OIS USDOIS'!AJ96</f>
        <v>5.76096570779061E-5</v>
      </c>
      <c r="CA87">
        <f ca="1">'JACOBIAN - OIS USDOIS'!AK96</f>
        <v>-1.1874622215890501E-4</v>
      </c>
      <c r="CB87">
        <f ca="1">'JACOBIAN - OIS USDOIS'!AL96</f>
        <v>4.69474534234404E-4</v>
      </c>
      <c r="CC87">
        <f ca="1">'JACOBIAN - OIS USDOIS'!AM96</f>
        <v>-9.3021499148682196E-4</v>
      </c>
      <c r="CD87">
        <f ca="1">'JACOBIAN - OIS USDOIS'!AN96</f>
        <v>-9.6773185405030205E-4</v>
      </c>
      <c r="CE87">
        <f ca="1">'JACOBIAN - OIS USDOIS'!AO96</f>
        <v>1.82583362473343E-4</v>
      </c>
      <c r="CF87">
        <f ca="1">'JACOBIAN - OIS USDOIS'!AP96</f>
        <v>-3.1070054952175899E-5</v>
      </c>
      <c r="CK87" s="248">
        <f t="shared" ca="1" si="81"/>
        <v>50300</v>
      </c>
      <c r="CL87">
        <f t="shared" ca="1" si="82"/>
        <v>-8.2922462119050501E-7</v>
      </c>
      <c r="CM87">
        <f t="shared" ca="1" si="83"/>
        <v>3.5189628988518998E-12</v>
      </c>
      <c r="CN87">
        <f t="shared" ca="1" si="84"/>
        <v>-1.4380385771062301E-11</v>
      </c>
      <c r="CO87">
        <f t="shared" ca="1" si="85"/>
        <v>3.7430392119119902E-11</v>
      </c>
      <c r="CP87">
        <f t="shared" ca="1" si="86"/>
        <v>-4.7636228295289097E-11</v>
      </c>
      <c r="CQ87">
        <f t="shared" ca="1" si="87"/>
        <v>1.08456799097212E-10</v>
      </c>
      <c r="CR87">
        <f t="shared" ca="1" si="88"/>
        <v>-1.0908589032077E-8</v>
      </c>
      <c r="CS87">
        <f t="shared" ca="1" si="89"/>
        <v>1.3238401486148599E-9</v>
      </c>
      <c r="CT87">
        <f t="shared" ca="1" si="90"/>
        <v>-5.1047438498485998E-9</v>
      </c>
      <c r="CU87">
        <f t="shared" ca="1" si="91"/>
        <v>3.45858381156638E-7</v>
      </c>
      <c r="CV87">
        <f t="shared" ca="1" si="92"/>
        <v>-4.8009837105844597E-8</v>
      </c>
      <c r="CW87">
        <f t="shared" ca="1" si="93"/>
        <v>4.1444625509257099E-13</v>
      </c>
      <c r="CX87">
        <f t="shared" ca="1" si="94"/>
        <v>4.1444625509257099E-13</v>
      </c>
      <c r="CY87">
        <f t="shared" ca="1" si="95"/>
        <v>4.1444625509257099E-13</v>
      </c>
      <c r="CZ87">
        <f t="shared" ca="1" si="96"/>
        <v>4.1444625509257099E-13</v>
      </c>
      <c r="DA87">
        <f t="shared" ca="1" si="97"/>
        <v>4.1444625509257099E-13</v>
      </c>
      <c r="DB87" s="146">
        <v>0</v>
      </c>
      <c r="DC87" s="146">
        <v>0</v>
      </c>
      <c r="DD87" s="146">
        <v>0</v>
      </c>
      <c r="DE87" s="146">
        <v>0</v>
      </c>
      <c r="DF87" s="146">
        <v>0</v>
      </c>
      <c r="DG87" s="146">
        <v>0</v>
      </c>
      <c r="DH87" s="146">
        <v>0</v>
      </c>
      <c r="DI87" s="146">
        <v>0</v>
      </c>
      <c r="DJ87" s="146">
        <v>0</v>
      </c>
      <c r="DK87" s="146">
        <v>0</v>
      </c>
      <c r="DL87" s="146">
        <v>0</v>
      </c>
      <c r="DM87" s="146">
        <v>0</v>
      </c>
      <c r="DN87">
        <f t="shared" ca="1" si="98"/>
        <v>7.9233908512055304E-7</v>
      </c>
      <c r="DO87">
        <f t="shared" ca="1" si="99"/>
        <v>3.6340330121786801E-6</v>
      </c>
      <c r="DP87">
        <f t="shared" ca="1" si="100"/>
        <v>8.7210558574746202E-7</v>
      </c>
      <c r="DQ87">
        <f t="shared" ca="1" si="101"/>
        <v>1.3638902872426E-5</v>
      </c>
      <c r="DR87">
        <f t="shared" ca="1" si="102"/>
        <v>-9.1070881987898E-6</v>
      </c>
      <c r="DS87">
        <f t="shared" ca="1" si="103"/>
        <v>5.76096570779061E-5</v>
      </c>
      <c r="DT87">
        <f t="shared" ca="1" si="104"/>
        <v>-1.1874622215890501E-4</v>
      </c>
      <c r="DU87">
        <f t="shared" ca="1" si="105"/>
        <v>4.69474534234404E-4</v>
      </c>
      <c r="DV87">
        <f t="shared" ca="1" si="106"/>
        <v>-9.3021499148682196E-4</v>
      </c>
      <c r="DW87">
        <f t="shared" ca="1" si="107"/>
        <v>-9.6773185405030205E-4</v>
      </c>
      <c r="DX87">
        <f t="shared" ca="1" si="108"/>
        <v>1.82583362473343E-4</v>
      </c>
      <c r="DY87">
        <f t="shared" ca="1" si="109"/>
        <v>-3.1070054952175899E-5</v>
      </c>
      <c r="ED87" s="248">
        <f ca="1">'JACOBIAN - SWAP USD3ML'!B96</f>
        <v>50300</v>
      </c>
      <c r="EE87">
        <f ca="1">'JACOBIAN - SWAP USD3ML'!C96</f>
        <v>1.11647149858562E-12</v>
      </c>
      <c r="EF87">
        <f ca="1">'JACOBIAN - SWAP USD3ML'!D96</f>
        <v>2.3422231168468401E-10</v>
      </c>
      <c r="EG87">
        <f ca="1">'JACOBIAN - SWAP USD3ML'!E96</f>
        <v>1.9463992917412302E-11</v>
      </c>
      <c r="EH87">
        <f ca="1">'JACOBIAN - SWAP USD3ML'!F96</f>
        <v>1.11647149858562E-12</v>
      </c>
      <c r="EI87">
        <f ca="1">'JACOBIAN - SWAP USD3ML'!G96</f>
        <v>3.6928723967655198E-12</v>
      </c>
      <c r="EJ87">
        <f ca="1">'JACOBIAN - SWAP USD3ML'!H96</f>
        <v>2.3577799088125902E-10</v>
      </c>
      <c r="EK87">
        <f ca="1">'JACOBIAN - SWAP USD3ML'!I96</f>
        <v>2.5285180546563701E-10</v>
      </c>
      <c r="EL87">
        <f ca="1">'JACOBIAN - SWAP USD3ML'!J96</f>
        <v>2.5182756921426902E-10</v>
      </c>
      <c r="EM87">
        <f ca="1">'JACOBIAN - SWAP USD3ML'!K96</f>
        <v>2.5087272884083401E-10</v>
      </c>
      <c r="EN87">
        <f ca="1">'JACOBIAN - SWAP USD3ML'!L96</f>
        <v>2.5015067101064001E-10</v>
      </c>
      <c r="EO87">
        <f ca="1">'JACOBIAN - SWAP USD3ML'!M96</f>
        <v>2.4778245427681302E-10</v>
      </c>
      <c r="EP87">
        <f ca="1">'JACOBIAN - SWAP USD3ML'!N96</f>
        <v>5.3139997957529803E-10</v>
      </c>
      <c r="EQ87">
        <f ca="1">'JACOBIAN - SWAP USD3ML'!O96</f>
        <v>-1.28696385423566E-8</v>
      </c>
      <c r="ER87">
        <f ca="1">'JACOBIAN - SWAP USD3ML'!P96</f>
        <v>6.2289488733657805E-8</v>
      </c>
      <c r="ES87">
        <f ca="1">'JACOBIAN - SWAP USD3ML'!Q96</f>
        <v>-1.5517896594097199E-7</v>
      </c>
      <c r="ET87">
        <f ca="1">'JACOBIAN - SWAP USD3ML'!R96</f>
        <v>1.36918493773633E-6</v>
      </c>
      <c r="EU87">
        <f ca="1">'JACOBIAN - SWAP USD3ML'!S96</f>
        <v>-7.1328502251923096E-6</v>
      </c>
      <c r="EV87">
        <f ca="1">'JACOBIAN - SWAP USD3ML'!T96</f>
        <v>3.1023632094933501E-5</v>
      </c>
      <c r="EW87">
        <f ca="1">'JACOBIAN - SWAP USD3ML'!U96</f>
        <v>-6.9200598620158802E-5</v>
      </c>
      <c r="EX87">
        <f ca="1">'JACOBIAN - SWAP USD3ML'!V96</f>
        <v>1.53240818857116E-4</v>
      </c>
      <c r="EY87">
        <f ca="1">'JACOBIAN - SWAP USD3ML'!W96</f>
        <v>-5.5508841709063202E-4</v>
      </c>
      <c r="EZ87">
        <f ca="1">'JACOBIAN - SWAP USD3ML'!X96</f>
        <v>5.7407051007731696E-4</v>
      </c>
      <c r="FA87">
        <f ca="1">'JACOBIAN - SWAP USD3ML'!Y96</f>
        <v>-3.7409907194009598E-5</v>
      </c>
      <c r="FB87">
        <f ca="1">'JACOBIAN - SWAP USD3ML'!Z96</f>
        <v>7.6144217533401201E-6</v>
      </c>
    </row>
    <row r="88" spans="24:158" x14ac:dyDescent="0.25">
      <c r="X88" s="258">
        <f t="shared" ca="1" si="76"/>
        <v>50391</v>
      </c>
      <c r="Y88" s="261">
        <v>0</v>
      </c>
      <c r="AA88" s="257">
        <f t="shared" ca="1" si="110"/>
        <v>50391</v>
      </c>
      <c r="AB88" s="266">
        <f t="shared" ca="1" si="77"/>
        <v>-1.3414216752060172E-3</v>
      </c>
      <c r="AC88" s="266"/>
      <c r="AD88" s="290">
        <f ca="1"/>
        <v>50391</v>
      </c>
      <c r="AE88" s="291">
        <f ca="1"/>
        <v>-1.3414216752060115E-3</v>
      </c>
      <c r="AF88" s="291" t="b">
        <f t="shared" ca="1" si="111"/>
        <v>1</v>
      </c>
      <c r="AH88" s="257">
        <f t="shared" ca="1" si="78"/>
        <v>50391</v>
      </c>
      <c r="AI88" s="260">
        <v>0</v>
      </c>
      <c r="AK88" s="290">
        <f ca="1"/>
        <v>50391</v>
      </c>
      <c r="AL88" s="291">
        <f ca="1"/>
        <v>9.8374695804537282E-5</v>
      </c>
      <c r="AM88" s="291" t="b">
        <f t="shared" ca="1" si="79"/>
        <v>1</v>
      </c>
      <c r="AO88" s="257">
        <f t="shared" ca="1" si="80"/>
        <v>50391</v>
      </c>
      <c r="AP88" s="266">
        <f t="shared" ca="1" si="112"/>
        <v>9.8374695804537933E-5</v>
      </c>
      <c r="AR88" s="248">
        <f ca="1">'JACOBIAN - OIS USDOIS'!B97</f>
        <v>50391</v>
      </c>
      <c r="AS88">
        <f ca="1">'JACOBIAN - OIS USDOIS'!C97</f>
        <v>-8.2536942191957497E-7</v>
      </c>
      <c r="AT88">
        <f ca="1">'JACOBIAN - OIS USDOIS'!D97</f>
        <v>8.5801366012106005E-12</v>
      </c>
      <c r="AU88">
        <f ca="1">'JACOBIAN - OIS USDOIS'!E97</f>
        <v>-3.4600988740862697E-11</v>
      </c>
      <c r="AV88">
        <f ca="1">'JACOBIAN - OIS USDOIS'!F97</f>
        <v>9.0705776223387602E-11</v>
      </c>
      <c r="AW88">
        <f ca="1">'JACOBIAN - OIS USDOIS'!G97</f>
        <v>-1.1619638584647901E-10</v>
      </c>
      <c r="AX88">
        <f ca="1">'JACOBIAN - OIS USDOIS'!H97</f>
        <v>2.63545629763939E-10</v>
      </c>
      <c r="AY88">
        <f ca="1">'JACOBIAN - OIS USDOIS'!I97</f>
        <v>-1.1377530473311E-8</v>
      </c>
      <c r="AZ88">
        <f ca="1">'JACOBIAN - OIS USDOIS'!J97</f>
        <v>3.2192635224248501E-9</v>
      </c>
      <c r="BA88">
        <f ca="1">'JACOBIAN - OIS USDOIS'!K97</f>
        <v>-1.24017001112975E-8</v>
      </c>
      <c r="BB88">
        <f ca="1">'JACOBIAN - OIS USDOIS'!L97</f>
        <v>3.5606535564447499E-7</v>
      </c>
      <c r="BC88">
        <f ca="1">'JACOBIAN - OIS USDOIS'!M97</f>
        <v>-7.1051473149452704E-8</v>
      </c>
      <c r="BD88">
        <f ca="1">'JACOBIAN - OIS USDOIS'!N97</f>
        <v>3.97903932025656E-13</v>
      </c>
      <c r="BE88">
        <f ca="1">'JACOBIAN - OIS USDOIS'!O97</f>
        <v>3.97903932025656E-13</v>
      </c>
      <c r="BF88">
        <f ca="1">'JACOBIAN - OIS USDOIS'!P97</f>
        <v>3.97903932025656E-13</v>
      </c>
      <c r="BG88">
        <f ca="1">'JACOBIAN - OIS USDOIS'!Q97</f>
        <v>3.97903932025656E-13</v>
      </c>
      <c r="BH88">
        <f ca="1">'JACOBIAN - OIS USDOIS'!R97</f>
        <v>3.97903932025656E-13</v>
      </c>
      <c r="BI88" s="161">
        <f ca="1">'JACOBIAN - OIS USDOIS'!S97</f>
        <v>-8.3559468111449299E-7</v>
      </c>
      <c r="BJ88" s="161">
        <f ca="1">'JACOBIAN - OIS USDOIS'!T97</f>
        <v>-3.6357998782765598E-6</v>
      </c>
      <c r="BK88" s="161">
        <f ca="1">'JACOBIAN - OIS USDOIS'!U97</f>
        <v>-1.07009065597463E-6</v>
      </c>
      <c r="BL88" s="161">
        <f ca="1">'JACOBIAN - OIS USDOIS'!V97</f>
        <v>-1.3137814182551101E-5</v>
      </c>
      <c r="BM88" s="161">
        <f ca="1">'JACOBIAN - OIS USDOIS'!W97</f>
        <v>7.8492495861892698E-6</v>
      </c>
      <c r="BN88" s="161">
        <f ca="1">'JACOBIAN - OIS USDOIS'!X97</f>
        <v>-5.5867044951307703E-5</v>
      </c>
      <c r="BO88" s="161">
        <f ca="1">'JACOBIAN - OIS USDOIS'!Y97</f>
        <v>1.07758336492458E-4</v>
      </c>
      <c r="BP88" s="161">
        <f ca="1">'JACOBIAN - OIS USDOIS'!Z97</f>
        <v>-4.3934151858326899E-4</v>
      </c>
      <c r="BQ88" s="161">
        <f ca="1">'JACOBIAN - OIS USDOIS'!AA97</f>
        <v>8.2998309186410602E-4</v>
      </c>
      <c r="BR88" s="161">
        <f ca="1">'JACOBIAN - OIS USDOIS'!AB97</f>
        <v>1.09140464351798E-3</v>
      </c>
      <c r="BS88" s="161">
        <f ca="1">'JACOBIAN - OIS USDOIS'!AC97</f>
        <v>-1.9210399648228501E-4</v>
      </c>
      <c r="BT88" s="161">
        <f ca="1">'JACOBIAN - OIS USDOIS'!AD97</f>
        <v>3.2669760404613301E-5</v>
      </c>
      <c r="BU88">
        <f ca="1">'JACOBIAN - OIS USDOIS'!AE97</f>
        <v>8.2016866609357898E-7</v>
      </c>
      <c r="BV88">
        <f ca="1">'JACOBIAN - OIS USDOIS'!AF97</f>
        <v>3.5749288150865899E-6</v>
      </c>
      <c r="BW88">
        <f ca="1">'JACOBIAN - OIS USDOIS'!AG97</f>
        <v>1.0524611926410201E-6</v>
      </c>
      <c r="BX88">
        <f ca="1">'JACOBIAN - OIS USDOIS'!AH97</f>
        <v>1.2928831703118399E-5</v>
      </c>
      <c r="BY88">
        <f ca="1">'JACOBIAN - OIS USDOIS'!AI97</f>
        <v>-7.7309663863989203E-6</v>
      </c>
      <c r="BZ88">
        <f ca="1">'JACOBIAN - OIS USDOIS'!AJ97</f>
        <v>5.4975936672807501E-5</v>
      </c>
      <c r="CA88">
        <f ca="1">'JACOBIAN - OIS USDOIS'!AK97</f>
        <v>-1.0608574472947799E-4</v>
      </c>
      <c r="CB88">
        <f ca="1">'JACOBIAN - OIS USDOIS'!AL97</f>
        <v>4.3285296604511598E-4</v>
      </c>
      <c r="CC88">
        <f ca="1">'JACOBIAN - OIS USDOIS'!AM97</f>
        <v>-8.1666935288493602E-4</v>
      </c>
      <c r="CD88">
        <f ca="1">'JACOBIAN - OIS USDOIS'!AN97</f>
        <v>-1.07379085212445E-3</v>
      </c>
      <c r="CE88">
        <f ca="1">'JACOBIAN - OIS USDOIS'!AO97</f>
        <v>1.8944880259952299E-4</v>
      </c>
      <c r="CF88">
        <f ca="1">'JACOBIAN - OIS USDOIS'!AP97</f>
        <v>-3.2238153292340998E-5</v>
      </c>
      <c r="CK88" s="248">
        <f t="shared" ca="1" si="81"/>
        <v>50391</v>
      </c>
      <c r="CL88">
        <f t="shared" ca="1" si="82"/>
        <v>-8.2536942191957497E-7</v>
      </c>
      <c r="CM88">
        <f t="shared" ca="1" si="83"/>
        <v>8.5801366012106005E-12</v>
      </c>
      <c r="CN88">
        <f t="shared" ca="1" si="84"/>
        <v>-3.4600988740862697E-11</v>
      </c>
      <c r="CO88">
        <f t="shared" ca="1" si="85"/>
        <v>9.0705776223387602E-11</v>
      </c>
      <c r="CP88">
        <f t="shared" ca="1" si="86"/>
        <v>-1.1619638584647901E-10</v>
      </c>
      <c r="CQ88">
        <f t="shared" ca="1" si="87"/>
        <v>2.63545629763939E-10</v>
      </c>
      <c r="CR88">
        <f t="shared" ca="1" si="88"/>
        <v>-1.1377530473311E-8</v>
      </c>
      <c r="CS88">
        <f t="shared" ca="1" si="89"/>
        <v>3.2192635224248501E-9</v>
      </c>
      <c r="CT88">
        <f t="shared" ca="1" si="90"/>
        <v>-1.24017001112975E-8</v>
      </c>
      <c r="CU88">
        <f t="shared" ca="1" si="91"/>
        <v>3.5606535564447499E-7</v>
      </c>
      <c r="CV88">
        <f t="shared" ca="1" si="92"/>
        <v>-7.1051473149452704E-8</v>
      </c>
      <c r="CW88">
        <f t="shared" ca="1" si="93"/>
        <v>3.97903932025656E-13</v>
      </c>
      <c r="CX88">
        <f t="shared" ca="1" si="94"/>
        <v>3.97903932025656E-13</v>
      </c>
      <c r="CY88">
        <f t="shared" ca="1" si="95"/>
        <v>3.97903932025656E-13</v>
      </c>
      <c r="CZ88">
        <f t="shared" ca="1" si="96"/>
        <v>3.97903932025656E-13</v>
      </c>
      <c r="DA88">
        <f t="shared" ca="1" si="97"/>
        <v>3.97903932025656E-13</v>
      </c>
      <c r="DB88" s="146">
        <v>0</v>
      </c>
      <c r="DC88" s="146">
        <v>0</v>
      </c>
      <c r="DD88" s="146">
        <v>0</v>
      </c>
      <c r="DE88" s="146">
        <v>0</v>
      </c>
      <c r="DF88" s="146">
        <v>0</v>
      </c>
      <c r="DG88" s="146">
        <v>0</v>
      </c>
      <c r="DH88" s="146">
        <v>0</v>
      </c>
      <c r="DI88" s="146">
        <v>0</v>
      </c>
      <c r="DJ88" s="146">
        <v>0</v>
      </c>
      <c r="DK88" s="146">
        <v>0</v>
      </c>
      <c r="DL88" s="146">
        <v>0</v>
      </c>
      <c r="DM88" s="146">
        <v>0</v>
      </c>
      <c r="DN88">
        <f t="shared" ca="1" si="98"/>
        <v>8.2016866609357898E-7</v>
      </c>
      <c r="DO88">
        <f t="shared" ca="1" si="99"/>
        <v>3.5749288150865899E-6</v>
      </c>
      <c r="DP88">
        <f t="shared" ca="1" si="100"/>
        <v>1.0524611926410201E-6</v>
      </c>
      <c r="DQ88">
        <f t="shared" ca="1" si="101"/>
        <v>1.2928831703118399E-5</v>
      </c>
      <c r="DR88">
        <f t="shared" ca="1" si="102"/>
        <v>-7.7309663863989203E-6</v>
      </c>
      <c r="DS88">
        <f t="shared" ca="1" si="103"/>
        <v>5.4975936672807501E-5</v>
      </c>
      <c r="DT88">
        <f t="shared" ca="1" si="104"/>
        <v>-1.0608574472947799E-4</v>
      </c>
      <c r="DU88">
        <f t="shared" ca="1" si="105"/>
        <v>4.3285296604511598E-4</v>
      </c>
      <c r="DV88">
        <f t="shared" ca="1" si="106"/>
        <v>-8.1666935288493602E-4</v>
      </c>
      <c r="DW88">
        <f t="shared" ca="1" si="107"/>
        <v>-1.07379085212445E-3</v>
      </c>
      <c r="DX88">
        <f t="shared" ca="1" si="108"/>
        <v>1.8944880259952299E-4</v>
      </c>
      <c r="DY88">
        <f t="shared" ca="1" si="109"/>
        <v>-3.2238153292340998E-5</v>
      </c>
      <c r="ED88" s="248">
        <f ca="1">'JACOBIAN - SWAP USD3ML'!B97</f>
        <v>50391</v>
      </c>
      <c r="EE88">
        <f ca="1">'JACOBIAN - SWAP USD3ML'!C97</f>
        <v>1.1013412404281599E-12</v>
      </c>
      <c r="EF88">
        <f ca="1">'JACOBIAN - SWAP USD3ML'!D97</f>
        <v>2.7190072415805802E-10</v>
      </c>
      <c r="EG88">
        <f ca="1">'JACOBIAN - SWAP USD3ML'!E97</f>
        <v>1.9046098032049498E-11</v>
      </c>
      <c r="EH88">
        <f ca="1">'JACOBIAN - SWAP USD3ML'!F97</f>
        <v>1.10045306200846E-12</v>
      </c>
      <c r="EI88">
        <f ca="1">'JACOBIAN - SWAP USD3ML'!G97</f>
        <v>4.0891734442993798E-12</v>
      </c>
      <c r="EJ88">
        <f ca="1">'JACOBIAN - SWAP USD3ML'!H97</f>
        <v>2.7326230167545899E-10</v>
      </c>
      <c r="EK88">
        <f ca="1">'JACOBIAN - SWAP USD3ML'!I97</f>
        <v>2.89808177456052E-10</v>
      </c>
      <c r="EL88">
        <f ca="1">'JACOBIAN - SWAP USD3ML'!J97</f>
        <v>2.88665980008318E-10</v>
      </c>
      <c r="EM88">
        <f ca="1">'JACOBIAN - SWAP USD3ML'!K97</f>
        <v>2.87596613190999E-10</v>
      </c>
      <c r="EN88">
        <f ca="1">'JACOBIAN - SWAP USD3ML'!L97</f>
        <v>2.8675817276280198E-10</v>
      </c>
      <c r="EO88">
        <f ca="1">'JACOBIAN - SWAP USD3ML'!M97</f>
        <v>2.8405278129639602E-10</v>
      </c>
      <c r="EP88">
        <f ca="1">'JACOBIAN - SWAP USD3ML'!N97</f>
        <v>6.1019722608080005E-10</v>
      </c>
      <c r="EQ88">
        <f ca="1">'JACOBIAN - SWAP USD3ML'!O97</f>
        <v>-1.47784513515603E-8</v>
      </c>
      <c r="ER88">
        <f ca="1">'JACOBIAN - SWAP USD3ML'!P97</f>
        <v>7.1526986999970203E-8</v>
      </c>
      <c r="ES88">
        <f ca="1">'JACOBIAN - SWAP USD3ML'!Q97</f>
        <v>-1.78192725464044E-7</v>
      </c>
      <c r="ET88">
        <f ca="1">'JACOBIAN - SWAP USD3ML'!R97</f>
        <v>1.5722394577366599E-6</v>
      </c>
      <c r="EU88">
        <f ca="1">'JACOBIAN - SWAP USD3ML'!S97</f>
        <v>-8.1906703517375894E-6</v>
      </c>
      <c r="EV88">
        <f ca="1">'JACOBIAN - SWAP USD3ML'!T97</f>
        <v>3.5624603643036303E-5</v>
      </c>
      <c r="EW88">
        <f ca="1">'JACOBIAN - SWAP USD3ML'!U97</f>
        <v>-7.9462927986995196E-5</v>
      </c>
      <c r="EX88">
        <f ca="1">'JACOBIAN - SWAP USD3ML'!V97</f>
        <v>1.7596859494428701E-4</v>
      </c>
      <c r="EY88">
        <f ca="1">'JACOBIAN - SWAP USD3ML'!W97</f>
        <v>-5.6856846986708099E-4</v>
      </c>
      <c r="EZ88">
        <f ca="1">'JACOBIAN - SWAP USD3ML'!X97</f>
        <v>5.4230503226016002E-4</v>
      </c>
      <c r="FA88">
        <f ca="1">'JACOBIAN - SWAP USD3ML'!Y97</f>
        <v>-9.4649579995831303E-7</v>
      </c>
      <c r="FB88">
        <f ca="1">'JACOBIAN - SWAP USD3ML'!Z97</f>
        <v>1.9161611586326899E-7</v>
      </c>
    </row>
    <row r="89" spans="24:158" x14ac:dyDescent="0.25">
      <c r="X89" s="258">
        <f t="shared" ca="1" si="76"/>
        <v>50481</v>
      </c>
      <c r="Y89" s="261">
        <v>0</v>
      </c>
      <c r="AA89" s="257">
        <f t="shared" ca="1" si="110"/>
        <v>50481</v>
      </c>
      <c r="AB89" s="266">
        <f t="shared" ca="1" si="77"/>
        <v>-1.3537373795869936E-3</v>
      </c>
      <c r="AC89" s="266"/>
      <c r="AD89" s="290">
        <f ca="1"/>
        <v>50481</v>
      </c>
      <c r="AE89" s="291">
        <f ca="1"/>
        <v>-1.3537373795869945E-3</v>
      </c>
      <c r="AF89" s="291" t="b">
        <f t="shared" ca="1" si="111"/>
        <v>1</v>
      </c>
      <c r="AH89" s="257">
        <f t="shared" ca="1" si="78"/>
        <v>50481</v>
      </c>
      <c r="AI89" s="260">
        <v>0</v>
      </c>
      <c r="AK89" s="290">
        <f ca="1"/>
        <v>50481</v>
      </c>
      <c r="AL89" s="291">
        <f ca="1"/>
        <v>9.8382496229704186E-5</v>
      </c>
      <c r="AM89" s="291" t="b">
        <f t="shared" ca="1" si="79"/>
        <v>1</v>
      </c>
      <c r="AO89" s="257">
        <f t="shared" ca="1" si="80"/>
        <v>50481</v>
      </c>
      <c r="AP89" s="266">
        <f t="shared" ca="1" si="112"/>
        <v>9.8382496229704538E-5</v>
      </c>
      <c r="AR89" s="248">
        <f ca="1">'JACOBIAN - OIS USDOIS'!B98</f>
        <v>50481</v>
      </c>
      <c r="AS89">
        <f ca="1">'JACOBIAN - OIS USDOIS'!C98</f>
        <v>-8.2157824410344905E-7</v>
      </c>
      <c r="AT89">
        <f ca="1">'JACOBIAN - OIS USDOIS'!D98</f>
        <v>1.45276013441276E-11</v>
      </c>
      <c r="AU89">
        <f ca="1">'JACOBIAN - OIS USDOIS'!E98</f>
        <v>-5.8365201560661704E-11</v>
      </c>
      <c r="AV89">
        <f ca="1">'JACOBIAN - OIS USDOIS'!F98</f>
        <v>1.5331558245179601E-10</v>
      </c>
      <c r="AW89">
        <f ca="1">'JACOBIAN - OIS USDOIS'!G98</f>
        <v>-1.96772376170884E-10</v>
      </c>
      <c r="AX89">
        <f ca="1">'JACOBIAN - OIS USDOIS'!H98</f>
        <v>4.45811387805861E-10</v>
      </c>
      <c r="AY89">
        <f ca="1">'JACOBIAN - OIS USDOIS'!I98</f>
        <v>-1.1939132127380999E-8</v>
      </c>
      <c r="AZ89">
        <f ca="1">'JACOBIAN - OIS USDOIS'!J98</f>
        <v>5.4468520804817899E-9</v>
      </c>
      <c r="BA89">
        <f ca="1">'JACOBIAN - OIS USDOIS'!K98</f>
        <v>-2.09774179138478E-8</v>
      </c>
      <c r="BB89">
        <f ca="1">'JACOBIAN - OIS USDOIS'!L98</f>
        <v>3.6820218685118501E-7</v>
      </c>
      <c r="BC89">
        <f ca="1">'JACOBIAN - OIS USDOIS'!M98</f>
        <v>-9.8162620809638694E-8</v>
      </c>
      <c r="BD89">
        <f ca="1">'JACOBIAN - OIS USDOIS'!N98</f>
        <v>3.8125058665627901E-13</v>
      </c>
      <c r="BE89">
        <f ca="1">'JACOBIAN - OIS USDOIS'!O98</f>
        <v>3.8125058665627901E-13</v>
      </c>
      <c r="BF89">
        <f ca="1">'JACOBIAN - OIS USDOIS'!P98</f>
        <v>3.8125058665627901E-13</v>
      </c>
      <c r="BG89">
        <f ca="1">'JACOBIAN - OIS USDOIS'!Q98</f>
        <v>3.8125058665627901E-13</v>
      </c>
      <c r="BH89">
        <f ca="1">'JACOBIAN - OIS USDOIS'!R98</f>
        <v>3.8125058665627901E-13</v>
      </c>
      <c r="BI89" s="161">
        <f ca="1">'JACOBIAN - OIS USDOIS'!S98</f>
        <v>-8.6921854702826096E-7</v>
      </c>
      <c r="BJ89" s="161">
        <f ca="1">'JACOBIAN - OIS USDOIS'!T98</f>
        <v>-3.5665586214372901E-6</v>
      </c>
      <c r="BK89" s="161">
        <f ca="1">'JACOBIAN - OIS USDOIS'!U98</f>
        <v>-1.2864029522718899E-6</v>
      </c>
      <c r="BL89" s="161">
        <f ca="1">'JACOBIAN - OIS USDOIS'!V98</f>
        <v>-1.22918361776803E-5</v>
      </c>
      <c r="BM89" s="161">
        <f ca="1">'JACOBIAN - OIS USDOIS'!W98</f>
        <v>6.2019934869983498E-6</v>
      </c>
      <c r="BN89" s="161">
        <f ca="1">'JACOBIAN - OIS USDOIS'!X98</f>
        <v>-5.27321547153514E-5</v>
      </c>
      <c r="BO89" s="161">
        <f ca="1">'JACOBIAN - OIS USDOIS'!Y98</f>
        <v>9.2620122942643795E-5</v>
      </c>
      <c r="BP89" s="161">
        <f ca="1">'JACOBIAN - OIS USDOIS'!Z98</f>
        <v>-3.95686177661836E-4</v>
      </c>
      <c r="BQ89" s="161">
        <f ca="1">'JACOBIAN - OIS USDOIS'!AA98</f>
        <v>7.1033955679089501E-4</v>
      </c>
      <c r="BR89" s="161">
        <f ca="1">'JACOBIAN - OIS USDOIS'!AB98</f>
        <v>1.1944952078180001E-3</v>
      </c>
      <c r="BS89" s="161">
        <f ca="1">'JACOBIAN - OIS USDOIS'!AC98</f>
        <v>-1.9409408718351601E-4</v>
      </c>
      <c r="BT89" s="161">
        <f ca="1">'JACOBIAN - OIS USDOIS'!AD98</f>
        <v>3.30082652623132E-5</v>
      </c>
      <c r="BU89">
        <f ca="1">'JACOBIAN - OIS USDOIS'!AE98</f>
        <v>8.5318432030412297E-7</v>
      </c>
      <c r="BV89">
        <f ca="1">'JACOBIAN - OIS USDOIS'!AF98</f>
        <v>3.5068394054205101E-6</v>
      </c>
      <c r="BW89">
        <f ca="1">'JACOBIAN - OIS USDOIS'!AG98</f>
        <v>1.2653020313724301E-6</v>
      </c>
      <c r="BX89">
        <f ca="1">'JACOBIAN - OIS USDOIS'!AH98</f>
        <v>1.2096155905361199E-5</v>
      </c>
      <c r="BY89">
        <f ca="1">'JACOBIAN - OIS USDOIS'!AI98</f>
        <v>-6.1101848684019799E-6</v>
      </c>
      <c r="BZ89">
        <f ca="1">'JACOBIAN - OIS USDOIS'!AJ98</f>
        <v>5.1889919326031402E-5</v>
      </c>
      <c r="CA89">
        <f ca="1">'JACOBIAN - OIS USDOIS'!AK98</f>
        <v>-9.1188772128214496E-5</v>
      </c>
      <c r="CB89">
        <f ca="1">'JACOBIAN - OIS USDOIS'!AL98</f>
        <v>3.8981392256010099E-4</v>
      </c>
      <c r="CC89">
        <f ca="1">'JACOBIAN - OIS USDOIS'!AM98</f>
        <v>-6.9907563217441705E-4</v>
      </c>
      <c r="CD89">
        <f ca="1">'JACOBIAN - OIS USDOIS'!AN98</f>
        <v>-1.17504931781709E-3</v>
      </c>
      <c r="CE89">
        <f ca="1">'JACOBIAN - OIS USDOIS'!AO98</f>
        <v>1.91412019579729E-4</v>
      </c>
      <c r="CF89">
        <f ca="1">'JACOBIAN - OIS USDOIS'!AP98</f>
        <v>-3.2572167774414003E-5</v>
      </c>
      <c r="CK89" s="248">
        <f t="shared" ca="1" si="81"/>
        <v>50481</v>
      </c>
      <c r="CL89">
        <f t="shared" ca="1" si="82"/>
        <v>-8.2157824410344905E-7</v>
      </c>
      <c r="CM89">
        <f t="shared" ca="1" si="83"/>
        <v>1.45276013441276E-11</v>
      </c>
      <c r="CN89">
        <f t="shared" ca="1" si="84"/>
        <v>-5.8365201560661704E-11</v>
      </c>
      <c r="CO89">
        <f t="shared" ca="1" si="85"/>
        <v>1.5331558245179601E-10</v>
      </c>
      <c r="CP89">
        <f t="shared" ca="1" si="86"/>
        <v>-1.96772376170884E-10</v>
      </c>
      <c r="CQ89">
        <f t="shared" ca="1" si="87"/>
        <v>4.45811387805861E-10</v>
      </c>
      <c r="CR89">
        <f t="shared" ca="1" si="88"/>
        <v>-1.1939132127380999E-8</v>
      </c>
      <c r="CS89">
        <f t="shared" ca="1" si="89"/>
        <v>5.4468520804817899E-9</v>
      </c>
      <c r="CT89">
        <f t="shared" ca="1" si="90"/>
        <v>-2.09774179138478E-8</v>
      </c>
      <c r="CU89">
        <f t="shared" ca="1" si="91"/>
        <v>3.6820218685118501E-7</v>
      </c>
      <c r="CV89">
        <f t="shared" ca="1" si="92"/>
        <v>-9.8162620809638694E-8</v>
      </c>
      <c r="CW89">
        <f t="shared" ca="1" si="93"/>
        <v>3.8125058665627901E-13</v>
      </c>
      <c r="CX89">
        <f t="shared" ca="1" si="94"/>
        <v>3.8125058665627901E-13</v>
      </c>
      <c r="CY89">
        <f t="shared" ca="1" si="95"/>
        <v>3.8125058665627901E-13</v>
      </c>
      <c r="CZ89">
        <f t="shared" ca="1" si="96"/>
        <v>3.8125058665627901E-13</v>
      </c>
      <c r="DA89">
        <f t="shared" ca="1" si="97"/>
        <v>3.8125058665627901E-13</v>
      </c>
      <c r="DB89" s="146">
        <v>0</v>
      </c>
      <c r="DC89" s="146">
        <v>0</v>
      </c>
      <c r="DD89" s="146">
        <v>0</v>
      </c>
      <c r="DE89" s="146">
        <v>0</v>
      </c>
      <c r="DF89" s="146">
        <v>0</v>
      </c>
      <c r="DG89" s="146">
        <v>0</v>
      </c>
      <c r="DH89" s="146">
        <v>0</v>
      </c>
      <c r="DI89" s="146">
        <v>0</v>
      </c>
      <c r="DJ89" s="146">
        <v>0</v>
      </c>
      <c r="DK89" s="146">
        <v>0</v>
      </c>
      <c r="DL89" s="146">
        <v>0</v>
      </c>
      <c r="DM89" s="146">
        <v>0</v>
      </c>
      <c r="DN89">
        <f t="shared" ca="1" si="98"/>
        <v>8.5318432030412297E-7</v>
      </c>
      <c r="DO89">
        <f t="shared" ca="1" si="99"/>
        <v>3.5068394054205101E-6</v>
      </c>
      <c r="DP89">
        <f t="shared" ca="1" si="100"/>
        <v>1.2653020313724301E-6</v>
      </c>
      <c r="DQ89">
        <f t="shared" ca="1" si="101"/>
        <v>1.2096155905361199E-5</v>
      </c>
      <c r="DR89">
        <f t="shared" ca="1" si="102"/>
        <v>-6.1101848684019799E-6</v>
      </c>
      <c r="DS89">
        <f t="shared" ca="1" si="103"/>
        <v>5.1889919326031402E-5</v>
      </c>
      <c r="DT89">
        <f t="shared" ca="1" si="104"/>
        <v>-9.1188772128214496E-5</v>
      </c>
      <c r="DU89">
        <f t="shared" ca="1" si="105"/>
        <v>3.8981392256010099E-4</v>
      </c>
      <c r="DV89">
        <f t="shared" ca="1" si="106"/>
        <v>-6.9907563217441705E-4</v>
      </c>
      <c r="DW89">
        <f t="shared" ca="1" si="107"/>
        <v>-1.17504931781709E-3</v>
      </c>
      <c r="DX89">
        <f t="shared" ca="1" si="108"/>
        <v>1.91412019579729E-4</v>
      </c>
      <c r="DY89">
        <f t="shared" ca="1" si="109"/>
        <v>-3.2572167774414003E-5</v>
      </c>
      <c r="ED89" s="248">
        <f ca="1">'JACOBIAN - SWAP USD3ML'!B98</f>
        <v>50481</v>
      </c>
      <c r="EE89">
        <f ca="1">'JACOBIAN - SWAP USD3ML'!C98</f>
        <v>1.0739222011668699E-12</v>
      </c>
      <c r="EF89">
        <f ca="1">'JACOBIAN - SWAP USD3ML'!D98</f>
        <v>2.9999133385749702E-10</v>
      </c>
      <c r="EG89">
        <f ca="1">'JACOBIAN - SWAP USD3ML'!E98</f>
        <v>1.8429605064262899E-11</v>
      </c>
      <c r="EH89">
        <f ca="1">'JACOBIAN - SWAP USD3ML'!F98</f>
        <v>1.0721840082439399E-12</v>
      </c>
      <c r="EI89">
        <f ca="1">'JACOBIAN - SWAP USD3ML'!G98</f>
        <v>4.36694083671973E-12</v>
      </c>
      <c r="EJ89">
        <f ca="1">'JACOBIAN - SWAP USD3ML'!H98</f>
        <v>3.0117039070964899E-10</v>
      </c>
      <c r="EK89">
        <f ca="1">'JACOBIAN - SWAP USD3ML'!I98</f>
        <v>3.1704030720169902E-10</v>
      </c>
      <c r="EL89">
        <f ca="1">'JACOBIAN - SWAP USD3ML'!J98</f>
        <v>3.1581432954896899E-10</v>
      </c>
      <c r="EM89">
        <f ca="1">'JACOBIAN - SWAP USD3ML'!K98</f>
        <v>3.1466481503761301E-10</v>
      </c>
      <c r="EN89">
        <f ca="1">'JACOBIAN - SWAP USD3ML'!L98</f>
        <v>3.1374033579445501E-10</v>
      </c>
      <c r="EO89">
        <f ca="1">'JACOBIAN - SWAP USD3ML'!M98</f>
        <v>3.1078704540443702E-10</v>
      </c>
      <c r="EP89">
        <f ca="1">'JACOBIAN - SWAP USD3ML'!N98</f>
        <v>6.6836796860925099E-10</v>
      </c>
      <c r="EQ89">
        <f ca="1">'JACOBIAN - SWAP USD3ML'!O98</f>
        <v>-1.6187629497260701E-8</v>
      </c>
      <c r="ER89">
        <f ca="1">'JACOBIAN - SWAP USD3ML'!P98</f>
        <v>7.8346427605929803E-8</v>
      </c>
      <c r="ES89">
        <f ca="1">'JACOBIAN - SWAP USD3ML'!Q98</f>
        <v>-1.9518233464535501E-7</v>
      </c>
      <c r="ET89">
        <f ca="1">'JACOBIAN - SWAP USD3ML'!R98</f>
        <v>1.7221416171373001E-6</v>
      </c>
      <c r="EU89">
        <f ca="1">'JACOBIAN - SWAP USD3ML'!S98</f>
        <v>-8.9715903584461405E-6</v>
      </c>
      <c r="EV89">
        <f ca="1">'JACOBIAN - SWAP USD3ML'!T98</f>
        <v>3.9021218525087102E-5</v>
      </c>
      <c r="EW89">
        <f ca="1">'JACOBIAN - SWAP USD3ML'!U98</f>
        <v>-8.7038886442583605E-5</v>
      </c>
      <c r="EX89">
        <f ca="1">'JACOBIAN - SWAP USD3ML'!V98</f>
        <v>1.9274735917514099E-4</v>
      </c>
      <c r="EY89">
        <f ca="1">'JACOBIAN - SWAP USD3ML'!W98</f>
        <v>-5.7269808217654298E-4</v>
      </c>
      <c r="EZ89">
        <f ca="1">'JACOBIAN - SWAP USD3ML'!X98</f>
        <v>5.0116214571858605E-4</v>
      </c>
      <c r="FA89">
        <f ca="1">'JACOBIAN - SWAP USD3ML'!Y98</f>
        <v>4.0894040094219298E-5</v>
      </c>
      <c r="FB89">
        <f ca="1">'JACOBIAN - SWAP USD3ML'!Z98</f>
        <v>-8.3256929055350298E-6</v>
      </c>
    </row>
    <row r="90" spans="24:158" x14ac:dyDescent="0.25">
      <c r="X90" s="258">
        <f t="shared" ca="1" si="76"/>
        <v>50573</v>
      </c>
      <c r="Y90" s="261">
        <v>0</v>
      </c>
      <c r="AA90" s="257">
        <f t="shared" ca="1" si="110"/>
        <v>50573</v>
      </c>
      <c r="AB90" s="266">
        <f t="shared" ca="1" si="77"/>
        <v>-1.3661666389528412E-3</v>
      </c>
      <c r="AC90" s="266"/>
      <c r="AD90" s="290">
        <f ca="1"/>
        <v>50573</v>
      </c>
      <c r="AE90" s="291">
        <f ca="1"/>
        <v>-1.3661666389528371E-3</v>
      </c>
      <c r="AF90" s="291" t="b">
        <f t="shared" ca="1" si="111"/>
        <v>1</v>
      </c>
      <c r="AH90" s="257">
        <f t="shared" ca="1" si="78"/>
        <v>50573</v>
      </c>
      <c r="AI90" s="260">
        <v>0</v>
      </c>
      <c r="AK90" s="290">
        <f ca="1"/>
        <v>50573</v>
      </c>
      <c r="AL90" s="291">
        <f ca="1"/>
        <v>9.8374426676900439E-5</v>
      </c>
      <c r="AM90" s="291" t="b">
        <f t="shared" ca="1" si="79"/>
        <v>1</v>
      </c>
      <c r="AO90" s="257">
        <f t="shared" ca="1" si="80"/>
        <v>50573</v>
      </c>
      <c r="AP90" s="266">
        <f t="shared" ca="1" si="112"/>
        <v>9.8374426676900223E-5</v>
      </c>
      <c r="AR90" s="248">
        <f ca="1">'JACOBIAN - OIS USDOIS'!B99</f>
        <v>50573</v>
      </c>
      <c r="AS90">
        <f ca="1">'JACOBIAN - OIS USDOIS'!C99</f>
        <v>-8.1772627413823095E-7</v>
      </c>
      <c r="AT90">
        <f ca="1">'JACOBIAN - OIS USDOIS'!D99</f>
        <v>2.1363244506744601E-11</v>
      </c>
      <c r="AU90">
        <f ca="1">'JACOBIAN - OIS USDOIS'!E99</f>
        <v>-8.5681906014656306E-11</v>
      </c>
      <c r="AV90">
        <f ca="1">'JACOBIAN - OIS USDOIS'!F99</f>
        <v>2.2528268139865299E-10</v>
      </c>
      <c r="AW90">
        <f ca="1">'JACOBIAN - OIS USDOIS'!G99</f>
        <v>-2.8939362017865702E-10</v>
      </c>
      <c r="AX90">
        <f ca="1">'JACOBIAN - OIS USDOIS'!H99</f>
        <v>6.55320242515245E-10</v>
      </c>
      <c r="AY90">
        <f ca="1">'JACOBIAN - OIS USDOIS'!I99</f>
        <v>-1.2591934384076399E-8</v>
      </c>
      <c r="AZ90">
        <f ca="1">'JACOBIAN - OIS USDOIS'!J99</f>
        <v>8.0074176178612805E-9</v>
      </c>
      <c r="BA90">
        <f ca="1">'JACOBIAN - OIS USDOIS'!K99</f>
        <v>-3.0835024422692898E-8</v>
      </c>
      <c r="BB90">
        <f ca="1">'JACOBIAN - OIS USDOIS'!L99</f>
        <v>3.8224446896606402E-7</v>
      </c>
      <c r="BC90">
        <f ca="1">'JACOBIAN - OIS USDOIS'!M99</f>
        <v>-1.2934815252219099E-7</v>
      </c>
      <c r="BD90">
        <f ca="1">'JACOBIAN - OIS USDOIS'!N99</f>
        <v>3.6393110747212601E-13</v>
      </c>
      <c r="BE90">
        <f ca="1">'JACOBIAN - OIS USDOIS'!O99</f>
        <v>3.6393110747212601E-13</v>
      </c>
      <c r="BF90">
        <f ca="1">'JACOBIAN - OIS USDOIS'!P99</f>
        <v>3.6393110747212601E-13</v>
      </c>
      <c r="BG90">
        <f ca="1">'JACOBIAN - OIS USDOIS'!Q99</f>
        <v>3.6393110747212601E-13</v>
      </c>
      <c r="BH90">
        <f ca="1">'JACOBIAN - OIS USDOIS'!R99</f>
        <v>3.6393110747212601E-13</v>
      </c>
      <c r="BI90" s="161">
        <f ca="1">'JACOBIAN - OIS USDOIS'!S99</f>
        <v>-9.0807101793544099E-7</v>
      </c>
      <c r="BJ90" s="161">
        <f ca="1">'JACOBIAN - OIS USDOIS'!T99</f>
        <v>-3.4878571529839398E-6</v>
      </c>
      <c r="BK90" s="161">
        <f ca="1">'JACOBIAN - OIS USDOIS'!U99</f>
        <v>-1.5356685056921999E-6</v>
      </c>
      <c r="BL90" s="161">
        <f ca="1">'JACOBIAN - OIS USDOIS'!V99</f>
        <v>-1.13203018049512E-5</v>
      </c>
      <c r="BM90" s="161">
        <f ca="1">'JACOBIAN - OIS USDOIS'!W99</f>
        <v>4.3056409575470403E-6</v>
      </c>
      <c r="BN90" s="161">
        <f ca="1">'JACOBIAN - OIS USDOIS'!X99</f>
        <v>-4.9133565482417699E-5</v>
      </c>
      <c r="BO90" s="161">
        <f ca="1">'JACOBIAN - OIS USDOIS'!Y99</f>
        <v>7.5202644292615695E-5</v>
      </c>
      <c r="BP90" s="161">
        <f ca="1">'JACOBIAN - OIS USDOIS'!Z99</f>
        <v>-3.4548576813586701E-4</v>
      </c>
      <c r="BQ90" s="161">
        <f ca="1">'JACOBIAN - OIS USDOIS'!AA99</f>
        <v>5.8470239147234704E-4</v>
      </c>
      <c r="BR90" s="161">
        <f ca="1">'JACOBIAN - OIS USDOIS'!AB99</f>
        <v>1.29429677122561E-3</v>
      </c>
      <c r="BS90" s="161">
        <f ca="1">'JACOBIAN - OIS USDOIS'!AC99</f>
        <v>-1.9023269178541899E-4</v>
      </c>
      <c r="BT90" s="161">
        <f ca="1">'JACOBIAN - OIS USDOIS'!AD99</f>
        <v>3.2351493535753798E-5</v>
      </c>
      <c r="BU90">
        <f ca="1">'JACOBIAN - OIS USDOIS'!AE99</f>
        <v>8.9133393244011895E-7</v>
      </c>
      <c r="BV90">
        <f ca="1">'JACOBIAN - OIS USDOIS'!AF99</f>
        <v>3.4294470870888101E-6</v>
      </c>
      <c r="BW90">
        <f ca="1">'JACOBIAN - OIS USDOIS'!AG99</f>
        <v>1.51056757657919E-6</v>
      </c>
      <c r="BX90">
        <f ca="1">'JACOBIAN - OIS USDOIS'!AH99</f>
        <v>1.11398996580636E-5</v>
      </c>
      <c r="BY90">
        <f ca="1">'JACOBIAN - OIS USDOIS'!AI99</f>
        <v>-4.24430352097271E-6</v>
      </c>
      <c r="BZ90">
        <f ca="1">'JACOBIAN - OIS USDOIS'!AJ99</f>
        <v>4.8347454191133301E-5</v>
      </c>
      <c r="CA90">
        <f ca="1">'JACOBIAN - OIS USDOIS'!AK99</f>
        <v>-7.4048148257732595E-5</v>
      </c>
      <c r="CB90">
        <f ca="1">'JACOBIAN - OIS USDOIS'!AL99</f>
        <v>3.4032792880334101E-4</v>
      </c>
      <c r="CC90">
        <f ca="1">'JACOBIAN - OIS USDOIS'!AM99</f>
        <v>-5.75552237104482E-4</v>
      </c>
      <c r="CD90">
        <f ca="1">'JACOBIAN - OIS USDOIS'!AN99</f>
        <v>-1.2730478540273801E-3</v>
      </c>
      <c r="CE90">
        <f ca="1">'JACOBIAN - OIS USDOIS'!AO99</f>
        <v>1.8760309240317699E-4</v>
      </c>
      <c r="CF90">
        <f ca="1">'JACOBIAN - OIS USDOIS'!AP99</f>
        <v>-3.19240989055114E-5</v>
      </c>
      <c r="CK90" s="248">
        <f t="shared" ca="1" si="81"/>
        <v>50573</v>
      </c>
      <c r="CL90">
        <f t="shared" ca="1" si="82"/>
        <v>-8.1772627413823095E-7</v>
      </c>
      <c r="CM90">
        <f t="shared" ca="1" si="83"/>
        <v>2.1363244506744601E-11</v>
      </c>
      <c r="CN90">
        <f t="shared" ca="1" si="84"/>
        <v>-8.5681906014656306E-11</v>
      </c>
      <c r="CO90">
        <f t="shared" ca="1" si="85"/>
        <v>2.2528268139865299E-10</v>
      </c>
      <c r="CP90">
        <f t="shared" ca="1" si="86"/>
        <v>-2.8939362017865702E-10</v>
      </c>
      <c r="CQ90">
        <f t="shared" ca="1" si="87"/>
        <v>6.55320242515245E-10</v>
      </c>
      <c r="CR90">
        <f t="shared" ca="1" si="88"/>
        <v>-1.2591934384076399E-8</v>
      </c>
      <c r="CS90">
        <f t="shared" ca="1" si="89"/>
        <v>8.0074176178612805E-9</v>
      </c>
      <c r="CT90">
        <f t="shared" ca="1" si="90"/>
        <v>-3.0835024422692898E-8</v>
      </c>
      <c r="CU90">
        <f t="shared" ca="1" si="91"/>
        <v>3.8224446896606402E-7</v>
      </c>
      <c r="CV90">
        <f t="shared" ca="1" si="92"/>
        <v>-1.2934815252219099E-7</v>
      </c>
      <c r="CW90">
        <f t="shared" ca="1" si="93"/>
        <v>3.6393110747212601E-13</v>
      </c>
      <c r="CX90">
        <f t="shared" ca="1" si="94"/>
        <v>3.6393110747212601E-13</v>
      </c>
      <c r="CY90">
        <f t="shared" ca="1" si="95"/>
        <v>3.6393110747212601E-13</v>
      </c>
      <c r="CZ90">
        <f t="shared" ca="1" si="96"/>
        <v>3.6393110747212601E-13</v>
      </c>
      <c r="DA90">
        <f t="shared" ca="1" si="97"/>
        <v>3.6393110747212601E-13</v>
      </c>
      <c r="DB90" s="146">
        <v>0</v>
      </c>
      <c r="DC90" s="146">
        <v>0</v>
      </c>
      <c r="DD90" s="146">
        <v>0</v>
      </c>
      <c r="DE90" s="146">
        <v>0</v>
      </c>
      <c r="DF90" s="146">
        <v>0</v>
      </c>
      <c r="DG90" s="146">
        <v>0</v>
      </c>
      <c r="DH90" s="146">
        <v>0</v>
      </c>
      <c r="DI90" s="146">
        <v>0</v>
      </c>
      <c r="DJ90" s="146">
        <v>0</v>
      </c>
      <c r="DK90" s="146">
        <v>0</v>
      </c>
      <c r="DL90" s="146">
        <v>0</v>
      </c>
      <c r="DM90" s="146">
        <v>0</v>
      </c>
      <c r="DN90">
        <f t="shared" ca="1" si="98"/>
        <v>8.9133393244011895E-7</v>
      </c>
      <c r="DO90">
        <f t="shared" ca="1" si="99"/>
        <v>3.4294470870888101E-6</v>
      </c>
      <c r="DP90">
        <f t="shared" ca="1" si="100"/>
        <v>1.51056757657919E-6</v>
      </c>
      <c r="DQ90">
        <f t="shared" ca="1" si="101"/>
        <v>1.11398996580636E-5</v>
      </c>
      <c r="DR90">
        <f t="shared" ca="1" si="102"/>
        <v>-4.24430352097271E-6</v>
      </c>
      <c r="DS90">
        <f t="shared" ca="1" si="103"/>
        <v>4.8347454191133301E-5</v>
      </c>
      <c r="DT90">
        <f t="shared" ca="1" si="104"/>
        <v>-7.4048148257732595E-5</v>
      </c>
      <c r="DU90">
        <f t="shared" ca="1" si="105"/>
        <v>3.4032792880334101E-4</v>
      </c>
      <c r="DV90">
        <f t="shared" ca="1" si="106"/>
        <v>-5.75552237104482E-4</v>
      </c>
      <c r="DW90">
        <f t="shared" ca="1" si="107"/>
        <v>-1.2730478540273801E-3</v>
      </c>
      <c r="DX90">
        <f t="shared" ca="1" si="108"/>
        <v>1.8760309240317699E-4</v>
      </c>
      <c r="DY90">
        <f t="shared" ca="1" si="109"/>
        <v>-3.19240989055114E-5</v>
      </c>
      <c r="ED90" s="248">
        <f ca="1">'JACOBIAN - SWAP USD3ML'!B99</f>
        <v>50573</v>
      </c>
      <c r="EE90">
        <f ca="1">'JACOBIAN - SWAP USD3ML'!C99</f>
        <v>1.0348250034653E-12</v>
      </c>
      <c r="EF90">
        <f ca="1">'JACOBIAN - SWAP USD3ML'!D99</f>
        <v>3.1836881048130598E-10</v>
      </c>
      <c r="EG90">
        <f ca="1">'JACOBIAN - SWAP USD3ML'!E99</f>
        <v>1.76059167245057E-11</v>
      </c>
      <c r="EH90">
        <f ca="1">'JACOBIAN - SWAP USD3ML'!F99</f>
        <v>1.03395764172731E-12</v>
      </c>
      <c r="EI90">
        <f ca="1">'JACOBIAN - SWAP USD3ML'!G99</f>
        <v>4.5302893381116101E-12</v>
      </c>
      <c r="EJ90">
        <f ca="1">'JACOBIAN - SWAP USD3ML'!H99</f>
        <v>3.1937409314397602E-10</v>
      </c>
      <c r="EK90">
        <f ca="1">'JACOBIAN - SWAP USD3ML'!I99</f>
        <v>3.3441336852457801E-10</v>
      </c>
      <c r="EL90">
        <f ca="1">'JACOBIAN - SWAP USD3ML'!J99</f>
        <v>3.33138735347793E-10</v>
      </c>
      <c r="EM90">
        <f ca="1">'JACOBIAN - SWAP USD3ML'!K99</f>
        <v>3.3193969448119799E-10</v>
      </c>
      <c r="EN90">
        <f ca="1">'JACOBIAN - SWAP USD3ML'!L99</f>
        <v>3.3095873958055598E-10</v>
      </c>
      <c r="EO90">
        <f ca="1">'JACOBIAN - SWAP USD3ML'!M99</f>
        <v>3.2784992082257602E-10</v>
      </c>
      <c r="EP90">
        <f ca="1">'JACOBIAN - SWAP USD3ML'!N99</f>
        <v>7.05625995134351E-10</v>
      </c>
      <c r="EQ90">
        <f ca="1">'JACOBIAN - SWAP USD3ML'!O99</f>
        <v>-1.7090244872064499E-8</v>
      </c>
      <c r="ER90">
        <f ca="1">'JACOBIAN - SWAP USD3ML'!P99</f>
        <v>8.2714264135891296E-8</v>
      </c>
      <c r="ES90">
        <f ca="1">'JACOBIAN - SWAP USD3ML'!Q99</f>
        <v>-2.0606422133917499E-7</v>
      </c>
      <c r="ET90">
        <f ca="1">'JACOBIAN - SWAP USD3ML'!R99</f>
        <v>1.8181540030054499E-6</v>
      </c>
      <c r="EU90">
        <f ca="1">'JACOBIAN - SWAP USD3ML'!S99</f>
        <v>-9.4717694322544993E-6</v>
      </c>
      <c r="EV90">
        <f ca="1">'JACOBIAN - SWAP USD3ML'!T99</f>
        <v>4.11967563158748E-5</v>
      </c>
      <c r="EW90">
        <f ca="1">'JACOBIAN - SWAP USD3ML'!U99</f>
        <v>-9.1891266843550896E-5</v>
      </c>
      <c r="EX90">
        <f ca="1">'JACOBIAN - SWAP USD3ML'!V99</f>
        <v>2.0349428076257099E-4</v>
      </c>
      <c r="EY90">
        <f ca="1">'JACOBIAN - SWAP USD3ML'!W99</f>
        <v>-5.6714710806139398E-4</v>
      </c>
      <c r="EZ90">
        <f ca="1">'JACOBIAN - SWAP USD3ML'!X99</f>
        <v>4.5007380811735E-4</v>
      </c>
      <c r="FA90">
        <f ca="1">'JACOBIAN - SWAP USD3ML'!Y99</f>
        <v>8.8444115437489505E-5</v>
      </c>
      <c r="FB90">
        <f ca="1">'JACOBIAN - SWAP USD3ML'!Z99</f>
        <v>-1.8005129294461999E-5</v>
      </c>
    </row>
    <row r="91" spans="24:158" x14ac:dyDescent="0.25">
      <c r="X91" s="258">
        <f t="shared" ca="1" si="76"/>
        <v>50665</v>
      </c>
      <c r="Y91" s="261">
        <v>0</v>
      </c>
      <c r="AA91" s="257">
        <f t="shared" ca="1" si="110"/>
        <v>50665</v>
      </c>
      <c r="AB91" s="266">
        <f t="shared" ca="1" si="77"/>
        <v>-1.3784368567759634E-3</v>
      </c>
      <c r="AC91" s="266"/>
      <c r="AD91" s="290">
        <f ca="1"/>
        <v>50665</v>
      </c>
      <c r="AE91" s="291">
        <f ca="1"/>
        <v>-1.3784368567759664E-3</v>
      </c>
      <c r="AF91" s="291" t="b">
        <f t="shared" ca="1" si="111"/>
        <v>1</v>
      </c>
      <c r="AH91" s="257">
        <f t="shared" ca="1" si="78"/>
        <v>50665</v>
      </c>
      <c r="AI91" s="260">
        <v>0</v>
      </c>
      <c r="AK91" s="290">
        <f ca="1"/>
        <v>50665</v>
      </c>
      <c r="AL91" s="291">
        <f ca="1"/>
        <v>9.8357850549044695E-5</v>
      </c>
      <c r="AM91" s="291" t="b">
        <f t="shared" ca="1" si="79"/>
        <v>1</v>
      </c>
      <c r="AO91" s="257">
        <f t="shared" ca="1" si="80"/>
        <v>50665</v>
      </c>
      <c r="AP91" s="266">
        <f t="shared" ca="1" si="112"/>
        <v>9.8357850549044641E-5</v>
      </c>
      <c r="AR91" s="248">
        <f ca="1">'JACOBIAN - OIS USDOIS'!B100</f>
        <v>50665</v>
      </c>
      <c r="AS91">
        <f ca="1">'JACOBIAN - OIS USDOIS'!C100</f>
        <v>-8.1389924277974799E-7</v>
      </c>
      <c r="AT91">
        <f ca="1">'JACOBIAN - OIS USDOIS'!D100</f>
        <v>2.8739122193144301E-11</v>
      </c>
      <c r="AU91">
        <f ca="1">'JACOBIAN - OIS USDOIS'!E100</f>
        <v>-1.1516221309904E-10</v>
      </c>
      <c r="AV91">
        <f ca="1">'JACOBIAN - OIS USDOIS'!F100</f>
        <v>3.0294677877407098E-10</v>
      </c>
      <c r="AW91">
        <f ca="1">'JACOBIAN - OIS USDOIS'!G100</f>
        <v>-3.8935010771012902E-10</v>
      </c>
      <c r="AX91">
        <f ca="1">'JACOBIAN - OIS USDOIS'!H100</f>
        <v>8.8141816068087998E-10</v>
      </c>
      <c r="AY91">
        <f ca="1">'JACOBIAN - OIS USDOIS'!I100</f>
        <v>-1.33012653114051E-8</v>
      </c>
      <c r="AZ91">
        <f ca="1">'JACOBIAN - OIS USDOIS'!J100</f>
        <v>1.0770750069610799E-8</v>
      </c>
      <c r="BA91">
        <f ca="1">'JACOBIAN - OIS USDOIS'!K100</f>
        <v>-4.1473241840783701E-8</v>
      </c>
      <c r="BB91">
        <f ca="1">'JACOBIAN - OIS USDOIS'!L100</f>
        <v>3.9745098490140402E-7</v>
      </c>
      <c r="BC91">
        <f ca="1">'JACOBIAN - OIS USDOIS'!M100</f>
        <v>-1.6301777761018599E-7</v>
      </c>
      <c r="BD91">
        <f ca="1">'JACOBIAN - OIS USDOIS'!N100</f>
        <v>3.4605651677566099E-13</v>
      </c>
      <c r="BE91">
        <f ca="1">'JACOBIAN - OIS USDOIS'!O100</f>
        <v>3.4605651677566099E-13</v>
      </c>
      <c r="BF91">
        <f ca="1">'JACOBIAN - OIS USDOIS'!P100</f>
        <v>3.4605651677566099E-13</v>
      </c>
      <c r="BG91">
        <f ca="1">'JACOBIAN - OIS USDOIS'!Q100</f>
        <v>3.4605651677566099E-13</v>
      </c>
      <c r="BH91">
        <f ca="1">'JACOBIAN - OIS USDOIS'!R100</f>
        <v>3.4605651677566099E-13</v>
      </c>
      <c r="BI91" s="161">
        <f ca="1">'JACOBIAN - OIS USDOIS'!S100</f>
        <v>-9.5011464740224504E-7</v>
      </c>
      <c r="BJ91" s="161">
        <f ca="1">'JACOBIAN - OIS USDOIS'!T100</f>
        <v>-3.4034148054251598E-6</v>
      </c>
      <c r="BK91" s="161">
        <f ca="1">'JACOBIAN - OIS USDOIS'!U100</f>
        <v>-1.8050875274511201E-6</v>
      </c>
      <c r="BL91" s="161">
        <f ca="1">'JACOBIAN - OIS USDOIS'!V100</f>
        <v>-1.0271913642445599E-5</v>
      </c>
      <c r="BM91" s="161">
        <f ca="1">'JACOBIAN - OIS USDOIS'!W100</f>
        <v>2.2566638240295602E-6</v>
      </c>
      <c r="BN91" s="161">
        <f ca="1">'JACOBIAN - OIS USDOIS'!X100</f>
        <v>-4.5251145079805399E-5</v>
      </c>
      <c r="BO91" s="161">
        <f ca="1">'JACOBIAN - OIS USDOIS'!Y100</f>
        <v>5.6389218362262698E-5</v>
      </c>
      <c r="BP91" s="161">
        <f ca="1">'JACOBIAN - OIS USDOIS'!Z100</f>
        <v>-2.9127482099400298E-4</v>
      </c>
      <c r="BQ91" s="161">
        <f ca="1">'JACOBIAN - OIS USDOIS'!AA100</f>
        <v>4.5797239542477697E-4</v>
      </c>
      <c r="BR91" s="161">
        <f ca="1">'JACOBIAN - OIS USDOIS'!AB100</f>
        <v>1.3865661491739799E-3</v>
      </c>
      <c r="BS91" s="161">
        <f ca="1">'JACOBIAN - OIS USDOIS'!AC100</f>
        <v>-1.79508900669645E-4</v>
      </c>
      <c r="BT91" s="161">
        <f ca="1">'JACOBIAN - OIS USDOIS'!AD100</f>
        <v>3.05275170200403E-5</v>
      </c>
      <c r="BU91">
        <f ca="1">'JACOBIAN - OIS USDOIS'!AE100</f>
        <v>9.3261693823176696E-7</v>
      </c>
      <c r="BV91">
        <f ca="1">'JACOBIAN - OIS USDOIS'!AF100</f>
        <v>3.3464093545099199E-6</v>
      </c>
      <c r="BW91">
        <f ca="1">'JACOBIAN - OIS USDOIS'!AG100</f>
        <v>1.7756634921317599E-6</v>
      </c>
      <c r="BX91">
        <f ca="1">'JACOBIAN - OIS USDOIS'!AH100</f>
        <v>1.01080005564524E-5</v>
      </c>
      <c r="BY91">
        <f ca="1">'JACOBIAN - OIS USDOIS'!AI100</f>
        <v>-2.22824040174707E-6</v>
      </c>
      <c r="BZ91">
        <f ca="1">'JACOBIAN - OIS USDOIS'!AJ100</f>
        <v>4.45256156184071E-5</v>
      </c>
      <c r="CA91">
        <f ca="1">'JACOBIAN - OIS USDOIS'!AK100</f>
        <v>-5.5532894184251399E-5</v>
      </c>
      <c r="CB91">
        <f ca="1">'JACOBIAN - OIS USDOIS'!AL100</f>
        <v>2.8689554273553198E-4</v>
      </c>
      <c r="CC91">
        <f ca="1">'JACOBIAN - OIS USDOIS'!AM100</f>
        <v>-4.5091357394655402E-4</v>
      </c>
      <c r="CD91">
        <f ca="1">'JACOBIAN - OIS USDOIS'!AN100</f>
        <v>-1.3636239302630101E-3</v>
      </c>
      <c r="CE91">
        <f ca="1">'JACOBIAN - OIS USDOIS'!AO100</f>
        <v>1.7702498550187199E-4</v>
      </c>
      <c r="CF91">
        <f ca="1">'JACOBIAN - OIS USDOIS'!AP100</f>
        <v>-3.0124292706989999E-5</v>
      </c>
      <c r="CK91" s="248">
        <f t="shared" ca="1" si="81"/>
        <v>50665</v>
      </c>
      <c r="CL91">
        <f t="shared" ca="1" si="82"/>
        <v>-8.1389924277974799E-7</v>
      </c>
      <c r="CM91">
        <f t="shared" ca="1" si="83"/>
        <v>2.8739122193144301E-11</v>
      </c>
      <c r="CN91">
        <f t="shared" ca="1" si="84"/>
        <v>-1.1516221309904E-10</v>
      </c>
      <c r="CO91">
        <f t="shared" ca="1" si="85"/>
        <v>3.0294677877407098E-10</v>
      </c>
      <c r="CP91">
        <f t="shared" ca="1" si="86"/>
        <v>-3.8935010771012902E-10</v>
      </c>
      <c r="CQ91">
        <f t="shared" ca="1" si="87"/>
        <v>8.8141816068087998E-10</v>
      </c>
      <c r="CR91">
        <f t="shared" ca="1" si="88"/>
        <v>-1.33012653114051E-8</v>
      </c>
      <c r="CS91">
        <f t="shared" ca="1" si="89"/>
        <v>1.0770750069610799E-8</v>
      </c>
      <c r="CT91">
        <f t="shared" ca="1" si="90"/>
        <v>-4.1473241840783701E-8</v>
      </c>
      <c r="CU91">
        <f t="shared" ca="1" si="91"/>
        <v>3.9745098490140402E-7</v>
      </c>
      <c r="CV91">
        <f t="shared" ca="1" si="92"/>
        <v>-1.6301777761018599E-7</v>
      </c>
      <c r="CW91">
        <f t="shared" ca="1" si="93"/>
        <v>3.4605651677566099E-13</v>
      </c>
      <c r="CX91">
        <f t="shared" ca="1" si="94"/>
        <v>3.4605651677566099E-13</v>
      </c>
      <c r="CY91">
        <f t="shared" ca="1" si="95"/>
        <v>3.4605651677566099E-13</v>
      </c>
      <c r="CZ91">
        <f t="shared" ca="1" si="96"/>
        <v>3.4605651677566099E-13</v>
      </c>
      <c r="DA91">
        <f t="shared" ca="1" si="97"/>
        <v>3.4605651677566099E-13</v>
      </c>
      <c r="DB91" s="146">
        <v>0</v>
      </c>
      <c r="DC91" s="146">
        <v>0</v>
      </c>
      <c r="DD91" s="146">
        <v>0</v>
      </c>
      <c r="DE91" s="146">
        <v>0</v>
      </c>
      <c r="DF91" s="146">
        <v>0</v>
      </c>
      <c r="DG91" s="146">
        <v>0</v>
      </c>
      <c r="DH91" s="146">
        <v>0</v>
      </c>
      <c r="DI91" s="146">
        <v>0</v>
      </c>
      <c r="DJ91" s="146">
        <v>0</v>
      </c>
      <c r="DK91" s="146">
        <v>0</v>
      </c>
      <c r="DL91" s="146">
        <v>0</v>
      </c>
      <c r="DM91" s="146">
        <v>0</v>
      </c>
      <c r="DN91">
        <f t="shared" ca="1" si="98"/>
        <v>9.3261693823176696E-7</v>
      </c>
      <c r="DO91">
        <f t="shared" ca="1" si="99"/>
        <v>3.3464093545099199E-6</v>
      </c>
      <c r="DP91">
        <f t="shared" ca="1" si="100"/>
        <v>1.7756634921317599E-6</v>
      </c>
      <c r="DQ91">
        <f t="shared" ca="1" si="101"/>
        <v>1.01080005564524E-5</v>
      </c>
      <c r="DR91">
        <f t="shared" ca="1" si="102"/>
        <v>-2.22824040174707E-6</v>
      </c>
      <c r="DS91">
        <f t="shared" ca="1" si="103"/>
        <v>4.45256156184071E-5</v>
      </c>
      <c r="DT91">
        <f t="shared" ca="1" si="104"/>
        <v>-5.5532894184251399E-5</v>
      </c>
      <c r="DU91">
        <f t="shared" ca="1" si="105"/>
        <v>2.8689554273553198E-4</v>
      </c>
      <c r="DV91">
        <f t="shared" ca="1" si="106"/>
        <v>-4.5091357394655402E-4</v>
      </c>
      <c r="DW91">
        <f t="shared" ca="1" si="107"/>
        <v>-1.3636239302630101E-3</v>
      </c>
      <c r="DX91">
        <f t="shared" ca="1" si="108"/>
        <v>1.7702498550187199E-4</v>
      </c>
      <c r="DY91">
        <f t="shared" ca="1" si="109"/>
        <v>-3.0124292706989999E-5</v>
      </c>
      <c r="ED91" s="248">
        <f ca="1">'JACOBIAN - SWAP USD3ML'!B100</f>
        <v>50665</v>
      </c>
      <c r="EE91">
        <f ca="1">'JACOBIAN - SWAP USD3ML'!C100</f>
        <v>9.8470537279737909E-13</v>
      </c>
      <c r="EF91">
        <f ca="1">'JACOBIAN - SWAP USD3ML'!D100</f>
        <v>3.2665738169956902E-10</v>
      </c>
      <c r="EG91">
        <f ca="1">'JACOBIAN - SWAP USD3ML'!E100</f>
        <v>1.6587169138215801E-11</v>
      </c>
      <c r="EH91">
        <f ca="1">'JACOBIAN - SWAP USD3ML'!F100</f>
        <v>9.8382760271853402E-13</v>
      </c>
      <c r="EI91">
        <f ca="1">'JACOBIAN - SWAP USD3ML'!G100</f>
        <v>4.5677732429805202E-12</v>
      </c>
      <c r="EJ91">
        <f ca="1">'JACOBIAN - SWAP USD3ML'!H100</f>
        <v>3.2750505432610499E-10</v>
      </c>
      <c r="EK91">
        <f ca="1">'JACOBIAN - SWAP USD3ML'!I100</f>
        <v>3.4156677486407701E-10</v>
      </c>
      <c r="EL91">
        <f ca="1">'JACOBIAN - SWAP USD3ML'!J100</f>
        <v>3.40278135529948E-10</v>
      </c>
      <c r="EM91">
        <f ca="1">'JACOBIAN - SWAP USD3ML'!K100</f>
        <v>3.39065917703829E-10</v>
      </c>
      <c r="EN91">
        <f ca="1">'JACOBIAN - SWAP USD3ML'!L100</f>
        <v>3.3805925073182601E-10</v>
      </c>
      <c r="EO91">
        <f ca="1">'JACOBIAN - SWAP USD3ML'!M100</f>
        <v>3.3488815887050498E-10</v>
      </c>
      <c r="EP91">
        <f ca="1">'JACOBIAN - SWAP USD3ML'!N100</f>
        <v>7.21199801267947E-10</v>
      </c>
      <c r="EQ91">
        <f ca="1">'JACOBIAN - SWAP USD3ML'!O100</f>
        <v>-1.7467566733320199E-8</v>
      </c>
      <c r="ER91">
        <f ca="1">'JACOBIAN - SWAP USD3ML'!P100</f>
        <v>8.4539873122790903E-8</v>
      </c>
      <c r="ES91">
        <f ca="1">'JACOBIAN - SWAP USD3ML'!Q100</f>
        <v>-2.1061260779484101E-7</v>
      </c>
      <c r="ET91">
        <f ca="1">'JACOBIAN - SWAP USD3ML'!R100</f>
        <v>1.85828457500981E-6</v>
      </c>
      <c r="EU91">
        <f ca="1">'JACOBIAN - SWAP USD3ML'!S100</f>
        <v>-9.6808300180627194E-6</v>
      </c>
      <c r="EV91">
        <f ca="1">'JACOBIAN - SWAP USD3ML'!T100</f>
        <v>4.2106078498145599E-5</v>
      </c>
      <c r="EW91">
        <f ca="1">'JACOBIAN - SWAP USD3ML'!U100</f>
        <v>-9.3919397792095697E-5</v>
      </c>
      <c r="EX91">
        <f ca="1">'JACOBIAN - SWAP USD3ML'!V100</f>
        <v>2.07986361890483E-4</v>
      </c>
      <c r="EY91">
        <f ca="1">'JACOBIAN - SWAP USD3ML'!W100</f>
        <v>-5.5195178965548495E-4</v>
      </c>
      <c r="EZ91">
        <f ca="1">'JACOBIAN - SWAP USD3ML'!X100</f>
        <v>3.8982864187236602E-4</v>
      </c>
      <c r="FA91">
        <f ca="1">'JACOBIAN - SWAP USD3ML'!Y100</f>
        <v>1.4096779182289399E-4</v>
      </c>
      <c r="FB91">
        <f ca="1">'JACOBIAN - SWAP USD3ML'!Z100</f>
        <v>-2.8696842686755399E-5</v>
      </c>
    </row>
    <row r="92" spans="24:158" x14ac:dyDescent="0.25">
      <c r="X92" s="258">
        <f t="shared" ca="1" si="76"/>
        <v>50756</v>
      </c>
      <c r="Y92" s="261">
        <v>0</v>
      </c>
      <c r="AA92" s="257">
        <f t="shared" ca="1" si="110"/>
        <v>50756</v>
      </c>
      <c r="AB92" s="266">
        <f t="shared" ca="1" si="77"/>
        <v>-1.3904226147394335E-3</v>
      </c>
      <c r="AC92" s="266"/>
      <c r="AD92" s="290">
        <f ca="1"/>
        <v>50756</v>
      </c>
      <c r="AE92" s="291">
        <f ca="1"/>
        <v>-1.3904226147394283E-3</v>
      </c>
      <c r="AF92" s="291" t="b">
        <f t="shared" ca="1" si="111"/>
        <v>1</v>
      </c>
      <c r="AH92" s="257">
        <f t="shared" ca="1" si="78"/>
        <v>50756</v>
      </c>
      <c r="AI92" s="260">
        <v>0</v>
      </c>
      <c r="AK92" s="290">
        <f ca="1"/>
        <v>50756</v>
      </c>
      <c r="AL92" s="291">
        <f ca="1"/>
        <v>9.8340087642867502E-5</v>
      </c>
      <c r="AM92" s="291" t="b">
        <f t="shared" ca="1" si="79"/>
        <v>1</v>
      </c>
      <c r="AO92" s="257">
        <f t="shared" ca="1" si="80"/>
        <v>50756</v>
      </c>
      <c r="AP92" s="266">
        <f t="shared" ca="1" si="112"/>
        <v>9.8340087642867949E-5</v>
      </c>
      <c r="AR92" s="248">
        <f ca="1">'JACOBIAN - OIS USDOIS'!B101</f>
        <v>50756</v>
      </c>
      <c r="AS92">
        <f ca="1">'JACOBIAN - OIS USDOIS'!C101</f>
        <v>-8.1013956276798595E-7</v>
      </c>
      <c r="AT92">
        <f ca="1">'JACOBIAN - OIS USDOIS'!D101</f>
        <v>3.6337377551376397E-11</v>
      </c>
      <c r="AU92">
        <f ca="1">'JACOBIAN - OIS USDOIS'!E101</f>
        <v>-1.45533696205291E-10</v>
      </c>
      <c r="AV92">
        <f ca="1">'JACOBIAN - OIS USDOIS'!F101</f>
        <v>3.82956444333615E-10</v>
      </c>
      <c r="AW92">
        <f ca="1">'JACOBIAN - OIS USDOIS'!G101</f>
        <v>-4.9232740106930402E-10</v>
      </c>
      <c r="AX92">
        <f ca="1">'JACOBIAN - OIS USDOIS'!H101</f>
        <v>1.11434705907243E-9</v>
      </c>
      <c r="AY92">
        <f ca="1">'JACOBIAN - OIS USDOIS'!I101</f>
        <v>-1.4034849615818199E-8</v>
      </c>
      <c r="AZ92">
        <f ca="1">'JACOBIAN - OIS USDOIS'!J101</f>
        <v>1.36175903886482E-8</v>
      </c>
      <c r="BA92">
        <f ca="1">'JACOBIAN - OIS USDOIS'!K101</f>
        <v>-5.2432947650338202E-8</v>
      </c>
      <c r="BB92">
        <f ca="1">'JACOBIAN - OIS USDOIS'!L101</f>
        <v>4.1313553833521903E-7</v>
      </c>
      <c r="BC92">
        <f ca="1">'JACOBIAN - OIS USDOIS'!M101</f>
        <v>-1.9771338222174301E-7</v>
      </c>
      <c r="BD92">
        <f ca="1">'JACOBIAN - OIS USDOIS'!N101</f>
        <v>3.28403970684121E-13</v>
      </c>
      <c r="BE92">
        <f ca="1">'JACOBIAN - OIS USDOIS'!O101</f>
        <v>3.28403970684121E-13</v>
      </c>
      <c r="BF92">
        <f ca="1">'JACOBIAN - OIS USDOIS'!P101</f>
        <v>3.28403970684121E-13</v>
      </c>
      <c r="BG92">
        <f ca="1">'JACOBIAN - OIS USDOIS'!Q101</f>
        <v>3.28403970684121E-13</v>
      </c>
      <c r="BH92">
        <f ca="1">'JACOBIAN - OIS USDOIS'!R101</f>
        <v>3.28403970684121E-13</v>
      </c>
      <c r="BI92" s="161">
        <f ca="1">'JACOBIAN - OIS USDOIS'!S101</f>
        <v>-9.9346696003088695E-7</v>
      </c>
      <c r="BJ92" s="161">
        <f ca="1">'JACOBIAN - OIS USDOIS'!T101</f>
        <v>-3.3165651318611801E-6</v>
      </c>
      <c r="BK92" s="161">
        <f ca="1">'JACOBIAN - OIS USDOIS'!U101</f>
        <v>-2.08289263670114E-6</v>
      </c>
      <c r="BL92" s="161">
        <f ca="1">'JACOBIAN - OIS USDOIS'!V101</f>
        <v>-9.1911661174170993E-6</v>
      </c>
      <c r="BM92" s="161">
        <f ca="1">'JACOBIAN - OIS USDOIS'!W101</f>
        <v>1.4357413091747899E-7</v>
      </c>
      <c r="BN92" s="161">
        <f ca="1">'JACOBIAN - OIS USDOIS'!X101</f>
        <v>-4.1249088652883799E-5</v>
      </c>
      <c r="BO92" s="161">
        <f ca="1">'JACOBIAN - OIS USDOIS'!Y101</f>
        <v>3.69894646400359E-5</v>
      </c>
      <c r="BP92" s="161">
        <f ca="1">'JACOBIAN - OIS USDOIS'!Z101</f>
        <v>-2.3537446023824701E-4</v>
      </c>
      <c r="BQ92" s="161">
        <f ca="1">'JACOBIAN - OIS USDOIS'!AA101</f>
        <v>3.3386945597535501E-4</v>
      </c>
      <c r="BR92" s="161">
        <f ca="1">'JACOBIAN - OIS USDOIS'!AB101</f>
        <v>1.46850307713087E-3</v>
      </c>
      <c r="BS92" s="161">
        <f ca="1">'JACOBIAN - OIS USDOIS'!AC101</f>
        <v>-1.6123795549560801E-4</v>
      </c>
      <c r="BT92" s="161">
        <f ca="1">'JACOBIAN - OIS USDOIS'!AD101</f>
        <v>2.7419926350580299E-5</v>
      </c>
      <c r="BU92">
        <f ca="1">'JACOBIAN - OIS USDOIS'!AE101</f>
        <v>9.7518494512893696E-7</v>
      </c>
      <c r="BV92">
        <f ca="1">'JACOBIAN - OIS USDOIS'!AF101</f>
        <v>3.2610043432246301E-6</v>
      </c>
      <c r="BW92">
        <f ca="1">'JACOBIAN - OIS USDOIS'!AG101</f>
        <v>2.0490112464521802E-6</v>
      </c>
      <c r="BX92">
        <f ca="1">'JACOBIAN - OIS USDOIS'!AH101</f>
        <v>9.0442538499546592E-6</v>
      </c>
      <c r="BY92">
        <f ca="1">'JACOBIAN - OIS USDOIS'!AI101</f>
        <v>-1.4908321954720799E-7</v>
      </c>
      <c r="BZ92">
        <f ca="1">'JACOBIAN - OIS USDOIS'!AJ101</f>
        <v>4.0586044682267002E-5</v>
      </c>
      <c r="CA92">
        <f ca="1">'JACOBIAN - OIS USDOIS'!AK101</f>
        <v>-3.6439639201080203E-5</v>
      </c>
      <c r="CB92">
        <f ca="1">'JACOBIAN - OIS USDOIS'!AL101</f>
        <v>2.31805853051936E-4</v>
      </c>
      <c r="CC92">
        <f ca="1">'JACOBIAN - OIS USDOIS'!AM101</f>
        <v>-3.2881831350683999E-4</v>
      </c>
      <c r="CD92">
        <f ca="1">'JACOBIAN - OIS USDOIS'!AN101</f>
        <v>-1.44403521968695E-3</v>
      </c>
      <c r="CE92">
        <f ca="1">'JACOBIAN - OIS USDOIS'!AO101</f>
        <v>1.59002824524745E-4</v>
      </c>
      <c r="CF92">
        <f ca="1">'JACOBIAN - OIS USDOIS'!AP101</f>
        <v>-2.7057865576995999E-5</v>
      </c>
      <c r="CK92" s="248">
        <f t="shared" ca="1" si="81"/>
        <v>50756</v>
      </c>
      <c r="CL92">
        <f t="shared" ca="1" si="82"/>
        <v>-8.1013956276798595E-7</v>
      </c>
      <c r="CM92">
        <f t="shared" ca="1" si="83"/>
        <v>3.6337377551376397E-11</v>
      </c>
      <c r="CN92">
        <f t="shared" ca="1" si="84"/>
        <v>-1.45533696205291E-10</v>
      </c>
      <c r="CO92">
        <f t="shared" ca="1" si="85"/>
        <v>3.82956444333615E-10</v>
      </c>
      <c r="CP92">
        <f t="shared" ca="1" si="86"/>
        <v>-4.9232740106930402E-10</v>
      </c>
      <c r="CQ92">
        <f t="shared" ca="1" si="87"/>
        <v>1.11434705907243E-9</v>
      </c>
      <c r="CR92">
        <f t="shared" ca="1" si="88"/>
        <v>-1.4034849615818199E-8</v>
      </c>
      <c r="CS92">
        <f t="shared" ca="1" si="89"/>
        <v>1.36175903886482E-8</v>
      </c>
      <c r="CT92">
        <f t="shared" ca="1" si="90"/>
        <v>-5.2432947650338202E-8</v>
      </c>
      <c r="CU92">
        <f t="shared" ca="1" si="91"/>
        <v>4.1313553833521903E-7</v>
      </c>
      <c r="CV92">
        <f t="shared" ca="1" si="92"/>
        <v>-1.9771338222174301E-7</v>
      </c>
      <c r="CW92">
        <f t="shared" ca="1" si="93"/>
        <v>3.28403970684121E-13</v>
      </c>
      <c r="CX92">
        <f t="shared" ca="1" si="94"/>
        <v>3.28403970684121E-13</v>
      </c>
      <c r="CY92">
        <f t="shared" ca="1" si="95"/>
        <v>3.28403970684121E-13</v>
      </c>
      <c r="CZ92">
        <f t="shared" ca="1" si="96"/>
        <v>3.28403970684121E-13</v>
      </c>
      <c r="DA92">
        <f t="shared" ca="1" si="97"/>
        <v>3.28403970684121E-13</v>
      </c>
      <c r="DB92" s="146">
        <v>0</v>
      </c>
      <c r="DC92" s="146">
        <v>0</v>
      </c>
      <c r="DD92" s="146">
        <v>0</v>
      </c>
      <c r="DE92" s="146">
        <v>0</v>
      </c>
      <c r="DF92" s="146">
        <v>0</v>
      </c>
      <c r="DG92" s="146">
        <v>0</v>
      </c>
      <c r="DH92" s="146">
        <v>0</v>
      </c>
      <c r="DI92" s="146">
        <v>0</v>
      </c>
      <c r="DJ92" s="146">
        <v>0</v>
      </c>
      <c r="DK92" s="146">
        <v>0</v>
      </c>
      <c r="DL92" s="146">
        <v>0</v>
      </c>
      <c r="DM92" s="146">
        <v>0</v>
      </c>
      <c r="DN92">
        <f t="shared" ca="1" si="98"/>
        <v>9.7518494512893696E-7</v>
      </c>
      <c r="DO92">
        <f t="shared" ca="1" si="99"/>
        <v>3.2610043432246301E-6</v>
      </c>
      <c r="DP92">
        <f t="shared" ca="1" si="100"/>
        <v>2.0490112464521802E-6</v>
      </c>
      <c r="DQ92">
        <f t="shared" ca="1" si="101"/>
        <v>9.0442538499546592E-6</v>
      </c>
      <c r="DR92">
        <f t="shared" ca="1" si="102"/>
        <v>-1.4908321954720799E-7</v>
      </c>
      <c r="DS92">
        <f t="shared" ca="1" si="103"/>
        <v>4.0586044682267002E-5</v>
      </c>
      <c r="DT92">
        <f t="shared" ca="1" si="104"/>
        <v>-3.6439639201080203E-5</v>
      </c>
      <c r="DU92">
        <f t="shared" ca="1" si="105"/>
        <v>2.31805853051936E-4</v>
      </c>
      <c r="DV92">
        <f t="shared" ca="1" si="106"/>
        <v>-3.2881831350683999E-4</v>
      </c>
      <c r="DW92">
        <f t="shared" ca="1" si="107"/>
        <v>-1.44403521968695E-3</v>
      </c>
      <c r="DX92">
        <f t="shared" ca="1" si="108"/>
        <v>1.59002824524745E-4</v>
      </c>
      <c r="DY92">
        <f t="shared" ca="1" si="109"/>
        <v>-2.7057865576995999E-5</v>
      </c>
      <c r="ED92" s="248">
        <f ca="1">'JACOBIAN - SWAP USD3ML'!B101</f>
        <v>50756</v>
      </c>
      <c r="EE92">
        <f ca="1">'JACOBIAN - SWAP USD3ML'!C101</f>
        <v>9.2370555648813004E-13</v>
      </c>
      <c r="EF92">
        <f ca="1">'JACOBIAN - SWAP USD3ML'!D101</f>
        <v>3.25065308004469E-10</v>
      </c>
      <c r="EG92">
        <f ca="1">'JACOBIAN - SWAP USD3ML'!E101</f>
        <v>1.5385914764465298E-11</v>
      </c>
      <c r="EH92">
        <f ca="1">'JACOBIAN - SWAP USD3ML'!F101</f>
        <v>9.2370555648813004E-13</v>
      </c>
      <c r="EI92">
        <f ca="1">'JACOBIAN - SWAP USD3ML'!G101</f>
        <v>4.4906300900038299E-12</v>
      </c>
      <c r="EJ92">
        <f ca="1">'JACOBIAN - SWAP USD3ML'!H101</f>
        <v>3.2576608077761198E-10</v>
      </c>
      <c r="EK92">
        <f ca="1">'JACOBIAN - SWAP USD3ML'!I101</f>
        <v>3.3872105120735801E-10</v>
      </c>
      <c r="EL92">
        <f ca="1">'JACOBIAN - SWAP USD3ML'!J101</f>
        <v>3.3745273242402603E-10</v>
      </c>
      <c r="EM92">
        <f ca="1">'JACOBIAN - SWAP USD3ML'!K101</f>
        <v>3.3625813244952998E-10</v>
      </c>
      <c r="EN92">
        <f ca="1">'JACOBIAN - SWAP USD3ML'!L101</f>
        <v>3.3525715537052701E-10</v>
      </c>
      <c r="EO92">
        <f ca="1">'JACOBIAN - SWAP USD3ML'!M101</f>
        <v>3.3211478012162801E-10</v>
      </c>
      <c r="EP92">
        <f ca="1">'JACOBIAN - SWAP USD3ML'!N101</f>
        <v>7.1555028569036897E-10</v>
      </c>
      <c r="EQ92">
        <f ca="1">'JACOBIAN - SWAP USD3ML'!O101</f>
        <v>-1.7330806123538901E-8</v>
      </c>
      <c r="ER92">
        <f ca="1">'JACOBIAN - SWAP USD3ML'!P101</f>
        <v>8.3877505829832404E-8</v>
      </c>
      <c r="ES92">
        <f ca="1">'JACOBIAN - SWAP USD3ML'!Q101</f>
        <v>-2.0896264629755E-7</v>
      </c>
      <c r="ET92">
        <f ca="1">'JACOBIAN - SWAP USD3ML'!R101</f>
        <v>1.8437258022530001E-6</v>
      </c>
      <c r="EU92">
        <f ca="1">'JACOBIAN - SWAP USD3ML'!S101</f>
        <v>-9.6049842595036205E-6</v>
      </c>
      <c r="EV92">
        <f ca="1">'JACOBIAN - SWAP USD3ML'!T101</f>
        <v>4.1776206542998302E-5</v>
      </c>
      <c r="EW92">
        <f ca="1">'JACOBIAN - SWAP USD3ML'!U101</f>
        <v>-9.3183538869112694E-5</v>
      </c>
      <c r="EX92">
        <f ca="1">'JACOBIAN - SWAP USD3ML'!V101</f>
        <v>2.0635711228145199E-4</v>
      </c>
      <c r="EY92">
        <f ca="1">'JACOBIAN - SWAP USD3ML'!W101</f>
        <v>-5.2745640700457798E-4</v>
      </c>
      <c r="EZ92">
        <f ca="1">'JACOBIAN - SWAP USD3ML'!X101</f>
        <v>3.2100898602571698E-4</v>
      </c>
      <c r="FA92">
        <f ca="1">'JACOBIAN - SWAP USD3ML'!Y101</f>
        <v>1.9805582180954E-4</v>
      </c>
      <c r="FB92">
        <f ca="1">'JACOBIAN - SWAP USD3ML'!Z101</f>
        <v>-4.0317486648788799E-5</v>
      </c>
    </row>
    <row r="93" spans="24:158" x14ac:dyDescent="0.25">
      <c r="X93" s="258">
        <f t="shared" ca="1" si="76"/>
        <v>50846</v>
      </c>
      <c r="Y93" s="261">
        <v>0</v>
      </c>
      <c r="AA93" s="257">
        <f t="shared" ca="1" si="110"/>
        <v>50846</v>
      </c>
      <c r="AB93" s="266">
        <f t="shared" ca="1" si="77"/>
        <v>-1.4021365148270139E-3</v>
      </c>
      <c r="AC93" s="266"/>
      <c r="AD93" s="290">
        <f ca="1"/>
        <v>50846</v>
      </c>
      <c r="AE93" s="291">
        <f ca="1"/>
        <v>-1.4021365148270126E-3</v>
      </c>
      <c r="AF93" s="291" t="b">
        <f t="shared" ca="1" si="111"/>
        <v>1</v>
      </c>
      <c r="AH93" s="257">
        <f t="shared" ca="1" si="78"/>
        <v>50846</v>
      </c>
      <c r="AI93" s="260">
        <v>0</v>
      </c>
      <c r="AK93" s="290">
        <f ca="1"/>
        <v>50846</v>
      </c>
      <c r="AL93" s="291">
        <f ca="1"/>
        <v>9.8340248140382086E-5</v>
      </c>
      <c r="AM93" s="291" t="b">
        <f t="shared" ca="1" si="79"/>
        <v>1</v>
      </c>
      <c r="AO93" s="257">
        <f t="shared" ca="1" si="80"/>
        <v>50846</v>
      </c>
      <c r="AP93" s="266">
        <f t="shared" ca="1" si="112"/>
        <v>9.8340248140382764E-5</v>
      </c>
      <c r="AR93" s="248">
        <f ca="1">'JACOBIAN - OIS USDOIS'!B102</f>
        <v>50846</v>
      </c>
      <c r="AS93">
        <f ca="1">'JACOBIAN - OIS USDOIS'!C102</f>
        <v>-8.0644758415626704E-7</v>
      </c>
      <c r="AT93">
        <f ca="1">'JACOBIAN - OIS USDOIS'!D102</f>
        <v>4.3916204006677598E-11</v>
      </c>
      <c r="AU93">
        <f ca="1">'JACOBIAN - OIS USDOIS'!E102</f>
        <v>-1.7583512423868799E-10</v>
      </c>
      <c r="AV93">
        <f ca="1">'JACOBIAN - OIS USDOIS'!F102</f>
        <v>4.62777371978973E-10</v>
      </c>
      <c r="AW93">
        <f ca="1">'JACOBIAN - OIS USDOIS'!G102</f>
        <v>-5.95064442165949E-10</v>
      </c>
      <c r="AX93">
        <f ca="1">'JACOBIAN - OIS USDOIS'!H102</f>
        <v>1.34673039386968E-9</v>
      </c>
      <c r="AY93">
        <f ca="1">'JACOBIAN - OIS USDOIS'!I102</f>
        <v>-1.4767844613849901E-8</v>
      </c>
      <c r="AZ93">
        <f ca="1">'JACOBIAN - OIS USDOIS'!J102</f>
        <v>1.64577792505227E-8</v>
      </c>
      <c r="BA93">
        <f ca="1">'JACOBIAN - OIS USDOIS'!K102</f>
        <v>-6.3367050828766493E-8</v>
      </c>
      <c r="BB93">
        <f ca="1">'JACOBIAN - OIS USDOIS'!L102</f>
        <v>4.2877188799472797E-7</v>
      </c>
      <c r="BC93">
        <f ca="1">'JACOBIAN - OIS USDOIS'!M102</f>
        <v>-2.32331313743117E-7</v>
      </c>
      <c r="BD93">
        <f ca="1">'JACOBIAN - OIS USDOIS'!N102</f>
        <v>3.1075142459258101E-13</v>
      </c>
      <c r="BE93">
        <f ca="1">'JACOBIAN - OIS USDOIS'!O102</f>
        <v>3.1075142459258101E-13</v>
      </c>
      <c r="BF93">
        <f ca="1">'JACOBIAN - OIS USDOIS'!P102</f>
        <v>3.1075142459258101E-13</v>
      </c>
      <c r="BG93">
        <f ca="1">'JACOBIAN - OIS USDOIS'!Q102</f>
        <v>3.1075142459258101E-13</v>
      </c>
      <c r="BH93">
        <f ca="1">'JACOBIAN - OIS USDOIS'!R102</f>
        <v>3.1075142459258101E-13</v>
      </c>
      <c r="BI93" s="161">
        <f ca="1">'JACOBIAN - OIS USDOIS'!S102</f>
        <v>-1.03668788464795E-6</v>
      </c>
      <c r="BJ93" s="161">
        <f ca="1">'JACOBIAN - OIS USDOIS'!T102</f>
        <v>-3.2297512487788902E-6</v>
      </c>
      <c r="BK93" s="161">
        <f ca="1">'JACOBIAN - OIS USDOIS'!U102</f>
        <v>-2.3601504738346401E-6</v>
      </c>
      <c r="BL93" s="161">
        <f ca="1">'JACOBIAN - OIS USDOIS'!V102</f>
        <v>-8.1115259310537996E-6</v>
      </c>
      <c r="BM93" s="161">
        <f ca="1">'JACOBIAN - OIS USDOIS'!W102</f>
        <v>-1.9666616924984798E-6</v>
      </c>
      <c r="BN93" s="161">
        <f ca="1">'JACOBIAN - OIS USDOIS'!X102</f>
        <v>-3.7250753754158899E-5</v>
      </c>
      <c r="BO93" s="161">
        <f ca="1">'JACOBIAN - OIS USDOIS'!Y102</f>
        <v>1.7615095384226901E-5</v>
      </c>
      <c r="BP93" s="161">
        <f ca="1">'JACOBIAN - OIS USDOIS'!Z102</f>
        <v>-1.7953623310151801E-4</v>
      </c>
      <c r="BQ93" s="161">
        <f ca="1">'JACOBIAN - OIS USDOIS'!AA102</f>
        <v>2.1468052484408001E-4</v>
      </c>
      <c r="BR93" s="161">
        <f ca="1">'JACOBIAN - OIS USDOIS'!AB102</f>
        <v>1.53849954262331E-3</v>
      </c>
      <c r="BS93" s="161">
        <f ca="1">'JACOBIAN - OIS USDOIS'!AC102</f>
        <v>-1.3476342191920401E-4</v>
      </c>
      <c r="BT93" s="161">
        <f ca="1">'JACOBIAN - OIS USDOIS'!AD102</f>
        <v>2.2917187984972099E-5</v>
      </c>
      <c r="BU93">
        <f ca="1">'JACOBIAN - OIS USDOIS'!AE102</f>
        <v>1.0176239596537701E-6</v>
      </c>
      <c r="BV93">
        <f ca="1">'JACOBIAN - OIS USDOIS'!AF102</f>
        <v>3.1756345607592E-6</v>
      </c>
      <c r="BW93">
        <f ca="1">'JACOBIAN - OIS USDOIS'!AG102</f>
        <v>2.32182082338106E-6</v>
      </c>
      <c r="BX93">
        <f ca="1">'JACOBIAN - OIS USDOIS'!AH102</f>
        <v>7.9816001175014895E-6</v>
      </c>
      <c r="BY93">
        <f ca="1">'JACOBIAN - OIS USDOIS'!AI102</f>
        <v>1.9272782506574198E-6</v>
      </c>
      <c r="BZ93">
        <f ca="1">'JACOBIAN - OIS USDOIS'!AJ102</f>
        <v>3.6650176888475299E-5</v>
      </c>
      <c r="CA93">
        <f ca="1">'JACOBIAN - OIS USDOIS'!AK102</f>
        <v>-1.7370373288527799E-5</v>
      </c>
      <c r="CB93">
        <f ca="1">'JACOBIAN - OIS USDOIS'!AL102</f>
        <v>1.7678547947297399E-4</v>
      </c>
      <c r="CC93">
        <f ca="1">'JACOBIAN - OIS USDOIS'!AM102</f>
        <v>-2.1151952346276599E-4</v>
      </c>
      <c r="CD93">
        <f ca="1">'JACOBIAN - OIS USDOIS'!AN102</f>
        <v>-1.51271115157048E-3</v>
      </c>
      <c r="CE93">
        <f ca="1">'JACOBIAN - OIS USDOIS'!AO102</f>
        <v>1.3289024798990301E-4</v>
      </c>
      <c r="CF93">
        <f ca="1">'JACOBIAN - OIS USDOIS'!AP102</f>
        <v>-2.2614728520609101E-5</v>
      </c>
      <c r="CK93" s="248">
        <f t="shared" ca="1" si="81"/>
        <v>50846</v>
      </c>
      <c r="CL93">
        <f t="shared" ca="1" si="82"/>
        <v>-8.0644758415626704E-7</v>
      </c>
      <c r="CM93">
        <f t="shared" ca="1" si="83"/>
        <v>4.3916204006677598E-11</v>
      </c>
      <c r="CN93">
        <f t="shared" ca="1" si="84"/>
        <v>-1.7583512423868799E-10</v>
      </c>
      <c r="CO93">
        <f t="shared" ca="1" si="85"/>
        <v>4.62777371978973E-10</v>
      </c>
      <c r="CP93">
        <f t="shared" ca="1" si="86"/>
        <v>-5.95064442165949E-10</v>
      </c>
      <c r="CQ93">
        <f t="shared" ca="1" si="87"/>
        <v>1.34673039386968E-9</v>
      </c>
      <c r="CR93">
        <f t="shared" ca="1" si="88"/>
        <v>-1.4767844613849901E-8</v>
      </c>
      <c r="CS93">
        <f t="shared" ca="1" si="89"/>
        <v>1.64577792505227E-8</v>
      </c>
      <c r="CT93">
        <f t="shared" ca="1" si="90"/>
        <v>-6.3367050828766493E-8</v>
      </c>
      <c r="CU93">
        <f t="shared" ca="1" si="91"/>
        <v>4.2877188799472797E-7</v>
      </c>
      <c r="CV93">
        <f t="shared" ca="1" si="92"/>
        <v>-2.32331313743117E-7</v>
      </c>
      <c r="CW93">
        <f t="shared" ca="1" si="93"/>
        <v>3.1075142459258101E-13</v>
      </c>
      <c r="CX93">
        <f t="shared" ca="1" si="94"/>
        <v>3.1075142459258101E-13</v>
      </c>
      <c r="CY93">
        <f t="shared" ca="1" si="95"/>
        <v>3.1075142459258101E-13</v>
      </c>
      <c r="CZ93">
        <f t="shared" ca="1" si="96"/>
        <v>3.1075142459258101E-13</v>
      </c>
      <c r="DA93">
        <f t="shared" ca="1" si="97"/>
        <v>3.1075142459258101E-13</v>
      </c>
      <c r="DB93" s="146">
        <v>0</v>
      </c>
      <c r="DC93" s="146">
        <v>0</v>
      </c>
      <c r="DD93" s="146">
        <v>0</v>
      </c>
      <c r="DE93" s="146">
        <v>0</v>
      </c>
      <c r="DF93" s="146">
        <v>0</v>
      </c>
      <c r="DG93" s="146">
        <v>0</v>
      </c>
      <c r="DH93" s="146">
        <v>0</v>
      </c>
      <c r="DI93" s="146">
        <v>0</v>
      </c>
      <c r="DJ93" s="146">
        <v>0</v>
      </c>
      <c r="DK93" s="146">
        <v>0</v>
      </c>
      <c r="DL93" s="146">
        <v>0</v>
      </c>
      <c r="DM93" s="146">
        <v>0</v>
      </c>
      <c r="DN93">
        <f t="shared" ca="1" si="98"/>
        <v>1.0176239596537701E-6</v>
      </c>
      <c r="DO93">
        <f t="shared" ca="1" si="99"/>
        <v>3.1756345607592E-6</v>
      </c>
      <c r="DP93">
        <f t="shared" ca="1" si="100"/>
        <v>2.32182082338106E-6</v>
      </c>
      <c r="DQ93">
        <f t="shared" ca="1" si="101"/>
        <v>7.9816001175014895E-6</v>
      </c>
      <c r="DR93">
        <f t="shared" ca="1" si="102"/>
        <v>1.9272782506574198E-6</v>
      </c>
      <c r="DS93">
        <f t="shared" ca="1" si="103"/>
        <v>3.6650176888475299E-5</v>
      </c>
      <c r="DT93">
        <f t="shared" ca="1" si="104"/>
        <v>-1.7370373288527799E-5</v>
      </c>
      <c r="DU93">
        <f t="shared" ca="1" si="105"/>
        <v>1.7678547947297399E-4</v>
      </c>
      <c r="DV93">
        <f t="shared" ca="1" si="106"/>
        <v>-2.1151952346276599E-4</v>
      </c>
      <c r="DW93">
        <f t="shared" ca="1" si="107"/>
        <v>-1.51271115157048E-3</v>
      </c>
      <c r="DX93">
        <f t="shared" ca="1" si="108"/>
        <v>1.3289024798990301E-4</v>
      </c>
      <c r="DY93">
        <f t="shared" ca="1" si="109"/>
        <v>-2.2614728520609101E-5</v>
      </c>
      <c r="ED93" s="248">
        <f ca="1">'JACOBIAN - SWAP USD3ML'!B102</f>
        <v>50846</v>
      </c>
      <c r="EE93">
        <f ca="1">'JACOBIAN - SWAP USD3ML'!C102</f>
        <v>8.5323068055309597E-13</v>
      </c>
      <c r="EF93">
        <f ca="1">'JACOBIAN - SWAP USD3ML'!D102</f>
        <v>3.1367604347298799E-10</v>
      </c>
      <c r="EG93">
        <f ca="1">'JACOBIAN - SWAP USD3ML'!E102</f>
        <v>1.39809899768473E-11</v>
      </c>
      <c r="EH93">
        <f ca="1">'JACOBIAN - SWAP USD3ML'!F102</f>
        <v>8.5149248763016802E-13</v>
      </c>
      <c r="EI93">
        <f ca="1">'JACOBIAN - SWAP USD3ML'!G102</f>
        <v>4.2930901889004502E-12</v>
      </c>
      <c r="EJ93">
        <f ca="1">'JACOBIAN - SWAP USD3ML'!H102</f>
        <v>3.1424428337256702E-10</v>
      </c>
      <c r="EK93">
        <f ca="1">'JACOBIAN - SWAP USD3ML'!I102</f>
        <v>3.2593667001479301E-10</v>
      </c>
      <c r="EL93">
        <f ca="1">'JACOBIAN - SWAP USD3ML'!J102</f>
        <v>3.2472546526718398E-10</v>
      </c>
      <c r="EM93">
        <f ca="1">'JACOBIAN - SWAP USD3ML'!K102</f>
        <v>3.2358290005807302E-10</v>
      </c>
      <c r="EN93">
        <f ca="1">'JACOBIAN - SWAP USD3ML'!L102</f>
        <v>3.2261671806255202E-10</v>
      </c>
      <c r="EO93">
        <f ca="1">'JACOBIAN - SWAP USD3ML'!M102</f>
        <v>3.1959565549577498E-10</v>
      </c>
      <c r="EP93">
        <f ca="1">'JACOBIAN - SWAP USD3ML'!N102</f>
        <v>6.8882204454223702E-10</v>
      </c>
      <c r="EQ93">
        <f ca="1">'JACOBIAN - SWAP USD3ML'!O102</f>
        <v>-1.6683459828914501E-8</v>
      </c>
      <c r="ER93">
        <f ca="1">'JACOBIAN - SWAP USD3ML'!P102</f>
        <v>8.0744073167188195E-8</v>
      </c>
      <c r="ES93">
        <f ca="1">'JACOBIAN - SWAP USD3ML'!Q102</f>
        <v>-2.0115648190557899E-7</v>
      </c>
      <c r="ET93">
        <f ca="1">'JACOBIAN - SWAP USD3ML'!R102</f>
        <v>1.7748495290854899E-6</v>
      </c>
      <c r="EU93">
        <f ca="1">'JACOBIAN - SWAP USD3ML'!S102</f>
        <v>-9.2461687966928496E-6</v>
      </c>
      <c r="EV93">
        <f ca="1">'JACOBIAN - SWAP USD3ML'!T102</f>
        <v>4.0215573228055003E-5</v>
      </c>
      <c r="EW93">
        <f ca="1">'JACOBIAN - SWAP USD3ML'!U102</f>
        <v>-8.9702444345515802E-5</v>
      </c>
      <c r="EX93">
        <f ca="1">'JACOBIAN - SWAP USD3ML'!V102</f>
        <v>1.9864833599884599E-4</v>
      </c>
      <c r="EY93">
        <f ca="1">'JACOBIAN - SWAP USD3ML'!W102</f>
        <v>-4.93392079284841E-4</v>
      </c>
      <c r="EZ93">
        <f ca="1">'JACOBIAN - SWAP USD3ML'!X102</f>
        <v>2.4256939502857399E-4</v>
      </c>
      <c r="FA93">
        <f ca="1">'JACOBIAN - SWAP USD3ML'!Y102</f>
        <v>2.60669569145486E-4</v>
      </c>
      <c r="FB93">
        <f ca="1">'JACOBIAN - SWAP USD3ML'!Z102</f>
        <v>-5.3062639672630397E-5</v>
      </c>
    </row>
    <row r="94" spans="24:158" x14ac:dyDescent="0.25">
      <c r="X94" s="258">
        <f t="shared" ca="1" si="76"/>
        <v>50938</v>
      </c>
      <c r="Y94" s="261">
        <v>0</v>
      </c>
      <c r="AA94" s="257">
        <f t="shared" ca="1" si="110"/>
        <v>50938</v>
      </c>
      <c r="AB94" s="266">
        <f t="shared" ca="1" si="77"/>
        <v>-1.413976782350561E-3</v>
      </c>
      <c r="AC94" s="266"/>
      <c r="AD94" s="290">
        <f ca="1"/>
        <v>50938</v>
      </c>
      <c r="AE94" s="291">
        <f ca="1"/>
        <v>-1.4139767823505567E-3</v>
      </c>
      <c r="AF94" s="291" t="b">
        <f t="shared" ca="1" si="111"/>
        <v>1</v>
      </c>
      <c r="AH94" s="257">
        <f t="shared" ca="1" si="78"/>
        <v>50938</v>
      </c>
      <c r="AI94" s="260">
        <v>0</v>
      </c>
      <c r="AK94" s="290">
        <f ca="1"/>
        <v>50938</v>
      </c>
      <c r="AL94" s="291">
        <f ca="1"/>
        <v>9.8340376067877072E-5</v>
      </c>
      <c r="AM94" s="291" t="b">
        <f t="shared" ca="1" si="79"/>
        <v>1</v>
      </c>
      <c r="AO94" s="257">
        <f t="shared" ca="1" si="80"/>
        <v>50938</v>
      </c>
      <c r="AP94" s="266">
        <f t="shared" ca="1" si="112"/>
        <v>9.834037606787691E-5</v>
      </c>
      <c r="AR94" s="248">
        <f ca="1">'JACOBIAN - OIS USDOIS'!B103</f>
        <v>50938</v>
      </c>
      <c r="AS94">
        <f ca="1">'JACOBIAN - OIS USDOIS'!C103</f>
        <v>-8.0270192048814703E-7</v>
      </c>
      <c r="AT94">
        <f ca="1">'JACOBIAN - OIS USDOIS'!D103</f>
        <v>5.1484483343244802E-11</v>
      </c>
      <c r="AU94">
        <f ca="1">'JACOBIAN - OIS USDOIS'!E103</f>
        <v>-2.06100914112994E-10</v>
      </c>
      <c r="AV94">
        <f ca="1">'JACOBIAN - OIS USDOIS'!F103</f>
        <v>5.4250071102046604E-10</v>
      </c>
      <c r="AW94">
        <f ca="1">'JACOBIAN - OIS USDOIS'!G103</f>
        <v>-6.9767835952916399E-10</v>
      </c>
      <c r="AX94">
        <f ca="1">'JACOBIAN - OIS USDOIS'!H103</f>
        <v>1.5788332863309101E-9</v>
      </c>
      <c r="AY94">
        <f ca="1">'JACOBIAN - OIS USDOIS'!I103</f>
        <v>-1.54995185575046E-8</v>
      </c>
      <c r="AZ94">
        <f ca="1">'JACOBIAN - OIS USDOIS'!J103</f>
        <v>1.9294565167804501E-8</v>
      </c>
      <c r="BA94">
        <f ca="1">'JACOBIAN - OIS USDOIS'!K103</f>
        <v>-7.4288057594351602E-8</v>
      </c>
      <c r="BB94">
        <f ca="1">'JACOBIAN - OIS USDOIS'!L103</f>
        <v>4.4434642509916202E-7</v>
      </c>
      <c r="BC94">
        <f ca="1">'JACOBIAN - OIS USDOIS'!M103</f>
        <v>-2.6690643628590701E-7</v>
      </c>
      <c r="BD94">
        <f ca="1">'JACOBIAN - OIS USDOIS'!N103</f>
        <v>2.9232172238380402E-13</v>
      </c>
      <c r="BE94">
        <f ca="1">'JACOBIAN - OIS USDOIS'!O103</f>
        <v>2.9232172238380402E-13</v>
      </c>
      <c r="BF94">
        <f ca="1">'JACOBIAN - OIS USDOIS'!P103</f>
        <v>2.9232172238380402E-13</v>
      </c>
      <c r="BG94">
        <f ca="1">'JACOBIAN - OIS USDOIS'!Q103</f>
        <v>2.9232172238380402E-13</v>
      </c>
      <c r="BH94">
        <f ca="1">'JACOBIAN - OIS USDOIS'!R103</f>
        <v>2.9232172238380402E-13</v>
      </c>
      <c r="BI94" s="161">
        <f ca="1">'JACOBIAN - OIS USDOIS'!S103</f>
        <v>-1.0797549226948499E-6</v>
      </c>
      <c r="BJ94" s="161">
        <f ca="1">'JACOBIAN - OIS USDOIS'!T103</f>
        <v>-3.1425419277919501E-6</v>
      </c>
      <c r="BK94" s="161">
        <f ca="1">'JACOBIAN - OIS USDOIS'!U103</f>
        <v>-2.6370468662051398E-6</v>
      </c>
      <c r="BL94" s="161">
        <f ca="1">'JACOBIAN - OIS USDOIS'!V103</f>
        <v>-7.0308523995032999E-6</v>
      </c>
      <c r="BM94" s="161">
        <f ca="1">'JACOBIAN - OIS USDOIS'!W103</f>
        <v>-4.0765874489423498E-6</v>
      </c>
      <c r="BN94" s="161">
        <f ca="1">'JACOBIAN - OIS USDOIS'!X103</f>
        <v>-3.3247592298946097E-5</v>
      </c>
      <c r="BO94" s="161">
        <f ca="1">'JACOBIAN - OIS USDOIS'!Y103</f>
        <v>-1.76056727496654E-6</v>
      </c>
      <c r="BP94" s="161">
        <f ca="1">'JACOBIAN - OIS USDOIS'!Z103</f>
        <v>-1.2367158320625299E-4</v>
      </c>
      <c r="BQ94" s="161">
        <f ca="1">'JACOBIAN - OIS USDOIS'!AA103</f>
        <v>9.89554234083201E-5</v>
      </c>
      <c r="BR94" s="161">
        <f ca="1">'JACOBIAN - OIS USDOIS'!AB103</f>
        <v>1.5966868659323999E-3</v>
      </c>
      <c r="BS94" s="161">
        <f ca="1">'JACOBIAN - OIS USDOIS'!AC103</f>
        <v>-9.8107407445757703E-5</v>
      </c>
      <c r="BT94" s="161">
        <f ca="1">'JACOBIAN - OIS USDOIS'!AD103</f>
        <v>1.6683108146731099E-5</v>
      </c>
      <c r="BU94">
        <f ca="1">'JACOBIAN - OIS USDOIS'!AE103</f>
        <v>1.0599119170118201E-6</v>
      </c>
      <c r="BV94">
        <f ca="1">'JACOBIAN - OIS USDOIS'!AF103</f>
        <v>3.0898759841857501E-6</v>
      </c>
      <c r="BW94">
        <f ca="1">'JACOBIAN - OIS USDOIS'!AG103</f>
        <v>2.5942750757623798E-6</v>
      </c>
      <c r="BX94">
        <f ca="1">'JACOBIAN - OIS USDOIS'!AH103</f>
        <v>6.9179325690171797E-6</v>
      </c>
      <c r="BY94">
        <f ca="1">'JACOBIAN - OIS USDOIS'!AI103</f>
        <v>4.0033477901602097E-6</v>
      </c>
      <c r="BZ94">
        <f ca="1">'JACOBIAN - OIS USDOIS'!AJ103</f>
        <v>3.2709599931179897E-5</v>
      </c>
      <c r="CA94">
        <f ca="1">'JACOBIAN - OIS USDOIS'!AK103</f>
        <v>1.7011747116546499E-6</v>
      </c>
      <c r="CB94">
        <f ca="1">'JACOBIAN - OIS USDOIS'!AL103</f>
        <v>1.21747267716188E-4</v>
      </c>
      <c r="CC94">
        <f ca="1">'JACOBIAN - OIS USDOIS'!AM103</f>
        <v>-9.7593511809934697E-5</v>
      </c>
      <c r="CD94">
        <f ca="1">'JACOBIAN - OIS USDOIS'!AN103</f>
        <v>-1.5697874889798501E-3</v>
      </c>
      <c r="CE94">
        <f ca="1">'JACOBIAN - OIS USDOIS'!AO103</f>
        <v>9.6738397366347205E-5</v>
      </c>
      <c r="CF94">
        <f ca="1">'JACOBIAN - OIS USDOIS'!AP103</f>
        <v>-1.646308018044E-5</v>
      </c>
      <c r="CK94" s="248">
        <f t="shared" ca="1" si="81"/>
        <v>50938</v>
      </c>
      <c r="CL94">
        <f t="shared" ca="1" si="82"/>
        <v>-8.0270192048814703E-7</v>
      </c>
      <c r="CM94">
        <f t="shared" ca="1" si="83"/>
        <v>5.1484483343244802E-11</v>
      </c>
      <c r="CN94">
        <f t="shared" ca="1" si="84"/>
        <v>-2.06100914112994E-10</v>
      </c>
      <c r="CO94">
        <f t="shared" ca="1" si="85"/>
        <v>5.4250071102046604E-10</v>
      </c>
      <c r="CP94">
        <f t="shared" ca="1" si="86"/>
        <v>-6.9767835952916399E-10</v>
      </c>
      <c r="CQ94">
        <f t="shared" ca="1" si="87"/>
        <v>1.5788332863309101E-9</v>
      </c>
      <c r="CR94">
        <f t="shared" ca="1" si="88"/>
        <v>-1.54995185575046E-8</v>
      </c>
      <c r="CS94">
        <f t="shared" ca="1" si="89"/>
        <v>1.9294565167804501E-8</v>
      </c>
      <c r="CT94">
        <f t="shared" ca="1" si="90"/>
        <v>-7.4288057594351602E-8</v>
      </c>
      <c r="CU94">
        <f t="shared" ca="1" si="91"/>
        <v>4.4434642509916202E-7</v>
      </c>
      <c r="CV94">
        <f t="shared" ca="1" si="92"/>
        <v>-2.6690643628590701E-7</v>
      </c>
      <c r="CW94">
        <f t="shared" ca="1" si="93"/>
        <v>2.9232172238380402E-13</v>
      </c>
      <c r="CX94">
        <f t="shared" ca="1" si="94"/>
        <v>2.9232172238380402E-13</v>
      </c>
      <c r="CY94">
        <f t="shared" ca="1" si="95"/>
        <v>2.9232172238380402E-13</v>
      </c>
      <c r="CZ94">
        <f t="shared" ca="1" si="96"/>
        <v>2.9232172238380402E-13</v>
      </c>
      <c r="DA94">
        <f t="shared" ca="1" si="97"/>
        <v>2.9232172238380402E-13</v>
      </c>
      <c r="DB94" s="146">
        <v>0</v>
      </c>
      <c r="DC94" s="146">
        <v>0</v>
      </c>
      <c r="DD94" s="146">
        <v>0</v>
      </c>
      <c r="DE94" s="146">
        <v>0</v>
      </c>
      <c r="DF94" s="146">
        <v>0</v>
      </c>
      <c r="DG94" s="146">
        <v>0</v>
      </c>
      <c r="DH94" s="146">
        <v>0</v>
      </c>
      <c r="DI94" s="146">
        <v>0</v>
      </c>
      <c r="DJ94" s="146">
        <v>0</v>
      </c>
      <c r="DK94" s="146">
        <v>0</v>
      </c>
      <c r="DL94" s="146">
        <v>0</v>
      </c>
      <c r="DM94" s="146">
        <v>0</v>
      </c>
      <c r="DN94">
        <f t="shared" ca="1" si="98"/>
        <v>1.0599119170118201E-6</v>
      </c>
      <c r="DO94">
        <f t="shared" ca="1" si="99"/>
        <v>3.0898759841857501E-6</v>
      </c>
      <c r="DP94">
        <f t="shared" ca="1" si="100"/>
        <v>2.5942750757623798E-6</v>
      </c>
      <c r="DQ94">
        <f t="shared" ca="1" si="101"/>
        <v>6.9179325690171797E-6</v>
      </c>
      <c r="DR94">
        <f t="shared" ca="1" si="102"/>
        <v>4.0033477901602097E-6</v>
      </c>
      <c r="DS94">
        <f t="shared" ca="1" si="103"/>
        <v>3.2709599931179897E-5</v>
      </c>
      <c r="DT94">
        <f t="shared" ca="1" si="104"/>
        <v>1.7011747116546499E-6</v>
      </c>
      <c r="DU94">
        <f t="shared" ca="1" si="105"/>
        <v>1.21747267716188E-4</v>
      </c>
      <c r="DV94">
        <f t="shared" ca="1" si="106"/>
        <v>-9.7593511809934697E-5</v>
      </c>
      <c r="DW94">
        <f t="shared" ca="1" si="107"/>
        <v>-1.5697874889798501E-3</v>
      </c>
      <c r="DX94">
        <f t="shared" ca="1" si="108"/>
        <v>9.6738397366347205E-5</v>
      </c>
      <c r="DY94">
        <f t="shared" ca="1" si="109"/>
        <v>-1.646308018044E-5</v>
      </c>
      <c r="ED94" s="248">
        <f ca="1">'JACOBIAN - SWAP USD3ML'!B103</f>
        <v>50938</v>
      </c>
      <c r="EE94">
        <f ca="1">'JACOBIAN - SWAP USD3ML'!C103</f>
        <v>7.6704614881961705E-13</v>
      </c>
      <c r="EF94">
        <f ca="1">'JACOBIAN - SWAP USD3ML'!D103</f>
        <v>2.9186100064526599E-10</v>
      </c>
      <c r="EG94">
        <f ca="1">'JACOBIAN - SWAP USD3ML'!E103</f>
        <v>1.2343317340457501E-11</v>
      </c>
      <c r="EH94">
        <f ca="1">'JACOBIAN - SWAP USD3ML'!F103</f>
        <v>7.6619266486943596E-13</v>
      </c>
      <c r="EI94">
        <f ca="1">'JACOBIAN - SWAP USD3ML'!G103</f>
        <v>3.9670385032497503E-12</v>
      </c>
      <c r="EJ94">
        <f ca="1">'JACOBIAN - SWAP USD3ML'!H103</f>
        <v>2.9230490250498101E-10</v>
      </c>
      <c r="EK94">
        <f ca="1">'JACOBIAN - SWAP USD3ML'!I103</f>
        <v>3.0256052871435698E-10</v>
      </c>
      <c r="EL94">
        <f ca="1">'JACOBIAN - SWAP USD3ML'!J103</f>
        <v>3.01442273920038E-10</v>
      </c>
      <c r="EM94">
        <f ca="1">'JACOBIAN - SWAP USD3ML'!K103</f>
        <v>3.0038694795453402E-10</v>
      </c>
      <c r="EN94">
        <f ca="1">'JACOBIAN - SWAP USD3ML'!L103</f>
        <v>2.9948724056261302E-10</v>
      </c>
      <c r="EO94">
        <f ca="1">'JACOBIAN - SWAP USD3ML'!M103</f>
        <v>2.9668607848254399E-10</v>
      </c>
      <c r="EP94">
        <f ca="1">'JACOBIAN - SWAP USD3ML'!N103</f>
        <v>6.3962707352871503E-10</v>
      </c>
      <c r="EQ94">
        <f ca="1">'JACOBIAN - SWAP USD3ML'!O103</f>
        <v>-1.54918520581249E-8</v>
      </c>
      <c r="ER94">
        <f ca="1">'JACOBIAN - SWAP USD3ML'!P103</f>
        <v>7.4976601097814801E-8</v>
      </c>
      <c r="ES94">
        <f ca="1">'JACOBIAN - SWAP USD3ML'!Q103</f>
        <v>-1.86788080322464E-7</v>
      </c>
      <c r="ET94">
        <f ca="1">'JACOBIAN - SWAP USD3ML'!R103</f>
        <v>1.64807323107738E-6</v>
      </c>
      <c r="EU94">
        <f ca="1">'JACOBIAN - SWAP USD3ML'!S103</f>
        <v>-8.5857207173592499E-6</v>
      </c>
      <c r="EV94">
        <f ca="1">'JACOBIAN - SWAP USD3ML'!T103</f>
        <v>3.7342996911736399E-5</v>
      </c>
      <c r="EW94">
        <f ca="1">'JACOBIAN - SWAP USD3ML'!U103</f>
        <v>-8.32950860464136E-5</v>
      </c>
      <c r="EX94">
        <f ca="1">'JACOBIAN - SWAP USD3ML'!V103</f>
        <v>1.8445889220234201E-4</v>
      </c>
      <c r="EY94">
        <f ca="1">'JACOBIAN - SWAP USD3ML'!W103</f>
        <v>-4.4873219838904198E-4</v>
      </c>
      <c r="EZ94">
        <f ca="1">'JACOBIAN - SWAP USD3ML'!X103</f>
        <v>1.5278772894781301E-4</v>
      </c>
      <c r="FA94">
        <f ca="1">'JACOBIAN - SWAP USD3ML'!Y103</f>
        <v>3.3001871246837402E-4</v>
      </c>
      <c r="FB94">
        <f ca="1">'JACOBIAN - SWAP USD3ML'!Z103</f>
        <v>-6.7178461409009294E-5</v>
      </c>
    </row>
    <row r="95" spans="24:158" x14ac:dyDescent="0.25">
      <c r="X95" s="258">
        <f t="shared" ca="1" si="76"/>
        <v>51032</v>
      </c>
      <c r="Y95" s="261">
        <v>0</v>
      </c>
      <c r="AA95" s="257">
        <f t="shared" ca="1" si="110"/>
        <v>51032</v>
      </c>
      <c r="AB95" s="266">
        <f t="shared" ca="1" si="77"/>
        <v>-1.4259471391850904E-3</v>
      </c>
      <c r="AC95" s="266"/>
      <c r="AD95" s="290">
        <f ca="1"/>
        <v>51032</v>
      </c>
      <c r="AE95" s="291">
        <f ca="1"/>
        <v>-1.4259471391850909E-3</v>
      </c>
      <c r="AF95" s="291" t="b">
        <f t="shared" ca="1" si="111"/>
        <v>1</v>
      </c>
      <c r="AH95" s="257">
        <f t="shared" ca="1" si="78"/>
        <v>51032</v>
      </c>
      <c r="AI95" s="260">
        <v>0</v>
      </c>
      <c r="AK95" s="290">
        <f ca="1"/>
        <v>51032</v>
      </c>
      <c r="AL95" s="291">
        <f ca="1"/>
        <v>9.8312250678821156E-5</v>
      </c>
      <c r="AM95" s="291" t="b">
        <f t="shared" ca="1" si="79"/>
        <v>1</v>
      </c>
      <c r="AO95" s="257">
        <f t="shared" ca="1" si="80"/>
        <v>51032</v>
      </c>
      <c r="AP95" s="266">
        <f t="shared" ca="1" si="112"/>
        <v>9.8312250678821034E-5</v>
      </c>
      <c r="AR95" s="248">
        <f ca="1">'JACOBIAN - OIS USDOIS'!B104</f>
        <v>51032</v>
      </c>
      <c r="AS95">
        <f ca="1">'JACOBIAN - OIS USDOIS'!C104</f>
        <v>-7.9890575777064001E-7</v>
      </c>
      <c r="AT95">
        <f ca="1">'JACOBIAN - OIS USDOIS'!D104</f>
        <v>5.8763105492687399E-11</v>
      </c>
      <c r="AU95">
        <f ca="1">'JACOBIAN - OIS USDOIS'!E104</f>
        <v>-2.35217401112209E-10</v>
      </c>
      <c r="AV95">
        <f ca="1">'JACOBIAN - OIS USDOIS'!F104</f>
        <v>6.1919080973638095E-10</v>
      </c>
      <c r="AW95">
        <f ca="1">'JACOBIAN - OIS USDOIS'!G104</f>
        <v>-7.9639195238456802E-10</v>
      </c>
      <c r="AX95">
        <f ca="1">'JACOBIAN - OIS USDOIS'!H104</f>
        <v>1.8021112380139901E-9</v>
      </c>
      <c r="AY95">
        <f ca="1">'JACOBIAN - OIS USDOIS'!I104</f>
        <v>-1.6201151531447499E-8</v>
      </c>
      <c r="AZ95">
        <f ca="1">'JACOBIAN - OIS USDOIS'!J104</f>
        <v>2.20235183423512E-8</v>
      </c>
      <c r="BA95">
        <f ca="1">'JACOBIAN - OIS USDOIS'!K104</f>
        <v>-8.4793937871197005E-8</v>
      </c>
      <c r="BB95">
        <f ca="1">'JACOBIAN - OIS USDOIS'!L104</f>
        <v>4.5924709879407999E-7</v>
      </c>
      <c r="BC95">
        <f ca="1">'JACOBIAN - OIS USDOIS'!M104</f>
        <v>-3.0016057273041199E-7</v>
      </c>
      <c r="BD95">
        <f ca="1">'JACOBIAN - OIS USDOIS'!N104</f>
        <v>2.7355895326763898E-13</v>
      </c>
      <c r="BE95">
        <f ca="1">'JACOBIAN - OIS USDOIS'!O104</f>
        <v>2.7355895326763898E-13</v>
      </c>
      <c r="BF95">
        <f ca="1">'JACOBIAN - OIS USDOIS'!P104</f>
        <v>2.7355895326763898E-13</v>
      </c>
      <c r="BG95">
        <f ca="1">'JACOBIAN - OIS USDOIS'!Q104</f>
        <v>2.7355895326763898E-13</v>
      </c>
      <c r="BH95">
        <f ca="1">'JACOBIAN - OIS USDOIS'!R104</f>
        <v>2.7355895326763898E-13</v>
      </c>
      <c r="BI95" s="161">
        <f ca="1">'JACOBIAN - OIS USDOIS'!S104</f>
        <v>-1.1209939266843001E-6</v>
      </c>
      <c r="BJ95" s="161">
        <f ca="1">'JACOBIAN - OIS USDOIS'!T104</f>
        <v>-3.0577356874284E-6</v>
      </c>
      <c r="BK95" s="161">
        <f ca="1">'JACOBIAN - OIS USDOIS'!U104</f>
        <v>-2.9032400143957898E-6</v>
      </c>
      <c r="BL95" s="161">
        <f ca="1">'JACOBIAN - OIS USDOIS'!V104</f>
        <v>-5.98772175908202E-6</v>
      </c>
      <c r="BM95" s="161">
        <f ca="1">'JACOBIAN - OIS USDOIS'!W104</f>
        <v>-6.1088664944364302E-6</v>
      </c>
      <c r="BN95" s="161">
        <f ca="1">'JACOBIAN - OIS USDOIS'!X104</f>
        <v>-2.9381730865307699E-5</v>
      </c>
      <c r="BO95" s="161">
        <f ca="1">'JACOBIAN - OIS USDOIS'!Y104</f>
        <v>-2.0431445694413201E-5</v>
      </c>
      <c r="BP95" s="161">
        <f ca="1">'JACOBIAN - OIS USDOIS'!Z104</f>
        <v>-6.9802179394673494E-5</v>
      </c>
      <c r="BQ95" s="161">
        <f ca="1">'JACOBIAN - OIS USDOIS'!AA104</f>
        <v>-1.02294515302859E-5</v>
      </c>
      <c r="BR95" s="161">
        <f ca="1">'JACOBIAN - OIS USDOIS'!AB104</f>
        <v>1.6400035216989101E-3</v>
      </c>
      <c r="BS95" s="161">
        <f ca="1">'JACOBIAN - OIS USDOIS'!AC104</f>
        <v>-4.9607078864588601E-5</v>
      </c>
      <c r="BT95" s="161">
        <f ca="1">'JACOBIAN - OIS USDOIS'!AD104</f>
        <v>8.4352275419030693E-6</v>
      </c>
      <c r="BU95">
        <f ca="1">'JACOBIAN - OIS USDOIS'!AE104</f>
        <v>1.1004049876861499E-6</v>
      </c>
      <c r="BV95">
        <f ca="1">'JACOBIAN - OIS USDOIS'!AF104</f>
        <v>3.0064806173513101E-6</v>
      </c>
      <c r="BW95">
        <f ca="1">'JACOBIAN - OIS USDOIS'!AG104</f>
        <v>2.8561981192387599E-6</v>
      </c>
      <c r="BX95">
        <f ca="1">'JACOBIAN - OIS USDOIS'!AH104</f>
        <v>5.8912204874417301E-6</v>
      </c>
      <c r="BY95">
        <f ca="1">'JACOBIAN - OIS USDOIS'!AI104</f>
        <v>6.0030300613744797E-6</v>
      </c>
      <c r="BZ95">
        <f ca="1">'JACOBIAN - OIS USDOIS'!AJ104</f>
        <v>2.8904218847380901E-5</v>
      </c>
      <c r="CA95">
        <f ca="1">'JACOBIAN - OIS USDOIS'!AK104</f>
        <v>2.00799708685029E-5</v>
      </c>
      <c r="CB95">
        <f ca="1">'JACOBIAN - OIS USDOIS'!AL104</f>
        <v>6.86826503754068E-5</v>
      </c>
      <c r="CC95">
        <f ca="1">'JACOBIAN - OIS USDOIS'!AM104</f>
        <v>9.9269947839708499E-6</v>
      </c>
      <c r="CD95">
        <f ca="1">'JACOBIAN - OIS USDOIS'!AN104</f>
        <v>-1.6122675078359401E-3</v>
      </c>
      <c r="CE95">
        <f ca="1">'JACOBIAN - OIS USDOIS'!AO104</f>
        <v>4.8910640223165401E-5</v>
      </c>
      <c r="CF95">
        <f ca="1">'JACOBIAN - OIS USDOIS'!AP104</f>
        <v>-8.3240997414968393E-6</v>
      </c>
      <c r="CK95" s="248">
        <f t="shared" ca="1" si="81"/>
        <v>51032</v>
      </c>
      <c r="CL95">
        <f t="shared" ca="1" si="82"/>
        <v>-7.9890575777064001E-7</v>
      </c>
      <c r="CM95">
        <f t="shared" ca="1" si="83"/>
        <v>5.8763105492687399E-11</v>
      </c>
      <c r="CN95">
        <f t="shared" ca="1" si="84"/>
        <v>-2.35217401112209E-10</v>
      </c>
      <c r="CO95">
        <f t="shared" ca="1" si="85"/>
        <v>6.1919080973638095E-10</v>
      </c>
      <c r="CP95">
        <f t="shared" ca="1" si="86"/>
        <v>-7.9639195238456802E-10</v>
      </c>
      <c r="CQ95">
        <f t="shared" ca="1" si="87"/>
        <v>1.8021112380139901E-9</v>
      </c>
      <c r="CR95">
        <f t="shared" ca="1" si="88"/>
        <v>-1.6201151531447499E-8</v>
      </c>
      <c r="CS95">
        <f t="shared" ca="1" si="89"/>
        <v>2.20235183423512E-8</v>
      </c>
      <c r="CT95">
        <f t="shared" ca="1" si="90"/>
        <v>-8.4793937871197005E-8</v>
      </c>
      <c r="CU95">
        <f t="shared" ca="1" si="91"/>
        <v>4.5924709879407999E-7</v>
      </c>
      <c r="CV95">
        <f t="shared" ca="1" si="92"/>
        <v>-3.0016057273041199E-7</v>
      </c>
      <c r="CW95">
        <f t="shared" ca="1" si="93"/>
        <v>2.7355895326763898E-13</v>
      </c>
      <c r="CX95">
        <f t="shared" ca="1" si="94"/>
        <v>2.7355895326763898E-13</v>
      </c>
      <c r="CY95">
        <f t="shared" ca="1" si="95"/>
        <v>2.7355895326763898E-13</v>
      </c>
      <c r="CZ95">
        <f t="shared" ca="1" si="96"/>
        <v>2.7355895326763898E-13</v>
      </c>
      <c r="DA95">
        <f t="shared" ca="1" si="97"/>
        <v>2.7355895326763898E-13</v>
      </c>
      <c r="DB95" s="146">
        <v>0</v>
      </c>
      <c r="DC95" s="146">
        <v>0</v>
      </c>
      <c r="DD95" s="146">
        <v>0</v>
      </c>
      <c r="DE95" s="146">
        <v>0</v>
      </c>
      <c r="DF95" s="146">
        <v>0</v>
      </c>
      <c r="DG95" s="146">
        <v>0</v>
      </c>
      <c r="DH95" s="146">
        <v>0</v>
      </c>
      <c r="DI95" s="146">
        <v>0</v>
      </c>
      <c r="DJ95" s="146">
        <v>0</v>
      </c>
      <c r="DK95" s="146">
        <v>0</v>
      </c>
      <c r="DL95" s="146">
        <v>0</v>
      </c>
      <c r="DM95" s="146">
        <v>0</v>
      </c>
      <c r="DN95">
        <f t="shared" ca="1" si="98"/>
        <v>1.1004049876861499E-6</v>
      </c>
      <c r="DO95">
        <f t="shared" ca="1" si="99"/>
        <v>3.0064806173513101E-6</v>
      </c>
      <c r="DP95">
        <f t="shared" ca="1" si="100"/>
        <v>2.8561981192387599E-6</v>
      </c>
      <c r="DQ95">
        <f t="shared" ca="1" si="101"/>
        <v>5.8912204874417301E-6</v>
      </c>
      <c r="DR95">
        <f t="shared" ca="1" si="102"/>
        <v>6.0030300613744797E-6</v>
      </c>
      <c r="DS95">
        <f t="shared" ca="1" si="103"/>
        <v>2.8904218847380901E-5</v>
      </c>
      <c r="DT95">
        <f t="shared" ca="1" si="104"/>
        <v>2.00799708685029E-5</v>
      </c>
      <c r="DU95">
        <f t="shared" ca="1" si="105"/>
        <v>6.86826503754068E-5</v>
      </c>
      <c r="DV95">
        <f t="shared" ca="1" si="106"/>
        <v>9.9269947839708499E-6</v>
      </c>
      <c r="DW95">
        <f t="shared" ca="1" si="107"/>
        <v>-1.6122675078359401E-3</v>
      </c>
      <c r="DX95">
        <f t="shared" ca="1" si="108"/>
        <v>4.8910640223165401E-5</v>
      </c>
      <c r="DY95">
        <f t="shared" ca="1" si="109"/>
        <v>-8.3240997414968393E-6</v>
      </c>
      <c r="ED95" s="248">
        <f ca="1">'JACOBIAN - SWAP USD3ML'!B104</f>
        <v>51032</v>
      </c>
      <c r="EE95">
        <f ca="1">'JACOBIAN - SWAP USD3ML'!C104</f>
        <v>6.7111247115114696E-13</v>
      </c>
      <c r="EF95">
        <f ca="1">'JACOBIAN - SWAP USD3ML'!D104</f>
        <v>2.5993185728823101E-10</v>
      </c>
      <c r="EG95">
        <f ca="1">'JACOBIAN - SWAP USD3ML'!E104</f>
        <v>1.05076398970727E-11</v>
      </c>
      <c r="EH95">
        <f ca="1">'JACOBIAN - SWAP USD3ML'!F104</f>
        <v>6.7023123162535104E-13</v>
      </c>
      <c r="EI95">
        <f ca="1">'JACOBIAN - SWAP USD3ML'!G104</f>
        <v>3.5207010917748201E-12</v>
      </c>
      <c r="EJ95">
        <f ca="1">'JACOBIAN - SWAP USD3ML'!H104</f>
        <v>2.6026301946924199E-10</v>
      </c>
      <c r="EK95">
        <f ca="1">'JACOBIAN - SWAP USD3ML'!I104</f>
        <v>2.6893652235737702E-10</v>
      </c>
      <c r="EL95">
        <f ca="1">'JACOBIAN - SWAP USD3ML'!J104</f>
        <v>2.67947421195291E-10</v>
      </c>
      <c r="EM95">
        <f ca="1">'JACOBIAN - SWAP USD3ML'!K104</f>
        <v>2.6701278688090499E-10</v>
      </c>
      <c r="EN95">
        <f ca="1">'JACOBIAN - SWAP USD3ML'!L104</f>
        <v>2.6621166729356998E-10</v>
      </c>
      <c r="EO95">
        <f ca="1">'JACOBIAN - SWAP USD3ML'!M104</f>
        <v>2.6372223155268801E-10</v>
      </c>
      <c r="EP95">
        <f ca="1">'JACOBIAN - SWAP USD3ML'!N104</f>
        <v>5.6868883213656605E-10</v>
      </c>
      <c r="EQ95">
        <f ca="1">'JACOBIAN - SWAP USD3ML'!O104</f>
        <v>-1.37735950110629E-8</v>
      </c>
      <c r="ER95">
        <f ca="1">'JACOBIAN - SWAP USD3ML'!P104</f>
        <v>6.6660324732348299E-8</v>
      </c>
      <c r="ES95">
        <f ca="1">'JACOBIAN - SWAP USD3ML'!Q104</f>
        <v>-1.66069806697977E-7</v>
      </c>
      <c r="ET95">
        <f ca="1">'JACOBIAN - SWAP USD3ML'!R104</f>
        <v>1.4652706134162E-6</v>
      </c>
      <c r="EU95">
        <f ca="1">'JACOBIAN - SWAP USD3ML'!S104</f>
        <v>-7.6334015425109908E-6</v>
      </c>
      <c r="EV95">
        <f ca="1">'JACOBIAN - SWAP USD3ML'!T104</f>
        <v>3.3200927886504299E-5</v>
      </c>
      <c r="EW95">
        <f ca="1">'JACOBIAN - SWAP USD3ML'!U104</f>
        <v>-7.4056190100698499E-5</v>
      </c>
      <c r="EX95">
        <f ca="1">'JACOBIAN - SWAP USD3ML'!V104</f>
        <v>1.6399836238737201E-4</v>
      </c>
      <c r="EY95">
        <f ca="1">'JACOBIAN - SWAP USD3ML'!W104</f>
        <v>-3.9437196013551002E-4</v>
      </c>
      <c r="EZ95">
        <f ca="1">'JACOBIAN - SWAP USD3ML'!X104</f>
        <v>5.3871739354286602E-5</v>
      </c>
      <c r="FA95">
        <f ca="1">'JACOBIAN - SWAP USD3ML'!Y104</f>
        <v>4.0423260621187999E-4</v>
      </c>
      <c r="FB95">
        <f ca="1">'JACOBIAN - SWAP USD3ML'!Z104</f>
        <v>-8.2284359002964699E-5</v>
      </c>
    </row>
    <row r="96" spans="24:158" x14ac:dyDescent="0.25">
      <c r="X96" s="258">
        <f t="shared" ca="1" si="76"/>
        <v>51123</v>
      </c>
      <c r="Y96" s="261">
        <v>0</v>
      </c>
      <c r="AA96" s="257">
        <f t="shared" ca="1" si="110"/>
        <v>51123</v>
      </c>
      <c r="AB96" s="266">
        <f t="shared" ca="1" si="77"/>
        <v>-1.4374260826275358E-3</v>
      </c>
      <c r="AC96" s="266"/>
      <c r="AD96" s="290">
        <f ca="1"/>
        <v>51123</v>
      </c>
      <c r="AE96" s="291">
        <f ca="1"/>
        <v>-1.4374260826275354E-3</v>
      </c>
      <c r="AF96" s="291" t="b">
        <f t="shared" ca="1" si="111"/>
        <v>1</v>
      </c>
      <c r="AH96" s="257">
        <f t="shared" ca="1" si="78"/>
        <v>51123</v>
      </c>
      <c r="AI96" s="260">
        <v>0</v>
      </c>
      <c r="AK96" s="290">
        <f ca="1"/>
        <v>51123</v>
      </c>
      <c r="AL96" s="291">
        <f ca="1"/>
        <v>9.8305952573003036E-5</v>
      </c>
      <c r="AM96" s="291" t="b">
        <f t="shared" ca="1" si="79"/>
        <v>1</v>
      </c>
      <c r="AO96" s="257">
        <f t="shared" ca="1" si="80"/>
        <v>51123</v>
      </c>
      <c r="AP96" s="266">
        <f t="shared" ca="1" si="112"/>
        <v>9.8305952573002941E-5</v>
      </c>
      <c r="AR96" s="248">
        <f ca="1">'JACOBIAN - OIS USDOIS'!B105</f>
        <v>51123</v>
      </c>
      <c r="AS96">
        <f ca="1">'JACOBIAN - OIS USDOIS'!C105</f>
        <v>-7.9526181073763503E-7</v>
      </c>
      <c r="AT96">
        <f ca="1">'JACOBIAN - OIS USDOIS'!D105</f>
        <v>6.5105698610068404E-11</v>
      </c>
      <c r="AU96">
        <f ca="1">'JACOBIAN - OIS USDOIS'!E105</f>
        <v>-2.6060220648105299E-10</v>
      </c>
      <c r="AV96">
        <f ca="1">'JACOBIAN - OIS USDOIS'!F105</f>
        <v>6.8604488756562897E-10</v>
      </c>
      <c r="AW96">
        <f ca="1">'JACOBIAN - OIS USDOIS'!G105</f>
        <v>-8.8244833662542998E-10</v>
      </c>
      <c r="AX96">
        <f ca="1">'JACOBIAN - OIS USDOIS'!H105</f>
        <v>1.9967583142488398E-9</v>
      </c>
      <c r="AY96">
        <f ca="1">'JACOBIAN - OIS USDOIS'!I105</f>
        <v>-1.6808707647975001E-8</v>
      </c>
      <c r="AZ96">
        <f ca="1">'JACOBIAN - OIS USDOIS'!J105</f>
        <v>2.4402571630055501E-8</v>
      </c>
      <c r="BA96">
        <f ca="1">'JACOBIAN - OIS USDOIS'!K105</f>
        <v>-9.3952787438844596E-8</v>
      </c>
      <c r="BB96">
        <f ca="1">'JACOBIAN - OIS USDOIS'!L105</f>
        <v>4.7211474540897998E-7</v>
      </c>
      <c r="BC96">
        <f ca="1">'JACOBIAN - OIS USDOIS'!M105</f>
        <v>-3.2913855718685902E-7</v>
      </c>
      <c r="BD96">
        <f ca="1">'JACOBIAN - OIS USDOIS'!N105</f>
        <v>2.5524027336132298E-13</v>
      </c>
      <c r="BE96">
        <f ca="1">'JACOBIAN - OIS USDOIS'!O105</f>
        <v>2.5524027336132298E-13</v>
      </c>
      <c r="BF96">
        <f ca="1">'JACOBIAN - OIS USDOIS'!P105</f>
        <v>2.5524027336132298E-13</v>
      </c>
      <c r="BG96">
        <f ca="1">'JACOBIAN - OIS USDOIS'!Q105</f>
        <v>2.5524027336132298E-13</v>
      </c>
      <c r="BH96">
        <f ca="1">'JACOBIAN - OIS USDOIS'!R105</f>
        <v>2.5524027336132298E-13</v>
      </c>
      <c r="BI96" s="161">
        <f ca="1">'JACOBIAN - OIS USDOIS'!S105</f>
        <v>-1.1566612361235699E-6</v>
      </c>
      <c r="BJ96" s="161">
        <f ca="1">'JACOBIAN - OIS USDOIS'!T105</f>
        <v>-2.9824588551052902E-6</v>
      </c>
      <c r="BK96" s="161">
        <f ca="1">'JACOBIAN - OIS USDOIS'!U105</f>
        <v>-3.1349677640513099E-6</v>
      </c>
      <c r="BL96" s="161">
        <f ca="1">'JACOBIAN - OIS USDOIS'!V105</f>
        <v>-5.0735434846682603E-6</v>
      </c>
      <c r="BM96" s="161">
        <f ca="1">'JACOBIAN - OIS USDOIS'!W105</f>
        <v>-7.8834671828342806E-6</v>
      </c>
      <c r="BN96" s="161">
        <f ca="1">'JACOBIAN - OIS USDOIS'!X105</f>
        <v>-2.59911984130667E-5</v>
      </c>
      <c r="BO96" s="161">
        <f ca="1">'JACOBIAN - OIS USDOIS'!Y105</f>
        <v>-3.6747612333298798E-5</v>
      </c>
      <c r="BP96" s="161">
        <f ca="1">'JACOBIAN - OIS USDOIS'!Z105</f>
        <v>-2.2675802831884101E-5</v>
      </c>
      <c r="BQ96" s="161">
        <f ca="1">'JACOBIAN - OIS USDOIS'!AA105</f>
        <v>-1.0455744002202399E-4</v>
      </c>
      <c r="BR96" s="161">
        <f ca="1">'JACOBIAN - OIS USDOIS'!AB105</f>
        <v>1.6642460056146601E-3</v>
      </c>
      <c r="BS96" s="161">
        <f ca="1">'JACOBIAN - OIS USDOIS'!AC105</f>
        <v>9.0000752834829001E-6</v>
      </c>
      <c r="BT96" s="161">
        <f ca="1">'JACOBIAN - OIS USDOIS'!AD105</f>
        <v>-1.5305378400221099E-6</v>
      </c>
      <c r="BU96">
        <f ca="1">'JACOBIAN - OIS USDOIS'!AE105</f>
        <v>1.1354272576591399E-6</v>
      </c>
      <c r="BV96">
        <f ca="1">'JACOBIAN - OIS USDOIS'!AF105</f>
        <v>2.9324562652588401E-6</v>
      </c>
      <c r="BW96">
        <f ca="1">'JACOBIAN - OIS USDOIS'!AG105</f>
        <v>3.0842089405736E-6</v>
      </c>
      <c r="BX96">
        <f ca="1">'JACOBIAN - OIS USDOIS'!AH105</f>
        <v>4.9914341661016997E-6</v>
      </c>
      <c r="BY96">
        <f ca="1">'JACOBIAN - OIS USDOIS'!AI105</f>
        <v>7.7491792761508194E-6</v>
      </c>
      <c r="BZ96">
        <f ca="1">'JACOBIAN - OIS USDOIS'!AJ105</f>
        <v>2.55667676460902E-5</v>
      </c>
      <c r="CA96">
        <f ca="1">'JACOBIAN - OIS USDOIS'!AK105</f>
        <v>3.61416867769027E-5</v>
      </c>
      <c r="CB96">
        <f ca="1">'JACOBIAN - OIS USDOIS'!AL105</f>
        <v>2.2266733808784499E-5</v>
      </c>
      <c r="CC96">
        <f ca="1">'JACOBIAN - OIS USDOIS'!AM105</f>
        <v>1.0284326028353599E-4</v>
      </c>
      <c r="CD96">
        <f ca="1">'JACOBIAN - OIS USDOIS'!AN105</f>
        <v>-1.6360352465952801E-3</v>
      </c>
      <c r="CE96">
        <f ca="1">'JACOBIAN - OIS USDOIS'!AO105</f>
        <v>-8.8752818035997499E-6</v>
      </c>
      <c r="CF96">
        <f ca="1">'JACOBIAN - OIS USDOIS'!AP105</f>
        <v>1.51032976170029E-6</v>
      </c>
      <c r="CK96" s="248">
        <f t="shared" ca="1" si="81"/>
        <v>51123</v>
      </c>
      <c r="CL96">
        <f t="shared" ca="1" si="82"/>
        <v>-7.9526181073763503E-7</v>
      </c>
      <c r="CM96">
        <f t="shared" ca="1" si="83"/>
        <v>6.5105698610068404E-11</v>
      </c>
      <c r="CN96">
        <f t="shared" ca="1" si="84"/>
        <v>-2.6060220648105299E-10</v>
      </c>
      <c r="CO96">
        <f t="shared" ca="1" si="85"/>
        <v>6.8604488756562897E-10</v>
      </c>
      <c r="CP96">
        <f t="shared" ca="1" si="86"/>
        <v>-8.8244833662542998E-10</v>
      </c>
      <c r="CQ96">
        <f t="shared" ca="1" si="87"/>
        <v>1.9967583142488398E-9</v>
      </c>
      <c r="CR96">
        <f t="shared" ca="1" si="88"/>
        <v>-1.6808707647975001E-8</v>
      </c>
      <c r="CS96">
        <f t="shared" ca="1" si="89"/>
        <v>2.4402571630055501E-8</v>
      </c>
      <c r="CT96">
        <f t="shared" ca="1" si="90"/>
        <v>-9.3952787438844596E-8</v>
      </c>
      <c r="CU96">
        <f t="shared" ca="1" si="91"/>
        <v>4.7211474540897998E-7</v>
      </c>
      <c r="CV96">
        <f t="shared" ca="1" si="92"/>
        <v>-3.2913855718685902E-7</v>
      </c>
      <c r="CW96">
        <f t="shared" ca="1" si="93"/>
        <v>2.5524027336132298E-13</v>
      </c>
      <c r="CX96">
        <f t="shared" ca="1" si="94"/>
        <v>2.5524027336132298E-13</v>
      </c>
      <c r="CY96">
        <f t="shared" ca="1" si="95"/>
        <v>2.5524027336132298E-13</v>
      </c>
      <c r="CZ96">
        <f t="shared" ca="1" si="96"/>
        <v>2.5524027336132298E-13</v>
      </c>
      <c r="DA96">
        <f t="shared" ca="1" si="97"/>
        <v>2.5524027336132298E-13</v>
      </c>
      <c r="DB96" s="146">
        <v>0</v>
      </c>
      <c r="DC96" s="146">
        <v>0</v>
      </c>
      <c r="DD96" s="146">
        <v>0</v>
      </c>
      <c r="DE96" s="146">
        <v>0</v>
      </c>
      <c r="DF96" s="146">
        <v>0</v>
      </c>
      <c r="DG96" s="146">
        <v>0</v>
      </c>
      <c r="DH96" s="146">
        <v>0</v>
      </c>
      <c r="DI96" s="146">
        <v>0</v>
      </c>
      <c r="DJ96" s="146">
        <v>0</v>
      </c>
      <c r="DK96" s="146">
        <v>0</v>
      </c>
      <c r="DL96" s="146">
        <v>0</v>
      </c>
      <c r="DM96" s="146">
        <v>0</v>
      </c>
      <c r="DN96">
        <f t="shared" ca="1" si="98"/>
        <v>1.1354272576591399E-6</v>
      </c>
      <c r="DO96">
        <f t="shared" ca="1" si="99"/>
        <v>2.9324562652588401E-6</v>
      </c>
      <c r="DP96">
        <f t="shared" ca="1" si="100"/>
        <v>3.0842089405736E-6</v>
      </c>
      <c r="DQ96">
        <f t="shared" ca="1" si="101"/>
        <v>4.9914341661016997E-6</v>
      </c>
      <c r="DR96">
        <f t="shared" ca="1" si="102"/>
        <v>7.7491792761508194E-6</v>
      </c>
      <c r="DS96">
        <f t="shared" ca="1" si="103"/>
        <v>2.55667676460902E-5</v>
      </c>
      <c r="DT96">
        <f t="shared" ca="1" si="104"/>
        <v>3.61416867769027E-5</v>
      </c>
      <c r="DU96">
        <f t="shared" ca="1" si="105"/>
        <v>2.2266733808784499E-5</v>
      </c>
      <c r="DV96">
        <f t="shared" ca="1" si="106"/>
        <v>1.0284326028353599E-4</v>
      </c>
      <c r="DW96">
        <f t="shared" ca="1" si="107"/>
        <v>-1.6360352465952801E-3</v>
      </c>
      <c r="DX96">
        <f t="shared" ca="1" si="108"/>
        <v>-8.8752818035997499E-6</v>
      </c>
      <c r="DY96">
        <f t="shared" ca="1" si="109"/>
        <v>1.51032976170029E-6</v>
      </c>
      <c r="ED96" s="248">
        <f ca="1">'JACOBIAN - SWAP USD3ML'!B105</f>
        <v>51123</v>
      </c>
      <c r="EE96">
        <f ca="1">'JACOBIAN - SWAP USD3ML'!C105</f>
        <v>5.6745580456762903E-13</v>
      </c>
      <c r="EF96">
        <f ca="1">'JACOBIAN - SWAP USD3ML'!D105</f>
        <v>2.20692911861997E-10</v>
      </c>
      <c r="EG96">
        <f ca="1">'JACOBIAN - SWAP USD3ML'!E105</f>
        <v>8.5566692620275798E-12</v>
      </c>
      <c r="EH96">
        <f ca="1">'JACOBIAN - SWAP USD3ML'!F105</f>
        <v>5.6657803448878497E-13</v>
      </c>
      <c r="EI96">
        <f ca="1">'JACOBIAN - SWAP USD3ML'!G105</f>
        <v>2.9866213668849899E-12</v>
      </c>
      <c r="EJ96">
        <f ca="1">'JACOBIAN - SWAP USD3ML'!H105</f>
        <v>2.2092481663516E-10</v>
      </c>
      <c r="EK96">
        <f ca="1">'JACOBIAN - SWAP USD3ML'!I105</f>
        <v>2.27933713570216E-10</v>
      </c>
      <c r="EL96">
        <f ca="1">'JACOBIAN - SWAP USD3ML'!J105</f>
        <v>2.2709921790320399E-10</v>
      </c>
      <c r="EM96">
        <f ca="1">'JACOBIAN - SWAP USD3ML'!K105</f>
        <v>2.2631039750531399E-10</v>
      </c>
      <c r="EN96">
        <f ca="1">'JACOBIAN - SWAP USD3ML'!L105</f>
        <v>2.2563138163400601E-10</v>
      </c>
      <c r="EO96">
        <f ca="1">'JACOBIAN - SWAP USD3ML'!M105</f>
        <v>2.2352229789302E-10</v>
      </c>
      <c r="EP96">
        <f ca="1">'JACOBIAN - SWAP USD3ML'!N105</f>
        <v>4.8208821309958495E-10</v>
      </c>
      <c r="EQ96">
        <f ca="1">'JACOBIAN - SWAP USD3ML'!O105</f>
        <v>-1.1675924404402899E-8</v>
      </c>
      <c r="ER96">
        <f ca="1">'JACOBIAN - SWAP USD3ML'!P105</f>
        <v>5.6507832257163297E-8</v>
      </c>
      <c r="ES96">
        <f ca="1">'JACOBIAN - SWAP USD3ML'!Q105</f>
        <v>-1.4077692506511699E-7</v>
      </c>
      <c r="ET96">
        <f ca="1">'JACOBIAN - SWAP USD3ML'!R105</f>
        <v>1.24210530300442E-6</v>
      </c>
      <c r="EU96">
        <f ca="1">'JACOBIAN - SWAP USD3ML'!S105</f>
        <v>-6.4708105010531596E-6</v>
      </c>
      <c r="EV96">
        <f ca="1">'JACOBIAN - SWAP USD3ML'!T105</f>
        <v>2.8144301568836699E-5</v>
      </c>
      <c r="EW96">
        <f ca="1">'JACOBIAN - SWAP USD3ML'!U105</f>
        <v>-6.2777305641335102E-5</v>
      </c>
      <c r="EX96">
        <f ca="1">'JACOBIAN - SWAP USD3ML'!V105</f>
        <v>1.3902038221877099E-4</v>
      </c>
      <c r="EY96">
        <f ca="1">'JACOBIAN - SWAP USD3ML'!W105</f>
        <v>-3.3358649838839699E-4</v>
      </c>
      <c r="EZ96">
        <f ca="1">'JACOBIAN - SWAP USD3ML'!X105</f>
        <v>-4.9836088438424297E-5</v>
      </c>
      <c r="FA96">
        <f ca="1">'JACOBIAN - SWAP USD3ML'!Y105</f>
        <v>4.8008039657500599E-4</v>
      </c>
      <c r="FB96">
        <f ca="1">'JACOBIAN - SWAP USD3ML'!Z105</f>
        <v>-9.7416651986467802E-5</v>
      </c>
    </row>
    <row r="97" spans="24:158" x14ac:dyDescent="0.25">
      <c r="X97" s="258">
        <f t="shared" ca="1" si="76"/>
        <v>51214</v>
      </c>
      <c r="Y97" s="261">
        <v>0</v>
      </c>
      <c r="AA97" s="257">
        <f t="shared" ca="1" si="110"/>
        <v>51214</v>
      </c>
      <c r="AB97" s="266">
        <f t="shared" ca="1" si="77"/>
        <v>-1.4488088672851591E-3</v>
      </c>
      <c r="AC97" s="266"/>
      <c r="AD97" s="290">
        <f ca="1"/>
        <v>51214</v>
      </c>
      <c r="AE97" s="291">
        <f ca="1"/>
        <v>-1.4488088672851562E-3</v>
      </c>
      <c r="AF97" s="291" t="b">
        <f t="shared" ca="1" si="111"/>
        <v>1</v>
      </c>
      <c r="AH97" s="257">
        <f t="shared" ca="1" si="78"/>
        <v>51214</v>
      </c>
      <c r="AI97" s="260">
        <v>0</v>
      </c>
      <c r="AK97" s="290">
        <f ca="1"/>
        <v>51214</v>
      </c>
      <c r="AL97" s="291">
        <f ca="1"/>
        <v>9.8310207880477466E-5</v>
      </c>
      <c r="AM97" s="291" t="b">
        <f t="shared" ca="1" si="79"/>
        <v>1</v>
      </c>
      <c r="AO97" s="257">
        <f t="shared" ca="1" si="80"/>
        <v>51214</v>
      </c>
      <c r="AP97" s="266">
        <f t="shared" ca="1" si="112"/>
        <v>9.8310207880476897E-5</v>
      </c>
      <c r="AR97" s="248">
        <f ca="1">'JACOBIAN - OIS USDOIS'!B106</f>
        <v>51214</v>
      </c>
      <c r="AS97">
        <f ca="1">'JACOBIAN - OIS USDOIS'!C106</f>
        <v>-7.91649419795704E-7</v>
      </c>
      <c r="AT97">
        <f ca="1">'JACOBIAN - OIS USDOIS'!D106</f>
        <v>7.0539685204096297E-11</v>
      </c>
      <c r="AU97">
        <f ca="1">'JACOBIAN - OIS USDOIS'!E106</f>
        <v>-2.8236579741047799E-10</v>
      </c>
      <c r="AV97">
        <f ca="1">'JACOBIAN - OIS USDOIS'!F106</f>
        <v>7.4335304578454497E-10</v>
      </c>
      <c r="AW97">
        <f ca="1">'JACOBIAN - OIS USDOIS'!G106</f>
        <v>-9.5622210150025901E-10</v>
      </c>
      <c r="AX97">
        <f ca="1">'JACOBIAN - OIS USDOIS'!H106</f>
        <v>2.1636207270248102E-9</v>
      </c>
      <c r="AY97">
        <f ca="1">'JACOBIAN - OIS USDOIS'!I106</f>
        <v>-1.73234193656668E-8</v>
      </c>
      <c r="AZ97">
        <f ca="1">'JACOBIAN - OIS USDOIS'!J106</f>
        <v>2.6442071421328699E-8</v>
      </c>
      <c r="BA97">
        <f ca="1">'JACOBIAN - OIS USDOIS'!K106</f>
        <v>-1.01804439212039E-7</v>
      </c>
      <c r="BB97">
        <f ca="1">'JACOBIAN - OIS USDOIS'!L106</f>
        <v>4.8297650845352504E-7</v>
      </c>
      <c r="BC97">
        <f ca="1">'JACOBIAN - OIS USDOIS'!M106</f>
        <v>-3.5396217035188503E-7</v>
      </c>
      <c r="BD97">
        <f ca="1">'JACOBIAN - OIS USDOIS'!N106</f>
        <v>2.3669954885008302E-13</v>
      </c>
      <c r="BE97">
        <f ca="1">'JACOBIAN - OIS USDOIS'!O106</f>
        <v>2.3669954885008302E-13</v>
      </c>
      <c r="BF97">
        <f ca="1">'JACOBIAN - OIS USDOIS'!P106</f>
        <v>2.3669954885008302E-13</v>
      </c>
      <c r="BG97">
        <f ca="1">'JACOBIAN - OIS USDOIS'!Q106</f>
        <v>2.3669954885008302E-13</v>
      </c>
      <c r="BH97">
        <f ca="1">'JACOBIAN - OIS USDOIS'!R106</f>
        <v>2.3669954885008302E-13</v>
      </c>
      <c r="BI97" s="161">
        <f ca="1">'JACOBIAN - OIS USDOIS'!S106</f>
        <v>-1.18684608763076E-6</v>
      </c>
      <c r="BJ97" s="161">
        <f ca="1">'JACOBIAN - OIS USDOIS'!T106</f>
        <v>-2.91607958058382E-6</v>
      </c>
      <c r="BK97" s="161">
        <f ca="1">'JACOBIAN - OIS USDOIS'!U106</f>
        <v>-3.3331203284081601E-6</v>
      </c>
      <c r="BL97" s="161">
        <f ca="1">'JACOBIAN - OIS USDOIS'!V106</f>
        <v>-4.2834952472814402E-6</v>
      </c>
      <c r="BM97" s="161">
        <f ca="1">'JACOBIAN - OIS USDOIS'!W106</f>
        <v>-9.40826262307848E-6</v>
      </c>
      <c r="BN97" s="161">
        <f ca="1">'JACOBIAN - OIS USDOIS'!X106</f>
        <v>-2.3057549141003401E-5</v>
      </c>
      <c r="BO97" s="161">
        <f ca="1">'JACOBIAN - OIS USDOIS'!Y106</f>
        <v>-5.0784635896250499E-5</v>
      </c>
      <c r="BP97" s="161">
        <f ca="1">'JACOBIAN - OIS USDOIS'!Z106</f>
        <v>1.7934714701905999E-5</v>
      </c>
      <c r="BQ97" s="161">
        <f ca="1">'JACOBIAN - OIS USDOIS'!AA106</f>
        <v>-1.8557654654760599E-4</v>
      </c>
      <c r="BR97" s="161">
        <f ca="1">'JACOBIAN - OIS USDOIS'!AB106</f>
        <v>1.66947092038516E-3</v>
      </c>
      <c r="BS97" s="161">
        <f ca="1">'JACOBIAN - OIS USDOIS'!AC106</f>
        <v>7.9731125671722594E-5</v>
      </c>
      <c r="BT97" s="161">
        <f ca="1">'JACOBIAN - OIS USDOIS'!AD106</f>
        <v>-1.35189862626728E-5</v>
      </c>
      <c r="BU97">
        <f ca="1">'JACOBIAN - OIS USDOIS'!AE106</f>
        <v>1.16506637237723E-6</v>
      </c>
      <c r="BV97">
        <f ca="1">'JACOBIAN - OIS USDOIS'!AF106</f>
        <v>2.8671816140191102E-6</v>
      </c>
      <c r="BW97">
        <f ca="1">'JACOBIAN - OIS USDOIS'!AG106</f>
        <v>3.2791834139178599E-6</v>
      </c>
      <c r="BX97">
        <f ca="1">'JACOBIAN - OIS USDOIS'!AH106</f>
        <v>4.2138264599866898E-6</v>
      </c>
      <c r="BY97">
        <f ca="1">'JACOBIAN - OIS USDOIS'!AI106</f>
        <v>9.2495393079206101E-6</v>
      </c>
      <c r="BZ97">
        <f ca="1">'JACOBIAN - OIS USDOIS'!AJ106</f>
        <v>2.26790787382081E-5</v>
      </c>
      <c r="CA97">
        <f ca="1">'JACOBIAN - OIS USDOIS'!AK106</f>
        <v>4.9960412196514703E-5</v>
      </c>
      <c r="CB97">
        <f ca="1">'JACOBIAN - OIS USDOIS'!AL106</f>
        <v>-1.7726691856401199E-5</v>
      </c>
      <c r="CC97">
        <f ca="1">'JACOBIAN - OIS USDOIS'!AM106</f>
        <v>1.8266947817124901E-4</v>
      </c>
      <c r="CD97">
        <f ca="1">'JACOBIAN - OIS USDOIS'!AN106</f>
        <v>-1.6411508464441199E-3</v>
      </c>
      <c r="CE97">
        <f ca="1">'JACOBIAN - OIS USDOIS'!AO106</f>
        <v>-7.8602662167859299E-5</v>
      </c>
      <c r="CF97">
        <f ca="1">'JACOBIAN - OIS USDOIS'!AP106</f>
        <v>1.33411476688217E-5</v>
      </c>
      <c r="CK97" s="248">
        <f t="shared" ca="1" si="81"/>
        <v>51214</v>
      </c>
      <c r="CL97">
        <f t="shared" ca="1" si="82"/>
        <v>-7.91649419795704E-7</v>
      </c>
      <c r="CM97">
        <f t="shared" ca="1" si="83"/>
        <v>7.0539685204096297E-11</v>
      </c>
      <c r="CN97">
        <f t="shared" ca="1" si="84"/>
        <v>-2.8236579741047799E-10</v>
      </c>
      <c r="CO97">
        <f t="shared" ca="1" si="85"/>
        <v>7.4335304578454497E-10</v>
      </c>
      <c r="CP97">
        <f t="shared" ca="1" si="86"/>
        <v>-9.5622210150025901E-10</v>
      </c>
      <c r="CQ97">
        <f t="shared" ca="1" si="87"/>
        <v>2.1636207270248102E-9</v>
      </c>
      <c r="CR97">
        <f t="shared" ca="1" si="88"/>
        <v>-1.73234193656668E-8</v>
      </c>
      <c r="CS97">
        <f t="shared" ca="1" si="89"/>
        <v>2.6442071421328699E-8</v>
      </c>
      <c r="CT97">
        <f t="shared" ca="1" si="90"/>
        <v>-1.01804439212039E-7</v>
      </c>
      <c r="CU97">
        <f t="shared" ca="1" si="91"/>
        <v>4.8297650845352504E-7</v>
      </c>
      <c r="CV97">
        <f t="shared" ca="1" si="92"/>
        <v>-3.5396217035188503E-7</v>
      </c>
      <c r="CW97">
        <f t="shared" ca="1" si="93"/>
        <v>2.3669954885008302E-13</v>
      </c>
      <c r="CX97">
        <f t="shared" ca="1" si="94"/>
        <v>2.3669954885008302E-13</v>
      </c>
      <c r="CY97">
        <f t="shared" ca="1" si="95"/>
        <v>2.3669954885008302E-13</v>
      </c>
      <c r="CZ97">
        <f t="shared" ca="1" si="96"/>
        <v>2.3669954885008302E-13</v>
      </c>
      <c r="DA97">
        <f t="shared" ca="1" si="97"/>
        <v>2.3669954885008302E-13</v>
      </c>
      <c r="DB97" s="146">
        <v>0</v>
      </c>
      <c r="DC97" s="146">
        <v>0</v>
      </c>
      <c r="DD97" s="146">
        <v>0</v>
      </c>
      <c r="DE97" s="146">
        <v>0</v>
      </c>
      <c r="DF97" s="146">
        <v>0</v>
      </c>
      <c r="DG97" s="146">
        <v>0</v>
      </c>
      <c r="DH97" s="146">
        <v>0</v>
      </c>
      <c r="DI97" s="146">
        <v>0</v>
      </c>
      <c r="DJ97" s="146">
        <v>0</v>
      </c>
      <c r="DK97" s="146">
        <v>0</v>
      </c>
      <c r="DL97" s="146">
        <v>0</v>
      </c>
      <c r="DM97" s="146">
        <v>0</v>
      </c>
      <c r="DN97">
        <f t="shared" ca="1" si="98"/>
        <v>1.16506637237723E-6</v>
      </c>
      <c r="DO97">
        <f t="shared" ca="1" si="99"/>
        <v>2.8671816140191102E-6</v>
      </c>
      <c r="DP97">
        <f t="shared" ca="1" si="100"/>
        <v>3.2791834139178599E-6</v>
      </c>
      <c r="DQ97">
        <f t="shared" ca="1" si="101"/>
        <v>4.2138264599866898E-6</v>
      </c>
      <c r="DR97">
        <f t="shared" ca="1" si="102"/>
        <v>9.2495393079206101E-6</v>
      </c>
      <c r="DS97">
        <f t="shared" ca="1" si="103"/>
        <v>2.26790787382081E-5</v>
      </c>
      <c r="DT97">
        <f t="shared" ca="1" si="104"/>
        <v>4.9960412196514703E-5</v>
      </c>
      <c r="DU97">
        <f t="shared" ca="1" si="105"/>
        <v>-1.7726691856401199E-5</v>
      </c>
      <c r="DV97">
        <f t="shared" ca="1" si="106"/>
        <v>1.8266947817124901E-4</v>
      </c>
      <c r="DW97">
        <f t="shared" ca="1" si="107"/>
        <v>-1.6411508464441199E-3</v>
      </c>
      <c r="DX97">
        <f t="shared" ca="1" si="108"/>
        <v>-7.8602662167859299E-5</v>
      </c>
      <c r="DY97">
        <f t="shared" ca="1" si="109"/>
        <v>1.33411476688217E-5</v>
      </c>
      <c r="ED97" s="248">
        <f ca="1">'JACOBIAN - SWAP USD3ML'!B106</f>
        <v>51214</v>
      </c>
      <c r="EE97">
        <f ca="1">'JACOBIAN - SWAP USD3ML'!C106</f>
        <v>4.6571427270158899E-13</v>
      </c>
      <c r="EF97">
        <f ca="1">'JACOBIAN - SWAP USD3ML'!D106</f>
        <v>1.8178328287099501E-10</v>
      </c>
      <c r="EG97">
        <f ca="1">'JACOBIAN - SWAP USD3ML'!E106</f>
        <v>6.6555441713411799E-12</v>
      </c>
      <c r="EH97">
        <f ca="1">'JACOBIAN - SWAP USD3ML'!F106</f>
        <v>4.66581634439578E-13</v>
      </c>
      <c r="EI97">
        <f ca="1">'JACOBIAN - SWAP USD3ML'!G106</f>
        <v>2.4597684999960702E-12</v>
      </c>
      <c r="EJ97">
        <f ca="1">'JACOBIAN - SWAP USD3ML'!H106</f>
        <v>1.8192230361036E-10</v>
      </c>
      <c r="EK97">
        <f ca="1">'JACOBIAN - SWAP USD3ML'!I106</f>
        <v>1.87314511124193E-10</v>
      </c>
      <c r="EL97">
        <f ca="1">'JACOBIAN - SWAP USD3ML'!J106</f>
        <v>1.86631578247276E-10</v>
      </c>
      <c r="EM97">
        <f ca="1">'JACOBIAN - SWAP USD3ML'!K106</f>
        <v>1.85986875206323E-10</v>
      </c>
      <c r="EN97">
        <f ca="1">'JACOBIAN - SWAP USD3ML'!L106</f>
        <v>1.8542732280191199E-10</v>
      </c>
      <c r="EO97">
        <f ca="1">'JACOBIAN - SWAP USD3ML'!M106</f>
        <v>1.8369653367877901E-10</v>
      </c>
      <c r="EP97">
        <f ca="1">'JACOBIAN - SWAP USD3ML'!N106</f>
        <v>3.96283873771441E-10</v>
      </c>
      <c r="EQ97">
        <f ca="1">'JACOBIAN - SWAP USD3ML'!O106</f>
        <v>-9.5975158272143502E-9</v>
      </c>
      <c r="ER97">
        <f ca="1">'JACOBIAN - SWAP USD3ML'!P106</f>
        <v>4.6448578896324302E-8</v>
      </c>
      <c r="ES97">
        <f ca="1">'JACOBIAN - SWAP USD3ML'!Q106</f>
        <v>-1.15716339121885E-7</v>
      </c>
      <c r="ET97">
        <f ca="1">'JACOBIAN - SWAP USD3ML'!R106</f>
        <v>1.0209896006904699E-6</v>
      </c>
      <c r="EU97">
        <f ca="1">'JACOBIAN - SWAP USD3ML'!S106</f>
        <v>-5.3188966474722296E-6</v>
      </c>
      <c r="EV97">
        <f ca="1">'JACOBIAN - SWAP USD3ML'!T106</f>
        <v>2.31341230163724E-5</v>
      </c>
      <c r="EW97">
        <f ca="1">'JACOBIAN - SWAP USD3ML'!U106</f>
        <v>-5.1601976335392798E-5</v>
      </c>
      <c r="EX97">
        <f ca="1">'JACOBIAN - SWAP USD3ML'!V106</f>
        <v>1.1427196568644E-4</v>
      </c>
      <c r="EY97">
        <f ca="1">'JACOBIAN - SWAP USD3ML'!W106</f>
        <v>-2.7420501684293299E-4</v>
      </c>
      <c r="EZ97">
        <f ca="1">'JACOBIAN - SWAP USD3ML'!X106</f>
        <v>-1.4851113235181401E-4</v>
      </c>
      <c r="FA97">
        <f ca="1">'JACOBIAN - SWAP USD3ML'!Y106</f>
        <v>5.4923884433553895E-4</v>
      </c>
      <c r="FB97">
        <f ca="1">'JACOBIAN - SWAP USD3ML'!Z106</f>
        <v>-1.0964152639879E-4</v>
      </c>
    </row>
    <row r="98" spans="24:158" x14ac:dyDescent="0.25">
      <c r="X98" s="258">
        <f t="shared" ca="1" si="76"/>
        <v>51305</v>
      </c>
      <c r="Y98" s="261">
        <v>0</v>
      </c>
      <c r="AA98" s="257">
        <f t="shared" ca="1" si="110"/>
        <v>51305</v>
      </c>
      <c r="AB98" s="266">
        <f t="shared" ca="1" si="77"/>
        <v>-1.4600991020182756E-3</v>
      </c>
      <c r="AC98" s="266"/>
      <c r="AD98" s="290">
        <f ca="1"/>
        <v>51305</v>
      </c>
      <c r="AE98" s="291">
        <f ca="1"/>
        <v>-1.4600991020182752E-3</v>
      </c>
      <c r="AF98" s="291" t="b">
        <f t="shared" ca="1" si="111"/>
        <v>1</v>
      </c>
      <c r="AH98" s="257">
        <f t="shared" ca="1" si="78"/>
        <v>51305</v>
      </c>
      <c r="AI98" s="260">
        <v>0</v>
      </c>
      <c r="AK98" s="290">
        <f ca="1"/>
        <v>51305</v>
      </c>
      <c r="AL98" s="291">
        <f ca="1"/>
        <v>9.8311924061653816E-5</v>
      </c>
      <c r="AM98" s="291" t="b">
        <f t="shared" ca="1" si="79"/>
        <v>1</v>
      </c>
      <c r="AO98" s="257">
        <f t="shared" ca="1" si="80"/>
        <v>51305</v>
      </c>
      <c r="AP98" s="266">
        <f t="shared" ca="1" si="112"/>
        <v>9.8311924061652596E-5</v>
      </c>
      <c r="AR98" s="248">
        <f ca="1">'JACOBIAN - OIS USDOIS'!B107</f>
        <v>51305</v>
      </c>
      <c r="AS98">
        <f ca="1">'JACOBIAN - OIS USDOIS'!C107</f>
        <v>-7.8806849379553501E-7</v>
      </c>
      <c r="AT98">
        <f ca="1">'JACOBIAN - OIS USDOIS'!D107</f>
        <v>7.5055406334456594E-11</v>
      </c>
      <c r="AU98">
        <f ca="1">'JACOBIAN - OIS USDOIS'!E107</f>
        <v>-3.0046787280468798E-10</v>
      </c>
      <c r="AV98">
        <f ca="1">'JACOBIAN - OIS USDOIS'!F107</f>
        <v>7.9101025729500004E-10</v>
      </c>
      <c r="AW98">
        <f ca="1">'JACOBIAN - OIS USDOIS'!G107</f>
        <v>-1.0175770226439301E-9</v>
      </c>
      <c r="AX98">
        <f ca="1">'JACOBIAN - OIS USDOIS'!H107</f>
        <v>2.3023913886532901E-9</v>
      </c>
      <c r="AY98">
        <f ca="1">'JACOBIAN - OIS USDOIS'!I107</f>
        <v>-1.77442692761431E-8</v>
      </c>
      <c r="AZ98">
        <f ca="1">'JACOBIAN - OIS USDOIS'!J107</f>
        <v>2.813825950021E-8</v>
      </c>
      <c r="BA98">
        <f ca="1">'JACOBIAN - OIS USDOIS'!K107</f>
        <v>-1.0833442321001E-7</v>
      </c>
      <c r="BB98">
        <f ca="1">'JACOBIAN - OIS USDOIS'!L107</f>
        <v>4.9181203298775997E-7</v>
      </c>
      <c r="BC98">
        <f ca="1">'JACOBIAN - OIS USDOIS'!M107</f>
        <v>-3.7458545920632199E-7</v>
      </c>
      <c r="BD98">
        <f ca="1">'JACOBIAN - OIS USDOIS'!N107</f>
        <v>2.1838086894376799E-13</v>
      </c>
      <c r="BE98">
        <f ca="1">'JACOBIAN - OIS USDOIS'!O107</f>
        <v>2.1838086894376799E-13</v>
      </c>
      <c r="BF98">
        <f ca="1">'JACOBIAN - OIS USDOIS'!P107</f>
        <v>2.1838086894376799E-13</v>
      </c>
      <c r="BG98">
        <f ca="1">'JACOBIAN - OIS USDOIS'!Q107</f>
        <v>2.1838086894376799E-13</v>
      </c>
      <c r="BH98">
        <f ca="1">'JACOBIAN - OIS USDOIS'!R107</f>
        <v>2.1838086894376799E-13</v>
      </c>
      <c r="BI98" s="161">
        <f ca="1">'JACOBIAN - OIS USDOIS'!S107</f>
        <v>-1.21149219445282E-6</v>
      </c>
      <c r="BJ98" s="161">
        <f ca="1">'JACOBIAN - OIS USDOIS'!T107</f>
        <v>-2.85871800453918E-6</v>
      </c>
      <c r="BK98" s="161">
        <f ca="1">'JACOBIAN - OIS USDOIS'!U107</f>
        <v>-3.4973267866167399E-6</v>
      </c>
      <c r="BL98" s="161">
        <f ca="1">'JACOBIAN - OIS USDOIS'!V107</f>
        <v>-3.6190554154602599E-6</v>
      </c>
      <c r="BM98" s="161">
        <f ca="1">'JACOBIAN - OIS USDOIS'!W107</f>
        <v>-1.06803862487403E-5</v>
      </c>
      <c r="BN98" s="161">
        <f ca="1">'JACOBIAN - OIS USDOIS'!X107</f>
        <v>-2.0586273621669998E-5</v>
      </c>
      <c r="BO98" s="161">
        <f ca="1">'JACOBIAN - OIS USDOIS'!Y107</f>
        <v>-6.2516281105762199E-5</v>
      </c>
      <c r="BP98" s="161">
        <f ca="1">'JACOBIAN - OIS USDOIS'!Z107</f>
        <v>5.1952094427543103E-5</v>
      </c>
      <c r="BQ98" s="161">
        <f ca="1">'JACOBIAN - OIS USDOIS'!AA107</f>
        <v>-2.5334511655472598E-4</v>
      </c>
      <c r="BR98" s="161">
        <f ca="1">'JACOBIAN - OIS USDOIS'!AB107</f>
        <v>1.6562611258270599E-3</v>
      </c>
      <c r="BS98" s="161">
        <f ca="1">'JACOBIAN - OIS USDOIS'!AC107</f>
        <v>1.61790243682569E-4</v>
      </c>
      <c r="BT98" s="161">
        <f ca="1">'JACOBIAN - OIS USDOIS'!AD107</f>
        <v>-2.72036245984042E-5</v>
      </c>
      <c r="BU98">
        <f ca="1">'JACOBIAN - OIS USDOIS'!AE107</f>
        <v>1.18926706227374E-6</v>
      </c>
      <c r="BV98">
        <f ca="1">'JACOBIAN - OIS USDOIS'!AF107</f>
        <v>2.8107748025751901E-6</v>
      </c>
      <c r="BW98">
        <f ca="1">'JACOBIAN - OIS USDOIS'!AG107</f>
        <v>3.4407565084881899E-6</v>
      </c>
      <c r="BX98">
        <f ca="1">'JACOBIAN - OIS USDOIS'!AH107</f>
        <v>3.5598516933133001E-6</v>
      </c>
      <c r="BY98">
        <f ca="1">'JACOBIAN - OIS USDOIS'!AI107</f>
        <v>1.0501286399788899E-5</v>
      </c>
      <c r="BZ98">
        <f ca="1">'JACOBIAN - OIS USDOIS'!AJ107</f>
        <v>2.0246546372004699E-5</v>
      </c>
      <c r="CA98">
        <f ca="1">'JACOBIAN - OIS USDOIS'!AK107</f>
        <v>6.1510059556346697E-5</v>
      </c>
      <c r="CB98">
        <f ca="1">'JACOBIAN - OIS USDOIS'!AL107</f>
        <v>-5.1223645668785297E-5</v>
      </c>
      <c r="CC98">
        <f ca="1">'JACOBIAN - OIS USDOIS'!AM107</f>
        <v>2.4945446718527303E-4</v>
      </c>
      <c r="CD98">
        <f ca="1">'JACOBIAN - OIS USDOIS'!AN107</f>
        <v>-1.62818786814123E-3</v>
      </c>
      <c r="CE98">
        <f ca="1">'JACOBIAN - OIS USDOIS'!AO107</f>
        <v>-1.5948000771015501E-4</v>
      </c>
      <c r="CF98">
        <f ca="1">'JACOBIAN - OIS USDOIS'!AP107</f>
        <v>2.6846340770769699E-5</v>
      </c>
      <c r="CK98" s="248">
        <f t="shared" ca="1" si="81"/>
        <v>51305</v>
      </c>
      <c r="CL98">
        <f t="shared" ca="1" si="82"/>
        <v>-7.8806849379553501E-7</v>
      </c>
      <c r="CM98">
        <f t="shared" ca="1" si="83"/>
        <v>7.5055406334456594E-11</v>
      </c>
      <c r="CN98">
        <f t="shared" ca="1" si="84"/>
        <v>-3.0046787280468798E-10</v>
      </c>
      <c r="CO98">
        <f t="shared" ca="1" si="85"/>
        <v>7.9101025729500004E-10</v>
      </c>
      <c r="CP98">
        <f t="shared" ca="1" si="86"/>
        <v>-1.0175770226439301E-9</v>
      </c>
      <c r="CQ98">
        <f t="shared" ca="1" si="87"/>
        <v>2.3023913886532901E-9</v>
      </c>
      <c r="CR98">
        <f t="shared" ca="1" si="88"/>
        <v>-1.77442692761431E-8</v>
      </c>
      <c r="CS98">
        <f t="shared" ca="1" si="89"/>
        <v>2.813825950021E-8</v>
      </c>
      <c r="CT98">
        <f t="shared" ca="1" si="90"/>
        <v>-1.0833442321001E-7</v>
      </c>
      <c r="CU98">
        <f t="shared" ca="1" si="91"/>
        <v>4.9181203298775997E-7</v>
      </c>
      <c r="CV98">
        <f t="shared" ca="1" si="92"/>
        <v>-3.7458545920632199E-7</v>
      </c>
      <c r="CW98">
        <f t="shared" ca="1" si="93"/>
        <v>2.1838086894376799E-13</v>
      </c>
      <c r="CX98">
        <f t="shared" ca="1" si="94"/>
        <v>2.1838086894376799E-13</v>
      </c>
      <c r="CY98">
        <f t="shared" ca="1" si="95"/>
        <v>2.1838086894376799E-13</v>
      </c>
      <c r="CZ98">
        <f t="shared" ca="1" si="96"/>
        <v>2.1838086894376799E-13</v>
      </c>
      <c r="DA98">
        <f t="shared" ca="1" si="97"/>
        <v>2.1838086894376799E-13</v>
      </c>
      <c r="DB98" s="146">
        <v>0</v>
      </c>
      <c r="DC98" s="146">
        <v>0</v>
      </c>
      <c r="DD98" s="146">
        <v>0</v>
      </c>
      <c r="DE98" s="146">
        <v>0</v>
      </c>
      <c r="DF98" s="146">
        <v>0</v>
      </c>
      <c r="DG98" s="146">
        <v>0</v>
      </c>
      <c r="DH98" s="146">
        <v>0</v>
      </c>
      <c r="DI98" s="146">
        <v>0</v>
      </c>
      <c r="DJ98" s="146">
        <v>0</v>
      </c>
      <c r="DK98" s="146">
        <v>0</v>
      </c>
      <c r="DL98" s="146">
        <v>0</v>
      </c>
      <c r="DM98" s="146">
        <v>0</v>
      </c>
      <c r="DN98">
        <f t="shared" ca="1" si="98"/>
        <v>1.18926706227374E-6</v>
      </c>
      <c r="DO98">
        <f t="shared" ca="1" si="99"/>
        <v>2.8107748025751901E-6</v>
      </c>
      <c r="DP98">
        <f t="shared" ca="1" si="100"/>
        <v>3.4407565084881899E-6</v>
      </c>
      <c r="DQ98">
        <f t="shared" ca="1" si="101"/>
        <v>3.5598516933133001E-6</v>
      </c>
      <c r="DR98">
        <f t="shared" ca="1" si="102"/>
        <v>1.0501286399788899E-5</v>
      </c>
      <c r="DS98">
        <f t="shared" ca="1" si="103"/>
        <v>2.0246546372004699E-5</v>
      </c>
      <c r="DT98">
        <f t="shared" ca="1" si="104"/>
        <v>6.1510059556346697E-5</v>
      </c>
      <c r="DU98">
        <f t="shared" ca="1" si="105"/>
        <v>-5.1223645668785297E-5</v>
      </c>
      <c r="DV98">
        <f t="shared" ca="1" si="106"/>
        <v>2.4945446718527303E-4</v>
      </c>
      <c r="DW98">
        <f t="shared" ca="1" si="107"/>
        <v>-1.62818786814123E-3</v>
      </c>
      <c r="DX98">
        <f t="shared" ca="1" si="108"/>
        <v>-1.5948000771015501E-4</v>
      </c>
      <c r="DY98">
        <f t="shared" ca="1" si="109"/>
        <v>2.6846340770769699E-5</v>
      </c>
      <c r="ED98" s="248">
        <f ca="1">'JACOBIAN - SWAP USD3ML'!B107</f>
        <v>51305</v>
      </c>
      <c r="EE98">
        <f ca="1">'JACOBIAN - SWAP USD3ML'!C107</f>
        <v>3.7274697217703999E-13</v>
      </c>
      <c r="EF98">
        <f ca="1">'JACOBIAN - SWAP USD3ML'!D107</f>
        <v>1.4567738335080601E-10</v>
      </c>
      <c r="EG98">
        <f ca="1">'JACOBIAN - SWAP USD3ML'!E107</f>
        <v>4.8760995241536899E-12</v>
      </c>
      <c r="EH98">
        <f ca="1">'JACOBIAN - SWAP USD3ML'!F107</f>
        <v>3.7100877925411199E-13</v>
      </c>
      <c r="EI98">
        <f ca="1">'JACOBIAN - SWAP USD3ML'!G107</f>
        <v>1.96799174179141E-12</v>
      </c>
      <c r="EJ98">
        <f ca="1">'JACOBIAN - SWAP USD3ML'!H107</f>
        <v>1.4572778053723001E-10</v>
      </c>
      <c r="EK98">
        <f ca="1">'JACOBIAN - SWAP USD3ML'!I107</f>
        <v>1.4960207031511399E-10</v>
      </c>
      <c r="EL98">
        <f ca="1">'JACOBIAN - SWAP USD3ML'!J107</f>
        <v>1.4906250192514601E-10</v>
      </c>
      <c r="EM98">
        <f ca="1">'JACOBIAN - SWAP USD3ML'!K107</f>
        <v>1.4855073768305101E-10</v>
      </c>
      <c r="EN98">
        <f ca="1">'JACOBIAN - SWAP USD3ML'!L107</f>
        <v>1.4810326923187E-10</v>
      </c>
      <c r="EO98">
        <f ca="1">'JACOBIAN - SWAP USD3ML'!M107</f>
        <v>1.46720899318886E-10</v>
      </c>
      <c r="EP98">
        <f ca="1">'JACOBIAN - SWAP USD3ML'!N107</f>
        <v>3.16627595670083E-10</v>
      </c>
      <c r="EQ98">
        <f ca="1">'JACOBIAN - SWAP USD3ML'!O107</f>
        <v>-7.6680957208918893E-9</v>
      </c>
      <c r="ER98">
        <f ca="1">'JACOBIAN - SWAP USD3ML'!P107</f>
        <v>3.7110409530083397E-8</v>
      </c>
      <c r="ES98">
        <f ca="1">'JACOBIAN - SWAP USD3ML'!Q107</f>
        <v>-9.2452211102045405E-8</v>
      </c>
      <c r="ET98">
        <f ca="1">'JACOBIAN - SWAP USD3ML'!R107</f>
        <v>8.1572444364519402E-7</v>
      </c>
      <c r="EU98">
        <f ca="1">'JACOBIAN - SWAP USD3ML'!S107</f>
        <v>-4.24955680209879E-6</v>
      </c>
      <c r="EV98">
        <f ca="1">'JACOBIAN - SWAP USD3ML'!T107</f>
        <v>1.8483100841154599E-5</v>
      </c>
      <c r="EW98">
        <f ca="1">'JACOBIAN - SWAP USD3ML'!U107</f>
        <v>-4.1227719977943201E-5</v>
      </c>
      <c r="EX98">
        <f ca="1">'JACOBIAN - SWAP USD3ML'!V107</f>
        <v>9.12977408100146E-5</v>
      </c>
      <c r="EY98">
        <f ca="1">'JACOBIAN - SWAP USD3ML'!W107</f>
        <v>-2.19079592339529E-4</v>
      </c>
      <c r="EZ98">
        <f ca="1">'JACOBIAN - SWAP USD3ML'!X107</f>
        <v>-2.3811311443013399E-4</v>
      </c>
      <c r="FA98">
        <f ca="1">'JACOBIAN - SWAP USD3ML'!Y107</f>
        <v>6.0846401892185298E-4</v>
      </c>
      <c r="FB98">
        <f ca="1">'JACOBIAN - SWAP USD3ML'!Z107</f>
        <v>-1.18017025168102E-4</v>
      </c>
    </row>
    <row r="99" spans="24:158" x14ac:dyDescent="0.25">
      <c r="X99" s="258">
        <f t="shared" ca="1" si="76"/>
        <v>51396</v>
      </c>
      <c r="Y99" s="261">
        <v>0</v>
      </c>
      <c r="AA99" s="257">
        <f t="shared" ca="1" si="110"/>
        <v>51396</v>
      </c>
      <c r="AB99" s="266">
        <f t="shared" ca="1" si="77"/>
        <v>-1.4712962104408388E-3</v>
      </c>
      <c r="AC99" s="266"/>
      <c r="AD99" s="290">
        <f ca="1"/>
        <v>51396</v>
      </c>
      <c r="AE99" s="291">
        <f ca="1"/>
        <v>-1.4712962104408422E-3</v>
      </c>
      <c r="AF99" s="291" t="b">
        <f t="shared" ca="1" si="111"/>
        <v>1</v>
      </c>
      <c r="AH99" s="257">
        <f t="shared" ca="1" si="78"/>
        <v>51396</v>
      </c>
      <c r="AI99" s="260">
        <v>0</v>
      </c>
      <c r="AK99" s="290">
        <f ca="1"/>
        <v>51396</v>
      </c>
      <c r="AL99" s="291">
        <f ca="1"/>
        <v>9.8309582906890708E-5</v>
      </c>
      <c r="AM99" s="291" t="b">
        <f t="shared" ca="1" si="79"/>
        <v>1</v>
      </c>
      <c r="AO99" s="257">
        <f t="shared" ca="1" si="80"/>
        <v>51396</v>
      </c>
      <c r="AP99" s="266">
        <f t="shared" ca="1" si="112"/>
        <v>9.8309582906891277E-5</v>
      </c>
      <c r="AR99" s="248">
        <f ca="1">'JACOBIAN - OIS USDOIS'!B108</f>
        <v>51396</v>
      </c>
      <c r="AS99">
        <f ca="1">'JACOBIAN - OIS USDOIS'!C108</f>
        <v>-7.8451863849693403E-7</v>
      </c>
      <c r="AT99">
        <f ca="1">'JACOBIAN - OIS USDOIS'!D108</f>
        <v>7.8696160699109896E-11</v>
      </c>
      <c r="AU99">
        <f ca="1">'JACOBIAN - OIS USDOIS'!E108</f>
        <v>-3.15082404611644E-10</v>
      </c>
      <c r="AV99">
        <f ca="1">'JACOBIAN - OIS USDOIS'!F108</f>
        <v>8.2947382296083602E-10</v>
      </c>
      <c r="AW99">
        <f ca="1">'JACOBIAN - OIS USDOIS'!G108</f>
        <v>-1.0671024064379301E-9</v>
      </c>
      <c r="AX99">
        <f ca="1">'JACOBIAN - OIS USDOIS'!H108</f>
        <v>2.4144026777861398E-9</v>
      </c>
      <c r="AY99">
        <f ca="1">'JACOBIAN - OIS USDOIS'!I108</f>
        <v>-1.80757642187501E-8</v>
      </c>
      <c r="AZ99">
        <f ca="1">'JACOBIAN - OIS USDOIS'!J108</f>
        <v>2.9507421062113799E-8</v>
      </c>
      <c r="BA99">
        <f ca="1">'JACOBIAN - OIS USDOIS'!K108</f>
        <v>-1.13605434948205E-7</v>
      </c>
      <c r="BB99">
        <f ca="1">'JACOBIAN - OIS USDOIS'!L108</f>
        <v>4.9871851237615104E-7</v>
      </c>
      <c r="BC99">
        <f ca="1">'JACOBIAN - OIS USDOIS'!M108</f>
        <v>-3.91207835348517E-7</v>
      </c>
      <c r="BD99">
        <f ca="1">'JACOBIAN - OIS USDOIS'!N108</f>
        <v>2.0006218903745301E-13</v>
      </c>
      <c r="BE99">
        <f ca="1">'JACOBIAN - OIS USDOIS'!O108</f>
        <v>2.0006218903745301E-13</v>
      </c>
      <c r="BF99">
        <f ca="1">'JACOBIAN - OIS USDOIS'!P108</f>
        <v>2.0006218903745301E-13</v>
      </c>
      <c r="BG99">
        <f ca="1">'JACOBIAN - OIS USDOIS'!Q108</f>
        <v>2.0006218903745301E-13</v>
      </c>
      <c r="BH99">
        <f ca="1">'JACOBIAN - OIS USDOIS'!R108</f>
        <v>2.0006218903745301E-13</v>
      </c>
      <c r="BI99" s="161">
        <f ca="1">'JACOBIAN - OIS USDOIS'!S108</f>
        <v>-1.2308647523440201E-6</v>
      </c>
      <c r="BJ99" s="161">
        <f ca="1">'JACOBIAN - OIS USDOIS'!T108</f>
        <v>-2.8099576944162801E-6</v>
      </c>
      <c r="BK99" s="161">
        <f ca="1">'JACOBIAN - OIS USDOIS'!U108</f>
        <v>-3.6292022318473701E-6</v>
      </c>
      <c r="BL99" s="161">
        <f ca="1">'JACOBIAN - OIS USDOIS'!V108</f>
        <v>-3.0742948901041298E-6</v>
      </c>
      <c r="BM99" s="161">
        <f ca="1">'JACOBIAN - OIS USDOIS'!W108</f>
        <v>-1.1711824616123E-5</v>
      </c>
      <c r="BN99" s="161">
        <f ca="1">'JACOBIAN - OIS USDOIS'!X108</f>
        <v>-1.8555570940992401E-5</v>
      </c>
      <c r="BO99" s="161">
        <f ca="1">'JACOBIAN - OIS USDOIS'!Y108</f>
        <v>-7.2051887133106604E-5</v>
      </c>
      <c r="BP99" s="161">
        <f ca="1">'JACOBIAN - OIS USDOIS'!Z108</f>
        <v>7.9687544802475903E-5</v>
      </c>
      <c r="BQ99" s="161">
        <f ca="1">'JACOBIAN - OIS USDOIS'!AA108</f>
        <v>-3.0849395983156797E-4</v>
      </c>
      <c r="BR99" s="161">
        <f ca="1">'JACOBIAN - OIS USDOIS'!AB108</f>
        <v>1.6257941225502599E-3</v>
      </c>
      <c r="BS99" s="161">
        <f ca="1">'JACOBIAN - OIS USDOIS'!AC108</f>
        <v>2.5397971849749901E-4</v>
      </c>
      <c r="BT99" s="161">
        <f ca="1">'JACOBIAN - OIS USDOIS'!AD108</f>
        <v>-4.2145669468918199E-5</v>
      </c>
      <c r="BU99">
        <f ca="1">'JACOBIAN - OIS USDOIS'!AE108</f>
        <v>1.2082897172804901E-6</v>
      </c>
      <c r="BV99">
        <f ca="1">'JACOBIAN - OIS USDOIS'!AF108</f>
        <v>2.76282631361813E-6</v>
      </c>
      <c r="BW99">
        <f ca="1">'JACOBIAN - OIS USDOIS'!AG108</f>
        <v>3.5705173573319401E-6</v>
      </c>
      <c r="BX99">
        <f ca="1">'JACOBIAN - OIS USDOIS'!AH108</f>
        <v>3.0236734408495302E-6</v>
      </c>
      <c r="BY99">
        <f ca="1">'JACOBIAN - OIS USDOIS'!AI108</f>
        <v>1.15162122045209E-5</v>
      </c>
      <c r="BZ99">
        <f ca="1">'JACOBIAN - OIS USDOIS'!AJ108</f>
        <v>1.8247702200380199E-5</v>
      </c>
      <c r="CA99">
        <f ca="1">'JACOBIAN - OIS USDOIS'!AK108</f>
        <v>7.0898052811907406E-5</v>
      </c>
      <c r="CB99">
        <f ca="1">'JACOBIAN - OIS USDOIS'!AL108</f>
        <v>-7.85323523641024E-5</v>
      </c>
      <c r="CC99">
        <f ca="1">'JACOBIAN - OIS USDOIS'!AM108</f>
        <v>3.0381269169643698E-4</v>
      </c>
      <c r="CD99">
        <f ca="1">'JACOBIAN - OIS USDOIS'!AN108</f>
        <v>-1.5983002576303001E-3</v>
      </c>
      <c r="CE99">
        <f ca="1">'JACOBIAN - OIS USDOIS'!AO108</f>
        <v>-2.50319377782748E-4</v>
      </c>
      <c r="CF99">
        <f ca="1">'JACOBIAN - OIS USDOIS'!AP108</f>
        <v>4.1593051945398903E-5</v>
      </c>
      <c r="CK99" s="248">
        <f t="shared" ca="1" si="81"/>
        <v>51396</v>
      </c>
      <c r="CL99">
        <f t="shared" ca="1" si="82"/>
        <v>-7.8451863849693403E-7</v>
      </c>
      <c r="CM99">
        <f t="shared" ca="1" si="83"/>
        <v>7.8696160699109896E-11</v>
      </c>
      <c r="CN99">
        <f t="shared" ca="1" si="84"/>
        <v>-3.15082404611644E-10</v>
      </c>
      <c r="CO99">
        <f t="shared" ca="1" si="85"/>
        <v>8.2947382296083602E-10</v>
      </c>
      <c r="CP99">
        <f t="shared" ca="1" si="86"/>
        <v>-1.0671024064379301E-9</v>
      </c>
      <c r="CQ99">
        <f t="shared" ca="1" si="87"/>
        <v>2.4144026777861398E-9</v>
      </c>
      <c r="CR99">
        <f t="shared" ca="1" si="88"/>
        <v>-1.80757642187501E-8</v>
      </c>
      <c r="CS99">
        <f t="shared" ca="1" si="89"/>
        <v>2.9507421062113799E-8</v>
      </c>
      <c r="CT99">
        <f t="shared" ca="1" si="90"/>
        <v>-1.13605434948205E-7</v>
      </c>
      <c r="CU99">
        <f t="shared" ca="1" si="91"/>
        <v>4.9871851237615104E-7</v>
      </c>
      <c r="CV99">
        <f t="shared" ca="1" si="92"/>
        <v>-3.91207835348517E-7</v>
      </c>
      <c r="CW99">
        <f t="shared" ca="1" si="93"/>
        <v>2.0006218903745301E-13</v>
      </c>
      <c r="CX99">
        <f t="shared" ca="1" si="94"/>
        <v>2.0006218903745301E-13</v>
      </c>
      <c r="CY99">
        <f t="shared" ca="1" si="95"/>
        <v>2.0006218903745301E-13</v>
      </c>
      <c r="CZ99">
        <f t="shared" ca="1" si="96"/>
        <v>2.0006218903745301E-13</v>
      </c>
      <c r="DA99">
        <f t="shared" ca="1" si="97"/>
        <v>2.0006218903745301E-13</v>
      </c>
      <c r="DB99" s="146">
        <v>0</v>
      </c>
      <c r="DC99" s="146">
        <v>0</v>
      </c>
      <c r="DD99" s="146">
        <v>0</v>
      </c>
      <c r="DE99" s="146">
        <v>0</v>
      </c>
      <c r="DF99" s="146">
        <v>0</v>
      </c>
      <c r="DG99" s="146">
        <v>0</v>
      </c>
      <c r="DH99" s="146">
        <v>0</v>
      </c>
      <c r="DI99" s="146">
        <v>0</v>
      </c>
      <c r="DJ99" s="146">
        <v>0</v>
      </c>
      <c r="DK99" s="146">
        <v>0</v>
      </c>
      <c r="DL99" s="146">
        <v>0</v>
      </c>
      <c r="DM99" s="146">
        <v>0</v>
      </c>
      <c r="DN99">
        <f t="shared" ca="1" si="98"/>
        <v>1.2082897172804901E-6</v>
      </c>
      <c r="DO99">
        <f t="shared" ca="1" si="99"/>
        <v>2.76282631361813E-6</v>
      </c>
      <c r="DP99">
        <f t="shared" ca="1" si="100"/>
        <v>3.5705173573319401E-6</v>
      </c>
      <c r="DQ99">
        <f t="shared" ca="1" si="101"/>
        <v>3.0236734408495302E-6</v>
      </c>
      <c r="DR99">
        <f t="shared" ca="1" si="102"/>
        <v>1.15162122045209E-5</v>
      </c>
      <c r="DS99">
        <f t="shared" ca="1" si="103"/>
        <v>1.8247702200380199E-5</v>
      </c>
      <c r="DT99">
        <f t="shared" ca="1" si="104"/>
        <v>7.0898052811907406E-5</v>
      </c>
      <c r="DU99">
        <f t="shared" ca="1" si="105"/>
        <v>-7.85323523641024E-5</v>
      </c>
      <c r="DV99">
        <f t="shared" ca="1" si="106"/>
        <v>3.0381269169643698E-4</v>
      </c>
      <c r="DW99">
        <f t="shared" ca="1" si="107"/>
        <v>-1.5983002576303001E-3</v>
      </c>
      <c r="DX99">
        <f t="shared" ca="1" si="108"/>
        <v>-2.50319377782748E-4</v>
      </c>
      <c r="DY99">
        <f t="shared" ca="1" si="109"/>
        <v>4.1593051945398903E-5</v>
      </c>
      <c r="ED99" s="248">
        <f ca="1">'JACOBIAN - SWAP USD3ML'!B108</f>
        <v>51396</v>
      </c>
      <c r="EE99">
        <f ca="1">'JACOBIAN - SWAP USD3ML'!C108</f>
        <v>2.8285013220497E-13</v>
      </c>
      <c r="EF99">
        <f ca="1">'JACOBIAN - SWAP USD3ML'!D108</f>
        <v>1.1233563732004901E-10</v>
      </c>
      <c r="EG99">
        <f ca="1">'JACOBIAN - SWAP USD3ML'!E108</f>
        <v>3.21237481060166E-12</v>
      </c>
      <c r="EH99">
        <f ca="1">'JACOBIAN - SWAP USD3ML'!F108</f>
        <v>2.8197236212612598E-13</v>
      </c>
      <c r="EI99">
        <f ca="1">'JACOBIAN - SWAP USD3ML'!G108</f>
        <v>1.5117594676095101E-12</v>
      </c>
      <c r="EJ99">
        <f ca="1">'JACOBIAN - SWAP USD3ML'!H108</f>
        <v>1.12301376531398E-10</v>
      </c>
      <c r="EK99">
        <f ca="1">'JACOBIAN - SWAP USD3ML'!I108</f>
        <v>1.14760947272918E-10</v>
      </c>
      <c r="EL99">
        <f ca="1">'JACOBIAN - SWAP USD3ML'!J108</f>
        <v>1.14351604574292E-10</v>
      </c>
      <c r="EM99">
        <f ca="1">'JACOBIAN - SWAP USD3ML'!K108</f>
        <v>1.13964223474872E-10</v>
      </c>
      <c r="EN99">
        <f ca="1">'JACOBIAN - SWAP USD3ML'!L108</f>
        <v>1.1361900309481101E-10</v>
      </c>
      <c r="EO99">
        <f ca="1">'JACOBIAN - SWAP USD3ML'!M108</f>
        <v>1.12561390763766E-10</v>
      </c>
      <c r="EP99">
        <f ca="1">'JACOBIAN - SWAP USD3ML'!N108</f>
        <v>2.4304250972884098E-10</v>
      </c>
      <c r="EQ99">
        <f ca="1">'JACOBIAN - SWAP USD3ML'!O108</f>
        <v>-5.8857086218666596E-9</v>
      </c>
      <c r="ER99">
        <f ca="1">'JACOBIAN - SWAP USD3ML'!P108</f>
        <v>2.8483855274430399E-8</v>
      </c>
      <c r="ES99">
        <f ca="1">'JACOBIAN - SWAP USD3ML'!Q108</f>
        <v>-7.0960954036414199E-8</v>
      </c>
      <c r="ET99">
        <f ca="1">'JACOBIAN - SWAP USD3ML'!R108</f>
        <v>6.2610168829677103E-7</v>
      </c>
      <c r="EU99">
        <f ca="1">'JACOBIAN - SWAP USD3ML'!S108</f>
        <v>-3.2617066761768398E-6</v>
      </c>
      <c r="EV99">
        <f ca="1">'JACOBIAN - SWAP USD3ML'!T108</f>
        <v>1.4186518425930001E-5</v>
      </c>
      <c r="EW99">
        <f ca="1">'JACOBIAN - SWAP USD3ML'!U108</f>
        <v>-3.1644019289733802E-5</v>
      </c>
      <c r="EX99">
        <f ca="1">'JACOBIAN - SWAP USD3ML'!V108</f>
        <v>7.0074400589842405E-5</v>
      </c>
      <c r="EY99">
        <f ca="1">'JACOBIAN - SWAP USD3ML'!W108</f>
        <v>-1.6815438753689499E-4</v>
      </c>
      <c r="EZ99">
        <f ca="1">'JACOBIAN - SWAP USD3ML'!X108</f>
        <v>-3.1876871613795502E-4</v>
      </c>
      <c r="FA99">
        <f ca="1">'JACOBIAN - SWAP USD3ML'!Y108</f>
        <v>6.5790287392898303E-4</v>
      </c>
      <c r="FB99">
        <f ca="1">'JACOBIAN - SWAP USD3ML'!Z108</f>
        <v>-1.22604161503666E-4</v>
      </c>
    </row>
    <row r="100" spans="24:158" x14ac:dyDescent="0.25">
      <c r="X100" s="258">
        <f t="shared" ca="1" si="76"/>
        <v>51487</v>
      </c>
      <c r="Y100" s="261">
        <v>0</v>
      </c>
      <c r="AA100" s="257">
        <f t="shared" ca="1" si="110"/>
        <v>51487</v>
      </c>
      <c r="AB100" s="266">
        <f t="shared" ca="1" si="77"/>
        <v>-1.4823973490727402E-3</v>
      </c>
      <c r="AC100" s="266"/>
      <c r="AD100" s="290">
        <f ca="1"/>
        <v>51487</v>
      </c>
      <c r="AE100" s="291">
        <f ca="1"/>
        <v>-1.4823973490727393E-3</v>
      </c>
      <c r="AF100" s="291" t="b">
        <f t="shared" ca="1" si="111"/>
        <v>1</v>
      </c>
      <c r="AH100" s="257">
        <f t="shared" ca="1" si="78"/>
        <v>51487</v>
      </c>
      <c r="AI100" s="260">
        <v>0</v>
      </c>
      <c r="AK100" s="290">
        <f ca="1"/>
        <v>51487</v>
      </c>
      <c r="AL100" s="291">
        <f ca="1"/>
        <v>9.8314543071874316E-5</v>
      </c>
      <c r="AM100" s="291" t="b">
        <f t="shared" ca="1" si="79"/>
        <v>1</v>
      </c>
      <c r="AO100" s="257">
        <f t="shared" ca="1" si="80"/>
        <v>51487</v>
      </c>
      <c r="AP100" s="266">
        <f t="shared" ca="1" si="112"/>
        <v>9.8314543071874127E-5</v>
      </c>
      <c r="AR100" s="248">
        <f ca="1">'JACOBIAN - OIS USDOIS'!B109</f>
        <v>51487</v>
      </c>
      <c r="AS100">
        <f ca="1">'JACOBIAN - OIS USDOIS'!C109</f>
        <v>-7.8099941946963003E-7</v>
      </c>
      <c r="AT100">
        <f ca="1">'JACOBIAN - OIS USDOIS'!D109</f>
        <v>8.1508133575880505E-11</v>
      </c>
      <c r="AU100">
        <f ca="1">'JACOBIAN - OIS USDOIS'!E109</f>
        <v>-3.2639257963040801E-10</v>
      </c>
      <c r="AV100">
        <f ca="1">'JACOBIAN - OIS USDOIS'!F109</f>
        <v>8.5922757797618498E-10</v>
      </c>
      <c r="AW100">
        <f ca="1">'JACOBIAN - OIS USDOIS'!G109</f>
        <v>-1.10542008879833E-9</v>
      </c>
      <c r="AX100">
        <f ca="1">'JACOBIAN - OIS USDOIS'!H109</f>
        <v>2.50106146904017E-9</v>
      </c>
      <c r="AY100">
        <f ca="1">'JACOBIAN - OIS USDOIS'!I109</f>
        <v>-1.83226558370109E-8</v>
      </c>
      <c r="AZ100">
        <f ca="1">'JACOBIAN - OIS USDOIS'!J109</f>
        <v>3.05667503530671E-8</v>
      </c>
      <c r="BA100">
        <f ca="1">'JACOBIAN - OIS USDOIS'!K109</f>
        <v>-1.17683666145396E-7</v>
      </c>
      <c r="BB100">
        <f ca="1">'JACOBIAN - OIS USDOIS'!L109</f>
        <v>5.0379837179814799E-7</v>
      </c>
      <c r="BC100">
        <f ca="1">'JACOBIAN - OIS USDOIS'!M109</f>
        <v>-4.0403981271808199E-7</v>
      </c>
      <c r="BD100">
        <f ca="1">'JACOBIAN - OIS USDOIS'!N109</f>
        <v>1.8185453143360099E-13</v>
      </c>
      <c r="BE100">
        <f ca="1">'JACOBIAN - OIS USDOIS'!O109</f>
        <v>1.8185453143360099E-13</v>
      </c>
      <c r="BF100">
        <f ca="1">'JACOBIAN - OIS USDOIS'!P109</f>
        <v>1.8185453143360099E-13</v>
      </c>
      <c r="BG100">
        <f ca="1">'JACOBIAN - OIS USDOIS'!Q109</f>
        <v>1.8185453143360099E-13</v>
      </c>
      <c r="BH100">
        <f ca="1">'JACOBIAN - OIS USDOIS'!R109</f>
        <v>1.8185453143360099E-13</v>
      </c>
      <c r="BI100" s="161">
        <f ca="1">'JACOBIAN - OIS USDOIS'!S109</f>
        <v>-1.2452433091336701E-6</v>
      </c>
      <c r="BJ100" s="161">
        <f ca="1">'JACOBIAN - OIS USDOIS'!T109</f>
        <v>-2.7693569146780599E-6</v>
      </c>
      <c r="BK100" s="161">
        <f ca="1">'JACOBIAN - OIS USDOIS'!U109</f>
        <v>-3.7304513316183102E-6</v>
      </c>
      <c r="BL100" s="161">
        <f ca="1">'JACOBIAN - OIS USDOIS'!V109</f>
        <v>-2.6429462876009801E-6</v>
      </c>
      <c r="BM100" s="161">
        <f ca="1">'JACOBIAN - OIS USDOIS'!W109</f>
        <v>-1.25152371253101E-5</v>
      </c>
      <c r="BN100" s="161">
        <f ca="1">'JACOBIAN - OIS USDOIS'!X109</f>
        <v>-1.69423912413924E-5</v>
      </c>
      <c r="BO100" s="161">
        <f ca="1">'JACOBIAN - OIS USDOIS'!Y109</f>
        <v>-7.9506922720073994E-5</v>
      </c>
      <c r="BP100" s="161">
        <f ca="1">'JACOBIAN - OIS USDOIS'!Z109</f>
        <v>1.01470144356242E-4</v>
      </c>
      <c r="BQ100" s="161">
        <f ca="1">'JACOBIAN - OIS USDOIS'!AA109</f>
        <v>-3.5168844426714001E-4</v>
      </c>
      <c r="BR100" s="161">
        <f ca="1">'JACOBIAN - OIS USDOIS'!AB109</f>
        <v>1.5793034695296101E-3</v>
      </c>
      <c r="BS100" s="161">
        <f ca="1">'JACOBIAN - OIS USDOIS'!AC109</f>
        <v>3.55055315186648E-4</v>
      </c>
      <c r="BT100" s="161">
        <f ca="1">'JACOBIAN - OIS USDOIS'!AD109</f>
        <v>-5.7891723691305699E-5</v>
      </c>
      <c r="BU100">
        <f ca="1">'JACOBIAN - OIS USDOIS'!AE109</f>
        <v>1.2224088206114201E-6</v>
      </c>
      <c r="BV100">
        <f ca="1">'JACOBIAN - OIS USDOIS'!AF109</f>
        <v>2.7229017502960999E-6</v>
      </c>
      <c r="BW100">
        <f ca="1">'JACOBIAN - OIS USDOIS'!AG109</f>
        <v>3.6701432419850001E-6</v>
      </c>
      <c r="BX100">
        <f ca="1">'JACOBIAN - OIS USDOIS'!AH109</f>
        <v>2.5991224662513801E-6</v>
      </c>
      <c r="BY100">
        <f ca="1">'JACOBIAN - OIS USDOIS'!AI109</f>
        <v>1.2306771029591001E-5</v>
      </c>
      <c r="BZ100">
        <f ca="1">'JACOBIAN - OIS USDOIS'!AJ109</f>
        <v>1.6659850479716601E-5</v>
      </c>
      <c r="CA100">
        <f ca="1">'JACOBIAN - OIS USDOIS'!AK109</f>
        <v>7.8237900248079306E-5</v>
      </c>
      <c r="CB100">
        <f ca="1">'JACOBIAN - OIS USDOIS'!AL109</f>
        <v>-9.9978225731156597E-5</v>
      </c>
      <c r="CC100">
        <f ca="1">'JACOBIAN - OIS USDOIS'!AM109</f>
        <v>3.4639432002425702E-4</v>
      </c>
      <c r="CD100">
        <f ca="1">'JACOBIAN - OIS USDOIS'!AN109</f>
        <v>-1.5526946265863599E-3</v>
      </c>
      <c r="CE100">
        <f ca="1">'JACOBIAN - OIS USDOIS'!AO109</f>
        <v>-3.4988719187789601E-4</v>
      </c>
      <c r="CF100">
        <f ca="1">'JACOBIAN - OIS USDOIS'!AP109</f>
        <v>5.7133946600118599E-5</v>
      </c>
      <c r="CK100" s="248">
        <f t="shared" ca="1" si="81"/>
        <v>51487</v>
      </c>
      <c r="CL100">
        <f t="shared" ca="1" si="82"/>
        <v>-7.8099941946963003E-7</v>
      </c>
      <c r="CM100">
        <f t="shared" ca="1" si="83"/>
        <v>8.1508133575880505E-11</v>
      </c>
      <c r="CN100">
        <f t="shared" ca="1" si="84"/>
        <v>-3.2639257963040801E-10</v>
      </c>
      <c r="CO100">
        <f t="shared" ca="1" si="85"/>
        <v>8.5922757797618498E-10</v>
      </c>
      <c r="CP100">
        <f t="shared" ca="1" si="86"/>
        <v>-1.10542008879833E-9</v>
      </c>
      <c r="CQ100">
        <f t="shared" ca="1" si="87"/>
        <v>2.50106146904017E-9</v>
      </c>
      <c r="CR100">
        <f t="shared" ca="1" si="88"/>
        <v>-1.83226558370109E-8</v>
      </c>
      <c r="CS100">
        <f t="shared" ca="1" si="89"/>
        <v>3.05667503530671E-8</v>
      </c>
      <c r="CT100">
        <f t="shared" ca="1" si="90"/>
        <v>-1.17683666145396E-7</v>
      </c>
      <c r="CU100">
        <f t="shared" ca="1" si="91"/>
        <v>5.0379837179814799E-7</v>
      </c>
      <c r="CV100">
        <f t="shared" ca="1" si="92"/>
        <v>-4.0403981271808199E-7</v>
      </c>
      <c r="CW100">
        <f t="shared" ca="1" si="93"/>
        <v>1.8185453143360099E-13</v>
      </c>
      <c r="CX100">
        <f t="shared" ca="1" si="94"/>
        <v>1.8185453143360099E-13</v>
      </c>
      <c r="CY100">
        <f t="shared" ca="1" si="95"/>
        <v>1.8185453143360099E-13</v>
      </c>
      <c r="CZ100">
        <f t="shared" ca="1" si="96"/>
        <v>1.8185453143360099E-13</v>
      </c>
      <c r="DA100">
        <f t="shared" ca="1" si="97"/>
        <v>1.8185453143360099E-13</v>
      </c>
      <c r="DB100" s="146">
        <v>0</v>
      </c>
      <c r="DC100" s="146">
        <v>0</v>
      </c>
      <c r="DD100" s="146">
        <v>0</v>
      </c>
      <c r="DE100" s="146">
        <v>0</v>
      </c>
      <c r="DF100" s="146">
        <v>0</v>
      </c>
      <c r="DG100" s="146">
        <v>0</v>
      </c>
      <c r="DH100" s="146">
        <v>0</v>
      </c>
      <c r="DI100" s="146">
        <v>0</v>
      </c>
      <c r="DJ100" s="146">
        <v>0</v>
      </c>
      <c r="DK100" s="146">
        <v>0</v>
      </c>
      <c r="DL100" s="146">
        <v>0</v>
      </c>
      <c r="DM100" s="146">
        <v>0</v>
      </c>
      <c r="DN100">
        <f t="shared" ca="1" si="98"/>
        <v>1.2224088206114201E-6</v>
      </c>
      <c r="DO100">
        <f t="shared" ca="1" si="99"/>
        <v>2.7229017502960999E-6</v>
      </c>
      <c r="DP100">
        <f t="shared" ca="1" si="100"/>
        <v>3.6701432419850001E-6</v>
      </c>
      <c r="DQ100">
        <f t="shared" ca="1" si="101"/>
        <v>2.5991224662513801E-6</v>
      </c>
      <c r="DR100">
        <f t="shared" ca="1" si="102"/>
        <v>1.2306771029591001E-5</v>
      </c>
      <c r="DS100">
        <f t="shared" ca="1" si="103"/>
        <v>1.6659850479716601E-5</v>
      </c>
      <c r="DT100">
        <f t="shared" ca="1" si="104"/>
        <v>7.8237900248079306E-5</v>
      </c>
      <c r="DU100">
        <f t="shared" ca="1" si="105"/>
        <v>-9.9978225731156597E-5</v>
      </c>
      <c r="DV100">
        <f t="shared" ca="1" si="106"/>
        <v>3.4639432002425702E-4</v>
      </c>
      <c r="DW100">
        <f t="shared" ca="1" si="107"/>
        <v>-1.5526946265863599E-3</v>
      </c>
      <c r="DX100">
        <f t="shared" ca="1" si="108"/>
        <v>-3.4988719187789601E-4</v>
      </c>
      <c r="DY100">
        <f t="shared" ca="1" si="109"/>
        <v>5.7133946600118599E-5</v>
      </c>
      <c r="ED100" s="248">
        <f ca="1">'JACOBIAN - SWAP USD3ML'!B109</f>
        <v>51487</v>
      </c>
      <c r="EE100">
        <f ca="1">'JACOBIAN - SWAP USD3ML'!C109</f>
        <v>1.9852175459078601E-13</v>
      </c>
      <c r="EF100">
        <f ca="1">'JACOBIAN - SWAP USD3ML'!D109</f>
        <v>8.1410041902207895E-11</v>
      </c>
      <c r="EG100">
        <f ca="1">'JACOBIAN - SWAP USD3ML'!E109</f>
        <v>1.6523032941862001E-12</v>
      </c>
      <c r="EH100">
        <f ca="1">'JACOBIAN - SWAP USD3ML'!F109</f>
        <v>1.9764398451194199E-13</v>
      </c>
      <c r="EI100">
        <f ca="1">'JACOBIAN - SWAP USD3ML'!G109</f>
        <v>1.08835856993394E-12</v>
      </c>
      <c r="EJ100">
        <f ca="1">'JACOBIAN - SWAP USD3ML'!H109</f>
        <v>8.1297604065388995E-11</v>
      </c>
      <c r="EK100">
        <f ca="1">'JACOBIAN - SWAP USD3ML'!I109</f>
        <v>8.2426371283972305E-11</v>
      </c>
      <c r="EL100">
        <f ca="1">'JACOBIAN - SWAP USD3ML'!J109</f>
        <v>8.21391288319262E-11</v>
      </c>
      <c r="EM100">
        <f ca="1">'JACOBIAN - SWAP USD3ML'!K109</f>
        <v>8.1866818879561304E-11</v>
      </c>
      <c r="EN100">
        <f ca="1">'JACOBIAN - SWAP USD3ML'!L109</f>
        <v>8.1615592756323404E-11</v>
      </c>
      <c r="EO100">
        <f ca="1">'JACOBIAN - SWAP USD3ML'!M109</f>
        <v>8.0858396367400306E-11</v>
      </c>
      <c r="EP100">
        <f ca="1">'JACOBIAN - SWAP USD3ML'!N109</f>
        <v>1.74755154791484E-10</v>
      </c>
      <c r="EQ100">
        <f ca="1">'JACOBIAN - SWAP USD3ML'!O109</f>
        <v>-4.2316541486175902E-9</v>
      </c>
      <c r="ER100">
        <f ca="1">'JACOBIAN - SWAP USD3ML'!P109</f>
        <v>2.04784128092494E-8</v>
      </c>
      <c r="ES100">
        <f ca="1">'JACOBIAN - SWAP USD3ML'!Q109</f>
        <v>-5.1017090333532698E-8</v>
      </c>
      <c r="ET100">
        <f ca="1">'JACOBIAN - SWAP USD3ML'!R109</f>
        <v>4.5013194050966302E-7</v>
      </c>
      <c r="EU100">
        <f ca="1">'JACOBIAN - SWAP USD3ML'!S109</f>
        <v>-2.3449824060571598E-6</v>
      </c>
      <c r="EV100">
        <f ca="1">'JACOBIAN - SWAP USD3ML'!T109</f>
        <v>1.0199298428242901E-5</v>
      </c>
      <c r="EW100">
        <f ca="1">'JACOBIAN - SWAP USD3ML'!U109</f>
        <v>-2.27503303352125E-5</v>
      </c>
      <c r="EX100">
        <f ca="1">'JACOBIAN - SWAP USD3ML'!V109</f>
        <v>5.0379273674988602E-5</v>
      </c>
      <c r="EY100">
        <f ca="1">'JACOBIAN - SWAP USD3ML'!W109</f>
        <v>-1.20895186904908E-4</v>
      </c>
      <c r="EZ100">
        <f ca="1">'JACOBIAN - SWAP USD3ML'!X109</f>
        <v>-3.9138576225488498E-4</v>
      </c>
      <c r="FA100">
        <f ca="1">'JACOBIAN - SWAP USD3ML'!Y109</f>
        <v>6.9815654907201498E-4</v>
      </c>
      <c r="FB100">
        <f ca="1">'JACOBIAN - SWAP USD3ML'!Z109</f>
        <v>-1.2346042731708299E-4</v>
      </c>
    </row>
    <row r="101" spans="24:158" x14ac:dyDescent="0.25">
      <c r="X101" s="258">
        <f t="shared" ca="1" si="76"/>
        <v>51578</v>
      </c>
      <c r="Y101" s="261">
        <v>0</v>
      </c>
      <c r="AA101" s="257">
        <f t="shared" ca="1" si="110"/>
        <v>51578</v>
      </c>
      <c r="AB101" s="266">
        <f t="shared" ca="1" si="77"/>
        <v>-1.4933979801146128E-3</v>
      </c>
      <c r="AC101" s="266"/>
      <c r="AD101" s="290">
        <f ca="1"/>
        <v>51578</v>
      </c>
      <c r="AE101" s="291">
        <f ca="1"/>
        <v>-1.493397980114608E-3</v>
      </c>
      <c r="AF101" s="291" t="b">
        <f t="shared" ca="1" si="111"/>
        <v>1</v>
      </c>
      <c r="AH101" s="257">
        <f t="shared" ca="1" si="78"/>
        <v>51578</v>
      </c>
      <c r="AI101" s="260">
        <v>0</v>
      </c>
      <c r="AK101" s="290">
        <f ca="1"/>
        <v>51578</v>
      </c>
      <c r="AL101" s="291">
        <f ca="1"/>
        <v>9.8326201443531283E-5</v>
      </c>
      <c r="AM101" s="291" t="b">
        <f t="shared" ca="1" si="79"/>
        <v>1</v>
      </c>
      <c r="AO101" s="257">
        <f t="shared" ca="1" si="80"/>
        <v>51578</v>
      </c>
      <c r="AP101" s="266">
        <f t="shared" ca="1" si="112"/>
        <v>9.8326201443531689E-5</v>
      </c>
      <c r="AR101" s="248">
        <f ca="1">'JACOBIAN - OIS USDOIS'!B110</f>
        <v>51578</v>
      </c>
      <c r="AS101">
        <f ca="1">'JACOBIAN - OIS USDOIS'!C110</f>
        <v>-7.7751036398065999E-7</v>
      </c>
      <c r="AT101">
        <f ca="1">'JACOBIAN - OIS USDOIS'!D110</f>
        <v>8.3540285800154405E-11</v>
      </c>
      <c r="AU101">
        <f ca="1">'JACOBIAN - OIS USDOIS'!E110</f>
        <v>-3.3459091053345002E-10</v>
      </c>
      <c r="AV101">
        <f ca="1">'JACOBIAN - OIS USDOIS'!F110</f>
        <v>8.8077978244172104E-10</v>
      </c>
      <c r="AW101">
        <f ca="1">'JACOBIAN - OIS USDOIS'!G110</f>
        <v>-1.1331841021089401E-9</v>
      </c>
      <c r="AX101">
        <f ca="1">'JACOBIAN - OIS USDOIS'!H110</f>
        <v>2.5638478007294899E-9</v>
      </c>
      <c r="AY101">
        <f ca="1">'JACOBIAN - OIS USDOIS'!I110</f>
        <v>-1.8489934139331901E-8</v>
      </c>
      <c r="AZ101">
        <f ca="1">'JACOBIAN - OIS USDOIS'!J110</f>
        <v>3.1334328243204401E-8</v>
      </c>
      <c r="BA101">
        <f ca="1">'JACOBIAN - OIS USDOIS'!K110</f>
        <v>-1.2063872512069201E-7</v>
      </c>
      <c r="BB101">
        <f ca="1">'JACOBIAN - OIS USDOIS'!L110</f>
        <v>5.0715914867716105E-7</v>
      </c>
      <c r="BC101">
        <f ca="1">'JACOBIAN - OIS USDOIS'!M110</f>
        <v>-4.1330275302176002E-7</v>
      </c>
      <c r="BD101">
        <f ca="1">'JACOBIAN - OIS USDOIS'!N110</f>
        <v>1.6409096303959801E-13</v>
      </c>
      <c r="BE101">
        <f ca="1">'JACOBIAN - OIS USDOIS'!O110</f>
        <v>1.6409096303959801E-13</v>
      </c>
      <c r="BF101">
        <f ca="1">'JACOBIAN - OIS USDOIS'!P110</f>
        <v>1.6409096303959801E-13</v>
      </c>
      <c r="BG101">
        <f ca="1">'JACOBIAN - OIS USDOIS'!Q110</f>
        <v>1.6409096303959801E-13</v>
      </c>
      <c r="BH101">
        <f ca="1">'JACOBIAN - OIS USDOIS'!R110</f>
        <v>1.6409096303959801E-13</v>
      </c>
      <c r="BI101" s="161">
        <f ca="1">'JACOBIAN - OIS USDOIS'!S110</f>
        <v>-1.2549214351009801E-6</v>
      </c>
      <c r="BJ101" s="161">
        <f ca="1">'JACOBIAN - OIS USDOIS'!T110</f>
        <v>-2.7364492073411701E-6</v>
      </c>
      <c r="BK101" s="161">
        <f ca="1">'JACOBIAN - OIS USDOIS'!U110</f>
        <v>-3.80286627088555E-6</v>
      </c>
      <c r="BL101" s="161">
        <f ca="1">'JACOBIAN - OIS USDOIS'!V110</f>
        <v>-2.3184117041719098E-6</v>
      </c>
      <c r="BM101" s="161">
        <f ca="1">'JACOBIAN - OIS USDOIS'!W110</f>
        <v>-1.31039406024991E-5</v>
      </c>
      <c r="BN101" s="161">
        <f ca="1">'JACOBIAN - OIS USDOIS'!X110</f>
        <v>-1.5722464433931501E-5</v>
      </c>
      <c r="BO101" s="161">
        <f ca="1">'JACOBIAN - OIS USDOIS'!Y110</f>
        <v>-8.5002847450277294E-5</v>
      </c>
      <c r="BP101" s="161">
        <f ca="1">'JACOBIAN - OIS USDOIS'!Z110</f>
        <v>1.17646416311845E-4</v>
      </c>
      <c r="BQ101" s="161">
        <f ca="1">'JACOBIAN - OIS USDOIS'!AA110</f>
        <v>-3.8362776586753399E-4</v>
      </c>
      <c r="BR101" s="161">
        <f ca="1">'JACOBIAN - OIS USDOIS'!AB110</f>
        <v>1.51807727845654E-3</v>
      </c>
      <c r="BS101" s="161">
        <f ca="1">'JACOBIAN - OIS USDOIS'!AC110</f>
        <v>4.6372709552167102E-4</v>
      </c>
      <c r="BT101" s="161">
        <f ca="1">'JACOBIAN - OIS USDOIS'!AD110</f>
        <v>-7.3974114009334193E-5</v>
      </c>
      <c r="BU101">
        <f ca="1">'JACOBIAN - OIS USDOIS'!AE110</f>
        <v>1.23191262513256E-6</v>
      </c>
      <c r="BV101">
        <f ca="1">'JACOBIAN - OIS USDOIS'!AF110</f>
        <v>2.6905424043155401E-6</v>
      </c>
      <c r="BW101">
        <f ca="1">'JACOBIAN - OIS USDOIS'!AG110</f>
        <v>3.7413975684241801E-6</v>
      </c>
      <c r="BX101">
        <f ca="1">'JACOBIAN - OIS USDOIS'!AH110</f>
        <v>2.2797043484068499E-6</v>
      </c>
      <c r="BY101">
        <f ca="1">'JACOBIAN - OIS USDOIS'!AI110</f>
        <v>1.28860646105844E-5</v>
      </c>
      <c r="BZ101">
        <f ca="1">'JACOBIAN - OIS USDOIS'!AJ110</f>
        <v>1.5459096139092098E-5</v>
      </c>
      <c r="CA101">
        <f ca="1">'JACOBIAN - OIS USDOIS'!AK110</f>
        <v>8.3649053053802506E-5</v>
      </c>
      <c r="CB101">
        <f ca="1">'JACOBIAN - OIS USDOIS'!AL110</f>
        <v>-1.15903489375624E-4</v>
      </c>
      <c r="CC101">
        <f ca="1">'JACOBIAN - OIS USDOIS'!AM110</f>
        <v>3.7788434489727203E-4</v>
      </c>
      <c r="CD101">
        <f ca="1">'JACOBIAN - OIS USDOIS'!AN110</f>
        <v>-1.49262931221517E-3</v>
      </c>
      <c r="CE101">
        <f ca="1">'JACOBIAN - OIS USDOIS'!AO110</f>
        <v>-4.5690543572729497E-4</v>
      </c>
      <c r="CF101">
        <f ca="1">'JACOBIAN - OIS USDOIS'!AP110</f>
        <v>7.3007528642476895E-5</v>
      </c>
      <c r="CK101" s="248">
        <f t="shared" ca="1" si="81"/>
        <v>51578</v>
      </c>
      <c r="CL101">
        <f t="shared" ca="1" si="82"/>
        <v>-7.7751036398065999E-7</v>
      </c>
      <c r="CM101">
        <f t="shared" ca="1" si="83"/>
        <v>8.3540285800154405E-11</v>
      </c>
      <c r="CN101">
        <f t="shared" ca="1" si="84"/>
        <v>-3.3459091053345002E-10</v>
      </c>
      <c r="CO101">
        <f t="shared" ca="1" si="85"/>
        <v>8.8077978244172104E-10</v>
      </c>
      <c r="CP101">
        <f t="shared" ca="1" si="86"/>
        <v>-1.1331841021089401E-9</v>
      </c>
      <c r="CQ101">
        <f t="shared" ca="1" si="87"/>
        <v>2.5638478007294899E-9</v>
      </c>
      <c r="CR101">
        <f t="shared" ca="1" si="88"/>
        <v>-1.8489934139331901E-8</v>
      </c>
      <c r="CS101">
        <f t="shared" ca="1" si="89"/>
        <v>3.1334328243204401E-8</v>
      </c>
      <c r="CT101">
        <f t="shared" ca="1" si="90"/>
        <v>-1.2063872512069201E-7</v>
      </c>
      <c r="CU101">
        <f t="shared" ca="1" si="91"/>
        <v>5.0715914867716105E-7</v>
      </c>
      <c r="CV101">
        <f t="shared" ca="1" si="92"/>
        <v>-4.1330275302176002E-7</v>
      </c>
      <c r="CW101">
        <f t="shared" ca="1" si="93"/>
        <v>1.6409096303959801E-13</v>
      </c>
      <c r="CX101">
        <f t="shared" ca="1" si="94"/>
        <v>1.6409096303959801E-13</v>
      </c>
      <c r="CY101">
        <f t="shared" ca="1" si="95"/>
        <v>1.6409096303959801E-13</v>
      </c>
      <c r="CZ101">
        <f t="shared" ca="1" si="96"/>
        <v>1.6409096303959801E-13</v>
      </c>
      <c r="DA101">
        <f t="shared" ca="1" si="97"/>
        <v>1.6409096303959801E-13</v>
      </c>
      <c r="DB101" s="146">
        <v>0</v>
      </c>
      <c r="DC101" s="146">
        <v>0</v>
      </c>
      <c r="DD101" s="146">
        <v>0</v>
      </c>
      <c r="DE101" s="146">
        <v>0</v>
      </c>
      <c r="DF101" s="146">
        <v>0</v>
      </c>
      <c r="DG101" s="146">
        <v>0</v>
      </c>
      <c r="DH101" s="146">
        <v>0</v>
      </c>
      <c r="DI101" s="146">
        <v>0</v>
      </c>
      <c r="DJ101" s="146">
        <v>0</v>
      </c>
      <c r="DK101" s="146">
        <v>0</v>
      </c>
      <c r="DL101" s="146">
        <v>0</v>
      </c>
      <c r="DM101" s="146">
        <v>0</v>
      </c>
      <c r="DN101">
        <f t="shared" ca="1" si="98"/>
        <v>1.23191262513256E-6</v>
      </c>
      <c r="DO101">
        <f t="shared" ca="1" si="99"/>
        <v>2.6905424043155401E-6</v>
      </c>
      <c r="DP101">
        <f t="shared" ca="1" si="100"/>
        <v>3.7413975684241801E-6</v>
      </c>
      <c r="DQ101">
        <f t="shared" ca="1" si="101"/>
        <v>2.2797043484068499E-6</v>
      </c>
      <c r="DR101">
        <f t="shared" ca="1" si="102"/>
        <v>1.28860646105844E-5</v>
      </c>
      <c r="DS101">
        <f t="shared" ca="1" si="103"/>
        <v>1.5459096139092098E-5</v>
      </c>
      <c r="DT101">
        <f t="shared" ca="1" si="104"/>
        <v>8.3649053053802506E-5</v>
      </c>
      <c r="DU101">
        <f t="shared" ca="1" si="105"/>
        <v>-1.15903489375624E-4</v>
      </c>
      <c r="DV101">
        <f t="shared" ca="1" si="106"/>
        <v>3.7788434489727203E-4</v>
      </c>
      <c r="DW101">
        <f t="shared" ca="1" si="107"/>
        <v>-1.49262931221517E-3</v>
      </c>
      <c r="DX101">
        <f t="shared" ca="1" si="108"/>
        <v>-4.5690543572729497E-4</v>
      </c>
      <c r="DY101">
        <f t="shared" ca="1" si="109"/>
        <v>7.3007528642476895E-5</v>
      </c>
      <c r="ED101" s="248">
        <f ca="1">'JACOBIAN - SWAP USD3ML'!B110</f>
        <v>51578</v>
      </c>
      <c r="EE101">
        <f ca="1">'JACOBIAN - SWAP USD3ML'!C110</f>
        <v>1.1643117026061101E-13</v>
      </c>
      <c r="EF101">
        <f ca="1">'JACOBIAN - SWAP USD3ML'!D110</f>
        <v>5.29367868984387E-11</v>
      </c>
      <c r="EG101">
        <f ca="1">'JACOBIAN - SWAP USD3ML'!E110</f>
        <v>1.9202001100282501E-13</v>
      </c>
      <c r="EH101">
        <f ca="1">'JACOBIAN - SWAP USD3ML'!F110</f>
        <v>1.1643117026061101E-13</v>
      </c>
      <c r="EI101">
        <f ca="1">'JACOBIAN - SWAP USD3ML'!G110</f>
        <v>6.9422939619201399E-13</v>
      </c>
      <c r="EJ101">
        <f ca="1">'JACOBIAN - SWAP USD3ML'!H110</f>
        <v>5.2746505080358797E-11</v>
      </c>
      <c r="EK101">
        <f ca="1">'JACOBIAN - SWAP USD3ML'!I110</f>
        <v>5.2630944741283198E-11</v>
      </c>
      <c r="EL101">
        <f ca="1">'JACOBIAN - SWAP USD3ML'!J110</f>
        <v>5.2456299720615698E-11</v>
      </c>
      <c r="EM101">
        <f ca="1">'JACOBIAN - SWAP USD3ML'!K110</f>
        <v>5.22894783028249E-11</v>
      </c>
      <c r="EN101">
        <f ca="1">'JACOBIAN - SWAP USD3ML'!L110</f>
        <v>5.2128735356094002E-11</v>
      </c>
      <c r="EO101">
        <f ca="1">'JACOBIAN - SWAP USD3ML'!M110</f>
        <v>5.16482516477179E-11</v>
      </c>
      <c r="EP101">
        <f ca="1">'JACOBIAN - SWAP USD3ML'!N110</f>
        <v>1.1184531772956401E-10</v>
      </c>
      <c r="EQ101">
        <f ca="1">'JACOBIAN - SWAP USD3ML'!O110</f>
        <v>-2.7079260569995401E-9</v>
      </c>
      <c r="ER101">
        <f ca="1">'JACOBIAN - SWAP USD3ML'!P110</f>
        <v>1.31037102904519E-8</v>
      </c>
      <c r="ES101">
        <f ca="1">'JACOBIAN - SWAP USD3ML'!Q110</f>
        <v>-3.2644618310623303E-8</v>
      </c>
      <c r="ET101">
        <f ca="1">'JACOBIAN - SWAP USD3ML'!R110</f>
        <v>2.88026885821024E-7</v>
      </c>
      <c r="EU101">
        <f ca="1">'JACOBIAN - SWAP USD3ML'!S110</f>
        <v>-1.50048690516005E-6</v>
      </c>
      <c r="EV101">
        <f ca="1">'JACOBIAN - SWAP USD3ML'!T110</f>
        <v>6.5262361888564196E-6</v>
      </c>
      <c r="EW101">
        <f ca="1">'JACOBIAN - SWAP USD3ML'!U110</f>
        <v>-1.45573590781822E-5</v>
      </c>
      <c r="EX101">
        <f ca="1">'JACOBIAN - SWAP USD3ML'!V110</f>
        <v>3.2236020780555798E-5</v>
      </c>
      <c r="EY101">
        <f ca="1">'JACOBIAN - SWAP USD3ML'!W110</f>
        <v>-7.7359033017681406E-5</v>
      </c>
      <c r="EZ101">
        <f ca="1">'JACOBIAN - SWAP USD3ML'!X110</f>
        <v>-4.55836529971838E-4</v>
      </c>
      <c r="FA101">
        <f ca="1">'JACOBIAN - SWAP USD3ML'!Y110</f>
        <v>7.29075031796318E-4</v>
      </c>
      <c r="FB101">
        <f ca="1">'JACOBIAN - SWAP USD3ML'!Z110</f>
        <v>-1.20523936202512E-4</v>
      </c>
    </row>
    <row r="102" spans="24:158" x14ac:dyDescent="0.25">
      <c r="X102" s="258">
        <f t="shared" ref="X102:X136" ca="1" si="113">AR102</f>
        <v>51669</v>
      </c>
      <c r="Y102" s="261">
        <v>0</v>
      </c>
      <c r="AA102" s="257">
        <f t="shared" ca="1" si="110"/>
        <v>51669</v>
      </c>
      <c r="AB102" s="266">
        <f t="shared" ca="1" si="77"/>
        <v>-1.5042924419217359E-3</v>
      </c>
      <c r="AC102" s="266"/>
      <c r="AD102" s="290">
        <f ca="1"/>
        <v>51669</v>
      </c>
      <c r="AE102" s="291">
        <f ca="1"/>
        <v>-1.5042924419217396E-3</v>
      </c>
      <c r="AF102" s="291" t="b">
        <f t="shared" ca="1" si="111"/>
        <v>1</v>
      </c>
      <c r="AH102" s="257">
        <f t="shared" ca="1" si="78"/>
        <v>51669</v>
      </c>
      <c r="AI102" s="260">
        <v>0</v>
      </c>
      <c r="AK102" s="290">
        <f ca="1"/>
        <v>51669</v>
      </c>
      <c r="AL102" s="291">
        <f ca="1"/>
        <v>9.8330876932211514E-5</v>
      </c>
      <c r="AM102" s="291" t="b">
        <f t="shared" ca="1" si="79"/>
        <v>1</v>
      </c>
      <c r="AO102" s="257">
        <f t="shared" ca="1" si="80"/>
        <v>51669</v>
      </c>
      <c r="AP102" s="266">
        <f t="shared" ca="1" si="112"/>
        <v>9.8330876932212652E-5</v>
      </c>
      <c r="AR102" s="248">
        <f ca="1">'JACOBIAN - OIS USDOIS'!B111</f>
        <v>51669</v>
      </c>
      <c r="AS102">
        <f ca="1">'JACOBIAN - OIS USDOIS'!C111</f>
        <v>-7.7405096121640995E-7</v>
      </c>
      <c r="AT102">
        <f ca="1">'JACOBIAN - OIS USDOIS'!D111</f>
        <v>8.4843021497249499E-11</v>
      </c>
      <c r="AU102">
        <f ca="1">'JACOBIAN - OIS USDOIS'!E111</f>
        <v>-3.3987979097815898E-10</v>
      </c>
      <c r="AV102">
        <f ca="1">'JACOBIAN - OIS USDOIS'!F111</f>
        <v>8.9466334340926303E-10</v>
      </c>
      <c r="AW102">
        <f ca="1">'JACOBIAN - OIS USDOIS'!G111</f>
        <v>-1.1510801201097799E-9</v>
      </c>
      <c r="AX102">
        <f ca="1">'JACOBIAN - OIS USDOIS'!H111</f>
        <v>2.60431221033031E-9</v>
      </c>
      <c r="AY102">
        <f ca="1">'JACOBIAN - OIS USDOIS'!I111</f>
        <v>-1.8582824057311601E-8</v>
      </c>
      <c r="AZ102">
        <f ca="1">'JACOBIAN - OIS USDOIS'!J111</f>
        <v>3.1829103797065299E-8</v>
      </c>
      <c r="BA102">
        <f ca="1">'JACOBIAN - OIS USDOIS'!K111</f>
        <v>-1.2254356029917101E-7</v>
      </c>
      <c r="BB102">
        <f ca="1">'JACOBIAN - OIS USDOIS'!L111</f>
        <v>5.0891337488590004E-7</v>
      </c>
      <c r="BC102">
        <f ca="1">'JACOBIAN - OIS USDOIS'!M111</f>
        <v>-4.1922862092924602E-7</v>
      </c>
      <c r="BD102">
        <f ca="1">'JACOBIAN - OIS USDOIS'!N111</f>
        <v>1.46438416948058E-13</v>
      </c>
      <c r="BE102">
        <f ca="1">'JACOBIAN - OIS USDOIS'!O111</f>
        <v>1.46438416948058E-13</v>
      </c>
      <c r="BF102">
        <f ca="1">'JACOBIAN - OIS USDOIS'!P111</f>
        <v>1.46438416948058E-13</v>
      </c>
      <c r="BG102">
        <f ca="1">'JACOBIAN - OIS USDOIS'!Q111</f>
        <v>1.46438416948058E-13</v>
      </c>
      <c r="BH102">
        <f ca="1">'JACOBIAN - OIS USDOIS'!R111</f>
        <v>1.46438416948058E-13</v>
      </c>
      <c r="BI102" s="161">
        <f ca="1">'JACOBIAN - OIS USDOIS'!S111</f>
        <v>-1.2602064068945E-6</v>
      </c>
      <c r="BJ102" s="161">
        <f ca="1">'JACOBIAN - OIS USDOIS'!T111</f>
        <v>-2.7107439494189499E-6</v>
      </c>
      <c r="BK102" s="161">
        <f ca="1">'JACOBIAN - OIS USDOIS'!U111</f>
        <v>-3.8483247745135802E-6</v>
      </c>
      <c r="BL102" s="161">
        <f ca="1">'JACOBIAN - OIS USDOIS'!V111</f>
        <v>-2.0937701901146999E-6</v>
      </c>
      <c r="BM102" s="161">
        <f ca="1">'JACOBIAN - OIS USDOIS'!W111</f>
        <v>-1.34918944645346E-5</v>
      </c>
      <c r="BN102" s="161">
        <f ca="1">'JACOBIAN - OIS USDOIS'!X111</f>
        <v>-1.4870327856964E-5</v>
      </c>
      <c r="BO102" s="161">
        <f ca="1">'JACOBIAN - OIS USDOIS'!Y111</f>
        <v>-8.8666978440898894E-5</v>
      </c>
      <c r="BP102" s="161">
        <f ca="1">'JACOBIAN - OIS USDOIS'!Z111</f>
        <v>1.28579916946703E-4</v>
      </c>
      <c r="BQ102" s="161">
        <f ca="1">'JACOBIAN - OIS USDOIS'!AA111</f>
        <v>-4.0504425425735803E-4</v>
      </c>
      <c r="BR102" s="161">
        <f ca="1">'JACOBIAN - OIS USDOIS'!AB111</f>
        <v>1.4434567488972299E-3</v>
      </c>
      <c r="BS102" s="161">
        <f ca="1">'JACOBIAN - OIS USDOIS'!AC111</f>
        <v>5.7866021555630397E-4</v>
      </c>
      <c r="BT102" s="161">
        <f ca="1">'JACOBIAN - OIS USDOIS'!AD111</f>
        <v>-8.9911217584392995E-5</v>
      </c>
      <c r="BU102">
        <f ca="1">'JACOBIAN - OIS USDOIS'!AE111</f>
        <v>1.23710283994605E-6</v>
      </c>
      <c r="BV102">
        <f ca="1">'JACOBIAN - OIS USDOIS'!AF111</f>
        <v>2.66526580428028E-6</v>
      </c>
      <c r="BW102">
        <f ca="1">'JACOBIAN - OIS USDOIS'!AG111</f>
        <v>3.78612791762656E-6</v>
      </c>
      <c r="BX102">
        <f ca="1">'JACOBIAN - OIS USDOIS'!AH111</f>
        <v>2.0586068230077401E-6</v>
      </c>
      <c r="BY102">
        <f ca="1">'JACOBIAN - OIS USDOIS'!AI111</f>
        <v>1.3267827447482901E-5</v>
      </c>
      <c r="BZ102">
        <f ca="1">'JACOBIAN - OIS USDOIS'!AJ111</f>
        <v>1.46203717960036E-5</v>
      </c>
      <c r="CA102">
        <f ca="1">'JACOBIAN - OIS USDOIS'!AK111</f>
        <v>8.7256768917631802E-5</v>
      </c>
      <c r="CB102">
        <f ca="1">'JACOBIAN - OIS USDOIS'!AL111</f>
        <v>-1.2666681360340399E-4</v>
      </c>
      <c r="CC102">
        <f ca="1">'JACOBIAN - OIS USDOIS'!AM111</f>
        <v>3.9900172845819297E-4</v>
      </c>
      <c r="CD102">
        <f ca="1">'JACOBIAN - OIS USDOIS'!AN111</f>
        <v>-1.4194134840363999E-3</v>
      </c>
      <c r="CE102">
        <f ca="1">'JACOBIAN - OIS USDOIS'!AO111</f>
        <v>-5.7005282488475895E-4</v>
      </c>
      <c r="CF102">
        <f ca="1">'JACOBIAN - OIS USDOIS'!AP111</f>
        <v>8.8738450495617904E-5</v>
      </c>
      <c r="CK102" s="248">
        <f t="shared" ca="1" si="81"/>
        <v>51669</v>
      </c>
      <c r="CL102">
        <f t="shared" ca="1" si="82"/>
        <v>-7.7405096121640995E-7</v>
      </c>
      <c r="CM102">
        <f t="shared" ca="1" si="83"/>
        <v>8.4843021497249499E-11</v>
      </c>
      <c r="CN102">
        <f t="shared" ca="1" si="84"/>
        <v>-3.3987979097815898E-10</v>
      </c>
      <c r="CO102">
        <f t="shared" ca="1" si="85"/>
        <v>8.9466334340926303E-10</v>
      </c>
      <c r="CP102">
        <f t="shared" ca="1" si="86"/>
        <v>-1.1510801201097799E-9</v>
      </c>
      <c r="CQ102">
        <f t="shared" ca="1" si="87"/>
        <v>2.60431221033031E-9</v>
      </c>
      <c r="CR102">
        <f t="shared" ca="1" si="88"/>
        <v>-1.8582824057311601E-8</v>
      </c>
      <c r="CS102">
        <f t="shared" ca="1" si="89"/>
        <v>3.1829103797065299E-8</v>
      </c>
      <c r="CT102">
        <f t="shared" ca="1" si="90"/>
        <v>-1.2254356029917101E-7</v>
      </c>
      <c r="CU102">
        <f t="shared" ca="1" si="91"/>
        <v>5.0891337488590004E-7</v>
      </c>
      <c r="CV102">
        <f t="shared" ca="1" si="92"/>
        <v>-4.1922862092924602E-7</v>
      </c>
      <c r="CW102">
        <f t="shared" ca="1" si="93"/>
        <v>1.46438416948058E-13</v>
      </c>
      <c r="CX102">
        <f t="shared" ca="1" si="94"/>
        <v>1.46438416948058E-13</v>
      </c>
      <c r="CY102">
        <f t="shared" ca="1" si="95"/>
        <v>1.46438416948058E-13</v>
      </c>
      <c r="CZ102">
        <f t="shared" ca="1" si="96"/>
        <v>1.46438416948058E-13</v>
      </c>
      <c r="DA102">
        <f t="shared" ca="1" si="97"/>
        <v>1.46438416948058E-13</v>
      </c>
      <c r="DB102" s="146">
        <v>0</v>
      </c>
      <c r="DC102" s="146">
        <v>0</v>
      </c>
      <c r="DD102" s="146">
        <v>0</v>
      </c>
      <c r="DE102" s="146">
        <v>0</v>
      </c>
      <c r="DF102" s="146">
        <v>0</v>
      </c>
      <c r="DG102" s="146">
        <v>0</v>
      </c>
      <c r="DH102" s="146">
        <v>0</v>
      </c>
      <c r="DI102" s="146">
        <v>0</v>
      </c>
      <c r="DJ102" s="146">
        <v>0</v>
      </c>
      <c r="DK102" s="146">
        <v>0</v>
      </c>
      <c r="DL102" s="146">
        <v>0</v>
      </c>
      <c r="DM102" s="146">
        <v>0</v>
      </c>
      <c r="DN102">
        <f t="shared" ca="1" si="98"/>
        <v>1.23710283994605E-6</v>
      </c>
      <c r="DO102">
        <f t="shared" ca="1" si="99"/>
        <v>2.66526580428028E-6</v>
      </c>
      <c r="DP102">
        <f t="shared" ca="1" si="100"/>
        <v>3.78612791762656E-6</v>
      </c>
      <c r="DQ102">
        <f t="shared" ca="1" si="101"/>
        <v>2.0586068230077401E-6</v>
      </c>
      <c r="DR102">
        <f t="shared" ca="1" si="102"/>
        <v>1.3267827447482901E-5</v>
      </c>
      <c r="DS102">
        <f t="shared" ca="1" si="103"/>
        <v>1.46203717960036E-5</v>
      </c>
      <c r="DT102">
        <f t="shared" ca="1" si="104"/>
        <v>8.7256768917631802E-5</v>
      </c>
      <c r="DU102">
        <f t="shared" ca="1" si="105"/>
        <v>-1.2666681360340399E-4</v>
      </c>
      <c r="DV102">
        <f t="shared" ca="1" si="106"/>
        <v>3.9900172845819297E-4</v>
      </c>
      <c r="DW102">
        <f t="shared" ca="1" si="107"/>
        <v>-1.4194134840363999E-3</v>
      </c>
      <c r="DX102">
        <f t="shared" ca="1" si="108"/>
        <v>-5.7005282488475895E-4</v>
      </c>
      <c r="DY102">
        <f t="shared" ca="1" si="109"/>
        <v>8.8738450495617904E-5</v>
      </c>
      <c r="ED102" s="248">
        <f ca="1">'JACOBIAN - SWAP USD3ML'!B111</f>
        <v>51669</v>
      </c>
      <c r="EE102">
        <f ca="1">'JACOBIAN - SWAP USD3ML'!C111</f>
        <v>4.4311776470351598E-14</v>
      </c>
      <c r="EF102">
        <f ca="1">'JACOBIAN - SWAP USD3ML'!D111</f>
        <v>2.72208332263713E-11</v>
      </c>
      <c r="EG102">
        <f ca="1">'JACOBIAN - SWAP USD3ML'!E111</f>
        <v>-1.1451707637721899E-12</v>
      </c>
      <c r="EH102">
        <f ca="1">'JACOBIAN - SWAP USD3ML'!F111</f>
        <v>4.5182607655291899E-14</v>
      </c>
      <c r="EI102">
        <f ca="1">'JACOBIAN - SWAP USD3ML'!G111</f>
        <v>3.4059907672023801E-13</v>
      </c>
      <c r="EJ102">
        <f ca="1">'JACOBIAN - SWAP USD3ML'!H111</f>
        <v>2.6957568122210101E-11</v>
      </c>
      <c r="EK102">
        <f ca="1">'JACOBIAN - SWAP USD3ML'!I111</f>
        <v>2.5699442574023101E-11</v>
      </c>
      <c r="EL102">
        <f ca="1">'JACOBIAN - SWAP USD3ML'!J111</f>
        <v>2.56273266496798E-11</v>
      </c>
      <c r="EM102">
        <f ca="1">'JACOBIAN - SWAP USD3ML'!K111</f>
        <v>2.55560780870745E-11</v>
      </c>
      <c r="EN102">
        <f ca="1">'JACOBIAN - SWAP USD3ML'!L111</f>
        <v>2.5472669112902599E-11</v>
      </c>
      <c r="EO102">
        <f ca="1">'JACOBIAN - SWAP USD3ML'!M111</f>
        <v>2.52424157964892E-11</v>
      </c>
      <c r="EP102">
        <f ca="1">'JACOBIAN - SWAP USD3ML'!N111</f>
        <v>5.4982105673895302E-11</v>
      </c>
      <c r="EQ102">
        <f ca="1">'JACOBIAN - SWAP USD3ML'!O111</f>
        <v>-1.3305348108005899E-9</v>
      </c>
      <c r="ER102">
        <f ca="1">'JACOBIAN - SWAP USD3ML'!P111</f>
        <v>6.4372880949348199E-9</v>
      </c>
      <c r="ES102">
        <f ca="1">'JACOBIAN - SWAP USD3ML'!Q111</f>
        <v>-1.6036690236170799E-8</v>
      </c>
      <c r="ET102">
        <f ca="1">'JACOBIAN - SWAP USD3ML'!R111</f>
        <v>1.4149081211181601E-7</v>
      </c>
      <c r="EU102">
        <f ca="1">'JACOBIAN - SWAP USD3ML'!S111</f>
        <v>-7.3709877332350803E-7</v>
      </c>
      <c r="EV102">
        <f ca="1">'JACOBIAN - SWAP USD3ML'!T111</f>
        <v>3.2059471590517598E-6</v>
      </c>
      <c r="EW102">
        <f ca="1">'JACOBIAN - SWAP USD3ML'!U111</f>
        <v>-7.1512471952819803E-6</v>
      </c>
      <c r="EX102">
        <f ca="1">'JACOBIAN - SWAP USD3ML'!V111</f>
        <v>1.58353635943097E-5</v>
      </c>
      <c r="EY102">
        <f ca="1">'JACOBIAN - SWAP USD3ML'!W111</f>
        <v>-3.8003792247946102E-5</v>
      </c>
      <c r="EZ102">
        <f ca="1">'JACOBIAN - SWAP USD3ML'!X111</f>
        <v>-5.11386603423421E-4</v>
      </c>
      <c r="FA102">
        <f ca="1">'JACOBIAN - SWAP USD3ML'!Y111</f>
        <v>7.5025779587912405E-4</v>
      </c>
      <c r="FB102">
        <f ca="1">'JACOBIAN - SWAP USD3ML'!Z111</f>
        <v>-1.13820284978822E-4</v>
      </c>
    </row>
    <row r="103" spans="24:158" x14ac:dyDescent="0.25">
      <c r="X103" s="258">
        <f t="shared" ca="1" si="113"/>
        <v>51761</v>
      </c>
      <c r="Y103" s="261">
        <v>0</v>
      </c>
      <c r="AA103" s="257">
        <f t="shared" ca="1" si="110"/>
        <v>51761</v>
      </c>
      <c r="AB103" s="266">
        <f t="shared" ref="AB103:AB136" ca="1" si="114">SUM(CL103:DY103)</f>
        <v>-1.5151923438453392E-3</v>
      </c>
      <c r="AC103" s="266"/>
      <c r="AD103" s="290">
        <f ca="1"/>
        <v>51761</v>
      </c>
      <c r="AE103" s="291">
        <f ca="1"/>
        <v>-1.5151923438453396E-3</v>
      </c>
      <c r="AF103" s="291" t="b">
        <f t="shared" ca="1" si="111"/>
        <v>1</v>
      </c>
      <c r="AH103" s="257">
        <f t="shared" ref="AH103:AH136" ca="1" si="115">AO103</f>
        <v>51761</v>
      </c>
      <c r="AI103" s="260">
        <v>0</v>
      </c>
      <c r="AK103" s="290">
        <f ca="1"/>
        <v>51761</v>
      </c>
      <c r="AL103" s="291">
        <f ca="1"/>
        <v>9.8327701394701483E-5</v>
      </c>
      <c r="AM103" s="291" t="b">
        <f t="shared" ref="AM103:AM134" ca="1" si="116">ABS(AP103-AL103)&lt;0.0000000000000001</f>
        <v>1</v>
      </c>
      <c r="AO103" s="257">
        <f t="shared" ref="AO103:AO136" ca="1" si="117">ED103</f>
        <v>51761</v>
      </c>
      <c r="AP103" s="266">
        <f t="shared" ca="1" si="112"/>
        <v>9.8327701394701958E-5</v>
      </c>
      <c r="AR103" s="248">
        <f ca="1">'JACOBIAN - OIS USDOIS'!B112</f>
        <v>51761</v>
      </c>
      <c r="AS103">
        <f ca="1">'JACOBIAN - OIS USDOIS'!C112</f>
        <v>-7.7058312741851196E-7</v>
      </c>
      <c r="AT103">
        <f ca="1">'JACOBIAN - OIS USDOIS'!D112</f>
        <v>8.5473073063724301E-11</v>
      </c>
      <c r="AU103">
        <f ca="1">'JACOBIAN - OIS USDOIS'!E112</f>
        <v>-3.4248426317162698E-10</v>
      </c>
      <c r="AV103">
        <f ca="1">'JACOBIAN - OIS USDOIS'!F112</f>
        <v>9.0147167508547496E-10</v>
      </c>
      <c r="AW103">
        <f ca="1">'JACOBIAN - OIS USDOIS'!G112</f>
        <v>-1.15987175419718E-9</v>
      </c>
      <c r="AX103">
        <f ca="1">'JACOBIAN - OIS USDOIS'!H112</f>
        <v>2.6241829820250502E-9</v>
      </c>
      <c r="AY103">
        <f ca="1">'JACOBIAN - OIS USDOIS'!I112</f>
        <v>-1.86066791973971E-8</v>
      </c>
      <c r="AZ103">
        <f ca="1">'JACOBIAN - OIS USDOIS'!J112</f>
        <v>3.2072201783250902E-8</v>
      </c>
      <c r="BA103">
        <f ca="1">'JACOBIAN - OIS USDOIS'!K112</f>
        <v>-1.2347949507329801E-7</v>
      </c>
      <c r="BB103">
        <f ca="1">'JACOBIAN - OIS USDOIS'!L112</f>
        <v>5.0917355964852405E-7</v>
      </c>
      <c r="BC103">
        <f ca="1">'JACOBIAN - OIS USDOIS'!M112</f>
        <v>-4.2207459771681499E-7</v>
      </c>
      <c r="BD103">
        <f ca="1">'JACOBIAN - OIS USDOIS'!N112</f>
        <v>1.2934098236883099E-13</v>
      </c>
      <c r="BE103">
        <f ca="1">'JACOBIAN - OIS USDOIS'!O112</f>
        <v>1.2934098236883099E-13</v>
      </c>
      <c r="BF103">
        <f ca="1">'JACOBIAN - OIS USDOIS'!P112</f>
        <v>1.2934098236883099E-13</v>
      </c>
      <c r="BG103">
        <f ca="1">'JACOBIAN - OIS USDOIS'!Q112</f>
        <v>1.2934098236883099E-13</v>
      </c>
      <c r="BH103">
        <f ca="1">'JACOBIAN - OIS USDOIS'!R112</f>
        <v>1.2934098236883099E-13</v>
      </c>
      <c r="BI103" s="161">
        <f ca="1">'JACOBIAN - OIS USDOIS'!S112</f>
        <v>-1.2614108317876601E-6</v>
      </c>
      <c r="BJ103" s="161">
        <f ca="1">'JACOBIAN - OIS USDOIS'!T112</f>
        <v>-2.69155308374458E-6</v>
      </c>
      <c r="BK103" s="161">
        <f ca="1">'JACOBIAN - OIS USDOIS'!U112</f>
        <v>-3.8688817589616099E-6</v>
      </c>
      <c r="BL103" s="161">
        <f ca="1">'JACOBIAN - OIS USDOIS'!V112</f>
        <v>-1.9608214505417699E-6</v>
      </c>
      <c r="BM103" s="161">
        <f ca="1">'JACOBIAN - OIS USDOIS'!W112</f>
        <v>-1.3694925848795099E-5</v>
      </c>
      <c r="BN103" s="161">
        <f ca="1">'JACOBIAN - OIS USDOIS'!X112</f>
        <v>-1.4355530590926E-5</v>
      </c>
      <c r="BO103" s="161">
        <f ca="1">'JACOBIAN - OIS USDOIS'!Y112</f>
        <v>-9.0645034495962006E-5</v>
      </c>
      <c r="BP103" s="161">
        <f ca="1">'JACOBIAN - OIS USDOIS'!Z112</f>
        <v>1.3469200071680699E-4</v>
      </c>
      <c r="BQ103" s="161">
        <f ca="1">'JACOBIAN - OIS USDOIS'!AA112</f>
        <v>-4.1677955762908802E-4</v>
      </c>
      <c r="BR103" s="161">
        <f ca="1">'JACOBIAN - OIS USDOIS'!AB112</f>
        <v>1.3558215158068199E-3</v>
      </c>
      <c r="BS103" s="161">
        <f ca="1">'JACOBIAN - OIS USDOIS'!AC112</f>
        <v>6.99814225342266E-4</v>
      </c>
      <c r="BT103" s="161">
        <f ca="1">'JACOBIAN - OIS USDOIS'!AD112</f>
        <v>-1.0537043236935601E-4</v>
      </c>
      <c r="BU103">
        <f ca="1">'JACOBIAN - OIS USDOIS'!AE112</f>
        <v>1.2382864219562299E-6</v>
      </c>
      <c r="BV103">
        <f ca="1">'JACOBIAN - OIS USDOIS'!AF112</f>
        <v>2.64639534353073E-6</v>
      </c>
      <c r="BW103">
        <f ca="1">'JACOBIAN - OIS USDOIS'!AG112</f>
        <v>3.8063562411982901E-6</v>
      </c>
      <c r="BX103">
        <f ca="1">'JACOBIAN - OIS USDOIS'!AH112</f>
        <v>1.9277586037480498E-6</v>
      </c>
      <c r="BY103">
        <f ca="1">'JACOBIAN - OIS USDOIS'!AI112</f>
        <v>1.34676325412864E-5</v>
      </c>
      <c r="BZ103">
        <f ca="1">'JACOBIAN - OIS USDOIS'!AJ112</f>
        <v>1.41137019955551E-5</v>
      </c>
      <c r="CA103">
        <f ca="1">'JACOBIAN - OIS USDOIS'!AK112</f>
        <v>8.9204458960434594E-5</v>
      </c>
      <c r="CB103">
        <f ca="1">'JACOBIAN - OIS USDOIS'!AL112</f>
        <v>-1.3268348669992499E-4</v>
      </c>
      <c r="CC103">
        <f ca="1">'JACOBIAN - OIS USDOIS'!AM112</f>
        <v>4.1057436054259299E-4</v>
      </c>
      <c r="CD103">
        <f ca="1">'JACOBIAN - OIS USDOIS'!AN112</f>
        <v>-1.3334118444709999E-3</v>
      </c>
      <c r="CE103">
        <f ca="1">'JACOBIAN - OIS USDOIS'!AO112</f>
        <v>-6.8928295462977697E-4</v>
      </c>
      <c r="CF103">
        <f ca="1">'JACOBIAN - OIS USDOIS'!AP112</f>
        <v>1.03998380024617E-4</v>
      </c>
      <c r="CK103" s="248">
        <f t="shared" ref="CK103:CK136" ca="1" si="118">AR103</f>
        <v>51761</v>
      </c>
      <c r="CL103">
        <f t="shared" ref="CL103:CL136" ca="1" si="119">AS103</f>
        <v>-7.7058312741851196E-7</v>
      </c>
      <c r="CM103">
        <f t="shared" ref="CM103:CM136" ca="1" si="120">AT103</f>
        <v>8.5473073063724301E-11</v>
      </c>
      <c r="CN103">
        <f t="shared" ref="CN103:CN136" ca="1" si="121">AU103</f>
        <v>-3.4248426317162698E-10</v>
      </c>
      <c r="CO103">
        <f t="shared" ref="CO103:CO136" ca="1" si="122">AV103</f>
        <v>9.0147167508547496E-10</v>
      </c>
      <c r="CP103">
        <f t="shared" ref="CP103:CP136" ca="1" si="123">AW103</f>
        <v>-1.15987175419718E-9</v>
      </c>
      <c r="CQ103">
        <f t="shared" ref="CQ103:CQ136" ca="1" si="124">AX103</f>
        <v>2.6241829820250502E-9</v>
      </c>
      <c r="CR103">
        <f t="shared" ref="CR103:CR136" ca="1" si="125">AY103</f>
        <v>-1.86066791973971E-8</v>
      </c>
      <c r="CS103">
        <f t="shared" ref="CS103:CS136" ca="1" si="126">AZ103</f>
        <v>3.2072201783250902E-8</v>
      </c>
      <c r="CT103">
        <f t="shared" ref="CT103:CT136" ca="1" si="127">BA103</f>
        <v>-1.2347949507329801E-7</v>
      </c>
      <c r="CU103">
        <f t="shared" ref="CU103:CU136" ca="1" si="128">BB103</f>
        <v>5.0917355964852405E-7</v>
      </c>
      <c r="CV103">
        <f t="shared" ref="CV103:CV136" ca="1" si="129">BC103</f>
        <v>-4.2207459771681499E-7</v>
      </c>
      <c r="CW103">
        <f t="shared" ref="CW103:CW136" ca="1" si="130">BD103</f>
        <v>1.2934098236883099E-13</v>
      </c>
      <c r="CX103">
        <f t="shared" ref="CX103:CX136" ca="1" si="131">BE103</f>
        <v>1.2934098236883099E-13</v>
      </c>
      <c r="CY103">
        <f t="shared" ref="CY103:CY136" ca="1" si="132">BF103</f>
        <v>1.2934098236883099E-13</v>
      </c>
      <c r="CZ103">
        <f t="shared" ref="CZ103:CZ136" ca="1" si="133">BG103</f>
        <v>1.2934098236883099E-13</v>
      </c>
      <c r="DA103">
        <f t="shared" ref="DA103:DA136" ca="1" si="134">BH103</f>
        <v>1.2934098236883099E-13</v>
      </c>
      <c r="DB103" s="146">
        <v>0</v>
      </c>
      <c r="DC103" s="146">
        <v>0</v>
      </c>
      <c r="DD103" s="146">
        <v>0</v>
      </c>
      <c r="DE103" s="146">
        <v>0</v>
      </c>
      <c r="DF103" s="146">
        <v>0</v>
      </c>
      <c r="DG103" s="146">
        <v>0</v>
      </c>
      <c r="DH103" s="146">
        <v>0</v>
      </c>
      <c r="DI103" s="146">
        <v>0</v>
      </c>
      <c r="DJ103" s="146">
        <v>0</v>
      </c>
      <c r="DK103" s="146">
        <v>0</v>
      </c>
      <c r="DL103" s="146">
        <v>0</v>
      </c>
      <c r="DM103" s="146">
        <v>0</v>
      </c>
      <c r="DN103">
        <f t="shared" ref="DN103:DN136" ca="1" si="135">BU103</f>
        <v>1.2382864219562299E-6</v>
      </c>
      <c r="DO103">
        <f t="shared" ref="DO103:DO136" ca="1" si="136">BV103</f>
        <v>2.64639534353073E-6</v>
      </c>
      <c r="DP103">
        <f t="shared" ref="DP103:DP136" ca="1" si="137">BW103</f>
        <v>3.8063562411982901E-6</v>
      </c>
      <c r="DQ103">
        <f t="shared" ref="DQ103:DQ136" ca="1" si="138">BX103</f>
        <v>1.9277586037480498E-6</v>
      </c>
      <c r="DR103">
        <f t="shared" ref="DR103:DR136" ca="1" si="139">BY103</f>
        <v>1.34676325412864E-5</v>
      </c>
      <c r="DS103">
        <f t="shared" ref="DS103:DS136" ca="1" si="140">BZ103</f>
        <v>1.41137019955551E-5</v>
      </c>
      <c r="DT103">
        <f t="shared" ref="DT103:DT136" ca="1" si="141">CA103</f>
        <v>8.9204458960434594E-5</v>
      </c>
      <c r="DU103">
        <f t="shared" ref="DU103:DU136" ca="1" si="142">CB103</f>
        <v>-1.3268348669992499E-4</v>
      </c>
      <c r="DV103">
        <f t="shared" ref="DV103:DV136" ca="1" si="143">CC103</f>
        <v>4.1057436054259299E-4</v>
      </c>
      <c r="DW103">
        <f t="shared" ref="DW103:DW136" ca="1" si="144">CD103</f>
        <v>-1.3334118444709999E-3</v>
      </c>
      <c r="DX103">
        <f t="shared" ref="DX103:DX136" ca="1" si="145">CE103</f>
        <v>-6.8928295462977697E-4</v>
      </c>
      <c r="DY103">
        <f t="shared" ref="DY103:DY136" ca="1" si="146">CF103</f>
        <v>1.03998380024617E-4</v>
      </c>
      <c r="ED103" s="248">
        <f ca="1">'JACOBIAN - SWAP USD3ML'!B112</f>
        <v>51761</v>
      </c>
      <c r="EE103">
        <f ca="1">'JACOBIAN - SWAP USD3ML'!C112</f>
        <v>-2.5472679521243401E-14</v>
      </c>
      <c r="EF103">
        <f ca="1">'JACOBIAN - SWAP USD3ML'!D112</f>
        <v>3.9739635193658497E-12</v>
      </c>
      <c r="EG103">
        <f ca="1">'JACOBIAN - SWAP USD3ML'!E112</f>
        <v>-2.3822679939833299E-12</v>
      </c>
      <c r="EH103">
        <f ca="1">'JACOBIAN - SWAP USD3ML'!F112</f>
        <v>-2.4594909442399199E-14</v>
      </c>
      <c r="EI103">
        <f ca="1">'JACOBIAN - SWAP USD3ML'!G112</f>
        <v>1.49324996812084E-14</v>
      </c>
      <c r="EJ103">
        <f ca="1">'JACOBIAN - SWAP USD3ML'!H112</f>
        <v>3.6436791084337703E-12</v>
      </c>
      <c r="EK103">
        <f ca="1">'JACOBIAN - SWAP USD3ML'!I112</f>
        <v>1.32817021269993E-12</v>
      </c>
      <c r="EL103">
        <f ca="1">'JACOBIAN - SWAP USD3ML'!J112</f>
        <v>1.34925057238E-12</v>
      </c>
      <c r="EM103">
        <f ca="1">'JACOBIAN - SWAP USD3ML'!K112</f>
        <v>1.36506084214005E-12</v>
      </c>
      <c r="EN103">
        <f ca="1">'JACOBIAN - SWAP USD3ML'!L112</f>
        <v>1.35276512214233E-12</v>
      </c>
      <c r="EO103">
        <f ca="1">'JACOBIAN - SWAP USD3ML'!M112</f>
        <v>1.3501283424588499E-12</v>
      </c>
      <c r="EP103">
        <f ca="1">'JACOBIAN - SWAP USD3ML'!N112</f>
        <v>3.54090368137605E-12</v>
      </c>
      <c r="EQ103">
        <f ca="1">'JACOBIAN - SWAP USD3ML'!O112</f>
        <v>-8.4575863673608305E-11</v>
      </c>
      <c r="ER103">
        <f ca="1">'JACOBIAN - SWAP USD3ML'!P112</f>
        <v>4.06951836812164E-10</v>
      </c>
      <c r="ES103">
        <f ca="1">'JACOBIAN - SWAP USD3ML'!Q112</f>
        <v>-1.0134794080351999E-9</v>
      </c>
      <c r="ET103">
        <f ca="1">'JACOBIAN - SWAP USD3ML'!R112</f>
        <v>8.9370216713180495E-9</v>
      </c>
      <c r="EU103">
        <f ca="1">'JACOBIAN - SWAP USD3ML'!S112</f>
        <v>-4.6552104587815897E-8</v>
      </c>
      <c r="EV103">
        <f ca="1">'JACOBIAN - SWAP USD3ML'!T112</f>
        <v>2.0247859037689201E-7</v>
      </c>
      <c r="EW103">
        <f ca="1">'JACOBIAN - SWAP USD3ML'!U112</f>
        <v>-4.5180496530822202E-7</v>
      </c>
      <c r="EX103">
        <f ca="1">'JACOBIAN - SWAP USD3ML'!V112</f>
        <v>9.9969879232067502E-7</v>
      </c>
      <c r="EY103">
        <f ca="1">'JACOBIAN - SWAP USD3ML'!W112</f>
        <v>-2.4034261956462599E-6</v>
      </c>
      <c r="EZ103">
        <f ca="1">'JACOBIAN - SWAP USD3ML'!X112</f>
        <v>-5.5863844712232904E-4</v>
      </c>
      <c r="FA103">
        <f ca="1">'JACOBIAN - SWAP USD3ML'!Y112</f>
        <v>7.61934589671998E-4</v>
      </c>
      <c r="FB103">
        <f ca="1">'JACOBIAN - SWAP USD3ML'!Z112</f>
        <v>-1.03277096676877E-4</v>
      </c>
    </row>
    <row r="104" spans="24:158" x14ac:dyDescent="0.25">
      <c r="X104" s="258">
        <f t="shared" ca="1" si="113"/>
        <v>51852</v>
      </c>
      <c r="Y104" s="261">
        <v>0</v>
      </c>
      <c r="AA104" s="257">
        <f t="shared" ca="1" si="110"/>
        <v>51852</v>
      </c>
      <c r="AB104" s="266">
        <f t="shared" ca="1" si="114"/>
        <v>-1.5258544203431428E-3</v>
      </c>
      <c r="AC104" s="266"/>
      <c r="AD104" s="290">
        <f ca="1"/>
        <v>51852</v>
      </c>
      <c r="AE104" s="291">
        <f ca="1"/>
        <v>-1.5258544203431423E-3</v>
      </c>
      <c r="AF104" s="291" t="b">
        <f t="shared" ca="1" si="111"/>
        <v>1</v>
      </c>
      <c r="AH104" s="257">
        <f t="shared" ca="1" si="115"/>
        <v>51852</v>
      </c>
      <c r="AI104" s="260">
        <v>0</v>
      </c>
      <c r="AK104" s="290">
        <f ca="1"/>
        <v>51852</v>
      </c>
      <c r="AL104" s="291">
        <f ca="1"/>
        <v>9.8322677978046613E-5</v>
      </c>
      <c r="AM104" s="291" t="b">
        <f t="shared" ca="1" si="116"/>
        <v>1</v>
      </c>
      <c r="AO104" s="257">
        <f t="shared" ca="1" si="117"/>
        <v>51852</v>
      </c>
      <c r="AP104" s="266">
        <f t="shared" ca="1" si="112"/>
        <v>9.8322677978046762E-5</v>
      </c>
      <c r="AR104" s="248">
        <f ca="1">'JACOBIAN - OIS USDOIS'!B113</f>
        <v>51852</v>
      </c>
      <c r="AS104">
        <f ca="1">'JACOBIAN - OIS USDOIS'!C113</f>
        <v>-7.6718166108769005E-7</v>
      </c>
      <c r="AT104">
        <f ca="1">'JACOBIAN - OIS USDOIS'!D113</f>
        <v>8.5472184885304601E-11</v>
      </c>
      <c r="AU104">
        <f ca="1">'JACOBIAN - OIS USDOIS'!E113</f>
        <v>-3.4256975034452399E-10</v>
      </c>
      <c r="AV104">
        <f ca="1">'JACOBIAN - OIS USDOIS'!F113</f>
        <v>9.0164220534205697E-10</v>
      </c>
      <c r="AW104">
        <f ca="1">'JACOBIAN - OIS USDOIS'!G113</f>
        <v>-1.16012155437772E-9</v>
      </c>
      <c r="AX104">
        <f ca="1">'JACOBIAN - OIS USDOIS'!H113</f>
        <v>2.6247318762884199E-9</v>
      </c>
      <c r="AY104">
        <f ca="1">'JACOBIAN - OIS USDOIS'!I113</f>
        <v>-1.85667113905552E-8</v>
      </c>
      <c r="AZ104">
        <f ca="1">'JACOBIAN - OIS USDOIS'!J113</f>
        <v>3.20791567753886E-8</v>
      </c>
      <c r="BA104">
        <f ca="1">'JACOBIAN - OIS USDOIS'!K113</f>
        <v>-1.2350633571411899E-7</v>
      </c>
      <c r="BB104">
        <f ca="1">'JACOBIAN - OIS USDOIS'!L113</f>
        <v>5.08057386716665E-7</v>
      </c>
      <c r="BC104">
        <f ca="1">'JACOBIAN - OIS USDOIS'!M113</f>
        <v>-4.2203365457904601E-7</v>
      </c>
      <c r="BD104">
        <f ca="1">'JACOBIAN - OIS USDOIS'!N113</f>
        <v>1.12909681604378E-13</v>
      </c>
      <c r="BE104">
        <f ca="1">'JACOBIAN - OIS USDOIS'!O113</f>
        <v>1.12909681604378E-13</v>
      </c>
      <c r="BF104">
        <f ca="1">'JACOBIAN - OIS USDOIS'!P113</f>
        <v>1.12909681604378E-13</v>
      </c>
      <c r="BG104">
        <f ca="1">'JACOBIAN - OIS USDOIS'!Q113</f>
        <v>1.12909681604378E-13</v>
      </c>
      <c r="BH104">
        <f ca="1">'JACOBIAN - OIS USDOIS'!R113</f>
        <v>1.12909681604378E-13</v>
      </c>
      <c r="BI104" s="161">
        <f ca="1">'JACOBIAN - OIS USDOIS'!S113</f>
        <v>-1.25884544133203E-6</v>
      </c>
      <c r="BJ104" s="161">
        <f ca="1">'JACOBIAN - OIS USDOIS'!T113</f>
        <v>-2.6787513883741501E-6</v>
      </c>
      <c r="BK104" s="161">
        <f ca="1">'JACOBIAN - OIS USDOIS'!U113</f>
        <v>-3.8661526757799402E-6</v>
      </c>
      <c r="BL104" s="161">
        <f ca="1">'JACOBIAN - OIS USDOIS'!V113</f>
        <v>-1.9148390782985901E-6</v>
      </c>
      <c r="BM104" s="161">
        <f ca="1">'JACOBIAN - OIS USDOIS'!W113</f>
        <v>-1.37239660825683E-5</v>
      </c>
      <c r="BN104" s="161">
        <f ca="1">'JACOBIAN - OIS USDOIS'!X113</f>
        <v>-1.4161234124454601E-5</v>
      </c>
      <c r="BO104" s="161">
        <f ca="1">'JACOBIAN - OIS USDOIS'!Y113</f>
        <v>-9.1033969304432597E-5</v>
      </c>
      <c r="BP104" s="161">
        <f ca="1">'JACOBIAN - OIS USDOIS'!Z113</f>
        <v>1.36249961906643E-4</v>
      </c>
      <c r="BQ104" s="161">
        <f ca="1">'JACOBIAN - OIS USDOIS'!AA113</f>
        <v>-4.1938268329622097E-4</v>
      </c>
      <c r="BR104" s="161">
        <f ca="1">'JACOBIAN - OIS USDOIS'!AB113</f>
        <v>1.2585333568895199E-3</v>
      </c>
      <c r="BS104" s="161">
        <f ca="1">'JACOBIAN - OIS USDOIS'!AC113</f>
        <v>8.2311973220183798E-4</v>
      </c>
      <c r="BT104" s="161">
        <f ca="1">'JACOBIAN - OIS USDOIS'!AD113</f>
        <v>-1.19502364972712E-4</v>
      </c>
      <c r="BU104">
        <f ca="1">'JACOBIAN - OIS USDOIS'!AE113</f>
        <v>1.2357684521235899E-6</v>
      </c>
      <c r="BV104">
        <f ca="1">'JACOBIAN - OIS USDOIS'!AF113</f>
        <v>2.6338078478183002E-6</v>
      </c>
      <c r="BW104">
        <f ca="1">'JACOBIAN - OIS USDOIS'!AG113</f>
        <v>3.8036720438894299E-6</v>
      </c>
      <c r="BX104">
        <f ca="1">'JACOBIAN - OIS USDOIS'!AH113</f>
        <v>1.8825074422634801E-6</v>
      </c>
      <c r="BY104">
        <f ca="1">'JACOBIAN - OIS USDOIS'!AI113</f>
        <v>1.3496234982923699E-5</v>
      </c>
      <c r="BZ104">
        <f ca="1">'JACOBIAN - OIS USDOIS'!AJ113</f>
        <v>1.3922509540575901E-5</v>
      </c>
      <c r="CA104">
        <f ca="1">'JACOBIAN - OIS USDOIS'!AK113</f>
        <v>8.9587544807479005E-5</v>
      </c>
      <c r="CB104">
        <f ca="1">'JACOBIAN - OIS USDOIS'!AL113</f>
        <v>-1.3421691342985201E-4</v>
      </c>
      <c r="CC104">
        <f ca="1">'JACOBIAN - OIS USDOIS'!AM113</f>
        <v>4.1314246776635898E-4</v>
      </c>
      <c r="CD104">
        <f ca="1">'JACOBIAN - OIS USDOIS'!AN113</f>
        <v>-1.23791549249086E-3</v>
      </c>
      <c r="CE104">
        <f ca="1">'JACOBIAN - OIS USDOIS'!AO113</f>
        <v>-8.1058624829000202E-4</v>
      </c>
      <c r="CF104">
        <f ca="1">'JACOBIAN - OIS USDOIS'!AP113</f>
        <v>1.17948763083908E-4</v>
      </c>
      <c r="CK104" s="248">
        <f t="shared" ca="1" si="118"/>
        <v>51852</v>
      </c>
      <c r="CL104">
        <f t="shared" ca="1" si="119"/>
        <v>-7.6718166108769005E-7</v>
      </c>
      <c r="CM104">
        <f t="shared" ca="1" si="120"/>
        <v>8.5472184885304601E-11</v>
      </c>
      <c r="CN104">
        <f t="shared" ca="1" si="121"/>
        <v>-3.4256975034452399E-10</v>
      </c>
      <c r="CO104">
        <f t="shared" ca="1" si="122"/>
        <v>9.0164220534205697E-10</v>
      </c>
      <c r="CP104">
        <f t="shared" ca="1" si="123"/>
        <v>-1.16012155437772E-9</v>
      </c>
      <c r="CQ104">
        <f t="shared" ca="1" si="124"/>
        <v>2.6247318762884199E-9</v>
      </c>
      <c r="CR104">
        <f t="shared" ca="1" si="125"/>
        <v>-1.85667113905552E-8</v>
      </c>
      <c r="CS104">
        <f t="shared" ca="1" si="126"/>
        <v>3.20791567753886E-8</v>
      </c>
      <c r="CT104">
        <f t="shared" ca="1" si="127"/>
        <v>-1.2350633571411899E-7</v>
      </c>
      <c r="CU104">
        <f t="shared" ca="1" si="128"/>
        <v>5.08057386716665E-7</v>
      </c>
      <c r="CV104">
        <f t="shared" ca="1" si="129"/>
        <v>-4.2203365457904601E-7</v>
      </c>
      <c r="CW104">
        <f t="shared" ca="1" si="130"/>
        <v>1.12909681604378E-13</v>
      </c>
      <c r="CX104">
        <f t="shared" ca="1" si="131"/>
        <v>1.12909681604378E-13</v>
      </c>
      <c r="CY104">
        <f t="shared" ca="1" si="132"/>
        <v>1.12909681604378E-13</v>
      </c>
      <c r="CZ104">
        <f t="shared" ca="1" si="133"/>
        <v>1.12909681604378E-13</v>
      </c>
      <c r="DA104">
        <f t="shared" ca="1" si="134"/>
        <v>1.12909681604378E-13</v>
      </c>
      <c r="DB104" s="146">
        <v>0</v>
      </c>
      <c r="DC104" s="146">
        <v>0</v>
      </c>
      <c r="DD104" s="146">
        <v>0</v>
      </c>
      <c r="DE104" s="146">
        <v>0</v>
      </c>
      <c r="DF104" s="146">
        <v>0</v>
      </c>
      <c r="DG104" s="146">
        <v>0</v>
      </c>
      <c r="DH104" s="146">
        <v>0</v>
      </c>
      <c r="DI104" s="146">
        <v>0</v>
      </c>
      <c r="DJ104" s="146">
        <v>0</v>
      </c>
      <c r="DK104" s="146">
        <v>0</v>
      </c>
      <c r="DL104" s="146">
        <v>0</v>
      </c>
      <c r="DM104" s="146">
        <v>0</v>
      </c>
      <c r="DN104">
        <f t="shared" ca="1" si="135"/>
        <v>1.2357684521235899E-6</v>
      </c>
      <c r="DO104">
        <f t="shared" ca="1" si="136"/>
        <v>2.6338078478183002E-6</v>
      </c>
      <c r="DP104">
        <f t="shared" ca="1" si="137"/>
        <v>3.8036720438894299E-6</v>
      </c>
      <c r="DQ104">
        <f t="shared" ca="1" si="138"/>
        <v>1.8825074422634801E-6</v>
      </c>
      <c r="DR104">
        <f t="shared" ca="1" si="139"/>
        <v>1.3496234982923699E-5</v>
      </c>
      <c r="DS104">
        <f t="shared" ca="1" si="140"/>
        <v>1.3922509540575901E-5</v>
      </c>
      <c r="DT104">
        <f t="shared" ca="1" si="141"/>
        <v>8.9587544807479005E-5</v>
      </c>
      <c r="DU104">
        <f t="shared" ca="1" si="142"/>
        <v>-1.3421691342985201E-4</v>
      </c>
      <c r="DV104">
        <f t="shared" ca="1" si="143"/>
        <v>4.1314246776635898E-4</v>
      </c>
      <c r="DW104">
        <f t="shared" ca="1" si="144"/>
        <v>-1.23791549249086E-3</v>
      </c>
      <c r="DX104">
        <f t="shared" ca="1" si="145"/>
        <v>-8.1058624829000202E-4</v>
      </c>
      <c r="DY104">
        <f t="shared" ca="1" si="146"/>
        <v>1.17948763083908E-4</v>
      </c>
      <c r="ED104" s="248">
        <f ca="1">'JACOBIAN - SWAP USD3ML'!B113</f>
        <v>51852</v>
      </c>
      <c r="EE104">
        <f ca="1">'JACOBIAN - SWAP USD3ML'!C113</f>
        <v>-8.7929663550312398E-14</v>
      </c>
      <c r="EF104">
        <f ca="1">'JACOBIAN - SWAP USD3ML'!D113</f>
        <v>-1.6433077121291701E-11</v>
      </c>
      <c r="EG104">
        <f ca="1">'JACOBIAN - SWAP USD3ML'!E113</f>
        <v>-3.4958702599396901E-12</v>
      </c>
      <c r="EH104">
        <f ca="1">'JACOBIAN - SWAP USD3ML'!F113</f>
        <v>-8.7929663550312398E-14</v>
      </c>
      <c r="EI104">
        <f ca="1">'JACOBIAN - SWAP USD3ML'!G113</f>
        <v>-2.7089441800853799E-13</v>
      </c>
      <c r="EJ104">
        <f ca="1">'JACOBIAN - SWAP USD3ML'!H113</f>
        <v>-1.6825651982799201E-11</v>
      </c>
      <c r="EK104">
        <f ca="1">'JACOBIAN - SWAP USD3ML'!I113</f>
        <v>-2.0094148567295601E-11</v>
      </c>
      <c r="EL104">
        <f ca="1">'JACOBIAN - SWAP USD3ML'!J113</f>
        <v>-1.9992008049030099E-11</v>
      </c>
      <c r="EM104">
        <f ca="1">'JACOBIAN - SWAP USD3ML'!K113</f>
        <v>-1.9898749314961599E-11</v>
      </c>
      <c r="EN104">
        <f ca="1">'JACOBIAN - SWAP USD3ML'!L113</f>
        <v>-1.9847234966618998E-11</v>
      </c>
      <c r="EO104">
        <f ca="1">'JACOBIAN - SWAP USD3ML'!M113</f>
        <v>-1.96527238927047E-11</v>
      </c>
      <c r="EP104">
        <f ca="1">'JACOBIAN - SWAP USD3ML'!N113</f>
        <v>-4.1669778738651101E-11</v>
      </c>
      <c r="EQ104">
        <f ca="1">'JACOBIAN - SWAP USD3ML'!O113</f>
        <v>1.01042196831713E-9</v>
      </c>
      <c r="ER104">
        <f ca="1">'JACOBIAN - SWAP USD3ML'!P113</f>
        <v>-4.8927590867720003E-9</v>
      </c>
      <c r="ES104">
        <f ca="1">'JACOBIAN - SWAP USD3ML'!Q113</f>
        <v>1.21895080695822E-8</v>
      </c>
      <c r="ET104">
        <f ca="1">'JACOBIAN - SWAP USD3ML'!R113</f>
        <v>-1.07556556550037E-7</v>
      </c>
      <c r="EU104">
        <f ca="1">'JACOBIAN - SWAP USD3ML'!S113</f>
        <v>5.6032797335348103E-7</v>
      </c>
      <c r="EV104">
        <f ca="1">'JACOBIAN - SWAP USD3ML'!T113</f>
        <v>-2.4370875850721101E-6</v>
      </c>
      <c r="EW104">
        <f ca="1">'JACOBIAN - SWAP USD3ML'!U113</f>
        <v>5.4359424206396099E-6</v>
      </c>
      <c r="EX104">
        <f ca="1">'JACOBIAN - SWAP USD3ML'!V113</f>
        <v>-1.20384273651908E-5</v>
      </c>
      <c r="EY104">
        <f ca="1">'JACOBIAN - SWAP USD3ML'!W113</f>
        <v>2.8883878088414901E-5</v>
      </c>
      <c r="EZ104">
        <f ca="1">'JACOBIAN - SWAP USD3ML'!X113</f>
        <v>-5.9690628252528899E-4</v>
      </c>
      <c r="FA104">
        <f ca="1">'JACOBIAN - SWAP USD3ML'!Y113</f>
        <v>7.6402581634216205E-4</v>
      </c>
      <c r="FB104">
        <f ca="1">'JACOBIAN - SWAP USD3ML'!Z113</f>
        <v>-8.9102061629375799E-5</v>
      </c>
    </row>
    <row r="105" spans="24:158" x14ac:dyDescent="0.25">
      <c r="X105" s="258">
        <f t="shared" ca="1" si="113"/>
        <v>51942</v>
      </c>
      <c r="Y105" s="261">
        <v>0</v>
      </c>
      <c r="AA105" s="257">
        <f t="shared" ca="1" si="110"/>
        <v>51942</v>
      </c>
      <c r="AB105" s="266">
        <f t="shared" ca="1" si="114"/>
        <v>-1.5362769037118289E-3</v>
      </c>
      <c r="AC105" s="266"/>
      <c r="AD105" s="290">
        <f ca="1"/>
        <v>51942</v>
      </c>
      <c r="AE105" s="291">
        <f ca="1"/>
        <v>-1.5362769037118307E-3</v>
      </c>
      <c r="AF105" s="291" t="b">
        <f t="shared" ca="1" si="111"/>
        <v>1</v>
      </c>
      <c r="AH105" s="257">
        <f t="shared" ca="1" si="115"/>
        <v>51942</v>
      </c>
      <c r="AI105" s="260">
        <v>0</v>
      </c>
      <c r="AK105" s="290">
        <f ca="1"/>
        <v>51942</v>
      </c>
      <c r="AL105" s="291">
        <f ca="1"/>
        <v>9.8335704858121264E-5</v>
      </c>
      <c r="AM105" s="291" t="b">
        <f t="shared" ca="1" si="116"/>
        <v>1</v>
      </c>
      <c r="AO105" s="257">
        <f t="shared" ca="1" si="117"/>
        <v>51942</v>
      </c>
      <c r="AP105" s="266">
        <f t="shared" ca="1" si="112"/>
        <v>9.833570485812079E-5</v>
      </c>
      <c r="AR105" s="248">
        <f ca="1">'JACOBIAN - OIS USDOIS'!B114</f>
        <v>51942</v>
      </c>
      <c r="AS105">
        <f ca="1">'JACOBIAN - OIS USDOIS'!C114</f>
        <v>-7.6384501257464897E-7</v>
      </c>
      <c r="AT105">
        <f ca="1">'JACOBIAN - OIS USDOIS'!D114</f>
        <v>8.4917739506806798E-11</v>
      </c>
      <c r="AU105">
        <f ca="1">'JACOBIAN - OIS USDOIS'!E114</f>
        <v>-3.4044322916315702E-10</v>
      </c>
      <c r="AV105">
        <f ca="1">'JACOBIAN - OIS USDOIS'!F114</f>
        <v>8.9598317654093803E-10</v>
      </c>
      <c r="AW105">
        <f ca="1">'JACOBIAN - OIS USDOIS'!G114</f>
        <v>-1.1528691334916601E-9</v>
      </c>
      <c r="AX105">
        <f ca="1">'JACOBIAN - OIS USDOIS'!H114</f>
        <v>2.6083111226426999E-9</v>
      </c>
      <c r="AY105">
        <f ca="1">'JACOBIAN - OIS USDOIS'!I114</f>
        <v>-1.8470803442305299E-8</v>
      </c>
      <c r="AZ105">
        <f ca="1">'JACOBIAN - OIS USDOIS'!J114</f>
        <v>3.1878714557009897E-8</v>
      </c>
      <c r="BA105">
        <f ca="1">'JACOBIAN - OIS USDOIS'!K114</f>
        <v>-1.22734745255926E-7</v>
      </c>
      <c r="BB105">
        <f ca="1">'JACOBIAN - OIS USDOIS'!L114</f>
        <v>5.0573469700942997E-7</v>
      </c>
      <c r="BC105">
        <f ca="1">'JACOBIAN - OIS USDOIS'!M114</f>
        <v>-4.1945755857586399E-7</v>
      </c>
      <c r="BD105">
        <f ca="1">'JACOBIAN - OIS USDOIS'!N114</f>
        <v>9.7144514654701197E-14</v>
      </c>
      <c r="BE105">
        <f ca="1">'JACOBIAN - OIS USDOIS'!O114</f>
        <v>9.7144514654701197E-14</v>
      </c>
      <c r="BF105">
        <f ca="1">'JACOBIAN - OIS USDOIS'!P114</f>
        <v>9.7144514654701197E-14</v>
      </c>
      <c r="BG105">
        <f ca="1">'JACOBIAN - OIS USDOIS'!Q114</f>
        <v>9.7144514654701197E-14</v>
      </c>
      <c r="BH105">
        <f ca="1">'JACOBIAN - OIS USDOIS'!R114</f>
        <v>9.7144514654701197E-14</v>
      </c>
      <c r="BI105" s="161">
        <f ca="1">'JACOBIAN - OIS USDOIS'!S114</f>
        <v>-1.2529743798062001E-6</v>
      </c>
      <c r="BJ105" s="161">
        <f ca="1">'JACOBIAN - OIS USDOIS'!T114</f>
        <v>-2.6715853358449901E-6</v>
      </c>
      <c r="BK105" s="161">
        <f ca="1">'JACOBIAN - OIS USDOIS'!U114</f>
        <v>-3.8429823849828199E-6</v>
      </c>
      <c r="BL105" s="161">
        <f ca="1">'JACOBIAN - OIS USDOIS'!V114</f>
        <v>-1.9452985756673898E-6</v>
      </c>
      <c r="BM105" s="161">
        <f ca="1">'JACOBIAN - OIS USDOIS'!W114</f>
        <v>-1.3600194396334899E-5</v>
      </c>
      <c r="BN105" s="161">
        <f ca="1">'JACOBIAN - OIS USDOIS'!X114</f>
        <v>-1.42486982515067E-5</v>
      </c>
      <c r="BO105" s="161">
        <f ca="1">'JACOBIAN - OIS USDOIS'!Y114</f>
        <v>-9.0026979986834705E-5</v>
      </c>
      <c r="BP105" s="161">
        <f ca="1">'JACOBIAN - OIS USDOIS'!Z114</f>
        <v>1.3380656274952801E-4</v>
      </c>
      <c r="BQ105" s="161">
        <f ca="1">'JACOBIAN - OIS USDOIS'!AA114</f>
        <v>-4.13963299325526E-4</v>
      </c>
      <c r="BR105" s="161">
        <f ca="1">'JACOBIAN - OIS USDOIS'!AB114</f>
        <v>1.1534078362603901E-3</v>
      </c>
      <c r="BS105" s="161">
        <f ca="1">'JACOBIAN - OIS USDOIS'!AC114</f>
        <v>9.4702195134555001E-4</v>
      </c>
      <c r="BT105" s="161">
        <f ca="1">'JACOBIAN - OIS USDOIS'!AD114</f>
        <v>-1.3183190836607599E-4</v>
      </c>
      <c r="BU105">
        <f ca="1">'JACOBIAN - OIS USDOIS'!AE114</f>
        <v>1.2300046691171601E-6</v>
      </c>
      <c r="BV105">
        <f ca="1">'JACOBIAN - OIS USDOIS'!AF114</f>
        <v>2.6267623135511901E-6</v>
      </c>
      <c r="BW105">
        <f ca="1">'JACOBIAN - OIS USDOIS'!AG114</f>
        <v>3.7808745471101801E-6</v>
      </c>
      <c r="BX105">
        <f ca="1">'JACOBIAN - OIS USDOIS'!AH114</f>
        <v>1.9124945158655E-6</v>
      </c>
      <c r="BY105">
        <f ca="1">'JACOBIAN - OIS USDOIS'!AI114</f>
        <v>1.33744744011954E-5</v>
      </c>
      <c r="BZ105">
        <f ca="1">'JACOBIAN - OIS USDOIS'!AJ114</f>
        <v>1.40086610042056E-5</v>
      </c>
      <c r="CA105">
        <f ca="1">'JACOBIAN - OIS USDOIS'!AK114</f>
        <v>8.8596233181581496E-5</v>
      </c>
      <c r="CB105">
        <f ca="1">'JACOBIAN - OIS USDOIS'!AL114</f>
        <v>-1.3181132785156099E-4</v>
      </c>
      <c r="CC105">
        <f ca="1">'JACOBIAN - OIS USDOIS'!AM114</f>
        <v>4.07799897468974E-4</v>
      </c>
      <c r="CD105">
        <f ca="1">'JACOBIAN - OIS USDOIS'!AN114</f>
        <v>-1.1346993757178599E-3</v>
      </c>
      <c r="CE105">
        <f ca="1">'JACOBIAN - OIS USDOIS'!AO114</f>
        <v>-9.3243121527830696E-4</v>
      </c>
      <c r="CF105">
        <f ca="1">'JACOBIAN - OIS USDOIS'!AP114</f>
        <v>1.3012041135718199E-4</v>
      </c>
      <c r="CK105" s="248">
        <f t="shared" ca="1" si="118"/>
        <v>51942</v>
      </c>
      <c r="CL105">
        <f t="shared" ca="1" si="119"/>
        <v>-7.6384501257464897E-7</v>
      </c>
      <c r="CM105">
        <f t="shared" ca="1" si="120"/>
        <v>8.4917739506806798E-11</v>
      </c>
      <c r="CN105">
        <f t="shared" ca="1" si="121"/>
        <v>-3.4044322916315702E-10</v>
      </c>
      <c r="CO105">
        <f t="shared" ca="1" si="122"/>
        <v>8.9598317654093803E-10</v>
      </c>
      <c r="CP105">
        <f t="shared" ca="1" si="123"/>
        <v>-1.1528691334916601E-9</v>
      </c>
      <c r="CQ105">
        <f t="shared" ca="1" si="124"/>
        <v>2.6083111226426999E-9</v>
      </c>
      <c r="CR105">
        <f t="shared" ca="1" si="125"/>
        <v>-1.8470803442305299E-8</v>
      </c>
      <c r="CS105">
        <f t="shared" ca="1" si="126"/>
        <v>3.1878714557009897E-8</v>
      </c>
      <c r="CT105">
        <f t="shared" ca="1" si="127"/>
        <v>-1.22734745255926E-7</v>
      </c>
      <c r="CU105">
        <f t="shared" ca="1" si="128"/>
        <v>5.0573469700942997E-7</v>
      </c>
      <c r="CV105">
        <f t="shared" ca="1" si="129"/>
        <v>-4.1945755857586399E-7</v>
      </c>
      <c r="CW105">
        <f t="shared" ca="1" si="130"/>
        <v>9.7144514654701197E-14</v>
      </c>
      <c r="CX105">
        <f t="shared" ca="1" si="131"/>
        <v>9.7144514654701197E-14</v>
      </c>
      <c r="CY105">
        <f t="shared" ca="1" si="132"/>
        <v>9.7144514654701197E-14</v>
      </c>
      <c r="CZ105">
        <f t="shared" ca="1" si="133"/>
        <v>9.7144514654701197E-14</v>
      </c>
      <c r="DA105">
        <f t="shared" ca="1" si="134"/>
        <v>9.7144514654701197E-14</v>
      </c>
      <c r="DB105" s="146">
        <v>0</v>
      </c>
      <c r="DC105" s="146">
        <v>0</v>
      </c>
      <c r="DD105" s="146">
        <v>0</v>
      </c>
      <c r="DE105" s="146">
        <v>0</v>
      </c>
      <c r="DF105" s="146">
        <v>0</v>
      </c>
      <c r="DG105" s="146">
        <v>0</v>
      </c>
      <c r="DH105" s="146">
        <v>0</v>
      </c>
      <c r="DI105" s="146">
        <v>0</v>
      </c>
      <c r="DJ105" s="146">
        <v>0</v>
      </c>
      <c r="DK105" s="146">
        <v>0</v>
      </c>
      <c r="DL105" s="146">
        <v>0</v>
      </c>
      <c r="DM105" s="146">
        <v>0</v>
      </c>
      <c r="DN105">
        <f t="shared" ca="1" si="135"/>
        <v>1.2300046691171601E-6</v>
      </c>
      <c r="DO105">
        <f t="shared" ca="1" si="136"/>
        <v>2.6267623135511901E-6</v>
      </c>
      <c r="DP105">
        <f t="shared" ca="1" si="137"/>
        <v>3.7808745471101801E-6</v>
      </c>
      <c r="DQ105">
        <f t="shared" ca="1" si="138"/>
        <v>1.9124945158655E-6</v>
      </c>
      <c r="DR105">
        <f t="shared" ca="1" si="139"/>
        <v>1.33744744011954E-5</v>
      </c>
      <c r="DS105">
        <f t="shared" ca="1" si="140"/>
        <v>1.40086610042056E-5</v>
      </c>
      <c r="DT105">
        <f t="shared" ca="1" si="141"/>
        <v>8.8596233181581496E-5</v>
      </c>
      <c r="DU105">
        <f t="shared" ca="1" si="142"/>
        <v>-1.3181132785156099E-4</v>
      </c>
      <c r="DV105">
        <f t="shared" ca="1" si="143"/>
        <v>4.07799897468974E-4</v>
      </c>
      <c r="DW105">
        <f t="shared" ca="1" si="144"/>
        <v>-1.1346993757178599E-3</v>
      </c>
      <c r="DX105">
        <f t="shared" ca="1" si="145"/>
        <v>-9.3243121527830696E-4</v>
      </c>
      <c r="DY105">
        <f t="shared" ca="1" si="146"/>
        <v>1.3012041135718199E-4</v>
      </c>
      <c r="ED105" s="248">
        <f ca="1">'JACOBIAN - SWAP USD3ML'!B114</f>
        <v>51942</v>
      </c>
      <c r="EE105">
        <f ca="1">'JACOBIAN - SWAP USD3ML'!C114</f>
        <v>-1.4683740334753299E-13</v>
      </c>
      <c r="EF105">
        <f ca="1">'JACOBIAN - SWAP USD3ML'!D114</f>
        <v>-3.4361208323119298E-11</v>
      </c>
      <c r="EG105">
        <f ca="1">'JACOBIAN - SWAP USD3ML'!E114</f>
        <v>-4.5050907448995799E-12</v>
      </c>
      <c r="EH105">
        <f ca="1">'JACOBIAN - SWAP USD3ML'!F114</f>
        <v>-1.4683740334753299E-13</v>
      </c>
      <c r="EI105">
        <f ca="1">'JACOBIAN - SWAP USD3ML'!G114</f>
        <v>-5.2653367776933605E-13</v>
      </c>
      <c r="EJ105">
        <f ca="1">'JACOBIAN - SWAP USD3ML'!H114</f>
        <v>-3.4813887883622398E-11</v>
      </c>
      <c r="EK105">
        <f ca="1">'JACOBIAN - SWAP USD3ML'!I114</f>
        <v>-3.8945367764053897E-11</v>
      </c>
      <c r="EL105">
        <f ca="1">'JACOBIAN - SWAP USD3ML'!J114</f>
        <v>-3.8771593574571403E-11</v>
      </c>
      <c r="EM105">
        <f ca="1">'JACOBIAN - SWAP USD3ML'!K114</f>
        <v>-3.8610850627840401E-11</v>
      </c>
      <c r="EN105">
        <f ca="1">'JACOBIAN - SWAP USD3ML'!L114</f>
        <v>-3.85039812533794E-11</v>
      </c>
      <c r="EO105">
        <f ca="1">'JACOBIAN - SWAP USD3ML'!M114</f>
        <v>-3.8133843305310203E-11</v>
      </c>
      <c r="EP105">
        <f ca="1">'JACOBIAN - SWAP USD3ML'!N114</f>
        <v>-8.1440940796761994E-11</v>
      </c>
      <c r="EQ105">
        <f ca="1">'JACOBIAN - SWAP USD3ML'!O114</f>
        <v>1.9737237955119699E-9</v>
      </c>
      <c r="ER105">
        <f ca="1">'JACOBIAN - SWAP USD3ML'!P114</f>
        <v>-9.5550697770674392E-9</v>
      </c>
      <c r="ES105">
        <f ca="1">'JACOBIAN - SWAP USD3ML'!Q114</f>
        <v>2.38045174891233E-8</v>
      </c>
      <c r="ET105">
        <f ca="1">'JACOBIAN - SWAP USD3ML'!R114</f>
        <v>-2.1003908351468999E-7</v>
      </c>
      <c r="EU105">
        <f ca="1">'JACOBIAN - SWAP USD3ML'!S114</f>
        <v>1.09421663469292E-6</v>
      </c>
      <c r="EV105">
        <f ca="1">'JACOBIAN - SWAP USD3ML'!T114</f>
        <v>-4.7591827930723602E-6</v>
      </c>
      <c r="EW105">
        <f ca="1">'JACOBIAN - SWAP USD3ML'!U114</f>
        <v>1.06155590491909E-5</v>
      </c>
      <c r="EX105">
        <f ca="1">'JACOBIAN - SWAP USD3ML'!V114</f>
        <v>-2.3508375283809399E-5</v>
      </c>
      <c r="EY105">
        <f ca="1">'JACOBIAN - SWAP USD3ML'!W114</f>
        <v>5.6408383290438403E-5</v>
      </c>
      <c r="EZ105">
        <f ca="1">'JACOBIAN - SWAP USD3ML'!X114</f>
        <v>-6.2697458315542605E-4</v>
      </c>
      <c r="FA105">
        <f ca="1">'JACOBIAN - SWAP USD3ML'!Y114</f>
        <v>7.5674717646158698E-4</v>
      </c>
      <c r="FB105">
        <f ca="1">'JACOBIAN - SWAP USD3ML'!Z114</f>
        <v>-7.1093324526500703E-5</v>
      </c>
    </row>
    <row r="106" spans="24:158" x14ac:dyDescent="0.25">
      <c r="X106" s="258">
        <f t="shared" ca="1" si="113"/>
        <v>52034</v>
      </c>
      <c r="Y106" s="261">
        <v>0</v>
      </c>
      <c r="AA106" s="257">
        <f t="shared" ca="1" si="110"/>
        <v>52034</v>
      </c>
      <c r="AB106" s="266">
        <f t="shared" ca="1" si="114"/>
        <v>-1.5468002732185195E-3</v>
      </c>
      <c r="AC106" s="266"/>
      <c r="AD106" s="290">
        <f ca="1"/>
        <v>52034</v>
      </c>
      <c r="AE106" s="291">
        <f ca="1"/>
        <v>-1.5468002732185182E-3</v>
      </c>
      <c r="AF106" s="291" t="b">
        <f t="shared" ca="1" si="111"/>
        <v>1</v>
      </c>
      <c r="AH106" s="257">
        <f t="shared" ca="1" si="115"/>
        <v>52034</v>
      </c>
      <c r="AI106" s="260">
        <v>0</v>
      </c>
      <c r="AK106" s="290">
        <f ca="1"/>
        <v>52034</v>
      </c>
      <c r="AL106" s="291">
        <f ca="1"/>
        <v>9.833307363414992E-5</v>
      </c>
      <c r="AM106" s="291" t="b">
        <f t="shared" ca="1" si="116"/>
        <v>1</v>
      </c>
      <c r="AO106" s="257">
        <f t="shared" ca="1" si="117"/>
        <v>52034</v>
      </c>
      <c r="AP106" s="266">
        <f t="shared" ca="1" si="112"/>
        <v>9.8333073634149961E-5</v>
      </c>
      <c r="AR106" s="248">
        <f ca="1">'JACOBIAN - OIS USDOIS'!B115</f>
        <v>52034</v>
      </c>
      <c r="AS106">
        <f ca="1">'JACOBIAN - OIS USDOIS'!C115</f>
        <v>-7.6046175911947998E-7</v>
      </c>
      <c r="AT106">
        <f ca="1">'JACOBIAN - OIS USDOIS'!D115</f>
        <v>8.3842266462852396E-11</v>
      </c>
      <c r="AU106">
        <f ca="1">'JACOBIAN - OIS USDOIS'!E115</f>
        <v>-3.3623570594443198E-10</v>
      </c>
      <c r="AV106">
        <f ca="1">'JACOBIAN - OIS USDOIS'!F115</f>
        <v>8.8484053417659001E-10</v>
      </c>
      <c r="AW106">
        <f ca="1">'JACOBIAN - OIS USDOIS'!G115</f>
        <v>-1.1385602460833901E-9</v>
      </c>
      <c r="AX106">
        <f ca="1">'JACOBIAN - OIS USDOIS'!H115</f>
        <v>2.5759289146165501E-9</v>
      </c>
      <c r="AY106">
        <f ca="1">'JACOBIAN - OIS USDOIS'!I115</f>
        <v>-1.83209917237193E-8</v>
      </c>
      <c r="AZ106">
        <f ca="1">'JACOBIAN - OIS USDOIS'!J115</f>
        <v>3.1483202045379198E-8</v>
      </c>
      <c r="BA106">
        <f ca="1">'JACOBIAN - OIS USDOIS'!K115</f>
        <v>-1.2121217851657199E-7</v>
      </c>
      <c r="BB106">
        <f ca="1">'JACOBIAN - OIS USDOIS'!L115</f>
        <v>5.0224056091785496E-7</v>
      </c>
      <c r="BC106">
        <f ca="1">'JACOBIAN - OIS USDOIS'!M115</f>
        <v>-4.14493102285363E-7</v>
      </c>
      <c r="BD106">
        <f ca="1">'JACOBIAN - OIS USDOIS'!N115</f>
        <v>8.1934459217336603E-14</v>
      </c>
      <c r="BE106">
        <f ca="1">'JACOBIAN - OIS USDOIS'!O115</f>
        <v>8.1934459217336603E-14</v>
      </c>
      <c r="BF106">
        <f ca="1">'JACOBIAN - OIS USDOIS'!P115</f>
        <v>8.1934459217336603E-14</v>
      </c>
      <c r="BG106">
        <f ca="1">'JACOBIAN - OIS USDOIS'!Q115</f>
        <v>8.1934459217336603E-14</v>
      </c>
      <c r="BH106">
        <f ca="1">'JACOBIAN - OIS USDOIS'!R115</f>
        <v>8.1934459217336603E-14</v>
      </c>
      <c r="BI106" s="161">
        <f ca="1">'JACOBIAN - OIS USDOIS'!S115</f>
        <v>-1.2439092614835401E-6</v>
      </c>
      <c r="BJ106" s="161">
        <f ca="1">'JACOBIAN - OIS USDOIS'!T115</f>
        <v>-2.6693194916660399E-6</v>
      </c>
      <c r="BK106" s="161">
        <f ca="1">'JACOBIAN - OIS USDOIS'!U115</f>
        <v>-3.8004817330961099E-6</v>
      </c>
      <c r="BL106" s="161">
        <f ca="1">'JACOBIAN - OIS USDOIS'!V115</f>
        <v>-2.0462525524012099E-6</v>
      </c>
      <c r="BM106" s="161">
        <f ca="1">'JACOBIAN - OIS USDOIS'!W115</f>
        <v>-1.33335058762896E-5</v>
      </c>
      <c r="BN106" s="161">
        <f ca="1">'JACOBIAN - OIS USDOIS'!X115</f>
        <v>-1.4595211431989201E-5</v>
      </c>
      <c r="BO106" s="161">
        <f ca="1">'JACOBIAN - OIS USDOIS'!Y115</f>
        <v>-8.7718372454470602E-5</v>
      </c>
      <c r="BP106" s="161">
        <f ca="1">'JACOBIAN - OIS USDOIS'!Z115</f>
        <v>1.27646234941214E-4</v>
      </c>
      <c r="BQ106" s="161">
        <f ca="1">'JACOBIAN - OIS USDOIS'!AA115</f>
        <v>-4.01074978806037E-4</v>
      </c>
      <c r="BR106" s="161">
        <f ca="1">'JACOBIAN - OIS USDOIS'!AB115</f>
        <v>1.03834855096752E-3</v>
      </c>
      <c r="BS106" s="161">
        <f ca="1">'JACOBIAN - OIS USDOIS'!AC115</f>
        <v>1.0741600669702501E-3</v>
      </c>
      <c r="BT106" s="161">
        <f ca="1">'JACOBIAN - OIS USDOIS'!AD115</f>
        <v>-1.42202116656165E-4</v>
      </c>
      <c r="BU106">
        <f ca="1">'JACOBIAN - OIS USDOIS'!AE115</f>
        <v>1.22110469735759E-6</v>
      </c>
      <c r="BV106">
        <f ca="1">'JACOBIAN - OIS USDOIS'!AF115</f>
        <v>2.6245355765341901E-6</v>
      </c>
      <c r="BW106">
        <f ca="1">'JACOBIAN - OIS USDOIS'!AG115</f>
        <v>3.7390568172757099E-6</v>
      </c>
      <c r="BX106">
        <f ca="1">'JACOBIAN - OIS USDOIS'!AH115</f>
        <v>2.0118663350832101E-6</v>
      </c>
      <c r="BY106">
        <f ca="1">'JACOBIAN - OIS USDOIS'!AI115</f>
        <v>1.31120882628233E-5</v>
      </c>
      <c r="BZ106">
        <f ca="1">'JACOBIAN - OIS USDOIS'!AJ115</f>
        <v>1.4349803045155E-5</v>
      </c>
      <c r="CA106">
        <f ca="1">'JACOBIAN - OIS USDOIS'!AK115</f>
        <v>8.6323387158193695E-5</v>
      </c>
      <c r="CB106">
        <f ca="1">'JACOBIAN - OIS USDOIS'!AL115</f>
        <v>-1.25746663083626E-4</v>
      </c>
      <c r="CC106">
        <f ca="1">'JACOBIAN - OIS USDOIS'!AM115</f>
        <v>3.9509277443594603E-4</v>
      </c>
      <c r="CD106">
        <f ca="1">'JACOBIAN - OIS USDOIS'!AN115</f>
        <v>-1.0216971513194999E-3</v>
      </c>
      <c r="CE106">
        <f ca="1">'JACOBIAN - OIS USDOIS'!AO115</f>
        <v>-1.0574105715643899E-3</v>
      </c>
      <c r="CF106">
        <f ca="1">'JACOBIAN - OIS USDOIS'!AP115</f>
        <v>1.4035819046387399E-4</v>
      </c>
      <c r="CK106" s="248">
        <f t="shared" ca="1" si="118"/>
        <v>52034</v>
      </c>
      <c r="CL106">
        <f t="shared" ca="1" si="119"/>
        <v>-7.6046175911947998E-7</v>
      </c>
      <c r="CM106">
        <f t="shared" ca="1" si="120"/>
        <v>8.3842266462852396E-11</v>
      </c>
      <c r="CN106">
        <f t="shared" ca="1" si="121"/>
        <v>-3.3623570594443198E-10</v>
      </c>
      <c r="CO106">
        <f t="shared" ca="1" si="122"/>
        <v>8.8484053417659001E-10</v>
      </c>
      <c r="CP106">
        <f t="shared" ca="1" si="123"/>
        <v>-1.1385602460833901E-9</v>
      </c>
      <c r="CQ106">
        <f t="shared" ca="1" si="124"/>
        <v>2.5759289146165501E-9</v>
      </c>
      <c r="CR106">
        <f t="shared" ca="1" si="125"/>
        <v>-1.83209917237193E-8</v>
      </c>
      <c r="CS106">
        <f t="shared" ca="1" si="126"/>
        <v>3.1483202045379198E-8</v>
      </c>
      <c r="CT106">
        <f t="shared" ca="1" si="127"/>
        <v>-1.2121217851657199E-7</v>
      </c>
      <c r="CU106">
        <f t="shared" ca="1" si="128"/>
        <v>5.0224056091785496E-7</v>
      </c>
      <c r="CV106">
        <f t="shared" ca="1" si="129"/>
        <v>-4.14493102285363E-7</v>
      </c>
      <c r="CW106">
        <f t="shared" ca="1" si="130"/>
        <v>8.1934459217336603E-14</v>
      </c>
      <c r="CX106">
        <f t="shared" ca="1" si="131"/>
        <v>8.1934459217336603E-14</v>
      </c>
      <c r="CY106">
        <f t="shared" ca="1" si="132"/>
        <v>8.1934459217336603E-14</v>
      </c>
      <c r="CZ106">
        <f t="shared" ca="1" si="133"/>
        <v>8.1934459217336603E-14</v>
      </c>
      <c r="DA106">
        <f t="shared" ca="1" si="134"/>
        <v>8.1934459217336603E-14</v>
      </c>
      <c r="DB106" s="146">
        <v>0</v>
      </c>
      <c r="DC106" s="146">
        <v>0</v>
      </c>
      <c r="DD106" s="146">
        <v>0</v>
      </c>
      <c r="DE106" s="146">
        <v>0</v>
      </c>
      <c r="DF106" s="146">
        <v>0</v>
      </c>
      <c r="DG106" s="146">
        <v>0</v>
      </c>
      <c r="DH106" s="146">
        <v>0</v>
      </c>
      <c r="DI106" s="146">
        <v>0</v>
      </c>
      <c r="DJ106" s="146">
        <v>0</v>
      </c>
      <c r="DK106" s="146">
        <v>0</v>
      </c>
      <c r="DL106" s="146">
        <v>0</v>
      </c>
      <c r="DM106" s="146">
        <v>0</v>
      </c>
      <c r="DN106">
        <f t="shared" ca="1" si="135"/>
        <v>1.22110469735759E-6</v>
      </c>
      <c r="DO106">
        <f t="shared" ca="1" si="136"/>
        <v>2.6245355765341901E-6</v>
      </c>
      <c r="DP106">
        <f t="shared" ca="1" si="137"/>
        <v>3.7390568172757099E-6</v>
      </c>
      <c r="DQ106">
        <f t="shared" ca="1" si="138"/>
        <v>2.0118663350832101E-6</v>
      </c>
      <c r="DR106">
        <f t="shared" ca="1" si="139"/>
        <v>1.31120882628233E-5</v>
      </c>
      <c r="DS106">
        <f t="shared" ca="1" si="140"/>
        <v>1.4349803045155E-5</v>
      </c>
      <c r="DT106">
        <f t="shared" ca="1" si="141"/>
        <v>8.6323387158193695E-5</v>
      </c>
      <c r="DU106">
        <f t="shared" ca="1" si="142"/>
        <v>-1.25746663083626E-4</v>
      </c>
      <c r="DV106">
        <f t="shared" ca="1" si="143"/>
        <v>3.9509277443594603E-4</v>
      </c>
      <c r="DW106">
        <f t="shared" ca="1" si="144"/>
        <v>-1.0216971513194999E-3</v>
      </c>
      <c r="DX106">
        <f t="shared" ca="1" si="145"/>
        <v>-1.0574105715643899E-3</v>
      </c>
      <c r="DY106">
        <f t="shared" ca="1" si="146"/>
        <v>1.4035819046387399E-4</v>
      </c>
      <c r="ED106" s="248">
        <f ca="1">'JACOBIAN - SWAP USD3ML'!B115</f>
        <v>52034</v>
      </c>
      <c r="EE106">
        <f ca="1">'JACOBIAN - SWAP USD3ML'!C115</f>
        <v>-1.9897278269454E-13</v>
      </c>
      <c r="EF106">
        <f ca="1">'JACOBIAN - SWAP USD3ML'!D115</f>
        <v>-4.9849690347825198E-11</v>
      </c>
      <c r="EG106">
        <f ca="1">'JACOBIAN - SWAP USD3ML'!E115</f>
        <v>-5.4121915282756601E-12</v>
      </c>
      <c r="EH106">
        <f ca="1">'JACOBIAN - SWAP USD3ML'!F115</f>
        <v>-1.9897278269454E-13</v>
      </c>
      <c r="EI106">
        <f ca="1">'JACOBIAN - SWAP USD3ML'!G115</f>
        <v>-7.4896686075298596E-13</v>
      </c>
      <c r="EJ106">
        <f ca="1">'JACOBIAN - SWAP USD3ML'!H115</f>
        <v>-5.0356240011151198E-11</v>
      </c>
      <c r="EK106">
        <f ca="1">'JACOBIAN - SWAP USD3ML'!I115</f>
        <v>-5.5267963816607597E-11</v>
      </c>
      <c r="EL106">
        <f ca="1">'JACOBIAN - SWAP USD3ML'!J115</f>
        <v>-5.50307611979495E-11</v>
      </c>
      <c r="EM106">
        <f ca="1">'JACOBIAN - SWAP USD3ML'!K115</f>
        <v>-5.4810937039073699E-11</v>
      </c>
      <c r="EN106">
        <f ca="1">'JACOBIAN - SWAP USD3ML'!L115</f>
        <v>-5.46571468640344E-11</v>
      </c>
      <c r="EO106">
        <f ca="1">'JACOBIAN - SWAP USD3ML'!M115</f>
        <v>-5.4135827765033901E-11</v>
      </c>
      <c r="EP106">
        <f ca="1">'JACOBIAN - SWAP USD3ML'!N115</f>
        <v>-1.15866448380242E-10</v>
      </c>
      <c r="EQ106">
        <f ca="1">'JACOBIAN - SWAP USD3ML'!O115</f>
        <v>2.80750379541561E-9</v>
      </c>
      <c r="ER106">
        <f ca="1">'JACOBIAN - SWAP USD3ML'!P115</f>
        <v>-1.35905174059037E-8</v>
      </c>
      <c r="ES106">
        <f ca="1">'JACOBIAN - SWAP USD3ML'!Q115</f>
        <v>3.3857804386527903E-8</v>
      </c>
      <c r="ET106">
        <f ca="1">'JACOBIAN - SWAP USD3ML'!R115</f>
        <v>-2.98742192723217E-7</v>
      </c>
      <c r="EU106">
        <f ca="1">'JACOBIAN - SWAP USD3ML'!S115</f>
        <v>1.55632057328298E-6</v>
      </c>
      <c r="EV106">
        <f ca="1">'JACOBIAN - SWAP USD3ML'!T115</f>
        <v>-6.7690561703671898E-6</v>
      </c>
      <c r="EW106">
        <f ca="1">'JACOBIAN - SWAP USD3ML'!U115</f>
        <v>1.50987492256761E-5</v>
      </c>
      <c r="EX106">
        <f ca="1">'JACOBIAN - SWAP USD3ML'!V115</f>
        <v>-3.3436084619291998E-5</v>
      </c>
      <c r="EY106">
        <f ca="1">'JACOBIAN - SWAP USD3ML'!W115</f>
        <v>8.0232217983280298E-5</v>
      </c>
      <c r="EZ106">
        <f ca="1">'JACOBIAN - SWAP USD3ML'!X115</f>
        <v>-6.4867439658418099E-4</v>
      </c>
      <c r="FA106">
        <f ca="1">'JACOBIAN - SWAP USD3ML'!Y115</f>
        <v>7.3965385322560502E-4</v>
      </c>
      <c r="FB106">
        <f ca="1">'JACOBIAN - SWAP USD3ML'!Z115</f>
        <v>-4.9052366063787698E-5</v>
      </c>
    </row>
    <row r="107" spans="24:158" x14ac:dyDescent="0.25">
      <c r="X107" s="258">
        <f t="shared" ca="1" si="113"/>
        <v>52126</v>
      </c>
      <c r="Y107" s="261">
        <v>0</v>
      </c>
      <c r="AA107" s="257">
        <f t="shared" ca="1" si="110"/>
        <v>52126</v>
      </c>
      <c r="AB107" s="266">
        <f t="shared" ca="1" si="114"/>
        <v>-1.5571879144966566E-3</v>
      </c>
      <c r="AC107" s="266"/>
      <c r="AD107" s="290">
        <f ca="1"/>
        <v>52126</v>
      </c>
      <c r="AE107" s="291">
        <f ca="1"/>
        <v>-1.5571879144966605E-3</v>
      </c>
      <c r="AF107" s="291" t="b">
        <f t="shared" ca="1" si="111"/>
        <v>1</v>
      </c>
      <c r="AH107" s="257">
        <f t="shared" ca="1" si="115"/>
        <v>52126</v>
      </c>
      <c r="AI107" s="260">
        <v>0</v>
      </c>
      <c r="AK107" s="290">
        <f ca="1"/>
        <v>52126</v>
      </c>
      <c r="AL107" s="291">
        <f ca="1"/>
        <v>9.8321477878957064E-5</v>
      </c>
      <c r="AM107" s="291" t="b">
        <f t="shared" ca="1" si="116"/>
        <v>1</v>
      </c>
      <c r="AO107" s="257">
        <f t="shared" ca="1" si="117"/>
        <v>52126</v>
      </c>
      <c r="AP107" s="266">
        <f t="shared" ca="1" si="112"/>
        <v>9.832147787895659E-5</v>
      </c>
      <c r="AR107" s="248">
        <f ca="1">'JACOBIAN - OIS USDOIS'!B116</f>
        <v>52126</v>
      </c>
      <c r="AS107">
        <f ca="1">'JACOBIAN - OIS USDOIS'!C116</f>
        <v>-7.5710564562125903E-7</v>
      </c>
      <c r="AT107">
        <f ca="1">'JACOBIAN - OIS USDOIS'!D116</f>
        <v>8.2315709803992806E-11</v>
      </c>
      <c r="AU107">
        <f ca="1">'JACOBIAN - OIS USDOIS'!E116</f>
        <v>-3.3022418133299399E-10</v>
      </c>
      <c r="AV107">
        <f ca="1">'JACOBIAN - OIS USDOIS'!F116</f>
        <v>8.6894458295461205E-10</v>
      </c>
      <c r="AW107">
        <f ca="1">'JACOBIAN - OIS USDOIS'!G116</f>
        <v>-1.11813436287633E-9</v>
      </c>
      <c r="AX107">
        <f ca="1">'JACOBIAN - OIS USDOIS'!H116</f>
        <v>2.5297108852129201E-9</v>
      </c>
      <c r="AY107">
        <f ca="1">'JACOBIAN - OIS USDOIS'!I116</f>
        <v>-1.81253224651456E-8</v>
      </c>
      <c r="AZ107">
        <f ca="1">'JACOBIAN - OIS USDOIS'!J116</f>
        <v>3.0918589355444199E-8</v>
      </c>
      <c r="BA107">
        <f ca="1">'JACOBIAN - OIS USDOIS'!K116</f>
        <v>-1.1903861540929501E-7</v>
      </c>
      <c r="BB107">
        <f ca="1">'JACOBIAN - OIS USDOIS'!L116</f>
        <v>4.9775375887684003E-7</v>
      </c>
      <c r="BC107">
        <f ca="1">'JACOBIAN - OIS USDOIS'!M116</f>
        <v>-4.07460877149823E-7</v>
      </c>
      <c r="BD107">
        <f ca="1">'JACOBIAN - OIS USDOIS'!N116</f>
        <v>6.7390537594747002E-14</v>
      </c>
      <c r="BE107">
        <f ca="1">'JACOBIAN - OIS USDOIS'!O116</f>
        <v>6.7390537594747002E-14</v>
      </c>
      <c r="BF107">
        <f ca="1">'JACOBIAN - OIS USDOIS'!P116</f>
        <v>6.7390537594747002E-14</v>
      </c>
      <c r="BG107">
        <f ca="1">'JACOBIAN - OIS USDOIS'!Q116</f>
        <v>6.7390537594747002E-14</v>
      </c>
      <c r="BH107">
        <f ca="1">'JACOBIAN - OIS USDOIS'!R116</f>
        <v>6.7390537594747002E-14</v>
      </c>
      <c r="BI107" s="161">
        <f ca="1">'JACOBIAN - OIS USDOIS'!S116</f>
        <v>-1.2321280319360601E-6</v>
      </c>
      <c r="BJ107" s="161">
        <f ca="1">'JACOBIAN - OIS USDOIS'!T116</f>
        <v>-2.67154914279644E-6</v>
      </c>
      <c r="BK107" s="161">
        <f ca="1">'JACOBIAN - OIS USDOIS'!U116</f>
        <v>-3.7412965909755501E-6</v>
      </c>
      <c r="BL107" s="161">
        <f ca="1">'JACOBIAN - OIS USDOIS'!V116</f>
        <v>-2.2091376143951201E-6</v>
      </c>
      <c r="BM107" s="161">
        <f ca="1">'JACOBIAN - OIS USDOIS'!W116</f>
        <v>-1.29425225220414E-5</v>
      </c>
      <c r="BN107" s="161">
        <f ca="1">'JACOBIAN - OIS USDOIS'!X116</f>
        <v>-1.51697991060962E-5</v>
      </c>
      <c r="BO107" s="161">
        <f ca="1">'JACOBIAN - OIS USDOIS'!Y116</f>
        <v>-8.4275288728674597E-5</v>
      </c>
      <c r="BP107" s="161">
        <f ca="1">'JACOBIAN - OIS USDOIS'!Z116</f>
        <v>1.1823761726625899E-4</v>
      </c>
      <c r="BQ107" s="161">
        <f ca="1">'JACOBIAN - OIS USDOIS'!AA116</f>
        <v>-3.81669259876372E-4</v>
      </c>
      <c r="BR107" s="161">
        <f ca="1">'JACOBIAN - OIS USDOIS'!AB116</f>
        <v>9.1723575384294897E-4</v>
      </c>
      <c r="BS107" s="161">
        <f ca="1">'JACOBIAN - OIS USDOIS'!AC116</f>
        <v>1.2001978465007201E-3</v>
      </c>
      <c r="BT107" s="161">
        <f ca="1">'JACOBIAN - OIS USDOIS'!AD116</f>
        <v>-1.49753383438922E-4</v>
      </c>
      <c r="BU107">
        <f ca="1">'JACOBIAN - OIS USDOIS'!AE116</f>
        <v>1.20953780480271E-6</v>
      </c>
      <c r="BV107">
        <f ca="1">'JACOBIAN - OIS USDOIS'!AF116</f>
        <v>2.6267296182602702E-6</v>
      </c>
      <c r="BW107">
        <f ca="1">'JACOBIAN - OIS USDOIS'!AG116</f>
        <v>3.6808222607653801E-6</v>
      </c>
      <c r="BX107">
        <f ca="1">'JACOBIAN - OIS USDOIS'!AH116</f>
        <v>2.1721942322638901E-6</v>
      </c>
      <c r="BY107">
        <f ca="1">'JACOBIAN - OIS USDOIS'!AI116</f>
        <v>1.27273997060362E-5</v>
      </c>
      <c r="BZ107">
        <f ca="1">'JACOBIAN - OIS USDOIS'!AJ116</f>
        <v>1.4915446064689401E-5</v>
      </c>
      <c r="CA107">
        <f ca="1">'JACOBIAN - OIS USDOIS'!AK116</f>
        <v>8.29335867087444E-5</v>
      </c>
      <c r="CB107">
        <f ca="1">'JACOBIAN - OIS USDOIS'!AL116</f>
        <v>-1.1648410347153699E-4</v>
      </c>
      <c r="CC107">
        <f ca="1">'JACOBIAN - OIS USDOIS'!AM116</f>
        <v>3.7595997534978199E-4</v>
      </c>
      <c r="CD107">
        <f ca="1">'JACOBIAN - OIS USDOIS'!AN116</f>
        <v>-9.0271180477252699E-4</v>
      </c>
      <c r="CE107">
        <f ca="1">'JACOBIAN - OIS USDOIS'!AO116</f>
        <v>-1.18125993269846E-3</v>
      </c>
      <c r="CF107">
        <f ca="1">'JACOBIAN - OIS USDOIS'!AP116</f>
        <v>1.4781325986335E-4</v>
      </c>
      <c r="CK107" s="248">
        <f t="shared" ca="1" si="118"/>
        <v>52126</v>
      </c>
      <c r="CL107">
        <f t="shared" ca="1" si="119"/>
        <v>-7.5710564562125903E-7</v>
      </c>
      <c r="CM107">
        <f t="shared" ca="1" si="120"/>
        <v>8.2315709803992806E-11</v>
      </c>
      <c r="CN107">
        <f t="shared" ca="1" si="121"/>
        <v>-3.3022418133299399E-10</v>
      </c>
      <c r="CO107">
        <f t="shared" ca="1" si="122"/>
        <v>8.6894458295461205E-10</v>
      </c>
      <c r="CP107">
        <f t="shared" ca="1" si="123"/>
        <v>-1.11813436287633E-9</v>
      </c>
      <c r="CQ107">
        <f t="shared" ca="1" si="124"/>
        <v>2.5297108852129201E-9</v>
      </c>
      <c r="CR107">
        <f t="shared" ca="1" si="125"/>
        <v>-1.81253224651456E-8</v>
      </c>
      <c r="CS107">
        <f t="shared" ca="1" si="126"/>
        <v>3.0918589355444199E-8</v>
      </c>
      <c r="CT107">
        <f t="shared" ca="1" si="127"/>
        <v>-1.1903861540929501E-7</v>
      </c>
      <c r="CU107">
        <f t="shared" ca="1" si="128"/>
        <v>4.9775375887684003E-7</v>
      </c>
      <c r="CV107">
        <f t="shared" ca="1" si="129"/>
        <v>-4.07460877149823E-7</v>
      </c>
      <c r="CW107">
        <f t="shared" ca="1" si="130"/>
        <v>6.7390537594747002E-14</v>
      </c>
      <c r="CX107">
        <f t="shared" ca="1" si="131"/>
        <v>6.7390537594747002E-14</v>
      </c>
      <c r="CY107">
        <f t="shared" ca="1" si="132"/>
        <v>6.7390537594747002E-14</v>
      </c>
      <c r="CZ107">
        <f t="shared" ca="1" si="133"/>
        <v>6.7390537594747002E-14</v>
      </c>
      <c r="DA107">
        <f t="shared" ca="1" si="134"/>
        <v>6.7390537594747002E-14</v>
      </c>
      <c r="DB107" s="146">
        <v>0</v>
      </c>
      <c r="DC107" s="146">
        <v>0</v>
      </c>
      <c r="DD107" s="146">
        <v>0</v>
      </c>
      <c r="DE107" s="146">
        <v>0</v>
      </c>
      <c r="DF107" s="146">
        <v>0</v>
      </c>
      <c r="DG107" s="146">
        <v>0</v>
      </c>
      <c r="DH107" s="146">
        <v>0</v>
      </c>
      <c r="DI107" s="146">
        <v>0</v>
      </c>
      <c r="DJ107" s="146">
        <v>0</v>
      </c>
      <c r="DK107" s="146">
        <v>0</v>
      </c>
      <c r="DL107" s="146">
        <v>0</v>
      </c>
      <c r="DM107" s="146">
        <v>0</v>
      </c>
      <c r="DN107">
        <f t="shared" ca="1" si="135"/>
        <v>1.20953780480271E-6</v>
      </c>
      <c r="DO107">
        <f t="shared" ca="1" si="136"/>
        <v>2.6267296182602702E-6</v>
      </c>
      <c r="DP107">
        <f t="shared" ca="1" si="137"/>
        <v>3.6808222607653801E-6</v>
      </c>
      <c r="DQ107">
        <f t="shared" ca="1" si="138"/>
        <v>2.1721942322638901E-6</v>
      </c>
      <c r="DR107">
        <f t="shared" ca="1" si="139"/>
        <v>1.27273997060362E-5</v>
      </c>
      <c r="DS107">
        <f t="shared" ca="1" si="140"/>
        <v>1.4915446064689401E-5</v>
      </c>
      <c r="DT107">
        <f t="shared" ca="1" si="141"/>
        <v>8.29335867087444E-5</v>
      </c>
      <c r="DU107">
        <f t="shared" ca="1" si="142"/>
        <v>-1.1648410347153699E-4</v>
      </c>
      <c r="DV107">
        <f t="shared" ca="1" si="143"/>
        <v>3.7595997534978199E-4</v>
      </c>
      <c r="DW107">
        <f t="shared" ca="1" si="144"/>
        <v>-9.0271180477252699E-4</v>
      </c>
      <c r="DX107">
        <f t="shared" ca="1" si="145"/>
        <v>-1.18125993269846E-3</v>
      </c>
      <c r="DY107">
        <f t="shared" ca="1" si="146"/>
        <v>1.4781325986335E-4</v>
      </c>
      <c r="ED107" s="248">
        <f ca="1">'JACOBIAN - SWAP USD3ML'!B116</f>
        <v>52126</v>
      </c>
      <c r="EE107">
        <f ca="1">'JACOBIAN - SWAP USD3ML'!C116</f>
        <v>-2.4683380339673998E-13</v>
      </c>
      <c r="EF107">
        <f ca="1">'JACOBIAN - SWAP USD3ML'!D116</f>
        <v>-6.2620676005709099E-11</v>
      </c>
      <c r="EG107">
        <f ca="1">'JACOBIAN - SWAP USD3ML'!E116</f>
        <v>-6.2051440374855097E-12</v>
      </c>
      <c r="EH107">
        <f ca="1">'JACOBIAN - SWAP USD3ML'!F116</f>
        <v>-2.4683380339673998E-13</v>
      </c>
      <c r="EI107">
        <f ca="1">'JACOBIAN - SWAP USD3ML'!G116</f>
        <v>-9.3727109407026908E-13</v>
      </c>
      <c r="EJ107">
        <f ca="1">'JACOBIAN - SWAP USD3ML'!H116</f>
        <v>-6.3179350640041295E-11</v>
      </c>
      <c r="EK107">
        <f ca="1">'JACOBIAN - SWAP USD3ML'!I116</f>
        <v>-6.8771360134389794E-11</v>
      </c>
      <c r="EL107">
        <f ca="1">'JACOBIAN - SWAP USD3ML'!J116</f>
        <v>-6.8482362142185897E-11</v>
      </c>
      <c r="EM107">
        <f ca="1">'JACOBIAN - SWAP USD3ML'!K116</f>
        <v>-6.8214444509662199E-11</v>
      </c>
      <c r="EN107">
        <f ca="1">'JACOBIAN - SWAP USD3ML'!L116</f>
        <v>-6.8020311605465596E-11</v>
      </c>
      <c r="EO107">
        <f ca="1">'JACOBIAN - SWAP USD3ML'!M116</f>
        <v>-6.7371160733520302E-11</v>
      </c>
      <c r="EP107">
        <f ca="1">'JACOBIAN - SWAP USD3ML'!N116</f>
        <v>-1.44327626239171E-10</v>
      </c>
      <c r="EQ107">
        <f ca="1">'JACOBIAN - SWAP USD3ML'!O116</f>
        <v>3.4968256866496599E-9</v>
      </c>
      <c r="ER107">
        <f ca="1">'JACOBIAN - SWAP USD3ML'!P116</f>
        <v>-1.6926815112755501E-8</v>
      </c>
      <c r="ES107">
        <f ca="1">'JACOBIAN - SWAP USD3ML'!Q116</f>
        <v>4.2169272910369498E-8</v>
      </c>
      <c r="ET107">
        <f ca="1">'JACOBIAN - SWAP USD3ML'!R116</f>
        <v>-3.7207688358825703E-7</v>
      </c>
      <c r="EU107">
        <f ca="1">'JACOBIAN - SWAP USD3ML'!S116</f>
        <v>1.9383617339795198E-6</v>
      </c>
      <c r="EV107">
        <f ca="1">'JACOBIAN - SWAP USD3ML'!T116</f>
        <v>-8.4307038941203206E-6</v>
      </c>
      <c r="EW107">
        <f ca="1">'JACOBIAN - SWAP USD3ML'!U116</f>
        <v>1.88051992009129E-5</v>
      </c>
      <c r="EX107">
        <f ca="1">'JACOBIAN - SWAP USD3ML'!V116</f>
        <v>-4.1643726913436597E-5</v>
      </c>
      <c r="EY107">
        <f ca="1">'JACOBIAN - SWAP USD3ML'!W116</f>
        <v>9.9928525340180194E-5</v>
      </c>
      <c r="EZ107">
        <f ca="1">'JACOBIAN - SWAP USD3ML'!X116</f>
        <v>-6.6160313454030303E-4</v>
      </c>
      <c r="FA107">
        <f ca="1">'JACOBIAN - SWAP USD3ML'!Y116</f>
        <v>7.1298330537737295E-4</v>
      </c>
      <c r="FB107">
        <f ca="1">'JACOBIAN - SWAP USD3ML'!Z116</f>
        <v>-2.33123922021503E-5</v>
      </c>
    </row>
    <row r="108" spans="24:158" x14ac:dyDescent="0.25">
      <c r="X108" s="258">
        <f t="shared" ca="1" si="113"/>
        <v>52217</v>
      </c>
      <c r="Y108" s="261">
        <v>0</v>
      </c>
      <c r="AA108" s="257">
        <f t="shared" ca="1" si="110"/>
        <v>52217</v>
      </c>
      <c r="AB108" s="266">
        <f t="shared" ca="1" si="114"/>
        <v>-1.5673273232339497E-3</v>
      </c>
      <c r="AC108" s="266"/>
      <c r="AD108" s="290">
        <f ca="1"/>
        <v>52217</v>
      </c>
      <c r="AE108" s="291">
        <f ca="1"/>
        <v>-1.5673273232339469E-3</v>
      </c>
      <c r="AF108" s="291" t="b">
        <f t="shared" ca="1" si="111"/>
        <v>1</v>
      </c>
      <c r="AH108" s="257">
        <f t="shared" ca="1" si="115"/>
        <v>52217</v>
      </c>
      <c r="AI108" s="260">
        <v>0</v>
      </c>
      <c r="AK108" s="290">
        <f ca="1"/>
        <v>52217</v>
      </c>
      <c r="AL108" s="291">
        <f ca="1"/>
        <v>9.8307904078609454E-5</v>
      </c>
      <c r="AM108" s="291" t="b">
        <f t="shared" ca="1" si="116"/>
        <v>1</v>
      </c>
      <c r="AO108" s="257">
        <f t="shared" ca="1" si="117"/>
        <v>52217</v>
      </c>
      <c r="AP108" s="266">
        <f t="shared" ca="1" si="112"/>
        <v>9.8307904078609887E-5</v>
      </c>
      <c r="AR108" s="248">
        <f ca="1">'JACOBIAN - OIS USDOIS'!B117</f>
        <v>52217</v>
      </c>
      <c r="AS108">
        <f ca="1">'JACOBIAN - OIS USDOIS'!C117</f>
        <v>-7.5381198039181598E-7</v>
      </c>
      <c r="AT108">
        <f ca="1">'JACOBIAN - OIS USDOIS'!D117</f>
        <v>8.0426665327593102E-11</v>
      </c>
      <c r="AU108">
        <f ca="1">'JACOBIAN - OIS USDOIS'!E117</f>
        <v>-3.2276015193843901E-10</v>
      </c>
      <c r="AV108">
        <f ca="1">'JACOBIAN - OIS USDOIS'!F117</f>
        <v>8.4922280318977497E-10</v>
      </c>
      <c r="AW108">
        <f ca="1">'JACOBIAN - OIS USDOIS'!G117</f>
        <v>-1.09278419646586E-9</v>
      </c>
      <c r="AX108">
        <f ca="1">'JACOBIAN - OIS USDOIS'!H117</f>
        <v>2.47235520944855E-9</v>
      </c>
      <c r="AY108">
        <f ca="1">'JACOBIAN - OIS USDOIS'!I117</f>
        <v>-1.78932768601925E-8</v>
      </c>
      <c r="AZ108">
        <f ca="1">'JACOBIAN - OIS USDOIS'!J117</f>
        <v>3.02178451150326E-8</v>
      </c>
      <c r="BA108">
        <f ca="1">'JACOBIAN - OIS USDOIS'!K117</f>
        <v>-1.16340974520845E-7</v>
      </c>
      <c r="BB108">
        <f ca="1">'JACOBIAN - OIS USDOIS'!L117</f>
        <v>4.9248133704438104E-7</v>
      </c>
      <c r="BC108">
        <f ca="1">'JACOBIAN - OIS USDOIS'!M117</f>
        <v>-3.9876564839058701E-7</v>
      </c>
      <c r="BD108">
        <f ca="1">'JACOBIAN - OIS USDOIS'!N117</f>
        <v>5.4178883601707601E-14</v>
      </c>
      <c r="BE108">
        <f ca="1">'JACOBIAN - OIS USDOIS'!O117</f>
        <v>5.4178883601707601E-14</v>
      </c>
      <c r="BF108">
        <f ca="1">'JACOBIAN - OIS USDOIS'!P117</f>
        <v>5.4178883601707601E-14</v>
      </c>
      <c r="BG108">
        <f ca="1">'JACOBIAN - OIS USDOIS'!Q117</f>
        <v>5.4178883601707601E-14</v>
      </c>
      <c r="BH108">
        <f ca="1">'JACOBIAN - OIS USDOIS'!R117</f>
        <v>5.4178883601707601E-14</v>
      </c>
      <c r="BI108" s="161">
        <f ca="1">'JACOBIAN - OIS USDOIS'!S117</f>
        <v>-1.21819138254597E-6</v>
      </c>
      <c r="BJ108" s="161">
        <f ca="1">'JACOBIAN - OIS USDOIS'!T117</f>
        <v>-2.67754380689489E-6</v>
      </c>
      <c r="BK108" s="161">
        <f ca="1">'JACOBIAN - OIS USDOIS'!U117</f>
        <v>-3.66872556967213E-6</v>
      </c>
      <c r="BL108" s="161">
        <f ca="1">'JACOBIAN - OIS USDOIS'!V117</f>
        <v>-2.4223456062122399E-6</v>
      </c>
      <c r="BM108" s="161">
        <f ca="1">'JACOBIAN - OIS USDOIS'!W117</f>
        <v>-1.24512766409568E-5</v>
      </c>
      <c r="BN108" s="161">
        <f ca="1">'JACOBIAN - OIS USDOIS'!X117</f>
        <v>-1.5929997144614701E-5</v>
      </c>
      <c r="BO108" s="161">
        <f ca="1">'JACOBIAN - OIS USDOIS'!Y117</f>
        <v>-7.99156210841145E-5</v>
      </c>
      <c r="BP108" s="161">
        <f ca="1">'JACOBIAN - OIS USDOIS'!Z117</f>
        <v>1.06199618006064E-4</v>
      </c>
      <c r="BQ108" s="161">
        <f ca="1">'JACOBIAN - OIS USDOIS'!AA117</f>
        <v>-3.56993225725799E-4</v>
      </c>
      <c r="BR108" s="161">
        <f ca="1">'JACOBIAN - OIS USDOIS'!AB117</f>
        <v>7.9313711558193201E-4</v>
      </c>
      <c r="BS108" s="161">
        <f ca="1">'JACOBIAN - OIS USDOIS'!AC117</f>
        <v>1.3221743342283199E-3</v>
      </c>
      <c r="BT108" s="161">
        <f ca="1">'JACOBIAN - OIS USDOIS'!AD117</f>
        <v>-1.5388308678987401E-4</v>
      </c>
      <c r="BU108">
        <f ca="1">'JACOBIAN - OIS USDOIS'!AE117</f>
        <v>1.1958545186319099E-6</v>
      </c>
      <c r="BV108">
        <f ca="1">'JACOBIAN - OIS USDOIS'!AF117</f>
        <v>2.6326260821329901E-6</v>
      </c>
      <c r="BW108">
        <f ca="1">'JACOBIAN - OIS USDOIS'!AG117</f>
        <v>3.6094165676292499E-6</v>
      </c>
      <c r="BX108">
        <f ca="1">'JACOBIAN - OIS USDOIS'!AH117</f>
        <v>2.3820528154416799E-6</v>
      </c>
      <c r="BY108">
        <f ca="1">'JACOBIAN - OIS USDOIS'!AI117</f>
        <v>1.2244055840104899E-5</v>
      </c>
      <c r="BZ108">
        <f ca="1">'JACOBIAN - OIS USDOIS'!AJ117</f>
        <v>1.5663791834263901E-5</v>
      </c>
      <c r="CA108">
        <f ca="1">'JACOBIAN - OIS USDOIS'!AK117</f>
        <v>7.8641386625166704E-5</v>
      </c>
      <c r="CB108">
        <f ca="1">'JACOBIAN - OIS USDOIS'!AL117</f>
        <v>-1.0463271372374E-4</v>
      </c>
      <c r="CC108">
        <f ca="1">'JACOBIAN - OIS USDOIS'!AM117</f>
        <v>3.5163199903687198E-4</v>
      </c>
      <c r="CD108">
        <f ca="1">'JACOBIAN - OIS USDOIS'!AN117</f>
        <v>-7.8075205704775097E-4</v>
      </c>
      <c r="CE108">
        <f ca="1">'JACOBIAN - OIS USDOIS'!AO117</f>
        <v>-1.3010720760014999E-3</v>
      </c>
      <c r="CF108">
        <f ca="1">'JACOBIAN - OIS USDOIS'!AP117</f>
        <v>1.51890466185578E-4</v>
      </c>
      <c r="CK108" s="248">
        <f t="shared" ca="1" si="118"/>
        <v>52217</v>
      </c>
      <c r="CL108">
        <f t="shared" ca="1" si="119"/>
        <v>-7.5381198039181598E-7</v>
      </c>
      <c r="CM108">
        <f t="shared" ca="1" si="120"/>
        <v>8.0426665327593102E-11</v>
      </c>
      <c r="CN108">
        <f t="shared" ca="1" si="121"/>
        <v>-3.2276015193843901E-10</v>
      </c>
      <c r="CO108">
        <f t="shared" ca="1" si="122"/>
        <v>8.4922280318977497E-10</v>
      </c>
      <c r="CP108">
        <f t="shared" ca="1" si="123"/>
        <v>-1.09278419646586E-9</v>
      </c>
      <c r="CQ108">
        <f t="shared" ca="1" si="124"/>
        <v>2.47235520944855E-9</v>
      </c>
      <c r="CR108">
        <f t="shared" ca="1" si="125"/>
        <v>-1.78932768601925E-8</v>
      </c>
      <c r="CS108">
        <f t="shared" ca="1" si="126"/>
        <v>3.02178451150326E-8</v>
      </c>
      <c r="CT108">
        <f t="shared" ca="1" si="127"/>
        <v>-1.16340974520845E-7</v>
      </c>
      <c r="CU108">
        <f t="shared" ca="1" si="128"/>
        <v>4.9248133704438104E-7</v>
      </c>
      <c r="CV108">
        <f t="shared" ca="1" si="129"/>
        <v>-3.9876564839058701E-7</v>
      </c>
      <c r="CW108">
        <f t="shared" ca="1" si="130"/>
        <v>5.4178883601707601E-14</v>
      </c>
      <c r="CX108">
        <f t="shared" ca="1" si="131"/>
        <v>5.4178883601707601E-14</v>
      </c>
      <c r="CY108">
        <f t="shared" ca="1" si="132"/>
        <v>5.4178883601707601E-14</v>
      </c>
      <c r="CZ108">
        <f t="shared" ca="1" si="133"/>
        <v>5.4178883601707601E-14</v>
      </c>
      <c r="DA108">
        <f t="shared" ca="1" si="134"/>
        <v>5.4178883601707601E-14</v>
      </c>
      <c r="DB108" s="146">
        <v>0</v>
      </c>
      <c r="DC108" s="146">
        <v>0</v>
      </c>
      <c r="DD108" s="146">
        <v>0</v>
      </c>
      <c r="DE108" s="146">
        <v>0</v>
      </c>
      <c r="DF108" s="146">
        <v>0</v>
      </c>
      <c r="DG108" s="146">
        <v>0</v>
      </c>
      <c r="DH108" s="146">
        <v>0</v>
      </c>
      <c r="DI108" s="146">
        <v>0</v>
      </c>
      <c r="DJ108" s="146">
        <v>0</v>
      </c>
      <c r="DK108" s="146">
        <v>0</v>
      </c>
      <c r="DL108" s="146">
        <v>0</v>
      </c>
      <c r="DM108" s="146">
        <v>0</v>
      </c>
      <c r="DN108">
        <f t="shared" ca="1" si="135"/>
        <v>1.1958545186319099E-6</v>
      </c>
      <c r="DO108">
        <f t="shared" ca="1" si="136"/>
        <v>2.6326260821329901E-6</v>
      </c>
      <c r="DP108">
        <f t="shared" ca="1" si="137"/>
        <v>3.6094165676292499E-6</v>
      </c>
      <c r="DQ108">
        <f t="shared" ca="1" si="138"/>
        <v>2.3820528154416799E-6</v>
      </c>
      <c r="DR108">
        <f t="shared" ca="1" si="139"/>
        <v>1.2244055840104899E-5</v>
      </c>
      <c r="DS108">
        <f t="shared" ca="1" si="140"/>
        <v>1.5663791834263901E-5</v>
      </c>
      <c r="DT108">
        <f t="shared" ca="1" si="141"/>
        <v>7.8641386625166704E-5</v>
      </c>
      <c r="DU108">
        <f t="shared" ca="1" si="142"/>
        <v>-1.0463271372374E-4</v>
      </c>
      <c r="DV108">
        <f t="shared" ca="1" si="143"/>
        <v>3.5163199903687198E-4</v>
      </c>
      <c r="DW108">
        <f t="shared" ca="1" si="144"/>
        <v>-7.8075205704775097E-4</v>
      </c>
      <c r="DX108">
        <f t="shared" ca="1" si="145"/>
        <v>-1.3010720760014999E-3</v>
      </c>
      <c r="DY108">
        <f t="shared" ca="1" si="146"/>
        <v>1.51890466185578E-4</v>
      </c>
      <c r="ED108" s="248">
        <f ca="1">'JACOBIAN - SWAP USD3ML'!B117</f>
        <v>52217</v>
      </c>
      <c r="EE108">
        <f ca="1">'JACOBIAN - SWAP USD3ML'!C117</f>
        <v>-2.8954616482224098E-13</v>
      </c>
      <c r="EF108">
        <f ca="1">'JACOBIAN - SWAP USD3ML'!D117</f>
        <v>-7.2670758299864195E-11</v>
      </c>
      <c r="EG108">
        <f ca="1">'JACOBIAN - SWAP USD3ML'!E117</f>
        <v>-6.8789418605774699E-12</v>
      </c>
      <c r="EH108">
        <f ca="1">'JACOBIAN - SWAP USD3ML'!F117</f>
        <v>-2.8954616482224098E-13</v>
      </c>
      <c r="EI108">
        <f ca="1">'JACOBIAN - SWAP USD3ML'!G117</f>
        <v>-1.08979492097205E-12</v>
      </c>
      <c r="EJ108">
        <f ca="1">'JACOBIAN - SWAP USD3ML'!H117</f>
        <v>-7.3275607803680006E-11</v>
      </c>
      <c r="EK108">
        <f ca="1">'JACOBIAN - SWAP USD3ML'!I117</f>
        <v>-7.9448447820595902E-11</v>
      </c>
      <c r="EL108">
        <f ca="1">'JACOBIAN - SWAP USD3ML'!J117</f>
        <v>-7.9117157270047794E-11</v>
      </c>
      <c r="EM108">
        <f ca="1">'JACOBIAN - SWAP USD3ML'!K117</f>
        <v>-7.8809847536831499E-11</v>
      </c>
      <c r="EN108">
        <f ca="1">'JACOBIAN - SWAP USD3ML'!L117</f>
        <v>-7.8585138396647406E-11</v>
      </c>
      <c r="EO108">
        <f ca="1">'JACOBIAN - SWAP USD3ML'!M117</f>
        <v>-7.7837292167259901E-11</v>
      </c>
      <c r="EP108">
        <f ca="1">'JACOBIAN - SWAP USD3ML'!N117</f>
        <v>-1.66814118074399E-10</v>
      </c>
      <c r="EQ108">
        <f ca="1">'JACOBIAN - SWAP USD3ML'!O117</f>
        <v>4.0413556945395604E-9</v>
      </c>
      <c r="ER108">
        <f ca="1">'JACOBIAN - SWAP USD3ML'!P117</f>
        <v>-1.95623419685376E-8</v>
      </c>
      <c r="ES108">
        <f ca="1">'JACOBIAN - SWAP USD3ML'!Q117</f>
        <v>4.8734891677781902E-8</v>
      </c>
      <c r="ET108">
        <f ca="1">'JACOBIAN - SWAP USD3ML'!R117</f>
        <v>-4.3000757798949999E-7</v>
      </c>
      <c r="EU108">
        <f ca="1">'JACOBIAN - SWAP USD3ML'!S117</f>
        <v>2.2401547621342401E-6</v>
      </c>
      <c r="EV108">
        <f ca="1">'JACOBIAN - SWAP USD3ML'!T117</f>
        <v>-9.7433202963515003E-6</v>
      </c>
      <c r="EW108">
        <f ca="1">'JACOBIAN - SWAP USD3ML'!U117</f>
        <v>2.1733108870769499E-5</v>
      </c>
      <c r="EX108">
        <f ca="1">'JACOBIAN - SWAP USD3ML'!V117</f>
        <v>-4.8127330718905598E-5</v>
      </c>
      <c r="EY108">
        <f ca="1">'JACOBIAN - SWAP USD3ML'!W117</f>
        <v>1.15487692025518E-4</v>
      </c>
      <c r="EZ108">
        <f ca="1">'JACOBIAN - SWAP USD3ML'!X117</f>
        <v>-6.6592862648917595E-4</v>
      </c>
      <c r="FA108">
        <f ca="1">'JACOBIAN - SWAP USD3ML'!Y117</f>
        <v>6.7715229402942601E-4</v>
      </c>
      <c r="FB108">
        <f ca="1">'JACOBIAN - SWAP USD3ML'!Z117</f>
        <v>5.8914406739774003E-6</v>
      </c>
    </row>
    <row r="109" spans="24:158" x14ac:dyDescent="0.25">
      <c r="X109" s="258">
        <f t="shared" ca="1" si="113"/>
        <v>52307</v>
      </c>
      <c r="Y109" s="261">
        <v>0</v>
      </c>
      <c r="AA109" s="257">
        <f t="shared" ca="1" si="110"/>
        <v>52307</v>
      </c>
      <c r="AB109" s="266">
        <f t="shared" ca="1" si="114"/>
        <v>-1.577223124308856E-3</v>
      </c>
      <c r="AC109" s="266"/>
      <c r="AD109" s="290">
        <f ca="1"/>
        <v>52307</v>
      </c>
      <c r="AE109" s="291">
        <f ca="1"/>
        <v>-1.5772231243088575E-3</v>
      </c>
      <c r="AF109" s="291" t="b">
        <f t="shared" ca="1" si="111"/>
        <v>1</v>
      </c>
      <c r="AH109" s="257">
        <f t="shared" ca="1" si="115"/>
        <v>52307</v>
      </c>
      <c r="AI109" s="260">
        <v>0</v>
      </c>
      <c r="AK109" s="290">
        <f ca="1"/>
        <v>52307</v>
      </c>
      <c r="AL109" s="291">
        <f ca="1"/>
        <v>9.831206375163562E-5</v>
      </c>
      <c r="AM109" s="291" t="b">
        <f t="shared" ca="1" si="116"/>
        <v>1</v>
      </c>
      <c r="AO109" s="257">
        <f t="shared" ca="1" si="117"/>
        <v>52307</v>
      </c>
      <c r="AP109" s="266">
        <f t="shared" ca="1" si="112"/>
        <v>9.8312063751635322E-5</v>
      </c>
      <c r="AR109" s="248">
        <f ca="1">'JACOBIAN - OIS USDOIS'!B118</f>
        <v>52307</v>
      </c>
      <c r="AS109">
        <f ca="1">'JACOBIAN - OIS USDOIS'!C118</f>
        <v>-7.5057917148235699E-7</v>
      </c>
      <c r="AT109">
        <f ca="1">'JACOBIAN - OIS USDOIS'!D118</f>
        <v>7.8252293533864797E-11</v>
      </c>
      <c r="AU109">
        <f ca="1">'JACOBIAN - OIS USDOIS'!E118</f>
        <v>-3.1415026136016898E-10</v>
      </c>
      <c r="AV109">
        <f ca="1">'JACOBIAN - OIS USDOIS'!F118</f>
        <v>8.2648454746703196E-10</v>
      </c>
      <c r="AW109">
        <f ca="1">'JACOBIAN - OIS USDOIS'!G118</f>
        <v>-1.06355091400445E-9</v>
      </c>
      <c r="AX109">
        <f ca="1">'JACOBIAN - OIS USDOIS'!H118</f>
        <v>2.4062170034255802E-9</v>
      </c>
      <c r="AY109">
        <f ca="1">'JACOBIAN - OIS USDOIS'!I118</f>
        <v>-1.76327337175763E-8</v>
      </c>
      <c r="AZ109">
        <f ca="1">'JACOBIAN - OIS USDOIS'!J118</f>
        <v>2.94097548536598E-8</v>
      </c>
      <c r="BA109">
        <f ca="1">'JACOBIAN - OIS USDOIS'!K118</f>
        <v>-1.13230072651405E-7</v>
      </c>
      <c r="BB109">
        <f ca="1">'JACOBIAN - OIS USDOIS'!L118</f>
        <v>4.8659291485009195E-7</v>
      </c>
      <c r="BC109">
        <f ca="1">'JACOBIAN - OIS USDOIS'!M118</f>
        <v>-3.88759623493051E-7</v>
      </c>
      <c r="BD109">
        <f ca="1">'JACOBIAN - OIS USDOIS'!N118</f>
        <v>4.2077452633293401E-14</v>
      </c>
      <c r="BE109">
        <f ca="1">'JACOBIAN - OIS USDOIS'!O118</f>
        <v>4.2077452633293401E-14</v>
      </c>
      <c r="BF109">
        <f ca="1">'JACOBIAN - OIS USDOIS'!P118</f>
        <v>4.2077452633293401E-14</v>
      </c>
      <c r="BG109">
        <f ca="1">'JACOBIAN - OIS USDOIS'!Q118</f>
        <v>4.2077452633293401E-14</v>
      </c>
      <c r="BH109">
        <f ca="1">'JACOBIAN - OIS USDOIS'!R118</f>
        <v>4.2077452633293401E-14</v>
      </c>
      <c r="BI109" s="161">
        <f ca="1">'JACOBIAN - OIS USDOIS'!S118</f>
        <v>-1.2025630439227399E-6</v>
      </c>
      <c r="BJ109" s="161">
        <f ca="1">'JACOBIAN - OIS USDOIS'!T118</f>
        <v>-2.6865439092249601E-6</v>
      </c>
      <c r="BK109" s="161">
        <f ca="1">'JACOBIAN - OIS USDOIS'!U118</f>
        <v>-3.5856162660108399E-6</v>
      </c>
      <c r="BL109" s="161">
        <f ca="1">'JACOBIAN - OIS USDOIS'!V118</f>
        <v>-2.6753192829964702E-6</v>
      </c>
      <c r="BM109" s="161">
        <f ca="1">'JACOBIAN - OIS USDOIS'!W118</f>
        <v>-1.18809879455783E-5</v>
      </c>
      <c r="BN109" s="161">
        <f ca="1">'JACOBIAN - OIS USDOIS'!X118</f>
        <v>-1.6836934291553099E-5</v>
      </c>
      <c r="BO109" s="161">
        <f ca="1">'JACOBIAN - OIS USDOIS'!Y118</f>
        <v>-7.4832968686044902E-5</v>
      </c>
      <c r="BP109" s="161">
        <f ca="1">'JACOBIAN - OIS USDOIS'!Z118</f>
        <v>9.2086525285472995E-5</v>
      </c>
      <c r="BQ109" s="161">
        <f ca="1">'JACOBIAN - OIS USDOIS'!AA118</f>
        <v>-3.2815850790801599E-4</v>
      </c>
      <c r="BR109" s="161">
        <f ca="1">'JACOBIAN - OIS USDOIS'!AB118</f>
        <v>6.6784217435111903E-4</v>
      </c>
      <c r="BS109" s="161">
        <f ca="1">'JACOBIAN - OIS USDOIS'!AC118</f>
        <v>1.4385766502307299E-3</v>
      </c>
      <c r="BT109" s="161">
        <f ca="1">'JACOBIAN - OIS USDOIS'!AD118</f>
        <v>-1.5413901858374299E-4</v>
      </c>
      <c r="BU109">
        <f ca="1">'JACOBIAN - OIS USDOIS'!AE118</f>
        <v>1.18051017061749E-6</v>
      </c>
      <c r="BV109">
        <f ca="1">'JACOBIAN - OIS USDOIS'!AF118</f>
        <v>2.6414780179839802E-6</v>
      </c>
      <c r="BW109">
        <f ca="1">'JACOBIAN - OIS USDOIS'!AG118</f>
        <v>3.5276416604501601E-6</v>
      </c>
      <c r="BX109">
        <f ca="1">'JACOBIAN - OIS USDOIS'!AH118</f>
        <v>2.6310511348492899E-6</v>
      </c>
      <c r="BY109">
        <f ca="1">'JACOBIAN - OIS USDOIS'!AI118</f>
        <v>1.16829365657267E-5</v>
      </c>
      <c r="BZ109">
        <f ca="1">'JACOBIAN - OIS USDOIS'!AJ118</f>
        <v>1.6556579328641502E-5</v>
      </c>
      <c r="CA109">
        <f ca="1">'JACOBIAN - OIS USDOIS'!AK118</f>
        <v>7.3637424968131499E-5</v>
      </c>
      <c r="CB109">
        <f ca="1">'JACOBIAN - OIS USDOIS'!AL118</f>
        <v>-9.07379424771593E-5</v>
      </c>
      <c r="CC109">
        <f ca="1">'JACOBIAN - OIS USDOIS'!AM118</f>
        <v>3.23205796359138E-4</v>
      </c>
      <c r="CD109">
        <f ca="1">'JACOBIAN - OIS USDOIS'!AN118</f>
        <v>-6.5757383470887998E-4</v>
      </c>
      <c r="CE109">
        <f ca="1">'JACOBIAN - OIS USDOIS'!AO118</f>
        <v>-1.41536571159284E-3</v>
      </c>
      <c r="CF109">
        <f ca="1">'JACOBIAN - OIS USDOIS'!AP118</f>
        <v>1.5214321173306899E-4</v>
      </c>
      <c r="CK109" s="248">
        <f t="shared" ca="1" si="118"/>
        <v>52307</v>
      </c>
      <c r="CL109">
        <f t="shared" ca="1" si="119"/>
        <v>-7.5057917148235699E-7</v>
      </c>
      <c r="CM109">
        <f t="shared" ca="1" si="120"/>
        <v>7.8252293533864797E-11</v>
      </c>
      <c r="CN109">
        <f t="shared" ca="1" si="121"/>
        <v>-3.1415026136016898E-10</v>
      </c>
      <c r="CO109">
        <f t="shared" ca="1" si="122"/>
        <v>8.2648454746703196E-10</v>
      </c>
      <c r="CP109">
        <f t="shared" ca="1" si="123"/>
        <v>-1.06355091400445E-9</v>
      </c>
      <c r="CQ109">
        <f t="shared" ca="1" si="124"/>
        <v>2.4062170034255802E-9</v>
      </c>
      <c r="CR109">
        <f t="shared" ca="1" si="125"/>
        <v>-1.76327337175763E-8</v>
      </c>
      <c r="CS109">
        <f t="shared" ca="1" si="126"/>
        <v>2.94097548536598E-8</v>
      </c>
      <c r="CT109">
        <f t="shared" ca="1" si="127"/>
        <v>-1.13230072651405E-7</v>
      </c>
      <c r="CU109">
        <f t="shared" ca="1" si="128"/>
        <v>4.8659291485009195E-7</v>
      </c>
      <c r="CV109">
        <f t="shared" ca="1" si="129"/>
        <v>-3.88759623493051E-7</v>
      </c>
      <c r="CW109">
        <f t="shared" ca="1" si="130"/>
        <v>4.2077452633293401E-14</v>
      </c>
      <c r="CX109">
        <f t="shared" ca="1" si="131"/>
        <v>4.2077452633293401E-14</v>
      </c>
      <c r="CY109">
        <f t="shared" ca="1" si="132"/>
        <v>4.2077452633293401E-14</v>
      </c>
      <c r="CZ109">
        <f t="shared" ca="1" si="133"/>
        <v>4.2077452633293401E-14</v>
      </c>
      <c r="DA109">
        <f t="shared" ca="1" si="134"/>
        <v>4.2077452633293401E-14</v>
      </c>
      <c r="DB109" s="146">
        <v>0</v>
      </c>
      <c r="DC109" s="146">
        <v>0</v>
      </c>
      <c r="DD109" s="146">
        <v>0</v>
      </c>
      <c r="DE109" s="146">
        <v>0</v>
      </c>
      <c r="DF109" s="146">
        <v>0</v>
      </c>
      <c r="DG109" s="146">
        <v>0</v>
      </c>
      <c r="DH109" s="146">
        <v>0</v>
      </c>
      <c r="DI109" s="146">
        <v>0</v>
      </c>
      <c r="DJ109" s="146">
        <v>0</v>
      </c>
      <c r="DK109" s="146">
        <v>0</v>
      </c>
      <c r="DL109" s="146">
        <v>0</v>
      </c>
      <c r="DM109" s="146">
        <v>0</v>
      </c>
      <c r="DN109">
        <f t="shared" ca="1" si="135"/>
        <v>1.18051017061749E-6</v>
      </c>
      <c r="DO109">
        <f t="shared" ca="1" si="136"/>
        <v>2.6414780179839802E-6</v>
      </c>
      <c r="DP109">
        <f t="shared" ca="1" si="137"/>
        <v>3.5276416604501601E-6</v>
      </c>
      <c r="DQ109">
        <f t="shared" ca="1" si="138"/>
        <v>2.6310511348492899E-6</v>
      </c>
      <c r="DR109">
        <f t="shared" ca="1" si="139"/>
        <v>1.16829365657267E-5</v>
      </c>
      <c r="DS109">
        <f t="shared" ca="1" si="140"/>
        <v>1.6556579328641502E-5</v>
      </c>
      <c r="DT109">
        <f t="shared" ca="1" si="141"/>
        <v>7.3637424968131499E-5</v>
      </c>
      <c r="DU109">
        <f t="shared" ca="1" si="142"/>
        <v>-9.07379424771593E-5</v>
      </c>
      <c r="DV109">
        <f t="shared" ca="1" si="143"/>
        <v>3.23205796359138E-4</v>
      </c>
      <c r="DW109">
        <f t="shared" ca="1" si="144"/>
        <v>-6.5757383470887998E-4</v>
      </c>
      <c r="DX109">
        <f t="shared" ca="1" si="145"/>
        <v>-1.41536571159284E-3</v>
      </c>
      <c r="DY109">
        <f t="shared" ca="1" si="146"/>
        <v>1.5214321173306899E-4</v>
      </c>
      <c r="ED109" s="248">
        <f ca="1">'JACOBIAN - SWAP USD3ML'!B118</f>
        <v>52307</v>
      </c>
      <c r="EE109">
        <f ca="1">'JACOBIAN - SWAP USD3ML'!C118</f>
        <v>-3.2495534041387901E-13</v>
      </c>
      <c r="EF109">
        <f ca="1">'JACOBIAN - SWAP USD3ML'!D118</f>
        <v>-8.01923735749277E-11</v>
      </c>
      <c r="EG109">
        <f ca="1">'JACOBIAN - SWAP USD3ML'!E118</f>
        <v>-7.4462172539036008E-12</v>
      </c>
      <c r="EH109">
        <f ca="1">'JACOBIAN - SWAP USD3ML'!F118</f>
        <v>-3.2408797867589101E-13</v>
      </c>
      <c r="EI109">
        <f ca="1">'JACOBIAN - SWAP USD3ML'!G118</f>
        <v>-1.2085991929478001E-12</v>
      </c>
      <c r="EJ109">
        <f ca="1">'JACOBIAN - SWAP USD3ML'!H118</f>
        <v>-8.0837943977618604E-11</v>
      </c>
      <c r="EK109">
        <f ca="1">'JACOBIAN - SWAP USD3ML'!I118</f>
        <v>-8.7502179113574398E-11</v>
      </c>
      <c r="EL109">
        <f ca="1">'JACOBIAN - SWAP USD3ML'!J118</f>
        <v>-8.7139861298934905E-11</v>
      </c>
      <c r="EM109">
        <f ca="1">'JACOBIAN - SWAP USD3ML'!K118</f>
        <v>-8.6801867776875596E-11</v>
      </c>
      <c r="EN109">
        <f ca="1">'JACOBIAN - SWAP USD3ML'!L118</f>
        <v>-8.6554239470126898E-11</v>
      </c>
      <c r="EO109">
        <f ca="1">'JACOBIAN - SWAP USD3ML'!M118</f>
        <v>-8.5731421961554601E-11</v>
      </c>
      <c r="EP109">
        <f ca="1">'JACOBIAN - SWAP USD3ML'!N118</f>
        <v>-1.8375561836037099E-10</v>
      </c>
      <c r="EQ109">
        <f ca="1">'JACOBIAN - SWAP USD3ML'!O118</f>
        <v>4.45162949905265E-9</v>
      </c>
      <c r="ER109">
        <f ca="1">'JACOBIAN - SWAP USD3ML'!P118</f>
        <v>-2.1548092005163601E-8</v>
      </c>
      <c r="ES109">
        <f ca="1">'JACOBIAN - SWAP USD3ML'!Q118</f>
        <v>5.36817034296755E-8</v>
      </c>
      <c r="ET109">
        <f ca="1">'JACOBIAN - SWAP USD3ML'!R118</f>
        <v>-4.7365518724557002E-7</v>
      </c>
      <c r="EU109">
        <f ca="1">'JACOBIAN - SWAP USD3ML'!S118</f>
        <v>2.4675391156470101E-6</v>
      </c>
      <c r="EV109">
        <f ca="1">'JACOBIAN - SWAP USD3ML'!T118</f>
        <v>-1.0732303261748501E-5</v>
      </c>
      <c r="EW109">
        <f ca="1">'JACOBIAN - SWAP USD3ML'!U118</f>
        <v>2.3939131586613698E-5</v>
      </c>
      <c r="EX109">
        <f ca="1">'JACOBIAN - SWAP USD3ML'!V118</f>
        <v>-5.3012344738326298E-5</v>
      </c>
      <c r="EY109">
        <f ca="1">'JACOBIAN - SWAP USD3ML'!W118</f>
        <v>1.2721079583721801E-4</v>
      </c>
      <c r="EZ109">
        <f ca="1">'JACOBIAN - SWAP USD3ML'!X118</f>
        <v>-6.6187692310665203E-4</v>
      </c>
      <c r="FA109">
        <f ca="1">'JACOBIAN - SWAP USD3ML'!Y118</f>
        <v>6.3172584178717401E-4</v>
      </c>
      <c r="FB109">
        <f ca="1">'JACOBIAN - SWAP USD3ML'!Z118</f>
        <v>3.9028184297396801E-5</v>
      </c>
    </row>
    <row r="110" spans="24:158" x14ac:dyDescent="0.25">
      <c r="X110" s="258">
        <f t="shared" ca="1" si="113"/>
        <v>52399</v>
      </c>
      <c r="Y110" s="261">
        <v>0</v>
      </c>
      <c r="AA110" s="257">
        <f t="shared" ca="1" si="110"/>
        <v>52399</v>
      </c>
      <c r="AB110" s="266">
        <f t="shared" ca="1" si="114"/>
        <v>-1.5872053292465037E-3</v>
      </c>
      <c r="AC110" s="266"/>
      <c r="AD110" s="290">
        <f ca="1"/>
        <v>52399</v>
      </c>
      <c r="AE110" s="291">
        <f ca="1"/>
        <v>-1.5872053292464994E-3</v>
      </c>
      <c r="AF110" s="291" t="b">
        <f t="shared" ca="1" si="111"/>
        <v>1</v>
      </c>
      <c r="AH110" s="257">
        <f t="shared" ca="1" si="115"/>
        <v>52399</v>
      </c>
      <c r="AI110" s="260">
        <v>0</v>
      </c>
      <c r="AK110" s="290">
        <f ca="1"/>
        <v>52399</v>
      </c>
      <c r="AL110" s="291">
        <f ca="1"/>
        <v>9.8301415087972965E-5</v>
      </c>
      <c r="AM110" s="291" t="b">
        <f t="shared" ca="1" si="116"/>
        <v>1</v>
      </c>
      <c r="AO110" s="257">
        <f t="shared" ca="1" si="117"/>
        <v>52399</v>
      </c>
      <c r="AP110" s="266">
        <f t="shared" ca="1" si="112"/>
        <v>9.8301415087972925E-5</v>
      </c>
      <c r="AR110" s="248">
        <f ca="1">'JACOBIAN - OIS USDOIS'!B119</f>
        <v>52399</v>
      </c>
      <c r="AS110">
        <f ca="1">'JACOBIAN - OIS USDOIS'!C119</f>
        <v>-7.4729907872939105E-7</v>
      </c>
      <c r="AT110">
        <f ca="1">'JACOBIAN - OIS USDOIS'!D119</f>
        <v>7.5783379571703297E-11</v>
      </c>
      <c r="AU110">
        <f ca="1">'JACOBIAN - OIS USDOIS'!E119</f>
        <v>-3.0435931552830198E-10</v>
      </c>
      <c r="AV110">
        <f ca="1">'JACOBIAN - OIS USDOIS'!F119</f>
        <v>8.0063522478468495E-10</v>
      </c>
      <c r="AW110">
        <f ca="1">'JACOBIAN - OIS USDOIS'!G119</f>
        <v>-1.0303139452716399E-9</v>
      </c>
      <c r="AX110">
        <f ca="1">'JACOBIAN - OIS USDOIS'!H119</f>
        <v>2.3310234853468602E-9</v>
      </c>
      <c r="AY110">
        <f ca="1">'JACOBIAN - OIS USDOIS'!I119</f>
        <v>-1.7341487468236501E-8</v>
      </c>
      <c r="AZ110">
        <f ca="1">'JACOBIAN - OIS USDOIS'!J119</f>
        <v>2.84909843495385E-8</v>
      </c>
      <c r="BA110">
        <f ca="1">'JACOBIAN - OIS USDOIS'!K119</f>
        <v>-1.09693076288941E-7</v>
      </c>
      <c r="BB110">
        <f ca="1">'JACOBIAN - OIS USDOIS'!L119</f>
        <v>4.8003138963803604E-7</v>
      </c>
      <c r="BC110">
        <f ca="1">'JACOBIAN - OIS USDOIS'!M119</f>
        <v>-3.77398114426164E-7</v>
      </c>
      <c r="BD110">
        <f ca="1">'JACOBIAN - OIS USDOIS'!N119</f>
        <v>3.0753177782116798E-14</v>
      </c>
      <c r="BE110">
        <f ca="1">'JACOBIAN - OIS USDOIS'!O119</f>
        <v>3.0753177782116798E-14</v>
      </c>
      <c r="BF110">
        <f ca="1">'JACOBIAN - OIS USDOIS'!P119</f>
        <v>3.0753177782116798E-14</v>
      </c>
      <c r="BG110">
        <f ca="1">'JACOBIAN - OIS USDOIS'!Q119</f>
        <v>3.0753177782116798E-14</v>
      </c>
      <c r="BH110">
        <f ca="1">'JACOBIAN - OIS USDOIS'!R119</f>
        <v>3.0753177782116798E-14</v>
      </c>
      <c r="BI110" s="161">
        <f ca="1">'JACOBIAN - OIS USDOIS'!S119</f>
        <v>-1.1851025013553999E-6</v>
      </c>
      <c r="BJ110" s="161">
        <f ca="1">'JACOBIAN - OIS USDOIS'!T119</f>
        <v>-2.6982273388931299E-6</v>
      </c>
      <c r="BK110" s="161">
        <f ca="1">'JACOBIAN - OIS USDOIS'!U119</f>
        <v>-3.4915352667974601E-6</v>
      </c>
      <c r="BL110" s="161">
        <f ca="1">'JACOBIAN - OIS USDOIS'!V119</f>
        <v>-2.9678263734345102E-6</v>
      </c>
      <c r="BM110" s="161">
        <f ca="1">'JACOBIAN - OIS USDOIS'!W119</f>
        <v>-1.12300670382925E-5</v>
      </c>
      <c r="BN110" s="161">
        <f ca="1">'JACOBIAN - OIS USDOIS'!X119</f>
        <v>-1.7888939111698801E-5</v>
      </c>
      <c r="BO110" s="161">
        <f ca="1">'JACOBIAN - OIS USDOIS'!Y119</f>
        <v>-6.9016831699797402E-5</v>
      </c>
      <c r="BP110" s="161">
        <f ca="1">'JACOBIAN - OIS USDOIS'!Z119</f>
        <v>7.5882913343927605E-5</v>
      </c>
      <c r="BQ110" s="161">
        <f ca="1">'JACOBIAN - OIS USDOIS'!AA119</f>
        <v>-2.95116374023352E-4</v>
      </c>
      <c r="BR110" s="161">
        <f ca="1">'JACOBIAN - OIS USDOIS'!AB119</f>
        <v>5.38869393197139E-4</v>
      </c>
      <c r="BS110" s="161">
        <f ca="1">'JACOBIAN - OIS USDOIS'!AC119</f>
        <v>1.5515292264083301E-3</v>
      </c>
      <c r="BT110" s="161">
        <f ca="1">'JACOBIAN - OIS USDOIS'!AD119</f>
        <v>-1.49876408899408E-4</v>
      </c>
      <c r="BU110">
        <f ca="1">'JACOBIAN - OIS USDOIS'!AE119</f>
        <v>1.16336682298712E-6</v>
      </c>
      <c r="BV110">
        <f ca="1">'JACOBIAN - OIS USDOIS'!AF119</f>
        <v>2.6529687161547202E-6</v>
      </c>
      <c r="BW110">
        <f ca="1">'JACOBIAN - OIS USDOIS'!AG119</f>
        <v>3.4350711251018901E-6</v>
      </c>
      <c r="BX110">
        <f ca="1">'JACOBIAN - OIS USDOIS'!AH119</f>
        <v>2.9189609093149801E-6</v>
      </c>
      <c r="BY110">
        <f ca="1">'JACOBIAN - OIS USDOIS'!AI119</f>
        <v>1.10424792283403E-5</v>
      </c>
      <c r="BZ110">
        <f ca="1">'JACOBIAN - OIS USDOIS'!AJ119</f>
        <v>1.7592166504876198E-5</v>
      </c>
      <c r="CA110">
        <f ca="1">'JACOBIAN - OIS USDOIS'!AK119</f>
        <v>6.7911399539544198E-5</v>
      </c>
      <c r="CB110">
        <f ca="1">'JACOBIAN - OIS USDOIS'!AL119</f>
        <v>-7.4784341343114806E-5</v>
      </c>
      <c r="CC110">
        <f ca="1">'JACOBIAN - OIS USDOIS'!AM119</f>
        <v>2.9063437865273201E-4</v>
      </c>
      <c r="CD110">
        <f ca="1">'JACOBIAN - OIS USDOIS'!AN119</f>
        <v>-5.3073434686945497E-4</v>
      </c>
      <c r="CE110">
        <f ca="1">'JACOBIAN - OIS USDOIS'!AO119</f>
        <v>-1.52623100133487E-3</v>
      </c>
      <c r="CF110">
        <f ca="1">'JACOBIAN - OIS USDOIS'!AP119</f>
        <v>1.47934905262215E-4</v>
      </c>
      <c r="CK110" s="248">
        <f t="shared" ca="1" si="118"/>
        <v>52399</v>
      </c>
      <c r="CL110">
        <f t="shared" ca="1" si="119"/>
        <v>-7.4729907872939105E-7</v>
      </c>
      <c r="CM110">
        <f t="shared" ca="1" si="120"/>
        <v>7.5783379571703297E-11</v>
      </c>
      <c r="CN110">
        <f t="shared" ca="1" si="121"/>
        <v>-3.0435931552830198E-10</v>
      </c>
      <c r="CO110">
        <f t="shared" ca="1" si="122"/>
        <v>8.0063522478468495E-10</v>
      </c>
      <c r="CP110">
        <f t="shared" ca="1" si="123"/>
        <v>-1.0303139452716399E-9</v>
      </c>
      <c r="CQ110">
        <f t="shared" ca="1" si="124"/>
        <v>2.3310234853468602E-9</v>
      </c>
      <c r="CR110">
        <f t="shared" ca="1" si="125"/>
        <v>-1.7341487468236501E-8</v>
      </c>
      <c r="CS110">
        <f t="shared" ca="1" si="126"/>
        <v>2.84909843495385E-8</v>
      </c>
      <c r="CT110">
        <f t="shared" ca="1" si="127"/>
        <v>-1.09693076288941E-7</v>
      </c>
      <c r="CU110">
        <f t="shared" ca="1" si="128"/>
        <v>4.8003138963803604E-7</v>
      </c>
      <c r="CV110">
        <f t="shared" ca="1" si="129"/>
        <v>-3.77398114426164E-7</v>
      </c>
      <c r="CW110">
        <f t="shared" ca="1" si="130"/>
        <v>3.0753177782116798E-14</v>
      </c>
      <c r="CX110">
        <f t="shared" ca="1" si="131"/>
        <v>3.0753177782116798E-14</v>
      </c>
      <c r="CY110">
        <f t="shared" ca="1" si="132"/>
        <v>3.0753177782116798E-14</v>
      </c>
      <c r="CZ110">
        <f t="shared" ca="1" si="133"/>
        <v>3.0753177782116798E-14</v>
      </c>
      <c r="DA110">
        <f t="shared" ca="1" si="134"/>
        <v>3.0753177782116798E-14</v>
      </c>
      <c r="DB110" s="146">
        <v>0</v>
      </c>
      <c r="DC110" s="146">
        <v>0</v>
      </c>
      <c r="DD110" s="146">
        <v>0</v>
      </c>
      <c r="DE110" s="146">
        <v>0</v>
      </c>
      <c r="DF110" s="146">
        <v>0</v>
      </c>
      <c r="DG110" s="146">
        <v>0</v>
      </c>
      <c r="DH110" s="146">
        <v>0</v>
      </c>
      <c r="DI110" s="146">
        <v>0</v>
      </c>
      <c r="DJ110" s="146">
        <v>0</v>
      </c>
      <c r="DK110" s="146">
        <v>0</v>
      </c>
      <c r="DL110" s="146">
        <v>0</v>
      </c>
      <c r="DM110" s="146">
        <v>0</v>
      </c>
      <c r="DN110">
        <f t="shared" ca="1" si="135"/>
        <v>1.16336682298712E-6</v>
      </c>
      <c r="DO110">
        <f t="shared" ca="1" si="136"/>
        <v>2.6529687161547202E-6</v>
      </c>
      <c r="DP110">
        <f t="shared" ca="1" si="137"/>
        <v>3.4350711251018901E-6</v>
      </c>
      <c r="DQ110">
        <f t="shared" ca="1" si="138"/>
        <v>2.9189609093149801E-6</v>
      </c>
      <c r="DR110">
        <f t="shared" ca="1" si="139"/>
        <v>1.10424792283403E-5</v>
      </c>
      <c r="DS110">
        <f t="shared" ca="1" si="140"/>
        <v>1.7592166504876198E-5</v>
      </c>
      <c r="DT110">
        <f t="shared" ca="1" si="141"/>
        <v>6.7911399539544198E-5</v>
      </c>
      <c r="DU110">
        <f t="shared" ca="1" si="142"/>
        <v>-7.4784341343114806E-5</v>
      </c>
      <c r="DV110">
        <f t="shared" ca="1" si="143"/>
        <v>2.9063437865273201E-4</v>
      </c>
      <c r="DW110">
        <f t="shared" ca="1" si="144"/>
        <v>-5.3073434686945497E-4</v>
      </c>
      <c r="DX110">
        <f t="shared" ca="1" si="145"/>
        <v>-1.52623100133487E-3</v>
      </c>
      <c r="DY110">
        <f t="shared" ca="1" si="146"/>
        <v>1.47934905262215E-4</v>
      </c>
      <c r="ED110" s="248">
        <f ca="1">'JACOBIAN - SWAP USD3ML'!B119</f>
        <v>52399</v>
      </c>
      <c r="EE110">
        <f ca="1">'JACOBIAN - SWAP USD3ML'!C119</f>
        <v>-3.5797406705562201E-13</v>
      </c>
      <c r="EF110">
        <f ca="1">'JACOBIAN - SWAP USD3ML'!D119</f>
        <v>-8.5155358459099201E-11</v>
      </c>
      <c r="EG110">
        <f ca="1">'JACOBIAN - SWAP USD3ML'!E119</f>
        <v>-7.9084551407593295E-12</v>
      </c>
      <c r="EH110">
        <f ca="1">'JACOBIAN - SWAP USD3ML'!F119</f>
        <v>-3.5710323587068201E-13</v>
      </c>
      <c r="EI110">
        <f ca="1">'JACOBIAN - SWAP USD3ML'!G119</f>
        <v>-1.2954845529655801E-12</v>
      </c>
      <c r="EJ110">
        <f ca="1">'JACOBIAN - SWAP USD3ML'!H119</f>
        <v>-8.5839158697753604E-11</v>
      </c>
      <c r="EK110">
        <f ca="1">'JACOBIAN - SWAP USD3ML'!I119</f>
        <v>-9.2905683146682298E-11</v>
      </c>
      <c r="EL110">
        <f ca="1">'JACOBIAN - SWAP USD3ML'!J119</f>
        <v>-9.2520772293491799E-11</v>
      </c>
      <c r="EM110">
        <f ca="1">'JACOBIAN - SWAP USD3ML'!K119</f>
        <v>-9.2161927395251197E-11</v>
      </c>
      <c r="EN110">
        <f ca="1">'JACOBIAN - SWAP USD3ML'!L119</f>
        <v>-9.1899529652827994E-11</v>
      </c>
      <c r="EO110">
        <f ca="1">'JACOBIAN - SWAP USD3ML'!M119</f>
        <v>-9.1026314957831606E-11</v>
      </c>
      <c r="EP110">
        <f ca="1">'JACOBIAN - SWAP USD3ML'!N119</f>
        <v>-1.9508829274261801E-10</v>
      </c>
      <c r="EQ110">
        <f ca="1">'JACOBIAN - SWAP USD3ML'!O119</f>
        <v>4.72599611875402E-9</v>
      </c>
      <c r="ER110">
        <f ca="1">'JACOBIAN - SWAP USD3ML'!P119</f>
        <v>-2.2876081029465899E-8</v>
      </c>
      <c r="ES110">
        <f ca="1">'JACOBIAN - SWAP USD3ML'!Q119</f>
        <v>5.6989805052171099E-8</v>
      </c>
      <c r="ET110">
        <f ca="1">'JACOBIAN - SWAP USD3ML'!R119</f>
        <v>-5.0284415327103704E-7</v>
      </c>
      <c r="EU110">
        <f ca="1">'JACOBIAN - SWAP USD3ML'!S119</f>
        <v>2.6196001437633902E-6</v>
      </c>
      <c r="EV110">
        <f ca="1">'JACOBIAN - SWAP USD3ML'!T119</f>
        <v>-1.1393675780235799E-5</v>
      </c>
      <c r="EW110">
        <f ca="1">'JACOBIAN - SWAP USD3ML'!U119</f>
        <v>2.5414389642330198E-5</v>
      </c>
      <c r="EX110">
        <f ca="1">'JACOBIAN - SWAP USD3ML'!V119</f>
        <v>-5.6279142596638701E-5</v>
      </c>
      <c r="EY110">
        <f ca="1">'JACOBIAN - SWAP USD3ML'!W119</f>
        <v>1.35050555059895E-4</v>
      </c>
      <c r="EZ110">
        <f ca="1">'JACOBIAN - SWAP USD3ML'!X119</f>
        <v>-6.4907665971480899E-4</v>
      </c>
      <c r="FA110">
        <f ca="1">'JACOBIAN - SWAP USD3ML'!Y119</f>
        <v>5.76078376620031E-4</v>
      </c>
      <c r="FB110">
        <f ca="1">'JACOBIAN - SWAP USD3ML'!Z119</f>
        <v>7.6352812662820694E-5</v>
      </c>
    </row>
    <row r="111" spans="24:158" x14ac:dyDescent="0.25">
      <c r="X111" s="258">
        <f t="shared" ca="1" si="113"/>
        <v>52491</v>
      </c>
      <c r="Y111" s="261">
        <v>0</v>
      </c>
      <c r="AA111" s="257">
        <f t="shared" ca="1" si="110"/>
        <v>52491</v>
      </c>
      <c r="AB111" s="266">
        <f t="shared" ca="1" si="114"/>
        <v>-1.5970572542134366E-3</v>
      </c>
      <c r="AC111" s="266"/>
      <c r="AD111" s="290">
        <f ca="1"/>
        <v>52491</v>
      </c>
      <c r="AE111" s="291">
        <f ca="1"/>
        <v>-1.5970572542134409E-3</v>
      </c>
      <c r="AF111" s="291" t="b">
        <f t="shared" ca="1" si="111"/>
        <v>1</v>
      </c>
      <c r="AH111" s="257">
        <f t="shared" ca="1" si="115"/>
        <v>52491</v>
      </c>
      <c r="AI111" s="260">
        <v>0</v>
      </c>
      <c r="AK111" s="290">
        <f ca="1"/>
        <v>52491</v>
      </c>
      <c r="AL111" s="291">
        <f ca="1"/>
        <v>9.8283624636617828E-5</v>
      </c>
      <c r="AM111" s="291" t="b">
        <f t="shared" ca="1" si="116"/>
        <v>1</v>
      </c>
      <c r="AO111" s="257">
        <f t="shared" ca="1" si="117"/>
        <v>52491</v>
      </c>
      <c r="AP111" s="266">
        <f t="shared" ca="1" si="112"/>
        <v>9.8283624636617801E-5</v>
      </c>
      <c r="AR111" s="248">
        <f ca="1">'JACOBIAN - OIS USDOIS'!B120</f>
        <v>52491</v>
      </c>
      <c r="AS111">
        <f ca="1">'JACOBIAN - OIS USDOIS'!C120</f>
        <v>-7.4404297578656298E-7</v>
      </c>
      <c r="AT111">
        <f ca="1">'JACOBIAN - OIS USDOIS'!D120</f>
        <v>7.3136718903299399E-11</v>
      </c>
      <c r="AU111">
        <f ca="1">'JACOBIAN - OIS USDOIS'!E120</f>
        <v>-2.9385227584555201E-10</v>
      </c>
      <c r="AV111">
        <f ca="1">'JACOBIAN - OIS USDOIS'!F120</f>
        <v>7.7290041033961601E-10</v>
      </c>
      <c r="AW111">
        <f ca="1">'JACOBIAN - OIS USDOIS'!G120</f>
        <v>-9.9464980696239991E-10</v>
      </c>
      <c r="AX111">
        <f ca="1">'JACOBIAN - OIS USDOIS'!H120</f>
        <v>2.2503402474782799E-9</v>
      </c>
      <c r="AY111">
        <f ca="1">'JACOBIAN - OIS USDOIS'!I120</f>
        <v>-1.70323534165462E-8</v>
      </c>
      <c r="AZ111">
        <f ca="1">'JACOBIAN - OIS USDOIS'!J120</f>
        <v>2.7505109301273501E-8</v>
      </c>
      <c r="BA111">
        <f ca="1">'JACOBIAN - OIS USDOIS'!K120</f>
        <v>-1.0589774024349901E-7</v>
      </c>
      <c r="BB111">
        <f ca="1">'JACOBIAN - OIS USDOIS'!L120</f>
        <v>4.73078553442363E-7</v>
      </c>
      <c r="BC111">
        <f ca="1">'JACOBIAN - OIS USDOIS'!M120</f>
        <v>-3.6521697233116199E-7</v>
      </c>
      <c r="BD111">
        <f ca="1">'JACOBIAN - OIS USDOIS'!N120</f>
        <v>2.0761170560490399E-14</v>
      </c>
      <c r="BE111">
        <f ca="1">'JACOBIAN - OIS USDOIS'!O120</f>
        <v>2.0761170560490399E-14</v>
      </c>
      <c r="BF111">
        <f ca="1">'JACOBIAN - OIS USDOIS'!P120</f>
        <v>2.0761170560490399E-14</v>
      </c>
      <c r="BG111">
        <f ca="1">'JACOBIAN - OIS USDOIS'!Q120</f>
        <v>2.0761170560490399E-14</v>
      </c>
      <c r="BH111">
        <f ca="1">'JACOBIAN - OIS USDOIS'!R120</f>
        <v>2.0761170560490399E-14</v>
      </c>
      <c r="BI111" s="161">
        <f ca="1">'JACOBIAN - OIS USDOIS'!S120</f>
        <v>-1.16656968296436E-6</v>
      </c>
      <c r="BJ111" s="161">
        <f ca="1">'JACOBIAN - OIS USDOIS'!T120</f>
        <v>-2.7117175153135198E-6</v>
      </c>
      <c r="BK111" s="161">
        <f ca="1">'JACOBIAN - OIS USDOIS'!U120</f>
        <v>-3.3908653173098098E-6</v>
      </c>
      <c r="BL111" s="161">
        <f ca="1">'JACOBIAN - OIS USDOIS'!V120</f>
        <v>-3.2848373864302599E-6</v>
      </c>
      <c r="BM111" s="161">
        <f ca="1">'JACOBIAN - OIS USDOIS'!W120</f>
        <v>-1.05300945235642E-5</v>
      </c>
      <c r="BN111" s="161">
        <f ca="1">'JACOBIAN - OIS USDOIS'!X120</f>
        <v>-1.9031216269449501E-5</v>
      </c>
      <c r="BO111" s="161">
        <f ca="1">'JACOBIAN - OIS USDOIS'!Y120</f>
        <v>-6.2752665749621404E-5</v>
      </c>
      <c r="BP111" s="161">
        <f ca="1">'JACOBIAN - OIS USDOIS'!Z120</f>
        <v>5.8396311920505499E-5</v>
      </c>
      <c r="BQ111" s="161">
        <f ca="1">'JACOBIAN - OIS USDOIS'!AA120</f>
        <v>-2.5949818320336599E-4</v>
      </c>
      <c r="BR111" s="161">
        <f ca="1">'JACOBIAN - OIS USDOIS'!AB120</f>
        <v>4.1079963974488499E-4</v>
      </c>
      <c r="BS111" s="161">
        <f ca="1">'JACOBIAN - OIS USDOIS'!AC120</f>
        <v>1.6566310204755299E-3</v>
      </c>
      <c r="BT111" s="161">
        <f ca="1">'JACOBIAN - OIS USDOIS'!AD120</f>
        <v>-1.4043037113942199E-4</v>
      </c>
      <c r="BU111">
        <f ca="1">'JACOBIAN - OIS USDOIS'!AE120</f>
        <v>1.1451706201093299E-6</v>
      </c>
      <c r="BV111">
        <f ca="1">'JACOBIAN - OIS USDOIS'!AF120</f>
        <v>2.6662361338747302E-6</v>
      </c>
      <c r="BW111">
        <f ca="1">'JACOBIAN - OIS USDOIS'!AG120</f>
        <v>3.3360173802288199E-6</v>
      </c>
      <c r="BX111">
        <f ca="1">'JACOBIAN - OIS USDOIS'!AH120</f>
        <v>3.2309891709880698E-6</v>
      </c>
      <c r="BY111">
        <f ca="1">'JACOBIAN - OIS USDOIS'!AI120</f>
        <v>1.0353757849301799E-5</v>
      </c>
      <c r="BZ111">
        <f ca="1">'JACOBIAN - OIS USDOIS'!AJ120</f>
        <v>1.8716616159930602E-5</v>
      </c>
      <c r="CA111">
        <f ca="1">'JACOBIAN - OIS USDOIS'!AK120</f>
        <v>6.1744375798311601E-5</v>
      </c>
      <c r="CB111">
        <f ca="1">'JACOBIAN - OIS USDOIS'!AL120</f>
        <v>-5.7566736936576199E-5</v>
      </c>
      <c r="CC111">
        <f ca="1">'JACOBIAN - OIS USDOIS'!AM120</f>
        <v>2.5552684525220699E-4</v>
      </c>
      <c r="CD111">
        <f ca="1">'JACOBIAN - OIS USDOIS'!AN120</f>
        <v>-4.0473660213535801E-4</v>
      </c>
      <c r="CE111">
        <f ca="1">'JACOBIAN - OIS USDOIS'!AO120</f>
        <v>-1.62935340712866E-3</v>
      </c>
      <c r="CF111">
        <f ca="1">'JACOBIAN - OIS USDOIS'!AP120</f>
        <v>1.3860928202214E-4</v>
      </c>
      <c r="CK111" s="248">
        <f t="shared" ca="1" si="118"/>
        <v>52491</v>
      </c>
      <c r="CL111">
        <f t="shared" ca="1" si="119"/>
        <v>-7.4404297578656298E-7</v>
      </c>
      <c r="CM111">
        <f t="shared" ca="1" si="120"/>
        <v>7.3136718903299399E-11</v>
      </c>
      <c r="CN111">
        <f t="shared" ca="1" si="121"/>
        <v>-2.9385227584555201E-10</v>
      </c>
      <c r="CO111">
        <f t="shared" ca="1" si="122"/>
        <v>7.7290041033961601E-10</v>
      </c>
      <c r="CP111">
        <f t="shared" ca="1" si="123"/>
        <v>-9.9464980696239991E-10</v>
      </c>
      <c r="CQ111">
        <f t="shared" ca="1" si="124"/>
        <v>2.2503402474782799E-9</v>
      </c>
      <c r="CR111">
        <f t="shared" ca="1" si="125"/>
        <v>-1.70323534165462E-8</v>
      </c>
      <c r="CS111">
        <f t="shared" ca="1" si="126"/>
        <v>2.7505109301273501E-8</v>
      </c>
      <c r="CT111">
        <f t="shared" ca="1" si="127"/>
        <v>-1.0589774024349901E-7</v>
      </c>
      <c r="CU111">
        <f t="shared" ca="1" si="128"/>
        <v>4.73078553442363E-7</v>
      </c>
      <c r="CV111">
        <f t="shared" ca="1" si="129"/>
        <v>-3.6521697233116199E-7</v>
      </c>
      <c r="CW111">
        <f t="shared" ca="1" si="130"/>
        <v>2.0761170560490399E-14</v>
      </c>
      <c r="CX111">
        <f t="shared" ca="1" si="131"/>
        <v>2.0761170560490399E-14</v>
      </c>
      <c r="CY111">
        <f t="shared" ca="1" si="132"/>
        <v>2.0761170560490399E-14</v>
      </c>
      <c r="CZ111">
        <f t="shared" ca="1" si="133"/>
        <v>2.0761170560490399E-14</v>
      </c>
      <c r="DA111">
        <f t="shared" ca="1" si="134"/>
        <v>2.0761170560490399E-14</v>
      </c>
      <c r="DB111" s="146">
        <v>0</v>
      </c>
      <c r="DC111" s="146">
        <v>0</v>
      </c>
      <c r="DD111" s="146">
        <v>0</v>
      </c>
      <c r="DE111" s="146">
        <v>0</v>
      </c>
      <c r="DF111" s="146">
        <v>0</v>
      </c>
      <c r="DG111" s="146">
        <v>0</v>
      </c>
      <c r="DH111" s="146">
        <v>0</v>
      </c>
      <c r="DI111" s="146">
        <v>0</v>
      </c>
      <c r="DJ111" s="146">
        <v>0</v>
      </c>
      <c r="DK111" s="146">
        <v>0</v>
      </c>
      <c r="DL111" s="146">
        <v>0</v>
      </c>
      <c r="DM111" s="146">
        <v>0</v>
      </c>
      <c r="DN111">
        <f t="shared" ca="1" si="135"/>
        <v>1.1451706201093299E-6</v>
      </c>
      <c r="DO111">
        <f t="shared" ca="1" si="136"/>
        <v>2.6662361338747302E-6</v>
      </c>
      <c r="DP111">
        <f t="shared" ca="1" si="137"/>
        <v>3.3360173802288199E-6</v>
      </c>
      <c r="DQ111">
        <f t="shared" ca="1" si="138"/>
        <v>3.2309891709880698E-6</v>
      </c>
      <c r="DR111">
        <f t="shared" ca="1" si="139"/>
        <v>1.0353757849301799E-5</v>
      </c>
      <c r="DS111">
        <f t="shared" ca="1" si="140"/>
        <v>1.8716616159930602E-5</v>
      </c>
      <c r="DT111">
        <f t="shared" ca="1" si="141"/>
        <v>6.1744375798311601E-5</v>
      </c>
      <c r="DU111">
        <f t="shared" ca="1" si="142"/>
        <v>-5.7566736936576199E-5</v>
      </c>
      <c r="DV111">
        <f t="shared" ca="1" si="143"/>
        <v>2.5552684525220699E-4</v>
      </c>
      <c r="DW111">
        <f t="shared" ca="1" si="144"/>
        <v>-4.0473660213535801E-4</v>
      </c>
      <c r="DX111">
        <f t="shared" ca="1" si="145"/>
        <v>-1.62935340712866E-3</v>
      </c>
      <c r="DY111">
        <f t="shared" ca="1" si="146"/>
        <v>1.3860928202214E-4</v>
      </c>
      <c r="ED111" s="248">
        <f ca="1">'JACOBIAN - SWAP USD3ML'!B120</f>
        <v>52491</v>
      </c>
      <c r="EE111">
        <f ca="1">'JACOBIAN - SWAP USD3ML'!C120</f>
        <v>-3.82111009500363E-13</v>
      </c>
      <c r="EF111">
        <f ca="1">'JACOBIAN - SWAP USD3ML'!D120</f>
        <v>-8.7455317293594296E-11</v>
      </c>
      <c r="EG111">
        <f ca="1">'JACOBIAN - SWAP USD3ML'!E120</f>
        <v>-8.25361654022139E-12</v>
      </c>
      <c r="EH111">
        <f ca="1">'JACOBIAN - SWAP USD3ML'!F120</f>
        <v>-3.8299224902615902E-13</v>
      </c>
      <c r="EI111">
        <f ca="1">'JACOBIAN - SWAP USD3ML'!G120</f>
        <v>-1.3466137926965201E-12</v>
      </c>
      <c r="EJ111">
        <f ca="1">'JACOBIAN - SWAP USD3ML'!H120</f>
        <v>-8.8173864043472605E-11</v>
      </c>
      <c r="EK111">
        <f ca="1">'JACOBIAN - SWAP USD3ML'!I120</f>
        <v>-9.5546428408033205E-11</v>
      </c>
      <c r="EL111">
        <f ca="1">'JACOBIAN - SWAP USD3ML'!J120</f>
        <v>-9.5147625889247006E-11</v>
      </c>
      <c r="EM111">
        <f ca="1">'JACOBIAN - SWAP USD3ML'!K120</f>
        <v>-9.4778691839270098E-11</v>
      </c>
      <c r="EN111">
        <f ca="1">'JACOBIAN - SWAP USD3ML'!L120</f>
        <v>-9.4509015197141696E-11</v>
      </c>
      <c r="EO111">
        <f ca="1">'JACOBIAN - SWAP USD3ML'!M120</f>
        <v>-9.3609515972037397E-11</v>
      </c>
      <c r="EP111">
        <f ca="1">'JACOBIAN - SWAP USD3ML'!N120</f>
        <v>-2.00578893772008E-10</v>
      </c>
      <c r="EQ111">
        <f ca="1">'JACOBIAN - SWAP USD3ML'!O120</f>
        <v>4.8589000947729699E-9</v>
      </c>
      <c r="ER111">
        <f ca="1">'JACOBIAN - SWAP USD3ML'!P120</f>
        <v>-2.3519390390108802E-8</v>
      </c>
      <c r="ES111">
        <f ca="1">'JACOBIAN - SWAP USD3ML'!Q120</f>
        <v>5.8592153545644601E-8</v>
      </c>
      <c r="ET111">
        <f ca="1">'JACOBIAN - SWAP USD3ML'!R120</f>
        <v>-5.1698286882353995E-7</v>
      </c>
      <c r="EU111">
        <f ca="1">'JACOBIAN - SWAP USD3ML'!S120</f>
        <v>2.6932558442778501E-6</v>
      </c>
      <c r="EV111">
        <f ca="1">'JACOBIAN - SWAP USD3ML'!T120</f>
        <v>-1.17140331316254E-5</v>
      </c>
      <c r="EW111">
        <f ca="1">'JACOBIAN - SWAP USD3ML'!U120</f>
        <v>2.6128981799308798E-5</v>
      </c>
      <c r="EX111">
        <f ca="1">'JACOBIAN - SWAP USD3ML'!V120</f>
        <v>-5.7861514520356199E-5</v>
      </c>
      <c r="EY111">
        <f ca="1">'JACOBIAN - SWAP USD3ML'!W120</f>
        <v>1.3884805919435101E-4</v>
      </c>
      <c r="EZ111">
        <f ca="1">'JACOBIAN - SWAP USD3ML'!X120</f>
        <v>-6.2769612810871902E-4</v>
      </c>
      <c r="FA111">
        <f ca="1">'JACOBIAN - SWAP USD3ML'!Y120</f>
        <v>5.1107713873877999E-4</v>
      </c>
      <c r="FB111">
        <f ca="1">'JACOBIAN - SWAP USD3ML'!Z120</f>
        <v>1.1728577619086E-4</v>
      </c>
    </row>
    <row r="112" spans="24:158" x14ac:dyDescent="0.25">
      <c r="X112" s="258">
        <f t="shared" ca="1" si="113"/>
        <v>52582</v>
      </c>
      <c r="Y112" s="261">
        <v>0</v>
      </c>
      <c r="AA112" s="257">
        <f t="shared" ca="1" si="110"/>
        <v>52582</v>
      </c>
      <c r="AB112" s="266">
        <f t="shared" ca="1" si="114"/>
        <v>-1.6066807874884855E-3</v>
      </c>
      <c r="AC112" s="266"/>
      <c r="AD112" s="290">
        <f ca="1"/>
        <v>52582</v>
      </c>
      <c r="AE112" s="291">
        <f ca="1"/>
        <v>-1.6066807874884903E-3</v>
      </c>
      <c r="AF112" s="291" t="b">
        <f t="shared" ca="1" si="111"/>
        <v>1</v>
      </c>
      <c r="AH112" s="257">
        <f t="shared" ca="1" si="115"/>
        <v>52582</v>
      </c>
      <c r="AI112" s="260">
        <v>0</v>
      </c>
      <c r="AK112" s="290">
        <f ca="1"/>
        <v>52582</v>
      </c>
      <c r="AL112" s="291">
        <f ca="1"/>
        <v>9.8272039237595754E-5</v>
      </c>
      <c r="AM112" s="291" t="b">
        <f t="shared" ca="1" si="116"/>
        <v>1</v>
      </c>
      <c r="AO112" s="257">
        <f t="shared" ca="1" si="117"/>
        <v>52582</v>
      </c>
      <c r="AP112" s="266">
        <f t="shared" ca="1" si="112"/>
        <v>9.8272039237594507E-5</v>
      </c>
      <c r="AR112" s="248">
        <f ca="1">'JACOBIAN - OIS USDOIS'!B121</f>
        <v>52582</v>
      </c>
      <c r="AS112">
        <f ca="1">'JACOBIAN - OIS USDOIS'!C121</f>
        <v>-7.4084500889526297E-7</v>
      </c>
      <c r="AT112">
        <f ca="1">'JACOBIAN - OIS USDOIS'!D121</f>
        <v>7.0416894537572703E-11</v>
      </c>
      <c r="AU112">
        <f ca="1">'JACOBIAN - OIS USDOIS'!E121</f>
        <v>-2.8304214527707901E-10</v>
      </c>
      <c r="AV112">
        <f ca="1">'JACOBIAN - OIS USDOIS'!F121</f>
        <v>7.4437167540963897E-10</v>
      </c>
      <c r="AW112">
        <f ca="1">'JACOBIAN - OIS USDOIS'!G121</f>
        <v>-9.5796204302445197E-10</v>
      </c>
      <c r="AX112">
        <f ca="1">'JACOBIAN - OIS USDOIS'!H121</f>
        <v>2.1673440819824902E-9</v>
      </c>
      <c r="AY112">
        <f ca="1">'JACOBIAN - OIS USDOIS'!I121</f>
        <v>-1.6716379058756602E-8</v>
      </c>
      <c r="AZ112">
        <f ca="1">'JACOBIAN - OIS USDOIS'!J121</f>
        <v>2.6490942661716601E-8</v>
      </c>
      <c r="BA112">
        <f ca="1">'JACOBIAN - OIS USDOIS'!K121</f>
        <v>-1.01993481771423E-7</v>
      </c>
      <c r="BB112">
        <f ca="1">'JACOBIAN - OIS USDOIS'!L121</f>
        <v>4.6597531555558902E-7</v>
      </c>
      <c r="BC112">
        <f ca="1">'JACOBIAN - OIS USDOIS'!M121</f>
        <v>-3.5269236975388202E-7</v>
      </c>
      <c r="BD112">
        <f ca="1">'JACOBIAN - OIS USDOIS'!N121</f>
        <v>1.23234755733392E-14</v>
      </c>
      <c r="BE112">
        <f ca="1">'JACOBIAN - OIS USDOIS'!O121</f>
        <v>1.23234755733392E-14</v>
      </c>
      <c r="BF112">
        <f ca="1">'JACOBIAN - OIS USDOIS'!P121</f>
        <v>1.23234755733392E-14</v>
      </c>
      <c r="BG112">
        <f ca="1">'JACOBIAN - OIS USDOIS'!Q121</f>
        <v>1.23234755733392E-14</v>
      </c>
      <c r="BH112">
        <f ca="1">'JACOBIAN - OIS USDOIS'!R121</f>
        <v>1.23234755733392E-14</v>
      </c>
      <c r="BI112" s="161">
        <f ca="1">'JACOBIAN - OIS USDOIS'!S121</f>
        <v>-1.1476181297487299E-6</v>
      </c>
      <c r="BJ112" s="161">
        <f ca="1">'JACOBIAN - OIS USDOIS'!T121</f>
        <v>-2.7261238149112201E-6</v>
      </c>
      <c r="BK112" s="161">
        <f ca="1">'JACOBIAN - OIS USDOIS'!U121</f>
        <v>-3.2874801260129901E-6</v>
      </c>
      <c r="BL112" s="161">
        <f ca="1">'JACOBIAN - OIS USDOIS'!V121</f>
        <v>-3.6125887655780201E-6</v>
      </c>
      <c r="BM112" s="161">
        <f ca="1">'JACOBIAN - OIS USDOIS'!W121</f>
        <v>-9.8094047070729201E-6</v>
      </c>
      <c r="BN112" s="161">
        <f ca="1">'JACOBIAN - OIS USDOIS'!X121</f>
        <v>-2.0213354925191499E-5</v>
      </c>
      <c r="BO112" s="161">
        <f ca="1">'JACOBIAN - OIS USDOIS'!Y121</f>
        <v>-5.6297686163109302E-5</v>
      </c>
      <c r="BP112" s="161">
        <f ca="1">'JACOBIAN - OIS USDOIS'!Z121</f>
        <v>4.0358262362483202E-5</v>
      </c>
      <c r="BQ112" s="161">
        <f ca="1">'JACOBIAN - OIS USDOIS'!AA121</f>
        <v>-2.22777374878191E-4</v>
      </c>
      <c r="BR112" s="161">
        <f ca="1">'JACOBIAN - OIS USDOIS'!AB121</f>
        <v>2.8683515303229402E-4</v>
      </c>
      <c r="BS112" s="161">
        <f ca="1">'JACOBIAN - OIS USDOIS'!AC121</f>
        <v>1.7511042580270501E-3</v>
      </c>
      <c r="BT112" s="161">
        <f ca="1">'JACOBIAN - OIS USDOIS'!AD121</f>
        <v>-1.2537475086271701E-4</v>
      </c>
      <c r="BU112">
        <f ca="1">'JACOBIAN - OIS USDOIS'!AE121</f>
        <v>1.12656325745863E-6</v>
      </c>
      <c r="BV112">
        <f ca="1">'JACOBIAN - OIS USDOIS'!AF121</f>
        <v>2.6804044355177602E-6</v>
      </c>
      <c r="BW112">
        <f ca="1">'JACOBIAN - OIS USDOIS'!AG121</f>
        <v>3.23429198267888E-6</v>
      </c>
      <c r="BX112">
        <f ca="1">'JACOBIAN - OIS USDOIS'!AH121</f>
        <v>3.55358899428726E-6</v>
      </c>
      <c r="BY112">
        <f ca="1">'JACOBIAN - OIS USDOIS'!AI121</f>
        <v>9.6446523231152898E-6</v>
      </c>
      <c r="BZ112">
        <f ca="1">'JACOBIAN - OIS USDOIS'!AJ121</f>
        <v>1.98803069455522E-5</v>
      </c>
      <c r="CA112">
        <f ca="1">'JACOBIAN - OIS USDOIS'!AK121</f>
        <v>5.53896021199263E-5</v>
      </c>
      <c r="CB112">
        <f ca="1">'JACOBIAN - OIS USDOIS'!AL121</f>
        <v>-3.9805263835623903E-5</v>
      </c>
      <c r="CC112">
        <f ca="1">'JACOBIAN - OIS USDOIS'!AM121</f>
        <v>2.1933612814528701E-4</v>
      </c>
      <c r="CD112">
        <f ca="1">'JACOBIAN - OIS USDOIS'!AN121</f>
        <v>-2.82733157157544E-4</v>
      </c>
      <c r="CE112">
        <f ca="1">'JACOBIAN - OIS USDOIS'!AO121</f>
        <v>-1.72201591060583E-3</v>
      </c>
      <c r="CF112">
        <f ca="1">'JACOBIAN - OIS USDOIS'!AP121</f>
        <v>1.2374604569787001E-4</v>
      </c>
      <c r="CK112" s="248">
        <f t="shared" ca="1" si="118"/>
        <v>52582</v>
      </c>
      <c r="CL112">
        <f t="shared" ca="1" si="119"/>
        <v>-7.4084500889526297E-7</v>
      </c>
      <c r="CM112">
        <f t="shared" ca="1" si="120"/>
        <v>7.0416894537572703E-11</v>
      </c>
      <c r="CN112">
        <f t="shared" ca="1" si="121"/>
        <v>-2.8304214527707901E-10</v>
      </c>
      <c r="CO112">
        <f t="shared" ca="1" si="122"/>
        <v>7.4437167540963897E-10</v>
      </c>
      <c r="CP112">
        <f t="shared" ca="1" si="123"/>
        <v>-9.5796204302445197E-10</v>
      </c>
      <c r="CQ112">
        <f t="shared" ca="1" si="124"/>
        <v>2.1673440819824902E-9</v>
      </c>
      <c r="CR112">
        <f t="shared" ca="1" si="125"/>
        <v>-1.6716379058756602E-8</v>
      </c>
      <c r="CS112">
        <f t="shared" ca="1" si="126"/>
        <v>2.6490942661716601E-8</v>
      </c>
      <c r="CT112">
        <f t="shared" ca="1" si="127"/>
        <v>-1.01993481771423E-7</v>
      </c>
      <c r="CU112">
        <f t="shared" ca="1" si="128"/>
        <v>4.6597531555558902E-7</v>
      </c>
      <c r="CV112">
        <f t="shared" ca="1" si="129"/>
        <v>-3.5269236975388202E-7</v>
      </c>
      <c r="CW112">
        <f t="shared" ca="1" si="130"/>
        <v>1.23234755733392E-14</v>
      </c>
      <c r="CX112">
        <f t="shared" ca="1" si="131"/>
        <v>1.23234755733392E-14</v>
      </c>
      <c r="CY112">
        <f t="shared" ca="1" si="132"/>
        <v>1.23234755733392E-14</v>
      </c>
      <c r="CZ112">
        <f t="shared" ca="1" si="133"/>
        <v>1.23234755733392E-14</v>
      </c>
      <c r="DA112">
        <f t="shared" ca="1" si="134"/>
        <v>1.23234755733392E-14</v>
      </c>
      <c r="DB112" s="146">
        <v>0</v>
      </c>
      <c r="DC112" s="146">
        <v>0</v>
      </c>
      <c r="DD112" s="146">
        <v>0</v>
      </c>
      <c r="DE112" s="146">
        <v>0</v>
      </c>
      <c r="DF112" s="146">
        <v>0</v>
      </c>
      <c r="DG112" s="146">
        <v>0</v>
      </c>
      <c r="DH112" s="146">
        <v>0</v>
      </c>
      <c r="DI112" s="146">
        <v>0</v>
      </c>
      <c r="DJ112" s="146">
        <v>0</v>
      </c>
      <c r="DK112" s="146">
        <v>0</v>
      </c>
      <c r="DL112" s="146">
        <v>0</v>
      </c>
      <c r="DM112" s="146">
        <v>0</v>
      </c>
      <c r="DN112">
        <f t="shared" ca="1" si="135"/>
        <v>1.12656325745863E-6</v>
      </c>
      <c r="DO112">
        <f t="shared" ca="1" si="136"/>
        <v>2.6804044355177602E-6</v>
      </c>
      <c r="DP112">
        <f t="shared" ca="1" si="137"/>
        <v>3.23429198267888E-6</v>
      </c>
      <c r="DQ112">
        <f t="shared" ca="1" si="138"/>
        <v>3.55358899428726E-6</v>
      </c>
      <c r="DR112">
        <f t="shared" ca="1" si="139"/>
        <v>9.6446523231152898E-6</v>
      </c>
      <c r="DS112">
        <f t="shared" ca="1" si="140"/>
        <v>1.98803069455522E-5</v>
      </c>
      <c r="DT112">
        <f t="shared" ca="1" si="141"/>
        <v>5.53896021199263E-5</v>
      </c>
      <c r="DU112">
        <f t="shared" ca="1" si="142"/>
        <v>-3.9805263835623903E-5</v>
      </c>
      <c r="DV112">
        <f t="shared" ca="1" si="143"/>
        <v>2.1933612814528701E-4</v>
      </c>
      <c r="DW112">
        <f t="shared" ca="1" si="144"/>
        <v>-2.82733157157544E-4</v>
      </c>
      <c r="DX112">
        <f t="shared" ca="1" si="145"/>
        <v>-1.72201591060583E-3</v>
      </c>
      <c r="DY112">
        <f t="shared" ca="1" si="146"/>
        <v>1.2374604569787001E-4</v>
      </c>
      <c r="ED112" s="248">
        <f ca="1">'JACOBIAN - SWAP USD3ML'!B121</f>
        <v>52582</v>
      </c>
      <c r="EE112">
        <f ca="1">'JACOBIAN - SWAP USD3ML'!C121</f>
        <v>-4.04950378785074E-13</v>
      </c>
      <c r="EF112">
        <f ca="1">'JACOBIAN - SWAP USD3ML'!D121</f>
        <v>-8.7146994481868095E-11</v>
      </c>
      <c r="EG112">
        <f ca="1">'JACOBIAN - SWAP USD3ML'!E121</f>
        <v>-8.4899136332250403E-12</v>
      </c>
      <c r="EH112">
        <f ca="1">'JACOBIAN - SWAP USD3ML'!F121</f>
        <v>-4.04950378785074E-13</v>
      </c>
      <c r="EI112">
        <f ca="1">'JACOBIAN - SWAP USD3ML'!G121</f>
        <v>-1.36418307206121E-12</v>
      </c>
      <c r="EJ112">
        <f ca="1">'JACOBIAN - SWAP USD3ML'!H121</f>
        <v>-8.7892769451425297E-11</v>
      </c>
      <c r="EK112">
        <f ca="1">'JACOBIAN - SWAP USD3ML'!I121</f>
        <v>-9.5474399219863696E-11</v>
      </c>
      <c r="EL112">
        <f ca="1">'JACOBIAN - SWAP USD3ML'!J121</f>
        <v>-9.5076474471156303E-11</v>
      </c>
      <c r="EM112">
        <f ca="1">'JACOBIAN - SWAP USD3ML'!K121</f>
        <v>-9.4704903641496E-11</v>
      </c>
      <c r="EN112">
        <f ca="1">'JACOBIAN - SWAP USD3ML'!L121</f>
        <v>-9.4436986008972199E-11</v>
      </c>
      <c r="EO112">
        <f ca="1">'JACOBIAN - SWAP USD3ML'!M121</f>
        <v>-9.3538364553946694E-11</v>
      </c>
      <c r="EP112">
        <f ca="1">'JACOBIAN - SWAP USD3ML'!N121</f>
        <v>-2.0033820782860999E-10</v>
      </c>
      <c r="EQ112">
        <f ca="1">'JACOBIAN - SWAP USD3ML'!O121</f>
        <v>4.8528925912505502E-9</v>
      </c>
      <c r="ER112">
        <f ca="1">'JACOBIAN - SWAP USD3ML'!P121</f>
        <v>-2.3490415765325999E-8</v>
      </c>
      <c r="ES112">
        <f ca="1">'JACOBIAN - SWAP USD3ML'!Q121</f>
        <v>5.8519609377055699E-8</v>
      </c>
      <c r="ET112">
        <f ca="1">'JACOBIAN - SWAP USD3ML'!R121</f>
        <v>-5.16343689565407E-7</v>
      </c>
      <c r="EU112">
        <f ca="1">'JACOBIAN - SWAP USD3ML'!S121</f>
        <v>2.6899250870696099E-6</v>
      </c>
      <c r="EV112">
        <f ca="1">'JACOBIAN - SWAP USD3ML'!T121</f>
        <v>-1.16995461775724E-5</v>
      </c>
      <c r="EW112">
        <f ca="1">'JACOBIAN - SWAP USD3ML'!U121</f>
        <v>2.6096674824633401E-5</v>
      </c>
      <c r="EX112">
        <f ca="1">'JACOBIAN - SWAP USD3ML'!V121</f>
        <v>-5.7789935472611597E-5</v>
      </c>
      <c r="EY112">
        <f ca="1">'JACOBIAN - SWAP USD3ML'!W121</f>
        <v>1.3867649945387099E-4</v>
      </c>
      <c r="EZ112">
        <f ca="1">'JACOBIAN - SWAP USD3ML'!X121</f>
        <v>-5.97928769506054E-4</v>
      </c>
      <c r="FA112">
        <f ca="1">'JACOBIAN - SWAP USD3ML'!Y121</f>
        <v>4.3692266859463703E-4</v>
      </c>
      <c r="FB112">
        <f ca="1">'JACOBIAN - SWAP USD3ML'!Z121</f>
        <v>1.61781843310081E-4</v>
      </c>
    </row>
    <row r="113" spans="24:158" x14ac:dyDescent="0.25">
      <c r="X113" s="258">
        <f t="shared" ca="1" si="113"/>
        <v>52673</v>
      </c>
      <c r="Y113" s="261">
        <v>0</v>
      </c>
      <c r="AA113" s="257">
        <f t="shared" ca="1" si="110"/>
        <v>52673</v>
      </c>
      <c r="AB113" s="266">
        <f t="shared" ca="1" si="114"/>
        <v>-1.6161925299609263E-3</v>
      </c>
      <c r="AC113" s="266"/>
      <c r="AD113" s="290">
        <f ca="1"/>
        <v>52673</v>
      </c>
      <c r="AE113" s="291">
        <f ca="1"/>
        <v>-1.6161925299609248E-3</v>
      </c>
      <c r="AF113" s="291" t="b">
        <f t="shared" ca="1" si="111"/>
        <v>1</v>
      </c>
      <c r="AH113" s="257">
        <f t="shared" ca="1" si="115"/>
        <v>52673</v>
      </c>
      <c r="AI113" s="260">
        <v>0</v>
      </c>
      <c r="AK113" s="290">
        <f ca="1"/>
        <v>52673</v>
      </c>
      <c r="AL113" s="291">
        <f ca="1"/>
        <v>9.8266974033582588E-5</v>
      </c>
      <c r="AM113" s="291" t="b">
        <f t="shared" ca="1" si="116"/>
        <v>1</v>
      </c>
      <c r="AO113" s="257">
        <f t="shared" ca="1" si="117"/>
        <v>52673</v>
      </c>
      <c r="AP113" s="266">
        <f t="shared" ca="1" si="112"/>
        <v>9.8266974033582398E-5</v>
      </c>
      <c r="AR113" s="248">
        <f ca="1">'JACOBIAN - OIS USDOIS'!B122</f>
        <v>52673</v>
      </c>
      <c r="AS113">
        <f ca="1">'JACOBIAN - OIS USDOIS'!C122</f>
        <v>-7.3766878350145504E-7</v>
      </c>
      <c r="AT113">
        <f ca="1">'JACOBIAN - OIS USDOIS'!D122</f>
        <v>6.7669092551625505E-11</v>
      </c>
      <c r="AU113">
        <f ca="1">'JACOBIAN - OIS USDOIS'!E122</f>
        <v>-2.7210989017589802E-10</v>
      </c>
      <c r="AV113">
        <f ca="1">'JACOBIAN - OIS USDOIS'!F122</f>
        <v>7.1552508362771102E-10</v>
      </c>
      <c r="AW113">
        <f ca="1">'JACOBIAN - OIS USDOIS'!G122</f>
        <v>-9.208638296343E-10</v>
      </c>
      <c r="AX113">
        <f ca="1">'JACOBIAN - OIS USDOIS'!H122</f>
        <v>2.0834207692388401E-9</v>
      </c>
      <c r="AY113">
        <f ca="1">'JACOBIAN - OIS USDOIS'!I122</f>
        <v>-1.6397775137733099E-8</v>
      </c>
      <c r="AZ113">
        <f ca="1">'JACOBIAN - OIS USDOIS'!J122</f>
        <v>2.5465427877513501E-8</v>
      </c>
      <c r="BA113">
        <f ca="1">'JACOBIAN - OIS USDOIS'!K122</f>
        <v>-9.8045531138346602E-8</v>
      </c>
      <c r="BB113">
        <f ca="1">'JACOBIAN - OIS USDOIS'!L122</f>
        <v>4.5880881915927303E-7</v>
      </c>
      <c r="BC113">
        <f ca="1">'JACOBIAN - OIS USDOIS'!M122</f>
        <v>-3.4003033877461101E-7</v>
      </c>
      <c r="BD113">
        <f ca="1">'JACOBIAN - OIS USDOIS'!N122</f>
        <v>5.1070259132757201E-15</v>
      </c>
      <c r="BE113">
        <f ca="1">'JACOBIAN - OIS USDOIS'!O122</f>
        <v>5.1070259132757201E-15</v>
      </c>
      <c r="BF113">
        <f ca="1">'JACOBIAN - OIS USDOIS'!P122</f>
        <v>5.1070259132757201E-15</v>
      </c>
      <c r="BG113">
        <f ca="1">'JACOBIAN - OIS USDOIS'!Q122</f>
        <v>5.1070259132757201E-15</v>
      </c>
      <c r="BH113">
        <f ca="1">'JACOBIAN - OIS USDOIS'!R122</f>
        <v>5.1070259132757201E-15</v>
      </c>
      <c r="BI113" s="161">
        <f ca="1">'JACOBIAN - OIS USDOIS'!S122</f>
        <v>-1.1284913511433501E-6</v>
      </c>
      <c r="BJ113" s="161">
        <f ca="1">'JACOBIAN - OIS USDOIS'!T122</f>
        <v>-2.7408598035627601E-6</v>
      </c>
      <c r="BK113" s="161">
        <f ca="1">'JACOBIAN - OIS USDOIS'!U122</f>
        <v>-3.1830220580397801E-6</v>
      </c>
      <c r="BL113" s="161">
        <f ca="1">'JACOBIAN - OIS USDOIS'!V122</f>
        <v>-3.9443637948055601E-6</v>
      </c>
      <c r="BM113" s="161">
        <f ca="1">'JACOBIAN - OIS USDOIS'!W122</f>
        <v>-9.0808003289089001E-6</v>
      </c>
      <c r="BN113" s="161">
        <f ca="1">'JACOBIAN - OIS USDOIS'!X122</f>
        <v>-2.14103469078353E-5</v>
      </c>
      <c r="BO113" s="161">
        <f ca="1">'JACOBIAN - OIS USDOIS'!Y122</f>
        <v>-4.9770068855536899E-5</v>
      </c>
      <c r="BP113" s="161">
        <f ca="1">'JACOBIAN - OIS USDOIS'!Z122</f>
        <v>2.2111928292489802E-5</v>
      </c>
      <c r="BQ113" s="161">
        <f ca="1">'JACOBIAN - OIS USDOIS'!AA122</f>
        <v>-1.8563681648586799E-4</v>
      </c>
      <c r="BR113" s="161">
        <f ca="1">'JACOBIAN - OIS USDOIS'!AB122</f>
        <v>1.67417394748903E-4</v>
      </c>
      <c r="BS113" s="161">
        <f ca="1">'JACOBIAN - OIS USDOIS'!AC122</f>
        <v>1.8343605848397701E-3</v>
      </c>
      <c r="BT113" s="161">
        <f ca="1">'JACOBIAN - OIS USDOIS'!AD122</f>
        <v>-1.04019695925772E-4</v>
      </c>
      <c r="BU113">
        <f ca="1">'JACOBIAN - OIS USDOIS'!AE122</f>
        <v>1.1077838443229699E-6</v>
      </c>
      <c r="BV113">
        <f ca="1">'JACOBIAN - OIS USDOIS'!AF122</f>
        <v>2.6948969485962601E-6</v>
      </c>
      <c r="BW113">
        <f ca="1">'JACOBIAN - OIS USDOIS'!AG122</f>
        <v>3.1315109659812998E-6</v>
      </c>
      <c r="BX113">
        <f ca="1">'JACOBIAN - OIS USDOIS'!AH122</f>
        <v>3.88014949326276E-6</v>
      </c>
      <c r="BY113">
        <f ca="1">'JACOBIAN - OIS USDOIS'!AI122</f>
        <v>8.9277604797821703E-6</v>
      </c>
      <c r="BZ113">
        <f ca="1">'JACOBIAN - OIS USDOIS'!AJ122</f>
        <v>2.1058623227765399E-5</v>
      </c>
      <c r="CA113">
        <f ca="1">'JACOBIAN - OIS USDOIS'!AK122</f>
        <v>4.8963432216719797E-5</v>
      </c>
      <c r="CB113">
        <f ca="1">'JACOBIAN - OIS USDOIS'!AL122</f>
        <v>-2.18377469626274E-5</v>
      </c>
      <c r="CC113">
        <f ca="1">'JACOBIAN - OIS USDOIS'!AM122</f>
        <v>1.82735544938639E-4</v>
      </c>
      <c r="CD113">
        <f ca="1">'JACOBIAN - OIS USDOIS'!AN122</f>
        <v>-1.6516256417486999E-4</v>
      </c>
      <c r="CE113">
        <f ca="1">'JACOBIAN - OIS USDOIS'!AO122</f>
        <v>-1.8036506663682301E-3</v>
      </c>
      <c r="CF113">
        <f ca="1">'JACOBIAN - OIS USDOIS'!AP122</f>
        <v>1.0266493994448601E-4</v>
      </c>
      <c r="CK113" s="248">
        <f t="shared" ca="1" si="118"/>
        <v>52673</v>
      </c>
      <c r="CL113">
        <f t="shared" ca="1" si="119"/>
        <v>-7.3766878350145504E-7</v>
      </c>
      <c r="CM113">
        <f t="shared" ca="1" si="120"/>
        <v>6.7669092551625505E-11</v>
      </c>
      <c r="CN113">
        <f t="shared" ca="1" si="121"/>
        <v>-2.7210989017589802E-10</v>
      </c>
      <c r="CO113">
        <f t="shared" ca="1" si="122"/>
        <v>7.1552508362771102E-10</v>
      </c>
      <c r="CP113">
        <f t="shared" ca="1" si="123"/>
        <v>-9.208638296343E-10</v>
      </c>
      <c r="CQ113">
        <f t="shared" ca="1" si="124"/>
        <v>2.0834207692388401E-9</v>
      </c>
      <c r="CR113">
        <f t="shared" ca="1" si="125"/>
        <v>-1.6397775137733099E-8</v>
      </c>
      <c r="CS113">
        <f t="shared" ca="1" si="126"/>
        <v>2.5465427877513501E-8</v>
      </c>
      <c r="CT113">
        <f t="shared" ca="1" si="127"/>
        <v>-9.8045531138346602E-8</v>
      </c>
      <c r="CU113">
        <f t="shared" ca="1" si="128"/>
        <v>4.5880881915927303E-7</v>
      </c>
      <c r="CV113">
        <f t="shared" ca="1" si="129"/>
        <v>-3.4003033877461101E-7</v>
      </c>
      <c r="CW113">
        <f t="shared" ca="1" si="130"/>
        <v>5.1070259132757201E-15</v>
      </c>
      <c r="CX113">
        <f t="shared" ca="1" si="131"/>
        <v>5.1070259132757201E-15</v>
      </c>
      <c r="CY113">
        <f t="shared" ca="1" si="132"/>
        <v>5.1070259132757201E-15</v>
      </c>
      <c r="CZ113">
        <f t="shared" ca="1" si="133"/>
        <v>5.1070259132757201E-15</v>
      </c>
      <c r="DA113">
        <f t="shared" ca="1" si="134"/>
        <v>5.1070259132757201E-15</v>
      </c>
      <c r="DB113" s="146">
        <v>0</v>
      </c>
      <c r="DC113" s="146">
        <v>0</v>
      </c>
      <c r="DD113" s="146">
        <v>0</v>
      </c>
      <c r="DE113" s="146">
        <v>0</v>
      </c>
      <c r="DF113" s="146">
        <v>0</v>
      </c>
      <c r="DG113" s="146">
        <v>0</v>
      </c>
      <c r="DH113" s="146">
        <v>0</v>
      </c>
      <c r="DI113" s="146">
        <v>0</v>
      </c>
      <c r="DJ113" s="146">
        <v>0</v>
      </c>
      <c r="DK113" s="146">
        <v>0</v>
      </c>
      <c r="DL113" s="146">
        <v>0</v>
      </c>
      <c r="DM113" s="146">
        <v>0</v>
      </c>
      <c r="DN113">
        <f t="shared" ca="1" si="135"/>
        <v>1.1077838443229699E-6</v>
      </c>
      <c r="DO113">
        <f t="shared" ca="1" si="136"/>
        <v>2.6948969485962601E-6</v>
      </c>
      <c r="DP113">
        <f t="shared" ca="1" si="137"/>
        <v>3.1315109659812998E-6</v>
      </c>
      <c r="DQ113">
        <f t="shared" ca="1" si="138"/>
        <v>3.88014949326276E-6</v>
      </c>
      <c r="DR113">
        <f t="shared" ca="1" si="139"/>
        <v>8.9277604797821703E-6</v>
      </c>
      <c r="DS113">
        <f t="shared" ca="1" si="140"/>
        <v>2.1058623227765399E-5</v>
      </c>
      <c r="DT113">
        <f t="shared" ca="1" si="141"/>
        <v>4.8963432216719797E-5</v>
      </c>
      <c r="DU113">
        <f t="shared" ca="1" si="142"/>
        <v>-2.18377469626274E-5</v>
      </c>
      <c r="DV113">
        <f t="shared" ca="1" si="143"/>
        <v>1.82735544938639E-4</v>
      </c>
      <c r="DW113">
        <f t="shared" ca="1" si="144"/>
        <v>-1.6516256417486999E-4</v>
      </c>
      <c r="DX113">
        <f t="shared" ca="1" si="145"/>
        <v>-1.8036506663682301E-3</v>
      </c>
      <c r="DY113">
        <f t="shared" ca="1" si="146"/>
        <v>1.0266493994448601E-4</v>
      </c>
      <c r="ED113" s="248">
        <f ca="1">'JACOBIAN - SWAP USD3ML'!B122</f>
        <v>52673</v>
      </c>
      <c r="EE113">
        <f ca="1">'JACOBIAN - SWAP USD3ML'!C122</f>
        <v>-4.1966430330830902E-13</v>
      </c>
      <c r="EF113">
        <f ca="1">'JACOBIAN - SWAP USD3ML'!D122</f>
        <v>-8.4219586166112098E-11</v>
      </c>
      <c r="EG113">
        <f ca="1">'JACOBIAN - SWAP USD3ML'!E122</f>
        <v>-8.61571577970288E-12</v>
      </c>
      <c r="EH113">
        <f ca="1">'JACOBIAN - SWAP USD3ML'!F122</f>
        <v>-4.1966430330830902E-13</v>
      </c>
      <c r="EI113">
        <f ca="1">'JACOBIAN - SWAP USD3ML'!G122</f>
        <v>-1.34761646286563E-12</v>
      </c>
      <c r="EJ113">
        <f ca="1">'JACOBIAN - SWAP USD3ML'!H122</f>
        <v>-8.4991142595969306E-11</v>
      </c>
      <c r="EK113">
        <f ca="1">'JACOBIAN - SWAP USD3ML'!I122</f>
        <v>-9.2691073566575394E-11</v>
      </c>
      <c r="EL113">
        <f ca="1">'JACOBIAN - SWAP USD3ML'!J122</f>
        <v>-9.2300080772878003E-11</v>
      </c>
      <c r="EM113">
        <f ca="1">'JACOBIAN - SWAP USD3ML'!K122</f>
        <v>-9.1936892127053595E-11</v>
      </c>
      <c r="EN113">
        <f ca="1">'JACOBIAN - SWAP USD3ML'!L122</f>
        <v>-9.1675361746368406E-11</v>
      </c>
      <c r="EO113">
        <f ca="1">'JACOBIAN - SWAP USD3ML'!M122</f>
        <v>-9.0803017882556997E-11</v>
      </c>
      <c r="EP113">
        <f ca="1">'JACOBIAN - SWAP USD3ML'!N122</f>
        <v>-1.9435844253457E-10</v>
      </c>
      <c r="EQ113">
        <f ca="1">'JACOBIAN - SWAP USD3ML'!O122</f>
        <v>4.7079157967921898E-9</v>
      </c>
      <c r="ER113">
        <f ca="1">'JACOBIAN - SWAP USD3ML'!P122</f>
        <v>-2.2788842118925999E-8</v>
      </c>
      <c r="ES113">
        <f ca="1">'JACOBIAN - SWAP USD3ML'!Q122</f>
        <v>5.67714006256825E-8</v>
      </c>
      <c r="ET113">
        <f ca="1">'JACOBIAN - SWAP USD3ML'!R122</f>
        <v>-5.0091977783078802E-7</v>
      </c>
      <c r="EU113">
        <f ca="1">'JACOBIAN - SWAP USD3ML'!S122</f>
        <v>2.6095722261351702E-6</v>
      </c>
      <c r="EV113">
        <f ca="1">'JACOBIAN - SWAP USD3ML'!T122</f>
        <v>-1.13500598797819E-5</v>
      </c>
      <c r="EW113">
        <f ca="1">'JACOBIAN - SWAP USD3ML'!U122</f>
        <v>2.5317123000630899E-5</v>
      </c>
      <c r="EX113">
        <f ca="1">'JACOBIAN - SWAP USD3ML'!V122</f>
        <v>-5.6063639378760299E-5</v>
      </c>
      <c r="EY113">
        <f ca="1">'JACOBIAN - SWAP USD3ML'!W122</f>
        <v>1.3453404027590599E-4</v>
      </c>
      <c r="EZ113">
        <f ca="1">'JACOBIAN - SWAP USD3ML'!X122</f>
        <v>-5.5944264117083903E-4</v>
      </c>
      <c r="FA113">
        <f ca="1">'JACOBIAN - SWAP USD3ML'!Y122</f>
        <v>3.52788402847436E-4</v>
      </c>
      <c r="FB113">
        <f ca="1">'JACOBIAN - SWAP USD3ML'!Z122</f>
        <v>2.1033723919464101E-4</v>
      </c>
    </row>
    <row r="114" spans="24:158" x14ac:dyDescent="0.25">
      <c r="X114" s="258">
        <f t="shared" ca="1" si="113"/>
        <v>52765</v>
      </c>
      <c r="Y114" s="261">
        <v>0</v>
      </c>
      <c r="AA114" s="257">
        <f t="shared" ca="1" si="110"/>
        <v>52765</v>
      </c>
      <c r="AB114" s="266">
        <f t="shared" ca="1" si="114"/>
        <v>-1.6257059437727571E-3</v>
      </c>
      <c r="AC114" s="266"/>
      <c r="AD114" s="290">
        <f ca="1"/>
        <v>52765</v>
      </c>
      <c r="AE114" s="291">
        <f ca="1"/>
        <v>-1.6257059437727595E-3</v>
      </c>
      <c r="AF114" s="291" t="b">
        <f t="shared" ca="1" si="111"/>
        <v>1</v>
      </c>
      <c r="AH114" s="257">
        <f t="shared" ca="1" si="115"/>
        <v>52765</v>
      </c>
      <c r="AI114" s="260">
        <v>0</v>
      </c>
      <c r="AK114" s="290">
        <f ca="1"/>
        <v>52765</v>
      </c>
      <c r="AL114" s="291">
        <f ca="1"/>
        <v>9.8268982366742086E-5</v>
      </c>
      <c r="AM114" s="291" t="b">
        <f t="shared" ca="1" si="116"/>
        <v>1</v>
      </c>
      <c r="AO114" s="257">
        <f t="shared" ca="1" si="117"/>
        <v>52765</v>
      </c>
      <c r="AP114" s="266">
        <f t="shared" ca="1" si="112"/>
        <v>9.8268982366741706E-5</v>
      </c>
      <c r="AR114" s="248">
        <f ca="1">'JACOBIAN - OIS USDOIS'!B123</f>
        <v>52765</v>
      </c>
      <c r="AS114">
        <f ca="1">'JACOBIAN - OIS USDOIS'!C123</f>
        <v>-7.3447883353061595E-7</v>
      </c>
      <c r="AT114">
        <f ca="1">'JACOBIAN - OIS USDOIS'!D123</f>
        <v>6.4939054134072194E-11</v>
      </c>
      <c r="AU114">
        <f ca="1">'JACOBIAN - OIS USDOIS'!E123</f>
        <v>-2.61238364274163E-10</v>
      </c>
      <c r="AV114">
        <f ca="1">'JACOBIAN - OIS USDOIS'!F123</f>
        <v>6.8684191667500696E-10</v>
      </c>
      <c r="AW114">
        <f ca="1">'JACOBIAN - OIS USDOIS'!G123</f>
        <v>-8.8397456021738197E-10</v>
      </c>
      <c r="AX114">
        <f ca="1">'JACOBIAN - OIS USDOIS'!H123</f>
        <v>1.9999719658159198E-9</v>
      </c>
      <c r="AY114">
        <f ca="1">'JACOBIAN - OIS USDOIS'!I123</f>
        <v>-1.6080819453811999E-8</v>
      </c>
      <c r="AZ114">
        <f ca="1">'JACOBIAN - OIS USDOIS'!J123</f>
        <v>2.4445689250640599E-8</v>
      </c>
      <c r="BA114">
        <f ca="1">'JACOBIAN - OIS USDOIS'!K123</f>
        <v>-9.4119812832360594E-8</v>
      </c>
      <c r="BB114">
        <f ca="1">'JACOBIAN - OIS USDOIS'!L123</f>
        <v>4.5166733886325998E-7</v>
      </c>
      <c r="BC114">
        <f ca="1">'JACOBIAN - OIS USDOIS'!M123</f>
        <v>-3.2743917288691199E-7</v>
      </c>
      <c r="BD114">
        <f ca="1">'JACOBIAN - OIS USDOIS'!N123</f>
        <v>-5.5511151231257797E-16</v>
      </c>
      <c r="BE114">
        <f ca="1">'JACOBIAN - OIS USDOIS'!O123</f>
        <v>-5.5511151231257797E-16</v>
      </c>
      <c r="BF114">
        <f ca="1">'JACOBIAN - OIS USDOIS'!P123</f>
        <v>-5.5511151231257797E-16</v>
      </c>
      <c r="BG114">
        <f ca="1">'JACOBIAN - OIS USDOIS'!Q123</f>
        <v>-5.5511151231257797E-16</v>
      </c>
      <c r="BH114">
        <f ca="1">'JACOBIAN - OIS USDOIS'!R123</f>
        <v>-5.5511151231257797E-16</v>
      </c>
      <c r="BI114" s="161">
        <f ca="1">'JACOBIAN - OIS USDOIS'!S123</f>
        <v>-1.1094358851604401E-6</v>
      </c>
      <c r="BJ114" s="161">
        <f ca="1">'JACOBIAN - OIS USDOIS'!T123</f>
        <v>-2.75533460725175E-6</v>
      </c>
      <c r="BK114" s="161">
        <f ca="1">'JACOBIAN - OIS USDOIS'!U123</f>
        <v>-3.0791533139895598E-6</v>
      </c>
      <c r="BL114" s="161">
        <f ca="1">'JACOBIAN - OIS USDOIS'!V123</f>
        <v>-4.2733696519192702E-6</v>
      </c>
      <c r="BM114" s="161">
        <f ca="1">'JACOBIAN - OIS USDOIS'!W123</f>
        <v>-8.3572398116293894E-6</v>
      </c>
      <c r="BN114" s="161">
        <f ca="1">'JACOBIAN - OIS USDOIS'!X123</f>
        <v>-2.25969037201956E-5</v>
      </c>
      <c r="BO114" s="161">
        <f ca="1">'JACOBIAN - OIS USDOIS'!Y123</f>
        <v>-4.3289407785085401E-5</v>
      </c>
      <c r="BP114" s="161">
        <f ca="1">'JACOBIAN - OIS USDOIS'!Z123</f>
        <v>4.0044708881081803E-6</v>
      </c>
      <c r="BQ114" s="161">
        <f ca="1">'JACOBIAN - OIS USDOIS'!AA123</f>
        <v>-1.48767636787062E-4</v>
      </c>
      <c r="BR114" s="161">
        <f ca="1">'JACOBIAN - OIS USDOIS'!AB123</f>
        <v>5.3227980127079599E-5</v>
      </c>
      <c r="BS114" s="161">
        <f ca="1">'JACOBIAN - OIS USDOIS'!AC123</f>
        <v>1.90528213432217E-3</v>
      </c>
      <c r="BT114" s="161">
        <f ca="1">'JACOBIAN - OIS USDOIS'!AD123</f>
        <v>-7.5386866484672397E-5</v>
      </c>
      <c r="BU114">
        <f ca="1">'JACOBIAN - OIS USDOIS'!AE123</f>
        <v>1.08907446527695E-6</v>
      </c>
      <c r="BV114">
        <f ca="1">'JACOBIAN - OIS USDOIS'!AF123</f>
        <v>2.7091326363359899E-6</v>
      </c>
      <c r="BW114">
        <f ca="1">'JACOBIAN - OIS USDOIS'!AG123</f>
        <v>3.0293098802758301E-6</v>
      </c>
      <c r="BX114">
        <f ca="1">'JACOBIAN - OIS USDOIS'!AH123</f>
        <v>4.2039848493491397E-6</v>
      </c>
      <c r="BY114">
        <f ca="1">'JACOBIAN - OIS USDOIS'!AI123</f>
        <v>8.2158332309623106E-6</v>
      </c>
      <c r="BZ114">
        <f ca="1">'JACOBIAN - OIS USDOIS'!AJ123</f>
        <v>2.2226673081604501E-5</v>
      </c>
      <c r="CA114">
        <f ca="1">'JACOBIAN - OIS USDOIS'!AK123</f>
        <v>4.2583607121060601E-5</v>
      </c>
      <c r="CB114">
        <f ca="1">'JACOBIAN - OIS USDOIS'!AL123</f>
        <v>-4.0060191730528797E-6</v>
      </c>
      <c r="CC114">
        <f ca="1">'JACOBIAN - OIS USDOIS'!AM123</f>
        <v>1.4640626637829599E-4</v>
      </c>
      <c r="CD114">
        <f ca="1">'JACOBIAN - OIS USDOIS'!AN123</f>
        <v>-5.2700473731293099E-5</v>
      </c>
      <c r="CE114">
        <f ca="1">'JACOBIAN - OIS USDOIS'!AO123</f>
        <v>-1.8731703993320999E-3</v>
      </c>
      <c r="CF114">
        <f ca="1">'JACOBIAN - OIS USDOIS'!AP123</f>
        <v>7.4401465893880707E-5</v>
      </c>
      <c r="CK114" s="248">
        <f t="shared" ca="1" si="118"/>
        <v>52765</v>
      </c>
      <c r="CL114">
        <f t="shared" ca="1" si="119"/>
        <v>-7.3447883353061595E-7</v>
      </c>
      <c r="CM114">
        <f t="shared" ca="1" si="120"/>
        <v>6.4939054134072194E-11</v>
      </c>
      <c r="CN114">
        <f t="shared" ca="1" si="121"/>
        <v>-2.61238364274163E-10</v>
      </c>
      <c r="CO114">
        <f t="shared" ca="1" si="122"/>
        <v>6.8684191667500696E-10</v>
      </c>
      <c r="CP114">
        <f t="shared" ca="1" si="123"/>
        <v>-8.8397456021738197E-10</v>
      </c>
      <c r="CQ114">
        <f t="shared" ca="1" si="124"/>
        <v>1.9999719658159198E-9</v>
      </c>
      <c r="CR114">
        <f t="shared" ca="1" si="125"/>
        <v>-1.6080819453811999E-8</v>
      </c>
      <c r="CS114">
        <f t="shared" ca="1" si="126"/>
        <v>2.4445689250640599E-8</v>
      </c>
      <c r="CT114">
        <f t="shared" ca="1" si="127"/>
        <v>-9.4119812832360594E-8</v>
      </c>
      <c r="CU114">
        <f t="shared" ca="1" si="128"/>
        <v>4.5166733886325998E-7</v>
      </c>
      <c r="CV114">
        <f t="shared" ca="1" si="129"/>
        <v>-3.2743917288691199E-7</v>
      </c>
      <c r="CW114">
        <f t="shared" ca="1" si="130"/>
        <v>-5.5511151231257797E-16</v>
      </c>
      <c r="CX114">
        <f t="shared" ca="1" si="131"/>
        <v>-5.5511151231257797E-16</v>
      </c>
      <c r="CY114">
        <f t="shared" ca="1" si="132"/>
        <v>-5.5511151231257797E-16</v>
      </c>
      <c r="CZ114">
        <f t="shared" ca="1" si="133"/>
        <v>-5.5511151231257797E-16</v>
      </c>
      <c r="DA114">
        <f t="shared" ca="1" si="134"/>
        <v>-5.5511151231257797E-16</v>
      </c>
      <c r="DB114" s="146">
        <v>0</v>
      </c>
      <c r="DC114" s="146">
        <v>0</v>
      </c>
      <c r="DD114" s="146">
        <v>0</v>
      </c>
      <c r="DE114" s="146">
        <v>0</v>
      </c>
      <c r="DF114" s="146">
        <v>0</v>
      </c>
      <c r="DG114" s="146">
        <v>0</v>
      </c>
      <c r="DH114" s="146">
        <v>0</v>
      </c>
      <c r="DI114" s="146">
        <v>0</v>
      </c>
      <c r="DJ114" s="146">
        <v>0</v>
      </c>
      <c r="DK114" s="146">
        <v>0</v>
      </c>
      <c r="DL114" s="146">
        <v>0</v>
      </c>
      <c r="DM114" s="146">
        <v>0</v>
      </c>
      <c r="DN114">
        <f t="shared" ca="1" si="135"/>
        <v>1.08907446527695E-6</v>
      </c>
      <c r="DO114">
        <f t="shared" ca="1" si="136"/>
        <v>2.7091326363359899E-6</v>
      </c>
      <c r="DP114">
        <f t="shared" ca="1" si="137"/>
        <v>3.0293098802758301E-6</v>
      </c>
      <c r="DQ114">
        <f t="shared" ca="1" si="138"/>
        <v>4.2039848493491397E-6</v>
      </c>
      <c r="DR114">
        <f t="shared" ca="1" si="139"/>
        <v>8.2158332309623106E-6</v>
      </c>
      <c r="DS114">
        <f t="shared" ca="1" si="140"/>
        <v>2.2226673081604501E-5</v>
      </c>
      <c r="DT114">
        <f t="shared" ca="1" si="141"/>
        <v>4.2583607121060601E-5</v>
      </c>
      <c r="DU114">
        <f t="shared" ca="1" si="142"/>
        <v>-4.0060191730528797E-6</v>
      </c>
      <c r="DV114">
        <f t="shared" ca="1" si="143"/>
        <v>1.4640626637829599E-4</v>
      </c>
      <c r="DW114">
        <f t="shared" ca="1" si="144"/>
        <v>-5.2700473731293099E-5</v>
      </c>
      <c r="DX114">
        <f t="shared" ca="1" si="145"/>
        <v>-1.8731703993320999E-3</v>
      </c>
      <c r="DY114">
        <f t="shared" ca="1" si="146"/>
        <v>7.4401465893880707E-5</v>
      </c>
      <c r="ED114" s="248">
        <f ca="1">'JACOBIAN - SWAP USD3ML'!B123</f>
        <v>52765</v>
      </c>
      <c r="EE114">
        <f ca="1">'JACOBIAN - SWAP USD3ML'!C123</f>
        <v>-4.2944467426586601E-13</v>
      </c>
      <c r="EF114">
        <f ca="1">'JACOBIAN - SWAP USD3ML'!D123</f>
        <v>-7.8554183990942102E-11</v>
      </c>
      <c r="EG114">
        <f ca="1">'JACOBIAN - SWAP USD3ML'!E123</f>
        <v>-8.6296907120253508E-12</v>
      </c>
      <c r="EH114">
        <f ca="1">'JACOBIAN - SWAP USD3ML'!F123</f>
        <v>-4.2859119031568602E-13</v>
      </c>
      <c r="EI114">
        <f ca="1">'JACOBIAN - SWAP USD3ML'!G123</f>
        <v>-1.2951341388234299E-12</v>
      </c>
      <c r="EJ114">
        <f ca="1">'JACOBIAN - SWAP USD3ML'!H123</f>
        <v>-7.93484410122058E-11</v>
      </c>
      <c r="EK114">
        <f ca="1">'JACOBIAN - SWAP USD3ML'!I123</f>
        <v>-8.70724777002341E-11</v>
      </c>
      <c r="EL114">
        <f ca="1">'JACOBIAN - SWAP USD3ML'!J123</f>
        <v>-8.6700008283813203E-11</v>
      </c>
      <c r="EM114">
        <f ca="1">'JACOBIAN - SWAP USD3ML'!K123</f>
        <v>-8.6354753209283404E-11</v>
      </c>
      <c r="EN114">
        <f ca="1">'JACOBIAN - SWAP USD3ML'!L123</f>
        <v>-8.61132450069579E-11</v>
      </c>
      <c r="EO114">
        <f ca="1">'JACOBIAN - SWAP USD3ML'!M123</f>
        <v>-8.5290073614796595E-11</v>
      </c>
      <c r="EP114">
        <f ca="1">'JACOBIAN - SWAP USD3ML'!N123</f>
        <v>-1.8238516946711401E-10</v>
      </c>
      <c r="EQ114">
        <f ca="1">'JACOBIAN - SWAP USD3ML'!O123</f>
        <v>4.41774701889774E-9</v>
      </c>
      <c r="ER114">
        <f ca="1">'JACOBIAN - SWAP USD3ML'!P123</f>
        <v>-2.13845562542503E-8</v>
      </c>
      <c r="ES114">
        <f ca="1">'JACOBIAN - SWAP USD3ML'!Q123</f>
        <v>5.3272500452616902E-8</v>
      </c>
      <c r="ET114">
        <f ca="1">'JACOBIAN - SWAP USD3ML'!R123</f>
        <v>-4.7004913153111901E-7</v>
      </c>
      <c r="EU114">
        <f ca="1">'JACOBIAN - SWAP USD3ML'!S123</f>
        <v>2.4487485486141E-6</v>
      </c>
      <c r="EV114">
        <f ca="1">'JACOBIAN - SWAP USD3ML'!T123</f>
        <v>-1.06505743824314E-5</v>
      </c>
      <c r="EW114">
        <f ca="1">'JACOBIAN - SWAP USD3ML'!U123</f>
        <v>2.37568680880734E-5</v>
      </c>
      <c r="EX114">
        <f ca="1">'JACOBIAN - SWAP USD3ML'!V123</f>
        <v>-5.2608534367986501E-5</v>
      </c>
      <c r="EY114">
        <f ca="1">'JACOBIAN - SWAP USD3ML'!W123</f>
        <v>1.26242886388031E-4</v>
      </c>
      <c r="EZ114">
        <f ca="1">'JACOBIAN - SWAP USD3ML'!X123</f>
        <v>-5.1152594310449303E-4</v>
      </c>
      <c r="FA114">
        <f ca="1">'JACOBIAN - SWAP USD3ML'!Y123</f>
        <v>2.5742343907487298E-4</v>
      </c>
      <c r="FB114">
        <f ca="1">'JACOBIAN - SWAP USD3ML'!Z123</f>
        <v>2.6361661816358802E-4</v>
      </c>
    </row>
    <row r="115" spans="24:158" x14ac:dyDescent="0.25">
      <c r="X115" s="258">
        <f t="shared" ca="1" si="113"/>
        <v>52859</v>
      </c>
      <c r="Y115" s="261">
        <v>0</v>
      </c>
      <c r="AA115" s="257">
        <f t="shared" ca="1" si="110"/>
        <v>52859</v>
      </c>
      <c r="AB115" s="266">
        <f t="shared" ca="1" si="114"/>
        <v>-1.6353320872861679E-3</v>
      </c>
      <c r="AC115" s="266"/>
      <c r="AD115" s="290">
        <f ca="1"/>
        <v>52859</v>
      </c>
      <c r="AE115" s="291">
        <f ca="1"/>
        <v>-1.6353320872861676E-3</v>
      </c>
      <c r="AF115" s="291" t="b">
        <f t="shared" ca="1" si="111"/>
        <v>1</v>
      </c>
      <c r="AH115" s="257">
        <f t="shared" ca="1" si="115"/>
        <v>52859</v>
      </c>
      <c r="AI115" s="260">
        <v>0</v>
      </c>
      <c r="AK115" s="290">
        <f ca="1"/>
        <v>52859</v>
      </c>
      <c r="AL115" s="291">
        <f ca="1"/>
        <v>9.8244956613969452E-5</v>
      </c>
      <c r="AM115" s="291" t="b">
        <f t="shared" ca="1" si="116"/>
        <v>1</v>
      </c>
      <c r="AO115" s="257">
        <f t="shared" ca="1" si="117"/>
        <v>52859</v>
      </c>
      <c r="AP115" s="266">
        <f t="shared" ca="1" si="112"/>
        <v>9.8244956613969316E-5</v>
      </c>
      <c r="AR115" s="248">
        <f ca="1">'JACOBIAN - OIS USDOIS'!B124</f>
        <v>52859</v>
      </c>
      <c r="AS115">
        <f ca="1">'JACOBIAN - OIS USDOIS'!C124</f>
        <v>-7.3124053301398796E-7</v>
      </c>
      <c r="AT115">
        <f ca="1">'JACOBIAN - OIS USDOIS'!D124</f>
        <v>6.2282290436144194E-11</v>
      </c>
      <c r="AU115">
        <f ca="1">'JACOBIAN - OIS USDOIS'!E124</f>
        <v>-2.5064517128470201E-10</v>
      </c>
      <c r="AV115">
        <f ca="1">'JACOBIAN - OIS USDOIS'!F124</f>
        <v>6.5889771416749496E-10</v>
      </c>
      <c r="AW115">
        <f ca="1">'JACOBIAN - OIS USDOIS'!G124</f>
        <v>-8.4803430944191405E-10</v>
      </c>
      <c r="AX115">
        <f ca="1">'JACOBIAN - OIS USDOIS'!H124</f>
        <v>1.9186726651909701E-9</v>
      </c>
      <c r="AY115">
        <f ca="1">'JACOBIAN - OIS USDOIS'!I124</f>
        <v>-1.57707221726255E-8</v>
      </c>
      <c r="AZ115">
        <f ca="1">'JACOBIAN - OIS USDOIS'!J124</f>
        <v>2.3452192077222401E-8</v>
      </c>
      <c r="BA115">
        <f ca="1">'JACOBIAN - OIS USDOIS'!K124</f>
        <v>-9.0295110055649301E-8</v>
      </c>
      <c r="BB115">
        <f ca="1">'JACOBIAN - OIS USDOIS'!L124</f>
        <v>4.44658860843106E-7</v>
      </c>
      <c r="BC115">
        <f ca="1">'JACOBIAN - OIS USDOIS'!M124</f>
        <v>-3.1516809073650599E-7</v>
      </c>
      <c r="BD115">
        <f ca="1">'JACOBIAN - OIS USDOIS'!N124</f>
        <v>-4.2188474935755901E-15</v>
      </c>
      <c r="BE115">
        <f ca="1">'JACOBIAN - OIS USDOIS'!O124</f>
        <v>-4.2188474935755901E-15</v>
      </c>
      <c r="BF115">
        <f ca="1">'JACOBIAN - OIS USDOIS'!P124</f>
        <v>-4.2188474935755901E-15</v>
      </c>
      <c r="BG115">
        <f ca="1">'JACOBIAN - OIS USDOIS'!Q124</f>
        <v>-4.2188474935755901E-15</v>
      </c>
      <c r="BH115">
        <f ca="1">'JACOBIAN - OIS USDOIS'!R124</f>
        <v>-4.2188474935755901E-15</v>
      </c>
      <c r="BI115" s="161">
        <f ca="1">'JACOBIAN - OIS USDOIS'!S124</f>
        <v>-1.09075211085496E-6</v>
      </c>
      <c r="BJ115" s="161">
        <f ca="1">'JACOBIAN - OIS USDOIS'!T124</f>
        <v>-2.7688690691363098E-6</v>
      </c>
      <c r="BK115" s="161">
        <f ca="1">'JACOBIAN - OIS USDOIS'!U124</f>
        <v>-2.97786858782789E-6</v>
      </c>
      <c r="BL115" s="161">
        <f ca="1">'JACOBIAN - OIS USDOIS'!V124</f>
        <v>-4.5915757859171799E-6</v>
      </c>
      <c r="BM115" s="161">
        <f ca="1">'JACOBIAN - OIS USDOIS'!W124</f>
        <v>-7.6541699188803508E-6</v>
      </c>
      <c r="BN115" s="161">
        <f ca="1">'JACOBIAN - OIS USDOIS'!X124</f>
        <v>-2.3743178586776999E-5</v>
      </c>
      <c r="BO115" s="161">
        <f ca="1">'JACOBIAN - OIS USDOIS'!Y124</f>
        <v>-3.6998004095956098E-5</v>
      </c>
      <c r="BP115" s="161">
        <f ca="1">'JACOBIAN - OIS USDOIS'!Z124</f>
        <v>-1.3552017356199801E-5</v>
      </c>
      <c r="BQ115" s="161">
        <f ca="1">'JACOBIAN - OIS USDOIS'!AA124</f>
        <v>-1.1299156627675401E-4</v>
      </c>
      <c r="BR115" s="161">
        <f ca="1">'JACOBIAN - OIS USDOIS'!AB124</f>
        <v>-5.4596147867069802E-5</v>
      </c>
      <c r="BS115" s="161">
        <f ca="1">'JACOBIAN - OIS USDOIS'!AC124</f>
        <v>1.9620108128537402E-3</v>
      </c>
      <c r="BT115" s="161">
        <f ca="1">'JACOBIAN - OIS USDOIS'!AD124</f>
        <v>-3.8134929357891402E-5</v>
      </c>
      <c r="BU115">
        <f ca="1">'JACOBIAN - OIS USDOIS'!AE124</f>
        <v>1.0707300710510701E-6</v>
      </c>
      <c r="BV115">
        <f ca="1">'JACOBIAN - OIS USDOIS'!AF124</f>
        <v>2.7224436461859001E-6</v>
      </c>
      <c r="BW115">
        <f ca="1">'JACOBIAN - OIS USDOIS'!AG124</f>
        <v>2.9296514348908799E-6</v>
      </c>
      <c r="BX115">
        <f ca="1">'JACOBIAN - OIS USDOIS'!AH124</f>
        <v>4.5171909680563599E-6</v>
      </c>
      <c r="BY115">
        <f ca="1">'JACOBIAN - OIS USDOIS'!AI124</f>
        <v>7.5240698006462398E-6</v>
      </c>
      <c r="BZ115">
        <f ca="1">'JACOBIAN - OIS USDOIS'!AJ124</f>
        <v>2.33550772451574E-5</v>
      </c>
      <c r="CA115">
        <f ca="1">'JACOBIAN - OIS USDOIS'!AK124</f>
        <v>3.6390212572512397E-5</v>
      </c>
      <c r="CB115">
        <f ca="1">'JACOBIAN - OIS USDOIS'!AL124</f>
        <v>1.32840661257738E-5</v>
      </c>
      <c r="CC115">
        <f ca="1">'JACOBIAN - OIS USDOIS'!AM124</f>
        <v>1.11157837452303E-4</v>
      </c>
      <c r="CD115">
        <f ca="1">'JACOBIAN - OIS USDOIS'!AN124</f>
        <v>5.3528021715543202E-5</v>
      </c>
      <c r="CE115">
        <f ca="1">'JACOBIAN - OIS USDOIS'!AO124</f>
        <v>-1.9287622181671799E-3</v>
      </c>
      <c r="CF115">
        <f ca="1">'JACOBIAN - OIS USDOIS'!AP124</f>
        <v>3.7633652099855502E-5</v>
      </c>
      <c r="CK115" s="248">
        <f t="shared" ca="1" si="118"/>
        <v>52859</v>
      </c>
      <c r="CL115">
        <f t="shared" ca="1" si="119"/>
        <v>-7.3124053301398796E-7</v>
      </c>
      <c r="CM115">
        <f t="shared" ca="1" si="120"/>
        <v>6.2282290436144194E-11</v>
      </c>
      <c r="CN115">
        <f t="shared" ca="1" si="121"/>
        <v>-2.5064517128470201E-10</v>
      </c>
      <c r="CO115">
        <f t="shared" ca="1" si="122"/>
        <v>6.5889771416749496E-10</v>
      </c>
      <c r="CP115">
        <f t="shared" ca="1" si="123"/>
        <v>-8.4803430944191405E-10</v>
      </c>
      <c r="CQ115">
        <f t="shared" ca="1" si="124"/>
        <v>1.9186726651909701E-9</v>
      </c>
      <c r="CR115">
        <f t="shared" ca="1" si="125"/>
        <v>-1.57707221726255E-8</v>
      </c>
      <c r="CS115">
        <f t="shared" ca="1" si="126"/>
        <v>2.3452192077222401E-8</v>
      </c>
      <c r="CT115">
        <f t="shared" ca="1" si="127"/>
        <v>-9.0295110055649301E-8</v>
      </c>
      <c r="CU115">
        <f t="shared" ca="1" si="128"/>
        <v>4.44658860843106E-7</v>
      </c>
      <c r="CV115">
        <f t="shared" ca="1" si="129"/>
        <v>-3.1516809073650599E-7</v>
      </c>
      <c r="CW115">
        <f t="shared" ca="1" si="130"/>
        <v>-4.2188474935755901E-15</v>
      </c>
      <c r="CX115">
        <f t="shared" ca="1" si="131"/>
        <v>-4.2188474935755901E-15</v>
      </c>
      <c r="CY115">
        <f t="shared" ca="1" si="132"/>
        <v>-4.2188474935755901E-15</v>
      </c>
      <c r="CZ115">
        <f t="shared" ca="1" si="133"/>
        <v>-4.2188474935755901E-15</v>
      </c>
      <c r="DA115">
        <f t="shared" ca="1" si="134"/>
        <v>-4.2188474935755901E-15</v>
      </c>
      <c r="DB115" s="146">
        <v>0</v>
      </c>
      <c r="DC115" s="146">
        <v>0</v>
      </c>
      <c r="DD115" s="146">
        <v>0</v>
      </c>
      <c r="DE115" s="146">
        <v>0</v>
      </c>
      <c r="DF115" s="146">
        <v>0</v>
      </c>
      <c r="DG115" s="146">
        <v>0</v>
      </c>
      <c r="DH115" s="146">
        <v>0</v>
      </c>
      <c r="DI115" s="146">
        <v>0</v>
      </c>
      <c r="DJ115" s="146">
        <v>0</v>
      </c>
      <c r="DK115" s="146">
        <v>0</v>
      </c>
      <c r="DL115" s="146">
        <v>0</v>
      </c>
      <c r="DM115" s="146">
        <v>0</v>
      </c>
      <c r="DN115">
        <f t="shared" ca="1" si="135"/>
        <v>1.0707300710510701E-6</v>
      </c>
      <c r="DO115">
        <f t="shared" ca="1" si="136"/>
        <v>2.7224436461859001E-6</v>
      </c>
      <c r="DP115">
        <f t="shared" ca="1" si="137"/>
        <v>2.9296514348908799E-6</v>
      </c>
      <c r="DQ115">
        <f t="shared" ca="1" si="138"/>
        <v>4.5171909680563599E-6</v>
      </c>
      <c r="DR115">
        <f t="shared" ca="1" si="139"/>
        <v>7.5240698006462398E-6</v>
      </c>
      <c r="DS115">
        <f t="shared" ca="1" si="140"/>
        <v>2.33550772451574E-5</v>
      </c>
      <c r="DT115">
        <f t="shared" ca="1" si="141"/>
        <v>3.6390212572512397E-5</v>
      </c>
      <c r="DU115">
        <f t="shared" ca="1" si="142"/>
        <v>1.32840661257738E-5</v>
      </c>
      <c r="DV115">
        <f t="shared" ca="1" si="143"/>
        <v>1.11157837452303E-4</v>
      </c>
      <c r="DW115">
        <f t="shared" ca="1" si="144"/>
        <v>5.3528021715543202E-5</v>
      </c>
      <c r="DX115">
        <f t="shared" ca="1" si="145"/>
        <v>-1.9287622181671799E-3</v>
      </c>
      <c r="DY115">
        <f t="shared" ca="1" si="146"/>
        <v>3.7633652099855502E-5</v>
      </c>
      <c r="ED115" s="248">
        <f ca="1">'JACOBIAN - SWAP USD3ML'!B124</f>
        <v>52859</v>
      </c>
      <c r="EE115">
        <f ca="1">'JACOBIAN - SWAP USD3ML'!C124</f>
        <v>-4.3481884759444301E-13</v>
      </c>
      <c r="EF115">
        <f ca="1">'JACOBIAN - SWAP USD3ML'!D124</f>
        <v>-7.0226900683589794E-11</v>
      </c>
      <c r="EG115">
        <f ca="1">'JACOBIAN - SWAP USD3ML'!E124</f>
        <v>-8.5268077321121199E-12</v>
      </c>
      <c r="EH115">
        <f ca="1">'JACOBIAN - SWAP USD3ML'!F124</f>
        <v>-4.3394107751559799E-13</v>
      </c>
      <c r="EI115">
        <f ca="1">'JACOBIAN - SWAP USD3ML'!G124</f>
        <v>-1.210462285961E-12</v>
      </c>
      <c r="EJ115">
        <f ca="1">'JACOBIAN - SWAP USD3ML'!H124</f>
        <v>-7.1035923671081097E-11</v>
      </c>
      <c r="EK115">
        <f ca="1">'JACOBIAN - SWAP USD3ML'!I124</f>
        <v>-7.8686068077926702E-11</v>
      </c>
      <c r="EL115">
        <f ca="1">'JACOBIAN - SWAP USD3ML'!J124</f>
        <v>-7.8341728937392206E-11</v>
      </c>
      <c r="EM115">
        <f ca="1">'JACOBIAN - SWAP USD3ML'!K124</f>
        <v>-7.8024621485983697E-11</v>
      </c>
      <c r="EN115">
        <f ca="1">'JACOBIAN - SWAP USD3ML'!L124</f>
        <v>-7.7807652681949296E-11</v>
      </c>
      <c r="EO115">
        <f ca="1">'JACOBIAN - SWAP USD3ML'!M124</f>
        <v>-7.7063629783102896E-11</v>
      </c>
      <c r="EP115">
        <f ca="1">'JACOBIAN - SWAP USD3ML'!N124</f>
        <v>-1.6455672241511E-10</v>
      </c>
      <c r="EQ115">
        <f ca="1">'JACOBIAN - SWAP USD3ML'!O124</f>
        <v>3.9857304262591597E-9</v>
      </c>
      <c r="ER115">
        <f ca="1">'JACOBIAN - SWAP USD3ML'!P124</f>
        <v>-1.9293762192063001E-8</v>
      </c>
      <c r="ES115">
        <f ca="1">'JACOBIAN - SWAP USD3ML'!Q124</f>
        <v>4.8063277312965198E-8</v>
      </c>
      <c r="ET115">
        <f ca="1">'JACOBIAN - SWAP USD3ML'!R124</f>
        <v>-4.2408798319251701E-7</v>
      </c>
      <c r="EU115">
        <f ca="1">'JACOBIAN - SWAP USD3ML'!S124</f>
        <v>2.2093098076270101E-6</v>
      </c>
      <c r="EV115">
        <f ca="1">'JACOBIAN - SWAP USD3ML'!T124</f>
        <v>-9.6091619593216498E-6</v>
      </c>
      <c r="EW115">
        <f ca="1">'JACOBIAN - SWAP USD3ML'!U124</f>
        <v>2.14339108808893E-5</v>
      </c>
      <c r="EX115">
        <f ca="1">'JACOBIAN - SWAP USD3ML'!V124</f>
        <v>-4.7464506905948299E-5</v>
      </c>
      <c r="EY115">
        <f ca="1">'JACOBIAN - SWAP USD3ML'!W124</f>
        <v>1.13898614309774E-4</v>
      </c>
      <c r="EZ115">
        <f ca="1">'JACOBIAN - SWAP USD3ML'!X124</f>
        <v>-4.5496119170765998E-4</v>
      </c>
      <c r="FA115">
        <f ca="1">'JACOBIAN - SWAP USD3ML'!Y124</f>
        <v>1.5270665732013499E-4</v>
      </c>
      <c r="FB115">
        <f ca="1">'JACOBIAN - SWAP USD3ML'!Z124</f>
        <v>3.2042336395539698E-4</v>
      </c>
    </row>
    <row r="116" spans="24:158" x14ac:dyDescent="0.25">
      <c r="X116" s="258">
        <f t="shared" ca="1" si="113"/>
        <v>52950</v>
      </c>
      <c r="Y116" s="261">
        <v>0</v>
      </c>
      <c r="AA116" s="257">
        <f t="shared" ca="1" si="110"/>
        <v>52950</v>
      </c>
      <c r="AB116" s="266">
        <f t="shared" ca="1" si="114"/>
        <v>-1.6445733923023999E-3</v>
      </c>
      <c r="AC116" s="266"/>
      <c r="AD116" s="290">
        <f ca="1"/>
        <v>52950</v>
      </c>
      <c r="AE116" s="291">
        <f ca="1"/>
        <v>-1.6445733923023953E-3</v>
      </c>
      <c r="AF116" s="291" t="b">
        <f t="shared" ca="1" si="111"/>
        <v>1</v>
      </c>
      <c r="AH116" s="257">
        <f t="shared" ca="1" si="115"/>
        <v>52950</v>
      </c>
      <c r="AI116" s="260">
        <v>0</v>
      </c>
      <c r="AK116" s="290">
        <f ca="1"/>
        <v>52950</v>
      </c>
      <c r="AL116" s="291">
        <f ca="1"/>
        <v>9.824267632902936E-5</v>
      </c>
      <c r="AM116" s="291" t="b">
        <f t="shared" ca="1" si="116"/>
        <v>1</v>
      </c>
      <c r="AO116" s="257">
        <f t="shared" ca="1" si="117"/>
        <v>52950</v>
      </c>
      <c r="AP116" s="266">
        <f t="shared" ca="1" si="112"/>
        <v>9.8242676329030228E-5</v>
      </c>
      <c r="AR116" s="248">
        <f ca="1">'JACOBIAN - OIS USDOIS'!B125</f>
        <v>52950</v>
      </c>
      <c r="AS116">
        <f ca="1">'JACOBIAN - OIS USDOIS'!C125</f>
        <v>-7.28124809890041E-7</v>
      </c>
      <c r="AT116">
        <f ca="1">'JACOBIAN - OIS USDOIS'!D125</f>
        <v>5.9918625616717197E-11</v>
      </c>
      <c r="AU116">
        <f ca="1">'JACOBIAN - OIS USDOIS'!E125</f>
        <v>-2.4120849761999399E-10</v>
      </c>
      <c r="AV116">
        <f ca="1">'JACOBIAN - OIS USDOIS'!F125</f>
        <v>6.3400684702230602E-10</v>
      </c>
      <c r="AW116">
        <f ca="1">'JACOBIAN - OIS USDOIS'!G125</f>
        <v>-8.1602080648224304E-10</v>
      </c>
      <c r="AX116">
        <f ca="1">'JACOBIAN - OIS USDOIS'!H125</f>
        <v>1.84625725818677E-9</v>
      </c>
      <c r="AY116">
        <f ca="1">'JACOBIAN - OIS USDOIS'!I125</f>
        <v>-1.54920271056014E-8</v>
      </c>
      <c r="AZ116">
        <f ca="1">'JACOBIAN - OIS USDOIS'!J125</f>
        <v>2.2567239743587199E-8</v>
      </c>
      <c r="BA116">
        <f ca="1">'JACOBIAN - OIS USDOIS'!K125</f>
        <v>-8.6888272909924096E-8</v>
      </c>
      <c r="BB116">
        <f ca="1">'JACOBIAN - OIS USDOIS'!L125</f>
        <v>4.3832918605879499E-7</v>
      </c>
      <c r="BC116">
        <f ca="1">'JACOBIAN - OIS USDOIS'!M125</f>
        <v>-3.0423020969117003E-7</v>
      </c>
      <c r="BD116">
        <f ca="1">'JACOBIAN - OIS USDOIS'!N125</f>
        <v>-6.4392935428259103E-15</v>
      </c>
      <c r="BE116">
        <f ca="1">'JACOBIAN - OIS USDOIS'!O125</f>
        <v>-6.4392935428259103E-15</v>
      </c>
      <c r="BF116">
        <f ca="1">'JACOBIAN - OIS USDOIS'!P125</f>
        <v>-6.4392935428259103E-15</v>
      </c>
      <c r="BG116">
        <f ca="1">'JACOBIAN - OIS USDOIS'!Q125</f>
        <v>-6.4392935428259103E-15</v>
      </c>
      <c r="BH116">
        <f ca="1">'JACOBIAN - OIS USDOIS'!R125</f>
        <v>-6.4392935428259103E-15</v>
      </c>
      <c r="BI116" s="161">
        <f ca="1">'JACOBIAN - OIS USDOIS'!S125</f>
        <v>-1.07390707126953E-6</v>
      </c>
      <c r="BJ116" s="161">
        <f ca="1">'JACOBIAN - OIS USDOIS'!T125</f>
        <v>-2.7799594836119802E-6</v>
      </c>
      <c r="BK116" s="161">
        <f ca="1">'JACOBIAN - OIS USDOIS'!U125</f>
        <v>-2.8874687063584801E-6</v>
      </c>
      <c r="BL116" s="161">
        <f ca="1">'JACOBIAN - OIS USDOIS'!V125</f>
        <v>-4.8712248227333896E-6</v>
      </c>
      <c r="BM116" s="161">
        <f ca="1">'JACOBIAN - OIS USDOIS'!W125</f>
        <v>-7.03072771646163E-6</v>
      </c>
      <c r="BN116" s="161">
        <f ca="1">'JACOBIAN - OIS USDOIS'!X125</f>
        <v>-2.4748306264643601E-5</v>
      </c>
      <c r="BO116" s="161">
        <f ca="1">'JACOBIAN - OIS USDOIS'!Y125</f>
        <v>-3.1428946643874398E-5</v>
      </c>
      <c r="BP116" s="161">
        <f ca="1">'JACOBIAN - OIS USDOIS'!Z125</f>
        <v>-2.9055733332783399E-5</v>
      </c>
      <c r="BQ116" s="161">
        <f ca="1">'JACOBIAN - OIS USDOIS'!AA125</f>
        <v>-8.1352255950850605E-5</v>
      </c>
      <c r="BR116" s="161">
        <f ca="1">'JACOBIAN - OIS USDOIS'!AB125</f>
        <v>-1.4844231693067499E-4</v>
      </c>
      <c r="BS116" s="161">
        <f ca="1">'JACOBIAN - OIS USDOIS'!AC125</f>
        <v>1.9998437821789898E-3</v>
      </c>
      <c r="BT116" s="161">
        <f ca="1">'JACOBIAN - OIS USDOIS'!AD125</f>
        <v>6.2955088563354497E-6</v>
      </c>
      <c r="BU116">
        <f ca="1">'JACOBIAN - OIS USDOIS'!AE125</f>
        <v>1.05419108153981E-6</v>
      </c>
      <c r="BV116">
        <f ca="1">'JACOBIAN - OIS USDOIS'!AF125</f>
        <v>2.7333511839477998E-6</v>
      </c>
      <c r="BW116">
        <f ca="1">'JACOBIAN - OIS USDOIS'!AG125</f>
        <v>2.8407032082178301E-6</v>
      </c>
      <c r="BX116">
        <f ca="1">'JACOBIAN - OIS USDOIS'!AH125</f>
        <v>4.7924468249416199E-6</v>
      </c>
      <c r="BY116">
        <f ca="1">'JACOBIAN - OIS USDOIS'!AI125</f>
        <v>6.9106568232335502E-6</v>
      </c>
      <c r="BZ116">
        <f ca="1">'JACOBIAN - OIS USDOIS'!AJ125</f>
        <v>2.4344544246046599E-5</v>
      </c>
      <c r="CA116">
        <f ca="1">'JACOBIAN - OIS USDOIS'!AK125</f>
        <v>3.09080139141438E-5</v>
      </c>
      <c r="CB116">
        <f ca="1">'JACOBIAN - OIS USDOIS'!AL125</f>
        <v>2.8553313972445901E-5</v>
      </c>
      <c r="CC116">
        <f ca="1">'JACOBIAN - OIS USDOIS'!AM125</f>
        <v>7.9988285895393806E-5</v>
      </c>
      <c r="CD116">
        <f ca="1">'JACOBIAN - OIS USDOIS'!AN125</f>
        <v>1.4601377049427999E-4</v>
      </c>
      <c r="CE116">
        <f ca="1">'JACOBIAN - OIS USDOIS'!AO125</f>
        <v>-1.9658263246220601E-3</v>
      </c>
      <c r="CF116">
        <f ca="1">'JACOBIAN - OIS USDOIS'!AP125</f>
        <v>-6.21398935196638E-6</v>
      </c>
      <c r="CK116" s="248">
        <f t="shared" ca="1" si="118"/>
        <v>52950</v>
      </c>
      <c r="CL116">
        <f t="shared" ca="1" si="119"/>
        <v>-7.28124809890041E-7</v>
      </c>
      <c r="CM116">
        <f t="shared" ca="1" si="120"/>
        <v>5.9918625616717197E-11</v>
      </c>
      <c r="CN116">
        <f t="shared" ca="1" si="121"/>
        <v>-2.4120849761999399E-10</v>
      </c>
      <c r="CO116">
        <f t="shared" ca="1" si="122"/>
        <v>6.3400684702230602E-10</v>
      </c>
      <c r="CP116">
        <f t="shared" ca="1" si="123"/>
        <v>-8.1602080648224304E-10</v>
      </c>
      <c r="CQ116">
        <f t="shared" ca="1" si="124"/>
        <v>1.84625725818677E-9</v>
      </c>
      <c r="CR116">
        <f t="shared" ca="1" si="125"/>
        <v>-1.54920271056014E-8</v>
      </c>
      <c r="CS116">
        <f t="shared" ca="1" si="126"/>
        <v>2.2567239743587199E-8</v>
      </c>
      <c r="CT116">
        <f t="shared" ca="1" si="127"/>
        <v>-8.6888272909924096E-8</v>
      </c>
      <c r="CU116">
        <f t="shared" ca="1" si="128"/>
        <v>4.3832918605879499E-7</v>
      </c>
      <c r="CV116">
        <f t="shared" ca="1" si="129"/>
        <v>-3.0423020969117003E-7</v>
      </c>
      <c r="CW116">
        <f t="shared" ca="1" si="130"/>
        <v>-6.4392935428259103E-15</v>
      </c>
      <c r="CX116">
        <f t="shared" ca="1" si="131"/>
        <v>-6.4392935428259103E-15</v>
      </c>
      <c r="CY116">
        <f t="shared" ca="1" si="132"/>
        <v>-6.4392935428259103E-15</v>
      </c>
      <c r="CZ116">
        <f t="shared" ca="1" si="133"/>
        <v>-6.4392935428259103E-15</v>
      </c>
      <c r="DA116">
        <f t="shared" ca="1" si="134"/>
        <v>-6.4392935428259103E-15</v>
      </c>
      <c r="DB116" s="146">
        <v>0</v>
      </c>
      <c r="DC116" s="146">
        <v>0</v>
      </c>
      <c r="DD116" s="146">
        <v>0</v>
      </c>
      <c r="DE116" s="146">
        <v>0</v>
      </c>
      <c r="DF116" s="146">
        <v>0</v>
      </c>
      <c r="DG116" s="146">
        <v>0</v>
      </c>
      <c r="DH116" s="146">
        <v>0</v>
      </c>
      <c r="DI116" s="146">
        <v>0</v>
      </c>
      <c r="DJ116" s="146">
        <v>0</v>
      </c>
      <c r="DK116" s="146">
        <v>0</v>
      </c>
      <c r="DL116" s="146">
        <v>0</v>
      </c>
      <c r="DM116" s="146">
        <v>0</v>
      </c>
      <c r="DN116">
        <f t="shared" ca="1" si="135"/>
        <v>1.05419108153981E-6</v>
      </c>
      <c r="DO116">
        <f t="shared" ca="1" si="136"/>
        <v>2.7333511839477998E-6</v>
      </c>
      <c r="DP116">
        <f t="shared" ca="1" si="137"/>
        <v>2.8407032082178301E-6</v>
      </c>
      <c r="DQ116">
        <f t="shared" ca="1" si="138"/>
        <v>4.7924468249416199E-6</v>
      </c>
      <c r="DR116">
        <f t="shared" ca="1" si="139"/>
        <v>6.9106568232335502E-6</v>
      </c>
      <c r="DS116">
        <f t="shared" ca="1" si="140"/>
        <v>2.4344544246046599E-5</v>
      </c>
      <c r="DT116">
        <f t="shared" ca="1" si="141"/>
        <v>3.09080139141438E-5</v>
      </c>
      <c r="DU116">
        <f t="shared" ca="1" si="142"/>
        <v>2.8553313972445901E-5</v>
      </c>
      <c r="DV116">
        <f t="shared" ca="1" si="143"/>
        <v>7.9988285895393806E-5</v>
      </c>
      <c r="DW116">
        <f t="shared" ca="1" si="144"/>
        <v>1.4601377049427999E-4</v>
      </c>
      <c r="DX116">
        <f t="shared" ca="1" si="145"/>
        <v>-1.9658263246220601E-3</v>
      </c>
      <c r="DY116">
        <f t="shared" ca="1" si="146"/>
        <v>-6.21398935196638E-6</v>
      </c>
      <c r="ED116" s="248">
        <f ca="1">'JACOBIAN - SWAP USD3ML'!B125</f>
        <v>52950</v>
      </c>
      <c r="EE116">
        <f ca="1">'JACOBIAN - SWAP USD3ML'!C125</f>
        <v>-4.3393760806864599E-13</v>
      </c>
      <c r="EF116">
        <f ca="1">'JACOBIAN - SWAP USD3ML'!D125</f>
        <v>-5.9944136460155003E-11</v>
      </c>
      <c r="EG116">
        <f ca="1">'JACOBIAN - SWAP USD3ML'!E125</f>
        <v>-8.3370671477567303E-12</v>
      </c>
      <c r="EH116">
        <f ca="1">'JACOBIAN - SWAP USD3ML'!F125</f>
        <v>-4.3481537814749101E-13</v>
      </c>
      <c r="EI116">
        <f ca="1">'JACOBIAN - SWAP USD3ML'!G125</f>
        <v>-1.09714320961629E-12</v>
      </c>
      <c r="EJ116">
        <f ca="1">'JACOBIAN - SWAP USD3ML'!H125</f>
        <v>-6.0765458637090904E-11</v>
      </c>
      <c r="EK116">
        <f ca="1">'JACOBIAN - SWAP USD3ML'!I125</f>
        <v>-6.8267148878309301E-11</v>
      </c>
      <c r="EL116">
        <f ca="1">'JACOBIAN - SWAP USD3ML'!J125</f>
        <v>-6.7959703836661906E-11</v>
      </c>
      <c r="EM116">
        <f ca="1">'JACOBIAN - SWAP USD3ML'!K125</f>
        <v>-6.7676853704457E-11</v>
      </c>
      <c r="EN116">
        <f ca="1">'JACOBIAN - SWAP USD3ML'!L125</f>
        <v>-6.7491505439942795E-11</v>
      </c>
      <c r="EO116">
        <f ca="1">'JACOBIAN - SWAP USD3ML'!M125</f>
        <v>-6.6841476797918605E-11</v>
      </c>
      <c r="EP116">
        <f ca="1">'JACOBIAN - SWAP USD3ML'!N125</f>
        <v>-1.42432877991983E-10</v>
      </c>
      <c r="EQ116">
        <f ca="1">'JACOBIAN - SWAP USD3ML'!O125</f>
        <v>3.4496607757839001E-9</v>
      </c>
      <c r="ER116">
        <f ca="1">'JACOBIAN - SWAP USD3ML'!P125</f>
        <v>-1.6699368041162001E-8</v>
      </c>
      <c r="ES116">
        <f ca="1">'JACOBIAN - SWAP USD3ML'!Q125</f>
        <v>4.1599428957095302E-8</v>
      </c>
      <c r="ET116">
        <f ca="1">'JACOBIAN - SWAP USD3ML'!R125</f>
        <v>-3.6705698348849001E-7</v>
      </c>
      <c r="EU116">
        <f ca="1">'JACOBIAN - SWAP USD3ML'!S125</f>
        <v>1.9122019800574302E-6</v>
      </c>
      <c r="EV116">
        <f ca="1">'JACOBIAN - SWAP USD3ML'!T125</f>
        <v>-8.3169230693617996E-6</v>
      </c>
      <c r="EW116">
        <f ca="1">'JACOBIAN - SWAP USD3ML'!U125</f>
        <v>1.8551469218829101E-5</v>
      </c>
      <c r="EX116">
        <f ca="1">'JACOBIAN - SWAP USD3ML'!V125</f>
        <v>-4.1081516296035501E-5</v>
      </c>
      <c r="EY116">
        <f ca="1">'JACOBIAN - SWAP USD3ML'!W125</f>
        <v>9.8581299440108502E-5</v>
      </c>
      <c r="EZ116">
        <f ca="1">'JACOBIAN - SWAP USD3ML'!X125</f>
        <v>-3.9274422200133398E-4</v>
      </c>
      <c r="FA116">
        <f ca="1">'JACOBIAN - SWAP USD3ML'!Y125</f>
        <v>4.2643242075063301E-5</v>
      </c>
      <c r="FB116">
        <f ca="1">'JACOBIAN - SWAP USD3ML'!Z125</f>
        <v>3.7903644392562501E-4</v>
      </c>
    </row>
    <row r="117" spans="24:158" x14ac:dyDescent="0.25">
      <c r="X117" s="258">
        <f t="shared" ca="1" si="113"/>
        <v>53038</v>
      </c>
      <c r="Y117" s="261">
        <v>0</v>
      </c>
      <c r="AA117" s="257">
        <f t="shared" ca="1" si="110"/>
        <v>53038</v>
      </c>
      <c r="AB117" s="266">
        <f t="shared" ca="1" si="114"/>
        <v>-1.6534481890081462E-3</v>
      </c>
      <c r="AC117" s="266"/>
      <c r="AD117" s="290">
        <f ca="1"/>
        <v>53038</v>
      </c>
      <c r="AE117" s="291">
        <f ca="1"/>
        <v>-1.6534481890081443E-3</v>
      </c>
      <c r="AF117" s="291" t="b">
        <f t="shared" ca="1" si="111"/>
        <v>1</v>
      </c>
      <c r="AH117" s="257">
        <f t="shared" ca="1" si="115"/>
        <v>53038</v>
      </c>
      <c r="AI117" s="260">
        <v>0</v>
      </c>
      <c r="AK117" s="290">
        <f ca="1"/>
        <v>53038</v>
      </c>
      <c r="AL117" s="291">
        <f ca="1"/>
        <v>9.8262063311600756E-5</v>
      </c>
      <c r="AM117" s="291" t="b">
        <f t="shared" ca="1" si="116"/>
        <v>1</v>
      </c>
      <c r="AO117" s="257">
        <f t="shared" ca="1" si="117"/>
        <v>53038</v>
      </c>
      <c r="AP117" s="266">
        <f t="shared" ca="1" si="112"/>
        <v>9.8262063311600702E-5</v>
      </c>
      <c r="AR117" s="248">
        <f ca="1">'JACOBIAN - OIS USDOIS'!B126</f>
        <v>53038</v>
      </c>
      <c r="AS117">
        <f ca="1">'JACOBIAN - OIS USDOIS'!C126</f>
        <v>-7.2512897286714004E-7</v>
      </c>
      <c r="AT117">
        <f ca="1">'JACOBIAN - OIS USDOIS'!D126</f>
        <v>5.7890581217634501E-11</v>
      </c>
      <c r="AU117">
        <f ca="1">'JACOBIAN - OIS USDOIS'!E126</f>
        <v>-2.33096875135175E-10</v>
      </c>
      <c r="AV117">
        <f ca="1">'JACOBIAN - OIS USDOIS'!F126</f>
        <v>6.1261462569461897E-10</v>
      </c>
      <c r="AW117">
        <f ca="1">'JACOBIAN - OIS USDOIS'!G126</f>
        <v>-7.8850670437447E-10</v>
      </c>
      <c r="AX117">
        <f ca="1">'JACOBIAN - OIS USDOIS'!H126</f>
        <v>1.7840221522291699E-9</v>
      </c>
      <c r="AY117">
        <f ca="1">'JACOBIAN - OIS USDOIS'!I126</f>
        <v>-1.5249009832629701E-8</v>
      </c>
      <c r="AZ117">
        <f ca="1">'JACOBIAN - OIS USDOIS'!J126</f>
        <v>2.1806673355939698E-8</v>
      </c>
      <c r="BA117">
        <f ca="1">'JACOBIAN - OIS USDOIS'!K126</f>
        <v>-8.3960284169570798E-8</v>
      </c>
      <c r="BB117">
        <f ca="1">'JACOBIAN - OIS USDOIS'!L126</f>
        <v>4.3277079342374199E-7</v>
      </c>
      <c r="BC117">
        <f ca="1">'JACOBIAN - OIS USDOIS'!M126</f>
        <v>-2.9481917140916599E-7</v>
      </c>
      <c r="BD117">
        <f ca="1">'JACOBIAN - OIS USDOIS'!N126</f>
        <v>-6.5503158452884196E-15</v>
      </c>
      <c r="BE117">
        <f ca="1">'JACOBIAN - OIS USDOIS'!O126</f>
        <v>-6.5503158452884196E-15</v>
      </c>
      <c r="BF117">
        <f ca="1">'JACOBIAN - OIS USDOIS'!P126</f>
        <v>-6.5503158452884196E-15</v>
      </c>
      <c r="BG117">
        <f ca="1">'JACOBIAN - OIS USDOIS'!Q126</f>
        <v>-6.5503158452884196E-15</v>
      </c>
      <c r="BH117">
        <f ca="1">'JACOBIAN - OIS USDOIS'!R126</f>
        <v>-6.5503158452884196E-15</v>
      </c>
      <c r="BI117" s="161">
        <f ca="1">'JACOBIAN - OIS USDOIS'!S126</f>
        <v>-1.0591540251514399E-6</v>
      </c>
      <c r="BJ117" s="161">
        <f ca="1">'JACOBIAN - OIS USDOIS'!T126</f>
        <v>-2.7881791961892299E-6</v>
      </c>
      <c r="BK117" s="161">
        <f ca="1">'JACOBIAN - OIS USDOIS'!U126</f>
        <v>-2.8095150095275301E-6</v>
      </c>
      <c r="BL117" s="161">
        <f ca="1">'JACOBIAN - OIS USDOIS'!V126</f>
        <v>-5.1064969690539599E-6</v>
      </c>
      <c r="BM117" s="161">
        <f ca="1">'JACOBIAN - OIS USDOIS'!W126</f>
        <v>-6.4985661180072498E-6</v>
      </c>
      <c r="BN117" s="161">
        <f ca="1">'JACOBIAN - OIS USDOIS'!X126</f>
        <v>-2.55908439995567E-5</v>
      </c>
      <c r="BO117" s="161">
        <f ca="1">'JACOBIAN - OIS USDOIS'!Y126</f>
        <v>-2.66886723856441E-5</v>
      </c>
      <c r="BP117" s="161">
        <f ca="1">'JACOBIAN - OIS USDOIS'!Z126</f>
        <v>-4.2202010682834703E-5</v>
      </c>
      <c r="BQ117" s="161">
        <f ca="1">'JACOBIAN - OIS USDOIS'!AA126</f>
        <v>-5.4462032183843997E-5</v>
      </c>
      <c r="BR117" s="161">
        <f ca="1">'JACOBIAN - OIS USDOIS'!AB126</f>
        <v>-2.2781022688256301E-4</v>
      </c>
      <c r="BS117" s="161">
        <f ca="1">'JACOBIAN - OIS USDOIS'!AC126</f>
        <v>2.01901444342734E-3</v>
      </c>
      <c r="BT117" s="161">
        <f ca="1">'JACOBIAN - OIS USDOIS'!AD126</f>
        <v>5.7572413665218897E-5</v>
      </c>
      <c r="BU117">
        <f ca="1">'JACOBIAN - OIS USDOIS'!AE126</f>
        <v>1.0397061694922299E-6</v>
      </c>
      <c r="BV117">
        <f ca="1">'JACOBIAN - OIS USDOIS'!AF126</f>
        <v>2.74143568690377E-6</v>
      </c>
      <c r="BW117">
        <f ca="1">'JACOBIAN - OIS USDOIS'!AG126</f>
        <v>2.7640014825802699E-6</v>
      </c>
      <c r="BX117">
        <f ca="1">'JACOBIAN - OIS USDOIS'!AH126</f>
        <v>5.0240241031840302E-6</v>
      </c>
      <c r="BY117">
        <f ca="1">'JACOBIAN - OIS USDOIS'!AI126</f>
        <v>6.3870598332460602E-6</v>
      </c>
      <c r="BZ117">
        <f ca="1">'JACOBIAN - OIS USDOIS'!AJ126</f>
        <v>2.51739652660232E-5</v>
      </c>
      <c r="CA117">
        <f ca="1">'JACOBIAN - OIS USDOIS'!AK126</f>
        <v>2.6241754253919499E-5</v>
      </c>
      <c r="CB117">
        <f ca="1">'JACOBIAN - OIS USDOIS'!AL126</f>
        <v>4.1501372804453298E-5</v>
      </c>
      <c r="CC117">
        <f ca="1">'JACOBIAN - OIS USDOIS'!AM126</f>
        <v>5.3499663524969598E-5</v>
      </c>
      <c r="CD117">
        <f ca="1">'JACOBIAN - OIS USDOIS'!AN126</f>
        <v>2.2425204805209801E-4</v>
      </c>
      <c r="CE117">
        <f ca="1">'JACOBIAN - OIS USDOIS'!AO126</f>
        <v>-1.9845991480652598E-3</v>
      </c>
      <c r="CF117">
        <f ca="1">'JACOBIAN - OIS USDOIS'!AP126</f>
        <v>-5.6810925039285602E-5</v>
      </c>
      <c r="CK117" s="248">
        <f t="shared" ca="1" si="118"/>
        <v>53038</v>
      </c>
      <c r="CL117">
        <f t="shared" ca="1" si="119"/>
        <v>-7.2512897286714004E-7</v>
      </c>
      <c r="CM117">
        <f t="shared" ca="1" si="120"/>
        <v>5.7890581217634501E-11</v>
      </c>
      <c r="CN117">
        <f t="shared" ca="1" si="121"/>
        <v>-2.33096875135175E-10</v>
      </c>
      <c r="CO117">
        <f t="shared" ca="1" si="122"/>
        <v>6.1261462569461897E-10</v>
      </c>
      <c r="CP117">
        <f t="shared" ca="1" si="123"/>
        <v>-7.8850670437447E-10</v>
      </c>
      <c r="CQ117">
        <f t="shared" ca="1" si="124"/>
        <v>1.7840221522291699E-9</v>
      </c>
      <c r="CR117">
        <f t="shared" ca="1" si="125"/>
        <v>-1.5249009832629701E-8</v>
      </c>
      <c r="CS117">
        <f t="shared" ca="1" si="126"/>
        <v>2.1806673355939698E-8</v>
      </c>
      <c r="CT117">
        <f t="shared" ca="1" si="127"/>
        <v>-8.3960284169570798E-8</v>
      </c>
      <c r="CU117">
        <f t="shared" ca="1" si="128"/>
        <v>4.3277079342374199E-7</v>
      </c>
      <c r="CV117">
        <f t="shared" ca="1" si="129"/>
        <v>-2.9481917140916599E-7</v>
      </c>
      <c r="CW117">
        <f t="shared" ca="1" si="130"/>
        <v>-6.5503158452884196E-15</v>
      </c>
      <c r="CX117">
        <f t="shared" ca="1" si="131"/>
        <v>-6.5503158452884196E-15</v>
      </c>
      <c r="CY117">
        <f t="shared" ca="1" si="132"/>
        <v>-6.5503158452884196E-15</v>
      </c>
      <c r="CZ117">
        <f t="shared" ca="1" si="133"/>
        <v>-6.5503158452884196E-15</v>
      </c>
      <c r="DA117">
        <f t="shared" ca="1" si="134"/>
        <v>-6.5503158452884196E-15</v>
      </c>
      <c r="DB117" s="146">
        <v>0</v>
      </c>
      <c r="DC117" s="146">
        <v>0</v>
      </c>
      <c r="DD117" s="146">
        <v>0</v>
      </c>
      <c r="DE117" s="146">
        <v>0</v>
      </c>
      <c r="DF117" s="146">
        <v>0</v>
      </c>
      <c r="DG117" s="146">
        <v>0</v>
      </c>
      <c r="DH117" s="146">
        <v>0</v>
      </c>
      <c r="DI117" s="146">
        <v>0</v>
      </c>
      <c r="DJ117" s="146">
        <v>0</v>
      </c>
      <c r="DK117" s="146">
        <v>0</v>
      </c>
      <c r="DL117" s="146">
        <v>0</v>
      </c>
      <c r="DM117" s="146">
        <v>0</v>
      </c>
      <c r="DN117">
        <f t="shared" ca="1" si="135"/>
        <v>1.0397061694922299E-6</v>
      </c>
      <c r="DO117">
        <f t="shared" ca="1" si="136"/>
        <v>2.74143568690377E-6</v>
      </c>
      <c r="DP117">
        <f t="shared" ca="1" si="137"/>
        <v>2.7640014825802699E-6</v>
      </c>
      <c r="DQ117">
        <f t="shared" ca="1" si="138"/>
        <v>5.0240241031840302E-6</v>
      </c>
      <c r="DR117">
        <f t="shared" ca="1" si="139"/>
        <v>6.3870598332460602E-6</v>
      </c>
      <c r="DS117">
        <f t="shared" ca="1" si="140"/>
        <v>2.51739652660232E-5</v>
      </c>
      <c r="DT117">
        <f t="shared" ca="1" si="141"/>
        <v>2.6241754253919499E-5</v>
      </c>
      <c r="DU117">
        <f t="shared" ca="1" si="142"/>
        <v>4.1501372804453298E-5</v>
      </c>
      <c r="DV117">
        <f t="shared" ca="1" si="143"/>
        <v>5.3499663524969598E-5</v>
      </c>
      <c r="DW117">
        <f t="shared" ca="1" si="144"/>
        <v>2.2425204805209801E-4</v>
      </c>
      <c r="DX117">
        <f t="shared" ca="1" si="145"/>
        <v>-1.9845991480652598E-3</v>
      </c>
      <c r="DY117">
        <f t="shared" ca="1" si="146"/>
        <v>-5.6810925039285602E-5</v>
      </c>
      <c r="ED117" s="248">
        <f ca="1">'JACOBIAN - SWAP USD3ML'!B126</f>
        <v>53038</v>
      </c>
      <c r="EE117">
        <f ca="1">'JACOBIAN - SWAP USD3ML'!C126</f>
        <v>-4.3539824523541901E-13</v>
      </c>
      <c r="EF117">
        <f ca="1">'JACOBIAN - SWAP USD3ML'!D126</f>
        <v>-4.98520391634116E-11</v>
      </c>
      <c r="EG117">
        <f ca="1">'JACOBIAN - SWAP USD3ML'!E126</f>
        <v>-8.1424242348582303E-12</v>
      </c>
      <c r="EH117">
        <f ca="1">'JACOBIAN - SWAP USD3ML'!F126</f>
        <v>-4.3539824523541901E-13</v>
      </c>
      <c r="EI117">
        <f ca="1">'JACOBIAN - SWAP USD3ML'!G126</f>
        <v>-9.8559702066403097E-13</v>
      </c>
      <c r="EJ117">
        <f ca="1">'JACOBIAN - SWAP USD3ML'!H126</f>
        <v>-5.0686264213561901E-11</v>
      </c>
      <c r="EK117">
        <f ca="1">'JACOBIAN - SWAP USD3ML'!I126</f>
        <v>-5.8033577943206202E-11</v>
      </c>
      <c r="EL117">
        <f ca="1">'JACOBIAN - SWAP USD3ML'!J126</f>
        <v>-5.7762305355479901E-11</v>
      </c>
      <c r="EM117">
        <f ca="1">'JACOBIAN - SWAP USD3ML'!K126</f>
        <v>-5.7512293538675197E-11</v>
      </c>
      <c r="EN117">
        <f ca="1">'JACOBIAN - SWAP USD3ML'!L126</f>
        <v>-5.7359225008601898E-11</v>
      </c>
      <c r="EO117">
        <f ca="1">'JACOBIAN - SWAP USD3ML'!M126</f>
        <v>-5.6804776160657201E-11</v>
      </c>
      <c r="EP117">
        <f ca="1">'JACOBIAN - SWAP USD3ML'!N126</f>
        <v>-1.2070600075020399E-10</v>
      </c>
      <c r="EQ117">
        <f ca="1">'JACOBIAN - SWAP USD3ML'!O126</f>
        <v>2.9231987039302101E-9</v>
      </c>
      <c r="ER117">
        <f ca="1">'JACOBIAN - SWAP USD3ML'!P126</f>
        <v>-1.4151458730543601E-8</v>
      </c>
      <c r="ES117">
        <f ca="1">'JACOBIAN - SWAP USD3ML'!Q126</f>
        <v>3.5251406897696098E-8</v>
      </c>
      <c r="ET117">
        <f ca="1">'JACOBIAN - SWAP USD3ML'!R126</f>
        <v>-3.1104789807723201E-7</v>
      </c>
      <c r="EU117">
        <f ca="1">'JACOBIAN - SWAP USD3ML'!S126</f>
        <v>1.6204179810706799E-6</v>
      </c>
      <c r="EV117">
        <f ca="1">'JACOBIAN - SWAP USD3ML'!T126</f>
        <v>-7.04783885720206E-6</v>
      </c>
      <c r="EW117">
        <f ca="1">'JACOBIAN - SWAP USD3ML'!U126</f>
        <v>1.57206800300916E-5</v>
      </c>
      <c r="EX117">
        <f ca="1">'JACOBIAN - SWAP USD3ML'!V126</f>
        <v>-3.4812886710387798E-5</v>
      </c>
      <c r="EY117">
        <f ca="1">'JACOBIAN - SWAP USD3ML'!W126</f>
        <v>8.3538531301007704E-5</v>
      </c>
      <c r="EZ117">
        <f ca="1">'JACOBIAN - SWAP USD3ML'!X126</f>
        <v>-3.3281784313094999E-4</v>
      </c>
      <c r="FA117">
        <f ca="1">'JACOBIAN - SWAP USD3ML'!Y126</f>
        <v>-6.2595799752051401E-5</v>
      </c>
      <c r="FB117">
        <f ca="1">'JACOBIAN - SWAP USD3ML'!Z126</f>
        <v>4.3494434591652799E-4</v>
      </c>
    </row>
    <row r="118" spans="24:158" x14ac:dyDescent="0.25">
      <c r="X118" s="258">
        <f t="shared" ca="1" si="113"/>
        <v>53132</v>
      </c>
      <c r="Y118" s="261">
        <v>0</v>
      </c>
      <c r="AA118" s="257">
        <f t="shared" ca="1" si="110"/>
        <v>53132</v>
      </c>
      <c r="AB118" s="266">
        <f t="shared" ca="1" si="114"/>
        <v>-1.6628660893888161E-3</v>
      </c>
      <c r="AC118" s="266"/>
      <c r="AD118" s="290">
        <f ca="1"/>
        <v>53132</v>
      </c>
      <c r="AE118" s="291">
        <f ca="1"/>
        <v>-1.6628660893888147E-3</v>
      </c>
      <c r="AF118" s="291" t="b">
        <f t="shared" ca="1" si="111"/>
        <v>1</v>
      </c>
      <c r="AH118" s="257">
        <f t="shared" ca="1" si="115"/>
        <v>53132</v>
      </c>
      <c r="AI118" s="260">
        <v>0</v>
      </c>
      <c r="AK118" s="290">
        <f ca="1"/>
        <v>53132</v>
      </c>
      <c r="AL118" s="291">
        <f ca="1"/>
        <v>9.8257639881017128E-5</v>
      </c>
      <c r="AM118" s="291" t="b">
        <f t="shared" ca="1" si="116"/>
        <v>1</v>
      </c>
      <c r="AO118" s="257">
        <f t="shared" ca="1" si="117"/>
        <v>53132</v>
      </c>
      <c r="AP118" s="266">
        <f t="shared" ca="1" si="112"/>
        <v>9.8257639881016478E-5</v>
      </c>
      <c r="AR118" s="248">
        <f ca="1">'JACOBIAN - OIS USDOIS'!B127</f>
        <v>53132</v>
      </c>
      <c r="AS118">
        <f ca="1">'JACOBIAN - OIS USDOIS'!C127</f>
        <v>-7.2194714939577398E-7</v>
      </c>
      <c r="AT118">
        <f ca="1">'JACOBIAN - OIS USDOIS'!D127</f>
        <v>5.6009530347012099E-11</v>
      </c>
      <c r="AU118">
        <f ca="1">'JACOBIAN - OIS USDOIS'!E127</f>
        <v>-2.25554908084291E-10</v>
      </c>
      <c r="AV118">
        <f ca="1">'JACOBIAN - OIS USDOIS'!F127</f>
        <v>5.9272875496674301E-10</v>
      </c>
      <c r="AW118">
        <f ca="1">'JACOBIAN - OIS USDOIS'!G127</f>
        <v>-7.6292960837776005E-10</v>
      </c>
      <c r="AX118">
        <f ca="1">'JACOBIAN - OIS USDOIS'!H127</f>
        <v>1.7261714280181199E-9</v>
      </c>
      <c r="AY118">
        <f ca="1">'JACOBIAN - OIS USDOIS'!I127</f>
        <v>-1.50186977299072E-8</v>
      </c>
      <c r="AZ118">
        <f ca="1">'JACOBIAN - OIS USDOIS'!J127</f>
        <v>2.1099659575085599E-8</v>
      </c>
      <c r="BA118">
        <f ca="1">'JACOBIAN - OIS USDOIS'!K127</f>
        <v>-8.1238452520615594E-8</v>
      </c>
      <c r="BB118">
        <f ca="1">'JACOBIAN - OIS USDOIS'!L127</f>
        <v>4.2745517081499402E-7</v>
      </c>
      <c r="BC118">
        <f ca="1">'JACOBIAN - OIS USDOIS'!M127</f>
        <v>-2.8605747770526998E-7</v>
      </c>
      <c r="BD118">
        <f ca="1">'JACOBIAN - OIS USDOIS'!N127</f>
        <v>-4.77395900588817E-15</v>
      </c>
      <c r="BE118">
        <f ca="1">'JACOBIAN - OIS USDOIS'!O127</f>
        <v>-4.77395900588817E-15</v>
      </c>
      <c r="BF118">
        <f ca="1">'JACOBIAN - OIS USDOIS'!P127</f>
        <v>-4.77395900588817E-15</v>
      </c>
      <c r="BG118">
        <f ca="1">'JACOBIAN - OIS USDOIS'!Q127</f>
        <v>-4.77395900588817E-15</v>
      </c>
      <c r="BH118">
        <f ca="1">'JACOBIAN - OIS USDOIS'!R127</f>
        <v>-4.77395900588817E-15</v>
      </c>
      <c r="BI118" s="161">
        <f ca="1">'JACOBIAN - OIS USDOIS'!S127</f>
        <v>-1.04509377396589E-6</v>
      </c>
      <c r="BJ118" s="161">
        <f ca="1">'JACOBIAN - OIS USDOIS'!T127</f>
        <v>-2.7941740778913998E-6</v>
      </c>
      <c r="BK118" s="161">
        <f ca="1">'JACOBIAN - OIS USDOIS'!U127</f>
        <v>-2.73672155248761E-6</v>
      </c>
      <c r="BL118" s="161">
        <f ca="1">'JACOBIAN - OIS USDOIS'!V127</f>
        <v>-5.3188540825033198E-6</v>
      </c>
      <c r="BM118" s="161">
        <f ca="1">'JACOBIAN - OIS USDOIS'!W127</f>
        <v>-6.0084299671192596E-6</v>
      </c>
      <c r="BN118" s="161">
        <f ca="1">'JACOBIAN - OIS USDOIS'!X127</f>
        <v>-2.63473643118406E-5</v>
      </c>
      <c r="BO118" s="161">
        <f ca="1">'JACOBIAN - OIS USDOIS'!Y127</f>
        <v>-2.23396794952757E-5</v>
      </c>
      <c r="BP118" s="161">
        <f ca="1">'JACOBIAN - OIS USDOIS'!Z127</f>
        <v>-5.4199757925532699E-5</v>
      </c>
      <c r="BQ118" s="161">
        <f ca="1">'JACOBIAN - OIS USDOIS'!AA127</f>
        <v>-2.9843229811254999E-5</v>
      </c>
      <c r="BR118" s="161">
        <f ca="1">'JACOBIAN - OIS USDOIS'!AB127</f>
        <v>-3.0025160966151699E-4</v>
      </c>
      <c r="BS118" s="161">
        <f ca="1">'JACOBIAN - OIS USDOIS'!AC127</f>
        <v>2.02078392647942E-3</v>
      </c>
      <c r="BT118" s="161">
        <f ca="1">'JACOBIAN - OIS USDOIS'!AD127</f>
        <v>1.21240544108447E-4</v>
      </c>
      <c r="BU118">
        <f ca="1">'JACOBIAN - OIS USDOIS'!AE127</f>
        <v>1.02590157446958E-6</v>
      </c>
      <c r="BV118">
        <f ca="1">'JACOBIAN - OIS USDOIS'!AF127</f>
        <v>2.7473324358817702E-6</v>
      </c>
      <c r="BW118">
        <f ca="1">'JACOBIAN - OIS USDOIS'!AG127</f>
        <v>2.6923773370768298E-6</v>
      </c>
      <c r="BX118">
        <f ca="1">'JACOBIAN - OIS USDOIS'!AH127</f>
        <v>5.2330476205675299E-6</v>
      </c>
      <c r="BY118">
        <f ca="1">'JACOBIAN - OIS USDOIS'!AI127</f>
        <v>5.9048163570940602E-6</v>
      </c>
      <c r="BZ118">
        <f ca="1">'JACOBIAN - OIS USDOIS'!AJ127</f>
        <v>2.5918720420237099E-5</v>
      </c>
      <c r="CA118">
        <f ca="1">'JACOBIAN - OIS USDOIS'!AK127</f>
        <v>2.19607388501908E-5</v>
      </c>
      <c r="CB118">
        <f ca="1">'JACOBIAN - OIS USDOIS'!AL127</f>
        <v>5.3318717687877999E-5</v>
      </c>
      <c r="CC118">
        <f ca="1">'JACOBIAN - OIS USDOIS'!AM127</f>
        <v>2.9250477970088601E-5</v>
      </c>
      <c r="CD118">
        <f ca="1">'JACOBIAN - OIS USDOIS'!AN127</f>
        <v>2.9567943361308302E-4</v>
      </c>
      <c r="CE118">
        <f ca="1">'JACOBIAN - OIS USDOIS'!AO127</f>
        <v>-1.9863196638792999E-3</v>
      </c>
      <c r="CF118">
        <f ca="1">'JACOBIAN - OIS USDOIS'!AP127</f>
        <v>-1.1962366883044899E-4</v>
      </c>
      <c r="CK118" s="248">
        <f t="shared" ca="1" si="118"/>
        <v>53132</v>
      </c>
      <c r="CL118">
        <f t="shared" ca="1" si="119"/>
        <v>-7.2194714939577398E-7</v>
      </c>
      <c r="CM118">
        <f t="shared" ca="1" si="120"/>
        <v>5.6009530347012099E-11</v>
      </c>
      <c r="CN118">
        <f t="shared" ca="1" si="121"/>
        <v>-2.25554908084291E-10</v>
      </c>
      <c r="CO118">
        <f t="shared" ca="1" si="122"/>
        <v>5.9272875496674301E-10</v>
      </c>
      <c r="CP118">
        <f t="shared" ca="1" si="123"/>
        <v>-7.6292960837776005E-10</v>
      </c>
      <c r="CQ118">
        <f t="shared" ca="1" si="124"/>
        <v>1.7261714280181199E-9</v>
      </c>
      <c r="CR118">
        <f t="shared" ca="1" si="125"/>
        <v>-1.50186977299072E-8</v>
      </c>
      <c r="CS118">
        <f t="shared" ca="1" si="126"/>
        <v>2.1099659575085599E-8</v>
      </c>
      <c r="CT118">
        <f t="shared" ca="1" si="127"/>
        <v>-8.1238452520615594E-8</v>
      </c>
      <c r="CU118">
        <f t="shared" ca="1" si="128"/>
        <v>4.2745517081499402E-7</v>
      </c>
      <c r="CV118">
        <f t="shared" ca="1" si="129"/>
        <v>-2.8605747770526998E-7</v>
      </c>
      <c r="CW118">
        <f t="shared" ca="1" si="130"/>
        <v>-4.77395900588817E-15</v>
      </c>
      <c r="CX118">
        <f t="shared" ca="1" si="131"/>
        <v>-4.77395900588817E-15</v>
      </c>
      <c r="CY118">
        <f t="shared" ca="1" si="132"/>
        <v>-4.77395900588817E-15</v>
      </c>
      <c r="CZ118">
        <f t="shared" ca="1" si="133"/>
        <v>-4.77395900588817E-15</v>
      </c>
      <c r="DA118">
        <f t="shared" ca="1" si="134"/>
        <v>-4.77395900588817E-15</v>
      </c>
      <c r="DB118" s="146">
        <v>0</v>
      </c>
      <c r="DC118" s="146">
        <v>0</v>
      </c>
      <c r="DD118" s="146">
        <v>0</v>
      </c>
      <c r="DE118" s="146">
        <v>0</v>
      </c>
      <c r="DF118" s="146">
        <v>0</v>
      </c>
      <c r="DG118" s="146">
        <v>0</v>
      </c>
      <c r="DH118" s="146">
        <v>0</v>
      </c>
      <c r="DI118" s="146">
        <v>0</v>
      </c>
      <c r="DJ118" s="146">
        <v>0</v>
      </c>
      <c r="DK118" s="146">
        <v>0</v>
      </c>
      <c r="DL118" s="146">
        <v>0</v>
      </c>
      <c r="DM118" s="146">
        <v>0</v>
      </c>
      <c r="DN118">
        <f t="shared" ca="1" si="135"/>
        <v>1.02590157446958E-6</v>
      </c>
      <c r="DO118">
        <f t="shared" ca="1" si="136"/>
        <v>2.7473324358817702E-6</v>
      </c>
      <c r="DP118">
        <f t="shared" ca="1" si="137"/>
        <v>2.6923773370768298E-6</v>
      </c>
      <c r="DQ118">
        <f t="shared" ca="1" si="138"/>
        <v>5.2330476205675299E-6</v>
      </c>
      <c r="DR118">
        <f t="shared" ca="1" si="139"/>
        <v>5.9048163570940602E-6</v>
      </c>
      <c r="DS118">
        <f t="shared" ca="1" si="140"/>
        <v>2.5918720420237099E-5</v>
      </c>
      <c r="DT118">
        <f t="shared" ca="1" si="141"/>
        <v>2.19607388501908E-5</v>
      </c>
      <c r="DU118">
        <f t="shared" ca="1" si="142"/>
        <v>5.3318717687877999E-5</v>
      </c>
      <c r="DV118">
        <f t="shared" ca="1" si="143"/>
        <v>2.9250477970088601E-5</v>
      </c>
      <c r="DW118">
        <f t="shared" ca="1" si="144"/>
        <v>2.9567943361308302E-4</v>
      </c>
      <c r="DX118">
        <f t="shared" ca="1" si="145"/>
        <v>-1.9863196638792999E-3</v>
      </c>
      <c r="DY118">
        <f t="shared" ca="1" si="146"/>
        <v>-1.1962366883044899E-4</v>
      </c>
      <c r="ED118" s="248">
        <f ca="1">'JACOBIAN - SWAP USD3ML'!B127</f>
        <v>53132</v>
      </c>
      <c r="EE118">
        <f ca="1">'JACOBIAN - SWAP USD3ML'!C127</f>
        <v>-4.33566377244787E-13</v>
      </c>
      <c r="EF118">
        <f ca="1">'JACOBIAN - SWAP USD3ML'!D127</f>
        <v>-3.9901994902669102E-11</v>
      </c>
      <c r="EG118">
        <f ca="1">'JACOBIAN - SWAP USD3ML'!E127</f>
        <v>-7.94755580790785E-12</v>
      </c>
      <c r="EH118">
        <f ca="1">'JACOBIAN - SWAP USD3ML'!F127</f>
        <v>-4.32695546059847E-13</v>
      </c>
      <c r="EI118">
        <f ca="1">'JACOBIAN - SWAP USD3ML'!G127</f>
        <v>-8.7582024965726595E-13</v>
      </c>
      <c r="EJ118">
        <f ca="1">'JACOBIAN - SWAP USD3ML'!H127</f>
        <v>-4.07465346186076E-11</v>
      </c>
      <c r="EK118">
        <f ca="1">'JACOBIAN - SWAP USD3ML'!I127</f>
        <v>-4.7938174263517697E-11</v>
      </c>
      <c r="EL118">
        <f ca="1">'JACOBIAN - SWAP USD3ML'!J127</f>
        <v>-4.7701842476044502E-11</v>
      </c>
      <c r="EM118">
        <f ca="1">'JACOBIAN - SWAP USD3ML'!K127</f>
        <v>-4.7487229426490497E-11</v>
      </c>
      <c r="EN118">
        <f ca="1">'JACOBIAN - SWAP USD3ML'!L127</f>
        <v>-4.73638524234321E-11</v>
      </c>
      <c r="EO118">
        <f ca="1">'JACOBIAN - SWAP USD3ML'!M127</f>
        <v>-4.6903349260052397E-11</v>
      </c>
      <c r="EP118">
        <f ca="1">'JACOBIAN - SWAP USD3ML'!N127</f>
        <v>-9.9277974729972104E-11</v>
      </c>
      <c r="EQ118">
        <f ca="1">'JACOBIAN - SWAP USD3ML'!O127</f>
        <v>2.4040213292275701E-9</v>
      </c>
      <c r="ER118">
        <f ca="1">'JACOBIAN - SWAP USD3ML'!P127</f>
        <v>-1.1638807306812999E-8</v>
      </c>
      <c r="ES118">
        <f ca="1">'JACOBIAN - SWAP USD3ML'!Q127</f>
        <v>2.8991233760877801E-8</v>
      </c>
      <c r="ET118">
        <f ca="1">'JACOBIAN - SWAP USD3ML'!R127</f>
        <v>-2.5581389354392702E-7</v>
      </c>
      <c r="EU118">
        <f ca="1">'JACOBIAN - SWAP USD3ML'!S127</f>
        <v>1.3326718424459801E-6</v>
      </c>
      <c r="EV118">
        <f ca="1">'JACOBIAN - SWAP USD3ML'!T127</f>
        <v>-5.79631685518334E-6</v>
      </c>
      <c r="EW118">
        <f ca="1">'JACOBIAN - SWAP USD3ML'!U127</f>
        <v>1.29290649569062E-5</v>
      </c>
      <c r="EX118">
        <f ca="1">'JACOBIAN - SWAP USD3ML'!V127</f>
        <v>-2.8631004790478199E-5</v>
      </c>
      <c r="EY118">
        <f ca="1">'JACOBIAN - SWAP USD3ML'!W127</f>
        <v>6.8703937892735504E-5</v>
      </c>
      <c r="EZ118">
        <f ca="1">'JACOBIAN - SWAP USD3ML'!X127</f>
        <v>-2.7372068974015901E-4</v>
      </c>
      <c r="FA118">
        <f ca="1">'JACOBIAN - SWAP USD3ML'!Y127</f>
        <v>-1.6620540219592199E-4</v>
      </c>
      <c r="FB118">
        <f ca="1">'JACOBIAN - SWAP USD3ML'!Z127</f>
        <v>4.8988186322702204E-4</v>
      </c>
    </row>
    <row r="119" spans="24:158" x14ac:dyDescent="0.25">
      <c r="X119" s="258">
        <f t="shared" ca="1" si="113"/>
        <v>53223</v>
      </c>
      <c r="Y119" s="261">
        <v>0</v>
      </c>
      <c r="AA119" s="257">
        <f t="shared" ca="1" si="110"/>
        <v>53223</v>
      </c>
      <c r="AB119" s="266">
        <f t="shared" ca="1" si="114"/>
        <v>-1.6719236072785257E-3</v>
      </c>
      <c r="AC119" s="266"/>
      <c r="AD119" s="290">
        <f ca="1"/>
        <v>53223</v>
      </c>
      <c r="AE119" s="291">
        <f ca="1"/>
        <v>-1.6719236072785248E-3</v>
      </c>
      <c r="AF119" s="291" t="b">
        <f t="shared" ca="1" si="111"/>
        <v>1</v>
      </c>
      <c r="AH119" s="257">
        <f t="shared" ca="1" si="115"/>
        <v>53223</v>
      </c>
      <c r="AI119" s="260">
        <v>0</v>
      </c>
      <c r="AK119" s="290">
        <f ca="1"/>
        <v>53223</v>
      </c>
      <c r="AL119" s="291">
        <f ca="1"/>
        <v>9.8262112650543409E-5</v>
      </c>
      <c r="AM119" s="291" t="b">
        <f t="shared" ca="1" si="116"/>
        <v>1</v>
      </c>
      <c r="AO119" s="257">
        <f t="shared" ca="1" si="117"/>
        <v>53223</v>
      </c>
      <c r="AP119" s="266">
        <f t="shared" ca="1" si="112"/>
        <v>9.8262112650543084E-5</v>
      </c>
      <c r="AR119" s="248">
        <f ca="1">'JACOBIAN - OIS USDOIS'!B128</f>
        <v>53223</v>
      </c>
      <c r="AS119">
        <f ca="1">'JACOBIAN - OIS USDOIS'!C128</f>
        <v>-7.1888461439240103E-7</v>
      </c>
      <c r="AT119">
        <f ca="1">'JACOBIAN - OIS USDOIS'!D128</f>
        <v>5.4458104692400898E-11</v>
      </c>
      <c r="AU119">
        <f ca="1">'JACOBIAN - OIS USDOIS'!E128</f>
        <v>-2.1931567673050301E-10</v>
      </c>
      <c r="AV119">
        <f ca="1">'JACOBIAN - OIS USDOIS'!F128</f>
        <v>5.7628213312455004E-10</v>
      </c>
      <c r="AW119">
        <f ca="1">'JACOBIAN - OIS USDOIS'!G128</f>
        <v>-7.4177552988885499E-10</v>
      </c>
      <c r="AX119">
        <f ca="1">'JACOBIAN - OIS USDOIS'!H128</f>
        <v>1.6783280321064401E-9</v>
      </c>
      <c r="AY119">
        <f ca="1">'JACOBIAN - OIS USDOIS'!I128</f>
        <v>-1.4823390848128799E-8</v>
      </c>
      <c r="AZ119">
        <f ca="1">'JACOBIAN - OIS USDOIS'!J128</f>
        <v>2.0514918097625E-8</v>
      </c>
      <c r="BA119">
        <f ca="1">'JACOBIAN - OIS USDOIS'!K128</f>
        <v>-7.8987334006797001E-8</v>
      </c>
      <c r="BB119">
        <f ca="1">'JACOBIAN - OIS USDOIS'!L128</f>
        <v>4.2289610924228798E-7</v>
      </c>
      <c r="BC119">
        <f ca="1">'JACOBIAN - OIS USDOIS'!M128</f>
        <v>-2.7879648600848102E-7</v>
      </c>
      <c r="BD119">
        <f ca="1">'JACOBIAN - OIS USDOIS'!N128</f>
        <v>-1.22124532708767E-15</v>
      </c>
      <c r="BE119">
        <f ca="1">'JACOBIAN - OIS USDOIS'!O128</f>
        <v>-1.22124532708767E-15</v>
      </c>
      <c r="BF119">
        <f ca="1">'JACOBIAN - OIS USDOIS'!P128</f>
        <v>-1.22124532708767E-15</v>
      </c>
      <c r="BG119">
        <f ca="1">'JACOBIAN - OIS USDOIS'!Q128</f>
        <v>-1.22124532708767E-15</v>
      </c>
      <c r="BH119">
        <f ca="1">'JACOBIAN - OIS USDOIS'!R128</f>
        <v>-1.22124532708767E-15</v>
      </c>
      <c r="BI119" s="161">
        <f ca="1">'JACOBIAN - OIS USDOIS'!S128</f>
        <v>-1.03308624899157E-6</v>
      </c>
      <c r="BJ119" s="161">
        <f ca="1">'JACOBIAN - OIS USDOIS'!T128</f>
        <v>-2.7973296099492699E-6</v>
      </c>
      <c r="BK119" s="161">
        <f ca="1">'JACOBIAN - OIS USDOIS'!U128</f>
        <v>-2.6761574285494301E-6</v>
      </c>
      <c r="BL119" s="161">
        <f ca="1">'JACOBIAN - OIS USDOIS'!V128</f>
        <v>-5.4875322174074998E-6</v>
      </c>
      <c r="BM119" s="161">
        <f ca="1">'JACOBIAN - OIS USDOIS'!W128</f>
        <v>-5.6080487973453296E-6</v>
      </c>
      <c r="BN119" s="161">
        <f ca="1">'JACOBIAN - OIS USDOIS'!X128</f>
        <v>-2.69438172719738E-5</v>
      </c>
      <c r="BO119" s="161">
        <f ca="1">'JACOBIAN - OIS USDOIS'!Y128</f>
        <v>-1.8805814697597799E-5</v>
      </c>
      <c r="BP119" s="161">
        <f ca="1">'JACOBIAN - OIS USDOIS'!Z128</f>
        <v>-6.3878576660014703E-5</v>
      </c>
      <c r="BQ119" s="161">
        <f ca="1">'JACOBIAN - OIS USDOIS'!AA128</f>
        <v>-9.8964987849115005E-6</v>
      </c>
      <c r="BR119" s="161">
        <f ca="1">'JACOBIAN - OIS USDOIS'!AB128</f>
        <v>-3.5870276266614098E-4</v>
      </c>
      <c r="BS119" s="161">
        <f ca="1">'JACOBIAN - OIS USDOIS'!AC128</f>
        <v>2.0047532082561E-3</v>
      </c>
      <c r="BT119" s="161">
        <f ca="1">'JACOBIAN - OIS USDOIS'!AD128</f>
        <v>1.9132691509893301E-4</v>
      </c>
      <c r="BU119">
        <f ca="1">'JACOBIAN - OIS USDOIS'!AE128</f>
        <v>1.0141125019735899E-6</v>
      </c>
      <c r="BV119">
        <f ca="1">'JACOBIAN - OIS USDOIS'!AF128</f>
        <v>2.7504369825015499E-6</v>
      </c>
      <c r="BW119">
        <f ca="1">'JACOBIAN - OIS USDOIS'!AG128</f>
        <v>2.6327863102970601E-6</v>
      </c>
      <c r="BX119">
        <f ca="1">'JACOBIAN - OIS USDOIS'!AH128</f>
        <v>5.3990793434932601E-6</v>
      </c>
      <c r="BY119">
        <f ca="1">'JACOBIAN - OIS USDOIS'!AI128</f>
        <v>5.5108871522824296E-6</v>
      </c>
      <c r="BZ119">
        <f ca="1">'JACOBIAN - OIS USDOIS'!AJ128</f>
        <v>2.650591068043E-5</v>
      </c>
      <c r="CA119">
        <f ca="1">'JACOBIAN - OIS USDOIS'!AK128</f>
        <v>1.8482168078315399E-5</v>
      </c>
      <c r="CB119">
        <f ca="1">'JACOBIAN - OIS USDOIS'!AL128</f>
        <v>6.2852370575794403E-5</v>
      </c>
      <c r="CC119">
        <f ca="1">'JACOBIAN - OIS USDOIS'!AM128</f>
        <v>9.6046198720944903E-6</v>
      </c>
      <c r="CD119">
        <f ca="1">'JACOBIAN - OIS USDOIS'!AN128</f>
        <v>3.5332459103110098E-4</v>
      </c>
      <c r="CE119">
        <f ca="1">'JACOBIAN - OIS USDOIS'!AO128</f>
        <v>-1.9705997708529001E-3</v>
      </c>
      <c r="CF119">
        <f ca="1">'JACOBIAN - OIS USDOIS'!AP128</f>
        <v>-1.8875406612694999E-4</v>
      </c>
      <c r="CK119" s="248">
        <f t="shared" ca="1" si="118"/>
        <v>53223</v>
      </c>
      <c r="CL119">
        <f t="shared" ca="1" si="119"/>
        <v>-7.1888461439240103E-7</v>
      </c>
      <c r="CM119">
        <f t="shared" ca="1" si="120"/>
        <v>5.4458104692400898E-11</v>
      </c>
      <c r="CN119">
        <f t="shared" ca="1" si="121"/>
        <v>-2.1931567673050301E-10</v>
      </c>
      <c r="CO119">
        <f t="shared" ca="1" si="122"/>
        <v>5.7628213312455004E-10</v>
      </c>
      <c r="CP119">
        <f t="shared" ca="1" si="123"/>
        <v>-7.4177552988885499E-10</v>
      </c>
      <c r="CQ119">
        <f t="shared" ca="1" si="124"/>
        <v>1.6783280321064401E-9</v>
      </c>
      <c r="CR119">
        <f t="shared" ca="1" si="125"/>
        <v>-1.4823390848128799E-8</v>
      </c>
      <c r="CS119">
        <f t="shared" ca="1" si="126"/>
        <v>2.0514918097625E-8</v>
      </c>
      <c r="CT119">
        <f t="shared" ca="1" si="127"/>
        <v>-7.8987334006797001E-8</v>
      </c>
      <c r="CU119">
        <f t="shared" ca="1" si="128"/>
        <v>4.2289610924228798E-7</v>
      </c>
      <c r="CV119">
        <f t="shared" ca="1" si="129"/>
        <v>-2.7879648600848102E-7</v>
      </c>
      <c r="CW119">
        <f t="shared" ca="1" si="130"/>
        <v>-1.22124532708767E-15</v>
      </c>
      <c r="CX119">
        <f t="shared" ca="1" si="131"/>
        <v>-1.22124532708767E-15</v>
      </c>
      <c r="CY119">
        <f t="shared" ca="1" si="132"/>
        <v>-1.22124532708767E-15</v>
      </c>
      <c r="CZ119">
        <f t="shared" ca="1" si="133"/>
        <v>-1.22124532708767E-15</v>
      </c>
      <c r="DA119">
        <f t="shared" ca="1" si="134"/>
        <v>-1.22124532708767E-15</v>
      </c>
      <c r="DB119" s="146">
        <v>0</v>
      </c>
      <c r="DC119" s="146">
        <v>0</v>
      </c>
      <c r="DD119" s="146">
        <v>0</v>
      </c>
      <c r="DE119" s="146">
        <v>0</v>
      </c>
      <c r="DF119" s="146">
        <v>0</v>
      </c>
      <c r="DG119" s="146">
        <v>0</v>
      </c>
      <c r="DH119" s="146">
        <v>0</v>
      </c>
      <c r="DI119" s="146">
        <v>0</v>
      </c>
      <c r="DJ119" s="146">
        <v>0</v>
      </c>
      <c r="DK119" s="146">
        <v>0</v>
      </c>
      <c r="DL119" s="146">
        <v>0</v>
      </c>
      <c r="DM119" s="146">
        <v>0</v>
      </c>
      <c r="DN119">
        <f t="shared" ca="1" si="135"/>
        <v>1.0141125019735899E-6</v>
      </c>
      <c r="DO119">
        <f t="shared" ca="1" si="136"/>
        <v>2.7504369825015499E-6</v>
      </c>
      <c r="DP119">
        <f t="shared" ca="1" si="137"/>
        <v>2.6327863102970601E-6</v>
      </c>
      <c r="DQ119">
        <f t="shared" ca="1" si="138"/>
        <v>5.3990793434932601E-6</v>
      </c>
      <c r="DR119">
        <f t="shared" ca="1" si="139"/>
        <v>5.5108871522824296E-6</v>
      </c>
      <c r="DS119">
        <f t="shared" ca="1" si="140"/>
        <v>2.650591068043E-5</v>
      </c>
      <c r="DT119">
        <f t="shared" ca="1" si="141"/>
        <v>1.8482168078315399E-5</v>
      </c>
      <c r="DU119">
        <f t="shared" ca="1" si="142"/>
        <v>6.2852370575794403E-5</v>
      </c>
      <c r="DV119">
        <f t="shared" ca="1" si="143"/>
        <v>9.6046198720944903E-6</v>
      </c>
      <c r="DW119">
        <f t="shared" ca="1" si="144"/>
        <v>3.5332459103110098E-4</v>
      </c>
      <c r="DX119">
        <f t="shared" ca="1" si="145"/>
        <v>-1.9705997708529001E-3</v>
      </c>
      <c r="DY119">
        <f t="shared" ca="1" si="146"/>
        <v>-1.8875406612694999E-4</v>
      </c>
      <c r="ED119" s="248">
        <f ca="1">'JACOBIAN - SWAP USD3ML'!B128</f>
        <v>53223</v>
      </c>
      <c r="EE119">
        <f ca="1">'JACOBIAN - SWAP USD3ML'!C128</f>
        <v>-4.3306330743675398E-13</v>
      </c>
      <c r="EF119">
        <f ca="1">'JACOBIAN - SWAP USD3ML'!D128</f>
        <v>-3.0762208752532797E-11</v>
      </c>
      <c r="EG119">
        <f ca="1">'JACOBIAN - SWAP USD3ML'!E128</f>
        <v>-7.7687335731102504E-12</v>
      </c>
      <c r="EH119">
        <f ca="1">'JACOBIAN - SWAP USD3ML'!F128</f>
        <v>-4.3306330743675398E-13</v>
      </c>
      <c r="EI119">
        <f ca="1">'JACOBIAN - SWAP USD3ML'!G128</f>
        <v>-7.75643438366558E-13</v>
      </c>
      <c r="EJ119">
        <f ca="1">'JACOBIAN - SWAP USD3ML'!H128</f>
        <v>-3.1617788248672302E-11</v>
      </c>
      <c r="EK119">
        <f ca="1">'JACOBIAN - SWAP USD3ML'!I128</f>
        <v>-3.8670608382140902E-11</v>
      </c>
      <c r="EL119">
        <f ca="1">'JACOBIAN - SWAP USD3ML'!J128</f>
        <v>-3.8467690838261997E-11</v>
      </c>
      <c r="EM119">
        <f ca="1">'JACOBIAN - SWAP USD3ML'!K128</f>
        <v>-3.8283223813273498E-11</v>
      </c>
      <c r="EN119">
        <f ca="1">'JACOBIAN - SWAP USD3ML'!L128</f>
        <v>-3.8188355255819298E-11</v>
      </c>
      <c r="EO119">
        <f ca="1">'JACOBIAN - SWAP USD3ML'!M128</f>
        <v>-3.7811514336238997E-11</v>
      </c>
      <c r="EP119">
        <f ca="1">'JACOBIAN - SWAP USD3ML'!N128</f>
        <v>-7.9599625502080303E-11</v>
      </c>
      <c r="EQ119">
        <f ca="1">'JACOBIAN - SWAP USD3ML'!O128</f>
        <v>1.9272355135380199E-9</v>
      </c>
      <c r="ER119">
        <f ca="1">'JACOBIAN - SWAP USD3ML'!P128</f>
        <v>-9.3313155015428695E-9</v>
      </c>
      <c r="ES119">
        <f ca="1">'JACOBIAN - SWAP USD3ML'!Q128</f>
        <v>2.3242207276841202E-8</v>
      </c>
      <c r="ET119">
        <f ca="1">'JACOBIAN - SWAP USD3ML'!R128</f>
        <v>-2.0508979306152499E-7</v>
      </c>
      <c r="EU119">
        <f ca="1">'JACOBIAN - SWAP USD3ML'!S128</f>
        <v>1.06842044047054E-6</v>
      </c>
      <c r="EV119">
        <f ca="1">'JACOBIAN - SWAP USD3ML'!T128</f>
        <v>-4.6469822293469798E-6</v>
      </c>
      <c r="EW119">
        <f ca="1">'JACOBIAN - SWAP USD3ML'!U128</f>
        <v>1.03653898167952E-5</v>
      </c>
      <c r="EX119">
        <f ca="1">'JACOBIAN - SWAP USD3ML'!V128</f>
        <v>-2.29538678280065E-5</v>
      </c>
      <c r="EY119">
        <f ca="1">'JACOBIAN - SWAP USD3ML'!W128</f>
        <v>5.5080664225701203E-5</v>
      </c>
      <c r="EZ119">
        <f ca="1">'JACOBIAN - SWAP USD3ML'!X128</f>
        <v>-2.19447872148289E-4</v>
      </c>
      <c r="FA119">
        <f ca="1">'JACOBIAN - SWAP USD3ML'!Y128</f>
        <v>-2.6138171685700598E-4</v>
      </c>
      <c r="FB119">
        <f ca="1">'JACOBIAN - SWAP USD3ML'!Z128</f>
        <v>5.4036767170751604E-4</v>
      </c>
    </row>
    <row r="120" spans="24:158" x14ac:dyDescent="0.25">
      <c r="X120" s="258">
        <f t="shared" ca="1" si="113"/>
        <v>53314</v>
      </c>
      <c r="Y120" s="261">
        <v>0</v>
      </c>
      <c r="AA120" s="257">
        <f t="shared" ca="1" si="110"/>
        <v>53314</v>
      </c>
      <c r="AB120" s="266">
        <f t="shared" ca="1" si="114"/>
        <v>-1.6809209109932605E-3</v>
      </c>
      <c r="AC120" s="266"/>
      <c r="AD120" s="290">
        <f ca="1"/>
        <v>53314</v>
      </c>
      <c r="AE120" s="291">
        <f ca="1"/>
        <v>-1.6809209109932555E-3</v>
      </c>
      <c r="AF120" s="291" t="b">
        <f t="shared" ca="1" si="111"/>
        <v>1</v>
      </c>
      <c r="AH120" s="257">
        <f t="shared" ca="1" si="115"/>
        <v>53314</v>
      </c>
      <c r="AI120" s="260">
        <v>0</v>
      </c>
      <c r="AK120" s="290">
        <f ca="1"/>
        <v>53314</v>
      </c>
      <c r="AL120" s="291">
        <f ca="1"/>
        <v>9.8275160846098691E-5</v>
      </c>
      <c r="AM120" s="291" t="b">
        <f t="shared" ca="1" si="116"/>
        <v>1</v>
      </c>
      <c r="AO120" s="257">
        <f t="shared" ca="1" si="117"/>
        <v>53314</v>
      </c>
      <c r="AP120" s="266">
        <f t="shared" ca="1" si="112"/>
        <v>9.8275160846098149E-5</v>
      </c>
      <c r="AR120" s="248">
        <f ca="1">'JACOBIAN - OIS USDOIS'!B129</f>
        <v>53314</v>
      </c>
      <c r="AS120">
        <f ca="1">'JACOBIAN - OIS USDOIS'!C129</f>
        <v>-7.1583928329399495E-7</v>
      </c>
      <c r="AT120">
        <f ca="1">'JACOBIAN - OIS USDOIS'!D129</f>
        <v>5.3160698065823902E-11</v>
      </c>
      <c r="AU120">
        <f ca="1">'JACOBIAN - OIS USDOIS'!E129</f>
        <v>-2.14077200411111E-10</v>
      </c>
      <c r="AV120">
        <f ca="1">'JACOBIAN - OIS USDOIS'!F129</f>
        <v>5.6247706492484905E-10</v>
      </c>
      <c r="AW120">
        <f ca="1">'JACOBIAN - OIS USDOIS'!G129</f>
        <v>-7.2401906692220998E-10</v>
      </c>
      <c r="AX120">
        <f ca="1">'JACOBIAN - OIS USDOIS'!H129</f>
        <v>1.63817159837265E-9</v>
      </c>
      <c r="AY120">
        <f ca="1">'JACOBIAN - OIS USDOIS'!I129</f>
        <v>-1.4654093605237499E-8</v>
      </c>
      <c r="AZ120">
        <f ca="1">'JACOBIAN - OIS USDOIS'!J129</f>
        <v>2.0024097602267E-8</v>
      </c>
      <c r="BA120">
        <f ca="1">'JACOBIAN - OIS USDOIS'!K129</f>
        <v>-7.7097782824608898E-8</v>
      </c>
      <c r="BB120">
        <f ca="1">'JACOBIAN - OIS USDOIS'!L129</f>
        <v>4.1888855428773303E-7</v>
      </c>
      <c r="BC120">
        <f ca="1">'JACOBIAN - OIS USDOIS'!M129</f>
        <v>-2.7268557389881199E-7</v>
      </c>
      <c r="BD120">
        <f ca="1">'JACOBIAN - OIS USDOIS'!N129</f>
        <v>3.7747582837255299E-15</v>
      </c>
      <c r="BE120">
        <f ca="1">'JACOBIAN - OIS USDOIS'!O129</f>
        <v>3.7747582837255299E-15</v>
      </c>
      <c r="BF120">
        <f ca="1">'JACOBIAN - OIS USDOIS'!P129</f>
        <v>3.7747582837255299E-15</v>
      </c>
      <c r="BG120">
        <f ca="1">'JACOBIAN - OIS USDOIS'!Q129</f>
        <v>3.7747582837255299E-15</v>
      </c>
      <c r="BH120">
        <f ca="1">'JACOBIAN - OIS USDOIS'!R129</f>
        <v>3.7747582837255299E-15</v>
      </c>
      <c r="BI120" s="161">
        <f ca="1">'JACOBIAN - OIS USDOIS'!S129</f>
        <v>-1.0225864991442201E-6</v>
      </c>
      <c r="BJ120" s="161">
        <f ca="1">'JACOBIAN - OIS USDOIS'!T129</f>
        <v>-2.79797596491882E-6</v>
      </c>
      <c r="BK120" s="161">
        <f ca="1">'JACOBIAN - OIS USDOIS'!U129</f>
        <v>-2.6249216206197801E-6</v>
      </c>
      <c r="BL120" s="161">
        <f ca="1">'JACOBIAN - OIS USDOIS'!V129</f>
        <v>-5.6213926374892898E-6</v>
      </c>
      <c r="BM120" s="161">
        <f ca="1">'JACOBIAN - OIS USDOIS'!W129</f>
        <v>-5.2775209752331503E-6</v>
      </c>
      <c r="BN120" s="161">
        <f ca="1">'JACOBIAN - OIS USDOIS'!X129</f>
        <v>-2.7411993397730099E-5</v>
      </c>
      <c r="BO120" s="161">
        <f ca="1">'JACOBIAN - OIS USDOIS'!Y129</f>
        <v>-1.5909566027594298E-5</v>
      </c>
      <c r="BP120" s="161">
        <f ca="1">'JACOBIAN - OIS USDOIS'!Z129</f>
        <v>-7.1731775515004897E-5</v>
      </c>
      <c r="BQ120" s="161">
        <f ca="1">'JACOBIAN - OIS USDOIS'!AA129</f>
        <v>6.3856387534366698E-6</v>
      </c>
      <c r="BR120" s="161">
        <f ca="1">'JACOBIAN - OIS USDOIS'!AB129</f>
        <v>-4.0614404735872501E-4</v>
      </c>
      <c r="BS120" s="161">
        <f ca="1">'JACOBIAN - OIS USDOIS'!AC129</f>
        <v>1.97195754687807E-3</v>
      </c>
      <c r="BT120" s="161">
        <f ca="1">'JACOBIAN - OIS USDOIS'!AD129</f>
        <v>2.6941340472064201E-4</v>
      </c>
      <c r="BU120">
        <f ca="1">'JACOBIAN - OIS USDOIS'!AE129</f>
        <v>1.0038039032211901E-6</v>
      </c>
      <c r="BV120">
        <f ca="1">'JACOBIAN - OIS USDOIS'!AF129</f>
        <v>2.7510740606695399E-6</v>
      </c>
      <c r="BW120">
        <f ca="1">'JACOBIAN - OIS USDOIS'!AG129</f>
        <v>2.5823739698838098E-6</v>
      </c>
      <c r="BX120">
        <f ca="1">'JACOBIAN - OIS USDOIS'!AH129</f>
        <v>5.5308412992838302E-6</v>
      </c>
      <c r="BY120">
        <f ca="1">'JACOBIAN - OIS USDOIS'!AI129</f>
        <v>5.18569061147556E-6</v>
      </c>
      <c r="BZ120">
        <f ca="1">'JACOBIAN - OIS USDOIS'!AJ129</f>
        <v>2.69668307406601E-5</v>
      </c>
      <c r="CA120">
        <f ca="1">'JACOBIAN - OIS USDOIS'!AK129</f>
        <v>1.5631283267203402E-5</v>
      </c>
      <c r="CB120">
        <f ca="1">'JACOBIAN - OIS USDOIS'!AL129</f>
        <v>7.0588051602649097E-5</v>
      </c>
      <c r="CC120">
        <f ca="1">'JACOBIAN - OIS USDOIS'!AM129</f>
        <v>-6.4309448668531397E-6</v>
      </c>
      <c r="CD120">
        <f ca="1">'JACOBIAN - OIS USDOIS'!AN129</f>
        <v>4.0012000350586602E-4</v>
      </c>
      <c r="CE120">
        <f ca="1">'JACOBIAN - OIS USDOIS'!AO129</f>
        <v>-1.93845229596668E-3</v>
      </c>
      <c r="CF120">
        <f ca="1">'JACOBIAN - OIS USDOIS'!AP129</f>
        <v>-2.6575757477087498E-4</v>
      </c>
      <c r="CK120" s="248">
        <f t="shared" ca="1" si="118"/>
        <v>53314</v>
      </c>
      <c r="CL120">
        <f t="shared" ca="1" si="119"/>
        <v>-7.1583928329399495E-7</v>
      </c>
      <c r="CM120">
        <f t="shared" ca="1" si="120"/>
        <v>5.3160698065823902E-11</v>
      </c>
      <c r="CN120">
        <f t="shared" ca="1" si="121"/>
        <v>-2.14077200411111E-10</v>
      </c>
      <c r="CO120">
        <f t="shared" ca="1" si="122"/>
        <v>5.6247706492484905E-10</v>
      </c>
      <c r="CP120">
        <f t="shared" ca="1" si="123"/>
        <v>-7.2401906692220998E-10</v>
      </c>
      <c r="CQ120">
        <f t="shared" ca="1" si="124"/>
        <v>1.63817159837265E-9</v>
      </c>
      <c r="CR120">
        <f t="shared" ca="1" si="125"/>
        <v>-1.4654093605237499E-8</v>
      </c>
      <c r="CS120">
        <f t="shared" ca="1" si="126"/>
        <v>2.0024097602267E-8</v>
      </c>
      <c r="CT120">
        <f t="shared" ca="1" si="127"/>
        <v>-7.7097782824608898E-8</v>
      </c>
      <c r="CU120">
        <f t="shared" ca="1" si="128"/>
        <v>4.1888855428773303E-7</v>
      </c>
      <c r="CV120">
        <f t="shared" ca="1" si="129"/>
        <v>-2.7268557389881199E-7</v>
      </c>
      <c r="CW120">
        <f t="shared" ca="1" si="130"/>
        <v>3.7747582837255299E-15</v>
      </c>
      <c r="CX120">
        <f t="shared" ca="1" si="131"/>
        <v>3.7747582837255299E-15</v>
      </c>
      <c r="CY120">
        <f t="shared" ca="1" si="132"/>
        <v>3.7747582837255299E-15</v>
      </c>
      <c r="CZ120">
        <f t="shared" ca="1" si="133"/>
        <v>3.7747582837255299E-15</v>
      </c>
      <c r="DA120">
        <f t="shared" ca="1" si="134"/>
        <v>3.7747582837255299E-15</v>
      </c>
      <c r="DB120" s="146">
        <v>0</v>
      </c>
      <c r="DC120" s="146">
        <v>0</v>
      </c>
      <c r="DD120" s="146">
        <v>0</v>
      </c>
      <c r="DE120" s="146">
        <v>0</v>
      </c>
      <c r="DF120" s="146">
        <v>0</v>
      </c>
      <c r="DG120" s="146">
        <v>0</v>
      </c>
      <c r="DH120" s="146">
        <v>0</v>
      </c>
      <c r="DI120" s="146">
        <v>0</v>
      </c>
      <c r="DJ120" s="146">
        <v>0</v>
      </c>
      <c r="DK120" s="146">
        <v>0</v>
      </c>
      <c r="DL120" s="146">
        <v>0</v>
      </c>
      <c r="DM120" s="146">
        <v>0</v>
      </c>
      <c r="DN120">
        <f t="shared" ca="1" si="135"/>
        <v>1.0038039032211901E-6</v>
      </c>
      <c r="DO120">
        <f t="shared" ca="1" si="136"/>
        <v>2.7510740606695399E-6</v>
      </c>
      <c r="DP120">
        <f t="shared" ca="1" si="137"/>
        <v>2.5823739698838098E-6</v>
      </c>
      <c r="DQ120">
        <f t="shared" ca="1" si="138"/>
        <v>5.5308412992838302E-6</v>
      </c>
      <c r="DR120">
        <f t="shared" ca="1" si="139"/>
        <v>5.18569061147556E-6</v>
      </c>
      <c r="DS120">
        <f t="shared" ca="1" si="140"/>
        <v>2.69668307406601E-5</v>
      </c>
      <c r="DT120">
        <f t="shared" ca="1" si="141"/>
        <v>1.5631283267203402E-5</v>
      </c>
      <c r="DU120">
        <f t="shared" ca="1" si="142"/>
        <v>7.0588051602649097E-5</v>
      </c>
      <c r="DV120">
        <f t="shared" ca="1" si="143"/>
        <v>-6.4309448668531397E-6</v>
      </c>
      <c r="DW120">
        <f t="shared" ca="1" si="144"/>
        <v>4.0012000350586602E-4</v>
      </c>
      <c r="DX120">
        <f t="shared" ca="1" si="145"/>
        <v>-1.93845229596668E-3</v>
      </c>
      <c r="DY120">
        <f t="shared" ca="1" si="146"/>
        <v>-2.6575757477087498E-4</v>
      </c>
      <c r="ED120" s="248">
        <f ca="1">'JACOBIAN - SWAP USD3ML'!B129</f>
        <v>53314</v>
      </c>
      <c r="EE120">
        <f ca="1">'JACOBIAN - SWAP USD3ML'!C129</f>
        <v>-4.3393760806864599E-13</v>
      </c>
      <c r="EF120">
        <f ca="1">'JACOBIAN - SWAP USD3ML'!D129</f>
        <v>-2.21141785439194E-11</v>
      </c>
      <c r="EG120">
        <f ca="1">'JACOBIAN - SWAP USD3ML'!E129</f>
        <v>-7.6000733484349293E-12</v>
      </c>
      <c r="EH120">
        <f ca="1">'JACOBIAN - SWAP USD3ML'!F129</f>
        <v>-4.31300828385162E-13</v>
      </c>
      <c r="EI120">
        <f ca="1">'JACOBIAN - SWAP USD3ML'!G129</f>
        <v>-6.8077488091233797E-13</v>
      </c>
      <c r="EJ120">
        <f ca="1">'JACOBIAN - SWAP USD3ML'!H129</f>
        <v>-2.29785426797413E-11</v>
      </c>
      <c r="EK120">
        <f ca="1">'JACOBIAN - SWAP USD3ML'!I129</f>
        <v>-2.9898718917342703E-11</v>
      </c>
      <c r="EL120">
        <f ca="1">'JACOBIAN - SWAP USD3ML'!J129</f>
        <v>-2.97247920721944E-11</v>
      </c>
      <c r="EM120">
        <f ca="1">'JACOBIAN - SWAP USD3ML'!K129</f>
        <v>-2.9570190046568402E-11</v>
      </c>
      <c r="EN120">
        <f ca="1">'JACOBIAN - SWAP USD3ML'!L129</f>
        <v>-2.95007976380823E-11</v>
      </c>
      <c r="EO120">
        <f ca="1">'JACOBIAN - SWAP USD3ML'!M129</f>
        <v>-2.9207403856590401E-11</v>
      </c>
      <c r="EP120">
        <f ca="1">'JACOBIAN - SWAP USD3ML'!N129</f>
        <v>-6.0978912891362898E-11</v>
      </c>
      <c r="EQ120">
        <f ca="1">'JACOBIAN - SWAP USD3ML'!O129</f>
        <v>1.4760236990984899E-9</v>
      </c>
      <c r="ER120">
        <f ca="1">'JACOBIAN - SWAP USD3ML'!P129</f>
        <v>-7.1475906512907797E-9</v>
      </c>
      <c r="ES120">
        <f ca="1">'JACOBIAN - SWAP USD3ML'!Q129</f>
        <v>1.78015422194755E-8</v>
      </c>
      <c r="ET120">
        <f ca="1">'JACOBIAN - SWAP USD3ML'!R129</f>
        <v>-1.5708637028308299E-7</v>
      </c>
      <c r="EU120">
        <f ca="1">'JACOBIAN - SWAP USD3ML'!S129</f>
        <v>8.1834266659960895E-7</v>
      </c>
      <c r="EV120">
        <f ca="1">'JACOBIAN - SWAP USD3ML'!T129</f>
        <v>-3.5592939171789902E-6</v>
      </c>
      <c r="EW120">
        <f ca="1">'JACOBIAN - SWAP USD3ML'!U129</f>
        <v>7.9392238199020599E-6</v>
      </c>
      <c r="EX120">
        <f ca="1">'JACOBIAN - SWAP USD3ML'!V129</f>
        <v>-1.7581225950243799E-5</v>
      </c>
      <c r="EY120">
        <f ca="1">'JACOBIAN - SWAP USD3ML'!W129</f>
        <v>4.2188148867989398E-5</v>
      </c>
      <c r="EZ120">
        <f ca="1">'JACOBIAN - SWAP USD3ML'!X129</f>
        <v>-1.68085296926739E-4</v>
      </c>
      <c r="FA120">
        <f ca="1">'JACOBIAN - SWAP USD3ML'!Y129</f>
        <v>-3.5148337743175602E-4</v>
      </c>
      <c r="FB120">
        <f ca="1">'JACOBIAN - SWAP USD3ML'!Z129</f>
        <v>5.8818385923216398E-4</v>
      </c>
    </row>
    <row r="121" spans="24:158" x14ac:dyDescent="0.25">
      <c r="X121" s="258">
        <f t="shared" ca="1" si="113"/>
        <v>53405</v>
      </c>
      <c r="Y121" s="261">
        <v>0</v>
      </c>
      <c r="AA121" s="257">
        <f t="shared" ca="1" si="110"/>
        <v>53405</v>
      </c>
      <c r="AB121" s="266">
        <f t="shared" ca="1" si="114"/>
        <v>-1.6898543429716383E-3</v>
      </c>
      <c r="AC121" s="266"/>
      <c r="AD121" s="290">
        <f ca="1"/>
        <v>53405</v>
      </c>
      <c r="AE121" s="291">
        <f ca="1"/>
        <v>-1.6898543429716417E-3</v>
      </c>
      <c r="AF121" s="291" t="b">
        <f t="shared" ca="1" si="111"/>
        <v>1</v>
      </c>
      <c r="AH121" s="257">
        <f t="shared" ca="1" si="115"/>
        <v>53405</v>
      </c>
      <c r="AI121" s="260">
        <v>0</v>
      </c>
      <c r="AK121" s="290">
        <f ca="1"/>
        <v>53405</v>
      </c>
      <c r="AL121" s="291">
        <f ca="1"/>
        <v>9.8296539119580029E-5</v>
      </c>
      <c r="AM121" s="291" t="b">
        <f t="shared" ca="1" si="116"/>
        <v>1</v>
      </c>
      <c r="AO121" s="257">
        <f t="shared" ca="1" si="117"/>
        <v>53405</v>
      </c>
      <c r="AP121" s="266">
        <f t="shared" ca="1" si="112"/>
        <v>9.8296539119580245E-5</v>
      </c>
      <c r="AR121" s="248">
        <f ca="1">'JACOBIAN - OIS USDOIS'!B130</f>
        <v>53405</v>
      </c>
      <c r="AS121">
        <f ca="1">'JACOBIAN - OIS USDOIS'!C130</f>
        <v>-7.1281090208152896E-7</v>
      </c>
      <c r="AT121">
        <f ca="1">'JACOBIAN - OIS USDOIS'!D130</f>
        <v>5.2105764147825097E-11</v>
      </c>
      <c r="AU121">
        <f ca="1">'JACOBIAN - OIS USDOIS'!E130</f>
        <v>-2.0979307180368799E-10</v>
      </c>
      <c r="AV121">
        <f ca="1">'JACOBIAN - OIS USDOIS'!F130</f>
        <v>5.5119298014716399E-10</v>
      </c>
      <c r="AW121">
        <f ca="1">'JACOBIAN - OIS USDOIS'!G130</f>
        <v>-7.0950445518747105E-10</v>
      </c>
      <c r="AX121">
        <f ca="1">'JACOBIAN - OIS USDOIS'!H130</f>
        <v>1.60535129634098E-9</v>
      </c>
      <c r="AY121">
        <f ca="1">'JACOBIAN - OIS USDOIS'!I130</f>
        <v>-1.45095719883415E-8</v>
      </c>
      <c r="AZ121">
        <f ca="1">'JACOBIAN - OIS USDOIS'!J130</f>
        <v>1.96229048565755E-8</v>
      </c>
      <c r="BA121">
        <f ca="1">'JACOBIAN - OIS USDOIS'!K130</f>
        <v>-7.5553269751615901E-8</v>
      </c>
      <c r="BB121">
        <f ca="1">'JACOBIAN - OIS USDOIS'!L130</f>
        <v>4.15405818965375E-7</v>
      </c>
      <c r="BC121">
        <f ca="1">'JACOBIAN - OIS USDOIS'!M130</f>
        <v>-2.6767203187283402E-7</v>
      </c>
      <c r="BD121">
        <f ca="1">'JACOBIAN - OIS USDOIS'!N130</f>
        <v>1.06581410364015E-14</v>
      </c>
      <c r="BE121">
        <f ca="1">'JACOBIAN - OIS USDOIS'!O130</f>
        <v>1.06581410364015E-14</v>
      </c>
      <c r="BF121">
        <f ca="1">'JACOBIAN - OIS USDOIS'!P130</f>
        <v>1.06581410364015E-14</v>
      </c>
      <c r="BG121">
        <f ca="1">'JACOBIAN - OIS USDOIS'!Q130</f>
        <v>1.06581410364015E-14</v>
      </c>
      <c r="BH121">
        <f ca="1">'JACOBIAN - OIS USDOIS'!R130</f>
        <v>1.06581410364015E-14</v>
      </c>
      <c r="BI121" s="161">
        <f ca="1">'JACOBIAN - OIS USDOIS'!S130</f>
        <v>-1.01352216330675E-6</v>
      </c>
      <c r="BJ121" s="161">
        <f ca="1">'JACOBIAN - OIS USDOIS'!T130</f>
        <v>-2.7962115228818999E-6</v>
      </c>
      <c r="BK121" s="161">
        <f ca="1">'JACOBIAN - OIS USDOIS'!U130</f>
        <v>-2.5825845441085298E-6</v>
      </c>
      <c r="BL121" s="161">
        <f ca="1">'JACOBIAN - OIS USDOIS'!V130</f>
        <v>-5.7219633498029097E-6</v>
      </c>
      <c r="BM121" s="161">
        <f ca="1">'JACOBIAN - OIS USDOIS'!W130</f>
        <v>-5.0136999516503497E-6</v>
      </c>
      <c r="BN121" s="161">
        <f ca="1">'JACOBIAN - OIS USDOIS'!X130</f>
        <v>-2.7757489656776699E-5</v>
      </c>
      <c r="BO121" s="161">
        <f ca="1">'JACOBIAN - OIS USDOIS'!Y130</f>
        <v>-1.36223765929699E-5</v>
      </c>
      <c r="BP121" s="161">
        <f ca="1">'JACOBIAN - OIS USDOIS'!Z130</f>
        <v>-7.7840625199776498E-5</v>
      </c>
      <c r="BQ121" s="161">
        <f ca="1">'JACOBIAN - OIS USDOIS'!AA130</f>
        <v>1.9166630023437201E-5</v>
      </c>
      <c r="BR121" s="161">
        <f ca="1">'JACOBIAN - OIS USDOIS'!AB130</f>
        <v>-4.4306754475287302E-4</v>
      </c>
      <c r="BS121" s="161">
        <f ca="1">'JACOBIAN - OIS USDOIS'!AC130</f>
        <v>1.9231082723161199E-3</v>
      </c>
      <c r="BT121" s="161">
        <f ca="1">'JACOBIAN - OIS USDOIS'!AD130</f>
        <v>3.55178857878169E-4</v>
      </c>
      <c r="BU121">
        <f ca="1">'JACOBIAN - OIS USDOIS'!AE130</f>
        <v>9.9490472948993201E-7</v>
      </c>
      <c r="BV121">
        <f ca="1">'JACOBIAN - OIS USDOIS'!AF130</f>
        <v>2.7493404174405698E-6</v>
      </c>
      <c r="BW121">
        <f ca="1">'JACOBIAN - OIS USDOIS'!AG130</f>
        <v>2.5407176216241099E-6</v>
      </c>
      <c r="BX121">
        <f ca="1">'JACOBIAN - OIS USDOIS'!AH130</f>
        <v>5.6298374148111597E-6</v>
      </c>
      <c r="BY121">
        <f ca="1">'JACOBIAN - OIS USDOIS'!AI130</f>
        <v>4.9261305322678703E-6</v>
      </c>
      <c r="BZ121">
        <f ca="1">'JACOBIAN - OIS USDOIS'!AJ130</f>
        <v>2.7306989495268199E-5</v>
      </c>
      <c r="CA121">
        <f ca="1">'JACOBIAN - OIS USDOIS'!AK130</f>
        <v>1.3379958177850401E-5</v>
      </c>
      <c r="CB121">
        <f ca="1">'JACOBIAN - OIS USDOIS'!AL130</f>
        <v>7.66056831316142E-5</v>
      </c>
      <c r="CC121">
        <f ca="1">'JACOBIAN - OIS USDOIS'!AM130</f>
        <v>-1.9017713376978699E-5</v>
      </c>
      <c r="CD121">
        <f ca="1">'JACOBIAN - OIS USDOIS'!AN130</f>
        <v>4.3654630824019298E-4</v>
      </c>
      <c r="CE121">
        <f ca="1">'JACOBIAN - OIS USDOIS'!AO130</f>
        <v>-1.8905706428546901E-3</v>
      </c>
      <c r="CF121">
        <f ca="1">'JACOBIAN - OIS USDOIS'!AP130</f>
        <v>-3.5031162885446098E-4</v>
      </c>
      <c r="CK121" s="248">
        <f t="shared" ca="1" si="118"/>
        <v>53405</v>
      </c>
      <c r="CL121">
        <f t="shared" ca="1" si="119"/>
        <v>-7.1281090208152896E-7</v>
      </c>
      <c r="CM121">
        <f t="shared" ca="1" si="120"/>
        <v>5.2105764147825097E-11</v>
      </c>
      <c r="CN121">
        <f t="shared" ca="1" si="121"/>
        <v>-2.0979307180368799E-10</v>
      </c>
      <c r="CO121">
        <f t="shared" ca="1" si="122"/>
        <v>5.5119298014716399E-10</v>
      </c>
      <c r="CP121">
        <f t="shared" ca="1" si="123"/>
        <v>-7.0950445518747105E-10</v>
      </c>
      <c r="CQ121">
        <f t="shared" ca="1" si="124"/>
        <v>1.60535129634098E-9</v>
      </c>
      <c r="CR121">
        <f t="shared" ca="1" si="125"/>
        <v>-1.45095719883415E-8</v>
      </c>
      <c r="CS121">
        <f t="shared" ca="1" si="126"/>
        <v>1.96229048565755E-8</v>
      </c>
      <c r="CT121">
        <f t="shared" ca="1" si="127"/>
        <v>-7.5553269751615901E-8</v>
      </c>
      <c r="CU121">
        <f t="shared" ca="1" si="128"/>
        <v>4.15405818965375E-7</v>
      </c>
      <c r="CV121">
        <f t="shared" ca="1" si="129"/>
        <v>-2.6767203187283402E-7</v>
      </c>
      <c r="CW121">
        <f t="shared" ca="1" si="130"/>
        <v>1.06581410364015E-14</v>
      </c>
      <c r="CX121">
        <f t="shared" ca="1" si="131"/>
        <v>1.06581410364015E-14</v>
      </c>
      <c r="CY121">
        <f t="shared" ca="1" si="132"/>
        <v>1.06581410364015E-14</v>
      </c>
      <c r="CZ121">
        <f t="shared" ca="1" si="133"/>
        <v>1.06581410364015E-14</v>
      </c>
      <c r="DA121">
        <f t="shared" ca="1" si="134"/>
        <v>1.06581410364015E-14</v>
      </c>
      <c r="DB121" s="146">
        <v>0</v>
      </c>
      <c r="DC121" s="146">
        <v>0</v>
      </c>
      <c r="DD121" s="146">
        <v>0</v>
      </c>
      <c r="DE121" s="146">
        <v>0</v>
      </c>
      <c r="DF121" s="146">
        <v>0</v>
      </c>
      <c r="DG121" s="146">
        <v>0</v>
      </c>
      <c r="DH121" s="146">
        <v>0</v>
      </c>
      <c r="DI121" s="146">
        <v>0</v>
      </c>
      <c r="DJ121" s="146">
        <v>0</v>
      </c>
      <c r="DK121" s="146">
        <v>0</v>
      </c>
      <c r="DL121" s="146">
        <v>0</v>
      </c>
      <c r="DM121" s="146">
        <v>0</v>
      </c>
      <c r="DN121">
        <f t="shared" ca="1" si="135"/>
        <v>9.9490472948993201E-7</v>
      </c>
      <c r="DO121">
        <f t="shared" ca="1" si="136"/>
        <v>2.7493404174405698E-6</v>
      </c>
      <c r="DP121">
        <f t="shared" ca="1" si="137"/>
        <v>2.5407176216241099E-6</v>
      </c>
      <c r="DQ121">
        <f t="shared" ca="1" si="138"/>
        <v>5.6298374148111597E-6</v>
      </c>
      <c r="DR121">
        <f t="shared" ca="1" si="139"/>
        <v>4.9261305322678703E-6</v>
      </c>
      <c r="DS121">
        <f t="shared" ca="1" si="140"/>
        <v>2.7306989495268199E-5</v>
      </c>
      <c r="DT121">
        <f t="shared" ca="1" si="141"/>
        <v>1.3379958177850401E-5</v>
      </c>
      <c r="DU121">
        <f t="shared" ca="1" si="142"/>
        <v>7.66056831316142E-5</v>
      </c>
      <c r="DV121">
        <f t="shared" ca="1" si="143"/>
        <v>-1.9017713376978699E-5</v>
      </c>
      <c r="DW121">
        <f t="shared" ca="1" si="144"/>
        <v>4.3654630824019298E-4</v>
      </c>
      <c r="DX121">
        <f t="shared" ca="1" si="145"/>
        <v>-1.8905706428546901E-3</v>
      </c>
      <c r="DY121">
        <f t="shared" ca="1" si="146"/>
        <v>-3.5031162885446098E-4</v>
      </c>
      <c r="ED121" s="248">
        <f ca="1">'JACOBIAN - SWAP USD3ML'!B130</f>
        <v>53405</v>
      </c>
      <c r="EE121">
        <f ca="1">'JACOBIAN - SWAP USD3ML'!C130</f>
        <v>-4.32699015506799E-13</v>
      </c>
      <c r="EF121">
        <f ca="1">'JACOBIAN - SWAP USD3ML'!D130</f>
        <v>-1.39644823482499E-11</v>
      </c>
      <c r="EG121">
        <f ca="1">'JACOBIAN - SWAP USD3ML'!E130</f>
        <v>-7.4427443375046904E-12</v>
      </c>
      <c r="EH121">
        <f ca="1">'JACOBIAN - SWAP USD3ML'!F130</f>
        <v>-4.33566377244787E-13</v>
      </c>
      <c r="EI121">
        <f ca="1">'JACOBIAN - SWAP USD3ML'!G130</f>
        <v>-5.9083293812989298E-13</v>
      </c>
      <c r="EJ121">
        <f ca="1">'JACOBIAN - SWAP USD3ML'!H130</f>
        <v>-1.4836829681508199E-11</v>
      </c>
      <c r="EK121">
        <f ca="1">'JACOBIAN - SWAP USD3ML'!I130</f>
        <v>-2.1631394592214199E-11</v>
      </c>
      <c r="EL121">
        <f ca="1">'JACOBIAN - SWAP USD3ML'!J130</f>
        <v>-2.1488897467003599E-11</v>
      </c>
      <c r="EM121">
        <f ca="1">'JACOBIAN - SWAP USD3ML'!K130</f>
        <v>-2.1361173246914301E-11</v>
      </c>
      <c r="EN121">
        <f ca="1">'JACOBIAN - SWAP USD3ML'!L130</f>
        <v>-2.1316861470444001E-11</v>
      </c>
      <c r="EO121">
        <f ca="1">'JACOBIAN - SWAP USD3ML'!M130</f>
        <v>-2.11005136974141E-11</v>
      </c>
      <c r="EP121">
        <f ca="1">'JACOBIAN - SWAP USD3ML'!N130</f>
        <v>-4.3428739771034198E-11</v>
      </c>
      <c r="EQ121">
        <f ca="1">'JACOBIAN - SWAP USD3ML'!O130</f>
        <v>1.05077338150017E-9</v>
      </c>
      <c r="ER121">
        <f ca="1">'JACOBIAN - SWAP USD3ML'!P130</f>
        <v>-5.0895235872983099E-9</v>
      </c>
      <c r="ES121">
        <f ca="1">'JACOBIAN - SWAP USD3ML'!Q130</f>
        <v>1.26739427633304E-8</v>
      </c>
      <c r="ET121">
        <f ca="1">'JACOBIAN - SWAP USD3ML'!R130</f>
        <v>-1.11845172255653E-7</v>
      </c>
      <c r="EU121">
        <f ca="1">'JACOBIAN - SWAP USD3ML'!S130</f>
        <v>5.8265493299569595E-7</v>
      </c>
      <c r="EV121">
        <f ca="1">'JACOBIAN - SWAP USD3ML'!T130</f>
        <v>-2.5341933151956699E-6</v>
      </c>
      <c r="EW121">
        <f ca="1">'JACOBIAN - SWAP USD3ML'!U130</f>
        <v>5.6526661777432703E-6</v>
      </c>
      <c r="EX121">
        <f ca="1">'JACOBIAN - SWAP USD3ML'!V130</f>
        <v>-1.25177309092152E-5</v>
      </c>
      <c r="EY121">
        <f ca="1">'JACOBIAN - SWAP USD3ML'!W130</f>
        <v>3.00375368465222E-5</v>
      </c>
      <c r="EZ121">
        <f ca="1">'JACOBIAN - SWAP USD3ML'!X130</f>
        <v>-1.19677610926568E-4</v>
      </c>
      <c r="FA121">
        <f ca="1">'JACOBIAN - SWAP USD3ML'!Y130</f>
        <v>-4.3643238247869899E-4</v>
      </c>
      <c r="FB121">
        <f ca="1">'JACOBIAN - SWAP USD3ML'!Z130</f>
        <v>6.3328899680043004E-4</v>
      </c>
    </row>
    <row r="122" spans="24:158" x14ac:dyDescent="0.25">
      <c r="X122" s="258">
        <f t="shared" ca="1" si="113"/>
        <v>53496</v>
      </c>
      <c r="Y122" s="261">
        <v>0</v>
      </c>
      <c r="AA122" s="257">
        <f t="shared" ca="1" si="110"/>
        <v>53496</v>
      </c>
      <c r="AB122" s="266">
        <f t="shared" ca="1" si="114"/>
        <v>-1.6987182318307628E-3</v>
      </c>
      <c r="AC122" s="266"/>
      <c r="AD122" s="290">
        <f ca="1"/>
        <v>53496</v>
      </c>
      <c r="AE122" s="291">
        <f ca="1"/>
        <v>-1.6987182318307648E-3</v>
      </c>
      <c r="AF122" s="291" t="b">
        <f t="shared" ca="1" si="111"/>
        <v>1</v>
      </c>
      <c r="AH122" s="257">
        <f t="shared" ca="1" si="115"/>
        <v>53496</v>
      </c>
      <c r="AI122" s="260">
        <v>0</v>
      </c>
      <c r="AK122" s="290">
        <f ca="1"/>
        <v>53496</v>
      </c>
      <c r="AL122" s="291">
        <f ca="1"/>
        <v>9.8313598212870779E-5</v>
      </c>
      <c r="AM122" s="291" t="b">
        <f t="shared" ca="1" si="116"/>
        <v>1</v>
      </c>
      <c r="AO122" s="257">
        <f t="shared" ca="1" si="117"/>
        <v>53496</v>
      </c>
      <c r="AP122" s="266">
        <f t="shared" ca="1" si="112"/>
        <v>9.831359821287002E-5</v>
      </c>
      <c r="AR122" s="248">
        <f ca="1">'JACOBIAN - OIS USDOIS'!B131</f>
        <v>53496</v>
      </c>
      <c r="AS122">
        <f ca="1">'JACOBIAN - OIS USDOIS'!C131</f>
        <v>-7.09799208742368E-7</v>
      </c>
      <c r="AT122">
        <f ca="1">'JACOBIAN - OIS USDOIS'!D131</f>
        <v>5.1281312529738398E-11</v>
      </c>
      <c r="AU122">
        <f ca="1">'JACOBIAN - OIS USDOIS'!E131</f>
        <v>-2.06416106429685E-10</v>
      </c>
      <c r="AV122">
        <f ca="1">'JACOBIAN - OIS USDOIS'!F131</f>
        <v>5.4230464563431703E-10</v>
      </c>
      <c r="AW122">
        <f ca="1">'JACOBIAN - OIS USDOIS'!G131</f>
        <v>-6.9807082336836898E-10</v>
      </c>
      <c r="AX122">
        <f ca="1">'JACOBIAN - OIS USDOIS'!H131</f>
        <v>1.57950197365864E-9</v>
      </c>
      <c r="AY122">
        <f ca="1">'JACOBIAN - OIS USDOIS'!I131</f>
        <v>-1.43885451331371E-8</v>
      </c>
      <c r="AZ122">
        <f ca="1">'JACOBIAN - OIS USDOIS'!J131</f>
        <v>1.93068827591958E-8</v>
      </c>
      <c r="BA122">
        <f ca="1">'JACOBIAN - OIS USDOIS'!K131</f>
        <v>-7.4336637179150995E-8</v>
      </c>
      <c r="BB122">
        <f ca="1">'JACOBIAN - OIS USDOIS'!L131</f>
        <v>4.1242017090326002E-7</v>
      </c>
      <c r="BC122">
        <f ca="1">'JACOBIAN - OIS USDOIS'!M131</f>
        <v>-2.6370114325491301E-7</v>
      </c>
      <c r="BD122">
        <f ca="1">'JACOBIAN - OIS USDOIS'!N131</f>
        <v>1.9095836023552699E-14</v>
      </c>
      <c r="BE122">
        <f ca="1">'JACOBIAN - OIS USDOIS'!O131</f>
        <v>1.9095836023552699E-14</v>
      </c>
      <c r="BF122">
        <f ca="1">'JACOBIAN - OIS USDOIS'!P131</f>
        <v>1.9095836023552699E-14</v>
      </c>
      <c r="BG122">
        <f ca="1">'JACOBIAN - OIS USDOIS'!Q131</f>
        <v>1.9095836023552699E-14</v>
      </c>
      <c r="BH122">
        <f ca="1">'JACOBIAN - OIS USDOIS'!R131</f>
        <v>1.9095836023552699E-14</v>
      </c>
      <c r="BI122" s="161">
        <f ca="1">'JACOBIAN - OIS USDOIS'!S131</f>
        <v>-1.00581805839717E-6</v>
      </c>
      <c r="BJ122" s="161">
        <f ca="1">'JACOBIAN - OIS USDOIS'!T131</f>
        <v>-2.7921380719719801E-6</v>
      </c>
      <c r="BK122" s="161">
        <f ca="1">'JACOBIAN - OIS USDOIS'!U131</f>
        <v>-2.5487002083268702E-6</v>
      </c>
      <c r="BL122" s="161">
        <f ca="1">'JACOBIAN - OIS USDOIS'!V131</f>
        <v>-5.7908291722919003E-6</v>
      </c>
      <c r="BM122" s="161">
        <f ca="1">'JACOBIAN - OIS USDOIS'!W131</f>
        <v>-4.8133204122446901E-6</v>
      </c>
      <c r="BN122" s="161">
        <f ca="1">'JACOBIAN - OIS USDOIS'!X131</f>
        <v>-2.79861103380519E-5</v>
      </c>
      <c r="BO122" s="161">
        <f ca="1">'JACOBIAN - OIS USDOIS'!Y131</f>
        <v>-1.19146128240155E-5</v>
      </c>
      <c r="BP122" s="161">
        <f ca="1">'JACOBIAN - OIS USDOIS'!Z131</f>
        <v>-8.2289422359327306E-5</v>
      </c>
      <c r="BQ122" s="161">
        <f ca="1">'JACOBIAN - OIS USDOIS'!AA131</f>
        <v>2.8616139316039999E-5</v>
      </c>
      <c r="BR122" s="161">
        <f ca="1">'JACOBIAN - OIS USDOIS'!AB131</f>
        <v>-4.6998307094381402E-4</v>
      </c>
      <c r="BS122" s="161">
        <f ca="1">'JACOBIAN - OIS USDOIS'!AC131</f>
        <v>1.8589435112986699E-3</v>
      </c>
      <c r="BT122" s="161">
        <f ca="1">'JACOBIAN - OIS USDOIS'!AD131</f>
        <v>4.48290927151818E-4</v>
      </c>
      <c r="BU122">
        <f ca="1">'JACOBIAN - OIS USDOIS'!AE131</f>
        <v>9.873411598304569E-7</v>
      </c>
      <c r="BV122">
        <f ca="1">'JACOBIAN - OIS USDOIS'!AF131</f>
        <v>2.7453361504114999E-6</v>
      </c>
      <c r="BW122">
        <f ca="1">'JACOBIAN - OIS USDOIS'!AG131</f>
        <v>2.5073784286622201E-6</v>
      </c>
      <c r="BX122">
        <f ca="1">'JACOBIAN - OIS USDOIS'!AH131</f>
        <v>5.6976275457643098E-6</v>
      </c>
      <c r="BY122">
        <f ca="1">'JACOBIAN - OIS USDOIS'!AI131</f>
        <v>4.72899390324688E-6</v>
      </c>
      <c r="BZ122">
        <f ca="1">'JACOBIAN - OIS USDOIS'!AJ131</f>
        <v>2.7532100086990999E-5</v>
      </c>
      <c r="CA122">
        <f ca="1">'JACOBIAN - OIS USDOIS'!AK131</f>
        <v>1.16990107507098E-5</v>
      </c>
      <c r="CB122">
        <f ca="1">'JACOBIAN - OIS USDOIS'!AL131</f>
        <v>8.0988201232257099E-5</v>
      </c>
      <c r="CC122">
        <f ca="1">'JACOBIAN - OIS USDOIS'!AM131</f>
        <v>-2.8323172559407999E-5</v>
      </c>
      <c r="CD122">
        <f ca="1">'JACOBIAN - OIS USDOIS'!AN131</f>
        <v>4.6310284194017699E-4</v>
      </c>
      <c r="CE122">
        <f ca="1">'JACOBIAN - OIS USDOIS'!AO131</f>
        <v>-1.82767233580172E-3</v>
      </c>
      <c r="CF122">
        <f ca="1">'JACOBIAN - OIS USDOIS'!AP131</f>
        <v>-4.4208232488351901E-4</v>
      </c>
      <c r="CK122" s="248">
        <f t="shared" ca="1" si="118"/>
        <v>53496</v>
      </c>
      <c r="CL122">
        <f t="shared" ca="1" si="119"/>
        <v>-7.09799208742368E-7</v>
      </c>
      <c r="CM122">
        <f t="shared" ca="1" si="120"/>
        <v>5.1281312529738398E-11</v>
      </c>
      <c r="CN122">
        <f t="shared" ca="1" si="121"/>
        <v>-2.06416106429685E-10</v>
      </c>
      <c r="CO122">
        <f t="shared" ca="1" si="122"/>
        <v>5.4230464563431703E-10</v>
      </c>
      <c r="CP122">
        <f t="shared" ca="1" si="123"/>
        <v>-6.9807082336836898E-10</v>
      </c>
      <c r="CQ122">
        <f t="shared" ca="1" si="124"/>
        <v>1.57950197365864E-9</v>
      </c>
      <c r="CR122">
        <f t="shared" ca="1" si="125"/>
        <v>-1.43885451331371E-8</v>
      </c>
      <c r="CS122">
        <f t="shared" ca="1" si="126"/>
        <v>1.93068827591958E-8</v>
      </c>
      <c r="CT122">
        <f t="shared" ca="1" si="127"/>
        <v>-7.4336637179150995E-8</v>
      </c>
      <c r="CU122">
        <f t="shared" ca="1" si="128"/>
        <v>4.1242017090326002E-7</v>
      </c>
      <c r="CV122">
        <f t="shared" ca="1" si="129"/>
        <v>-2.6370114325491301E-7</v>
      </c>
      <c r="CW122">
        <f t="shared" ca="1" si="130"/>
        <v>1.9095836023552699E-14</v>
      </c>
      <c r="CX122">
        <f t="shared" ca="1" si="131"/>
        <v>1.9095836023552699E-14</v>
      </c>
      <c r="CY122">
        <f t="shared" ca="1" si="132"/>
        <v>1.9095836023552699E-14</v>
      </c>
      <c r="CZ122">
        <f t="shared" ca="1" si="133"/>
        <v>1.9095836023552699E-14</v>
      </c>
      <c r="DA122">
        <f t="shared" ca="1" si="134"/>
        <v>1.9095836023552699E-14</v>
      </c>
      <c r="DB122" s="146">
        <v>0</v>
      </c>
      <c r="DC122" s="146">
        <v>0</v>
      </c>
      <c r="DD122" s="146">
        <v>0</v>
      </c>
      <c r="DE122" s="146">
        <v>0</v>
      </c>
      <c r="DF122" s="146">
        <v>0</v>
      </c>
      <c r="DG122" s="146">
        <v>0</v>
      </c>
      <c r="DH122" s="146">
        <v>0</v>
      </c>
      <c r="DI122" s="146">
        <v>0</v>
      </c>
      <c r="DJ122" s="146">
        <v>0</v>
      </c>
      <c r="DK122" s="146">
        <v>0</v>
      </c>
      <c r="DL122" s="146">
        <v>0</v>
      </c>
      <c r="DM122" s="146">
        <v>0</v>
      </c>
      <c r="DN122">
        <f t="shared" ca="1" si="135"/>
        <v>9.873411598304569E-7</v>
      </c>
      <c r="DO122">
        <f t="shared" ca="1" si="136"/>
        <v>2.7453361504114999E-6</v>
      </c>
      <c r="DP122">
        <f t="shared" ca="1" si="137"/>
        <v>2.5073784286622201E-6</v>
      </c>
      <c r="DQ122">
        <f t="shared" ca="1" si="138"/>
        <v>5.6976275457643098E-6</v>
      </c>
      <c r="DR122">
        <f t="shared" ca="1" si="139"/>
        <v>4.72899390324688E-6</v>
      </c>
      <c r="DS122">
        <f t="shared" ca="1" si="140"/>
        <v>2.7532100086990999E-5</v>
      </c>
      <c r="DT122">
        <f t="shared" ca="1" si="141"/>
        <v>1.16990107507098E-5</v>
      </c>
      <c r="DU122">
        <f t="shared" ca="1" si="142"/>
        <v>8.0988201232257099E-5</v>
      </c>
      <c r="DV122">
        <f t="shared" ca="1" si="143"/>
        <v>-2.8323172559407999E-5</v>
      </c>
      <c r="DW122">
        <f t="shared" ca="1" si="144"/>
        <v>4.6310284194017699E-4</v>
      </c>
      <c r="DX122">
        <f t="shared" ca="1" si="145"/>
        <v>-1.82767233580172E-3</v>
      </c>
      <c r="DY122">
        <f t="shared" ca="1" si="146"/>
        <v>-4.4208232488351901E-4</v>
      </c>
      <c r="ED122" s="248">
        <f ca="1">'JACOBIAN - SWAP USD3ML'!B131</f>
        <v>53496</v>
      </c>
      <c r="EE122">
        <f ca="1">'JACOBIAN - SWAP USD3ML'!C131</f>
        <v>-4.33566377244787E-13</v>
      </c>
      <c r="EF122">
        <f ca="1">'JACOBIAN - SWAP USD3ML'!D131</f>
        <v>-6.3966228147638296E-12</v>
      </c>
      <c r="EG122">
        <f ca="1">'JACOBIAN - SWAP USD3ML'!E131</f>
        <v>-7.2959034647102105E-12</v>
      </c>
      <c r="EH122">
        <f ca="1">'JACOBIAN - SWAP USD3ML'!F131</f>
        <v>-4.31828184321859E-13</v>
      </c>
      <c r="EI122">
        <f ca="1">'JACOBIAN - SWAP USD3ML'!G131</f>
        <v>-5.0655313277303498E-13</v>
      </c>
      <c r="EJ122">
        <f ca="1">'JACOBIAN - SWAP USD3ML'!H131</f>
        <v>-7.2776576431898799E-12</v>
      </c>
      <c r="EK122">
        <f ca="1">'JACOBIAN - SWAP USD3ML'!I131</f>
        <v>-1.3957529576558201E-11</v>
      </c>
      <c r="EL122">
        <f ca="1">'JACOBIAN - SWAP USD3ML'!J131</f>
        <v>-1.38402345140065E-11</v>
      </c>
      <c r="EM122">
        <f ca="1">'JACOBIAN - SWAP USD3ML'!K131</f>
        <v>-1.37377054176824E-11</v>
      </c>
      <c r="EN122">
        <f ca="1">'JACOBIAN - SWAP USD3ML'!L131</f>
        <v>-1.37194595961621E-11</v>
      </c>
      <c r="EO122">
        <f ca="1">'JACOBIAN - SWAP USD3ML'!M131</f>
        <v>-1.35691458069687E-11</v>
      </c>
      <c r="EP122">
        <f ca="1">'JACOBIAN - SWAP USD3ML'!N131</f>
        <v>-2.71339478663535E-11</v>
      </c>
      <c r="EQ122">
        <f ca="1">'JACOBIAN - SWAP USD3ML'!O131</f>
        <v>6.5595181369948505E-10</v>
      </c>
      <c r="ER122">
        <f ca="1">'JACOBIAN - SWAP USD3ML'!P131</f>
        <v>-3.17871381300128E-9</v>
      </c>
      <c r="ES122">
        <f ca="1">'JACOBIAN - SWAP USD3ML'!Q131</f>
        <v>7.9132344149579498E-9</v>
      </c>
      <c r="ET122">
        <f ca="1">'JACOBIAN - SWAP USD3ML'!R131</f>
        <v>-6.9841067710379998E-8</v>
      </c>
      <c r="EU122">
        <f ca="1">'JACOBIAN - SWAP USD3ML'!S131</f>
        <v>3.6383112262186601E-7</v>
      </c>
      <c r="EV122">
        <f ca="1">'JACOBIAN - SWAP USD3ML'!T131</f>
        <v>-1.58244041088135E-6</v>
      </c>
      <c r="EW122">
        <f ca="1">'JACOBIAN - SWAP USD3ML'!U131</f>
        <v>3.5297172471804301E-6</v>
      </c>
      <c r="EX122">
        <f ca="1">'JACOBIAN - SWAP USD3ML'!V131</f>
        <v>-7.8165332432732198E-6</v>
      </c>
      <c r="EY122">
        <f ca="1">'JACOBIAN - SWAP USD3ML'!W131</f>
        <v>1.8756355871060001E-5</v>
      </c>
      <c r="EZ122">
        <f ca="1">'JACOBIAN - SWAP USD3ML'!X131</f>
        <v>-7.4733090441255604E-5</v>
      </c>
      <c r="FA122">
        <f ca="1">'JACOBIAN - SWAP USD3ML'!Y131</f>
        <v>-5.1526991079039704E-4</v>
      </c>
      <c r="FB122">
        <f ca="1">'JACOBIAN - SWAP USD3ML'!Z131</f>
        <v>6.7513023775326404E-4</v>
      </c>
    </row>
    <row r="123" spans="24:158" x14ac:dyDescent="0.25">
      <c r="X123" s="258">
        <f t="shared" ca="1" si="113"/>
        <v>53587</v>
      </c>
      <c r="Y123" s="261">
        <v>0</v>
      </c>
      <c r="AA123" s="257">
        <f t="shared" ca="1" si="110"/>
        <v>53587</v>
      </c>
      <c r="AB123" s="266">
        <f t="shared" ca="1" si="114"/>
        <v>-1.7075051673678416E-3</v>
      </c>
      <c r="AC123" s="266"/>
      <c r="AD123" s="290">
        <f ca="1"/>
        <v>53587</v>
      </c>
      <c r="AE123" s="291">
        <f ca="1"/>
        <v>-1.7075051673678399E-3</v>
      </c>
      <c r="AF123" s="291" t="b">
        <f t="shared" ca="1" si="111"/>
        <v>1</v>
      </c>
      <c r="AH123" s="257">
        <f t="shared" ca="1" si="115"/>
        <v>53587</v>
      </c>
      <c r="AI123" s="260">
        <v>0</v>
      </c>
      <c r="AK123" s="290">
        <f ca="1"/>
        <v>53587</v>
      </c>
      <c r="AL123" s="291">
        <f ca="1"/>
        <v>9.8325289184447023E-5</v>
      </c>
      <c r="AM123" s="291" t="b">
        <f t="shared" ca="1" si="116"/>
        <v>1</v>
      </c>
      <c r="AO123" s="257">
        <f t="shared" ca="1" si="117"/>
        <v>53587</v>
      </c>
      <c r="AP123" s="266">
        <f t="shared" ca="1" si="112"/>
        <v>9.832528918444724E-5</v>
      </c>
      <c r="AR123" s="248">
        <f ca="1">'JACOBIAN - OIS USDOIS'!B132</f>
        <v>53587</v>
      </c>
      <c r="AS123">
        <f ca="1">'JACOBIAN - OIS USDOIS'!C132</f>
        <v>-7.0680393438049496E-7</v>
      </c>
      <c r="AT123">
        <f ca="1">'JACOBIAN - OIS USDOIS'!D132</f>
        <v>5.0674686669083303E-11</v>
      </c>
      <c r="AU123">
        <f ca="1">'JACOBIAN - OIS USDOIS'!E132</f>
        <v>-2.0389723243141599E-10</v>
      </c>
      <c r="AV123">
        <f ca="1">'JACOBIAN - OIS USDOIS'!F132</f>
        <v>5.3568205427012603E-10</v>
      </c>
      <c r="AW123">
        <f ca="1">'JACOBIAN - OIS USDOIS'!G132</f>
        <v>-6.8955119392200004E-10</v>
      </c>
      <c r="AX123">
        <f ca="1">'JACOBIAN - OIS USDOIS'!H132</f>
        <v>1.5602459324526299E-9</v>
      </c>
      <c r="AY123">
        <f ca="1">'JACOBIAN - OIS USDOIS'!I132</f>
        <v>-1.42896852128871E-8</v>
      </c>
      <c r="AZ123">
        <f ca="1">'JACOBIAN - OIS USDOIS'!J132</f>
        <v>1.9071415113813801E-8</v>
      </c>
      <c r="BA123">
        <f ca="1">'JACOBIAN - OIS USDOIS'!K132</f>
        <v>-7.3430113767258805E-8</v>
      </c>
      <c r="BB123">
        <f ca="1">'JACOBIAN - OIS USDOIS'!L132</f>
        <v>4.09902855991184E-7</v>
      </c>
      <c r="BC123">
        <f ca="1">'JACOBIAN - OIS USDOIS'!M132</f>
        <v>-2.6071623004941802E-7</v>
      </c>
      <c r="BD123">
        <f ca="1">'JACOBIAN - OIS USDOIS'!N132</f>
        <v>2.8976820942716598E-14</v>
      </c>
      <c r="BE123">
        <f ca="1">'JACOBIAN - OIS USDOIS'!O132</f>
        <v>2.8976820942716598E-14</v>
      </c>
      <c r="BF123">
        <f ca="1">'JACOBIAN - OIS USDOIS'!P132</f>
        <v>2.8976820942716598E-14</v>
      </c>
      <c r="BG123">
        <f ca="1">'JACOBIAN - OIS USDOIS'!Q132</f>
        <v>2.8976820942716598E-14</v>
      </c>
      <c r="BH123">
        <f ca="1">'JACOBIAN - OIS USDOIS'!R132</f>
        <v>2.8976820942716598E-14</v>
      </c>
      <c r="BI123" s="161">
        <f ca="1">'JACOBIAN - OIS USDOIS'!S132</f>
        <v>-9.9939624353950805E-7</v>
      </c>
      <c r="BJ123" s="161">
        <f ca="1">'JACOBIAN - OIS USDOIS'!T132</f>
        <v>-2.7858607277719801E-6</v>
      </c>
      <c r="BK123" s="161">
        <f ca="1">'JACOBIAN - OIS USDOIS'!U132</f>
        <v>-2.5228065987370502E-6</v>
      </c>
      <c r="BL123" s="161">
        <f ca="1">'JACOBIAN - OIS USDOIS'!V132</f>
        <v>-5.82963040918205E-6</v>
      </c>
      <c r="BM123" s="161">
        <f ca="1">'JACOBIAN - OIS USDOIS'!W132</f>
        <v>-4.6730010503370803E-6</v>
      </c>
      <c r="BN123" s="161">
        <f ca="1">'JACOBIAN - OIS USDOIS'!X132</f>
        <v>-2.8103862221406901E-5</v>
      </c>
      <c r="BO123" s="161">
        <f ca="1">'JACOBIAN - OIS USDOIS'!Y132</f>
        <v>-1.07555897492784E-5</v>
      </c>
      <c r="BP123" s="161">
        <f ca="1">'JACOBIAN - OIS USDOIS'!Z132</f>
        <v>-8.5165420329658099E-5</v>
      </c>
      <c r="BQ123" s="161">
        <f ca="1">'JACOBIAN - OIS USDOIS'!AA132</f>
        <v>3.49098975851447E-5</v>
      </c>
      <c r="BR123" s="161">
        <f ca="1">'JACOBIAN - OIS USDOIS'!AB132</f>
        <v>-4.87417812105928E-4</v>
      </c>
      <c r="BS123" s="161">
        <f ca="1">'JACOBIAN - OIS USDOIS'!AC132</f>
        <v>1.78022742991113E-3</v>
      </c>
      <c r="BT123" s="161">
        <f ca="1">'JACOBIAN - OIS USDOIS'!AD132</f>
        <v>5.4840628297814198E-4</v>
      </c>
      <c r="BU123">
        <f ca="1">'JACOBIAN - OIS USDOIS'!AE132</f>
        <v>9.8103666623661191E-7</v>
      </c>
      <c r="BV123">
        <f ca="1">'JACOBIAN - OIS USDOIS'!AF132</f>
        <v>2.7391646296726101E-6</v>
      </c>
      <c r="BW123">
        <f ca="1">'JACOBIAN - OIS USDOIS'!AG132</f>
        <v>2.4819017884203401E-6</v>
      </c>
      <c r="BX123">
        <f ca="1">'JACOBIAN - OIS USDOIS'!AH132</f>
        <v>5.7358261725814998E-6</v>
      </c>
      <c r="BY123">
        <f ca="1">'JACOBIAN - OIS USDOIS'!AI132</f>
        <v>4.5909536267041401E-6</v>
      </c>
      <c r="BZ123">
        <f ca="1">'JACOBIAN - OIS USDOIS'!AJ132</f>
        <v>2.7648075136998999E-5</v>
      </c>
      <c r="CA123">
        <f ca="1">'JACOBIAN - OIS USDOIS'!AK132</f>
        <v>1.0558227573231901E-5</v>
      </c>
      <c r="CB123">
        <f ca="1">'JACOBIAN - OIS USDOIS'!AL132</f>
        <v>8.3821484093360405E-5</v>
      </c>
      <c r="CC123">
        <f ca="1">'JACOBIAN - OIS USDOIS'!AM132</f>
        <v>-3.4520664626613898E-5</v>
      </c>
      <c r="CD123">
        <f ca="1">'JACOBIAN - OIS USDOIS'!AN132</f>
        <v>4.8030715765279302E-4</v>
      </c>
      <c r="CE123">
        <f ca="1">'JACOBIAN - OIS USDOIS'!AO132</f>
        <v>-1.7504986014883501E-3</v>
      </c>
      <c r="CF123">
        <f ca="1">'JACOBIAN - OIS USDOIS'!AP132</f>
        <v>-5.4072471619970297E-4</v>
      </c>
      <c r="CK123" s="248">
        <f t="shared" ca="1" si="118"/>
        <v>53587</v>
      </c>
      <c r="CL123">
        <f t="shared" ca="1" si="119"/>
        <v>-7.0680393438049496E-7</v>
      </c>
      <c r="CM123">
        <f t="shared" ca="1" si="120"/>
        <v>5.0674686669083303E-11</v>
      </c>
      <c r="CN123">
        <f t="shared" ca="1" si="121"/>
        <v>-2.0389723243141599E-10</v>
      </c>
      <c r="CO123">
        <f t="shared" ca="1" si="122"/>
        <v>5.3568205427012603E-10</v>
      </c>
      <c r="CP123">
        <f t="shared" ca="1" si="123"/>
        <v>-6.8955119392200004E-10</v>
      </c>
      <c r="CQ123">
        <f t="shared" ca="1" si="124"/>
        <v>1.5602459324526299E-9</v>
      </c>
      <c r="CR123">
        <f t="shared" ca="1" si="125"/>
        <v>-1.42896852128871E-8</v>
      </c>
      <c r="CS123">
        <f t="shared" ca="1" si="126"/>
        <v>1.9071415113813801E-8</v>
      </c>
      <c r="CT123">
        <f t="shared" ca="1" si="127"/>
        <v>-7.3430113767258805E-8</v>
      </c>
      <c r="CU123">
        <f t="shared" ca="1" si="128"/>
        <v>4.09902855991184E-7</v>
      </c>
      <c r="CV123">
        <f t="shared" ca="1" si="129"/>
        <v>-2.6071623004941802E-7</v>
      </c>
      <c r="CW123">
        <f t="shared" ca="1" si="130"/>
        <v>2.8976820942716598E-14</v>
      </c>
      <c r="CX123">
        <f t="shared" ca="1" si="131"/>
        <v>2.8976820942716598E-14</v>
      </c>
      <c r="CY123">
        <f t="shared" ca="1" si="132"/>
        <v>2.8976820942716598E-14</v>
      </c>
      <c r="CZ123">
        <f t="shared" ca="1" si="133"/>
        <v>2.8976820942716598E-14</v>
      </c>
      <c r="DA123">
        <f t="shared" ca="1" si="134"/>
        <v>2.8976820942716598E-14</v>
      </c>
      <c r="DB123" s="146">
        <v>0</v>
      </c>
      <c r="DC123" s="146">
        <v>0</v>
      </c>
      <c r="DD123" s="146">
        <v>0</v>
      </c>
      <c r="DE123" s="146">
        <v>0</v>
      </c>
      <c r="DF123" s="146">
        <v>0</v>
      </c>
      <c r="DG123" s="146">
        <v>0</v>
      </c>
      <c r="DH123" s="146">
        <v>0</v>
      </c>
      <c r="DI123" s="146">
        <v>0</v>
      </c>
      <c r="DJ123" s="146">
        <v>0</v>
      </c>
      <c r="DK123" s="146">
        <v>0</v>
      </c>
      <c r="DL123" s="146">
        <v>0</v>
      </c>
      <c r="DM123" s="146">
        <v>0</v>
      </c>
      <c r="DN123">
        <f t="shared" ca="1" si="135"/>
        <v>9.8103666623661191E-7</v>
      </c>
      <c r="DO123">
        <f t="shared" ca="1" si="136"/>
        <v>2.7391646296726101E-6</v>
      </c>
      <c r="DP123">
        <f t="shared" ca="1" si="137"/>
        <v>2.4819017884203401E-6</v>
      </c>
      <c r="DQ123">
        <f t="shared" ca="1" si="138"/>
        <v>5.7358261725814998E-6</v>
      </c>
      <c r="DR123">
        <f t="shared" ca="1" si="139"/>
        <v>4.5909536267041401E-6</v>
      </c>
      <c r="DS123">
        <f t="shared" ca="1" si="140"/>
        <v>2.7648075136998999E-5</v>
      </c>
      <c r="DT123">
        <f t="shared" ca="1" si="141"/>
        <v>1.0558227573231901E-5</v>
      </c>
      <c r="DU123">
        <f t="shared" ca="1" si="142"/>
        <v>8.3821484093360405E-5</v>
      </c>
      <c r="DV123">
        <f t="shared" ca="1" si="143"/>
        <v>-3.4520664626613898E-5</v>
      </c>
      <c r="DW123">
        <f t="shared" ca="1" si="144"/>
        <v>4.8030715765279302E-4</v>
      </c>
      <c r="DX123">
        <f t="shared" ca="1" si="145"/>
        <v>-1.7504986014883501E-3</v>
      </c>
      <c r="DY123">
        <f t="shared" ca="1" si="146"/>
        <v>-5.4072471619970297E-4</v>
      </c>
      <c r="ED123" s="248">
        <f ca="1">'JACOBIAN - SWAP USD3ML'!B132</f>
        <v>53587</v>
      </c>
      <c r="EE123">
        <f ca="1">'JACOBIAN - SWAP USD3ML'!C132</f>
        <v>-4.2954875767442502E-13</v>
      </c>
      <c r="EF123">
        <f ca="1">'JACOBIAN - SWAP USD3ML'!D132</f>
        <v>5.9820204345584196E-13</v>
      </c>
      <c r="EG123">
        <f ca="1">'JACOBIAN - SWAP USD3ML'!E132</f>
        <v>-7.1564733306051002E-12</v>
      </c>
      <c r="EH123">
        <f ca="1">'JACOBIAN - SWAP USD3ML'!F132</f>
        <v>-4.2954875767442502E-13</v>
      </c>
      <c r="EI123">
        <f ca="1">'JACOBIAN - SWAP USD3ML'!G132</f>
        <v>-4.2867098759558101E-13</v>
      </c>
      <c r="EJ123">
        <f ca="1">'JACOBIAN - SWAP USD3ML'!H132</f>
        <v>-2.9339378149195698E-13</v>
      </c>
      <c r="EK123">
        <f ca="1">'JACOBIAN - SWAP USD3ML'!I132</f>
        <v>-6.86308301856009E-12</v>
      </c>
      <c r="EL123">
        <f ca="1">'JACOBIAN - SWAP USD3ML'!J132</f>
        <v>-6.7708477713423999E-12</v>
      </c>
      <c r="EM123">
        <f ca="1">'JACOBIAN - SWAP USD3ML'!K132</f>
        <v>-6.6935484932528798E-12</v>
      </c>
      <c r="EN123">
        <f ca="1">'JACOBIAN - SWAP USD3ML'!L132</f>
        <v>-6.69530403341057E-12</v>
      </c>
      <c r="EO123">
        <f ca="1">'JACOBIAN - SWAP USD3ML'!M132</f>
        <v>-6.6127346654010203E-12</v>
      </c>
      <c r="EP123">
        <f ca="1">'JACOBIAN - SWAP USD3ML'!N132</f>
        <v>-1.20756148136447E-11</v>
      </c>
      <c r="EQ123">
        <f ca="1">'JACOBIAN - SWAP USD3ML'!O132</f>
        <v>2.91156987408669E-10</v>
      </c>
      <c r="ER123">
        <f ca="1">'JACOBIAN - SWAP USD3ML'!P132</f>
        <v>-1.4132167970581901E-9</v>
      </c>
      <c r="ES123">
        <f ca="1">'JACOBIAN - SWAP USD3ML'!Q132</f>
        <v>3.5145688546955898E-9</v>
      </c>
      <c r="ET123">
        <f ca="1">'JACOBIAN - SWAP USD3ML'!R132</f>
        <v>-3.1031285672999999E-8</v>
      </c>
      <c r="EU123">
        <f ca="1">'JACOBIAN - SWAP USD3ML'!S132</f>
        <v>1.6164842651239501E-7</v>
      </c>
      <c r="EV123">
        <f ca="1">'JACOBIAN - SWAP USD3ML'!T132</f>
        <v>-7.0306615738285904E-7</v>
      </c>
      <c r="EW123">
        <f ca="1">'JACOBIAN - SWAP USD3ML'!U132</f>
        <v>1.5682152473307799E-6</v>
      </c>
      <c r="EX123">
        <f ca="1">'JACOBIAN - SWAP USD3ML'!V132</f>
        <v>-3.4728470332465199E-6</v>
      </c>
      <c r="EY123">
        <f ca="1">'JACOBIAN - SWAP USD3ML'!W132</f>
        <v>8.3331142566520095E-6</v>
      </c>
      <c r="EZ123">
        <f ca="1">'JACOBIAN - SWAP USD3ML'!X132</f>
        <v>-3.3206053164293301E-5</v>
      </c>
      <c r="FA123">
        <f ca="1">'JACOBIAN - SWAP USD3ML'!Y132</f>
        <v>-5.8807703805257097E-4</v>
      </c>
      <c r="FB123">
        <f ca="1">'JACOBIAN - SWAP USD3ML'!Z132</f>
        <v>7.1375000828864004E-4</v>
      </c>
    </row>
    <row r="124" spans="24:158" x14ac:dyDescent="0.25">
      <c r="X124" s="258">
        <f t="shared" ca="1" si="113"/>
        <v>53678</v>
      </c>
      <c r="Y124" s="261">
        <v>0</v>
      </c>
      <c r="AA124" s="257">
        <f t="shared" ca="1" si="110"/>
        <v>53678</v>
      </c>
      <c r="AB124" s="266">
        <f t="shared" ca="1" si="114"/>
        <v>-1.7162062832144494E-3</v>
      </c>
      <c r="AC124" s="266"/>
      <c r="AD124" s="290">
        <f ca="1"/>
        <v>53678</v>
      </c>
      <c r="AE124" s="291">
        <f ca="1"/>
        <v>-1.7162062832144498E-3</v>
      </c>
      <c r="AF124" s="291" t="b">
        <f t="shared" ca="1" si="111"/>
        <v>1</v>
      </c>
      <c r="AH124" s="257">
        <f t="shared" ca="1" si="115"/>
        <v>53678</v>
      </c>
      <c r="AI124" s="260">
        <v>0</v>
      </c>
      <c r="AK124" s="290">
        <f ca="1"/>
        <v>53678</v>
      </c>
      <c r="AL124" s="291">
        <f ca="1"/>
        <v>9.8343841785652336E-5</v>
      </c>
      <c r="AM124" s="291" t="b">
        <f t="shared" ca="1" si="116"/>
        <v>1</v>
      </c>
      <c r="AO124" s="257">
        <f t="shared" ca="1" si="117"/>
        <v>53678</v>
      </c>
      <c r="AP124" s="266">
        <f t="shared" ca="1" si="112"/>
        <v>9.8343841785652445E-5</v>
      </c>
      <c r="AR124" s="248">
        <f ca="1">'JACOBIAN - OIS USDOIS'!B133</f>
        <v>53678</v>
      </c>
      <c r="AS124">
        <f ca="1">'JACOBIAN - OIS USDOIS'!C133</f>
        <v>-7.0382480288344595E-7</v>
      </c>
      <c r="AT124">
        <f ca="1">'JACOBIAN - OIS USDOIS'!D133</f>
        <v>5.02731190010763E-11</v>
      </c>
      <c r="AU124">
        <f ca="1">'JACOBIAN - OIS USDOIS'!E133</f>
        <v>-2.02185601594351E-10</v>
      </c>
      <c r="AV124">
        <f ca="1">'JACOBIAN - OIS USDOIS'!F133</f>
        <v>5.3119086906860999E-10</v>
      </c>
      <c r="AW124">
        <f ca="1">'JACOBIAN - OIS USDOIS'!G133</f>
        <v>-6.8377292716803595E-10</v>
      </c>
      <c r="AX124">
        <f ca="1">'JACOBIAN - OIS USDOIS'!H133</f>
        <v>1.5471923742183001E-9</v>
      </c>
      <c r="AY124">
        <f ca="1">'JACOBIAN - OIS USDOIS'!I133</f>
        <v>-1.42116185486429E-8</v>
      </c>
      <c r="AZ124">
        <f ca="1">'JACOBIAN - OIS USDOIS'!J133</f>
        <v>1.8911729182668998E-8</v>
      </c>
      <c r="BA124">
        <f ca="1">'JACOBIAN - OIS USDOIS'!K133</f>
        <v>-7.2815328100439598E-8</v>
      </c>
      <c r="BB124">
        <f ca="1">'JACOBIAN - OIS USDOIS'!L133</f>
        <v>4.0782412347173402E-7</v>
      </c>
      <c r="BC124">
        <f ca="1">'JACOBIAN - OIS USDOIS'!M133</f>
        <v>-2.5865869968111402E-7</v>
      </c>
      <c r="BD124">
        <f ca="1">'JACOBIAN - OIS USDOIS'!N133</f>
        <v>4.0079051188968202E-14</v>
      </c>
      <c r="BE124">
        <f ca="1">'JACOBIAN - OIS USDOIS'!O133</f>
        <v>4.0079051188968202E-14</v>
      </c>
      <c r="BF124">
        <f ca="1">'JACOBIAN - OIS USDOIS'!P133</f>
        <v>4.0079051188968202E-14</v>
      </c>
      <c r="BG124">
        <f ca="1">'JACOBIAN - OIS USDOIS'!Q133</f>
        <v>4.0079051188968202E-14</v>
      </c>
      <c r="BH124">
        <f ca="1">'JACOBIAN - OIS USDOIS'!R133</f>
        <v>4.0079051188968202E-14</v>
      </c>
      <c r="BI124" s="161">
        <f ca="1">'JACOBIAN - OIS USDOIS'!S133</f>
        <v>-9.941760860110449E-7</v>
      </c>
      <c r="BJ124" s="161">
        <f ca="1">'JACOBIAN - OIS USDOIS'!T133</f>
        <v>-2.7774878551545299E-6</v>
      </c>
      <c r="BK124" s="161">
        <f ca="1">'JACOBIAN - OIS USDOIS'!U133</f>
        <v>-2.5044260533180199E-6</v>
      </c>
      <c r="BL124" s="161">
        <f ca="1">'JACOBIAN - OIS USDOIS'!V133</f>
        <v>-5.8400615493558999E-6</v>
      </c>
      <c r="BM124" s="161">
        <f ca="1">'JACOBIAN - OIS USDOIS'!W133</f>
        <v>-4.5892472885222801E-6</v>
      </c>
      <c r="BN124" s="161">
        <f ca="1">'JACOBIAN - OIS USDOIS'!X133</f>
        <v>-2.81169498369538E-5</v>
      </c>
      <c r="BO124" s="161">
        <f ca="1">'JACOBIAN - OIS USDOIS'!Y133</f>
        <v>-1.01135958282539E-5</v>
      </c>
      <c r="BP124" s="161">
        <f ca="1">'JACOBIAN - OIS USDOIS'!Z133</f>
        <v>-8.6558761231647602E-5</v>
      </c>
      <c r="BQ124" s="161">
        <f ca="1">'JACOBIAN - OIS USDOIS'!AA133</f>
        <v>3.8229554407354101E-5</v>
      </c>
      <c r="BR124" s="161">
        <f ca="1">'JACOBIAN - OIS USDOIS'!AB133</f>
        <v>-4.9591596917297797E-4</v>
      </c>
      <c r="BS124" s="161">
        <f ca="1">'JACOBIAN - OIS USDOIS'!AC133</f>
        <v>1.6877494825872101E-3</v>
      </c>
      <c r="BT124" s="161">
        <f ca="1">'JACOBIAN - OIS USDOIS'!AD133</f>
        <v>6.55170817804973E-4</v>
      </c>
      <c r="BU124">
        <f ca="1">'JACOBIAN - OIS USDOIS'!AE133</f>
        <v>9.7591207659508704E-7</v>
      </c>
      <c r="BV124">
        <f ca="1">'JACOBIAN - OIS USDOIS'!AF133</f>
        <v>2.73093242075806E-6</v>
      </c>
      <c r="BW124">
        <f ca="1">'JACOBIAN - OIS USDOIS'!AG133</f>
        <v>2.46381770185877E-6</v>
      </c>
      <c r="BX124">
        <f ca="1">'JACOBIAN - OIS USDOIS'!AH133</f>
        <v>5.7461011182535796E-6</v>
      </c>
      <c r="BY124">
        <f ca="1">'JACOBIAN - OIS USDOIS'!AI133</f>
        <v>4.50857119238535E-6</v>
      </c>
      <c r="BZ124">
        <f ca="1">'JACOBIAN - OIS USDOIS'!AJ133</f>
        <v>2.7661022060532198E-5</v>
      </c>
      <c r="CA124">
        <f ca="1">'JACOBIAN - OIS USDOIS'!AK133</f>
        <v>9.9263878947653001E-6</v>
      </c>
      <c r="CB124">
        <f ca="1">'JACOBIAN - OIS USDOIS'!AL133</f>
        <v>8.5194281648326404E-5</v>
      </c>
      <c r="CC124">
        <f ca="1">'JACOBIAN - OIS USDOIS'!AM133</f>
        <v>-3.7789255406872599E-5</v>
      </c>
      <c r="CD124">
        <f ca="1">'JACOBIAN - OIS USDOIS'!AN133</f>
        <v>4.8869454725819505E-4</v>
      </c>
      <c r="CE124">
        <f ca="1">'JACOBIAN - OIS USDOIS'!AO133</f>
        <v>-1.6598139660008999E-3</v>
      </c>
      <c r="CF124">
        <f ca="1">'JACOBIAN - OIS USDOIS'!AP133</f>
        <v>-6.4588310348001599E-4</v>
      </c>
      <c r="CK124" s="248">
        <f t="shared" ca="1" si="118"/>
        <v>53678</v>
      </c>
      <c r="CL124">
        <f t="shared" ca="1" si="119"/>
        <v>-7.0382480288344595E-7</v>
      </c>
      <c r="CM124">
        <f t="shared" ca="1" si="120"/>
        <v>5.02731190010763E-11</v>
      </c>
      <c r="CN124">
        <f t="shared" ca="1" si="121"/>
        <v>-2.02185601594351E-10</v>
      </c>
      <c r="CO124">
        <f t="shared" ca="1" si="122"/>
        <v>5.3119086906860999E-10</v>
      </c>
      <c r="CP124">
        <f t="shared" ca="1" si="123"/>
        <v>-6.8377292716803595E-10</v>
      </c>
      <c r="CQ124">
        <f t="shared" ca="1" si="124"/>
        <v>1.5471923742183001E-9</v>
      </c>
      <c r="CR124">
        <f t="shared" ca="1" si="125"/>
        <v>-1.42116185486429E-8</v>
      </c>
      <c r="CS124">
        <f t="shared" ca="1" si="126"/>
        <v>1.8911729182668998E-8</v>
      </c>
      <c r="CT124">
        <f t="shared" ca="1" si="127"/>
        <v>-7.2815328100439598E-8</v>
      </c>
      <c r="CU124">
        <f t="shared" ca="1" si="128"/>
        <v>4.0782412347173402E-7</v>
      </c>
      <c r="CV124">
        <f t="shared" ca="1" si="129"/>
        <v>-2.5865869968111402E-7</v>
      </c>
      <c r="CW124">
        <f t="shared" ca="1" si="130"/>
        <v>4.0079051188968202E-14</v>
      </c>
      <c r="CX124">
        <f t="shared" ca="1" si="131"/>
        <v>4.0079051188968202E-14</v>
      </c>
      <c r="CY124">
        <f t="shared" ca="1" si="132"/>
        <v>4.0079051188968202E-14</v>
      </c>
      <c r="CZ124">
        <f t="shared" ca="1" si="133"/>
        <v>4.0079051188968202E-14</v>
      </c>
      <c r="DA124">
        <f t="shared" ca="1" si="134"/>
        <v>4.0079051188968202E-14</v>
      </c>
      <c r="DB124" s="146">
        <v>0</v>
      </c>
      <c r="DC124" s="146">
        <v>0</v>
      </c>
      <c r="DD124" s="146">
        <v>0</v>
      </c>
      <c r="DE124" s="146">
        <v>0</v>
      </c>
      <c r="DF124" s="146">
        <v>0</v>
      </c>
      <c r="DG124" s="146">
        <v>0</v>
      </c>
      <c r="DH124" s="146">
        <v>0</v>
      </c>
      <c r="DI124" s="146">
        <v>0</v>
      </c>
      <c r="DJ124" s="146">
        <v>0</v>
      </c>
      <c r="DK124" s="146">
        <v>0</v>
      </c>
      <c r="DL124" s="146">
        <v>0</v>
      </c>
      <c r="DM124" s="146">
        <v>0</v>
      </c>
      <c r="DN124">
        <f t="shared" ca="1" si="135"/>
        <v>9.7591207659508704E-7</v>
      </c>
      <c r="DO124">
        <f t="shared" ca="1" si="136"/>
        <v>2.73093242075806E-6</v>
      </c>
      <c r="DP124">
        <f t="shared" ca="1" si="137"/>
        <v>2.46381770185877E-6</v>
      </c>
      <c r="DQ124">
        <f t="shared" ca="1" si="138"/>
        <v>5.7461011182535796E-6</v>
      </c>
      <c r="DR124">
        <f t="shared" ca="1" si="139"/>
        <v>4.50857119238535E-6</v>
      </c>
      <c r="DS124">
        <f t="shared" ca="1" si="140"/>
        <v>2.7661022060532198E-5</v>
      </c>
      <c r="DT124">
        <f t="shared" ca="1" si="141"/>
        <v>9.9263878947653001E-6</v>
      </c>
      <c r="DU124">
        <f t="shared" ca="1" si="142"/>
        <v>8.5194281648326404E-5</v>
      </c>
      <c r="DV124">
        <f t="shared" ca="1" si="143"/>
        <v>-3.7789255406872599E-5</v>
      </c>
      <c r="DW124">
        <f t="shared" ca="1" si="144"/>
        <v>4.8869454725819505E-4</v>
      </c>
      <c r="DX124">
        <f t="shared" ca="1" si="145"/>
        <v>-1.6598139660008999E-3</v>
      </c>
      <c r="DY124">
        <f t="shared" ca="1" si="146"/>
        <v>-6.4588310348001599E-4</v>
      </c>
      <c r="ED124" s="248">
        <f ca="1">'JACOBIAN - SWAP USD3ML'!B133</f>
        <v>53678</v>
      </c>
      <c r="EE124">
        <f ca="1">'JACOBIAN - SWAP USD3ML'!C133</f>
        <v>-4.3218206791095801E-13</v>
      </c>
      <c r="EF124">
        <f ca="1">'JACOBIAN - SWAP USD3ML'!D133</f>
        <v>7.08707745267212E-12</v>
      </c>
      <c r="EG124">
        <f ca="1">'JACOBIAN - SWAP USD3ML'!E133</f>
        <v>-7.0326175438673001E-12</v>
      </c>
      <c r="EH124">
        <f ca="1">'JACOBIAN - SWAP USD3ML'!F133</f>
        <v>-4.3042652775326898E-13</v>
      </c>
      <c r="EI124">
        <f ca="1">'JACOBIAN - SWAP USD3ML'!G133</f>
        <v>-3.5839733958376E-13</v>
      </c>
      <c r="EJ124">
        <f ca="1">'JACOBIAN - SWAP USD3ML'!H133</f>
        <v>6.1910893078831496E-12</v>
      </c>
      <c r="EK124">
        <f ca="1">'JACOBIAN - SWAP USD3ML'!I133</f>
        <v>-2.8109459204728202E-13</v>
      </c>
      <c r="EL124">
        <f ca="1">'JACOBIAN - SWAP USD3ML'!J133</f>
        <v>-2.1082094403546099E-13</v>
      </c>
      <c r="EM124">
        <f ca="1">'JACOBIAN - SWAP USD3ML'!K133</f>
        <v>-1.54602025626005E-13</v>
      </c>
      <c r="EN124">
        <f ca="1">'JACOBIAN - SWAP USD3ML'!L133</f>
        <v>-1.76563624831871E-13</v>
      </c>
      <c r="EO124">
        <f ca="1">'JACOBIAN - SWAP USD3ML'!M133</f>
        <v>-1.54602025626005E-13</v>
      </c>
      <c r="EP124">
        <f ca="1">'JACOBIAN - SWAP USD3ML'!N133</f>
        <v>1.9008961071875798E-12</v>
      </c>
      <c r="EQ124">
        <f ca="1">'JACOBIAN - SWAP USD3ML'!O133</f>
        <v>-4.7546144105181699E-11</v>
      </c>
      <c r="ER124">
        <f ca="1">'JACOBIAN - SWAP USD3ML'!P133</f>
        <v>2.25991531044301E-10</v>
      </c>
      <c r="ES124">
        <f ca="1">'JACOBIAN - SWAP USD3ML'!Q133</f>
        <v>-5.6945657217477595E-10</v>
      </c>
      <c r="ET124">
        <f ca="1">'JACOBIAN - SWAP USD3ML'!R133</f>
        <v>5.00238268169584E-9</v>
      </c>
      <c r="EU124">
        <f ca="1">'JACOBIAN - SWAP USD3ML'!S133</f>
        <v>-2.6071889265566499E-8</v>
      </c>
      <c r="EV124">
        <f ca="1">'JACOBIAN - SWAP USD3ML'!T133</f>
        <v>1.1340556625369399E-7</v>
      </c>
      <c r="EW124">
        <f ca="1">'JACOBIAN - SWAP USD3ML'!U133</f>
        <v>-2.52977264632998E-7</v>
      </c>
      <c r="EX124">
        <f ca="1">'JACOBIAN - SWAP USD3ML'!V133</f>
        <v>5.6013437492452599E-7</v>
      </c>
      <c r="EY124">
        <f ca="1">'JACOBIAN - SWAP USD3ML'!W133</f>
        <v>-1.3445153878161E-6</v>
      </c>
      <c r="EZ124">
        <f ca="1">'JACOBIAN - SWAP USD3ML'!X133</f>
        <v>5.3509002257631802E-6</v>
      </c>
      <c r="FA124">
        <f ca="1">'JACOBIAN - SWAP USD3ML'!Y133</f>
        <v>-6.5570629175392195E-4</v>
      </c>
      <c r="FB124">
        <f ca="1">'JACOBIAN - SWAP USD3ML'!Z133</f>
        <v>7.4964464059509503E-4</v>
      </c>
    </row>
    <row r="125" spans="24:158" x14ac:dyDescent="0.25">
      <c r="X125" s="258">
        <f t="shared" ca="1" si="113"/>
        <v>53769</v>
      </c>
      <c r="Y125" s="261">
        <v>0</v>
      </c>
      <c r="AA125" s="257">
        <f t="shared" ca="1" si="110"/>
        <v>53769</v>
      </c>
      <c r="AB125" s="266">
        <f t="shared" ca="1" si="114"/>
        <v>-1.7248115449279818E-3</v>
      </c>
      <c r="AC125" s="266"/>
      <c r="AD125" s="290">
        <f ca="1"/>
        <v>53769</v>
      </c>
      <c r="AE125" s="291">
        <f ca="1"/>
        <v>-1.7248115449279844E-3</v>
      </c>
      <c r="AF125" s="291" t="b">
        <f t="shared" ca="1" si="111"/>
        <v>1</v>
      </c>
      <c r="AH125" s="257">
        <f t="shared" ca="1" si="115"/>
        <v>53769</v>
      </c>
      <c r="AI125" s="260">
        <v>0</v>
      </c>
      <c r="AK125" s="290">
        <f ca="1"/>
        <v>53769</v>
      </c>
      <c r="AL125" s="291">
        <f ca="1"/>
        <v>9.8369336333063023E-5</v>
      </c>
      <c r="AM125" s="291" t="b">
        <f t="shared" ca="1" si="116"/>
        <v>1</v>
      </c>
      <c r="AO125" s="257">
        <f t="shared" ca="1" si="117"/>
        <v>53769</v>
      </c>
      <c r="AP125" s="266">
        <f t="shared" ca="1" si="112"/>
        <v>9.836933633306324E-5</v>
      </c>
      <c r="AR125" s="248">
        <f ca="1">'JACOBIAN - OIS USDOIS'!B134</f>
        <v>53769</v>
      </c>
      <c r="AS125">
        <f ca="1">'JACOBIAN - OIS USDOIS'!C134</f>
        <v>-7.0086153114434801E-7</v>
      </c>
      <c r="AT125">
        <f ca="1">'JACOBIAN - OIS USDOIS'!D134</f>
        <v>5.0063397871724601E-11</v>
      </c>
      <c r="AU125">
        <f ca="1">'JACOBIAN - OIS USDOIS'!E134</f>
        <v>-2.0122847832482199E-10</v>
      </c>
      <c r="AV125">
        <f ca="1">'JACOBIAN - OIS USDOIS'!F134</f>
        <v>5.2869286726320297E-10</v>
      </c>
      <c r="AW125">
        <f ca="1">'JACOBIAN - OIS USDOIS'!G134</f>
        <v>-6.8055761026641903E-10</v>
      </c>
      <c r="AX125">
        <f ca="1">'JACOBIAN - OIS USDOIS'!H134</f>
        <v>1.53993873208691E-9</v>
      </c>
      <c r="AY125">
        <f ca="1">'JACOBIAN - OIS USDOIS'!I134</f>
        <v>-1.41529267194684E-8</v>
      </c>
      <c r="AZ125">
        <f ca="1">'JACOBIAN - OIS USDOIS'!J134</f>
        <v>1.8822901681758701E-8</v>
      </c>
      <c r="BA125">
        <f ca="1">'JACOBIAN - OIS USDOIS'!K134</f>
        <v>-7.2473322898503096E-8</v>
      </c>
      <c r="BB125">
        <f ca="1">'JACOBIAN - OIS USDOIS'!L134</f>
        <v>4.0615324958803701E-7</v>
      </c>
      <c r="BC125">
        <f ca="1">'JACOBIAN - OIS USDOIS'!M134</f>
        <v>-2.5746808895998901E-7</v>
      </c>
      <c r="BD125">
        <f ca="1">'JACOBIAN - OIS USDOIS'!N134</f>
        <v>5.2735593669694898E-14</v>
      </c>
      <c r="BE125">
        <f ca="1">'JACOBIAN - OIS USDOIS'!O134</f>
        <v>5.2735593669694898E-14</v>
      </c>
      <c r="BF125">
        <f ca="1">'JACOBIAN - OIS USDOIS'!P134</f>
        <v>5.2735593669694898E-14</v>
      </c>
      <c r="BG125">
        <f ca="1">'JACOBIAN - OIS USDOIS'!Q134</f>
        <v>5.2735593669694898E-14</v>
      </c>
      <c r="BH125">
        <f ca="1">'JACOBIAN - OIS USDOIS'!R134</f>
        <v>5.2735593669694898E-14</v>
      </c>
      <c r="BI125" s="161">
        <f ca="1">'JACOBIAN - OIS USDOIS'!S134</f>
        <v>-9.90074322748669E-7</v>
      </c>
      <c r="BJ125" s="161">
        <f ca="1">'JACOBIAN - OIS USDOIS'!T134</f>
        <v>-2.7671309921206699E-6</v>
      </c>
      <c r="BK125" s="161">
        <f ca="1">'JACOBIAN - OIS USDOIS'!U134</f>
        <v>-2.49306563071539E-6</v>
      </c>
      <c r="BL125" s="161">
        <f ca="1">'JACOBIAN - OIS USDOIS'!V134</f>
        <v>-5.8238699894852496E-6</v>
      </c>
      <c r="BM125" s="161">
        <f ca="1">'JACOBIAN - OIS USDOIS'!W134</f>
        <v>-4.5584539544174501E-6</v>
      </c>
      <c r="BN125" s="161">
        <f ca="1">'JACOBIAN - OIS USDOIS'!X134</f>
        <v>-2.8031770805458899E-5</v>
      </c>
      <c r="BO125" s="161">
        <f ca="1">'JACOBIAN - OIS USDOIS'!Y134</f>
        <v>-9.9559173637464599E-6</v>
      </c>
      <c r="BP125" s="161">
        <f ca="1">'JACOBIAN - OIS USDOIS'!Z134</f>
        <v>-8.6562409298940297E-5</v>
      </c>
      <c r="BQ125" s="161">
        <f ca="1">'JACOBIAN - OIS USDOIS'!AA134</f>
        <v>3.8762532202141202E-5</v>
      </c>
      <c r="BR125" s="161">
        <f ca="1">'JACOBIAN - OIS USDOIS'!AB134</f>
        <v>-4.9603841104128897E-4</v>
      </c>
      <c r="BS125" s="161">
        <f ca="1">'JACOBIAN - OIS USDOIS'!AC134</f>
        <v>1.5823236680545499E-3</v>
      </c>
      <c r="BT125" s="161">
        <f ca="1">'JACOBIAN - OIS USDOIS'!AD134</f>
        <v>7.6821984481534301E-4</v>
      </c>
      <c r="BU125">
        <f ca="1">'JACOBIAN - OIS USDOIS'!AE134</f>
        <v>9.7188563863426204E-7</v>
      </c>
      <c r="BV125">
        <f ca="1">'JACOBIAN - OIS USDOIS'!AF134</f>
        <v>2.7207492105940598E-6</v>
      </c>
      <c r="BW125">
        <f ca="1">'JACOBIAN - OIS USDOIS'!AG134</f>
        <v>2.4526411381842199E-6</v>
      </c>
      <c r="BX125">
        <f ca="1">'JACOBIAN - OIS USDOIS'!AH134</f>
        <v>5.7301722905522797E-6</v>
      </c>
      <c r="BY125">
        <f ca="1">'JACOBIAN - OIS USDOIS'!AI134</f>
        <v>4.4782993059433502E-6</v>
      </c>
      <c r="BZ125">
        <f ca="1">'JACOBIAN - OIS USDOIS'!AJ134</f>
        <v>2.7577238465137401E-5</v>
      </c>
      <c r="CA125">
        <f ca="1">'JACOBIAN - OIS USDOIS'!AK134</f>
        <v>9.7712872243471693E-6</v>
      </c>
      <c r="CB125">
        <f ca="1">'JACOBIAN - OIS USDOIS'!AL134</f>
        <v>8.5198146341447498E-5</v>
      </c>
      <c r="CC125">
        <f ca="1">'JACOBIAN - OIS USDOIS'!AM134</f>
        <v>-3.8313605165263303E-5</v>
      </c>
      <c r="CD125">
        <f ca="1">'JACOBIAN - OIS USDOIS'!AN134</f>
        <v>4.8881756971308498E-4</v>
      </c>
      <c r="CE125">
        <f ca="1">'JACOBIAN - OIS USDOIS'!AO134</f>
        <v>-1.55640586514749E-3</v>
      </c>
      <c r="CF125">
        <f ca="1">'JACOBIAN - OIS USDOIS'!AP134</f>
        <v>-7.5719132139728796E-4</v>
      </c>
      <c r="CK125" s="248">
        <f t="shared" ca="1" si="118"/>
        <v>53769</v>
      </c>
      <c r="CL125">
        <f t="shared" ca="1" si="119"/>
        <v>-7.0086153114434801E-7</v>
      </c>
      <c r="CM125">
        <f t="shared" ca="1" si="120"/>
        <v>5.0063397871724601E-11</v>
      </c>
      <c r="CN125">
        <f t="shared" ca="1" si="121"/>
        <v>-2.0122847832482199E-10</v>
      </c>
      <c r="CO125">
        <f t="shared" ca="1" si="122"/>
        <v>5.2869286726320297E-10</v>
      </c>
      <c r="CP125">
        <f t="shared" ca="1" si="123"/>
        <v>-6.8055761026641903E-10</v>
      </c>
      <c r="CQ125">
        <f t="shared" ca="1" si="124"/>
        <v>1.53993873208691E-9</v>
      </c>
      <c r="CR125">
        <f t="shared" ca="1" si="125"/>
        <v>-1.41529267194684E-8</v>
      </c>
      <c r="CS125">
        <f t="shared" ca="1" si="126"/>
        <v>1.8822901681758701E-8</v>
      </c>
      <c r="CT125">
        <f t="shared" ca="1" si="127"/>
        <v>-7.2473322898503096E-8</v>
      </c>
      <c r="CU125">
        <f t="shared" ca="1" si="128"/>
        <v>4.0615324958803701E-7</v>
      </c>
      <c r="CV125">
        <f t="shared" ca="1" si="129"/>
        <v>-2.5746808895998901E-7</v>
      </c>
      <c r="CW125">
        <f t="shared" ca="1" si="130"/>
        <v>5.2735593669694898E-14</v>
      </c>
      <c r="CX125">
        <f t="shared" ca="1" si="131"/>
        <v>5.2735593669694898E-14</v>
      </c>
      <c r="CY125">
        <f t="shared" ca="1" si="132"/>
        <v>5.2735593669694898E-14</v>
      </c>
      <c r="CZ125">
        <f t="shared" ca="1" si="133"/>
        <v>5.2735593669694898E-14</v>
      </c>
      <c r="DA125">
        <f t="shared" ca="1" si="134"/>
        <v>5.2735593669694898E-14</v>
      </c>
      <c r="DB125" s="146">
        <v>0</v>
      </c>
      <c r="DC125" s="146">
        <v>0</v>
      </c>
      <c r="DD125" s="146">
        <v>0</v>
      </c>
      <c r="DE125" s="146">
        <v>0</v>
      </c>
      <c r="DF125" s="146">
        <v>0</v>
      </c>
      <c r="DG125" s="146">
        <v>0</v>
      </c>
      <c r="DH125" s="146">
        <v>0</v>
      </c>
      <c r="DI125" s="146">
        <v>0</v>
      </c>
      <c r="DJ125" s="146">
        <v>0</v>
      </c>
      <c r="DK125" s="146">
        <v>0</v>
      </c>
      <c r="DL125" s="146">
        <v>0</v>
      </c>
      <c r="DM125" s="146">
        <v>0</v>
      </c>
      <c r="DN125">
        <f t="shared" ca="1" si="135"/>
        <v>9.7188563863426204E-7</v>
      </c>
      <c r="DO125">
        <f t="shared" ca="1" si="136"/>
        <v>2.7207492105940598E-6</v>
      </c>
      <c r="DP125">
        <f t="shared" ca="1" si="137"/>
        <v>2.4526411381842199E-6</v>
      </c>
      <c r="DQ125">
        <f t="shared" ca="1" si="138"/>
        <v>5.7301722905522797E-6</v>
      </c>
      <c r="DR125">
        <f t="shared" ca="1" si="139"/>
        <v>4.4782993059433502E-6</v>
      </c>
      <c r="DS125">
        <f t="shared" ca="1" si="140"/>
        <v>2.7577238465137401E-5</v>
      </c>
      <c r="DT125">
        <f t="shared" ca="1" si="141"/>
        <v>9.7712872243471693E-6</v>
      </c>
      <c r="DU125">
        <f t="shared" ca="1" si="142"/>
        <v>8.5198146341447498E-5</v>
      </c>
      <c r="DV125">
        <f t="shared" ca="1" si="143"/>
        <v>-3.8313605165263303E-5</v>
      </c>
      <c r="DW125">
        <f t="shared" ca="1" si="144"/>
        <v>4.8881756971308498E-4</v>
      </c>
      <c r="DX125">
        <f t="shared" ca="1" si="145"/>
        <v>-1.55640586514749E-3</v>
      </c>
      <c r="DY125">
        <f t="shared" ca="1" si="146"/>
        <v>-7.5719132139728796E-4</v>
      </c>
      <c r="ED125" s="248">
        <f ca="1">'JACOBIAN - SWAP USD3ML'!B134</f>
        <v>53769</v>
      </c>
      <c r="EE125">
        <f ca="1">'JACOBIAN - SWAP USD3ML'!C134</f>
        <v>-4.31828184321859E-13</v>
      </c>
      <c r="EF125">
        <f ca="1">'JACOBIAN - SWAP USD3ML'!D134</f>
        <v>1.3071283638810301E-11</v>
      </c>
      <c r="EG125">
        <f ca="1">'JACOBIAN - SWAP USD3ML'!E134</f>
        <v>-6.9162071902883997E-12</v>
      </c>
      <c r="EH125">
        <f ca="1">'JACOBIAN - SWAP USD3ML'!F134</f>
        <v>-4.3009346084588199E-13</v>
      </c>
      <c r="EI125">
        <f ca="1">'JACOBIAN - SWAP USD3ML'!G134</f>
        <v>-2.9194008321908902E-13</v>
      </c>
      <c r="EJ125">
        <f ca="1">'JACOBIAN - SWAP USD3ML'!H134</f>
        <v>1.2168526603018E-11</v>
      </c>
      <c r="EK125">
        <f ca="1">'JACOBIAN - SWAP USD3ML'!I134</f>
        <v>5.7884114168515997E-12</v>
      </c>
      <c r="EL125">
        <f ca="1">'JACOBIAN - SWAP USD3ML'!J134</f>
        <v>5.8361995791678104E-12</v>
      </c>
      <c r="EM125">
        <f ca="1">'JACOBIAN - SWAP USD3ML'!K134</f>
        <v>5.8726912222084601E-12</v>
      </c>
      <c r="EN125">
        <f ca="1">'JACOBIAN - SWAP USD3ML'!L134</f>
        <v>5.8318558315839701E-12</v>
      </c>
      <c r="EO125">
        <f ca="1">'JACOBIAN - SWAP USD3ML'!M134</f>
        <v>5.7971023814662499E-12</v>
      </c>
      <c r="EP125">
        <f ca="1">'JACOBIAN - SWAP USD3ML'!N134</f>
        <v>1.47855616638992E-11</v>
      </c>
      <c r="EQ125">
        <f ca="1">'JACOBIAN - SWAP USD3ML'!O134</f>
        <v>-3.5974440787400799E-10</v>
      </c>
      <c r="ER125">
        <f ca="1">'JACOBIAN - SWAP USD3ML'!P134</f>
        <v>1.7369297285185801E-9</v>
      </c>
      <c r="ES125">
        <f ca="1">'JACOBIAN - SWAP USD3ML'!Q134</f>
        <v>-4.3339054081603698E-9</v>
      </c>
      <c r="ET125">
        <f ca="1">'JACOBIAN - SWAP USD3ML'!R134</f>
        <v>3.8216403954599602E-8</v>
      </c>
      <c r="EU125">
        <f ca="1">'JACOBIAN - SWAP USD3ML'!S134</f>
        <v>-1.9910301841952199E-7</v>
      </c>
      <c r="EV125">
        <f ca="1">'JACOBIAN - SWAP USD3ML'!T134</f>
        <v>8.6598825154229897E-7</v>
      </c>
      <c r="EW125">
        <f ca="1">'JACOBIAN - SWAP USD3ML'!U134</f>
        <v>-1.9316600997007498E-6</v>
      </c>
      <c r="EX125">
        <f ca="1">'JACOBIAN - SWAP USD3ML'!V134</f>
        <v>4.2775372626584199E-6</v>
      </c>
      <c r="EY125">
        <f ca="1">'JACOBIAN - SWAP USD3ML'!W134</f>
        <v>-1.0264846223455301E-5</v>
      </c>
      <c r="EZ125">
        <f ca="1">'JACOBIAN - SWAP USD3ML'!X134</f>
        <v>4.0891092184476597E-5</v>
      </c>
      <c r="FA125">
        <f ca="1">'JACOBIAN - SWAP USD3ML'!Y134</f>
        <v>-7.1807577074044899E-4</v>
      </c>
      <c r="FB125">
        <f ca="1">'JACOBIAN - SWAP USD3ML'!Z134</f>
        <v>7.8277077795098002E-4</v>
      </c>
    </row>
    <row r="126" spans="24:158" x14ac:dyDescent="0.25">
      <c r="X126" s="258">
        <f t="shared" ca="1" si="113"/>
        <v>53860</v>
      </c>
      <c r="Y126" s="261">
        <v>0</v>
      </c>
      <c r="AA126" s="257">
        <f t="shared" ca="1" si="110"/>
        <v>53860</v>
      </c>
      <c r="AB126" s="266">
        <f t="shared" ca="1" si="114"/>
        <v>-1.7333100413799971E-3</v>
      </c>
      <c r="AC126" s="266"/>
      <c r="AD126" s="290">
        <f ca="1"/>
        <v>53860</v>
      </c>
      <c r="AE126" s="291">
        <f ca="1"/>
        <v>-1.7333100413799984E-3</v>
      </c>
      <c r="AF126" s="291" t="b">
        <f t="shared" ca="1" si="111"/>
        <v>1</v>
      </c>
      <c r="AH126" s="257">
        <f t="shared" ca="1" si="115"/>
        <v>53860</v>
      </c>
      <c r="AI126" s="260">
        <v>0</v>
      </c>
      <c r="AK126" s="290">
        <f ca="1"/>
        <v>53860</v>
      </c>
      <c r="AL126" s="291">
        <f ca="1"/>
        <v>9.8387860575258751E-5</v>
      </c>
      <c r="AM126" s="291" t="b">
        <f t="shared" ca="1" si="116"/>
        <v>1</v>
      </c>
      <c r="AO126" s="257">
        <f t="shared" ca="1" si="117"/>
        <v>53860</v>
      </c>
      <c r="AP126" s="266">
        <f t="shared" ca="1" si="112"/>
        <v>9.8387860575259185E-5</v>
      </c>
      <c r="AR126" s="248">
        <f ca="1">'JACOBIAN - OIS USDOIS'!B135</f>
        <v>53860</v>
      </c>
      <c r="AS126">
        <f ca="1">'JACOBIAN - OIS USDOIS'!C135</f>
        <v>-6.97913829394992E-7</v>
      </c>
      <c r="AT126">
        <f ca="1">'JACOBIAN - OIS USDOIS'!D135</f>
        <v>5.0031534470917898E-11</v>
      </c>
      <c r="AU126">
        <f ca="1">'JACOBIAN - OIS USDOIS'!E135</f>
        <v>-2.0097201680613399E-10</v>
      </c>
      <c r="AV126">
        <f ca="1">'JACOBIAN - OIS USDOIS'!F135</f>
        <v>5.2804516315063696E-10</v>
      </c>
      <c r="AW126">
        <f ca="1">'JACOBIAN - OIS USDOIS'!G135</f>
        <v>-6.7972194539578399E-10</v>
      </c>
      <c r="AX126">
        <f ca="1">'JACOBIAN - OIS USDOIS'!H135</f>
        <v>1.5380693385580501E-9</v>
      </c>
      <c r="AY126">
        <f ca="1">'JACOBIAN - OIS USDOIS'!I135</f>
        <v>-1.41121485608409E-8</v>
      </c>
      <c r="AZ126">
        <f ca="1">'JACOBIAN - OIS USDOIS'!J135</f>
        <v>1.87998590028826E-8</v>
      </c>
      <c r="BA126">
        <f ca="1">'JACOBIAN - OIS USDOIS'!K135</f>
        <v>-7.23845701156023E-8</v>
      </c>
      <c r="BB126">
        <f ca="1">'JACOBIAN - OIS USDOIS'!L135</f>
        <v>4.0485855878902299E-7</v>
      </c>
      <c r="BC126">
        <f ca="1">'JACOBIAN - OIS USDOIS'!M135</f>
        <v>-2.5708211059960499E-7</v>
      </c>
      <c r="BD126">
        <f ca="1">'JACOBIAN - OIS USDOIS'!N135</f>
        <v>6.6613381477509405E-14</v>
      </c>
      <c r="BE126">
        <f ca="1">'JACOBIAN - OIS USDOIS'!O135</f>
        <v>6.6613381477509405E-14</v>
      </c>
      <c r="BF126">
        <f ca="1">'JACOBIAN - OIS USDOIS'!P135</f>
        <v>6.6613381477509405E-14</v>
      </c>
      <c r="BG126">
        <f ca="1">'JACOBIAN - OIS USDOIS'!Q135</f>
        <v>6.6613381477509405E-14</v>
      </c>
      <c r="BH126">
        <f ca="1">'JACOBIAN - OIS USDOIS'!R135</f>
        <v>6.6613381477509405E-14</v>
      </c>
      <c r="BI126" s="161">
        <f ca="1">'JACOBIAN - OIS USDOIS'!S135</f>
        <v>-9.8700512562999208E-7</v>
      </c>
      <c r="BJ126" s="161">
        <f ca="1">'JACOBIAN - OIS USDOIS'!T135</f>
        <v>-2.7549047749708698E-6</v>
      </c>
      <c r="BK126" s="161">
        <f ca="1">'JACOBIAN - OIS USDOIS'!U135</f>
        <v>-2.4882174757268099E-6</v>
      </c>
      <c r="BL126" s="161">
        <f ca="1">'JACOBIAN - OIS USDOIS'!V135</f>
        <v>-5.7828547769256397E-6</v>
      </c>
      <c r="BM126" s="161">
        <f ca="1">'JACOBIAN - OIS USDOIS'!W135</f>
        <v>-4.5769079147772703E-6</v>
      </c>
      <c r="BN126" s="161">
        <f ca="1">'JACOBIAN - OIS USDOIS'!X135</f>
        <v>-2.78549112575632E-5</v>
      </c>
      <c r="BO126" s="161">
        <f ca="1">'JACOBIAN - OIS USDOIS'!Y135</f>
        <v>-1.0248862533201999E-5</v>
      </c>
      <c r="BP126" s="161">
        <f ca="1">'JACOBIAN - OIS USDOIS'!Z135</f>
        <v>-8.5272085330156995E-5</v>
      </c>
      <c r="BQ126" s="161">
        <f ca="1">'JACOBIAN - OIS USDOIS'!AA135</f>
        <v>3.6701882603185097E-5</v>
      </c>
      <c r="BR126" s="161">
        <f ca="1">'JACOBIAN - OIS USDOIS'!AB135</f>
        <v>-4.8836233510418702E-4</v>
      </c>
      <c r="BS126" s="161">
        <f ca="1">'JACOBIAN - OIS USDOIS'!AC135</f>
        <v>1.4647877928032299E-3</v>
      </c>
      <c r="BT126" s="161">
        <f ca="1">'JACOBIAN - OIS USDOIS'!AD135</f>
        <v>8.8717829183093699E-4</v>
      </c>
      <c r="BU126">
        <f ca="1">'JACOBIAN - OIS USDOIS'!AE135</f>
        <v>9.6887307887705297E-7</v>
      </c>
      <c r="BV126">
        <f ca="1">'JACOBIAN - OIS USDOIS'!AF135</f>
        <v>2.70872773155961E-6</v>
      </c>
      <c r="BW126">
        <f ca="1">'JACOBIAN - OIS USDOIS'!AG135</f>
        <v>2.4478723907872501E-6</v>
      </c>
      <c r="BX126">
        <f ca="1">'JACOBIAN - OIS USDOIS'!AH135</f>
        <v>5.6898104412450604E-6</v>
      </c>
      <c r="BY126">
        <f ca="1">'JACOBIAN - OIS USDOIS'!AI135</f>
        <v>4.4964844719830302E-6</v>
      </c>
      <c r="BZ126">
        <f ca="1">'JACOBIAN - OIS USDOIS'!AJ135</f>
        <v>2.74032076200692E-5</v>
      </c>
      <c r="CA126">
        <f ca="1">'JACOBIAN - OIS USDOIS'!AK135</f>
        <v>1.00597605409147E-5</v>
      </c>
      <c r="CB126">
        <f ca="1">'JACOBIAN - OIS USDOIS'!AL135</f>
        <v>8.3927364962654795E-5</v>
      </c>
      <c r="CC126">
        <f ca="1">'JACOBIAN - OIS USDOIS'!AM135</f>
        <v>-3.62838416946287E-5</v>
      </c>
      <c r="CD126">
        <f ca="1">'JACOBIAN - OIS USDOIS'!AN135</f>
        <v>4.8124558514295302E-4</v>
      </c>
      <c r="CE126">
        <f ca="1">'JACOBIAN - OIS USDOIS'!AO135</f>
        <v>-1.4410842660857999E-3</v>
      </c>
      <c r="CF126">
        <f ca="1">'JACOBIAN - OIS USDOIS'!AP135</f>
        <v>-8.7427302152487396E-4</v>
      </c>
      <c r="CK126" s="248">
        <f t="shared" ca="1" si="118"/>
        <v>53860</v>
      </c>
      <c r="CL126">
        <f t="shared" ca="1" si="119"/>
        <v>-6.97913829394992E-7</v>
      </c>
      <c r="CM126">
        <f t="shared" ca="1" si="120"/>
        <v>5.0031534470917898E-11</v>
      </c>
      <c r="CN126">
        <f t="shared" ca="1" si="121"/>
        <v>-2.0097201680613399E-10</v>
      </c>
      <c r="CO126">
        <f t="shared" ca="1" si="122"/>
        <v>5.2804516315063696E-10</v>
      </c>
      <c r="CP126">
        <f t="shared" ca="1" si="123"/>
        <v>-6.7972194539578399E-10</v>
      </c>
      <c r="CQ126">
        <f t="shared" ca="1" si="124"/>
        <v>1.5380693385580501E-9</v>
      </c>
      <c r="CR126">
        <f t="shared" ca="1" si="125"/>
        <v>-1.41121485608409E-8</v>
      </c>
      <c r="CS126">
        <f t="shared" ca="1" si="126"/>
        <v>1.87998590028826E-8</v>
      </c>
      <c r="CT126">
        <f t="shared" ca="1" si="127"/>
        <v>-7.23845701156023E-8</v>
      </c>
      <c r="CU126">
        <f t="shared" ca="1" si="128"/>
        <v>4.0485855878902299E-7</v>
      </c>
      <c r="CV126">
        <f t="shared" ca="1" si="129"/>
        <v>-2.5708211059960499E-7</v>
      </c>
      <c r="CW126">
        <f t="shared" ca="1" si="130"/>
        <v>6.6613381477509405E-14</v>
      </c>
      <c r="CX126">
        <f t="shared" ca="1" si="131"/>
        <v>6.6613381477509405E-14</v>
      </c>
      <c r="CY126">
        <f t="shared" ca="1" si="132"/>
        <v>6.6613381477509405E-14</v>
      </c>
      <c r="CZ126">
        <f t="shared" ca="1" si="133"/>
        <v>6.6613381477509405E-14</v>
      </c>
      <c r="DA126">
        <f t="shared" ca="1" si="134"/>
        <v>6.6613381477509405E-14</v>
      </c>
      <c r="DB126" s="146">
        <v>0</v>
      </c>
      <c r="DC126" s="146">
        <v>0</v>
      </c>
      <c r="DD126" s="146">
        <v>0</v>
      </c>
      <c r="DE126" s="146">
        <v>0</v>
      </c>
      <c r="DF126" s="146">
        <v>0</v>
      </c>
      <c r="DG126" s="146">
        <v>0</v>
      </c>
      <c r="DH126" s="146">
        <v>0</v>
      </c>
      <c r="DI126" s="146">
        <v>0</v>
      </c>
      <c r="DJ126" s="146">
        <v>0</v>
      </c>
      <c r="DK126" s="146">
        <v>0</v>
      </c>
      <c r="DL126" s="146">
        <v>0</v>
      </c>
      <c r="DM126" s="146">
        <v>0</v>
      </c>
      <c r="DN126">
        <f t="shared" ca="1" si="135"/>
        <v>9.6887307887705297E-7</v>
      </c>
      <c r="DO126">
        <f t="shared" ca="1" si="136"/>
        <v>2.70872773155961E-6</v>
      </c>
      <c r="DP126">
        <f t="shared" ca="1" si="137"/>
        <v>2.4478723907872501E-6</v>
      </c>
      <c r="DQ126">
        <f t="shared" ca="1" si="138"/>
        <v>5.6898104412450604E-6</v>
      </c>
      <c r="DR126">
        <f t="shared" ca="1" si="139"/>
        <v>4.4964844719830302E-6</v>
      </c>
      <c r="DS126">
        <f t="shared" ca="1" si="140"/>
        <v>2.74032076200692E-5</v>
      </c>
      <c r="DT126">
        <f t="shared" ca="1" si="141"/>
        <v>1.00597605409147E-5</v>
      </c>
      <c r="DU126">
        <f t="shared" ca="1" si="142"/>
        <v>8.3927364962654795E-5</v>
      </c>
      <c r="DV126">
        <f t="shared" ca="1" si="143"/>
        <v>-3.62838416946287E-5</v>
      </c>
      <c r="DW126">
        <f t="shared" ca="1" si="144"/>
        <v>4.8124558514295302E-4</v>
      </c>
      <c r="DX126">
        <f t="shared" ca="1" si="145"/>
        <v>-1.4410842660857999E-3</v>
      </c>
      <c r="DY126">
        <f t="shared" ca="1" si="146"/>
        <v>-8.7427302152487396E-4</v>
      </c>
      <c r="ED126" s="248">
        <f ca="1">'JACOBIAN - SWAP USD3ML'!B135</f>
        <v>53860</v>
      </c>
      <c r="EE126">
        <f ca="1">'JACOBIAN - SWAP USD3ML'!C135</f>
        <v>-4.31828184321859E-13</v>
      </c>
      <c r="EF126">
        <f ca="1">'JACOBIAN - SWAP USD3ML'!D135</f>
        <v>1.8483478636532899E-11</v>
      </c>
      <c r="EG126">
        <f ca="1">'JACOBIAN - SWAP USD3ML'!E135</f>
        <v>-6.8102017081184097E-12</v>
      </c>
      <c r="EH126">
        <f ca="1">'JACOBIAN - SWAP USD3ML'!F135</f>
        <v>-4.3008999139892998E-13</v>
      </c>
      <c r="EI126">
        <f ca="1">'JACOBIAN - SWAP USD3ML'!G135</f>
        <v>-2.3198803988933001E-13</v>
      </c>
      <c r="EJ126">
        <f ca="1">'JACOBIAN - SWAP USD3ML'!H135</f>
        <v>1.7573768829048901E-11</v>
      </c>
      <c r="EK126">
        <f ca="1">'JACOBIAN - SWAP USD3ML'!I135</f>
        <v>1.1277066086501399E-11</v>
      </c>
      <c r="EL126">
        <f ca="1">'JACOBIAN - SWAP USD3ML'!J135</f>
        <v>1.1305741065559299E-11</v>
      </c>
      <c r="EM126">
        <f ca="1">'JACOBIAN - SWAP USD3ML'!K135</f>
        <v>1.1323116055894601E-11</v>
      </c>
      <c r="EN126">
        <f ca="1">'JACOBIAN - SWAP USD3ML'!L135</f>
        <v>1.12666403984107E-11</v>
      </c>
      <c r="EO126">
        <f ca="1">'JACOBIAN - SWAP USD3ML'!M135</f>
        <v>1.1181493231315899E-11</v>
      </c>
      <c r="EP126">
        <f ca="1">'JACOBIAN - SWAP USD3ML'!N135</f>
        <v>2.6437116384947501E-11</v>
      </c>
      <c r="EQ126">
        <f ca="1">'JACOBIAN - SWAP USD3ML'!O135</f>
        <v>-6.4205770908265503E-10</v>
      </c>
      <c r="ER126">
        <f ca="1">'JACOBIAN - SWAP USD3ML'!P135</f>
        <v>3.1032315848944499E-9</v>
      </c>
      <c r="ES126">
        <f ca="1">'JACOBIAN - SWAP USD3ML'!Q135</f>
        <v>-7.7379919832809596E-9</v>
      </c>
      <c r="ET126">
        <f ca="1">'JACOBIAN - SWAP USD3ML'!R135</f>
        <v>6.8250935340852195E-8</v>
      </c>
      <c r="EU126">
        <f ca="1">'JACOBIAN - SWAP USD3ML'!S135</f>
        <v>-3.55570312322168E-7</v>
      </c>
      <c r="EV126">
        <f ca="1">'JACOBIAN - SWAP USD3ML'!T135</f>
        <v>1.54652824373158E-6</v>
      </c>
      <c r="EW126">
        <f ca="1">'JACOBIAN - SWAP USD3ML'!U135</f>
        <v>-3.4496462981772899E-6</v>
      </c>
      <c r="EX126">
        <f ca="1">'JACOBIAN - SWAP USD3ML'!V135</f>
        <v>7.6390857005302592E-6</v>
      </c>
      <c r="EY126">
        <f ca="1">'JACOBIAN - SWAP USD3ML'!W135</f>
        <v>-1.8331239145758698E-5</v>
      </c>
      <c r="EZ126">
        <f ca="1">'JACOBIAN - SWAP USD3ML'!X135</f>
        <v>7.30293891820534E-5</v>
      </c>
      <c r="FA126">
        <f ca="1">'JACOBIAN - SWAP USD3ML'!Y135</f>
        <v>-7.7444371615956501E-4</v>
      </c>
      <c r="FB126">
        <f ca="1">'JACOBIAN - SWAP USD3ML'!Z135</f>
        <v>8.1268994430322102E-4</v>
      </c>
    </row>
    <row r="127" spans="24:158" x14ac:dyDescent="0.25">
      <c r="X127" s="258">
        <f t="shared" ca="1" si="113"/>
        <v>53952</v>
      </c>
      <c r="Y127" s="261">
        <v>0</v>
      </c>
      <c r="AA127" s="257">
        <f t="shared" ca="1" si="110"/>
        <v>53952</v>
      </c>
      <c r="AB127" s="266">
        <f t="shared" ca="1" si="114"/>
        <v>-1.7417816668036123E-3</v>
      </c>
      <c r="AC127" s="266"/>
      <c r="AD127" s="290">
        <f ca="1"/>
        <v>53952</v>
      </c>
      <c r="AE127" s="291">
        <f ca="1"/>
        <v>-1.7417816668036101E-3</v>
      </c>
      <c r="AF127" s="291" t="b">
        <f t="shared" ca="1" si="111"/>
        <v>1</v>
      </c>
      <c r="AH127" s="257">
        <f t="shared" ca="1" si="115"/>
        <v>53952</v>
      </c>
      <c r="AI127" s="260">
        <v>0</v>
      </c>
      <c r="AK127" s="290">
        <f ca="1"/>
        <v>53952</v>
      </c>
      <c r="AL127" s="291">
        <f ca="1"/>
        <v>9.8398669858279389E-5</v>
      </c>
      <c r="AM127" s="291" t="b">
        <f t="shared" ca="1" si="116"/>
        <v>1</v>
      </c>
      <c r="AO127" s="257">
        <f t="shared" ca="1" si="117"/>
        <v>53952</v>
      </c>
      <c r="AP127" s="266">
        <f t="shared" ca="1" si="112"/>
        <v>9.8398669858279714E-5</v>
      </c>
      <c r="AR127" s="248">
        <f ca="1">'JACOBIAN - OIS USDOIS'!B136</f>
        <v>53952</v>
      </c>
      <c r="AS127">
        <f ca="1">'JACOBIAN - OIS USDOIS'!C136</f>
        <v>-6.9494926036028904E-7</v>
      </c>
      <c r="AT127">
        <f ca="1">'JACOBIAN - OIS USDOIS'!D136</f>
        <v>5.0166204523804897E-11</v>
      </c>
      <c r="AU127">
        <f ca="1">'JACOBIAN - OIS USDOIS'!E136</f>
        <v>-2.0136847744822701E-10</v>
      </c>
      <c r="AV127">
        <f ca="1">'JACOBIAN - OIS USDOIS'!F136</f>
        <v>5.2912174641761598E-10</v>
      </c>
      <c r="AW127">
        <f ca="1">'JACOBIAN - OIS USDOIS'!G136</f>
        <v>-6.8110372897223204E-10</v>
      </c>
      <c r="AX127">
        <f ca="1">'JACOBIAN - OIS USDOIS'!H136</f>
        <v>1.5412173759443699E-9</v>
      </c>
      <c r="AY127">
        <f ca="1">'JACOBIAN - OIS USDOIS'!I136</f>
        <v>-1.4087597532963501E-8</v>
      </c>
      <c r="AZ127">
        <f ca="1">'JACOBIAN - OIS USDOIS'!J136</f>
        <v>1.8838112847419101E-8</v>
      </c>
      <c r="BA127">
        <f ca="1">'JACOBIAN - OIS USDOIS'!K136</f>
        <v>-7.2531788686269696E-8</v>
      </c>
      <c r="BB127">
        <f ca="1">'JACOBIAN - OIS USDOIS'!L136</f>
        <v>4.0389878219748699E-7</v>
      </c>
      <c r="BC127">
        <f ca="1">'JACOBIAN - OIS USDOIS'!M136</f>
        <v>-2.5744446197073501E-7</v>
      </c>
      <c r="BD127">
        <f ca="1">'JACOBIAN - OIS USDOIS'!N136</f>
        <v>8.1601392309949006E-14</v>
      </c>
      <c r="BE127">
        <f ca="1">'JACOBIAN - OIS USDOIS'!O136</f>
        <v>8.1601392309949006E-14</v>
      </c>
      <c r="BF127">
        <f ca="1">'JACOBIAN - OIS USDOIS'!P136</f>
        <v>8.1601392309949006E-14</v>
      </c>
      <c r="BG127">
        <f ca="1">'JACOBIAN - OIS USDOIS'!Q136</f>
        <v>8.1601392309949006E-14</v>
      </c>
      <c r="BH127">
        <f ca="1">'JACOBIAN - OIS USDOIS'!R136</f>
        <v>8.1601392309949006E-14</v>
      </c>
      <c r="BI127" s="161">
        <f ca="1">'JACOBIAN - OIS USDOIS'!S136</f>
        <v>-9.8486171962175504E-7</v>
      </c>
      <c r="BJ127" s="161">
        <f ca="1">'JACOBIAN - OIS USDOIS'!T136</f>
        <v>-2.7407639761056799E-6</v>
      </c>
      <c r="BK127" s="161">
        <f ca="1">'JACOBIAN - OIS USDOIS'!U136</f>
        <v>-2.48940301028622E-6</v>
      </c>
      <c r="BL127" s="161">
        <f ca="1">'JACOBIAN - OIS USDOIS'!V136</f>
        <v>-5.7180415957702701E-6</v>
      </c>
      <c r="BM127" s="161">
        <f ca="1">'JACOBIAN - OIS USDOIS'!W136</f>
        <v>-4.6417305203938497E-6</v>
      </c>
      <c r="BN127" s="161">
        <f ca="1">'JACOBIAN - OIS USDOIS'!X136</f>
        <v>-2.7589818774931301E-5</v>
      </c>
      <c r="BO127" s="161">
        <f ca="1">'JACOBIAN - OIS USDOIS'!Y136</f>
        <v>-1.09677544910536E-5</v>
      </c>
      <c r="BP127" s="161">
        <f ca="1">'JACOBIAN - OIS USDOIS'!Z136</f>
        <v>-8.2752617413195395E-5</v>
      </c>
      <c r="BQ127" s="161">
        <f ca="1">'JACOBIAN - OIS USDOIS'!AA136</f>
        <v>3.2184630625042802E-5</v>
      </c>
      <c r="BR127" s="161">
        <f ca="1">'JACOBIAN - OIS USDOIS'!AB136</f>
        <v>-4.73279630177403E-4</v>
      </c>
      <c r="BS127" s="161">
        <f ca="1">'JACOBIAN - OIS USDOIS'!AC136</f>
        <v>1.33452830313752E-3</v>
      </c>
      <c r="BT127" s="161">
        <f ca="1">'JACOBIAN - OIS USDOIS'!AD136</f>
        <v>1.0130580549582201E-3</v>
      </c>
      <c r="BU127">
        <f ca="1">'JACOBIAN - OIS USDOIS'!AE136</f>
        <v>9.6676956973240593E-7</v>
      </c>
      <c r="BV127">
        <f ca="1">'JACOBIAN - OIS USDOIS'!AF136</f>
        <v>2.69482352766026E-6</v>
      </c>
      <c r="BW127">
        <f ca="1">'JACOBIAN - OIS USDOIS'!AG136</f>
        <v>2.44904057999928E-6</v>
      </c>
      <c r="BX127">
        <f ca="1">'JACOBIAN - OIS USDOIS'!AH136</f>
        <v>5.62602522424793E-6</v>
      </c>
      <c r="BY127">
        <f ca="1">'JACOBIAN - OIS USDOIS'!AI136</f>
        <v>4.5602946160405696E-6</v>
      </c>
      <c r="BZ127">
        <f ca="1">'JACOBIAN - OIS USDOIS'!AJ136</f>
        <v>2.7142324100948301E-5</v>
      </c>
      <c r="CA127">
        <f ca="1">'JACOBIAN - OIS USDOIS'!AK136</f>
        <v>1.0767519881049701E-5</v>
      </c>
      <c r="CB127">
        <f ca="1">'JACOBIAN - OIS USDOIS'!AL136</f>
        <v>8.1445811578650899E-5</v>
      </c>
      <c r="CC127">
        <f ca="1">'JACOBIAN - OIS USDOIS'!AM136</f>
        <v>-3.1834851729861702E-5</v>
      </c>
      <c r="CD127">
        <f ca="1">'JACOBIAN - OIS USDOIS'!AN136</f>
        <v>4.66365696359272E-4</v>
      </c>
      <c r="CE127">
        <f ca="1">'JACOBIAN - OIS USDOIS'!AO136</f>
        <v>-1.31323385870308E-3</v>
      </c>
      <c r="CF127">
        <f ca="1">'JACOBIAN - OIS USDOIS'!AP136</f>
        <v>-9.9811622403589407E-4</v>
      </c>
      <c r="CK127" s="248">
        <f t="shared" ca="1" si="118"/>
        <v>53952</v>
      </c>
      <c r="CL127">
        <f t="shared" ca="1" si="119"/>
        <v>-6.9494926036028904E-7</v>
      </c>
      <c r="CM127">
        <f t="shared" ca="1" si="120"/>
        <v>5.0166204523804897E-11</v>
      </c>
      <c r="CN127">
        <f t="shared" ca="1" si="121"/>
        <v>-2.0136847744822701E-10</v>
      </c>
      <c r="CO127">
        <f t="shared" ca="1" si="122"/>
        <v>5.2912174641761598E-10</v>
      </c>
      <c r="CP127">
        <f t="shared" ca="1" si="123"/>
        <v>-6.8110372897223204E-10</v>
      </c>
      <c r="CQ127">
        <f t="shared" ca="1" si="124"/>
        <v>1.5412173759443699E-9</v>
      </c>
      <c r="CR127">
        <f t="shared" ca="1" si="125"/>
        <v>-1.4087597532963501E-8</v>
      </c>
      <c r="CS127">
        <f t="shared" ca="1" si="126"/>
        <v>1.8838112847419101E-8</v>
      </c>
      <c r="CT127">
        <f t="shared" ca="1" si="127"/>
        <v>-7.2531788686269696E-8</v>
      </c>
      <c r="CU127">
        <f t="shared" ca="1" si="128"/>
        <v>4.0389878219748699E-7</v>
      </c>
      <c r="CV127">
        <f t="shared" ca="1" si="129"/>
        <v>-2.5744446197073501E-7</v>
      </c>
      <c r="CW127">
        <f t="shared" ca="1" si="130"/>
        <v>8.1601392309949006E-14</v>
      </c>
      <c r="CX127">
        <f t="shared" ca="1" si="131"/>
        <v>8.1601392309949006E-14</v>
      </c>
      <c r="CY127">
        <f t="shared" ca="1" si="132"/>
        <v>8.1601392309949006E-14</v>
      </c>
      <c r="CZ127">
        <f t="shared" ca="1" si="133"/>
        <v>8.1601392309949006E-14</v>
      </c>
      <c r="DA127">
        <f t="shared" ca="1" si="134"/>
        <v>8.1601392309949006E-14</v>
      </c>
      <c r="DB127" s="146">
        <v>0</v>
      </c>
      <c r="DC127" s="146">
        <v>0</v>
      </c>
      <c r="DD127" s="146">
        <v>0</v>
      </c>
      <c r="DE127" s="146">
        <v>0</v>
      </c>
      <c r="DF127" s="146">
        <v>0</v>
      </c>
      <c r="DG127" s="146">
        <v>0</v>
      </c>
      <c r="DH127" s="146">
        <v>0</v>
      </c>
      <c r="DI127" s="146">
        <v>0</v>
      </c>
      <c r="DJ127" s="146">
        <v>0</v>
      </c>
      <c r="DK127" s="146">
        <v>0</v>
      </c>
      <c r="DL127" s="146">
        <v>0</v>
      </c>
      <c r="DM127" s="146">
        <v>0</v>
      </c>
      <c r="DN127">
        <f t="shared" ca="1" si="135"/>
        <v>9.6676956973240593E-7</v>
      </c>
      <c r="DO127">
        <f t="shared" ca="1" si="136"/>
        <v>2.69482352766026E-6</v>
      </c>
      <c r="DP127">
        <f t="shared" ca="1" si="137"/>
        <v>2.44904057999928E-6</v>
      </c>
      <c r="DQ127">
        <f t="shared" ca="1" si="138"/>
        <v>5.62602522424793E-6</v>
      </c>
      <c r="DR127">
        <f t="shared" ca="1" si="139"/>
        <v>4.5602946160405696E-6</v>
      </c>
      <c r="DS127">
        <f t="shared" ca="1" si="140"/>
        <v>2.7142324100948301E-5</v>
      </c>
      <c r="DT127">
        <f t="shared" ca="1" si="141"/>
        <v>1.0767519881049701E-5</v>
      </c>
      <c r="DU127">
        <f t="shared" ca="1" si="142"/>
        <v>8.1445811578650899E-5</v>
      </c>
      <c r="DV127">
        <f t="shared" ca="1" si="143"/>
        <v>-3.1834851729861702E-5</v>
      </c>
      <c r="DW127">
        <f t="shared" ca="1" si="144"/>
        <v>4.66365696359272E-4</v>
      </c>
      <c r="DX127">
        <f t="shared" ca="1" si="145"/>
        <v>-1.31323385870308E-3</v>
      </c>
      <c r="DY127">
        <f t="shared" ca="1" si="146"/>
        <v>-9.9811622403589407E-4</v>
      </c>
      <c r="ED127" s="248">
        <f ca="1">'JACOBIAN - SWAP USD3ML'!B136</f>
        <v>53952</v>
      </c>
      <c r="EE127">
        <f ca="1">'JACOBIAN - SWAP USD3ML'!C136</f>
        <v>-4.2954875767442502E-13</v>
      </c>
      <c r="EF127">
        <f ca="1">'JACOBIAN - SWAP USD3ML'!D136</f>
        <v>2.33799785087641E-11</v>
      </c>
      <c r="EG127">
        <f ca="1">'JACOBIAN - SWAP USD3ML'!E136</f>
        <v>-6.7163878625375897E-12</v>
      </c>
      <c r="EH127">
        <f ca="1">'JACOBIAN - SWAP USD3ML'!F136</f>
        <v>-4.31304297832114E-13</v>
      </c>
      <c r="EI127">
        <f ca="1">'JACOBIAN - SWAP USD3ML'!G136</f>
        <v>-1.79200404515356E-13</v>
      </c>
      <c r="EJ127">
        <f ca="1">'JACOBIAN - SWAP USD3ML'!H136</f>
        <v>2.2463787774373901E-11</v>
      </c>
      <c r="EK127">
        <f ca="1">'JACOBIAN - SWAP USD3ML'!I136</f>
        <v>1.6243707767760201E-11</v>
      </c>
      <c r="EL127">
        <f ca="1">'JACOBIAN - SWAP USD3ML'!J136</f>
        <v>1.6254247947600201E-11</v>
      </c>
      <c r="EM127">
        <f ca="1">'JACOBIAN - SWAP USD3ML'!K136</f>
        <v>1.6256006957204899E-11</v>
      </c>
      <c r="EN127">
        <f ca="1">'JACOBIAN - SWAP USD3ML'!L136</f>
        <v>1.61839742995884E-11</v>
      </c>
      <c r="EO127">
        <f ca="1">'JACOBIAN - SWAP USD3ML'!M136</f>
        <v>1.6053092882772901E-11</v>
      </c>
      <c r="EP127">
        <f ca="1">'JACOBIAN - SWAP USD3ML'!N136</f>
        <v>3.6980526280094798E-11</v>
      </c>
      <c r="EQ127">
        <f ca="1">'JACOBIAN - SWAP USD3ML'!O136</f>
        <v>-8.9754226273441904E-10</v>
      </c>
      <c r="ER127">
        <f ca="1">'JACOBIAN - SWAP USD3ML'!P136</f>
        <v>4.3396951934782102E-9</v>
      </c>
      <c r="ES127">
        <f ca="1">'JACOBIAN - SWAP USD3ML'!Q136</f>
        <v>-1.08185978855979E-8</v>
      </c>
      <c r="ET127">
        <f ca="1">'JACOBIAN - SWAP USD3ML'!R136</f>
        <v>9.5431355123798398E-8</v>
      </c>
      <c r="EU127">
        <f ca="1">'JACOBIAN - SWAP USD3ML'!S136</f>
        <v>-4.9716889769998995E-7</v>
      </c>
      <c r="EV127">
        <f ca="1">'JACOBIAN - SWAP USD3ML'!T136</f>
        <v>2.1623982762626602E-6</v>
      </c>
      <c r="EW127">
        <f ca="1">'JACOBIAN - SWAP USD3ML'!U136</f>
        <v>-4.8233815016819598E-6</v>
      </c>
      <c r="EX127">
        <f ca="1">'JACOBIAN - SWAP USD3ML'!V136</f>
        <v>1.06811967200623E-5</v>
      </c>
      <c r="EY127">
        <f ca="1">'JACOBIAN - SWAP USD3ML'!W136</f>
        <v>-2.56310890665544E-5</v>
      </c>
      <c r="EZ127">
        <f ca="1">'JACOBIAN - SWAP USD3ML'!X136</f>
        <v>1.0211387459558101E-4</v>
      </c>
      <c r="FA127">
        <f ca="1">'JACOBIAN - SWAP USD3ML'!Y136</f>
        <v>-8.2542148862227796E-4</v>
      </c>
      <c r="FB127">
        <f ca="1">'JACOBIAN - SWAP USD3ML'!Z136</f>
        <v>8.3972611738553798E-4</v>
      </c>
    </row>
    <row r="128" spans="24:158" x14ac:dyDescent="0.25">
      <c r="X128" s="258">
        <f t="shared" ca="1" si="113"/>
        <v>54043</v>
      </c>
      <c r="Y128" s="261">
        <v>0</v>
      </c>
      <c r="AA128" s="257">
        <f t="shared" ca="1" si="110"/>
        <v>54043</v>
      </c>
      <c r="AB128" s="266">
        <f t="shared" ca="1" si="114"/>
        <v>-1.7500303576978302E-3</v>
      </c>
      <c r="AC128" s="266"/>
      <c r="AD128" s="290">
        <f ca="1"/>
        <v>54043</v>
      </c>
      <c r="AE128" s="291">
        <f ca="1"/>
        <v>-1.7500303576978293E-3</v>
      </c>
      <c r="AF128" s="291" t="b">
        <f t="shared" ca="1" si="111"/>
        <v>1</v>
      </c>
      <c r="AH128" s="257">
        <f t="shared" ca="1" si="115"/>
        <v>54043</v>
      </c>
      <c r="AI128" s="260">
        <v>0</v>
      </c>
      <c r="AK128" s="290">
        <f ca="1"/>
        <v>54043</v>
      </c>
      <c r="AL128" s="291">
        <f ca="1"/>
        <v>9.8415230139391185E-5</v>
      </c>
      <c r="AM128" s="291" t="b">
        <f t="shared" ca="1" si="116"/>
        <v>1</v>
      </c>
      <c r="AO128" s="257">
        <f t="shared" ca="1" si="117"/>
        <v>54043</v>
      </c>
      <c r="AP128" s="266">
        <f t="shared" ca="1" si="112"/>
        <v>9.841523013939086E-5</v>
      </c>
      <c r="AR128" s="248">
        <f ca="1">'JACOBIAN - OIS USDOIS'!B137</f>
        <v>54043</v>
      </c>
      <c r="AS128">
        <f ca="1">'JACOBIAN - OIS USDOIS'!C137</f>
        <v>-6.92031965843221E-7</v>
      </c>
      <c r="AT128">
        <f ca="1">'JACOBIAN - OIS USDOIS'!D137</f>
        <v>5.0449311395084403E-11</v>
      </c>
      <c r="AU128">
        <f ca="1">'JACOBIAN - OIS USDOIS'!E137</f>
        <v>-2.02351357891928E-10</v>
      </c>
      <c r="AV128">
        <f ca="1">'JACOBIAN - OIS USDOIS'!F137</f>
        <v>5.3174664671473703E-10</v>
      </c>
      <c r="AW128">
        <f ca="1">'JACOBIAN - OIS USDOIS'!G137</f>
        <v>-6.8447703061025302E-10</v>
      </c>
      <c r="AX128">
        <f ca="1">'JACOBIAN - OIS USDOIS'!H137</f>
        <v>1.5488712534761399E-9</v>
      </c>
      <c r="AY128">
        <f ca="1">'JACOBIAN - OIS USDOIS'!I137</f>
        <v>-1.4078247234650099E-8</v>
      </c>
      <c r="AZ128">
        <f ca="1">'JACOBIAN - OIS USDOIS'!J137</f>
        <v>1.89314226517467E-8</v>
      </c>
      <c r="BA128">
        <f ca="1">'JACOBIAN - OIS USDOIS'!K137</f>
        <v>-7.2890955604698604E-8</v>
      </c>
      <c r="BB128">
        <f ca="1">'JACOBIAN - OIS USDOIS'!L137</f>
        <v>4.03260964731977E-7</v>
      </c>
      <c r="BC128">
        <f ca="1">'JACOBIAN - OIS USDOIS'!M137</f>
        <v>-2.5848084483914798E-7</v>
      </c>
      <c r="BD128">
        <f ca="1">'JACOBIAN - OIS USDOIS'!N137</f>
        <v>9.7588603864551298E-14</v>
      </c>
      <c r="BE128">
        <f ca="1">'JACOBIAN - OIS USDOIS'!O137</f>
        <v>9.7588603864551298E-14</v>
      </c>
      <c r="BF128">
        <f ca="1">'JACOBIAN - OIS USDOIS'!P137</f>
        <v>9.7588603864551298E-14</v>
      </c>
      <c r="BG128">
        <f ca="1">'JACOBIAN - OIS USDOIS'!Q137</f>
        <v>9.7588603864551298E-14</v>
      </c>
      <c r="BH128">
        <f ca="1">'JACOBIAN - OIS USDOIS'!R137</f>
        <v>9.7588603864551298E-14</v>
      </c>
      <c r="BI128" s="161">
        <f ca="1">'JACOBIAN - OIS USDOIS'!S137</f>
        <v>-9.8359907696465896E-7</v>
      </c>
      <c r="BJ128" s="161">
        <f ca="1">'JACOBIAN - OIS USDOIS'!T137</f>
        <v>-2.7251377383574702E-6</v>
      </c>
      <c r="BK128" s="161">
        <f ca="1">'JACOBIAN - OIS USDOIS'!U137</f>
        <v>-2.49605484425874E-6</v>
      </c>
      <c r="BL128" s="161">
        <f ca="1">'JACOBIAN - OIS USDOIS'!V137</f>
        <v>-5.63275577147859E-6</v>
      </c>
      <c r="BM128" s="161">
        <f ca="1">'JACOBIAN - OIS USDOIS'!W137</f>
        <v>-4.7475547251263401E-6</v>
      </c>
      <c r="BN128" s="161">
        <f ca="1">'JACOBIAN - OIS USDOIS'!X137</f>
        <v>-2.72492706716587E-5</v>
      </c>
      <c r="BO128" s="161">
        <f ca="1">'JACOBIAN - OIS USDOIS'!Y137</f>
        <v>-1.20610561776813E-5</v>
      </c>
      <c r="BP128" s="161">
        <f ca="1">'JACOBIAN - OIS USDOIS'!Z137</f>
        <v>-7.9160759457352903E-5</v>
      </c>
      <c r="BQ128" s="161">
        <f ca="1">'JACOBIAN - OIS USDOIS'!AA137</f>
        <v>2.5514764925405101E-5</v>
      </c>
      <c r="BR128" s="161">
        <f ca="1">'JACOBIAN - OIS USDOIS'!AB137</f>
        <v>-4.5173271385479102E-4</v>
      </c>
      <c r="BS128" s="161">
        <f ca="1">'JACOBIAN - OIS USDOIS'!AC137</f>
        <v>1.1952683998829299E-3</v>
      </c>
      <c r="BT128" s="161">
        <f ca="1">'JACOBIAN - OIS USDOIS'!AD137</f>
        <v>1.1427236577801201E-3</v>
      </c>
      <c r="BU128">
        <f ca="1">'JACOBIAN - OIS USDOIS'!AE137</f>
        <v>9.6553087669537497E-7</v>
      </c>
      <c r="BV128">
        <f ca="1">'JACOBIAN - OIS USDOIS'!AF137</f>
        <v>2.67945857701513E-6</v>
      </c>
      <c r="BW128">
        <f ca="1">'JACOBIAN - OIS USDOIS'!AG137</f>
        <v>2.45558738487528E-6</v>
      </c>
      <c r="BX128">
        <f ca="1">'JACOBIAN - OIS USDOIS'!AH137</f>
        <v>5.5420894888857896E-6</v>
      </c>
      <c r="BY128">
        <f ca="1">'JACOBIAN - OIS USDOIS'!AI137</f>
        <v>4.66444831215274E-6</v>
      </c>
      <c r="BZ128">
        <f ca="1">'JACOBIAN - OIS USDOIS'!AJ137</f>
        <v>2.6807164317355101E-5</v>
      </c>
      <c r="CA128">
        <f ca="1">'JACOBIAN - OIS USDOIS'!AK137</f>
        <v>1.1843834993752199E-5</v>
      </c>
      <c r="CB128">
        <f ca="1">'JACOBIAN - OIS USDOIS'!AL137</f>
        <v>7.7907915742692096E-5</v>
      </c>
      <c r="CC128">
        <f ca="1">'JACOBIAN - OIS USDOIS'!AM137</f>
        <v>-2.5265912659277999E-5</v>
      </c>
      <c r="CD128">
        <f ca="1">'JACOBIAN - OIS USDOIS'!AN137</f>
        <v>4.4510857538193599E-4</v>
      </c>
      <c r="CE128">
        <f ca="1">'JACOBIAN - OIS USDOIS'!AO137</f>
        <v>-1.1764958859104E-3</v>
      </c>
      <c r="CF128">
        <f ca="1">'JACOBIAN - OIS USDOIS'!AP137</f>
        <v>-1.1256291193041401E-3</v>
      </c>
      <c r="CK128" s="248">
        <f t="shared" ca="1" si="118"/>
        <v>54043</v>
      </c>
      <c r="CL128">
        <f t="shared" ca="1" si="119"/>
        <v>-6.92031965843221E-7</v>
      </c>
      <c r="CM128">
        <f t="shared" ca="1" si="120"/>
        <v>5.0449311395084403E-11</v>
      </c>
      <c r="CN128">
        <f t="shared" ca="1" si="121"/>
        <v>-2.02351357891928E-10</v>
      </c>
      <c r="CO128">
        <f t="shared" ca="1" si="122"/>
        <v>5.3174664671473703E-10</v>
      </c>
      <c r="CP128">
        <f t="shared" ca="1" si="123"/>
        <v>-6.8447703061025302E-10</v>
      </c>
      <c r="CQ128">
        <f t="shared" ca="1" si="124"/>
        <v>1.5488712534761399E-9</v>
      </c>
      <c r="CR128">
        <f t="shared" ca="1" si="125"/>
        <v>-1.4078247234650099E-8</v>
      </c>
      <c r="CS128">
        <f t="shared" ca="1" si="126"/>
        <v>1.89314226517467E-8</v>
      </c>
      <c r="CT128">
        <f t="shared" ca="1" si="127"/>
        <v>-7.2890955604698604E-8</v>
      </c>
      <c r="CU128">
        <f t="shared" ca="1" si="128"/>
        <v>4.03260964731977E-7</v>
      </c>
      <c r="CV128">
        <f t="shared" ca="1" si="129"/>
        <v>-2.5848084483914798E-7</v>
      </c>
      <c r="CW128">
        <f t="shared" ca="1" si="130"/>
        <v>9.7588603864551298E-14</v>
      </c>
      <c r="CX128">
        <f t="shared" ca="1" si="131"/>
        <v>9.7588603864551298E-14</v>
      </c>
      <c r="CY128">
        <f t="shared" ca="1" si="132"/>
        <v>9.7588603864551298E-14</v>
      </c>
      <c r="CZ128">
        <f t="shared" ca="1" si="133"/>
        <v>9.7588603864551298E-14</v>
      </c>
      <c r="DA128">
        <f t="shared" ca="1" si="134"/>
        <v>9.7588603864551298E-14</v>
      </c>
      <c r="DB128" s="146">
        <v>0</v>
      </c>
      <c r="DC128" s="146">
        <v>0</v>
      </c>
      <c r="DD128" s="146">
        <v>0</v>
      </c>
      <c r="DE128" s="146">
        <v>0</v>
      </c>
      <c r="DF128" s="146">
        <v>0</v>
      </c>
      <c r="DG128" s="146">
        <v>0</v>
      </c>
      <c r="DH128" s="146">
        <v>0</v>
      </c>
      <c r="DI128" s="146">
        <v>0</v>
      </c>
      <c r="DJ128" s="146">
        <v>0</v>
      </c>
      <c r="DK128" s="146">
        <v>0</v>
      </c>
      <c r="DL128" s="146">
        <v>0</v>
      </c>
      <c r="DM128" s="146">
        <v>0</v>
      </c>
      <c r="DN128">
        <f t="shared" ca="1" si="135"/>
        <v>9.6553087669537497E-7</v>
      </c>
      <c r="DO128">
        <f t="shared" ca="1" si="136"/>
        <v>2.67945857701513E-6</v>
      </c>
      <c r="DP128">
        <f t="shared" ca="1" si="137"/>
        <v>2.45558738487528E-6</v>
      </c>
      <c r="DQ128">
        <f t="shared" ca="1" si="138"/>
        <v>5.5420894888857896E-6</v>
      </c>
      <c r="DR128">
        <f t="shared" ca="1" si="139"/>
        <v>4.66444831215274E-6</v>
      </c>
      <c r="DS128">
        <f t="shared" ca="1" si="140"/>
        <v>2.6807164317355101E-5</v>
      </c>
      <c r="DT128">
        <f t="shared" ca="1" si="141"/>
        <v>1.1843834993752199E-5</v>
      </c>
      <c r="DU128">
        <f t="shared" ca="1" si="142"/>
        <v>7.7907915742692096E-5</v>
      </c>
      <c r="DV128">
        <f t="shared" ca="1" si="143"/>
        <v>-2.5265912659277999E-5</v>
      </c>
      <c r="DW128">
        <f t="shared" ca="1" si="144"/>
        <v>4.4510857538193599E-4</v>
      </c>
      <c r="DX128">
        <f t="shared" ca="1" si="145"/>
        <v>-1.1764958859104E-3</v>
      </c>
      <c r="DY128">
        <f t="shared" ca="1" si="146"/>
        <v>-1.1256291193041401E-3</v>
      </c>
      <c r="ED128" s="248">
        <f ca="1">'JACOBIAN - SWAP USD3ML'!B137</f>
        <v>54043</v>
      </c>
      <c r="EE128">
        <f ca="1">'JACOBIAN - SWAP USD3ML'!C137</f>
        <v>-4.3042305830631698E-13</v>
      </c>
      <c r="EF128">
        <f ca="1">'JACOBIAN - SWAP USD3ML'!D137</f>
        <v>2.77088248179513E-11</v>
      </c>
      <c r="EG128">
        <f ca="1">'JACOBIAN - SWAP USD3ML'!E137</f>
        <v>-6.6303004753187598E-12</v>
      </c>
      <c r="EH128">
        <f ca="1">'JACOBIAN - SWAP USD3ML'!F137</f>
        <v>-4.28667518148629E-13</v>
      </c>
      <c r="EI128">
        <f ca="1">'JACOBIAN - SWAP USD3ML'!G137</f>
        <v>-1.3000711618360601E-13</v>
      </c>
      <c r="EJ128">
        <f ca="1">'JACOBIAN - SWAP USD3ML'!H137</f>
        <v>2.67899973038777E-11</v>
      </c>
      <c r="EK128">
        <f ca="1">'JACOBIAN - SWAP USD3ML'!I137</f>
        <v>2.06358020948816E-11</v>
      </c>
      <c r="EL128">
        <f ca="1">'JACOBIAN - SWAP USD3ML'!J137</f>
        <v>2.06314097750404E-11</v>
      </c>
      <c r="EM128">
        <f ca="1">'JACOBIAN - SWAP USD3ML'!K137</f>
        <v>2.0617355045438001E-11</v>
      </c>
      <c r="EN128">
        <f ca="1">'JACOBIAN - SWAP USD3ML'!L137</f>
        <v>2.0532148897745001E-11</v>
      </c>
      <c r="EO128">
        <f ca="1">'JACOBIAN - SWAP USD3ML'!M137</f>
        <v>2.0360855362833199E-11</v>
      </c>
      <c r="EP128">
        <f ca="1">'JACOBIAN - SWAP USD3ML'!N137</f>
        <v>4.6304939049779399E-11</v>
      </c>
      <c r="EQ128">
        <f ca="1">'JACOBIAN - SWAP USD3ML'!O137</f>
        <v>-1.1234380439817399E-9</v>
      </c>
      <c r="ER128">
        <f ca="1">'JACOBIAN - SWAP USD3ML'!P137</f>
        <v>5.4329613342896099E-9</v>
      </c>
      <c r="ES128">
        <f ca="1">'JACOBIAN - SWAP USD3ML'!Q137</f>
        <v>-1.35424252020733E-8</v>
      </c>
      <c r="ET128">
        <f ca="1">'JACOBIAN - SWAP USD3ML'!R137</f>
        <v>1.1946391216891001E-7</v>
      </c>
      <c r="EU128">
        <f ca="1">'JACOBIAN - SWAP USD3ML'!S137</f>
        <v>-6.22368418780328E-7</v>
      </c>
      <c r="EV128">
        <f ca="1">'JACOBIAN - SWAP USD3ML'!T137</f>
        <v>2.7069421983071098E-6</v>
      </c>
      <c r="EW128">
        <f ca="1">'JACOBIAN - SWAP USD3ML'!U137</f>
        <v>-6.0380189165036602E-6</v>
      </c>
      <c r="EX128">
        <f ca="1">'JACOBIAN - SWAP USD3ML'!V137</f>
        <v>1.3370991574605799E-5</v>
      </c>
      <c r="EY128">
        <f ca="1">'JACOBIAN - SWAP USD3ML'!W137</f>
        <v>-3.2085504698846397E-5</v>
      </c>
      <c r="EZ128">
        <f ca="1">'JACOBIAN - SWAP USD3ML'!X137</f>
        <v>1.27830161295701E-4</v>
      </c>
      <c r="FA128">
        <f ca="1">'JACOBIAN - SWAP USD3ML'!Y137</f>
        <v>-8.7052406510466896E-4</v>
      </c>
      <c r="FB128">
        <f ca="1">'JACOBIAN - SWAP USD3ML'!Z137</f>
        <v>8.6366666523738495E-4</v>
      </c>
    </row>
    <row r="129" spans="24:158" x14ac:dyDescent="0.25">
      <c r="X129" s="258">
        <f t="shared" ca="1" si="113"/>
        <v>54134</v>
      </c>
      <c r="Y129" s="261">
        <v>0</v>
      </c>
      <c r="AA129" s="257">
        <f t="shared" ca="1" si="110"/>
        <v>54134</v>
      </c>
      <c r="AB129" s="266">
        <f t="shared" ca="1" si="114"/>
        <v>-1.7581370747890069E-3</v>
      </c>
      <c r="AC129" s="266"/>
      <c r="AD129" s="290">
        <f ca="1"/>
        <v>54134</v>
      </c>
      <c r="AE129" s="291">
        <f ca="1"/>
        <v>-1.7581370747890013E-3</v>
      </c>
      <c r="AF129" s="291" t="b">
        <f t="shared" ca="1" si="111"/>
        <v>1</v>
      </c>
      <c r="AH129" s="257">
        <f t="shared" ca="1" si="115"/>
        <v>54134</v>
      </c>
      <c r="AI129" s="260">
        <v>0</v>
      </c>
      <c r="AK129" s="290">
        <f ca="1"/>
        <v>54134</v>
      </c>
      <c r="AL129" s="291">
        <f ca="1"/>
        <v>9.8437909686197836E-5</v>
      </c>
      <c r="AM129" s="291" t="b">
        <f t="shared" ca="1" si="116"/>
        <v>1</v>
      </c>
      <c r="AO129" s="257">
        <f t="shared" ca="1" si="117"/>
        <v>54134</v>
      </c>
      <c r="AP129" s="266">
        <f t="shared" ca="1" si="112"/>
        <v>9.8437909686198053E-5</v>
      </c>
      <c r="AR129" s="248">
        <f ca="1">'JACOBIAN - OIS USDOIS'!B138</f>
        <v>54134</v>
      </c>
      <c r="AS129">
        <f ca="1">'JACOBIAN - OIS USDOIS'!C138</f>
        <v>-6.8912932971176801E-7</v>
      </c>
      <c r="AT129">
        <f ca="1">'JACOBIAN - OIS USDOIS'!D138</f>
        <v>5.0866866274645898E-11</v>
      </c>
      <c r="AU129">
        <f ca="1">'JACOBIAN - OIS USDOIS'!E138</f>
        <v>-2.0386303756225699E-10</v>
      </c>
      <c r="AV129">
        <f ca="1">'JACOBIAN - OIS USDOIS'!F138</f>
        <v>5.3576820757683704E-10</v>
      </c>
      <c r="AW129">
        <f ca="1">'JACOBIAN - OIS USDOIS'!G138</f>
        <v>-6.8964645105751298E-10</v>
      </c>
      <c r="AX129">
        <f ca="1">'JACOBIAN - OIS USDOIS'!H138</f>
        <v>1.5605892134118399E-9</v>
      </c>
      <c r="AY129">
        <f ca="1">'JACOBIAN - OIS USDOIS'!I138</f>
        <v>-1.40821578842321E-8</v>
      </c>
      <c r="AZ129">
        <f ca="1">'JACOBIAN - OIS USDOIS'!J138</f>
        <v>1.90743827399587E-8</v>
      </c>
      <c r="BA129">
        <f ca="1">'JACOBIAN - OIS USDOIS'!K138</f>
        <v>-7.3441260406426094E-8</v>
      </c>
      <c r="BB129">
        <f ca="1">'JACOBIAN - OIS USDOIS'!L138</f>
        <v>4.0289844849272798E-7</v>
      </c>
      <c r="BC129">
        <f ca="1">'JACOBIAN - OIS USDOIS'!M138</f>
        <v>-2.6012372911221599E-7</v>
      </c>
      <c r="BD129">
        <f ca="1">'JACOBIAN - OIS USDOIS'!N138</f>
        <v>1.14575016141316E-13</v>
      </c>
      <c r="BE129">
        <f ca="1">'JACOBIAN - OIS USDOIS'!O138</f>
        <v>1.14575016141316E-13</v>
      </c>
      <c r="BF129">
        <f ca="1">'JACOBIAN - OIS USDOIS'!P138</f>
        <v>1.14575016141316E-13</v>
      </c>
      <c r="BG129">
        <f ca="1">'JACOBIAN - OIS USDOIS'!Q138</f>
        <v>1.14575016141316E-13</v>
      </c>
      <c r="BH129">
        <f ca="1">'JACOBIAN - OIS USDOIS'!R138</f>
        <v>1.14575016141316E-13</v>
      </c>
      <c r="BI129" s="161">
        <f ca="1">'JACOBIAN - OIS USDOIS'!S138</f>
        <v>-9.8309569329657599E-7</v>
      </c>
      <c r="BJ129" s="161">
        <f ca="1">'JACOBIAN - OIS USDOIS'!T138</f>
        <v>-2.70800528034965E-6</v>
      </c>
      <c r="BK129" s="161">
        <f ca="1">'JACOBIAN - OIS USDOIS'!U138</f>
        <v>-2.50760332520805E-6</v>
      </c>
      <c r="BL129" s="161">
        <f ca="1">'JACOBIAN - OIS USDOIS'!V138</f>
        <v>-5.5283626916313696E-6</v>
      </c>
      <c r="BM129" s="161">
        <f ca="1">'JACOBIAN - OIS USDOIS'!W138</f>
        <v>-4.8908200787067804E-6</v>
      </c>
      <c r="BN129" s="161">
        <f ca="1">'JACOBIAN - OIS USDOIS'!X138</f>
        <v>-2.68379659322804E-5</v>
      </c>
      <c r="BO129" s="161">
        <f ca="1">'JACOBIAN - OIS USDOIS'!Y138</f>
        <v>-1.3497866499512201E-5</v>
      </c>
      <c r="BP129" s="161">
        <f ca="1">'JACOBIAN - OIS USDOIS'!Z138</f>
        <v>-7.4579142827935194E-5</v>
      </c>
      <c r="BQ129" s="161">
        <f ca="1">'JACOBIAN - OIS USDOIS'!AA138</f>
        <v>1.6865121808429298E-5</v>
      </c>
      <c r="BR129" s="161">
        <f ca="1">'JACOBIAN - OIS USDOIS'!AB138</f>
        <v>-4.2422047588142102E-4</v>
      </c>
      <c r="BS129" s="161">
        <f ca="1">'JACOBIAN - OIS USDOIS'!AC138</f>
        <v>1.04655752350502E-3</v>
      </c>
      <c r="BT129" s="161">
        <f ca="1">'JACOBIAN - OIS USDOIS'!AD138</f>
        <v>1.2771085262554E-3</v>
      </c>
      <c r="BU129">
        <f ca="1">'JACOBIAN - OIS USDOIS'!AE138</f>
        <v>9.6503770918854294E-7</v>
      </c>
      <c r="BV129">
        <f ca="1">'JACOBIAN - OIS USDOIS'!AF138</f>
        <v>2.6626124636219798E-6</v>
      </c>
      <c r="BW129">
        <f ca="1">'JACOBIAN - OIS USDOIS'!AG138</f>
        <v>2.4669523124298799E-6</v>
      </c>
      <c r="BX129">
        <f ca="1">'JACOBIAN - OIS USDOIS'!AH138</f>
        <v>5.4393472549429902E-6</v>
      </c>
      <c r="BY129">
        <f ca="1">'JACOBIAN - OIS USDOIS'!AI138</f>
        <v>4.8054426562416097E-6</v>
      </c>
      <c r="BZ129">
        <f ca="1">'JACOBIAN - OIS USDOIS'!AJ138</f>
        <v>2.6402354795340699E-5</v>
      </c>
      <c r="CA129">
        <f ca="1">'JACOBIAN - OIS USDOIS'!AK138</f>
        <v>1.32582934290193E-5</v>
      </c>
      <c r="CB129">
        <f ca="1">'JACOBIAN - OIS USDOIS'!AL138</f>
        <v>7.3395108836304997E-5</v>
      </c>
      <c r="CC129">
        <f ca="1">'JACOBIAN - OIS USDOIS'!AM138</f>
        <v>-1.6747097633329499E-5</v>
      </c>
      <c r="CD129">
        <f ca="1">'JACOBIAN - OIS USDOIS'!AN138</f>
        <v>4.1796763032964101E-4</v>
      </c>
      <c r="CE129">
        <f ca="1">'JACOBIAN - OIS USDOIS'!AO138</f>
        <v>-1.03041558434658E-3</v>
      </c>
      <c r="CF129">
        <f ca="1">'JACOBIAN - OIS USDOIS'!AP138</f>
        <v>-1.25772362323762E-3</v>
      </c>
      <c r="CK129" s="248">
        <f t="shared" ca="1" si="118"/>
        <v>54134</v>
      </c>
      <c r="CL129">
        <f t="shared" ca="1" si="119"/>
        <v>-6.8912932971176801E-7</v>
      </c>
      <c r="CM129">
        <f t="shared" ca="1" si="120"/>
        <v>5.0866866274645898E-11</v>
      </c>
      <c r="CN129">
        <f t="shared" ca="1" si="121"/>
        <v>-2.0386303756225699E-10</v>
      </c>
      <c r="CO129">
        <f t="shared" ca="1" si="122"/>
        <v>5.3576820757683704E-10</v>
      </c>
      <c r="CP129">
        <f t="shared" ca="1" si="123"/>
        <v>-6.8964645105751298E-10</v>
      </c>
      <c r="CQ129">
        <f t="shared" ca="1" si="124"/>
        <v>1.5605892134118399E-9</v>
      </c>
      <c r="CR129">
        <f t="shared" ca="1" si="125"/>
        <v>-1.40821578842321E-8</v>
      </c>
      <c r="CS129">
        <f t="shared" ca="1" si="126"/>
        <v>1.90743827399587E-8</v>
      </c>
      <c r="CT129">
        <f t="shared" ca="1" si="127"/>
        <v>-7.3441260406426094E-8</v>
      </c>
      <c r="CU129">
        <f t="shared" ca="1" si="128"/>
        <v>4.0289844849272798E-7</v>
      </c>
      <c r="CV129">
        <f t="shared" ca="1" si="129"/>
        <v>-2.6012372911221599E-7</v>
      </c>
      <c r="CW129">
        <f t="shared" ca="1" si="130"/>
        <v>1.14575016141316E-13</v>
      </c>
      <c r="CX129">
        <f t="shared" ca="1" si="131"/>
        <v>1.14575016141316E-13</v>
      </c>
      <c r="CY129">
        <f t="shared" ca="1" si="132"/>
        <v>1.14575016141316E-13</v>
      </c>
      <c r="CZ129">
        <f t="shared" ca="1" si="133"/>
        <v>1.14575016141316E-13</v>
      </c>
      <c r="DA129">
        <f t="shared" ca="1" si="134"/>
        <v>1.14575016141316E-13</v>
      </c>
      <c r="DB129" s="146">
        <v>0</v>
      </c>
      <c r="DC129" s="146">
        <v>0</v>
      </c>
      <c r="DD129" s="146">
        <v>0</v>
      </c>
      <c r="DE129" s="146">
        <v>0</v>
      </c>
      <c r="DF129" s="146">
        <v>0</v>
      </c>
      <c r="DG129" s="146">
        <v>0</v>
      </c>
      <c r="DH129" s="146">
        <v>0</v>
      </c>
      <c r="DI129" s="146">
        <v>0</v>
      </c>
      <c r="DJ129" s="146">
        <v>0</v>
      </c>
      <c r="DK129" s="146">
        <v>0</v>
      </c>
      <c r="DL129" s="146">
        <v>0</v>
      </c>
      <c r="DM129" s="146">
        <v>0</v>
      </c>
      <c r="DN129">
        <f t="shared" ca="1" si="135"/>
        <v>9.6503770918854294E-7</v>
      </c>
      <c r="DO129">
        <f t="shared" ca="1" si="136"/>
        <v>2.6626124636219798E-6</v>
      </c>
      <c r="DP129">
        <f t="shared" ca="1" si="137"/>
        <v>2.4669523124298799E-6</v>
      </c>
      <c r="DQ129">
        <f t="shared" ca="1" si="138"/>
        <v>5.4393472549429902E-6</v>
      </c>
      <c r="DR129">
        <f t="shared" ca="1" si="139"/>
        <v>4.8054426562416097E-6</v>
      </c>
      <c r="DS129">
        <f t="shared" ca="1" si="140"/>
        <v>2.6402354795340699E-5</v>
      </c>
      <c r="DT129">
        <f t="shared" ca="1" si="141"/>
        <v>1.32582934290193E-5</v>
      </c>
      <c r="DU129">
        <f t="shared" ca="1" si="142"/>
        <v>7.3395108836304997E-5</v>
      </c>
      <c r="DV129">
        <f t="shared" ca="1" si="143"/>
        <v>-1.6747097633329499E-5</v>
      </c>
      <c r="DW129">
        <f t="shared" ca="1" si="144"/>
        <v>4.1796763032964101E-4</v>
      </c>
      <c r="DX129">
        <f t="shared" ca="1" si="145"/>
        <v>-1.03041558434658E-3</v>
      </c>
      <c r="DY129">
        <f t="shared" ca="1" si="146"/>
        <v>-1.25772362323762E-3</v>
      </c>
      <c r="ED129" s="248">
        <f ca="1">'JACOBIAN - SWAP USD3ML'!B138</f>
        <v>54134</v>
      </c>
      <c r="EE129">
        <f ca="1">'JACOBIAN - SWAP USD3ML'!C138</f>
        <v>-4.31828184321859E-13</v>
      </c>
      <c r="EF129">
        <f ca="1">'JACOBIAN - SWAP USD3ML'!D138</f>
        <v>3.1520005355778499E-11</v>
      </c>
      <c r="EG129">
        <f ca="1">'JACOBIAN - SWAP USD3ML'!E138</f>
        <v>-6.5573622920478398E-12</v>
      </c>
      <c r="EH129">
        <f ca="1">'JACOBIAN - SWAP USD3ML'!F138</f>
        <v>-4.2921916021398902E-13</v>
      </c>
      <c r="EI129">
        <f ca="1">'JACOBIAN - SWAP USD3ML'!G138</f>
        <v>-8.9490914678691499E-14</v>
      </c>
      <c r="EJ129">
        <f ca="1">'JACOBIAN - SWAP USD3ML'!H138</f>
        <v>3.0596396943804998E-11</v>
      </c>
      <c r="EK129">
        <f ca="1">'JACOBIAN - SWAP USD3ML'!I138</f>
        <v>2.4499534345689998E-11</v>
      </c>
      <c r="EL129">
        <f ca="1">'JACOBIAN - SWAP USD3ML'!J138</f>
        <v>2.4482155885907601E-11</v>
      </c>
      <c r="EM129">
        <f ca="1">'JACOBIAN - SWAP USD3ML'!K138</f>
        <v>2.4455222569219598E-11</v>
      </c>
      <c r="EN129">
        <f ca="1">'JACOBIAN - SWAP USD3ML'!L138</f>
        <v>2.43579080516643E-11</v>
      </c>
      <c r="EO129">
        <f ca="1">'JACOBIAN - SWAP USD3ML'!M138</f>
        <v>2.4151985966725E-11</v>
      </c>
      <c r="EP129">
        <f ca="1">'JACOBIAN - SWAP USD3ML'!N138</f>
        <v>5.4510309460686899E-11</v>
      </c>
      <c r="EQ129">
        <f ca="1">'JACOBIAN - SWAP USD3ML'!O138</f>
        <v>-1.3222657725686601E-9</v>
      </c>
      <c r="ER129">
        <f ca="1">'JACOBIAN - SWAP USD3ML'!P138</f>
        <v>6.3952165299530097E-9</v>
      </c>
      <c r="ES129">
        <f ca="1">'JACOBIAN - SWAP USD3ML'!Q138</f>
        <v>-1.5939846831347601E-8</v>
      </c>
      <c r="ET129">
        <f ca="1">'JACOBIAN - SWAP USD3ML'!R138</f>
        <v>1.4061654362782E-7</v>
      </c>
      <c r="EU129">
        <f ca="1">'JACOBIAN - SWAP USD3ML'!S138</f>
        <v>-7.3256474190930298E-7</v>
      </c>
      <c r="EV129">
        <f ca="1">'JACOBIAN - SWAP USD3ML'!T138</f>
        <v>3.1862311641282798E-6</v>
      </c>
      <c r="EW129">
        <f ca="1">'JACOBIAN - SWAP USD3ML'!U138</f>
        <v>-7.1071007609474499E-6</v>
      </c>
      <c r="EX129">
        <f ca="1">'JACOBIAN - SWAP USD3ML'!V138</f>
        <v>1.5738458641553098E-5</v>
      </c>
      <c r="EY129">
        <f ca="1">'JACOBIAN - SWAP USD3ML'!W138</f>
        <v>-3.7766449459044497E-5</v>
      </c>
      <c r="EZ129">
        <f ca="1">'JACOBIAN - SWAP USD3ML'!X138</f>
        <v>1.50464923837804E-4</v>
      </c>
      <c r="FA129">
        <f ca="1">'JACOBIAN - SWAP USD3ML'!Y138</f>
        <v>-9.1025410090297596E-4</v>
      </c>
      <c r="FB129">
        <f ca="1">'JACOBIAN - SWAP USD3ML'!Z138</f>
        <v>8.8477853119441801E-4</v>
      </c>
    </row>
    <row r="130" spans="24:158" x14ac:dyDescent="0.25">
      <c r="X130" s="258">
        <f t="shared" ca="1" si="113"/>
        <v>54226</v>
      </c>
      <c r="Y130" s="261">
        <v>0</v>
      </c>
      <c r="AA130" s="257">
        <f t="shared" ca="1" si="110"/>
        <v>54226</v>
      </c>
      <c r="AB130" s="266">
        <f t="shared" ca="1" si="114"/>
        <v>-1.7661768059499278E-3</v>
      </c>
      <c r="AC130" s="266"/>
      <c r="AD130" s="290">
        <f ca="1"/>
        <v>54226</v>
      </c>
      <c r="AE130" s="291">
        <f ca="1"/>
        <v>-1.7661768059499261E-3</v>
      </c>
      <c r="AF130" s="291" t="b">
        <f t="shared" ca="1" si="111"/>
        <v>1</v>
      </c>
      <c r="AH130" s="257">
        <f t="shared" ca="1" si="115"/>
        <v>54226</v>
      </c>
      <c r="AI130" s="260">
        <v>0</v>
      </c>
      <c r="AK130" s="290">
        <f ca="1"/>
        <v>54226</v>
      </c>
      <c r="AL130" s="291">
        <f ca="1"/>
        <v>9.8451713486026604E-5</v>
      </c>
      <c r="AM130" s="291" t="b">
        <f t="shared" ca="1" si="116"/>
        <v>1</v>
      </c>
      <c r="AO130" s="257">
        <f t="shared" ca="1" si="117"/>
        <v>54226</v>
      </c>
      <c r="AP130" s="266">
        <f t="shared" ca="1" si="112"/>
        <v>9.8451713486027363E-5</v>
      </c>
      <c r="AR130" s="248">
        <f ca="1">'JACOBIAN - OIS USDOIS'!B139</f>
        <v>54226</v>
      </c>
      <c r="AS130">
        <f ca="1">'JACOBIAN - OIS USDOIS'!C139</f>
        <v>-6.8620937598851097E-7</v>
      </c>
      <c r="AT130">
        <f ca="1">'JACOBIAN - OIS USDOIS'!D139</f>
        <v>5.1410209422897398E-11</v>
      </c>
      <c r="AU130">
        <f ca="1">'JACOBIAN - OIS USDOIS'!E139</f>
        <v>-2.05867767277823E-10</v>
      </c>
      <c r="AV130">
        <f ca="1">'JACOBIAN - OIS USDOIS'!F139</f>
        <v>5.4109194902451897E-10</v>
      </c>
      <c r="AW130">
        <f ca="1">'JACOBIAN - OIS USDOIS'!G139</f>
        <v>-6.9649053191511701E-10</v>
      </c>
      <c r="AX130">
        <f ca="1">'JACOBIAN - OIS USDOIS'!H139</f>
        <v>1.5760965865752E-9</v>
      </c>
      <c r="AY130">
        <f ca="1">'JACOBIAN - OIS USDOIS'!I139</f>
        <v>-1.40979325990997E-8</v>
      </c>
      <c r="AZ130">
        <f ca="1">'JACOBIAN - OIS USDOIS'!J139</f>
        <v>1.9263638129096699E-8</v>
      </c>
      <c r="BA130">
        <f ca="1">'JACOBIAN - OIS USDOIS'!K139</f>
        <v>-7.4169786756783704E-8</v>
      </c>
      <c r="BB130">
        <f ca="1">'JACOBIAN - OIS USDOIS'!L139</f>
        <v>4.0277582757930501E-7</v>
      </c>
      <c r="BC130">
        <f ca="1">'JACOBIAN - OIS USDOIS'!M139</f>
        <v>-2.6233062166980398E-7</v>
      </c>
      <c r="BD130">
        <f ca="1">'JACOBIAN - OIS USDOIS'!N139</f>
        <v>1.32449606837781E-13</v>
      </c>
      <c r="BE130">
        <f ca="1">'JACOBIAN - OIS USDOIS'!O139</f>
        <v>1.32449606837781E-13</v>
      </c>
      <c r="BF130">
        <f ca="1">'JACOBIAN - OIS USDOIS'!P139</f>
        <v>1.32449606837781E-13</v>
      </c>
      <c r="BG130">
        <f ca="1">'JACOBIAN - OIS USDOIS'!Q139</f>
        <v>1.32449606837781E-13</v>
      </c>
      <c r="BH130">
        <f ca="1">'JACOBIAN - OIS USDOIS'!R139</f>
        <v>1.32449606837781E-13</v>
      </c>
      <c r="BI130" s="161">
        <f ca="1">'JACOBIAN - OIS USDOIS'!S139</f>
        <v>-9.8326114594815593E-7</v>
      </c>
      <c r="BJ130" s="161">
        <f ca="1">'JACOBIAN - OIS USDOIS'!T139</f>
        <v>-2.6892823115076702E-6</v>
      </c>
      <c r="BK130" s="161">
        <f ca="1">'JACOBIAN - OIS USDOIS'!U139</f>
        <v>-2.5236807739137399E-6</v>
      </c>
      <c r="BL130" s="161">
        <f ca="1">'JACOBIAN - OIS USDOIS'!V139</f>
        <v>-5.4054335478781502E-6</v>
      </c>
      <c r="BM130" s="161">
        <f ca="1">'JACOBIAN - OIS USDOIS'!W139</f>
        <v>-5.0695161297742397E-6</v>
      </c>
      <c r="BN130" s="161">
        <f ca="1">'JACOBIAN - OIS USDOIS'!X139</f>
        <v>-2.6357659996700801E-5</v>
      </c>
      <c r="BO130" s="161">
        <f ca="1">'JACOBIAN - OIS USDOIS'!Y139</f>
        <v>-1.5261517214093499E-5</v>
      </c>
      <c r="BP130" s="161">
        <f ca="1">'JACOBIAN - OIS USDOIS'!Z139</f>
        <v>-6.9049340925664296E-5</v>
      </c>
      <c r="BQ130" s="161">
        <f ca="1">'JACOBIAN - OIS USDOIS'!AA139</f>
        <v>6.3264790016725999E-6</v>
      </c>
      <c r="BR130" s="161">
        <f ca="1">'JACOBIAN - OIS USDOIS'!AB139</f>
        <v>-3.9099427794953001E-4</v>
      </c>
      <c r="BS130" s="161">
        <f ca="1">'JACOBIAN - OIS USDOIS'!AC139</f>
        <v>8.8755002879548105E-4</v>
      </c>
      <c r="BT130" s="161">
        <f ca="1">'JACOBIAN - OIS USDOIS'!AD139</f>
        <v>1.4173442036753399E-3</v>
      </c>
      <c r="BU130">
        <f ca="1">'JACOBIAN - OIS USDOIS'!AE139</f>
        <v>9.6520129622135208E-7</v>
      </c>
      <c r="BV130">
        <f ca="1">'JACOBIAN - OIS USDOIS'!AF139</f>
        <v>2.64420231788076E-6</v>
      </c>
      <c r="BW130">
        <f ca="1">'JACOBIAN - OIS USDOIS'!AG139</f>
        <v>2.4827736049282102E-6</v>
      </c>
      <c r="BX130">
        <f ca="1">'JACOBIAN - OIS USDOIS'!AH139</f>
        <v>5.3183608502704896E-6</v>
      </c>
      <c r="BY130">
        <f ca="1">'JACOBIAN - OIS USDOIS'!AI139</f>
        <v>4.9812998935694403E-6</v>
      </c>
      <c r="BZ130">
        <f ca="1">'JACOBIAN - OIS USDOIS'!AJ139</f>
        <v>2.5929624598353099E-5</v>
      </c>
      <c r="CA130">
        <f ca="1">'JACOBIAN - OIS USDOIS'!AK139</f>
        <v>1.49944938950819E-5</v>
      </c>
      <c r="CB130">
        <f ca="1">'JACOBIAN - OIS USDOIS'!AL139</f>
        <v>6.7948385373051105E-5</v>
      </c>
      <c r="CC130">
        <f ca="1">'JACOBIAN - OIS USDOIS'!AM139</f>
        <v>-6.3676402854984096E-6</v>
      </c>
      <c r="CD130">
        <f ca="1">'JACOBIAN - OIS USDOIS'!AN139</f>
        <v>3.8519231047751102E-4</v>
      </c>
      <c r="CE130">
        <f ca="1">'JACOBIAN - OIS USDOIS'!AO139</f>
        <v>-8.74148041693945E-4</v>
      </c>
      <c r="CF130">
        <f ca="1">'JACOBIAN - OIS USDOIS'!AP139</f>
        <v>-1.39550427492874E-3</v>
      </c>
      <c r="CK130" s="248">
        <f t="shared" ca="1" si="118"/>
        <v>54226</v>
      </c>
      <c r="CL130">
        <f t="shared" ca="1" si="119"/>
        <v>-6.8620937598851097E-7</v>
      </c>
      <c r="CM130">
        <f t="shared" ca="1" si="120"/>
        <v>5.1410209422897398E-11</v>
      </c>
      <c r="CN130">
        <f t="shared" ca="1" si="121"/>
        <v>-2.05867767277823E-10</v>
      </c>
      <c r="CO130">
        <f t="shared" ca="1" si="122"/>
        <v>5.4109194902451897E-10</v>
      </c>
      <c r="CP130">
        <f t="shared" ca="1" si="123"/>
        <v>-6.9649053191511701E-10</v>
      </c>
      <c r="CQ130">
        <f t="shared" ca="1" si="124"/>
        <v>1.5760965865752E-9</v>
      </c>
      <c r="CR130">
        <f t="shared" ca="1" si="125"/>
        <v>-1.40979325990997E-8</v>
      </c>
      <c r="CS130">
        <f t="shared" ca="1" si="126"/>
        <v>1.9263638129096699E-8</v>
      </c>
      <c r="CT130">
        <f t="shared" ca="1" si="127"/>
        <v>-7.4169786756783704E-8</v>
      </c>
      <c r="CU130">
        <f t="shared" ca="1" si="128"/>
        <v>4.0277582757930501E-7</v>
      </c>
      <c r="CV130">
        <f t="shared" ca="1" si="129"/>
        <v>-2.6233062166980398E-7</v>
      </c>
      <c r="CW130">
        <f t="shared" ca="1" si="130"/>
        <v>1.32449606837781E-13</v>
      </c>
      <c r="CX130">
        <f t="shared" ca="1" si="131"/>
        <v>1.32449606837781E-13</v>
      </c>
      <c r="CY130">
        <f t="shared" ca="1" si="132"/>
        <v>1.32449606837781E-13</v>
      </c>
      <c r="CZ130">
        <f t="shared" ca="1" si="133"/>
        <v>1.32449606837781E-13</v>
      </c>
      <c r="DA130">
        <f t="shared" ca="1" si="134"/>
        <v>1.32449606837781E-13</v>
      </c>
      <c r="DB130" s="146">
        <v>0</v>
      </c>
      <c r="DC130" s="146">
        <v>0</v>
      </c>
      <c r="DD130" s="146">
        <v>0</v>
      </c>
      <c r="DE130" s="146">
        <v>0</v>
      </c>
      <c r="DF130" s="146">
        <v>0</v>
      </c>
      <c r="DG130" s="146">
        <v>0</v>
      </c>
      <c r="DH130" s="146">
        <v>0</v>
      </c>
      <c r="DI130" s="146">
        <v>0</v>
      </c>
      <c r="DJ130" s="146">
        <v>0</v>
      </c>
      <c r="DK130" s="146">
        <v>0</v>
      </c>
      <c r="DL130" s="146">
        <v>0</v>
      </c>
      <c r="DM130" s="146">
        <v>0</v>
      </c>
      <c r="DN130">
        <f t="shared" ca="1" si="135"/>
        <v>9.6520129622135208E-7</v>
      </c>
      <c r="DO130">
        <f t="shared" ca="1" si="136"/>
        <v>2.64420231788076E-6</v>
      </c>
      <c r="DP130">
        <f t="shared" ca="1" si="137"/>
        <v>2.4827736049282102E-6</v>
      </c>
      <c r="DQ130">
        <f t="shared" ca="1" si="138"/>
        <v>5.3183608502704896E-6</v>
      </c>
      <c r="DR130">
        <f t="shared" ca="1" si="139"/>
        <v>4.9812998935694403E-6</v>
      </c>
      <c r="DS130">
        <f t="shared" ca="1" si="140"/>
        <v>2.5929624598353099E-5</v>
      </c>
      <c r="DT130">
        <f t="shared" ca="1" si="141"/>
        <v>1.49944938950819E-5</v>
      </c>
      <c r="DU130">
        <f t="shared" ca="1" si="142"/>
        <v>6.7948385373051105E-5</v>
      </c>
      <c r="DV130">
        <f t="shared" ca="1" si="143"/>
        <v>-6.3676402854984096E-6</v>
      </c>
      <c r="DW130">
        <f t="shared" ca="1" si="144"/>
        <v>3.8519231047751102E-4</v>
      </c>
      <c r="DX130">
        <f t="shared" ca="1" si="145"/>
        <v>-8.74148041693945E-4</v>
      </c>
      <c r="DY130">
        <f t="shared" ca="1" si="146"/>
        <v>-1.39550427492874E-3</v>
      </c>
      <c r="ED130" s="248">
        <f ca="1">'JACOBIAN - SWAP USD3ML'!B139</f>
        <v>54226</v>
      </c>
      <c r="EE130">
        <f ca="1">'JACOBIAN - SWAP USD3ML'!C139</f>
        <v>-4.2922262966094098E-13</v>
      </c>
      <c r="EF130">
        <f ca="1">'JACOBIAN - SWAP USD3ML'!D139</f>
        <v>3.4804333026716699E-11</v>
      </c>
      <c r="EG130">
        <f ca="1">'JACOBIAN - SWAP USD3ML'!E139</f>
        <v>-6.4921956699492999E-12</v>
      </c>
      <c r="EH130">
        <f ca="1">'JACOBIAN - SWAP USD3ML'!F139</f>
        <v>-4.3008999139892998E-13</v>
      </c>
      <c r="EI130">
        <f ca="1">'JACOBIAN - SWAP USD3ML'!G139</f>
        <v>-5.2131909900055E-14</v>
      </c>
      <c r="EJ130">
        <f ca="1">'JACOBIAN - SWAP USD3ML'!H139</f>
        <v>3.3873775312498499E-11</v>
      </c>
      <c r="EK130">
        <f ca="1">'JACOBIAN - SWAP USD3ML'!I139</f>
        <v>2.7828173793098501E-11</v>
      </c>
      <c r="EL130">
        <f ca="1">'JACOBIAN - SWAP USD3ML'!J139</f>
        <v>2.7799502283487601E-11</v>
      </c>
      <c r="EM130">
        <f ca="1">'JACOBIAN - SWAP USD3ML'!K139</f>
        <v>2.7763010640446999E-11</v>
      </c>
      <c r="EN130">
        <f ca="1">'JACOBIAN - SWAP USD3ML'!L139</f>
        <v>2.7655270434800999E-11</v>
      </c>
      <c r="EO130">
        <f ca="1">'JACOBIAN - SWAP USD3ML'!M139</f>
        <v>2.74172004544049E-11</v>
      </c>
      <c r="EP130">
        <f ca="1">'JACOBIAN - SWAP USD3ML'!N139</f>
        <v>6.1575963078430705E-11</v>
      </c>
      <c r="EQ130">
        <f ca="1">'JACOBIAN - SWAP USD3ML'!O139</f>
        <v>-1.49347664443744E-9</v>
      </c>
      <c r="ER130">
        <f ca="1">'JACOBIAN - SWAP USD3ML'!P139</f>
        <v>7.2238310992733804E-9</v>
      </c>
      <c r="ES130">
        <f ca="1">'JACOBIAN - SWAP USD3ML'!Q139</f>
        <v>-1.80043076107583E-8</v>
      </c>
      <c r="ET130">
        <f ca="1">'JACOBIAN - SWAP USD3ML'!R139</f>
        <v>1.5883144712652799E-7</v>
      </c>
      <c r="EU130">
        <f ca="1">'JACOBIAN - SWAP USD3ML'!S139</f>
        <v>-8.2745672314033001E-7</v>
      </c>
      <c r="EV130">
        <f ca="1">'JACOBIAN - SWAP USD3ML'!T139</f>
        <v>3.5989553233244098E-6</v>
      </c>
      <c r="EW130">
        <f ca="1">'JACOBIAN - SWAP USD3ML'!U139</f>
        <v>-8.02770566195668E-6</v>
      </c>
      <c r="EX130">
        <f ca="1">'JACOBIAN - SWAP USD3ML'!V139</f>
        <v>1.7777126920092599E-5</v>
      </c>
      <c r="EY130">
        <f ca="1">'JACOBIAN - SWAP USD3ML'!W139</f>
        <v>-4.2658405093536098E-5</v>
      </c>
      <c r="EZ130">
        <f ca="1">'JACOBIAN - SWAP USD3ML'!X139</f>
        <v>1.6995619946782699E-4</v>
      </c>
      <c r="FA130">
        <f ca="1">'JACOBIAN - SWAP USD3ML'!Y139</f>
        <v>-9.4443773228501996E-4</v>
      </c>
      <c r="FB130">
        <f ca="1">'JACOBIAN - SWAP USD3ML'!Z139</f>
        <v>9.0292391273087702E-4</v>
      </c>
    </row>
    <row r="131" spans="24:158" x14ac:dyDescent="0.25">
      <c r="X131" s="258">
        <f t="shared" ca="1" si="113"/>
        <v>54318</v>
      </c>
      <c r="Y131" s="261">
        <v>0</v>
      </c>
      <c r="AA131" s="257">
        <f t="shared" ca="1" si="110"/>
        <v>54318</v>
      </c>
      <c r="AB131" s="266">
        <f t="shared" ca="1" si="114"/>
        <v>-1.7740483292118011E-3</v>
      </c>
      <c r="AC131" s="266"/>
      <c r="AD131" s="290">
        <f ca="1"/>
        <v>54318</v>
      </c>
      <c r="AE131" s="291">
        <f ca="1"/>
        <v>-1.774048329211797E-3</v>
      </c>
      <c r="AF131" s="291" t="b">
        <f t="shared" ca="1" si="111"/>
        <v>1</v>
      </c>
      <c r="AH131" s="257">
        <f t="shared" ca="1" si="115"/>
        <v>54318</v>
      </c>
      <c r="AI131" s="260">
        <v>0</v>
      </c>
      <c r="AK131" s="290">
        <f ca="1"/>
        <v>54318</v>
      </c>
      <c r="AL131" s="291">
        <f ca="1"/>
        <v>9.845583557660173E-5</v>
      </c>
      <c r="AM131" s="291" t="b">
        <f t="shared" ca="1" si="116"/>
        <v>1</v>
      </c>
      <c r="AO131" s="257">
        <f t="shared" ca="1" si="117"/>
        <v>54318</v>
      </c>
      <c r="AP131" s="266">
        <f t="shared" ca="1" si="112"/>
        <v>9.8455835576601513E-5</v>
      </c>
      <c r="AR131" s="248">
        <f ca="1">'JACOBIAN - OIS USDOIS'!B140</f>
        <v>54318</v>
      </c>
      <c r="AS131">
        <f ca="1">'JACOBIAN - OIS USDOIS'!C140</f>
        <v>-6.8330375058156502E-7</v>
      </c>
      <c r="AT131">
        <f ca="1">'JACOBIAN - OIS USDOIS'!D140</f>
        <v>5.2059578870000697E-11</v>
      </c>
      <c r="AU131">
        <f ca="1">'JACOBIAN - OIS USDOIS'!E140</f>
        <v>-2.08287720404599E-10</v>
      </c>
      <c r="AV131">
        <f ca="1">'JACOBIAN - OIS USDOIS'!F140</f>
        <v>5.4751370104355601E-10</v>
      </c>
      <c r="AW131">
        <f ca="1">'JACOBIAN - OIS USDOIS'!G140</f>
        <v>-7.0474615032622999E-10</v>
      </c>
      <c r="AX131">
        <f ca="1">'JACOBIAN - OIS USDOIS'!H140</f>
        <v>1.5947989595588301E-9</v>
      </c>
      <c r="AY131">
        <f ca="1">'JACOBIAN - OIS USDOIS'!I140</f>
        <v>-1.4123879510386E-8</v>
      </c>
      <c r="AZ131">
        <f ca="1">'JACOBIAN - OIS USDOIS'!J140</f>
        <v>1.9491926961379099E-8</v>
      </c>
      <c r="BA131">
        <f ca="1">'JACOBIAN - OIS USDOIS'!K140</f>
        <v>-7.50485777967214E-8</v>
      </c>
      <c r="BB131">
        <f ca="1">'JACOBIAN - OIS USDOIS'!L140</f>
        <v>4.0286124525224002E-7</v>
      </c>
      <c r="BC131">
        <f ca="1">'JACOBIAN - OIS USDOIS'!M140</f>
        <v>-2.65013559208604E-7</v>
      </c>
      <c r="BD131">
        <f ca="1">'JACOBIAN - OIS USDOIS'!N140</f>
        <v>1.5132339825640899E-13</v>
      </c>
      <c r="BE131">
        <f ca="1">'JACOBIAN - OIS USDOIS'!O140</f>
        <v>1.5132339825640899E-13</v>
      </c>
      <c r="BF131">
        <f ca="1">'JACOBIAN - OIS USDOIS'!P140</f>
        <v>1.5132339825640899E-13</v>
      </c>
      <c r="BG131">
        <f ca="1">'JACOBIAN - OIS USDOIS'!Q140</f>
        <v>1.5132339825640899E-13</v>
      </c>
      <c r="BH131">
        <f ca="1">'JACOBIAN - OIS USDOIS'!R140</f>
        <v>1.5132339825640899E-13</v>
      </c>
      <c r="BI131" s="161">
        <f ca="1">'JACOBIAN - OIS USDOIS'!S140</f>
        <v>-9.840039657538209E-7</v>
      </c>
      <c r="BJ131" s="161">
        <f ca="1">'JACOBIAN - OIS USDOIS'!T140</f>
        <v>-2.6692823452689802E-6</v>
      </c>
      <c r="BK131" s="161">
        <f ca="1">'JACOBIAN - OIS USDOIS'!U140</f>
        <v>-2.5435898624026599E-6</v>
      </c>
      <c r="BL131" s="161">
        <f ca="1">'JACOBIAN - OIS USDOIS'!V140</f>
        <v>-5.26712075543667E-6</v>
      </c>
      <c r="BM131" s="161">
        <f ca="1">'JACOBIAN - OIS USDOIS'!W140</f>
        <v>-5.27791229643082E-6</v>
      </c>
      <c r="BN131" s="161">
        <f ca="1">'JACOBIAN - OIS USDOIS'!X140</f>
        <v>-2.5820206514093298E-5</v>
      </c>
      <c r="BO131" s="161">
        <f ca="1">'JACOBIAN - OIS USDOIS'!Y140</f>
        <v>-1.7298537520416001E-5</v>
      </c>
      <c r="BP131" s="161">
        <f ca="1">'JACOBIAN - OIS USDOIS'!Z140</f>
        <v>-6.2728606109230297E-5</v>
      </c>
      <c r="BQ131" s="161">
        <f ca="1">'JACOBIAN - OIS USDOIS'!AA140</f>
        <v>-5.7902259722464297E-6</v>
      </c>
      <c r="BR131" s="161">
        <f ca="1">'JACOBIAN - OIS USDOIS'!AB140</f>
        <v>-3.5300043306874001E-4</v>
      </c>
      <c r="BS131" s="161">
        <f ca="1">'JACOBIAN - OIS USDOIS'!AC140</f>
        <v>7.2080725289058701E-4</v>
      </c>
      <c r="BT131" s="161">
        <f ca="1">'JACOBIAN - OIS USDOIS'!AD140</f>
        <v>1.56154088404581E-3</v>
      </c>
      <c r="BU131">
        <f ca="1">'JACOBIAN - OIS USDOIS'!AE140</f>
        <v>9.6593181519999405E-7</v>
      </c>
      <c r="BV131">
        <f ca="1">'JACOBIAN - OIS USDOIS'!AF140</f>
        <v>2.6245364286303598E-6</v>
      </c>
      <c r="BW131">
        <f ca="1">'JACOBIAN - OIS USDOIS'!AG140</f>
        <v>2.50236510623836E-6</v>
      </c>
      <c r="BX131">
        <f ca="1">'JACOBIAN - OIS USDOIS'!AH140</f>
        <v>5.1822330300321803E-6</v>
      </c>
      <c r="BY131">
        <f ca="1">'JACOBIAN - OIS USDOIS'!AI140</f>
        <v>5.1863812235986001E-6</v>
      </c>
      <c r="BZ131">
        <f ca="1">'JACOBIAN - OIS USDOIS'!AJ140</f>
        <v>2.54006417118591E-5</v>
      </c>
      <c r="CA131">
        <f ca="1">'JACOBIAN - OIS USDOIS'!AK140</f>
        <v>1.6999805680817398E-5</v>
      </c>
      <c r="CB131">
        <f ca="1">'JACOBIAN - OIS USDOIS'!AL140</f>
        <v>6.1722684238541006E-5</v>
      </c>
      <c r="CC131">
        <f ca="1">'JACOBIAN - OIS USDOIS'!AM140</f>
        <v>5.5664047368120302E-6</v>
      </c>
      <c r="CD131">
        <f ca="1">'JACOBIAN - OIS USDOIS'!AN140</f>
        <v>3.4771771205199798E-4</v>
      </c>
      <c r="CE131">
        <f ca="1">'JACOBIAN - OIS USDOIS'!AO140</f>
        <v>-7.1019638155323005E-4</v>
      </c>
      <c r="CF131">
        <f ca="1">'JACOBIAN - OIS USDOIS'!AP140</f>
        <v>-1.5371067891824001E-3</v>
      </c>
      <c r="CK131" s="248">
        <f t="shared" ca="1" si="118"/>
        <v>54318</v>
      </c>
      <c r="CL131">
        <f t="shared" ca="1" si="119"/>
        <v>-6.8330375058156502E-7</v>
      </c>
      <c r="CM131">
        <f t="shared" ca="1" si="120"/>
        <v>5.2059578870000697E-11</v>
      </c>
      <c r="CN131">
        <f t="shared" ca="1" si="121"/>
        <v>-2.08287720404599E-10</v>
      </c>
      <c r="CO131">
        <f t="shared" ca="1" si="122"/>
        <v>5.4751370104355601E-10</v>
      </c>
      <c r="CP131">
        <f t="shared" ca="1" si="123"/>
        <v>-7.0474615032622999E-10</v>
      </c>
      <c r="CQ131">
        <f t="shared" ca="1" si="124"/>
        <v>1.5947989595588301E-9</v>
      </c>
      <c r="CR131">
        <f t="shared" ca="1" si="125"/>
        <v>-1.4123879510386E-8</v>
      </c>
      <c r="CS131">
        <f t="shared" ca="1" si="126"/>
        <v>1.9491926961379099E-8</v>
      </c>
      <c r="CT131">
        <f t="shared" ca="1" si="127"/>
        <v>-7.50485777967214E-8</v>
      </c>
      <c r="CU131">
        <f t="shared" ca="1" si="128"/>
        <v>4.0286124525224002E-7</v>
      </c>
      <c r="CV131">
        <f t="shared" ca="1" si="129"/>
        <v>-2.65013559208604E-7</v>
      </c>
      <c r="CW131">
        <f t="shared" ca="1" si="130"/>
        <v>1.5132339825640899E-13</v>
      </c>
      <c r="CX131">
        <f t="shared" ca="1" si="131"/>
        <v>1.5132339825640899E-13</v>
      </c>
      <c r="CY131">
        <f t="shared" ca="1" si="132"/>
        <v>1.5132339825640899E-13</v>
      </c>
      <c r="CZ131">
        <f t="shared" ca="1" si="133"/>
        <v>1.5132339825640899E-13</v>
      </c>
      <c r="DA131">
        <f t="shared" ca="1" si="134"/>
        <v>1.5132339825640899E-13</v>
      </c>
      <c r="DB131" s="146">
        <v>0</v>
      </c>
      <c r="DC131" s="146">
        <v>0</v>
      </c>
      <c r="DD131" s="146">
        <v>0</v>
      </c>
      <c r="DE131" s="146">
        <v>0</v>
      </c>
      <c r="DF131" s="146">
        <v>0</v>
      </c>
      <c r="DG131" s="146">
        <v>0</v>
      </c>
      <c r="DH131" s="146">
        <v>0</v>
      </c>
      <c r="DI131" s="146">
        <v>0</v>
      </c>
      <c r="DJ131" s="146">
        <v>0</v>
      </c>
      <c r="DK131" s="146">
        <v>0</v>
      </c>
      <c r="DL131" s="146">
        <v>0</v>
      </c>
      <c r="DM131" s="146">
        <v>0</v>
      </c>
      <c r="DN131">
        <f t="shared" ca="1" si="135"/>
        <v>9.6593181519999405E-7</v>
      </c>
      <c r="DO131">
        <f t="shared" ca="1" si="136"/>
        <v>2.6245364286303598E-6</v>
      </c>
      <c r="DP131">
        <f t="shared" ca="1" si="137"/>
        <v>2.50236510623836E-6</v>
      </c>
      <c r="DQ131">
        <f t="shared" ca="1" si="138"/>
        <v>5.1822330300321803E-6</v>
      </c>
      <c r="DR131">
        <f t="shared" ca="1" si="139"/>
        <v>5.1863812235986001E-6</v>
      </c>
      <c r="DS131">
        <f t="shared" ca="1" si="140"/>
        <v>2.54006417118591E-5</v>
      </c>
      <c r="DT131">
        <f t="shared" ca="1" si="141"/>
        <v>1.6999805680817398E-5</v>
      </c>
      <c r="DU131">
        <f t="shared" ca="1" si="142"/>
        <v>6.1722684238541006E-5</v>
      </c>
      <c r="DV131">
        <f t="shared" ca="1" si="143"/>
        <v>5.5664047368120302E-6</v>
      </c>
      <c r="DW131">
        <f t="shared" ca="1" si="144"/>
        <v>3.4771771205199798E-4</v>
      </c>
      <c r="DX131">
        <f t="shared" ca="1" si="145"/>
        <v>-7.1019638155323005E-4</v>
      </c>
      <c r="DY131">
        <f t="shared" ca="1" si="146"/>
        <v>-1.5371067891824001E-3</v>
      </c>
      <c r="ED131" s="248">
        <f ca="1">'JACOBIAN - SWAP USD3ML'!B140</f>
        <v>54318</v>
      </c>
      <c r="EE131">
        <f ca="1">'JACOBIAN - SWAP USD3ML'!C140</f>
        <v>-4.3042652775326898E-13</v>
      </c>
      <c r="EF131">
        <f ca="1">'JACOBIAN - SWAP USD3ML'!D140</f>
        <v>3.7517239315221199E-11</v>
      </c>
      <c r="EG131">
        <f ca="1">'JACOBIAN - SWAP USD3ML'!E140</f>
        <v>-6.4405633604103197E-12</v>
      </c>
      <c r="EH131">
        <f ca="1">'JACOBIAN - SWAP USD3ML'!F140</f>
        <v>-4.2954875767442502E-13</v>
      </c>
      <c r="EI131">
        <f ca="1">'JACOBIAN - SWAP USD3ML'!G140</f>
        <v>-2.37171393635549E-14</v>
      </c>
      <c r="EJ131">
        <f ca="1">'JACOBIAN - SWAP USD3ML'!H140</f>
        <v>3.6587875090754503E-11</v>
      </c>
      <c r="EK131">
        <f ca="1">'JACOBIAN - SWAP USD3ML'!I140</f>
        <v>3.0583886118096298E-11</v>
      </c>
      <c r="EL131">
        <f ca="1">'JACOBIAN - SWAP USD3ML'!J140</f>
        <v>3.05443552395257E-11</v>
      </c>
      <c r="EM131">
        <f ca="1">'JACOBIAN - SWAP USD3ML'!K140</f>
        <v>3.0496920960798603E-11</v>
      </c>
      <c r="EN131">
        <f ca="1">'JACOBIAN - SWAP USD3ML'!L140</f>
        <v>3.03818498137431E-11</v>
      </c>
      <c r="EO131">
        <f ca="1">'JACOBIAN - SWAP USD3ML'!M140</f>
        <v>3.01192022711394E-11</v>
      </c>
      <c r="EP131">
        <f ca="1">'JACOBIAN - SWAP USD3ML'!N140</f>
        <v>6.7423868571614395E-11</v>
      </c>
      <c r="EQ131">
        <f ca="1">'JACOBIAN - SWAP USD3ML'!O140</f>
        <v>-1.63519044485416E-9</v>
      </c>
      <c r="ER131">
        <f ca="1">'JACOBIAN - SWAP USD3ML'!P140</f>
        <v>7.9096702798597801E-9</v>
      </c>
      <c r="ES131">
        <f ca="1">'JACOBIAN - SWAP USD3ML'!Q140</f>
        <v>-1.9713054046771601E-8</v>
      </c>
      <c r="ET131">
        <f ca="1">'JACOBIAN - SWAP USD3ML'!R140</f>
        <v>1.7390783933757301E-7</v>
      </c>
      <c r="EU131">
        <f ca="1">'JACOBIAN - SWAP USD3ML'!S140</f>
        <v>-9.0599839542779302E-7</v>
      </c>
      <c r="EV131">
        <f ca="1">'JACOBIAN - SWAP USD3ML'!T140</f>
        <v>3.9405652912140304E-6</v>
      </c>
      <c r="EW131">
        <f ca="1">'JACOBIAN - SWAP USD3ML'!U140</f>
        <v>-8.7896861991065799E-6</v>
      </c>
      <c r="EX131">
        <f ca="1">'JACOBIAN - SWAP USD3ML'!V140</f>
        <v>1.9464523890698501E-5</v>
      </c>
      <c r="EY131">
        <f ca="1">'JACOBIAN - SWAP USD3ML'!W140</f>
        <v>-4.6707453454811899E-5</v>
      </c>
      <c r="EZ131">
        <f ca="1">'JACOBIAN - SWAP USD3ML'!X140</f>
        <v>1.8608906752767799E-4</v>
      </c>
      <c r="FA131">
        <f ca="1">'JACOBIAN - SWAP USD3ML'!Y140</f>
        <v>-9.7269862682590805E-4</v>
      </c>
      <c r="FB131">
        <f ca="1">'JACOBIAN - SWAP USD3ML'!Z140</f>
        <v>9.1790268814619796E-4</v>
      </c>
    </row>
    <row r="132" spans="24:158" x14ac:dyDescent="0.25">
      <c r="X132" s="258">
        <f t="shared" ca="1" si="113"/>
        <v>54409</v>
      </c>
      <c r="Y132" s="261">
        <v>0</v>
      </c>
      <c r="AA132" s="257">
        <f t="shared" ca="1" si="110"/>
        <v>54409</v>
      </c>
      <c r="AB132" s="266">
        <f t="shared" ca="1" si="114"/>
        <v>-1.7816585448776662E-3</v>
      </c>
      <c r="AC132" s="266"/>
      <c r="AD132" s="290">
        <f ca="1"/>
        <v>54409</v>
      </c>
      <c r="AE132" s="291">
        <f ca="1"/>
        <v>-1.7816585448776623E-3</v>
      </c>
      <c r="AF132" s="291" t="b">
        <f t="shared" ca="1" si="111"/>
        <v>1</v>
      </c>
      <c r="AH132" s="257">
        <f t="shared" ca="1" si="115"/>
        <v>54409</v>
      </c>
      <c r="AI132" s="260">
        <v>0</v>
      </c>
      <c r="AK132" s="290">
        <f ca="1"/>
        <v>54409</v>
      </c>
      <c r="AL132" s="291">
        <f ca="1"/>
        <v>9.8457543436403228E-5</v>
      </c>
      <c r="AM132" s="291" t="b">
        <f t="shared" ca="1" si="116"/>
        <v>1</v>
      </c>
      <c r="AO132" s="257">
        <f t="shared" ca="1" si="117"/>
        <v>54409</v>
      </c>
      <c r="AP132" s="266">
        <f t="shared" ca="1" si="112"/>
        <v>9.8457543436402902E-5</v>
      </c>
      <c r="AR132" s="248">
        <f ca="1">'JACOBIAN - OIS USDOIS'!B141</f>
        <v>54409</v>
      </c>
      <c r="AS132">
        <f ca="1">'JACOBIAN - OIS USDOIS'!C141</f>
        <v>-6.8044347301121601E-7</v>
      </c>
      <c r="AT132">
        <f ca="1">'JACOBIAN - OIS USDOIS'!D141</f>
        <v>5.2789439486389301E-11</v>
      </c>
      <c r="AU132">
        <f ca="1">'JACOBIAN - OIS USDOIS'!E141</f>
        <v>-2.1102730674016401E-10</v>
      </c>
      <c r="AV132">
        <f ca="1">'JACOBIAN - OIS USDOIS'!F141</f>
        <v>5.5477766824907297E-10</v>
      </c>
      <c r="AW132">
        <f ca="1">'JACOBIAN - OIS USDOIS'!G141</f>
        <v>-7.1408567947628399E-10</v>
      </c>
      <c r="AX132">
        <f ca="1">'JACOBIAN - OIS USDOIS'!H141</f>
        <v>1.61595226089162E-9</v>
      </c>
      <c r="AY132">
        <f ca="1">'JACOBIAN - OIS USDOIS'!I141</f>
        <v>-1.41578280210553E-8</v>
      </c>
      <c r="AZ132">
        <f ca="1">'JACOBIAN - OIS USDOIS'!J141</f>
        <v>1.97501640597508E-8</v>
      </c>
      <c r="BA132">
        <f ca="1">'JACOBIAN - OIS USDOIS'!K141</f>
        <v>-7.6042661278918899E-8</v>
      </c>
      <c r="BB132">
        <f ca="1">'JACOBIAN - OIS USDOIS'!L141</f>
        <v>4.03112991653742E-7</v>
      </c>
      <c r="BC132">
        <f ca="1">'JACOBIAN - OIS USDOIS'!M141</f>
        <v>-2.6806233965892498E-7</v>
      </c>
      <c r="BD132">
        <f ca="1">'JACOBIAN - OIS USDOIS'!N141</f>
        <v>1.7053025658242399E-13</v>
      </c>
      <c r="BE132">
        <f ca="1">'JACOBIAN - OIS USDOIS'!O141</f>
        <v>1.7053025658242399E-13</v>
      </c>
      <c r="BF132">
        <f ca="1">'JACOBIAN - OIS USDOIS'!P141</f>
        <v>1.7053025658242399E-13</v>
      </c>
      <c r="BG132">
        <f ca="1">'JACOBIAN - OIS USDOIS'!Q141</f>
        <v>1.7053025658242399E-13</v>
      </c>
      <c r="BH132">
        <f ca="1">'JACOBIAN - OIS USDOIS'!R141</f>
        <v>1.7053025658242399E-13</v>
      </c>
      <c r="BI132" s="161">
        <f ca="1">'JACOBIAN - OIS USDOIS'!S141</f>
        <v>-9.8520540359192708E-7</v>
      </c>
      <c r="BJ132" s="161">
        <f ca="1">'JACOBIAN - OIS USDOIS'!T141</f>
        <v>-2.6483769821616902E-6</v>
      </c>
      <c r="BK132" s="161">
        <f ca="1">'JACOBIAN - OIS USDOIS'!U141</f>
        <v>-2.5664540658221201E-6</v>
      </c>
      <c r="BL132" s="161">
        <f ca="1">'JACOBIAN - OIS USDOIS'!V141</f>
        <v>-5.1172890020989604E-6</v>
      </c>
      <c r="BM132" s="161">
        <f ca="1">'JACOBIAN - OIS USDOIS'!W141</f>
        <v>-5.5088956834037404E-6</v>
      </c>
      <c r="BN132" s="161">
        <f ca="1">'JACOBIAN - OIS USDOIS'!X141</f>
        <v>-2.5240102199175499E-5</v>
      </c>
      <c r="BO132" s="161">
        <f ca="1">'JACOBIAN - OIS USDOIS'!Y141</f>
        <v>-1.95427479620092E-5</v>
      </c>
      <c r="BP132" s="161">
        <f ca="1">'JACOBIAN - OIS USDOIS'!Z141</f>
        <v>-5.5810908700770801E-5</v>
      </c>
      <c r="BQ132" s="161">
        <f ca="1">'JACOBIAN - OIS USDOIS'!AA141</f>
        <v>-1.9100738856914199E-5</v>
      </c>
      <c r="BR132" s="161">
        <f ca="1">'JACOBIAN - OIS USDOIS'!AB141</f>
        <v>-3.1140661356499099E-4</v>
      </c>
      <c r="BS132" s="161">
        <f ca="1">'JACOBIAN - OIS USDOIS'!AC141</f>
        <v>5.4924586156768196E-4</v>
      </c>
      <c r="BT132" s="161">
        <f ca="1">'JACOBIAN - OIS USDOIS'!AD141</f>
        <v>1.7076275573216801E-3</v>
      </c>
      <c r="BU132">
        <f ca="1">'JACOBIAN - OIS USDOIS'!AE141</f>
        <v>9.6711265562543502E-7</v>
      </c>
      <c r="BV132">
        <f ca="1">'JACOBIAN - OIS USDOIS'!AF141</f>
        <v>2.6039802037969299E-6</v>
      </c>
      <c r="BW132">
        <f ca="1">'JACOBIAN - OIS USDOIS'!AG141</f>
        <v>2.5248643357178601E-6</v>
      </c>
      <c r="BX132">
        <f ca="1">'JACOBIAN - OIS USDOIS'!AH141</f>
        <v>5.0347676073814202E-6</v>
      </c>
      <c r="BY132">
        <f ca="1">'JACOBIAN - OIS USDOIS'!AI141</f>
        <v>5.4136876871391204E-6</v>
      </c>
      <c r="BZ132">
        <f ca="1">'JACOBIAN - OIS USDOIS'!AJ141</f>
        <v>2.4829675802084899E-5</v>
      </c>
      <c r="CA132">
        <f ca="1">'JACOBIAN - OIS USDOIS'!AK141</f>
        <v>1.9209087240623602E-5</v>
      </c>
      <c r="CB132">
        <f ca="1">'JACOBIAN - OIS USDOIS'!AL141</f>
        <v>5.49091062582718E-5</v>
      </c>
      <c r="CC132">
        <f ca="1">'JACOBIAN - OIS USDOIS'!AM141</f>
        <v>1.86767520397035E-5</v>
      </c>
      <c r="CD132">
        <f ca="1">'JACOBIAN - OIS USDOIS'!AN141</f>
        <v>3.0669707813202302E-4</v>
      </c>
      <c r="CE132">
        <f ca="1">'JACOBIAN - OIS USDOIS'!AO141</f>
        <v>-5.4141766024418103E-4</v>
      </c>
      <c r="CF132">
        <f ca="1">'JACOBIAN - OIS USDOIS'!AP141</f>
        <v>-1.6804924527086299E-3</v>
      </c>
      <c r="CK132" s="248">
        <f t="shared" ca="1" si="118"/>
        <v>54409</v>
      </c>
      <c r="CL132">
        <f t="shared" ca="1" si="119"/>
        <v>-6.8044347301121601E-7</v>
      </c>
      <c r="CM132">
        <f t="shared" ca="1" si="120"/>
        <v>5.2789439486389301E-11</v>
      </c>
      <c r="CN132">
        <f t="shared" ca="1" si="121"/>
        <v>-2.1102730674016401E-10</v>
      </c>
      <c r="CO132">
        <f t="shared" ca="1" si="122"/>
        <v>5.5477766824907297E-10</v>
      </c>
      <c r="CP132">
        <f t="shared" ca="1" si="123"/>
        <v>-7.1408567947628399E-10</v>
      </c>
      <c r="CQ132">
        <f t="shared" ca="1" si="124"/>
        <v>1.61595226089162E-9</v>
      </c>
      <c r="CR132">
        <f t="shared" ca="1" si="125"/>
        <v>-1.41578280210553E-8</v>
      </c>
      <c r="CS132">
        <f t="shared" ca="1" si="126"/>
        <v>1.97501640597508E-8</v>
      </c>
      <c r="CT132">
        <f t="shared" ca="1" si="127"/>
        <v>-7.6042661278918899E-8</v>
      </c>
      <c r="CU132">
        <f t="shared" ca="1" si="128"/>
        <v>4.03112991653742E-7</v>
      </c>
      <c r="CV132">
        <f t="shared" ca="1" si="129"/>
        <v>-2.6806233965892498E-7</v>
      </c>
      <c r="CW132">
        <f t="shared" ca="1" si="130"/>
        <v>1.7053025658242399E-13</v>
      </c>
      <c r="CX132">
        <f t="shared" ca="1" si="131"/>
        <v>1.7053025658242399E-13</v>
      </c>
      <c r="CY132">
        <f t="shared" ca="1" si="132"/>
        <v>1.7053025658242399E-13</v>
      </c>
      <c r="CZ132">
        <f t="shared" ca="1" si="133"/>
        <v>1.7053025658242399E-13</v>
      </c>
      <c r="DA132">
        <f t="shared" ca="1" si="134"/>
        <v>1.7053025658242399E-13</v>
      </c>
      <c r="DB132" s="146">
        <v>0</v>
      </c>
      <c r="DC132" s="146">
        <v>0</v>
      </c>
      <c r="DD132" s="146">
        <v>0</v>
      </c>
      <c r="DE132" s="146">
        <v>0</v>
      </c>
      <c r="DF132" s="146">
        <v>0</v>
      </c>
      <c r="DG132" s="146">
        <v>0</v>
      </c>
      <c r="DH132" s="146">
        <v>0</v>
      </c>
      <c r="DI132" s="146">
        <v>0</v>
      </c>
      <c r="DJ132" s="146">
        <v>0</v>
      </c>
      <c r="DK132" s="146">
        <v>0</v>
      </c>
      <c r="DL132" s="146">
        <v>0</v>
      </c>
      <c r="DM132" s="146">
        <v>0</v>
      </c>
      <c r="DN132">
        <f t="shared" ca="1" si="135"/>
        <v>9.6711265562543502E-7</v>
      </c>
      <c r="DO132">
        <f t="shared" ca="1" si="136"/>
        <v>2.6039802037969299E-6</v>
      </c>
      <c r="DP132">
        <f t="shared" ca="1" si="137"/>
        <v>2.5248643357178601E-6</v>
      </c>
      <c r="DQ132">
        <f t="shared" ca="1" si="138"/>
        <v>5.0347676073814202E-6</v>
      </c>
      <c r="DR132">
        <f t="shared" ca="1" si="139"/>
        <v>5.4136876871391204E-6</v>
      </c>
      <c r="DS132">
        <f t="shared" ca="1" si="140"/>
        <v>2.4829675802084899E-5</v>
      </c>
      <c r="DT132">
        <f t="shared" ca="1" si="141"/>
        <v>1.9209087240623602E-5</v>
      </c>
      <c r="DU132">
        <f t="shared" ca="1" si="142"/>
        <v>5.49091062582718E-5</v>
      </c>
      <c r="DV132">
        <f t="shared" ca="1" si="143"/>
        <v>1.86767520397035E-5</v>
      </c>
      <c r="DW132">
        <f t="shared" ca="1" si="144"/>
        <v>3.0669707813202302E-4</v>
      </c>
      <c r="DX132">
        <f t="shared" ca="1" si="145"/>
        <v>-5.4141766024418103E-4</v>
      </c>
      <c r="DY132">
        <f t="shared" ca="1" si="146"/>
        <v>-1.6804924527086299E-3</v>
      </c>
      <c r="ED132" s="248">
        <f ca="1">'JACOBIAN - SWAP USD3ML'!B141</f>
        <v>54409</v>
      </c>
      <c r="EE132">
        <f ca="1">'JACOBIAN - SWAP USD3ML'!C141</f>
        <v>-4.2899017671515998E-13</v>
      </c>
      <c r="EF132">
        <f ca="1">'JACOBIAN - SWAP USD3ML'!D141</f>
        <v>3.96696009374864E-11</v>
      </c>
      <c r="EG132">
        <f ca="1">'JACOBIAN - SWAP USD3ML'!E141</f>
        <v>-6.3957728002606002E-12</v>
      </c>
      <c r="EH132">
        <f ca="1">'JACOBIAN - SWAP USD3ML'!F141</f>
        <v>-4.2899017671515998E-13</v>
      </c>
      <c r="EI132">
        <f ca="1">'JACOBIAN - SWAP USD3ML'!G141</f>
        <v>2.66453525910038E-15</v>
      </c>
      <c r="EJ132">
        <f ca="1">'JACOBIAN - SWAP USD3ML'!H141</f>
        <v>3.87352372399619E-11</v>
      </c>
      <c r="EK132">
        <f ca="1">'JACOBIAN - SWAP USD3ML'!I141</f>
        <v>3.27640137243179E-11</v>
      </c>
      <c r="EL132">
        <f ca="1">'JACOBIAN - SWAP USD3ML'!J141</f>
        <v>3.27187166249132E-11</v>
      </c>
      <c r="EM132">
        <f ca="1">'JACOBIAN - SWAP USD3ML'!K141</f>
        <v>3.2664537741311499E-11</v>
      </c>
      <c r="EN132">
        <f ca="1">'JACOBIAN - SWAP USD3ML'!L141</f>
        <v>3.2542857297812601E-11</v>
      </c>
      <c r="EO132">
        <f ca="1">'JACOBIAN - SWAP USD3ML'!M141</f>
        <v>3.2259528381928197E-11</v>
      </c>
      <c r="EP132">
        <f ca="1">'JACOBIAN - SWAP USD3ML'!N141</f>
        <v>7.2055250655012098E-11</v>
      </c>
      <c r="EQ132">
        <f ca="1">'JACOBIAN - SWAP USD3ML'!O141</f>
        <v>-1.74737113667334E-9</v>
      </c>
      <c r="ER132">
        <f ca="1">'JACOBIAN - SWAP USD3ML'!P141</f>
        <v>8.4526003973906005E-9</v>
      </c>
      <c r="ES132">
        <f ca="1">'JACOBIAN - SWAP USD3ML'!Q141</f>
        <v>-2.1065734934211401E-8</v>
      </c>
      <c r="ET132">
        <f ca="1">'JACOBIAN - SWAP USD3ML'!R141</f>
        <v>1.8584266925358901E-7</v>
      </c>
      <c r="EU132">
        <f ca="1">'JACOBIAN - SWAP USD3ML'!S141</f>
        <v>-9.6817382999603296E-7</v>
      </c>
      <c r="EV132">
        <f ca="1">'JACOBIAN - SWAP USD3ML'!T141</f>
        <v>4.2109917908206302E-6</v>
      </c>
      <c r="EW132">
        <f ca="1">'JACOBIAN - SWAP USD3ML'!U141</f>
        <v>-9.3928878657223402E-6</v>
      </c>
      <c r="EX132">
        <f ca="1">'JACOBIAN - SWAP USD3ML'!V141</f>
        <v>2.0800307291679601E-5</v>
      </c>
      <c r="EY132">
        <f ca="1">'JACOBIAN - SWAP USD3ML'!W141</f>
        <v>-4.9912773914861903E-5</v>
      </c>
      <c r="EZ132">
        <f ca="1">'JACOBIAN - SWAP USD3ML'!X141</f>
        <v>1.98860248992183E-4</v>
      </c>
      <c r="FA132">
        <f ca="1">'JACOBIAN - SWAP USD3ML'!Y141</f>
        <v>-9.950638431881491E-4</v>
      </c>
      <c r="FB132">
        <f ca="1">'JACOBIAN - SWAP USD3ML'!Z141</f>
        <v>9.2975188583821499E-4</v>
      </c>
    </row>
    <row r="133" spans="24:158" x14ac:dyDescent="0.25">
      <c r="X133" s="258">
        <f t="shared" ca="1" si="113"/>
        <v>54499</v>
      </c>
      <c r="Y133" s="261">
        <v>0</v>
      </c>
      <c r="AA133" s="257">
        <f t="shared" ca="1" si="110"/>
        <v>54499</v>
      </c>
      <c r="AB133" s="266">
        <f t="shared" ca="1" si="114"/>
        <v>-1.7890042867146905E-3</v>
      </c>
      <c r="AC133" s="266"/>
      <c r="AD133" s="290">
        <f ca="1"/>
        <v>54499</v>
      </c>
      <c r="AE133" s="291">
        <f ca="1"/>
        <v>-1.7890042867146905E-3</v>
      </c>
      <c r="AF133" s="291" t="b">
        <f t="shared" ca="1" si="111"/>
        <v>1</v>
      </c>
      <c r="AH133" s="257">
        <f t="shared" ca="1" si="115"/>
        <v>54499</v>
      </c>
      <c r="AI133" s="260">
        <v>0</v>
      </c>
      <c r="AK133" s="290">
        <f ca="1"/>
        <v>54499</v>
      </c>
      <c r="AL133" s="291">
        <f ca="1"/>
        <v>9.8480463215523087E-5</v>
      </c>
      <c r="AM133" s="291" t="b">
        <f t="shared" ca="1" si="116"/>
        <v>1</v>
      </c>
      <c r="AO133" s="257">
        <f t="shared" ca="1" si="117"/>
        <v>54499</v>
      </c>
      <c r="AP133" s="266">
        <f t="shared" ca="1" si="112"/>
        <v>9.848046321551875E-5</v>
      </c>
      <c r="AR133" s="248">
        <f ca="1">'JACOBIAN - OIS USDOIS'!B142</f>
        <v>54499</v>
      </c>
      <c r="AS133">
        <f ca="1">'JACOBIAN - OIS USDOIS'!C142</f>
        <v>-6.7762776467805697E-7</v>
      </c>
      <c r="AT133">
        <f ca="1">'JACOBIAN - OIS USDOIS'!D142</f>
        <v>5.3581472592156797E-11</v>
      </c>
      <c r="AU133">
        <f ca="1">'JACOBIAN - OIS USDOIS'!E142</f>
        <v>-2.1401114214114601E-10</v>
      </c>
      <c r="AV133">
        <f ca="1">'JACOBIAN - OIS USDOIS'!F142</f>
        <v>5.6268778525492301E-10</v>
      </c>
      <c r="AW133">
        <f ca="1">'JACOBIAN - OIS USDOIS'!G142</f>
        <v>-7.2425587749336304E-10</v>
      </c>
      <c r="AX133">
        <f ca="1">'JACOBIAN - OIS USDOIS'!H142</f>
        <v>1.638985502872E-9</v>
      </c>
      <c r="AY133">
        <f ca="1">'JACOBIAN - OIS USDOIS'!I142</f>
        <v>-1.4197796271986401E-8</v>
      </c>
      <c r="AZ133">
        <f ca="1">'JACOBIAN - OIS USDOIS'!J142</f>
        <v>2.00313672316099E-8</v>
      </c>
      <c r="BA133">
        <f ca="1">'JACOBIAN - OIS USDOIS'!K142</f>
        <v>-7.7125156705548595E-8</v>
      </c>
      <c r="BB133">
        <f ca="1">'JACOBIAN - OIS USDOIS'!L142</f>
        <v>4.03488479294722E-7</v>
      </c>
      <c r="BC133">
        <f ca="1">'JACOBIAN - OIS USDOIS'!M142</f>
        <v>-2.7139131775211201E-7</v>
      </c>
      <c r="BD133">
        <f ca="1">'JACOBIAN - OIS USDOIS'!N142</f>
        <v>1.9029222642075201E-13</v>
      </c>
      <c r="BE133">
        <f ca="1">'JACOBIAN - OIS USDOIS'!O142</f>
        <v>1.9029222642075201E-13</v>
      </c>
      <c r="BF133">
        <f ca="1">'JACOBIAN - OIS USDOIS'!P142</f>
        <v>1.9029222642075201E-13</v>
      </c>
      <c r="BG133">
        <f ca="1">'JACOBIAN - OIS USDOIS'!Q142</f>
        <v>1.9029222642075201E-13</v>
      </c>
      <c r="BH133">
        <f ca="1">'JACOBIAN - OIS USDOIS'!R142</f>
        <v>1.9029222642075201E-13</v>
      </c>
      <c r="BI133" s="161">
        <f ca="1">'JACOBIAN - OIS USDOIS'!S142</f>
        <v>-9.867496723048319E-7</v>
      </c>
      <c r="BJ133" s="161">
        <f ca="1">'JACOBIAN - OIS USDOIS'!T142</f>
        <v>-2.6267352023490201E-6</v>
      </c>
      <c r="BK133" s="161">
        <f ca="1">'JACOBIAN - OIS USDOIS'!U142</f>
        <v>-2.5915764984007999E-6</v>
      </c>
      <c r="BL133" s="161">
        <f ca="1">'JACOBIAN - OIS USDOIS'!V142</f>
        <v>-4.9584582418882297E-6</v>
      </c>
      <c r="BM133" s="161">
        <f ca="1">'JACOBIAN - OIS USDOIS'!W142</f>
        <v>-5.7573233106511498E-6</v>
      </c>
      <c r="BN133" s="161">
        <f ca="1">'JACOBIAN - OIS USDOIS'!X142</f>
        <v>-2.46265957805081E-5</v>
      </c>
      <c r="BO133" s="161">
        <f ca="1">'JACOBIAN - OIS USDOIS'!Y142</f>
        <v>-2.1947370951402901E-5</v>
      </c>
      <c r="BP133" s="161">
        <f ca="1">'JACOBIAN - OIS USDOIS'!Z142</f>
        <v>-4.8429527704119097E-5</v>
      </c>
      <c r="BQ133" s="161">
        <f ca="1">'JACOBIAN - OIS USDOIS'!AA142</f>
        <v>-3.33366388518552E-5</v>
      </c>
      <c r="BR133" s="161">
        <f ca="1">'JACOBIAN - OIS USDOIS'!AB142</f>
        <v>-2.6701590699107502E-4</v>
      </c>
      <c r="BS133" s="161">
        <f ca="1">'JACOBIAN - OIS USDOIS'!AC142</f>
        <v>3.7405219366537501E-4</v>
      </c>
      <c r="BT133" s="161">
        <f ca="1">'JACOBIAN - OIS USDOIS'!AD142</f>
        <v>1.85505528202068E-3</v>
      </c>
      <c r="BU133">
        <f ca="1">'JACOBIAN - OIS USDOIS'!AE142</f>
        <v>9.6863012943870807E-7</v>
      </c>
      <c r="BV133">
        <f ca="1">'JACOBIAN - OIS USDOIS'!AF142</f>
        <v>2.5826998170108699E-6</v>
      </c>
      <c r="BW133">
        <f ca="1">'JACOBIAN - OIS USDOIS'!AG142</f>
        <v>2.54958559009477E-6</v>
      </c>
      <c r="BX133">
        <f ca="1">'JACOBIAN - OIS USDOIS'!AH142</f>
        <v>4.8784449092620397E-6</v>
      </c>
      <c r="BY133">
        <f ca="1">'JACOBIAN - OIS USDOIS'!AI142</f>
        <v>5.6581589278348298E-6</v>
      </c>
      <c r="BZ133">
        <f ca="1">'JACOBIAN - OIS USDOIS'!AJ142</f>
        <v>2.4225831280366699E-5</v>
      </c>
      <c r="CA133">
        <f ca="1">'JACOBIAN - OIS USDOIS'!AK142</f>
        <v>2.1576295994307801E-5</v>
      </c>
      <c r="CB133">
        <f ca="1">'JACOBIAN - OIS USDOIS'!AL142</f>
        <v>4.76389655166276E-5</v>
      </c>
      <c r="CC133">
        <f ca="1">'JACOBIAN - OIS USDOIS'!AM142</f>
        <v>3.2699170628980298E-5</v>
      </c>
      <c r="CD133">
        <f ca="1">'JACOBIAN - OIS USDOIS'!AN142</f>
        <v>2.62923752800237E-4</v>
      </c>
      <c r="CE133">
        <f ca="1">'JACOBIAN - OIS USDOIS'!AO142</f>
        <v>-3.6897098162447201E-4</v>
      </c>
      <c r="CF133">
        <f ca="1">'JACOBIAN - OIS USDOIS'!AP142</f>
        <v>-1.8251193364347E-3</v>
      </c>
      <c r="CK133" s="248">
        <f t="shared" ca="1" si="118"/>
        <v>54499</v>
      </c>
      <c r="CL133">
        <f t="shared" ca="1" si="119"/>
        <v>-6.7762776467805697E-7</v>
      </c>
      <c r="CM133">
        <f t="shared" ca="1" si="120"/>
        <v>5.3581472592156797E-11</v>
      </c>
      <c r="CN133">
        <f t="shared" ca="1" si="121"/>
        <v>-2.1401114214114601E-10</v>
      </c>
      <c r="CO133">
        <f t="shared" ca="1" si="122"/>
        <v>5.6268778525492301E-10</v>
      </c>
      <c r="CP133">
        <f t="shared" ca="1" si="123"/>
        <v>-7.2425587749336304E-10</v>
      </c>
      <c r="CQ133">
        <f t="shared" ca="1" si="124"/>
        <v>1.638985502872E-9</v>
      </c>
      <c r="CR133">
        <f t="shared" ca="1" si="125"/>
        <v>-1.4197796271986401E-8</v>
      </c>
      <c r="CS133">
        <f t="shared" ca="1" si="126"/>
        <v>2.00313672316099E-8</v>
      </c>
      <c r="CT133">
        <f t="shared" ca="1" si="127"/>
        <v>-7.7125156705548595E-8</v>
      </c>
      <c r="CU133">
        <f t="shared" ca="1" si="128"/>
        <v>4.03488479294722E-7</v>
      </c>
      <c r="CV133">
        <f t="shared" ca="1" si="129"/>
        <v>-2.7139131775211201E-7</v>
      </c>
      <c r="CW133">
        <f t="shared" ca="1" si="130"/>
        <v>1.9029222642075201E-13</v>
      </c>
      <c r="CX133">
        <f t="shared" ca="1" si="131"/>
        <v>1.9029222642075201E-13</v>
      </c>
      <c r="CY133">
        <f t="shared" ca="1" si="132"/>
        <v>1.9029222642075201E-13</v>
      </c>
      <c r="CZ133">
        <f t="shared" ca="1" si="133"/>
        <v>1.9029222642075201E-13</v>
      </c>
      <c r="DA133">
        <f t="shared" ca="1" si="134"/>
        <v>1.9029222642075201E-13</v>
      </c>
      <c r="DB133" s="146">
        <v>0</v>
      </c>
      <c r="DC133" s="146">
        <v>0</v>
      </c>
      <c r="DD133" s="146">
        <v>0</v>
      </c>
      <c r="DE133" s="146">
        <v>0</v>
      </c>
      <c r="DF133" s="146">
        <v>0</v>
      </c>
      <c r="DG133" s="146">
        <v>0</v>
      </c>
      <c r="DH133" s="146">
        <v>0</v>
      </c>
      <c r="DI133" s="146">
        <v>0</v>
      </c>
      <c r="DJ133" s="146">
        <v>0</v>
      </c>
      <c r="DK133" s="146">
        <v>0</v>
      </c>
      <c r="DL133" s="146">
        <v>0</v>
      </c>
      <c r="DM133" s="146">
        <v>0</v>
      </c>
      <c r="DN133">
        <f t="shared" ca="1" si="135"/>
        <v>9.6863012943870807E-7</v>
      </c>
      <c r="DO133">
        <f t="shared" ca="1" si="136"/>
        <v>2.5826998170108699E-6</v>
      </c>
      <c r="DP133">
        <f t="shared" ca="1" si="137"/>
        <v>2.54958559009477E-6</v>
      </c>
      <c r="DQ133">
        <f t="shared" ca="1" si="138"/>
        <v>4.8784449092620397E-6</v>
      </c>
      <c r="DR133">
        <f t="shared" ca="1" si="139"/>
        <v>5.6581589278348298E-6</v>
      </c>
      <c r="DS133">
        <f t="shared" ca="1" si="140"/>
        <v>2.4225831280366699E-5</v>
      </c>
      <c r="DT133">
        <f t="shared" ca="1" si="141"/>
        <v>2.1576295994307801E-5</v>
      </c>
      <c r="DU133">
        <f t="shared" ca="1" si="142"/>
        <v>4.76389655166276E-5</v>
      </c>
      <c r="DV133">
        <f t="shared" ca="1" si="143"/>
        <v>3.2699170628980298E-5</v>
      </c>
      <c r="DW133">
        <f t="shared" ca="1" si="144"/>
        <v>2.62923752800237E-4</v>
      </c>
      <c r="DX133">
        <f t="shared" ca="1" si="145"/>
        <v>-3.6897098162447201E-4</v>
      </c>
      <c r="DY133">
        <f t="shared" ca="1" si="146"/>
        <v>-1.8251193364347E-3</v>
      </c>
      <c r="ED133" s="248">
        <f ca="1">'JACOBIAN - SWAP USD3ML'!B142</f>
        <v>54499</v>
      </c>
      <c r="EE133">
        <f ca="1">'JACOBIAN - SWAP USD3ML'!C142</f>
        <v>-4.3009346084588199E-13</v>
      </c>
      <c r="EF133">
        <f ca="1">'JACOBIAN - SWAP USD3ML'!D142</f>
        <v>4.1297399527850897E-11</v>
      </c>
      <c r="EG133">
        <f ca="1">'JACOBIAN - SWAP USD3ML'!E142</f>
        <v>-6.3662131122299602E-12</v>
      </c>
      <c r="EH133">
        <f ca="1">'JACOBIAN - SWAP USD3ML'!F142</f>
        <v>-4.2835526792295298E-13</v>
      </c>
      <c r="EI133">
        <f ca="1">'JACOBIAN - SWAP USD3ML'!G142</f>
        <v>1.8245821520324101E-14</v>
      </c>
      <c r="EJ133">
        <f ca="1">'JACOBIAN - SWAP USD3ML'!H142</f>
        <v>4.0362494596601899E-11</v>
      </c>
      <c r="EK133">
        <f ca="1">'JACOBIAN - SWAP USD3ML'!I142</f>
        <v>3.4415945787680303E-11</v>
      </c>
      <c r="EL133">
        <f ca="1">'JACOBIAN - SWAP USD3ML'!J142</f>
        <v>3.4363813877780203E-11</v>
      </c>
      <c r="EM133">
        <f ca="1">'JACOBIAN - SWAP USD3ML'!K142</f>
        <v>3.4303861834450399E-11</v>
      </c>
      <c r="EN133">
        <f ca="1">'JACOBIAN - SWAP USD3ML'!L142</f>
        <v>3.4177008445546203E-11</v>
      </c>
      <c r="EO133">
        <f ca="1">'JACOBIAN - SWAP USD3ML'!M142</f>
        <v>3.3878115590635399E-11</v>
      </c>
      <c r="EP133">
        <f ca="1">'JACOBIAN - SWAP USD3ML'!N142</f>
        <v>7.5561296802861794E-11</v>
      </c>
      <c r="EQ133">
        <f ca="1">'JACOBIAN - SWAP USD3ML'!O142</f>
        <v>-1.83233341694011E-9</v>
      </c>
      <c r="ER133">
        <f ca="1">'JACOBIAN - SWAP USD3ML'!P142</f>
        <v>8.8637810112535098E-9</v>
      </c>
      <c r="ES133">
        <f ca="1">'JACOBIAN - SWAP USD3ML'!Q142</f>
        <v>-2.2090180122613699E-8</v>
      </c>
      <c r="ET133">
        <f ca="1">'JACOBIAN - SWAP USD3ML'!R142</f>
        <v>1.9488142230170099E-7</v>
      </c>
      <c r="EU133">
        <f ca="1">'JACOBIAN - SWAP USD3ML'!S142</f>
        <v>-1.0152619388699399E-6</v>
      </c>
      <c r="EV133">
        <f ca="1">'JACOBIAN - SWAP USD3ML'!T142</f>
        <v>4.4157974094689898E-6</v>
      </c>
      <c r="EW133">
        <f ca="1">'JACOBIAN - SWAP USD3ML'!U142</f>
        <v>-9.8497178483009096E-6</v>
      </c>
      <c r="EX133">
        <f ca="1">'JACOBIAN - SWAP USD3ML'!V142</f>
        <v>2.18119551090405E-5</v>
      </c>
      <c r="EY133">
        <f ca="1">'JACOBIAN - SWAP USD3ML'!W142</f>
        <v>-5.2340288545022603E-5</v>
      </c>
      <c r="EZ133">
        <f ca="1">'JACOBIAN - SWAP USD3ML'!X142</f>
        <v>2.0853259227839E-4</v>
      </c>
      <c r="FA133">
        <f ca="1">'JACOBIAN - SWAP USD3ML'!Y142</f>
        <v>-1.0120913018089601E-3</v>
      </c>
      <c r="FB133">
        <f ca="1">'JACOBIAN - SWAP USD3ML'!Z142</f>
        <v>9.3883654471647903E-4</v>
      </c>
    </row>
    <row r="134" spans="24:158" x14ac:dyDescent="0.25">
      <c r="X134" s="258">
        <f t="shared" ca="1" si="113"/>
        <v>54591</v>
      </c>
      <c r="Y134" s="261">
        <v>0</v>
      </c>
      <c r="AA134" s="257">
        <f t="shared" ca="1" si="110"/>
        <v>54591</v>
      </c>
      <c r="AB134" s="266">
        <f t="shared" ca="1" si="114"/>
        <v>-1.7963195156499552E-3</v>
      </c>
      <c r="AC134" s="266"/>
      <c r="AD134" s="290">
        <f ca="1"/>
        <v>54591</v>
      </c>
      <c r="AE134" s="291">
        <f ca="1"/>
        <v>-1.7963195156499578E-3</v>
      </c>
      <c r="AF134" s="291" t="b">
        <f t="shared" ca="1" si="111"/>
        <v>1</v>
      </c>
      <c r="AH134" s="257">
        <f t="shared" ca="1" si="115"/>
        <v>54591</v>
      </c>
      <c r="AI134" s="260">
        <v>0</v>
      </c>
      <c r="AK134" s="290">
        <f ca="1"/>
        <v>54591</v>
      </c>
      <c r="AL134" s="291">
        <f ca="1"/>
        <v>9.8485501441054305E-5</v>
      </c>
      <c r="AM134" s="291" t="b">
        <f t="shared" ca="1" si="116"/>
        <v>1</v>
      </c>
      <c r="AO134" s="257">
        <f t="shared" ca="1" si="117"/>
        <v>54591</v>
      </c>
      <c r="AP134" s="266">
        <f t="shared" ca="1" si="112"/>
        <v>9.8485501441053546E-5</v>
      </c>
      <c r="AR134" s="248">
        <f ca="1">'JACOBIAN - OIS USDOIS'!B143</f>
        <v>54591</v>
      </c>
      <c r="AS134">
        <f ca="1">'JACOBIAN - OIS USDOIS'!C143</f>
        <v>-6.7476264742349901E-7</v>
      </c>
      <c r="AT134">
        <f ca="1">'JACOBIAN - OIS USDOIS'!D143</f>
        <v>5.4446336328339801E-11</v>
      </c>
      <c r="AU134">
        <f ca="1">'JACOBIAN - OIS USDOIS'!E143</f>
        <v>-2.1727764032419799E-10</v>
      </c>
      <c r="AV134">
        <f ca="1">'JACOBIAN - OIS USDOIS'!F143</f>
        <v>5.7134530440094998E-10</v>
      </c>
      <c r="AW134">
        <f ca="1">'JACOBIAN - OIS USDOIS'!G143</f>
        <v>-7.3538675149365004E-10</v>
      </c>
      <c r="AX134">
        <f ca="1">'JACOBIAN - OIS USDOIS'!H143</f>
        <v>1.66419367175763E-9</v>
      </c>
      <c r="AY134">
        <f ca="1">'JACOBIAN - OIS USDOIS'!I143</f>
        <v>-1.4243430435101301E-8</v>
      </c>
      <c r="AZ134">
        <f ca="1">'JACOBIAN - OIS USDOIS'!J143</f>
        <v>2.0339135820002201E-8</v>
      </c>
      <c r="BA134">
        <f ca="1">'JACOBIAN - OIS USDOIS'!K143</f>
        <v>-7.8309917883601101E-8</v>
      </c>
      <c r="BB134">
        <f ca="1">'JACOBIAN - OIS USDOIS'!L143</f>
        <v>4.0396342237958299E-7</v>
      </c>
      <c r="BC134">
        <f ca="1">'JACOBIAN - OIS USDOIS'!M143</f>
        <v>-2.7504048960569302E-7</v>
      </c>
      <c r="BD134">
        <f ca="1">'JACOBIAN - OIS USDOIS'!N143</f>
        <v>2.1072033007385499E-13</v>
      </c>
      <c r="BE134">
        <f ca="1">'JACOBIAN - OIS USDOIS'!O143</f>
        <v>2.1072033007385499E-13</v>
      </c>
      <c r="BF134">
        <f ca="1">'JACOBIAN - OIS USDOIS'!P143</f>
        <v>2.1072033007385499E-13</v>
      </c>
      <c r="BG134">
        <f ca="1">'JACOBIAN - OIS USDOIS'!Q143</f>
        <v>2.1072033007385499E-13</v>
      </c>
      <c r="BH134">
        <f ca="1">'JACOBIAN - OIS USDOIS'!R143</f>
        <v>2.1072033007385499E-13</v>
      </c>
      <c r="BI134" s="161">
        <f ca="1">'JACOBIAN - OIS USDOIS'!S143</f>
        <v>-9.8858881147911901E-7</v>
      </c>
      <c r="BJ134" s="161">
        <f ca="1">'JACOBIAN - OIS USDOIS'!T143</f>
        <v>-2.6037578361171001E-6</v>
      </c>
      <c r="BK134" s="161">
        <f ca="1">'JACOBIAN - OIS USDOIS'!U143</f>
        <v>-2.6192148923076501E-6</v>
      </c>
      <c r="BL134" s="161">
        <f ca="1">'JACOBIAN - OIS USDOIS'!V143</f>
        <v>-4.7873497045491897E-6</v>
      </c>
      <c r="BM134" s="161">
        <f ca="1">'JACOBIAN - OIS USDOIS'!W143</f>
        <v>-6.0272730718624601E-6</v>
      </c>
      <c r="BN134" s="161">
        <f ca="1">'JACOBIAN - OIS USDOIS'!X143</f>
        <v>-2.3966598479585599E-5</v>
      </c>
      <c r="BO134" s="161">
        <f ca="1">'JACOBIAN - OIS USDOIS'!Y143</f>
        <v>-2.45545031728467E-5</v>
      </c>
      <c r="BP134" s="161">
        <f ca="1">'JACOBIAN - OIS USDOIS'!Z143</f>
        <v>-4.0446220698209198E-5</v>
      </c>
      <c r="BQ134" s="161">
        <f ca="1">'JACOBIAN - OIS USDOIS'!AA143</f>
        <v>-4.87545819690682E-5</v>
      </c>
      <c r="BR134" s="161">
        <f ca="1">'JACOBIAN - OIS USDOIS'!AB143</f>
        <v>-2.18998226611866E-4</v>
      </c>
      <c r="BS134" s="161">
        <f ca="1">'JACOBIAN - OIS USDOIS'!AC143</f>
        <v>1.9030841598011199E-4</v>
      </c>
      <c r="BT134" s="161">
        <f ca="1">'JACOBIAN - OIS USDOIS'!AD143</f>
        <v>2.0083309200250601E-3</v>
      </c>
      <c r="BU134">
        <f ca="1">'JACOBIAN - OIS USDOIS'!AE143</f>
        <v>9.7043718549905101E-7</v>
      </c>
      <c r="BV134">
        <f ca="1">'JACOBIAN - OIS USDOIS'!AF143</f>
        <v>2.5601061172109098E-6</v>
      </c>
      <c r="BW134">
        <f ca="1">'JACOBIAN - OIS USDOIS'!AG143</f>
        <v>2.5767825324596299E-6</v>
      </c>
      <c r="BX134">
        <f ca="1">'JACOBIAN - OIS USDOIS'!AH143</f>
        <v>4.7100380861086998E-6</v>
      </c>
      <c r="BY134">
        <f ca="1">'JACOBIAN - OIS USDOIS'!AI143</f>
        <v>5.9238085293733499E-6</v>
      </c>
      <c r="BZ134">
        <f ca="1">'JACOBIAN - OIS USDOIS'!AJ143</f>
        <v>2.35762266914685E-5</v>
      </c>
      <c r="CA134">
        <f ca="1">'JACOBIAN - OIS USDOIS'!AK143</f>
        <v>2.41428805071164E-5</v>
      </c>
      <c r="CB134">
        <f ca="1">'JACOBIAN - OIS USDOIS'!AL143</f>
        <v>3.97761463651891E-5</v>
      </c>
      <c r="CC134">
        <f ca="1">'JACOBIAN - OIS USDOIS'!AM143</f>
        <v>4.7886632032923003E-5</v>
      </c>
      <c r="CD134">
        <f ca="1">'JACOBIAN - OIS USDOIS'!AN143</f>
        <v>2.15580631350742E-4</v>
      </c>
      <c r="CE134">
        <f ca="1">'JACOBIAN - OIS USDOIS'!AO143</f>
        <v>-1.8800416239383999E-4</v>
      </c>
      <c r="CF134">
        <f ca="1">'JACOBIAN - OIS USDOIS'!AP143</f>
        <v>-1.97540232710158E-3</v>
      </c>
      <c r="CK134" s="248">
        <f t="shared" ca="1" si="118"/>
        <v>54591</v>
      </c>
      <c r="CL134">
        <f t="shared" ca="1" si="119"/>
        <v>-6.7476264742349901E-7</v>
      </c>
      <c r="CM134">
        <f t="shared" ca="1" si="120"/>
        <v>5.4446336328339801E-11</v>
      </c>
      <c r="CN134">
        <f t="shared" ca="1" si="121"/>
        <v>-2.1727764032419799E-10</v>
      </c>
      <c r="CO134">
        <f t="shared" ca="1" si="122"/>
        <v>5.7134530440094998E-10</v>
      </c>
      <c r="CP134">
        <f t="shared" ca="1" si="123"/>
        <v>-7.3538675149365004E-10</v>
      </c>
      <c r="CQ134">
        <f t="shared" ca="1" si="124"/>
        <v>1.66419367175763E-9</v>
      </c>
      <c r="CR134">
        <f t="shared" ca="1" si="125"/>
        <v>-1.4243430435101301E-8</v>
      </c>
      <c r="CS134">
        <f t="shared" ca="1" si="126"/>
        <v>2.0339135820002201E-8</v>
      </c>
      <c r="CT134">
        <f t="shared" ca="1" si="127"/>
        <v>-7.8309917883601101E-8</v>
      </c>
      <c r="CU134">
        <f t="shared" ca="1" si="128"/>
        <v>4.0396342237958299E-7</v>
      </c>
      <c r="CV134">
        <f t="shared" ca="1" si="129"/>
        <v>-2.7504048960569302E-7</v>
      </c>
      <c r="CW134">
        <f t="shared" ca="1" si="130"/>
        <v>2.1072033007385499E-13</v>
      </c>
      <c r="CX134">
        <f t="shared" ca="1" si="131"/>
        <v>2.1072033007385499E-13</v>
      </c>
      <c r="CY134">
        <f t="shared" ca="1" si="132"/>
        <v>2.1072033007385499E-13</v>
      </c>
      <c r="CZ134">
        <f t="shared" ca="1" si="133"/>
        <v>2.1072033007385499E-13</v>
      </c>
      <c r="DA134">
        <f t="shared" ca="1" si="134"/>
        <v>2.1072033007385499E-13</v>
      </c>
      <c r="DB134" s="146">
        <v>0</v>
      </c>
      <c r="DC134" s="146">
        <v>0</v>
      </c>
      <c r="DD134" s="146">
        <v>0</v>
      </c>
      <c r="DE134" s="146">
        <v>0</v>
      </c>
      <c r="DF134" s="146">
        <v>0</v>
      </c>
      <c r="DG134" s="146">
        <v>0</v>
      </c>
      <c r="DH134" s="146">
        <v>0</v>
      </c>
      <c r="DI134" s="146">
        <v>0</v>
      </c>
      <c r="DJ134" s="146">
        <v>0</v>
      </c>
      <c r="DK134" s="146">
        <v>0</v>
      </c>
      <c r="DL134" s="146">
        <v>0</v>
      </c>
      <c r="DM134" s="146">
        <v>0</v>
      </c>
      <c r="DN134">
        <f t="shared" ca="1" si="135"/>
        <v>9.7043718549905101E-7</v>
      </c>
      <c r="DO134">
        <f t="shared" ca="1" si="136"/>
        <v>2.5601061172109098E-6</v>
      </c>
      <c r="DP134">
        <f t="shared" ca="1" si="137"/>
        <v>2.5767825324596299E-6</v>
      </c>
      <c r="DQ134">
        <f t="shared" ca="1" si="138"/>
        <v>4.7100380861086998E-6</v>
      </c>
      <c r="DR134">
        <f t="shared" ca="1" si="139"/>
        <v>5.9238085293733499E-6</v>
      </c>
      <c r="DS134">
        <f t="shared" ca="1" si="140"/>
        <v>2.35762266914685E-5</v>
      </c>
      <c r="DT134">
        <f t="shared" ca="1" si="141"/>
        <v>2.41428805071164E-5</v>
      </c>
      <c r="DU134">
        <f t="shared" ca="1" si="142"/>
        <v>3.97761463651891E-5</v>
      </c>
      <c r="DV134">
        <f t="shared" ca="1" si="143"/>
        <v>4.7886632032923003E-5</v>
      </c>
      <c r="DW134">
        <f t="shared" ca="1" si="144"/>
        <v>2.15580631350742E-4</v>
      </c>
      <c r="DX134">
        <f t="shared" ca="1" si="145"/>
        <v>-1.8800416239383999E-4</v>
      </c>
      <c r="DY134">
        <f t="shared" ca="1" si="146"/>
        <v>-1.97540232710158E-3</v>
      </c>
      <c r="ED134" s="248">
        <f ca="1">'JACOBIAN - SWAP USD3ML'!B143</f>
        <v>54591</v>
      </c>
      <c r="EE134">
        <f ca="1">'JACOBIAN - SWAP USD3ML'!C143</f>
        <v>-4.2922262966094098E-13</v>
      </c>
      <c r="EF134">
        <f ca="1">'JACOBIAN - SWAP USD3ML'!D143</f>
        <v>4.2394782129306899E-11</v>
      </c>
      <c r="EG134">
        <f ca="1">'JACOBIAN - SWAP USD3ML'!E143</f>
        <v>-6.3453582666017598E-12</v>
      </c>
      <c r="EH134">
        <f ca="1">'JACOBIAN - SWAP USD3ML'!F143</f>
        <v>-4.3008999139892998E-13</v>
      </c>
      <c r="EI134">
        <f ca="1">'JACOBIAN - SWAP USD3ML'!G143</f>
        <v>3.1280533718813798E-14</v>
      </c>
      <c r="EJ134">
        <f ca="1">'JACOBIAN - SWAP USD3ML'!H143</f>
        <v>4.1457271643396997E-11</v>
      </c>
      <c r="EK134">
        <f ca="1">'JACOBIAN - SWAP USD3ML'!I143</f>
        <v>3.5528101294257698E-11</v>
      </c>
      <c r="EL134">
        <f ca="1">'JACOBIAN - SWAP USD3ML'!J143</f>
        <v>3.5470758275035802E-11</v>
      </c>
      <c r="EM134">
        <f ca="1">'JACOBIAN - SWAP USD3ML'!K143</f>
        <v>3.5408197207598103E-11</v>
      </c>
      <c r="EN134">
        <f ca="1">'JACOBIAN - SWAP USD3ML'!L143</f>
        <v>3.5277000071110003E-11</v>
      </c>
      <c r="EO134">
        <f ca="1">'JACOBIAN - SWAP USD3ML'!M143</f>
        <v>3.4970287082769502E-11</v>
      </c>
      <c r="EP134">
        <f ca="1">'JACOBIAN - SWAP USD3ML'!N143</f>
        <v>7.7921148700088594E-11</v>
      </c>
      <c r="EQ134">
        <f ca="1">'JACOBIAN - SWAP USD3ML'!O143</f>
        <v>-1.8895068114310701E-9</v>
      </c>
      <c r="ER134">
        <f ca="1">'JACOBIAN - SWAP USD3ML'!P143</f>
        <v>9.1404857606447503E-9</v>
      </c>
      <c r="ES134">
        <f ca="1">'JACOBIAN - SWAP USD3ML'!Q143</f>
        <v>-2.27795799619124E-8</v>
      </c>
      <c r="ET134">
        <f ca="1">'JACOBIAN - SWAP USD3ML'!R143</f>
        <v>2.0096405061939501E-7</v>
      </c>
      <c r="EU134">
        <f ca="1">'JACOBIAN - SWAP USD3ML'!S143</f>
        <v>-1.0469498624571201E-6</v>
      </c>
      <c r="EV134">
        <f ca="1">'JACOBIAN - SWAP USD3ML'!T143</f>
        <v>4.5536212461595701E-6</v>
      </c>
      <c r="EW134">
        <f ca="1">'JACOBIAN - SWAP USD3ML'!U143</f>
        <v>-1.01571415400195E-5</v>
      </c>
      <c r="EX134">
        <f ca="1">'JACOBIAN - SWAP USD3ML'!V143</f>
        <v>2.24927424642279E-5</v>
      </c>
      <c r="EY134">
        <f ca="1">'JACOBIAN - SWAP USD3ML'!W143</f>
        <v>-5.3973887319536098E-5</v>
      </c>
      <c r="EZ134">
        <f ca="1">'JACOBIAN - SWAP USD3ML'!X143</f>
        <v>2.1504153243741999E-4</v>
      </c>
      <c r="FA134">
        <f ca="1">'JACOBIAN - SWAP USD3ML'!Y143</f>
        <v>-1.0235062125716599E-3</v>
      </c>
      <c r="FB134">
        <f ca="1">'JACOBIAN - SWAP USD3ML'!Z143</f>
        <v>9.4489602988315604E-4</v>
      </c>
    </row>
    <row r="135" spans="24:158" x14ac:dyDescent="0.25">
      <c r="X135" s="258">
        <f t="shared" ca="1" si="113"/>
        <v>54683</v>
      </c>
      <c r="Y135" s="261">
        <v>0</v>
      </c>
      <c r="AA135" s="257">
        <f t="shared" ca="1" si="110"/>
        <v>54683</v>
      </c>
      <c r="AB135" s="266">
        <f t="shared" ca="1" si="114"/>
        <v>-1.8034324305437057E-3</v>
      </c>
      <c r="AC135" s="266"/>
      <c r="AD135" s="290">
        <f ca="1"/>
        <v>54683</v>
      </c>
      <c r="AE135" s="291">
        <f ca="1"/>
        <v>-1.8034324305437055E-3</v>
      </c>
      <c r="AF135" s="291" t="b">
        <f t="shared" ca="1" si="111"/>
        <v>1</v>
      </c>
      <c r="AH135" s="257">
        <f t="shared" ca="1" si="115"/>
        <v>54683</v>
      </c>
      <c r="AI135" s="260">
        <v>0</v>
      </c>
      <c r="AK135" s="290">
        <f ca="1"/>
        <v>54683</v>
      </c>
      <c r="AL135" s="291">
        <f ca="1"/>
        <v>9.8480095793346853E-5</v>
      </c>
      <c r="AM135" s="291" t="b">
        <f t="shared" ref="AM135:AM166" ca="1" si="147">ABS(AP135-AL135)&lt;0.0000000000000001</f>
        <v>1</v>
      </c>
      <c r="AO135" s="257">
        <f t="shared" ca="1" si="117"/>
        <v>54683</v>
      </c>
      <c r="AP135" s="266">
        <f t="shared" ca="1" si="112"/>
        <v>9.8480095793350864E-5</v>
      </c>
      <c r="AR135" s="248">
        <f ca="1">'JACOBIAN - OIS USDOIS'!B144</f>
        <v>54683</v>
      </c>
      <c r="AS135">
        <f ca="1">'JACOBIAN - OIS USDOIS'!C144</f>
        <v>-6.7191048536141604E-7</v>
      </c>
      <c r="AT135">
        <f ca="1">'JACOBIAN - OIS USDOIS'!D144</f>
        <v>5.5349502758872398E-11</v>
      </c>
      <c r="AU135">
        <f ca="1">'JACOBIAN - OIS USDOIS'!E144</f>
        <v>-2.2069435168248201E-10</v>
      </c>
      <c r="AV135">
        <f ca="1">'JACOBIAN - OIS USDOIS'!F144</f>
        <v>5.8039983930058301E-10</v>
      </c>
      <c r="AW135">
        <f ca="1">'JACOBIAN - OIS USDOIS'!G144</f>
        <v>-7.4702866115217096E-10</v>
      </c>
      <c r="AX135">
        <f ca="1">'JACOBIAN - OIS USDOIS'!H144</f>
        <v>1.6905574717895901E-9</v>
      </c>
      <c r="AY135">
        <f ca="1">'JACOBIAN - OIS USDOIS'!I144</f>
        <v>-1.4292039884899999E-8</v>
      </c>
      <c r="AZ135">
        <f ca="1">'JACOBIAN - OIS USDOIS'!J144</f>
        <v>2.0661025113000201E-8</v>
      </c>
      <c r="BA135">
        <f ca="1">'JACOBIAN - OIS USDOIS'!K144</f>
        <v>-7.9549039022630605E-8</v>
      </c>
      <c r="BB135">
        <f ca="1">'JACOBIAN - OIS USDOIS'!L144</f>
        <v>4.0449020988209101E-7</v>
      </c>
      <c r="BC135">
        <f ca="1">'JACOBIAN - OIS USDOIS'!M144</f>
        <v>-2.7885975062424998E-7</v>
      </c>
      <c r="BD135">
        <f ca="1">'JACOBIAN - OIS USDOIS'!N144</f>
        <v>2.3159252293680801E-13</v>
      </c>
      <c r="BE135">
        <f ca="1">'JACOBIAN - OIS USDOIS'!O144</f>
        <v>2.3159252293680801E-13</v>
      </c>
      <c r="BF135">
        <f ca="1">'JACOBIAN - OIS USDOIS'!P144</f>
        <v>2.3159252293680801E-13</v>
      </c>
      <c r="BG135">
        <f ca="1">'JACOBIAN - OIS USDOIS'!Q144</f>
        <v>2.3159252293680801E-13</v>
      </c>
      <c r="BH135">
        <f ca="1">'JACOBIAN - OIS USDOIS'!R144</f>
        <v>2.3159252293680801E-13</v>
      </c>
      <c r="BI135" s="161">
        <f ca="1">'JACOBIAN - OIS USDOIS'!S144</f>
        <v>-9.9058232605475596E-7</v>
      </c>
      <c r="BJ135" s="161">
        <f ca="1">'JACOBIAN - OIS USDOIS'!T144</f>
        <v>-2.5800593990155099E-6</v>
      </c>
      <c r="BK135" s="161">
        <f ca="1">'JACOBIAN - OIS USDOIS'!U144</f>
        <v>-2.6481894628283E-6</v>
      </c>
      <c r="BL135" s="161">
        <f ca="1">'JACOBIAN - OIS USDOIS'!V144</f>
        <v>-4.60966516535599E-6</v>
      </c>
      <c r="BM135" s="161">
        <f ca="1">'JACOBIAN - OIS USDOIS'!W144</f>
        <v>-6.3087076611623203E-6</v>
      </c>
      <c r="BN135" s="161">
        <f ca="1">'JACOBIAN - OIS USDOIS'!X144</f>
        <v>-2.3281682440257099E-5</v>
      </c>
      <c r="BO135" s="161">
        <f ca="1">'JACOBIAN - OIS USDOIS'!Y144</f>
        <v>-2.7269787453709799E-5</v>
      </c>
      <c r="BP135" s="161">
        <f ca="1">'JACOBIAN - OIS USDOIS'!Z144</f>
        <v>-3.2141030668175799E-5</v>
      </c>
      <c r="BQ135" s="161">
        <f ca="1">'JACOBIAN - OIS USDOIS'!AA144</f>
        <v>-6.4803893023768197E-5</v>
      </c>
      <c r="BR135" s="161">
        <f ca="1">'JACOBIAN - OIS USDOIS'!AB144</f>
        <v>-1.6903926474765E-4</v>
      </c>
      <c r="BS135" s="161">
        <f ca="1">'JACOBIAN - OIS USDOIS'!AC144</f>
        <v>2.9039747455605899E-6</v>
      </c>
      <c r="BT135" s="161">
        <f ca="1">'JACOBIAN - OIS USDOIS'!AD144</f>
        <v>2.1637340809705901E-3</v>
      </c>
      <c r="BU135">
        <f ca="1">'JACOBIAN - OIS USDOIS'!AE144</f>
        <v>9.7239584895270091E-7</v>
      </c>
      <c r="BV135">
        <f ca="1">'JACOBIAN - OIS USDOIS'!AF144</f>
        <v>2.5368033716999199E-6</v>
      </c>
      <c r="BW135">
        <f ca="1">'JACOBIAN - OIS USDOIS'!AG144</f>
        <v>2.6052942668774999E-6</v>
      </c>
      <c r="BX135">
        <f ca="1">'JACOBIAN - OIS USDOIS'!AH144</f>
        <v>4.5351590287623401E-6</v>
      </c>
      <c r="BY135">
        <f ca="1">'JACOBIAN - OIS USDOIS'!AI144</f>
        <v>6.2007596949298403E-6</v>
      </c>
      <c r="BZ135">
        <f ca="1">'JACOBIAN - OIS USDOIS'!AJ144</f>
        <v>2.29020956640236E-5</v>
      </c>
      <c r="CA135">
        <f ca="1">'JACOBIAN - OIS USDOIS'!AK144</f>
        <v>2.6815957647530201E-5</v>
      </c>
      <c r="CB135">
        <f ca="1">'JACOBIAN - OIS USDOIS'!AL144</f>
        <v>3.1596506177789002E-5</v>
      </c>
      <c r="CC135">
        <f ca="1">'JACOBIAN - OIS USDOIS'!AM144</f>
        <v>6.3696847446892399E-5</v>
      </c>
      <c r="CD135">
        <f ca="1">'JACOBIAN - OIS USDOIS'!AN144</f>
        <v>1.6633107403696301E-4</v>
      </c>
      <c r="CE135">
        <f ca="1">'JACOBIAN - OIS USDOIS'!AO144</f>
        <v>-3.3207746611418898E-6</v>
      </c>
      <c r="CF135">
        <f ca="1">'JACOBIAN - OIS USDOIS'!AP144</f>
        <v>-2.1276864487288498E-3</v>
      </c>
      <c r="CK135" s="248">
        <f t="shared" ca="1" si="118"/>
        <v>54683</v>
      </c>
      <c r="CL135">
        <f t="shared" ca="1" si="119"/>
        <v>-6.7191048536141604E-7</v>
      </c>
      <c r="CM135">
        <f t="shared" ca="1" si="120"/>
        <v>5.5349502758872398E-11</v>
      </c>
      <c r="CN135">
        <f t="shared" ca="1" si="121"/>
        <v>-2.2069435168248201E-10</v>
      </c>
      <c r="CO135">
        <f t="shared" ca="1" si="122"/>
        <v>5.8039983930058301E-10</v>
      </c>
      <c r="CP135">
        <f t="shared" ca="1" si="123"/>
        <v>-7.4702866115217096E-10</v>
      </c>
      <c r="CQ135">
        <f t="shared" ca="1" si="124"/>
        <v>1.6905574717895901E-9</v>
      </c>
      <c r="CR135">
        <f t="shared" ca="1" si="125"/>
        <v>-1.4292039884899999E-8</v>
      </c>
      <c r="CS135">
        <f t="shared" ca="1" si="126"/>
        <v>2.0661025113000201E-8</v>
      </c>
      <c r="CT135">
        <f t="shared" ca="1" si="127"/>
        <v>-7.9549039022630605E-8</v>
      </c>
      <c r="CU135">
        <f t="shared" ca="1" si="128"/>
        <v>4.0449020988209101E-7</v>
      </c>
      <c r="CV135">
        <f t="shared" ca="1" si="129"/>
        <v>-2.7885975062424998E-7</v>
      </c>
      <c r="CW135">
        <f t="shared" ca="1" si="130"/>
        <v>2.3159252293680801E-13</v>
      </c>
      <c r="CX135">
        <f t="shared" ca="1" si="131"/>
        <v>2.3159252293680801E-13</v>
      </c>
      <c r="CY135">
        <f t="shared" ca="1" si="132"/>
        <v>2.3159252293680801E-13</v>
      </c>
      <c r="CZ135">
        <f t="shared" ca="1" si="133"/>
        <v>2.3159252293680801E-13</v>
      </c>
      <c r="DA135">
        <f t="shared" ca="1" si="134"/>
        <v>2.3159252293680801E-13</v>
      </c>
      <c r="DB135" s="146">
        <v>0</v>
      </c>
      <c r="DC135" s="146">
        <v>0</v>
      </c>
      <c r="DD135" s="146">
        <v>0</v>
      </c>
      <c r="DE135" s="146">
        <v>0</v>
      </c>
      <c r="DF135" s="146">
        <v>0</v>
      </c>
      <c r="DG135" s="146">
        <v>0</v>
      </c>
      <c r="DH135" s="146">
        <v>0</v>
      </c>
      <c r="DI135" s="146">
        <v>0</v>
      </c>
      <c r="DJ135" s="146">
        <v>0</v>
      </c>
      <c r="DK135" s="146">
        <v>0</v>
      </c>
      <c r="DL135" s="146">
        <v>0</v>
      </c>
      <c r="DM135" s="146">
        <v>0</v>
      </c>
      <c r="DN135">
        <f t="shared" ca="1" si="135"/>
        <v>9.7239584895270091E-7</v>
      </c>
      <c r="DO135">
        <f t="shared" ca="1" si="136"/>
        <v>2.5368033716999199E-6</v>
      </c>
      <c r="DP135">
        <f t="shared" ca="1" si="137"/>
        <v>2.6052942668774999E-6</v>
      </c>
      <c r="DQ135">
        <f t="shared" ca="1" si="138"/>
        <v>4.5351590287623401E-6</v>
      </c>
      <c r="DR135">
        <f t="shared" ca="1" si="139"/>
        <v>6.2007596949298403E-6</v>
      </c>
      <c r="DS135">
        <f t="shared" ca="1" si="140"/>
        <v>2.29020956640236E-5</v>
      </c>
      <c r="DT135">
        <f t="shared" ca="1" si="141"/>
        <v>2.6815957647530201E-5</v>
      </c>
      <c r="DU135">
        <f t="shared" ca="1" si="142"/>
        <v>3.1596506177789002E-5</v>
      </c>
      <c r="DV135">
        <f t="shared" ca="1" si="143"/>
        <v>6.3696847446892399E-5</v>
      </c>
      <c r="DW135">
        <f t="shared" ca="1" si="144"/>
        <v>1.6633107403696301E-4</v>
      </c>
      <c r="DX135">
        <f t="shared" ca="1" si="145"/>
        <v>-3.3207746611418898E-6</v>
      </c>
      <c r="DY135">
        <f t="shared" ca="1" si="146"/>
        <v>-2.1276864487288498E-3</v>
      </c>
      <c r="ED135" s="248">
        <f ca="1">'JACOBIAN - SWAP USD3ML'!B144</f>
        <v>54683</v>
      </c>
      <c r="EE135">
        <f ca="1">'JACOBIAN - SWAP USD3ML'!C144</f>
        <v>-4.28667518148629E-13</v>
      </c>
      <c r="EF135">
        <f ca="1">'JACOBIAN - SWAP USD3ML'!D144</f>
        <v>4.2934447663789399E-11</v>
      </c>
      <c r="EG135">
        <f ca="1">'JACOBIAN - SWAP USD3ML'!E144</f>
        <v>-6.3342733835902696E-12</v>
      </c>
      <c r="EH135">
        <f ca="1">'JACOBIAN - SWAP USD3ML'!F144</f>
        <v>-4.2691197799094002E-13</v>
      </c>
      <c r="EI135">
        <f ca="1">'JACOBIAN - SWAP USD3ML'!G144</f>
        <v>3.6894098887074702E-14</v>
      </c>
      <c r="EJ135">
        <f ca="1">'JACOBIAN - SWAP USD3ML'!H144</f>
        <v>4.1997176569719098E-11</v>
      </c>
      <c r="EK135">
        <f ca="1">'JACOBIAN - SWAP USD3ML'!I144</f>
        <v>3.6077515974675097E-11</v>
      </c>
      <c r="EL135">
        <f ca="1">'JACOBIAN - SWAP USD3ML'!J144</f>
        <v>3.6019541516107997E-11</v>
      </c>
      <c r="EM135">
        <f ca="1">'JACOBIAN - SWAP USD3ML'!K144</f>
        <v>3.5954537958016201E-11</v>
      </c>
      <c r="EN135">
        <f ca="1">'JACOBIAN - SWAP USD3ML'!L144</f>
        <v>3.58227753016749E-11</v>
      </c>
      <c r="EO135">
        <f ca="1">'JACOBIAN - SWAP USD3ML'!M144</f>
        <v>3.5508301160502898E-11</v>
      </c>
      <c r="EP135">
        <f ca="1">'JACOBIAN - SWAP USD3ML'!N144</f>
        <v>7.9088385146475204E-11</v>
      </c>
      <c r="EQ135">
        <f ca="1">'JACOBIAN - SWAP USD3ML'!O144</f>
        <v>-1.91778724845104E-9</v>
      </c>
      <c r="ER135">
        <f ca="1">'JACOBIAN - SWAP USD3ML'!P144</f>
        <v>9.2773498779063996E-9</v>
      </c>
      <c r="ES135">
        <f ca="1">'JACOBIAN - SWAP USD3ML'!Q144</f>
        <v>-2.31205727098394E-8</v>
      </c>
      <c r="ET135">
        <f ca="1">'JACOBIAN - SWAP USD3ML'!R144</f>
        <v>2.03972654152368E-7</v>
      </c>
      <c r="EU135">
        <f ca="1">'JACOBIAN - SWAP USD3ML'!S144</f>
        <v>-1.0626234292487901E-6</v>
      </c>
      <c r="EV135">
        <f ca="1">'JACOBIAN - SWAP USD3ML'!T144</f>
        <v>4.62179200142257E-6</v>
      </c>
      <c r="EW135">
        <f ca="1">'JACOBIAN - SWAP USD3ML'!U144</f>
        <v>-1.03092003821553E-5</v>
      </c>
      <c r="EX135">
        <f ca="1">'JACOBIAN - SWAP USD3ML'!V144</f>
        <v>2.2829474604375099E-5</v>
      </c>
      <c r="EY135">
        <f ca="1">'JACOBIAN - SWAP USD3ML'!W144</f>
        <v>-5.4781906054093097E-5</v>
      </c>
      <c r="EZ135">
        <f ca="1">'JACOBIAN - SWAP USD3ML'!X144</f>
        <v>2.1826094003437799E-4</v>
      </c>
      <c r="FA135">
        <f ca="1">'JACOBIAN - SWAP USD3ML'!Y144</f>
        <v>-1.0291199397478401E-3</v>
      </c>
      <c r="FB135">
        <f ca="1">'JACOBIAN - SWAP USD3ML'!Z144</f>
        <v>9.47853010872718E-4</v>
      </c>
    </row>
    <row r="136" spans="24:158" x14ac:dyDescent="0.25">
      <c r="X136" s="258">
        <f t="shared" ca="1" si="113"/>
        <v>54774</v>
      </c>
      <c r="Y136" s="261">
        <v>0</v>
      </c>
      <c r="AA136" s="257">
        <f t="shared" ref="AA136" ca="1" si="148">CK136</f>
        <v>54774</v>
      </c>
      <c r="AB136" s="266">
        <f t="shared" ca="1" si="114"/>
        <v>-1.8102643740647271E-3</v>
      </c>
      <c r="AC136" s="266"/>
      <c r="AD136" s="290">
        <f ca="1"/>
        <v>54774</v>
      </c>
      <c r="AE136" s="291">
        <f ca="1"/>
        <v>-1.8102643740647295E-3</v>
      </c>
      <c r="AF136" s="291" t="b">
        <f t="shared" ref="AF136" ca="1" si="149">ABS(AE136-AB136)&lt;0.0000000000000001</f>
        <v>1</v>
      </c>
      <c r="AH136" s="257">
        <f t="shared" ca="1" si="115"/>
        <v>54774</v>
      </c>
      <c r="AI136" s="260">
        <v>0</v>
      </c>
      <c r="AK136" s="290">
        <f ca="1"/>
        <v>54774</v>
      </c>
      <c r="AL136" s="291">
        <f ca="1"/>
        <v>9.9918429344647564E-5</v>
      </c>
      <c r="AM136" s="291" t="b">
        <f t="shared" ca="1" si="147"/>
        <v>1</v>
      </c>
      <c r="AO136" s="257">
        <f t="shared" ca="1" si="117"/>
        <v>54774</v>
      </c>
      <c r="AP136" s="266">
        <f t="shared" ref="AP136" ca="1" si="150">SUM(EE136:FB136)</f>
        <v>9.9918429344650057E-5</v>
      </c>
      <c r="AR136" s="248">
        <f ca="1">'JACOBIAN - OIS USDOIS'!B145</f>
        <v>54774</v>
      </c>
      <c r="AS136">
        <f ca="1">'JACOBIAN - OIS USDOIS'!C145</f>
        <v>-6.6910171714340497E-7</v>
      </c>
      <c r="AT136">
        <f ca="1">'JACOBIAN - OIS USDOIS'!D145</f>
        <v>5.6263216308138902E-11</v>
      </c>
      <c r="AU136">
        <f ca="1">'JACOBIAN - OIS USDOIS'!E145</f>
        <v>-2.2415314049339899E-10</v>
      </c>
      <c r="AV136">
        <f ca="1">'JACOBIAN - OIS USDOIS'!F145</f>
        <v>5.8956528548037599E-10</v>
      </c>
      <c r="AW136">
        <f ca="1">'JACOBIAN - OIS USDOIS'!G145</f>
        <v>-7.5881301242475295E-10</v>
      </c>
      <c r="AX136">
        <f ca="1">'JACOBIAN - OIS USDOIS'!H145</f>
        <v>1.7172437916102E-9</v>
      </c>
      <c r="AY136">
        <f ca="1">'JACOBIAN - OIS USDOIS'!I145</f>
        <v>-1.4341182130728201E-8</v>
      </c>
      <c r="AZ136">
        <f ca="1">'JACOBIAN - OIS USDOIS'!J145</f>
        <v>2.0986853366267202E-8</v>
      </c>
      <c r="BA136">
        <f ca="1">'JACOBIAN - OIS USDOIS'!K145</f>
        <v>-8.0803322588529598E-8</v>
      </c>
      <c r="BB136">
        <f ca="1">'JACOBIAN - OIS USDOIS'!L145</f>
        <v>4.0502177356405198E-7</v>
      </c>
      <c r="BC136">
        <f ca="1">'JACOBIAN - OIS USDOIS'!M145</f>
        <v>-2.8272556062969301E-7</v>
      </c>
      <c r="BD136">
        <f ca="1">'JACOBIAN - OIS USDOIS'!N145</f>
        <v>2.52464715799761E-13</v>
      </c>
      <c r="BE136">
        <f ca="1">'JACOBIAN - OIS USDOIS'!O145</f>
        <v>2.52464715799761E-13</v>
      </c>
      <c r="BF136">
        <f ca="1">'JACOBIAN - OIS USDOIS'!P145</f>
        <v>2.52464715799761E-13</v>
      </c>
      <c r="BG136">
        <f ca="1">'JACOBIAN - OIS USDOIS'!Q145</f>
        <v>2.52464715799761E-13</v>
      </c>
      <c r="BH136">
        <f ca="1">'JACOBIAN - OIS USDOIS'!R145</f>
        <v>2.52464715799761E-13</v>
      </c>
      <c r="BI136" s="161">
        <f ca="1">'JACOBIAN - OIS USDOIS'!S145</f>
        <v>-9.9259637420523503E-7</v>
      </c>
      <c r="BJ136" s="161">
        <f ca="1">'JACOBIAN - OIS USDOIS'!T145</f>
        <v>-2.5560527950885301E-6</v>
      </c>
      <c r="BK136" s="161">
        <f ca="1">'JACOBIAN - OIS USDOIS'!U145</f>
        <v>-2.6775170224313502E-6</v>
      </c>
      <c r="BL136" s="161">
        <f ca="1">'JACOBIAN - OIS USDOIS'!V145</f>
        <v>-4.4297228417589096E-6</v>
      </c>
      <c r="BM136" s="161">
        <f ca="1">'JACOBIAN - OIS USDOIS'!W145</f>
        <v>-6.5936638987684802E-6</v>
      </c>
      <c r="BN136" s="161">
        <f ca="1">'JACOBIAN - OIS USDOIS'!X145</f>
        <v>-2.2588039449322699E-5</v>
      </c>
      <c r="BO136" s="161">
        <f ca="1">'JACOBIAN - OIS USDOIS'!Y145</f>
        <v>-3.0019169029227299E-5</v>
      </c>
      <c r="BP136" s="161">
        <f ca="1">'JACOBIAN - OIS USDOIS'!Z145</f>
        <v>-2.3730924634701698E-5</v>
      </c>
      <c r="BQ136" s="161">
        <f ca="1">'JACOBIAN - OIS USDOIS'!AA145</f>
        <v>-8.1054768866772902E-5</v>
      </c>
      <c r="BR136" s="161">
        <f ca="1">'JACOBIAN - OIS USDOIS'!AB145</f>
        <v>-1.18445873578565E-4</v>
      </c>
      <c r="BS136" s="161">
        <f ca="1">'JACOBIAN - OIS USDOIS'!AC145</f>
        <v>-1.85013249544563E-4</v>
      </c>
      <c r="BT136" s="161">
        <f ca="1">'JACOBIAN - OIS USDOIS'!AD145</f>
        <v>2.3190658415308501E-3</v>
      </c>
      <c r="BU136">
        <f ca="1">'JACOBIAN - OIS USDOIS'!AE145</f>
        <v>9.7437469070982296E-7</v>
      </c>
      <c r="BV136">
        <f ca="1">'JACOBIAN - OIS USDOIS'!AF145</f>
        <v>2.5131976051362402E-6</v>
      </c>
      <c r="BW136">
        <f ca="1">'JACOBIAN - OIS USDOIS'!AG145</f>
        <v>2.6341533595486402E-6</v>
      </c>
      <c r="BX136">
        <f ca="1">'JACOBIAN - OIS USDOIS'!AH145</f>
        <v>4.35805792253774E-6</v>
      </c>
      <c r="BY136">
        <f ca="1">'JACOBIAN - OIS USDOIS'!AI145</f>
        <v>6.4811767416239602E-6</v>
      </c>
      <c r="BZ136">
        <f ca="1">'JACOBIAN - OIS USDOIS'!AJ145</f>
        <v>2.2219376188847799E-5</v>
      </c>
      <c r="CA136">
        <f ca="1">'JACOBIAN - OIS USDOIS'!AK145</f>
        <v>2.95226284190431E-5</v>
      </c>
      <c r="CB136">
        <f ca="1">'JACOBIAN - OIS USDOIS'!AL145</f>
        <v>2.33137561403973E-5</v>
      </c>
      <c r="CC136">
        <f ca="1">'JACOBIAN - OIS USDOIS'!AM145</f>
        <v>7.9706502955634306E-5</v>
      </c>
      <c r="CD136">
        <f ca="1">'JACOBIAN - OIS USDOIS'!AN145</f>
        <v>1.1646410007404299E-4</v>
      </c>
      <c r="CE136">
        <f ca="1">'JACOBIAN - OIS USDOIS'!AO145</f>
        <v>1.8198220163367901E-4</v>
      </c>
      <c r="CF136">
        <f ca="1">'JACOBIAN - OIS USDOIS'!AP145</f>
        <v>-2.27981431800883E-3</v>
      </c>
      <c r="CK136" s="248">
        <f t="shared" ca="1" si="118"/>
        <v>54774</v>
      </c>
      <c r="CL136">
        <f t="shared" ca="1" si="119"/>
        <v>-6.6910171714340497E-7</v>
      </c>
      <c r="CM136">
        <f t="shared" ca="1" si="120"/>
        <v>5.6263216308138902E-11</v>
      </c>
      <c r="CN136">
        <f t="shared" ca="1" si="121"/>
        <v>-2.2415314049339899E-10</v>
      </c>
      <c r="CO136">
        <f t="shared" ca="1" si="122"/>
        <v>5.8956528548037599E-10</v>
      </c>
      <c r="CP136">
        <f t="shared" ca="1" si="123"/>
        <v>-7.5881301242475295E-10</v>
      </c>
      <c r="CQ136">
        <f t="shared" ca="1" si="124"/>
        <v>1.7172437916102E-9</v>
      </c>
      <c r="CR136">
        <f t="shared" ca="1" si="125"/>
        <v>-1.4341182130728201E-8</v>
      </c>
      <c r="CS136">
        <f t="shared" ca="1" si="126"/>
        <v>2.0986853366267202E-8</v>
      </c>
      <c r="CT136">
        <f t="shared" ca="1" si="127"/>
        <v>-8.0803322588529598E-8</v>
      </c>
      <c r="CU136">
        <f t="shared" ca="1" si="128"/>
        <v>4.0502177356405198E-7</v>
      </c>
      <c r="CV136">
        <f t="shared" ca="1" si="129"/>
        <v>-2.8272556062969301E-7</v>
      </c>
      <c r="CW136">
        <f t="shared" ca="1" si="130"/>
        <v>2.52464715799761E-13</v>
      </c>
      <c r="CX136">
        <f t="shared" ca="1" si="131"/>
        <v>2.52464715799761E-13</v>
      </c>
      <c r="CY136">
        <f t="shared" ca="1" si="132"/>
        <v>2.52464715799761E-13</v>
      </c>
      <c r="CZ136">
        <f t="shared" ca="1" si="133"/>
        <v>2.52464715799761E-13</v>
      </c>
      <c r="DA136">
        <f t="shared" ca="1" si="134"/>
        <v>2.52464715799761E-13</v>
      </c>
      <c r="DB136" s="146">
        <v>0</v>
      </c>
      <c r="DC136" s="146">
        <v>0</v>
      </c>
      <c r="DD136" s="146">
        <v>0</v>
      </c>
      <c r="DE136" s="146">
        <v>0</v>
      </c>
      <c r="DF136" s="146">
        <v>0</v>
      </c>
      <c r="DG136" s="146">
        <v>0</v>
      </c>
      <c r="DH136" s="146">
        <v>0</v>
      </c>
      <c r="DI136" s="146">
        <v>0</v>
      </c>
      <c r="DJ136" s="146">
        <v>0</v>
      </c>
      <c r="DK136" s="146">
        <v>0</v>
      </c>
      <c r="DL136" s="146">
        <v>0</v>
      </c>
      <c r="DM136" s="146">
        <v>0</v>
      </c>
      <c r="DN136">
        <f t="shared" ca="1" si="135"/>
        <v>9.7437469070982296E-7</v>
      </c>
      <c r="DO136">
        <f t="shared" ca="1" si="136"/>
        <v>2.5131976051362402E-6</v>
      </c>
      <c r="DP136">
        <f t="shared" ca="1" si="137"/>
        <v>2.6341533595486402E-6</v>
      </c>
      <c r="DQ136">
        <f t="shared" ca="1" si="138"/>
        <v>4.35805792253774E-6</v>
      </c>
      <c r="DR136">
        <f t="shared" ca="1" si="139"/>
        <v>6.4811767416239602E-6</v>
      </c>
      <c r="DS136">
        <f t="shared" ca="1" si="140"/>
        <v>2.2219376188847799E-5</v>
      </c>
      <c r="DT136">
        <f t="shared" ca="1" si="141"/>
        <v>2.95226284190431E-5</v>
      </c>
      <c r="DU136">
        <f t="shared" ca="1" si="142"/>
        <v>2.33137561403973E-5</v>
      </c>
      <c r="DV136">
        <f t="shared" ca="1" si="143"/>
        <v>7.9706502955634306E-5</v>
      </c>
      <c r="DW136">
        <f t="shared" ca="1" si="144"/>
        <v>1.1646410007404299E-4</v>
      </c>
      <c r="DX136">
        <f t="shared" ca="1" si="145"/>
        <v>1.8198220163367901E-4</v>
      </c>
      <c r="DY136">
        <f t="shared" ca="1" si="146"/>
        <v>-2.27981431800883E-3</v>
      </c>
      <c r="ED136" s="248">
        <f ca="1">'JACOBIAN - SWAP USD3ML'!B145</f>
        <v>54774</v>
      </c>
      <c r="EE136">
        <f ca="1">'JACOBIAN - SWAP USD3ML'!C145</f>
        <v>-4.3343106881366101E-13</v>
      </c>
      <c r="EF136">
        <f ca="1">'JACOBIAN - SWAP USD3ML'!D145</f>
        <v>4.3343106881366098E-11</v>
      </c>
      <c r="EG136">
        <f ca="1">'JACOBIAN - SWAP USD3ML'!E145</f>
        <v>-6.3939964434211999E-12</v>
      </c>
      <c r="EH136">
        <f ca="1">'JACOBIAN - SWAP USD3ML'!F145</f>
        <v>-4.3165471197426101E-13</v>
      </c>
      <c r="EI136">
        <f ca="1">'JACOBIAN - SWAP USD3ML'!G145</f>
        <v>3.8191672047105398E-14</v>
      </c>
      <c r="EJ136">
        <f ca="1">'JACOBIAN - SWAP USD3ML'!H145</f>
        <v>4.2395420507546097E-11</v>
      </c>
      <c r="EK136">
        <f ca="1">'JACOBIAN - SWAP USD3ML'!I145</f>
        <v>3.6421532456643003E-11</v>
      </c>
      <c r="EL136">
        <f ca="1">'JACOBIAN - SWAP USD3ML'!J145</f>
        <v>3.6362912680942801E-11</v>
      </c>
      <c r="EM136">
        <f ca="1">'JACOBIAN - SWAP USD3ML'!K145</f>
        <v>3.6296299299465298E-11</v>
      </c>
      <c r="EN136">
        <f ca="1">'JACOBIAN - SWAP USD3ML'!L145</f>
        <v>3.6163072536510299E-11</v>
      </c>
      <c r="EO136">
        <f ca="1">'JACOBIAN - SWAP USD3ML'!M145</f>
        <v>3.58477691975168E-11</v>
      </c>
      <c r="EP136">
        <f ca="1">'JACOBIAN - SWAP USD3ML'!N145</f>
        <v>7.9841910860523096E-11</v>
      </c>
      <c r="EQ136">
        <f ca="1">'JACOBIAN - SWAP USD3ML'!O145</f>
        <v>-1.93602556208816E-9</v>
      </c>
      <c r="ER136">
        <f ca="1">'JACOBIAN - SWAP USD3ML'!P145</f>
        <v>9.3655891930666307E-9</v>
      </c>
      <c r="ES136">
        <f ca="1">'JACOBIAN - SWAP USD3ML'!Q145</f>
        <v>-2.3340476218436399E-8</v>
      </c>
      <c r="ET136">
        <f ca="1">'JACOBIAN - SWAP USD3ML'!R145</f>
        <v>2.0591268867775601E-7</v>
      </c>
      <c r="EU136">
        <f ca="1">'JACOBIAN - SWAP USD3ML'!S145</f>
        <v>-1.0727299635249199E-6</v>
      </c>
      <c r="EV136">
        <f ca="1">'JACOBIAN - SWAP USD3ML'!T145</f>
        <v>4.6657561654228596E-6</v>
      </c>
      <c r="EW136">
        <f ca="1">'JACOBIAN - SWAP USD3ML'!U145</f>
        <v>-1.04072263846788E-5</v>
      </c>
      <c r="EX136">
        <f ca="1">'JACOBIAN - SWAP USD3ML'!V145</f>
        <v>2.30467417781099E-5</v>
      </c>
      <c r="EY136">
        <f ca="1">'JACOBIAN - SWAP USD3ML'!W145</f>
        <v>-5.5302190017592102E-5</v>
      </c>
      <c r="EZ136">
        <f ca="1">'JACOBIAN - SWAP USD3ML'!X145</f>
        <v>2.2034888795463599E-4</v>
      </c>
      <c r="FA136">
        <f ca="1">'JACOBIAN - SWAP USD3ML'!Y145</f>
        <v>-1.03860598518146E-3</v>
      </c>
      <c r="FB136">
        <f ca="1">'JACOBIAN - SWAP USD3ML'!Z145</f>
        <v>9.5705483376651301E-4</v>
      </c>
    </row>
    <row r="138" spans="24:158" x14ac:dyDescent="0.25">
      <c r="CK138" s="188" t="s">
        <v>305</v>
      </c>
      <c r="CL138" s="171" t="s">
        <v>307</v>
      </c>
      <c r="CM138" t="s">
        <v>306</v>
      </c>
      <c r="CN138" s="171" t="s">
        <v>309</v>
      </c>
      <c r="CO138" s="171" t="s">
        <v>308</v>
      </c>
      <c r="CP138" s="171" t="s">
        <v>310</v>
      </c>
      <c r="CQ138" s="171" t="s">
        <v>311</v>
      </c>
    </row>
    <row r="139" spans="24:158" x14ac:dyDescent="0.25">
      <c r="CK139" s="248">
        <f t="array" aca="1" ref="CK139:CL433" ca="1">_xll.meCurveResultsJacobianRiskTotals("USDYC","USDOIS","DISCOUNT_FACTORS")</f>
        <v>43812</v>
      </c>
      <c r="CL139" s="288">
        <f ca="1"/>
        <v>0</v>
      </c>
      <c r="CM139" t="b">
        <f ca="1">CK139=CK7</f>
        <v>1</v>
      </c>
      <c r="CN139" s="266">
        <f t="shared" ref="CN139:CN202" ca="1" si="151">SUM(AS7:CF7)</f>
        <v>0</v>
      </c>
      <c r="CO139" s="266">
        <f t="shared" ref="CO139:CO202" ca="1" si="152">SUM(CL7:DY7)</f>
        <v>0</v>
      </c>
      <c r="CP139" s="266">
        <f ca="1">CN139-CO139</f>
        <v>0</v>
      </c>
      <c r="CQ139" s="266" t="b">
        <f t="shared" ref="CQ139:CQ202" ca="1" si="153">ABS(CL139-CO139)&lt;0.0000000000000001</f>
        <v>1</v>
      </c>
    </row>
    <row r="140" spans="24:158" x14ac:dyDescent="0.25">
      <c r="CK140" s="248">
        <f ca="1"/>
        <v>43815</v>
      </c>
      <c r="CL140" s="288">
        <f ca="1"/>
        <v>-8.3311740295410885E-7</v>
      </c>
      <c r="CM140" t="b">
        <f t="shared" ref="CM140:CM203" ca="1" si="154">CK140=CK8</f>
        <v>1</v>
      </c>
      <c r="CN140" s="266">
        <f t="shared" ca="1" si="151"/>
        <v>-8.3311740295410896E-7</v>
      </c>
      <c r="CO140" s="266">
        <f t="shared" ca="1" si="152"/>
        <v>-8.3311740295410896E-7</v>
      </c>
      <c r="CP140" s="266">
        <f t="shared" ref="CP140:CP203" ca="1" si="155">CN140-CO140</f>
        <v>0</v>
      </c>
      <c r="CQ140" s="266" t="b">
        <f t="shared" ca="1" si="153"/>
        <v>1</v>
      </c>
    </row>
    <row r="141" spans="24:158" x14ac:dyDescent="0.25">
      <c r="CK141" s="248">
        <f ca="1"/>
        <v>43816</v>
      </c>
      <c r="CL141" s="288">
        <f ca="1"/>
        <v>-1.1107992133885247E-6</v>
      </c>
      <c r="CM141" t="b">
        <f t="shared" ca="1" si="154"/>
        <v>1</v>
      </c>
      <c r="CN141" s="266">
        <f t="shared" ca="1" si="151"/>
        <v>-1.1107992133885201E-6</v>
      </c>
      <c r="CO141" s="266">
        <f t="shared" ca="1" si="152"/>
        <v>-1.1107992133885201E-6</v>
      </c>
      <c r="CP141" s="266">
        <f t="shared" ca="1" si="155"/>
        <v>0</v>
      </c>
      <c r="CQ141" s="266" t="b">
        <f t="shared" ca="1" si="153"/>
        <v>1</v>
      </c>
    </row>
    <row r="142" spans="24:158" x14ac:dyDescent="0.25">
      <c r="CK142" s="248">
        <f ca="1"/>
        <v>43823</v>
      </c>
      <c r="CL142" s="288">
        <f ca="1"/>
        <v>-3.0534077747335076E-6</v>
      </c>
      <c r="CM142" t="b">
        <f t="shared" ca="1" si="154"/>
        <v>1</v>
      </c>
      <c r="CN142" s="266">
        <f t="shared" ca="1" si="151"/>
        <v>-3.0534077747335101E-6</v>
      </c>
      <c r="CO142" s="266">
        <f t="shared" ca="1" si="152"/>
        <v>-3.0534077747335101E-6</v>
      </c>
      <c r="CP142" s="266">
        <f t="shared" ca="1" si="155"/>
        <v>0</v>
      </c>
      <c r="CQ142" s="266" t="b">
        <f t="shared" ca="1" si="153"/>
        <v>1</v>
      </c>
    </row>
    <row r="143" spans="24:158" x14ac:dyDescent="0.25">
      <c r="CK143" s="248">
        <f ca="1"/>
        <v>43830</v>
      </c>
      <c r="CL143" s="288">
        <f ca="1"/>
        <v>-4.9936371289138748E-6</v>
      </c>
      <c r="CM143" t="b">
        <f t="shared" ca="1" si="154"/>
        <v>1</v>
      </c>
      <c r="CN143" s="266">
        <f t="shared" ca="1" si="151"/>
        <v>-4.9936371155911985E-6</v>
      </c>
      <c r="CO143" s="266">
        <f t="shared" ca="1" si="152"/>
        <v>-4.9936371289138748E-6</v>
      </c>
      <c r="CP143" s="266">
        <f t="shared" ca="1" si="155"/>
        <v>1.3322676295501878E-14</v>
      </c>
      <c r="CQ143" s="266" t="b">
        <f t="shared" ca="1" si="153"/>
        <v>1</v>
      </c>
    </row>
    <row r="144" spans="24:158" x14ac:dyDescent="0.25">
      <c r="CK144" s="248">
        <f ca="1"/>
        <v>43837</v>
      </c>
      <c r="CL144" s="288">
        <f ca="1"/>
        <v>-6.9314318261737284E-6</v>
      </c>
      <c r="CM144" t="b">
        <f t="shared" ca="1" si="154"/>
        <v>1</v>
      </c>
      <c r="CN144" s="266">
        <f t="shared" ca="1" si="151"/>
        <v>-6.9314318261737301E-6</v>
      </c>
      <c r="CO144" s="266">
        <f t="shared" ca="1" si="152"/>
        <v>-6.9314318261737301E-6</v>
      </c>
      <c r="CP144" s="266">
        <f t="shared" ca="1" si="155"/>
        <v>0</v>
      </c>
      <c r="CQ144" s="266" t="b">
        <f t="shared" ca="1" si="153"/>
        <v>1</v>
      </c>
    </row>
    <row r="145" spans="89:95" x14ac:dyDescent="0.25">
      <c r="CK145" s="248">
        <f ca="1"/>
        <v>43847</v>
      </c>
      <c r="CL145" s="288">
        <f ca="1"/>
        <v>-9.695731655545714E-6</v>
      </c>
      <c r="CM145" t="b">
        <f t="shared" ca="1" si="154"/>
        <v>1</v>
      </c>
      <c r="CN145" s="266">
        <f t="shared" ca="1" si="151"/>
        <v>-9.6957316555457106E-6</v>
      </c>
      <c r="CO145" s="266">
        <f t="shared" ca="1" si="152"/>
        <v>-9.6957316555457106E-6</v>
      </c>
      <c r="CP145" s="266">
        <f t="shared" ca="1" si="155"/>
        <v>0</v>
      </c>
      <c r="CQ145" s="266" t="b">
        <f t="shared" ca="1" si="153"/>
        <v>1</v>
      </c>
    </row>
    <row r="146" spans="89:95" x14ac:dyDescent="0.25">
      <c r="CK146" s="248">
        <f ca="1"/>
        <v>43879</v>
      </c>
      <c r="CL146" s="288">
        <f ca="1"/>
        <v>-1.8509502085373164E-5</v>
      </c>
      <c r="CM146" t="b">
        <f t="shared" ca="1" si="154"/>
        <v>1</v>
      </c>
      <c r="CN146" s="266">
        <f t="shared" ca="1" si="151"/>
        <v>-1.850950208537314E-5</v>
      </c>
      <c r="CO146" s="266">
        <f t="shared" ca="1" si="152"/>
        <v>-1.850950208537314E-5</v>
      </c>
      <c r="CP146" s="266">
        <f t="shared" ca="1" si="155"/>
        <v>0</v>
      </c>
      <c r="CQ146" s="266" t="b">
        <f t="shared" ca="1" si="153"/>
        <v>1</v>
      </c>
    </row>
    <row r="147" spans="89:95" x14ac:dyDescent="0.25">
      <c r="CK147" s="248">
        <f ca="1"/>
        <v>43907</v>
      </c>
      <c r="CL147" s="288">
        <f ca="1"/>
        <v>-2.6181750651721458E-5</v>
      </c>
      <c r="CM147" t="b">
        <f t="shared" ca="1" si="154"/>
        <v>1</v>
      </c>
      <c r="CN147" s="266">
        <f t="shared" ca="1" si="151"/>
        <v>-2.6181750651721431E-5</v>
      </c>
      <c r="CO147" s="266">
        <f t="shared" ca="1" si="152"/>
        <v>-2.6181750651721431E-5</v>
      </c>
      <c r="CP147" s="266">
        <f t="shared" ca="1" si="155"/>
        <v>0</v>
      </c>
      <c r="CQ147" s="266" t="b">
        <f t="shared" ca="1" si="153"/>
        <v>1</v>
      </c>
    </row>
    <row r="148" spans="89:95" x14ac:dyDescent="0.25">
      <c r="CK148" s="248">
        <f ca="1"/>
        <v>43938</v>
      </c>
      <c r="CL148" s="288">
        <f ca="1"/>
        <v>-3.4635075537359228E-5</v>
      </c>
      <c r="CM148" t="b">
        <f t="shared" ca="1" si="154"/>
        <v>1</v>
      </c>
      <c r="CN148" s="266">
        <f t="shared" ca="1" si="151"/>
        <v>-3.4635075537359201E-5</v>
      </c>
      <c r="CO148" s="266">
        <f t="shared" ca="1" si="152"/>
        <v>-3.4635075537359201E-5</v>
      </c>
      <c r="CP148" s="266">
        <f t="shared" ca="1" si="155"/>
        <v>0</v>
      </c>
      <c r="CQ148" s="266" t="b">
        <f t="shared" ca="1" si="153"/>
        <v>1</v>
      </c>
    </row>
    <row r="149" spans="89:95" x14ac:dyDescent="0.25">
      <c r="CK149" s="248">
        <f ca="1"/>
        <v>43969</v>
      </c>
      <c r="CL149" s="288">
        <f ca="1"/>
        <v>-4.3046362630305701E-5</v>
      </c>
      <c r="CM149" t="b">
        <f t="shared" ca="1" si="154"/>
        <v>1</v>
      </c>
      <c r="CN149" s="266">
        <f t="shared" ca="1" si="151"/>
        <v>-4.3046362630305722E-5</v>
      </c>
      <c r="CO149" s="266">
        <f t="shared" ca="1" si="152"/>
        <v>-4.3046362630305722E-5</v>
      </c>
      <c r="CP149" s="266">
        <f t="shared" ca="1" si="155"/>
        <v>0</v>
      </c>
      <c r="CQ149" s="266" t="b">
        <f t="shared" ca="1" si="153"/>
        <v>1</v>
      </c>
    </row>
    <row r="150" spans="89:95" x14ac:dyDescent="0.25">
      <c r="CK150" s="248">
        <f ca="1"/>
        <v>43999</v>
      </c>
      <c r="CL150" s="288">
        <f ca="1"/>
        <v>-5.114666245631394E-5</v>
      </c>
      <c r="CM150" t="b">
        <f t="shared" ca="1" si="154"/>
        <v>1</v>
      </c>
      <c r="CN150" s="266">
        <f t="shared" ca="1" si="151"/>
        <v>-5.114666245631392E-5</v>
      </c>
      <c r="CO150" s="266">
        <f t="shared" ca="1" si="152"/>
        <v>-5.114666245631392E-5</v>
      </c>
      <c r="CP150" s="266">
        <f t="shared" ca="1" si="155"/>
        <v>0</v>
      </c>
      <c r="CQ150" s="266" t="b">
        <f t="shared" ca="1" si="153"/>
        <v>1</v>
      </c>
    </row>
    <row r="151" spans="89:95" x14ac:dyDescent="0.25">
      <c r="CK151" s="248">
        <f ca="1"/>
        <v>44091</v>
      </c>
      <c r="CL151" s="288">
        <f ca="1"/>
        <v>-7.5760274155678431E-5</v>
      </c>
      <c r="CM151" t="b">
        <f t="shared" ca="1" si="154"/>
        <v>1</v>
      </c>
      <c r="CN151" s="266">
        <f t="shared" ca="1" si="151"/>
        <v>-7.576027415567839E-5</v>
      </c>
      <c r="CO151" s="266">
        <f t="shared" ca="1" si="152"/>
        <v>-7.576027415567839E-5</v>
      </c>
      <c r="CP151" s="266">
        <f t="shared" ca="1" si="155"/>
        <v>0</v>
      </c>
      <c r="CQ151" s="266" t="b">
        <f t="shared" ca="1" si="153"/>
        <v>1</v>
      </c>
    </row>
    <row r="152" spans="89:95" x14ac:dyDescent="0.25">
      <c r="CK152" s="248">
        <f ca="1"/>
        <v>44182</v>
      </c>
      <c r="CL152" s="288">
        <f ca="1"/>
        <v>-9.8848537631202049E-5</v>
      </c>
      <c r="CM152" t="b">
        <f t="shared" ca="1" si="154"/>
        <v>1</v>
      </c>
      <c r="CN152" s="266">
        <f t="shared" ca="1" si="151"/>
        <v>1.0566292960589049E-6</v>
      </c>
      <c r="CO152" s="266">
        <f t="shared" ca="1" si="152"/>
        <v>-9.884853763120209E-5</v>
      </c>
      <c r="CP152" s="266">
        <f t="shared" ca="1" si="155"/>
        <v>9.9905166927260995E-5</v>
      </c>
      <c r="CQ152" s="266" t="b">
        <f t="shared" ca="1" si="153"/>
        <v>1</v>
      </c>
    </row>
    <row r="153" spans="89:95" x14ac:dyDescent="0.25">
      <c r="CK153" s="248">
        <f ca="1"/>
        <v>44272</v>
      </c>
      <c r="CL153" s="288">
        <f ca="1"/>
        <v>-1.2157690680525413E-4</v>
      </c>
      <c r="CM153" t="b">
        <f t="shared" ca="1" si="154"/>
        <v>1</v>
      </c>
      <c r="CN153" s="266">
        <f t="shared" ca="1" si="151"/>
        <v>7.9865426171665864E-5</v>
      </c>
      <c r="CO153" s="266">
        <f t="shared" ca="1" si="152"/>
        <v>-1.2157690680525375E-4</v>
      </c>
      <c r="CP153" s="266">
        <f t="shared" ca="1" si="155"/>
        <v>2.0144233297691961E-4</v>
      </c>
      <c r="CQ153" s="266" t="b">
        <f t="shared" ca="1" si="153"/>
        <v>1</v>
      </c>
    </row>
    <row r="154" spans="89:95" x14ac:dyDescent="0.25">
      <c r="CK154" s="248">
        <f ca="1"/>
        <v>44364</v>
      </c>
      <c r="CL154" s="288">
        <f ca="1"/>
        <v>-1.4543593332372318E-4</v>
      </c>
      <c r="CM154" t="b">
        <f t="shared" ca="1" si="154"/>
        <v>1</v>
      </c>
      <c r="CN154" s="266">
        <f t="shared" ca="1" si="151"/>
        <v>9.9652152954710001E-5</v>
      </c>
      <c r="CO154" s="266">
        <f t="shared" ca="1" si="152"/>
        <v>-1.4543593332372331E-4</v>
      </c>
      <c r="CP154" s="266">
        <f t="shared" ca="1" si="155"/>
        <v>2.4508808627843331E-4</v>
      </c>
      <c r="CQ154" s="266" t="b">
        <f t="shared" ca="1" si="153"/>
        <v>1</v>
      </c>
    </row>
    <row r="155" spans="89:95" x14ac:dyDescent="0.25">
      <c r="CK155" s="248">
        <f ca="1"/>
        <v>44456</v>
      </c>
      <c r="CL155" s="288">
        <f ca="1"/>
        <v>-1.6986772986582466E-4</v>
      </c>
      <c r="CM155" t="b">
        <f t="shared" ca="1" si="154"/>
        <v>1</v>
      </c>
      <c r="CN155" s="266">
        <f t="shared" ca="1" si="151"/>
        <v>6.2384292107031222E-5</v>
      </c>
      <c r="CO155" s="266">
        <f t="shared" ca="1" si="152"/>
        <v>-1.698677298658246E-4</v>
      </c>
      <c r="CP155" s="266">
        <f t="shared" ca="1" si="155"/>
        <v>2.3225202197285584E-4</v>
      </c>
      <c r="CQ155" s="266" t="b">
        <f t="shared" ca="1" si="153"/>
        <v>1</v>
      </c>
    </row>
    <row r="156" spans="89:95" x14ac:dyDescent="0.25">
      <c r="CK156" s="248">
        <f ca="1"/>
        <v>44547</v>
      </c>
      <c r="CL156" s="288">
        <f ca="1"/>
        <v>-1.9416420929518896E-4</v>
      </c>
      <c r="CM156" t="b">
        <f t="shared" ca="1" si="154"/>
        <v>1</v>
      </c>
      <c r="CN156" s="266">
        <f t="shared" ca="1" si="151"/>
        <v>1.8921679995071567E-6</v>
      </c>
      <c r="CO156" s="266">
        <f t="shared" ca="1" si="152"/>
        <v>-1.9416420929518869E-4</v>
      </c>
      <c r="CP156" s="266">
        <f t="shared" ca="1" si="155"/>
        <v>1.9605637729469585E-4</v>
      </c>
      <c r="CQ156" s="266" t="b">
        <f t="shared" ca="1" si="153"/>
        <v>1</v>
      </c>
    </row>
    <row r="157" spans="89:95" x14ac:dyDescent="0.25">
      <c r="CK157" s="248">
        <f ca="1"/>
        <v>44637</v>
      </c>
      <c r="CL157" s="288">
        <f ca="1"/>
        <v>-2.1775513923238954E-4</v>
      </c>
      <c r="CM157" t="b">
        <f t="shared" ca="1" si="154"/>
        <v>1</v>
      </c>
      <c r="CN157" s="266">
        <f t="shared" ca="1" si="151"/>
        <v>-3.538945398884414E-5</v>
      </c>
      <c r="CO157" s="266">
        <f t="shared" ca="1" si="152"/>
        <v>-2.1775513923238995E-4</v>
      </c>
      <c r="CP157" s="266">
        <f t="shared" ca="1" si="155"/>
        <v>1.823656852435458E-4</v>
      </c>
      <c r="CQ157" s="266" t="b">
        <f t="shared" ca="1" si="153"/>
        <v>1</v>
      </c>
    </row>
    <row r="158" spans="89:95" x14ac:dyDescent="0.25">
      <c r="CK158" s="248">
        <f ca="1"/>
        <v>44729</v>
      </c>
      <c r="CL158" s="288">
        <f ca="1"/>
        <v>-2.4131210350020194E-4</v>
      </c>
      <c r="CM158" t="b">
        <f t="shared" ca="1" si="154"/>
        <v>1</v>
      </c>
      <c r="CN158" s="266">
        <f t="shared" ca="1" si="151"/>
        <v>-4.1056753602663509E-5</v>
      </c>
      <c r="CO158" s="266">
        <f t="shared" ca="1" si="152"/>
        <v>-2.4131210350020091E-4</v>
      </c>
      <c r="CP158" s="266">
        <f t="shared" ca="1" si="155"/>
        <v>2.0025534989753739E-4</v>
      </c>
      <c r="CQ158" s="266" t="b">
        <f t="shared" ca="1" si="153"/>
        <v>1</v>
      </c>
    </row>
    <row r="159" spans="89:95" x14ac:dyDescent="0.25">
      <c r="CK159" s="248">
        <f ca="1"/>
        <v>44823</v>
      </c>
      <c r="CL159" s="288">
        <f ca="1"/>
        <v>-2.6490300067782968E-4</v>
      </c>
      <c r="CM159" t="b">
        <f t="shared" ca="1" si="154"/>
        <v>1</v>
      </c>
      <c r="CN159" s="266">
        <f t="shared" ca="1" si="151"/>
        <v>-2.2125546554340905E-5</v>
      </c>
      <c r="CO159" s="266">
        <f t="shared" ca="1" si="152"/>
        <v>-2.6490300067782936E-4</v>
      </c>
      <c r="CP159" s="266">
        <f t="shared" ca="1" si="155"/>
        <v>2.4277745412348844E-4</v>
      </c>
      <c r="CQ159" s="266" t="b">
        <f t="shared" ca="1" si="153"/>
        <v>1</v>
      </c>
    </row>
    <row r="160" spans="89:95" x14ac:dyDescent="0.25">
      <c r="CK160" s="248">
        <f ca="1"/>
        <v>44914</v>
      </c>
      <c r="CL160" s="288">
        <f ca="1"/>
        <v>-2.8748364565922557E-4</v>
      </c>
      <c r="CM160" t="b">
        <f t="shared" ca="1" si="154"/>
        <v>1</v>
      </c>
      <c r="CN160" s="266">
        <f t="shared" ca="1" si="151"/>
        <v>3.6504334322005117E-6</v>
      </c>
      <c r="CO160" s="266">
        <f t="shared" ca="1" si="152"/>
        <v>-2.8748364565922601E-4</v>
      </c>
      <c r="CP160" s="266">
        <f t="shared" ca="1" si="155"/>
        <v>2.9113407909142652E-4</v>
      </c>
      <c r="CQ160" s="266" t="b">
        <f t="shared" ca="1" si="153"/>
        <v>1</v>
      </c>
    </row>
    <row r="161" spans="89:95" x14ac:dyDescent="0.25">
      <c r="CK161" s="248">
        <f ca="1"/>
        <v>45002</v>
      </c>
      <c r="CL161" s="288">
        <f ca="1"/>
        <v>-3.0930823813701824E-4</v>
      </c>
      <c r="CM161" t="b">
        <f t="shared" ca="1" si="154"/>
        <v>1</v>
      </c>
      <c r="CN161" s="266">
        <f t="shared" ca="1" si="151"/>
        <v>1.8228047183988083E-5</v>
      </c>
      <c r="CO161" s="266">
        <f t="shared" ca="1" si="152"/>
        <v>-3.0930823813701824E-4</v>
      </c>
      <c r="CP161" s="266">
        <f t="shared" ca="1" si="155"/>
        <v>3.2753628532100631E-4</v>
      </c>
      <c r="CQ161" s="266" t="b">
        <f t="shared" ca="1" si="153"/>
        <v>1</v>
      </c>
    </row>
    <row r="162" spans="89:95" x14ac:dyDescent="0.25">
      <c r="CK162" s="248">
        <f ca="1"/>
        <v>45096</v>
      </c>
      <c r="CL162" s="288">
        <f ca="1"/>
        <v>-3.3262023706281951E-4</v>
      </c>
      <c r="CM162" t="b">
        <f t="shared" ca="1" si="154"/>
        <v>1</v>
      </c>
      <c r="CN162" s="266">
        <f t="shared" ca="1" si="151"/>
        <v>2.0509091241070749E-5</v>
      </c>
      <c r="CO162" s="266">
        <f t="shared" ca="1" si="152"/>
        <v>-3.3262023706281984E-4</v>
      </c>
      <c r="CP162" s="266">
        <f t="shared" ca="1" si="155"/>
        <v>3.5312932830389057E-4</v>
      </c>
      <c r="CQ162" s="266" t="b">
        <f t="shared" ca="1" si="153"/>
        <v>1</v>
      </c>
    </row>
    <row r="163" spans="89:95" x14ac:dyDescent="0.25">
      <c r="CK163" s="248">
        <f ca="1"/>
        <v>45187</v>
      </c>
      <c r="CL163" s="288">
        <f ca="1"/>
        <v>-3.5510821113637903E-4</v>
      </c>
      <c r="CM163" t="b">
        <f t="shared" ca="1" si="154"/>
        <v>1</v>
      </c>
      <c r="CN163" s="266">
        <f t="shared" ca="1" si="151"/>
        <v>1.4027878751266131E-5</v>
      </c>
      <c r="CO163" s="266">
        <f t="shared" ca="1" si="152"/>
        <v>-3.5510821113637881E-4</v>
      </c>
      <c r="CP163" s="266">
        <f t="shared" ca="1" si="155"/>
        <v>3.6913608988764496E-4</v>
      </c>
      <c r="CQ163" s="266" t="b">
        <f t="shared" ca="1" si="153"/>
        <v>1</v>
      </c>
    </row>
    <row r="164" spans="89:95" x14ac:dyDescent="0.25">
      <c r="CK164" s="248">
        <f ca="1"/>
        <v>45278</v>
      </c>
      <c r="CL164" s="288">
        <f ca="1"/>
        <v>-3.7743758478436806E-4</v>
      </c>
      <c r="CM164" t="b">
        <f t="shared" ca="1" si="154"/>
        <v>1</v>
      </c>
      <c r="CN164" s="266">
        <f t="shared" ca="1" si="151"/>
        <v>5.2242719317250391E-6</v>
      </c>
      <c r="CO164" s="266">
        <f t="shared" ca="1" si="152"/>
        <v>-3.774375847843679E-4</v>
      </c>
      <c r="CP164" s="266">
        <f t="shared" ca="1" si="155"/>
        <v>3.8266185671609294E-4</v>
      </c>
      <c r="CQ164" s="266" t="b">
        <f t="shared" ca="1" si="153"/>
        <v>1</v>
      </c>
    </row>
    <row r="165" spans="89:95" x14ac:dyDescent="0.25">
      <c r="CK165" s="248">
        <f ca="1"/>
        <v>45369</v>
      </c>
      <c r="CL165" s="288">
        <f ca="1"/>
        <v>-3.9954840796674329E-4</v>
      </c>
      <c r="CM165" t="b">
        <f t="shared" ca="1" si="154"/>
        <v>1</v>
      </c>
      <c r="CN165" s="266">
        <f t="shared" ca="1" si="151"/>
        <v>3.7338140490593899E-7</v>
      </c>
      <c r="CO165" s="266">
        <f t="shared" ca="1" si="152"/>
        <v>-3.9954840796674307E-4</v>
      </c>
      <c r="CP165" s="266">
        <f t="shared" ca="1" si="155"/>
        <v>3.9992178937164901E-4</v>
      </c>
      <c r="CQ165" s="266" t="b">
        <f t="shared" ca="1" si="153"/>
        <v>1</v>
      </c>
    </row>
    <row r="166" spans="89:95" x14ac:dyDescent="0.25">
      <c r="CK166" s="248">
        <f ca="1"/>
        <v>45460</v>
      </c>
      <c r="CL166" s="288">
        <f ca="1"/>
        <v>-4.2142765722374964E-4</v>
      </c>
      <c r="CM166" t="b">
        <f t="shared" ca="1" si="154"/>
        <v>1</v>
      </c>
      <c r="CN166" s="266">
        <f t="shared" ca="1" si="151"/>
        <v>3.1938358402277572E-8</v>
      </c>
      <c r="CO166" s="266">
        <f t="shared" ca="1" si="152"/>
        <v>-4.2142765722374986E-4</v>
      </c>
      <c r="CP166" s="266">
        <f t="shared" ca="1" si="155"/>
        <v>4.2145959558215212E-4</v>
      </c>
      <c r="CQ166" s="266" t="b">
        <f t="shared" ca="1" si="153"/>
        <v>1</v>
      </c>
    </row>
    <row r="167" spans="89:95" x14ac:dyDescent="0.25">
      <c r="CK167" s="248">
        <f ca="1"/>
        <v>45552</v>
      </c>
      <c r="CL167" s="288">
        <f ca="1"/>
        <v>-4.4330772538936358E-4</v>
      </c>
      <c r="CM167" t="b">
        <f t="shared" ca="1" si="154"/>
        <v>1</v>
      </c>
      <c r="CN167" s="266">
        <f t="shared" ca="1" si="151"/>
        <v>2.8577679304090419E-6</v>
      </c>
      <c r="CO167" s="266">
        <f t="shared" ca="1" si="152"/>
        <v>-4.4330772538936293E-4</v>
      </c>
      <c r="CP167" s="266">
        <f t="shared" ca="1" si="155"/>
        <v>4.4616549331977196E-4</v>
      </c>
      <c r="CQ167" s="266" t="b">
        <f t="shared" ca="1" si="153"/>
        <v>1</v>
      </c>
    </row>
    <row r="168" spans="89:95" x14ac:dyDescent="0.25">
      <c r="CK168" s="248">
        <f ca="1"/>
        <v>45643</v>
      </c>
      <c r="CL168" s="288">
        <f ca="1"/>
        <v>-4.6473814788028367E-4</v>
      </c>
      <c r="CM168" t="b">
        <f t="shared" ca="1" si="154"/>
        <v>1</v>
      </c>
      <c r="CN168" s="266">
        <f t="shared" ca="1" si="151"/>
        <v>6.8933276439193231E-6</v>
      </c>
      <c r="CO168" s="266">
        <f t="shared" ca="1" si="152"/>
        <v>-4.6473814788028372E-4</v>
      </c>
      <c r="CP168" s="266">
        <f t="shared" ca="1" si="155"/>
        <v>4.7163147552420305E-4</v>
      </c>
      <c r="CQ168" s="266" t="b">
        <f t="shared" ca="1" si="153"/>
        <v>1</v>
      </c>
    </row>
    <row r="169" spans="89:95" x14ac:dyDescent="0.25">
      <c r="CK169" s="248">
        <f ca="1"/>
        <v>45733</v>
      </c>
      <c r="CL169" s="288">
        <f ca="1"/>
        <v>-4.8578615024874594E-4</v>
      </c>
      <c r="CM169" t="b">
        <f t="shared" ca="1" si="154"/>
        <v>1</v>
      </c>
      <c r="CN169" s="266">
        <f t="shared" ca="1" si="151"/>
        <v>1.0176606647926511E-5</v>
      </c>
      <c r="CO169" s="266">
        <f t="shared" ca="1" si="152"/>
        <v>-4.8578615024874659E-4</v>
      </c>
      <c r="CP169" s="266">
        <f t="shared" ca="1" si="155"/>
        <v>4.9596275689667312E-4</v>
      </c>
      <c r="CQ169" s="266" t="b">
        <f t="shared" ca="1" si="153"/>
        <v>1</v>
      </c>
    </row>
    <row r="170" spans="89:95" x14ac:dyDescent="0.25">
      <c r="CK170" s="248">
        <f ca="1"/>
        <v>45825</v>
      </c>
      <c r="CL170" s="288">
        <f ca="1"/>
        <v>-5.0718014182982163E-4</v>
      </c>
      <c r="CM170" t="b">
        <f t="shared" ca="1" si="154"/>
        <v>1</v>
      </c>
      <c r="CN170" s="266">
        <f t="shared" ca="1" si="151"/>
        <v>1.2376997633678969E-5</v>
      </c>
      <c r="CO170" s="266">
        <f t="shared" ca="1" si="152"/>
        <v>-5.0718014182982141E-4</v>
      </c>
      <c r="CP170" s="266">
        <f t="shared" ca="1" si="155"/>
        <v>5.1955713946350035E-4</v>
      </c>
      <c r="CQ170" s="266" t="b">
        <f t="shared" ca="1" si="153"/>
        <v>1</v>
      </c>
    </row>
    <row r="171" spans="89:95" x14ac:dyDescent="0.25">
      <c r="CK171" s="248">
        <f ca="1"/>
        <v>45917</v>
      </c>
      <c r="CL171" s="288">
        <f ca="1"/>
        <v>-5.2845119869915358E-4</v>
      </c>
      <c r="CM171" t="b">
        <f t="shared" ca="1" si="154"/>
        <v>1</v>
      </c>
      <c r="CN171" s="266">
        <f t="shared" ca="1" si="151"/>
        <v>1.3482699480761397E-5</v>
      </c>
      <c r="CO171" s="266">
        <f t="shared" ca="1" si="152"/>
        <v>-5.2845119869915347E-4</v>
      </c>
      <c r="CP171" s="266">
        <f t="shared" ca="1" si="155"/>
        <v>5.4193389817991486E-4</v>
      </c>
      <c r="CQ171" s="266" t="b">
        <f t="shared" ca="1" si="153"/>
        <v>1</v>
      </c>
    </row>
    <row r="172" spans="89:95" x14ac:dyDescent="0.25">
      <c r="CK172" s="248">
        <f ca="1"/>
        <v>46008</v>
      </c>
      <c r="CL172" s="288">
        <f ca="1"/>
        <v>-5.4935500655217684E-4</v>
      </c>
      <c r="CM172" t="b">
        <f t="shared" ca="1" si="154"/>
        <v>1</v>
      </c>
      <c r="CN172" s="266">
        <f t="shared" ca="1" si="151"/>
        <v>1.3644443687232752E-5</v>
      </c>
      <c r="CO172" s="266">
        <f t="shared" ca="1" si="152"/>
        <v>-5.4935500655217727E-4</v>
      </c>
      <c r="CP172" s="266">
        <f t="shared" ca="1" si="155"/>
        <v>5.6299945023941E-4</v>
      </c>
      <c r="CQ172" s="266" t="b">
        <f t="shared" ca="1" si="153"/>
        <v>1</v>
      </c>
    </row>
    <row r="173" spans="89:95" x14ac:dyDescent="0.25">
      <c r="CK173" s="248">
        <f ca="1"/>
        <v>46098</v>
      </c>
      <c r="CL173" s="288">
        <f ca="1"/>
        <v>-5.6987317244217017E-4</v>
      </c>
      <c r="CM173" t="b">
        <f t="shared" ca="1" si="154"/>
        <v>1</v>
      </c>
      <c r="CN173" s="266">
        <f t="shared" ca="1" si="151"/>
        <v>1.3089335069937497E-5</v>
      </c>
      <c r="CO173" s="266">
        <f t="shared" ca="1" si="152"/>
        <v>-5.6987317244217039E-4</v>
      </c>
      <c r="CP173" s="266">
        <f t="shared" ca="1" si="155"/>
        <v>5.8296250751210788E-4</v>
      </c>
      <c r="CQ173" s="266" t="b">
        <f t="shared" ca="1" si="153"/>
        <v>1</v>
      </c>
    </row>
    <row r="174" spans="89:95" x14ac:dyDescent="0.25">
      <c r="CK174" s="248">
        <f ca="1"/>
        <v>46190</v>
      </c>
      <c r="CL174" s="288">
        <f ca="1"/>
        <v>-5.9066292404896803E-4</v>
      </c>
      <c r="CM174" t="b">
        <f t="shared" ca="1" si="154"/>
        <v>1</v>
      </c>
      <c r="CN174" s="266">
        <f t="shared" ca="1" si="151"/>
        <v>1.2029605797492368E-5</v>
      </c>
      <c r="CO174" s="266">
        <f t="shared" ca="1" si="152"/>
        <v>-5.9066292404896836E-4</v>
      </c>
      <c r="CP174" s="266">
        <f t="shared" ca="1" si="155"/>
        <v>6.026925298464607E-4</v>
      </c>
      <c r="CQ174" s="266" t="b">
        <f t="shared" ca="1" si="153"/>
        <v>1</v>
      </c>
    </row>
    <row r="175" spans="89:95" x14ac:dyDescent="0.25">
      <c r="CK175" s="248">
        <f ca="1"/>
        <v>46282</v>
      </c>
      <c r="CL175" s="288">
        <f ca="1"/>
        <v>-6.1124855804517431E-4</v>
      </c>
      <c r="CM175" t="b">
        <f t="shared" ca="1" si="154"/>
        <v>1</v>
      </c>
      <c r="CN175" s="266">
        <f t="shared" ca="1" si="151"/>
        <v>1.0744012683306344E-5</v>
      </c>
      <c r="CO175" s="266">
        <f t="shared" ca="1" si="152"/>
        <v>-6.1124855804517398E-4</v>
      </c>
      <c r="CP175" s="266">
        <f t="shared" ca="1" si="155"/>
        <v>6.2199257072848035E-4</v>
      </c>
      <c r="CQ175" s="266" t="b">
        <f t="shared" ca="1" si="153"/>
        <v>1</v>
      </c>
    </row>
    <row r="176" spans="89:95" x14ac:dyDescent="0.25">
      <c r="CK176" s="248">
        <f ca="1"/>
        <v>46373</v>
      </c>
      <c r="CL176" s="288">
        <f ca="1"/>
        <v>-6.314036316593663E-4</v>
      </c>
      <c r="CM176" t="b">
        <f t="shared" ca="1" si="154"/>
        <v>1</v>
      </c>
      <c r="CN176" s="266">
        <f t="shared" ca="1" si="151"/>
        <v>9.5331559039069091E-6</v>
      </c>
      <c r="CO176" s="266">
        <f t="shared" ca="1" si="152"/>
        <v>-6.3140363165936598E-4</v>
      </c>
      <c r="CP176" s="266">
        <f t="shared" ca="1" si="155"/>
        <v>6.4093678756327289E-4</v>
      </c>
      <c r="CQ176" s="266" t="b">
        <f t="shared" ca="1" si="153"/>
        <v>1</v>
      </c>
    </row>
    <row r="177" spans="89:95" x14ac:dyDescent="0.25">
      <c r="CK177" s="248">
        <f ca="1"/>
        <v>46463</v>
      </c>
      <c r="CL177" s="288">
        <f ca="1"/>
        <v>-6.5114041093783381E-4</v>
      </c>
      <c r="CM177" t="b">
        <f t="shared" ca="1" si="154"/>
        <v>1</v>
      </c>
      <c r="CN177" s="266">
        <f t="shared" ca="1" si="151"/>
        <v>8.6280115402233831E-6</v>
      </c>
      <c r="CO177" s="266">
        <f t="shared" ca="1" si="152"/>
        <v>-6.5114041093783403E-4</v>
      </c>
      <c r="CP177" s="266">
        <f t="shared" ca="1" si="155"/>
        <v>6.5976842247805745E-4</v>
      </c>
      <c r="CQ177" s="266" t="b">
        <f t="shared" ca="1" si="153"/>
        <v>1</v>
      </c>
    </row>
    <row r="178" spans="89:95" x14ac:dyDescent="0.25">
      <c r="CK178" s="248">
        <f ca="1"/>
        <v>46555</v>
      </c>
      <c r="CL178" s="288">
        <f ca="1"/>
        <v>-6.7112195741703129E-4</v>
      </c>
      <c r="CM178" t="b">
        <f t="shared" ca="1" si="154"/>
        <v>1</v>
      </c>
      <c r="CN178" s="266">
        <f t="shared" ca="1" si="151"/>
        <v>8.0294576847442643E-6</v>
      </c>
      <c r="CO178" s="266">
        <f t="shared" ca="1" si="152"/>
        <v>-6.7112195741703096E-4</v>
      </c>
      <c r="CP178" s="266">
        <f t="shared" ca="1" si="155"/>
        <v>6.7915141510177524E-4</v>
      </c>
      <c r="CQ178" s="266" t="b">
        <f t="shared" ca="1" si="153"/>
        <v>1</v>
      </c>
    </row>
    <row r="179" spans="89:95" x14ac:dyDescent="0.25">
      <c r="CK179" s="248">
        <f ca="1"/>
        <v>46647</v>
      </c>
      <c r="CL179" s="288">
        <f ca="1"/>
        <v>-6.9091068144044865E-4</v>
      </c>
      <c r="CM179" t="b">
        <f t="shared" ca="1" si="154"/>
        <v>1</v>
      </c>
      <c r="CN179" s="266">
        <f t="shared" ca="1" si="151"/>
        <v>7.7378043247263281E-6</v>
      </c>
      <c r="CO179" s="266">
        <f t="shared" ca="1" si="152"/>
        <v>-6.9091068144044887E-4</v>
      </c>
      <c r="CP179" s="266">
        <f t="shared" ca="1" si="155"/>
        <v>6.9864848576517522E-4</v>
      </c>
      <c r="CQ179" s="266" t="b">
        <f t="shared" ca="1" si="153"/>
        <v>1</v>
      </c>
    </row>
    <row r="180" spans="89:95" x14ac:dyDescent="0.25">
      <c r="CK180" s="248">
        <f ca="1"/>
        <v>46738</v>
      </c>
      <c r="CL180" s="288">
        <f ca="1"/>
        <v>-7.1029296281388543E-4</v>
      </c>
      <c r="CM180" t="b">
        <f t="shared" ca="1" si="154"/>
        <v>1</v>
      </c>
      <c r="CN180" s="266">
        <f t="shared" ca="1" si="151"/>
        <v>7.7319350755280953E-6</v>
      </c>
      <c r="CO180" s="266">
        <f t="shared" ca="1" si="152"/>
        <v>-7.1029296281388521E-4</v>
      </c>
      <c r="CP180" s="266">
        <f t="shared" ca="1" si="155"/>
        <v>7.1802489788941326E-4</v>
      </c>
      <c r="CQ180" s="266" t="b">
        <f t="shared" ca="1" si="153"/>
        <v>1</v>
      </c>
    </row>
    <row r="181" spans="89:95" x14ac:dyDescent="0.25">
      <c r="CK181" s="248">
        <f ca="1"/>
        <v>46829</v>
      </c>
      <c r="CL181" s="288">
        <f ca="1"/>
        <v>-7.2948060395316983E-4</v>
      </c>
      <c r="CM181" t="b">
        <f t="shared" ca="1" si="154"/>
        <v>1</v>
      </c>
      <c r="CN181" s="266">
        <f t="shared" ca="1" si="151"/>
        <v>7.9878408720801429E-6</v>
      </c>
      <c r="CO181" s="266">
        <f t="shared" ca="1" si="152"/>
        <v>-7.2948060395317037E-4</v>
      </c>
      <c r="CP181" s="266">
        <f t="shared" ca="1" si="155"/>
        <v>7.3746844482525055E-4</v>
      </c>
      <c r="CQ181" s="266" t="b">
        <f t="shared" ca="1" si="153"/>
        <v>1</v>
      </c>
    </row>
    <row r="182" spans="89:95" x14ac:dyDescent="0.25">
      <c r="CK182" s="248">
        <f ca="1"/>
        <v>46923</v>
      </c>
      <c r="CL182" s="288">
        <f ca="1"/>
        <v>-7.4909138438317147E-4</v>
      </c>
      <c r="CM182" t="b">
        <f t="shared" ca="1" si="154"/>
        <v>1</v>
      </c>
      <c r="CN182" s="266">
        <f t="shared" ca="1" si="151"/>
        <v>8.501763862131878E-6</v>
      </c>
      <c r="CO182" s="266">
        <f t="shared" ca="1" si="152"/>
        <v>-7.4909138438317342E-4</v>
      </c>
      <c r="CP182" s="266">
        <f t="shared" ca="1" si="155"/>
        <v>7.5759314824530534E-4</v>
      </c>
      <c r="CQ182" s="266" t="b">
        <f t="shared" ca="1" si="153"/>
        <v>1</v>
      </c>
    </row>
    <row r="183" spans="89:95" x14ac:dyDescent="0.25">
      <c r="CK183" s="248">
        <f ca="1"/>
        <v>47014</v>
      </c>
      <c r="CL183" s="288">
        <f ca="1"/>
        <v>-7.6787049450699474E-4</v>
      </c>
      <c r="CM183" t="b">
        <f t="shared" ca="1" si="154"/>
        <v>1</v>
      </c>
      <c r="CN183" s="266">
        <f t="shared" ca="1" si="151"/>
        <v>9.207282314348543E-6</v>
      </c>
      <c r="CO183" s="266">
        <f t="shared" ca="1" si="152"/>
        <v>-7.6787049450699463E-4</v>
      </c>
      <c r="CP183" s="266">
        <f t="shared" ca="1" si="155"/>
        <v>7.7707777682134319E-4</v>
      </c>
      <c r="CQ183" s="266" t="b">
        <f t="shared" ca="1" si="153"/>
        <v>1</v>
      </c>
    </row>
    <row r="184" spans="89:95" x14ac:dyDescent="0.25">
      <c r="CK184" s="248">
        <f ca="1"/>
        <v>47105</v>
      </c>
      <c r="CL184" s="288">
        <f ca="1"/>
        <v>-7.8644783883341507E-4</v>
      </c>
      <c r="CM184" t="b">
        <f t="shared" ca="1" si="154"/>
        <v>1</v>
      </c>
      <c r="CN184" s="266">
        <f t="shared" ca="1" si="151"/>
        <v>1.0071683030687149E-5</v>
      </c>
      <c r="CO184" s="266">
        <f t="shared" ca="1" si="152"/>
        <v>-7.8644783883341583E-4</v>
      </c>
      <c r="CP184" s="266">
        <f t="shared" ca="1" si="155"/>
        <v>7.9651952186410302E-4</v>
      </c>
      <c r="CQ184" s="266" t="b">
        <f t="shared" ca="1" si="153"/>
        <v>1</v>
      </c>
    </row>
    <row r="185" spans="89:95" x14ac:dyDescent="0.25">
      <c r="CK185" s="248">
        <f ca="1"/>
        <v>47196</v>
      </c>
      <c r="CL185" s="288">
        <f ca="1"/>
        <v>-8.048289827377042E-4</v>
      </c>
      <c r="CM185" t="b">
        <f t="shared" ca="1" si="154"/>
        <v>1</v>
      </c>
      <c r="CN185" s="266">
        <f t="shared" ca="1" si="151"/>
        <v>1.1034889320082094E-5</v>
      </c>
      <c r="CO185" s="266">
        <f t="shared" ca="1" si="152"/>
        <v>-8.0482898273770464E-4</v>
      </c>
      <c r="CP185" s="266">
        <f t="shared" ca="1" si="155"/>
        <v>8.1586387205778677E-4</v>
      </c>
      <c r="CQ185" s="266" t="b">
        <f t="shared" ca="1" si="153"/>
        <v>1</v>
      </c>
    </row>
    <row r="186" spans="89:95" x14ac:dyDescent="0.25">
      <c r="CK186" s="248">
        <f ca="1"/>
        <v>47287</v>
      </c>
      <c r="CL186" s="288">
        <f ca="1"/>
        <v>-8.2302454192884067E-4</v>
      </c>
      <c r="CM186" t="b">
        <f t="shared" ca="1" si="154"/>
        <v>1</v>
      </c>
      <c r="CN186" s="266">
        <f t="shared" ca="1" si="151"/>
        <v>1.2021873063483737E-5</v>
      </c>
      <c r="CO186" s="266">
        <f t="shared" ca="1" si="152"/>
        <v>-8.2302454192884099E-4</v>
      </c>
      <c r="CP186" s="266">
        <f t="shared" ca="1" si="155"/>
        <v>8.3504641499232478E-4</v>
      </c>
      <c r="CQ186" s="266" t="b">
        <f t="shared" ca="1" si="153"/>
        <v>1</v>
      </c>
    </row>
    <row r="187" spans="89:95" x14ac:dyDescent="0.25">
      <c r="CK187" s="248">
        <f ca="1"/>
        <v>47378</v>
      </c>
      <c r="CL187" s="288">
        <f ca="1"/>
        <v>-8.410490118799796E-4</v>
      </c>
      <c r="CM187" t="b">
        <f t="shared" ca="1" si="154"/>
        <v>1</v>
      </c>
      <c r="CN187" s="266">
        <f t="shared" ca="1" si="151"/>
        <v>1.2945216545490324E-5</v>
      </c>
      <c r="CO187" s="266">
        <f t="shared" ca="1" si="152"/>
        <v>-8.4104901187997928E-4</v>
      </c>
      <c r="CP187" s="266">
        <f t="shared" ca="1" si="155"/>
        <v>8.5399422842546958E-4</v>
      </c>
      <c r="CQ187" s="266" t="b">
        <f t="shared" ca="1" si="153"/>
        <v>1</v>
      </c>
    </row>
    <row r="188" spans="89:95" x14ac:dyDescent="0.25">
      <c r="CK188" s="248">
        <f ca="1"/>
        <v>47469</v>
      </c>
      <c r="CL188" s="288">
        <f ca="1"/>
        <v>-8.5891782022928798E-4</v>
      </c>
      <c r="CM188" t="b">
        <f t="shared" ca="1" si="154"/>
        <v>1</v>
      </c>
      <c r="CN188" s="266">
        <f t="shared" ca="1" si="151"/>
        <v>1.3711286066864446E-5</v>
      </c>
      <c r="CO188" s="266">
        <f t="shared" ca="1" si="152"/>
        <v>-8.5891782022928798E-4</v>
      </c>
      <c r="CP188" s="266">
        <f t="shared" ca="1" si="155"/>
        <v>8.7262910629615242E-4</v>
      </c>
      <c r="CQ188" s="266" t="b">
        <f t="shared" ca="1" si="153"/>
        <v>1</v>
      </c>
    </row>
    <row r="189" spans="89:95" x14ac:dyDescent="0.25">
      <c r="CK189" s="248">
        <f ca="1"/>
        <v>47560</v>
      </c>
      <c r="CL189" s="288">
        <f ca="1"/>
        <v>-8.7663866298048898E-4</v>
      </c>
      <c r="CM189" t="b">
        <f t="shared" ca="1" si="154"/>
        <v>1</v>
      </c>
      <c r="CN189" s="266">
        <f t="shared" ca="1" si="151"/>
        <v>1.4252483787613386E-5</v>
      </c>
      <c r="CO189" s="266">
        <f t="shared" ca="1" si="152"/>
        <v>-8.7663866298048941E-4</v>
      </c>
      <c r="CP189" s="266">
        <f t="shared" ca="1" si="155"/>
        <v>8.9089114676810276E-4</v>
      </c>
      <c r="CQ189" s="266" t="b">
        <f t="shared" ca="1" si="153"/>
        <v>1</v>
      </c>
    </row>
    <row r="190" spans="89:95" x14ac:dyDescent="0.25">
      <c r="CK190" s="248">
        <f ca="1"/>
        <v>47651</v>
      </c>
      <c r="CL190" s="288">
        <f ca="1"/>
        <v>-8.941968061740857E-4</v>
      </c>
      <c r="CM190" t="b">
        <f t="shared" ca="1" si="154"/>
        <v>1</v>
      </c>
      <c r="CN190" s="266">
        <f t="shared" ca="1" si="151"/>
        <v>1.4602982072787406E-5</v>
      </c>
      <c r="CO190" s="266">
        <f t="shared" ca="1" si="152"/>
        <v>-8.9419680617408548E-4</v>
      </c>
      <c r="CP190" s="266">
        <f t="shared" ca="1" si="155"/>
        <v>9.087997882468729E-4</v>
      </c>
      <c r="CQ190" s="266" t="b">
        <f t="shared" ca="1" si="153"/>
        <v>1</v>
      </c>
    </row>
    <row r="191" spans="89:95" x14ac:dyDescent="0.25">
      <c r="CK191" s="248">
        <f ca="1"/>
        <v>47743</v>
      </c>
      <c r="CL191" s="288">
        <f ca="1"/>
        <v>-9.1175954175237717E-4</v>
      </c>
      <c r="CM191" t="b">
        <f t="shared" ca="1" si="154"/>
        <v>1</v>
      </c>
      <c r="CN191" s="266">
        <f t="shared" ca="1" si="151"/>
        <v>1.483171436655897E-5</v>
      </c>
      <c r="CO191" s="266">
        <f t="shared" ca="1" si="152"/>
        <v>-9.1175954175237652E-4</v>
      </c>
      <c r="CP191" s="266">
        <f t="shared" ca="1" si="155"/>
        <v>9.2659125611893546E-4</v>
      </c>
      <c r="CQ191" s="266" t="b">
        <f t="shared" ca="1" si="153"/>
        <v>1</v>
      </c>
    </row>
    <row r="192" spans="89:95" x14ac:dyDescent="0.25">
      <c r="CK192" s="248">
        <f ca="1"/>
        <v>47834</v>
      </c>
      <c r="CL192" s="288">
        <f ca="1"/>
        <v>-9.2892461746474364E-4</v>
      </c>
      <c r="CM192" t="b">
        <f t="shared" ca="1" si="154"/>
        <v>1</v>
      </c>
      <c r="CN192" s="266">
        <f t="shared" ca="1" si="151"/>
        <v>1.4999640550627778E-5</v>
      </c>
      <c r="CO192" s="266">
        <f t="shared" ca="1" si="152"/>
        <v>-9.2892461746474342E-4</v>
      </c>
      <c r="CP192" s="266">
        <f t="shared" ca="1" si="155"/>
        <v>9.4392425801537118E-4</v>
      </c>
      <c r="CQ192" s="266" t="b">
        <f t="shared" ca="1" si="153"/>
        <v>1</v>
      </c>
    </row>
    <row r="193" spans="89:95" x14ac:dyDescent="0.25">
      <c r="CK193" s="248">
        <f ca="1"/>
        <v>47924</v>
      </c>
      <c r="CL193" s="288">
        <f ca="1"/>
        <v>-9.4568652826543254E-4</v>
      </c>
      <c r="CM193" t="b">
        <f t="shared" ca="1" si="154"/>
        <v>1</v>
      </c>
      <c r="CN193" s="266">
        <f t="shared" ca="1" si="151"/>
        <v>1.5160295746440786E-5</v>
      </c>
      <c r="CO193" s="266">
        <f t="shared" ca="1" si="152"/>
        <v>-9.4568652826543297E-4</v>
      </c>
      <c r="CP193" s="266">
        <f t="shared" ca="1" si="155"/>
        <v>9.6084682401187372E-4</v>
      </c>
      <c r="CQ193" s="266" t="b">
        <f t="shared" ca="1" si="153"/>
        <v>1</v>
      </c>
    </row>
    <row r="194" spans="89:95" x14ac:dyDescent="0.25">
      <c r="CK194" s="248">
        <f ca="1"/>
        <v>48016</v>
      </c>
      <c r="CL194" s="288">
        <f ca="1"/>
        <v>-9.6259978360069276E-4</v>
      </c>
      <c r="CM194" t="b">
        <f t="shared" ca="1" si="154"/>
        <v>1</v>
      </c>
      <c r="CN194" s="266">
        <f t="shared" ca="1" si="151"/>
        <v>1.535058463364377E-5</v>
      </c>
      <c r="CO194" s="266">
        <f t="shared" ca="1" si="152"/>
        <v>-9.6259978360069276E-4</v>
      </c>
      <c r="CP194" s="266">
        <f t="shared" ca="1" si="155"/>
        <v>9.7795036823433647E-4</v>
      </c>
      <c r="CQ194" s="266" t="b">
        <f t="shared" ca="1" si="153"/>
        <v>1</v>
      </c>
    </row>
    <row r="195" spans="89:95" x14ac:dyDescent="0.25">
      <c r="CK195" s="248">
        <f ca="1"/>
        <v>48108</v>
      </c>
      <c r="CL195" s="288">
        <f ca="1"/>
        <v>-9.7930295639792053E-4</v>
      </c>
      <c r="CM195" t="b">
        <f t="shared" ca="1" si="154"/>
        <v>1</v>
      </c>
      <c r="CN195" s="266">
        <f t="shared" ca="1" si="151"/>
        <v>1.5573605458009071E-5</v>
      </c>
      <c r="CO195" s="266">
        <f t="shared" ca="1" si="152"/>
        <v>-9.7930295639792097E-4</v>
      </c>
      <c r="CP195" s="266">
        <f t="shared" ca="1" si="155"/>
        <v>9.9487656185593006E-4</v>
      </c>
      <c r="CQ195" s="266" t="b">
        <f t="shared" ca="1" si="153"/>
        <v>1</v>
      </c>
    </row>
    <row r="196" spans="89:95" x14ac:dyDescent="0.25">
      <c r="CK196" s="248">
        <f ca="1"/>
        <v>48199</v>
      </c>
      <c r="CL196" s="288">
        <f ca="1"/>
        <v>-9.9564415942787754E-4</v>
      </c>
      <c r="CM196" t="b">
        <f t="shared" ca="1" si="154"/>
        <v>1</v>
      </c>
      <c r="CN196" s="266">
        <f t="shared" ca="1" si="151"/>
        <v>1.580933340817616E-5</v>
      </c>
      <c r="CO196" s="266">
        <f t="shared" ca="1" si="152"/>
        <v>-9.9564415942787299E-4</v>
      </c>
      <c r="CP196" s="266">
        <f t="shared" ca="1" si="155"/>
        <v>1.0114534928360491E-3</v>
      </c>
      <c r="CQ196" s="266" t="b">
        <f t="shared" ca="1" si="153"/>
        <v>1</v>
      </c>
    </row>
    <row r="197" spans="89:95" x14ac:dyDescent="0.25">
      <c r="CK197" s="248">
        <f ca="1"/>
        <v>48290</v>
      </c>
      <c r="CL197" s="288">
        <f ca="1"/>
        <v>-1.0118366370048815E-3</v>
      </c>
      <c r="CM197" t="b">
        <f t="shared" ca="1" si="154"/>
        <v>1</v>
      </c>
      <c r="CN197" s="266">
        <f t="shared" ca="1" si="151"/>
        <v>1.6029940376082432E-5</v>
      </c>
      <c r="CO197" s="266">
        <f t="shared" ca="1" si="152"/>
        <v>-1.0118366370048843E-3</v>
      </c>
      <c r="CP197" s="266">
        <f t="shared" ca="1" si="155"/>
        <v>1.0278665773809667E-3</v>
      </c>
      <c r="CQ197" s="266" t="b">
        <f t="shared" ca="1" si="153"/>
        <v>1</v>
      </c>
    </row>
    <row r="198" spans="89:95" x14ac:dyDescent="0.25">
      <c r="CK198" s="248">
        <f ca="1"/>
        <v>48382</v>
      </c>
      <c r="CL198" s="288">
        <f ca="1"/>
        <v>-1.0280703805132241E-3</v>
      </c>
      <c r="CM198" t="b">
        <f t="shared" ca="1" si="154"/>
        <v>1</v>
      </c>
      <c r="CN198" s="266">
        <f t="shared" ca="1" si="151"/>
        <v>1.6215556673746714E-5</v>
      </c>
      <c r="CO198" s="266">
        <f t="shared" ca="1" si="152"/>
        <v>-1.0280703805132278E-3</v>
      </c>
      <c r="CP198" s="266">
        <f t="shared" ca="1" si="155"/>
        <v>1.0442859371869746E-3</v>
      </c>
      <c r="CQ198" s="266" t="b">
        <f t="shared" ca="1" si="153"/>
        <v>1</v>
      </c>
    </row>
    <row r="199" spans="89:95" x14ac:dyDescent="0.25">
      <c r="CK199" s="248">
        <f ca="1"/>
        <v>48474</v>
      </c>
      <c r="CL199" s="288">
        <f ca="1"/>
        <v>-1.0441673970820187E-3</v>
      </c>
      <c r="CM199" t="b">
        <f t="shared" ca="1" si="154"/>
        <v>1</v>
      </c>
      <c r="CN199" s="266">
        <f t="shared" ca="1" si="151"/>
        <v>1.6362594913557995E-5</v>
      </c>
      <c r="CO199" s="266">
        <f t="shared" ca="1" si="152"/>
        <v>-1.0441673970820187E-3</v>
      </c>
      <c r="CP199" s="266">
        <f t="shared" ca="1" si="155"/>
        <v>1.0605299919955766E-3</v>
      </c>
      <c r="CQ199" s="266" t="b">
        <f t="shared" ca="1" si="153"/>
        <v>1</v>
      </c>
    </row>
    <row r="200" spans="89:95" x14ac:dyDescent="0.25">
      <c r="CK200" s="248">
        <f ca="1"/>
        <v>48565</v>
      </c>
      <c r="CL200" s="288">
        <f ca="1"/>
        <v>-1.0599471977611463E-3</v>
      </c>
      <c r="CM200" t="b">
        <f t="shared" ca="1" si="154"/>
        <v>1</v>
      </c>
      <c r="CN200" s="266">
        <f t="shared" ca="1" si="151"/>
        <v>1.6485682627578638E-5</v>
      </c>
      <c r="CO200" s="266">
        <f t="shared" ca="1" si="152"/>
        <v>-1.0599471977611437E-3</v>
      </c>
      <c r="CP200" s="266">
        <f t="shared" ca="1" si="155"/>
        <v>1.0764328803887224E-3</v>
      </c>
      <c r="CQ200" s="266" t="b">
        <f t="shared" ca="1" si="153"/>
        <v>1</v>
      </c>
    </row>
    <row r="201" spans="89:95" x14ac:dyDescent="0.25">
      <c r="CK201" s="248">
        <f ca="1"/>
        <v>48655</v>
      </c>
      <c r="CL201" s="288">
        <f ca="1"/>
        <v>-1.0754017196134003E-3</v>
      </c>
      <c r="CM201" t="b">
        <f t="shared" ca="1" si="154"/>
        <v>1</v>
      </c>
      <c r="CN201" s="266">
        <f t="shared" ca="1" si="151"/>
        <v>1.6610698054919104E-5</v>
      </c>
      <c r="CO201" s="266">
        <f t="shared" ca="1" si="152"/>
        <v>-1.0754017196134003E-3</v>
      </c>
      <c r="CP201" s="266">
        <f t="shared" ca="1" si="155"/>
        <v>1.0920124176683193E-3</v>
      </c>
      <c r="CQ201" s="266" t="b">
        <f t="shared" ca="1" si="153"/>
        <v>1</v>
      </c>
    </row>
    <row r="202" spans="89:95" x14ac:dyDescent="0.25">
      <c r="CK202" s="248">
        <f ca="1"/>
        <v>48747</v>
      </c>
      <c r="CL202" s="288">
        <f ca="1"/>
        <v>-1.0910281931815202E-3</v>
      </c>
      <c r="CM202" t="b">
        <f t="shared" ca="1" si="154"/>
        <v>1</v>
      </c>
      <c r="CN202" s="266">
        <f t="shared" ca="1" si="151"/>
        <v>1.6771739673625846E-5</v>
      </c>
      <c r="CO202" s="266">
        <f t="shared" ca="1" si="152"/>
        <v>-1.0910281931815204E-3</v>
      </c>
      <c r="CP202" s="266">
        <f t="shared" ca="1" si="155"/>
        <v>1.1077999328551462E-3</v>
      </c>
      <c r="CQ202" s="266" t="b">
        <f t="shared" ca="1" si="153"/>
        <v>1</v>
      </c>
    </row>
    <row r="203" spans="89:95" x14ac:dyDescent="0.25">
      <c r="CK203" s="248">
        <f ca="1"/>
        <v>48841</v>
      </c>
      <c r="CL203" s="288">
        <f ca="1"/>
        <v>-1.1067997717039146E-3</v>
      </c>
      <c r="CM203" t="b">
        <f t="shared" ca="1" si="154"/>
        <v>1</v>
      </c>
      <c r="CN203" s="266">
        <f t="shared" ref="CN203:CN266" ca="1" si="156">SUM(AS71:CF71)</f>
        <v>1.7000437994462896E-5</v>
      </c>
      <c r="CO203" s="266">
        <f t="shared" ref="CO203:CO266" ca="1" si="157">SUM(CL71:DY71)</f>
        <v>-1.1067997717039142E-3</v>
      </c>
      <c r="CP203" s="266">
        <f t="shared" ca="1" si="155"/>
        <v>1.123800209698377E-3</v>
      </c>
      <c r="CQ203" s="266" t="b">
        <f t="shared" ref="CQ203:CQ266" ca="1" si="158">ABS(CL203-CO203)&lt;0.0000000000000001</f>
        <v>1</v>
      </c>
    </row>
    <row r="204" spans="89:95" x14ac:dyDescent="0.25">
      <c r="CK204" s="248">
        <f ca="1"/>
        <v>48932</v>
      </c>
      <c r="CL204" s="288">
        <f ca="1"/>
        <v>-1.1218689918199853E-3</v>
      </c>
      <c r="CM204" t="b">
        <f t="shared" ref="CM204:CM267" ca="1" si="159">CK204=CK72</f>
        <v>1</v>
      </c>
      <c r="CN204" s="266">
        <f t="shared" ca="1" si="156"/>
        <v>1.7304481583546217E-5</v>
      </c>
      <c r="CO204" s="266">
        <f t="shared" ca="1" si="157"/>
        <v>-1.1218689918199862E-3</v>
      </c>
      <c r="CP204" s="266">
        <f t="shared" ref="CP204:CP267" ca="1" si="160">CN204-CO204</f>
        <v>1.1391734734035324E-3</v>
      </c>
      <c r="CQ204" s="266" t="b">
        <f t="shared" ca="1" si="158"/>
        <v>1</v>
      </c>
    </row>
    <row r="205" spans="89:95" x14ac:dyDescent="0.25">
      <c r="CK205" s="248">
        <f ca="1"/>
        <v>49020</v>
      </c>
      <c r="CL205" s="288">
        <f ca="1"/>
        <v>-1.1362496462505867E-3</v>
      </c>
      <c r="CM205" t="b">
        <f t="shared" ca="1" si="159"/>
        <v>1</v>
      </c>
      <c r="CN205" s="266">
        <f t="shared" ca="1" si="156"/>
        <v>1.7683932756809755E-5</v>
      </c>
      <c r="CO205" s="266">
        <f t="shared" ca="1" si="157"/>
        <v>-1.1362496462505862E-3</v>
      </c>
      <c r="CP205" s="266">
        <f t="shared" ca="1" si="160"/>
        <v>1.1539335790073961E-3</v>
      </c>
      <c r="CQ205" s="266" t="b">
        <f t="shared" ca="1" si="158"/>
        <v>1</v>
      </c>
    </row>
    <row r="206" spans="89:95" x14ac:dyDescent="0.25">
      <c r="CK206" s="248">
        <f ca="1"/>
        <v>49114</v>
      </c>
      <c r="CL206" s="288">
        <f ca="1"/>
        <v>-1.1514037021148615E-3</v>
      </c>
      <c r="CM206" t="b">
        <f t="shared" ca="1" si="159"/>
        <v>1</v>
      </c>
      <c r="CN206" s="266">
        <f t="shared" ca="1" si="156"/>
        <v>1.8175386591212189E-5</v>
      </c>
      <c r="CO206" s="266">
        <f t="shared" ca="1" si="157"/>
        <v>-1.1514037021148602E-3</v>
      </c>
      <c r="CP206" s="266">
        <f t="shared" ca="1" si="160"/>
        <v>1.1695790887060725E-3</v>
      </c>
      <c r="CQ206" s="266" t="b">
        <f t="shared" ca="1" si="158"/>
        <v>1</v>
      </c>
    </row>
    <row r="207" spans="89:95" x14ac:dyDescent="0.25">
      <c r="CK207" s="248">
        <f ca="1"/>
        <v>49205</v>
      </c>
      <c r="CL207" s="288">
        <f ca="1"/>
        <v>-1.1658793029521997E-3</v>
      </c>
      <c r="CM207" t="b">
        <f t="shared" ca="1" si="159"/>
        <v>1</v>
      </c>
      <c r="CN207" s="266">
        <f t="shared" ca="1" si="156"/>
        <v>1.8712756414854567E-5</v>
      </c>
      <c r="CO207" s="266">
        <f t="shared" ca="1" si="157"/>
        <v>-1.1658793029521999E-3</v>
      </c>
      <c r="CP207" s="266">
        <f t="shared" ca="1" si="160"/>
        <v>1.1845920593670544E-3</v>
      </c>
      <c r="CQ207" s="266" t="b">
        <f t="shared" ca="1" si="158"/>
        <v>1</v>
      </c>
    </row>
    <row r="208" spans="89:95" x14ac:dyDescent="0.25">
      <c r="CK208" s="248">
        <f ca="1"/>
        <v>49296</v>
      </c>
      <c r="CL208" s="288">
        <f ca="1"/>
        <v>-1.180179668641812E-3</v>
      </c>
      <c r="CM208" t="b">
        <f t="shared" ca="1" si="159"/>
        <v>1</v>
      </c>
      <c r="CN208" s="266">
        <f t="shared" ca="1" si="156"/>
        <v>1.9271722723085333E-5</v>
      </c>
      <c r="CO208" s="266">
        <f t="shared" ca="1" si="157"/>
        <v>-1.1801796686418146E-3</v>
      </c>
      <c r="CP208" s="266">
        <f t="shared" ca="1" si="160"/>
        <v>1.1994513913648999E-3</v>
      </c>
      <c r="CQ208" s="266" t="b">
        <f t="shared" ca="1" si="158"/>
        <v>1</v>
      </c>
    </row>
    <row r="209" spans="89:95" x14ac:dyDescent="0.25">
      <c r="CK209" s="248">
        <f ca="1"/>
        <v>49387</v>
      </c>
      <c r="CL209" s="288">
        <f ca="1"/>
        <v>-1.1943251233891283E-3</v>
      </c>
      <c r="CM209" t="b">
        <f t="shared" ca="1" si="159"/>
        <v>1</v>
      </c>
      <c r="CN209" s="266">
        <f t="shared" ca="1" si="156"/>
        <v>1.9806244168743411E-5</v>
      </c>
      <c r="CO209" s="266">
        <f t="shared" ca="1" si="157"/>
        <v>-1.1943251233891331E-3</v>
      </c>
      <c r="CP209" s="266">
        <f t="shared" ca="1" si="160"/>
        <v>1.2141313675578765E-3</v>
      </c>
      <c r="CQ209" s="266" t="b">
        <f t="shared" ca="1" si="158"/>
        <v>1</v>
      </c>
    </row>
    <row r="210" spans="89:95" x14ac:dyDescent="0.25">
      <c r="CK210" s="248">
        <f ca="1"/>
        <v>49478</v>
      </c>
      <c r="CL210" s="288">
        <f ca="1"/>
        <v>-1.2083295945664041E-3</v>
      </c>
      <c r="CM210" t="b">
        <f t="shared" ca="1" si="159"/>
        <v>1</v>
      </c>
      <c r="CN210" s="266">
        <f t="shared" ca="1" si="156"/>
        <v>2.0289225525761655E-5</v>
      </c>
      <c r="CO210" s="266">
        <f t="shared" ca="1" si="157"/>
        <v>-1.2083295945664091E-3</v>
      </c>
      <c r="CP210" s="266">
        <f t="shared" ca="1" si="160"/>
        <v>1.2286188200921707E-3</v>
      </c>
      <c r="CQ210" s="266" t="b">
        <f t="shared" ca="1" si="158"/>
        <v>1</v>
      </c>
    </row>
    <row r="211" spans="89:95" x14ac:dyDescent="0.25">
      <c r="CK211" s="248">
        <f ca="1"/>
        <v>49569</v>
      </c>
      <c r="CL211" s="288">
        <f ca="1"/>
        <v>-1.2222013519758157E-3</v>
      </c>
      <c r="CM211" t="b">
        <f t="shared" ca="1" si="159"/>
        <v>1</v>
      </c>
      <c r="CN211" s="266">
        <f t="shared" ca="1" si="156"/>
        <v>2.0706793436695036E-5</v>
      </c>
      <c r="CO211" s="266">
        <f t="shared" ca="1" si="157"/>
        <v>-1.2222013519758114E-3</v>
      </c>
      <c r="CP211" s="266">
        <f t="shared" ca="1" si="160"/>
        <v>1.2429081454125063E-3</v>
      </c>
      <c r="CQ211" s="266" t="b">
        <f t="shared" ca="1" si="158"/>
        <v>1</v>
      </c>
    </row>
    <row r="212" spans="89:95" x14ac:dyDescent="0.25">
      <c r="CK212" s="248">
        <f ca="1"/>
        <v>49660</v>
      </c>
      <c r="CL212" s="288">
        <f ca="1"/>
        <v>-1.2359447668583989E-3</v>
      </c>
      <c r="CM212" t="b">
        <f t="shared" ca="1" si="159"/>
        <v>1</v>
      </c>
      <c r="CN212" s="266">
        <f t="shared" ca="1" si="156"/>
        <v>2.1053209333214516E-5</v>
      </c>
      <c r="CO212" s="266">
        <f t="shared" ca="1" si="157"/>
        <v>-1.2359447668583961E-3</v>
      </c>
      <c r="CP212" s="266">
        <f t="shared" ca="1" si="160"/>
        <v>1.2569979761916106E-3</v>
      </c>
      <c r="CQ212" s="266" t="b">
        <f t="shared" ca="1" si="158"/>
        <v>1</v>
      </c>
    </row>
    <row r="213" spans="89:95" x14ac:dyDescent="0.25">
      <c r="CK213" s="248">
        <f ca="1"/>
        <v>49751</v>
      </c>
      <c r="CL213" s="288">
        <f ca="1"/>
        <v>-1.2495608996380136E-3</v>
      </c>
      <c r="CM213" t="b">
        <f t="shared" ca="1" si="159"/>
        <v>1</v>
      </c>
      <c r="CN213" s="266">
        <f t="shared" ca="1" si="156"/>
        <v>2.1329677523115219E-5</v>
      </c>
      <c r="CO213" s="266">
        <f t="shared" ca="1" si="157"/>
        <v>-1.2495608996380115E-3</v>
      </c>
      <c r="CP213" s="266">
        <f t="shared" ca="1" si="160"/>
        <v>1.2708905771611266E-3</v>
      </c>
      <c r="CQ213" s="266" t="b">
        <f t="shared" ca="1" si="158"/>
        <v>1</v>
      </c>
    </row>
    <row r="214" spans="89:95" x14ac:dyDescent="0.25">
      <c r="CK214" s="248">
        <f ca="1"/>
        <v>49843</v>
      </c>
      <c r="CL214" s="288">
        <f ca="1"/>
        <v>-1.2631956212295625E-3</v>
      </c>
      <c r="CM214" t="b">
        <f t="shared" ca="1" si="159"/>
        <v>1</v>
      </c>
      <c r="CN214" s="266">
        <f t="shared" ca="1" si="156"/>
        <v>2.1545083458759961E-5</v>
      </c>
      <c r="CO214" s="266">
        <f t="shared" ca="1" si="157"/>
        <v>-1.2631956212295584E-3</v>
      </c>
      <c r="CP214" s="266">
        <f t="shared" ca="1" si="160"/>
        <v>1.2847407046883185E-3</v>
      </c>
      <c r="CQ214" s="266" t="b">
        <f t="shared" ca="1" si="158"/>
        <v>1</v>
      </c>
    </row>
    <row r="215" spans="89:95" x14ac:dyDescent="0.25">
      <c r="CK215" s="248">
        <f ca="1"/>
        <v>49935</v>
      </c>
      <c r="CL215" s="288">
        <f ca="1"/>
        <v>-1.2766948547723311E-3</v>
      </c>
      <c r="CM215" t="b">
        <f t="shared" ca="1" si="159"/>
        <v>1</v>
      </c>
      <c r="CN215" s="266">
        <f t="shared" ca="1" si="156"/>
        <v>2.1707533227386583E-5</v>
      </c>
      <c r="CO215" s="266">
        <f t="shared" ca="1" si="157"/>
        <v>-1.2766948547723366E-3</v>
      </c>
      <c r="CP215" s="266">
        <f t="shared" ca="1" si="160"/>
        <v>1.2984023879997232E-3</v>
      </c>
      <c r="CQ215" s="266" t="b">
        <f t="shared" ca="1" si="158"/>
        <v>1</v>
      </c>
    </row>
    <row r="216" spans="89:95" x14ac:dyDescent="0.25">
      <c r="CK216" s="248">
        <f ca="1"/>
        <v>50026</v>
      </c>
      <c r="CL216" s="288">
        <f ca="1"/>
        <v>-1.2899090700696503E-3</v>
      </c>
      <c r="CM216" t="b">
        <f t="shared" ca="1" si="159"/>
        <v>1</v>
      </c>
      <c r="CN216" s="266">
        <f t="shared" ca="1" si="156"/>
        <v>2.1830351771610446E-5</v>
      </c>
      <c r="CO216" s="266">
        <f t="shared" ca="1" si="157"/>
        <v>-1.2899090700696511E-3</v>
      </c>
      <c r="CP216" s="266">
        <f t="shared" ca="1" si="160"/>
        <v>1.3117394218412615E-3</v>
      </c>
      <c r="CQ216" s="266" t="b">
        <f t="shared" ca="1" si="158"/>
        <v>1</v>
      </c>
    </row>
    <row r="217" spans="89:95" x14ac:dyDescent="0.25">
      <c r="CK217" s="248">
        <f ca="1"/>
        <v>50116</v>
      </c>
      <c r="CL217" s="288">
        <f ca="1"/>
        <v>-1.3028373395220783E-3</v>
      </c>
      <c r="CM217" t="b">
        <f t="shared" ca="1" si="159"/>
        <v>1</v>
      </c>
      <c r="CN217" s="266">
        <f t="shared" ca="1" si="156"/>
        <v>2.1930048327074708E-5</v>
      </c>
      <c r="CO217" s="266">
        <f t="shared" ca="1" si="157"/>
        <v>-1.3028373395220754E-3</v>
      </c>
      <c r="CP217" s="266">
        <f t="shared" ca="1" si="160"/>
        <v>1.3247673878491501E-3</v>
      </c>
      <c r="CQ217" s="266" t="b">
        <f t="shared" ca="1" si="158"/>
        <v>1</v>
      </c>
    </row>
    <row r="218" spans="89:95" x14ac:dyDescent="0.25">
      <c r="CK218" s="248">
        <f ca="1"/>
        <v>50208</v>
      </c>
      <c r="CL218" s="288">
        <f ca="1"/>
        <v>-1.3159026914201233E-3</v>
      </c>
      <c r="CM218" t="b">
        <f t="shared" ca="1" si="159"/>
        <v>1</v>
      </c>
      <c r="CN218" s="266">
        <f t="shared" ca="1" si="156"/>
        <v>2.2025380862819018E-5</v>
      </c>
      <c r="CO218" s="266">
        <f t="shared" ca="1" si="157"/>
        <v>-1.3159026914201259E-3</v>
      </c>
      <c r="CP218" s="266">
        <f t="shared" ca="1" si="160"/>
        <v>1.337928072282945E-3</v>
      </c>
      <c r="CQ218" s="266" t="b">
        <f t="shared" ca="1" si="158"/>
        <v>1</v>
      </c>
    </row>
    <row r="219" spans="89:95" x14ac:dyDescent="0.25">
      <c r="CK219" s="248">
        <f ca="1"/>
        <v>50300</v>
      </c>
      <c r="CL219" s="288">
        <f ca="1"/>
        <v>-1.3288112526139706E-3</v>
      </c>
      <c r="CM219" t="b">
        <f t="shared" ca="1" si="159"/>
        <v>1</v>
      </c>
      <c r="CN219" s="266">
        <f t="shared" ca="1" si="156"/>
        <v>2.212888080854769E-5</v>
      </c>
      <c r="CO219" s="266">
        <f t="shared" ca="1" si="157"/>
        <v>-1.3288112526139706E-3</v>
      </c>
      <c r="CP219" s="266">
        <f t="shared" ca="1" si="160"/>
        <v>1.3509401334225184E-3</v>
      </c>
      <c r="CQ219" s="266" t="b">
        <f t="shared" ca="1" si="158"/>
        <v>1</v>
      </c>
    </row>
    <row r="220" spans="89:95" x14ac:dyDescent="0.25">
      <c r="CK220" s="248">
        <f ca="1"/>
        <v>50391</v>
      </c>
      <c r="CL220" s="288">
        <f ca="1"/>
        <v>-1.3414216752060115E-3</v>
      </c>
      <c r="CM220" t="b">
        <f t="shared" ca="1" si="159"/>
        <v>1</v>
      </c>
      <c r="CN220" s="266">
        <f t="shared" ca="1" si="156"/>
        <v>2.2251547244551047E-5</v>
      </c>
      <c r="CO220" s="266">
        <f t="shared" ca="1" si="157"/>
        <v>-1.3414216752060172E-3</v>
      </c>
      <c r="CP220" s="266">
        <f t="shared" ca="1" si="160"/>
        <v>1.3636732224505683E-3</v>
      </c>
      <c r="CQ220" s="266" t="b">
        <f t="shared" ca="1" si="158"/>
        <v>1</v>
      </c>
    </row>
    <row r="221" spans="89:95" x14ac:dyDescent="0.25">
      <c r="CK221" s="248">
        <f ca="1"/>
        <v>50481</v>
      </c>
      <c r="CL221" s="288">
        <f ca="1"/>
        <v>-1.3537373795869945E-3</v>
      </c>
      <c r="CM221" t="b">
        <f t="shared" ca="1" si="159"/>
        <v>1</v>
      </c>
      <c r="CN221" s="266">
        <f t="shared" ca="1" si="156"/>
        <v>2.2401330854735432E-5</v>
      </c>
      <c r="CO221" s="266">
        <f t="shared" ca="1" si="157"/>
        <v>-1.3537373795869936E-3</v>
      </c>
      <c r="CP221" s="266">
        <f t="shared" ca="1" si="160"/>
        <v>1.3761387104417289E-3</v>
      </c>
      <c r="CQ221" s="266" t="b">
        <f t="shared" ca="1" si="158"/>
        <v>1</v>
      </c>
    </row>
    <row r="222" spans="89:95" x14ac:dyDescent="0.25">
      <c r="CK222" s="248">
        <f ca="1"/>
        <v>50573</v>
      </c>
      <c r="CL222" s="288">
        <f ca="1"/>
        <v>-1.3661666389528371E-3</v>
      </c>
      <c r="CM222" t="b">
        <f t="shared" ca="1" si="159"/>
        <v>1</v>
      </c>
      <c r="CN222" s="266">
        <f t="shared" ca="1" si="156"/>
        <v>2.2588378645765737E-5</v>
      </c>
      <c r="CO222" s="266">
        <f t="shared" ca="1" si="157"/>
        <v>-1.3661666389528412E-3</v>
      </c>
      <c r="CP222" s="266">
        <f t="shared" ca="1" si="160"/>
        <v>1.388755017598607E-3</v>
      </c>
      <c r="CQ222" s="266" t="b">
        <f t="shared" ca="1" si="158"/>
        <v>1</v>
      </c>
    </row>
    <row r="223" spans="89:95" x14ac:dyDescent="0.25">
      <c r="CK223" s="248">
        <f ca="1"/>
        <v>50665</v>
      </c>
      <c r="CL223" s="288">
        <f ca="1"/>
        <v>-1.3784368567759664E-3</v>
      </c>
      <c r="CM223" t="b">
        <f t="shared" ca="1" si="159"/>
        <v>1</v>
      </c>
      <c r="CN223" s="266">
        <f t="shared" ca="1" si="156"/>
        <v>2.2809689662948479E-5</v>
      </c>
      <c r="CO223" s="266">
        <f t="shared" ca="1" si="157"/>
        <v>-1.3784368567759634E-3</v>
      </c>
      <c r="CP223" s="266">
        <f t="shared" ca="1" si="160"/>
        <v>1.4012465464389118E-3</v>
      </c>
      <c r="CQ223" s="266" t="b">
        <f t="shared" ca="1" si="158"/>
        <v>1</v>
      </c>
    </row>
    <row r="224" spans="89:95" x14ac:dyDescent="0.25">
      <c r="CK224" s="248">
        <f ca="1"/>
        <v>50756</v>
      </c>
      <c r="CL224" s="288">
        <f ca="1"/>
        <v>-1.3904226147394283E-3</v>
      </c>
      <c r="CM224" t="b">
        <f t="shared" ca="1" si="159"/>
        <v>1</v>
      </c>
      <c r="CN224" s="266">
        <f t="shared" ca="1" si="156"/>
        <v>2.3057288255576187E-5</v>
      </c>
      <c r="CO224" s="266">
        <f t="shared" ca="1" si="157"/>
        <v>-1.3904226147394335E-3</v>
      </c>
      <c r="CP224" s="266">
        <f t="shared" ca="1" si="160"/>
        <v>1.4134799029950097E-3</v>
      </c>
      <c r="CQ224" s="266" t="b">
        <f t="shared" ca="1" si="158"/>
        <v>1</v>
      </c>
    </row>
    <row r="225" spans="89:95" x14ac:dyDescent="0.25">
      <c r="CK225" s="248">
        <f ca="1"/>
        <v>50846</v>
      </c>
      <c r="CL225" s="288">
        <f ca="1"/>
        <v>-1.4021365148270126E-3</v>
      </c>
      <c r="CM225" t="b">
        <f t="shared" ca="1" si="159"/>
        <v>1</v>
      </c>
      <c r="CN225" s="266">
        <f t="shared" ca="1" si="156"/>
        <v>2.3320650003880416E-5</v>
      </c>
      <c r="CO225" s="266">
        <f t="shared" ca="1" si="157"/>
        <v>-1.4021365148270139E-3</v>
      </c>
      <c r="CP225" s="266">
        <f t="shared" ca="1" si="160"/>
        <v>1.4254571648308944E-3</v>
      </c>
      <c r="CQ225" s="266" t="b">
        <f t="shared" ca="1" si="158"/>
        <v>1</v>
      </c>
    </row>
    <row r="226" spans="89:95" x14ac:dyDescent="0.25">
      <c r="CK226" s="248">
        <f ca="1"/>
        <v>50938</v>
      </c>
      <c r="CL226" s="288">
        <f ca="1"/>
        <v>-1.4139767823505567E-3</v>
      </c>
      <c r="CM226" t="b">
        <f t="shared" ca="1" si="159"/>
        <v>1</v>
      </c>
      <c r="CN226" s="266">
        <f t="shared" ca="1" si="156"/>
        <v>2.3594681345829208E-5</v>
      </c>
      <c r="CO226" s="266">
        <f t="shared" ca="1" si="157"/>
        <v>-1.413976782350561E-3</v>
      </c>
      <c r="CP226" s="266">
        <f t="shared" ca="1" si="160"/>
        <v>1.4375714636963902E-3</v>
      </c>
      <c r="CQ226" s="266" t="b">
        <f t="shared" ca="1" si="158"/>
        <v>1</v>
      </c>
    </row>
    <row r="227" spans="89:95" x14ac:dyDescent="0.25">
      <c r="CK227" s="248">
        <f ca="1"/>
        <v>51032</v>
      </c>
      <c r="CL227" s="288">
        <f ca="1"/>
        <v>-1.4259471391850909E-3</v>
      </c>
      <c r="CM227" t="b">
        <f t="shared" ca="1" si="159"/>
        <v>1</v>
      </c>
      <c r="CN227" s="266">
        <f t="shared" ca="1" si="156"/>
        <v>2.3861165824426931E-5</v>
      </c>
      <c r="CO227" s="266">
        <f t="shared" ca="1" si="157"/>
        <v>-1.4259471391850904E-3</v>
      </c>
      <c r="CP227" s="266">
        <f t="shared" ca="1" si="160"/>
        <v>1.4498083050095173E-3</v>
      </c>
      <c r="CQ227" s="266" t="b">
        <f t="shared" ca="1" si="158"/>
        <v>1</v>
      </c>
    </row>
    <row r="228" spans="89:95" x14ac:dyDescent="0.25">
      <c r="CK228" s="248">
        <f ca="1"/>
        <v>51123</v>
      </c>
      <c r="CL228" s="288">
        <f ca="1"/>
        <v>-1.4374260826275354E-3</v>
      </c>
      <c r="CM228" t="b">
        <f t="shared" ca="1" si="159"/>
        <v>1</v>
      </c>
      <c r="CN228" s="266">
        <f t="shared" ca="1" si="156"/>
        <v>2.4086308307529022E-5</v>
      </c>
      <c r="CO228" s="266">
        <f t="shared" ca="1" si="157"/>
        <v>-1.4374260826275358E-3</v>
      </c>
      <c r="CP228" s="266">
        <f t="shared" ca="1" si="160"/>
        <v>1.4615123909350648E-3</v>
      </c>
      <c r="CQ228" s="266" t="b">
        <f t="shared" ca="1" si="158"/>
        <v>1</v>
      </c>
    </row>
    <row r="229" spans="89:95" x14ac:dyDescent="0.25">
      <c r="CK229" s="248">
        <f ca="1"/>
        <v>51214</v>
      </c>
      <c r="CL229" s="288">
        <f ca="1"/>
        <v>-1.4488088672851562E-3</v>
      </c>
      <c r="CM229" t="b">
        <f t="shared" ca="1" si="159"/>
        <v>1</v>
      </c>
      <c r="CN229" s="266">
        <f t="shared" ca="1" si="156"/>
        <v>2.4262371759114109E-5</v>
      </c>
      <c r="CO229" s="266">
        <f t="shared" ca="1" si="157"/>
        <v>-1.4488088672851591E-3</v>
      </c>
      <c r="CP229" s="266">
        <f t="shared" ca="1" si="160"/>
        <v>1.4730712390442732E-3</v>
      </c>
      <c r="CQ229" s="266" t="b">
        <f t="shared" ca="1" si="158"/>
        <v>1</v>
      </c>
    </row>
    <row r="230" spans="89:95" x14ac:dyDescent="0.25">
      <c r="CK230" s="248">
        <f ca="1"/>
        <v>51305</v>
      </c>
      <c r="CL230" s="288">
        <f ca="1"/>
        <v>-1.4600991020182752E-3</v>
      </c>
      <c r="CM230" t="b">
        <f t="shared" ca="1" si="159"/>
        <v>1</v>
      </c>
      <c r="CN230" s="266">
        <f t="shared" ca="1" si="156"/>
        <v>2.43860873885245E-5</v>
      </c>
      <c r="CO230" s="266">
        <f t="shared" ca="1" si="157"/>
        <v>-1.4600991020182756E-3</v>
      </c>
      <c r="CP230" s="266">
        <f t="shared" ca="1" si="160"/>
        <v>1.4844851894068002E-3</v>
      </c>
      <c r="CQ230" s="266" t="b">
        <f t="shared" ca="1" si="158"/>
        <v>1</v>
      </c>
    </row>
    <row r="231" spans="89:95" x14ac:dyDescent="0.25">
      <c r="CK231" s="248">
        <f ca="1"/>
        <v>51396</v>
      </c>
      <c r="CL231" s="288">
        <f ca="1"/>
        <v>-1.4712962104408422E-3</v>
      </c>
      <c r="CM231" t="b">
        <f t="shared" ca="1" si="159"/>
        <v>1</v>
      </c>
      <c r="CN231" s="266">
        <f t="shared" ca="1" si="156"/>
        <v>2.4461943849976171E-5</v>
      </c>
      <c r="CO231" s="266">
        <f t="shared" ca="1" si="157"/>
        <v>-1.4712962104408388E-3</v>
      </c>
      <c r="CP231" s="266">
        <f t="shared" ca="1" si="160"/>
        <v>1.495758154290815E-3</v>
      </c>
      <c r="CQ231" s="266" t="b">
        <f t="shared" ca="1" si="158"/>
        <v>1</v>
      </c>
    </row>
    <row r="232" spans="89:95" x14ac:dyDescent="0.25">
      <c r="CK232" s="248">
        <f ca="1"/>
        <v>51487</v>
      </c>
      <c r="CL232" s="288">
        <f ca="1"/>
        <v>-1.4823973490727393E-3</v>
      </c>
      <c r="CM232" t="b">
        <f t="shared" ca="1" si="159"/>
        <v>1</v>
      </c>
      <c r="CN232" s="266">
        <f t="shared" ca="1" si="156"/>
        <v>2.4498863111506753E-5</v>
      </c>
      <c r="CO232" s="266">
        <f t="shared" ca="1" si="157"/>
        <v>-1.4823973490727402E-3</v>
      </c>
      <c r="CP232" s="266">
        <f t="shared" ca="1" si="160"/>
        <v>1.5068962121842469E-3</v>
      </c>
      <c r="CQ232" s="266" t="b">
        <f t="shared" ca="1" si="158"/>
        <v>1</v>
      </c>
    </row>
    <row r="233" spans="89:95" x14ac:dyDescent="0.25">
      <c r="CK233" s="248">
        <f ca="1"/>
        <v>51578</v>
      </c>
      <c r="CL233" s="288">
        <f ca="1"/>
        <v>-1.493397980114608E-3</v>
      </c>
      <c r="CM233" t="b">
        <f t="shared" ca="1" si="159"/>
        <v>1</v>
      </c>
      <c r="CN233" s="266">
        <f t="shared" ca="1" si="156"/>
        <v>2.4509029194367659E-5</v>
      </c>
      <c r="CO233" s="266">
        <f t="shared" ca="1" si="157"/>
        <v>-1.4933979801146128E-3</v>
      </c>
      <c r="CP233" s="266">
        <f t="shared" ca="1" si="160"/>
        <v>1.5179070093089804E-3</v>
      </c>
      <c r="CQ233" s="266" t="b">
        <f t="shared" ca="1" si="158"/>
        <v>1</v>
      </c>
    </row>
    <row r="234" spans="89:95" x14ac:dyDescent="0.25">
      <c r="CK234" s="248">
        <f ca="1"/>
        <v>51669</v>
      </c>
      <c r="CL234" s="288">
        <f ca="1"/>
        <v>-1.5042924419217396E-3</v>
      </c>
      <c r="CM234" t="b">
        <f t="shared" ca="1" si="159"/>
        <v>1</v>
      </c>
      <c r="CN234" s="266">
        <f t="shared" ca="1" si="156"/>
        <v>2.4506721553410648E-5</v>
      </c>
      <c r="CO234" s="266">
        <f t="shared" ca="1" si="157"/>
        <v>-1.5042924419217359E-3</v>
      </c>
      <c r="CP234" s="266">
        <f t="shared" ca="1" si="160"/>
        <v>1.5287991634751466E-3</v>
      </c>
      <c r="CQ234" s="266" t="b">
        <f t="shared" ca="1" si="158"/>
        <v>1</v>
      </c>
    </row>
    <row r="235" spans="89:95" x14ac:dyDescent="0.25">
      <c r="CK235" s="248">
        <f ca="1"/>
        <v>51761</v>
      </c>
      <c r="CL235" s="288">
        <f ca="1"/>
        <v>-1.5151923438453396E-3</v>
      </c>
      <c r="CM235" t="b">
        <f t="shared" ca="1" si="159"/>
        <v>1</v>
      </c>
      <c r="CN235" s="266">
        <f t="shared" ca="1" si="156"/>
        <v>2.4507249961391295E-5</v>
      </c>
      <c r="CO235" s="266">
        <f t="shared" ca="1" si="157"/>
        <v>-1.5151923438453392E-3</v>
      </c>
      <c r="CP235" s="266">
        <f t="shared" ca="1" si="160"/>
        <v>1.5396995938067304E-3</v>
      </c>
      <c r="CQ235" s="266" t="b">
        <f t="shared" ca="1" si="158"/>
        <v>1</v>
      </c>
    </row>
    <row r="236" spans="89:95" x14ac:dyDescent="0.25">
      <c r="CK236" s="248">
        <f ca="1"/>
        <v>51852</v>
      </c>
      <c r="CL236" s="288">
        <f ca="1"/>
        <v>-1.5258544203431423E-3</v>
      </c>
      <c r="CM236" t="b">
        <f t="shared" ca="1" si="159"/>
        <v>1</v>
      </c>
      <c r="CN236" s="266">
        <f t="shared" ca="1" si="156"/>
        <v>2.4525824290684916E-5</v>
      </c>
      <c r="CO236" s="266">
        <f t="shared" ca="1" si="157"/>
        <v>-1.5258544203431428E-3</v>
      </c>
      <c r="CP236" s="266">
        <f t="shared" ca="1" si="160"/>
        <v>1.5503802446338276E-3</v>
      </c>
      <c r="CQ236" s="266" t="b">
        <f t="shared" ca="1" si="158"/>
        <v>1</v>
      </c>
    </row>
    <row r="237" spans="89:95" x14ac:dyDescent="0.25">
      <c r="CK237" s="248">
        <f ca="1"/>
        <v>51942</v>
      </c>
      <c r="CL237" s="288">
        <f ca="1"/>
        <v>-1.5362769037118307E-3</v>
      </c>
      <c r="CM237" t="b">
        <f t="shared" ca="1" si="159"/>
        <v>1</v>
      </c>
      <c r="CN237" s="266">
        <f t="shared" ca="1" si="156"/>
        <v>2.4575525641059638E-5</v>
      </c>
      <c r="CO237" s="266">
        <f t="shared" ca="1" si="157"/>
        <v>-1.5362769037118289E-3</v>
      </c>
      <c r="CP237" s="266">
        <f t="shared" ca="1" si="160"/>
        <v>1.5608524293528885E-3</v>
      </c>
      <c r="CQ237" s="266" t="b">
        <f t="shared" ca="1" si="158"/>
        <v>1</v>
      </c>
    </row>
    <row r="238" spans="89:95" x14ac:dyDescent="0.25">
      <c r="CK238" s="248">
        <f ca="1"/>
        <v>52034</v>
      </c>
      <c r="CL238" s="288">
        <f ca="1"/>
        <v>-1.5468002732185182E-3</v>
      </c>
      <c r="CM238" t="b">
        <f t="shared" ca="1" si="159"/>
        <v>1</v>
      </c>
      <c r="CN238" s="266">
        <f t="shared" ca="1" si="156"/>
        <v>2.4670431396866437E-5</v>
      </c>
      <c r="CO238" s="266">
        <f t="shared" ca="1" si="157"/>
        <v>-1.5468002732185195E-3</v>
      </c>
      <c r="CP238" s="266">
        <f t="shared" ca="1" si="160"/>
        <v>1.5714707046153859E-3</v>
      </c>
      <c r="CQ238" s="266" t="b">
        <f t="shared" ca="1" si="158"/>
        <v>1</v>
      </c>
    </row>
    <row r="239" spans="89:95" x14ac:dyDescent="0.25">
      <c r="CK239" s="248">
        <f ca="1"/>
        <v>52126</v>
      </c>
      <c r="CL239" s="288">
        <f ca="1"/>
        <v>-1.5571879144966605E-3</v>
      </c>
      <c r="CM239" t="b">
        <f t="shared" ca="1" si="159"/>
        <v>1</v>
      </c>
      <c r="CN239" s="266">
        <f t="shared" ca="1" si="156"/>
        <v>2.4818938061062305E-5</v>
      </c>
      <c r="CO239" s="266">
        <f t="shared" ca="1" si="157"/>
        <v>-1.5571879144966566E-3</v>
      </c>
      <c r="CP239" s="266">
        <f t="shared" ca="1" si="160"/>
        <v>1.5820068525577188E-3</v>
      </c>
      <c r="CQ239" s="266" t="b">
        <f t="shared" ca="1" si="158"/>
        <v>1</v>
      </c>
    </row>
    <row r="240" spans="89:95" x14ac:dyDescent="0.25">
      <c r="CK240" s="248">
        <f ca="1"/>
        <v>52217</v>
      </c>
      <c r="CL240" s="288">
        <f ca="1"/>
        <v>-1.5673273232339469E-3</v>
      </c>
      <c r="CM240" t="b">
        <f t="shared" ca="1" si="159"/>
        <v>1</v>
      </c>
      <c r="CN240" s="266">
        <f t="shared" ca="1" si="156"/>
        <v>2.5023730831682167E-5</v>
      </c>
      <c r="CO240" s="266">
        <f t="shared" ca="1" si="157"/>
        <v>-1.5673273232339497E-3</v>
      </c>
      <c r="CP240" s="266">
        <f t="shared" ca="1" si="160"/>
        <v>1.5923510540656318E-3</v>
      </c>
      <c r="CQ240" s="266" t="b">
        <f t="shared" ca="1" si="158"/>
        <v>1</v>
      </c>
    </row>
    <row r="241" spans="89:95" x14ac:dyDescent="0.25">
      <c r="CK241" s="248">
        <f ca="1"/>
        <v>52307</v>
      </c>
      <c r="CL241" s="288">
        <f ca="1"/>
        <v>-1.5772231243088575E-3</v>
      </c>
      <c r="CM241" t="b">
        <f t="shared" ca="1" si="159"/>
        <v>1</v>
      </c>
      <c r="CN241" s="266">
        <f t="shared" ca="1" si="156"/>
        <v>2.528376564137568E-5</v>
      </c>
      <c r="CO241" s="266">
        <f t="shared" ca="1" si="157"/>
        <v>-1.577223124308856E-3</v>
      </c>
      <c r="CP241" s="266">
        <f t="shared" ca="1" si="160"/>
        <v>1.6025068899502316E-3</v>
      </c>
      <c r="CQ241" s="266" t="b">
        <f t="shared" ca="1" si="158"/>
        <v>1</v>
      </c>
    </row>
    <row r="242" spans="89:95" x14ac:dyDescent="0.25">
      <c r="CK242" s="248">
        <f ca="1"/>
        <v>52399</v>
      </c>
      <c r="CL242" s="288">
        <f ca="1"/>
        <v>-1.5872053292464994E-3</v>
      </c>
      <c r="CM242" t="b">
        <f t="shared" ca="1" si="159"/>
        <v>1</v>
      </c>
      <c r="CN242" s="266">
        <f t="shared" ca="1" si="156"/>
        <v>2.5604891449863858E-5</v>
      </c>
      <c r="CO242" s="266">
        <f t="shared" ca="1" si="157"/>
        <v>-1.5872053292465037E-3</v>
      </c>
      <c r="CP242" s="266">
        <f t="shared" ca="1" si="160"/>
        <v>1.6128102206963675E-3</v>
      </c>
      <c r="CQ242" s="266" t="b">
        <f t="shared" ca="1" si="158"/>
        <v>1</v>
      </c>
    </row>
    <row r="243" spans="89:95" x14ac:dyDescent="0.25">
      <c r="CK243" s="248">
        <f ca="1"/>
        <v>52491</v>
      </c>
      <c r="CL243" s="288">
        <f ca="1"/>
        <v>-1.5970572542134409E-3</v>
      </c>
      <c r="CM243" t="b">
        <f t="shared" ca="1" si="159"/>
        <v>1</v>
      </c>
      <c r="CN243" s="266">
        <f t="shared" ca="1" si="156"/>
        <v>2.5973197140042833E-5</v>
      </c>
      <c r="CO243" s="266">
        <f t="shared" ca="1" si="157"/>
        <v>-1.5970572542134366E-3</v>
      </c>
      <c r="CP243" s="266">
        <f t="shared" ca="1" si="160"/>
        <v>1.6230304513534795E-3</v>
      </c>
      <c r="CQ243" s="266" t="b">
        <f t="shared" ca="1" si="158"/>
        <v>1</v>
      </c>
    </row>
    <row r="244" spans="89:95" x14ac:dyDescent="0.25">
      <c r="CK244" s="248">
        <f ca="1"/>
        <v>52582</v>
      </c>
      <c r="CL244" s="288">
        <f ca="1"/>
        <v>-1.6066807874884903E-3</v>
      </c>
      <c r="CM244" t="b">
        <f t="shared" ca="1" si="159"/>
        <v>1</v>
      </c>
      <c r="CN244" s="266">
        <f t="shared" ca="1" si="156"/>
        <v>2.6370503560809052E-5</v>
      </c>
      <c r="CO244" s="266">
        <f t="shared" ca="1" si="157"/>
        <v>-1.6066807874884855E-3</v>
      </c>
      <c r="CP244" s="266">
        <f t="shared" ca="1" si="160"/>
        <v>1.6330512910492946E-3</v>
      </c>
      <c r="CQ244" s="266" t="b">
        <f t="shared" ca="1" si="158"/>
        <v>1</v>
      </c>
    </row>
    <row r="245" spans="89:95" x14ac:dyDescent="0.25">
      <c r="CK245" s="248">
        <f ca="1"/>
        <v>52673</v>
      </c>
      <c r="CL245" s="288">
        <f ca="1"/>
        <v>-1.6161925299609248E-3</v>
      </c>
      <c r="CM245" t="b">
        <f t="shared" ca="1" si="159"/>
        <v>1</v>
      </c>
      <c r="CN245" s="266">
        <f t="shared" ca="1" si="156"/>
        <v>2.6782912408763833E-5</v>
      </c>
      <c r="CO245" s="266">
        <f t="shared" ca="1" si="157"/>
        <v>-1.6161925299609263E-3</v>
      </c>
      <c r="CP245" s="266">
        <f t="shared" ca="1" si="160"/>
        <v>1.6429754423696902E-3</v>
      </c>
      <c r="CQ245" s="266" t="b">
        <f t="shared" ca="1" si="158"/>
        <v>1</v>
      </c>
    </row>
    <row r="246" spans="89:95" x14ac:dyDescent="0.25">
      <c r="CK246" s="248">
        <f ca="1"/>
        <v>52765</v>
      </c>
      <c r="CL246" s="288">
        <f ca="1"/>
        <v>-1.6257059437727595E-3</v>
      </c>
      <c r="CM246" t="b">
        <f t="shared" ca="1" si="159"/>
        <v>1</v>
      </c>
      <c r="CN246" s="266">
        <f t="shared" ca="1" si="156"/>
        <v>2.7193293517634862E-5</v>
      </c>
      <c r="CO246" s="266">
        <f t="shared" ca="1" si="157"/>
        <v>-1.6257059437727571E-3</v>
      </c>
      <c r="CP246" s="266">
        <f t="shared" ca="1" si="160"/>
        <v>1.652899237290392E-3</v>
      </c>
      <c r="CQ246" s="266" t="b">
        <f t="shared" ca="1" si="158"/>
        <v>1</v>
      </c>
    </row>
    <row r="247" spans="89:95" x14ac:dyDescent="0.25">
      <c r="CK247" s="248">
        <f ca="1"/>
        <v>52859</v>
      </c>
      <c r="CL247" s="288">
        <f ca="1"/>
        <v>-1.6353320872861676E-3</v>
      </c>
      <c r="CM247" t="b">
        <f t="shared" ca="1" si="159"/>
        <v>1</v>
      </c>
      <c r="CN247" s="266">
        <f t="shared" ca="1" si="156"/>
        <v>2.7579646554307531E-5</v>
      </c>
      <c r="CO247" s="266">
        <f t="shared" ca="1" si="157"/>
        <v>-1.6353320872861679E-3</v>
      </c>
      <c r="CP247" s="266">
        <f t="shared" ca="1" si="160"/>
        <v>1.6629117338404754E-3</v>
      </c>
      <c r="CQ247" s="266" t="b">
        <f t="shared" ca="1" si="158"/>
        <v>1</v>
      </c>
    </row>
    <row r="248" spans="89:95" x14ac:dyDescent="0.25">
      <c r="CK248" s="248">
        <f ca="1"/>
        <v>52950</v>
      </c>
      <c r="CL248" s="288">
        <f ca="1"/>
        <v>-1.6445733923023953E-3</v>
      </c>
      <c r="CM248" t="b">
        <f t="shared" ca="1" si="159"/>
        <v>1</v>
      </c>
      <c r="CN248" s="266">
        <f t="shared" ca="1" si="156"/>
        <v>2.789505180966333E-5</v>
      </c>
      <c r="CO248" s="266">
        <f t="shared" ca="1" si="157"/>
        <v>-1.6445733923023999E-3</v>
      </c>
      <c r="CP248" s="266">
        <f t="shared" ca="1" si="160"/>
        <v>1.6724684441120632E-3</v>
      </c>
      <c r="CQ248" s="266" t="b">
        <f t="shared" ca="1" si="158"/>
        <v>1</v>
      </c>
    </row>
    <row r="249" spans="89:95" x14ac:dyDescent="0.25">
      <c r="CK249" s="248">
        <f ca="1"/>
        <v>53038</v>
      </c>
      <c r="CL249" s="288">
        <f ca="1"/>
        <v>-1.6534481890081443E-3</v>
      </c>
      <c r="CM249" t="b">
        <f t="shared" ca="1" si="159"/>
        <v>1</v>
      </c>
      <c r="CN249" s="266">
        <f t="shared" ca="1" si="156"/>
        <v>2.8122970632040711E-5</v>
      </c>
      <c r="CO249" s="266">
        <f t="shared" ca="1" si="157"/>
        <v>-1.6534481890081462E-3</v>
      </c>
      <c r="CP249" s="266">
        <f t="shared" ca="1" si="160"/>
        <v>1.6815711596401869E-3</v>
      </c>
      <c r="CQ249" s="266" t="b">
        <f t="shared" ca="1" si="158"/>
        <v>1</v>
      </c>
    </row>
    <row r="250" spans="89:95" x14ac:dyDescent="0.25">
      <c r="CK250" s="248">
        <f ca="1"/>
        <v>53132</v>
      </c>
      <c r="CL250" s="288">
        <f ca="1"/>
        <v>-1.6628660893888147E-3</v>
      </c>
      <c r="CM250" t="b">
        <f t="shared" ca="1" si="159"/>
        <v>1</v>
      </c>
      <c r="CN250" s="266">
        <f t="shared" ca="1" si="156"/>
        <v>2.8273466539662526E-5</v>
      </c>
      <c r="CO250" s="266">
        <f t="shared" ca="1" si="157"/>
        <v>-1.6628660893888161E-3</v>
      </c>
      <c r="CP250" s="266">
        <f t="shared" ca="1" si="160"/>
        <v>1.6911395559284785E-3</v>
      </c>
      <c r="CQ250" s="266" t="b">
        <f t="shared" ca="1" si="158"/>
        <v>1</v>
      </c>
    </row>
    <row r="251" spans="89:95" x14ac:dyDescent="0.25">
      <c r="CK251" s="248">
        <f ca="1"/>
        <v>53223</v>
      </c>
      <c r="CL251" s="288">
        <f ca="1"/>
        <v>-1.6719236072785248E-3</v>
      </c>
      <c r="CM251" t="b">
        <f t="shared" ca="1" si="159"/>
        <v>1</v>
      </c>
      <c r="CN251" s="266">
        <f t="shared" ca="1" si="156"/>
        <v>2.8326891693625174E-5</v>
      </c>
      <c r="CO251" s="266">
        <f t="shared" ca="1" si="157"/>
        <v>-1.6719236072785257E-3</v>
      </c>
      <c r="CP251" s="266">
        <f t="shared" ca="1" si="160"/>
        <v>1.7002504989721509E-3</v>
      </c>
      <c r="CQ251" s="266" t="b">
        <f t="shared" ca="1" si="158"/>
        <v>1</v>
      </c>
    </row>
    <row r="252" spans="89:95" x14ac:dyDescent="0.25">
      <c r="CK252" s="248">
        <f ca="1"/>
        <v>53314</v>
      </c>
      <c r="CL252" s="288">
        <f ca="1"/>
        <v>-1.6809209109932555E-3</v>
      </c>
      <c r="CM252" t="b">
        <f t="shared" ca="1" si="159"/>
        <v>1</v>
      </c>
      <c r="CN252" s="266">
        <f t="shared" ca="1" si="156"/>
        <v>2.8293899362428641E-5</v>
      </c>
      <c r="CO252" s="266">
        <f t="shared" ca="1" si="157"/>
        <v>-1.6809209109932605E-3</v>
      </c>
      <c r="CP252" s="266">
        <f t="shared" ca="1" si="160"/>
        <v>1.7092148103556892E-3</v>
      </c>
      <c r="CQ252" s="266" t="b">
        <f t="shared" ca="1" si="158"/>
        <v>1</v>
      </c>
    </row>
    <row r="253" spans="89:95" x14ac:dyDescent="0.25">
      <c r="CK253" s="248">
        <f ca="1"/>
        <v>53405</v>
      </c>
      <c r="CL253" s="288">
        <f ca="1"/>
        <v>-1.6898543429716417E-3</v>
      </c>
      <c r="CM253" t="b">
        <f t="shared" ca="1" si="159"/>
        <v>1</v>
      </c>
      <c r="CN253" s="266">
        <f t="shared" ca="1" si="156"/>
        <v>2.8183399511941308E-5</v>
      </c>
      <c r="CO253" s="266">
        <f t="shared" ca="1" si="157"/>
        <v>-1.6898543429716383E-3</v>
      </c>
      <c r="CP253" s="266">
        <f t="shared" ca="1" si="160"/>
        <v>1.7180377424835796E-3</v>
      </c>
      <c r="CQ253" s="266" t="b">
        <f t="shared" ca="1" si="158"/>
        <v>1</v>
      </c>
    </row>
    <row r="254" spans="89:95" x14ac:dyDescent="0.25">
      <c r="CK254" s="248">
        <f ca="1"/>
        <v>53496</v>
      </c>
      <c r="CL254" s="288">
        <f ca="1"/>
        <v>-1.6987182318307648E-3</v>
      </c>
      <c r="CM254" t="b">
        <f t="shared" ca="1" si="159"/>
        <v>1</v>
      </c>
      <c r="CN254" s="266">
        <f t="shared" ca="1" si="156"/>
        <v>2.8008323547324126E-5</v>
      </c>
      <c r="CO254" s="266">
        <f t="shared" ca="1" si="157"/>
        <v>-1.6987182318307628E-3</v>
      </c>
      <c r="CP254" s="266">
        <f t="shared" ca="1" si="160"/>
        <v>1.7267265553780869E-3</v>
      </c>
      <c r="CQ254" s="266" t="b">
        <f t="shared" ca="1" si="158"/>
        <v>1</v>
      </c>
    </row>
    <row r="255" spans="89:95" x14ac:dyDescent="0.25">
      <c r="CK255" s="248">
        <f ca="1"/>
        <v>53587</v>
      </c>
      <c r="CL255" s="288">
        <f ca="1"/>
        <v>-1.7075051673678399E-3</v>
      </c>
      <c r="CM255" t="b">
        <f t="shared" ca="1" si="159"/>
        <v>1</v>
      </c>
      <c r="CN255" s="266">
        <f t="shared" ca="1" si="156"/>
        <v>2.7785063670736116E-5</v>
      </c>
      <c r="CO255" s="266">
        <f t="shared" ca="1" si="157"/>
        <v>-1.7075051673678416E-3</v>
      </c>
      <c r="CP255" s="266">
        <f t="shared" ca="1" si="160"/>
        <v>1.7352902310385776E-3</v>
      </c>
      <c r="CQ255" s="266" t="b">
        <f t="shared" ca="1" si="158"/>
        <v>1</v>
      </c>
    </row>
    <row r="256" spans="89:95" x14ac:dyDescent="0.25">
      <c r="CK256" s="248">
        <f ca="1"/>
        <v>53678</v>
      </c>
      <c r="CL256" s="288">
        <f ca="1"/>
        <v>-1.7162062832144498E-3</v>
      </c>
      <c r="CM256" t="b">
        <f t="shared" ca="1" si="159"/>
        <v>1</v>
      </c>
      <c r="CN256" s="266">
        <f t="shared" ca="1" si="156"/>
        <v>2.7532896682892793E-5</v>
      </c>
      <c r="CO256" s="266">
        <f t="shared" ca="1" si="157"/>
        <v>-1.7162062832144494E-3</v>
      </c>
      <c r="CP256" s="266">
        <f t="shared" ca="1" si="160"/>
        <v>1.743739179897342E-3</v>
      </c>
      <c r="CQ256" s="266" t="b">
        <f t="shared" ca="1" si="158"/>
        <v>1</v>
      </c>
    </row>
    <row r="257" spans="89:95" x14ac:dyDescent="0.25">
      <c r="CK257" s="248">
        <f ca="1"/>
        <v>53769</v>
      </c>
      <c r="CL257" s="288">
        <f ca="1"/>
        <v>-1.7248115449279844E-3</v>
      </c>
      <c r="CM257" t="b">
        <f t="shared" ca="1" si="159"/>
        <v>1</v>
      </c>
      <c r="CN257" s="266">
        <f t="shared" ca="1" si="156"/>
        <v>2.7273396745129881E-5</v>
      </c>
      <c r="CO257" s="266">
        <f t="shared" ca="1" si="157"/>
        <v>-1.7248115449279818E-3</v>
      </c>
      <c r="CP257" s="266">
        <f t="shared" ca="1" si="160"/>
        <v>1.7520849416731116E-3</v>
      </c>
      <c r="CQ257" s="266" t="b">
        <f t="shared" ca="1" si="158"/>
        <v>1</v>
      </c>
    </row>
    <row r="258" spans="89:95" x14ac:dyDescent="0.25">
      <c r="CK258" s="248">
        <f ca="1"/>
        <v>53860</v>
      </c>
      <c r="CL258" s="288">
        <f ca="1"/>
        <v>-1.7333100413799984E-3</v>
      </c>
      <c r="CM258" t="b">
        <f t="shared" ca="1" si="159"/>
        <v>1</v>
      </c>
      <c r="CN258" s="266">
        <f t="shared" ca="1" si="156"/>
        <v>2.7029841564215262E-5</v>
      </c>
      <c r="CO258" s="266">
        <f t="shared" ca="1" si="157"/>
        <v>-1.7333100413799971E-3</v>
      </c>
      <c r="CP258" s="266">
        <f t="shared" ca="1" si="160"/>
        <v>1.7603398829442124E-3</v>
      </c>
      <c r="CQ258" s="266" t="b">
        <f t="shared" ca="1" si="158"/>
        <v>1</v>
      </c>
    </row>
    <row r="259" spans="89:95" x14ac:dyDescent="0.25">
      <c r="CK259" s="248">
        <f ca="1"/>
        <v>53952</v>
      </c>
      <c r="CL259" s="288">
        <f ca="1"/>
        <v>-1.7417816668036101E-3</v>
      </c>
      <c r="CM259" t="b">
        <f t="shared" ca="1" si="159"/>
        <v>1</v>
      </c>
      <c r="CN259" s="266">
        <f t="shared" ca="1" si="156"/>
        <v>2.6824700238409953E-5</v>
      </c>
      <c r="CO259" s="266">
        <f t="shared" ca="1" si="157"/>
        <v>-1.7417816668036123E-3</v>
      </c>
      <c r="CP259" s="266">
        <f t="shared" ca="1" si="160"/>
        <v>1.7686063670420223E-3</v>
      </c>
      <c r="CQ259" s="266" t="b">
        <f t="shared" ca="1" si="158"/>
        <v>1</v>
      </c>
    </row>
    <row r="260" spans="89:95" x14ac:dyDescent="0.25">
      <c r="CK260" s="248">
        <f ca="1"/>
        <v>54043</v>
      </c>
      <c r="CL260" s="288">
        <f ca="1"/>
        <v>-1.7500303576978293E-3</v>
      </c>
      <c r="CM260" t="b">
        <f t="shared" ca="1" si="159"/>
        <v>1</v>
      </c>
      <c r="CN260" s="266">
        <f t="shared" ca="1" si="156"/>
        <v>2.6687562572955299E-5</v>
      </c>
      <c r="CO260" s="266">
        <f t="shared" ca="1" si="157"/>
        <v>-1.7500303576978302E-3</v>
      </c>
      <c r="CP260" s="266">
        <f t="shared" ca="1" si="160"/>
        <v>1.7767179202707855E-3</v>
      </c>
      <c r="CQ260" s="266" t="b">
        <f t="shared" ca="1" si="158"/>
        <v>1</v>
      </c>
    </row>
    <row r="261" spans="89:95" x14ac:dyDescent="0.25">
      <c r="CK261" s="248">
        <f ca="1"/>
        <v>54134</v>
      </c>
      <c r="CL261" s="288">
        <f ca="1"/>
        <v>-1.7581370747890013E-3</v>
      </c>
      <c r="CM261" t="b">
        <f t="shared" ca="1" si="159"/>
        <v>1</v>
      </c>
      <c r="CN261" s="266">
        <f t="shared" ca="1" si="156"/>
        <v>2.6640758569501134E-5</v>
      </c>
      <c r="CO261" s="266">
        <f t="shared" ca="1" si="157"/>
        <v>-1.7581370747890069E-3</v>
      </c>
      <c r="CP261" s="266">
        <f t="shared" ca="1" si="160"/>
        <v>1.784777833358508E-3</v>
      </c>
      <c r="CQ261" s="266" t="b">
        <f t="shared" ca="1" si="158"/>
        <v>1</v>
      </c>
    </row>
    <row r="262" spans="89:95" x14ac:dyDescent="0.25">
      <c r="CK262" s="248">
        <f ca="1"/>
        <v>54226</v>
      </c>
      <c r="CL262" s="288">
        <f ca="1"/>
        <v>-1.7661768059499261E-3</v>
      </c>
      <c r="CM262" t="b">
        <f t="shared" ca="1" si="159"/>
        <v>1</v>
      </c>
      <c r="CN262" s="266">
        <f t="shared" ca="1" si="156"/>
        <v>2.6709935527554924E-5</v>
      </c>
      <c r="CO262" s="266">
        <f t="shared" ca="1" si="157"/>
        <v>-1.7661768059499278E-3</v>
      </c>
      <c r="CP262" s="266">
        <f t="shared" ca="1" si="160"/>
        <v>1.7928867414774828E-3</v>
      </c>
      <c r="CQ262" s="266" t="b">
        <f t="shared" ca="1" si="158"/>
        <v>1</v>
      </c>
    </row>
    <row r="263" spans="89:95" x14ac:dyDescent="0.25">
      <c r="CK263" s="248">
        <f ca="1"/>
        <v>54318</v>
      </c>
      <c r="CL263" s="288">
        <f ca="1"/>
        <v>-1.774048329211797E-3</v>
      </c>
      <c r="CM263" t="b">
        <f t="shared" ca="1" si="159"/>
        <v>1</v>
      </c>
      <c r="CN263" s="266">
        <f t="shared" ca="1" si="156"/>
        <v>2.6919889314576872E-5</v>
      </c>
      <c r="CO263" s="266">
        <f t="shared" ca="1" si="157"/>
        <v>-1.7740483292118011E-3</v>
      </c>
      <c r="CP263" s="266">
        <f t="shared" ca="1" si="160"/>
        <v>1.800968218526378E-3</v>
      </c>
      <c r="CQ263" s="266" t="b">
        <f t="shared" ca="1" si="158"/>
        <v>1</v>
      </c>
    </row>
    <row r="264" spans="89:95" x14ac:dyDescent="0.25">
      <c r="CK264" s="248">
        <f ca="1"/>
        <v>54409</v>
      </c>
      <c r="CL264" s="288">
        <f ca="1"/>
        <v>-1.7816585448776623E-3</v>
      </c>
      <c r="CM264" t="b">
        <f t="shared" ca="1" si="159"/>
        <v>1</v>
      </c>
      <c r="CN264" s="266">
        <f t="shared" ca="1" si="156"/>
        <v>2.7287541590756805E-5</v>
      </c>
      <c r="CO264" s="266">
        <f t="shared" ca="1" si="157"/>
        <v>-1.7816585448776662E-3</v>
      </c>
      <c r="CP264" s="266">
        <f t="shared" ca="1" si="160"/>
        <v>1.808946086468423E-3</v>
      </c>
      <c r="CQ264" s="266" t="b">
        <f t="shared" ca="1" si="158"/>
        <v>1</v>
      </c>
    </row>
    <row r="265" spans="89:95" x14ac:dyDescent="0.25">
      <c r="CK265" s="248">
        <f ca="1"/>
        <v>54499</v>
      </c>
      <c r="CL265" s="288">
        <f ca="1"/>
        <v>-1.7890042867146905E-3</v>
      </c>
      <c r="CM265" t="b">
        <f t="shared" ca="1" si="159"/>
        <v>1</v>
      </c>
      <c r="CN265" s="266">
        <f t="shared" ca="1" si="156"/>
        <v>2.7826305766810201E-5</v>
      </c>
      <c r="CO265" s="266">
        <f t="shared" ca="1" si="157"/>
        <v>-1.7890042867146905E-3</v>
      </c>
      <c r="CP265" s="266">
        <f t="shared" ca="1" si="160"/>
        <v>1.8168305924815007E-3</v>
      </c>
      <c r="CQ265" s="266" t="b">
        <f t="shared" ca="1" si="158"/>
        <v>1</v>
      </c>
    </row>
    <row r="266" spans="89:95" x14ac:dyDescent="0.25">
      <c r="CK266" s="248">
        <f ca="1"/>
        <v>54591</v>
      </c>
      <c r="CL266" s="288">
        <f ca="1"/>
        <v>-1.7963195156499578E-3</v>
      </c>
      <c r="CM266" t="b">
        <f t="shared" ca="1" si="159"/>
        <v>1</v>
      </c>
      <c r="CN266" s="266">
        <f t="shared" ca="1" si="156"/>
        <v>2.857350510732581E-5</v>
      </c>
      <c r="CO266" s="266">
        <f t="shared" ca="1" si="157"/>
        <v>-1.7963195156499552E-3</v>
      </c>
      <c r="CP266" s="266">
        <f t="shared" ca="1" si="160"/>
        <v>1.8248930207572811E-3</v>
      </c>
      <c r="CQ266" s="266" t="b">
        <f t="shared" ca="1" si="158"/>
        <v>1</v>
      </c>
    </row>
    <row r="267" spans="89:95" x14ac:dyDescent="0.25">
      <c r="CK267" s="248">
        <f ca="1"/>
        <v>54683</v>
      </c>
      <c r="CL267" s="288">
        <f ca="1"/>
        <v>-1.8034324305437055E-3</v>
      </c>
      <c r="CM267" t="b">
        <f t="shared" ca="1" si="159"/>
        <v>1</v>
      </c>
      <c r="CN267" s="266">
        <f t="shared" ref="CN267:CN268" ca="1" si="161">SUM(AS135:CF135)</f>
        <v>2.953276282446687E-5</v>
      </c>
      <c r="CO267" s="266">
        <f t="shared" ref="CO267:CO268" ca="1" si="162">SUM(CL135:DY135)</f>
        <v>-1.8034324305437057E-3</v>
      </c>
      <c r="CP267" s="266">
        <f t="shared" ca="1" si="160"/>
        <v>1.8329651933681726E-3</v>
      </c>
      <c r="CQ267" s="266" t="b">
        <f t="shared" ref="CQ267:CQ268" ca="1" si="163">ABS(CL267-CO267)&lt;0.0000000000000001</f>
        <v>1</v>
      </c>
    </row>
    <row r="268" spans="89:95" x14ac:dyDescent="0.25">
      <c r="CK268" s="248">
        <f ca="1"/>
        <v>54774</v>
      </c>
      <c r="CL268" s="288">
        <f ca="1"/>
        <v>-1.8102643740647295E-3</v>
      </c>
      <c r="CM268" t="b">
        <f t="shared" ref="CM268:CM331" ca="1" si="164">CK268=CK136</f>
        <v>1</v>
      </c>
      <c r="CN268" s="266">
        <f t="shared" ca="1" si="161"/>
        <v>3.0699889430718229E-5</v>
      </c>
      <c r="CO268" s="266">
        <f t="shared" ca="1" si="162"/>
        <v>-1.8102643740647271E-3</v>
      </c>
      <c r="CP268" s="266">
        <f t="shared" ref="CP268" ca="1" si="165">CN268-CO268</f>
        <v>1.8409642634954454E-3</v>
      </c>
      <c r="CQ268" s="266" t="b">
        <f t="shared" ca="1" si="163"/>
        <v>1</v>
      </c>
    </row>
    <row r="269" spans="89:95" x14ac:dyDescent="0.25">
      <c r="CK269" s="248" t="e">
        <f ca="1"/>
        <v>#N/A</v>
      </c>
      <c r="CL269" s="288" t="e">
        <f ca="1"/>
        <v>#N/A</v>
      </c>
      <c r="CM269" t="e">
        <f t="shared" ca="1" si="164"/>
        <v>#N/A</v>
      </c>
      <c r="CN269" s="266"/>
      <c r="CO269" s="266"/>
      <c r="CP269" s="266"/>
      <c r="CQ269" s="266"/>
    </row>
    <row r="270" spans="89:95" x14ac:dyDescent="0.25">
      <c r="CK270" s="248" t="e">
        <f ca="1"/>
        <v>#N/A</v>
      </c>
      <c r="CL270" s="288" t="e">
        <f ca="1"/>
        <v>#N/A</v>
      </c>
      <c r="CM270" t="e">
        <f t="shared" ca="1" si="164"/>
        <v>#N/A</v>
      </c>
      <c r="CN270" s="266"/>
      <c r="CO270" s="266"/>
      <c r="CP270" s="266"/>
      <c r="CQ270" s="266"/>
    </row>
    <row r="271" spans="89:95" x14ac:dyDescent="0.25">
      <c r="CK271" s="248" t="e">
        <f ca="1"/>
        <v>#N/A</v>
      </c>
      <c r="CL271" s="288" t="e">
        <f ca="1"/>
        <v>#N/A</v>
      </c>
      <c r="CM271" t="e">
        <f t="shared" ca="1" si="164"/>
        <v>#N/A</v>
      </c>
      <c r="CN271" s="266"/>
      <c r="CO271" s="266"/>
      <c r="CP271" s="266"/>
      <c r="CQ271" s="266"/>
    </row>
    <row r="272" spans="89:95" x14ac:dyDescent="0.25">
      <c r="CK272" s="248" t="e">
        <f ca="1"/>
        <v>#N/A</v>
      </c>
      <c r="CL272" s="288" t="e">
        <f ca="1"/>
        <v>#N/A</v>
      </c>
      <c r="CM272" t="e">
        <f t="shared" ca="1" si="164"/>
        <v>#N/A</v>
      </c>
      <c r="CN272" s="266"/>
      <c r="CO272" s="266"/>
      <c r="CP272" s="266"/>
      <c r="CQ272" s="266"/>
    </row>
    <row r="273" spans="89:95" x14ac:dyDescent="0.25">
      <c r="CK273" s="248" t="e">
        <f ca="1"/>
        <v>#N/A</v>
      </c>
      <c r="CL273" s="288" t="e">
        <f ca="1"/>
        <v>#N/A</v>
      </c>
      <c r="CM273" t="e">
        <f t="shared" ca="1" si="164"/>
        <v>#N/A</v>
      </c>
      <c r="CN273" s="266"/>
      <c r="CO273" s="266"/>
      <c r="CP273" s="266"/>
      <c r="CQ273" s="266"/>
    </row>
    <row r="274" spans="89:95" x14ac:dyDescent="0.25">
      <c r="CK274" s="248" t="e">
        <f ca="1"/>
        <v>#N/A</v>
      </c>
      <c r="CL274" s="288" t="e">
        <f ca="1"/>
        <v>#N/A</v>
      </c>
      <c r="CM274" t="e">
        <f t="shared" ca="1" si="164"/>
        <v>#N/A</v>
      </c>
      <c r="CN274" s="266"/>
      <c r="CO274" s="266"/>
      <c r="CP274" s="266"/>
      <c r="CQ274" s="266"/>
    </row>
    <row r="275" spans="89:95" x14ac:dyDescent="0.25">
      <c r="CK275" s="248" t="e">
        <f ca="1"/>
        <v>#N/A</v>
      </c>
      <c r="CL275" s="288" t="e">
        <f ca="1"/>
        <v>#N/A</v>
      </c>
      <c r="CM275" t="e">
        <f t="shared" ca="1" si="164"/>
        <v>#N/A</v>
      </c>
      <c r="CN275" s="266"/>
      <c r="CO275" s="266"/>
      <c r="CP275" s="266"/>
      <c r="CQ275" s="266"/>
    </row>
    <row r="276" spans="89:95" x14ac:dyDescent="0.25">
      <c r="CK276" s="248" t="e">
        <f ca="1"/>
        <v>#N/A</v>
      </c>
      <c r="CL276" s="288" t="e">
        <f ca="1"/>
        <v>#N/A</v>
      </c>
      <c r="CM276" t="e">
        <f t="shared" ca="1" si="164"/>
        <v>#N/A</v>
      </c>
      <c r="CN276" s="266"/>
      <c r="CO276" s="266"/>
      <c r="CP276" s="266"/>
      <c r="CQ276" s="266"/>
    </row>
    <row r="277" spans="89:95" x14ac:dyDescent="0.25">
      <c r="CK277" s="248" t="e">
        <f ca="1"/>
        <v>#N/A</v>
      </c>
      <c r="CL277" s="288" t="e">
        <f ca="1"/>
        <v>#N/A</v>
      </c>
      <c r="CM277" t="e">
        <f t="shared" ca="1" si="164"/>
        <v>#N/A</v>
      </c>
      <c r="CN277" s="266"/>
      <c r="CO277" s="266"/>
      <c r="CP277" s="266"/>
      <c r="CQ277" s="266"/>
    </row>
    <row r="278" spans="89:95" x14ac:dyDescent="0.25">
      <c r="CK278" s="248" t="e">
        <f ca="1"/>
        <v>#N/A</v>
      </c>
      <c r="CL278" s="288" t="e">
        <f ca="1"/>
        <v>#N/A</v>
      </c>
      <c r="CM278" t="e">
        <f t="shared" ca="1" si="164"/>
        <v>#N/A</v>
      </c>
      <c r="CN278" s="266"/>
      <c r="CO278" s="266"/>
      <c r="CP278" s="266"/>
      <c r="CQ278" s="266"/>
    </row>
    <row r="279" spans="89:95" x14ac:dyDescent="0.25">
      <c r="CK279" s="248" t="e">
        <f ca="1"/>
        <v>#N/A</v>
      </c>
      <c r="CL279" s="288" t="e">
        <f ca="1"/>
        <v>#N/A</v>
      </c>
      <c r="CM279" t="e">
        <f t="shared" ca="1" si="164"/>
        <v>#N/A</v>
      </c>
      <c r="CN279" s="266"/>
      <c r="CO279" s="266"/>
      <c r="CP279" s="266"/>
      <c r="CQ279" s="266"/>
    </row>
    <row r="280" spans="89:95" x14ac:dyDescent="0.25">
      <c r="CK280" s="248" t="e">
        <f ca="1"/>
        <v>#N/A</v>
      </c>
      <c r="CL280" s="288" t="e">
        <f ca="1"/>
        <v>#N/A</v>
      </c>
      <c r="CM280" t="e">
        <f t="shared" ca="1" si="164"/>
        <v>#N/A</v>
      </c>
      <c r="CN280" s="266"/>
      <c r="CO280" s="266"/>
      <c r="CP280" s="266"/>
      <c r="CQ280" s="266"/>
    </row>
    <row r="281" spans="89:95" x14ac:dyDescent="0.25">
      <c r="CK281" s="248" t="e">
        <f ca="1"/>
        <v>#N/A</v>
      </c>
      <c r="CL281" s="288" t="e">
        <f ca="1"/>
        <v>#N/A</v>
      </c>
      <c r="CM281" t="e">
        <f t="shared" ca="1" si="164"/>
        <v>#N/A</v>
      </c>
      <c r="CN281" s="266"/>
      <c r="CO281" s="266"/>
      <c r="CP281" s="266"/>
      <c r="CQ281" s="266"/>
    </row>
    <row r="282" spans="89:95" x14ac:dyDescent="0.25">
      <c r="CK282" s="248" t="e">
        <f ca="1"/>
        <v>#N/A</v>
      </c>
      <c r="CL282" s="288" t="e">
        <f ca="1"/>
        <v>#N/A</v>
      </c>
      <c r="CM282" t="e">
        <f t="shared" ca="1" si="164"/>
        <v>#N/A</v>
      </c>
      <c r="CN282" s="266"/>
      <c r="CO282" s="266"/>
      <c r="CP282" s="266"/>
      <c r="CQ282" s="266"/>
    </row>
    <row r="283" spans="89:95" x14ac:dyDescent="0.25">
      <c r="CK283" s="248" t="e">
        <f ca="1"/>
        <v>#N/A</v>
      </c>
      <c r="CL283" s="288" t="e">
        <f ca="1"/>
        <v>#N/A</v>
      </c>
      <c r="CM283" t="e">
        <f t="shared" ca="1" si="164"/>
        <v>#N/A</v>
      </c>
      <c r="CN283" s="266"/>
      <c r="CO283" s="266"/>
      <c r="CP283" s="266"/>
      <c r="CQ283" s="266"/>
    </row>
    <row r="284" spans="89:95" x14ac:dyDescent="0.25">
      <c r="CK284" s="248" t="e">
        <f ca="1"/>
        <v>#N/A</v>
      </c>
      <c r="CL284" s="288" t="e">
        <f ca="1"/>
        <v>#N/A</v>
      </c>
      <c r="CM284" t="e">
        <f t="shared" ca="1" si="164"/>
        <v>#N/A</v>
      </c>
      <c r="CN284" s="266"/>
      <c r="CO284" s="266"/>
      <c r="CP284" s="266"/>
      <c r="CQ284" s="266"/>
    </row>
    <row r="285" spans="89:95" x14ac:dyDescent="0.25">
      <c r="CK285" s="248" t="e">
        <f ca="1"/>
        <v>#N/A</v>
      </c>
      <c r="CL285" s="288" t="e">
        <f ca="1"/>
        <v>#N/A</v>
      </c>
      <c r="CM285" t="e">
        <f t="shared" ca="1" si="164"/>
        <v>#N/A</v>
      </c>
      <c r="CN285" s="266"/>
      <c r="CO285" s="266"/>
      <c r="CP285" s="266"/>
      <c r="CQ285" s="266"/>
    </row>
    <row r="286" spans="89:95" x14ac:dyDescent="0.25">
      <c r="CK286" s="248" t="e">
        <f ca="1"/>
        <v>#N/A</v>
      </c>
      <c r="CL286" s="288" t="e">
        <f ca="1"/>
        <v>#N/A</v>
      </c>
      <c r="CM286" t="e">
        <f t="shared" ca="1" si="164"/>
        <v>#N/A</v>
      </c>
      <c r="CN286" s="266"/>
      <c r="CO286" s="266"/>
      <c r="CP286" s="266"/>
      <c r="CQ286" s="266"/>
    </row>
    <row r="287" spans="89:95" x14ac:dyDescent="0.25">
      <c r="CK287" s="248" t="e">
        <f ca="1"/>
        <v>#N/A</v>
      </c>
      <c r="CL287" s="288" t="e">
        <f ca="1"/>
        <v>#N/A</v>
      </c>
      <c r="CM287" t="e">
        <f t="shared" ca="1" si="164"/>
        <v>#N/A</v>
      </c>
      <c r="CN287" s="266"/>
      <c r="CO287" s="266"/>
      <c r="CP287" s="266"/>
      <c r="CQ287" s="266"/>
    </row>
    <row r="288" spans="89:95" x14ac:dyDescent="0.25">
      <c r="CK288" s="248" t="e">
        <f ca="1"/>
        <v>#N/A</v>
      </c>
      <c r="CL288" s="288" t="e">
        <f ca="1"/>
        <v>#N/A</v>
      </c>
      <c r="CM288" t="e">
        <f t="shared" ca="1" si="164"/>
        <v>#N/A</v>
      </c>
      <c r="CN288" s="266"/>
      <c r="CO288" s="266"/>
      <c r="CP288" s="266"/>
      <c r="CQ288" s="266"/>
    </row>
    <row r="289" spans="89:95" x14ac:dyDescent="0.25">
      <c r="CK289" s="248" t="e">
        <f ca="1"/>
        <v>#N/A</v>
      </c>
      <c r="CL289" s="288" t="e">
        <f ca="1"/>
        <v>#N/A</v>
      </c>
      <c r="CM289" t="e">
        <f t="shared" ca="1" si="164"/>
        <v>#N/A</v>
      </c>
      <c r="CN289" s="266"/>
      <c r="CO289" s="266"/>
      <c r="CP289" s="266"/>
      <c r="CQ289" s="266"/>
    </row>
    <row r="290" spans="89:95" x14ac:dyDescent="0.25">
      <c r="CK290" s="248" t="e">
        <f ca="1"/>
        <v>#N/A</v>
      </c>
      <c r="CL290" s="288" t="e">
        <f ca="1"/>
        <v>#N/A</v>
      </c>
      <c r="CM290" t="e">
        <f t="shared" ca="1" si="164"/>
        <v>#N/A</v>
      </c>
      <c r="CN290" s="266"/>
      <c r="CO290" s="266"/>
      <c r="CP290" s="266"/>
      <c r="CQ290" s="266"/>
    </row>
    <row r="291" spans="89:95" x14ac:dyDescent="0.25">
      <c r="CK291" s="248" t="e">
        <f ca="1"/>
        <v>#N/A</v>
      </c>
      <c r="CL291" s="288" t="e">
        <f ca="1"/>
        <v>#N/A</v>
      </c>
      <c r="CM291" t="e">
        <f t="shared" ca="1" si="164"/>
        <v>#N/A</v>
      </c>
      <c r="CN291" s="266"/>
      <c r="CO291" s="266"/>
      <c r="CP291" s="266"/>
      <c r="CQ291" s="266"/>
    </row>
    <row r="292" spans="89:95" x14ac:dyDescent="0.25">
      <c r="CK292" s="248" t="e">
        <f ca="1"/>
        <v>#N/A</v>
      </c>
      <c r="CL292" s="288" t="e">
        <f ca="1"/>
        <v>#N/A</v>
      </c>
      <c r="CM292" t="e">
        <f t="shared" ca="1" si="164"/>
        <v>#N/A</v>
      </c>
      <c r="CN292" s="266"/>
      <c r="CO292" s="266"/>
      <c r="CP292" s="266"/>
      <c r="CQ292" s="266"/>
    </row>
    <row r="293" spans="89:95" x14ac:dyDescent="0.25">
      <c r="CK293" s="248" t="e">
        <f ca="1"/>
        <v>#N/A</v>
      </c>
      <c r="CL293" s="288" t="e">
        <f ca="1"/>
        <v>#N/A</v>
      </c>
      <c r="CM293" t="e">
        <f t="shared" ca="1" si="164"/>
        <v>#N/A</v>
      </c>
      <c r="CN293" s="266"/>
      <c r="CO293" s="266"/>
      <c r="CP293" s="266"/>
      <c r="CQ293" s="266"/>
    </row>
    <row r="294" spans="89:95" x14ac:dyDescent="0.25">
      <c r="CK294" s="248" t="e">
        <f ca="1"/>
        <v>#N/A</v>
      </c>
      <c r="CL294" s="288" t="e">
        <f ca="1"/>
        <v>#N/A</v>
      </c>
      <c r="CM294" t="e">
        <f t="shared" ca="1" si="164"/>
        <v>#N/A</v>
      </c>
      <c r="CN294" s="266"/>
      <c r="CO294" s="266"/>
      <c r="CP294" s="266"/>
      <c r="CQ294" s="266"/>
    </row>
    <row r="295" spans="89:95" x14ac:dyDescent="0.25">
      <c r="CK295" s="248" t="e">
        <f ca="1"/>
        <v>#N/A</v>
      </c>
      <c r="CL295" s="288" t="e">
        <f ca="1"/>
        <v>#N/A</v>
      </c>
      <c r="CM295" t="e">
        <f t="shared" ca="1" si="164"/>
        <v>#N/A</v>
      </c>
      <c r="CN295" s="266"/>
      <c r="CO295" s="266"/>
      <c r="CP295" s="266"/>
      <c r="CQ295" s="266"/>
    </row>
    <row r="296" spans="89:95" x14ac:dyDescent="0.25">
      <c r="CK296" s="248" t="e">
        <f ca="1"/>
        <v>#N/A</v>
      </c>
      <c r="CL296" s="288" t="e">
        <f ca="1"/>
        <v>#N/A</v>
      </c>
      <c r="CM296" t="e">
        <f t="shared" ca="1" si="164"/>
        <v>#N/A</v>
      </c>
      <c r="CN296" s="266"/>
      <c r="CO296" s="266"/>
      <c r="CP296" s="266"/>
      <c r="CQ296" s="266"/>
    </row>
    <row r="297" spans="89:95" x14ac:dyDescent="0.25">
      <c r="CK297" s="248" t="e">
        <f ca="1"/>
        <v>#N/A</v>
      </c>
      <c r="CL297" s="288" t="e">
        <f ca="1"/>
        <v>#N/A</v>
      </c>
      <c r="CM297" t="e">
        <f t="shared" ca="1" si="164"/>
        <v>#N/A</v>
      </c>
      <c r="CN297" s="266"/>
      <c r="CO297" s="266"/>
      <c r="CP297" s="266"/>
      <c r="CQ297" s="266"/>
    </row>
    <row r="298" spans="89:95" x14ac:dyDescent="0.25">
      <c r="CK298" s="248" t="e">
        <f ca="1"/>
        <v>#N/A</v>
      </c>
      <c r="CL298" s="288" t="e">
        <f ca="1"/>
        <v>#N/A</v>
      </c>
      <c r="CM298" t="e">
        <f t="shared" ca="1" si="164"/>
        <v>#N/A</v>
      </c>
      <c r="CN298" s="266"/>
      <c r="CO298" s="266"/>
      <c r="CP298" s="266"/>
      <c r="CQ298" s="266"/>
    </row>
    <row r="299" spans="89:95" x14ac:dyDescent="0.25">
      <c r="CK299" s="248" t="e">
        <f ca="1"/>
        <v>#N/A</v>
      </c>
      <c r="CL299" s="288" t="e">
        <f ca="1"/>
        <v>#N/A</v>
      </c>
      <c r="CM299" t="e">
        <f t="shared" ca="1" si="164"/>
        <v>#N/A</v>
      </c>
      <c r="CN299" s="266"/>
      <c r="CO299" s="266"/>
      <c r="CP299" s="266"/>
      <c r="CQ299" s="266"/>
    </row>
    <row r="300" spans="89:95" x14ac:dyDescent="0.25">
      <c r="CK300" s="248" t="e">
        <f ca="1"/>
        <v>#N/A</v>
      </c>
      <c r="CL300" s="288" t="e">
        <f ca="1"/>
        <v>#N/A</v>
      </c>
      <c r="CM300" t="e">
        <f t="shared" ca="1" si="164"/>
        <v>#N/A</v>
      </c>
      <c r="CN300" s="266"/>
      <c r="CO300" s="266"/>
      <c r="CP300" s="266"/>
      <c r="CQ300" s="266"/>
    </row>
    <row r="301" spans="89:95" x14ac:dyDescent="0.25">
      <c r="CK301" s="248" t="e">
        <f ca="1"/>
        <v>#N/A</v>
      </c>
      <c r="CL301" s="288" t="e">
        <f ca="1"/>
        <v>#N/A</v>
      </c>
      <c r="CM301" t="e">
        <f t="shared" ca="1" si="164"/>
        <v>#N/A</v>
      </c>
      <c r="CN301" s="266"/>
      <c r="CO301" s="266"/>
      <c r="CP301" s="266"/>
      <c r="CQ301" s="266"/>
    </row>
    <row r="302" spans="89:95" x14ac:dyDescent="0.25">
      <c r="CK302" s="248" t="e">
        <f ca="1"/>
        <v>#N/A</v>
      </c>
      <c r="CL302" s="288" t="e">
        <f ca="1"/>
        <v>#N/A</v>
      </c>
      <c r="CM302" t="e">
        <f t="shared" ca="1" si="164"/>
        <v>#N/A</v>
      </c>
      <c r="CN302" s="266"/>
      <c r="CO302" s="266"/>
      <c r="CP302" s="266"/>
      <c r="CQ302" s="266"/>
    </row>
    <row r="303" spans="89:95" x14ac:dyDescent="0.25">
      <c r="CK303" s="248" t="e">
        <f ca="1"/>
        <v>#N/A</v>
      </c>
      <c r="CL303" s="288" t="e">
        <f ca="1"/>
        <v>#N/A</v>
      </c>
      <c r="CM303" t="e">
        <f t="shared" ca="1" si="164"/>
        <v>#N/A</v>
      </c>
      <c r="CN303" s="266"/>
      <c r="CO303" s="266"/>
      <c r="CP303" s="266"/>
      <c r="CQ303" s="266"/>
    </row>
    <row r="304" spans="89:95" x14ac:dyDescent="0.25">
      <c r="CK304" s="248" t="e">
        <f ca="1"/>
        <v>#N/A</v>
      </c>
      <c r="CL304" s="288" t="e">
        <f ca="1"/>
        <v>#N/A</v>
      </c>
      <c r="CM304" t="e">
        <f t="shared" ca="1" si="164"/>
        <v>#N/A</v>
      </c>
      <c r="CN304" s="266"/>
      <c r="CO304" s="266"/>
      <c r="CP304" s="266"/>
      <c r="CQ304" s="266"/>
    </row>
    <row r="305" spans="89:95" x14ac:dyDescent="0.25">
      <c r="CK305" s="248" t="e">
        <f ca="1"/>
        <v>#N/A</v>
      </c>
      <c r="CL305" s="288" t="e">
        <f ca="1"/>
        <v>#N/A</v>
      </c>
      <c r="CM305" t="e">
        <f t="shared" ca="1" si="164"/>
        <v>#N/A</v>
      </c>
      <c r="CN305" s="266"/>
      <c r="CO305" s="266"/>
      <c r="CP305" s="266"/>
      <c r="CQ305" s="266"/>
    </row>
    <row r="306" spans="89:95" x14ac:dyDescent="0.25">
      <c r="CK306" s="248" t="e">
        <f ca="1"/>
        <v>#N/A</v>
      </c>
      <c r="CL306" s="288" t="e">
        <f ca="1"/>
        <v>#N/A</v>
      </c>
      <c r="CM306" t="e">
        <f t="shared" ca="1" si="164"/>
        <v>#N/A</v>
      </c>
      <c r="CN306" s="266"/>
      <c r="CO306" s="266"/>
      <c r="CP306" s="266"/>
      <c r="CQ306" s="266"/>
    </row>
    <row r="307" spans="89:95" x14ac:dyDescent="0.25">
      <c r="CK307" s="248" t="e">
        <f ca="1"/>
        <v>#N/A</v>
      </c>
      <c r="CL307" s="288" t="e">
        <f ca="1"/>
        <v>#N/A</v>
      </c>
      <c r="CM307" t="e">
        <f t="shared" ca="1" si="164"/>
        <v>#N/A</v>
      </c>
      <c r="CN307" s="266"/>
      <c r="CO307" s="266"/>
      <c r="CP307" s="266"/>
      <c r="CQ307" s="266"/>
    </row>
    <row r="308" spans="89:95" x14ac:dyDescent="0.25">
      <c r="CK308" s="248" t="e">
        <f ca="1"/>
        <v>#N/A</v>
      </c>
      <c r="CL308" s="288" t="e">
        <f ca="1"/>
        <v>#N/A</v>
      </c>
      <c r="CM308" t="e">
        <f t="shared" ca="1" si="164"/>
        <v>#N/A</v>
      </c>
      <c r="CN308" s="266"/>
      <c r="CO308" s="266"/>
      <c r="CP308" s="266"/>
      <c r="CQ308" s="266"/>
    </row>
    <row r="309" spans="89:95" x14ac:dyDescent="0.25">
      <c r="CK309" s="248" t="e">
        <f ca="1"/>
        <v>#N/A</v>
      </c>
      <c r="CL309" s="288" t="e">
        <f ca="1"/>
        <v>#N/A</v>
      </c>
      <c r="CM309" t="e">
        <f t="shared" ca="1" si="164"/>
        <v>#N/A</v>
      </c>
      <c r="CN309" s="266"/>
      <c r="CO309" s="266"/>
      <c r="CP309" s="266"/>
      <c r="CQ309" s="266"/>
    </row>
    <row r="310" spans="89:95" x14ac:dyDescent="0.25">
      <c r="CK310" s="248" t="e">
        <f ca="1"/>
        <v>#N/A</v>
      </c>
      <c r="CL310" s="288" t="e">
        <f ca="1"/>
        <v>#N/A</v>
      </c>
      <c r="CM310" t="e">
        <f t="shared" ca="1" si="164"/>
        <v>#N/A</v>
      </c>
      <c r="CN310" s="266"/>
      <c r="CO310" s="266"/>
      <c r="CP310" s="266"/>
      <c r="CQ310" s="266"/>
    </row>
    <row r="311" spans="89:95" x14ac:dyDescent="0.25">
      <c r="CK311" s="248" t="e">
        <f ca="1"/>
        <v>#N/A</v>
      </c>
      <c r="CL311" s="288" t="e">
        <f ca="1"/>
        <v>#N/A</v>
      </c>
      <c r="CM311" t="e">
        <f t="shared" ca="1" si="164"/>
        <v>#N/A</v>
      </c>
      <c r="CN311" s="266"/>
      <c r="CO311" s="266"/>
      <c r="CP311" s="266"/>
      <c r="CQ311" s="266"/>
    </row>
    <row r="312" spans="89:95" x14ac:dyDescent="0.25">
      <c r="CK312" s="248" t="e">
        <f ca="1"/>
        <v>#N/A</v>
      </c>
      <c r="CL312" s="288" t="e">
        <f ca="1"/>
        <v>#N/A</v>
      </c>
      <c r="CM312" t="e">
        <f t="shared" ca="1" si="164"/>
        <v>#N/A</v>
      </c>
      <c r="CN312" s="266"/>
      <c r="CO312" s="266"/>
      <c r="CP312" s="266"/>
      <c r="CQ312" s="266"/>
    </row>
    <row r="313" spans="89:95" x14ac:dyDescent="0.25">
      <c r="CK313" s="248" t="e">
        <f ca="1"/>
        <v>#N/A</v>
      </c>
      <c r="CL313" s="288" t="e">
        <f ca="1"/>
        <v>#N/A</v>
      </c>
      <c r="CM313" t="e">
        <f t="shared" ca="1" si="164"/>
        <v>#N/A</v>
      </c>
      <c r="CN313" s="266"/>
      <c r="CO313" s="266"/>
      <c r="CP313" s="266"/>
      <c r="CQ313" s="266"/>
    </row>
    <row r="314" spans="89:95" x14ac:dyDescent="0.25">
      <c r="CK314" s="248" t="e">
        <f ca="1"/>
        <v>#N/A</v>
      </c>
      <c r="CL314" s="288" t="e">
        <f ca="1"/>
        <v>#N/A</v>
      </c>
      <c r="CM314" t="e">
        <f t="shared" ca="1" si="164"/>
        <v>#N/A</v>
      </c>
      <c r="CN314" s="266"/>
      <c r="CO314" s="266"/>
      <c r="CP314" s="266"/>
      <c r="CQ314" s="266"/>
    </row>
    <row r="315" spans="89:95" x14ac:dyDescent="0.25">
      <c r="CK315" s="248" t="e">
        <f ca="1"/>
        <v>#N/A</v>
      </c>
      <c r="CL315" s="288" t="e">
        <f ca="1"/>
        <v>#N/A</v>
      </c>
      <c r="CM315" t="e">
        <f t="shared" ca="1" si="164"/>
        <v>#N/A</v>
      </c>
      <c r="CN315" s="266"/>
      <c r="CO315" s="266"/>
      <c r="CP315" s="266"/>
      <c r="CQ315" s="266"/>
    </row>
    <row r="316" spans="89:95" x14ac:dyDescent="0.25">
      <c r="CK316" s="248" t="e">
        <f ca="1"/>
        <v>#N/A</v>
      </c>
      <c r="CL316" s="288" t="e">
        <f ca="1"/>
        <v>#N/A</v>
      </c>
      <c r="CM316" t="e">
        <f t="shared" ca="1" si="164"/>
        <v>#N/A</v>
      </c>
      <c r="CN316" s="266"/>
      <c r="CO316" s="266"/>
      <c r="CP316" s="266"/>
      <c r="CQ316" s="266"/>
    </row>
    <row r="317" spans="89:95" x14ac:dyDescent="0.25">
      <c r="CK317" s="248" t="e">
        <f ca="1"/>
        <v>#N/A</v>
      </c>
      <c r="CL317" s="288" t="e">
        <f ca="1"/>
        <v>#N/A</v>
      </c>
      <c r="CM317" t="e">
        <f t="shared" ca="1" si="164"/>
        <v>#N/A</v>
      </c>
      <c r="CN317" s="266"/>
      <c r="CO317" s="266"/>
      <c r="CP317" s="266"/>
      <c r="CQ317" s="266"/>
    </row>
    <row r="318" spans="89:95" x14ac:dyDescent="0.25">
      <c r="CK318" s="248" t="e">
        <f ca="1"/>
        <v>#N/A</v>
      </c>
      <c r="CL318" s="288" t="e">
        <f ca="1"/>
        <v>#N/A</v>
      </c>
      <c r="CM318" t="e">
        <f t="shared" ca="1" si="164"/>
        <v>#N/A</v>
      </c>
      <c r="CN318" s="266"/>
      <c r="CO318" s="266"/>
      <c r="CP318" s="266"/>
      <c r="CQ318" s="266"/>
    </row>
    <row r="319" spans="89:95" x14ac:dyDescent="0.25">
      <c r="CK319" s="248" t="e">
        <f ca="1"/>
        <v>#N/A</v>
      </c>
      <c r="CL319" s="288" t="e">
        <f ca="1"/>
        <v>#N/A</v>
      </c>
      <c r="CM319" t="e">
        <f t="shared" ca="1" si="164"/>
        <v>#N/A</v>
      </c>
      <c r="CN319" s="266"/>
      <c r="CO319" s="266"/>
      <c r="CP319" s="266"/>
      <c r="CQ319" s="266"/>
    </row>
    <row r="320" spans="89:95" x14ac:dyDescent="0.25">
      <c r="CK320" s="248" t="e">
        <f ca="1"/>
        <v>#N/A</v>
      </c>
      <c r="CL320" s="288" t="e">
        <f ca="1"/>
        <v>#N/A</v>
      </c>
      <c r="CM320" t="e">
        <f t="shared" ca="1" si="164"/>
        <v>#N/A</v>
      </c>
      <c r="CN320" s="266"/>
      <c r="CO320" s="266"/>
      <c r="CP320" s="266"/>
      <c r="CQ320" s="266"/>
    </row>
    <row r="321" spans="89:95" x14ac:dyDescent="0.25">
      <c r="CK321" s="248" t="e">
        <f ca="1"/>
        <v>#N/A</v>
      </c>
      <c r="CL321" s="288" t="e">
        <f ca="1"/>
        <v>#N/A</v>
      </c>
      <c r="CM321" t="e">
        <f t="shared" ca="1" si="164"/>
        <v>#N/A</v>
      </c>
      <c r="CN321" s="266"/>
      <c r="CO321" s="266"/>
      <c r="CP321" s="266"/>
      <c r="CQ321" s="266"/>
    </row>
    <row r="322" spans="89:95" x14ac:dyDescent="0.25">
      <c r="CK322" s="248" t="e">
        <f ca="1"/>
        <v>#N/A</v>
      </c>
      <c r="CL322" s="288" t="e">
        <f ca="1"/>
        <v>#N/A</v>
      </c>
      <c r="CM322" t="e">
        <f t="shared" ca="1" si="164"/>
        <v>#N/A</v>
      </c>
      <c r="CN322" s="266"/>
      <c r="CO322" s="266"/>
      <c r="CP322" s="266"/>
      <c r="CQ322" s="266"/>
    </row>
    <row r="323" spans="89:95" x14ac:dyDescent="0.25">
      <c r="CK323" s="248" t="e">
        <f ca="1"/>
        <v>#N/A</v>
      </c>
      <c r="CL323" s="288" t="e">
        <f ca="1"/>
        <v>#N/A</v>
      </c>
      <c r="CM323" t="e">
        <f t="shared" ca="1" si="164"/>
        <v>#N/A</v>
      </c>
      <c r="CN323" s="266"/>
      <c r="CO323" s="266"/>
      <c r="CP323" s="266"/>
      <c r="CQ323" s="266"/>
    </row>
    <row r="324" spans="89:95" x14ac:dyDescent="0.25">
      <c r="CK324" s="248" t="e">
        <f ca="1"/>
        <v>#N/A</v>
      </c>
      <c r="CL324" s="288" t="e">
        <f ca="1"/>
        <v>#N/A</v>
      </c>
      <c r="CM324" t="e">
        <f t="shared" ca="1" si="164"/>
        <v>#N/A</v>
      </c>
      <c r="CN324" s="266"/>
      <c r="CO324" s="266"/>
      <c r="CP324" s="266"/>
      <c r="CQ324" s="266"/>
    </row>
    <row r="325" spans="89:95" x14ac:dyDescent="0.25">
      <c r="CK325" s="248" t="e">
        <f ca="1"/>
        <v>#N/A</v>
      </c>
      <c r="CL325" s="288" t="e">
        <f ca="1"/>
        <v>#N/A</v>
      </c>
      <c r="CM325" t="e">
        <f t="shared" ca="1" si="164"/>
        <v>#N/A</v>
      </c>
      <c r="CN325" s="266"/>
      <c r="CO325" s="266"/>
      <c r="CP325" s="266"/>
      <c r="CQ325" s="266"/>
    </row>
    <row r="326" spans="89:95" x14ac:dyDescent="0.25">
      <c r="CK326" s="248" t="e">
        <f ca="1"/>
        <v>#N/A</v>
      </c>
      <c r="CL326" s="288" t="e">
        <f ca="1"/>
        <v>#N/A</v>
      </c>
      <c r="CM326" t="e">
        <f t="shared" ca="1" si="164"/>
        <v>#N/A</v>
      </c>
      <c r="CN326" s="266"/>
      <c r="CO326" s="266"/>
      <c r="CP326" s="266"/>
      <c r="CQ326" s="266"/>
    </row>
    <row r="327" spans="89:95" x14ac:dyDescent="0.25">
      <c r="CK327" s="248" t="e">
        <f ca="1"/>
        <v>#N/A</v>
      </c>
      <c r="CL327" s="288" t="e">
        <f ca="1"/>
        <v>#N/A</v>
      </c>
      <c r="CM327" t="e">
        <f t="shared" ca="1" si="164"/>
        <v>#N/A</v>
      </c>
      <c r="CN327" s="266"/>
      <c r="CO327" s="266"/>
      <c r="CP327" s="266"/>
      <c r="CQ327" s="266"/>
    </row>
    <row r="328" spans="89:95" x14ac:dyDescent="0.25">
      <c r="CK328" s="248" t="e">
        <f ca="1"/>
        <v>#N/A</v>
      </c>
      <c r="CL328" s="288" t="e">
        <f ca="1"/>
        <v>#N/A</v>
      </c>
      <c r="CM328" t="e">
        <f t="shared" ca="1" si="164"/>
        <v>#N/A</v>
      </c>
      <c r="CN328" s="266"/>
      <c r="CO328" s="266"/>
      <c r="CP328" s="266"/>
      <c r="CQ328" s="266"/>
    </row>
    <row r="329" spans="89:95" x14ac:dyDescent="0.25">
      <c r="CK329" s="248" t="e">
        <f ca="1"/>
        <v>#N/A</v>
      </c>
      <c r="CL329" s="288" t="e">
        <f ca="1"/>
        <v>#N/A</v>
      </c>
      <c r="CM329" t="e">
        <f t="shared" ca="1" si="164"/>
        <v>#N/A</v>
      </c>
      <c r="CN329" s="266"/>
      <c r="CO329" s="266"/>
      <c r="CP329" s="266"/>
      <c r="CQ329" s="266"/>
    </row>
    <row r="330" spans="89:95" x14ac:dyDescent="0.25">
      <c r="CK330" s="248" t="e">
        <f ca="1"/>
        <v>#N/A</v>
      </c>
      <c r="CL330" s="288" t="e">
        <f ca="1"/>
        <v>#N/A</v>
      </c>
      <c r="CM330" t="e">
        <f t="shared" ca="1" si="164"/>
        <v>#N/A</v>
      </c>
      <c r="CN330" s="266"/>
      <c r="CO330" s="266"/>
      <c r="CP330" s="266"/>
      <c r="CQ330" s="266"/>
    </row>
    <row r="331" spans="89:95" x14ac:dyDescent="0.25">
      <c r="CK331" s="248" t="e">
        <f ca="1"/>
        <v>#N/A</v>
      </c>
      <c r="CL331" s="288" t="e">
        <f ca="1"/>
        <v>#N/A</v>
      </c>
      <c r="CM331" t="e">
        <f t="shared" ca="1" si="164"/>
        <v>#N/A</v>
      </c>
      <c r="CN331" s="266"/>
      <c r="CO331" s="266"/>
      <c r="CP331" s="266"/>
      <c r="CQ331" s="266"/>
    </row>
    <row r="332" spans="89:95" x14ac:dyDescent="0.25">
      <c r="CK332" s="248" t="e">
        <f ca="1"/>
        <v>#N/A</v>
      </c>
      <c r="CL332" s="288" t="e">
        <f ca="1"/>
        <v>#N/A</v>
      </c>
      <c r="CM332" t="e">
        <f t="shared" ref="CM332:CM395" ca="1" si="166">CK332=CK200</f>
        <v>#N/A</v>
      </c>
      <c r="CN332" s="266"/>
      <c r="CO332" s="266"/>
      <c r="CP332" s="266"/>
      <c r="CQ332" s="266"/>
    </row>
    <row r="333" spans="89:95" x14ac:dyDescent="0.25">
      <c r="CK333" s="248" t="e">
        <f ca="1"/>
        <v>#N/A</v>
      </c>
      <c r="CL333" s="288" t="e">
        <f ca="1"/>
        <v>#N/A</v>
      </c>
      <c r="CM333" t="e">
        <f t="shared" ca="1" si="166"/>
        <v>#N/A</v>
      </c>
      <c r="CN333" s="266"/>
      <c r="CO333" s="266"/>
      <c r="CP333" s="266"/>
      <c r="CQ333" s="266"/>
    </row>
    <row r="334" spans="89:95" x14ac:dyDescent="0.25">
      <c r="CK334" s="248" t="e">
        <f ca="1"/>
        <v>#N/A</v>
      </c>
      <c r="CL334" s="288" t="e">
        <f ca="1"/>
        <v>#N/A</v>
      </c>
      <c r="CM334" t="e">
        <f t="shared" ca="1" si="166"/>
        <v>#N/A</v>
      </c>
      <c r="CN334" s="266"/>
      <c r="CO334" s="266"/>
      <c r="CP334" s="266"/>
      <c r="CQ334" s="266"/>
    </row>
    <row r="335" spans="89:95" x14ac:dyDescent="0.25">
      <c r="CK335" s="248" t="e">
        <f ca="1"/>
        <v>#N/A</v>
      </c>
      <c r="CL335" s="288" t="e">
        <f ca="1"/>
        <v>#N/A</v>
      </c>
      <c r="CM335" t="e">
        <f t="shared" ca="1" si="166"/>
        <v>#N/A</v>
      </c>
      <c r="CN335" s="266"/>
      <c r="CO335" s="266"/>
      <c r="CP335" s="266"/>
      <c r="CQ335" s="266"/>
    </row>
    <row r="336" spans="89:95" x14ac:dyDescent="0.25">
      <c r="CK336" s="248" t="e">
        <f ca="1"/>
        <v>#N/A</v>
      </c>
      <c r="CL336" s="288" t="e">
        <f ca="1"/>
        <v>#N/A</v>
      </c>
      <c r="CM336" t="e">
        <f t="shared" ca="1" si="166"/>
        <v>#N/A</v>
      </c>
      <c r="CN336" s="266"/>
      <c r="CO336" s="266"/>
      <c r="CP336" s="266"/>
      <c r="CQ336" s="266"/>
    </row>
    <row r="337" spans="89:95" x14ac:dyDescent="0.25">
      <c r="CK337" s="248" t="e">
        <f ca="1"/>
        <v>#N/A</v>
      </c>
      <c r="CL337" s="288" t="e">
        <f ca="1"/>
        <v>#N/A</v>
      </c>
      <c r="CM337" t="e">
        <f t="shared" ca="1" si="166"/>
        <v>#N/A</v>
      </c>
      <c r="CN337" s="266"/>
      <c r="CO337" s="266"/>
      <c r="CP337" s="266"/>
      <c r="CQ337" s="266"/>
    </row>
    <row r="338" spans="89:95" x14ac:dyDescent="0.25">
      <c r="CK338" s="248" t="e">
        <f ca="1"/>
        <v>#N/A</v>
      </c>
      <c r="CL338" s="288" t="e">
        <f ca="1"/>
        <v>#N/A</v>
      </c>
      <c r="CM338" t="e">
        <f t="shared" ca="1" si="166"/>
        <v>#N/A</v>
      </c>
      <c r="CN338" s="266"/>
      <c r="CO338" s="266"/>
      <c r="CP338" s="266"/>
      <c r="CQ338" s="266"/>
    </row>
    <row r="339" spans="89:95" x14ac:dyDescent="0.25">
      <c r="CK339" s="248" t="e">
        <f ca="1"/>
        <v>#N/A</v>
      </c>
      <c r="CL339" s="288" t="e">
        <f ca="1"/>
        <v>#N/A</v>
      </c>
      <c r="CM339" t="e">
        <f t="shared" ca="1" si="166"/>
        <v>#N/A</v>
      </c>
      <c r="CN339" s="266"/>
      <c r="CO339" s="266"/>
      <c r="CP339" s="266"/>
      <c r="CQ339" s="266"/>
    </row>
    <row r="340" spans="89:95" x14ac:dyDescent="0.25">
      <c r="CK340" s="248" t="e">
        <f ca="1"/>
        <v>#N/A</v>
      </c>
      <c r="CL340" s="288" t="e">
        <f ca="1"/>
        <v>#N/A</v>
      </c>
      <c r="CM340" t="e">
        <f t="shared" ca="1" si="166"/>
        <v>#N/A</v>
      </c>
      <c r="CN340" s="266"/>
      <c r="CO340" s="266"/>
      <c r="CP340" s="266"/>
      <c r="CQ340" s="266"/>
    </row>
    <row r="341" spans="89:95" x14ac:dyDescent="0.25">
      <c r="CK341" s="248" t="e">
        <f ca="1"/>
        <v>#N/A</v>
      </c>
      <c r="CL341" s="288" t="e">
        <f ca="1"/>
        <v>#N/A</v>
      </c>
      <c r="CM341" t="e">
        <f t="shared" ca="1" si="166"/>
        <v>#N/A</v>
      </c>
      <c r="CN341" s="266"/>
      <c r="CO341" s="266"/>
      <c r="CP341" s="266"/>
      <c r="CQ341" s="266"/>
    </row>
    <row r="342" spans="89:95" x14ac:dyDescent="0.25">
      <c r="CK342" s="248" t="e">
        <f ca="1"/>
        <v>#N/A</v>
      </c>
      <c r="CL342" s="288" t="e">
        <f ca="1"/>
        <v>#N/A</v>
      </c>
      <c r="CM342" t="e">
        <f t="shared" ca="1" si="166"/>
        <v>#N/A</v>
      </c>
      <c r="CN342" s="266"/>
      <c r="CO342" s="266"/>
      <c r="CP342" s="266"/>
      <c r="CQ342" s="266"/>
    </row>
    <row r="343" spans="89:95" x14ac:dyDescent="0.25">
      <c r="CK343" s="248" t="e">
        <f ca="1"/>
        <v>#N/A</v>
      </c>
      <c r="CL343" s="288" t="e">
        <f ca="1"/>
        <v>#N/A</v>
      </c>
      <c r="CM343" t="e">
        <f t="shared" ca="1" si="166"/>
        <v>#N/A</v>
      </c>
      <c r="CN343" s="266"/>
      <c r="CO343" s="266"/>
      <c r="CP343" s="266"/>
      <c r="CQ343" s="266"/>
    </row>
    <row r="344" spans="89:95" x14ac:dyDescent="0.25">
      <c r="CK344" s="248" t="e">
        <f ca="1"/>
        <v>#N/A</v>
      </c>
      <c r="CL344" s="288" t="e">
        <f ca="1"/>
        <v>#N/A</v>
      </c>
      <c r="CM344" t="e">
        <f t="shared" ca="1" si="166"/>
        <v>#N/A</v>
      </c>
      <c r="CN344" s="266"/>
      <c r="CO344" s="266"/>
      <c r="CP344" s="266"/>
      <c r="CQ344" s="266"/>
    </row>
    <row r="345" spans="89:95" x14ac:dyDescent="0.25">
      <c r="CK345" s="248" t="e">
        <f ca="1"/>
        <v>#N/A</v>
      </c>
      <c r="CL345" s="288" t="e">
        <f ca="1"/>
        <v>#N/A</v>
      </c>
      <c r="CM345" t="e">
        <f t="shared" ca="1" si="166"/>
        <v>#N/A</v>
      </c>
      <c r="CN345" s="266"/>
      <c r="CO345" s="266"/>
      <c r="CP345" s="266"/>
      <c r="CQ345" s="266"/>
    </row>
    <row r="346" spans="89:95" x14ac:dyDescent="0.25">
      <c r="CK346" s="248" t="e">
        <f ca="1"/>
        <v>#N/A</v>
      </c>
      <c r="CL346" s="288" t="e">
        <f ca="1"/>
        <v>#N/A</v>
      </c>
      <c r="CM346" t="e">
        <f t="shared" ca="1" si="166"/>
        <v>#N/A</v>
      </c>
      <c r="CN346" s="266"/>
      <c r="CO346" s="266"/>
      <c r="CP346" s="266"/>
      <c r="CQ346" s="266"/>
    </row>
    <row r="347" spans="89:95" x14ac:dyDescent="0.25">
      <c r="CK347" s="248" t="e">
        <f ca="1"/>
        <v>#N/A</v>
      </c>
      <c r="CL347" s="288" t="e">
        <f ca="1"/>
        <v>#N/A</v>
      </c>
      <c r="CM347" t="e">
        <f t="shared" ca="1" si="166"/>
        <v>#N/A</v>
      </c>
      <c r="CN347" s="266"/>
      <c r="CO347" s="266"/>
      <c r="CP347" s="266"/>
      <c r="CQ347" s="266"/>
    </row>
    <row r="348" spans="89:95" x14ac:dyDescent="0.25">
      <c r="CK348" s="248" t="e">
        <f ca="1"/>
        <v>#N/A</v>
      </c>
      <c r="CL348" s="288" t="e">
        <f ca="1"/>
        <v>#N/A</v>
      </c>
      <c r="CM348" t="e">
        <f t="shared" ca="1" si="166"/>
        <v>#N/A</v>
      </c>
      <c r="CN348" s="266"/>
      <c r="CO348" s="266"/>
      <c r="CP348" s="266"/>
      <c r="CQ348" s="266"/>
    </row>
    <row r="349" spans="89:95" x14ac:dyDescent="0.25">
      <c r="CK349" s="248" t="e">
        <f ca="1"/>
        <v>#N/A</v>
      </c>
      <c r="CL349" s="288" t="e">
        <f ca="1"/>
        <v>#N/A</v>
      </c>
      <c r="CM349" t="e">
        <f t="shared" ca="1" si="166"/>
        <v>#N/A</v>
      </c>
      <c r="CN349" s="266"/>
      <c r="CO349" s="266"/>
      <c r="CP349" s="266"/>
      <c r="CQ349" s="266"/>
    </row>
    <row r="350" spans="89:95" x14ac:dyDescent="0.25">
      <c r="CK350" s="248" t="e">
        <f ca="1"/>
        <v>#N/A</v>
      </c>
      <c r="CL350" s="288" t="e">
        <f ca="1"/>
        <v>#N/A</v>
      </c>
      <c r="CM350" t="e">
        <f t="shared" ca="1" si="166"/>
        <v>#N/A</v>
      </c>
      <c r="CN350" s="266"/>
      <c r="CO350" s="266"/>
      <c r="CP350" s="266"/>
      <c r="CQ350" s="266"/>
    </row>
    <row r="351" spans="89:95" x14ac:dyDescent="0.25">
      <c r="CK351" s="248" t="e">
        <f ca="1"/>
        <v>#N/A</v>
      </c>
      <c r="CL351" s="288" t="e">
        <f ca="1"/>
        <v>#N/A</v>
      </c>
      <c r="CM351" t="e">
        <f t="shared" ca="1" si="166"/>
        <v>#N/A</v>
      </c>
      <c r="CN351" s="266"/>
      <c r="CO351" s="266"/>
      <c r="CP351" s="266"/>
      <c r="CQ351" s="266"/>
    </row>
    <row r="352" spans="89:95" x14ac:dyDescent="0.25">
      <c r="CK352" s="248" t="e">
        <f ca="1"/>
        <v>#N/A</v>
      </c>
      <c r="CL352" s="288" t="e">
        <f ca="1"/>
        <v>#N/A</v>
      </c>
      <c r="CM352" t="e">
        <f t="shared" ca="1" si="166"/>
        <v>#N/A</v>
      </c>
      <c r="CN352" s="266"/>
      <c r="CO352" s="266"/>
      <c r="CP352" s="266"/>
      <c r="CQ352" s="266"/>
    </row>
    <row r="353" spans="89:95" x14ac:dyDescent="0.25">
      <c r="CK353" s="248" t="e">
        <f ca="1"/>
        <v>#N/A</v>
      </c>
      <c r="CL353" s="288" t="e">
        <f ca="1"/>
        <v>#N/A</v>
      </c>
      <c r="CM353" t="e">
        <f t="shared" ca="1" si="166"/>
        <v>#N/A</v>
      </c>
      <c r="CN353" s="266"/>
      <c r="CO353" s="266"/>
      <c r="CP353" s="266"/>
      <c r="CQ353" s="266"/>
    </row>
    <row r="354" spans="89:95" x14ac:dyDescent="0.25">
      <c r="CK354" s="248" t="e">
        <f ca="1"/>
        <v>#N/A</v>
      </c>
      <c r="CL354" s="288" t="e">
        <f ca="1"/>
        <v>#N/A</v>
      </c>
      <c r="CM354" t="e">
        <f t="shared" ca="1" si="166"/>
        <v>#N/A</v>
      </c>
      <c r="CN354" s="266"/>
      <c r="CO354" s="266"/>
      <c r="CP354" s="266"/>
      <c r="CQ354" s="266"/>
    </row>
    <row r="355" spans="89:95" x14ac:dyDescent="0.25">
      <c r="CK355" s="248" t="e">
        <f ca="1"/>
        <v>#N/A</v>
      </c>
      <c r="CL355" s="288" t="e">
        <f ca="1"/>
        <v>#N/A</v>
      </c>
      <c r="CM355" t="e">
        <f t="shared" ca="1" si="166"/>
        <v>#N/A</v>
      </c>
      <c r="CN355" s="266"/>
      <c r="CO355" s="266"/>
      <c r="CP355" s="266"/>
      <c r="CQ355" s="266"/>
    </row>
    <row r="356" spans="89:95" x14ac:dyDescent="0.25">
      <c r="CK356" s="248" t="e">
        <f ca="1"/>
        <v>#N/A</v>
      </c>
      <c r="CL356" s="288" t="e">
        <f ca="1"/>
        <v>#N/A</v>
      </c>
      <c r="CM356" t="e">
        <f t="shared" ca="1" si="166"/>
        <v>#N/A</v>
      </c>
      <c r="CN356" s="266"/>
      <c r="CO356" s="266"/>
      <c r="CP356" s="266"/>
      <c r="CQ356" s="266"/>
    </row>
    <row r="357" spans="89:95" x14ac:dyDescent="0.25">
      <c r="CK357" s="248" t="e">
        <f ca="1"/>
        <v>#N/A</v>
      </c>
      <c r="CL357" s="288" t="e">
        <f ca="1"/>
        <v>#N/A</v>
      </c>
      <c r="CM357" t="e">
        <f t="shared" ca="1" si="166"/>
        <v>#N/A</v>
      </c>
      <c r="CN357" s="266"/>
      <c r="CO357" s="266"/>
      <c r="CP357" s="266"/>
      <c r="CQ357" s="266"/>
    </row>
    <row r="358" spans="89:95" x14ac:dyDescent="0.25">
      <c r="CK358" s="248" t="e">
        <f ca="1"/>
        <v>#N/A</v>
      </c>
      <c r="CL358" s="288" t="e">
        <f ca="1"/>
        <v>#N/A</v>
      </c>
      <c r="CM358" t="e">
        <f t="shared" ca="1" si="166"/>
        <v>#N/A</v>
      </c>
      <c r="CN358" s="266"/>
      <c r="CO358" s="266"/>
      <c r="CP358" s="266"/>
      <c r="CQ358" s="266"/>
    </row>
    <row r="359" spans="89:95" x14ac:dyDescent="0.25">
      <c r="CK359" s="248" t="e">
        <f ca="1"/>
        <v>#N/A</v>
      </c>
      <c r="CL359" s="288" t="e">
        <f ca="1"/>
        <v>#N/A</v>
      </c>
      <c r="CM359" t="e">
        <f t="shared" ca="1" si="166"/>
        <v>#N/A</v>
      </c>
      <c r="CN359" s="266"/>
      <c r="CO359" s="266"/>
      <c r="CP359" s="266"/>
      <c r="CQ359" s="266"/>
    </row>
    <row r="360" spans="89:95" x14ac:dyDescent="0.25">
      <c r="CK360" s="248" t="e">
        <f ca="1"/>
        <v>#N/A</v>
      </c>
      <c r="CL360" s="288" t="e">
        <f ca="1"/>
        <v>#N/A</v>
      </c>
      <c r="CM360" t="e">
        <f t="shared" ca="1" si="166"/>
        <v>#N/A</v>
      </c>
      <c r="CN360" s="266"/>
      <c r="CO360" s="266"/>
      <c r="CP360" s="266"/>
      <c r="CQ360" s="266"/>
    </row>
    <row r="361" spans="89:95" x14ac:dyDescent="0.25">
      <c r="CK361" s="248" t="e">
        <f ca="1"/>
        <v>#N/A</v>
      </c>
      <c r="CL361" s="288" t="e">
        <f ca="1"/>
        <v>#N/A</v>
      </c>
      <c r="CM361" t="e">
        <f t="shared" ca="1" si="166"/>
        <v>#N/A</v>
      </c>
      <c r="CN361" s="266"/>
      <c r="CO361" s="266"/>
      <c r="CP361" s="266"/>
      <c r="CQ361" s="266"/>
    </row>
    <row r="362" spans="89:95" x14ac:dyDescent="0.25">
      <c r="CK362" s="248" t="e">
        <f ca="1"/>
        <v>#N/A</v>
      </c>
      <c r="CL362" s="288" t="e">
        <f ca="1"/>
        <v>#N/A</v>
      </c>
      <c r="CM362" t="e">
        <f t="shared" ca="1" si="166"/>
        <v>#N/A</v>
      </c>
      <c r="CN362" s="266"/>
      <c r="CO362" s="266"/>
      <c r="CP362" s="266"/>
      <c r="CQ362" s="266"/>
    </row>
    <row r="363" spans="89:95" x14ac:dyDescent="0.25">
      <c r="CK363" s="248" t="e">
        <f ca="1"/>
        <v>#N/A</v>
      </c>
      <c r="CL363" s="288" t="e">
        <f ca="1"/>
        <v>#N/A</v>
      </c>
      <c r="CM363" t="e">
        <f t="shared" ca="1" si="166"/>
        <v>#N/A</v>
      </c>
      <c r="CN363" s="266"/>
      <c r="CO363" s="266"/>
      <c r="CP363" s="266"/>
      <c r="CQ363" s="266"/>
    </row>
    <row r="364" spans="89:95" x14ac:dyDescent="0.25">
      <c r="CK364" s="248" t="e">
        <f ca="1"/>
        <v>#N/A</v>
      </c>
      <c r="CL364" s="288" t="e">
        <f ca="1"/>
        <v>#N/A</v>
      </c>
      <c r="CM364" t="e">
        <f t="shared" ca="1" si="166"/>
        <v>#N/A</v>
      </c>
      <c r="CN364" s="266"/>
      <c r="CO364" s="266"/>
      <c r="CP364" s="266"/>
      <c r="CQ364" s="266"/>
    </row>
    <row r="365" spans="89:95" x14ac:dyDescent="0.25">
      <c r="CK365" s="248" t="e">
        <f ca="1"/>
        <v>#N/A</v>
      </c>
      <c r="CL365" s="288" t="e">
        <f ca="1"/>
        <v>#N/A</v>
      </c>
      <c r="CM365" t="e">
        <f t="shared" ca="1" si="166"/>
        <v>#N/A</v>
      </c>
      <c r="CN365" s="266"/>
      <c r="CO365" s="266"/>
      <c r="CP365" s="266"/>
      <c r="CQ365" s="266"/>
    </row>
    <row r="366" spans="89:95" x14ac:dyDescent="0.25">
      <c r="CK366" s="248" t="e">
        <f ca="1"/>
        <v>#N/A</v>
      </c>
      <c r="CL366" s="288" t="e">
        <f ca="1"/>
        <v>#N/A</v>
      </c>
      <c r="CM366" t="e">
        <f t="shared" ca="1" si="166"/>
        <v>#N/A</v>
      </c>
      <c r="CN366" s="266"/>
      <c r="CO366" s="266"/>
      <c r="CP366" s="266"/>
      <c r="CQ366" s="266"/>
    </row>
    <row r="367" spans="89:95" x14ac:dyDescent="0.25">
      <c r="CK367" s="248" t="e">
        <f ca="1"/>
        <v>#N/A</v>
      </c>
      <c r="CL367" s="288" t="e">
        <f ca="1"/>
        <v>#N/A</v>
      </c>
      <c r="CM367" t="e">
        <f t="shared" ca="1" si="166"/>
        <v>#N/A</v>
      </c>
      <c r="CN367" s="266"/>
      <c r="CO367" s="266"/>
      <c r="CP367" s="266"/>
      <c r="CQ367" s="266"/>
    </row>
    <row r="368" spans="89:95" x14ac:dyDescent="0.25">
      <c r="CK368" s="248" t="e">
        <f ca="1"/>
        <v>#N/A</v>
      </c>
      <c r="CL368" s="288" t="e">
        <f ca="1"/>
        <v>#N/A</v>
      </c>
      <c r="CM368" t="e">
        <f t="shared" ca="1" si="166"/>
        <v>#N/A</v>
      </c>
      <c r="CN368" s="266"/>
      <c r="CO368" s="266"/>
      <c r="CP368" s="266"/>
      <c r="CQ368" s="266"/>
    </row>
    <row r="369" spans="89:95" x14ac:dyDescent="0.25">
      <c r="CK369" s="248" t="e">
        <f ca="1"/>
        <v>#N/A</v>
      </c>
      <c r="CL369" s="288" t="e">
        <f ca="1"/>
        <v>#N/A</v>
      </c>
      <c r="CM369" t="e">
        <f t="shared" ca="1" si="166"/>
        <v>#N/A</v>
      </c>
      <c r="CN369" s="266"/>
      <c r="CO369" s="266"/>
      <c r="CP369" s="266"/>
      <c r="CQ369" s="266"/>
    </row>
    <row r="370" spans="89:95" x14ac:dyDescent="0.25">
      <c r="CK370" s="248" t="e">
        <f ca="1"/>
        <v>#N/A</v>
      </c>
      <c r="CL370" s="288" t="e">
        <f ca="1"/>
        <v>#N/A</v>
      </c>
      <c r="CM370" t="e">
        <f t="shared" ca="1" si="166"/>
        <v>#N/A</v>
      </c>
      <c r="CN370" s="266"/>
      <c r="CO370" s="266"/>
      <c r="CP370" s="266"/>
      <c r="CQ370" s="266"/>
    </row>
    <row r="371" spans="89:95" x14ac:dyDescent="0.25">
      <c r="CK371" s="248" t="e">
        <f ca="1"/>
        <v>#N/A</v>
      </c>
      <c r="CL371" s="288" t="e">
        <f ca="1"/>
        <v>#N/A</v>
      </c>
      <c r="CM371" t="e">
        <f t="shared" ca="1" si="166"/>
        <v>#N/A</v>
      </c>
      <c r="CN371" s="266"/>
      <c r="CO371" s="266"/>
      <c r="CP371" s="266"/>
      <c r="CQ371" s="266"/>
    </row>
    <row r="372" spans="89:95" x14ac:dyDescent="0.25">
      <c r="CK372" s="248" t="e">
        <f ca="1"/>
        <v>#N/A</v>
      </c>
      <c r="CL372" s="288" t="e">
        <f ca="1"/>
        <v>#N/A</v>
      </c>
      <c r="CM372" t="e">
        <f t="shared" ca="1" si="166"/>
        <v>#N/A</v>
      </c>
      <c r="CN372" s="266"/>
      <c r="CO372" s="266"/>
      <c r="CP372" s="266"/>
      <c r="CQ372" s="266"/>
    </row>
    <row r="373" spans="89:95" x14ac:dyDescent="0.25">
      <c r="CK373" s="248" t="e">
        <f ca="1"/>
        <v>#N/A</v>
      </c>
      <c r="CL373" s="288" t="e">
        <f ca="1"/>
        <v>#N/A</v>
      </c>
      <c r="CM373" t="e">
        <f t="shared" ca="1" si="166"/>
        <v>#N/A</v>
      </c>
      <c r="CN373" s="266"/>
      <c r="CO373" s="266"/>
      <c r="CP373" s="266"/>
      <c r="CQ373" s="266"/>
    </row>
    <row r="374" spans="89:95" x14ac:dyDescent="0.25">
      <c r="CK374" s="248" t="e">
        <f ca="1"/>
        <v>#N/A</v>
      </c>
      <c r="CL374" s="288" t="e">
        <f ca="1"/>
        <v>#N/A</v>
      </c>
      <c r="CM374" t="e">
        <f t="shared" ca="1" si="166"/>
        <v>#N/A</v>
      </c>
      <c r="CN374" s="266"/>
      <c r="CO374" s="266"/>
      <c r="CP374" s="266"/>
      <c r="CQ374" s="266"/>
    </row>
    <row r="375" spans="89:95" x14ac:dyDescent="0.25">
      <c r="CK375" s="248" t="e">
        <f ca="1"/>
        <v>#N/A</v>
      </c>
      <c r="CL375" s="288" t="e">
        <f ca="1"/>
        <v>#N/A</v>
      </c>
      <c r="CM375" t="e">
        <f t="shared" ca="1" si="166"/>
        <v>#N/A</v>
      </c>
      <c r="CN375" s="266"/>
      <c r="CO375" s="266"/>
      <c r="CP375" s="266"/>
      <c r="CQ375" s="266"/>
    </row>
    <row r="376" spans="89:95" x14ac:dyDescent="0.25">
      <c r="CK376" s="248" t="e">
        <f ca="1"/>
        <v>#N/A</v>
      </c>
      <c r="CL376" s="288" t="e">
        <f ca="1"/>
        <v>#N/A</v>
      </c>
      <c r="CM376" t="e">
        <f t="shared" ca="1" si="166"/>
        <v>#N/A</v>
      </c>
      <c r="CN376" s="266"/>
      <c r="CO376" s="266"/>
      <c r="CP376" s="266"/>
      <c r="CQ376" s="266"/>
    </row>
    <row r="377" spans="89:95" x14ac:dyDescent="0.25">
      <c r="CK377" s="248" t="e">
        <f ca="1"/>
        <v>#N/A</v>
      </c>
      <c r="CL377" s="288" t="e">
        <f ca="1"/>
        <v>#N/A</v>
      </c>
      <c r="CM377" t="e">
        <f t="shared" ca="1" si="166"/>
        <v>#N/A</v>
      </c>
      <c r="CN377" s="266"/>
      <c r="CO377" s="266"/>
      <c r="CP377" s="266"/>
      <c r="CQ377" s="266"/>
    </row>
    <row r="378" spans="89:95" x14ac:dyDescent="0.25">
      <c r="CK378" s="248" t="e">
        <f ca="1"/>
        <v>#N/A</v>
      </c>
      <c r="CL378" s="288" t="e">
        <f ca="1"/>
        <v>#N/A</v>
      </c>
      <c r="CM378" t="e">
        <f t="shared" ca="1" si="166"/>
        <v>#N/A</v>
      </c>
      <c r="CN378" s="266"/>
      <c r="CO378" s="266"/>
      <c r="CP378" s="266"/>
      <c r="CQ378" s="266"/>
    </row>
    <row r="379" spans="89:95" x14ac:dyDescent="0.25">
      <c r="CK379" s="248" t="e">
        <f ca="1"/>
        <v>#N/A</v>
      </c>
      <c r="CL379" s="288" t="e">
        <f ca="1"/>
        <v>#N/A</v>
      </c>
      <c r="CM379" t="e">
        <f t="shared" ca="1" si="166"/>
        <v>#N/A</v>
      </c>
      <c r="CN379" s="266"/>
      <c r="CO379" s="266"/>
      <c r="CP379" s="266"/>
      <c r="CQ379" s="266"/>
    </row>
    <row r="380" spans="89:95" x14ac:dyDescent="0.25">
      <c r="CK380" s="248" t="e">
        <f ca="1"/>
        <v>#N/A</v>
      </c>
      <c r="CL380" s="288" t="e">
        <f ca="1"/>
        <v>#N/A</v>
      </c>
      <c r="CM380" t="e">
        <f t="shared" ca="1" si="166"/>
        <v>#N/A</v>
      </c>
      <c r="CN380" s="266"/>
      <c r="CO380" s="266"/>
      <c r="CP380" s="266"/>
      <c r="CQ380" s="266"/>
    </row>
    <row r="381" spans="89:95" x14ac:dyDescent="0.25">
      <c r="CK381" s="248" t="e">
        <f ca="1"/>
        <v>#N/A</v>
      </c>
      <c r="CL381" s="288" t="e">
        <f ca="1"/>
        <v>#N/A</v>
      </c>
      <c r="CM381" t="e">
        <f t="shared" ca="1" si="166"/>
        <v>#N/A</v>
      </c>
      <c r="CN381" s="266"/>
      <c r="CO381" s="266"/>
      <c r="CP381" s="266"/>
      <c r="CQ381" s="266"/>
    </row>
    <row r="382" spans="89:95" x14ac:dyDescent="0.25">
      <c r="CK382" s="248" t="e">
        <f ca="1"/>
        <v>#N/A</v>
      </c>
      <c r="CL382" s="288" t="e">
        <f ca="1"/>
        <v>#N/A</v>
      </c>
      <c r="CM382" t="e">
        <f t="shared" ca="1" si="166"/>
        <v>#N/A</v>
      </c>
      <c r="CN382" s="266"/>
      <c r="CO382" s="266"/>
      <c r="CP382" s="266"/>
      <c r="CQ382" s="266"/>
    </row>
    <row r="383" spans="89:95" x14ac:dyDescent="0.25">
      <c r="CK383" s="248" t="e">
        <f ca="1"/>
        <v>#N/A</v>
      </c>
      <c r="CL383" s="288" t="e">
        <f ca="1"/>
        <v>#N/A</v>
      </c>
      <c r="CM383" t="e">
        <f t="shared" ca="1" si="166"/>
        <v>#N/A</v>
      </c>
      <c r="CN383" s="266"/>
      <c r="CO383" s="266"/>
      <c r="CP383" s="266"/>
      <c r="CQ383" s="266"/>
    </row>
    <row r="384" spans="89:95" x14ac:dyDescent="0.25">
      <c r="CK384" s="248" t="e">
        <f ca="1"/>
        <v>#N/A</v>
      </c>
      <c r="CL384" s="288" t="e">
        <f ca="1"/>
        <v>#N/A</v>
      </c>
      <c r="CM384" t="e">
        <f t="shared" ca="1" si="166"/>
        <v>#N/A</v>
      </c>
      <c r="CN384" s="266"/>
      <c r="CO384" s="266"/>
      <c r="CP384" s="266"/>
      <c r="CQ384" s="266"/>
    </row>
    <row r="385" spans="89:95" x14ac:dyDescent="0.25">
      <c r="CK385" s="248" t="e">
        <f ca="1"/>
        <v>#N/A</v>
      </c>
      <c r="CL385" s="288" t="e">
        <f ca="1"/>
        <v>#N/A</v>
      </c>
      <c r="CM385" t="e">
        <f t="shared" ca="1" si="166"/>
        <v>#N/A</v>
      </c>
      <c r="CN385" s="266"/>
      <c r="CO385" s="266"/>
      <c r="CP385" s="266"/>
      <c r="CQ385" s="266"/>
    </row>
    <row r="386" spans="89:95" x14ac:dyDescent="0.25">
      <c r="CK386" s="248" t="e">
        <f ca="1"/>
        <v>#N/A</v>
      </c>
      <c r="CL386" s="288" t="e">
        <f ca="1"/>
        <v>#N/A</v>
      </c>
      <c r="CM386" t="e">
        <f t="shared" ca="1" si="166"/>
        <v>#N/A</v>
      </c>
      <c r="CN386" s="266"/>
      <c r="CO386" s="266"/>
      <c r="CP386" s="266"/>
      <c r="CQ386" s="266"/>
    </row>
    <row r="387" spans="89:95" x14ac:dyDescent="0.25">
      <c r="CK387" s="248" t="e">
        <f ca="1"/>
        <v>#N/A</v>
      </c>
      <c r="CL387" s="288" t="e">
        <f ca="1"/>
        <v>#N/A</v>
      </c>
      <c r="CM387" t="e">
        <f t="shared" ca="1" si="166"/>
        <v>#N/A</v>
      </c>
      <c r="CN387" s="266"/>
      <c r="CO387" s="266"/>
      <c r="CP387" s="266"/>
      <c r="CQ387" s="266"/>
    </row>
    <row r="388" spans="89:95" x14ac:dyDescent="0.25">
      <c r="CK388" s="248" t="e">
        <f ca="1"/>
        <v>#N/A</v>
      </c>
      <c r="CL388" s="288" t="e">
        <f ca="1"/>
        <v>#N/A</v>
      </c>
      <c r="CM388" t="e">
        <f t="shared" ca="1" si="166"/>
        <v>#N/A</v>
      </c>
      <c r="CN388" s="266"/>
      <c r="CO388" s="266"/>
      <c r="CP388" s="266"/>
      <c r="CQ388" s="266"/>
    </row>
    <row r="389" spans="89:95" x14ac:dyDescent="0.25">
      <c r="CK389" s="248" t="e">
        <f ca="1"/>
        <v>#N/A</v>
      </c>
      <c r="CL389" s="288" t="e">
        <f ca="1"/>
        <v>#N/A</v>
      </c>
      <c r="CM389" t="e">
        <f t="shared" ca="1" si="166"/>
        <v>#N/A</v>
      </c>
      <c r="CN389" s="266"/>
      <c r="CO389" s="266"/>
      <c r="CP389" s="266"/>
      <c r="CQ389" s="266"/>
    </row>
    <row r="390" spans="89:95" x14ac:dyDescent="0.25">
      <c r="CK390" s="248" t="e">
        <f ca="1"/>
        <v>#N/A</v>
      </c>
      <c r="CL390" s="288" t="e">
        <f ca="1"/>
        <v>#N/A</v>
      </c>
      <c r="CM390" t="e">
        <f t="shared" ca="1" si="166"/>
        <v>#N/A</v>
      </c>
      <c r="CN390" s="266"/>
      <c r="CO390" s="266"/>
      <c r="CP390" s="266"/>
      <c r="CQ390" s="266"/>
    </row>
    <row r="391" spans="89:95" x14ac:dyDescent="0.25">
      <c r="CK391" s="248" t="e">
        <f ca="1"/>
        <v>#N/A</v>
      </c>
      <c r="CL391" s="288" t="e">
        <f ca="1"/>
        <v>#N/A</v>
      </c>
      <c r="CM391" t="e">
        <f t="shared" ca="1" si="166"/>
        <v>#N/A</v>
      </c>
      <c r="CN391" s="266"/>
      <c r="CO391" s="266"/>
      <c r="CP391" s="266"/>
      <c r="CQ391" s="266"/>
    </row>
    <row r="392" spans="89:95" x14ac:dyDescent="0.25">
      <c r="CK392" s="248" t="e">
        <f ca="1"/>
        <v>#N/A</v>
      </c>
      <c r="CL392" s="288" t="e">
        <f ca="1"/>
        <v>#N/A</v>
      </c>
      <c r="CM392" t="e">
        <f t="shared" ca="1" si="166"/>
        <v>#N/A</v>
      </c>
      <c r="CN392" s="266"/>
      <c r="CO392" s="266"/>
      <c r="CP392" s="266"/>
      <c r="CQ392" s="266"/>
    </row>
    <row r="393" spans="89:95" x14ac:dyDescent="0.25">
      <c r="CK393" s="248" t="e">
        <f ca="1"/>
        <v>#N/A</v>
      </c>
      <c r="CL393" s="288" t="e">
        <f ca="1"/>
        <v>#N/A</v>
      </c>
      <c r="CM393" t="e">
        <f t="shared" ca="1" si="166"/>
        <v>#N/A</v>
      </c>
      <c r="CN393" s="266"/>
      <c r="CO393" s="266"/>
      <c r="CP393" s="266"/>
      <c r="CQ393" s="266"/>
    </row>
    <row r="394" spans="89:95" x14ac:dyDescent="0.25">
      <c r="CK394" s="248" t="e">
        <f ca="1"/>
        <v>#N/A</v>
      </c>
      <c r="CL394" s="288" t="e">
        <f ca="1"/>
        <v>#N/A</v>
      </c>
      <c r="CM394" t="e">
        <f t="shared" ca="1" si="166"/>
        <v>#N/A</v>
      </c>
      <c r="CN394" s="266"/>
      <c r="CO394" s="266"/>
      <c r="CP394" s="266"/>
      <c r="CQ394" s="266"/>
    </row>
    <row r="395" spans="89:95" x14ac:dyDescent="0.25">
      <c r="CK395" s="248" t="e">
        <f ca="1"/>
        <v>#N/A</v>
      </c>
      <c r="CL395" s="288" t="e">
        <f ca="1"/>
        <v>#N/A</v>
      </c>
      <c r="CM395" t="e">
        <f t="shared" ca="1" si="166"/>
        <v>#N/A</v>
      </c>
      <c r="CN395" s="266"/>
      <c r="CO395" s="266"/>
      <c r="CP395" s="266"/>
      <c r="CQ395" s="266"/>
    </row>
    <row r="396" spans="89:95" x14ac:dyDescent="0.25">
      <c r="CK396" s="248" t="e">
        <f ca="1"/>
        <v>#N/A</v>
      </c>
      <c r="CL396" s="288" t="e">
        <f ca="1"/>
        <v>#N/A</v>
      </c>
      <c r="CM396" t="e">
        <f t="shared" ref="CM396:CM433" ca="1" si="167">CK396=CK264</f>
        <v>#N/A</v>
      </c>
      <c r="CN396" s="266"/>
      <c r="CO396" s="266"/>
      <c r="CP396" s="266"/>
      <c r="CQ396" s="266"/>
    </row>
    <row r="397" spans="89:95" x14ac:dyDescent="0.25">
      <c r="CK397" s="248" t="e">
        <f ca="1"/>
        <v>#N/A</v>
      </c>
      <c r="CL397" s="288" t="e">
        <f ca="1"/>
        <v>#N/A</v>
      </c>
      <c r="CM397" t="e">
        <f t="shared" ca="1" si="167"/>
        <v>#N/A</v>
      </c>
      <c r="CN397" s="266"/>
      <c r="CO397" s="266"/>
      <c r="CP397" s="266"/>
      <c r="CQ397" s="266"/>
    </row>
    <row r="398" spans="89:95" x14ac:dyDescent="0.25">
      <c r="CK398" s="248" t="e">
        <f ca="1"/>
        <v>#N/A</v>
      </c>
      <c r="CL398" s="288" t="e">
        <f ca="1"/>
        <v>#N/A</v>
      </c>
      <c r="CM398" t="e">
        <f t="shared" ca="1" si="167"/>
        <v>#N/A</v>
      </c>
      <c r="CN398" s="266"/>
      <c r="CO398" s="266"/>
      <c r="CP398" s="266"/>
      <c r="CQ398" s="266"/>
    </row>
    <row r="399" spans="89:95" x14ac:dyDescent="0.25">
      <c r="CK399" s="248" t="e">
        <f ca="1"/>
        <v>#N/A</v>
      </c>
      <c r="CL399" s="288" t="e">
        <f ca="1"/>
        <v>#N/A</v>
      </c>
      <c r="CM399" t="e">
        <f t="shared" ca="1" si="167"/>
        <v>#N/A</v>
      </c>
      <c r="CN399" s="266"/>
      <c r="CO399" s="266"/>
      <c r="CP399" s="266"/>
      <c r="CQ399" s="266"/>
    </row>
    <row r="400" spans="89:95" x14ac:dyDescent="0.25">
      <c r="CK400" s="248" t="e">
        <f ca="1"/>
        <v>#N/A</v>
      </c>
      <c r="CL400" s="288" t="e">
        <f ca="1"/>
        <v>#N/A</v>
      </c>
      <c r="CM400" t="e">
        <f t="shared" ca="1" si="167"/>
        <v>#N/A</v>
      </c>
      <c r="CN400" s="266"/>
      <c r="CO400" s="266"/>
      <c r="CP400" s="266"/>
      <c r="CQ400" s="266"/>
    </row>
    <row r="401" spans="89:95" x14ac:dyDescent="0.25">
      <c r="CK401" s="248" t="e">
        <f ca="1"/>
        <v>#N/A</v>
      </c>
      <c r="CL401" s="288" t="e">
        <f ca="1"/>
        <v>#N/A</v>
      </c>
      <c r="CM401" t="e">
        <f t="shared" ca="1" si="167"/>
        <v>#N/A</v>
      </c>
      <c r="CN401" s="266"/>
      <c r="CO401" s="266"/>
      <c r="CP401" s="266"/>
      <c r="CQ401" s="266"/>
    </row>
    <row r="402" spans="89:95" x14ac:dyDescent="0.25">
      <c r="CK402" s="248" t="e">
        <f ca="1"/>
        <v>#N/A</v>
      </c>
      <c r="CL402" s="288" t="e">
        <f ca="1"/>
        <v>#N/A</v>
      </c>
      <c r="CM402" t="e">
        <f t="shared" ca="1" si="167"/>
        <v>#N/A</v>
      </c>
      <c r="CN402" s="266"/>
      <c r="CO402" s="266"/>
      <c r="CP402" s="266"/>
      <c r="CQ402" s="266"/>
    </row>
    <row r="403" spans="89:95" x14ac:dyDescent="0.25">
      <c r="CK403" s="248" t="e">
        <f ca="1"/>
        <v>#N/A</v>
      </c>
      <c r="CL403" s="288" t="e">
        <f ca="1"/>
        <v>#N/A</v>
      </c>
      <c r="CM403" t="e">
        <f t="shared" ca="1" si="167"/>
        <v>#N/A</v>
      </c>
      <c r="CN403" s="266"/>
      <c r="CO403" s="266"/>
      <c r="CP403" s="266"/>
      <c r="CQ403" s="266"/>
    </row>
    <row r="404" spans="89:95" x14ac:dyDescent="0.25">
      <c r="CK404" s="248" t="e">
        <f ca="1"/>
        <v>#N/A</v>
      </c>
      <c r="CL404" s="288" t="e">
        <f ca="1"/>
        <v>#N/A</v>
      </c>
      <c r="CM404" t="e">
        <f t="shared" ca="1" si="167"/>
        <v>#N/A</v>
      </c>
      <c r="CN404" s="266"/>
      <c r="CO404" s="266"/>
      <c r="CP404" s="266"/>
      <c r="CQ404" s="266"/>
    </row>
    <row r="405" spans="89:95" x14ac:dyDescent="0.25">
      <c r="CK405" s="248" t="e">
        <f ca="1"/>
        <v>#N/A</v>
      </c>
      <c r="CL405" s="288" t="e">
        <f ca="1"/>
        <v>#N/A</v>
      </c>
      <c r="CM405" t="e">
        <f t="shared" ca="1" si="167"/>
        <v>#N/A</v>
      </c>
      <c r="CN405" s="266"/>
      <c r="CO405" s="266"/>
      <c r="CP405" s="266"/>
      <c r="CQ405" s="266"/>
    </row>
    <row r="406" spans="89:95" x14ac:dyDescent="0.25">
      <c r="CK406" s="248" t="e">
        <f ca="1"/>
        <v>#N/A</v>
      </c>
      <c r="CL406" s="288" t="e">
        <f ca="1"/>
        <v>#N/A</v>
      </c>
      <c r="CM406" t="e">
        <f t="shared" ca="1" si="167"/>
        <v>#N/A</v>
      </c>
      <c r="CN406" s="266"/>
      <c r="CO406" s="266"/>
      <c r="CP406" s="266"/>
      <c r="CQ406" s="266"/>
    </row>
    <row r="407" spans="89:95" x14ac:dyDescent="0.25">
      <c r="CK407" s="248" t="e">
        <f ca="1"/>
        <v>#N/A</v>
      </c>
      <c r="CL407" s="288" t="e">
        <f ca="1"/>
        <v>#N/A</v>
      </c>
      <c r="CM407" t="e">
        <f t="shared" ca="1" si="167"/>
        <v>#N/A</v>
      </c>
      <c r="CN407" s="266"/>
      <c r="CO407" s="266"/>
      <c r="CP407" s="266"/>
      <c r="CQ407" s="266"/>
    </row>
    <row r="408" spans="89:95" x14ac:dyDescent="0.25">
      <c r="CK408" s="248" t="e">
        <f ca="1"/>
        <v>#N/A</v>
      </c>
      <c r="CL408" s="288" t="e">
        <f ca="1"/>
        <v>#N/A</v>
      </c>
      <c r="CM408" t="e">
        <f t="shared" ca="1" si="167"/>
        <v>#N/A</v>
      </c>
      <c r="CN408" s="266"/>
      <c r="CO408" s="266"/>
      <c r="CP408" s="266"/>
      <c r="CQ408" s="266"/>
    </row>
    <row r="409" spans="89:95" x14ac:dyDescent="0.25">
      <c r="CK409" s="248" t="e">
        <f ca="1"/>
        <v>#N/A</v>
      </c>
      <c r="CL409" s="288" t="e">
        <f ca="1"/>
        <v>#N/A</v>
      </c>
      <c r="CM409" t="e">
        <f t="shared" ca="1" si="167"/>
        <v>#N/A</v>
      </c>
      <c r="CN409" s="266"/>
      <c r="CO409" s="266"/>
      <c r="CP409" s="266"/>
      <c r="CQ409" s="266"/>
    </row>
    <row r="410" spans="89:95" x14ac:dyDescent="0.25">
      <c r="CK410" s="248" t="e">
        <f ca="1"/>
        <v>#N/A</v>
      </c>
      <c r="CL410" s="288" t="e">
        <f ca="1"/>
        <v>#N/A</v>
      </c>
      <c r="CM410" t="e">
        <f t="shared" ca="1" si="167"/>
        <v>#N/A</v>
      </c>
      <c r="CN410" s="266"/>
      <c r="CO410" s="266"/>
      <c r="CP410" s="266"/>
      <c r="CQ410" s="266"/>
    </row>
    <row r="411" spans="89:95" x14ac:dyDescent="0.25">
      <c r="CK411" s="248" t="e">
        <f ca="1"/>
        <v>#N/A</v>
      </c>
      <c r="CL411" s="288" t="e">
        <f ca="1"/>
        <v>#N/A</v>
      </c>
      <c r="CM411" t="e">
        <f t="shared" ca="1" si="167"/>
        <v>#N/A</v>
      </c>
      <c r="CN411" s="266"/>
      <c r="CO411" s="266"/>
      <c r="CP411" s="266"/>
      <c r="CQ411" s="266"/>
    </row>
    <row r="412" spans="89:95" x14ac:dyDescent="0.25">
      <c r="CK412" s="248" t="e">
        <f ca="1"/>
        <v>#N/A</v>
      </c>
      <c r="CL412" s="288" t="e">
        <f ca="1"/>
        <v>#N/A</v>
      </c>
      <c r="CM412" t="e">
        <f t="shared" ca="1" si="167"/>
        <v>#N/A</v>
      </c>
      <c r="CN412" s="266"/>
      <c r="CO412" s="266"/>
      <c r="CP412" s="266"/>
      <c r="CQ412" s="266"/>
    </row>
    <row r="413" spans="89:95" x14ac:dyDescent="0.25">
      <c r="CK413" s="248" t="e">
        <f ca="1"/>
        <v>#N/A</v>
      </c>
      <c r="CL413" s="288" t="e">
        <f ca="1"/>
        <v>#N/A</v>
      </c>
      <c r="CM413" t="e">
        <f t="shared" ca="1" si="167"/>
        <v>#N/A</v>
      </c>
      <c r="CN413" s="266"/>
      <c r="CO413" s="266"/>
      <c r="CP413" s="266"/>
      <c r="CQ413" s="266"/>
    </row>
    <row r="414" spans="89:95" x14ac:dyDescent="0.25">
      <c r="CK414" s="248" t="e">
        <f ca="1"/>
        <v>#N/A</v>
      </c>
      <c r="CL414" s="288" t="e">
        <f ca="1"/>
        <v>#N/A</v>
      </c>
      <c r="CM414" t="e">
        <f t="shared" ca="1" si="167"/>
        <v>#N/A</v>
      </c>
      <c r="CN414" s="266"/>
      <c r="CO414" s="266"/>
      <c r="CP414" s="266"/>
      <c r="CQ414" s="266"/>
    </row>
    <row r="415" spans="89:95" x14ac:dyDescent="0.25">
      <c r="CK415" s="248" t="e">
        <f ca="1"/>
        <v>#N/A</v>
      </c>
      <c r="CL415" s="288" t="e">
        <f ca="1"/>
        <v>#N/A</v>
      </c>
      <c r="CM415" t="e">
        <f t="shared" ca="1" si="167"/>
        <v>#N/A</v>
      </c>
      <c r="CN415" s="266"/>
      <c r="CO415" s="266"/>
      <c r="CP415" s="266"/>
      <c r="CQ415" s="266"/>
    </row>
    <row r="416" spans="89:95" x14ac:dyDescent="0.25">
      <c r="CK416" s="248" t="e">
        <f ca="1"/>
        <v>#N/A</v>
      </c>
      <c r="CL416" s="288" t="e">
        <f ca="1"/>
        <v>#N/A</v>
      </c>
      <c r="CM416" t="e">
        <f t="shared" ca="1" si="167"/>
        <v>#N/A</v>
      </c>
      <c r="CN416" s="266"/>
      <c r="CO416" s="266"/>
      <c r="CP416" s="266"/>
      <c r="CQ416" s="266"/>
    </row>
    <row r="417" spans="89:95" x14ac:dyDescent="0.25">
      <c r="CK417" s="248" t="e">
        <f ca="1"/>
        <v>#N/A</v>
      </c>
      <c r="CL417" s="288" t="e">
        <f ca="1"/>
        <v>#N/A</v>
      </c>
      <c r="CM417" t="e">
        <f t="shared" ca="1" si="167"/>
        <v>#N/A</v>
      </c>
      <c r="CN417" s="266"/>
      <c r="CO417" s="266"/>
      <c r="CP417" s="266"/>
      <c r="CQ417" s="266"/>
    </row>
    <row r="418" spans="89:95" x14ac:dyDescent="0.25">
      <c r="CK418" s="248" t="e">
        <f ca="1"/>
        <v>#N/A</v>
      </c>
      <c r="CL418" s="288" t="e">
        <f ca="1"/>
        <v>#N/A</v>
      </c>
      <c r="CM418" t="e">
        <f t="shared" ca="1" si="167"/>
        <v>#N/A</v>
      </c>
      <c r="CN418" s="266"/>
      <c r="CO418" s="266"/>
      <c r="CP418" s="266"/>
      <c r="CQ418" s="266"/>
    </row>
    <row r="419" spans="89:95" x14ac:dyDescent="0.25">
      <c r="CK419" s="248" t="e">
        <f ca="1"/>
        <v>#N/A</v>
      </c>
      <c r="CL419" s="288" t="e">
        <f ca="1"/>
        <v>#N/A</v>
      </c>
      <c r="CM419" t="e">
        <f t="shared" ca="1" si="167"/>
        <v>#N/A</v>
      </c>
      <c r="CN419" s="266"/>
      <c r="CO419" s="266"/>
      <c r="CP419" s="266"/>
      <c r="CQ419" s="266"/>
    </row>
    <row r="420" spans="89:95" x14ac:dyDescent="0.25">
      <c r="CK420" s="248" t="e">
        <f ca="1"/>
        <v>#N/A</v>
      </c>
      <c r="CL420" s="288" t="e">
        <f ca="1"/>
        <v>#N/A</v>
      </c>
      <c r="CM420" t="e">
        <f t="shared" ca="1" si="167"/>
        <v>#N/A</v>
      </c>
      <c r="CN420" s="266"/>
      <c r="CO420" s="266"/>
      <c r="CP420" s="266"/>
      <c r="CQ420" s="266"/>
    </row>
    <row r="421" spans="89:95" x14ac:dyDescent="0.25">
      <c r="CK421" s="248" t="e">
        <f ca="1"/>
        <v>#N/A</v>
      </c>
      <c r="CL421" s="288" t="e">
        <f ca="1"/>
        <v>#N/A</v>
      </c>
      <c r="CM421" t="e">
        <f t="shared" ca="1" si="167"/>
        <v>#N/A</v>
      </c>
      <c r="CN421" s="266"/>
      <c r="CO421" s="266"/>
      <c r="CP421" s="266"/>
      <c r="CQ421" s="266"/>
    </row>
    <row r="422" spans="89:95" x14ac:dyDescent="0.25">
      <c r="CK422" s="248" t="e">
        <f ca="1"/>
        <v>#N/A</v>
      </c>
      <c r="CL422" s="288" t="e">
        <f ca="1"/>
        <v>#N/A</v>
      </c>
      <c r="CM422" t="e">
        <f t="shared" ca="1" si="167"/>
        <v>#N/A</v>
      </c>
      <c r="CN422" s="266"/>
      <c r="CO422" s="266"/>
      <c r="CP422" s="266"/>
      <c r="CQ422" s="266"/>
    </row>
    <row r="423" spans="89:95" x14ac:dyDescent="0.25">
      <c r="CK423" s="248" t="e">
        <f ca="1"/>
        <v>#N/A</v>
      </c>
      <c r="CL423" s="288" t="e">
        <f ca="1"/>
        <v>#N/A</v>
      </c>
      <c r="CM423" t="e">
        <f t="shared" ca="1" si="167"/>
        <v>#N/A</v>
      </c>
      <c r="CN423" s="266"/>
      <c r="CO423" s="266"/>
      <c r="CP423" s="266"/>
      <c r="CQ423" s="266"/>
    </row>
    <row r="424" spans="89:95" x14ac:dyDescent="0.25">
      <c r="CK424" s="248" t="e">
        <f ca="1"/>
        <v>#N/A</v>
      </c>
      <c r="CL424" s="288" t="e">
        <f ca="1"/>
        <v>#N/A</v>
      </c>
      <c r="CM424" t="e">
        <f t="shared" ca="1" si="167"/>
        <v>#N/A</v>
      </c>
      <c r="CN424" s="266"/>
      <c r="CO424" s="266"/>
      <c r="CP424" s="266"/>
      <c r="CQ424" s="266"/>
    </row>
    <row r="425" spans="89:95" x14ac:dyDescent="0.25">
      <c r="CK425" s="248" t="e">
        <f ca="1"/>
        <v>#N/A</v>
      </c>
      <c r="CL425" s="288" t="e">
        <f ca="1"/>
        <v>#N/A</v>
      </c>
      <c r="CM425" t="e">
        <f t="shared" ca="1" si="167"/>
        <v>#N/A</v>
      </c>
      <c r="CN425" s="266"/>
      <c r="CO425" s="266"/>
      <c r="CP425" s="266"/>
      <c r="CQ425" s="266"/>
    </row>
    <row r="426" spans="89:95" x14ac:dyDescent="0.25">
      <c r="CK426" s="248" t="e">
        <f ca="1"/>
        <v>#N/A</v>
      </c>
      <c r="CL426" s="288" t="e">
        <f ca="1"/>
        <v>#N/A</v>
      </c>
      <c r="CM426" t="e">
        <f t="shared" ca="1" si="167"/>
        <v>#N/A</v>
      </c>
      <c r="CN426" s="266"/>
      <c r="CO426" s="266"/>
      <c r="CP426" s="266"/>
      <c r="CQ426" s="266"/>
    </row>
    <row r="427" spans="89:95" x14ac:dyDescent="0.25">
      <c r="CK427" s="248" t="e">
        <f ca="1"/>
        <v>#N/A</v>
      </c>
      <c r="CL427" s="288" t="e">
        <f ca="1"/>
        <v>#N/A</v>
      </c>
      <c r="CM427" t="e">
        <f t="shared" ca="1" si="167"/>
        <v>#N/A</v>
      </c>
      <c r="CN427" s="266"/>
      <c r="CO427" s="266"/>
      <c r="CP427" s="266"/>
      <c r="CQ427" s="266"/>
    </row>
    <row r="428" spans="89:95" x14ac:dyDescent="0.25">
      <c r="CK428" s="248" t="e">
        <f ca="1"/>
        <v>#N/A</v>
      </c>
      <c r="CL428" s="288" t="e">
        <f ca="1"/>
        <v>#N/A</v>
      </c>
      <c r="CM428" t="e">
        <f t="shared" ca="1" si="167"/>
        <v>#N/A</v>
      </c>
      <c r="CN428" s="266"/>
      <c r="CO428" s="266"/>
      <c r="CP428" s="266"/>
      <c r="CQ428" s="266"/>
    </row>
    <row r="429" spans="89:95" x14ac:dyDescent="0.25">
      <c r="CK429" s="248" t="e">
        <f ca="1"/>
        <v>#N/A</v>
      </c>
      <c r="CL429" s="288" t="e">
        <f ca="1"/>
        <v>#N/A</v>
      </c>
      <c r="CM429" t="e">
        <f t="shared" ca="1" si="167"/>
        <v>#N/A</v>
      </c>
      <c r="CN429" s="266"/>
      <c r="CO429" s="266"/>
      <c r="CP429" s="266"/>
      <c r="CQ429" s="266"/>
    </row>
    <row r="430" spans="89:95" x14ac:dyDescent="0.25">
      <c r="CK430" s="248" t="e">
        <f ca="1"/>
        <v>#N/A</v>
      </c>
      <c r="CL430" s="288" t="e">
        <f ca="1"/>
        <v>#N/A</v>
      </c>
      <c r="CM430" t="e">
        <f t="shared" ca="1" si="167"/>
        <v>#N/A</v>
      </c>
      <c r="CN430" s="266"/>
      <c r="CO430" s="266"/>
      <c r="CP430" s="266"/>
      <c r="CQ430" s="266"/>
    </row>
    <row r="431" spans="89:95" x14ac:dyDescent="0.25">
      <c r="CK431" s="248" t="e">
        <f ca="1"/>
        <v>#N/A</v>
      </c>
      <c r="CL431" s="288" t="e">
        <f ca="1"/>
        <v>#N/A</v>
      </c>
      <c r="CM431" t="e">
        <f t="shared" ca="1" si="167"/>
        <v>#N/A</v>
      </c>
      <c r="CN431" s="266"/>
      <c r="CO431" s="266"/>
      <c r="CP431" s="266"/>
      <c r="CQ431" s="266"/>
    </row>
    <row r="432" spans="89:95" x14ac:dyDescent="0.25">
      <c r="CK432" s="248" t="e">
        <f ca="1"/>
        <v>#N/A</v>
      </c>
      <c r="CL432" s="288" t="e">
        <f ca="1"/>
        <v>#N/A</v>
      </c>
      <c r="CM432" t="e">
        <f t="shared" ca="1" si="167"/>
        <v>#N/A</v>
      </c>
      <c r="CN432" s="266"/>
      <c r="CO432" s="266"/>
      <c r="CP432" s="266"/>
      <c r="CQ432" s="266"/>
    </row>
    <row r="433" spans="89:95" x14ac:dyDescent="0.25">
      <c r="CK433" s="248" t="e">
        <f ca="1"/>
        <v>#N/A</v>
      </c>
      <c r="CL433" s="288" t="e">
        <f ca="1"/>
        <v>#N/A</v>
      </c>
      <c r="CM433" t="e">
        <f t="shared" ca="1" si="167"/>
        <v>#N/A</v>
      </c>
      <c r="CN433" s="266"/>
      <c r="CO433" s="266"/>
      <c r="CP433" s="266"/>
      <c r="CQ433" s="266"/>
    </row>
  </sheetData>
  <dataValidations count="1">
    <dataValidation type="list" allowBlank="1" showInputMessage="1" showErrorMessage="1" sqref="FH2">
      <formula1>"TRUE,FALSE"</formula1>
    </dataValidation>
  </dataValidations>
  <pageMargins left="0.7" right="0.7" top="0.75" bottom="0.75" header="0.3" footer="0.3"/>
  <pageSetup paperSize="9" orientation="portrait" r:id="rId1"/>
  <ignoredErrors>
    <ignoredError sqref="Y20:Y3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OIS - USDOIS</vt:lpstr>
      <vt:lpstr>SWAP - USD3ML</vt:lpstr>
      <vt:lpstr>BASIS - USD6ML</vt:lpstr>
      <vt:lpstr>JACOBIAN - OIS USDOIS</vt:lpstr>
      <vt:lpstr>JACOBIAN - SWAP USD3ML</vt:lpstr>
      <vt:lpstr>JACOBIAN - BASIS USD6ML</vt:lpstr>
      <vt:lpstr>PRICING</vt:lpstr>
      <vt:lpstr>RISK - SWAP USD3ML</vt:lpstr>
      <vt:lpstr>'OIS - USDOIS'!CurveCollection</vt:lpstr>
      <vt:lpstr>'SWAP - USD3ML'!CurveCollection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Burgess Nicholas</dc:creator>
  <cp:lastModifiedBy>Burgess Nicholas</cp:lastModifiedBy>
  <dcterms:created xsi:type="dcterms:W3CDTF">2019-12-13T15:27:32Z</dcterms:created>
  <dcterms:modified xsi:type="dcterms:W3CDTF">2019-12-17T13:39:42Z</dcterms:modified>
</cp:coreProperties>
</file>