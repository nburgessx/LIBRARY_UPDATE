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00" windowHeight="1176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E12" i="1" l="1" a="1"/>
  <c r="E12" i="1"/>
  <c r="E13" i="1"/>
  <c r="K26" i="1" a="1"/>
  <c r="K26" i="1"/>
  <c r="K4" i="1" a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C5" i="1" l="1"/>
  <c r="C6" i="1" s="1"/>
  <c r="C7" i="1" s="1"/>
  <c r="C8" i="1" s="1"/>
  <c r="C9" i="1" s="1"/>
  <c r="C10" i="1" s="1"/>
  <c r="C11" i="1" s="1"/>
  <c r="C12" i="1" s="1"/>
  <c r="C13" i="1" s="1"/>
  <c r="C14" i="1" s="1"/>
  <c r="B10" i="1"/>
  <c r="B7" i="1"/>
  <c r="B11" i="1"/>
  <c r="B8" i="1"/>
  <c r="B4" i="1"/>
  <c r="B9" i="1"/>
  <c r="B5" i="1"/>
  <c r="B6" i="1"/>
  <c r="B12" i="1"/>
  <c r="B13" i="1"/>
  <c r="B14" i="1"/>
  <c r="E8" i="1" s="1" a="1"/>
  <c r="B26" i="1"/>
  <c r="B30" i="1"/>
  <c r="B27" i="1"/>
  <c r="B25" i="1"/>
  <c r="B28" i="1"/>
  <c r="B29" i="1"/>
  <c r="L26" i="1"/>
  <c r="L30" i="1"/>
  <c r="L27" i="1"/>
  <c r="L25" i="1"/>
  <c r="L28" i="1"/>
  <c r="L29" i="1"/>
  <c r="E8" i="1" l="1"/>
  <c r="E9" i="1"/>
  <c r="K29" i="1"/>
  <c r="K28" i="1"/>
  <c r="K25" i="1"/>
  <c r="K27" i="1"/>
  <c r="K30" i="1"/>
  <c r="E29" i="1" l="1" a="1"/>
  <c r="E30" i="1"/>
  <c r="E29" i="1"/>
  <c r="N5" i="1" a="1"/>
  <c r="N19" i="1"/>
  <c r="N11" i="1"/>
  <c r="N18" i="1"/>
  <c r="N10" i="1"/>
  <c r="N17" i="1"/>
  <c r="N9" i="1"/>
  <c r="N16" i="1"/>
  <c r="N8" i="1"/>
  <c r="N15" i="1"/>
  <c r="N7" i="1"/>
  <c r="N14" i="1"/>
  <c r="N6" i="1"/>
  <c r="N13" i="1"/>
  <c r="N5" i="1"/>
  <c r="N12" i="1"/>
  <c r="O5" i="1" a="1"/>
  <c r="O5" i="1"/>
  <c r="Q5" i="1"/>
  <c r="O11" i="1"/>
  <c r="Q11" i="1"/>
  <c r="O18" i="1"/>
  <c r="Q18" i="1"/>
  <c r="O7" i="1"/>
  <c r="Q7" i="1"/>
  <c r="O8" i="1"/>
  <c r="Q8" i="1"/>
  <c r="O12" i="1"/>
  <c r="Q12" i="1"/>
  <c r="O16" i="1"/>
  <c r="Q16" i="1"/>
  <c r="O19" i="1"/>
  <c r="Q19" i="1"/>
  <c r="O15" i="1"/>
  <c r="Q15" i="1"/>
  <c r="O6" i="1"/>
  <c r="Q6" i="1"/>
  <c r="O9" i="1"/>
  <c r="Q9" i="1"/>
  <c r="O13" i="1"/>
  <c r="Q13" i="1"/>
  <c r="O14" i="1"/>
  <c r="Q14" i="1"/>
  <c r="O10" i="1"/>
  <c r="Q10" i="1"/>
  <c r="O17" i="1"/>
  <c r="Q17" i="1"/>
</calcChain>
</file>

<file path=xl/sharedStrings.xml><?xml version="1.0" encoding="utf-8"?>
<sst xmlns="http://schemas.openxmlformats.org/spreadsheetml/2006/main" count="131" uniqueCount="30">
  <si>
    <t>USDYC</t>
  </si>
  <si>
    <t>USDOIS</t>
  </si>
  <si>
    <t>CurveCollection</t>
  </si>
  <si>
    <t>CurveIndex</t>
  </si>
  <si>
    <t xml:space="preserve"> </t>
  </si>
  <si>
    <t>CurveIDs</t>
  </si>
  <si>
    <t>Check</t>
  </si>
  <si>
    <t>PaymentDate</t>
  </si>
  <si>
    <t>FixingDate</t>
  </si>
  <si>
    <t>ForwardRate</t>
  </si>
  <si>
    <t>1Y</t>
  </si>
  <si>
    <t>2Y</t>
  </si>
  <si>
    <t>5Y</t>
  </si>
  <si>
    <t>10Y</t>
  </si>
  <si>
    <t>20Y</t>
  </si>
  <si>
    <t>30Y</t>
  </si>
  <si>
    <t>DiscountFactor</t>
  </si>
  <si>
    <t>3Y</t>
  </si>
  <si>
    <t>4Y</t>
  </si>
  <si>
    <t>6Y</t>
  </si>
  <si>
    <t>7Y</t>
  </si>
  <si>
    <t>8Y</t>
  </si>
  <si>
    <t>USD6ML</t>
  </si>
  <si>
    <t>Check Results</t>
  </si>
  <si>
    <t>meCurveDiscountFactorsOverride</t>
  </si>
  <si>
    <t>meCurveForwardRatesOverride</t>
  </si>
  <si>
    <t>meCurveDiscountFactorsDisplay</t>
  </si>
  <si>
    <t>meCurveDatesToTerms</t>
  </si>
  <si>
    <t>meCurveTermsToDates</t>
  </si>
  <si>
    <t>meCurveDiscountFactorsSetToOne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</si>
</sst>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00"/>
    <numFmt numFmtId="165" formatCode="ddd\,\ d\-mmm\-yy"/>
    <numFmt numFmtId="166" formatCode="#,##0.0000"/>
    <numFmt numFmtId="167" formatCode="0.00000%"/>
  </numFmts>
  <fonts count="5" x14ac:knownFonts="1">
    <font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33993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5" fontId="3" fillId="2" borderId="0" xfId="0" applyNumberFormat="1" applyFont="1" applyFill="1"/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165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66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showGridLines="0" tabSelected="1" workbookViewId="0"/>
  </sheetViews>
  <sheetFormatPr defaultRowHeight="15" x14ac:dyDescent="0.25"/>
  <cols>
    <col min="2" max="2" width="15.42578125" bestFit="1" customWidth="1"/>
    <col min="3" max="3" width="14.28515625" bestFit="1" customWidth="1"/>
    <col min="5" max="5" width="18.140625" customWidth="1"/>
    <col min="11" max="11" width="15.140625" customWidth="1"/>
    <col min="12" max="12" width="15.140625" bestFit="1" customWidth="1"/>
    <col min="14" max="14" width="10.7109375" customWidth="1"/>
    <col min="15" max="15" width="12.5703125" customWidth="1"/>
  </cols>
  <sheetData>
    <row r="1" spans="1:17" x14ac:dyDescent="0.25">
      <c r="M1" t="s">
        <v>4</v>
      </c>
    </row>
    <row r="2" spans="1:17" x14ac:dyDescent="0.25">
      <c r="M2" t="s">
        <v>4</v>
      </c>
    </row>
    <row r="3" spans="1:17" x14ac:dyDescent="0.25">
      <c r="A3" s="14"/>
      <c r="B3" s="10" t="s">
        <v>7</v>
      </c>
      <c r="C3" s="10" t="s">
        <v>16</v>
      </c>
      <c r="D3" t="s">
        <v>4</v>
      </c>
      <c r="E3" s="11" t="s">
        <v>5</v>
      </c>
      <c r="J3" t="s">
        <v>4</v>
      </c>
      <c r="K3" s="4" t="s">
        <v>26</v>
      </c>
      <c r="M3" t="s">
        <v>4</v>
      </c>
      <c r="N3" s="4" t="s">
        <v>27</v>
      </c>
    </row>
    <row r="4" spans="1:17" x14ac:dyDescent="0.25">
      <c r="A4" s="14" t="s">
        <v>10</v>
      </c>
      <c r="B4" s="9">
        <f ca="1">_xll.meDateFromTenor(TODAY(),A4)</f>
        <v>43630</v>
      </c>
      <c r="C4" s="1">
        <v>0.99</v>
      </c>
      <c r="D4" t="s">
        <v>4</v>
      </c>
      <c r="E4" t="s">
        <v>2</v>
      </c>
      <c r="F4" t="s">
        <v>0</v>
      </c>
      <c r="J4" t="s">
        <v>4</v>
      </c>
      <c r="K4" s="6" t="str">
        <f t="array" aca="1" ref="K4:L19" ca="1">_xll.meCurveDiscountFactorsDisplay($F$4,$F$5)</f>
        <v>PaymentDates</v>
      </c>
      <c r="L4" s="6" t="str">
        <f ca="1"/>
        <v>DiscountFactors</v>
      </c>
      <c r="M4" t="s">
        <v>4</v>
      </c>
      <c r="N4" s="4" t="s">
        <v>28</v>
      </c>
      <c r="Q4" s="10" t="s">
        <v>6</v>
      </c>
    </row>
    <row r="5" spans="1:17" x14ac:dyDescent="0.25">
      <c r="A5" s="14" t="s">
        <v>11</v>
      </c>
      <c r="B5" s="9">
        <f ca="1">_xll.meDateFromTenor(TODAY(),A5)</f>
        <v>43996</v>
      </c>
      <c r="C5" s="1">
        <f>C4-0.01</f>
        <v>0.98</v>
      </c>
      <c r="D5" t="s">
        <v>4</v>
      </c>
      <c r="E5" t="s">
        <v>3</v>
      </c>
      <c r="F5" t="s">
        <v>1</v>
      </c>
      <c r="J5" t="s">
        <v>4</v>
      </c>
      <c r="K5" s="7">
        <f ca="1"/>
        <v>43630</v>
      </c>
      <c r="L5" s="5">
        <f ca="1"/>
        <v>1</v>
      </c>
      <c r="M5" t="s">
        <v>4</v>
      </c>
      <c r="N5" s="8">
        <f t="array" aca="1" ref="N5:N19" ca="1">_xll.meCurveDatesToTerms(F4,K5:K19)</f>
        <v>1</v>
      </c>
      <c r="O5" s="12">
        <f t="array" aca="1" ref="O5:O19" ca="1">_xll.meCurveTermsToDates(F4,N5:N19)</f>
        <v>43630</v>
      </c>
      <c r="P5" t="s">
        <v>4</v>
      </c>
      <c r="Q5" s="3" t="b">
        <f ca="1">K5=O5</f>
        <v>1</v>
      </c>
    </row>
    <row r="6" spans="1:17" x14ac:dyDescent="0.25">
      <c r="A6" s="14" t="s">
        <v>17</v>
      </c>
      <c r="B6" s="9">
        <f ca="1">_xll.meDateFromTenor(TODAY(),A6)</f>
        <v>44361</v>
      </c>
      <c r="C6" s="1">
        <f t="shared" ref="C6:C14" si="0">C5-0.01</f>
        <v>0.97</v>
      </c>
      <c r="D6" t="s">
        <v>4</v>
      </c>
      <c r="J6" t="s">
        <v>4</v>
      </c>
      <c r="K6" s="7">
        <f ca="1"/>
        <v>43996</v>
      </c>
      <c r="L6" s="5">
        <f ca="1"/>
        <v>1</v>
      </c>
      <c r="M6" t="s">
        <v>4</v>
      </c>
      <c r="N6" s="8">
        <f ca="1"/>
        <v>2.0014971180477579</v>
      </c>
      <c r="O6" s="12">
        <f ca="1"/>
        <v>43996</v>
      </c>
      <c r="P6" t="s">
        <v>4</v>
      </c>
      <c r="Q6" s="3" t="b">
        <f t="shared" ref="Q6:Q19" ca="1" si="1">K6=O6</f>
        <v>1</v>
      </c>
    </row>
    <row r="7" spans="1:17" x14ac:dyDescent="0.25">
      <c r="A7" s="14" t="s">
        <v>18</v>
      </c>
      <c r="B7" s="9">
        <f ca="1">_xll.meDateFromTenor(TODAY(),A7)</f>
        <v>44726</v>
      </c>
      <c r="C7" s="1">
        <f t="shared" si="0"/>
        <v>0.96</v>
      </c>
      <c r="D7" t="s">
        <v>4</v>
      </c>
      <c r="E7" s="4" t="s">
        <v>24</v>
      </c>
      <c r="J7" t="s">
        <v>4</v>
      </c>
      <c r="K7" s="7">
        <f ca="1"/>
        <v>44361</v>
      </c>
      <c r="L7" s="5">
        <f ca="1"/>
        <v>1</v>
      </c>
      <c r="M7" t="s">
        <v>4</v>
      </c>
      <c r="N7" s="8">
        <f ca="1"/>
        <v>3</v>
      </c>
      <c r="O7" s="12">
        <f ca="1"/>
        <v>44361</v>
      </c>
      <c r="P7" t="s">
        <v>4</v>
      </c>
      <c r="Q7" s="3" t="b">
        <f t="shared" ca="1" si="1"/>
        <v>1</v>
      </c>
    </row>
    <row r="8" spans="1:17" x14ac:dyDescent="0.25">
      <c r="A8" s="14" t="s">
        <v>12</v>
      </c>
      <c r="B8" s="9">
        <f ca="1">_xll.meDateFromTenor(TODAY(),A8)</f>
        <v>45091</v>
      </c>
      <c r="C8" s="1">
        <f t="shared" si="0"/>
        <v>0.95</v>
      </c>
      <c r="D8" t="s">
        <v>4</v>
      </c>
      <c r="E8" s="19" t="str">
        <f t="array" aca="1" ref="E8:E9" ca="1">_xll.meCurveDiscountFactorsOverride($F$4,$F$5,$B$4:$B$17,$C$4:$C$17)</f>
        <v>Discount Factors set for curve USDYC, curve index USDOIS</v>
      </c>
      <c r="F8" s="20"/>
      <c r="G8" s="20"/>
      <c r="H8" s="20"/>
      <c r="I8" s="20"/>
      <c r="J8" t="s">
        <v>4</v>
      </c>
      <c r="K8" s="7">
        <f ca="1"/>
        <v>44726</v>
      </c>
      <c r="L8" s="5">
        <f ca="1"/>
        <v>1</v>
      </c>
      <c r="M8" t="s">
        <v>4</v>
      </c>
      <c r="N8" s="8">
        <f ca="1"/>
        <v>4</v>
      </c>
      <c r="O8" s="12">
        <f ca="1"/>
        <v>44726</v>
      </c>
      <c r="P8" t="s">
        <v>4</v>
      </c>
      <c r="Q8" s="3" t="b">
        <f t="shared" ca="1" si="1"/>
        <v>1</v>
      </c>
    </row>
    <row r="9" spans="1:17" x14ac:dyDescent="0.25">
      <c r="A9" s="14" t="s">
        <v>19</v>
      </c>
      <c r="B9" s="9">
        <f ca="1">_xll.meDateFromTenor(TODAY(),A9)</f>
        <v>45457</v>
      </c>
      <c r="C9" s="1">
        <f t="shared" si="0"/>
        <v>0.94</v>
      </c>
      <c r="D9" t="s">
        <v>4</v>
      </c>
      <c r="E9" s="19" t="str">
        <f ca="1"/>
        <v>0.000000 sec</v>
      </c>
      <c r="F9" s="20"/>
      <c r="G9" s="20"/>
      <c r="H9" s="20"/>
      <c r="I9" s="20"/>
      <c r="J9" t="s">
        <v>4</v>
      </c>
      <c r="K9" s="7">
        <f ca="1"/>
        <v>45091</v>
      </c>
      <c r="L9" s="5">
        <f ca="1"/>
        <v>1</v>
      </c>
      <c r="M9" t="s">
        <v>4</v>
      </c>
      <c r="N9" s="8">
        <f ca="1"/>
        <v>5</v>
      </c>
      <c r="O9" s="12">
        <f ca="1"/>
        <v>45091</v>
      </c>
      <c r="P9" t="s">
        <v>4</v>
      </c>
      <c r="Q9" s="3" t="b">
        <f t="shared" ca="1" si="1"/>
        <v>1</v>
      </c>
    </row>
    <row r="10" spans="1:17" x14ac:dyDescent="0.25">
      <c r="A10" s="14" t="s">
        <v>20</v>
      </c>
      <c r="B10" s="9">
        <f ca="1">_xll.meDateFromTenor(TODAY(),A10)</f>
        <v>45822</v>
      </c>
      <c r="C10" s="1">
        <f t="shared" si="0"/>
        <v>0.92999999999999994</v>
      </c>
      <c r="D10" t="s">
        <v>4</v>
      </c>
      <c r="J10" t="s">
        <v>4</v>
      </c>
      <c r="K10" s="7">
        <f ca="1"/>
        <v>45457</v>
      </c>
      <c r="L10" s="5">
        <f ca="1"/>
        <v>1</v>
      </c>
      <c r="M10" t="s">
        <v>4</v>
      </c>
      <c r="N10" s="8">
        <f ca="1"/>
        <v>6.0014971180477579</v>
      </c>
      <c r="O10" s="12">
        <f ca="1"/>
        <v>45457</v>
      </c>
      <c r="P10" t="s">
        <v>4</v>
      </c>
      <c r="Q10" s="3" t="b">
        <f t="shared" ca="1" si="1"/>
        <v>1</v>
      </c>
    </row>
    <row r="11" spans="1:17" x14ac:dyDescent="0.25">
      <c r="A11" s="14" t="s">
        <v>21</v>
      </c>
      <c r="B11" s="9">
        <f ca="1">_xll.meDateFromTenor(TODAY(),A11)</f>
        <v>46187</v>
      </c>
      <c r="C11" s="1">
        <f t="shared" si="0"/>
        <v>0.91999999999999993</v>
      </c>
      <c r="D11" t="s">
        <v>4</v>
      </c>
      <c r="E11" s="4" t="s">
        <v>29</v>
      </c>
      <c r="J11" t="s">
        <v>4</v>
      </c>
      <c r="K11" s="7">
        <f ca="1"/>
        <v>45822</v>
      </c>
      <c r="L11" s="5">
        <f ca="1"/>
        <v>1</v>
      </c>
      <c r="M11" t="s">
        <v>4</v>
      </c>
      <c r="N11" s="8">
        <f ca="1"/>
        <v>7</v>
      </c>
      <c r="O11" s="12">
        <f ca="1"/>
        <v>45822</v>
      </c>
      <c r="P11" t="s">
        <v>4</v>
      </c>
      <c r="Q11" s="3" t="b">
        <f t="shared" ca="1" si="1"/>
        <v>1</v>
      </c>
    </row>
    <row r="12" spans="1:17" x14ac:dyDescent="0.25">
      <c r="A12" s="14" t="s">
        <v>13</v>
      </c>
      <c r="B12" s="9">
        <f ca="1">_xll.meDateFromTenor(TODAY(),A12)</f>
        <v>46918</v>
      </c>
      <c r="C12" s="1">
        <f t="shared" si="0"/>
        <v>0.90999999999999992</v>
      </c>
      <c r="D12" t="s">
        <v>4</v>
      </c>
      <c r="E12" s="19" t="str">
        <f t="array" aca="1" ref="E12:E13" ca="1">_xll.meCurveDiscountFactorsSetToOne($F$4,$F$5)</f>
        <v>Discount Factors set to ONE for curve USDYC, curve index USDOIS</v>
      </c>
      <c r="F12" s="20"/>
      <c r="G12" s="20"/>
      <c r="H12" s="20"/>
      <c r="I12" s="20"/>
      <c r="J12" t="s">
        <v>4</v>
      </c>
      <c r="K12" s="7">
        <f ca="1"/>
        <v>46187</v>
      </c>
      <c r="L12" s="5">
        <f ca="1"/>
        <v>1</v>
      </c>
      <c r="M12" t="s">
        <v>4</v>
      </c>
      <c r="N12" s="8">
        <f ca="1"/>
        <v>8</v>
      </c>
      <c r="O12" s="12">
        <f ca="1"/>
        <v>46187</v>
      </c>
      <c r="P12" t="s">
        <v>4</v>
      </c>
      <c r="Q12" s="3" t="b">
        <f t="shared" ca="1" si="1"/>
        <v>1</v>
      </c>
    </row>
    <row r="13" spans="1:17" x14ac:dyDescent="0.25">
      <c r="A13" s="14" t="s">
        <v>14</v>
      </c>
      <c r="B13" s="9">
        <f ca="1">_xll.meDateFromTenor(TODAY(),A13)</f>
        <v>50570</v>
      </c>
      <c r="C13" s="1">
        <f t="shared" si="0"/>
        <v>0.89999999999999991</v>
      </c>
      <c r="D13" t="s">
        <v>4</v>
      </c>
      <c r="E13" s="19" t="str">
        <f ca="1"/>
        <v>0.001000 sec</v>
      </c>
      <c r="F13" s="20"/>
      <c r="G13" s="20"/>
      <c r="H13" s="20"/>
      <c r="I13" s="20"/>
      <c r="J13" t="s">
        <v>4</v>
      </c>
      <c r="K13" s="7">
        <f ca="1"/>
        <v>46918</v>
      </c>
      <c r="L13" s="5">
        <f ca="1"/>
        <v>1</v>
      </c>
      <c r="M13" t="s">
        <v>4</v>
      </c>
      <c r="N13" s="8">
        <f ca="1"/>
        <v>10.001497118047759</v>
      </c>
      <c r="O13" s="12">
        <f ca="1"/>
        <v>46918</v>
      </c>
      <c r="P13" t="s">
        <v>4</v>
      </c>
      <c r="Q13" s="3" t="b">
        <f t="shared" ca="1" si="1"/>
        <v>1</v>
      </c>
    </row>
    <row r="14" spans="1:17" x14ac:dyDescent="0.25">
      <c r="A14" s="14" t="s">
        <v>15</v>
      </c>
      <c r="B14" s="9">
        <f ca="1">_xll.meDateFromTenor(TODAY(),A14)</f>
        <v>54223</v>
      </c>
      <c r="C14" s="1">
        <f t="shared" si="0"/>
        <v>0.8899999999999999</v>
      </c>
      <c r="D14" t="s">
        <v>4</v>
      </c>
      <c r="J14" t="s">
        <v>4</v>
      </c>
      <c r="K14" s="7">
        <f ca="1"/>
        <v>50570</v>
      </c>
      <c r="L14" s="5">
        <f ca="1"/>
        <v>1</v>
      </c>
      <c r="M14" t="s">
        <v>4</v>
      </c>
      <c r="N14" s="8">
        <f ca="1"/>
        <v>20</v>
      </c>
      <c r="O14" s="12">
        <f ca="1"/>
        <v>50570</v>
      </c>
      <c r="P14" t="s">
        <v>4</v>
      </c>
      <c r="Q14" s="3" t="b">
        <f t="shared" ca="1" si="1"/>
        <v>1</v>
      </c>
    </row>
    <row r="15" spans="1:17" x14ac:dyDescent="0.25">
      <c r="A15" s="14"/>
      <c r="B15" s="9"/>
      <c r="C15" s="1"/>
      <c r="D15" t="s">
        <v>4</v>
      </c>
      <c r="J15" t="s">
        <v>4</v>
      </c>
      <c r="K15" s="7">
        <f ca="1"/>
        <v>54223</v>
      </c>
      <c r="L15" s="5">
        <f ca="1"/>
        <v>1</v>
      </c>
      <c r="M15" t="s">
        <v>4</v>
      </c>
      <c r="N15" s="8">
        <f ca="1"/>
        <v>30.001497118047759</v>
      </c>
      <c r="O15" s="12">
        <f ca="1"/>
        <v>54223</v>
      </c>
      <c r="P15" t="s">
        <v>4</v>
      </c>
      <c r="Q15" s="3" t="b">
        <f t="shared" ca="1" si="1"/>
        <v>1</v>
      </c>
    </row>
    <row r="16" spans="1:17" x14ac:dyDescent="0.25">
      <c r="A16" s="14"/>
      <c r="B16" s="9"/>
      <c r="C16" s="1"/>
      <c r="D16" t="s">
        <v>4</v>
      </c>
      <c r="J16" t="s">
        <v>4</v>
      </c>
      <c r="K16" s="7" t="e">
        <f ca="1"/>
        <v>#N/A</v>
      </c>
      <c r="L16" s="5" t="e">
        <f ca="1"/>
        <v>#N/A</v>
      </c>
      <c r="M16" t="s">
        <v>4</v>
      </c>
      <c r="N16" s="8" t="e">
        <f ca="1"/>
        <v>#N/A</v>
      </c>
      <c r="O16" s="12" t="e">
        <f ca="1"/>
        <v>#N/A</v>
      </c>
      <c r="P16" t="s">
        <v>4</v>
      </c>
      <c r="Q16" s="3" t="e">
        <f t="shared" ca="1" si="1"/>
        <v>#N/A</v>
      </c>
    </row>
    <row r="17" spans="1:17" x14ac:dyDescent="0.25">
      <c r="A17" s="14"/>
      <c r="B17" s="9"/>
      <c r="C17" s="1"/>
      <c r="D17" t="s">
        <v>4</v>
      </c>
      <c r="J17" t="s">
        <v>4</v>
      </c>
      <c r="K17" s="7" t="e">
        <f ca="1"/>
        <v>#N/A</v>
      </c>
      <c r="L17" s="5" t="e">
        <f ca="1"/>
        <v>#N/A</v>
      </c>
      <c r="M17" t="s">
        <v>4</v>
      </c>
      <c r="N17" s="8" t="e">
        <f ca="1"/>
        <v>#N/A</v>
      </c>
      <c r="O17" s="12" t="e">
        <f ca="1"/>
        <v>#N/A</v>
      </c>
      <c r="P17" t="s">
        <v>4</v>
      </c>
      <c r="Q17" s="3" t="e">
        <f t="shared" ca="1" si="1"/>
        <v>#N/A</v>
      </c>
    </row>
    <row r="18" spans="1:17" x14ac:dyDescent="0.25">
      <c r="A18" s="14"/>
      <c r="D18" t="s">
        <v>4</v>
      </c>
      <c r="J18" t="s">
        <v>4</v>
      </c>
      <c r="K18" s="7" t="e">
        <f ca="1"/>
        <v>#N/A</v>
      </c>
      <c r="L18" s="5" t="e">
        <f ca="1"/>
        <v>#N/A</v>
      </c>
      <c r="M18" t="s">
        <v>4</v>
      </c>
      <c r="N18" s="8" t="e">
        <f ca="1"/>
        <v>#N/A</v>
      </c>
      <c r="O18" s="12" t="e">
        <f ca="1"/>
        <v>#N/A</v>
      </c>
      <c r="P18" t="s">
        <v>4</v>
      </c>
      <c r="Q18" s="3" t="e">
        <f t="shared" ca="1" si="1"/>
        <v>#N/A</v>
      </c>
    </row>
    <row r="19" spans="1:17" x14ac:dyDescent="0.25">
      <c r="A19" s="14"/>
      <c r="D19" t="s">
        <v>4</v>
      </c>
      <c r="J19" t="s">
        <v>4</v>
      </c>
      <c r="K19" s="7" t="e">
        <f ca="1"/>
        <v>#N/A</v>
      </c>
      <c r="L19" s="5" t="e">
        <f ca="1"/>
        <v>#N/A</v>
      </c>
      <c r="M19" t="s">
        <v>4</v>
      </c>
      <c r="N19" s="8" t="e">
        <f ca="1"/>
        <v>#N/A</v>
      </c>
      <c r="O19" s="12" t="e">
        <f ca="1"/>
        <v>#N/A</v>
      </c>
      <c r="P19" t="s">
        <v>4</v>
      </c>
      <c r="Q19" s="3" t="e">
        <f t="shared" ca="1" si="1"/>
        <v>#N/A</v>
      </c>
    </row>
    <row r="20" spans="1:17" x14ac:dyDescent="0.25">
      <c r="A20" s="14"/>
      <c r="C20" s="1"/>
      <c r="J20" t="s">
        <v>4</v>
      </c>
      <c r="M20" t="s">
        <v>4</v>
      </c>
    </row>
    <row r="21" spans="1:17" x14ac:dyDescent="0.25">
      <c r="A21" s="14"/>
      <c r="C21" s="1"/>
      <c r="J21" t="s">
        <v>4</v>
      </c>
      <c r="M21" t="s">
        <v>4</v>
      </c>
    </row>
    <row r="22" spans="1:17" x14ac:dyDescent="0.25">
      <c r="A22" s="14"/>
      <c r="C22" s="1"/>
      <c r="J22" t="s">
        <v>4</v>
      </c>
      <c r="M22" t="s">
        <v>4</v>
      </c>
    </row>
    <row r="23" spans="1:17" x14ac:dyDescent="0.25">
      <c r="A23" s="14"/>
      <c r="C23" s="1"/>
      <c r="J23" t="s">
        <v>4</v>
      </c>
      <c r="K23" s="4" t="s">
        <v>23</v>
      </c>
      <c r="M23" t="s">
        <v>4</v>
      </c>
    </row>
    <row r="24" spans="1:17" x14ac:dyDescent="0.25">
      <c r="A24" s="14"/>
      <c r="B24" s="17" t="s">
        <v>8</v>
      </c>
      <c r="C24" s="18" t="s">
        <v>9</v>
      </c>
      <c r="E24" s="11" t="s">
        <v>5</v>
      </c>
      <c r="J24" t="s">
        <v>4</v>
      </c>
      <c r="K24" s="14" t="s">
        <v>8</v>
      </c>
      <c r="L24" s="14" t="s">
        <v>9</v>
      </c>
      <c r="M24" t="s">
        <v>4</v>
      </c>
    </row>
    <row r="25" spans="1:17" x14ac:dyDescent="0.25">
      <c r="A25" s="14" t="s">
        <v>10</v>
      </c>
      <c r="B25" s="2">
        <f ca="1">_xll.meDateFromTenor(TODAY(),A25)</f>
        <v>43630</v>
      </c>
      <c r="C25" s="13">
        <v>0.02</v>
      </c>
      <c r="E25" t="s">
        <v>2</v>
      </c>
      <c r="F25" t="s">
        <v>0</v>
      </c>
      <c r="J25" t="s">
        <v>4</v>
      </c>
      <c r="K25" s="15">
        <f ca="1">B25</f>
        <v>43630</v>
      </c>
      <c r="L25" s="16">
        <f ca="1">_xll.meCurveForwardRates(B25,$F$25,$F$26)</f>
        <v>2.0000000020038992E-2</v>
      </c>
      <c r="M25" t="s">
        <v>4</v>
      </c>
    </row>
    <row r="26" spans="1:17" x14ac:dyDescent="0.25">
      <c r="A26" s="14" t="s">
        <v>11</v>
      </c>
      <c r="B26" s="2">
        <f ca="1">_xll.meDateFromTenor(TODAY(),A26)</f>
        <v>43996</v>
      </c>
      <c r="C26" s="13">
        <v>0.02</v>
      </c>
      <c r="E26" t="s">
        <v>3</v>
      </c>
      <c r="F26" t="s">
        <v>22</v>
      </c>
      <c r="J26" t="s">
        <v>4</v>
      </c>
      <c r="K26" s="15">
        <f t="array" aca="1" ref="K26" ca="1">B26</f>
        <v>43996</v>
      </c>
      <c r="L26" s="16">
        <f ca="1">_xll.meCurveForwardRates(B26,$F$25,$F$26)</f>
        <v>1.999999999877387E-2</v>
      </c>
      <c r="M26" t="s">
        <v>4</v>
      </c>
    </row>
    <row r="27" spans="1:17" x14ac:dyDescent="0.25">
      <c r="A27" s="14" t="s">
        <v>12</v>
      </c>
      <c r="B27" s="2">
        <f ca="1">_xll.meDateFromTenor(TODAY(),A27)</f>
        <v>45091</v>
      </c>
      <c r="C27" s="13">
        <v>0.02</v>
      </c>
      <c r="J27" t="s">
        <v>4</v>
      </c>
      <c r="K27" s="15">
        <f t="shared" ref="K26:K30" ca="1" si="2">B27</f>
        <v>45091</v>
      </c>
      <c r="L27" s="16">
        <f ca="1">_xll.meCurveForwardRates(B27,$F$25,$F$26)</f>
        <v>1.9999999989514364E-2</v>
      </c>
      <c r="M27" t="s">
        <v>4</v>
      </c>
    </row>
    <row r="28" spans="1:17" x14ac:dyDescent="0.25">
      <c r="A28" s="14" t="s">
        <v>13</v>
      </c>
      <c r="B28" s="2">
        <f ca="1">_xll.meDateFromTenor(TODAY(),A28)</f>
        <v>46918</v>
      </c>
      <c r="C28" s="13">
        <v>0.02</v>
      </c>
      <c r="E28" s="4" t="s">
        <v>25</v>
      </c>
      <c r="J28" t="s">
        <v>4</v>
      </c>
      <c r="K28" s="15">
        <f t="shared" ca="1" si="2"/>
        <v>46918</v>
      </c>
      <c r="L28" s="16">
        <f ca="1">_xll.meCurveForwardRates(B28,$F$25,$F$26)</f>
        <v>2.0000000013824133E-2</v>
      </c>
      <c r="M28" t="s">
        <v>4</v>
      </c>
    </row>
    <row r="29" spans="1:17" x14ac:dyDescent="0.25">
      <c r="A29" s="14" t="s">
        <v>14</v>
      </c>
      <c r="B29" s="2">
        <f ca="1">_xll.meDateFromTenor(TODAY(),A29)</f>
        <v>50570</v>
      </c>
      <c r="C29" s="13">
        <v>0.02</v>
      </c>
      <c r="E29" s="19" t="str">
        <f t="array" aca="1" ref="E29:E30" ca="1">_xll.meCurveForwardRatesOverride(F25,F26,B25:B30,C25:C30)</f>
        <v>Forward rates set for curve USDYC, curve index USD6ML</v>
      </c>
      <c r="F29" s="20"/>
      <c r="G29" s="20"/>
      <c r="H29" s="20"/>
      <c r="I29" s="20"/>
      <c r="J29" t="s">
        <v>4</v>
      </c>
      <c r="K29" s="15">
        <f t="shared" ca="1" si="2"/>
        <v>50570</v>
      </c>
      <c r="L29" s="16">
        <f ca="1">_xll.meCurveForwardRates(B29,$F$25,$F$26)</f>
        <v>2.0000000010091598E-2</v>
      </c>
      <c r="M29" t="s">
        <v>4</v>
      </c>
    </row>
    <row r="30" spans="1:17" x14ac:dyDescent="0.25">
      <c r="A30" s="14" t="s">
        <v>15</v>
      </c>
      <c r="B30" s="2">
        <f ca="1">_xll.meDateFromTenor(TODAY(),A30)</f>
        <v>54223</v>
      </c>
      <c r="C30" s="13">
        <v>0.02</v>
      </c>
      <c r="E30" s="19" t="str">
        <f ca="1"/>
        <v>0.002000 sec</v>
      </c>
      <c r="F30" s="20"/>
      <c r="G30" s="20"/>
      <c r="H30" s="20"/>
      <c r="I30" s="20"/>
      <c r="J30" t="s">
        <v>4</v>
      </c>
      <c r="K30" s="15">
        <f t="shared" ca="1" si="2"/>
        <v>54223</v>
      </c>
      <c r="L30" s="16">
        <f ca="1">_xll.meCurveForwardRates(B30,$F$25,$F$26)</f>
        <v>2.000000000960429E-2</v>
      </c>
      <c r="M30" t="s">
        <v>4</v>
      </c>
    </row>
    <row r="31" spans="1:17" x14ac:dyDescent="0.25">
      <c r="B31" s="2"/>
      <c r="C31" s="1"/>
    </row>
    <row r="32" spans="1:17" x14ac:dyDescent="0.25">
      <c r="B32" s="2"/>
      <c r="C32" s="1"/>
    </row>
    <row r="33" spans="2:3" x14ac:dyDescent="0.25">
      <c r="B33" s="2"/>
      <c r="C33" s="1"/>
    </row>
    <row r="34" spans="2:3" x14ac:dyDescent="0.25">
      <c r="B34" s="2"/>
      <c r="C34" s="1"/>
    </row>
    <row r="35" spans="2:3" x14ac:dyDescent="0.25">
      <c r="B35" s="2"/>
      <c r="C35" s="1"/>
    </row>
    <row r="36" spans="2:3" x14ac:dyDescent="0.25">
      <c r="B36" s="2"/>
      <c r="C36" s="1"/>
    </row>
    <row r="37" spans="2:3" x14ac:dyDescent="0.25">
      <c r="B37" s="2"/>
      <c r="C37" s="1"/>
    </row>
    <row r="38" spans="2:3" x14ac:dyDescent="0.25">
      <c r="B38" s="2"/>
      <c r="C38" s="1"/>
    </row>
    <row r="39" spans="2:3" x14ac:dyDescent="0.25">
      <c r="B39" s="2"/>
      <c r="C39" s="1"/>
    </row>
    <row r="40" spans="2:3" x14ac:dyDescent="0.25">
      <c r="B40" s="2"/>
      <c r="C40" s="1"/>
    </row>
    <row r="41" spans="2:3" x14ac:dyDescent="0.25">
      <c r="B41" s="2"/>
      <c r="C41" s="1"/>
    </row>
    <row r="42" spans="2:3" x14ac:dyDescent="0.25">
      <c r="B42" s="2"/>
      <c r="C42" s="1"/>
    </row>
    <row r="43" spans="2:3" x14ac:dyDescent="0.25">
      <c r="B43" s="2"/>
      <c r="C43" s="1"/>
    </row>
    <row r="44" spans="2:3" x14ac:dyDescent="0.25">
      <c r="B44" s="2"/>
      <c r="C44" s="1"/>
    </row>
    <row r="45" spans="2:3" x14ac:dyDescent="0.25">
      <c r="B45" s="2"/>
      <c r="C45" s="1"/>
    </row>
    <row r="46" spans="2:3" x14ac:dyDescent="0.25">
      <c r="B46" s="2"/>
      <c r="C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2018-05-24T17:20:30Z</dcterms:created>
  <dcterms:modified xsi:type="dcterms:W3CDTF">2018-06-14T16:27:12Z</dcterms:modified>
</cp:coreProperties>
</file>