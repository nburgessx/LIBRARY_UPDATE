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4565"/>
  </bookViews>
  <sheets>
    <sheet name="CURVE_GENERATOR" sheetId="4" r:id="rId1"/>
    <sheet name="USD_ARR_CURVE" sheetId="1" r:id="rId2"/>
    <sheet name="APPLY_FLAT_SHIFT" sheetId="5" r:id="rId3"/>
    <sheet name="JACOBIAN_RESULTS" sheetId="6" r:id="rId4"/>
    <sheet name="NO_BUMP" sheetId="7" state="hidden" r:id="rId5"/>
    <sheet name="BUMP" sheetId="8" state="hidden" r:id="rId6"/>
    <sheet name="BUMP_RESULTS" sheetId="9" state="hidden" r:id="rId7"/>
  </sheets>
  <calcPr calcId="145621" calcMode="manual" calcCompleted="0" calcOnSave="0" concurrentCalc="0"/>
</workbook>
</file>

<file path=xl/calcChain.xml><?xml version="1.0" encoding="utf-8"?>
<calcChain xmlns="http://schemas.openxmlformats.org/spreadsheetml/2006/main">
  <c r="E10" i="6" l="1" a="1"/>
  <c r="F11" i="6"/>
  <c r="H10" i="6" a="1"/>
  <c r="I11" i="6"/>
  <c r="M11" i="6"/>
  <c r="R11" i="6"/>
  <c r="F12" i="6"/>
  <c r="I12" i="6"/>
  <c r="M12" i="6"/>
  <c r="R12" i="6"/>
  <c r="F13" i="6"/>
  <c r="I13" i="6"/>
  <c r="M13" i="6"/>
  <c r="R13" i="6"/>
  <c r="F14" i="6"/>
  <c r="I14" i="6"/>
  <c r="M14" i="6"/>
  <c r="R14" i="6"/>
  <c r="F15" i="6"/>
  <c r="I15" i="6"/>
  <c r="M15" i="6"/>
  <c r="R15" i="6"/>
  <c r="F16" i="6"/>
  <c r="I16" i="6"/>
  <c r="M16" i="6"/>
  <c r="R16" i="6"/>
  <c r="F17" i="6"/>
  <c r="I17" i="6"/>
  <c r="M17" i="6"/>
  <c r="R17" i="6"/>
  <c r="F18" i="6"/>
  <c r="I18" i="6"/>
  <c r="M18" i="6"/>
  <c r="R18" i="6"/>
  <c r="F19" i="6"/>
  <c r="I19" i="6"/>
  <c r="M19" i="6"/>
  <c r="R19" i="6"/>
  <c r="F20" i="6"/>
  <c r="I20" i="6"/>
  <c r="M20" i="6"/>
  <c r="R20" i="6"/>
  <c r="F21" i="6"/>
  <c r="I21" i="6"/>
  <c r="M21" i="6"/>
  <c r="R21" i="6"/>
  <c r="F22" i="6"/>
  <c r="I22" i="6"/>
  <c r="M22" i="6"/>
  <c r="R22" i="6"/>
  <c r="F23" i="6"/>
  <c r="I23" i="6"/>
  <c r="M23" i="6"/>
  <c r="R23" i="6"/>
  <c r="F24" i="6"/>
  <c r="I24" i="6"/>
  <c r="M24" i="6"/>
  <c r="R24" i="6"/>
  <c r="F25" i="6"/>
  <c r="I25" i="6"/>
  <c r="M25" i="6"/>
  <c r="R25" i="6"/>
  <c r="F26" i="6"/>
  <c r="I26" i="6"/>
  <c r="M26" i="6"/>
  <c r="R26" i="6"/>
  <c r="F27" i="6"/>
  <c r="I27" i="6"/>
  <c r="M27" i="6"/>
  <c r="R27" i="6"/>
  <c r="F28" i="6"/>
  <c r="I28" i="6"/>
  <c r="M28" i="6"/>
  <c r="R28" i="6"/>
  <c r="F29" i="6"/>
  <c r="I29" i="6"/>
  <c r="M29" i="6"/>
  <c r="R29" i="6"/>
  <c r="F30" i="6"/>
  <c r="I30" i="6"/>
  <c r="M30" i="6"/>
  <c r="R30" i="6"/>
  <c r="F31" i="6"/>
  <c r="I31" i="6"/>
  <c r="M31" i="6"/>
  <c r="R31" i="6"/>
  <c r="F32" i="6"/>
  <c r="I32" i="6"/>
  <c r="M32" i="6"/>
  <c r="R32" i="6"/>
  <c r="F33" i="6"/>
  <c r="I33" i="6"/>
  <c r="M33" i="6"/>
  <c r="R33" i="6"/>
  <c r="F34" i="6"/>
  <c r="I34" i="6"/>
  <c r="M34" i="6"/>
  <c r="R34" i="6"/>
  <c r="F35" i="6"/>
  <c r="I35" i="6"/>
  <c r="M35" i="6"/>
  <c r="R35" i="6"/>
  <c r="F36" i="6"/>
  <c r="I36" i="6"/>
  <c r="M36" i="6"/>
  <c r="R36" i="6"/>
  <c r="F37" i="6"/>
  <c r="I37" i="6"/>
  <c r="M37" i="6"/>
  <c r="R37" i="6"/>
  <c r="F38" i="6"/>
  <c r="I38" i="6"/>
  <c r="M38" i="6"/>
  <c r="R38" i="6"/>
  <c r="F39" i="6"/>
  <c r="I39" i="6"/>
  <c r="M39" i="6"/>
  <c r="R39" i="6"/>
  <c r="F40" i="6"/>
  <c r="I40" i="6"/>
  <c r="M40" i="6"/>
  <c r="R40" i="6"/>
  <c r="F41" i="6"/>
  <c r="I41" i="6"/>
  <c r="M41" i="6"/>
  <c r="R41" i="6"/>
  <c r="F42" i="6"/>
  <c r="I42" i="6"/>
  <c r="M42" i="6"/>
  <c r="R42" i="6"/>
  <c r="F43" i="6"/>
  <c r="I43" i="6"/>
  <c r="M43" i="6"/>
  <c r="R43" i="6"/>
  <c r="F44" i="6"/>
  <c r="I44" i="6"/>
  <c r="M44" i="6"/>
  <c r="R44" i="6"/>
  <c r="F45" i="6"/>
  <c r="I45" i="6"/>
  <c r="M45" i="6"/>
  <c r="R45" i="6"/>
  <c r="F46" i="6"/>
  <c r="I46" i="6"/>
  <c r="M46" i="6"/>
  <c r="R46" i="6"/>
  <c r="F47" i="6"/>
  <c r="I47" i="6"/>
  <c r="M47" i="6"/>
  <c r="R47" i="6"/>
  <c r="F48" i="6"/>
  <c r="I48" i="6"/>
  <c r="M48" i="6"/>
  <c r="R48" i="6"/>
  <c r="F49" i="6"/>
  <c r="I49" i="6"/>
  <c r="M49" i="6"/>
  <c r="R49" i="6"/>
  <c r="F50" i="6"/>
  <c r="I50" i="6"/>
  <c r="M50" i="6"/>
  <c r="R50" i="6"/>
  <c r="F51" i="6"/>
  <c r="I51" i="6"/>
  <c r="M51" i="6"/>
  <c r="R51" i="6"/>
  <c r="F52" i="6"/>
  <c r="I52" i="6"/>
  <c r="M52" i="6"/>
  <c r="R52" i="6"/>
  <c r="F53" i="6"/>
  <c r="I53" i="6"/>
  <c r="M53" i="6"/>
  <c r="R53" i="6"/>
  <c r="F54" i="6"/>
  <c r="I54" i="6"/>
  <c r="M54" i="6"/>
  <c r="R54" i="6"/>
  <c r="F55" i="6"/>
  <c r="I55" i="6"/>
  <c r="M55" i="6"/>
  <c r="R55" i="6"/>
  <c r="F56" i="6"/>
  <c r="I56" i="6"/>
  <c r="M56" i="6"/>
  <c r="R56" i="6"/>
  <c r="F57" i="6"/>
  <c r="I57" i="6"/>
  <c r="M57" i="6"/>
  <c r="R57" i="6"/>
  <c r="F58" i="6"/>
  <c r="I58" i="6"/>
  <c r="M58" i="6"/>
  <c r="R58" i="6"/>
  <c r="F59" i="6"/>
  <c r="I59" i="6"/>
  <c r="M59" i="6"/>
  <c r="R59" i="6"/>
  <c r="F60" i="6"/>
  <c r="I60" i="6"/>
  <c r="M60" i="6"/>
  <c r="R60" i="6"/>
  <c r="F61" i="6"/>
  <c r="I61" i="6"/>
  <c r="M61" i="6"/>
  <c r="R61" i="6"/>
  <c r="F62" i="6"/>
  <c r="I62" i="6"/>
  <c r="M62" i="6"/>
  <c r="R62" i="6"/>
  <c r="F63" i="6"/>
  <c r="I63" i="6"/>
  <c r="M63" i="6"/>
  <c r="R63" i="6"/>
  <c r="F64" i="6"/>
  <c r="I64" i="6"/>
  <c r="M64" i="6"/>
  <c r="R64" i="6"/>
  <c r="F65" i="6"/>
  <c r="I65" i="6"/>
  <c r="M65" i="6"/>
  <c r="R65" i="6"/>
  <c r="F66" i="6"/>
  <c r="I66" i="6"/>
  <c r="M66" i="6"/>
  <c r="R66" i="6"/>
  <c r="F67" i="6"/>
  <c r="I67" i="6"/>
  <c r="M67" i="6"/>
  <c r="R67" i="6"/>
  <c r="F68" i="6"/>
  <c r="I68" i="6"/>
  <c r="M68" i="6"/>
  <c r="R68" i="6"/>
  <c r="F69" i="6"/>
  <c r="I69" i="6"/>
  <c r="M69" i="6"/>
  <c r="R69" i="6"/>
  <c r="F70" i="6"/>
  <c r="I70" i="6"/>
  <c r="M70" i="6"/>
  <c r="R70" i="6"/>
  <c r="F71" i="6"/>
  <c r="I71" i="6"/>
  <c r="M71" i="6"/>
  <c r="R71" i="6"/>
  <c r="F72" i="6"/>
  <c r="I72" i="6"/>
  <c r="M72" i="6"/>
  <c r="R72" i="6"/>
  <c r="F73" i="6"/>
  <c r="I73" i="6"/>
  <c r="M73" i="6"/>
  <c r="R73" i="6"/>
  <c r="F74" i="6"/>
  <c r="I74" i="6"/>
  <c r="M74" i="6"/>
  <c r="R74" i="6"/>
  <c r="F75" i="6"/>
  <c r="I75" i="6"/>
  <c r="M75" i="6"/>
  <c r="R75" i="6"/>
  <c r="F76" i="6"/>
  <c r="I76" i="6"/>
  <c r="M76" i="6"/>
  <c r="R76" i="6"/>
  <c r="F77" i="6"/>
  <c r="I77" i="6"/>
  <c r="M77" i="6"/>
  <c r="R77" i="6"/>
  <c r="F78" i="6"/>
  <c r="I78" i="6"/>
  <c r="M78" i="6"/>
  <c r="R78" i="6"/>
  <c r="F79" i="6"/>
  <c r="I79" i="6"/>
  <c r="M79" i="6"/>
  <c r="R79" i="6"/>
  <c r="F80" i="6"/>
  <c r="I80" i="6"/>
  <c r="M80" i="6"/>
  <c r="R80" i="6"/>
  <c r="F81" i="6"/>
  <c r="I81" i="6"/>
  <c r="M81" i="6"/>
  <c r="R81" i="6"/>
  <c r="F82" i="6"/>
  <c r="I82" i="6"/>
  <c r="M82" i="6"/>
  <c r="R82" i="6"/>
  <c r="F83" i="6"/>
  <c r="I83" i="6"/>
  <c r="M83" i="6"/>
  <c r="R83" i="6"/>
  <c r="F84" i="6"/>
  <c r="I84" i="6"/>
  <c r="M84" i="6"/>
  <c r="R84" i="6"/>
  <c r="F85" i="6"/>
  <c r="I85" i="6"/>
  <c r="M85" i="6"/>
  <c r="R85" i="6"/>
  <c r="F86" i="6"/>
  <c r="I86" i="6"/>
  <c r="M86" i="6"/>
  <c r="R86" i="6"/>
  <c r="F87" i="6"/>
  <c r="I87" i="6"/>
  <c r="M87" i="6"/>
  <c r="R87" i="6"/>
  <c r="F88" i="6"/>
  <c r="I88" i="6"/>
  <c r="M88" i="6"/>
  <c r="R88" i="6"/>
  <c r="F89" i="6"/>
  <c r="I89" i="6"/>
  <c r="M89" i="6"/>
  <c r="R89" i="6"/>
  <c r="F90" i="6"/>
  <c r="I90" i="6"/>
  <c r="M90" i="6"/>
  <c r="R90" i="6"/>
  <c r="F91" i="6"/>
  <c r="I91" i="6"/>
  <c r="M91" i="6"/>
  <c r="R91" i="6"/>
  <c r="F92" i="6"/>
  <c r="I92" i="6"/>
  <c r="M92" i="6"/>
  <c r="R92" i="6"/>
  <c r="F93" i="6"/>
  <c r="I93" i="6"/>
  <c r="M93" i="6"/>
  <c r="R93" i="6"/>
  <c r="F94" i="6"/>
  <c r="I94" i="6"/>
  <c r="M94" i="6"/>
  <c r="R94" i="6"/>
  <c r="F95" i="6"/>
  <c r="I95" i="6"/>
  <c r="M95" i="6"/>
  <c r="R95" i="6"/>
  <c r="F96" i="6"/>
  <c r="I96" i="6"/>
  <c r="M96" i="6"/>
  <c r="R96" i="6"/>
  <c r="F97" i="6"/>
  <c r="I97" i="6"/>
  <c r="M97" i="6"/>
  <c r="R97" i="6"/>
  <c r="F98" i="6"/>
  <c r="I98" i="6"/>
  <c r="M98" i="6"/>
  <c r="R98" i="6"/>
  <c r="F99" i="6"/>
  <c r="I99" i="6"/>
  <c r="M99" i="6"/>
  <c r="R99" i="6"/>
  <c r="F100" i="6"/>
  <c r="I100" i="6"/>
  <c r="M100" i="6"/>
  <c r="R100" i="6"/>
  <c r="F101" i="6"/>
  <c r="I101" i="6"/>
  <c r="M101" i="6"/>
  <c r="R101" i="6"/>
  <c r="F102" i="6"/>
  <c r="I102" i="6"/>
  <c r="M102" i="6"/>
  <c r="R102" i="6"/>
  <c r="F103" i="6"/>
  <c r="I103" i="6"/>
  <c r="M103" i="6"/>
  <c r="R103" i="6"/>
  <c r="F104" i="6"/>
  <c r="I104" i="6"/>
  <c r="M104" i="6"/>
  <c r="R104" i="6"/>
  <c r="F105" i="6"/>
  <c r="I105" i="6"/>
  <c r="M105" i="6"/>
  <c r="R105" i="6"/>
  <c r="F106" i="6"/>
  <c r="I106" i="6"/>
  <c r="M106" i="6"/>
  <c r="R106" i="6"/>
  <c r="F107" i="6"/>
  <c r="I107" i="6"/>
  <c r="M107" i="6"/>
  <c r="R107" i="6"/>
  <c r="F108" i="6"/>
  <c r="I108" i="6"/>
  <c r="M108" i="6"/>
  <c r="R108" i="6"/>
  <c r="F109" i="6"/>
  <c r="I109" i="6"/>
  <c r="M109" i="6"/>
  <c r="R109" i="6"/>
  <c r="F110" i="6"/>
  <c r="I110" i="6"/>
  <c r="M110" i="6"/>
  <c r="R110" i="6"/>
  <c r="F111" i="6"/>
  <c r="I111" i="6"/>
  <c r="M111" i="6"/>
  <c r="R111" i="6"/>
  <c r="F112" i="6"/>
  <c r="I112" i="6"/>
  <c r="M112" i="6"/>
  <c r="R112" i="6"/>
  <c r="F113" i="6"/>
  <c r="I113" i="6"/>
  <c r="M113" i="6"/>
  <c r="R113" i="6"/>
  <c r="F114" i="6"/>
  <c r="I114" i="6"/>
  <c r="M114" i="6"/>
  <c r="R114" i="6"/>
  <c r="F115" i="6"/>
  <c r="I115" i="6"/>
  <c r="M115" i="6"/>
  <c r="R115" i="6"/>
  <c r="F116" i="6"/>
  <c r="I116" i="6"/>
  <c r="M116" i="6"/>
  <c r="R116" i="6"/>
  <c r="F117" i="6"/>
  <c r="I117" i="6"/>
  <c r="M117" i="6"/>
  <c r="R117" i="6"/>
  <c r="F118" i="6"/>
  <c r="I118" i="6"/>
  <c r="M118" i="6"/>
  <c r="R118" i="6"/>
  <c r="F119" i="6"/>
  <c r="I119" i="6"/>
  <c r="M119" i="6"/>
  <c r="R119" i="6"/>
  <c r="F120" i="6"/>
  <c r="I120" i="6"/>
  <c r="M120" i="6"/>
  <c r="R120" i="6"/>
  <c r="F121" i="6"/>
  <c r="I121" i="6"/>
  <c r="M121" i="6"/>
  <c r="R121" i="6"/>
  <c r="F122" i="6"/>
  <c r="I122" i="6"/>
  <c r="M122" i="6"/>
  <c r="R122" i="6"/>
  <c r="F123" i="6"/>
  <c r="I123" i="6"/>
  <c r="M123" i="6"/>
  <c r="R123" i="6"/>
  <c r="F124" i="6"/>
  <c r="I124" i="6"/>
  <c r="M124" i="6"/>
  <c r="R124" i="6"/>
  <c r="F125" i="6"/>
  <c r="I125" i="6"/>
  <c r="M125" i="6"/>
  <c r="R125" i="6"/>
  <c r="F126" i="6"/>
  <c r="I126" i="6"/>
  <c r="M126" i="6"/>
  <c r="R126" i="6"/>
  <c r="F127" i="6"/>
  <c r="I127" i="6"/>
  <c r="M127" i="6"/>
  <c r="R127" i="6"/>
  <c r="F128" i="6"/>
  <c r="I128" i="6"/>
  <c r="M128" i="6"/>
  <c r="R128" i="6"/>
  <c r="F129" i="6"/>
  <c r="I129" i="6"/>
  <c r="M129" i="6"/>
  <c r="R129" i="6"/>
  <c r="F130" i="6"/>
  <c r="I130" i="6"/>
  <c r="M130" i="6"/>
  <c r="R130" i="6"/>
  <c r="F131" i="6"/>
  <c r="I131" i="6"/>
  <c r="M131" i="6"/>
  <c r="R131" i="6"/>
  <c r="F132" i="6"/>
  <c r="I132" i="6"/>
  <c r="M132" i="6"/>
  <c r="R132" i="6"/>
  <c r="F133" i="6"/>
  <c r="I133" i="6"/>
  <c r="M133" i="6"/>
  <c r="R133" i="6"/>
  <c r="F134" i="6"/>
  <c r="I134" i="6"/>
  <c r="M134" i="6"/>
  <c r="R134" i="6"/>
  <c r="F135" i="6"/>
  <c r="I135" i="6"/>
  <c r="M135" i="6"/>
  <c r="R135" i="6"/>
  <c r="F136" i="6"/>
  <c r="I136" i="6"/>
  <c r="M136" i="6"/>
  <c r="R136" i="6"/>
  <c r="F137" i="6"/>
  <c r="I137" i="6"/>
  <c r="M137" i="6"/>
  <c r="R137" i="6"/>
  <c r="F138" i="6"/>
  <c r="I138" i="6"/>
  <c r="M138" i="6"/>
  <c r="R138" i="6"/>
  <c r="F139" i="6"/>
  <c r="I139" i="6"/>
  <c r="M139" i="6"/>
  <c r="R139" i="6"/>
  <c r="F140" i="6"/>
  <c r="I140" i="6"/>
  <c r="M140" i="6"/>
  <c r="R140" i="6"/>
  <c r="F141" i="6"/>
  <c r="I141" i="6"/>
  <c r="M141" i="6"/>
  <c r="R141" i="6"/>
  <c r="F142" i="6"/>
  <c r="I142" i="6"/>
  <c r="M142" i="6"/>
  <c r="R142" i="6"/>
  <c r="F143" i="6"/>
  <c r="I143" i="6"/>
  <c r="M143" i="6"/>
  <c r="R143" i="6"/>
  <c r="F144" i="6"/>
  <c r="I144" i="6"/>
  <c r="M144" i="6"/>
  <c r="R144" i="6"/>
  <c r="F145" i="6"/>
  <c r="I145" i="6"/>
  <c r="M145" i="6"/>
  <c r="R145" i="6"/>
  <c r="F146" i="6"/>
  <c r="I146" i="6"/>
  <c r="M146" i="6"/>
  <c r="R146" i="6"/>
  <c r="F147" i="6"/>
  <c r="I147" i="6"/>
  <c r="M147" i="6"/>
  <c r="R147" i="6"/>
  <c r="F148" i="6"/>
  <c r="I148" i="6"/>
  <c r="M148" i="6"/>
  <c r="R148" i="6"/>
  <c r="F149" i="6"/>
  <c r="I149" i="6"/>
  <c r="M149" i="6"/>
  <c r="R149" i="6"/>
  <c r="F150" i="6"/>
  <c r="I150" i="6"/>
  <c r="M150" i="6"/>
  <c r="R150" i="6"/>
  <c r="F151" i="6"/>
  <c r="I151" i="6"/>
  <c r="M151" i="6"/>
  <c r="R151" i="6"/>
  <c r="F152" i="6"/>
  <c r="I152" i="6"/>
  <c r="M152" i="6"/>
  <c r="R152" i="6"/>
  <c r="F153" i="6"/>
  <c r="I153" i="6"/>
  <c r="M153" i="6"/>
  <c r="R153" i="6"/>
  <c r="F154" i="6"/>
  <c r="I154" i="6"/>
  <c r="M154" i="6"/>
  <c r="R154" i="6"/>
  <c r="F155" i="6"/>
  <c r="I155" i="6"/>
  <c r="M155" i="6"/>
  <c r="R155" i="6"/>
  <c r="F156" i="6"/>
  <c r="I156" i="6"/>
  <c r="M156" i="6"/>
  <c r="R156" i="6"/>
  <c r="F157" i="6"/>
  <c r="I157" i="6"/>
  <c r="M157" i="6"/>
  <c r="R157" i="6"/>
  <c r="F158" i="6"/>
  <c r="I158" i="6"/>
  <c r="M158" i="6"/>
  <c r="R158" i="6"/>
  <c r="F159" i="6"/>
  <c r="I159" i="6"/>
  <c r="M159" i="6"/>
  <c r="R159" i="6"/>
  <c r="F160" i="6"/>
  <c r="I160" i="6"/>
  <c r="M160" i="6"/>
  <c r="R160" i="6"/>
  <c r="F161" i="6"/>
  <c r="I161" i="6"/>
  <c r="M161" i="6"/>
  <c r="R161" i="6"/>
  <c r="F162" i="6"/>
  <c r="I162" i="6"/>
  <c r="M162" i="6"/>
  <c r="R162" i="6"/>
  <c r="F163" i="6"/>
  <c r="I163" i="6"/>
  <c r="M163" i="6"/>
  <c r="R163" i="6"/>
  <c r="F164" i="6"/>
  <c r="I164" i="6"/>
  <c r="M164" i="6"/>
  <c r="R164" i="6"/>
  <c r="F165" i="6"/>
  <c r="I165" i="6"/>
  <c r="M165" i="6"/>
  <c r="R165" i="6"/>
  <c r="F166" i="6"/>
  <c r="I166" i="6"/>
  <c r="M166" i="6"/>
  <c r="R166" i="6"/>
  <c r="F167" i="6"/>
  <c r="I167" i="6"/>
  <c r="M167" i="6"/>
  <c r="R167" i="6"/>
  <c r="F168" i="6"/>
  <c r="I168" i="6"/>
  <c r="M168" i="6"/>
  <c r="R168" i="6"/>
  <c r="F169" i="6"/>
  <c r="I169" i="6"/>
  <c r="M169" i="6"/>
  <c r="R169" i="6"/>
  <c r="F170" i="6"/>
  <c r="I170" i="6"/>
  <c r="M170" i="6"/>
  <c r="R170" i="6"/>
  <c r="F171" i="6"/>
  <c r="I171" i="6"/>
  <c r="M171" i="6"/>
  <c r="R171" i="6"/>
  <c r="F172" i="6"/>
  <c r="I172" i="6"/>
  <c r="M172" i="6"/>
  <c r="R172" i="6"/>
  <c r="F173" i="6"/>
  <c r="I173" i="6"/>
  <c r="M173" i="6"/>
  <c r="R173" i="6"/>
  <c r="F174" i="6"/>
  <c r="I174" i="6"/>
  <c r="M174" i="6"/>
  <c r="R174" i="6"/>
  <c r="F175" i="6"/>
  <c r="I175" i="6"/>
  <c r="M175" i="6"/>
  <c r="R175" i="6"/>
  <c r="F176" i="6"/>
  <c r="I176" i="6"/>
  <c r="M176" i="6"/>
  <c r="R176" i="6"/>
  <c r="F177" i="6"/>
  <c r="I177" i="6"/>
  <c r="M177" i="6"/>
  <c r="R177" i="6"/>
  <c r="F178" i="6"/>
  <c r="I178" i="6"/>
  <c r="M178" i="6"/>
  <c r="R178" i="6"/>
  <c r="F179" i="6"/>
  <c r="I179" i="6"/>
  <c r="M179" i="6"/>
  <c r="R179" i="6"/>
  <c r="F180" i="6"/>
  <c r="I180" i="6"/>
  <c r="M180" i="6"/>
  <c r="R180" i="6"/>
  <c r="F181" i="6"/>
  <c r="I181" i="6"/>
  <c r="M181" i="6"/>
  <c r="R181" i="6"/>
  <c r="F182" i="6"/>
  <c r="I182" i="6"/>
  <c r="M182" i="6"/>
  <c r="R182" i="6"/>
  <c r="F183" i="6"/>
  <c r="I183" i="6"/>
  <c r="M183" i="6"/>
  <c r="R183" i="6"/>
  <c r="F184" i="6"/>
  <c r="I184" i="6"/>
  <c r="M184" i="6"/>
  <c r="R184" i="6"/>
  <c r="F185" i="6"/>
  <c r="I185" i="6"/>
  <c r="M185" i="6"/>
  <c r="R185" i="6"/>
  <c r="F186" i="6"/>
  <c r="I186" i="6"/>
  <c r="M186" i="6"/>
  <c r="R186" i="6"/>
  <c r="F187" i="6"/>
  <c r="I187" i="6"/>
  <c r="M187" i="6"/>
  <c r="R187" i="6"/>
  <c r="F188" i="6"/>
  <c r="I188" i="6"/>
  <c r="M188" i="6"/>
  <c r="R188" i="6"/>
  <c r="F189" i="6"/>
  <c r="I189" i="6"/>
  <c r="M189" i="6"/>
  <c r="R189" i="6"/>
  <c r="F190" i="6"/>
  <c r="I190" i="6"/>
  <c r="M190" i="6"/>
  <c r="R190" i="6"/>
  <c r="F191" i="6"/>
  <c r="I191" i="6"/>
  <c r="M191" i="6"/>
  <c r="R191" i="6"/>
  <c r="F192" i="6"/>
  <c r="I192" i="6"/>
  <c r="M192" i="6"/>
  <c r="R192" i="6"/>
  <c r="F193" i="6"/>
  <c r="I193" i="6"/>
  <c r="M193" i="6"/>
  <c r="R193" i="6"/>
  <c r="F194" i="6"/>
  <c r="I194" i="6"/>
  <c r="M194" i="6"/>
  <c r="R194" i="6"/>
  <c r="F195" i="6"/>
  <c r="I195" i="6"/>
  <c r="M195" i="6"/>
  <c r="R195" i="6"/>
  <c r="F196" i="6"/>
  <c r="I196" i="6"/>
  <c r="M196" i="6"/>
  <c r="R196" i="6"/>
  <c r="F197" i="6"/>
  <c r="I197" i="6"/>
  <c r="M197" i="6"/>
  <c r="R197" i="6"/>
  <c r="F198" i="6"/>
  <c r="I198" i="6"/>
  <c r="M198" i="6"/>
  <c r="R198" i="6"/>
  <c r="F199" i="6"/>
  <c r="I199" i="6"/>
  <c r="M199" i="6"/>
  <c r="R199" i="6"/>
  <c r="F200" i="6"/>
  <c r="I200" i="6"/>
  <c r="M200" i="6"/>
  <c r="R200" i="6"/>
  <c r="F201" i="6"/>
  <c r="I201" i="6"/>
  <c r="M201" i="6"/>
  <c r="R201" i="6"/>
  <c r="F202" i="6"/>
  <c r="I202" i="6"/>
  <c r="M202" i="6"/>
  <c r="R202" i="6"/>
  <c r="F203" i="6"/>
  <c r="I203" i="6"/>
  <c r="M203" i="6"/>
  <c r="R203" i="6"/>
  <c r="F204" i="6"/>
  <c r="I204" i="6"/>
  <c r="M204" i="6"/>
  <c r="R204" i="6"/>
  <c r="F205" i="6"/>
  <c r="I205" i="6"/>
  <c r="M205" i="6"/>
  <c r="R205" i="6"/>
  <c r="F206" i="6"/>
  <c r="I206" i="6"/>
  <c r="M206" i="6"/>
  <c r="R206" i="6"/>
  <c r="F207" i="6"/>
  <c r="I207" i="6"/>
  <c r="M207" i="6"/>
  <c r="R207" i="6"/>
  <c r="F208" i="6"/>
  <c r="I208" i="6"/>
  <c r="M208" i="6"/>
  <c r="R208" i="6"/>
  <c r="F209" i="6"/>
  <c r="I209" i="6"/>
  <c r="M209" i="6"/>
  <c r="R209" i="6"/>
  <c r="F210" i="6"/>
  <c r="I210" i="6"/>
  <c r="M210" i="6"/>
  <c r="R210" i="6"/>
  <c r="F211" i="6"/>
  <c r="I211" i="6"/>
  <c r="M211" i="6"/>
  <c r="R211" i="6"/>
  <c r="F212" i="6"/>
  <c r="I212" i="6"/>
  <c r="M212" i="6"/>
  <c r="R212" i="6"/>
  <c r="F213" i="6"/>
  <c r="I213" i="6"/>
  <c r="M213" i="6"/>
  <c r="R213" i="6"/>
  <c r="F214" i="6"/>
  <c r="I214" i="6"/>
  <c r="M214" i="6"/>
  <c r="R214" i="6"/>
  <c r="F215" i="6"/>
  <c r="I215" i="6"/>
  <c r="M215" i="6"/>
  <c r="R215" i="6"/>
  <c r="F216" i="6"/>
  <c r="I216" i="6"/>
  <c r="M216" i="6"/>
  <c r="R216" i="6"/>
  <c r="F217" i="6"/>
  <c r="I217" i="6"/>
  <c r="M217" i="6"/>
  <c r="R217" i="6"/>
  <c r="F218" i="6"/>
  <c r="I218" i="6"/>
  <c r="M218" i="6"/>
  <c r="R218" i="6"/>
  <c r="F219" i="6"/>
  <c r="I219" i="6"/>
  <c r="M219" i="6"/>
  <c r="R219" i="6"/>
  <c r="F220" i="6"/>
  <c r="I220" i="6"/>
  <c r="M220" i="6"/>
  <c r="R220" i="6"/>
  <c r="F221" i="6"/>
  <c r="I221" i="6"/>
  <c r="M221" i="6"/>
  <c r="R221" i="6"/>
  <c r="B3" i="6" a="1"/>
  <c r="C11" i="6"/>
  <c r="L11" i="6"/>
  <c r="Q11" i="6"/>
  <c r="C12" i="6"/>
  <c r="L12" i="6"/>
  <c r="Q12" i="6"/>
  <c r="C13" i="6"/>
  <c r="L13" i="6"/>
  <c r="Q13" i="6"/>
  <c r="C14" i="6"/>
  <c r="L14" i="6"/>
  <c r="Q14" i="6"/>
  <c r="C15" i="6"/>
  <c r="L15" i="6"/>
  <c r="Q15" i="6"/>
  <c r="C16" i="6"/>
  <c r="L16" i="6"/>
  <c r="Q16" i="6"/>
  <c r="C17" i="6"/>
  <c r="L17" i="6"/>
  <c r="Q17" i="6"/>
  <c r="C18" i="6"/>
  <c r="L18" i="6"/>
  <c r="Q18" i="6"/>
  <c r="C19" i="6"/>
  <c r="L19" i="6"/>
  <c r="Q19" i="6"/>
  <c r="C20" i="6"/>
  <c r="L20" i="6"/>
  <c r="Q20" i="6"/>
  <c r="C21" i="6"/>
  <c r="L21" i="6"/>
  <c r="Q21" i="6"/>
  <c r="C22" i="6"/>
  <c r="L22" i="6"/>
  <c r="Q22" i="6"/>
  <c r="C23" i="6"/>
  <c r="L23" i="6"/>
  <c r="Q23" i="6"/>
  <c r="C24" i="6"/>
  <c r="L24" i="6"/>
  <c r="Q24" i="6"/>
  <c r="C25" i="6"/>
  <c r="L25" i="6"/>
  <c r="Q25" i="6"/>
  <c r="C26" i="6"/>
  <c r="L26" i="6"/>
  <c r="Q26" i="6"/>
  <c r="C27" i="6"/>
  <c r="L27" i="6"/>
  <c r="Q27" i="6"/>
  <c r="C28" i="6"/>
  <c r="L28" i="6"/>
  <c r="Q28" i="6"/>
  <c r="C29" i="6"/>
  <c r="L29" i="6"/>
  <c r="Q29" i="6"/>
  <c r="C30" i="6"/>
  <c r="L30" i="6"/>
  <c r="Q30" i="6"/>
  <c r="C31" i="6"/>
  <c r="L31" i="6"/>
  <c r="Q31" i="6"/>
  <c r="C32" i="6"/>
  <c r="L32" i="6"/>
  <c r="Q32" i="6"/>
  <c r="C33" i="6"/>
  <c r="L33" i="6"/>
  <c r="Q33" i="6"/>
  <c r="C34" i="6"/>
  <c r="L34" i="6"/>
  <c r="Q34" i="6"/>
  <c r="C35" i="6"/>
  <c r="L35" i="6"/>
  <c r="Q35" i="6"/>
  <c r="C36" i="6"/>
  <c r="L36" i="6"/>
  <c r="Q36" i="6"/>
  <c r="C37" i="6"/>
  <c r="L37" i="6"/>
  <c r="Q37" i="6"/>
  <c r="C38" i="6"/>
  <c r="L38" i="6"/>
  <c r="Q38" i="6"/>
  <c r="C39" i="6"/>
  <c r="L39" i="6"/>
  <c r="Q39" i="6"/>
  <c r="C40" i="6"/>
  <c r="L40" i="6"/>
  <c r="Q40" i="6"/>
  <c r="C41" i="6"/>
  <c r="L41" i="6"/>
  <c r="Q41" i="6"/>
  <c r="C42" i="6"/>
  <c r="L42" i="6"/>
  <c r="Q42" i="6"/>
  <c r="C43" i="6"/>
  <c r="L43" i="6"/>
  <c r="Q43" i="6"/>
  <c r="C44" i="6"/>
  <c r="L44" i="6"/>
  <c r="Q44" i="6"/>
  <c r="C45" i="6"/>
  <c r="L45" i="6"/>
  <c r="Q45" i="6"/>
  <c r="C46" i="6"/>
  <c r="L46" i="6"/>
  <c r="Q46" i="6"/>
  <c r="C47" i="6"/>
  <c r="L47" i="6"/>
  <c r="Q47" i="6"/>
  <c r="C48" i="6"/>
  <c r="L48" i="6"/>
  <c r="Q48" i="6"/>
  <c r="C49" i="6"/>
  <c r="L49" i="6"/>
  <c r="Q49" i="6"/>
  <c r="C50" i="6"/>
  <c r="L50" i="6"/>
  <c r="Q50" i="6"/>
  <c r="C51" i="6"/>
  <c r="L51" i="6"/>
  <c r="Q51" i="6"/>
  <c r="C52" i="6"/>
  <c r="L52" i="6"/>
  <c r="Q52" i="6"/>
  <c r="C53" i="6"/>
  <c r="L53" i="6"/>
  <c r="Q53" i="6"/>
  <c r="C54" i="6"/>
  <c r="L54" i="6"/>
  <c r="Q54" i="6"/>
  <c r="C55" i="6"/>
  <c r="L55" i="6"/>
  <c r="Q55" i="6"/>
  <c r="C56" i="6"/>
  <c r="L56" i="6"/>
  <c r="Q56" i="6"/>
  <c r="C57" i="6"/>
  <c r="L57" i="6"/>
  <c r="Q57" i="6"/>
  <c r="C58" i="6"/>
  <c r="L58" i="6"/>
  <c r="Q58" i="6"/>
  <c r="C59" i="6"/>
  <c r="L59" i="6"/>
  <c r="Q59" i="6"/>
  <c r="C60" i="6"/>
  <c r="L60" i="6"/>
  <c r="Q60" i="6"/>
  <c r="C61" i="6"/>
  <c r="L61" i="6"/>
  <c r="Q61" i="6"/>
  <c r="C62" i="6"/>
  <c r="L62" i="6"/>
  <c r="Q62" i="6"/>
  <c r="C63" i="6"/>
  <c r="L63" i="6"/>
  <c r="Q63" i="6"/>
  <c r="C64" i="6"/>
  <c r="L64" i="6"/>
  <c r="Q64" i="6"/>
  <c r="C65" i="6"/>
  <c r="L65" i="6"/>
  <c r="Q65" i="6"/>
  <c r="C66" i="6"/>
  <c r="L66" i="6"/>
  <c r="Q66" i="6"/>
  <c r="C67" i="6"/>
  <c r="L67" i="6"/>
  <c r="Q67" i="6"/>
  <c r="C68" i="6"/>
  <c r="L68" i="6"/>
  <c r="Q68" i="6"/>
  <c r="C69" i="6"/>
  <c r="L69" i="6"/>
  <c r="Q69" i="6"/>
  <c r="C70" i="6"/>
  <c r="L70" i="6"/>
  <c r="Q70" i="6"/>
  <c r="C71" i="6"/>
  <c r="L71" i="6"/>
  <c r="Q71" i="6"/>
  <c r="C72" i="6"/>
  <c r="L72" i="6"/>
  <c r="Q72" i="6"/>
  <c r="C73" i="6"/>
  <c r="L73" i="6"/>
  <c r="Q73" i="6"/>
  <c r="C74" i="6"/>
  <c r="L74" i="6"/>
  <c r="Q74" i="6"/>
  <c r="C75" i="6"/>
  <c r="L75" i="6"/>
  <c r="Q75" i="6"/>
  <c r="C76" i="6"/>
  <c r="L76" i="6"/>
  <c r="Q76" i="6"/>
  <c r="C77" i="6"/>
  <c r="L77" i="6"/>
  <c r="Q77" i="6"/>
  <c r="C78" i="6"/>
  <c r="L78" i="6"/>
  <c r="Q78" i="6"/>
  <c r="C79" i="6"/>
  <c r="L79" i="6"/>
  <c r="Q79" i="6"/>
  <c r="C80" i="6"/>
  <c r="L80" i="6"/>
  <c r="Q80" i="6"/>
  <c r="C81" i="6"/>
  <c r="L81" i="6"/>
  <c r="Q81" i="6"/>
  <c r="C82" i="6"/>
  <c r="L82" i="6"/>
  <c r="Q82" i="6"/>
  <c r="C83" i="6"/>
  <c r="L83" i="6"/>
  <c r="Q83" i="6"/>
  <c r="C84" i="6"/>
  <c r="L84" i="6"/>
  <c r="Q84" i="6"/>
  <c r="C85" i="6"/>
  <c r="L85" i="6"/>
  <c r="Q85" i="6"/>
  <c r="C86" i="6"/>
  <c r="L86" i="6"/>
  <c r="Q86" i="6"/>
  <c r="C87" i="6"/>
  <c r="L87" i="6"/>
  <c r="Q87" i="6"/>
  <c r="C88" i="6"/>
  <c r="L88" i="6"/>
  <c r="Q88" i="6"/>
  <c r="C89" i="6"/>
  <c r="L89" i="6"/>
  <c r="Q89" i="6"/>
  <c r="C90" i="6"/>
  <c r="L90" i="6"/>
  <c r="Q90" i="6"/>
  <c r="C91" i="6"/>
  <c r="L91" i="6"/>
  <c r="Q91" i="6"/>
  <c r="C92" i="6"/>
  <c r="L92" i="6"/>
  <c r="Q92" i="6"/>
  <c r="C93" i="6"/>
  <c r="L93" i="6"/>
  <c r="Q93" i="6"/>
  <c r="C94" i="6"/>
  <c r="L94" i="6"/>
  <c r="Q94" i="6"/>
  <c r="C95" i="6"/>
  <c r="L95" i="6"/>
  <c r="Q95" i="6"/>
  <c r="C96" i="6"/>
  <c r="L96" i="6"/>
  <c r="Q96" i="6"/>
  <c r="C97" i="6"/>
  <c r="L97" i="6"/>
  <c r="Q97" i="6"/>
  <c r="C98" i="6"/>
  <c r="L98" i="6"/>
  <c r="Q98" i="6"/>
  <c r="C99" i="6"/>
  <c r="L99" i="6"/>
  <c r="Q99" i="6"/>
  <c r="C100" i="6"/>
  <c r="L100" i="6"/>
  <c r="Q100" i="6"/>
  <c r="C101" i="6"/>
  <c r="L101" i="6"/>
  <c r="Q101" i="6"/>
  <c r="C102" i="6"/>
  <c r="L102" i="6"/>
  <c r="Q102" i="6"/>
  <c r="C103" i="6"/>
  <c r="L103" i="6"/>
  <c r="Q103" i="6"/>
  <c r="C104" i="6"/>
  <c r="L104" i="6"/>
  <c r="Q104" i="6"/>
  <c r="C105" i="6"/>
  <c r="L105" i="6"/>
  <c r="Q105" i="6"/>
  <c r="C106" i="6"/>
  <c r="L106" i="6"/>
  <c r="Q106" i="6"/>
  <c r="C107" i="6"/>
  <c r="L107" i="6"/>
  <c r="Q107" i="6"/>
  <c r="C108" i="6"/>
  <c r="L108" i="6"/>
  <c r="Q108" i="6"/>
  <c r="C109" i="6"/>
  <c r="L109" i="6"/>
  <c r="Q109" i="6"/>
  <c r="C110" i="6"/>
  <c r="L110" i="6"/>
  <c r="Q110" i="6"/>
  <c r="C111" i="6"/>
  <c r="L111" i="6"/>
  <c r="Q111" i="6"/>
  <c r="C112" i="6"/>
  <c r="L112" i="6"/>
  <c r="Q112" i="6"/>
  <c r="C113" i="6"/>
  <c r="L113" i="6"/>
  <c r="Q113" i="6"/>
  <c r="C114" i="6"/>
  <c r="L114" i="6"/>
  <c r="Q114" i="6"/>
  <c r="C115" i="6"/>
  <c r="L115" i="6"/>
  <c r="Q115" i="6"/>
  <c r="C116" i="6"/>
  <c r="L116" i="6"/>
  <c r="Q116" i="6"/>
  <c r="C117" i="6"/>
  <c r="L117" i="6"/>
  <c r="Q117" i="6"/>
  <c r="C118" i="6"/>
  <c r="L118" i="6"/>
  <c r="Q118" i="6"/>
  <c r="C119" i="6"/>
  <c r="L119" i="6"/>
  <c r="Q119" i="6"/>
  <c r="C120" i="6"/>
  <c r="L120" i="6"/>
  <c r="Q120" i="6"/>
  <c r="C121" i="6"/>
  <c r="L121" i="6"/>
  <c r="Q121" i="6"/>
  <c r="C122" i="6"/>
  <c r="L122" i="6"/>
  <c r="Q122" i="6"/>
  <c r="C123" i="6"/>
  <c r="L123" i="6"/>
  <c r="Q123" i="6"/>
  <c r="C124" i="6"/>
  <c r="L124" i="6"/>
  <c r="Q124" i="6"/>
  <c r="C125" i="6"/>
  <c r="L125" i="6"/>
  <c r="Q125" i="6"/>
  <c r="C126" i="6"/>
  <c r="L126" i="6"/>
  <c r="Q126" i="6"/>
  <c r="C127" i="6"/>
  <c r="L127" i="6"/>
  <c r="Q127" i="6"/>
  <c r="C128" i="6"/>
  <c r="L128" i="6"/>
  <c r="Q128" i="6"/>
  <c r="C129" i="6"/>
  <c r="L129" i="6"/>
  <c r="Q129" i="6"/>
  <c r="C130" i="6"/>
  <c r="L130" i="6"/>
  <c r="Q130" i="6"/>
  <c r="C131" i="6"/>
  <c r="L131" i="6"/>
  <c r="Q131" i="6"/>
  <c r="C132" i="6"/>
  <c r="L132" i="6"/>
  <c r="Q132" i="6"/>
  <c r="C133" i="6"/>
  <c r="L133" i="6"/>
  <c r="Q133" i="6"/>
  <c r="C134" i="6"/>
  <c r="L134" i="6"/>
  <c r="Q134" i="6"/>
  <c r="C135" i="6"/>
  <c r="L135" i="6"/>
  <c r="Q135" i="6"/>
  <c r="C136" i="6"/>
  <c r="L136" i="6"/>
  <c r="Q136" i="6"/>
  <c r="C137" i="6"/>
  <c r="L137" i="6"/>
  <c r="Q137" i="6"/>
  <c r="C138" i="6"/>
  <c r="L138" i="6"/>
  <c r="Q138" i="6"/>
  <c r="C139" i="6"/>
  <c r="L139" i="6"/>
  <c r="Q139" i="6"/>
  <c r="C140" i="6"/>
  <c r="L140" i="6"/>
  <c r="Q140" i="6"/>
  <c r="C141" i="6"/>
  <c r="L141" i="6"/>
  <c r="Q141" i="6"/>
  <c r="C142" i="6"/>
  <c r="L142" i="6"/>
  <c r="Q142" i="6"/>
  <c r="C143" i="6"/>
  <c r="L143" i="6"/>
  <c r="Q143" i="6"/>
  <c r="C144" i="6"/>
  <c r="L144" i="6"/>
  <c r="Q144" i="6"/>
  <c r="C145" i="6"/>
  <c r="L145" i="6"/>
  <c r="Q145" i="6"/>
  <c r="C146" i="6"/>
  <c r="L146" i="6"/>
  <c r="Q146" i="6"/>
  <c r="C147" i="6"/>
  <c r="L147" i="6"/>
  <c r="Q147" i="6"/>
  <c r="C148" i="6"/>
  <c r="L148" i="6"/>
  <c r="Q148" i="6"/>
  <c r="C149" i="6"/>
  <c r="L149" i="6"/>
  <c r="Q149" i="6"/>
  <c r="C150" i="6"/>
  <c r="L150" i="6"/>
  <c r="Q150" i="6"/>
  <c r="C151" i="6"/>
  <c r="L151" i="6"/>
  <c r="Q151" i="6"/>
  <c r="C152" i="6"/>
  <c r="L152" i="6"/>
  <c r="Q152" i="6"/>
  <c r="C153" i="6"/>
  <c r="L153" i="6"/>
  <c r="Q153" i="6"/>
  <c r="C154" i="6"/>
  <c r="L154" i="6"/>
  <c r="Q154" i="6"/>
  <c r="C155" i="6"/>
  <c r="L155" i="6"/>
  <c r="Q155" i="6"/>
  <c r="C156" i="6"/>
  <c r="L156" i="6"/>
  <c r="Q156" i="6"/>
  <c r="C157" i="6"/>
  <c r="L157" i="6"/>
  <c r="Q157" i="6"/>
  <c r="C158" i="6"/>
  <c r="L158" i="6"/>
  <c r="Q158" i="6"/>
  <c r="C159" i="6"/>
  <c r="L159" i="6"/>
  <c r="Q159" i="6"/>
  <c r="C160" i="6"/>
  <c r="L160" i="6"/>
  <c r="Q160" i="6"/>
  <c r="C161" i="6"/>
  <c r="L161" i="6"/>
  <c r="Q161" i="6"/>
  <c r="C162" i="6"/>
  <c r="L162" i="6"/>
  <c r="Q162" i="6"/>
  <c r="C163" i="6"/>
  <c r="L163" i="6"/>
  <c r="Q163" i="6"/>
  <c r="C164" i="6"/>
  <c r="L164" i="6"/>
  <c r="Q164" i="6"/>
  <c r="C165" i="6"/>
  <c r="L165" i="6"/>
  <c r="Q165" i="6"/>
  <c r="C166" i="6"/>
  <c r="L166" i="6"/>
  <c r="Q166" i="6"/>
  <c r="C167" i="6"/>
  <c r="L167" i="6"/>
  <c r="Q167" i="6"/>
  <c r="C168" i="6"/>
  <c r="L168" i="6"/>
  <c r="Q168" i="6"/>
  <c r="C169" i="6"/>
  <c r="L169" i="6"/>
  <c r="Q169" i="6"/>
  <c r="C170" i="6"/>
  <c r="L170" i="6"/>
  <c r="Q170" i="6"/>
  <c r="C171" i="6"/>
  <c r="L171" i="6"/>
  <c r="Q171" i="6"/>
  <c r="C172" i="6"/>
  <c r="L172" i="6"/>
  <c r="Q172" i="6"/>
  <c r="C173" i="6"/>
  <c r="L173" i="6"/>
  <c r="Q173" i="6"/>
  <c r="C174" i="6"/>
  <c r="L174" i="6"/>
  <c r="Q174" i="6"/>
  <c r="C175" i="6"/>
  <c r="L175" i="6"/>
  <c r="Q175" i="6"/>
  <c r="C176" i="6"/>
  <c r="L176" i="6"/>
  <c r="Q176" i="6"/>
  <c r="C177" i="6"/>
  <c r="L177" i="6"/>
  <c r="Q177" i="6"/>
  <c r="C178" i="6"/>
  <c r="L178" i="6"/>
  <c r="Q178" i="6"/>
  <c r="C179" i="6"/>
  <c r="L179" i="6"/>
  <c r="Q179" i="6"/>
  <c r="C180" i="6"/>
  <c r="L180" i="6"/>
  <c r="Q180" i="6"/>
  <c r="C181" i="6"/>
  <c r="L181" i="6"/>
  <c r="Q181" i="6"/>
  <c r="C182" i="6"/>
  <c r="L182" i="6"/>
  <c r="Q182" i="6"/>
  <c r="C183" i="6"/>
  <c r="L183" i="6"/>
  <c r="Q183" i="6"/>
  <c r="C184" i="6"/>
  <c r="L184" i="6"/>
  <c r="Q184" i="6"/>
  <c r="C185" i="6"/>
  <c r="L185" i="6"/>
  <c r="Q185" i="6"/>
  <c r="C186" i="6"/>
  <c r="L186" i="6"/>
  <c r="Q186" i="6"/>
  <c r="C187" i="6"/>
  <c r="L187" i="6"/>
  <c r="Q187" i="6"/>
  <c r="C188" i="6"/>
  <c r="L188" i="6"/>
  <c r="Q188" i="6"/>
  <c r="C189" i="6"/>
  <c r="L189" i="6"/>
  <c r="Q189" i="6"/>
  <c r="C190" i="6"/>
  <c r="L190" i="6"/>
  <c r="Q190" i="6"/>
  <c r="C191" i="6"/>
  <c r="L191" i="6"/>
  <c r="Q191" i="6"/>
  <c r="C192" i="6"/>
  <c r="L192" i="6"/>
  <c r="Q192" i="6"/>
  <c r="C193" i="6"/>
  <c r="L193" i="6"/>
  <c r="Q193" i="6"/>
  <c r="C194" i="6"/>
  <c r="L194" i="6"/>
  <c r="Q194" i="6"/>
  <c r="C195" i="6"/>
  <c r="L195" i="6"/>
  <c r="Q195" i="6"/>
  <c r="C196" i="6"/>
  <c r="L196" i="6"/>
  <c r="Q196" i="6"/>
  <c r="C197" i="6"/>
  <c r="L197" i="6"/>
  <c r="Q197" i="6"/>
  <c r="C198" i="6"/>
  <c r="L198" i="6"/>
  <c r="Q198" i="6"/>
  <c r="C199" i="6"/>
  <c r="L199" i="6"/>
  <c r="Q199" i="6"/>
  <c r="C200" i="6"/>
  <c r="L200" i="6"/>
  <c r="Q200" i="6"/>
  <c r="C201" i="6"/>
  <c r="L201" i="6"/>
  <c r="Q201" i="6"/>
  <c r="C202" i="6"/>
  <c r="L202" i="6"/>
  <c r="Q202" i="6"/>
  <c r="C203" i="6"/>
  <c r="L203" i="6"/>
  <c r="Q203" i="6"/>
  <c r="C204" i="6"/>
  <c r="L204" i="6"/>
  <c r="Q204" i="6"/>
  <c r="C205" i="6"/>
  <c r="L205" i="6"/>
  <c r="Q205" i="6"/>
  <c r="C206" i="6"/>
  <c r="L206" i="6"/>
  <c r="Q206" i="6"/>
  <c r="C207" i="6"/>
  <c r="L207" i="6"/>
  <c r="Q207" i="6"/>
  <c r="C208" i="6"/>
  <c r="L208" i="6"/>
  <c r="Q208" i="6"/>
  <c r="C209" i="6"/>
  <c r="L209" i="6"/>
  <c r="Q209" i="6"/>
  <c r="C210" i="6"/>
  <c r="L210" i="6"/>
  <c r="Q210" i="6"/>
  <c r="C211" i="6"/>
  <c r="L211" i="6"/>
  <c r="Q211" i="6"/>
  <c r="C212" i="6"/>
  <c r="L212" i="6"/>
  <c r="Q212" i="6"/>
  <c r="C213" i="6"/>
  <c r="L213" i="6"/>
  <c r="Q213" i="6"/>
  <c r="C214" i="6"/>
  <c r="L214" i="6"/>
  <c r="Q214" i="6"/>
  <c r="C215" i="6"/>
  <c r="L215" i="6"/>
  <c r="Q215" i="6"/>
  <c r="C216" i="6"/>
  <c r="L216" i="6"/>
  <c r="Q216" i="6"/>
  <c r="C217" i="6"/>
  <c r="L217" i="6"/>
  <c r="Q217" i="6"/>
  <c r="C218" i="6"/>
  <c r="L218" i="6"/>
  <c r="Q218" i="6"/>
  <c r="C219" i="6"/>
  <c r="L219" i="6"/>
  <c r="Q219" i="6"/>
  <c r="C220" i="6"/>
  <c r="L220" i="6"/>
  <c r="Q220" i="6"/>
  <c r="C221" i="6"/>
  <c r="L221" i="6"/>
  <c r="Q221" i="6"/>
  <c r="H10" i="6"/>
  <c r="I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I5" i="6"/>
  <c r="I4" i="6"/>
  <c r="F5" i="6"/>
  <c r="F4" i="6"/>
  <c r="E10" i="6"/>
  <c r="F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D19" i="1"/>
  <c r="D6" i="1"/>
  <c r="D12" i="1"/>
  <c r="D26" i="1" a="1"/>
  <c r="D26" i="1"/>
  <c r="D27" i="1"/>
  <c r="D28" i="1"/>
  <c r="D29" i="1"/>
  <c r="D12" i="4"/>
  <c r="D13" i="4"/>
  <c r="D5" i="4"/>
  <c r="I12" i="4"/>
  <c r="I13" i="4"/>
  <c r="I5" i="4"/>
  <c r="D23" i="5"/>
  <c r="D10" i="5"/>
  <c r="G9" i="5"/>
  <c r="G10" i="5"/>
  <c r="G11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G12" i="5"/>
  <c r="G13" i="5"/>
  <c r="G14" i="5"/>
  <c r="G15" i="5"/>
  <c r="G16" i="5"/>
  <c r="G17" i="5"/>
  <c r="G18" i="5"/>
  <c r="G19" i="5"/>
  <c r="G20" i="5"/>
  <c r="D16" i="5"/>
  <c r="D30" i="5" a="1"/>
  <c r="D31" i="5"/>
  <c r="D32" i="5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7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7" i="6"/>
  <c r="D30" i="5"/>
  <c r="D19" i="8"/>
  <c r="D6" i="8"/>
  <c r="D12" i="8"/>
  <c r="D26" i="8" a="1"/>
  <c r="D26" i="8"/>
  <c r="D35" i="8"/>
  <c r="D27" i="8"/>
  <c r="D28" i="8"/>
  <c r="AC5" i="9" a="1"/>
  <c r="AD6" i="9"/>
  <c r="D19" i="7"/>
  <c r="D6" i="7"/>
  <c r="D12" i="7"/>
  <c r="D26" i="7" a="1"/>
  <c r="D27" i="7"/>
  <c r="D28" i="7"/>
  <c r="Y5" i="9" a="1"/>
  <c r="Z6" i="9"/>
  <c r="AE6" i="9"/>
  <c r="AD7" i="9"/>
  <c r="Z7" i="9"/>
  <c r="AE7" i="9"/>
  <c r="AD8" i="9"/>
  <c r="Z8" i="9"/>
  <c r="AE8" i="9"/>
  <c r="AD9" i="9"/>
  <c r="Z9" i="9"/>
  <c r="AE9" i="9"/>
  <c r="AD10" i="9"/>
  <c r="Z10" i="9"/>
  <c r="AE10" i="9"/>
  <c r="AD11" i="9"/>
  <c r="Z11" i="9"/>
  <c r="AE11" i="9"/>
  <c r="AD12" i="9"/>
  <c r="Z12" i="9"/>
  <c r="AE12" i="9"/>
  <c r="AD13" i="9"/>
  <c r="Z13" i="9"/>
  <c r="AE13" i="9"/>
  <c r="AD14" i="9"/>
  <c r="Z14" i="9"/>
  <c r="AE14" i="9"/>
  <c r="AD15" i="9"/>
  <c r="Z15" i="9"/>
  <c r="AE15" i="9"/>
  <c r="AD16" i="9"/>
  <c r="Z16" i="9"/>
  <c r="AE16" i="9"/>
  <c r="AD17" i="9"/>
  <c r="Z17" i="9"/>
  <c r="AE17" i="9"/>
  <c r="AD18" i="9"/>
  <c r="Z18" i="9"/>
  <c r="AE18" i="9"/>
  <c r="AD19" i="9"/>
  <c r="Z19" i="9"/>
  <c r="AE19" i="9"/>
  <c r="AD20" i="9"/>
  <c r="Z20" i="9"/>
  <c r="AE20" i="9"/>
  <c r="AD21" i="9"/>
  <c r="Z21" i="9"/>
  <c r="AE21" i="9"/>
  <c r="AD22" i="9"/>
  <c r="Z22" i="9"/>
  <c r="AE22" i="9"/>
  <c r="AD23" i="9"/>
  <c r="Z23" i="9"/>
  <c r="AE23" i="9"/>
  <c r="AD24" i="9"/>
  <c r="Z24" i="9"/>
  <c r="AE24" i="9"/>
  <c r="AD25" i="9"/>
  <c r="Z25" i="9"/>
  <c r="AE25" i="9"/>
  <c r="AD26" i="9"/>
  <c r="Z26" i="9"/>
  <c r="AE26" i="9"/>
  <c r="AD27" i="9"/>
  <c r="Z27" i="9"/>
  <c r="AE27" i="9"/>
  <c r="AD28" i="9"/>
  <c r="Z28" i="9"/>
  <c r="AE28" i="9"/>
  <c r="AD29" i="9"/>
  <c r="Z29" i="9"/>
  <c r="AE29" i="9"/>
  <c r="AD30" i="9"/>
  <c r="Z30" i="9"/>
  <c r="AE30" i="9"/>
  <c r="AD31" i="9"/>
  <c r="Z31" i="9"/>
  <c r="AE31" i="9"/>
  <c r="AD32" i="9"/>
  <c r="Z32" i="9"/>
  <c r="AE32" i="9"/>
  <c r="AD33" i="9"/>
  <c r="Z33" i="9"/>
  <c r="AE33" i="9"/>
  <c r="AD34" i="9"/>
  <c r="Z34" i="9"/>
  <c r="AE34" i="9"/>
  <c r="AD35" i="9"/>
  <c r="Z35" i="9"/>
  <c r="AE35" i="9"/>
  <c r="AD36" i="9"/>
  <c r="Z36" i="9"/>
  <c r="AE36" i="9"/>
  <c r="AD37" i="9"/>
  <c r="Z37" i="9"/>
  <c r="AE37" i="9"/>
  <c r="AD38" i="9"/>
  <c r="Z38" i="9"/>
  <c r="AE38" i="9"/>
  <c r="AD39" i="9"/>
  <c r="Z39" i="9"/>
  <c r="AE39" i="9"/>
  <c r="AD40" i="9"/>
  <c r="Z40" i="9"/>
  <c r="AE40" i="9"/>
  <c r="AD41" i="9"/>
  <c r="Z41" i="9"/>
  <c r="AE41" i="9"/>
  <c r="AD42" i="9"/>
  <c r="Z42" i="9"/>
  <c r="AE42" i="9"/>
  <c r="AD43" i="9"/>
  <c r="Z43" i="9"/>
  <c r="AE43" i="9"/>
  <c r="AD44" i="9"/>
  <c r="Z44" i="9"/>
  <c r="AE44" i="9"/>
  <c r="AD45" i="9"/>
  <c r="Z45" i="9"/>
  <c r="AE45" i="9"/>
  <c r="AD46" i="9"/>
  <c r="Z46" i="9"/>
  <c r="AE46" i="9"/>
  <c r="AD47" i="9"/>
  <c r="Z47" i="9"/>
  <c r="AE47" i="9"/>
  <c r="AD48" i="9"/>
  <c r="Z48" i="9"/>
  <c r="AE48" i="9"/>
  <c r="AD49" i="9"/>
  <c r="Z49" i="9"/>
  <c r="AE49" i="9"/>
  <c r="AD50" i="9"/>
  <c r="Z50" i="9"/>
  <c r="AE50" i="9"/>
  <c r="AD51" i="9"/>
  <c r="Z51" i="9"/>
  <c r="AE51" i="9"/>
  <c r="AD52" i="9"/>
  <c r="Z52" i="9"/>
  <c r="AE52" i="9"/>
  <c r="AD53" i="9"/>
  <c r="Z53" i="9"/>
  <c r="AE53" i="9"/>
  <c r="AD54" i="9"/>
  <c r="Z54" i="9"/>
  <c r="AE54" i="9"/>
  <c r="AD55" i="9"/>
  <c r="Z55" i="9"/>
  <c r="AE55" i="9"/>
  <c r="D33" i="5"/>
  <c r="L59" i="9" a="1"/>
  <c r="P109" i="9"/>
  <c r="M3" i="9"/>
  <c r="L5" i="9" a="1"/>
  <c r="P55" i="9"/>
  <c r="V109" i="9"/>
  <c r="P108" i="9"/>
  <c r="P54" i="9"/>
  <c r="V108" i="9"/>
  <c r="P107" i="9"/>
  <c r="P53" i="9"/>
  <c r="V107" i="9"/>
  <c r="P106" i="9"/>
  <c r="P52" i="9"/>
  <c r="V106" i="9"/>
  <c r="P105" i="9"/>
  <c r="P51" i="9"/>
  <c r="V105" i="9"/>
  <c r="P104" i="9"/>
  <c r="P50" i="9"/>
  <c r="V104" i="9"/>
  <c r="P103" i="9"/>
  <c r="P49" i="9"/>
  <c r="V103" i="9"/>
  <c r="P102" i="9"/>
  <c r="P48" i="9"/>
  <c r="V102" i="9"/>
  <c r="P101" i="9"/>
  <c r="P47" i="9"/>
  <c r="V101" i="9"/>
  <c r="P100" i="9"/>
  <c r="P46" i="9"/>
  <c r="V100" i="9"/>
  <c r="P99" i="9"/>
  <c r="P45" i="9"/>
  <c r="V99" i="9"/>
  <c r="P98" i="9"/>
  <c r="P44" i="9"/>
  <c r="V98" i="9"/>
  <c r="P97" i="9"/>
  <c r="P43" i="9"/>
  <c r="V97" i="9"/>
  <c r="P96" i="9"/>
  <c r="P42" i="9"/>
  <c r="V96" i="9"/>
  <c r="P80" i="9"/>
  <c r="P26" i="9"/>
  <c r="V80" i="9"/>
  <c r="P81" i="9"/>
  <c r="P27" i="9"/>
  <c r="V81" i="9"/>
  <c r="P82" i="9"/>
  <c r="P28" i="9"/>
  <c r="V82" i="9"/>
  <c r="P83" i="9"/>
  <c r="P29" i="9"/>
  <c r="V83" i="9"/>
  <c r="P84" i="9"/>
  <c r="P30" i="9"/>
  <c r="V84" i="9"/>
  <c r="P85" i="9"/>
  <c r="P31" i="9"/>
  <c r="V85" i="9"/>
  <c r="P86" i="9"/>
  <c r="P32" i="9"/>
  <c r="V86" i="9"/>
  <c r="P87" i="9"/>
  <c r="P33" i="9"/>
  <c r="V87" i="9"/>
  <c r="P88" i="9"/>
  <c r="P34" i="9"/>
  <c r="V88" i="9"/>
  <c r="P89" i="9"/>
  <c r="P35" i="9"/>
  <c r="V89" i="9"/>
  <c r="P90" i="9"/>
  <c r="P36" i="9"/>
  <c r="V90" i="9"/>
  <c r="P91" i="9"/>
  <c r="P37" i="9"/>
  <c r="V91" i="9"/>
  <c r="P92" i="9"/>
  <c r="P38" i="9"/>
  <c r="V92" i="9"/>
  <c r="P93" i="9"/>
  <c r="P39" i="9"/>
  <c r="V93" i="9"/>
  <c r="P66" i="9"/>
  <c r="P12" i="9"/>
  <c r="V66" i="9"/>
  <c r="P67" i="9"/>
  <c r="P13" i="9"/>
  <c r="V67" i="9"/>
  <c r="P68" i="9"/>
  <c r="P14" i="9"/>
  <c r="V68" i="9"/>
  <c r="P69" i="9"/>
  <c r="P15" i="9"/>
  <c r="V69" i="9"/>
  <c r="P70" i="9"/>
  <c r="P16" i="9"/>
  <c r="V70" i="9"/>
  <c r="P71" i="9"/>
  <c r="P17" i="9"/>
  <c r="V71" i="9"/>
  <c r="P72" i="9"/>
  <c r="P18" i="9"/>
  <c r="V72" i="9"/>
  <c r="P73" i="9"/>
  <c r="P19" i="9"/>
  <c r="V73" i="9"/>
  <c r="P74" i="9"/>
  <c r="P20" i="9"/>
  <c r="V74" i="9"/>
  <c r="P75" i="9"/>
  <c r="P21" i="9"/>
  <c r="V75" i="9"/>
  <c r="P76" i="9"/>
  <c r="P22" i="9"/>
  <c r="V76" i="9"/>
  <c r="P77" i="9"/>
  <c r="P23" i="9"/>
  <c r="V77" i="9"/>
  <c r="L59" i="9"/>
  <c r="M59" i="9"/>
  <c r="N59" i="9"/>
  <c r="O59" i="9"/>
  <c r="P59" i="9"/>
  <c r="Q59" i="9"/>
  <c r="R59" i="9"/>
  <c r="S59" i="9"/>
  <c r="T59" i="9"/>
  <c r="L60" i="9"/>
  <c r="M60" i="9"/>
  <c r="N60" i="9"/>
  <c r="O60" i="9"/>
  <c r="P60" i="9"/>
  <c r="Q60" i="9"/>
  <c r="R60" i="9"/>
  <c r="S60" i="9"/>
  <c r="T60" i="9"/>
  <c r="L61" i="9"/>
  <c r="M61" i="9"/>
  <c r="N61" i="9"/>
  <c r="O61" i="9"/>
  <c r="P61" i="9"/>
  <c r="Q61" i="9"/>
  <c r="R61" i="9"/>
  <c r="S61" i="9"/>
  <c r="T61" i="9"/>
  <c r="L62" i="9"/>
  <c r="M62" i="9"/>
  <c r="N62" i="9"/>
  <c r="O62" i="9"/>
  <c r="P62" i="9"/>
  <c r="Q62" i="9"/>
  <c r="R62" i="9"/>
  <c r="S62" i="9"/>
  <c r="T62" i="9"/>
  <c r="L63" i="9"/>
  <c r="M63" i="9"/>
  <c r="N63" i="9"/>
  <c r="O63" i="9"/>
  <c r="P63" i="9"/>
  <c r="Q63" i="9"/>
  <c r="R63" i="9"/>
  <c r="S63" i="9"/>
  <c r="T63" i="9"/>
  <c r="L64" i="9"/>
  <c r="M64" i="9"/>
  <c r="N64" i="9"/>
  <c r="O64" i="9"/>
  <c r="P64" i="9"/>
  <c r="Q64" i="9"/>
  <c r="R64" i="9"/>
  <c r="S64" i="9"/>
  <c r="T64" i="9"/>
  <c r="L65" i="9"/>
  <c r="M65" i="9"/>
  <c r="N65" i="9"/>
  <c r="O65" i="9"/>
  <c r="P65" i="9"/>
  <c r="Q65" i="9"/>
  <c r="R65" i="9"/>
  <c r="S65" i="9"/>
  <c r="T65" i="9"/>
  <c r="L66" i="9"/>
  <c r="M66" i="9"/>
  <c r="N66" i="9"/>
  <c r="O66" i="9"/>
  <c r="Q66" i="9"/>
  <c r="R66" i="9"/>
  <c r="S66" i="9"/>
  <c r="T66" i="9"/>
  <c r="L67" i="9"/>
  <c r="M67" i="9"/>
  <c r="N67" i="9"/>
  <c r="O67" i="9"/>
  <c r="Q67" i="9"/>
  <c r="R67" i="9"/>
  <c r="S67" i="9"/>
  <c r="T67" i="9"/>
  <c r="L68" i="9"/>
  <c r="M68" i="9"/>
  <c r="N68" i="9"/>
  <c r="O68" i="9"/>
  <c r="Q68" i="9"/>
  <c r="R68" i="9"/>
  <c r="S68" i="9"/>
  <c r="T68" i="9"/>
  <c r="L69" i="9"/>
  <c r="M69" i="9"/>
  <c r="N69" i="9"/>
  <c r="O69" i="9"/>
  <c r="Q69" i="9"/>
  <c r="R69" i="9"/>
  <c r="S69" i="9"/>
  <c r="T69" i="9"/>
  <c r="L70" i="9"/>
  <c r="M70" i="9"/>
  <c r="N70" i="9"/>
  <c r="O70" i="9"/>
  <c r="Q70" i="9"/>
  <c r="R70" i="9"/>
  <c r="S70" i="9"/>
  <c r="T70" i="9"/>
  <c r="L71" i="9"/>
  <c r="M71" i="9"/>
  <c r="N71" i="9"/>
  <c r="O71" i="9"/>
  <c r="Q71" i="9"/>
  <c r="R71" i="9"/>
  <c r="S71" i="9"/>
  <c r="T71" i="9"/>
  <c r="L72" i="9"/>
  <c r="M72" i="9"/>
  <c r="N72" i="9"/>
  <c r="O72" i="9"/>
  <c r="Q72" i="9"/>
  <c r="R72" i="9"/>
  <c r="S72" i="9"/>
  <c r="T72" i="9"/>
  <c r="L73" i="9"/>
  <c r="M73" i="9"/>
  <c r="N73" i="9"/>
  <c r="O73" i="9"/>
  <c r="Q73" i="9"/>
  <c r="R73" i="9"/>
  <c r="S73" i="9"/>
  <c r="T73" i="9"/>
  <c r="L74" i="9"/>
  <c r="M74" i="9"/>
  <c r="N74" i="9"/>
  <c r="O74" i="9"/>
  <c r="Q74" i="9"/>
  <c r="R74" i="9"/>
  <c r="S74" i="9"/>
  <c r="T74" i="9"/>
  <c r="L75" i="9"/>
  <c r="M75" i="9"/>
  <c r="N75" i="9"/>
  <c r="O75" i="9"/>
  <c r="Q75" i="9"/>
  <c r="R75" i="9"/>
  <c r="S75" i="9"/>
  <c r="T75" i="9"/>
  <c r="L76" i="9"/>
  <c r="M76" i="9"/>
  <c r="N76" i="9"/>
  <c r="O76" i="9"/>
  <c r="Q76" i="9"/>
  <c r="R76" i="9"/>
  <c r="S76" i="9"/>
  <c r="T76" i="9"/>
  <c r="L77" i="9"/>
  <c r="M77" i="9"/>
  <c r="N77" i="9"/>
  <c r="O77" i="9"/>
  <c r="Q77" i="9"/>
  <c r="R77" i="9"/>
  <c r="S77" i="9"/>
  <c r="T77" i="9"/>
  <c r="L78" i="9"/>
  <c r="M78" i="9"/>
  <c r="N78" i="9"/>
  <c r="O78" i="9"/>
  <c r="P78" i="9"/>
  <c r="Q78" i="9"/>
  <c r="R78" i="9"/>
  <c r="S78" i="9"/>
  <c r="T78" i="9"/>
  <c r="L79" i="9"/>
  <c r="M79" i="9"/>
  <c r="N79" i="9"/>
  <c r="O79" i="9"/>
  <c r="P79" i="9"/>
  <c r="Q79" i="9"/>
  <c r="R79" i="9"/>
  <c r="S79" i="9"/>
  <c r="T79" i="9"/>
  <c r="L80" i="9"/>
  <c r="M80" i="9"/>
  <c r="N80" i="9"/>
  <c r="O80" i="9"/>
  <c r="Q80" i="9"/>
  <c r="R80" i="9"/>
  <c r="S80" i="9"/>
  <c r="T80" i="9"/>
  <c r="L81" i="9"/>
  <c r="M81" i="9"/>
  <c r="N81" i="9"/>
  <c r="O81" i="9"/>
  <c r="Q81" i="9"/>
  <c r="R81" i="9"/>
  <c r="S81" i="9"/>
  <c r="T81" i="9"/>
  <c r="L82" i="9"/>
  <c r="M82" i="9"/>
  <c r="N82" i="9"/>
  <c r="O82" i="9"/>
  <c r="Q82" i="9"/>
  <c r="R82" i="9"/>
  <c r="S82" i="9"/>
  <c r="T82" i="9"/>
  <c r="L83" i="9"/>
  <c r="M83" i="9"/>
  <c r="N83" i="9"/>
  <c r="O83" i="9"/>
  <c r="Q83" i="9"/>
  <c r="R83" i="9"/>
  <c r="S83" i="9"/>
  <c r="T83" i="9"/>
  <c r="L84" i="9"/>
  <c r="M84" i="9"/>
  <c r="N84" i="9"/>
  <c r="O84" i="9"/>
  <c r="Q84" i="9"/>
  <c r="R84" i="9"/>
  <c r="S84" i="9"/>
  <c r="T84" i="9"/>
  <c r="L85" i="9"/>
  <c r="M85" i="9"/>
  <c r="N85" i="9"/>
  <c r="O85" i="9"/>
  <c r="Q85" i="9"/>
  <c r="R85" i="9"/>
  <c r="S85" i="9"/>
  <c r="T85" i="9"/>
  <c r="L86" i="9"/>
  <c r="M86" i="9"/>
  <c r="N86" i="9"/>
  <c r="O86" i="9"/>
  <c r="Q86" i="9"/>
  <c r="R86" i="9"/>
  <c r="S86" i="9"/>
  <c r="T86" i="9"/>
  <c r="L87" i="9"/>
  <c r="M87" i="9"/>
  <c r="N87" i="9"/>
  <c r="O87" i="9"/>
  <c r="Q87" i="9"/>
  <c r="R87" i="9"/>
  <c r="S87" i="9"/>
  <c r="T87" i="9"/>
  <c r="L88" i="9"/>
  <c r="M88" i="9"/>
  <c r="N88" i="9"/>
  <c r="O88" i="9"/>
  <c r="Q88" i="9"/>
  <c r="R88" i="9"/>
  <c r="S88" i="9"/>
  <c r="T88" i="9"/>
  <c r="L89" i="9"/>
  <c r="M89" i="9"/>
  <c r="N89" i="9"/>
  <c r="O89" i="9"/>
  <c r="Q89" i="9"/>
  <c r="R89" i="9"/>
  <c r="S89" i="9"/>
  <c r="T89" i="9"/>
  <c r="L90" i="9"/>
  <c r="M90" i="9"/>
  <c r="N90" i="9"/>
  <c r="O90" i="9"/>
  <c r="Q90" i="9"/>
  <c r="R90" i="9"/>
  <c r="S90" i="9"/>
  <c r="T90" i="9"/>
  <c r="L91" i="9"/>
  <c r="M91" i="9"/>
  <c r="N91" i="9"/>
  <c r="O91" i="9"/>
  <c r="Q91" i="9"/>
  <c r="R91" i="9"/>
  <c r="S91" i="9"/>
  <c r="T91" i="9"/>
  <c r="L92" i="9"/>
  <c r="M92" i="9"/>
  <c r="N92" i="9"/>
  <c r="O92" i="9"/>
  <c r="Q92" i="9"/>
  <c r="R92" i="9"/>
  <c r="S92" i="9"/>
  <c r="T92" i="9"/>
  <c r="L93" i="9"/>
  <c r="M93" i="9"/>
  <c r="N93" i="9"/>
  <c r="O93" i="9"/>
  <c r="Q93" i="9"/>
  <c r="R93" i="9"/>
  <c r="S93" i="9"/>
  <c r="T93" i="9"/>
  <c r="L94" i="9"/>
  <c r="M94" i="9"/>
  <c r="N94" i="9"/>
  <c r="O94" i="9"/>
  <c r="P94" i="9"/>
  <c r="Q94" i="9"/>
  <c r="R94" i="9"/>
  <c r="S94" i="9"/>
  <c r="T94" i="9"/>
  <c r="L95" i="9"/>
  <c r="M95" i="9"/>
  <c r="N95" i="9"/>
  <c r="O95" i="9"/>
  <c r="P95" i="9"/>
  <c r="Q95" i="9"/>
  <c r="R95" i="9"/>
  <c r="S95" i="9"/>
  <c r="T95" i="9"/>
  <c r="L96" i="9"/>
  <c r="M96" i="9"/>
  <c r="N96" i="9"/>
  <c r="O96" i="9"/>
  <c r="Q96" i="9"/>
  <c r="R96" i="9"/>
  <c r="S96" i="9"/>
  <c r="T96" i="9"/>
  <c r="L97" i="9"/>
  <c r="M97" i="9"/>
  <c r="N97" i="9"/>
  <c r="O97" i="9"/>
  <c r="Q97" i="9"/>
  <c r="R97" i="9"/>
  <c r="S97" i="9"/>
  <c r="T97" i="9"/>
  <c r="L98" i="9"/>
  <c r="M98" i="9"/>
  <c r="N98" i="9"/>
  <c r="O98" i="9"/>
  <c r="Q98" i="9"/>
  <c r="R98" i="9"/>
  <c r="S98" i="9"/>
  <c r="T98" i="9"/>
  <c r="L99" i="9"/>
  <c r="M99" i="9"/>
  <c r="N99" i="9"/>
  <c r="O99" i="9"/>
  <c r="Q99" i="9"/>
  <c r="R99" i="9"/>
  <c r="S99" i="9"/>
  <c r="T99" i="9"/>
  <c r="L100" i="9"/>
  <c r="M100" i="9"/>
  <c r="N100" i="9"/>
  <c r="O100" i="9"/>
  <c r="Q100" i="9"/>
  <c r="R100" i="9"/>
  <c r="S100" i="9"/>
  <c r="T100" i="9"/>
  <c r="L101" i="9"/>
  <c r="M101" i="9"/>
  <c r="N101" i="9"/>
  <c r="O101" i="9"/>
  <c r="Q101" i="9"/>
  <c r="R101" i="9"/>
  <c r="S101" i="9"/>
  <c r="T101" i="9"/>
  <c r="L102" i="9"/>
  <c r="M102" i="9"/>
  <c r="N102" i="9"/>
  <c r="O102" i="9"/>
  <c r="Q102" i="9"/>
  <c r="R102" i="9"/>
  <c r="S102" i="9"/>
  <c r="T102" i="9"/>
  <c r="L103" i="9"/>
  <c r="M103" i="9"/>
  <c r="N103" i="9"/>
  <c r="O103" i="9"/>
  <c r="Q103" i="9"/>
  <c r="R103" i="9"/>
  <c r="S103" i="9"/>
  <c r="T103" i="9"/>
  <c r="L104" i="9"/>
  <c r="M104" i="9"/>
  <c r="N104" i="9"/>
  <c r="O104" i="9"/>
  <c r="Q104" i="9"/>
  <c r="R104" i="9"/>
  <c r="S104" i="9"/>
  <c r="T104" i="9"/>
  <c r="L105" i="9"/>
  <c r="M105" i="9"/>
  <c r="N105" i="9"/>
  <c r="O105" i="9"/>
  <c r="Q105" i="9"/>
  <c r="R105" i="9"/>
  <c r="S105" i="9"/>
  <c r="T105" i="9"/>
  <c r="L106" i="9"/>
  <c r="M106" i="9"/>
  <c r="N106" i="9"/>
  <c r="O106" i="9"/>
  <c r="Q106" i="9"/>
  <c r="R106" i="9"/>
  <c r="S106" i="9"/>
  <c r="T106" i="9"/>
  <c r="L107" i="9"/>
  <c r="M107" i="9"/>
  <c r="N107" i="9"/>
  <c r="O107" i="9"/>
  <c r="Q107" i="9"/>
  <c r="R107" i="9"/>
  <c r="S107" i="9"/>
  <c r="T107" i="9"/>
  <c r="L108" i="9"/>
  <c r="M108" i="9"/>
  <c r="N108" i="9"/>
  <c r="O108" i="9"/>
  <c r="Q108" i="9"/>
  <c r="R108" i="9"/>
  <c r="S108" i="9"/>
  <c r="T108" i="9"/>
  <c r="L109" i="9"/>
  <c r="M109" i="9"/>
  <c r="N109" i="9"/>
  <c r="O109" i="9"/>
  <c r="Q109" i="9"/>
  <c r="R109" i="9"/>
  <c r="S109" i="9"/>
  <c r="T109" i="9"/>
  <c r="AI6" i="9"/>
  <c r="AH6" i="9"/>
  <c r="AJ6" i="9"/>
  <c r="AR6" i="9"/>
  <c r="AQ6" i="9"/>
  <c r="AS6" i="9"/>
  <c r="AI7" i="9"/>
  <c r="AH7" i="9"/>
  <c r="AJ7" i="9"/>
  <c r="AR7" i="9"/>
  <c r="AI8" i="9"/>
  <c r="AH8" i="9"/>
  <c r="AJ8" i="9"/>
  <c r="AR8" i="9"/>
  <c r="AI9" i="9"/>
  <c r="AH9" i="9"/>
  <c r="AJ9" i="9"/>
  <c r="AR9" i="9"/>
  <c r="AI10" i="9"/>
  <c r="AH10" i="9"/>
  <c r="AJ10" i="9"/>
  <c r="AR10" i="9"/>
  <c r="AI11" i="9"/>
  <c r="AH11" i="9"/>
  <c r="AJ11" i="9"/>
  <c r="AR11" i="9"/>
  <c r="AI12" i="9"/>
  <c r="AH12" i="9"/>
  <c r="AJ12" i="9"/>
  <c r="AR12" i="9"/>
  <c r="AI13" i="9"/>
  <c r="AH13" i="9"/>
  <c r="AJ13" i="9"/>
  <c r="AR13" i="9"/>
  <c r="AI14" i="9"/>
  <c r="AH14" i="9"/>
  <c r="AJ14" i="9"/>
  <c r="AR14" i="9"/>
  <c r="AI15" i="9"/>
  <c r="AH15" i="9"/>
  <c r="AJ15" i="9"/>
  <c r="AR15" i="9"/>
  <c r="AI16" i="9"/>
  <c r="AH16" i="9"/>
  <c r="AJ16" i="9"/>
  <c r="AR16" i="9"/>
  <c r="AI17" i="9"/>
  <c r="AH17" i="9"/>
  <c r="AJ17" i="9"/>
  <c r="AR17" i="9"/>
  <c r="AI18" i="9"/>
  <c r="AH18" i="9"/>
  <c r="AJ18" i="9"/>
  <c r="AR18" i="9"/>
  <c r="AI19" i="9"/>
  <c r="AH19" i="9"/>
  <c r="AJ19" i="9"/>
  <c r="AR19" i="9"/>
  <c r="AI20" i="9"/>
  <c r="AH20" i="9"/>
  <c r="AJ20" i="9"/>
  <c r="AR20" i="9"/>
  <c r="AI21" i="9"/>
  <c r="AH21" i="9"/>
  <c r="AJ21" i="9"/>
  <c r="AR21" i="9"/>
  <c r="AI22" i="9"/>
  <c r="AH22" i="9"/>
  <c r="AJ22" i="9"/>
  <c r="AR22" i="9"/>
  <c r="AI23" i="9"/>
  <c r="AH23" i="9"/>
  <c r="AJ23" i="9"/>
  <c r="AR23" i="9"/>
  <c r="AI24" i="9"/>
  <c r="AH24" i="9"/>
  <c r="AJ24" i="9"/>
  <c r="AR24" i="9"/>
  <c r="AI25" i="9"/>
  <c r="AH25" i="9"/>
  <c r="AJ25" i="9"/>
  <c r="AR25" i="9"/>
  <c r="AI26" i="9"/>
  <c r="AH26" i="9"/>
  <c r="AJ26" i="9"/>
  <c r="AR26" i="9"/>
  <c r="AI27" i="9"/>
  <c r="AH27" i="9"/>
  <c r="AJ27" i="9"/>
  <c r="AR27" i="9"/>
  <c r="AI28" i="9"/>
  <c r="AH28" i="9"/>
  <c r="AJ28" i="9"/>
  <c r="AR28" i="9"/>
  <c r="AI29" i="9"/>
  <c r="AH29" i="9"/>
  <c r="AJ29" i="9"/>
  <c r="AR29" i="9"/>
  <c r="AI30" i="9"/>
  <c r="AH30" i="9"/>
  <c r="AJ30" i="9"/>
  <c r="AR30" i="9"/>
  <c r="AI31" i="9"/>
  <c r="AH31" i="9"/>
  <c r="AJ31" i="9"/>
  <c r="AR31" i="9"/>
  <c r="AI32" i="9"/>
  <c r="AH32" i="9"/>
  <c r="AJ32" i="9"/>
  <c r="AR32" i="9"/>
  <c r="AI33" i="9"/>
  <c r="AH33" i="9"/>
  <c r="AJ33" i="9"/>
  <c r="AR33" i="9"/>
  <c r="AI34" i="9"/>
  <c r="AH34" i="9"/>
  <c r="AJ34" i="9"/>
  <c r="AR34" i="9"/>
  <c r="AI35" i="9"/>
  <c r="AH35" i="9"/>
  <c r="AJ35" i="9"/>
  <c r="AR35" i="9"/>
  <c r="AI36" i="9"/>
  <c r="AH36" i="9"/>
  <c r="AJ36" i="9"/>
  <c r="AR36" i="9"/>
  <c r="AI37" i="9"/>
  <c r="AH37" i="9"/>
  <c r="AJ37" i="9"/>
  <c r="AR37" i="9"/>
  <c r="AI38" i="9"/>
  <c r="AH38" i="9"/>
  <c r="AJ38" i="9"/>
  <c r="AR38" i="9"/>
  <c r="AI39" i="9"/>
  <c r="AH39" i="9"/>
  <c r="AJ39" i="9"/>
  <c r="AR39" i="9"/>
  <c r="AI40" i="9"/>
  <c r="AH40" i="9"/>
  <c r="AJ40" i="9"/>
  <c r="AR40" i="9"/>
  <c r="AI41" i="9"/>
  <c r="AH41" i="9"/>
  <c r="AJ41" i="9"/>
  <c r="AR41" i="9"/>
  <c r="AI42" i="9"/>
  <c r="AH42" i="9"/>
  <c r="AJ42" i="9"/>
  <c r="AR42" i="9"/>
  <c r="AI43" i="9"/>
  <c r="AH43" i="9"/>
  <c r="AJ43" i="9"/>
  <c r="AR43" i="9"/>
  <c r="AI44" i="9"/>
  <c r="AH44" i="9"/>
  <c r="AJ44" i="9"/>
  <c r="AR44" i="9"/>
  <c r="AI45" i="9"/>
  <c r="AH45" i="9"/>
  <c r="AJ45" i="9"/>
  <c r="AR45" i="9"/>
  <c r="AI46" i="9"/>
  <c r="AH46" i="9"/>
  <c r="AJ46" i="9"/>
  <c r="AR46" i="9"/>
  <c r="AI47" i="9"/>
  <c r="AH47" i="9"/>
  <c r="AJ47" i="9"/>
  <c r="AR47" i="9"/>
  <c r="AI48" i="9"/>
  <c r="AH48" i="9"/>
  <c r="AJ48" i="9"/>
  <c r="AR48" i="9"/>
  <c r="AI49" i="9"/>
  <c r="AH49" i="9"/>
  <c r="AJ49" i="9"/>
  <c r="AR49" i="9"/>
  <c r="AI50" i="9"/>
  <c r="AH50" i="9"/>
  <c r="AJ50" i="9"/>
  <c r="AR50" i="9"/>
  <c r="AI51" i="9"/>
  <c r="AH51" i="9"/>
  <c r="AJ51" i="9"/>
  <c r="AR51" i="9"/>
  <c r="AI52" i="9"/>
  <c r="AH52" i="9"/>
  <c r="AJ52" i="9"/>
  <c r="AR52" i="9"/>
  <c r="AI53" i="9"/>
  <c r="AH53" i="9"/>
  <c r="AJ53" i="9"/>
  <c r="AR53" i="9"/>
  <c r="AI54" i="9"/>
  <c r="AH54" i="9"/>
  <c r="AJ54" i="9"/>
  <c r="AR54" i="9"/>
  <c r="AI55" i="9"/>
  <c r="AH55" i="9"/>
  <c r="AJ55" i="9"/>
  <c r="AR55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32" i="9"/>
  <c r="AQ33" i="9"/>
  <c r="AQ34" i="9"/>
  <c r="AQ35" i="9"/>
  <c r="AQ36" i="9"/>
  <c r="AQ37" i="9"/>
  <c r="AQ38" i="9"/>
  <c r="AQ39" i="9"/>
  <c r="AQ40" i="9"/>
  <c r="AQ41" i="9"/>
  <c r="AQ42" i="9"/>
  <c r="AQ43" i="9"/>
  <c r="AQ44" i="9"/>
  <c r="AQ45" i="9"/>
  <c r="AQ46" i="9"/>
  <c r="AQ47" i="9"/>
  <c r="AQ48" i="9"/>
  <c r="AQ49" i="9"/>
  <c r="AQ50" i="9"/>
  <c r="AQ51" i="9"/>
  <c r="AQ52" i="9"/>
  <c r="AQ53" i="9"/>
  <c r="AQ54" i="9"/>
  <c r="AQ55" i="9"/>
  <c r="AS55" i="9"/>
  <c r="AS54" i="9"/>
  <c r="AS53" i="9"/>
  <c r="AS52" i="9"/>
  <c r="AS51" i="9"/>
  <c r="AS50" i="9"/>
  <c r="AS49" i="9"/>
  <c r="AS48" i="9"/>
  <c r="AS47" i="9"/>
  <c r="AS46" i="9"/>
  <c r="AS45" i="9"/>
  <c r="AS44" i="9"/>
  <c r="AS43" i="9"/>
  <c r="AS42" i="9"/>
  <c r="AS41" i="9"/>
  <c r="AS40" i="9"/>
  <c r="AS39" i="9"/>
  <c r="AS38" i="9"/>
  <c r="AS37" i="9"/>
  <c r="AS36" i="9"/>
  <c r="AS35" i="9"/>
  <c r="AS34" i="9"/>
  <c r="AS33" i="9"/>
  <c r="AS32" i="9"/>
  <c r="AS31" i="9"/>
  <c r="AS30" i="9"/>
  <c r="AS29" i="9"/>
  <c r="AS28" i="9"/>
  <c r="AS27" i="9"/>
  <c r="AS26" i="9"/>
  <c r="AS25" i="9"/>
  <c r="AS24" i="9"/>
  <c r="AS23" i="9"/>
  <c r="AS22" i="9"/>
  <c r="AS21" i="9"/>
  <c r="AS20" i="9"/>
  <c r="AS19" i="9"/>
  <c r="AS18" i="9"/>
  <c r="AS17" i="9"/>
  <c r="AS16" i="9"/>
  <c r="AS15" i="9"/>
  <c r="AS14" i="9"/>
  <c r="AS13" i="9"/>
  <c r="AS12" i="9"/>
  <c r="AS11" i="9"/>
  <c r="AS10" i="9"/>
  <c r="AS9" i="9"/>
  <c r="AS8" i="9"/>
  <c r="AS7" i="9"/>
  <c r="AP5" i="9"/>
  <c r="AW7" i="9"/>
  <c r="AV7" i="9"/>
  <c r="AX7" i="9"/>
  <c r="AW8" i="9"/>
  <c r="AV8" i="9"/>
  <c r="AX8" i="9"/>
  <c r="AW9" i="9"/>
  <c r="AV9" i="9"/>
  <c r="AX9" i="9"/>
  <c r="AW10" i="9"/>
  <c r="AV10" i="9"/>
  <c r="AX10" i="9"/>
  <c r="AW11" i="9"/>
  <c r="AV11" i="9"/>
  <c r="AX11" i="9"/>
  <c r="AW12" i="9"/>
  <c r="AV12" i="9"/>
  <c r="AX12" i="9"/>
  <c r="AW13" i="9"/>
  <c r="AV13" i="9"/>
  <c r="AX13" i="9"/>
  <c r="AW14" i="9"/>
  <c r="AV14" i="9"/>
  <c r="AX14" i="9"/>
  <c r="AW15" i="9"/>
  <c r="AV15" i="9"/>
  <c r="AX15" i="9"/>
  <c r="AW16" i="9"/>
  <c r="AV16" i="9"/>
  <c r="AX16" i="9"/>
  <c r="AW17" i="9"/>
  <c r="AV17" i="9"/>
  <c r="AX17" i="9"/>
  <c r="AW18" i="9"/>
  <c r="AV18" i="9"/>
  <c r="AX18" i="9"/>
  <c r="AW19" i="9"/>
  <c r="AV19" i="9"/>
  <c r="AX19" i="9"/>
  <c r="AW20" i="9"/>
  <c r="AV20" i="9"/>
  <c r="AX20" i="9"/>
  <c r="AW21" i="9"/>
  <c r="AV21" i="9"/>
  <c r="AX21" i="9"/>
  <c r="AW22" i="9"/>
  <c r="AV22" i="9"/>
  <c r="AX22" i="9"/>
  <c r="AW23" i="9"/>
  <c r="AV23" i="9"/>
  <c r="AX23" i="9"/>
  <c r="AW24" i="9"/>
  <c r="AV24" i="9"/>
  <c r="AX24" i="9"/>
  <c r="AW25" i="9"/>
  <c r="AV25" i="9"/>
  <c r="AX25" i="9"/>
  <c r="AW26" i="9"/>
  <c r="AV26" i="9"/>
  <c r="AX26" i="9"/>
  <c r="AW27" i="9"/>
  <c r="AV27" i="9"/>
  <c r="AX27" i="9"/>
  <c r="AW28" i="9"/>
  <c r="AV28" i="9"/>
  <c r="AX28" i="9"/>
  <c r="AW29" i="9"/>
  <c r="AV29" i="9"/>
  <c r="AX29" i="9"/>
  <c r="AW30" i="9"/>
  <c r="AV30" i="9"/>
  <c r="AX30" i="9"/>
  <c r="AW31" i="9"/>
  <c r="AV31" i="9"/>
  <c r="AX31" i="9"/>
  <c r="AW32" i="9"/>
  <c r="AV32" i="9"/>
  <c r="AX32" i="9"/>
  <c r="AW33" i="9"/>
  <c r="AV33" i="9"/>
  <c r="AX33" i="9"/>
  <c r="AW34" i="9"/>
  <c r="AV34" i="9"/>
  <c r="AX34" i="9"/>
  <c r="AW35" i="9"/>
  <c r="AV35" i="9"/>
  <c r="AX35" i="9"/>
  <c r="AW36" i="9"/>
  <c r="AV36" i="9"/>
  <c r="AX36" i="9"/>
  <c r="AW37" i="9"/>
  <c r="AV37" i="9"/>
  <c r="AX37" i="9"/>
  <c r="AW38" i="9"/>
  <c r="AV38" i="9"/>
  <c r="AX38" i="9"/>
  <c r="AW39" i="9"/>
  <c r="AV39" i="9"/>
  <c r="AX39" i="9"/>
  <c r="AW40" i="9"/>
  <c r="AV40" i="9"/>
  <c r="AX40" i="9"/>
  <c r="AW41" i="9"/>
  <c r="AV41" i="9"/>
  <c r="AX41" i="9"/>
  <c r="AW42" i="9"/>
  <c r="AV42" i="9"/>
  <c r="AX42" i="9"/>
  <c r="AW43" i="9"/>
  <c r="AV43" i="9"/>
  <c r="AX43" i="9"/>
  <c r="AW44" i="9"/>
  <c r="AV44" i="9"/>
  <c r="AX44" i="9"/>
  <c r="AW45" i="9"/>
  <c r="AV45" i="9"/>
  <c r="AX45" i="9"/>
  <c r="AW46" i="9"/>
  <c r="AV46" i="9"/>
  <c r="AX46" i="9"/>
  <c r="AW47" i="9"/>
  <c r="AV47" i="9"/>
  <c r="AX47" i="9"/>
  <c r="AW48" i="9"/>
  <c r="AV48" i="9"/>
  <c r="AX48" i="9"/>
  <c r="AW49" i="9"/>
  <c r="AV49" i="9"/>
  <c r="AX49" i="9"/>
  <c r="AW50" i="9"/>
  <c r="AV50" i="9"/>
  <c r="AX50" i="9"/>
  <c r="AW51" i="9"/>
  <c r="AV51" i="9"/>
  <c r="AX51" i="9"/>
  <c r="AW52" i="9"/>
  <c r="AV52" i="9"/>
  <c r="AX52" i="9"/>
  <c r="AW53" i="9"/>
  <c r="AV53" i="9"/>
  <c r="AX53" i="9"/>
  <c r="AW54" i="9"/>
  <c r="AV54" i="9"/>
  <c r="AX54" i="9"/>
  <c r="AW55" i="9"/>
  <c r="AV55" i="9"/>
  <c r="AX55" i="9"/>
  <c r="AW6" i="9"/>
  <c r="AV6" i="9"/>
  <c r="AX6" i="9"/>
  <c r="AU5" i="9"/>
  <c r="AM7" i="9"/>
  <c r="AN7" i="9"/>
  <c r="AM8" i="9"/>
  <c r="AN8" i="9"/>
  <c r="AM9" i="9"/>
  <c r="AN9" i="9"/>
  <c r="AM10" i="9"/>
  <c r="AN10" i="9"/>
  <c r="AM11" i="9"/>
  <c r="AN11" i="9"/>
  <c r="AM12" i="9"/>
  <c r="AN12" i="9"/>
  <c r="AM13" i="9"/>
  <c r="AN13" i="9"/>
  <c r="AM14" i="9"/>
  <c r="AN14" i="9"/>
  <c r="AM15" i="9"/>
  <c r="AN15" i="9"/>
  <c r="AM16" i="9"/>
  <c r="AN16" i="9"/>
  <c r="AM17" i="9"/>
  <c r="AN17" i="9"/>
  <c r="AM18" i="9"/>
  <c r="AN18" i="9"/>
  <c r="AM19" i="9"/>
  <c r="AN19" i="9"/>
  <c r="AM20" i="9"/>
  <c r="AN20" i="9"/>
  <c r="AM21" i="9"/>
  <c r="AN21" i="9"/>
  <c r="AM22" i="9"/>
  <c r="AN22" i="9"/>
  <c r="AM23" i="9"/>
  <c r="AN23" i="9"/>
  <c r="AM24" i="9"/>
  <c r="AN24" i="9"/>
  <c r="AM25" i="9"/>
  <c r="AN25" i="9"/>
  <c r="AM26" i="9"/>
  <c r="AN26" i="9"/>
  <c r="AM27" i="9"/>
  <c r="AN27" i="9"/>
  <c r="AM28" i="9"/>
  <c r="AN28" i="9"/>
  <c r="AM29" i="9"/>
  <c r="AN29" i="9"/>
  <c r="AM30" i="9"/>
  <c r="AN30" i="9"/>
  <c r="AM31" i="9"/>
  <c r="AN31" i="9"/>
  <c r="AM32" i="9"/>
  <c r="AN32" i="9"/>
  <c r="AM33" i="9"/>
  <c r="AN33" i="9"/>
  <c r="AM34" i="9"/>
  <c r="AN34" i="9"/>
  <c r="AM35" i="9"/>
  <c r="AN35" i="9"/>
  <c r="AM36" i="9"/>
  <c r="AN36" i="9"/>
  <c r="AM37" i="9"/>
  <c r="AN37" i="9"/>
  <c r="AM38" i="9"/>
  <c r="AN38" i="9"/>
  <c r="AM39" i="9"/>
  <c r="AN39" i="9"/>
  <c r="AM40" i="9"/>
  <c r="AN40" i="9"/>
  <c r="AM41" i="9"/>
  <c r="AN41" i="9"/>
  <c r="AM42" i="9"/>
  <c r="AN42" i="9"/>
  <c r="AM43" i="9"/>
  <c r="AN43" i="9"/>
  <c r="AM44" i="9"/>
  <c r="AN44" i="9"/>
  <c r="AM45" i="9"/>
  <c r="AN45" i="9"/>
  <c r="AM46" i="9"/>
  <c r="AN46" i="9"/>
  <c r="AM47" i="9"/>
  <c r="AN47" i="9"/>
  <c r="AM48" i="9"/>
  <c r="AN48" i="9"/>
  <c r="AM49" i="9"/>
  <c r="AN49" i="9"/>
  <c r="AM50" i="9"/>
  <c r="AN50" i="9"/>
  <c r="AM51" i="9"/>
  <c r="AN51" i="9"/>
  <c r="AM52" i="9"/>
  <c r="AN52" i="9"/>
  <c r="AM53" i="9"/>
  <c r="AN53" i="9"/>
  <c r="AM54" i="9"/>
  <c r="AN54" i="9"/>
  <c r="AM55" i="9"/>
  <c r="AN55" i="9"/>
  <c r="AM6" i="9"/>
  <c r="AN6" i="9"/>
  <c r="C10" i="6"/>
  <c r="AM5" i="9"/>
  <c r="B10" i="6"/>
  <c r="AL5" i="9"/>
  <c r="B11" i="6"/>
  <c r="AL6" i="9"/>
  <c r="B12" i="6"/>
  <c r="AL7" i="9"/>
  <c r="B13" i="6"/>
  <c r="AL8" i="9"/>
  <c r="B14" i="6"/>
  <c r="AL9" i="9"/>
  <c r="B15" i="6"/>
  <c r="AL10" i="9"/>
  <c r="B16" i="6"/>
  <c r="AL11" i="9"/>
  <c r="B17" i="6"/>
  <c r="AL12" i="9"/>
  <c r="B18" i="6"/>
  <c r="AL13" i="9"/>
  <c r="B19" i="6"/>
  <c r="AL14" i="9"/>
  <c r="B20" i="6"/>
  <c r="AL15" i="9"/>
  <c r="B21" i="6"/>
  <c r="AL16" i="9"/>
  <c r="B22" i="6"/>
  <c r="AL17" i="9"/>
  <c r="B23" i="6"/>
  <c r="AL18" i="9"/>
  <c r="B24" i="6"/>
  <c r="AL19" i="9"/>
  <c r="B25" i="6"/>
  <c r="AL20" i="9"/>
  <c r="B26" i="6"/>
  <c r="AL21" i="9"/>
  <c r="B27" i="6"/>
  <c r="AL22" i="9"/>
  <c r="B28" i="6"/>
  <c r="AL23" i="9"/>
  <c r="B29" i="6"/>
  <c r="AL24" i="9"/>
  <c r="B30" i="6"/>
  <c r="AL25" i="9"/>
  <c r="B31" i="6"/>
  <c r="AL26" i="9"/>
  <c r="B32" i="6"/>
  <c r="AL27" i="9"/>
  <c r="B33" i="6"/>
  <c r="AL28" i="9"/>
  <c r="B34" i="6"/>
  <c r="AL29" i="9"/>
  <c r="B35" i="6"/>
  <c r="AL30" i="9"/>
  <c r="B36" i="6"/>
  <c r="AL31" i="9"/>
  <c r="B37" i="6"/>
  <c r="AL32" i="9"/>
  <c r="B38" i="6"/>
  <c r="AL33" i="9"/>
  <c r="B39" i="6"/>
  <c r="AL34" i="9"/>
  <c r="B40" i="6"/>
  <c r="AL35" i="9"/>
  <c r="B41" i="6"/>
  <c r="AL36" i="9"/>
  <c r="B42" i="6"/>
  <c r="AL37" i="9"/>
  <c r="B43" i="6"/>
  <c r="AL38" i="9"/>
  <c r="B44" i="6"/>
  <c r="AL39" i="9"/>
  <c r="B45" i="6"/>
  <c r="AL40" i="9"/>
  <c r="B46" i="6"/>
  <c r="AL41" i="9"/>
  <c r="B47" i="6"/>
  <c r="AL42" i="9"/>
  <c r="B48" i="6"/>
  <c r="AL43" i="9"/>
  <c r="B49" i="6"/>
  <c r="AL44" i="9"/>
  <c r="B50" i="6"/>
  <c r="AL45" i="9"/>
  <c r="B51" i="6"/>
  <c r="AL46" i="9"/>
  <c r="B52" i="6"/>
  <c r="AL47" i="9"/>
  <c r="B53" i="6"/>
  <c r="AL48" i="9"/>
  <c r="B54" i="6"/>
  <c r="AL49" i="9"/>
  <c r="B55" i="6"/>
  <c r="AL50" i="9"/>
  <c r="B56" i="6"/>
  <c r="AL51" i="9"/>
  <c r="B57" i="6"/>
  <c r="AL52" i="9"/>
  <c r="B58" i="6"/>
  <c r="AL53" i="9"/>
  <c r="B59" i="6"/>
  <c r="AL54" i="9"/>
  <c r="B60" i="6"/>
  <c r="AL55" i="9"/>
  <c r="Y6" i="9"/>
  <c r="AG6" i="9"/>
  <c r="Y7" i="9"/>
  <c r="AG7" i="9"/>
  <c r="Y8" i="9"/>
  <c r="AG8" i="9"/>
  <c r="Y9" i="9"/>
  <c r="AG9" i="9"/>
  <c r="Y10" i="9"/>
  <c r="AG10" i="9"/>
  <c r="Y11" i="9"/>
  <c r="AG11" i="9"/>
  <c r="Y12" i="9"/>
  <c r="AG12" i="9"/>
  <c r="Y13" i="9"/>
  <c r="AG13" i="9"/>
  <c r="Y14" i="9"/>
  <c r="AG14" i="9"/>
  <c r="Y15" i="9"/>
  <c r="AG15" i="9"/>
  <c r="Y16" i="9"/>
  <c r="AG16" i="9"/>
  <c r="Y17" i="9"/>
  <c r="AG17" i="9"/>
  <c r="Y18" i="9"/>
  <c r="AG18" i="9"/>
  <c r="Y19" i="9"/>
  <c r="AG19" i="9"/>
  <c r="Y20" i="9"/>
  <c r="AG20" i="9"/>
  <c r="Y21" i="9"/>
  <c r="AG21" i="9"/>
  <c r="Y22" i="9"/>
  <c r="AG22" i="9"/>
  <c r="Y23" i="9"/>
  <c r="AG23" i="9"/>
  <c r="Y24" i="9"/>
  <c r="AG24" i="9"/>
  <c r="Y25" i="9"/>
  <c r="AG25" i="9"/>
  <c r="Y26" i="9"/>
  <c r="AG26" i="9"/>
  <c r="Y27" i="9"/>
  <c r="AG27" i="9"/>
  <c r="Y28" i="9"/>
  <c r="AG28" i="9"/>
  <c r="Y29" i="9"/>
  <c r="AG29" i="9"/>
  <c r="Y30" i="9"/>
  <c r="AG30" i="9"/>
  <c r="Y31" i="9"/>
  <c r="AG31" i="9"/>
  <c r="Y32" i="9"/>
  <c r="AG32" i="9"/>
  <c r="Y33" i="9"/>
  <c r="AG33" i="9"/>
  <c r="Y34" i="9"/>
  <c r="AG34" i="9"/>
  <c r="Y35" i="9"/>
  <c r="AG35" i="9"/>
  <c r="Y36" i="9"/>
  <c r="AG36" i="9"/>
  <c r="Y37" i="9"/>
  <c r="AG37" i="9"/>
  <c r="Y38" i="9"/>
  <c r="AG38" i="9"/>
  <c r="Y39" i="9"/>
  <c r="AG39" i="9"/>
  <c r="Y40" i="9"/>
  <c r="AG40" i="9"/>
  <c r="Y41" i="9"/>
  <c r="AG41" i="9"/>
  <c r="Y42" i="9"/>
  <c r="AG42" i="9"/>
  <c r="Y43" i="9"/>
  <c r="AG43" i="9"/>
  <c r="Y44" i="9"/>
  <c r="AG44" i="9"/>
  <c r="Y45" i="9"/>
  <c r="AG45" i="9"/>
  <c r="Y46" i="9"/>
  <c r="AG46" i="9"/>
  <c r="Y47" i="9"/>
  <c r="AG47" i="9"/>
  <c r="Y48" i="9"/>
  <c r="AG48" i="9"/>
  <c r="Y49" i="9"/>
  <c r="AG49" i="9"/>
  <c r="Y50" i="9"/>
  <c r="AG50" i="9"/>
  <c r="Y51" i="9"/>
  <c r="AG51" i="9"/>
  <c r="Y52" i="9"/>
  <c r="AG52" i="9"/>
  <c r="Y53" i="9"/>
  <c r="AG53" i="9"/>
  <c r="Y54" i="9"/>
  <c r="AG54" i="9"/>
  <c r="Y55" i="9"/>
  <c r="AG55" i="9"/>
  <c r="Y5" i="9"/>
  <c r="AG5" i="9"/>
  <c r="AC5" i="9"/>
  <c r="AD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3" i="9"/>
  <c r="D26" i="7"/>
  <c r="C3" i="9"/>
  <c r="Y3" i="9"/>
  <c r="Z5" i="9"/>
  <c r="M2" i="9"/>
  <c r="B5" i="9" a="1"/>
  <c r="F55" i="9"/>
  <c r="V55" i="9"/>
  <c r="F54" i="9"/>
  <c r="V54" i="9"/>
  <c r="F53" i="9"/>
  <c r="V53" i="9"/>
  <c r="F52" i="9"/>
  <c r="V52" i="9"/>
  <c r="F51" i="9"/>
  <c r="V51" i="9"/>
  <c r="F50" i="9"/>
  <c r="V50" i="9"/>
  <c r="F49" i="9"/>
  <c r="V49" i="9"/>
  <c r="F48" i="9"/>
  <c r="V48" i="9"/>
  <c r="F47" i="9"/>
  <c r="V47" i="9"/>
  <c r="F46" i="9"/>
  <c r="V46" i="9"/>
  <c r="F45" i="9"/>
  <c r="V45" i="9"/>
  <c r="F44" i="9"/>
  <c r="V44" i="9"/>
  <c r="F43" i="9"/>
  <c r="V43" i="9"/>
  <c r="F42" i="9"/>
  <c r="V42" i="9"/>
  <c r="F39" i="9"/>
  <c r="V39" i="9"/>
  <c r="F38" i="9"/>
  <c r="V38" i="9"/>
  <c r="F37" i="9"/>
  <c r="V37" i="9"/>
  <c r="F36" i="9"/>
  <c r="V36" i="9"/>
  <c r="F35" i="9"/>
  <c r="V35" i="9"/>
  <c r="F34" i="9"/>
  <c r="V34" i="9"/>
  <c r="F33" i="9"/>
  <c r="V33" i="9"/>
  <c r="F32" i="9"/>
  <c r="V32" i="9"/>
  <c r="F31" i="9"/>
  <c r="V31" i="9"/>
  <c r="F30" i="9"/>
  <c r="V30" i="9"/>
  <c r="F29" i="9"/>
  <c r="V29" i="9"/>
  <c r="F28" i="9"/>
  <c r="V28" i="9"/>
  <c r="F27" i="9"/>
  <c r="V27" i="9"/>
  <c r="F26" i="9"/>
  <c r="V26" i="9"/>
  <c r="F23" i="9"/>
  <c r="V23" i="9"/>
  <c r="F22" i="9"/>
  <c r="V22" i="9"/>
  <c r="F21" i="9"/>
  <c r="V21" i="9"/>
  <c r="F20" i="9"/>
  <c r="V20" i="9"/>
  <c r="F19" i="9"/>
  <c r="V19" i="9"/>
  <c r="F18" i="9"/>
  <c r="V18" i="9"/>
  <c r="F17" i="9"/>
  <c r="V17" i="9"/>
  <c r="F16" i="9"/>
  <c r="V16" i="9"/>
  <c r="F15" i="9"/>
  <c r="V15" i="9"/>
  <c r="F14" i="9"/>
  <c r="V14" i="9"/>
  <c r="F13" i="9"/>
  <c r="V13" i="9"/>
  <c r="F12" i="9"/>
  <c r="V12" i="9"/>
  <c r="L5" i="9"/>
  <c r="M5" i="9"/>
  <c r="N5" i="9"/>
  <c r="O5" i="9"/>
  <c r="P5" i="9"/>
  <c r="Q5" i="9"/>
  <c r="R5" i="9"/>
  <c r="S5" i="9"/>
  <c r="T5" i="9"/>
  <c r="L6" i="9"/>
  <c r="M6" i="9"/>
  <c r="N6" i="9"/>
  <c r="O6" i="9"/>
  <c r="P6" i="9"/>
  <c r="Q6" i="9"/>
  <c r="R6" i="9"/>
  <c r="S6" i="9"/>
  <c r="T6" i="9"/>
  <c r="L7" i="9"/>
  <c r="M7" i="9"/>
  <c r="N7" i="9"/>
  <c r="O7" i="9"/>
  <c r="P7" i="9"/>
  <c r="Q7" i="9"/>
  <c r="R7" i="9"/>
  <c r="S7" i="9"/>
  <c r="T7" i="9"/>
  <c r="L8" i="9"/>
  <c r="M8" i="9"/>
  <c r="N8" i="9"/>
  <c r="O8" i="9"/>
  <c r="P8" i="9"/>
  <c r="Q8" i="9"/>
  <c r="R8" i="9"/>
  <c r="S8" i="9"/>
  <c r="T8" i="9"/>
  <c r="L9" i="9"/>
  <c r="M9" i="9"/>
  <c r="N9" i="9"/>
  <c r="O9" i="9"/>
  <c r="P9" i="9"/>
  <c r="Q9" i="9"/>
  <c r="R9" i="9"/>
  <c r="S9" i="9"/>
  <c r="T9" i="9"/>
  <c r="L10" i="9"/>
  <c r="M10" i="9"/>
  <c r="N10" i="9"/>
  <c r="O10" i="9"/>
  <c r="P10" i="9"/>
  <c r="Q10" i="9"/>
  <c r="R10" i="9"/>
  <c r="S10" i="9"/>
  <c r="T10" i="9"/>
  <c r="L11" i="9"/>
  <c r="M11" i="9"/>
  <c r="N11" i="9"/>
  <c r="O11" i="9"/>
  <c r="P11" i="9"/>
  <c r="Q11" i="9"/>
  <c r="R11" i="9"/>
  <c r="S11" i="9"/>
  <c r="T11" i="9"/>
  <c r="L12" i="9"/>
  <c r="M12" i="9"/>
  <c r="N12" i="9"/>
  <c r="O12" i="9"/>
  <c r="Q12" i="9"/>
  <c r="R12" i="9"/>
  <c r="S12" i="9"/>
  <c r="T12" i="9"/>
  <c r="L13" i="9"/>
  <c r="M13" i="9"/>
  <c r="N13" i="9"/>
  <c r="O13" i="9"/>
  <c r="Q13" i="9"/>
  <c r="R13" i="9"/>
  <c r="S13" i="9"/>
  <c r="T13" i="9"/>
  <c r="L14" i="9"/>
  <c r="M14" i="9"/>
  <c r="N14" i="9"/>
  <c r="O14" i="9"/>
  <c r="Q14" i="9"/>
  <c r="R14" i="9"/>
  <c r="S14" i="9"/>
  <c r="T14" i="9"/>
  <c r="L15" i="9"/>
  <c r="M15" i="9"/>
  <c r="N15" i="9"/>
  <c r="O15" i="9"/>
  <c r="Q15" i="9"/>
  <c r="R15" i="9"/>
  <c r="S15" i="9"/>
  <c r="T15" i="9"/>
  <c r="L16" i="9"/>
  <c r="M16" i="9"/>
  <c r="N16" i="9"/>
  <c r="O16" i="9"/>
  <c r="Q16" i="9"/>
  <c r="R16" i="9"/>
  <c r="S16" i="9"/>
  <c r="T16" i="9"/>
  <c r="L17" i="9"/>
  <c r="M17" i="9"/>
  <c r="N17" i="9"/>
  <c r="O17" i="9"/>
  <c r="Q17" i="9"/>
  <c r="R17" i="9"/>
  <c r="S17" i="9"/>
  <c r="T17" i="9"/>
  <c r="L18" i="9"/>
  <c r="M18" i="9"/>
  <c r="N18" i="9"/>
  <c r="O18" i="9"/>
  <c r="Q18" i="9"/>
  <c r="R18" i="9"/>
  <c r="S18" i="9"/>
  <c r="T18" i="9"/>
  <c r="L19" i="9"/>
  <c r="M19" i="9"/>
  <c r="N19" i="9"/>
  <c r="O19" i="9"/>
  <c r="Q19" i="9"/>
  <c r="R19" i="9"/>
  <c r="S19" i="9"/>
  <c r="T19" i="9"/>
  <c r="L20" i="9"/>
  <c r="M20" i="9"/>
  <c r="N20" i="9"/>
  <c r="O20" i="9"/>
  <c r="Q20" i="9"/>
  <c r="R20" i="9"/>
  <c r="S20" i="9"/>
  <c r="T20" i="9"/>
  <c r="L21" i="9"/>
  <c r="M21" i="9"/>
  <c r="N21" i="9"/>
  <c r="O21" i="9"/>
  <c r="Q21" i="9"/>
  <c r="R21" i="9"/>
  <c r="S21" i="9"/>
  <c r="T21" i="9"/>
  <c r="L22" i="9"/>
  <c r="M22" i="9"/>
  <c r="N22" i="9"/>
  <c r="O22" i="9"/>
  <c r="Q22" i="9"/>
  <c r="R22" i="9"/>
  <c r="S22" i="9"/>
  <c r="T22" i="9"/>
  <c r="L23" i="9"/>
  <c r="M23" i="9"/>
  <c r="N23" i="9"/>
  <c r="O23" i="9"/>
  <c r="Q23" i="9"/>
  <c r="R23" i="9"/>
  <c r="S23" i="9"/>
  <c r="T23" i="9"/>
  <c r="L24" i="9"/>
  <c r="M24" i="9"/>
  <c r="N24" i="9"/>
  <c r="O24" i="9"/>
  <c r="P24" i="9"/>
  <c r="Q24" i="9"/>
  <c r="R24" i="9"/>
  <c r="S24" i="9"/>
  <c r="T24" i="9"/>
  <c r="L25" i="9"/>
  <c r="M25" i="9"/>
  <c r="N25" i="9"/>
  <c r="O25" i="9"/>
  <c r="P25" i="9"/>
  <c r="Q25" i="9"/>
  <c r="R25" i="9"/>
  <c r="S25" i="9"/>
  <c r="T25" i="9"/>
  <c r="L26" i="9"/>
  <c r="M26" i="9"/>
  <c r="N26" i="9"/>
  <c r="O26" i="9"/>
  <c r="Q26" i="9"/>
  <c r="R26" i="9"/>
  <c r="S26" i="9"/>
  <c r="T26" i="9"/>
  <c r="L27" i="9"/>
  <c r="M27" i="9"/>
  <c r="N27" i="9"/>
  <c r="O27" i="9"/>
  <c r="Q27" i="9"/>
  <c r="R27" i="9"/>
  <c r="S27" i="9"/>
  <c r="T27" i="9"/>
  <c r="L28" i="9"/>
  <c r="M28" i="9"/>
  <c r="N28" i="9"/>
  <c r="O28" i="9"/>
  <c r="Q28" i="9"/>
  <c r="R28" i="9"/>
  <c r="S28" i="9"/>
  <c r="T28" i="9"/>
  <c r="L29" i="9"/>
  <c r="M29" i="9"/>
  <c r="N29" i="9"/>
  <c r="O29" i="9"/>
  <c r="Q29" i="9"/>
  <c r="R29" i="9"/>
  <c r="S29" i="9"/>
  <c r="T29" i="9"/>
  <c r="L30" i="9"/>
  <c r="M30" i="9"/>
  <c r="N30" i="9"/>
  <c r="O30" i="9"/>
  <c r="Q30" i="9"/>
  <c r="R30" i="9"/>
  <c r="S30" i="9"/>
  <c r="T30" i="9"/>
  <c r="L31" i="9"/>
  <c r="M31" i="9"/>
  <c r="N31" i="9"/>
  <c r="O31" i="9"/>
  <c r="Q31" i="9"/>
  <c r="R31" i="9"/>
  <c r="S31" i="9"/>
  <c r="T31" i="9"/>
  <c r="L32" i="9"/>
  <c r="M32" i="9"/>
  <c r="N32" i="9"/>
  <c r="O32" i="9"/>
  <c r="Q32" i="9"/>
  <c r="R32" i="9"/>
  <c r="S32" i="9"/>
  <c r="T32" i="9"/>
  <c r="L33" i="9"/>
  <c r="M33" i="9"/>
  <c r="N33" i="9"/>
  <c r="O33" i="9"/>
  <c r="Q33" i="9"/>
  <c r="R33" i="9"/>
  <c r="S33" i="9"/>
  <c r="T33" i="9"/>
  <c r="L34" i="9"/>
  <c r="M34" i="9"/>
  <c r="N34" i="9"/>
  <c r="O34" i="9"/>
  <c r="Q34" i="9"/>
  <c r="R34" i="9"/>
  <c r="S34" i="9"/>
  <c r="T34" i="9"/>
  <c r="L35" i="9"/>
  <c r="M35" i="9"/>
  <c r="N35" i="9"/>
  <c r="O35" i="9"/>
  <c r="Q35" i="9"/>
  <c r="R35" i="9"/>
  <c r="S35" i="9"/>
  <c r="T35" i="9"/>
  <c r="L36" i="9"/>
  <c r="M36" i="9"/>
  <c r="N36" i="9"/>
  <c r="O36" i="9"/>
  <c r="Q36" i="9"/>
  <c r="R36" i="9"/>
  <c r="S36" i="9"/>
  <c r="T36" i="9"/>
  <c r="L37" i="9"/>
  <c r="M37" i="9"/>
  <c r="N37" i="9"/>
  <c r="O37" i="9"/>
  <c r="Q37" i="9"/>
  <c r="R37" i="9"/>
  <c r="S37" i="9"/>
  <c r="T37" i="9"/>
  <c r="L38" i="9"/>
  <c r="M38" i="9"/>
  <c r="N38" i="9"/>
  <c r="O38" i="9"/>
  <c r="Q38" i="9"/>
  <c r="R38" i="9"/>
  <c r="S38" i="9"/>
  <c r="T38" i="9"/>
  <c r="L39" i="9"/>
  <c r="M39" i="9"/>
  <c r="N39" i="9"/>
  <c r="O39" i="9"/>
  <c r="Q39" i="9"/>
  <c r="R39" i="9"/>
  <c r="S39" i="9"/>
  <c r="T39" i="9"/>
  <c r="L40" i="9"/>
  <c r="M40" i="9"/>
  <c r="N40" i="9"/>
  <c r="O40" i="9"/>
  <c r="P40" i="9"/>
  <c r="Q40" i="9"/>
  <c r="R40" i="9"/>
  <c r="S40" i="9"/>
  <c r="T40" i="9"/>
  <c r="L41" i="9"/>
  <c r="M41" i="9"/>
  <c r="N41" i="9"/>
  <c r="O41" i="9"/>
  <c r="P41" i="9"/>
  <c r="Q41" i="9"/>
  <c r="R41" i="9"/>
  <c r="S41" i="9"/>
  <c r="T41" i="9"/>
  <c r="L42" i="9"/>
  <c r="M42" i="9"/>
  <c r="N42" i="9"/>
  <c r="O42" i="9"/>
  <c r="Q42" i="9"/>
  <c r="R42" i="9"/>
  <c r="S42" i="9"/>
  <c r="T42" i="9"/>
  <c r="L43" i="9"/>
  <c r="M43" i="9"/>
  <c r="N43" i="9"/>
  <c r="O43" i="9"/>
  <c r="Q43" i="9"/>
  <c r="R43" i="9"/>
  <c r="S43" i="9"/>
  <c r="T43" i="9"/>
  <c r="L44" i="9"/>
  <c r="M44" i="9"/>
  <c r="N44" i="9"/>
  <c r="O44" i="9"/>
  <c r="Q44" i="9"/>
  <c r="R44" i="9"/>
  <c r="S44" i="9"/>
  <c r="T44" i="9"/>
  <c r="L45" i="9"/>
  <c r="M45" i="9"/>
  <c r="N45" i="9"/>
  <c r="O45" i="9"/>
  <c r="Q45" i="9"/>
  <c r="R45" i="9"/>
  <c r="S45" i="9"/>
  <c r="T45" i="9"/>
  <c r="L46" i="9"/>
  <c r="M46" i="9"/>
  <c r="N46" i="9"/>
  <c r="O46" i="9"/>
  <c r="Q46" i="9"/>
  <c r="R46" i="9"/>
  <c r="S46" i="9"/>
  <c r="T46" i="9"/>
  <c r="L47" i="9"/>
  <c r="M47" i="9"/>
  <c r="N47" i="9"/>
  <c r="O47" i="9"/>
  <c r="Q47" i="9"/>
  <c r="R47" i="9"/>
  <c r="S47" i="9"/>
  <c r="T47" i="9"/>
  <c r="L48" i="9"/>
  <c r="M48" i="9"/>
  <c r="N48" i="9"/>
  <c r="O48" i="9"/>
  <c r="Q48" i="9"/>
  <c r="R48" i="9"/>
  <c r="S48" i="9"/>
  <c r="T48" i="9"/>
  <c r="L49" i="9"/>
  <c r="M49" i="9"/>
  <c r="N49" i="9"/>
  <c r="O49" i="9"/>
  <c r="Q49" i="9"/>
  <c r="R49" i="9"/>
  <c r="S49" i="9"/>
  <c r="T49" i="9"/>
  <c r="L50" i="9"/>
  <c r="M50" i="9"/>
  <c r="N50" i="9"/>
  <c r="O50" i="9"/>
  <c r="Q50" i="9"/>
  <c r="R50" i="9"/>
  <c r="S50" i="9"/>
  <c r="T50" i="9"/>
  <c r="L51" i="9"/>
  <c r="M51" i="9"/>
  <c r="N51" i="9"/>
  <c r="O51" i="9"/>
  <c r="Q51" i="9"/>
  <c r="R51" i="9"/>
  <c r="S51" i="9"/>
  <c r="T51" i="9"/>
  <c r="L52" i="9"/>
  <c r="M52" i="9"/>
  <c r="N52" i="9"/>
  <c r="O52" i="9"/>
  <c r="Q52" i="9"/>
  <c r="R52" i="9"/>
  <c r="S52" i="9"/>
  <c r="T52" i="9"/>
  <c r="L53" i="9"/>
  <c r="M53" i="9"/>
  <c r="N53" i="9"/>
  <c r="O53" i="9"/>
  <c r="Q53" i="9"/>
  <c r="R53" i="9"/>
  <c r="S53" i="9"/>
  <c r="T53" i="9"/>
  <c r="L54" i="9"/>
  <c r="M54" i="9"/>
  <c r="N54" i="9"/>
  <c r="O54" i="9"/>
  <c r="Q54" i="9"/>
  <c r="R54" i="9"/>
  <c r="S54" i="9"/>
  <c r="T54" i="9"/>
  <c r="L55" i="9"/>
  <c r="M55" i="9"/>
  <c r="N55" i="9"/>
  <c r="O55" i="9"/>
  <c r="Q55" i="9"/>
  <c r="R55" i="9"/>
  <c r="S55" i="9"/>
  <c r="T55" i="9"/>
  <c r="B5" i="9"/>
  <c r="C5" i="9"/>
  <c r="D5" i="9"/>
  <c r="E5" i="9"/>
  <c r="F5" i="9"/>
  <c r="G5" i="9"/>
  <c r="H5" i="9"/>
  <c r="I5" i="9"/>
  <c r="J5" i="9"/>
  <c r="B6" i="9"/>
  <c r="C6" i="9"/>
  <c r="D6" i="9"/>
  <c r="E6" i="9"/>
  <c r="F6" i="9"/>
  <c r="G6" i="9"/>
  <c r="H6" i="9"/>
  <c r="I6" i="9"/>
  <c r="J6" i="9"/>
  <c r="B7" i="9"/>
  <c r="C7" i="9"/>
  <c r="D7" i="9"/>
  <c r="E7" i="9"/>
  <c r="F7" i="9"/>
  <c r="G7" i="9"/>
  <c r="H7" i="9"/>
  <c r="I7" i="9"/>
  <c r="J7" i="9"/>
  <c r="B8" i="9"/>
  <c r="C8" i="9"/>
  <c r="D8" i="9"/>
  <c r="E8" i="9"/>
  <c r="F8" i="9"/>
  <c r="G8" i="9"/>
  <c r="H8" i="9"/>
  <c r="I8" i="9"/>
  <c r="J8" i="9"/>
  <c r="B9" i="9"/>
  <c r="C9" i="9"/>
  <c r="D9" i="9"/>
  <c r="E9" i="9"/>
  <c r="F9" i="9"/>
  <c r="G9" i="9"/>
  <c r="H9" i="9"/>
  <c r="I9" i="9"/>
  <c r="J9" i="9"/>
  <c r="B10" i="9"/>
  <c r="C10" i="9"/>
  <c r="D10" i="9"/>
  <c r="E10" i="9"/>
  <c r="F10" i="9"/>
  <c r="G10" i="9"/>
  <c r="H10" i="9"/>
  <c r="I10" i="9"/>
  <c r="J10" i="9"/>
  <c r="B11" i="9"/>
  <c r="C11" i="9"/>
  <c r="D11" i="9"/>
  <c r="E11" i="9"/>
  <c r="F11" i="9"/>
  <c r="G11" i="9"/>
  <c r="H11" i="9"/>
  <c r="I11" i="9"/>
  <c r="J11" i="9"/>
  <c r="B12" i="9"/>
  <c r="C12" i="9"/>
  <c r="D12" i="9"/>
  <c r="E12" i="9"/>
  <c r="G12" i="9"/>
  <c r="H12" i="9"/>
  <c r="I12" i="9"/>
  <c r="J12" i="9"/>
  <c r="B13" i="9"/>
  <c r="C13" i="9"/>
  <c r="D13" i="9"/>
  <c r="E13" i="9"/>
  <c r="G13" i="9"/>
  <c r="H13" i="9"/>
  <c r="I13" i="9"/>
  <c r="J13" i="9"/>
  <c r="B14" i="9"/>
  <c r="C14" i="9"/>
  <c r="D14" i="9"/>
  <c r="E14" i="9"/>
  <c r="G14" i="9"/>
  <c r="H14" i="9"/>
  <c r="I14" i="9"/>
  <c r="J14" i="9"/>
  <c r="B15" i="9"/>
  <c r="C15" i="9"/>
  <c r="D15" i="9"/>
  <c r="E15" i="9"/>
  <c r="G15" i="9"/>
  <c r="H15" i="9"/>
  <c r="I15" i="9"/>
  <c r="J15" i="9"/>
  <c r="B16" i="9"/>
  <c r="C16" i="9"/>
  <c r="D16" i="9"/>
  <c r="E16" i="9"/>
  <c r="G16" i="9"/>
  <c r="H16" i="9"/>
  <c r="I16" i="9"/>
  <c r="J16" i="9"/>
  <c r="B17" i="9"/>
  <c r="C17" i="9"/>
  <c r="D17" i="9"/>
  <c r="E17" i="9"/>
  <c r="G17" i="9"/>
  <c r="H17" i="9"/>
  <c r="I17" i="9"/>
  <c r="J17" i="9"/>
  <c r="B18" i="9"/>
  <c r="C18" i="9"/>
  <c r="D18" i="9"/>
  <c r="E18" i="9"/>
  <c r="G18" i="9"/>
  <c r="H18" i="9"/>
  <c r="I18" i="9"/>
  <c r="J18" i="9"/>
  <c r="B19" i="9"/>
  <c r="C19" i="9"/>
  <c r="D19" i="9"/>
  <c r="E19" i="9"/>
  <c r="G19" i="9"/>
  <c r="H19" i="9"/>
  <c r="I19" i="9"/>
  <c r="J19" i="9"/>
  <c r="B20" i="9"/>
  <c r="C20" i="9"/>
  <c r="D20" i="9"/>
  <c r="E20" i="9"/>
  <c r="G20" i="9"/>
  <c r="H20" i="9"/>
  <c r="I20" i="9"/>
  <c r="J20" i="9"/>
  <c r="B21" i="9"/>
  <c r="C21" i="9"/>
  <c r="D21" i="9"/>
  <c r="E21" i="9"/>
  <c r="G21" i="9"/>
  <c r="H21" i="9"/>
  <c r="I21" i="9"/>
  <c r="J21" i="9"/>
  <c r="B22" i="9"/>
  <c r="C22" i="9"/>
  <c r="D22" i="9"/>
  <c r="E22" i="9"/>
  <c r="G22" i="9"/>
  <c r="H22" i="9"/>
  <c r="I22" i="9"/>
  <c r="J22" i="9"/>
  <c r="B23" i="9"/>
  <c r="C23" i="9"/>
  <c r="D23" i="9"/>
  <c r="E23" i="9"/>
  <c r="G23" i="9"/>
  <c r="H23" i="9"/>
  <c r="I23" i="9"/>
  <c r="J23" i="9"/>
  <c r="B24" i="9"/>
  <c r="C24" i="9"/>
  <c r="D24" i="9"/>
  <c r="E24" i="9"/>
  <c r="F24" i="9"/>
  <c r="G24" i="9"/>
  <c r="H24" i="9"/>
  <c r="I24" i="9"/>
  <c r="J24" i="9"/>
  <c r="B25" i="9"/>
  <c r="C25" i="9"/>
  <c r="D25" i="9"/>
  <c r="E25" i="9"/>
  <c r="F25" i="9"/>
  <c r="G25" i="9"/>
  <c r="H25" i="9"/>
  <c r="I25" i="9"/>
  <c r="J25" i="9"/>
  <c r="B26" i="9"/>
  <c r="C26" i="9"/>
  <c r="D26" i="9"/>
  <c r="E26" i="9"/>
  <c r="G26" i="9"/>
  <c r="H26" i="9"/>
  <c r="I26" i="9"/>
  <c r="J26" i="9"/>
  <c r="B27" i="9"/>
  <c r="C27" i="9"/>
  <c r="D27" i="9"/>
  <c r="E27" i="9"/>
  <c r="G27" i="9"/>
  <c r="H27" i="9"/>
  <c r="I27" i="9"/>
  <c r="J27" i="9"/>
  <c r="B28" i="9"/>
  <c r="C28" i="9"/>
  <c r="D28" i="9"/>
  <c r="E28" i="9"/>
  <c r="G28" i="9"/>
  <c r="H28" i="9"/>
  <c r="I28" i="9"/>
  <c r="J28" i="9"/>
  <c r="B29" i="9"/>
  <c r="C29" i="9"/>
  <c r="D29" i="9"/>
  <c r="E29" i="9"/>
  <c r="G29" i="9"/>
  <c r="H29" i="9"/>
  <c r="I29" i="9"/>
  <c r="J29" i="9"/>
  <c r="B30" i="9"/>
  <c r="C30" i="9"/>
  <c r="D30" i="9"/>
  <c r="E30" i="9"/>
  <c r="G30" i="9"/>
  <c r="H30" i="9"/>
  <c r="I30" i="9"/>
  <c r="J30" i="9"/>
  <c r="B31" i="9"/>
  <c r="C31" i="9"/>
  <c r="D31" i="9"/>
  <c r="E31" i="9"/>
  <c r="G31" i="9"/>
  <c r="H31" i="9"/>
  <c r="I31" i="9"/>
  <c r="J31" i="9"/>
  <c r="B32" i="9"/>
  <c r="C32" i="9"/>
  <c r="D32" i="9"/>
  <c r="E32" i="9"/>
  <c r="G32" i="9"/>
  <c r="H32" i="9"/>
  <c r="I32" i="9"/>
  <c r="J32" i="9"/>
  <c r="B33" i="9"/>
  <c r="C33" i="9"/>
  <c r="D33" i="9"/>
  <c r="E33" i="9"/>
  <c r="G33" i="9"/>
  <c r="H33" i="9"/>
  <c r="I33" i="9"/>
  <c r="J33" i="9"/>
  <c r="B34" i="9"/>
  <c r="C34" i="9"/>
  <c r="D34" i="9"/>
  <c r="E34" i="9"/>
  <c r="G34" i="9"/>
  <c r="H34" i="9"/>
  <c r="I34" i="9"/>
  <c r="J34" i="9"/>
  <c r="B35" i="9"/>
  <c r="C35" i="9"/>
  <c r="D35" i="9"/>
  <c r="E35" i="9"/>
  <c r="G35" i="9"/>
  <c r="H35" i="9"/>
  <c r="I35" i="9"/>
  <c r="J35" i="9"/>
  <c r="B36" i="9"/>
  <c r="C36" i="9"/>
  <c r="D36" i="9"/>
  <c r="E36" i="9"/>
  <c r="G36" i="9"/>
  <c r="H36" i="9"/>
  <c r="I36" i="9"/>
  <c r="J36" i="9"/>
  <c r="B37" i="9"/>
  <c r="C37" i="9"/>
  <c r="D37" i="9"/>
  <c r="E37" i="9"/>
  <c r="G37" i="9"/>
  <c r="H37" i="9"/>
  <c r="I37" i="9"/>
  <c r="J37" i="9"/>
  <c r="B38" i="9"/>
  <c r="C38" i="9"/>
  <c r="D38" i="9"/>
  <c r="E38" i="9"/>
  <c r="G38" i="9"/>
  <c r="H38" i="9"/>
  <c r="I38" i="9"/>
  <c r="J38" i="9"/>
  <c r="B39" i="9"/>
  <c r="C39" i="9"/>
  <c r="D39" i="9"/>
  <c r="E39" i="9"/>
  <c r="G39" i="9"/>
  <c r="H39" i="9"/>
  <c r="I39" i="9"/>
  <c r="J39" i="9"/>
  <c r="B40" i="9"/>
  <c r="C40" i="9"/>
  <c r="D40" i="9"/>
  <c r="E40" i="9"/>
  <c r="F40" i="9"/>
  <c r="G40" i="9"/>
  <c r="H40" i="9"/>
  <c r="I40" i="9"/>
  <c r="J40" i="9"/>
  <c r="B41" i="9"/>
  <c r="C41" i="9"/>
  <c r="D41" i="9"/>
  <c r="E41" i="9"/>
  <c r="F41" i="9"/>
  <c r="G41" i="9"/>
  <c r="H41" i="9"/>
  <c r="I41" i="9"/>
  <c r="J41" i="9"/>
  <c r="B42" i="9"/>
  <c r="C42" i="9"/>
  <c r="D42" i="9"/>
  <c r="E42" i="9"/>
  <c r="G42" i="9"/>
  <c r="H42" i="9"/>
  <c r="I42" i="9"/>
  <c r="J42" i="9"/>
  <c r="B43" i="9"/>
  <c r="C43" i="9"/>
  <c r="D43" i="9"/>
  <c r="E43" i="9"/>
  <c r="G43" i="9"/>
  <c r="H43" i="9"/>
  <c r="I43" i="9"/>
  <c r="J43" i="9"/>
  <c r="B44" i="9"/>
  <c r="C44" i="9"/>
  <c r="D44" i="9"/>
  <c r="E44" i="9"/>
  <c r="G44" i="9"/>
  <c r="H44" i="9"/>
  <c r="I44" i="9"/>
  <c r="J44" i="9"/>
  <c r="B45" i="9"/>
  <c r="C45" i="9"/>
  <c r="D45" i="9"/>
  <c r="E45" i="9"/>
  <c r="G45" i="9"/>
  <c r="H45" i="9"/>
  <c r="I45" i="9"/>
  <c r="J45" i="9"/>
  <c r="B46" i="9"/>
  <c r="C46" i="9"/>
  <c r="D46" i="9"/>
  <c r="E46" i="9"/>
  <c r="G46" i="9"/>
  <c r="H46" i="9"/>
  <c r="I46" i="9"/>
  <c r="J46" i="9"/>
  <c r="B47" i="9"/>
  <c r="C47" i="9"/>
  <c r="D47" i="9"/>
  <c r="E47" i="9"/>
  <c r="G47" i="9"/>
  <c r="H47" i="9"/>
  <c r="I47" i="9"/>
  <c r="J47" i="9"/>
  <c r="B48" i="9"/>
  <c r="C48" i="9"/>
  <c r="D48" i="9"/>
  <c r="E48" i="9"/>
  <c r="G48" i="9"/>
  <c r="H48" i="9"/>
  <c r="I48" i="9"/>
  <c r="J48" i="9"/>
  <c r="B49" i="9"/>
  <c r="C49" i="9"/>
  <c r="D49" i="9"/>
  <c r="E49" i="9"/>
  <c r="G49" i="9"/>
  <c r="H49" i="9"/>
  <c r="I49" i="9"/>
  <c r="J49" i="9"/>
  <c r="B50" i="9"/>
  <c r="C50" i="9"/>
  <c r="D50" i="9"/>
  <c r="E50" i="9"/>
  <c r="G50" i="9"/>
  <c r="H50" i="9"/>
  <c r="I50" i="9"/>
  <c r="J50" i="9"/>
  <c r="B51" i="9"/>
  <c r="C51" i="9"/>
  <c r="D51" i="9"/>
  <c r="E51" i="9"/>
  <c r="G51" i="9"/>
  <c r="H51" i="9"/>
  <c r="I51" i="9"/>
  <c r="J51" i="9"/>
  <c r="B52" i="9"/>
  <c r="C52" i="9"/>
  <c r="D52" i="9"/>
  <c r="E52" i="9"/>
  <c r="G52" i="9"/>
  <c r="H52" i="9"/>
  <c r="I52" i="9"/>
  <c r="J52" i="9"/>
  <c r="B53" i="9"/>
  <c r="C53" i="9"/>
  <c r="D53" i="9"/>
  <c r="E53" i="9"/>
  <c r="G53" i="9"/>
  <c r="H53" i="9"/>
  <c r="I53" i="9"/>
  <c r="J53" i="9"/>
  <c r="B54" i="9"/>
  <c r="C54" i="9"/>
  <c r="D54" i="9"/>
  <c r="E54" i="9"/>
  <c r="G54" i="9"/>
  <c r="H54" i="9"/>
  <c r="I54" i="9"/>
  <c r="J54" i="9"/>
  <c r="B55" i="9"/>
  <c r="C55" i="9"/>
  <c r="D55" i="9"/>
  <c r="E55" i="9"/>
  <c r="G55" i="9"/>
  <c r="H55" i="9"/>
  <c r="I55" i="9"/>
  <c r="J55" i="9"/>
  <c r="D30" i="8"/>
  <c r="D29" i="8"/>
  <c r="D30" i="7"/>
  <c r="D29" i="7"/>
  <c r="S221" i="6"/>
  <c r="N221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D34" i="5"/>
  <c r="D30" i="1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P60" i="6"/>
  <c r="AU55" i="9"/>
  <c r="P59" i="6"/>
  <c r="AU54" i="9"/>
  <c r="P58" i="6"/>
  <c r="AU53" i="9"/>
  <c r="P57" i="6"/>
  <c r="AU52" i="9"/>
  <c r="P56" i="6"/>
  <c r="AU51" i="9"/>
  <c r="P55" i="6"/>
  <c r="AU50" i="9"/>
  <c r="P54" i="6"/>
  <c r="AU49" i="9"/>
  <c r="P53" i="6"/>
  <c r="AU48" i="9"/>
  <c r="P52" i="6"/>
  <c r="AU47" i="9"/>
  <c r="P51" i="6"/>
  <c r="AU46" i="9"/>
  <c r="P50" i="6"/>
  <c r="AU45" i="9"/>
  <c r="P49" i="6"/>
  <c r="AU44" i="9"/>
  <c r="P48" i="6"/>
  <c r="AU43" i="9"/>
  <c r="P47" i="6"/>
  <c r="AU42" i="9"/>
  <c r="P46" i="6"/>
  <c r="AU41" i="9"/>
  <c r="P45" i="6"/>
  <c r="AU40" i="9"/>
  <c r="P44" i="6"/>
  <c r="AU39" i="9"/>
  <c r="P43" i="6"/>
  <c r="AU38" i="9"/>
  <c r="P42" i="6"/>
  <c r="AU37" i="9"/>
  <c r="P41" i="6"/>
  <c r="AU36" i="9"/>
  <c r="P40" i="6"/>
  <c r="AU35" i="9"/>
  <c r="P39" i="6"/>
  <c r="AU34" i="9"/>
  <c r="P38" i="6"/>
  <c r="AU33" i="9"/>
  <c r="P37" i="6"/>
  <c r="AU32" i="9"/>
  <c r="P36" i="6"/>
  <c r="AU31" i="9"/>
  <c r="P35" i="6"/>
  <c r="AU30" i="9"/>
  <c r="P34" i="6"/>
  <c r="AU29" i="9"/>
  <c r="P33" i="6"/>
  <c r="AU28" i="9"/>
  <c r="P32" i="6"/>
  <c r="AU27" i="9"/>
  <c r="P31" i="6"/>
  <c r="AU26" i="9"/>
  <c r="P30" i="6"/>
  <c r="AU25" i="9"/>
  <c r="P29" i="6"/>
  <c r="AU24" i="9"/>
  <c r="P28" i="6"/>
  <c r="AU23" i="9"/>
  <c r="P27" i="6"/>
  <c r="AU22" i="9"/>
  <c r="P26" i="6"/>
  <c r="AU21" i="9"/>
  <c r="P25" i="6"/>
  <c r="AU20" i="9"/>
  <c r="P24" i="6"/>
  <c r="AU19" i="9"/>
  <c r="P23" i="6"/>
  <c r="AU18" i="9"/>
  <c r="P22" i="6"/>
  <c r="AU17" i="9"/>
  <c r="P21" i="6"/>
  <c r="AU16" i="9"/>
  <c r="P20" i="6"/>
  <c r="AU15" i="9"/>
  <c r="P19" i="6"/>
  <c r="AU14" i="9"/>
  <c r="P18" i="6"/>
  <c r="AU13" i="9"/>
  <c r="P17" i="6"/>
  <c r="AU12" i="9"/>
  <c r="P16" i="6"/>
  <c r="AU11" i="9"/>
  <c r="P15" i="6"/>
  <c r="AU10" i="9"/>
  <c r="P14" i="6"/>
  <c r="AU9" i="9"/>
  <c r="P13" i="6"/>
  <c r="AU8" i="9"/>
  <c r="P12" i="6"/>
  <c r="AU7" i="9"/>
  <c r="P11" i="6"/>
  <c r="AU6" i="9"/>
  <c r="K12" i="6"/>
  <c r="AP7" i="9"/>
  <c r="K13" i="6"/>
  <c r="AP8" i="9"/>
  <c r="K14" i="6"/>
  <c r="AP9" i="9"/>
  <c r="K15" i="6"/>
  <c r="AP10" i="9"/>
  <c r="K16" i="6"/>
  <c r="AP11" i="9"/>
  <c r="K17" i="6"/>
  <c r="AP12" i="9"/>
  <c r="K18" i="6"/>
  <c r="AP13" i="9"/>
  <c r="K19" i="6"/>
  <c r="AP14" i="9"/>
  <c r="K20" i="6"/>
  <c r="AP15" i="9"/>
  <c r="K21" i="6"/>
  <c r="AP16" i="9"/>
  <c r="K22" i="6"/>
  <c r="AP17" i="9"/>
  <c r="K23" i="6"/>
  <c r="AP18" i="9"/>
  <c r="K24" i="6"/>
  <c r="AP19" i="9"/>
  <c r="K25" i="6"/>
  <c r="AP20" i="9"/>
  <c r="K26" i="6"/>
  <c r="AP21" i="9"/>
  <c r="K27" i="6"/>
  <c r="AP22" i="9"/>
  <c r="K28" i="6"/>
  <c r="AP23" i="9"/>
  <c r="K29" i="6"/>
  <c r="AP24" i="9"/>
  <c r="K30" i="6"/>
  <c r="AP25" i="9"/>
  <c r="K31" i="6"/>
  <c r="AP26" i="9"/>
  <c r="K32" i="6"/>
  <c r="AP27" i="9"/>
  <c r="K33" i="6"/>
  <c r="AP28" i="9"/>
  <c r="K34" i="6"/>
  <c r="AP29" i="9"/>
  <c r="K35" i="6"/>
  <c r="AP30" i="9"/>
  <c r="K36" i="6"/>
  <c r="AP31" i="9"/>
  <c r="K37" i="6"/>
  <c r="AP32" i="9"/>
  <c r="K38" i="6"/>
  <c r="AP33" i="9"/>
  <c r="K39" i="6"/>
  <c r="AP34" i="9"/>
  <c r="K40" i="6"/>
  <c r="AP35" i="9"/>
  <c r="K41" i="6"/>
  <c r="AP36" i="9"/>
  <c r="K42" i="6"/>
  <c r="AP37" i="9"/>
  <c r="K43" i="6"/>
  <c r="AP38" i="9"/>
  <c r="K44" i="6"/>
  <c r="AP39" i="9"/>
  <c r="K45" i="6"/>
  <c r="AP40" i="9"/>
  <c r="K46" i="6"/>
  <c r="AP41" i="9"/>
  <c r="K47" i="6"/>
  <c r="AP42" i="9"/>
  <c r="K48" i="6"/>
  <c r="AP43" i="9"/>
  <c r="K49" i="6"/>
  <c r="AP44" i="9"/>
  <c r="K50" i="6"/>
  <c r="AP45" i="9"/>
  <c r="K51" i="6"/>
  <c r="AP46" i="9"/>
  <c r="K52" i="6"/>
  <c r="AP47" i="9"/>
  <c r="K53" i="6"/>
  <c r="AP48" i="9"/>
  <c r="K54" i="6"/>
  <c r="AP49" i="9"/>
  <c r="K55" i="6"/>
  <c r="AP50" i="9"/>
  <c r="K56" i="6"/>
  <c r="AP51" i="9"/>
  <c r="K57" i="6"/>
  <c r="AP52" i="9"/>
  <c r="K58" i="6"/>
  <c r="AP53" i="9"/>
  <c r="K59" i="6"/>
  <c r="AP54" i="9"/>
  <c r="K60" i="6"/>
  <c r="AP55" i="9"/>
  <c r="K11" i="6"/>
  <c r="AP6" i="9"/>
</calcChain>
</file>

<file path=xl/sharedStrings.xml><?xml version="1.0" encoding="utf-8"?>
<sst xmlns="http://schemas.openxmlformats.org/spreadsheetml/2006/main" count="621" uniqueCount="150">
  <si>
    <t>MARKETDATAPROPERTIES</t>
  </si>
  <si>
    <t xml:space="preserve"> 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</si>
  <si>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</si>
  <si>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</si>
  <si>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</si>
  <si>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</si>
  <si>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</si>
  <si>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</si>
  <si>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</si>
  <si>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</si>
  <si>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Currency</t>
  </si>
  <si>
    <t>USD</t>
  </si>
  <si>
    <t>CurveType</t>
  </si>
  <si>
    <t>CurveIndexFrequency</t>
  </si>
  <si>
    <t>DAILY</t>
  </si>
  <si>
    <t>AsOfDate</t>
  </si>
  <si>
    <t>Create Market Data Handle</t>
  </si>
  <si>
    <t>Handle Name</t>
  </si>
  <si>
    <t>Market Data Handle</t>
  </si>
  <si>
    <t>Curve Dictionary</t>
  </si>
  <si>
    <t>40Y</t>
  </si>
  <si>
    <t>50Y</t>
  </si>
  <si>
    <t>Curve Generator</t>
  </si>
  <si>
    <t>Domestic Curve Collection</t>
  </si>
  <si>
    <t>USDYC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</si>
  <si>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</si>
  <si>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</si>
  <si>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</si>
  <si>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</si>
  <si>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</si>
  <si>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</si>
  <si>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JacobianBuildFrequency</t>
  </si>
  <si>
    <t>JacobianShiftType</t>
  </si>
  <si>
    <t>JacobianRiskType</t>
  </si>
  <si>
    <t>FLAT_SHIFT</t>
  </si>
  <si>
    <t>DISCOUNT_FACTORS</t>
  </si>
  <si>
    <t>ON</t>
  </si>
  <si>
    <t>1Y</t>
  </si>
  <si>
    <t>1W</t>
  </si>
  <si>
    <t>2Y</t>
  </si>
  <si>
    <t>2W</t>
  </si>
  <si>
    <t>3Y</t>
  </si>
  <si>
    <t>3W</t>
  </si>
  <si>
    <t>4Y</t>
  </si>
  <si>
    <t>1M</t>
  </si>
  <si>
    <t>5Y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</si>
  <si>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</si>
  <si>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</si>
  <si>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</si>
  <si>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</si>
  <si>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</si>
  <si>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</si>
  <si>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</si>
  <si>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</si>
  <si>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</si>
  <si>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</si>
  <si>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</si>
  <si>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</si>
  <si>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</si>
  <si>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USD SOFR CURVE GENERATOR TEMPLATE</t>
  </si>
  <si>
    <t>Create Template</t>
  </si>
  <si>
    <t>Object Name</t>
  </si>
  <si>
    <t>CURVEPROPERTIES</t>
  </si>
  <si>
    <t>StaticDataTable</t>
  </si>
  <si>
    <t>IndexName</t>
  </si>
  <si>
    <t>interpolation</t>
  </si>
  <si>
    <t>FN_SPLINEINTERPOLATION</t>
  </si>
  <si>
    <t>yieldgen.interpolation</t>
  </si>
  <si>
    <t>calendar</t>
  </si>
  <si>
    <t>NYB</t>
  </si>
  <si>
    <t>daycount</t>
  </si>
  <si>
    <t>ACT/360</t>
  </si>
  <si>
    <t>frequency</t>
  </si>
  <si>
    <t>ANNUAL</t>
  </si>
  <si>
    <t>generatemethod</t>
  </si>
  <si>
    <t>DAILYCOMPOUNDING</t>
  </si>
  <si>
    <t>resetlag</t>
  </si>
  <si>
    <t>2D</t>
  </si>
  <si>
    <t>firstrate</t>
  </si>
  <si>
    <t>SHORTMARKET</t>
  </si>
  <si>
    <t>slidingrule</t>
  </si>
  <si>
    <t>MOD_FOLLOWING</t>
  </si>
  <si>
    <t>eomday</t>
  </si>
  <si>
    <t>iseomroll</t>
  </si>
  <si>
    <t>shorttermconvention</t>
  </si>
  <si>
    <t>ARITHMETICAVERAGE</t>
  </si>
  <si>
    <t>longtermconvention</t>
  </si>
  <si>
    <t>NONE</t>
  </si>
  <si>
    <t>longterm</t>
  </si>
  <si>
    <t>longterm.generatemethod</t>
  </si>
  <si>
    <t>Epsilon</t>
  </si>
  <si>
    <t>MaxLoop</t>
  </si>
  <si>
    <t>CompoundingMethod</t>
  </si>
  <si>
    <t>ARITHMETIC</t>
  </si>
  <si>
    <t>SmoothShortEnd</t>
  </si>
  <si>
    <t>MarketDataShiftSize</t>
  </si>
  <si>
    <t>USD_ARR_MARKETDATA</t>
  </si>
  <si>
    <t>USD_ARR_CURVE</t>
  </si>
  <si>
    <t>USD_ARR_MARKETDATA_BUMPED</t>
  </si>
  <si>
    <t>USDYC_BUMPED</t>
  </si>
  <si>
    <t>NEVER</t>
  </si>
  <si>
    <t>LOBASIS</t>
  </si>
  <si>
    <t>Date</t>
  </si>
  <si>
    <t>Bumped Discount Factors</t>
  </si>
  <si>
    <t>Original Discount Factors</t>
  </si>
  <si>
    <t>Analytical Curve Jacobian</t>
  </si>
  <si>
    <t>Numerical Discount Factor Change</t>
  </si>
  <si>
    <t>+/-</t>
  </si>
  <si>
    <t>Change</t>
  </si>
  <si>
    <t>Analytical</t>
  </si>
  <si>
    <t>Numerical</t>
  </si>
  <si>
    <t>New Discount Factor Levels</t>
  </si>
  <si>
    <t>USD_ARR_NO_BUMP</t>
  </si>
  <si>
    <t>MARKET_DATA_NO_BUMP</t>
  </si>
  <si>
    <t>USD_SOFR_WITH_JACOBIAN</t>
  </si>
  <si>
    <t>USD_SOFR_NO_JACOBIAN</t>
  </si>
  <si>
    <t>USD_ARR_BUMPED</t>
  </si>
  <si>
    <t>USDYC_NO_BUMP</t>
  </si>
  <si>
    <t>Bump Curve</t>
  </si>
  <si>
    <t>ShiftSize</t>
  </si>
  <si>
    <t>BumpedCurve</t>
  </si>
  <si>
    <t>Curve</t>
  </si>
  <si>
    <t>Original</t>
  </si>
  <si>
    <t>Bumped</t>
  </si>
  <si>
    <t>Change in Market Rates</t>
  </si>
  <si>
    <t>Manual Change in Discount Factors</t>
  </si>
  <si>
    <t>Bumped Change in Discount Factors</t>
  </si>
  <si>
    <t>USDYC_FLAT_SHIFT</t>
  </si>
  <si>
    <t>USD_ARR_CURVE_FLAT_SHIFT</t>
  </si>
  <si>
    <t>LIBOROISBASIS</t>
  </si>
  <si>
    <t>OIS FLOAT LEG CONVENTIONS</t>
  </si>
  <si>
    <t>Calendar</t>
  </si>
  <si>
    <t>LNB:NYB</t>
  </si>
  <si>
    <t>Daycount</t>
  </si>
  <si>
    <t>Frequency</t>
  </si>
  <si>
    <t>QUARTERLY</t>
  </si>
  <si>
    <t>SlidingRule</t>
  </si>
  <si>
    <t>LIBOR SWAP CONVENTIONS - FIXED LEG</t>
  </si>
  <si>
    <t>daycountfix</t>
  </si>
  <si>
    <t>30/360</t>
  </si>
  <si>
    <t>frequencyfix</t>
  </si>
  <si>
    <t>SEMI-ANNUAL</t>
  </si>
  <si>
    <t>Compare Jacobian vs Manual Bump</t>
  </si>
  <si>
    <t>Compare Manual Bump vs Curve Bump Method</t>
  </si>
  <si>
    <t>Manual</t>
  </si>
  <si>
    <t>ONCE</t>
  </si>
  <si>
    <t>ARR</t>
  </si>
  <si>
    <t>CurveCollection</t>
  </si>
  <si>
    <t>CurveIndex</t>
  </si>
  <si>
    <t>Total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</si>
</sst>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%"/>
    <numFmt numFmtId="165" formatCode="ddd\,\ d\-mmm\-yy"/>
    <numFmt numFmtId="166" formatCode="#,##0.000000"/>
    <numFmt numFmtId="167" formatCode="#,##0.000000000000000"/>
    <numFmt numFmtId="168" formatCode="0.00000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4" fillId="2" borderId="1" xfId="0" applyFont="1" applyFill="1" applyBorder="1" applyAlignment="1">
      <alignment horizontal="center" vertic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164" fontId="5" fillId="0" borderId="4" xfId="0" applyNumberFormat="1" applyFont="1" applyFill="1" applyBorder="1" applyAlignment="1">
      <alignment horizontal="center" vertical="center"/>
    </xf>
    <xf numFmtId="15" fontId="5" fillId="0" borderId="4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4" fillId="0" borderId="5" xfId="0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164" fontId="5" fillId="0" borderId="5" xfId="0" applyNumberFormat="1" applyFont="1" applyFill="1" applyBorder="1" applyAlignment="1">
      <alignment horizontal="center" vertical="center"/>
    </xf>
    <xf numFmtId="0" fontId="0" fillId="3" borderId="9" xfId="0" applyFont="1" applyFill="1" applyBorder="1"/>
    <xf numFmtId="165" fontId="6" fillId="3" borderId="9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horizontal="left" vertical="center"/>
    </xf>
    <xf numFmtId="0" fontId="0" fillId="3" borderId="9" xfId="0" applyFill="1" applyBorder="1"/>
    <xf numFmtId="0" fontId="6" fillId="3" borderId="9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7" xfId="0" applyFont="1" applyFill="1" applyBorder="1"/>
    <xf numFmtId="0" fontId="8" fillId="0" borderId="7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0" fontId="0" fillId="0" borderId="2" xfId="0" applyBorder="1"/>
    <xf numFmtId="0" fontId="6" fillId="0" borderId="2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7" xfId="0" applyBorder="1"/>
    <xf numFmtId="0" fontId="0" fillId="0" borderId="9" xfId="0" applyBorder="1"/>
    <xf numFmtId="15" fontId="5" fillId="0" borderId="5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15" fontId="5" fillId="0" borderId="1" xfId="0" applyNumberFormat="1" applyFont="1" applyFill="1" applyBorder="1" applyAlignment="1">
      <alignment horizontal="center" vertical="center"/>
    </xf>
    <xf numFmtId="15" fontId="5" fillId="0" borderId="11" xfId="0" applyNumberFormat="1" applyFont="1" applyFill="1" applyBorder="1" applyAlignment="1">
      <alignment horizontal="center" vertical="center"/>
    </xf>
    <xf numFmtId="164" fontId="5" fillId="0" borderId="11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4" fillId="0" borderId="2" xfId="0" applyFont="1" applyFill="1" applyBorder="1"/>
    <xf numFmtId="0" fontId="4" fillId="0" borderId="7" xfId="0" applyFont="1" applyFill="1" applyBorder="1"/>
    <xf numFmtId="0" fontId="0" fillId="2" borderId="3" xfId="0" applyFill="1" applyBorder="1"/>
    <xf numFmtId="0" fontId="3" fillId="2" borderId="4" xfId="0" applyFont="1" applyFill="1" applyBorder="1"/>
    <xf numFmtId="0" fontId="9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5" xfId="0" applyFill="1" applyBorder="1"/>
    <xf numFmtId="0" fontId="7" fillId="2" borderId="5" xfId="0" applyFont="1" applyFill="1" applyBorder="1"/>
    <xf numFmtId="0" fontId="1" fillId="0" borderId="0" xfId="0" applyFont="1" applyAlignment="1">
      <alignment horizontal="left"/>
    </xf>
    <xf numFmtId="0" fontId="10" fillId="2" borderId="0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0" fillId="3" borderId="7" xfId="0" applyFill="1" applyBorder="1"/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5" fontId="4" fillId="0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11" fontId="0" fillId="0" borderId="7" xfId="0" applyNumberForma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8" fillId="0" borderId="7" xfId="0" applyFont="1" applyFill="1" applyBorder="1"/>
    <xf numFmtId="0" fontId="8" fillId="0" borderId="9" xfId="0" applyFont="1" applyFill="1" applyBorder="1"/>
    <xf numFmtId="0" fontId="0" fillId="2" borderId="0" xfId="0" applyFont="1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15" fontId="0" fillId="3" borderId="7" xfId="0" applyNumberFormat="1" applyFont="1" applyFill="1" applyBorder="1" applyAlignment="1">
      <alignment horizontal="left" vertical="center"/>
    </xf>
    <xf numFmtId="15" fontId="10" fillId="4" borderId="2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0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15" fontId="5" fillId="0" borderId="0" xfId="0" applyNumberFormat="1" applyFont="1" applyAlignment="1">
      <alignment horizontal="center"/>
    </xf>
    <xf numFmtId="0" fontId="7" fillId="0" borderId="0" xfId="0" applyFont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15" fontId="5" fillId="2" borderId="0" xfId="0" applyNumberFormat="1" applyFont="1" applyFill="1" applyAlignment="1">
      <alignment horizontal="center" vertical="center"/>
    </xf>
    <xf numFmtId="11" fontId="5" fillId="2" borderId="0" xfId="0" applyNumberFormat="1" applyFont="1" applyFill="1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horizontal="center" vertical="center"/>
    </xf>
    <xf numFmtId="11" fontId="1" fillId="0" borderId="0" xfId="0" applyNumberFormat="1" applyFont="1"/>
    <xf numFmtId="11" fontId="0" fillId="2" borderId="13" xfId="0" applyNumberFormat="1" applyFill="1" applyBorder="1" applyAlignment="1">
      <alignment horizontal="center" vertical="center"/>
    </xf>
    <xf numFmtId="11" fontId="0" fillId="2" borderId="15" xfId="0" applyNumberFormat="1" applyFill="1" applyBorder="1" applyAlignment="1">
      <alignment horizontal="center" vertical="center"/>
    </xf>
    <xf numFmtId="11" fontId="0" fillId="2" borderId="17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2" borderId="13" xfId="0" applyNumberFormat="1" applyFill="1" applyBorder="1" applyAlignment="1">
      <alignment horizontal="center" vertical="center"/>
    </xf>
    <xf numFmtId="166" fontId="0" fillId="2" borderId="15" xfId="0" applyNumberFormat="1" applyFill="1" applyBorder="1" applyAlignment="1">
      <alignment horizontal="center" vertical="center"/>
    </xf>
    <xf numFmtId="166" fontId="0" fillId="2" borderId="17" xfId="0" applyNumberFormat="1" applyFill="1" applyBorder="1" applyAlignment="1">
      <alignment horizontal="center" vertical="center"/>
    </xf>
    <xf numFmtId="166" fontId="5" fillId="2" borderId="12" xfId="0" applyNumberFormat="1" applyFont="1" applyFill="1" applyBorder="1" applyAlignment="1">
      <alignment horizontal="center" vertical="center"/>
    </xf>
    <xf numFmtId="166" fontId="5" fillId="2" borderId="14" xfId="0" applyNumberFormat="1" applyFont="1" applyFill="1" applyBorder="1" applyAlignment="1">
      <alignment horizontal="center" vertical="center"/>
    </xf>
    <xf numFmtId="166" fontId="5" fillId="2" borderId="16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11" fontId="0" fillId="4" borderId="0" xfId="0" applyNumberFormat="1" applyFill="1" applyAlignment="1">
      <alignment horizontal="center" vertical="center"/>
    </xf>
    <xf numFmtId="0" fontId="0" fillId="0" borderId="18" xfId="0" applyBorder="1"/>
    <xf numFmtId="11" fontId="0" fillId="4" borderId="18" xfId="0" applyNumberFormat="1" applyFill="1" applyBorder="1" applyAlignment="1">
      <alignment horizontal="center" vertical="center"/>
    </xf>
    <xf numFmtId="0" fontId="0" fillId="0" borderId="19" xfId="0" applyBorder="1"/>
    <xf numFmtId="0" fontId="0" fillId="4" borderId="19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1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6" fontId="0" fillId="0" borderId="0" xfId="0" applyNumberFormat="1"/>
    <xf numFmtId="15" fontId="0" fillId="0" borderId="0" xfId="0" applyNumberFormat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11" fontId="7" fillId="4" borderId="0" xfId="0" applyNumberFormat="1" applyFont="1" applyFill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1" fontId="5" fillId="2" borderId="12" xfId="0" applyNumberFormat="1" applyFont="1" applyFill="1" applyBorder="1" applyAlignment="1">
      <alignment horizontal="center" vertical="center"/>
    </xf>
    <xf numFmtId="11" fontId="5" fillId="2" borderId="14" xfId="0" applyNumberFormat="1" applyFont="1" applyFill="1" applyBorder="1" applyAlignment="1">
      <alignment horizontal="center" vertical="center"/>
    </xf>
    <xf numFmtId="11" fontId="5" fillId="2" borderId="16" xfId="0" applyNumberFormat="1" applyFont="1" applyFill="1" applyBorder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Change in Discount Factors</a:t>
            </a:r>
          </a:p>
        </c:rich>
      </c:tx>
      <c:layout>
        <c:manualLayout>
          <c:xMode val="edge"/>
          <c:yMode val="edge"/>
          <c:x val="0.31917757009345793"/>
          <c:y val="0.8148148148148147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82195975503063"/>
          <c:y val="5.1400554097404488E-2"/>
          <c:w val="0.79326071741032378"/>
          <c:h val="0.89719889180519097"/>
        </c:manualLayout>
      </c:layout>
      <c:lineChart>
        <c:grouping val="standard"/>
        <c:varyColors val="0"/>
        <c:ser>
          <c:idx val="0"/>
          <c:order val="0"/>
          <c:tx>
            <c:strRef>
              <c:f>JACOBIAN_RESULTS!$L$10</c:f>
              <c:strCache>
                <c:ptCount val="1"/>
                <c:pt idx="0">
                  <c:v>Analytical</c:v>
                </c:pt>
              </c:strCache>
            </c:strRef>
          </c:tx>
          <c:marker>
            <c:symbol val="none"/>
          </c:marker>
          <c:cat>
            <c:numRef>
              <c:f>JACOBIAN_RESULTS!$K$11:$K$221</c:f>
              <c:numCache>
                <c:formatCode>d\-mmm\-yy</c:formatCode>
                <c:ptCount val="211"/>
                <c:pt idx="0">
                  <c:v>43691</c:v>
                </c:pt>
                <c:pt idx="1">
                  <c:v>43692</c:v>
                </c:pt>
                <c:pt idx="2">
                  <c:v>43693</c:v>
                </c:pt>
                <c:pt idx="3">
                  <c:v>43700</c:v>
                </c:pt>
                <c:pt idx="4">
                  <c:v>43707</c:v>
                </c:pt>
                <c:pt idx="5">
                  <c:v>43714</c:v>
                </c:pt>
                <c:pt idx="6">
                  <c:v>43724</c:v>
                </c:pt>
                <c:pt idx="7">
                  <c:v>43754</c:v>
                </c:pt>
                <c:pt idx="8">
                  <c:v>43787</c:v>
                </c:pt>
                <c:pt idx="9">
                  <c:v>43815</c:v>
                </c:pt>
                <c:pt idx="10">
                  <c:v>43846</c:v>
                </c:pt>
                <c:pt idx="11">
                  <c:v>43879</c:v>
                </c:pt>
                <c:pt idx="12">
                  <c:v>43969</c:v>
                </c:pt>
                <c:pt idx="13">
                  <c:v>44060</c:v>
                </c:pt>
                <c:pt idx="14">
                  <c:v>44151</c:v>
                </c:pt>
                <c:pt idx="15">
                  <c:v>44243</c:v>
                </c:pt>
                <c:pt idx="16">
                  <c:v>44333</c:v>
                </c:pt>
                <c:pt idx="17">
                  <c:v>44424</c:v>
                </c:pt>
                <c:pt idx="18">
                  <c:v>44516</c:v>
                </c:pt>
                <c:pt idx="19">
                  <c:v>44608</c:v>
                </c:pt>
                <c:pt idx="20">
                  <c:v>44697</c:v>
                </c:pt>
                <c:pt idx="21">
                  <c:v>44789</c:v>
                </c:pt>
                <c:pt idx="22">
                  <c:v>44881</c:v>
                </c:pt>
                <c:pt idx="23">
                  <c:v>44973</c:v>
                </c:pt>
                <c:pt idx="24">
                  <c:v>45062</c:v>
                </c:pt>
                <c:pt idx="25">
                  <c:v>45154</c:v>
                </c:pt>
                <c:pt idx="26">
                  <c:v>45246</c:v>
                </c:pt>
                <c:pt idx="27">
                  <c:v>45338</c:v>
                </c:pt>
                <c:pt idx="28">
                  <c:v>45428</c:v>
                </c:pt>
                <c:pt idx="29">
                  <c:v>45520</c:v>
                </c:pt>
                <c:pt idx="30">
                  <c:v>45614</c:v>
                </c:pt>
                <c:pt idx="31">
                  <c:v>45706</c:v>
                </c:pt>
                <c:pt idx="32">
                  <c:v>45793</c:v>
                </c:pt>
                <c:pt idx="33">
                  <c:v>45887</c:v>
                </c:pt>
                <c:pt idx="34">
                  <c:v>45978</c:v>
                </c:pt>
                <c:pt idx="35">
                  <c:v>46070</c:v>
                </c:pt>
                <c:pt idx="36">
                  <c:v>46160</c:v>
                </c:pt>
                <c:pt idx="37">
                  <c:v>46251</c:v>
                </c:pt>
                <c:pt idx="38">
                  <c:v>46342</c:v>
                </c:pt>
                <c:pt idx="39">
                  <c:v>46434</c:v>
                </c:pt>
                <c:pt idx="40">
                  <c:v>46524</c:v>
                </c:pt>
                <c:pt idx="41">
                  <c:v>46615</c:v>
                </c:pt>
                <c:pt idx="42">
                  <c:v>46707</c:v>
                </c:pt>
                <c:pt idx="43">
                  <c:v>46799</c:v>
                </c:pt>
                <c:pt idx="44">
                  <c:v>46889</c:v>
                </c:pt>
                <c:pt idx="45">
                  <c:v>46981</c:v>
                </c:pt>
                <c:pt idx="46">
                  <c:v>47073</c:v>
                </c:pt>
                <c:pt idx="47">
                  <c:v>47165</c:v>
                </c:pt>
                <c:pt idx="48">
                  <c:v>47254</c:v>
                </c:pt>
                <c:pt idx="49">
                  <c:v>47346</c:v>
                </c:pt>
                <c:pt idx="50">
                  <c:v>47438</c:v>
                </c:pt>
                <c:pt idx="51">
                  <c:v>47533</c:v>
                </c:pt>
                <c:pt idx="52">
                  <c:v>47619</c:v>
                </c:pt>
                <c:pt idx="53">
                  <c:v>47711</c:v>
                </c:pt>
                <c:pt idx="54">
                  <c:v>47805</c:v>
                </c:pt>
                <c:pt idx="55">
                  <c:v>47897</c:v>
                </c:pt>
                <c:pt idx="56">
                  <c:v>47984</c:v>
                </c:pt>
                <c:pt idx="57">
                  <c:v>48078</c:v>
                </c:pt>
                <c:pt idx="58">
                  <c:v>48169</c:v>
                </c:pt>
                <c:pt idx="59">
                  <c:v>48261</c:v>
                </c:pt>
                <c:pt idx="60">
                  <c:v>48351</c:v>
                </c:pt>
                <c:pt idx="61">
                  <c:v>48442</c:v>
                </c:pt>
                <c:pt idx="62">
                  <c:v>48534</c:v>
                </c:pt>
                <c:pt idx="63">
                  <c:v>48626</c:v>
                </c:pt>
                <c:pt idx="64">
                  <c:v>48715</c:v>
                </c:pt>
                <c:pt idx="65">
                  <c:v>48807</c:v>
                </c:pt>
                <c:pt idx="66">
                  <c:v>48899</c:v>
                </c:pt>
                <c:pt idx="67">
                  <c:v>48991</c:v>
                </c:pt>
                <c:pt idx="68">
                  <c:v>49080</c:v>
                </c:pt>
                <c:pt idx="69">
                  <c:v>49172</c:v>
                </c:pt>
                <c:pt idx="70">
                  <c:v>49264</c:v>
                </c:pt>
                <c:pt idx="71">
                  <c:v>49356</c:v>
                </c:pt>
                <c:pt idx="72">
                  <c:v>49445</c:v>
                </c:pt>
                <c:pt idx="73">
                  <c:v>49537</c:v>
                </c:pt>
                <c:pt idx="74">
                  <c:v>49629</c:v>
                </c:pt>
                <c:pt idx="75">
                  <c:v>49724</c:v>
                </c:pt>
                <c:pt idx="76">
                  <c:v>49811</c:v>
                </c:pt>
                <c:pt idx="77">
                  <c:v>49905</c:v>
                </c:pt>
                <c:pt idx="78">
                  <c:v>49996</c:v>
                </c:pt>
                <c:pt idx="79">
                  <c:v>50088</c:v>
                </c:pt>
                <c:pt idx="80">
                  <c:v>50178</c:v>
                </c:pt>
                <c:pt idx="81">
                  <c:v>50269</c:v>
                </c:pt>
                <c:pt idx="82">
                  <c:v>50360</c:v>
                </c:pt>
                <c:pt idx="83">
                  <c:v>50452</c:v>
                </c:pt>
                <c:pt idx="84">
                  <c:v>50542</c:v>
                </c:pt>
                <c:pt idx="85">
                  <c:v>50633</c:v>
                </c:pt>
                <c:pt idx="86">
                  <c:v>50725</c:v>
                </c:pt>
                <c:pt idx="87">
                  <c:v>50817</c:v>
                </c:pt>
                <c:pt idx="88">
                  <c:v>50906</c:v>
                </c:pt>
                <c:pt idx="89">
                  <c:v>50998</c:v>
                </c:pt>
                <c:pt idx="90">
                  <c:v>51090</c:v>
                </c:pt>
                <c:pt idx="91">
                  <c:v>51182</c:v>
                </c:pt>
                <c:pt idx="92">
                  <c:v>51272</c:v>
                </c:pt>
                <c:pt idx="93">
                  <c:v>51364</c:v>
                </c:pt>
                <c:pt idx="94">
                  <c:v>51456</c:v>
                </c:pt>
                <c:pt idx="95">
                  <c:v>51551</c:v>
                </c:pt>
                <c:pt idx="96">
                  <c:v>51637</c:v>
                </c:pt>
                <c:pt idx="97">
                  <c:v>51729</c:v>
                </c:pt>
                <c:pt idx="98">
                  <c:v>51823</c:v>
                </c:pt>
                <c:pt idx="99">
                  <c:v>51915</c:v>
                </c:pt>
                <c:pt idx="100">
                  <c:v>52002</c:v>
                </c:pt>
                <c:pt idx="101">
                  <c:v>52096</c:v>
                </c:pt>
                <c:pt idx="102">
                  <c:v>52187</c:v>
                </c:pt>
                <c:pt idx="103">
                  <c:v>52279</c:v>
                </c:pt>
                <c:pt idx="104">
                  <c:v>52369</c:v>
                </c:pt>
                <c:pt idx="105">
                  <c:v>52460</c:v>
                </c:pt>
                <c:pt idx="106">
                  <c:v>52551</c:v>
                </c:pt>
                <c:pt idx="107">
                  <c:v>52643</c:v>
                </c:pt>
                <c:pt idx="108">
                  <c:v>52733</c:v>
                </c:pt>
                <c:pt idx="109">
                  <c:v>52825</c:v>
                </c:pt>
                <c:pt idx="110">
                  <c:v>52917</c:v>
                </c:pt>
                <c:pt idx="111">
                  <c:v>53009</c:v>
                </c:pt>
                <c:pt idx="112">
                  <c:v>53098</c:v>
                </c:pt>
                <c:pt idx="113">
                  <c:v>53190</c:v>
                </c:pt>
                <c:pt idx="114">
                  <c:v>53282</c:v>
                </c:pt>
                <c:pt idx="115">
                  <c:v>53374</c:v>
                </c:pt>
                <c:pt idx="116">
                  <c:v>53463</c:v>
                </c:pt>
                <c:pt idx="117">
                  <c:v>53555</c:v>
                </c:pt>
                <c:pt idx="118">
                  <c:v>53647</c:v>
                </c:pt>
                <c:pt idx="119">
                  <c:v>53742</c:v>
                </c:pt>
                <c:pt idx="120">
                  <c:v>53828</c:v>
                </c:pt>
                <c:pt idx="121">
                  <c:v>53920</c:v>
                </c:pt>
                <c:pt idx="122">
                  <c:v>54014</c:v>
                </c:pt>
                <c:pt idx="123">
                  <c:v>54106</c:v>
                </c:pt>
                <c:pt idx="124">
                  <c:v>54196</c:v>
                </c:pt>
                <c:pt idx="125">
                  <c:v>54287</c:v>
                </c:pt>
                <c:pt idx="126">
                  <c:v>54378</c:v>
                </c:pt>
                <c:pt idx="127">
                  <c:v>54470</c:v>
                </c:pt>
                <c:pt idx="128">
                  <c:v>54560</c:v>
                </c:pt>
                <c:pt idx="129">
                  <c:v>54651</c:v>
                </c:pt>
                <c:pt idx="130">
                  <c:v>54743</c:v>
                </c:pt>
                <c:pt idx="131">
                  <c:v>54835</c:v>
                </c:pt>
                <c:pt idx="132">
                  <c:v>54924</c:v>
                </c:pt>
                <c:pt idx="133">
                  <c:v>55016</c:v>
                </c:pt>
                <c:pt idx="134">
                  <c:v>55108</c:v>
                </c:pt>
                <c:pt idx="135">
                  <c:v>55200</c:v>
                </c:pt>
                <c:pt idx="136">
                  <c:v>55289</c:v>
                </c:pt>
                <c:pt idx="137">
                  <c:v>55381</c:v>
                </c:pt>
                <c:pt idx="138">
                  <c:v>55473</c:v>
                </c:pt>
                <c:pt idx="139">
                  <c:v>55565</c:v>
                </c:pt>
                <c:pt idx="140">
                  <c:v>55655</c:v>
                </c:pt>
                <c:pt idx="141">
                  <c:v>55747</c:v>
                </c:pt>
                <c:pt idx="142">
                  <c:v>55841</c:v>
                </c:pt>
                <c:pt idx="143">
                  <c:v>55933</c:v>
                </c:pt>
                <c:pt idx="144">
                  <c:v>56020</c:v>
                </c:pt>
                <c:pt idx="145">
                  <c:v>56114</c:v>
                </c:pt>
                <c:pt idx="146">
                  <c:v>56205</c:v>
                </c:pt>
                <c:pt idx="147">
                  <c:v>56297</c:v>
                </c:pt>
                <c:pt idx="148">
                  <c:v>56387</c:v>
                </c:pt>
                <c:pt idx="149">
                  <c:v>56478</c:v>
                </c:pt>
                <c:pt idx="150">
                  <c:v>56569</c:v>
                </c:pt>
                <c:pt idx="151">
                  <c:v>56661</c:v>
                </c:pt>
                <c:pt idx="152">
                  <c:v>56751</c:v>
                </c:pt>
                <c:pt idx="153">
                  <c:v>56842</c:v>
                </c:pt>
                <c:pt idx="154">
                  <c:v>56934</c:v>
                </c:pt>
                <c:pt idx="155">
                  <c:v>57026</c:v>
                </c:pt>
                <c:pt idx="156">
                  <c:v>57116</c:v>
                </c:pt>
                <c:pt idx="157">
                  <c:v>57208</c:v>
                </c:pt>
                <c:pt idx="158">
                  <c:v>57300</c:v>
                </c:pt>
                <c:pt idx="159">
                  <c:v>57392</c:v>
                </c:pt>
                <c:pt idx="160">
                  <c:v>57481</c:v>
                </c:pt>
                <c:pt idx="161">
                  <c:v>57573</c:v>
                </c:pt>
                <c:pt idx="162">
                  <c:v>57665</c:v>
                </c:pt>
                <c:pt idx="163">
                  <c:v>57760</c:v>
                </c:pt>
                <c:pt idx="164">
                  <c:v>57846</c:v>
                </c:pt>
                <c:pt idx="165">
                  <c:v>57938</c:v>
                </c:pt>
                <c:pt idx="166">
                  <c:v>58032</c:v>
                </c:pt>
                <c:pt idx="167">
                  <c:v>58124</c:v>
                </c:pt>
                <c:pt idx="168">
                  <c:v>58211</c:v>
                </c:pt>
                <c:pt idx="169">
                  <c:v>58305</c:v>
                </c:pt>
                <c:pt idx="170">
                  <c:v>58396</c:v>
                </c:pt>
                <c:pt idx="171">
                  <c:v>58488</c:v>
                </c:pt>
                <c:pt idx="172">
                  <c:v>58578</c:v>
                </c:pt>
                <c:pt idx="173">
                  <c:v>58669</c:v>
                </c:pt>
                <c:pt idx="174">
                  <c:v>58761</c:v>
                </c:pt>
                <c:pt idx="175">
                  <c:v>58853</c:v>
                </c:pt>
                <c:pt idx="176">
                  <c:v>58942</c:v>
                </c:pt>
                <c:pt idx="177">
                  <c:v>59034</c:v>
                </c:pt>
                <c:pt idx="178">
                  <c:v>59126</c:v>
                </c:pt>
                <c:pt idx="179">
                  <c:v>59218</c:v>
                </c:pt>
                <c:pt idx="180">
                  <c:v>59307</c:v>
                </c:pt>
                <c:pt idx="181">
                  <c:v>59399</c:v>
                </c:pt>
                <c:pt idx="182">
                  <c:v>59491</c:v>
                </c:pt>
                <c:pt idx="183">
                  <c:v>59583</c:v>
                </c:pt>
                <c:pt idx="184">
                  <c:v>59672</c:v>
                </c:pt>
                <c:pt idx="185">
                  <c:v>59764</c:v>
                </c:pt>
                <c:pt idx="186">
                  <c:v>59856</c:v>
                </c:pt>
                <c:pt idx="187">
                  <c:v>59951</c:v>
                </c:pt>
                <c:pt idx="188">
                  <c:v>60038</c:v>
                </c:pt>
                <c:pt idx="189">
                  <c:v>60132</c:v>
                </c:pt>
                <c:pt idx="190">
                  <c:v>60223</c:v>
                </c:pt>
                <c:pt idx="191">
                  <c:v>60315</c:v>
                </c:pt>
                <c:pt idx="192">
                  <c:v>60405</c:v>
                </c:pt>
                <c:pt idx="193">
                  <c:v>60496</c:v>
                </c:pt>
                <c:pt idx="194">
                  <c:v>60587</c:v>
                </c:pt>
                <c:pt idx="195">
                  <c:v>60679</c:v>
                </c:pt>
                <c:pt idx="196">
                  <c:v>60769</c:v>
                </c:pt>
                <c:pt idx="197">
                  <c:v>60860</c:v>
                </c:pt>
                <c:pt idx="198">
                  <c:v>60952</c:v>
                </c:pt>
                <c:pt idx="199">
                  <c:v>61044</c:v>
                </c:pt>
                <c:pt idx="200">
                  <c:v>61133</c:v>
                </c:pt>
                <c:pt idx="201">
                  <c:v>61225</c:v>
                </c:pt>
                <c:pt idx="202">
                  <c:v>61317</c:v>
                </c:pt>
                <c:pt idx="203">
                  <c:v>61409</c:v>
                </c:pt>
                <c:pt idx="204">
                  <c:v>61499</c:v>
                </c:pt>
                <c:pt idx="205">
                  <c:v>61591</c:v>
                </c:pt>
                <c:pt idx="206">
                  <c:v>61683</c:v>
                </c:pt>
                <c:pt idx="207">
                  <c:v>61777</c:v>
                </c:pt>
                <c:pt idx="208">
                  <c:v>61864</c:v>
                </c:pt>
                <c:pt idx="209">
                  <c:v>61956</c:v>
                </c:pt>
                <c:pt idx="210">
                  <c:v>#N/A</c:v>
                </c:pt>
              </c:numCache>
            </c:numRef>
          </c:cat>
          <c:val>
            <c:numRef>
              <c:f>JACOBIAN_RESULTS!$L$11:$L$221</c:f>
              <c:numCache>
                <c:formatCode>0.00E+00</c:formatCode>
                <c:ptCount val="211"/>
                <c:pt idx="0">
                  <c:v>0</c:v>
                </c:pt>
                <c:pt idx="1">
                  <c:v>-2.7774506028421797E-9</c:v>
                </c:pt>
                <c:pt idx="2">
                  <c:v>-5.5545741339813048E-9</c:v>
                </c:pt>
                <c:pt idx="3">
                  <c:v>-2.4978309864920334E-8</c:v>
                </c:pt>
                <c:pt idx="4">
                  <c:v>-4.4369840912494851E-8</c:v>
                </c:pt>
                <c:pt idx="5">
                  <c:v>-6.3728969768028776E-8</c:v>
                </c:pt>
                <c:pt idx="6">
                  <c:v>-9.1329503626447206E-8</c:v>
                </c:pt>
                <c:pt idx="7">
                  <c:v>-1.7381660810666943E-7</c:v>
                </c:pt>
                <c:pt idx="8">
                  <c:v>-2.6402306596562397E-7</c:v>
                </c:pt>
                <c:pt idx="9">
                  <c:v>-3.40161957934626E-7</c:v>
                </c:pt>
                <c:pt idx="10">
                  <c:v>-4.2408440803498593E-7</c:v>
                </c:pt>
                <c:pt idx="11">
                  <c:v>-5.129302230733046E-7</c:v>
                </c:pt>
                <c:pt idx="12">
                  <c:v>-7.5335684091015764E-7</c:v>
                </c:pt>
                <c:pt idx="13">
                  <c:v>-9.8400746051385823E-7</c:v>
                </c:pt>
                <c:pt idx="14">
                  <c:v>-1.2138610637757452E-6</c:v>
                </c:pt>
                <c:pt idx="15">
                  <c:v>-1.4526777267764857E-6</c:v>
                </c:pt>
                <c:pt idx="16">
                  <c:v>-1.6919543337490239E-6</c:v>
                </c:pt>
                <c:pt idx="17">
                  <c:v>-1.9355031167789249E-6</c:v>
                </c:pt>
                <c:pt idx="18">
                  <c:v>-2.177437315453723E-6</c:v>
                </c:pt>
                <c:pt idx="19">
                  <c:v>-2.41386159605117E-6</c:v>
                </c:pt>
                <c:pt idx="20">
                  <c:v>-2.6383856207568002E-6</c:v>
                </c:pt>
                <c:pt idx="21">
                  <c:v>-2.8682213599751094E-6</c:v>
                </c:pt>
                <c:pt idx="22">
                  <c:v>-3.0981816597774881E-6</c:v>
                </c:pt>
                <c:pt idx="23">
                  <c:v>-3.328490019383068E-6</c:v>
                </c:pt>
                <c:pt idx="24">
                  <c:v>-3.5510052808218617E-6</c:v>
                </c:pt>
                <c:pt idx="25">
                  <c:v>-3.7798204756134268E-6</c:v>
                </c:pt>
                <c:pt idx="26">
                  <c:v>-4.0064806193784719E-6</c:v>
                </c:pt>
                <c:pt idx="27">
                  <c:v>-4.2309424321818057E-6</c:v>
                </c:pt>
                <c:pt idx="28">
                  <c:v>-4.4486694367185109E-6</c:v>
                </c:pt>
                <c:pt idx="29">
                  <c:v>-4.6697080675617286E-6</c:v>
                </c:pt>
                <c:pt idx="30">
                  <c:v>-4.8943406684154311E-6</c:v>
                </c:pt>
                <c:pt idx="31">
                  <c:v>-5.1130527140008653E-6</c:v>
                </c:pt>
                <c:pt idx="32">
                  <c:v>-5.318789035757554E-6</c:v>
                </c:pt>
                <c:pt idx="33">
                  <c:v>-5.5398211126211905E-6</c:v>
                </c:pt>
                <c:pt idx="34">
                  <c:v>-5.7524764899286041E-6</c:v>
                </c:pt>
                <c:pt idx="35">
                  <c:v>-5.9660563159757984E-6</c:v>
                </c:pt>
                <c:pt idx="36">
                  <c:v>-6.1735235618032291E-6</c:v>
                </c:pt>
                <c:pt idx="37">
                  <c:v>-6.381714103942393E-6</c:v>
                </c:pt>
                <c:pt idx="38">
                  <c:v>-6.5882191762067777E-6</c:v>
                </c:pt>
                <c:pt idx="39">
                  <c:v>-6.7952492635026118E-6</c:v>
                </c:pt>
                <c:pt idx="40">
                  <c:v>-6.9960721474915388E-6</c:v>
                </c:pt>
                <c:pt idx="41">
                  <c:v>-7.1974057364032618E-6</c:v>
                </c:pt>
                <c:pt idx="42">
                  <c:v>-7.3991936121453605E-6</c:v>
                </c:pt>
                <c:pt idx="43">
                  <c:v>-7.5992200457841719E-6</c:v>
                </c:pt>
                <c:pt idx="44">
                  <c:v>-7.7932055316809468E-6</c:v>
                </c:pt>
                <c:pt idx="45">
                  <c:v>-7.9897899539771444E-6</c:v>
                </c:pt>
                <c:pt idx="46">
                  <c:v>-8.1846687129960571E-6</c:v>
                </c:pt>
                <c:pt idx="47">
                  <c:v>-8.3778737810513704E-6</c:v>
                </c:pt>
                <c:pt idx="48">
                  <c:v>-8.5632226584086979E-6</c:v>
                </c:pt>
                <c:pt idx="49">
                  <c:v>-8.7532557442315806E-6</c:v>
                </c:pt>
                <c:pt idx="50">
                  <c:v>-8.9417404025571301E-6</c:v>
                </c:pt>
                <c:pt idx="51">
                  <c:v>-9.134744199723599E-6</c:v>
                </c:pt>
                <c:pt idx="52">
                  <c:v>-9.3080254565114373E-6</c:v>
                </c:pt>
                <c:pt idx="53">
                  <c:v>-9.4918703221757994E-6</c:v>
                </c:pt>
                <c:pt idx="54">
                  <c:v>-9.678069045726545E-6</c:v>
                </c:pt>
                <c:pt idx="55">
                  <c:v>-9.8586847034898284E-6</c:v>
                </c:pt>
                <c:pt idx="56">
                  <c:v>-1.0027996868222644E-5</c:v>
                </c:pt>
                <c:pt idx="57">
                  <c:v>-1.0209294258878288E-5</c:v>
                </c:pt>
                <c:pt idx="58">
                  <c:v>-1.0383177212247574E-5</c:v>
                </c:pt>
                <c:pt idx="59">
                  <c:v>-1.0557351018181116E-5</c:v>
                </c:pt>
                <c:pt idx="60">
                  <c:v>-1.0726175667441495E-5</c:v>
                </c:pt>
                <c:pt idx="61">
                  <c:v>-1.0895319340176179E-5</c:v>
                </c:pt>
                <c:pt idx="62">
                  <c:v>-1.1064746692768246E-5</c:v>
                </c:pt>
                <c:pt idx="63">
                  <c:v>-1.1232608170708147E-5</c:v>
                </c:pt>
                <c:pt idx="64">
                  <c:v>-1.1393523800751204E-5</c:v>
                </c:pt>
                <c:pt idx="65">
                  <c:v>-1.1558361703745135E-5</c:v>
                </c:pt>
                <c:pt idx="66">
                  <c:v>-1.1721694341382261E-5</c:v>
                </c:pt>
                <c:pt idx="67">
                  <c:v>-1.1883544703605864E-5</c:v>
                </c:pt>
                <c:pt idx="68">
                  <c:v>-1.2038729611085763E-5</c:v>
                </c:pt>
                <c:pt idx="69">
                  <c:v>-1.2197735800523191E-5</c:v>
                </c:pt>
                <c:pt idx="70">
                  <c:v>-1.2355332880686909E-5</c:v>
                </c:pt>
                <c:pt idx="71">
                  <c:v>-1.2511535615100655E-5</c:v>
                </c:pt>
                <c:pt idx="72">
                  <c:v>-1.2661329368945928E-5</c:v>
                </c:pt>
                <c:pt idx="73">
                  <c:v>-1.2814824305262817E-5</c:v>
                </c:pt>
                <c:pt idx="74">
                  <c:v>-1.2966960576621389E-5</c:v>
                </c:pt>
                <c:pt idx="75">
                  <c:v>-1.3122644321961197E-5</c:v>
                </c:pt>
                <c:pt idx="76">
                  <c:v>-1.326396860557022E-5</c:v>
                </c:pt>
                <c:pt idx="77">
                  <c:v>-1.3415332669852731E-5</c:v>
                </c:pt>
                <c:pt idx="78">
                  <c:v>-1.3560559490422008E-5</c:v>
                </c:pt>
                <c:pt idx="79">
                  <c:v>-1.3706086210540924E-5</c:v>
                </c:pt>
                <c:pt idx="80">
                  <c:v>-1.3847198216399015E-5</c:v>
                </c:pt>
                <c:pt idx="81">
                  <c:v>-1.3988629622985194E-5</c:v>
                </c:pt>
                <c:pt idx="82">
                  <c:v>-1.4128814815661528E-5</c:v>
                </c:pt>
                <c:pt idx="83">
                  <c:v>-1.426928270720218E-5</c:v>
                </c:pt>
                <c:pt idx="84">
                  <c:v>-1.440548158493371E-5</c:v>
                </c:pt>
                <c:pt idx="85">
                  <c:v>-1.4541979670879002E-5</c:v>
                </c:pt>
                <c:pt idx="86">
                  <c:v>-1.4678744458707094E-5</c:v>
                </c:pt>
                <c:pt idx="87">
                  <c:v>-1.481427660621204E-5</c:v>
                </c:pt>
                <c:pt idx="88">
                  <c:v>-1.494422273817797E-5</c:v>
                </c:pt>
                <c:pt idx="89">
                  <c:v>-1.507734951389228E-5</c:v>
                </c:pt>
                <c:pt idx="90">
                  <c:v>-1.5209263980353604E-5</c:v>
                </c:pt>
                <c:pt idx="91">
                  <c:v>-1.5339978162387524E-5</c:v>
                </c:pt>
                <c:pt idx="92">
                  <c:v>-1.5466702012689737E-5</c:v>
                </c:pt>
                <c:pt idx="93">
                  <c:v>-1.5595080628982849E-5</c:v>
                </c:pt>
                <c:pt idx="94">
                  <c:v>-1.5722298157827552E-5</c:v>
                </c:pt>
                <c:pt idx="95">
                  <c:v>-1.5852459377296846E-5</c:v>
                </c:pt>
                <c:pt idx="96">
                  <c:v>-1.5969245682145861E-5</c:v>
                </c:pt>
                <c:pt idx="97">
                  <c:v>-1.6093093937796787E-5</c:v>
                </c:pt>
                <c:pt idx="98">
                  <c:v>-1.6218488036567891E-5</c:v>
                </c:pt>
                <c:pt idx="99">
                  <c:v>-1.6340104826539914E-5</c:v>
                </c:pt>
                <c:pt idx="100">
                  <c:v>-1.6454113711650287E-5</c:v>
                </c:pt>
                <c:pt idx="101">
                  <c:v>-1.6576217228947421E-5</c:v>
                </c:pt>
                <c:pt idx="102">
                  <c:v>-1.6693368521059071E-5</c:v>
                </c:pt>
                <c:pt idx="103">
                  <c:v>-1.6810763718289046E-5</c:v>
                </c:pt>
                <c:pt idx="104">
                  <c:v>-1.692460287039399E-5</c:v>
                </c:pt>
                <c:pt idx="105">
                  <c:v>-1.7038708465144659E-5</c:v>
                </c:pt>
                <c:pt idx="106">
                  <c:v>-1.7151821055438887E-5</c:v>
                </c:pt>
                <c:pt idx="107">
                  <c:v>-1.726517821865059E-5</c:v>
                </c:pt>
                <c:pt idx="108">
                  <c:v>-1.7375110185069431E-5</c:v>
                </c:pt>
                <c:pt idx="109">
                  <c:v>-1.7486513344877608E-5</c:v>
                </c:pt>
                <c:pt idx="110">
                  <c:v>-1.759694409575463E-5</c:v>
                </c:pt>
                <c:pt idx="111">
                  <c:v>-1.7706410587625676E-5</c:v>
                </c:pt>
                <c:pt idx="112">
                  <c:v>-1.7811396768152576E-5</c:v>
                </c:pt>
                <c:pt idx="113">
                  <c:v>-1.7918986964349237E-5</c:v>
                </c:pt>
                <c:pt idx="114">
                  <c:v>-1.8025633039986388E-5</c:v>
                </c:pt>
                <c:pt idx="115">
                  <c:v>-1.8131340768223758E-5</c:v>
                </c:pt>
                <c:pt idx="116">
                  <c:v>-1.823271349665756E-5</c:v>
                </c:pt>
                <c:pt idx="117">
                  <c:v>-1.8336589930001423E-5</c:v>
                </c:pt>
                <c:pt idx="118">
                  <c:v>-1.8439541996873032E-5</c:v>
                </c:pt>
                <c:pt idx="119">
                  <c:v>-1.8544884958004992E-5</c:v>
                </c:pt>
                <c:pt idx="120">
                  <c:v>-1.8639404200326837E-5</c:v>
                </c:pt>
                <c:pt idx="121">
                  <c:v>-1.8739632411168827E-5</c:v>
                </c:pt>
                <c:pt idx="122">
                  <c:v>-1.8841096123711765E-5</c:v>
                </c:pt>
                <c:pt idx="123">
                  <c:v>-1.8939479068613707E-5</c:v>
                </c:pt>
                <c:pt idx="124">
                  <c:v>-1.9034841414633519E-5</c:v>
                </c:pt>
                <c:pt idx="125">
                  <c:v>-1.913037670364659E-5</c:v>
                </c:pt>
                <c:pt idx="126">
                  <c:v>-1.9225019967317181E-5</c:v>
                </c:pt>
                <c:pt idx="127">
                  <c:v>-1.9319795375616344E-5</c:v>
                </c:pt>
                <c:pt idx="128">
                  <c:v>-1.9411625476584149E-5</c:v>
                </c:pt>
                <c:pt idx="129">
                  <c:v>-1.9503583735813734E-5</c:v>
                </c:pt>
                <c:pt idx="130">
                  <c:v>-1.9595639135894238E-5</c:v>
                </c:pt>
                <c:pt idx="131">
                  <c:v>-1.9686780320382624E-5</c:v>
                </c:pt>
                <c:pt idx="132">
                  <c:v>-1.9774084794366154E-5</c:v>
                </c:pt>
                <c:pt idx="133">
                  <c:v>-1.9863443665668612E-5</c:v>
                </c:pt>
                <c:pt idx="134">
                  <c:v>-1.9951904828729994E-5</c:v>
                </c:pt>
                <c:pt idx="135">
                  <c:v>-2.0039473776378713E-5</c:v>
                </c:pt>
                <c:pt idx="136">
                  <c:v>-2.0123343304367936E-5</c:v>
                </c:pt>
                <c:pt idx="137">
                  <c:v>-2.0209172815532916E-5</c:v>
                </c:pt>
                <c:pt idx="138">
                  <c:v>-2.0294126207409668E-5</c:v>
                </c:pt>
                <c:pt idx="139">
                  <c:v>-2.0378208836380196E-5</c:v>
                </c:pt>
                <c:pt idx="140">
                  <c:v>-2.0459626120850061E-5</c:v>
                </c:pt>
                <c:pt idx="141">
                  <c:v>-2.0542001800682996E-5</c:v>
                </c:pt>
                <c:pt idx="142">
                  <c:v>-2.0625285202524601E-5</c:v>
                </c:pt>
                <c:pt idx="143">
                  <c:v>-2.0705937669451835E-5</c:v>
                </c:pt>
                <c:pt idx="144">
                  <c:v>-2.0781429876381985E-5</c:v>
                </c:pt>
                <c:pt idx="145">
                  <c:v>-2.086215242769196E-5</c:v>
                </c:pt>
                <c:pt idx="146">
                  <c:v>-2.0939468886260748E-5</c:v>
                </c:pt>
                <c:pt idx="147">
                  <c:v>-2.1016810169860456E-5</c:v>
                </c:pt>
                <c:pt idx="148">
                  <c:v>-2.1091672499307101E-5</c:v>
                </c:pt>
                <c:pt idx="149">
                  <c:v>-2.1166569420416614E-5</c:v>
                </c:pt>
                <c:pt idx="150">
                  <c:v>-2.124066954489745E-5</c:v>
                </c:pt>
                <c:pt idx="151">
                  <c:v>-2.1314778883119168E-5</c:v>
                </c:pt>
                <c:pt idx="152">
                  <c:v>-2.1386498605835413E-5</c:v>
                </c:pt>
                <c:pt idx="153">
                  <c:v>-2.1458237068783248E-5</c:v>
                </c:pt>
                <c:pt idx="154">
                  <c:v>-2.1529973274092562E-5</c:v>
                </c:pt>
                <c:pt idx="155">
                  <c:v>-2.1600919394959561E-5</c:v>
                </c:pt>
                <c:pt idx="156">
                  <c:v>-2.1669563327830765E-5</c:v>
                </c:pt>
                <c:pt idx="157">
                  <c:v>-2.1738960614414715E-5</c:v>
                </c:pt>
                <c:pt idx="158">
                  <c:v>-2.1807582070598741E-5</c:v>
                </c:pt>
                <c:pt idx="159">
                  <c:v>-2.1875432424378616E-5</c:v>
                </c:pt>
                <c:pt idx="160">
                  <c:v>-2.1940340892645516E-5</c:v>
                </c:pt>
                <c:pt idx="161">
                  <c:v>-2.2006687870113062E-5</c:v>
                </c:pt>
                <c:pt idx="162">
                  <c:v>-2.207227759909447E-5</c:v>
                </c:pt>
                <c:pt idx="163">
                  <c:v>-2.2139216325101074E-5</c:v>
                </c:pt>
                <c:pt idx="164">
                  <c:v>-2.2199125620847582E-5</c:v>
                </c:pt>
                <c:pt idx="165">
                  <c:v>-2.2262495332436849E-5</c:v>
                </c:pt>
                <c:pt idx="166">
                  <c:v>-2.2326479283130141E-5</c:v>
                </c:pt>
                <c:pt idx="167">
                  <c:v>-2.2388359332325969E-5</c:v>
                </c:pt>
                <c:pt idx="168">
                  <c:v>-2.244620464542102E-5</c:v>
                </c:pt>
                <c:pt idx="169">
                  <c:v>-2.2507974753449567E-5</c:v>
                </c:pt>
                <c:pt idx="170">
                  <c:v>-2.2567056046196576E-5</c:v>
                </c:pt>
                <c:pt idx="171">
                  <c:v>-2.2626073462150842E-5</c:v>
                </c:pt>
                <c:pt idx="172">
                  <c:v>-2.2683118225508281E-5</c:v>
                </c:pt>
                <c:pt idx="173">
                  <c:v>-2.2740107464724879E-5</c:v>
                </c:pt>
                <c:pt idx="174">
                  <c:v>-2.2797022540377299E-5</c:v>
                </c:pt>
                <c:pt idx="175">
                  <c:v>-2.2853237611974997E-5</c:v>
                </c:pt>
                <c:pt idx="176">
                  <c:v>-2.2906957433566077E-5</c:v>
                </c:pt>
                <c:pt idx="177">
                  <c:v>-2.2961807666366241E-5</c:v>
                </c:pt>
                <c:pt idx="178">
                  <c:v>-2.3015970398665431E-5</c:v>
                </c:pt>
                <c:pt idx="179">
                  <c:v>-2.3069449800350306E-5</c:v>
                </c:pt>
                <c:pt idx="180">
                  <c:v>-2.3120538942600355E-5</c:v>
                </c:pt>
                <c:pt idx="181">
                  <c:v>-2.3172686052896907E-5</c:v>
                </c:pt>
                <c:pt idx="182">
                  <c:v>-2.3224162078672173E-5</c:v>
                </c:pt>
                <c:pt idx="183">
                  <c:v>-2.327497110399257E-5</c:v>
                </c:pt>
                <c:pt idx="184">
                  <c:v>-2.3323492408966473E-5</c:v>
                </c:pt>
                <c:pt idx="185">
                  <c:v>-2.3373001026616436E-5</c:v>
                </c:pt>
                <c:pt idx="186">
                  <c:v>-2.3421854643213003E-5</c:v>
                </c:pt>
                <c:pt idx="187">
                  <c:v>-2.3471618170844977E-5</c:v>
                </c:pt>
                <c:pt idx="188">
                  <c:v>-2.3516585898164521E-5</c:v>
                </c:pt>
                <c:pt idx="189">
                  <c:v>-2.3564525413743986E-5</c:v>
                </c:pt>
                <c:pt idx="190">
                  <c:v>-2.36102993043108E-5</c:v>
                </c:pt>
                <c:pt idx="191">
                  <c:v>-2.365594444386776E-5</c:v>
                </c:pt>
                <c:pt idx="192">
                  <c:v>-2.3699986385405936E-5</c:v>
                </c:pt>
                <c:pt idx="193">
                  <c:v>-2.374390711556984E-5</c:v>
                </c:pt>
                <c:pt idx="194">
                  <c:v>-2.378721763529601E-5</c:v>
                </c:pt>
                <c:pt idx="195">
                  <c:v>-2.383038758912992E-5</c:v>
                </c:pt>
                <c:pt idx="196">
                  <c:v>-2.3872022924642522E-5</c:v>
                </c:pt>
                <c:pt idx="197">
                  <c:v>-2.3913525090790699E-5</c:v>
                </c:pt>
                <c:pt idx="198">
                  <c:v>-2.3954878070830965E-5</c:v>
                </c:pt>
                <c:pt idx="199">
                  <c:v>-2.3995626252437674E-5</c:v>
                </c:pt>
                <c:pt idx="200">
                  <c:v>-2.4034473689815705E-5</c:v>
                </c:pt>
                <c:pt idx="201">
                  <c:v>-2.4074042951682806E-5</c:v>
                </c:pt>
                <c:pt idx="202">
                  <c:v>-2.4113018517346596E-5</c:v>
                </c:pt>
                <c:pt idx="203">
                  <c:v>-2.4151404094174822E-5</c:v>
                </c:pt>
                <c:pt idx="204">
                  <c:v>-2.4188387856394211E-5</c:v>
                </c:pt>
                <c:pt idx="205">
                  <c:v>-2.4225617133721844E-5</c:v>
                </c:pt>
                <c:pt idx="206">
                  <c:v>-2.4262267360852796E-5</c:v>
                </c:pt>
                <c:pt idx="207">
                  <c:v>-2.4299120049198208E-5</c:v>
                </c:pt>
                <c:pt idx="208">
                  <c:v>-2.433269647988956E-5</c:v>
                </c:pt>
                <c:pt idx="209">
                  <c:v>-2.4367649798739954E-5</c:v>
                </c:pt>
                <c:pt idx="21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JACOBIAN_RESULTS!$M$10</c:f>
              <c:strCache>
                <c:ptCount val="1"/>
                <c:pt idx="0">
                  <c:v>Numerical</c:v>
                </c:pt>
              </c:strCache>
            </c:strRef>
          </c:tx>
          <c:marker>
            <c:symbol val="none"/>
          </c:marker>
          <c:cat>
            <c:numRef>
              <c:f>JACOBIAN_RESULTS!$K$11:$K$221</c:f>
              <c:numCache>
                <c:formatCode>d\-mmm\-yy</c:formatCode>
                <c:ptCount val="211"/>
                <c:pt idx="0">
                  <c:v>43691</c:v>
                </c:pt>
                <c:pt idx="1">
                  <c:v>43692</c:v>
                </c:pt>
                <c:pt idx="2">
                  <c:v>43693</c:v>
                </c:pt>
                <c:pt idx="3">
                  <c:v>43700</c:v>
                </c:pt>
                <c:pt idx="4">
                  <c:v>43707</c:v>
                </c:pt>
                <c:pt idx="5">
                  <c:v>43714</c:v>
                </c:pt>
                <c:pt idx="6">
                  <c:v>43724</c:v>
                </c:pt>
                <c:pt idx="7">
                  <c:v>43754</c:v>
                </c:pt>
                <c:pt idx="8">
                  <c:v>43787</c:v>
                </c:pt>
                <c:pt idx="9">
                  <c:v>43815</c:v>
                </c:pt>
                <c:pt idx="10">
                  <c:v>43846</c:v>
                </c:pt>
                <c:pt idx="11">
                  <c:v>43879</c:v>
                </c:pt>
                <c:pt idx="12">
                  <c:v>43969</c:v>
                </c:pt>
                <c:pt idx="13">
                  <c:v>44060</c:v>
                </c:pt>
                <c:pt idx="14">
                  <c:v>44151</c:v>
                </c:pt>
                <c:pt idx="15">
                  <c:v>44243</c:v>
                </c:pt>
                <c:pt idx="16">
                  <c:v>44333</c:v>
                </c:pt>
                <c:pt idx="17">
                  <c:v>44424</c:v>
                </c:pt>
                <c:pt idx="18">
                  <c:v>44516</c:v>
                </c:pt>
                <c:pt idx="19">
                  <c:v>44608</c:v>
                </c:pt>
                <c:pt idx="20">
                  <c:v>44697</c:v>
                </c:pt>
                <c:pt idx="21">
                  <c:v>44789</c:v>
                </c:pt>
                <c:pt idx="22">
                  <c:v>44881</c:v>
                </c:pt>
                <c:pt idx="23">
                  <c:v>44973</c:v>
                </c:pt>
                <c:pt idx="24">
                  <c:v>45062</c:v>
                </c:pt>
                <c:pt idx="25">
                  <c:v>45154</c:v>
                </c:pt>
                <c:pt idx="26">
                  <c:v>45246</c:v>
                </c:pt>
                <c:pt idx="27">
                  <c:v>45338</c:v>
                </c:pt>
                <c:pt idx="28">
                  <c:v>45428</c:v>
                </c:pt>
                <c:pt idx="29">
                  <c:v>45520</c:v>
                </c:pt>
                <c:pt idx="30">
                  <c:v>45614</c:v>
                </c:pt>
                <c:pt idx="31">
                  <c:v>45706</c:v>
                </c:pt>
                <c:pt idx="32">
                  <c:v>45793</c:v>
                </c:pt>
                <c:pt idx="33">
                  <c:v>45887</c:v>
                </c:pt>
                <c:pt idx="34">
                  <c:v>45978</c:v>
                </c:pt>
                <c:pt idx="35">
                  <c:v>46070</c:v>
                </c:pt>
                <c:pt idx="36">
                  <c:v>46160</c:v>
                </c:pt>
                <c:pt idx="37">
                  <c:v>46251</c:v>
                </c:pt>
                <c:pt idx="38">
                  <c:v>46342</c:v>
                </c:pt>
                <c:pt idx="39">
                  <c:v>46434</c:v>
                </c:pt>
                <c:pt idx="40">
                  <c:v>46524</c:v>
                </c:pt>
                <c:pt idx="41">
                  <c:v>46615</c:v>
                </c:pt>
                <c:pt idx="42">
                  <c:v>46707</c:v>
                </c:pt>
                <c:pt idx="43">
                  <c:v>46799</c:v>
                </c:pt>
                <c:pt idx="44">
                  <c:v>46889</c:v>
                </c:pt>
                <c:pt idx="45">
                  <c:v>46981</c:v>
                </c:pt>
                <c:pt idx="46">
                  <c:v>47073</c:v>
                </c:pt>
                <c:pt idx="47">
                  <c:v>47165</c:v>
                </c:pt>
                <c:pt idx="48">
                  <c:v>47254</c:v>
                </c:pt>
                <c:pt idx="49">
                  <c:v>47346</c:v>
                </c:pt>
                <c:pt idx="50">
                  <c:v>47438</c:v>
                </c:pt>
                <c:pt idx="51">
                  <c:v>47533</c:v>
                </c:pt>
                <c:pt idx="52">
                  <c:v>47619</c:v>
                </c:pt>
                <c:pt idx="53">
                  <c:v>47711</c:v>
                </c:pt>
                <c:pt idx="54">
                  <c:v>47805</c:v>
                </c:pt>
                <c:pt idx="55">
                  <c:v>47897</c:v>
                </c:pt>
                <c:pt idx="56">
                  <c:v>47984</c:v>
                </c:pt>
                <c:pt idx="57">
                  <c:v>48078</c:v>
                </c:pt>
                <c:pt idx="58">
                  <c:v>48169</c:v>
                </c:pt>
                <c:pt idx="59">
                  <c:v>48261</c:v>
                </c:pt>
                <c:pt idx="60">
                  <c:v>48351</c:v>
                </c:pt>
                <c:pt idx="61">
                  <c:v>48442</c:v>
                </c:pt>
                <c:pt idx="62">
                  <c:v>48534</c:v>
                </c:pt>
                <c:pt idx="63">
                  <c:v>48626</c:v>
                </c:pt>
                <c:pt idx="64">
                  <c:v>48715</c:v>
                </c:pt>
                <c:pt idx="65">
                  <c:v>48807</c:v>
                </c:pt>
                <c:pt idx="66">
                  <c:v>48899</c:v>
                </c:pt>
                <c:pt idx="67">
                  <c:v>48991</c:v>
                </c:pt>
                <c:pt idx="68">
                  <c:v>49080</c:v>
                </c:pt>
                <c:pt idx="69">
                  <c:v>49172</c:v>
                </c:pt>
                <c:pt idx="70">
                  <c:v>49264</c:v>
                </c:pt>
                <c:pt idx="71">
                  <c:v>49356</c:v>
                </c:pt>
                <c:pt idx="72">
                  <c:v>49445</c:v>
                </c:pt>
                <c:pt idx="73">
                  <c:v>49537</c:v>
                </c:pt>
                <c:pt idx="74">
                  <c:v>49629</c:v>
                </c:pt>
                <c:pt idx="75">
                  <c:v>49724</c:v>
                </c:pt>
                <c:pt idx="76">
                  <c:v>49811</c:v>
                </c:pt>
                <c:pt idx="77">
                  <c:v>49905</c:v>
                </c:pt>
                <c:pt idx="78">
                  <c:v>49996</c:v>
                </c:pt>
                <c:pt idx="79">
                  <c:v>50088</c:v>
                </c:pt>
                <c:pt idx="80">
                  <c:v>50178</c:v>
                </c:pt>
                <c:pt idx="81">
                  <c:v>50269</c:v>
                </c:pt>
                <c:pt idx="82">
                  <c:v>50360</c:v>
                </c:pt>
                <c:pt idx="83">
                  <c:v>50452</c:v>
                </c:pt>
                <c:pt idx="84">
                  <c:v>50542</c:v>
                </c:pt>
                <c:pt idx="85">
                  <c:v>50633</c:v>
                </c:pt>
                <c:pt idx="86">
                  <c:v>50725</c:v>
                </c:pt>
                <c:pt idx="87">
                  <c:v>50817</c:v>
                </c:pt>
                <c:pt idx="88">
                  <c:v>50906</c:v>
                </c:pt>
                <c:pt idx="89">
                  <c:v>50998</c:v>
                </c:pt>
                <c:pt idx="90">
                  <c:v>51090</c:v>
                </c:pt>
                <c:pt idx="91">
                  <c:v>51182</c:v>
                </c:pt>
                <c:pt idx="92">
                  <c:v>51272</c:v>
                </c:pt>
                <c:pt idx="93">
                  <c:v>51364</c:v>
                </c:pt>
                <c:pt idx="94">
                  <c:v>51456</c:v>
                </c:pt>
                <c:pt idx="95">
                  <c:v>51551</c:v>
                </c:pt>
                <c:pt idx="96">
                  <c:v>51637</c:v>
                </c:pt>
                <c:pt idx="97">
                  <c:v>51729</c:v>
                </c:pt>
                <c:pt idx="98">
                  <c:v>51823</c:v>
                </c:pt>
                <c:pt idx="99">
                  <c:v>51915</c:v>
                </c:pt>
                <c:pt idx="100">
                  <c:v>52002</c:v>
                </c:pt>
                <c:pt idx="101">
                  <c:v>52096</c:v>
                </c:pt>
                <c:pt idx="102">
                  <c:v>52187</c:v>
                </c:pt>
                <c:pt idx="103">
                  <c:v>52279</c:v>
                </c:pt>
                <c:pt idx="104">
                  <c:v>52369</c:v>
                </c:pt>
                <c:pt idx="105">
                  <c:v>52460</c:v>
                </c:pt>
                <c:pt idx="106">
                  <c:v>52551</c:v>
                </c:pt>
                <c:pt idx="107">
                  <c:v>52643</c:v>
                </c:pt>
                <c:pt idx="108">
                  <c:v>52733</c:v>
                </c:pt>
                <c:pt idx="109">
                  <c:v>52825</c:v>
                </c:pt>
                <c:pt idx="110">
                  <c:v>52917</c:v>
                </c:pt>
                <c:pt idx="111">
                  <c:v>53009</c:v>
                </c:pt>
                <c:pt idx="112">
                  <c:v>53098</c:v>
                </c:pt>
                <c:pt idx="113">
                  <c:v>53190</c:v>
                </c:pt>
                <c:pt idx="114">
                  <c:v>53282</c:v>
                </c:pt>
                <c:pt idx="115">
                  <c:v>53374</c:v>
                </c:pt>
                <c:pt idx="116">
                  <c:v>53463</c:v>
                </c:pt>
                <c:pt idx="117">
                  <c:v>53555</c:v>
                </c:pt>
                <c:pt idx="118">
                  <c:v>53647</c:v>
                </c:pt>
                <c:pt idx="119">
                  <c:v>53742</c:v>
                </c:pt>
                <c:pt idx="120">
                  <c:v>53828</c:v>
                </c:pt>
                <c:pt idx="121">
                  <c:v>53920</c:v>
                </c:pt>
                <c:pt idx="122">
                  <c:v>54014</c:v>
                </c:pt>
                <c:pt idx="123">
                  <c:v>54106</c:v>
                </c:pt>
                <c:pt idx="124">
                  <c:v>54196</c:v>
                </c:pt>
                <c:pt idx="125">
                  <c:v>54287</c:v>
                </c:pt>
                <c:pt idx="126">
                  <c:v>54378</c:v>
                </c:pt>
                <c:pt idx="127">
                  <c:v>54470</c:v>
                </c:pt>
                <c:pt idx="128">
                  <c:v>54560</c:v>
                </c:pt>
                <c:pt idx="129">
                  <c:v>54651</c:v>
                </c:pt>
                <c:pt idx="130">
                  <c:v>54743</c:v>
                </c:pt>
                <c:pt idx="131">
                  <c:v>54835</c:v>
                </c:pt>
                <c:pt idx="132">
                  <c:v>54924</c:v>
                </c:pt>
                <c:pt idx="133">
                  <c:v>55016</c:v>
                </c:pt>
                <c:pt idx="134">
                  <c:v>55108</c:v>
                </c:pt>
                <c:pt idx="135">
                  <c:v>55200</c:v>
                </c:pt>
                <c:pt idx="136">
                  <c:v>55289</c:v>
                </c:pt>
                <c:pt idx="137">
                  <c:v>55381</c:v>
                </c:pt>
                <c:pt idx="138">
                  <c:v>55473</c:v>
                </c:pt>
                <c:pt idx="139">
                  <c:v>55565</c:v>
                </c:pt>
                <c:pt idx="140">
                  <c:v>55655</c:v>
                </c:pt>
                <c:pt idx="141">
                  <c:v>55747</c:v>
                </c:pt>
                <c:pt idx="142">
                  <c:v>55841</c:v>
                </c:pt>
                <c:pt idx="143">
                  <c:v>55933</c:v>
                </c:pt>
                <c:pt idx="144">
                  <c:v>56020</c:v>
                </c:pt>
                <c:pt idx="145">
                  <c:v>56114</c:v>
                </c:pt>
                <c:pt idx="146">
                  <c:v>56205</c:v>
                </c:pt>
                <c:pt idx="147">
                  <c:v>56297</c:v>
                </c:pt>
                <c:pt idx="148">
                  <c:v>56387</c:v>
                </c:pt>
                <c:pt idx="149">
                  <c:v>56478</c:v>
                </c:pt>
                <c:pt idx="150">
                  <c:v>56569</c:v>
                </c:pt>
                <c:pt idx="151">
                  <c:v>56661</c:v>
                </c:pt>
                <c:pt idx="152">
                  <c:v>56751</c:v>
                </c:pt>
                <c:pt idx="153">
                  <c:v>56842</c:v>
                </c:pt>
                <c:pt idx="154">
                  <c:v>56934</c:v>
                </c:pt>
                <c:pt idx="155">
                  <c:v>57026</c:v>
                </c:pt>
                <c:pt idx="156">
                  <c:v>57116</c:v>
                </c:pt>
                <c:pt idx="157">
                  <c:v>57208</c:v>
                </c:pt>
                <c:pt idx="158">
                  <c:v>57300</c:v>
                </c:pt>
                <c:pt idx="159">
                  <c:v>57392</c:v>
                </c:pt>
                <c:pt idx="160">
                  <c:v>57481</c:v>
                </c:pt>
                <c:pt idx="161">
                  <c:v>57573</c:v>
                </c:pt>
                <c:pt idx="162">
                  <c:v>57665</c:v>
                </c:pt>
                <c:pt idx="163">
                  <c:v>57760</c:v>
                </c:pt>
                <c:pt idx="164">
                  <c:v>57846</c:v>
                </c:pt>
                <c:pt idx="165">
                  <c:v>57938</c:v>
                </c:pt>
                <c:pt idx="166">
                  <c:v>58032</c:v>
                </c:pt>
                <c:pt idx="167">
                  <c:v>58124</c:v>
                </c:pt>
                <c:pt idx="168">
                  <c:v>58211</c:v>
                </c:pt>
                <c:pt idx="169">
                  <c:v>58305</c:v>
                </c:pt>
                <c:pt idx="170">
                  <c:v>58396</c:v>
                </c:pt>
                <c:pt idx="171">
                  <c:v>58488</c:v>
                </c:pt>
                <c:pt idx="172">
                  <c:v>58578</c:v>
                </c:pt>
                <c:pt idx="173">
                  <c:v>58669</c:v>
                </c:pt>
                <c:pt idx="174">
                  <c:v>58761</c:v>
                </c:pt>
                <c:pt idx="175">
                  <c:v>58853</c:v>
                </c:pt>
                <c:pt idx="176">
                  <c:v>58942</c:v>
                </c:pt>
                <c:pt idx="177">
                  <c:v>59034</c:v>
                </c:pt>
                <c:pt idx="178">
                  <c:v>59126</c:v>
                </c:pt>
                <c:pt idx="179">
                  <c:v>59218</c:v>
                </c:pt>
                <c:pt idx="180">
                  <c:v>59307</c:v>
                </c:pt>
                <c:pt idx="181">
                  <c:v>59399</c:v>
                </c:pt>
                <c:pt idx="182">
                  <c:v>59491</c:v>
                </c:pt>
                <c:pt idx="183">
                  <c:v>59583</c:v>
                </c:pt>
                <c:pt idx="184">
                  <c:v>59672</c:v>
                </c:pt>
                <c:pt idx="185">
                  <c:v>59764</c:v>
                </c:pt>
                <c:pt idx="186">
                  <c:v>59856</c:v>
                </c:pt>
                <c:pt idx="187">
                  <c:v>59951</c:v>
                </c:pt>
                <c:pt idx="188">
                  <c:v>60038</c:v>
                </c:pt>
                <c:pt idx="189">
                  <c:v>60132</c:v>
                </c:pt>
                <c:pt idx="190">
                  <c:v>60223</c:v>
                </c:pt>
                <c:pt idx="191">
                  <c:v>60315</c:v>
                </c:pt>
                <c:pt idx="192">
                  <c:v>60405</c:v>
                </c:pt>
                <c:pt idx="193">
                  <c:v>60496</c:v>
                </c:pt>
                <c:pt idx="194">
                  <c:v>60587</c:v>
                </c:pt>
                <c:pt idx="195">
                  <c:v>60679</c:v>
                </c:pt>
                <c:pt idx="196">
                  <c:v>60769</c:v>
                </c:pt>
                <c:pt idx="197">
                  <c:v>60860</c:v>
                </c:pt>
                <c:pt idx="198">
                  <c:v>60952</c:v>
                </c:pt>
                <c:pt idx="199">
                  <c:v>61044</c:v>
                </c:pt>
                <c:pt idx="200">
                  <c:v>61133</c:v>
                </c:pt>
                <c:pt idx="201">
                  <c:v>61225</c:v>
                </c:pt>
                <c:pt idx="202">
                  <c:v>61317</c:v>
                </c:pt>
                <c:pt idx="203">
                  <c:v>61409</c:v>
                </c:pt>
                <c:pt idx="204">
                  <c:v>61499</c:v>
                </c:pt>
                <c:pt idx="205">
                  <c:v>61591</c:v>
                </c:pt>
                <c:pt idx="206">
                  <c:v>61683</c:v>
                </c:pt>
                <c:pt idx="207">
                  <c:v>61777</c:v>
                </c:pt>
                <c:pt idx="208">
                  <c:v>61864</c:v>
                </c:pt>
                <c:pt idx="209">
                  <c:v>61956</c:v>
                </c:pt>
                <c:pt idx="210">
                  <c:v>#N/A</c:v>
                </c:pt>
              </c:numCache>
            </c:numRef>
          </c:cat>
          <c:val>
            <c:numRef>
              <c:f>JACOBIAN_RESULTS!$M$11:$M$221</c:f>
              <c:numCache>
                <c:formatCode>0.00E+00</c:formatCode>
                <c:ptCount val="211"/>
                <c:pt idx="0">
                  <c:v>0</c:v>
                </c:pt>
                <c:pt idx="1">
                  <c:v>-2.7774506028421797E-9</c:v>
                </c:pt>
                <c:pt idx="2">
                  <c:v>-5.5545741339813048E-9</c:v>
                </c:pt>
                <c:pt idx="3">
                  <c:v>-2.4978309864920334E-8</c:v>
                </c:pt>
                <c:pt idx="4">
                  <c:v>-4.4369840912494851E-8</c:v>
                </c:pt>
                <c:pt idx="5">
                  <c:v>-6.3728969768028776E-8</c:v>
                </c:pt>
                <c:pt idx="6">
                  <c:v>-9.1329503626447206E-8</c:v>
                </c:pt>
                <c:pt idx="7">
                  <c:v>-1.7381660810666943E-7</c:v>
                </c:pt>
                <c:pt idx="8">
                  <c:v>-2.6402306596562397E-7</c:v>
                </c:pt>
                <c:pt idx="9">
                  <c:v>-3.40161957934626E-7</c:v>
                </c:pt>
                <c:pt idx="10">
                  <c:v>-4.2408440803498593E-7</c:v>
                </c:pt>
                <c:pt idx="11">
                  <c:v>-5.129302230733046E-7</c:v>
                </c:pt>
                <c:pt idx="12">
                  <c:v>-7.5335684091015764E-7</c:v>
                </c:pt>
                <c:pt idx="13">
                  <c:v>-9.8400746051385823E-7</c:v>
                </c:pt>
                <c:pt idx="14">
                  <c:v>-1.2138610637757452E-6</c:v>
                </c:pt>
                <c:pt idx="15">
                  <c:v>-1.4526777267764857E-6</c:v>
                </c:pt>
                <c:pt idx="16">
                  <c:v>-1.6919543337490239E-6</c:v>
                </c:pt>
                <c:pt idx="17">
                  <c:v>-1.9355031167789249E-6</c:v>
                </c:pt>
                <c:pt idx="18">
                  <c:v>-2.177437315453723E-6</c:v>
                </c:pt>
                <c:pt idx="19">
                  <c:v>-2.41386159605117E-6</c:v>
                </c:pt>
                <c:pt idx="20">
                  <c:v>-2.6383856207568002E-6</c:v>
                </c:pt>
                <c:pt idx="21">
                  <c:v>-2.8682213599751094E-6</c:v>
                </c:pt>
                <c:pt idx="22">
                  <c:v>-3.0981816597774881E-6</c:v>
                </c:pt>
                <c:pt idx="23">
                  <c:v>-3.328490019383068E-6</c:v>
                </c:pt>
                <c:pt idx="24">
                  <c:v>-3.5510052808218617E-6</c:v>
                </c:pt>
                <c:pt idx="25">
                  <c:v>-3.7798204756134268E-6</c:v>
                </c:pt>
                <c:pt idx="26">
                  <c:v>-4.0064806193784719E-6</c:v>
                </c:pt>
                <c:pt idx="27">
                  <c:v>-4.2309424321818057E-6</c:v>
                </c:pt>
                <c:pt idx="28">
                  <c:v>-4.4486694367185109E-6</c:v>
                </c:pt>
                <c:pt idx="29">
                  <c:v>-4.6697080675617286E-6</c:v>
                </c:pt>
                <c:pt idx="30">
                  <c:v>-4.8943406684154311E-6</c:v>
                </c:pt>
                <c:pt idx="31">
                  <c:v>-5.1130527140008653E-6</c:v>
                </c:pt>
                <c:pt idx="32">
                  <c:v>-5.318789035757554E-6</c:v>
                </c:pt>
                <c:pt idx="33">
                  <c:v>-5.5398211126211905E-6</c:v>
                </c:pt>
                <c:pt idx="34">
                  <c:v>-5.7524764899286041E-6</c:v>
                </c:pt>
                <c:pt idx="35">
                  <c:v>-5.9660563159757984E-6</c:v>
                </c:pt>
                <c:pt idx="36">
                  <c:v>-6.1735235618032291E-6</c:v>
                </c:pt>
                <c:pt idx="37">
                  <c:v>-6.381714103942393E-6</c:v>
                </c:pt>
                <c:pt idx="38">
                  <c:v>-6.5882191762067777E-6</c:v>
                </c:pt>
                <c:pt idx="39">
                  <c:v>-6.7952492635026118E-6</c:v>
                </c:pt>
                <c:pt idx="40">
                  <c:v>-6.9960721474915388E-6</c:v>
                </c:pt>
                <c:pt idx="41">
                  <c:v>-7.1974057364032618E-6</c:v>
                </c:pt>
                <c:pt idx="42">
                  <c:v>-7.3991936121453605E-6</c:v>
                </c:pt>
                <c:pt idx="43">
                  <c:v>-7.5992200457841719E-6</c:v>
                </c:pt>
                <c:pt idx="44">
                  <c:v>-7.7932055316809468E-6</c:v>
                </c:pt>
                <c:pt idx="45">
                  <c:v>-7.9897899539771444E-6</c:v>
                </c:pt>
                <c:pt idx="46">
                  <c:v>-8.1846687129960571E-6</c:v>
                </c:pt>
                <c:pt idx="47">
                  <c:v>-8.3778737810513704E-6</c:v>
                </c:pt>
                <c:pt idx="48">
                  <c:v>-8.5632226584086979E-6</c:v>
                </c:pt>
                <c:pt idx="49">
                  <c:v>-8.7532557442315806E-6</c:v>
                </c:pt>
                <c:pt idx="50">
                  <c:v>-8.9417404025571301E-6</c:v>
                </c:pt>
                <c:pt idx="51">
                  <c:v>-9.134744199723599E-6</c:v>
                </c:pt>
                <c:pt idx="52">
                  <c:v>-9.3080254565114373E-6</c:v>
                </c:pt>
                <c:pt idx="53">
                  <c:v>-9.4918703221757994E-6</c:v>
                </c:pt>
                <c:pt idx="54">
                  <c:v>-9.678069045726545E-6</c:v>
                </c:pt>
                <c:pt idx="55">
                  <c:v>-9.8586847034898284E-6</c:v>
                </c:pt>
                <c:pt idx="56">
                  <c:v>-1.0027996868222644E-5</c:v>
                </c:pt>
                <c:pt idx="57">
                  <c:v>-1.0209294258878288E-5</c:v>
                </c:pt>
                <c:pt idx="58">
                  <c:v>-1.0383177212247574E-5</c:v>
                </c:pt>
                <c:pt idx="59">
                  <c:v>-1.0557351018181116E-5</c:v>
                </c:pt>
                <c:pt idx="60">
                  <c:v>-1.0726175667441495E-5</c:v>
                </c:pt>
                <c:pt idx="61">
                  <c:v>-1.0895319340176179E-5</c:v>
                </c:pt>
                <c:pt idx="62">
                  <c:v>-1.1064746692768246E-5</c:v>
                </c:pt>
                <c:pt idx="63">
                  <c:v>-1.1232608170708147E-5</c:v>
                </c:pt>
                <c:pt idx="64">
                  <c:v>-1.1393523800751204E-5</c:v>
                </c:pt>
                <c:pt idx="65">
                  <c:v>-1.1558361703745135E-5</c:v>
                </c:pt>
                <c:pt idx="66">
                  <c:v>-1.1721694341382261E-5</c:v>
                </c:pt>
                <c:pt idx="67">
                  <c:v>-1.1883544703605864E-5</c:v>
                </c:pt>
                <c:pt idx="68">
                  <c:v>-1.2038729611085763E-5</c:v>
                </c:pt>
                <c:pt idx="69">
                  <c:v>-1.2197735800523191E-5</c:v>
                </c:pt>
                <c:pt idx="70">
                  <c:v>-1.2355332880686909E-5</c:v>
                </c:pt>
                <c:pt idx="71">
                  <c:v>-1.2511535615100655E-5</c:v>
                </c:pt>
                <c:pt idx="72">
                  <c:v>-1.2661329368945928E-5</c:v>
                </c:pt>
                <c:pt idx="73">
                  <c:v>-1.2814824305262817E-5</c:v>
                </c:pt>
                <c:pt idx="74">
                  <c:v>-1.2966960576621389E-5</c:v>
                </c:pt>
                <c:pt idx="75">
                  <c:v>-1.3122644321961197E-5</c:v>
                </c:pt>
                <c:pt idx="76">
                  <c:v>-1.326396860557022E-5</c:v>
                </c:pt>
                <c:pt idx="77">
                  <c:v>-1.3415332669852731E-5</c:v>
                </c:pt>
                <c:pt idx="78">
                  <c:v>-1.3560559490422008E-5</c:v>
                </c:pt>
                <c:pt idx="79">
                  <c:v>-1.3706086210540924E-5</c:v>
                </c:pt>
                <c:pt idx="80">
                  <c:v>-1.3847198216399015E-5</c:v>
                </c:pt>
                <c:pt idx="81">
                  <c:v>-1.3988629622985194E-5</c:v>
                </c:pt>
                <c:pt idx="82">
                  <c:v>-1.4128814815661528E-5</c:v>
                </c:pt>
                <c:pt idx="83">
                  <c:v>-1.426928270720218E-5</c:v>
                </c:pt>
                <c:pt idx="84">
                  <c:v>-1.440548158493371E-5</c:v>
                </c:pt>
                <c:pt idx="85">
                  <c:v>-1.4541979670879002E-5</c:v>
                </c:pt>
                <c:pt idx="86">
                  <c:v>-1.4678744458707094E-5</c:v>
                </c:pt>
                <c:pt idx="87">
                  <c:v>-1.481427660621204E-5</c:v>
                </c:pt>
                <c:pt idx="88">
                  <c:v>-1.494422273817797E-5</c:v>
                </c:pt>
                <c:pt idx="89">
                  <c:v>-1.507734951389228E-5</c:v>
                </c:pt>
                <c:pt idx="90">
                  <c:v>-1.5209263980353604E-5</c:v>
                </c:pt>
                <c:pt idx="91">
                  <c:v>-1.5339978162387524E-5</c:v>
                </c:pt>
                <c:pt idx="92">
                  <c:v>-1.5466702012689737E-5</c:v>
                </c:pt>
                <c:pt idx="93">
                  <c:v>-1.5595080628982849E-5</c:v>
                </c:pt>
                <c:pt idx="94">
                  <c:v>-1.5722298157827552E-5</c:v>
                </c:pt>
                <c:pt idx="95">
                  <c:v>-1.5852459377296846E-5</c:v>
                </c:pt>
                <c:pt idx="96">
                  <c:v>-1.5969245682145861E-5</c:v>
                </c:pt>
                <c:pt idx="97">
                  <c:v>-1.6093093937796787E-5</c:v>
                </c:pt>
                <c:pt idx="98">
                  <c:v>-1.6218488036567891E-5</c:v>
                </c:pt>
                <c:pt idx="99">
                  <c:v>-1.6340104826539914E-5</c:v>
                </c:pt>
                <c:pt idx="100">
                  <c:v>-1.6454113711650287E-5</c:v>
                </c:pt>
                <c:pt idx="101">
                  <c:v>-1.6576217228947421E-5</c:v>
                </c:pt>
                <c:pt idx="102">
                  <c:v>-1.6693368521059071E-5</c:v>
                </c:pt>
                <c:pt idx="103">
                  <c:v>-1.6810763718289046E-5</c:v>
                </c:pt>
                <c:pt idx="104">
                  <c:v>-1.692460287039399E-5</c:v>
                </c:pt>
                <c:pt idx="105">
                  <c:v>-1.7038708465144659E-5</c:v>
                </c:pt>
                <c:pt idx="106">
                  <c:v>-1.7151821055438887E-5</c:v>
                </c:pt>
                <c:pt idx="107">
                  <c:v>-1.726517821865059E-5</c:v>
                </c:pt>
                <c:pt idx="108">
                  <c:v>-1.7375110185069431E-5</c:v>
                </c:pt>
                <c:pt idx="109">
                  <c:v>-1.7486513344877608E-5</c:v>
                </c:pt>
                <c:pt idx="110">
                  <c:v>-1.759694409575463E-5</c:v>
                </c:pt>
                <c:pt idx="111">
                  <c:v>-1.7706410587625676E-5</c:v>
                </c:pt>
                <c:pt idx="112">
                  <c:v>-1.7811396768152576E-5</c:v>
                </c:pt>
                <c:pt idx="113">
                  <c:v>-1.7918986964349237E-5</c:v>
                </c:pt>
                <c:pt idx="114">
                  <c:v>-1.8025633039986388E-5</c:v>
                </c:pt>
                <c:pt idx="115">
                  <c:v>-1.8131340768223758E-5</c:v>
                </c:pt>
                <c:pt idx="116">
                  <c:v>-1.823271349665756E-5</c:v>
                </c:pt>
                <c:pt idx="117">
                  <c:v>-1.8336589930001423E-5</c:v>
                </c:pt>
                <c:pt idx="118">
                  <c:v>-1.8439541996873032E-5</c:v>
                </c:pt>
                <c:pt idx="119">
                  <c:v>-1.8544884958004992E-5</c:v>
                </c:pt>
                <c:pt idx="120">
                  <c:v>-1.8639404200326837E-5</c:v>
                </c:pt>
                <c:pt idx="121">
                  <c:v>-1.8739632411168827E-5</c:v>
                </c:pt>
                <c:pt idx="122">
                  <c:v>-1.8841096123711765E-5</c:v>
                </c:pt>
                <c:pt idx="123">
                  <c:v>-1.8939479068613707E-5</c:v>
                </c:pt>
                <c:pt idx="124">
                  <c:v>-1.9034841414633519E-5</c:v>
                </c:pt>
                <c:pt idx="125">
                  <c:v>-1.913037670364659E-5</c:v>
                </c:pt>
                <c:pt idx="126">
                  <c:v>-1.9225019967317181E-5</c:v>
                </c:pt>
                <c:pt idx="127">
                  <c:v>-1.9319795375616344E-5</c:v>
                </c:pt>
                <c:pt idx="128">
                  <c:v>-1.9411625476584149E-5</c:v>
                </c:pt>
                <c:pt idx="129">
                  <c:v>-1.9503583735813734E-5</c:v>
                </c:pt>
                <c:pt idx="130">
                  <c:v>-1.9595639135894238E-5</c:v>
                </c:pt>
                <c:pt idx="131">
                  <c:v>-1.9686780320382624E-5</c:v>
                </c:pt>
                <c:pt idx="132">
                  <c:v>-1.9774084794366154E-5</c:v>
                </c:pt>
                <c:pt idx="133">
                  <c:v>-1.9863443665668612E-5</c:v>
                </c:pt>
                <c:pt idx="134">
                  <c:v>-1.9951904828729994E-5</c:v>
                </c:pt>
                <c:pt idx="135">
                  <c:v>-2.0039473776378713E-5</c:v>
                </c:pt>
                <c:pt idx="136">
                  <c:v>-2.0123343304367936E-5</c:v>
                </c:pt>
                <c:pt idx="137">
                  <c:v>-2.0209172815532916E-5</c:v>
                </c:pt>
                <c:pt idx="138">
                  <c:v>-2.0294126207409668E-5</c:v>
                </c:pt>
                <c:pt idx="139">
                  <c:v>-2.0378208836380196E-5</c:v>
                </c:pt>
                <c:pt idx="140">
                  <c:v>-2.0459626120850061E-5</c:v>
                </c:pt>
                <c:pt idx="141">
                  <c:v>-2.0542001800682996E-5</c:v>
                </c:pt>
                <c:pt idx="142">
                  <c:v>-2.0625285202524601E-5</c:v>
                </c:pt>
                <c:pt idx="143">
                  <c:v>-2.0705937669451835E-5</c:v>
                </c:pt>
                <c:pt idx="144">
                  <c:v>-2.0781429876381985E-5</c:v>
                </c:pt>
                <c:pt idx="145">
                  <c:v>-2.086215242769196E-5</c:v>
                </c:pt>
                <c:pt idx="146">
                  <c:v>-2.0939468886260748E-5</c:v>
                </c:pt>
                <c:pt idx="147">
                  <c:v>-2.1016810169860456E-5</c:v>
                </c:pt>
                <c:pt idx="148">
                  <c:v>-2.1091672499307101E-5</c:v>
                </c:pt>
                <c:pt idx="149">
                  <c:v>-2.1166569420416614E-5</c:v>
                </c:pt>
                <c:pt idx="150">
                  <c:v>-2.124066954489745E-5</c:v>
                </c:pt>
                <c:pt idx="151">
                  <c:v>-2.1314778883119168E-5</c:v>
                </c:pt>
                <c:pt idx="152">
                  <c:v>-2.1386498605835413E-5</c:v>
                </c:pt>
                <c:pt idx="153">
                  <c:v>-2.1458237068783248E-5</c:v>
                </c:pt>
                <c:pt idx="154">
                  <c:v>-2.1529973274092562E-5</c:v>
                </c:pt>
                <c:pt idx="155">
                  <c:v>-2.1600919394959561E-5</c:v>
                </c:pt>
                <c:pt idx="156">
                  <c:v>-2.1669563327830765E-5</c:v>
                </c:pt>
                <c:pt idx="157">
                  <c:v>-2.1738960614414715E-5</c:v>
                </c:pt>
                <c:pt idx="158">
                  <c:v>-2.1807582070598741E-5</c:v>
                </c:pt>
                <c:pt idx="159">
                  <c:v>-2.1875432424378616E-5</c:v>
                </c:pt>
                <c:pt idx="160">
                  <c:v>-2.1940340892645516E-5</c:v>
                </c:pt>
                <c:pt idx="161">
                  <c:v>-2.2006687870113062E-5</c:v>
                </c:pt>
                <c:pt idx="162">
                  <c:v>-2.207227759909447E-5</c:v>
                </c:pt>
                <c:pt idx="163">
                  <c:v>-2.2139216325101074E-5</c:v>
                </c:pt>
                <c:pt idx="164">
                  <c:v>-2.2199125620847582E-5</c:v>
                </c:pt>
                <c:pt idx="165">
                  <c:v>-2.2262495332436849E-5</c:v>
                </c:pt>
                <c:pt idx="166">
                  <c:v>-2.2326479283130141E-5</c:v>
                </c:pt>
                <c:pt idx="167">
                  <c:v>-2.2388359332325969E-5</c:v>
                </c:pt>
                <c:pt idx="168">
                  <c:v>-2.244620464542102E-5</c:v>
                </c:pt>
                <c:pt idx="169">
                  <c:v>-2.2507974753449567E-5</c:v>
                </c:pt>
                <c:pt idx="170">
                  <c:v>-2.2567056046196576E-5</c:v>
                </c:pt>
                <c:pt idx="171">
                  <c:v>-2.2626073462150842E-5</c:v>
                </c:pt>
                <c:pt idx="172">
                  <c:v>-2.2683118225508281E-5</c:v>
                </c:pt>
                <c:pt idx="173">
                  <c:v>-2.2740107464724879E-5</c:v>
                </c:pt>
                <c:pt idx="174">
                  <c:v>-2.2797022540377299E-5</c:v>
                </c:pt>
                <c:pt idx="175">
                  <c:v>-2.2853237611974997E-5</c:v>
                </c:pt>
                <c:pt idx="176">
                  <c:v>-2.2906957433566077E-5</c:v>
                </c:pt>
                <c:pt idx="177">
                  <c:v>-2.2961807666366241E-5</c:v>
                </c:pt>
                <c:pt idx="178">
                  <c:v>-2.3015970398665431E-5</c:v>
                </c:pt>
                <c:pt idx="179">
                  <c:v>-2.3069449800350306E-5</c:v>
                </c:pt>
                <c:pt idx="180">
                  <c:v>-2.3120538942600355E-5</c:v>
                </c:pt>
                <c:pt idx="181">
                  <c:v>-2.3172686052896907E-5</c:v>
                </c:pt>
                <c:pt idx="182">
                  <c:v>-2.3224162078672173E-5</c:v>
                </c:pt>
                <c:pt idx="183">
                  <c:v>-2.327497110399257E-5</c:v>
                </c:pt>
                <c:pt idx="184">
                  <c:v>-2.3323492408966473E-5</c:v>
                </c:pt>
                <c:pt idx="185">
                  <c:v>-2.3373001026616436E-5</c:v>
                </c:pt>
                <c:pt idx="186">
                  <c:v>-2.3421854643213003E-5</c:v>
                </c:pt>
                <c:pt idx="187">
                  <c:v>-2.3471618170844977E-5</c:v>
                </c:pt>
                <c:pt idx="188">
                  <c:v>-2.3516585898164521E-5</c:v>
                </c:pt>
                <c:pt idx="189">
                  <c:v>-2.3564525413743986E-5</c:v>
                </c:pt>
                <c:pt idx="190">
                  <c:v>-2.36102993043108E-5</c:v>
                </c:pt>
                <c:pt idx="191">
                  <c:v>-2.365594444386776E-5</c:v>
                </c:pt>
                <c:pt idx="192">
                  <c:v>-2.3699986385405936E-5</c:v>
                </c:pt>
                <c:pt idx="193">
                  <c:v>-2.374390711556984E-5</c:v>
                </c:pt>
                <c:pt idx="194">
                  <c:v>-2.378721763529601E-5</c:v>
                </c:pt>
                <c:pt idx="195">
                  <c:v>-2.383038758912992E-5</c:v>
                </c:pt>
                <c:pt idx="196">
                  <c:v>-2.3872022924642522E-5</c:v>
                </c:pt>
                <c:pt idx="197">
                  <c:v>-2.3913525090790699E-5</c:v>
                </c:pt>
                <c:pt idx="198">
                  <c:v>-2.3954878070830965E-5</c:v>
                </c:pt>
                <c:pt idx="199">
                  <c:v>-2.3995626252437674E-5</c:v>
                </c:pt>
                <c:pt idx="200">
                  <c:v>-2.4034473689815705E-5</c:v>
                </c:pt>
                <c:pt idx="201">
                  <c:v>-2.4074042951682806E-5</c:v>
                </c:pt>
                <c:pt idx="202">
                  <c:v>-2.4113018517346596E-5</c:v>
                </c:pt>
                <c:pt idx="203">
                  <c:v>-2.4151404094174822E-5</c:v>
                </c:pt>
                <c:pt idx="204">
                  <c:v>-2.4188387856394211E-5</c:v>
                </c:pt>
                <c:pt idx="205">
                  <c:v>-2.4225617133721844E-5</c:v>
                </c:pt>
                <c:pt idx="206">
                  <c:v>-2.4262267360852796E-5</c:v>
                </c:pt>
                <c:pt idx="207">
                  <c:v>-2.4299120049198208E-5</c:v>
                </c:pt>
                <c:pt idx="208">
                  <c:v>-2.433269647988956E-5</c:v>
                </c:pt>
                <c:pt idx="209">
                  <c:v>-2.4367649798739954E-5</c:v>
                </c:pt>
                <c:pt idx="21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86496"/>
        <c:axId val="110188032"/>
      </c:lineChart>
      <c:dateAx>
        <c:axId val="11018649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110188032"/>
        <c:crosses val="autoZero"/>
        <c:auto val="0"/>
        <c:lblOffset val="100"/>
        <c:baseTimeUnit val="days"/>
      </c:dateAx>
      <c:valAx>
        <c:axId val="11018803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1018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093938724949114"/>
          <c:y val="0.33294947506561678"/>
          <c:w val="0.19936176727909011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Discount Factor</a:t>
            </a:r>
            <a:r>
              <a:rPr lang="en-GB" baseline="0"/>
              <a:t> Levels</a:t>
            </a:r>
            <a:endParaRPr lang="en-GB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4941907261592302"/>
          <c:y val="5.1400554097404488E-2"/>
          <c:w val="0.787330271216098"/>
          <c:h val="0.68419364246135894"/>
        </c:manualLayout>
      </c:layout>
      <c:lineChart>
        <c:grouping val="standard"/>
        <c:varyColors val="0"/>
        <c:ser>
          <c:idx val="0"/>
          <c:order val="0"/>
          <c:tx>
            <c:strRef>
              <c:f>JACOBIAN_RESULTS!$Q$10</c:f>
              <c:strCache>
                <c:ptCount val="1"/>
                <c:pt idx="0">
                  <c:v>Analytical</c:v>
                </c:pt>
              </c:strCache>
            </c:strRef>
          </c:tx>
          <c:marker>
            <c:symbol val="none"/>
          </c:marker>
          <c:cat>
            <c:strRef>
              <c:f>JACOBIAN_RESULTS!$P$11:$P$221</c:f>
              <c:strCache>
                <c:ptCount val="211"/>
                <c:pt idx="0">
                  <c:v>14-Aug-19</c:v>
                </c:pt>
                <c:pt idx="1">
                  <c:v>15-Aug-19</c:v>
                </c:pt>
                <c:pt idx="2">
                  <c:v>16-Aug-19</c:v>
                </c:pt>
                <c:pt idx="3">
                  <c:v>23-Aug-19</c:v>
                </c:pt>
                <c:pt idx="4">
                  <c:v>30-Aug-19</c:v>
                </c:pt>
                <c:pt idx="5">
                  <c:v>06-Sep-19</c:v>
                </c:pt>
                <c:pt idx="6">
                  <c:v>16-Sep-19</c:v>
                </c:pt>
                <c:pt idx="7">
                  <c:v>16-Oct-19</c:v>
                </c:pt>
                <c:pt idx="8">
                  <c:v>18-Nov-19</c:v>
                </c:pt>
                <c:pt idx="9">
                  <c:v>16-Dec-19</c:v>
                </c:pt>
                <c:pt idx="10">
                  <c:v>16-Jan-20</c:v>
                </c:pt>
                <c:pt idx="11">
                  <c:v>18-Feb-20</c:v>
                </c:pt>
                <c:pt idx="12">
                  <c:v>18-May-20</c:v>
                </c:pt>
                <c:pt idx="13">
                  <c:v>17-Aug-20</c:v>
                </c:pt>
                <c:pt idx="14">
                  <c:v>16-Nov-20</c:v>
                </c:pt>
                <c:pt idx="15">
                  <c:v>16-Feb-21</c:v>
                </c:pt>
                <c:pt idx="16">
                  <c:v>17-May-21</c:v>
                </c:pt>
                <c:pt idx="17">
                  <c:v>16-Aug-21</c:v>
                </c:pt>
                <c:pt idx="18">
                  <c:v>16-Nov-21</c:v>
                </c:pt>
                <c:pt idx="19">
                  <c:v>16-Feb-22</c:v>
                </c:pt>
                <c:pt idx="20">
                  <c:v>16-May-22</c:v>
                </c:pt>
                <c:pt idx="21">
                  <c:v>16-Aug-22</c:v>
                </c:pt>
                <c:pt idx="22">
                  <c:v>16-Nov-22</c:v>
                </c:pt>
                <c:pt idx="23">
                  <c:v>16-Feb-23</c:v>
                </c:pt>
                <c:pt idx="24">
                  <c:v>16-May-23</c:v>
                </c:pt>
                <c:pt idx="25">
                  <c:v>16-Aug-23</c:v>
                </c:pt>
                <c:pt idx="26">
                  <c:v>16-Nov-23</c:v>
                </c:pt>
                <c:pt idx="27">
                  <c:v>16-Feb-24</c:v>
                </c:pt>
                <c:pt idx="28">
                  <c:v>16-May-24</c:v>
                </c:pt>
                <c:pt idx="29">
                  <c:v>16-Aug-24</c:v>
                </c:pt>
                <c:pt idx="30">
                  <c:v>18-Nov-24</c:v>
                </c:pt>
                <c:pt idx="31">
                  <c:v>18-Feb-25</c:v>
                </c:pt>
                <c:pt idx="32">
                  <c:v>16-May-25</c:v>
                </c:pt>
                <c:pt idx="33">
                  <c:v>18-Aug-25</c:v>
                </c:pt>
                <c:pt idx="34">
                  <c:v>17-Nov-25</c:v>
                </c:pt>
                <c:pt idx="35">
                  <c:v>17-Feb-26</c:v>
                </c:pt>
                <c:pt idx="36">
                  <c:v>18-May-26</c:v>
                </c:pt>
                <c:pt idx="37">
                  <c:v>17-Aug-26</c:v>
                </c:pt>
                <c:pt idx="38">
                  <c:v>16-Nov-26</c:v>
                </c:pt>
                <c:pt idx="39">
                  <c:v>16-Feb-27</c:v>
                </c:pt>
                <c:pt idx="40">
                  <c:v>17-May-27</c:v>
                </c:pt>
                <c:pt idx="41">
                  <c:v>16-Aug-27</c:v>
                </c:pt>
                <c:pt idx="42">
                  <c:v>16-Nov-27</c:v>
                </c:pt>
                <c:pt idx="43">
                  <c:v>16-Feb-28</c:v>
                </c:pt>
                <c:pt idx="44">
                  <c:v>16-May-28</c:v>
                </c:pt>
                <c:pt idx="45">
                  <c:v>16-Aug-28</c:v>
                </c:pt>
                <c:pt idx="46">
                  <c:v>16-Nov-28</c:v>
                </c:pt>
                <c:pt idx="47">
                  <c:v>16-Feb-29</c:v>
                </c:pt>
                <c:pt idx="48">
                  <c:v>16-May-29</c:v>
                </c:pt>
                <c:pt idx="49">
                  <c:v>16-Aug-29</c:v>
                </c:pt>
                <c:pt idx="50">
                  <c:v>16-Nov-29</c:v>
                </c:pt>
                <c:pt idx="51">
                  <c:v>19-Feb-30</c:v>
                </c:pt>
                <c:pt idx="52">
                  <c:v>16-May-30</c:v>
                </c:pt>
                <c:pt idx="53">
                  <c:v>16-Aug-30</c:v>
                </c:pt>
                <c:pt idx="54">
                  <c:v>18-Nov-30</c:v>
                </c:pt>
                <c:pt idx="55">
                  <c:v>18-Feb-31</c:v>
                </c:pt>
                <c:pt idx="56">
                  <c:v>16-May-31</c:v>
                </c:pt>
                <c:pt idx="57">
                  <c:v>18-Aug-31</c:v>
                </c:pt>
                <c:pt idx="58">
                  <c:v>17-Nov-31</c:v>
                </c:pt>
                <c:pt idx="59">
                  <c:v>17-Feb-32</c:v>
                </c:pt>
                <c:pt idx="60">
                  <c:v>17-May-32</c:v>
                </c:pt>
                <c:pt idx="61">
                  <c:v>16-Aug-32</c:v>
                </c:pt>
                <c:pt idx="62">
                  <c:v>16-Nov-32</c:v>
                </c:pt>
                <c:pt idx="63">
                  <c:v>16-Feb-33</c:v>
                </c:pt>
                <c:pt idx="64">
                  <c:v>16-May-33</c:v>
                </c:pt>
                <c:pt idx="65">
                  <c:v>16-Aug-33</c:v>
                </c:pt>
                <c:pt idx="66">
                  <c:v>16-Nov-33</c:v>
                </c:pt>
                <c:pt idx="67">
                  <c:v>16-Feb-34</c:v>
                </c:pt>
                <c:pt idx="68">
                  <c:v>16-May-34</c:v>
                </c:pt>
                <c:pt idx="69">
                  <c:v>16-Aug-34</c:v>
                </c:pt>
                <c:pt idx="70">
                  <c:v>16-Nov-34</c:v>
                </c:pt>
                <c:pt idx="71">
                  <c:v>16-Feb-35</c:v>
                </c:pt>
                <c:pt idx="72">
                  <c:v>16-May-35</c:v>
                </c:pt>
                <c:pt idx="73">
                  <c:v>16-Aug-35</c:v>
                </c:pt>
                <c:pt idx="74">
                  <c:v>16-Nov-35</c:v>
                </c:pt>
                <c:pt idx="75">
                  <c:v>19-Feb-36</c:v>
                </c:pt>
                <c:pt idx="76">
                  <c:v>16-May-36</c:v>
                </c:pt>
                <c:pt idx="77">
                  <c:v>18-Aug-36</c:v>
                </c:pt>
                <c:pt idx="78">
                  <c:v>17-Nov-36</c:v>
                </c:pt>
                <c:pt idx="79">
                  <c:v>17-Feb-37</c:v>
                </c:pt>
                <c:pt idx="80">
                  <c:v>18-May-37</c:v>
                </c:pt>
                <c:pt idx="81">
                  <c:v>17-Aug-37</c:v>
                </c:pt>
                <c:pt idx="82">
                  <c:v>16-Nov-37</c:v>
                </c:pt>
                <c:pt idx="83">
                  <c:v>16-Feb-38</c:v>
                </c:pt>
                <c:pt idx="84">
                  <c:v>17-May-38</c:v>
                </c:pt>
                <c:pt idx="85">
                  <c:v>16-Aug-38</c:v>
                </c:pt>
                <c:pt idx="86">
                  <c:v>16-Nov-38</c:v>
                </c:pt>
                <c:pt idx="87">
                  <c:v>16-Feb-39</c:v>
                </c:pt>
                <c:pt idx="88">
                  <c:v>16-May-39</c:v>
                </c:pt>
                <c:pt idx="89">
                  <c:v>16-Aug-39</c:v>
                </c:pt>
                <c:pt idx="90">
                  <c:v>16-Nov-39</c:v>
                </c:pt>
                <c:pt idx="91">
                  <c:v>16-Feb-40</c:v>
                </c:pt>
                <c:pt idx="92">
                  <c:v>16-May-40</c:v>
                </c:pt>
                <c:pt idx="93">
                  <c:v>16-Aug-40</c:v>
                </c:pt>
                <c:pt idx="94">
                  <c:v>16-Nov-40</c:v>
                </c:pt>
                <c:pt idx="95">
                  <c:v>19-Feb-41</c:v>
                </c:pt>
                <c:pt idx="96">
                  <c:v>16-May-41</c:v>
                </c:pt>
                <c:pt idx="97">
                  <c:v>16-Aug-41</c:v>
                </c:pt>
                <c:pt idx="98">
                  <c:v>18-Nov-41</c:v>
                </c:pt>
                <c:pt idx="99">
                  <c:v>18-Feb-42</c:v>
                </c:pt>
                <c:pt idx="100">
                  <c:v>16-May-42</c:v>
                </c:pt>
                <c:pt idx="101">
                  <c:v>18-Aug-42</c:v>
                </c:pt>
                <c:pt idx="102">
                  <c:v>17-Nov-42</c:v>
                </c:pt>
                <c:pt idx="103">
                  <c:v>17-Feb-43</c:v>
                </c:pt>
                <c:pt idx="104">
                  <c:v>18-May-43</c:v>
                </c:pt>
                <c:pt idx="105">
                  <c:v>17-Aug-43</c:v>
                </c:pt>
                <c:pt idx="106">
                  <c:v>16-Nov-43</c:v>
                </c:pt>
                <c:pt idx="107">
                  <c:v>16-Feb-44</c:v>
                </c:pt>
                <c:pt idx="108">
                  <c:v>16-May-44</c:v>
                </c:pt>
                <c:pt idx="109">
                  <c:v>16-Aug-44</c:v>
                </c:pt>
                <c:pt idx="110">
                  <c:v>16-Nov-44</c:v>
                </c:pt>
                <c:pt idx="111">
                  <c:v>16-Feb-45</c:v>
                </c:pt>
                <c:pt idx="112">
                  <c:v>16-May-45</c:v>
                </c:pt>
                <c:pt idx="113">
                  <c:v>16-Aug-45</c:v>
                </c:pt>
                <c:pt idx="114">
                  <c:v>16-Nov-45</c:v>
                </c:pt>
                <c:pt idx="115">
                  <c:v>16-Feb-46</c:v>
                </c:pt>
                <c:pt idx="116">
                  <c:v>16-May-46</c:v>
                </c:pt>
                <c:pt idx="117">
                  <c:v>16-Aug-46</c:v>
                </c:pt>
                <c:pt idx="118">
                  <c:v>16-Nov-46</c:v>
                </c:pt>
                <c:pt idx="119">
                  <c:v>19-Feb-47</c:v>
                </c:pt>
                <c:pt idx="120">
                  <c:v>16-May-47</c:v>
                </c:pt>
                <c:pt idx="121">
                  <c:v>16-Aug-47</c:v>
                </c:pt>
                <c:pt idx="122">
                  <c:v>18-Nov-47</c:v>
                </c:pt>
                <c:pt idx="123">
                  <c:v>18-Feb-48</c:v>
                </c:pt>
                <c:pt idx="124">
                  <c:v>18-May-48</c:v>
                </c:pt>
                <c:pt idx="125">
                  <c:v>17-Aug-48</c:v>
                </c:pt>
                <c:pt idx="126">
                  <c:v>16-Nov-48</c:v>
                </c:pt>
                <c:pt idx="127">
                  <c:v>16-Feb-49</c:v>
                </c:pt>
                <c:pt idx="128">
                  <c:v>17-May-49</c:v>
                </c:pt>
                <c:pt idx="129">
                  <c:v>16-Aug-49</c:v>
                </c:pt>
                <c:pt idx="130">
                  <c:v>16-Nov-49</c:v>
                </c:pt>
                <c:pt idx="131">
                  <c:v>16-Feb-50</c:v>
                </c:pt>
                <c:pt idx="132">
                  <c:v>16-May-50</c:v>
                </c:pt>
                <c:pt idx="133">
                  <c:v>16-Aug-50</c:v>
                </c:pt>
                <c:pt idx="134">
                  <c:v>16-Nov-50</c:v>
                </c:pt>
                <c:pt idx="135">
                  <c:v>16-Feb-51</c:v>
                </c:pt>
                <c:pt idx="136">
                  <c:v>16-May-51</c:v>
                </c:pt>
                <c:pt idx="137">
                  <c:v>16-Aug-51</c:v>
                </c:pt>
                <c:pt idx="138">
                  <c:v>16-Nov-51</c:v>
                </c:pt>
                <c:pt idx="139">
                  <c:v>16-Feb-52</c:v>
                </c:pt>
                <c:pt idx="140">
                  <c:v>16-May-52</c:v>
                </c:pt>
                <c:pt idx="141">
                  <c:v>16-Aug-52</c:v>
                </c:pt>
                <c:pt idx="142">
                  <c:v>18-Nov-52</c:v>
                </c:pt>
                <c:pt idx="143">
                  <c:v>18-Feb-53</c:v>
                </c:pt>
                <c:pt idx="144">
                  <c:v>16-May-53</c:v>
                </c:pt>
                <c:pt idx="145">
                  <c:v>18-Aug-53</c:v>
                </c:pt>
                <c:pt idx="146">
                  <c:v>17-Nov-53</c:v>
                </c:pt>
                <c:pt idx="147">
                  <c:v>17-Feb-54</c:v>
                </c:pt>
                <c:pt idx="148">
                  <c:v>18-May-54</c:v>
                </c:pt>
                <c:pt idx="149">
                  <c:v>17-Aug-54</c:v>
                </c:pt>
                <c:pt idx="150">
                  <c:v>16-Nov-54</c:v>
                </c:pt>
                <c:pt idx="151">
                  <c:v>16-Feb-55</c:v>
                </c:pt>
                <c:pt idx="152">
                  <c:v>17-May-55</c:v>
                </c:pt>
                <c:pt idx="153">
                  <c:v>16-Aug-55</c:v>
                </c:pt>
                <c:pt idx="154">
                  <c:v>16-Nov-55</c:v>
                </c:pt>
                <c:pt idx="155">
                  <c:v>16-Feb-56</c:v>
                </c:pt>
                <c:pt idx="156">
                  <c:v>16-May-56</c:v>
                </c:pt>
                <c:pt idx="157">
                  <c:v>16-Aug-56</c:v>
                </c:pt>
                <c:pt idx="158">
                  <c:v>16-Nov-56</c:v>
                </c:pt>
                <c:pt idx="159">
                  <c:v>16-Feb-57</c:v>
                </c:pt>
                <c:pt idx="160">
                  <c:v>16-May-57</c:v>
                </c:pt>
                <c:pt idx="161">
                  <c:v>16-Aug-57</c:v>
                </c:pt>
                <c:pt idx="162">
                  <c:v>16-Nov-57</c:v>
                </c:pt>
                <c:pt idx="163">
                  <c:v>19-Feb-58</c:v>
                </c:pt>
                <c:pt idx="164">
                  <c:v>16-May-58</c:v>
                </c:pt>
                <c:pt idx="165">
                  <c:v>16-Aug-58</c:v>
                </c:pt>
                <c:pt idx="166">
                  <c:v>18-Nov-58</c:v>
                </c:pt>
                <c:pt idx="167">
                  <c:v>18-Feb-59</c:v>
                </c:pt>
                <c:pt idx="168">
                  <c:v>16-May-59</c:v>
                </c:pt>
                <c:pt idx="169">
                  <c:v>18-Aug-59</c:v>
                </c:pt>
                <c:pt idx="170">
                  <c:v>17-Nov-59</c:v>
                </c:pt>
                <c:pt idx="171">
                  <c:v>17-Feb-60</c:v>
                </c:pt>
                <c:pt idx="172">
                  <c:v>17-May-60</c:v>
                </c:pt>
                <c:pt idx="173">
                  <c:v>16-Aug-60</c:v>
                </c:pt>
                <c:pt idx="174">
                  <c:v>16-Nov-60</c:v>
                </c:pt>
                <c:pt idx="175">
                  <c:v>16-Feb-61</c:v>
                </c:pt>
                <c:pt idx="176">
                  <c:v>16-May-61</c:v>
                </c:pt>
                <c:pt idx="177">
                  <c:v>16-Aug-61</c:v>
                </c:pt>
                <c:pt idx="178">
                  <c:v>16-Nov-61</c:v>
                </c:pt>
                <c:pt idx="179">
                  <c:v>16-Feb-62</c:v>
                </c:pt>
                <c:pt idx="180">
                  <c:v>16-May-62</c:v>
                </c:pt>
                <c:pt idx="181">
                  <c:v>16-Aug-62</c:v>
                </c:pt>
                <c:pt idx="182">
                  <c:v>16-Nov-62</c:v>
                </c:pt>
                <c:pt idx="183">
                  <c:v>16-Feb-63</c:v>
                </c:pt>
                <c:pt idx="184">
                  <c:v>16-May-63</c:v>
                </c:pt>
                <c:pt idx="185">
                  <c:v>16-Aug-63</c:v>
                </c:pt>
                <c:pt idx="186">
                  <c:v>16-Nov-63</c:v>
                </c:pt>
                <c:pt idx="187">
                  <c:v>19-Feb-64</c:v>
                </c:pt>
                <c:pt idx="188">
                  <c:v>16-May-64</c:v>
                </c:pt>
                <c:pt idx="189">
                  <c:v>18-Aug-64</c:v>
                </c:pt>
                <c:pt idx="190">
                  <c:v>17-Nov-64</c:v>
                </c:pt>
                <c:pt idx="191">
                  <c:v>17-Feb-65</c:v>
                </c:pt>
                <c:pt idx="192">
                  <c:v>18-May-65</c:v>
                </c:pt>
                <c:pt idx="193">
                  <c:v>17-Aug-65</c:v>
                </c:pt>
                <c:pt idx="194">
                  <c:v>16-Nov-65</c:v>
                </c:pt>
                <c:pt idx="195">
                  <c:v>16-Feb-66</c:v>
                </c:pt>
                <c:pt idx="196">
                  <c:v>17-May-66</c:v>
                </c:pt>
                <c:pt idx="197">
                  <c:v>16-Aug-66</c:v>
                </c:pt>
                <c:pt idx="198">
                  <c:v>16-Nov-66</c:v>
                </c:pt>
                <c:pt idx="199">
                  <c:v>16-Feb-67</c:v>
                </c:pt>
                <c:pt idx="200">
                  <c:v>16-May-67</c:v>
                </c:pt>
                <c:pt idx="201">
                  <c:v>16-Aug-67</c:v>
                </c:pt>
                <c:pt idx="202">
                  <c:v>16-Nov-67</c:v>
                </c:pt>
                <c:pt idx="203">
                  <c:v>16-Feb-68</c:v>
                </c:pt>
                <c:pt idx="204">
                  <c:v>16-May-68</c:v>
                </c:pt>
                <c:pt idx="205">
                  <c:v>16-Aug-68</c:v>
                </c:pt>
                <c:pt idx="206">
                  <c:v>16-Nov-68</c:v>
                </c:pt>
                <c:pt idx="207">
                  <c:v>18-Feb-69</c:v>
                </c:pt>
                <c:pt idx="208">
                  <c:v>16-May-69</c:v>
                </c:pt>
                <c:pt idx="209">
                  <c:v>16-Aug-69</c:v>
                </c:pt>
                <c:pt idx="210">
                  <c:v> </c:v>
                </c:pt>
              </c:strCache>
            </c:strRef>
          </c:cat>
          <c:val>
            <c:numRef>
              <c:f>JACOBIAN_RESULTS!$Q$11:$Q$221</c:f>
              <c:numCache>
                <c:formatCode>#,##0.000000</c:formatCode>
                <c:ptCount val="211"/>
                <c:pt idx="0">
                  <c:v>1</c:v>
                </c:pt>
                <c:pt idx="1">
                  <c:v>0.99994111180135758</c:v>
                </c:pt>
                <c:pt idx="2">
                  <c:v>0.99988222707053509</c:v>
                </c:pt>
                <c:pt idx="3">
                  <c:v>0.99946771726889294</c:v>
                </c:pt>
                <c:pt idx="4">
                  <c:v>0.99905335690268326</c:v>
                </c:pt>
                <c:pt idx="5">
                  <c:v>0.9986372842221386</c:v>
                </c:pt>
                <c:pt idx="6">
                  <c:v>0.99804657268407737</c:v>
                </c:pt>
                <c:pt idx="7">
                  <c:v>0.99650164782343664</c:v>
                </c:pt>
                <c:pt idx="8">
                  <c:v>0.99492111373761216</c:v>
                </c:pt>
                <c:pt idx="9">
                  <c:v>0.99365558920663033</c:v>
                </c:pt>
                <c:pt idx="10">
                  <c:v>0.99234979594441997</c:v>
                </c:pt>
                <c:pt idx="11">
                  <c:v>0.99095764599472647</c:v>
                </c:pt>
                <c:pt idx="12">
                  <c:v>0.98760706138321164</c:v>
                </c:pt>
                <c:pt idx="13">
                  <c:v>0.98445970989819775</c:v>
                </c:pt>
                <c:pt idx="14">
                  <c:v>0.98147655212836571</c:v>
                </c:pt>
                <c:pt idx="15">
                  <c:v>0.97863206531573232</c:v>
                </c:pt>
                <c:pt idx="16">
                  <c:v>0.97594782913340949</c:v>
                </c:pt>
                <c:pt idx="17">
                  <c:v>0.97327094810943271</c:v>
                </c:pt>
                <c:pt idx="18">
                  <c:v>0.97055178236191819</c:v>
                </c:pt>
                <c:pt idx="19">
                  <c:v>0.96780061428534669</c:v>
                </c:pt>
                <c:pt idx="20">
                  <c:v>0.96511370204423008</c:v>
                </c:pt>
                <c:pt idx="21">
                  <c:v>0.96233469045804654</c:v>
                </c:pt>
                <c:pt idx="22">
                  <c:v>0.95958702645911953</c:v>
                </c:pt>
                <c:pt idx="23">
                  <c:v>0.95686878683306731</c:v>
                </c:pt>
                <c:pt idx="24">
                  <c:v>0.95425419487888796</c:v>
                </c:pt>
                <c:pt idx="25">
                  <c:v>0.95155190412917257</c:v>
                </c:pt>
                <c:pt idx="26">
                  <c:v>0.9488353977937215</c:v>
                </c:pt>
                <c:pt idx="27">
                  <c:v>0.94609855777386431</c:v>
                </c:pt>
                <c:pt idx="28">
                  <c:v>0.94339907320678484</c:v>
                </c:pt>
                <c:pt idx="29">
                  <c:v>0.94061588502091198</c:v>
                </c:pt>
                <c:pt idx="30">
                  <c:v>0.93774701886932876</c:v>
                </c:pt>
                <c:pt idx="31">
                  <c:v>0.93491239996918407</c:v>
                </c:pt>
                <c:pt idx="32">
                  <c:v>0.93220551544882324</c:v>
                </c:pt>
                <c:pt idx="33">
                  <c:v>0.92925058493857737</c:v>
                </c:pt>
                <c:pt idx="34">
                  <c:v>0.92635915641551303</c:v>
                </c:pt>
                <c:pt idx="35">
                  <c:v>0.92340486331803751</c:v>
                </c:pt>
                <c:pt idx="36">
                  <c:v>0.92048484733782576</c:v>
                </c:pt>
                <c:pt idx="37">
                  <c:v>0.91750314142991007</c:v>
                </c:pt>
                <c:pt idx="38">
                  <c:v>0.91449313260862852</c:v>
                </c:pt>
                <c:pt idx="39">
                  <c:v>0.91142157294296211</c:v>
                </c:pt>
                <c:pt idx="40">
                  <c:v>0.90838937409360676</c:v>
                </c:pt>
                <c:pt idx="41">
                  <c:v>0.90529650724941546</c:v>
                </c:pt>
                <c:pt idx="42">
                  <c:v>0.90214297653789233</c:v>
                </c:pt>
                <c:pt idx="43">
                  <c:v>0.898963829783475</c:v>
                </c:pt>
                <c:pt idx="44">
                  <c:v>0.89583045105178727</c:v>
                </c:pt>
                <c:pt idx="45">
                  <c:v>0.89260533562820565</c:v>
                </c:pt>
                <c:pt idx="46">
                  <c:v>0.88935992598775138</c:v>
                </c:pt>
                <c:pt idx="47">
                  <c:v>0.88609656693602257</c:v>
                </c:pt>
                <c:pt idx="48">
                  <c:v>0.88292500053506018</c:v>
                </c:pt>
                <c:pt idx="49">
                  <c:v>0.8796342114031187</c:v>
                </c:pt>
                <c:pt idx="50">
                  <c:v>0.87633365865050428</c:v>
                </c:pt>
                <c:pt idx="51">
                  <c:v>0.87291694590205027</c:v>
                </c:pt>
                <c:pt idx="52">
                  <c:v>0.86981768991409791</c:v>
                </c:pt>
                <c:pt idx="53">
                  <c:v>0.86649703351623153</c:v>
                </c:pt>
                <c:pt idx="54">
                  <c:v>0.86310021266342729</c:v>
                </c:pt>
                <c:pt idx="55">
                  <c:v>0.85977339388820484</c:v>
                </c:pt>
                <c:pt idx="56">
                  <c:v>0.85662682682954816</c:v>
                </c:pt>
                <c:pt idx="57">
                  <c:v>0.85322820432204016</c:v>
                </c:pt>
                <c:pt idx="58">
                  <c:v>0.8499407662506907</c:v>
                </c:pt>
                <c:pt idx="59">
                  <c:v>0.84662099374323929</c:v>
                </c:pt>
                <c:pt idx="60">
                  <c:v>0.84337796291481859</c:v>
                </c:pt>
                <c:pt idx="61">
                  <c:v>0.84010438819139099</c:v>
                </c:pt>
                <c:pt idx="62">
                  <c:v>0.83680136539176286</c:v>
                </c:pt>
                <c:pt idx="63">
                  <c:v>0.83350583126808497</c:v>
                </c:pt>
                <c:pt idx="64">
                  <c:v>0.83032576484347587</c:v>
                </c:pt>
                <c:pt idx="65">
                  <c:v>0.82704768915263127</c:v>
                </c:pt>
                <c:pt idx="66">
                  <c:v>0.82377987574835798</c:v>
                </c:pt>
                <c:pt idx="67">
                  <c:v>0.82052326216682125</c:v>
                </c:pt>
                <c:pt idx="68">
                  <c:v>0.81738438396431978</c:v>
                </c:pt>
                <c:pt idx="69">
                  <c:v>0.81415254552832417</c:v>
                </c:pt>
                <c:pt idx="70">
                  <c:v>0.81093459678321866</c:v>
                </c:pt>
                <c:pt idx="71">
                  <c:v>0.80773097935725768</c:v>
                </c:pt>
                <c:pt idx="72">
                  <c:v>0.80464576479963401</c:v>
                </c:pt>
                <c:pt idx="73">
                  <c:v>0.80147124316346674</c:v>
                </c:pt>
                <c:pt idx="74">
                  <c:v>0.79831191350544028</c:v>
                </c:pt>
                <c:pt idx="75">
                  <c:v>0.79506575499700261</c:v>
                </c:pt>
                <c:pt idx="76">
                  <c:v>0.7921075837668744</c:v>
                </c:pt>
                <c:pt idx="77">
                  <c:v>0.78892729891904412</c:v>
                </c:pt>
                <c:pt idx="78">
                  <c:v>0.78586439932874874</c:v>
                </c:pt>
                <c:pt idx="79">
                  <c:v>0.78278386114701537</c:v>
                </c:pt>
                <c:pt idx="80">
                  <c:v>0.77978597981963627</c:v>
                </c:pt>
                <c:pt idx="81">
                  <c:v>0.77677064485077119</c:v>
                </c:pt>
                <c:pt idx="82">
                  <c:v>0.77377131144650924</c:v>
                </c:pt>
                <c:pt idx="83">
                  <c:v>0.77075532102472522</c:v>
                </c:pt>
                <c:pt idx="84">
                  <c:v>0.76782077034435892</c:v>
                </c:pt>
                <c:pt idx="85">
                  <c:v>0.76486956875309786</c:v>
                </c:pt>
                <c:pt idx="86">
                  <c:v>0.76190221575952388</c:v>
                </c:pt>
                <c:pt idx="87">
                  <c:v>0.75895117997660644</c:v>
                </c:pt>
                <c:pt idx="88">
                  <c:v>0.756111833339422</c:v>
                </c:pt>
                <c:pt idx="89">
                  <c:v>0.75319266881856728</c:v>
                </c:pt>
                <c:pt idx="90">
                  <c:v>0.75028958456723249</c:v>
                </c:pt>
                <c:pt idx="91">
                  <c:v>0.74740264206960572</c:v>
                </c:pt>
                <c:pt idx="92">
                  <c:v>0.74459416239881471</c:v>
                </c:pt>
                <c:pt idx="93">
                  <c:v>0.74173939878830231</c:v>
                </c:pt>
                <c:pt idx="94">
                  <c:v>0.73890100325741137</c:v>
                </c:pt>
                <c:pt idx="95">
                  <c:v>0.73598728541784808</c:v>
                </c:pt>
                <c:pt idx="96">
                  <c:v>0.73336474350213754</c:v>
                </c:pt>
                <c:pt idx="97">
                  <c:v>0.73057519137219984</c:v>
                </c:pt>
                <c:pt idx="98">
                  <c:v>0.7277420561016178</c:v>
                </c:pt>
                <c:pt idx="99">
                  <c:v>0.72498590798891038</c:v>
                </c:pt>
                <c:pt idx="100">
                  <c:v>0.72239475656131369</c:v>
                </c:pt>
                <c:pt idx="101">
                  <c:v>0.71961172594995992</c:v>
                </c:pt>
                <c:pt idx="102">
                  <c:v>0.71693392688498425</c:v>
                </c:pt>
                <c:pt idx="103">
                  <c:v>0.71424308589679886</c:v>
                </c:pt>
                <c:pt idx="104">
                  <c:v>0.71162664633880202</c:v>
                </c:pt>
                <c:pt idx="105">
                  <c:v>0.70899708371165848</c:v>
                </c:pt>
                <c:pt idx="106">
                  <c:v>0.70638350419805951</c:v>
                </c:pt>
                <c:pt idx="107">
                  <c:v>0.70375738812962219</c:v>
                </c:pt>
                <c:pt idx="108">
                  <c:v>0.70120403755631733</c:v>
                </c:pt>
                <c:pt idx="109">
                  <c:v>0.69860989035716115</c:v>
                </c:pt>
                <c:pt idx="110">
                  <c:v>0.69603174452735106</c:v>
                </c:pt>
                <c:pt idx="111">
                  <c:v>0.693469354163879</c:v>
                </c:pt>
                <c:pt idx="112">
                  <c:v>0.69100524289017029</c:v>
                </c:pt>
                <c:pt idx="113">
                  <c:v>0.68847299965834352</c:v>
                </c:pt>
                <c:pt idx="114">
                  <c:v>0.68595562408738642</c:v>
                </c:pt>
                <c:pt idx="115">
                  <c:v>0.6834527934390453</c:v>
                </c:pt>
                <c:pt idx="116">
                  <c:v>0.68104510354364078</c:v>
                </c:pt>
                <c:pt idx="117">
                  <c:v>0.67856990225198754</c:v>
                </c:pt>
                <c:pt idx="118">
                  <c:v>0.67610822146732985</c:v>
                </c:pt>
                <c:pt idx="119">
                  <c:v>0.6735800681154468</c:v>
                </c:pt>
                <c:pt idx="120">
                  <c:v>0.67130317209124435</c:v>
                </c:pt>
                <c:pt idx="121">
                  <c:v>0.66887941111192406</c:v>
                </c:pt>
                <c:pt idx="122">
                  <c:v>0.66641535394440443</c:v>
                </c:pt>
                <c:pt idx="123">
                  <c:v>0.66401543882150971</c:v>
                </c:pt>
                <c:pt idx="124">
                  <c:v>0.66167850584880039</c:v>
                </c:pt>
                <c:pt idx="125">
                  <c:v>0.6593260660438196</c:v>
                </c:pt>
                <c:pt idx="126">
                  <c:v>0.65698372241277581</c:v>
                </c:pt>
                <c:pt idx="127">
                  <c:v>0.6546254622330302</c:v>
                </c:pt>
                <c:pt idx="128">
                  <c:v>0.6523275913198574</c:v>
                </c:pt>
                <c:pt idx="129">
                  <c:v>0.65001291653988991</c:v>
                </c:pt>
                <c:pt idx="130">
                  <c:v>0.64768133746215273</c:v>
                </c:pt>
                <c:pt idx="131">
                  <c:v>0.64535823037179951</c:v>
                </c:pt>
                <c:pt idx="132">
                  <c:v>0.64311890651700543</c:v>
                </c:pt>
                <c:pt idx="133">
                  <c:v>0.64081236695238519</c:v>
                </c:pt>
                <c:pt idx="134">
                  <c:v>0.63851419784215058</c:v>
                </c:pt>
                <c:pt idx="135">
                  <c:v>0.63622436528830606</c:v>
                </c:pt>
                <c:pt idx="136">
                  <c:v>0.63401710265074906</c:v>
                </c:pt>
                <c:pt idx="137">
                  <c:v>0.63174357303005579</c:v>
                </c:pt>
                <c:pt idx="138">
                  <c:v>0.62947828031013864</c:v>
                </c:pt>
                <c:pt idx="139">
                  <c:v>0.62722119121912379</c:v>
                </c:pt>
                <c:pt idx="140">
                  <c:v>0.62502107552734332</c:v>
                </c:pt>
                <c:pt idx="141">
                  <c:v>0.62278011794690369</c:v>
                </c:pt>
                <c:pt idx="142">
                  <c:v>0.62049881533250584</c:v>
                </c:pt>
                <c:pt idx="143">
                  <c:v>0.61827421114169467</c:v>
                </c:pt>
                <c:pt idx="144">
                  <c:v>0.61617790595417621</c:v>
                </c:pt>
                <c:pt idx="145">
                  <c:v>0.6139209813932105</c:v>
                </c:pt>
                <c:pt idx="146">
                  <c:v>0.61174401895731678</c:v>
                </c:pt>
                <c:pt idx="147">
                  <c:v>0.60955103495030449</c:v>
                </c:pt>
                <c:pt idx="148">
                  <c:v>0.60741338106477794</c:v>
                </c:pt>
                <c:pt idx="149">
                  <c:v>0.60525964399659304</c:v>
                </c:pt>
                <c:pt idx="150">
                  <c:v>0.60311358734254772</c:v>
                </c:pt>
                <c:pt idx="151">
                  <c:v>0.60095172405746156</c:v>
                </c:pt>
                <c:pt idx="152">
                  <c:v>0.59884439360819997</c:v>
                </c:pt>
                <c:pt idx="153">
                  <c:v>0.59672119604314477</c:v>
                </c:pt>
                <c:pt idx="154">
                  <c:v>0.59458235103110524</c:v>
                </c:pt>
                <c:pt idx="155">
                  <c:v>0.59245120162531018</c:v>
                </c:pt>
                <c:pt idx="156">
                  <c:v>0.59037379849737492</c:v>
                </c:pt>
                <c:pt idx="157">
                  <c:v>0.58825778256426775</c:v>
                </c:pt>
                <c:pt idx="158">
                  <c:v>0.58614937108048126</c:v>
                </c:pt>
                <c:pt idx="159">
                  <c:v>0.58404853372039445</c:v>
                </c:pt>
                <c:pt idx="160">
                  <c:v>0.58202338118993346</c:v>
                </c:pt>
                <c:pt idx="161">
                  <c:v>0.57993735711570593</c:v>
                </c:pt>
                <c:pt idx="162">
                  <c:v>0.57785881800120353</c:v>
                </c:pt>
                <c:pt idx="163">
                  <c:v>0.57572032390553718</c:v>
                </c:pt>
                <c:pt idx="164">
                  <c:v>0.5737912520909817</c:v>
                </c:pt>
                <c:pt idx="165">
                  <c:v>0.57173474905781208</c:v>
                </c:pt>
                <c:pt idx="166">
                  <c:v>0.56964114885557793</c:v>
                </c:pt>
                <c:pt idx="167">
                  <c:v>0.56759951109336404</c:v>
                </c:pt>
                <c:pt idx="168">
                  <c:v>0.56567555605447895</c:v>
                </c:pt>
                <c:pt idx="169">
                  <c:v>0.56360411759068363</c:v>
                </c:pt>
                <c:pt idx="170">
                  <c:v>0.56160600178716158</c:v>
                </c:pt>
                <c:pt idx="171">
                  <c:v>0.55959311650392873</c:v>
                </c:pt>
                <c:pt idx="172">
                  <c:v>0.55763095907137805</c:v>
                </c:pt>
                <c:pt idx="173">
                  <c:v>0.55565398443329594</c:v>
                </c:pt>
                <c:pt idx="174">
                  <c:v>0.55366240011072032</c:v>
                </c:pt>
                <c:pt idx="175">
                  <c:v>0.55167794582643281</c:v>
                </c:pt>
                <c:pt idx="176">
                  <c:v>0.54976496441918576</c:v>
                </c:pt>
                <c:pt idx="177">
                  <c:v>0.54779446757714956</c:v>
                </c:pt>
                <c:pt idx="178">
                  <c:v>0.54583102979501597</c:v>
                </c:pt>
                <c:pt idx="179">
                  <c:v>0.54387462747101323</c:v>
                </c:pt>
                <c:pt idx="180">
                  <c:v>0.54198869387897108</c:v>
                </c:pt>
                <c:pt idx="181">
                  <c:v>0.54004606476564954</c:v>
                </c:pt>
                <c:pt idx="182">
                  <c:v>0.53811040199361138</c:v>
                </c:pt>
                <c:pt idx="183">
                  <c:v>0.5361816825747352</c:v>
                </c:pt>
                <c:pt idx="184">
                  <c:v>0.53432244210686697</c:v>
                </c:pt>
                <c:pt idx="185">
                  <c:v>0.53240731645728134</c:v>
                </c:pt>
                <c:pt idx="186">
                  <c:v>0.53049906682527481</c:v>
                </c:pt>
                <c:pt idx="187">
                  <c:v>0.52853578389915978</c:v>
                </c:pt>
                <c:pt idx="188">
                  <c:v>0.52674421985775333</c:v>
                </c:pt>
                <c:pt idx="189">
                  <c:v>0.52481535074283925</c:v>
                </c:pt>
                <c:pt idx="190">
                  <c:v>0.52295479149993251</c:v>
                </c:pt>
                <c:pt idx="191">
                  <c:v>0.52108051537507494</c:v>
                </c:pt>
                <c:pt idx="192">
                  <c:v>0.51925351019000454</c:v>
                </c:pt>
                <c:pt idx="193">
                  <c:v>0.51741274625422606</c:v>
                </c:pt>
                <c:pt idx="194">
                  <c:v>0.51557853910109985</c:v>
                </c:pt>
                <c:pt idx="195">
                  <c:v>0.51373082005239534</c:v>
                </c:pt>
                <c:pt idx="196">
                  <c:v>0.51192971281689648</c:v>
                </c:pt>
                <c:pt idx="197">
                  <c:v>0.51011505283647074</c:v>
                </c:pt>
                <c:pt idx="198">
                  <c:v>0.50828703366679684</c:v>
                </c:pt>
                <c:pt idx="199">
                  <c:v>0.5064656118827735</c:v>
                </c:pt>
                <c:pt idx="200">
                  <c:v>0.50470984303347932</c:v>
                </c:pt>
                <c:pt idx="201">
                  <c:v>0.50290134069525827</c:v>
                </c:pt>
                <c:pt idx="202">
                  <c:v>0.50109937479448885</c:v>
                </c:pt>
                <c:pt idx="203">
                  <c:v>0.49930392503506821</c:v>
                </c:pt>
                <c:pt idx="204">
                  <c:v>0.4975537926085688</c:v>
                </c:pt>
                <c:pt idx="205">
                  <c:v>0.49577117415527777</c:v>
                </c:pt>
                <c:pt idx="206">
                  <c:v>0.49399501210374519</c:v>
                </c:pt>
                <c:pt idx="207">
                  <c:v>0.49218688567158148</c:v>
                </c:pt>
                <c:pt idx="208">
                  <c:v>0.49051937620478986</c:v>
                </c:pt>
                <c:pt idx="209">
                  <c:v>0.48876225656591321</c:v>
                </c:pt>
                <c:pt idx="21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JACOBIAN_RESULTS!$R$10</c:f>
              <c:strCache>
                <c:ptCount val="1"/>
                <c:pt idx="0">
                  <c:v>Numerical</c:v>
                </c:pt>
              </c:strCache>
            </c:strRef>
          </c:tx>
          <c:marker>
            <c:symbol val="none"/>
          </c:marker>
          <c:cat>
            <c:strRef>
              <c:f>JACOBIAN_RESULTS!$P$11:$P$221</c:f>
              <c:strCache>
                <c:ptCount val="211"/>
                <c:pt idx="0">
                  <c:v>14-Aug-19</c:v>
                </c:pt>
                <c:pt idx="1">
                  <c:v>15-Aug-19</c:v>
                </c:pt>
                <c:pt idx="2">
                  <c:v>16-Aug-19</c:v>
                </c:pt>
                <c:pt idx="3">
                  <c:v>23-Aug-19</c:v>
                </c:pt>
                <c:pt idx="4">
                  <c:v>30-Aug-19</c:v>
                </c:pt>
                <c:pt idx="5">
                  <c:v>06-Sep-19</c:v>
                </c:pt>
                <c:pt idx="6">
                  <c:v>16-Sep-19</c:v>
                </c:pt>
                <c:pt idx="7">
                  <c:v>16-Oct-19</c:v>
                </c:pt>
                <c:pt idx="8">
                  <c:v>18-Nov-19</c:v>
                </c:pt>
                <c:pt idx="9">
                  <c:v>16-Dec-19</c:v>
                </c:pt>
                <c:pt idx="10">
                  <c:v>16-Jan-20</c:v>
                </c:pt>
                <c:pt idx="11">
                  <c:v>18-Feb-20</c:v>
                </c:pt>
                <c:pt idx="12">
                  <c:v>18-May-20</c:v>
                </c:pt>
                <c:pt idx="13">
                  <c:v>17-Aug-20</c:v>
                </c:pt>
                <c:pt idx="14">
                  <c:v>16-Nov-20</c:v>
                </c:pt>
                <c:pt idx="15">
                  <c:v>16-Feb-21</c:v>
                </c:pt>
                <c:pt idx="16">
                  <c:v>17-May-21</c:v>
                </c:pt>
                <c:pt idx="17">
                  <c:v>16-Aug-21</c:v>
                </c:pt>
                <c:pt idx="18">
                  <c:v>16-Nov-21</c:v>
                </c:pt>
                <c:pt idx="19">
                  <c:v>16-Feb-22</c:v>
                </c:pt>
                <c:pt idx="20">
                  <c:v>16-May-22</c:v>
                </c:pt>
                <c:pt idx="21">
                  <c:v>16-Aug-22</c:v>
                </c:pt>
                <c:pt idx="22">
                  <c:v>16-Nov-22</c:v>
                </c:pt>
                <c:pt idx="23">
                  <c:v>16-Feb-23</c:v>
                </c:pt>
                <c:pt idx="24">
                  <c:v>16-May-23</c:v>
                </c:pt>
                <c:pt idx="25">
                  <c:v>16-Aug-23</c:v>
                </c:pt>
                <c:pt idx="26">
                  <c:v>16-Nov-23</c:v>
                </c:pt>
                <c:pt idx="27">
                  <c:v>16-Feb-24</c:v>
                </c:pt>
                <c:pt idx="28">
                  <c:v>16-May-24</c:v>
                </c:pt>
                <c:pt idx="29">
                  <c:v>16-Aug-24</c:v>
                </c:pt>
                <c:pt idx="30">
                  <c:v>18-Nov-24</c:v>
                </c:pt>
                <c:pt idx="31">
                  <c:v>18-Feb-25</c:v>
                </c:pt>
                <c:pt idx="32">
                  <c:v>16-May-25</c:v>
                </c:pt>
                <c:pt idx="33">
                  <c:v>18-Aug-25</c:v>
                </c:pt>
                <c:pt idx="34">
                  <c:v>17-Nov-25</c:v>
                </c:pt>
                <c:pt idx="35">
                  <c:v>17-Feb-26</c:v>
                </c:pt>
                <c:pt idx="36">
                  <c:v>18-May-26</c:v>
                </c:pt>
                <c:pt idx="37">
                  <c:v>17-Aug-26</c:v>
                </c:pt>
                <c:pt idx="38">
                  <c:v>16-Nov-26</c:v>
                </c:pt>
                <c:pt idx="39">
                  <c:v>16-Feb-27</c:v>
                </c:pt>
                <c:pt idx="40">
                  <c:v>17-May-27</c:v>
                </c:pt>
                <c:pt idx="41">
                  <c:v>16-Aug-27</c:v>
                </c:pt>
                <c:pt idx="42">
                  <c:v>16-Nov-27</c:v>
                </c:pt>
                <c:pt idx="43">
                  <c:v>16-Feb-28</c:v>
                </c:pt>
                <c:pt idx="44">
                  <c:v>16-May-28</c:v>
                </c:pt>
                <c:pt idx="45">
                  <c:v>16-Aug-28</c:v>
                </c:pt>
                <c:pt idx="46">
                  <c:v>16-Nov-28</c:v>
                </c:pt>
                <c:pt idx="47">
                  <c:v>16-Feb-29</c:v>
                </c:pt>
                <c:pt idx="48">
                  <c:v>16-May-29</c:v>
                </c:pt>
                <c:pt idx="49">
                  <c:v>16-Aug-29</c:v>
                </c:pt>
                <c:pt idx="50">
                  <c:v>16-Nov-29</c:v>
                </c:pt>
                <c:pt idx="51">
                  <c:v>19-Feb-30</c:v>
                </c:pt>
                <c:pt idx="52">
                  <c:v>16-May-30</c:v>
                </c:pt>
                <c:pt idx="53">
                  <c:v>16-Aug-30</c:v>
                </c:pt>
                <c:pt idx="54">
                  <c:v>18-Nov-30</c:v>
                </c:pt>
                <c:pt idx="55">
                  <c:v>18-Feb-31</c:v>
                </c:pt>
                <c:pt idx="56">
                  <c:v>16-May-31</c:v>
                </c:pt>
                <c:pt idx="57">
                  <c:v>18-Aug-31</c:v>
                </c:pt>
                <c:pt idx="58">
                  <c:v>17-Nov-31</c:v>
                </c:pt>
                <c:pt idx="59">
                  <c:v>17-Feb-32</c:v>
                </c:pt>
                <c:pt idx="60">
                  <c:v>17-May-32</c:v>
                </c:pt>
                <c:pt idx="61">
                  <c:v>16-Aug-32</c:v>
                </c:pt>
                <c:pt idx="62">
                  <c:v>16-Nov-32</c:v>
                </c:pt>
                <c:pt idx="63">
                  <c:v>16-Feb-33</c:v>
                </c:pt>
                <c:pt idx="64">
                  <c:v>16-May-33</c:v>
                </c:pt>
                <c:pt idx="65">
                  <c:v>16-Aug-33</c:v>
                </c:pt>
                <c:pt idx="66">
                  <c:v>16-Nov-33</c:v>
                </c:pt>
                <c:pt idx="67">
                  <c:v>16-Feb-34</c:v>
                </c:pt>
                <c:pt idx="68">
                  <c:v>16-May-34</c:v>
                </c:pt>
                <c:pt idx="69">
                  <c:v>16-Aug-34</c:v>
                </c:pt>
                <c:pt idx="70">
                  <c:v>16-Nov-34</c:v>
                </c:pt>
                <c:pt idx="71">
                  <c:v>16-Feb-35</c:v>
                </c:pt>
                <c:pt idx="72">
                  <c:v>16-May-35</c:v>
                </c:pt>
                <c:pt idx="73">
                  <c:v>16-Aug-35</c:v>
                </c:pt>
                <c:pt idx="74">
                  <c:v>16-Nov-35</c:v>
                </c:pt>
                <c:pt idx="75">
                  <c:v>19-Feb-36</c:v>
                </c:pt>
                <c:pt idx="76">
                  <c:v>16-May-36</c:v>
                </c:pt>
                <c:pt idx="77">
                  <c:v>18-Aug-36</c:v>
                </c:pt>
                <c:pt idx="78">
                  <c:v>17-Nov-36</c:v>
                </c:pt>
                <c:pt idx="79">
                  <c:v>17-Feb-37</c:v>
                </c:pt>
                <c:pt idx="80">
                  <c:v>18-May-37</c:v>
                </c:pt>
                <c:pt idx="81">
                  <c:v>17-Aug-37</c:v>
                </c:pt>
                <c:pt idx="82">
                  <c:v>16-Nov-37</c:v>
                </c:pt>
                <c:pt idx="83">
                  <c:v>16-Feb-38</c:v>
                </c:pt>
                <c:pt idx="84">
                  <c:v>17-May-38</c:v>
                </c:pt>
                <c:pt idx="85">
                  <c:v>16-Aug-38</c:v>
                </c:pt>
                <c:pt idx="86">
                  <c:v>16-Nov-38</c:v>
                </c:pt>
                <c:pt idx="87">
                  <c:v>16-Feb-39</c:v>
                </c:pt>
                <c:pt idx="88">
                  <c:v>16-May-39</c:v>
                </c:pt>
                <c:pt idx="89">
                  <c:v>16-Aug-39</c:v>
                </c:pt>
                <c:pt idx="90">
                  <c:v>16-Nov-39</c:v>
                </c:pt>
                <c:pt idx="91">
                  <c:v>16-Feb-40</c:v>
                </c:pt>
                <c:pt idx="92">
                  <c:v>16-May-40</c:v>
                </c:pt>
                <c:pt idx="93">
                  <c:v>16-Aug-40</c:v>
                </c:pt>
                <c:pt idx="94">
                  <c:v>16-Nov-40</c:v>
                </c:pt>
                <c:pt idx="95">
                  <c:v>19-Feb-41</c:v>
                </c:pt>
                <c:pt idx="96">
                  <c:v>16-May-41</c:v>
                </c:pt>
                <c:pt idx="97">
                  <c:v>16-Aug-41</c:v>
                </c:pt>
                <c:pt idx="98">
                  <c:v>18-Nov-41</c:v>
                </c:pt>
                <c:pt idx="99">
                  <c:v>18-Feb-42</c:v>
                </c:pt>
                <c:pt idx="100">
                  <c:v>16-May-42</c:v>
                </c:pt>
                <c:pt idx="101">
                  <c:v>18-Aug-42</c:v>
                </c:pt>
                <c:pt idx="102">
                  <c:v>17-Nov-42</c:v>
                </c:pt>
                <c:pt idx="103">
                  <c:v>17-Feb-43</c:v>
                </c:pt>
                <c:pt idx="104">
                  <c:v>18-May-43</c:v>
                </c:pt>
                <c:pt idx="105">
                  <c:v>17-Aug-43</c:v>
                </c:pt>
                <c:pt idx="106">
                  <c:v>16-Nov-43</c:v>
                </c:pt>
                <c:pt idx="107">
                  <c:v>16-Feb-44</c:v>
                </c:pt>
                <c:pt idx="108">
                  <c:v>16-May-44</c:v>
                </c:pt>
                <c:pt idx="109">
                  <c:v>16-Aug-44</c:v>
                </c:pt>
                <c:pt idx="110">
                  <c:v>16-Nov-44</c:v>
                </c:pt>
                <c:pt idx="111">
                  <c:v>16-Feb-45</c:v>
                </c:pt>
                <c:pt idx="112">
                  <c:v>16-May-45</c:v>
                </c:pt>
                <c:pt idx="113">
                  <c:v>16-Aug-45</c:v>
                </c:pt>
                <c:pt idx="114">
                  <c:v>16-Nov-45</c:v>
                </c:pt>
                <c:pt idx="115">
                  <c:v>16-Feb-46</c:v>
                </c:pt>
                <c:pt idx="116">
                  <c:v>16-May-46</c:v>
                </c:pt>
                <c:pt idx="117">
                  <c:v>16-Aug-46</c:v>
                </c:pt>
                <c:pt idx="118">
                  <c:v>16-Nov-46</c:v>
                </c:pt>
                <c:pt idx="119">
                  <c:v>19-Feb-47</c:v>
                </c:pt>
                <c:pt idx="120">
                  <c:v>16-May-47</c:v>
                </c:pt>
                <c:pt idx="121">
                  <c:v>16-Aug-47</c:v>
                </c:pt>
                <c:pt idx="122">
                  <c:v>18-Nov-47</c:v>
                </c:pt>
                <c:pt idx="123">
                  <c:v>18-Feb-48</c:v>
                </c:pt>
                <c:pt idx="124">
                  <c:v>18-May-48</c:v>
                </c:pt>
                <c:pt idx="125">
                  <c:v>17-Aug-48</c:v>
                </c:pt>
                <c:pt idx="126">
                  <c:v>16-Nov-48</c:v>
                </c:pt>
                <c:pt idx="127">
                  <c:v>16-Feb-49</c:v>
                </c:pt>
                <c:pt idx="128">
                  <c:v>17-May-49</c:v>
                </c:pt>
                <c:pt idx="129">
                  <c:v>16-Aug-49</c:v>
                </c:pt>
                <c:pt idx="130">
                  <c:v>16-Nov-49</c:v>
                </c:pt>
                <c:pt idx="131">
                  <c:v>16-Feb-50</c:v>
                </c:pt>
                <c:pt idx="132">
                  <c:v>16-May-50</c:v>
                </c:pt>
                <c:pt idx="133">
                  <c:v>16-Aug-50</c:v>
                </c:pt>
                <c:pt idx="134">
                  <c:v>16-Nov-50</c:v>
                </c:pt>
                <c:pt idx="135">
                  <c:v>16-Feb-51</c:v>
                </c:pt>
                <c:pt idx="136">
                  <c:v>16-May-51</c:v>
                </c:pt>
                <c:pt idx="137">
                  <c:v>16-Aug-51</c:v>
                </c:pt>
                <c:pt idx="138">
                  <c:v>16-Nov-51</c:v>
                </c:pt>
                <c:pt idx="139">
                  <c:v>16-Feb-52</c:v>
                </c:pt>
                <c:pt idx="140">
                  <c:v>16-May-52</c:v>
                </c:pt>
                <c:pt idx="141">
                  <c:v>16-Aug-52</c:v>
                </c:pt>
                <c:pt idx="142">
                  <c:v>18-Nov-52</c:v>
                </c:pt>
                <c:pt idx="143">
                  <c:v>18-Feb-53</c:v>
                </c:pt>
                <c:pt idx="144">
                  <c:v>16-May-53</c:v>
                </c:pt>
                <c:pt idx="145">
                  <c:v>18-Aug-53</c:v>
                </c:pt>
                <c:pt idx="146">
                  <c:v>17-Nov-53</c:v>
                </c:pt>
                <c:pt idx="147">
                  <c:v>17-Feb-54</c:v>
                </c:pt>
                <c:pt idx="148">
                  <c:v>18-May-54</c:v>
                </c:pt>
                <c:pt idx="149">
                  <c:v>17-Aug-54</c:v>
                </c:pt>
                <c:pt idx="150">
                  <c:v>16-Nov-54</c:v>
                </c:pt>
                <c:pt idx="151">
                  <c:v>16-Feb-55</c:v>
                </c:pt>
                <c:pt idx="152">
                  <c:v>17-May-55</c:v>
                </c:pt>
                <c:pt idx="153">
                  <c:v>16-Aug-55</c:v>
                </c:pt>
                <c:pt idx="154">
                  <c:v>16-Nov-55</c:v>
                </c:pt>
                <c:pt idx="155">
                  <c:v>16-Feb-56</c:v>
                </c:pt>
                <c:pt idx="156">
                  <c:v>16-May-56</c:v>
                </c:pt>
                <c:pt idx="157">
                  <c:v>16-Aug-56</c:v>
                </c:pt>
                <c:pt idx="158">
                  <c:v>16-Nov-56</c:v>
                </c:pt>
                <c:pt idx="159">
                  <c:v>16-Feb-57</c:v>
                </c:pt>
                <c:pt idx="160">
                  <c:v>16-May-57</c:v>
                </c:pt>
                <c:pt idx="161">
                  <c:v>16-Aug-57</c:v>
                </c:pt>
                <c:pt idx="162">
                  <c:v>16-Nov-57</c:v>
                </c:pt>
                <c:pt idx="163">
                  <c:v>19-Feb-58</c:v>
                </c:pt>
                <c:pt idx="164">
                  <c:v>16-May-58</c:v>
                </c:pt>
                <c:pt idx="165">
                  <c:v>16-Aug-58</c:v>
                </c:pt>
                <c:pt idx="166">
                  <c:v>18-Nov-58</c:v>
                </c:pt>
                <c:pt idx="167">
                  <c:v>18-Feb-59</c:v>
                </c:pt>
                <c:pt idx="168">
                  <c:v>16-May-59</c:v>
                </c:pt>
                <c:pt idx="169">
                  <c:v>18-Aug-59</c:v>
                </c:pt>
                <c:pt idx="170">
                  <c:v>17-Nov-59</c:v>
                </c:pt>
                <c:pt idx="171">
                  <c:v>17-Feb-60</c:v>
                </c:pt>
                <c:pt idx="172">
                  <c:v>17-May-60</c:v>
                </c:pt>
                <c:pt idx="173">
                  <c:v>16-Aug-60</c:v>
                </c:pt>
                <c:pt idx="174">
                  <c:v>16-Nov-60</c:v>
                </c:pt>
                <c:pt idx="175">
                  <c:v>16-Feb-61</c:v>
                </c:pt>
                <c:pt idx="176">
                  <c:v>16-May-61</c:v>
                </c:pt>
                <c:pt idx="177">
                  <c:v>16-Aug-61</c:v>
                </c:pt>
                <c:pt idx="178">
                  <c:v>16-Nov-61</c:v>
                </c:pt>
                <c:pt idx="179">
                  <c:v>16-Feb-62</c:v>
                </c:pt>
                <c:pt idx="180">
                  <c:v>16-May-62</c:v>
                </c:pt>
                <c:pt idx="181">
                  <c:v>16-Aug-62</c:v>
                </c:pt>
                <c:pt idx="182">
                  <c:v>16-Nov-62</c:v>
                </c:pt>
                <c:pt idx="183">
                  <c:v>16-Feb-63</c:v>
                </c:pt>
                <c:pt idx="184">
                  <c:v>16-May-63</c:v>
                </c:pt>
                <c:pt idx="185">
                  <c:v>16-Aug-63</c:v>
                </c:pt>
                <c:pt idx="186">
                  <c:v>16-Nov-63</c:v>
                </c:pt>
                <c:pt idx="187">
                  <c:v>19-Feb-64</c:v>
                </c:pt>
                <c:pt idx="188">
                  <c:v>16-May-64</c:v>
                </c:pt>
                <c:pt idx="189">
                  <c:v>18-Aug-64</c:v>
                </c:pt>
                <c:pt idx="190">
                  <c:v>17-Nov-64</c:v>
                </c:pt>
                <c:pt idx="191">
                  <c:v>17-Feb-65</c:v>
                </c:pt>
                <c:pt idx="192">
                  <c:v>18-May-65</c:v>
                </c:pt>
                <c:pt idx="193">
                  <c:v>17-Aug-65</c:v>
                </c:pt>
                <c:pt idx="194">
                  <c:v>16-Nov-65</c:v>
                </c:pt>
                <c:pt idx="195">
                  <c:v>16-Feb-66</c:v>
                </c:pt>
                <c:pt idx="196">
                  <c:v>17-May-66</c:v>
                </c:pt>
                <c:pt idx="197">
                  <c:v>16-Aug-66</c:v>
                </c:pt>
                <c:pt idx="198">
                  <c:v>16-Nov-66</c:v>
                </c:pt>
                <c:pt idx="199">
                  <c:v>16-Feb-67</c:v>
                </c:pt>
                <c:pt idx="200">
                  <c:v>16-May-67</c:v>
                </c:pt>
                <c:pt idx="201">
                  <c:v>16-Aug-67</c:v>
                </c:pt>
                <c:pt idx="202">
                  <c:v>16-Nov-67</c:v>
                </c:pt>
                <c:pt idx="203">
                  <c:v>16-Feb-68</c:v>
                </c:pt>
                <c:pt idx="204">
                  <c:v>16-May-68</c:v>
                </c:pt>
                <c:pt idx="205">
                  <c:v>16-Aug-68</c:v>
                </c:pt>
                <c:pt idx="206">
                  <c:v>16-Nov-68</c:v>
                </c:pt>
                <c:pt idx="207">
                  <c:v>18-Feb-69</c:v>
                </c:pt>
                <c:pt idx="208">
                  <c:v>16-May-69</c:v>
                </c:pt>
                <c:pt idx="209">
                  <c:v>16-Aug-69</c:v>
                </c:pt>
                <c:pt idx="210">
                  <c:v> </c:v>
                </c:pt>
              </c:strCache>
            </c:strRef>
          </c:cat>
          <c:val>
            <c:numRef>
              <c:f>JACOBIAN_RESULTS!$R$11:$R$221</c:f>
              <c:numCache>
                <c:formatCode>#,##0.000000</c:formatCode>
                <c:ptCount val="211"/>
                <c:pt idx="0">
                  <c:v>1</c:v>
                </c:pt>
                <c:pt idx="1">
                  <c:v>0.99994111180135758</c:v>
                </c:pt>
                <c:pt idx="2">
                  <c:v>0.99988222707053509</c:v>
                </c:pt>
                <c:pt idx="3">
                  <c:v>0.99946771726889294</c:v>
                </c:pt>
                <c:pt idx="4">
                  <c:v>0.99905335690268326</c:v>
                </c:pt>
                <c:pt idx="5">
                  <c:v>0.9986372842221386</c:v>
                </c:pt>
                <c:pt idx="6">
                  <c:v>0.99804657268407737</c:v>
                </c:pt>
                <c:pt idx="7">
                  <c:v>0.99650164782343664</c:v>
                </c:pt>
                <c:pt idx="8">
                  <c:v>0.99492111373761216</c:v>
                </c:pt>
                <c:pt idx="9">
                  <c:v>0.99365558920663033</c:v>
                </c:pt>
                <c:pt idx="10">
                  <c:v>0.99234979594441997</c:v>
                </c:pt>
                <c:pt idx="11">
                  <c:v>0.99095764599472647</c:v>
                </c:pt>
                <c:pt idx="12">
                  <c:v>0.98760706138321164</c:v>
                </c:pt>
                <c:pt idx="13">
                  <c:v>0.98445970989819775</c:v>
                </c:pt>
                <c:pt idx="14">
                  <c:v>0.98147655212836571</c:v>
                </c:pt>
                <c:pt idx="15">
                  <c:v>0.97863206531573232</c:v>
                </c:pt>
                <c:pt idx="16">
                  <c:v>0.97594782913340949</c:v>
                </c:pt>
                <c:pt idx="17">
                  <c:v>0.97327094810943271</c:v>
                </c:pt>
                <c:pt idx="18">
                  <c:v>0.97055178236191819</c:v>
                </c:pt>
                <c:pt idx="19">
                  <c:v>0.96780061428534669</c:v>
                </c:pt>
                <c:pt idx="20">
                  <c:v>0.96511370204423008</c:v>
                </c:pt>
                <c:pt idx="21">
                  <c:v>0.96233469045804654</c:v>
                </c:pt>
                <c:pt idx="22">
                  <c:v>0.95958702645911953</c:v>
                </c:pt>
                <c:pt idx="23">
                  <c:v>0.95686878683306731</c:v>
                </c:pt>
                <c:pt idx="24">
                  <c:v>0.95425419487888796</c:v>
                </c:pt>
                <c:pt idx="25">
                  <c:v>0.95155190412917257</c:v>
                </c:pt>
                <c:pt idx="26">
                  <c:v>0.9488353977937215</c:v>
                </c:pt>
                <c:pt idx="27">
                  <c:v>0.94609855777386431</c:v>
                </c:pt>
                <c:pt idx="28">
                  <c:v>0.94339907320678484</c:v>
                </c:pt>
                <c:pt idx="29">
                  <c:v>0.94061588502091198</c:v>
                </c:pt>
                <c:pt idx="30">
                  <c:v>0.93774701886932876</c:v>
                </c:pt>
                <c:pt idx="31">
                  <c:v>0.93491239996918407</c:v>
                </c:pt>
                <c:pt idx="32">
                  <c:v>0.93220551544882324</c:v>
                </c:pt>
                <c:pt idx="33">
                  <c:v>0.92925058493857737</c:v>
                </c:pt>
                <c:pt idx="34">
                  <c:v>0.92635915641551303</c:v>
                </c:pt>
                <c:pt idx="35">
                  <c:v>0.92340486331803751</c:v>
                </c:pt>
                <c:pt idx="36">
                  <c:v>0.92048484733782576</c:v>
                </c:pt>
                <c:pt idx="37">
                  <c:v>0.91750314142991007</c:v>
                </c:pt>
                <c:pt idx="38">
                  <c:v>0.91449313260862852</c:v>
                </c:pt>
                <c:pt idx="39">
                  <c:v>0.91142157294296211</c:v>
                </c:pt>
                <c:pt idx="40">
                  <c:v>0.90838937409360676</c:v>
                </c:pt>
                <c:pt idx="41">
                  <c:v>0.90529650724941546</c:v>
                </c:pt>
                <c:pt idx="42">
                  <c:v>0.90214297653789233</c:v>
                </c:pt>
                <c:pt idx="43">
                  <c:v>0.898963829783475</c:v>
                </c:pt>
                <c:pt idx="44">
                  <c:v>0.89583045105178727</c:v>
                </c:pt>
                <c:pt idx="45">
                  <c:v>0.89260533562820565</c:v>
                </c:pt>
                <c:pt idx="46">
                  <c:v>0.88935992598775138</c:v>
                </c:pt>
                <c:pt idx="47">
                  <c:v>0.88609656693602257</c:v>
                </c:pt>
                <c:pt idx="48">
                  <c:v>0.88292500053506018</c:v>
                </c:pt>
                <c:pt idx="49">
                  <c:v>0.8796342114031187</c:v>
                </c:pt>
                <c:pt idx="50">
                  <c:v>0.87633365865050428</c:v>
                </c:pt>
                <c:pt idx="51">
                  <c:v>0.87291694590205027</c:v>
                </c:pt>
                <c:pt idx="52">
                  <c:v>0.86981768991409791</c:v>
                </c:pt>
                <c:pt idx="53">
                  <c:v>0.86649703351623153</c:v>
                </c:pt>
                <c:pt idx="54">
                  <c:v>0.86310021266342729</c:v>
                </c:pt>
                <c:pt idx="55">
                  <c:v>0.85977339388820484</c:v>
                </c:pt>
                <c:pt idx="56">
                  <c:v>0.85662682682954816</c:v>
                </c:pt>
                <c:pt idx="57">
                  <c:v>0.85322820432204016</c:v>
                </c:pt>
                <c:pt idx="58">
                  <c:v>0.8499407662506907</c:v>
                </c:pt>
                <c:pt idx="59">
                  <c:v>0.84662099374323929</c:v>
                </c:pt>
                <c:pt idx="60">
                  <c:v>0.84337796291481859</c:v>
                </c:pt>
                <c:pt idx="61">
                  <c:v>0.84010438819139099</c:v>
                </c:pt>
                <c:pt idx="62">
                  <c:v>0.83680136539176286</c:v>
                </c:pt>
                <c:pt idx="63">
                  <c:v>0.83350583126808497</c:v>
                </c:pt>
                <c:pt idx="64">
                  <c:v>0.83032576484347587</c:v>
                </c:pt>
                <c:pt idx="65">
                  <c:v>0.82704768915263127</c:v>
                </c:pt>
                <c:pt idx="66">
                  <c:v>0.82377987574835798</c:v>
                </c:pt>
                <c:pt idx="67">
                  <c:v>0.82052326216682125</c:v>
                </c:pt>
                <c:pt idx="68">
                  <c:v>0.81738438396431978</c:v>
                </c:pt>
                <c:pt idx="69">
                  <c:v>0.81415254552832417</c:v>
                </c:pt>
                <c:pt idx="70">
                  <c:v>0.81093459678321866</c:v>
                </c:pt>
                <c:pt idx="71">
                  <c:v>0.80773097935725768</c:v>
                </c:pt>
                <c:pt idx="72">
                  <c:v>0.80464576479963401</c:v>
                </c:pt>
                <c:pt idx="73">
                  <c:v>0.80147124316346674</c:v>
                </c:pt>
                <c:pt idx="74">
                  <c:v>0.79831191350544028</c:v>
                </c:pt>
                <c:pt idx="75">
                  <c:v>0.79506575499700261</c:v>
                </c:pt>
                <c:pt idx="76">
                  <c:v>0.7921075837668744</c:v>
                </c:pt>
                <c:pt idx="77">
                  <c:v>0.78892729891904412</c:v>
                </c:pt>
                <c:pt idx="78">
                  <c:v>0.78586439932874874</c:v>
                </c:pt>
                <c:pt idx="79">
                  <c:v>0.78278386114701537</c:v>
                </c:pt>
                <c:pt idx="80">
                  <c:v>0.77978597981963627</c:v>
                </c:pt>
                <c:pt idx="81">
                  <c:v>0.77677064485077119</c:v>
                </c:pt>
                <c:pt idx="82">
                  <c:v>0.77377131144650924</c:v>
                </c:pt>
                <c:pt idx="83">
                  <c:v>0.77075532102472522</c:v>
                </c:pt>
                <c:pt idx="84">
                  <c:v>0.76782077034435892</c:v>
                </c:pt>
                <c:pt idx="85">
                  <c:v>0.76486956875309786</c:v>
                </c:pt>
                <c:pt idx="86">
                  <c:v>0.76190221575952388</c:v>
                </c:pt>
                <c:pt idx="87">
                  <c:v>0.75895117997660644</c:v>
                </c:pt>
                <c:pt idx="88">
                  <c:v>0.756111833339422</c:v>
                </c:pt>
                <c:pt idx="89">
                  <c:v>0.75319266881856728</c:v>
                </c:pt>
                <c:pt idx="90">
                  <c:v>0.75028958456723249</c:v>
                </c:pt>
                <c:pt idx="91">
                  <c:v>0.74740264206960572</c:v>
                </c:pt>
                <c:pt idx="92">
                  <c:v>0.74459416239881471</c:v>
                </c:pt>
                <c:pt idx="93">
                  <c:v>0.74173939878830231</c:v>
                </c:pt>
                <c:pt idx="94">
                  <c:v>0.73890100325741137</c:v>
                </c:pt>
                <c:pt idx="95">
                  <c:v>0.73598728541784808</c:v>
                </c:pt>
                <c:pt idx="96">
                  <c:v>0.73336474350213754</c:v>
                </c:pt>
                <c:pt idx="97">
                  <c:v>0.73057519137219984</c:v>
                </c:pt>
                <c:pt idx="98">
                  <c:v>0.7277420561016178</c:v>
                </c:pt>
                <c:pt idx="99">
                  <c:v>0.72498590798891038</c:v>
                </c:pt>
                <c:pt idx="100">
                  <c:v>0.72239475656131369</c:v>
                </c:pt>
                <c:pt idx="101">
                  <c:v>0.71961172594995992</c:v>
                </c:pt>
                <c:pt idx="102">
                  <c:v>0.71693392688498425</c:v>
                </c:pt>
                <c:pt idx="103">
                  <c:v>0.71424308589679886</c:v>
                </c:pt>
                <c:pt idx="104">
                  <c:v>0.71162664633880202</c:v>
                </c:pt>
                <c:pt idx="105">
                  <c:v>0.70899708371165848</c:v>
                </c:pt>
                <c:pt idx="106">
                  <c:v>0.70638350419805951</c:v>
                </c:pt>
                <c:pt idx="107">
                  <c:v>0.70375738812962219</c:v>
                </c:pt>
                <c:pt idx="108">
                  <c:v>0.70120403755631733</c:v>
                </c:pt>
                <c:pt idx="109">
                  <c:v>0.69860989035716115</c:v>
                </c:pt>
                <c:pt idx="110">
                  <c:v>0.69603174452735106</c:v>
                </c:pt>
                <c:pt idx="111">
                  <c:v>0.693469354163879</c:v>
                </c:pt>
                <c:pt idx="112">
                  <c:v>0.69100524289017029</c:v>
                </c:pt>
                <c:pt idx="113">
                  <c:v>0.68847299965834352</c:v>
                </c:pt>
                <c:pt idx="114">
                  <c:v>0.68595562408738642</c:v>
                </c:pt>
                <c:pt idx="115">
                  <c:v>0.6834527934390453</c:v>
                </c:pt>
                <c:pt idx="116">
                  <c:v>0.68104510354364078</c:v>
                </c:pt>
                <c:pt idx="117">
                  <c:v>0.67856990225198754</c:v>
                </c:pt>
                <c:pt idx="118">
                  <c:v>0.67610822146732985</c:v>
                </c:pt>
                <c:pt idx="119">
                  <c:v>0.6735800681154468</c:v>
                </c:pt>
                <c:pt idx="120">
                  <c:v>0.67130317209124435</c:v>
                </c:pt>
                <c:pt idx="121">
                  <c:v>0.66887941111192406</c:v>
                </c:pt>
                <c:pt idx="122">
                  <c:v>0.66641535394440443</c:v>
                </c:pt>
                <c:pt idx="123">
                  <c:v>0.66401543882150971</c:v>
                </c:pt>
                <c:pt idx="124">
                  <c:v>0.66167850584880039</c:v>
                </c:pt>
                <c:pt idx="125">
                  <c:v>0.6593260660438196</c:v>
                </c:pt>
                <c:pt idx="126">
                  <c:v>0.65698372241277581</c:v>
                </c:pt>
                <c:pt idx="127">
                  <c:v>0.6546254622330302</c:v>
                </c:pt>
                <c:pt idx="128">
                  <c:v>0.6523275913198574</c:v>
                </c:pt>
                <c:pt idx="129">
                  <c:v>0.65001291653988991</c:v>
                </c:pt>
                <c:pt idx="130">
                  <c:v>0.64768133746215273</c:v>
                </c:pt>
                <c:pt idx="131">
                  <c:v>0.64535823037179951</c:v>
                </c:pt>
                <c:pt idx="132">
                  <c:v>0.64311890651700543</c:v>
                </c:pt>
                <c:pt idx="133">
                  <c:v>0.64081236695238519</c:v>
                </c:pt>
                <c:pt idx="134">
                  <c:v>0.63851419784215058</c:v>
                </c:pt>
                <c:pt idx="135">
                  <c:v>0.63622436528830606</c:v>
                </c:pt>
                <c:pt idx="136">
                  <c:v>0.63401710265074906</c:v>
                </c:pt>
                <c:pt idx="137">
                  <c:v>0.63174357303005579</c:v>
                </c:pt>
                <c:pt idx="138">
                  <c:v>0.62947828031013864</c:v>
                </c:pt>
                <c:pt idx="139">
                  <c:v>0.62722119121912379</c:v>
                </c:pt>
                <c:pt idx="140">
                  <c:v>0.62502107552734332</c:v>
                </c:pt>
                <c:pt idx="141">
                  <c:v>0.62278011794690369</c:v>
                </c:pt>
                <c:pt idx="142">
                  <c:v>0.62049881533250584</c:v>
                </c:pt>
                <c:pt idx="143">
                  <c:v>0.61827421114169467</c:v>
                </c:pt>
                <c:pt idx="144">
                  <c:v>0.61617790595417621</c:v>
                </c:pt>
                <c:pt idx="145">
                  <c:v>0.6139209813932105</c:v>
                </c:pt>
                <c:pt idx="146">
                  <c:v>0.61174401895731678</c:v>
                </c:pt>
                <c:pt idx="147">
                  <c:v>0.60955103495030449</c:v>
                </c:pt>
                <c:pt idx="148">
                  <c:v>0.60741338106477794</c:v>
                </c:pt>
                <c:pt idx="149">
                  <c:v>0.60525964399659304</c:v>
                </c:pt>
                <c:pt idx="150">
                  <c:v>0.60311358734254772</c:v>
                </c:pt>
                <c:pt idx="151">
                  <c:v>0.60095172405746156</c:v>
                </c:pt>
                <c:pt idx="152">
                  <c:v>0.59884439360819997</c:v>
                </c:pt>
                <c:pt idx="153">
                  <c:v>0.59672119604314477</c:v>
                </c:pt>
                <c:pt idx="154">
                  <c:v>0.59458235103110524</c:v>
                </c:pt>
                <c:pt idx="155">
                  <c:v>0.59245120162531018</c:v>
                </c:pt>
                <c:pt idx="156">
                  <c:v>0.59037379849737492</c:v>
                </c:pt>
                <c:pt idx="157">
                  <c:v>0.58825778256426775</c:v>
                </c:pt>
                <c:pt idx="158">
                  <c:v>0.58614937108048126</c:v>
                </c:pt>
                <c:pt idx="159">
                  <c:v>0.58404853372039445</c:v>
                </c:pt>
                <c:pt idx="160">
                  <c:v>0.58202338118993346</c:v>
                </c:pt>
                <c:pt idx="161">
                  <c:v>0.57993735711570593</c:v>
                </c:pt>
                <c:pt idx="162">
                  <c:v>0.57785881800120353</c:v>
                </c:pt>
                <c:pt idx="163">
                  <c:v>0.57572032390553718</c:v>
                </c:pt>
                <c:pt idx="164">
                  <c:v>0.5737912520909817</c:v>
                </c:pt>
                <c:pt idx="165">
                  <c:v>0.57173474905781208</c:v>
                </c:pt>
                <c:pt idx="166">
                  <c:v>0.56964114885557793</c:v>
                </c:pt>
                <c:pt idx="167">
                  <c:v>0.56759951109336404</c:v>
                </c:pt>
                <c:pt idx="168">
                  <c:v>0.56567555605447895</c:v>
                </c:pt>
                <c:pt idx="169">
                  <c:v>0.56360411759068363</c:v>
                </c:pt>
                <c:pt idx="170">
                  <c:v>0.56160600178716158</c:v>
                </c:pt>
                <c:pt idx="171">
                  <c:v>0.55959311650392873</c:v>
                </c:pt>
                <c:pt idx="172">
                  <c:v>0.55763095907137805</c:v>
                </c:pt>
                <c:pt idx="173">
                  <c:v>0.55565398443329594</c:v>
                </c:pt>
                <c:pt idx="174">
                  <c:v>0.55366240011072032</c:v>
                </c:pt>
                <c:pt idx="175">
                  <c:v>0.55167794582643281</c:v>
                </c:pt>
                <c:pt idx="176">
                  <c:v>0.54976496441918576</c:v>
                </c:pt>
                <c:pt idx="177">
                  <c:v>0.54779446757714956</c:v>
                </c:pt>
                <c:pt idx="178">
                  <c:v>0.54583102979501597</c:v>
                </c:pt>
                <c:pt idx="179">
                  <c:v>0.54387462747101323</c:v>
                </c:pt>
                <c:pt idx="180">
                  <c:v>0.54198869387897108</c:v>
                </c:pt>
                <c:pt idx="181">
                  <c:v>0.54004606476564954</c:v>
                </c:pt>
                <c:pt idx="182">
                  <c:v>0.53811040199361138</c:v>
                </c:pt>
                <c:pt idx="183">
                  <c:v>0.5361816825747352</c:v>
                </c:pt>
                <c:pt idx="184">
                  <c:v>0.53432244210686697</c:v>
                </c:pt>
                <c:pt idx="185">
                  <c:v>0.53240731645728134</c:v>
                </c:pt>
                <c:pt idx="186">
                  <c:v>0.53049906682527481</c:v>
                </c:pt>
                <c:pt idx="187">
                  <c:v>0.52853578389915978</c:v>
                </c:pt>
                <c:pt idx="188">
                  <c:v>0.52674421985775333</c:v>
                </c:pt>
                <c:pt idx="189">
                  <c:v>0.52481535074283925</c:v>
                </c:pt>
                <c:pt idx="190">
                  <c:v>0.52295479149993251</c:v>
                </c:pt>
                <c:pt idx="191">
                  <c:v>0.52108051537507494</c:v>
                </c:pt>
                <c:pt idx="192">
                  <c:v>0.51925351019000454</c:v>
                </c:pt>
                <c:pt idx="193">
                  <c:v>0.51741274625422606</c:v>
                </c:pt>
                <c:pt idx="194">
                  <c:v>0.51557853910109985</c:v>
                </c:pt>
                <c:pt idx="195">
                  <c:v>0.51373082005239534</c:v>
                </c:pt>
                <c:pt idx="196">
                  <c:v>0.51192971281689648</c:v>
                </c:pt>
                <c:pt idx="197">
                  <c:v>0.51011505283647074</c:v>
                </c:pt>
                <c:pt idx="198">
                  <c:v>0.50828703366679684</c:v>
                </c:pt>
                <c:pt idx="199">
                  <c:v>0.5064656118827735</c:v>
                </c:pt>
                <c:pt idx="200">
                  <c:v>0.50470984303347932</c:v>
                </c:pt>
                <c:pt idx="201">
                  <c:v>0.50290134069525827</c:v>
                </c:pt>
                <c:pt idx="202">
                  <c:v>0.50109937479448885</c:v>
                </c:pt>
                <c:pt idx="203">
                  <c:v>0.49930392503506821</c:v>
                </c:pt>
                <c:pt idx="204">
                  <c:v>0.4975537926085688</c:v>
                </c:pt>
                <c:pt idx="205">
                  <c:v>0.49577117415527777</c:v>
                </c:pt>
                <c:pt idx="206">
                  <c:v>0.49399501210374519</c:v>
                </c:pt>
                <c:pt idx="207">
                  <c:v>0.49218688567158148</c:v>
                </c:pt>
                <c:pt idx="208">
                  <c:v>0.49051937620478986</c:v>
                </c:pt>
                <c:pt idx="209">
                  <c:v>0.48876225656591321</c:v>
                </c:pt>
                <c:pt idx="21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01088"/>
        <c:axId val="110227456"/>
      </c:lineChart>
      <c:catAx>
        <c:axId val="1102010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1500000"/>
          <a:lstStyle/>
          <a:p>
            <a:pPr algn="ctr">
              <a:defRPr lang="en-GB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7456"/>
        <c:crosses val="autoZero"/>
        <c:auto val="1"/>
        <c:lblAlgn val="ctr"/>
        <c:lblOffset val="100"/>
        <c:tickMarkSkip val="20"/>
        <c:noMultiLvlLbl val="0"/>
      </c:catAx>
      <c:valAx>
        <c:axId val="110227456"/>
        <c:scaling>
          <c:orientation val="minMax"/>
        </c:scaling>
        <c:delete val="0"/>
        <c:axPos val="l"/>
        <c:majorGridlines/>
        <c:numFmt formatCode="#,##0.000000" sourceLinked="1"/>
        <c:majorTickMark val="out"/>
        <c:minorTickMark val="none"/>
        <c:tickLblPos val="nextTo"/>
        <c:crossAx val="11020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730489938757655"/>
          <c:y val="0.48109762321376492"/>
          <c:w val="0.19936176727909011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13</xdr:row>
      <xdr:rowOff>76200</xdr:rowOff>
    </xdr:from>
    <xdr:to>
      <xdr:col>9</xdr:col>
      <xdr:colOff>381000</xdr:colOff>
      <xdr:row>27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371475</xdr:colOff>
      <xdr:row>31</xdr:row>
      <xdr:rowOff>28575</xdr:rowOff>
    </xdr:from>
    <xdr:to>
      <xdr:col>9</xdr:col>
      <xdr:colOff>352425</xdr:colOff>
      <xdr:row>45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J52"/>
  <sheetViews>
    <sheetView showGridLines="0" tabSelected="1" workbookViewId="0"/>
  </sheetViews>
  <sheetFormatPr defaultRowHeight="15" x14ac:dyDescent="0.25"/>
  <cols>
    <col min="3" max="3" width="24.42578125" customWidth="1"/>
    <col min="4" max="4" width="37.7109375" customWidth="1"/>
    <col min="8" max="8" width="25.28515625" customWidth="1"/>
    <col min="9" max="9" width="37.7109375" bestFit="1" customWidth="1"/>
  </cols>
  <sheetData>
    <row r="2" spans="2:10" x14ac:dyDescent="0.25">
      <c r="B2" s="59" t="s">
        <v>59</v>
      </c>
    </row>
    <row r="3" spans="2:10" x14ac:dyDescent="0.25">
      <c r="B3" s="51"/>
      <c r="C3" s="54"/>
      <c r="D3" s="54"/>
      <c r="E3" s="55"/>
      <c r="G3" s="51"/>
      <c r="H3" s="54"/>
      <c r="I3" s="54"/>
      <c r="J3" s="55"/>
    </row>
    <row r="4" spans="2:10" x14ac:dyDescent="0.25">
      <c r="B4" s="56"/>
      <c r="C4" s="60" t="s">
        <v>59</v>
      </c>
      <c r="D4" s="3"/>
      <c r="E4" s="57"/>
      <c r="G4" s="56"/>
      <c r="H4" s="60" t="s">
        <v>59</v>
      </c>
      <c r="I4" s="3"/>
      <c r="J4" s="57"/>
    </row>
    <row r="5" spans="2:10" x14ac:dyDescent="0.25">
      <c r="B5" s="56"/>
      <c r="C5" s="21" t="s">
        <v>60</v>
      </c>
      <c r="D5" s="61" t="str">
        <f ca="1">_xll.meLWOCurveGeneratorCreate(D6,C9,C10:D19,C21,C22:D39,C41,C42:D45,C47,C48:D51)</f>
        <v>USD_SOFR_WITH_JACOBIAN@1:5</v>
      </c>
      <c r="E5" s="57"/>
      <c r="G5" s="56"/>
      <c r="H5" s="21" t="s">
        <v>60</v>
      </c>
      <c r="I5" s="61" t="str">
        <f ca="1">_xll.meLWOCurveGeneratorCreate(I6,H9,H10:I19,H21,H22:I39,H41,H42:I45,H47,H48:I51)</f>
        <v>USD_SOFR_NO_JACOBIAN@2:5</v>
      </c>
      <c r="J5" s="57"/>
    </row>
    <row r="6" spans="2:10" x14ac:dyDescent="0.25">
      <c r="B6" s="56"/>
      <c r="C6" s="62" t="s">
        <v>61</v>
      </c>
      <c r="D6" s="63" t="s">
        <v>114</v>
      </c>
      <c r="E6" s="57"/>
      <c r="G6" s="56"/>
      <c r="H6" s="62" t="s">
        <v>61</v>
      </c>
      <c r="I6" s="63" t="s">
        <v>115</v>
      </c>
      <c r="J6" s="57"/>
    </row>
    <row r="7" spans="2:10" x14ac:dyDescent="0.25">
      <c r="B7" s="56"/>
      <c r="C7" s="23"/>
      <c r="D7" s="64"/>
      <c r="E7" s="57" t="s">
        <v>1</v>
      </c>
      <c r="G7" s="56"/>
      <c r="H7" s="23"/>
      <c r="I7" s="64"/>
      <c r="J7" s="57" t="s">
        <v>1</v>
      </c>
    </row>
    <row r="8" spans="2:10" x14ac:dyDescent="0.25">
      <c r="B8" s="56"/>
      <c r="C8" s="3"/>
      <c r="D8" s="3"/>
      <c r="E8" s="57"/>
      <c r="G8" s="56"/>
      <c r="H8" s="3"/>
      <c r="I8" s="3"/>
      <c r="J8" s="57"/>
    </row>
    <row r="9" spans="2:10" x14ac:dyDescent="0.25">
      <c r="B9" s="56"/>
      <c r="C9" s="1" t="s">
        <v>62</v>
      </c>
      <c r="D9" s="3"/>
      <c r="E9" s="57"/>
      <c r="G9" s="56"/>
      <c r="H9" s="1" t="s">
        <v>62</v>
      </c>
      <c r="I9" s="3"/>
      <c r="J9" s="57"/>
    </row>
    <row r="10" spans="2:10" x14ac:dyDescent="0.25">
      <c r="B10" s="56"/>
      <c r="C10" s="49" t="s">
        <v>12</v>
      </c>
      <c r="D10" s="84" t="s">
        <v>146</v>
      </c>
      <c r="E10" s="57"/>
      <c r="G10" s="56"/>
      <c r="H10" s="49" t="s">
        <v>12</v>
      </c>
      <c r="I10" s="84" t="s">
        <v>146</v>
      </c>
      <c r="J10" s="57"/>
    </row>
    <row r="11" spans="2:10" x14ac:dyDescent="0.25">
      <c r="B11" s="56"/>
      <c r="C11" s="50" t="s">
        <v>13</v>
      </c>
      <c r="D11" s="65" t="s">
        <v>14</v>
      </c>
      <c r="E11" s="57"/>
      <c r="G11" s="56"/>
      <c r="H11" s="50" t="s">
        <v>13</v>
      </c>
      <c r="I11" s="65" t="s">
        <v>14</v>
      </c>
      <c r="J11" s="57"/>
    </row>
    <row r="12" spans="2:10" x14ac:dyDescent="0.25">
      <c r="B12" s="56"/>
      <c r="C12" s="50" t="s">
        <v>63</v>
      </c>
      <c r="D12" s="65" t="str">
        <f ca="1">$D$10</f>
        <v>ARR</v>
      </c>
      <c r="E12" s="57"/>
      <c r="G12" s="56"/>
      <c r="H12" s="50" t="s">
        <v>63</v>
      </c>
      <c r="I12" s="65" t="str">
        <f ca="1">$I$10</f>
        <v>ARR</v>
      </c>
      <c r="J12" s="57"/>
    </row>
    <row r="13" spans="2:10" x14ac:dyDescent="0.25">
      <c r="B13" s="56"/>
      <c r="C13" s="50" t="s">
        <v>64</v>
      </c>
      <c r="D13" s="65" t="str">
        <f ca="1">$D$10</f>
        <v>ARR</v>
      </c>
      <c r="E13" s="57" t="s">
        <v>1</v>
      </c>
      <c r="G13" s="56"/>
      <c r="H13" s="50" t="s">
        <v>64</v>
      </c>
      <c r="I13" s="65" t="str">
        <f ca="1">$I$10</f>
        <v>ARR</v>
      </c>
      <c r="J13" s="57" t="s">
        <v>1</v>
      </c>
    </row>
    <row r="14" spans="2:10" x14ac:dyDescent="0.25">
      <c r="B14" s="56"/>
      <c r="C14" s="50" t="s">
        <v>10</v>
      </c>
      <c r="D14" s="66" t="s">
        <v>11</v>
      </c>
      <c r="E14" s="57"/>
      <c r="G14" s="56"/>
      <c r="H14" s="50" t="s">
        <v>10</v>
      </c>
      <c r="I14" s="66" t="s">
        <v>11</v>
      </c>
      <c r="J14" s="57"/>
    </row>
    <row r="15" spans="2:10" x14ac:dyDescent="0.25">
      <c r="B15" s="56"/>
      <c r="C15" s="67" t="s">
        <v>65</v>
      </c>
      <c r="D15" s="66" t="s">
        <v>66</v>
      </c>
      <c r="E15" s="57"/>
      <c r="G15" s="56"/>
      <c r="H15" s="67" t="s">
        <v>65</v>
      </c>
      <c r="I15" s="66" t="s">
        <v>66</v>
      </c>
      <c r="J15" s="57"/>
    </row>
    <row r="16" spans="2:10" x14ac:dyDescent="0.25">
      <c r="B16" s="56"/>
      <c r="C16" s="50" t="s">
        <v>67</v>
      </c>
      <c r="D16" s="66" t="s">
        <v>66</v>
      </c>
      <c r="E16" s="57"/>
      <c r="G16" s="56"/>
      <c r="H16" s="50" t="s">
        <v>67</v>
      </c>
      <c r="I16" s="66" t="s">
        <v>66</v>
      </c>
      <c r="J16" s="57"/>
    </row>
    <row r="17" spans="2:10" x14ac:dyDescent="0.25">
      <c r="B17" s="56"/>
      <c r="C17" s="78" t="s">
        <v>31</v>
      </c>
      <c r="D17" s="47" t="s">
        <v>145</v>
      </c>
      <c r="E17" s="57"/>
      <c r="G17" s="56"/>
      <c r="H17" s="78" t="s">
        <v>31</v>
      </c>
      <c r="I17" s="47" t="s">
        <v>100</v>
      </c>
      <c r="J17" s="57"/>
    </row>
    <row r="18" spans="2:10" x14ac:dyDescent="0.25">
      <c r="B18" s="56"/>
      <c r="C18" s="78" t="s">
        <v>32</v>
      </c>
      <c r="D18" s="47" t="s">
        <v>34</v>
      </c>
      <c r="E18" s="57"/>
      <c r="G18" s="56"/>
      <c r="H18" s="78" t="s">
        <v>32</v>
      </c>
      <c r="I18" s="47" t="s">
        <v>34</v>
      </c>
      <c r="J18" s="57"/>
    </row>
    <row r="19" spans="2:10" x14ac:dyDescent="0.25">
      <c r="B19" s="56"/>
      <c r="C19" s="79" t="s">
        <v>33</v>
      </c>
      <c r="D19" s="48" t="s">
        <v>35</v>
      </c>
      <c r="E19" s="57"/>
      <c r="G19" s="56"/>
      <c r="H19" s="79" t="s">
        <v>33</v>
      </c>
      <c r="I19" s="48" t="s">
        <v>35</v>
      </c>
      <c r="J19" s="57"/>
    </row>
    <row r="20" spans="2:10" x14ac:dyDescent="0.25">
      <c r="B20" s="56"/>
      <c r="C20" s="3"/>
      <c r="D20" s="3"/>
      <c r="E20" s="57"/>
      <c r="G20" s="56"/>
      <c r="H20" s="3"/>
      <c r="I20" s="3"/>
      <c r="J20" s="57"/>
    </row>
    <row r="21" spans="2:10" x14ac:dyDescent="0.25">
      <c r="B21" s="56"/>
      <c r="C21" s="1" t="s">
        <v>2</v>
      </c>
      <c r="D21" s="3"/>
      <c r="E21" s="57"/>
      <c r="G21" s="56"/>
      <c r="H21" s="1" t="s">
        <v>2</v>
      </c>
      <c r="I21" s="3"/>
      <c r="J21" s="57"/>
    </row>
    <row r="22" spans="2:10" x14ac:dyDescent="0.25">
      <c r="B22" s="56"/>
      <c r="C22" s="68" t="s">
        <v>68</v>
      </c>
      <c r="D22" s="69" t="s">
        <v>69</v>
      </c>
      <c r="E22" s="57"/>
      <c r="G22" s="56"/>
      <c r="H22" s="68" t="s">
        <v>68</v>
      </c>
      <c r="I22" s="69" t="s">
        <v>69</v>
      </c>
      <c r="J22" s="57"/>
    </row>
    <row r="23" spans="2:10" x14ac:dyDescent="0.25">
      <c r="B23" s="56"/>
      <c r="C23" s="70" t="s">
        <v>70</v>
      </c>
      <c r="D23" s="71" t="s">
        <v>71</v>
      </c>
      <c r="E23" s="57"/>
      <c r="G23" s="56"/>
      <c r="H23" s="70" t="s">
        <v>70</v>
      </c>
      <c r="I23" s="71" t="s">
        <v>71</v>
      </c>
      <c r="J23" s="57"/>
    </row>
    <row r="24" spans="2:10" x14ac:dyDescent="0.25">
      <c r="B24" s="56"/>
      <c r="C24" s="70" t="s">
        <v>72</v>
      </c>
      <c r="D24" s="71" t="s">
        <v>73</v>
      </c>
      <c r="E24" s="57"/>
      <c r="G24" s="56"/>
      <c r="H24" s="70" t="s">
        <v>72</v>
      </c>
      <c r="I24" s="71" t="s">
        <v>73</v>
      </c>
      <c r="J24" s="57"/>
    </row>
    <row r="25" spans="2:10" x14ac:dyDescent="0.25">
      <c r="B25" s="56"/>
      <c r="C25" s="70" t="s">
        <v>74</v>
      </c>
      <c r="D25" s="71" t="s">
        <v>75</v>
      </c>
      <c r="E25" s="57"/>
      <c r="G25" s="56"/>
      <c r="H25" s="70" t="s">
        <v>74</v>
      </c>
      <c r="I25" s="71" t="s">
        <v>75</v>
      </c>
      <c r="J25" s="57"/>
    </row>
    <row r="26" spans="2:10" x14ac:dyDescent="0.25">
      <c r="B26" s="56"/>
      <c r="C26" s="70" t="s">
        <v>76</v>
      </c>
      <c r="D26" s="71" t="s">
        <v>77</v>
      </c>
      <c r="E26" s="57"/>
      <c r="G26" s="56"/>
      <c r="H26" s="70" t="s">
        <v>76</v>
      </c>
      <c r="I26" s="71" t="s">
        <v>77</v>
      </c>
      <c r="J26" s="57"/>
    </row>
    <row r="27" spans="2:10" x14ac:dyDescent="0.25">
      <c r="B27" s="56"/>
      <c r="C27" s="70" t="s">
        <v>78</v>
      </c>
      <c r="D27" s="71" t="s">
        <v>79</v>
      </c>
      <c r="E27" s="57"/>
      <c r="G27" s="56"/>
      <c r="H27" s="70" t="s">
        <v>78</v>
      </c>
      <c r="I27" s="71" t="s">
        <v>79</v>
      </c>
      <c r="J27" s="57"/>
    </row>
    <row r="28" spans="2:10" x14ac:dyDescent="0.25">
      <c r="B28" s="56"/>
      <c r="C28" s="70" t="s">
        <v>80</v>
      </c>
      <c r="D28" s="71" t="s">
        <v>81</v>
      </c>
      <c r="E28" s="57"/>
      <c r="G28" s="56"/>
      <c r="H28" s="70" t="s">
        <v>80</v>
      </c>
      <c r="I28" s="71" t="s">
        <v>81</v>
      </c>
      <c r="J28" s="57"/>
    </row>
    <row r="29" spans="2:10" x14ac:dyDescent="0.25">
      <c r="B29" s="56"/>
      <c r="C29" s="70" t="s">
        <v>82</v>
      </c>
      <c r="D29" s="66">
        <v>31</v>
      </c>
      <c r="E29" s="57"/>
      <c r="G29" s="56"/>
      <c r="H29" s="70" t="s">
        <v>82</v>
      </c>
      <c r="I29" s="66">
        <v>31</v>
      </c>
      <c r="J29" s="57"/>
    </row>
    <row r="30" spans="2:10" x14ac:dyDescent="0.25">
      <c r="B30" s="56"/>
      <c r="C30" s="70" t="s">
        <v>83</v>
      </c>
      <c r="D30" s="72" t="b">
        <v>1</v>
      </c>
      <c r="E30" s="57"/>
      <c r="G30" s="56"/>
      <c r="H30" s="70" t="s">
        <v>83</v>
      </c>
      <c r="I30" s="72" t="b">
        <v>1</v>
      </c>
      <c r="J30" s="57"/>
    </row>
    <row r="31" spans="2:10" x14ac:dyDescent="0.25">
      <c r="B31" s="56"/>
      <c r="C31" s="70" t="s">
        <v>84</v>
      </c>
      <c r="D31" s="71" t="s">
        <v>85</v>
      </c>
      <c r="E31" s="57"/>
      <c r="G31" s="56"/>
      <c r="H31" s="70" t="s">
        <v>84</v>
      </c>
      <c r="I31" s="71" t="s">
        <v>85</v>
      </c>
      <c r="J31" s="57"/>
    </row>
    <row r="32" spans="2:10" x14ac:dyDescent="0.25">
      <c r="B32" s="56"/>
      <c r="C32" s="70" t="s">
        <v>86</v>
      </c>
      <c r="D32" s="47" t="s">
        <v>101</v>
      </c>
      <c r="E32" s="57"/>
      <c r="G32" s="56"/>
      <c r="H32" s="70" t="s">
        <v>86</v>
      </c>
      <c r="I32" s="47" t="s">
        <v>101</v>
      </c>
      <c r="J32" s="57"/>
    </row>
    <row r="33" spans="2:10" x14ac:dyDescent="0.25">
      <c r="B33" s="56"/>
      <c r="C33" s="50" t="s">
        <v>88</v>
      </c>
      <c r="D33" s="47" t="s">
        <v>37</v>
      </c>
      <c r="E33" s="57"/>
      <c r="G33" s="56"/>
      <c r="H33" s="50" t="s">
        <v>88</v>
      </c>
      <c r="I33" s="47" t="s">
        <v>37</v>
      </c>
      <c r="J33" s="57"/>
    </row>
    <row r="34" spans="2:10" x14ac:dyDescent="0.25">
      <c r="B34" s="56"/>
      <c r="C34" s="70" t="s">
        <v>89</v>
      </c>
      <c r="D34" s="47" t="s">
        <v>87</v>
      </c>
      <c r="E34" s="57"/>
      <c r="G34" s="56"/>
      <c r="H34" s="70" t="s">
        <v>89</v>
      </c>
      <c r="I34" s="47" t="s">
        <v>87</v>
      </c>
      <c r="J34" s="57"/>
    </row>
    <row r="35" spans="2:10" x14ac:dyDescent="0.25">
      <c r="B35" s="56"/>
      <c r="C35" s="70" t="s">
        <v>90</v>
      </c>
      <c r="D35" s="71">
        <v>1E-10</v>
      </c>
      <c r="E35" s="57"/>
      <c r="G35" s="56"/>
      <c r="H35" s="70" t="s">
        <v>90</v>
      </c>
      <c r="I35" s="71">
        <v>1E-10</v>
      </c>
      <c r="J35" s="57"/>
    </row>
    <row r="36" spans="2:10" x14ac:dyDescent="0.25">
      <c r="B36" s="56"/>
      <c r="C36" s="70" t="s">
        <v>91</v>
      </c>
      <c r="D36" s="71">
        <v>1000</v>
      </c>
      <c r="E36" s="57"/>
      <c r="G36" s="56"/>
      <c r="H36" s="70" t="s">
        <v>91</v>
      </c>
      <c r="I36" s="71">
        <v>1000</v>
      </c>
      <c r="J36" s="57"/>
    </row>
    <row r="37" spans="2:10" x14ac:dyDescent="0.25">
      <c r="B37" s="56"/>
      <c r="C37" s="70" t="s">
        <v>92</v>
      </c>
      <c r="D37" s="71" t="s">
        <v>93</v>
      </c>
      <c r="E37" s="57"/>
      <c r="G37" s="56"/>
      <c r="H37" s="70" t="s">
        <v>92</v>
      </c>
      <c r="I37" s="71" t="s">
        <v>93</v>
      </c>
      <c r="J37" s="57"/>
    </row>
    <row r="38" spans="2:10" x14ac:dyDescent="0.25">
      <c r="B38" s="56"/>
      <c r="C38" s="70" t="s">
        <v>94</v>
      </c>
      <c r="D38" s="71" t="b">
        <v>0</v>
      </c>
      <c r="E38" s="57"/>
      <c r="G38" s="56"/>
      <c r="H38" s="70" t="s">
        <v>94</v>
      </c>
      <c r="I38" s="71" t="b">
        <v>0</v>
      </c>
      <c r="J38" s="57"/>
    </row>
    <row r="39" spans="2:10" x14ac:dyDescent="0.25">
      <c r="B39" s="56"/>
      <c r="C39" s="73"/>
      <c r="D39" s="74"/>
      <c r="E39" s="57"/>
      <c r="G39" s="56"/>
      <c r="H39" s="73"/>
      <c r="I39" s="74"/>
      <c r="J39" s="57"/>
    </row>
    <row r="40" spans="2:10" x14ac:dyDescent="0.25">
      <c r="B40" s="56"/>
      <c r="C40" s="3"/>
      <c r="D40" s="3"/>
      <c r="E40" s="57"/>
      <c r="G40" s="56"/>
      <c r="H40" s="3"/>
      <c r="I40" s="3"/>
      <c r="J40" s="57"/>
    </row>
    <row r="41" spans="2:10" x14ac:dyDescent="0.25">
      <c r="B41" s="56"/>
      <c r="C41" s="1" t="s">
        <v>129</v>
      </c>
      <c r="D41" s="128" t="s">
        <v>130</v>
      </c>
      <c r="E41" s="57"/>
      <c r="G41" s="56"/>
      <c r="H41" s="1" t="s">
        <v>129</v>
      </c>
      <c r="I41" s="128" t="s">
        <v>130</v>
      </c>
      <c r="J41" s="57"/>
    </row>
    <row r="42" spans="2:10" x14ac:dyDescent="0.25">
      <c r="B42" s="56"/>
      <c r="C42" s="68" t="s">
        <v>131</v>
      </c>
      <c r="D42" s="69" t="s">
        <v>132</v>
      </c>
      <c r="E42" s="57"/>
      <c r="G42" s="56"/>
      <c r="H42" s="68" t="s">
        <v>131</v>
      </c>
      <c r="I42" s="69" t="s">
        <v>132</v>
      </c>
      <c r="J42" s="57"/>
    </row>
    <row r="43" spans="2:10" x14ac:dyDescent="0.25">
      <c r="B43" s="56"/>
      <c r="C43" s="70" t="s">
        <v>133</v>
      </c>
      <c r="D43" s="71" t="s">
        <v>71</v>
      </c>
      <c r="E43" s="57"/>
      <c r="G43" s="56"/>
      <c r="H43" s="70" t="s">
        <v>133</v>
      </c>
      <c r="I43" s="71" t="s">
        <v>71</v>
      </c>
      <c r="J43" s="57"/>
    </row>
    <row r="44" spans="2:10" x14ac:dyDescent="0.25">
      <c r="B44" s="56"/>
      <c r="C44" s="70" t="s">
        <v>134</v>
      </c>
      <c r="D44" s="71" t="s">
        <v>135</v>
      </c>
      <c r="E44" s="57"/>
      <c r="G44" s="56"/>
      <c r="H44" s="70" t="s">
        <v>134</v>
      </c>
      <c r="I44" s="71" t="s">
        <v>135</v>
      </c>
      <c r="J44" s="57"/>
    </row>
    <row r="45" spans="2:10" x14ac:dyDescent="0.25">
      <c r="B45" s="56"/>
      <c r="C45" s="73" t="s">
        <v>136</v>
      </c>
      <c r="D45" s="74" t="s">
        <v>81</v>
      </c>
      <c r="E45" s="57"/>
      <c r="G45" s="56"/>
      <c r="H45" s="73" t="s">
        <v>136</v>
      </c>
      <c r="I45" s="74" t="s">
        <v>81</v>
      </c>
      <c r="J45" s="57"/>
    </row>
    <row r="46" spans="2:10" x14ac:dyDescent="0.25">
      <c r="B46" s="56"/>
      <c r="C46" s="3"/>
      <c r="D46" s="3"/>
      <c r="E46" s="57"/>
      <c r="G46" s="56"/>
      <c r="H46" s="3"/>
      <c r="I46" s="3"/>
      <c r="J46" s="57"/>
    </row>
    <row r="47" spans="2:10" x14ac:dyDescent="0.25">
      <c r="B47" s="56"/>
      <c r="C47" s="1" t="s">
        <v>4</v>
      </c>
      <c r="D47" s="128" t="s">
        <v>137</v>
      </c>
      <c r="E47" s="57"/>
      <c r="G47" s="56"/>
      <c r="H47" s="1" t="s">
        <v>4</v>
      </c>
      <c r="I47" s="128" t="s">
        <v>137</v>
      </c>
      <c r="J47" s="57"/>
    </row>
    <row r="48" spans="2:10" x14ac:dyDescent="0.25">
      <c r="B48" s="56"/>
      <c r="C48" s="68" t="s">
        <v>68</v>
      </c>
      <c r="D48" s="69" t="s">
        <v>132</v>
      </c>
      <c r="E48" s="57"/>
      <c r="G48" s="56"/>
      <c r="H48" s="68" t="s">
        <v>68</v>
      </c>
      <c r="I48" s="69" t="s">
        <v>132</v>
      </c>
      <c r="J48" s="57"/>
    </row>
    <row r="49" spans="2:10" x14ac:dyDescent="0.25">
      <c r="B49" s="56"/>
      <c r="C49" s="70" t="s">
        <v>138</v>
      </c>
      <c r="D49" s="71" t="s">
        <v>139</v>
      </c>
      <c r="E49" s="57"/>
      <c r="G49" s="56"/>
      <c r="H49" s="70" t="s">
        <v>138</v>
      </c>
      <c r="I49" s="71" t="s">
        <v>139</v>
      </c>
      <c r="J49" s="57"/>
    </row>
    <row r="50" spans="2:10" x14ac:dyDescent="0.25">
      <c r="B50" s="56"/>
      <c r="C50" s="70" t="s">
        <v>140</v>
      </c>
      <c r="D50" s="71" t="s">
        <v>141</v>
      </c>
      <c r="E50" s="57"/>
      <c r="G50" s="56"/>
      <c r="H50" s="70" t="s">
        <v>140</v>
      </c>
      <c r="I50" s="71" t="s">
        <v>141</v>
      </c>
      <c r="J50" s="57"/>
    </row>
    <row r="51" spans="2:10" x14ac:dyDescent="0.25">
      <c r="B51" s="56"/>
      <c r="C51" s="73" t="s">
        <v>80</v>
      </c>
      <c r="D51" s="74" t="s">
        <v>81</v>
      </c>
      <c r="E51" s="57"/>
      <c r="G51" s="56"/>
      <c r="H51" s="73" t="s">
        <v>80</v>
      </c>
      <c r="I51" s="74" t="s">
        <v>81</v>
      </c>
      <c r="J51" s="57"/>
    </row>
    <row r="52" spans="2:10" x14ac:dyDescent="0.25">
      <c r="B52" s="75"/>
      <c r="C52" s="76"/>
      <c r="D52" s="76"/>
      <c r="E52" s="57"/>
      <c r="G52" s="75"/>
      <c r="H52" s="76"/>
      <c r="I52" s="76"/>
      <c r="J52" s="77"/>
    </row>
  </sheetData>
  <dataValidations count="3">
    <dataValidation type="list" allowBlank="1" showInputMessage="1" showErrorMessage="1" sqref="D17 I17">
      <formula1>"NEVER,ALWAYS,ONCE"</formula1>
    </dataValidation>
    <dataValidation type="list" allowBlank="1" showInputMessage="1" showErrorMessage="1" sqref="D18 I18">
      <formula1>"NONE,FLAT_SHIFT,PERTURBED"</formula1>
    </dataValidation>
    <dataValidation type="list" allowBlank="1" showInputMessage="1" showErrorMessage="1" sqref="D19 I19">
      <formula1>"NONE,DISCOUNT_FACTORS,FORWARD_RATES,COMPOUND_RATES"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U33"/>
  <sheetViews>
    <sheetView showGridLines="0" workbookViewId="0"/>
  </sheetViews>
  <sheetFormatPr defaultRowHeight="15" x14ac:dyDescent="0.25"/>
  <cols>
    <col min="2" max="2" width="4.7109375" customWidth="1"/>
    <col min="3" max="3" width="28.5703125" customWidth="1"/>
    <col min="4" max="4" width="37.5703125" customWidth="1"/>
    <col min="5" max="5" width="4.7109375" customWidth="1"/>
    <col min="11" max="11" width="4.7109375" customWidth="1"/>
    <col min="14" max="14" width="4.7109375" customWidth="1"/>
    <col min="15" max="15" width="10.140625" bestFit="1" customWidth="1"/>
    <col min="17" max="17" width="4.7109375" customWidth="1"/>
    <col min="19" max="20" width="19.85546875" bestFit="1" customWidth="1"/>
  </cols>
  <sheetData>
    <row r="2" spans="2:21" x14ac:dyDescent="0.25">
      <c r="B2" s="51"/>
      <c r="C2" s="52"/>
      <c r="D2" s="53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</row>
    <row r="3" spans="2:21" x14ac:dyDescent="0.25">
      <c r="B3" s="56"/>
      <c r="C3" s="1" t="s">
        <v>0</v>
      </c>
      <c r="D3" s="2"/>
      <c r="E3" s="3" t="s">
        <v>1</v>
      </c>
      <c r="F3" s="1" t="s">
        <v>2</v>
      </c>
      <c r="G3" s="3"/>
      <c r="H3" s="3"/>
      <c r="I3" s="3"/>
      <c r="J3" s="3"/>
      <c r="K3" s="3"/>
      <c r="L3" s="1" t="s">
        <v>3</v>
      </c>
      <c r="M3" s="1"/>
      <c r="N3" s="3"/>
      <c r="O3" s="1" t="s">
        <v>4</v>
      </c>
      <c r="P3" s="3"/>
      <c r="Q3" s="57"/>
      <c r="S3" s="81"/>
    </row>
    <row r="4" spans="2:21" x14ac:dyDescent="0.25">
      <c r="B4" s="56" t="s">
        <v>1</v>
      </c>
      <c r="C4" s="2"/>
      <c r="D4" s="2"/>
      <c r="E4" s="3" t="s">
        <v>1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3"/>
      <c r="L4" s="4" t="s">
        <v>5</v>
      </c>
      <c r="M4" s="4" t="s">
        <v>6</v>
      </c>
      <c r="N4" s="3"/>
      <c r="O4" s="4" t="s">
        <v>5</v>
      </c>
      <c r="P4" s="4" t="s">
        <v>6</v>
      </c>
      <c r="Q4" s="57"/>
    </row>
    <row r="5" spans="2:21" x14ac:dyDescent="0.25">
      <c r="B5" s="56"/>
      <c r="C5" s="5" t="s">
        <v>10</v>
      </c>
      <c r="D5" s="6" t="s">
        <v>11</v>
      </c>
      <c r="E5" s="3" t="s">
        <v>1</v>
      </c>
      <c r="F5" s="7" t="s">
        <v>36</v>
      </c>
      <c r="G5" s="8">
        <v>2.12E-2</v>
      </c>
      <c r="H5" s="9"/>
      <c r="I5" s="10"/>
      <c r="J5" s="11" t="b">
        <v>1</v>
      </c>
      <c r="K5" s="80"/>
      <c r="L5" s="7" t="s">
        <v>37</v>
      </c>
      <c r="M5" s="12">
        <v>2.9624999999999999E-3</v>
      </c>
      <c r="N5" s="80"/>
      <c r="O5" s="7" t="s">
        <v>37</v>
      </c>
      <c r="P5" s="12">
        <v>1.8586999999999999E-2</v>
      </c>
      <c r="Q5" s="57"/>
    </row>
    <row r="6" spans="2:21" x14ac:dyDescent="0.25">
      <c r="B6" s="56"/>
      <c r="C6" s="13" t="s">
        <v>12</v>
      </c>
      <c r="D6" s="83" t="str">
        <f ca="1">CURVE_GENERATOR!$D$10</f>
        <v>ARR</v>
      </c>
      <c r="E6" s="3" t="s">
        <v>1</v>
      </c>
      <c r="F6" s="15" t="s">
        <v>38</v>
      </c>
      <c r="G6" s="16">
        <v>2.1328E-2</v>
      </c>
      <c r="H6" s="10"/>
      <c r="I6" s="10"/>
      <c r="J6" s="11" t="b">
        <v>1</v>
      </c>
      <c r="K6" s="80"/>
      <c r="L6" s="15" t="s">
        <v>39</v>
      </c>
      <c r="M6" s="17">
        <v>2.7437500000000001E-3</v>
      </c>
      <c r="N6" s="80"/>
      <c r="O6" s="15" t="s">
        <v>39</v>
      </c>
      <c r="P6" s="17">
        <v>1.634E-2</v>
      </c>
      <c r="Q6" s="57"/>
      <c r="S6" s="130"/>
      <c r="T6" s="130"/>
      <c r="U6" s="89"/>
    </row>
    <row r="7" spans="2:21" x14ac:dyDescent="0.25">
      <c r="B7" s="56"/>
      <c r="C7" s="13" t="s">
        <v>13</v>
      </c>
      <c r="D7" s="14" t="s">
        <v>14</v>
      </c>
      <c r="E7" s="3" t="s">
        <v>1</v>
      </c>
      <c r="F7" s="15" t="s">
        <v>40</v>
      </c>
      <c r="G7" s="16">
        <v>2.1333000000000001E-2</v>
      </c>
      <c r="H7" s="10"/>
      <c r="I7" s="10"/>
      <c r="J7" s="11" t="b">
        <v>1</v>
      </c>
      <c r="K7" s="80"/>
      <c r="L7" s="15" t="s">
        <v>41</v>
      </c>
      <c r="M7" s="17">
        <v>2.575E-3</v>
      </c>
      <c r="N7" s="80"/>
      <c r="O7" s="15" t="s">
        <v>41</v>
      </c>
      <c r="P7" s="17">
        <v>1.5436E-2</v>
      </c>
      <c r="Q7" s="57"/>
      <c r="S7" s="130"/>
      <c r="T7" s="130"/>
      <c r="U7" s="89"/>
    </row>
    <row r="8" spans="2:21" x14ac:dyDescent="0.25">
      <c r="B8" s="56"/>
      <c r="C8" s="18" t="s">
        <v>15</v>
      </c>
      <c r="D8" s="19">
        <v>43691</v>
      </c>
      <c r="E8" s="3" t="s">
        <v>1</v>
      </c>
      <c r="F8" s="15" t="s">
        <v>42</v>
      </c>
      <c r="G8" s="16">
        <v>2.137E-2</v>
      </c>
      <c r="H8" s="10"/>
      <c r="I8" s="10"/>
      <c r="J8" s="11" t="b">
        <v>1</v>
      </c>
      <c r="K8" s="80"/>
      <c r="L8" s="15" t="s">
        <v>43</v>
      </c>
      <c r="M8" s="17">
        <v>2.4875000000000001E-3</v>
      </c>
      <c r="N8" s="80"/>
      <c r="O8" s="15" t="s">
        <v>43</v>
      </c>
      <c r="P8" s="17">
        <v>1.4973E-2</v>
      </c>
      <c r="Q8" s="57"/>
    </row>
    <row r="9" spans="2:21" x14ac:dyDescent="0.25">
      <c r="B9" s="56"/>
      <c r="C9" s="20"/>
      <c r="D9" s="20"/>
      <c r="E9" s="3" t="s">
        <v>1</v>
      </c>
      <c r="F9" s="15" t="s">
        <v>44</v>
      </c>
      <c r="G9" s="16">
        <v>2.1358000000000002E-2</v>
      </c>
      <c r="H9" s="10"/>
      <c r="I9" s="10"/>
      <c r="J9" s="11" t="b">
        <v>1</v>
      </c>
      <c r="K9" s="80"/>
      <c r="L9" s="15" t="s">
        <v>45</v>
      </c>
      <c r="M9" s="17">
        <v>2.4499999999999999E-3</v>
      </c>
      <c r="N9" s="80"/>
      <c r="O9" s="15" t="s">
        <v>45</v>
      </c>
      <c r="P9" s="17">
        <v>1.4769000000000001E-2</v>
      </c>
      <c r="Q9" s="57"/>
    </row>
    <row r="10" spans="2:21" x14ac:dyDescent="0.25">
      <c r="B10" s="56"/>
      <c r="C10" s="25" t="s">
        <v>16</v>
      </c>
      <c r="D10" s="2"/>
      <c r="E10" s="3" t="s">
        <v>1</v>
      </c>
      <c r="F10" s="15" t="s">
        <v>46</v>
      </c>
      <c r="G10" s="16">
        <v>2.0019999999999996E-2</v>
      </c>
      <c r="H10" s="10"/>
      <c r="I10" s="10"/>
      <c r="J10" s="11" t="b">
        <v>1</v>
      </c>
      <c r="K10" s="80"/>
      <c r="L10" s="15" t="s">
        <v>47</v>
      </c>
      <c r="M10" s="17">
        <v>2.39375E-3</v>
      </c>
      <c r="N10" s="80"/>
      <c r="O10" s="15" t="s">
        <v>47</v>
      </c>
      <c r="P10" s="17">
        <v>1.4761E-2</v>
      </c>
      <c r="Q10" s="57"/>
    </row>
    <row r="11" spans="2:21" x14ac:dyDescent="0.25">
      <c r="B11" s="56"/>
      <c r="C11" s="21" t="s">
        <v>17</v>
      </c>
      <c r="D11" s="22" t="s">
        <v>96</v>
      </c>
      <c r="E11" s="3" t="s">
        <v>1</v>
      </c>
      <c r="F11" s="15" t="s">
        <v>48</v>
      </c>
      <c r="G11" s="16">
        <v>1.9095999999999998E-2</v>
      </c>
      <c r="H11" s="10"/>
      <c r="I11" s="10"/>
      <c r="J11" s="11" t="b">
        <v>1</v>
      </c>
      <c r="K11" s="80"/>
      <c r="L11" s="15" t="s">
        <v>49</v>
      </c>
      <c r="M11" s="17">
        <v>2.3625E-3</v>
      </c>
      <c r="N11" s="80"/>
      <c r="O11" s="15" t="s">
        <v>49</v>
      </c>
      <c r="P11" s="17">
        <v>1.5239000000000001E-2</v>
      </c>
      <c r="Q11" s="57"/>
    </row>
    <row r="12" spans="2:21" x14ac:dyDescent="0.25">
      <c r="B12" s="56"/>
      <c r="C12" s="23" t="s">
        <v>18</v>
      </c>
      <c r="D12" s="24" t="str">
        <f ca="1">_xll.meLWOCurveMarketDataCreate(D11,C3,C5:D8,F3,F5:J30,L3,L5:M30,O3,O5:P30)</f>
        <v>USD_ARR_MARKETDATA@3:37</v>
      </c>
      <c r="E12" s="3" t="s">
        <v>1</v>
      </c>
      <c r="F12" s="15" t="s">
        <v>50</v>
      </c>
      <c r="G12" s="16">
        <v>1.8489999999999999E-2</v>
      </c>
      <c r="H12" s="10"/>
      <c r="I12" s="10"/>
      <c r="J12" s="11" t="b">
        <v>1</v>
      </c>
      <c r="K12" s="80"/>
      <c r="L12" s="15" t="s">
        <v>51</v>
      </c>
      <c r="M12" s="17">
        <v>2.3500000000000001E-3</v>
      </c>
      <c r="N12" s="80"/>
      <c r="O12" s="15" t="s">
        <v>51</v>
      </c>
      <c r="P12" s="17">
        <v>1.5603000000000001E-2</v>
      </c>
      <c r="Q12" s="57"/>
    </row>
    <row r="13" spans="2:21" x14ac:dyDescent="0.25">
      <c r="B13" s="56"/>
      <c r="C13" s="3"/>
      <c r="D13" s="3"/>
      <c r="E13" s="3" t="s">
        <v>1</v>
      </c>
      <c r="F13" s="15" t="s">
        <v>52</v>
      </c>
      <c r="G13" s="16">
        <v>1.7859E-2</v>
      </c>
      <c r="H13" s="10"/>
      <c r="I13" s="10"/>
      <c r="J13" s="11" t="b">
        <v>1</v>
      </c>
      <c r="K13" s="80"/>
      <c r="L13" s="15" t="s">
        <v>53</v>
      </c>
      <c r="M13" s="17">
        <v>2.3500000000000001E-3</v>
      </c>
      <c r="N13" s="80"/>
      <c r="O13" s="15" t="s">
        <v>53</v>
      </c>
      <c r="P13" s="17">
        <v>1.6061000000000002E-2</v>
      </c>
      <c r="Q13" s="57"/>
    </row>
    <row r="14" spans="2:21" x14ac:dyDescent="0.25">
      <c r="B14" s="56"/>
      <c r="C14" s="3"/>
      <c r="D14" s="3"/>
      <c r="E14" s="3" t="s">
        <v>1</v>
      </c>
      <c r="F14" s="15" t="s">
        <v>54</v>
      </c>
      <c r="G14" s="16">
        <v>1.7430000000000001E-2</v>
      </c>
      <c r="H14" s="10"/>
      <c r="I14" s="10"/>
      <c r="J14" s="11" t="b">
        <v>1</v>
      </c>
      <c r="K14" s="80"/>
      <c r="L14" s="15" t="s">
        <v>55</v>
      </c>
      <c r="M14" s="17">
        <v>2.3437499999999999E-3</v>
      </c>
      <c r="N14" s="80"/>
      <c r="O14" s="15" t="s">
        <v>55</v>
      </c>
      <c r="P14" s="17">
        <v>1.6490999999999999E-2</v>
      </c>
      <c r="Q14" s="57"/>
    </row>
    <row r="15" spans="2:21" x14ac:dyDescent="0.25">
      <c r="B15" s="56"/>
      <c r="C15" s="3"/>
      <c r="D15" s="3"/>
      <c r="E15" s="3" t="s">
        <v>1</v>
      </c>
      <c r="F15" s="15" t="s">
        <v>56</v>
      </c>
      <c r="G15" s="16">
        <v>1.6211E-2</v>
      </c>
      <c r="H15" s="10"/>
      <c r="I15" s="10"/>
      <c r="J15" s="11" t="b">
        <v>1</v>
      </c>
      <c r="K15" s="80"/>
      <c r="L15" s="15" t="s">
        <v>57</v>
      </c>
      <c r="M15" s="17">
        <v>2.3437499999999999E-3</v>
      </c>
      <c r="N15" s="80"/>
      <c r="O15" s="15" t="s">
        <v>57</v>
      </c>
      <c r="P15" s="17">
        <v>1.6662E-2</v>
      </c>
      <c r="Q15" s="57"/>
    </row>
    <row r="16" spans="2:21" x14ac:dyDescent="0.25">
      <c r="B16" s="56"/>
      <c r="C16" s="3"/>
      <c r="D16" s="3"/>
      <c r="E16" s="3" t="s">
        <v>1</v>
      </c>
      <c r="F16" s="15" t="s">
        <v>37</v>
      </c>
      <c r="G16" s="16">
        <v>1.5406999999999999E-2</v>
      </c>
      <c r="H16" s="10"/>
      <c r="I16" s="10"/>
      <c r="J16" s="11" t="b">
        <v>1</v>
      </c>
      <c r="K16" s="80"/>
      <c r="L16" s="15" t="s">
        <v>58</v>
      </c>
      <c r="M16" s="17">
        <v>2.3500000000000001E-3</v>
      </c>
      <c r="N16" s="80"/>
      <c r="O16" s="15" t="s">
        <v>58</v>
      </c>
      <c r="P16" s="17">
        <v>1.6695000000000002E-2</v>
      </c>
      <c r="Q16" s="57"/>
    </row>
    <row r="17" spans="2:17" x14ac:dyDescent="0.25">
      <c r="B17" s="56"/>
      <c r="C17" s="25" t="s">
        <v>19</v>
      </c>
      <c r="D17" s="2"/>
      <c r="E17" s="3" t="s">
        <v>1</v>
      </c>
      <c r="F17" s="15"/>
      <c r="G17" s="16"/>
      <c r="H17" s="10"/>
      <c r="I17" s="10"/>
      <c r="J17" s="11"/>
      <c r="K17" s="80"/>
      <c r="L17" s="15" t="s">
        <v>20</v>
      </c>
      <c r="M17" s="17">
        <v>2.3500000000000001E-3</v>
      </c>
      <c r="N17" s="80"/>
      <c r="O17" s="15" t="s">
        <v>20</v>
      </c>
      <c r="P17" s="17">
        <v>1.6695000000000002E-2</v>
      </c>
      <c r="Q17" s="58"/>
    </row>
    <row r="18" spans="2:17" x14ac:dyDescent="0.25">
      <c r="B18" s="56"/>
      <c r="C18" s="26" t="s">
        <v>17</v>
      </c>
      <c r="D18" s="27" t="s">
        <v>97</v>
      </c>
      <c r="E18" s="3" t="s">
        <v>1</v>
      </c>
      <c r="F18" s="15"/>
      <c r="G18" s="16"/>
      <c r="H18" s="10"/>
      <c r="I18" s="10"/>
      <c r="J18" s="11"/>
      <c r="K18" s="80"/>
      <c r="L18" s="15" t="s">
        <v>21</v>
      </c>
      <c r="M18" s="17">
        <v>2.3500000000000001E-3</v>
      </c>
      <c r="N18" s="80"/>
      <c r="O18" s="15" t="s">
        <v>21</v>
      </c>
      <c r="P18" s="17">
        <v>1.6695000000000002E-2</v>
      </c>
      <c r="Q18" s="58"/>
    </row>
    <row r="19" spans="2:17" x14ac:dyDescent="0.25">
      <c r="B19" s="56"/>
      <c r="C19" s="28" t="s">
        <v>22</v>
      </c>
      <c r="D19" s="29" t="str">
        <f ca="1">CURVE_GENERATOR!$D$5</f>
        <v>USD_SOFR_WITH_JACOBIAN@1:5</v>
      </c>
      <c r="E19" s="3" t="s">
        <v>1</v>
      </c>
      <c r="F19" s="15"/>
      <c r="G19" s="16"/>
      <c r="H19" s="10"/>
      <c r="I19" s="10"/>
      <c r="J19" s="11"/>
      <c r="K19" s="80"/>
      <c r="L19" s="15"/>
      <c r="M19" s="17"/>
      <c r="N19" s="80"/>
      <c r="O19" s="15"/>
      <c r="P19" s="17"/>
      <c r="Q19" s="57"/>
    </row>
    <row r="20" spans="2:17" x14ac:dyDescent="0.25">
      <c r="B20" s="56"/>
      <c r="C20" s="28" t="s">
        <v>23</v>
      </c>
      <c r="D20" s="30" t="s">
        <v>24</v>
      </c>
      <c r="E20" s="3" t="s">
        <v>1</v>
      </c>
      <c r="F20" s="15"/>
      <c r="G20" s="16"/>
      <c r="H20" s="10"/>
      <c r="I20" s="10"/>
      <c r="J20" s="11"/>
      <c r="K20" s="80"/>
      <c r="L20" s="15"/>
      <c r="M20" s="17"/>
      <c r="N20" s="80"/>
      <c r="O20" s="15"/>
      <c r="P20" s="17"/>
      <c r="Q20" s="57"/>
    </row>
    <row r="21" spans="2:17" x14ac:dyDescent="0.25">
      <c r="B21" s="56"/>
      <c r="C21" s="31" t="s">
        <v>25</v>
      </c>
      <c r="D21" s="32"/>
      <c r="E21" s="3" t="s">
        <v>1</v>
      </c>
      <c r="F21" s="15"/>
      <c r="G21" s="16"/>
      <c r="H21" s="10"/>
      <c r="I21" s="10"/>
      <c r="J21" s="11"/>
      <c r="K21" s="80"/>
      <c r="L21" s="15"/>
      <c r="M21" s="17"/>
      <c r="N21" s="80"/>
      <c r="O21" s="15"/>
      <c r="P21" s="17"/>
      <c r="Q21" s="57"/>
    </row>
    <row r="22" spans="2:17" x14ac:dyDescent="0.25">
      <c r="B22" s="56"/>
      <c r="C22" s="3"/>
      <c r="D22" s="3"/>
      <c r="E22" s="3" t="s">
        <v>1</v>
      </c>
      <c r="F22" s="15"/>
      <c r="G22" s="16"/>
      <c r="H22" s="10"/>
      <c r="I22" s="10"/>
      <c r="J22" s="11"/>
      <c r="K22" s="80"/>
      <c r="L22" s="15"/>
      <c r="M22" s="17"/>
      <c r="N22" s="80"/>
      <c r="O22" s="15"/>
      <c r="P22" s="17"/>
      <c r="Q22" s="57"/>
    </row>
    <row r="23" spans="2:17" x14ac:dyDescent="0.25">
      <c r="B23" s="56"/>
      <c r="C23" s="3"/>
      <c r="D23" s="3"/>
      <c r="E23" s="3" t="s">
        <v>1</v>
      </c>
      <c r="F23" s="15"/>
      <c r="G23" s="16"/>
      <c r="H23" s="10"/>
      <c r="I23" s="10"/>
      <c r="J23" s="11"/>
      <c r="K23" s="80"/>
      <c r="L23" s="15"/>
      <c r="M23" s="17"/>
      <c r="N23" s="80"/>
      <c r="O23" s="15"/>
      <c r="P23" s="17"/>
      <c r="Q23" s="57"/>
    </row>
    <row r="24" spans="2:17" x14ac:dyDescent="0.25">
      <c r="B24" s="56"/>
      <c r="C24" s="3"/>
      <c r="D24" s="3"/>
      <c r="E24" s="3" t="s">
        <v>1</v>
      </c>
      <c r="F24" s="15"/>
      <c r="G24" s="16"/>
      <c r="H24" s="10"/>
      <c r="I24" s="10"/>
      <c r="J24" s="11"/>
      <c r="K24" s="80"/>
      <c r="L24" s="15"/>
      <c r="M24" s="17"/>
      <c r="N24" s="80"/>
      <c r="O24" s="15"/>
      <c r="P24" s="17"/>
      <c r="Q24" s="57"/>
    </row>
    <row r="25" spans="2:17" x14ac:dyDescent="0.25">
      <c r="B25" s="56"/>
      <c r="C25" s="25" t="s">
        <v>26</v>
      </c>
      <c r="D25" s="3"/>
      <c r="E25" s="3" t="s">
        <v>1</v>
      </c>
      <c r="F25" s="15"/>
      <c r="G25" s="16"/>
      <c r="H25" s="10"/>
      <c r="I25" s="10"/>
      <c r="J25" s="11"/>
      <c r="K25" s="80"/>
      <c r="L25" s="15"/>
      <c r="M25" s="17"/>
      <c r="N25" s="80"/>
      <c r="O25" s="15"/>
      <c r="P25" s="17"/>
      <c r="Q25" s="57"/>
    </row>
    <row r="26" spans="2:17" x14ac:dyDescent="0.25">
      <c r="B26" s="56"/>
      <c r="C26" s="33" t="s">
        <v>17</v>
      </c>
      <c r="D26" s="34" t="str">
        <f t="array" aca="1" ref="D26:D29" ca="1">_xll.meLWOCurveCalibrate(D18,D19,D12,D20,D21)</f>
        <v>USD_ARR_CURVE@4:37</v>
      </c>
      <c r="E26" s="3" t="s">
        <v>1</v>
      </c>
      <c r="F26" s="15"/>
      <c r="G26" s="16"/>
      <c r="H26" s="10"/>
      <c r="I26" s="10"/>
      <c r="J26" s="11"/>
      <c r="K26" s="80"/>
      <c r="L26" s="15"/>
      <c r="M26" s="17"/>
      <c r="N26" s="80"/>
      <c r="O26" s="15"/>
      <c r="P26" s="17"/>
      <c r="Q26" s="57"/>
    </row>
    <row r="27" spans="2:17" x14ac:dyDescent="0.25">
      <c r="B27" s="56"/>
      <c r="C27" s="37" t="s">
        <v>27</v>
      </c>
      <c r="D27" s="35" t="str">
        <f ca="1"/>
        <v>USDYC</v>
      </c>
      <c r="E27" s="3" t="s">
        <v>1</v>
      </c>
      <c r="F27" s="15"/>
      <c r="G27" s="16"/>
      <c r="H27" s="10"/>
      <c r="I27" s="10"/>
      <c r="J27" s="11"/>
      <c r="K27" s="80"/>
      <c r="L27" s="15"/>
      <c r="M27" s="17"/>
      <c r="N27" s="80"/>
      <c r="O27" s="15"/>
      <c r="P27" s="17"/>
      <c r="Q27" s="57"/>
    </row>
    <row r="28" spans="2:17" x14ac:dyDescent="0.25">
      <c r="B28" s="56"/>
      <c r="C28" s="37" t="s">
        <v>28</v>
      </c>
      <c r="D28" s="35" t="str">
        <f ca="1"/>
        <v>ARR</v>
      </c>
      <c r="E28" s="3" t="s">
        <v>1</v>
      </c>
      <c r="F28" s="15"/>
      <c r="G28" s="16"/>
      <c r="H28" s="10"/>
      <c r="I28" s="10"/>
      <c r="J28" s="11"/>
      <c r="K28" s="80"/>
      <c r="L28" s="15"/>
      <c r="M28" s="17"/>
      <c r="N28" s="80"/>
      <c r="O28" s="15"/>
      <c r="P28" s="17"/>
      <c r="Q28" s="57"/>
    </row>
    <row r="29" spans="2:17" x14ac:dyDescent="0.25">
      <c r="B29" s="56"/>
      <c r="C29" s="38" t="s">
        <v>29</v>
      </c>
      <c r="D29" s="36" t="str">
        <f ca="1"/>
        <v>0.03200 sec</v>
      </c>
      <c r="E29" s="3" t="s">
        <v>1</v>
      </c>
      <c r="F29" s="15"/>
      <c r="G29" s="16"/>
      <c r="H29" s="10"/>
      <c r="I29" s="10"/>
      <c r="J29" s="39"/>
      <c r="K29" s="80"/>
      <c r="L29" s="15"/>
      <c r="M29" s="17"/>
      <c r="N29" s="80"/>
      <c r="O29" s="15"/>
      <c r="P29" s="17"/>
      <c r="Q29" s="57"/>
    </row>
    <row r="30" spans="2:17" x14ac:dyDescent="0.25">
      <c r="B30" s="56"/>
      <c r="C30" s="40" t="s">
        <v>30</v>
      </c>
      <c r="D30" s="41" t="b">
        <f ca="1">_xll.meLWOExists(D26,"CURVE")</f>
        <v>1</v>
      </c>
      <c r="E30" s="3" t="s">
        <v>1</v>
      </c>
      <c r="F30" s="42"/>
      <c r="G30" s="43"/>
      <c r="H30" s="44"/>
      <c r="I30" s="44"/>
      <c r="J30" s="45"/>
      <c r="K30" s="80"/>
      <c r="L30" s="42"/>
      <c r="M30" s="46"/>
      <c r="N30" s="80"/>
      <c r="O30" s="42"/>
      <c r="P30" s="46"/>
      <c r="Q30" s="57"/>
    </row>
    <row r="31" spans="2:17" x14ac:dyDescent="0.25">
      <c r="B31" s="75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7"/>
    </row>
    <row r="33" spans="15:15" x14ac:dyDescent="0.25">
      <c r="O33" s="13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Q35"/>
  <sheetViews>
    <sheetView showGridLines="0" workbookViewId="0"/>
  </sheetViews>
  <sheetFormatPr defaultRowHeight="15" x14ac:dyDescent="0.25"/>
  <cols>
    <col min="3" max="3" width="28.5703125" customWidth="1"/>
    <col min="4" max="4" width="38.85546875" customWidth="1"/>
  </cols>
  <sheetData>
    <row r="2" spans="2:17" x14ac:dyDescent="0.25">
      <c r="C2" s="82" t="s">
        <v>95</v>
      </c>
    </row>
    <row r="3" spans="2:17" x14ac:dyDescent="0.25">
      <c r="B3" s="90"/>
      <c r="C3" s="118">
        <v>9.9999999999999995E-7</v>
      </c>
    </row>
    <row r="4" spans="2:17" x14ac:dyDescent="0.25">
      <c r="C4" s="105"/>
    </row>
    <row r="6" spans="2:17" x14ac:dyDescent="0.25">
      <c r="B6" s="51"/>
      <c r="C6" s="52"/>
      <c r="D6" s="53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x14ac:dyDescent="0.25">
      <c r="B7" s="56"/>
      <c r="C7" s="1" t="s">
        <v>0</v>
      </c>
      <c r="D7" s="2"/>
      <c r="E7" s="3" t="s">
        <v>1</v>
      </c>
      <c r="F7" s="1" t="s">
        <v>2</v>
      </c>
      <c r="G7" s="3"/>
      <c r="H7" s="3"/>
      <c r="I7" s="3"/>
      <c r="J7" s="3"/>
      <c r="K7" s="3"/>
      <c r="L7" s="1" t="s">
        <v>3</v>
      </c>
      <c r="M7" s="1"/>
      <c r="N7" s="3"/>
      <c r="O7" s="1" t="s">
        <v>4</v>
      </c>
      <c r="P7" s="3"/>
      <c r="Q7" s="57"/>
    </row>
    <row r="8" spans="2:17" x14ac:dyDescent="0.25">
      <c r="B8" s="56" t="s">
        <v>1</v>
      </c>
      <c r="C8" s="2"/>
      <c r="D8" s="2"/>
      <c r="E8" s="3" t="s">
        <v>1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3"/>
      <c r="L8" s="4" t="s">
        <v>5</v>
      </c>
      <c r="M8" s="4" t="s">
        <v>6</v>
      </c>
      <c r="N8" s="3"/>
      <c r="O8" s="4" t="s">
        <v>5</v>
      </c>
      <c r="P8" s="4" t="s">
        <v>6</v>
      </c>
      <c r="Q8" s="57"/>
    </row>
    <row r="9" spans="2:17" x14ac:dyDescent="0.25">
      <c r="B9" s="56"/>
      <c r="C9" s="5" t="s">
        <v>10</v>
      </c>
      <c r="D9" s="6" t="s">
        <v>11</v>
      </c>
      <c r="E9" s="3" t="s">
        <v>1</v>
      </c>
      <c r="F9" s="7" t="s">
        <v>36</v>
      </c>
      <c r="G9" s="85">
        <f ca="1">USD_ARR_CURVE!G5+$C$3</f>
        <v>2.1201000000000001E-2</v>
      </c>
      <c r="H9" s="9"/>
      <c r="I9" s="10"/>
      <c r="J9" s="11" t="b">
        <v>1</v>
      </c>
      <c r="K9" s="80"/>
      <c r="L9" s="7" t="s">
        <v>37</v>
      </c>
      <c r="M9" s="12">
        <f ca="1">USD_ARR_CURVE!M5</f>
        <v>2.9624999999999999E-3</v>
      </c>
      <c r="N9" s="80"/>
      <c r="O9" s="7" t="s">
        <v>37</v>
      </c>
      <c r="P9" s="87">
        <f ca="1">USD_ARR_CURVE!P5+$C$3</f>
        <v>1.8588E-2</v>
      </c>
      <c r="Q9" s="57"/>
    </row>
    <row r="10" spans="2:17" x14ac:dyDescent="0.25">
      <c r="B10" s="56"/>
      <c r="C10" s="13" t="s">
        <v>12</v>
      </c>
      <c r="D10" s="83" t="str">
        <f ca="1">CURVE_GENERATOR!$D$10</f>
        <v>ARR</v>
      </c>
      <c r="E10" s="3" t="s">
        <v>1</v>
      </c>
      <c r="F10" s="15" t="s">
        <v>38</v>
      </c>
      <c r="G10" s="86">
        <f ca="1">USD_ARR_CURVE!G6+$C$3</f>
        <v>2.1329000000000001E-2</v>
      </c>
      <c r="H10" s="10"/>
      <c r="I10" s="10"/>
      <c r="J10" s="11" t="b">
        <v>1</v>
      </c>
      <c r="K10" s="80"/>
      <c r="L10" s="15" t="s">
        <v>39</v>
      </c>
      <c r="M10" s="17">
        <f ca="1">USD_ARR_CURVE!M6</f>
        <v>2.7437500000000001E-3</v>
      </c>
      <c r="N10" s="80"/>
      <c r="O10" s="15" t="s">
        <v>39</v>
      </c>
      <c r="P10" s="88">
        <f ca="1">USD_ARR_CURVE!P6+$C$3</f>
        <v>1.6341000000000001E-2</v>
      </c>
      <c r="Q10" s="57"/>
    </row>
    <row r="11" spans="2:17" x14ac:dyDescent="0.25">
      <c r="B11" s="56"/>
      <c r="C11" s="13" t="s">
        <v>13</v>
      </c>
      <c r="D11" s="14" t="s">
        <v>14</v>
      </c>
      <c r="E11" s="3" t="s">
        <v>1</v>
      </c>
      <c r="F11" s="15" t="s">
        <v>40</v>
      </c>
      <c r="G11" s="86">
        <f ca="1">USD_ARR_CURVE!G7+$C$3</f>
        <v>2.1334000000000002E-2</v>
      </c>
      <c r="H11" s="10"/>
      <c r="I11" s="10"/>
      <c r="J11" s="11" t="b">
        <v>1</v>
      </c>
      <c r="K11" s="80"/>
      <c r="L11" s="15" t="s">
        <v>41</v>
      </c>
      <c r="M11" s="17">
        <f ca="1">USD_ARR_CURVE!M7</f>
        <v>2.575E-3</v>
      </c>
      <c r="N11" s="80"/>
      <c r="O11" s="15" t="s">
        <v>41</v>
      </c>
      <c r="P11" s="88">
        <f ca="1">USD_ARR_CURVE!P7+$C$3</f>
        <v>1.5436999999999999E-2</v>
      </c>
      <c r="Q11" s="57"/>
    </row>
    <row r="12" spans="2:17" x14ac:dyDescent="0.25">
      <c r="B12" s="56"/>
      <c r="C12" s="18" t="s">
        <v>15</v>
      </c>
      <c r="D12" s="19">
        <v>43691</v>
      </c>
      <c r="E12" s="3" t="s">
        <v>1</v>
      </c>
      <c r="F12" s="15" t="s">
        <v>42</v>
      </c>
      <c r="G12" s="86">
        <f ca="1">USD_ARR_CURVE!G8+$C$3</f>
        <v>2.1371000000000001E-2</v>
      </c>
      <c r="H12" s="10"/>
      <c r="I12" s="10"/>
      <c r="J12" s="11" t="b">
        <v>1</v>
      </c>
      <c r="K12" s="80"/>
      <c r="L12" s="15" t="s">
        <v>43</v>
      </c>
      <c r="M12" s="17">
        <f ca="1">USD_ARR_CURVE!M8</f>
        <v>2.4875000000000001E-3</v>
      </c>
      <c r="N12" s="80"/>
      <c r="O12" s="15" t="s">
        <v>43</v>
      </c>
      <c r="P12" s="88">
        <f ca="1">USD_ARR_CURVE!P8+$C$3</f>
        <v>1.4973999999999999E-2</v>
      </c>
      <c r="Q12" s="57"/>
    </row>
    <row r="13" spans="2:17" x14ac:dyDescent="0.25">
      <c r="B13" s="56"/>
      <c r="C13" s="20"/>
      <c r="D13" s="20"/>
      <c r="E13" s="3" t="s">
        <v>1</v>
      </c>
      <c r="F13" s="15" t="s">
        <v>44</v>
      </c>
      <c r="G13" s="86">
        <f ca="1">USD_ARR_CURVE!G9+$C$3</f>
        <v>2.1359000000000003E-2</v>
      </c>
      <c r="H13" s="10"/>
      <c r="I13" s="10"/>
      <c r="J13" s="11" t="b">
        <v>1</v>
      </c>
      <c r="K13" s="80"/>
      <c r="L13" s="15" t="s">
        <v>45</v>
      </c>
      <c r="M13" s="17">
        <f ca="1">USD_ARR_CURVE!M9</f>
        <v>2.4499999999999999E-3</v>
      </c>
      <c r="N13" s="80"/>
      <c r="O13" s="15" t="s">
        <v>45</v>
      </c>
      <c r="P13" s="88">
        <f ca="1">USD_ARR_CURVE!P9+$C$3</f>
        <v>1.477E-2</v>
      </c>
      <c r="Q13" s="57"/>
    </row>
    <row r="14" spans="2:17" x14ac:dyDescent="0.25">
      <c r="B14" s="56"/>
      <c r="C14" s="25" t="s">
        <v>16</v>
      </c>
      <c r="D14" s="2"/>
      <c r="E14" s="3" t="s">
        <v>1</v>
      </c>
      <c r="F14" s="15" t="s">
        <v>46</v>
      </c>
      <c r="G14" s="86">
        <f ca="1">USD_ARR_CURVE!G10+$C$3</f>
        <v>2.0020999999999997E-2</v>
      </c>
      <c r="H14" s="10"/>
      <c r="I14" s="10"/>
      <c r="J14" s="11" t="b">
        <v>1</v>
      </c>
      <c r="K14" s="80"/>
      <c r="L14" s="15" t="s">
        <v>47</v>
      </c>
      <c r="M14" s="17">
        <f ca="1">USD_ARR_CURVE!M10</f>
        <v>2.39375E-3</v>
      </c>
      <c r="N14" s="80"/>
      <c r="O14" s="15" t="s">
        <v>47</v>
      </c>
      <c r="P14" s="88">
        <f ca="1">USD_ARR_CURVE!P10+$C$3</f>
        <v>1.4761999999999999E-2</v>
      </c>
      <c r="Q14" s="57"/>
    </row>
    <row r="15" spans="2:17" x14ac:dyDescent="0.25">
      <c r="B15" s="56"/>
      <c r="C15" s="21" t="s">
        <v>17</v>
      </c>
      <c r="D15" s="22" t="s">
        <v>98</v>
      </c>
      <c r="E15" s="3" t="s">
        <v>1</v>
      </c>
      <c r="F15" s="15" t="s">
        <v>48</v>
      </c>
      <c r="G15" s="86">
        <f ca="1">USD_ARR_CURVE!G11+$C$3</f>
        <v>1.9096999999999999E-2</v>
      </c>
      <c r="H15" s="10"/>
      <c r="I15" s="10"/>
      <c r="J15" s="11" t="b">
        <v>1</v>
      </c>
      <c r="K15" s="80"/>
      <c r="L15" s="15" t="s">
        <v>49</v>
      </c>
      <c r="M15" s="17">
        <f ca="1">USD_ARR_CURVE!M11</f>
        <v>2.3625E-3</v>
      </c>
      <c r="N15" s="80"/>
      <c r="O15" s="15" t="s">
        <v>49</v>
      </c>
      <c r="P15" s="88">
        <f ca="1">USD_ARR_CURVE!P11+$C$3</f>
        <v>1.524E-2</v>
      </c>
      <c r="Q15" s="57"/>
    </row>
    <row r="16" spans="2:17" x14ac:dyDescent="0.25">
      <c r="B16" s="56"/>
      <c r="C16" s="23" t="s">
        <v>18</v>
      </c>
      <c r="D16" s="24" t="str">
        <f ca="1">_xll.meLWOCurveMarketDataCreate(D15,C7,C9:D12,F7,F9:J34,L7,L9:M34,O7,O9:P34)</f>
        <v>USD_ARR_MARKETDATA_BUMPED@5:10</v>
      </c>
      <c r="E16" s="3" t="s">
        <v>1</v>
      </c>
      <c r="F16" s="15" t="s">
        <v>50</v>
      </c>
      <c r="G16" s="86">
        <f ca="1">USD_ARR_CURVE!G12+$C$3</f>
        <v>1.8491E-2</v>
      </c>
      <c r="H16" s="10"/>
      <c r="I16" s="10"/>
      <c r="J16" s="11" t="b">
        <v>1</v>
      </c>
      <c r="K16" s="80"/>
      <c r="L16" s="15" t="s">
        <v>51</v>
      </c>
      <c r="M16" s="17">
        <f ca="1">USD_ARR_CURVE!M12</f>
        <v>2.3500000000000001E-3</v>
      </c>
      <c r="N16" s="80"/>
      <c r="O16" s="15" t="s">
        <v>51</v>
      </c>
      <c r="P16" s="88">
        <f ca="1">USD_ARR_CURVE!P12+$C$3</f>
        <v>1.5604E-2</v>
      </c>
      <c r="Q16" s="57"/>
    </row>
    <row r="17" spans="2:17" x14ac:dyDescent="0.25">
      <c r="B17" s="56"/>
      <c r="C17" s="3"/>
      <c r="D17" s="3"/>
      <c r="E17" s="3" t="s">
        <v>1</v>
      </c>
      <c r="F17" s="15" t="s">
        <v>52</v>
      </c>
      <c r="G17" s="86">
        <f ca="1">USD_ARR_CURVE!G13+$C$3</f>
        <v>1.7860000000000001E-2</v>
      </c>
      <c r="H17" s="10"/>
      <c r="I17" s="10"/>
      <c r="J17" s="11" t="b">
        <v>1</v>
      </c>
      <c r="K17" s="80"/>
      <c r="L17" s="15" t="s">
        <v>53</v>
      </c>
      <c r="M17" s="17">
        <f ca="1">USD_ARR_CURVE!M13</f>
        <v>2.3500000000000001E-3</v>
      </c>
      <c r="N17" s="80"/>
      <c r="O17" s="15" t="s">
        <v>53</v>
      </c>
      <c r="P17" s="88">
        <f ca="1">USD_ARR_CURVE!P13+$C$3</f>
        <v>1.6062000000000003E-2</v>
      </c>
      <c r="Q17" s="57"/>
    </row>
    <row r="18" spans="2:17" x14ac:dyDescent="0.25">
      <c r="B18" s="56"/>
      <c r="C18" s="3"/>
      <c r="D18" s="3"/>
      <c r="E18" s="3" t="s">
        <v>1</v>
      </c>
      <c r="F18" s="15" t="s">
        <v>54</v>
      </c>
      <c r="G18" s="86">
        <f ca="1">USD_ARR_CURVE!G14+$C$3</f>
        <v>1.7431000000000002E-2</v>
      </c>
      <c r="H18" s="10"/>
      <c r="I18" s="10"/>
      <c r="J18" s="11" t="b">
        <v>1</v>
      </c>
      <c r="K18" s="80"/>
      <c r="L18" s="15" t="s">
        <v>55</v>
      </c>
      <c r="M18" s="17">
        <f ca="1">USD_ARR_CURVE!M14</f>
        <v>2.3437499999999999E-3</v>
      </c>
      <c r="N18" s="80"/>
      <c r="O18" s="15" t="s">
        <v>55</v>
      </c>
      <c r="P18" s="88">
        <f ca="1">USD_ARR_CURVE!P14+$C$3</f>
        <v>1.6492E-2</v>
      </c>
      <c r="Q18" s="57"/>
    </row>
    <row r="19" spans="2:17" x14ac:dyDescent="0.25">
      <c r="B19" s="56"/>
      <c r="C19" s="3"/>
      <c r="D19" s="3"/>
      <c r="E19" s="3" t="s">
        <v>1</v>
      </c>
      <c r="F19" s="15" t="s">
        <v>56</v>
      </c>
      <c r="G19" s="86">
        <f ca="1">USD_ARR_CURVE!G15+$C$3</f>
        <v>1.6212000000000001E-2</v>
      </c>
      <c r="H19" s="10"/>
      <c r="I19" s="10"/>
      <c r="J19" s="11" t="b">
        <v>1</v>
      </c>
      <c r="K19" s="80"/>
      <c r="L19" s="15" t="s">
        <v>57</v>
      </c>
      <c r="M19" s="17">
        <f ca="1">USD_ARR_CURVE!M15</f>
        <v>2.3437499999999999E-3</v>
      </c>
      <c r="N19" s="80"/>
      <c r="O19" s="15" t="s">
        <v>57</v>
      </c>
      <c r="P19" s="88">
        <f ca="1">USD_ARR_CURVE!P15+$C$3</f>
        <v>1.6663000000000001E-2</v>
      </c>
      <c r="Q19" s="57"/>
    </row>
    <row r="20" spans="2:17" x14ac:dyDescent="0.25">
      <c r="B20" s="56"/>
      <c r="C20" s="3"/>
      <c r="D20" s="3"/>
      <c r="E20" s="3" t="s">
        <v>1</v>
      </c>
      <c r="F20" s="15" t="s">
        <v>37</v>
      </c>
      <c r="G20" s="86">
        <f ca="1">USD_ARR_CURVE!G16+$C$3</f>
        <v>1.5407999999999998E-2</v>
      </c>
      <c r="H20" s="10"/>
      <c r="I20" s="10"/>
      <c r="J20" s="11" t="b">
        <v>1</v>
      </c>
      <c r="K20" s="80"/>
      <c r="L20" s="15" t="s">
        <v>58</v>
      </c>
      <c r="M20" s="17">
        <f ca="1">USD_ARR_CURVE!M16</f>
        <v>2.3500000000000001E-3</v>
      </c>
      <c r="N20" s="80"/>
      <c r="O20" s="15" t="s">
        <v>58</v>
      </c>
      <c r="P20" s="88">
        <f ca="1">USD_ARR_CURVE!P16+$C$3</f>
        <v>1.6696000000000003E-2</v>
      </c>
      <c r="Q20" s="57"/>
    </row>
    <row r="21" spans="2:17" x14ac:dyDescent="0.25">
      <c r="B21" s="56"/>
      <c r="C21" s="25" t="s">
        <v>19</v>
      </c>
      <c r="D21" s="2"/>
      <c r="E21" s="3" t="s">
        <v>1</v>
      </c>
      <c r="F21" s="15"/>
      <c r="G21" s="16"/>
      <c r="H21" s="10"/>
      <c r="I21" s="10"/>
      <c r="J21" s="11"/>
      <c r="K21" s="80"/>
      <c r="L21" s="15" t="s">
        <v>20</v>
      </c>
      <c r="M21" s="17">
        <f ca="1">USD_ARR_CURVE!M17</f>
        <v>2.3500000000000001E-3</v>
      </c>
      <c r="N21" s="80"/>
      <c r="O21" s="15" t="s">
        <v>20</v>
      </c>
      <c r="P21" s="88">
        <f ca="1">USD_ARR_CURVE!P17+$C$3</f>
        <v>1.6696000000000003E-2</v>
      </c>
      <c r="Q21" s="58"/>
    </row>
    <row r="22" spans="2:17" x14ac:dyDescent="0.25">
      <c r="B22" s="56"/>
      <c r="C22" s="26" t="s">
        <v>17</v>
      </c>
      <c r="D22" s="27" t="s">
        <v>128</v>
      </c>
      <c r="E22" s="3" t="s">
        <v>1</v>
      </c>
      <c r="F22" s="15"/>
      <c r="G22" s="16"/>
      <c r="H22" s="10"/>
      <c r="I22" s="10"/>
      <c r="J22" s="11"/>
      <c r="K22" s="80"/>
      <c r="L22" s="15" t="s">
        <v>21</v>
      </c>
      <c r="M22" s="17">
        <f ca="1">USD_ARR_CURVE!M18</f>
        <v>2.3500000000000001E-3</v>
      </c>
      <c r="N22" s="80"/>
      <c r="O22" s="15" t="s">
        <v>21</v>
      </c>
      <c r="P22" s="88">
        <f ca="1">USD_ARR_CURVE!P18+$C$3</f>
        <v>1.6696000000000003E-2</v>
      </c>
      <c r="Q22" s="58"/>
    </row>
    <row r="23" spans="2:17" x14ac:dyDescent="0.25">
      <c r="B23" s="56"/>
      <c r="C23" s="28" t="s">
        <v>22</v>
      </c>
      <c r="D23" s="29" t="str">
        <f ca="1">CURVE_GENERATOR!$I$5</f>
        <v>USD_SOFR_NO_JACOBIAN@2:5</v>
      </c>
      <c r="E23" s="3" t="s">
        <v>1</v>
      </c>
      <c r="F23" s="15"/>
      <c r="G23" s="16"/>
      <c r="H23" s="10"/>
      <c r="I23" s="10"/>
      <c r="J23" s="11"/>
      <c r="K23" s="80"/>
      <c r="L23" s="15"/>
      <c r="M23" s="17"/>
      <c r="N23" s="80"/>
      <c r="O23" s="15"/>
      <c r="P23" s="17"/>
      <c r="Q23" s="57"/>
    </row>
    <row r="24" spans="2:17" x14ac:dyDescent="0.25">
      <c r="B24" s="56"/>
      <c r="C24" s="28" t="s">
        <v>23</v>
      </c>
      <c r="D24" s="30" t="s">
        <v>127</v>
      </c>
      <c r="E24" s="3" t="s">
        <v>1</v>
      </c>
      <c r="F24" s="15"/>
      <c r="G24" s="16"/>
      <c r="H24" s="10"/>
      <c r="I24" s="10"/>
      <c r="J24" s="11"/>
      <c r="K24" s="80"/>
      <c r="L24" s="15"/>
      <c r="M24" s="17"/>
      <c r="N24" s="80"/>
      <c r="O24" s="15"/>
      <c r="P24" s="17"/>
      <c r="Q24" s="57"/>
    </row>
    <row r="25" spans="2:17" x14ac:dyDescent="0.25">
      <c r="B25" s="56"/>
      <c r="C25" s="31" t="s">
        <v>25</v>
      </c>
      <c r="D25" s="32"/>
      <c r="E25" s="3" t="s">
        <v>1</v>
      </c>
      <c r="F25" s="15"/>
      <c r="G25" s="16"/>
      <c r="H25" s="10"/>
      <c r="I25" s="10"/>
      <c r="J25" s="11"/>
      <c r="K25" s="80"/>
      <c r="L25" s="15"/>
      <c r="M25" s="17"/>
      <c r="N25" s="80"/>
      <c r="O25" s="15"/>
      <c r="P25" s="17"/>
      <c r="Q25" s="57"/>
    </row>
    <row r="26" spans="2:17" x14ac:dyDescent="0.25">
      <c r="B26" s="56"/>
      <c r="C26" s="3"/>
      <c r="D26" s="3"/>
      <c r="E26" s="3" t="s">
        <v>1</v>
      </c>
      <c r="F26" s="15"/>
      <c r="G26" s="16"/>
      <c r="H26" s="10"/>
      <c r="I26" s="10"/>
      <c r="J26" s="11"/>
      <c r="K26" s="80"/>
      <c r="L26" s="15"/>
      <c r="M26" s="17"/>
      <c r="N26" s="80"/>
      <c r="O26" s="15"/>
      <c r="P26" s="17"/>
      <c r="Q26" s="57"/>
    </row>
    <row r="27" spans="2:17" x14ac:dyDescent="0.25">
      <c r="B27" s="56"/>
      <c r="C27" s="3"/>
      <c r="D27" s="3"/>
      <c r="E27" s="3" t="s">
        <v>1</v>
      </c>
      <c r="F27" s="15"/>
      <c r="G27" s="16"/>
      <c r="H27" s="10"/>
      <c r="I27" s="10"/>
      <c r="J27" s="11"/>
      <c r="K27" s="80"/>
      <c r="L27" s="15"/>
      <c r="M27" s="17"/>
      <c r="N27" s="80"/>
      <c r="O27" s="15"/>
      <c r="P27" s="17"/>
      <c r="Q27" s="57"/>
    </row>
    <row r="28" spans="2:17" x14ac:dyDescent="0.25">
      <c r="B28" s="56"/>
      <c r="C28" s="3"/>
      <c r="D28" s="3"/>
      <c r="E28" s="3" t="s">
        <v>1</v>
      </c>
      <c r="F28" s="15"/>
      <c r="G28" s="16"/>
      <c r="H28" s="10"/>
      <c r="I28" s="10"/>
      <c r="J28" s="11"/>
      <c r="K28" s="80"/>
      <c r="L28" s="15"/>
      <c r="M28" s="17"/>
      <c r="N28" s="80"/>
      <c r="O28" s="15"/>
      <c r="P28" s="17"/>
      <c r="Q28" s="57"/>
    </row>
    <row r="29" spans="2:17" x14ac:dyDescent="0.25">
      <c r="B29" s="56"/>
      <c r="C29" s="25" t="s">
        <v>26</v>
      </c>
      <c r="D29" s="3"/>
      <c r="E29" s="3" t="s">
        <v>1</v>
      </c>
      <c r="F29" s="15"/>
      <c r="G29" s="16"/>
      <c r="H29" s="10"/>
      <c r="I29" s="10"/>
      <c r="J29" s="11"/>
      <c r="K29" s="80"/>
      <c r="L29" s="15"/>
      <c r="M29" s="17"/>
      <c r="N29" s="80"/>
      <c r="O29" s="15"/>
      <c r="P29" s="17"/>
      <c r="Q29" s="57"/>
    </row>
    <row r="30" spans="2:17" x14ac:dyDescent="0.25">
      <c r="B30" s="56"/>
      <c r="C30" s="33" t="s">
        <v>17</v>
      </c>
      <c r="D30" s="34" t="str">
        <f t="array" aca="1" ref="D30:D33" ca="1">_xll.meLWOCurveCalibrate(D22,D23,D16,D24,D25)</f>
        <v>USD_ARR_CURVE_FLAT_SHIFT@6:10</v>
      </c>
      <c r="E30" s="3" t="s">
        <v>1</v>
      </c>
      <c r="F30" s="15"/>
      <c r="G30" s="16"/>
      <c r="H30" s="10"/>
      <c r="I30" s="10"/>
      <c r="J30" s="11"/>
      <c r="K30" s="80"/>
      <c r="L30" s="15"/>
      <c r="M30" s="17"/>
      <c r="N30" s="80"/>
      <c r="O30" s="15"/>
      <c r="P30" s="17"/>
      <c r="Q30" s="57"/>
    </row>
    <row r="31" spans="2:17" x14ac:dyDescent="0.25">
      <c r="B31" s="56"/>
      <c r="C31" s="37" t="s">
        <v>27</v>
      </c>
      <c r="D31" s="35" t="str">
        <f ca="1"/>
        <v>USDYC_FLAT_SHIFT</v>
      </c>
      <c r="E31" s="3" t="s">
        <v>1</v>
      </c>
      <c r="F31" s="15"/>
      <c r="G31" s="16"/>
      <c r="H31" s="10"/>
      <c r="I31" s="10"/>
      <c r="J31" s="11"/>
      <c r="K31" s="80"/>
      <c r="L31" s="15"/>
      <c r="M31" s="17"/>
      <c r="N31" s="80"/>
      <c r="O31" s="15"/>
      <c r="P31" s="17"/>
      <c r="Q31" s="57"/>
    </row>
    <row r="32" spans="2:17" x14ac:dyDescent="0.25">
      <c r="B32" s="56"/>
      <c r="C32" s="37" t="s">
        <v>28</v>
      </c>
      <c r="D32" s="35" t="str">
        <f ca="1"/>
        <v>ARR</v>
      </c>
      <c r="E32" s="3" t="s">
        <v>1</v>
      </c>
      <c r="F32" s="15"/>
      <c r="G32" s="16"/>
      <c r="H32" s="10"/>
      <c r="I32" s="10"/>
      <c r="J32" s="11"/>
      <c r="K32" s="80"/>
      <c r="L32" s="15"/>
      <c r="M32" s="17"/>
      <c r="N32" s="80"/>
      <c r="O32" s="15"/>
      <c r="P32" s="17"/>
      <c r="Q32" s="57"/>
    </row>
    <row r="33" spans="2:17" x14ac:dyDescent="0.25">
      <c r="B33" s="56"/>
      <c r="C33" s="38" t="s">
        <v>29</v>
      </c>
      <c r="D33" s="36" t="str">
        <f ca="1"/>
        <v>0.03500 sec</v>
      </c>
      <c r="E33" s="3" t="s">
        <v>1</v>
      </c>
      <c r="F33" s="15"/>
      <c r="G33" s="16"/>
      <c r="H33" s="10"/>
      <c r="I33" s="10"/>
      <c r="J33" s="39"/>
      <c r="K33" s="80"/>
      <c r="L33" s="15"/>
      <c r="M33" s="17"/>
      <c r="N33" s="80"/>
      <c r="O33" s="15"/>
      <c r="P33" s="17"/>
      <c r="Q33" s="57"/>
    </row>
    <row r="34" spans="2:17" x14ac:dyDescent="0.25">
      <c r="B34" s="56"/>
      <c r="C34" s="40" t="s">
        <v>30</v>
      </c>
      <c r="D34" s="41" t="b">
        <f ca="1">_xll.meLWOExists(D30,"CURVE")</f>
        <v>1</v>
      </c>
      <c r="E34" s="3" t="s">
        <v>1</v>
      </c>
      <c r="F34" s="42"/>
      <c r="G34" s="43"/>
      <c r="H34" s="44"/>
      <c r="I34" s="44"/>
      <c r="J34" s="45"/>
      <c r="K34" s="80"/>
      <c r="L34" s="42"/>
      <c r="M34" s="46"/>
      <c r="N34" s="80"/>
      <c r="O34" s="42"/>
      <c r="P34" s="46"/>
      <c r="Q34" s="57"/>
    </row>
    <row r="35" spans="2:17" x14ac:dyDescent="0.25">
      <c r="B35" s="75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00"/>
  </sheetPr>
  <dimension ref="B2:S222"/>
  <sheetViews>
    <sheetView showGridLines="0" workbookViewId="0"/>
  </sheetViews>
  <sheetFormatPr defaultRowHeight="15" x14ac:dyDescent="0.25"/>
  <cols>
    <col min="2" max="2" width="23.7109375" bestFit="1" customWidth="1"/>
    <col min="3" max="3" width="19.42578125" bestFit="1" customWidth="1"/>
    <col min="5" max="5" width="14.5703125" customWidth="1"/>
    <col min="6" max="6" width="15.140625" bestFit="1" customWidth="1"/>
    <col min="8" max="8" width="10.28515625" customWidth="1"/>
    <col min="9" max="9" width="18" bestFit="1" customWidth="1"/>
    <col min="11" max="11" width="10.7109375" customWidth="1"/>
    <col min="12" max="13" width="11.7109375" style="92" customWidth="1"/>
    <col min="14" max="14" width="10.7109375" customWidth="1"/>
    <col min="16" max="16" width="10.7109375" customWidth="1"/>
    <col min="17" max="18" width="11.7109375" style="92" customWidth="1"/>
    <col min="19" max="19" width="10.7109375" customWidth="1"/>
  </cols>
  <sheetData>
    <row r="2" spans="2:19" x14ac:dyDescent="0.25">
      <c r="B2" s="81" t="s">
        <v>105</v>
      </c>
      <c r="E2" s="81" t="s">
        <v>104</v>
      </c>
      <c r="H2" s="81" t="s">
        <v>103</v>
      </c>
      <c r="K2" s="81" t="s">
        <v>106</v>
      </c>
      <c r="L2" s="82"/>
      <c r="P2" s="81" t="s">
        <v>111</v>
      </c>
    </row>
    <row r="3" spans="2:19" x14ac:dyDescent="0.25">
      <c r="B3" s="98" t="str">
        <f t="array" aca="1" ref="B3:C221" ca="1">_xll.meCurveResultsJacobianDisplay(USD_ARR_CURVE!$D$27,USD_ARR_CURVE!$D$28)</f>
        <v>RiskType</v>
      </c>
      <c r="C3" s="99" t="str">
        <f ca="1"/>
        <v>DISCOUNT_FACTORS</v>
      </c>
      <c r="E3" s="97"/>
      <c r="H3" s="97"/>
    </row>
    <row r="4" spans="2:19" x14ac:dyDescent="0.25">
      <c r="B4" s="98" t="str">
        <f ca="1"/>
        <v>ShiftType</v>
      </c>
      <c r="C4" s="99" t="str">
        <f ca="1"/>
        <v>FLAT_SHIFT</v>
      </c>
      <c r="E4" t="s">
        <v>147</v>
      </c>
      <c r="F4" s="132" t="str">
        <f ca="1">USD_ARR_CURVE!$D$27</f>
        <v>USDYC</v>
      </c>
      <c r="H4" t="s">
        <v>147</v>
      </c>
      <c r="I4" s="132" t="str">
        <f ca="1">APPLY_FLAT_SHIFT!$D$31</f>
        <v>USDYC_FLAT_SHIFT</v>
      </c>
    </row>
    <row r="5" spans="2:19" x14ac:dyDescent="0.25">
      <c r="B5" s="98" t="str">
        <f ca="1"/>
        <v>GradientShiftSize</v>
      </c>
      <c r="C5" s="99">
        <f ca="1"/>
        <v>9.9999999999999995E-7</v>
      </c>
      <c r="E5" t="s">
        <v>148</v>
      </c>
      <c r="F5" s="132" t="str">
        <f ca="1">USD_ARR_CURVE!$D$28</f>
        <v>ARR</v>
      </c>
      <c r="H5" t="s">
        <v>148</v>
      </c>
      <c r="I5" s="132" t="str">
        <f ca="1">APPLY_FLAT_SHIFT!$D$32</f>
        <v>ARR</v>
      </c>
    </row>
    <row r="6" spans="2:19" x14ac:dyDescent="0.25">
      <c r="B6" s="98" t="str">
        <f ca="1"/>
        <v/>
      </c>
      <c r="C6" s="99" t="str">
        <f ca="1"/>
        <v/>
      </c>
      <c r="N6" s="82" t="s">
        <v>149</v>
      </c>
      <c r="S6" s="82" t="s">
        <v>149</v>
      </c>
    </row>
    <row r="7" spans="2:19" x14ac:dyDescent="0.25">
      <c r="B7" s="98" t="str">
        <f ca="1"/>
        <v>MarketDataShiftSize</v>
      </c>
      <c r="C7" s="99">
        <f ca="1"/>
        <v>1E-4</v>
      </c>
      <c r="N7" s="90">
        <f ca="1">SUM(N11:N220)</f>
        <v>0</v>
      </c>
      <c r="S7" s="90">
        <f ca="1">SUM(S11:S220)</f>
        <v>0</v>
      </c>
    </row>
    <row r="8" spans="2:19" x14ac:dyDescent="0.25">
      <c r="B8" s="100" t="str">
        <f ca="1"/>
        <v/>
      </c>
      <c r="C8" s="100" t="str">
        <f ca="1"/>
        <v/>
      </c>
    </row>
    <row r="9" spans="2:19" x14ac:dyDescent="0.25">
      <c r="B9" s="99" t="str">
        <f ca="1"/>
        <v/>
      </c>
      <c r="C9" s="99" t="str">
        <f ca="1"/>
        <v>Instrument</v>
      </c>
      <c r="K9" s="123"/>
      <c r="Q9" s="81"/>
    </row>
    <row r="10" spans="2:19" ht="15.75" thickBot="1" x14ac:dyDescent="0.3">
      <c r="B10" s="99" t="str">
        <f ca="1"/>
        <v>PaymentDate</v>
      </c>
      <c r="C10" s="99" t="str">
        <f ca="1"/>
        <v>Total</v>
      </c>
      <c r="E10" s="95" t="str">
        <f t="array" aca="1" ref="E10:F221" ca="1">_xll.meCurveDiscountFactorsDisplay(USD_ARR_CURVE!$D$27,USD_ARR_CURVE!$D$28)</f>
        <v>PaymentDates</v>
      </c>
      <c r="F10" s="133" t="str">
        <f ca="1"/>
        <v>DiscountFactors</v>
      </c>
      <c r="H10" s="95" t="str">
        <f t="array" aca="1" ref="H10:I221" ca="1">_xll.meCurveDiscountFactorsDisplay(APPLY_FLAT_SHIFT!$D$31,APPLY_FLAT_SHIFT!$D$32)</f>
        <v>PaymentDates</v>
      </c>
      <c r="I10" s="133" t="str">
        <f ca="1"/>
        <v>DiscountFactors</v>
      </c>
      <c r="K10" s="133" t="s">
        <v>102</v>
      </c>
      <c r="L10" s="133" t="s">
        <v>109</v>
      </c>
      <c r="M10" s="92" t="s">
        <v>110</v>
      </c>
      <c r="N10" s="104" t="s">
        <v>107</v>
      </c>
      <c r="P10" s="133" t="s">
        <v>102</v>
      </c>
      <c r="Q10" s="133" t="s">
        <v>109</v>
      </c>
      <c r="R10" s="92" t="s">
        <v>110</v>
      </c>
      <c r="S10" s="104" t="s">
        <v>107</v>
      </c>
    </row>
    <row r="11" spans="2:19" ht="15.75" thickTop="1" x14ac:dyDescent="0.25">
      <c r="B11" s="101">
        <f ca="1"/>
        <v>43691</v>
      </c>
      <c r="C11" s="102">
        <f ca="1"/>
        <v>0</v>
      </c>
      <c r="E11" s="96">
        <f ca="1"/>
        <v>43691</v>
      </c>
      <c r="F11" s="134">
        <f ca="1"/>
        <v>1</v>
      </c>
      <c r="H11" s="96">
        <f ca="1"/>
        <v>43691</v>
      </c>
      <c r="I11" s="134">
        <f ca="1"/>
        <v>1</v>
      </c>
      <c r="K11" s="138">
        <f ca="1">H11</f>
        <v>43691</v>
      </c>
      <c r="L11" s="135">
        <f ca="1">C11</f>
        <v>0</v>
      </c>
      <c r="M11" s="106">
        <f ca="1">I11-F11</f>
        <v>0</v>
      </c>
      <c r="N11" s="90">
        <f t="shared" ref="N11:N74" ca="1" si="0">L11-M11</f>
        <v>0</v>
      </c>
      <c r="O11" s="89"/>
      <c r="P11" s="138">
        <f ca="1">E11</f>
        <v>43691</v>
      </c>
      <c r="Q11" s="113">
        <f t="shared" ref="Q11:Q74" ca="1" si="1">L11+F11</f>
        <v>1</v>
      </c>
      <c r="R11" s="110">
        <f t="shared" ref="R11:R74" ca="1" si="2">F11+M11</f>
        <v>1</v>
      </c>
      <c r="S11" s="90">
        <f t="shared" ref="S11:S74" ca="1" si="3">Q11-R11</f>
        <v>0</v>
      </c>
    </row>
    <row r="12" spans="2:19" x14ac:dyDescent="0.25">
      <c r="B12" s="101">
        <f ca="1"/>
        <v>43692</v>
      </c>
      <c r="C12" s="102">
        <f ca="1"/>
        <v>-2.7774506028421797E-9</v>
      </c>
      <c r="E12" s="96">
        <f ca="1"/>
        <v>43692</v>
      </c>
      <c r="F12" s="134">
        <f ca="1"/>
        <v>0.99994111457880819</v>
      </c>
      <c r="H12" s="96">
        <f ca="1"/>
        <v>43692</v>
      </c>
      <c r="I12" s="134">
        <f ca="1"/>
        <v>0.99994111180135758</v>
      </c>
      <c r="K12" s="138">
        <f ca="1">H12</f>
        <v>43692</v>
      </c>
      <c r="L12" s="136">
        <f ca="1">C12</f>
        <v>-2.7774506028421797E-9</v>
      </c>
      <c r="M12" s="107">
        <f ca="1">I12-F12</f>
        <v>-2.7774506028421797E-9</v>
      </c>
      <c r="N12" s="90">
        <f t="shared" ca="1" si="0"/>
        <v>0</v>
      </c>
      <c r="O12" s="89"/>
      <c r="P12" s="138">
        <f ca="1">E12</f>
        <v>43692</v>
      </c>
      <c r="Q12" s="114">
        <f t="shared" ca="1" si="1"/>
        <v>0.99994111180135758</v>
      </c>
      <c r="R12" s="111">
        <f t="shared" ca="1" si="2"/>
        <v>0.99994111180135758</v>
      </c>
      <c r="S12" s="90">
        <f t="shared" ca="1" si="3"/>
        <v>0</v>
      </c>
    </row>
    <row r="13" spans="2:19" x14ac:dyDescent="0.25">
      <c r="B13" s="101">
        <f ca="1"/>
        <v>43693</v>
      </c>
      <c r="C13" s="102">
        <f ca="1"/>
        <v>-5.5545741339813048E-9</v>
      </c>
      <c r="E13" s="96">
        <f ca="1"/>
        <v>43693</v>
      </c>
      <c r="F13" s="134">
        <f ca="1"/>
        <v>0.99988223262510922</v>
      </c>
      <c r="H13" s="96">
        <f ca="1"/>
        <v>43693</v>
      </c>
      <c r="I13" s="134">
        <f ca="1"/>
        <v>0.99988222707053509</v>
      </c>
      <c r="K13" s="138">
        <f ca="1">H13</f>
        <v>43693</v>
      </c>
      <c r="L13" s="136">
        <f ca="1">C13</f>
        <v>-5.5545741339813048E-9</v>
      </c>
      <c r="M13" s="107">
        <f ca="1">I13-F13</f>
        <v>-5.5545741339813048E-9</v>
      </c>
      <c r="N13" s="90">
        <f t="shared" ca="1" si="0"/>
        <v>0</v>
      </c>
      <c r="O13" s="89"/>
      <c r="P13" s="138">
        <f ca="1">E13</f>
        <v>43693</v>
      </c>
      <c r="Q13" s="114">
        <f t="shared" ca="1" si="1"/>
        <v>0.99988222707053509</v>
      </c>
      <c r="R13" s="111">
        <f t="shared" ca="1" si="2"/>
        <v>0.99988222707053509</v>
      </c>
      <c r="S13" s="90">
        <f t="shared" ca="1" si="3"/>
        <v>0</v>
      </c>
    </row>
    <row r="14" spans="2:19" x14ac:dyDescent="0.25">
      <c r="B14" s="101">
        <f ca="1"/>
        <v>43700</v>
      </c>
      <c r="C14" s="102">
        <f ca="1"/>
        <v>-2.4978309864920334E-8</v>
      </c>
      <c r="E14" s="96">
        <f ca="1"/>
        <v>43700</v>
      </c>
      <c r="F14" s="134">
        <f ca="1"/>
        <v>0.99946774224720281</v>
      </c>
      <c r="H14" s="96">
        <f ca="1"/>
        <v>43700</v>
      </c>
      <c r="I14" s="134">
        <f ca="1"/>
        <v>0.99946771726889294</v>
      </c>
      <c r="K14" s="138">
        <f ca="1">H14</f>
        <v>43700</v>
      </c>
      <c r="L14" s="136">
        <f ca="1">C14</f>
        <v>-2.4978309864920334E-8</v>
      </c>
      <c r="M14" s="107">
        <f ca="1">I14-F14</f>
        <v>-2.4978309864920334E-8</v>
      </c>
      <c r="N14" s="90">
        <f t="shared" ca="1" si="0"/>
        <v>0</v>
      </c>
      <c r="O14" s="89"/>
      <c r="P14" s="138">
        <f ca="1">E14</f>
        <v>43700</v>
      </c>
      <c r="Q14" s="114">
        <f t="shared" ca="1" si="1"/>
        <v>0.99946771726889294</v>
      </c>
      <c r="R14" s="111">
        <f t="shared" ca="1" si="2"/>
        <v>0.99946771726889294</v>
      </c>
      <c r="S14" s="90">
        <f t="shared" ca="1" si="3"/>
        <v>0</v>
      </c>
    </row>
    <row r="15" spans="2:19" x14ac:dyDescent="0.25">
      <c r="B15" s="101">
        <f ca="1"/>
        <v>43707</v>
      </c>
      <c r="C15" s="102">
        <f ca="1"/>
        <v>-4.4369840912494851E-8</v>
      </c>
      <c r="E15" s="96">
        <f ca="1"/>
        <v>43707</v>
      </c>
      <c r="F15" s="134">
        <f ca="1"/>
        <v>0.99905340127252418</v>
      </c>
      <c r="H15" s="96">
        <f ca="1"/>
        <v>43707</v>
      </c>
      <c r="I15" s="134">
        <f ca="1"/>
        <v>0.99905335690268326</v>
      </c>
      <c r="K15" s="138">
        <f ca="1">H15</f>
        <v>43707</v>
      </c>
      <c r="L15" s="136">
        <f ca="1">C15</f>
        <v>-4.4369840912494851E-8</v>
      </c>
      <c r="M15" s="107">
        <f ca="1">I15-F15</f>
        <v>-4.4369840912494851E-8</v>
      </c>
      <c r="N15" s="90">
        <f t="shared" ca="1" si="0"/>
        <v>0</v>
      </c>
      <c r="O15" s="89"/>
      <c r="P15" s="138">
        <f ca="1">E15</f>
        <v>43707</v>
      </c>
      <c r="Q15" s="114">
        <f t="shared" ca="1" si="1"/>
        <v>0.99905335690268326</v>
      </c>
      <c r="R15" s="111">
        <f t="shared" ca="1" si="2"/>
        <v>0.99905335690268326</v>
      </c>
      <c r="S15" s="90">
        <f t="shared" ca="1" si="3"/>
        <v>0</v>
      </c>
    </row>
    <row r="16" spans="2:19" x14ac:dyDescent="0.25">
      <c r="B16" s="101">
        <f ca="1"/>
        <v>43714</v>
      </c>
      <c r="C16" s="102">
        <f ca="1"/>
        <v>-6.3728969768028776E-8</v>
      </c>
      <c r="E16" s="96">
        <f ca="1"/>
        <v>43714</v>
      </c>
      <c r="F16" s="134">
        <f ca="1"/>
        <v>0.99863734795110837</v>
      </c>
      <c r="H16" s="96">
        <f ca="1"/>
        <v>43714</v>
      </c>
      <c r="I16" s="134">
        <f ca="1"/>
        <v>0.9986372842221386</v>
      </c>
      <c r="K16" s="138">
        <f ca="1">H16</f>
        <v>43714</v>
      </c>
      <c r="L16" s="136">
        <f ca="1">C16</f>
        <v>-6.3728969768028776E-8</v>
      </c>
      <c r="M16" s="107">
        <f ca="1">I16-F16</f>
        <v>-6.3728969768028776E-8</v>
      </c>
      <c r="N16" s="90">
        <f t="shared" ca="1" si="0"/>
        <v>0</v>
      </c>
      <c r="O16" s="89"/>
      <c r="P16" s="138">
        <f ca="1">E16</f>
        <v>43714</v>
      </c>
      <c r="Q16" s="114">
        <f t="shared" ca="1" si="1"/>
        <v>0.9986372842221386</v>
      </c>
      <c r="R16" s="111">
        <f t="shared" ca="1" si="2"/>
        <v>0.9986372842221386</v>
      </c>
      <c r="S16" s="90">
        <f t="shared" ca="1" si="3"/>
        <v>0</v>
      </c>
    </row>
    <row r="17" spans="2:19" x14ac:dyDescent="0.25">
      <c r="B17" s="101">
        <f ca="1"/>
        <v>43724</v>
      </c>
      <c r="C17" s="102">
        <f ca="1"/>
        <v>-9.1329503626447206E-8</v>
      </c>
      <c r="E17" s="96">
        <f ca="1"/>
        <v>43724</v>
      </c>
      <c r="F17" s="134">
        <f ca="1"/>
        <v>0.998046664013581</v>
      </c>
      <c r="H17" s="96">
        <f ca="1"/>
        <v>43724</v>
      </c>
      <c r="I17" s="134">
        <f ca="1"/>
        <v>0.99804657268407737</v>
      </c>
      <c r="K17" s="138">
        <f ca="1">H17</f>
        <v>43724</v>
      </c>
      <c r="L17" s="136">
        <f ca="1">C17</f>
        <v>-9.1329503626447206E-8</v>
      </c>
      <c r="M17" s="107">
        <f ca="1">I17-F17</f>
        <v>-9.1329503626447206E-8</v>
      </c>
      <c r="N17" s="90">
        <f t="shared" ca="1" si="0"/>
        <v>0</v>
      </c>
      <c r="O17" s="89"/>
      <c r="P17" s="138">
        <f ca="1">E17</f>
        <v>43724</v>
      </c>
      <c r="Q17" s="114">
        <f t="shared" ca="1" si="1"/>
        <v>0.99804657268407737</v>
      </c>
      <c r="R17" s="111">
        <f t="shared" ca="1" si="2"/>
        <v>0.99804657268407737</v>
      </c>
      <c r="S17" s="90">
        <f t="shared" ca="1" si="3"/>
        <v>0</v>
      </c>
    </row>
    <row r="18" spans="2:19" x14ac:dyDescent="0.25">
      <c r="B18" s="101">
        <f ca="1"/>
        <v>43754</v>
      </c>
      <c r="C18" s="102">
        <f ca="1"/>
        <v>-1.7381660810666943E-7</v>
      </c>
      <c r="E18" s="96">
        <f ca="1"/>
        <v>43754</v>
      </c>
      <c r="F18" s="134">
        <f ca="1"/>
        <v>0.99650182164004475</v>
      </c>
      <c r="H18" s="96">
        <f ca="1"/>
        <v>43754</v>
      </c>
      <c r="I18" s="134">
        <f ca="1"/>
        <v>0.99650164782343664</v>
      </c>
      <c r="K18" s="138">
        <f ca="1">H18</f>
        <v>43754</v>
      </c>
      <c r="L18" s="136">
        <f ca="1">C18</f>
        <v>-1.7381660810666943E-7</v>
      </c>
      <c r="M18" s="107">
        <f ca="1">I18-F18</f>
        <v>-1.7381660810666943E-7</v>
      </c>
      <c r="N18" s="90">
        <f t="shared" ca="1" si="0"/>
        <v>0</v>
      </c>
      <c r="O18" s="89"/>
      <c r="P18" s="138">
        <f ca="1">E18</f>
        <v>43754</v>
      </c>
      <c r="Q18" s="114">
        <f t="shared" ca="1" si="1"/>
        <v>0.99650164782343664</v>
      </c>
      <c r="R18" s="111">
        <f t="shared" ca="1" si="2"/>
        <v>0.99650164782343664</v>
      </c>
      <c r="S18" s="90">
        <f t="shared" ca="1" si="3"/>
        <v>0</v>
      </c>
    </row>
    <row r="19" spans="2:19" x14ac:dyDescent="0.25">
      <c r="B19" s="101">
        <f ca="1"/>
        <v>43787</v>
      </c>
      <c r="C19" s="102">
        <f ca="1"/>
        <v>-2.6402306596562397E-7</v>
      </c>
      <c r="E19" s="96">
        <f ca="1"/>
        <v>43787</v>
      </c>
      <c r="F19" s="134">
        <f ca="1"/>
        <v>0.99492137776067813</v>
      </c>
      <c r="H19" s="96">
        <f ca="1"/>
        <v>43787</v>
      </c>
      <c r="I19" s="134">
        <f ca="1"/>
        <v>0.99492111373761216</v>
      </c>
      <c r="K19" s="138">
        <f ca="1">H19</f>
        <v>43787</v>
      </c>
      <c r="L19" s="136">
        <f ca="1">C19</f>
        <v>-2.6402306596562397E-7</v>
      </c>
      <c r="M19" s="107">
        <f ca="1">I19-F19</f>
        <v>-2.6402306596562397E-7</v>
      </c>
      <c r="N19" s="90">
        <f t="shared" ca="1" si="0"/>
        <v>0</v>
      </c>
      <c r="O19" s="89"/>
      <c r="P19" s="138">
        <f ca="1">E19</f>
        <v>43787</v>
      </c>
      <c r="Q19" s="114">
        <f t="shared" ca="1" si="1"/>
        <v>0.99492111373761216</v>
      </c>
      <c r="R19" s="111">
        <f t="shared" ca="1" si="2"/>
        <v>0.99492111373761216</v>
      </c>
      <c r="S19" s="90">
        <f t="shared" ca="1" si="3"/>
        <v>0</v>
      </c>
    </row>
    <row r="20" spans="2:19" x14ac:dyDescent="0.25">
      <c r="B20" s="101">
        <f ca="1"/>
        <v>43815</v>
      </c>
      <c r="C20" s="102">
        <f ca="1"/>
        <v>-3.40161957934626E-7</v>
      </c>
      <c r="E20" s="96">
        <f ca="1"/>
        <v>43815</v>
      </c>
      <c r="F20" s="134">
        <f ca="1"/>
        <v>0.99365592936858826</v>
      </c>
      <c r="H20" s="96">
        <f ca="1"/>
        <v>43815</v>
      </c>
      <c r="I20" s="134">
        <f ca="1"/>
        <v>0.99365558920663033</v>
      </c>
      <c r="K20" s="138">
        <f ca="1">H20</f>
        <v>43815</v>
      </c>
      <c r="L20" s="136">
        <f ca="1">C20</f>
        <v>-3.40161957934626E-7</v>
      </c>
      <c r="M20" s="107">
        <f ca="1">I20-F20</f>
        <v>-3.40161957934626E-7</v>
      </c>
      <c r="N20" s="90">
        <f t="shared" ca="1" si="0"/>
        <v>0</v>
      </c>
      <c r="O20" s="89"/>
      <c r="P20" s="138">
        <f ca="1">E20</f>
        <v>43815</v>
      </c>
      <c r="Q20" s="114">
        <f t="shared" ca="1" si="1"/>
        <v>0.99365558920663033</v>
      </c>
      <c r="R20" s="111">
        <f t="shared" ca="1" si="2"/>
        <v>0.99365558920663033</v>
      </c>
      <c r="S20" s="90">
        <f t="shared" ca="1" si="3"/>
        <v>0</v>
      </c>
    </row>
    <row r="21" spans="2:19" x14ac:dyDescent="0.25">
      <c r="B21" s="101">
        <f ca="1"/>
        <v>43846</v>
      </c>
      <c r="C21" s="102">
        <f ca="1"/>
        <v>-4.2408440803498593E-7</v>
      </c>
      <c r="E21" s="96">
        <f ca="1"/>
        <v>43846</v>
      </c>
      <c r="F21" s="134">
        <f ca="1"/>
        <v>0.992350220028828</v>
      </c>
      <c r="H21" s="96">
        <f ca="1"/>
        <v>43846</v>
      </c>
      <c r="I21" s="134">
        <f ca="1"/>
        <v>0.99234979594441997</v>
      </c>
      <c r="K21" s="138">
        <f ca="1">H21</f>
        <v>43846</v>
      </c>
      <c r="L21" s="136">
        <f ca="1">C21</f>
        <v>-4.2408440803498593E-7</v>
      </c>
      <c r="M21" s="107">
        <f ca="1">I21-F21</f>
        <v>-4.2408440803498593E-7</v>
      </c>
      <c r="N21" s="90">
        <f t="shared" ca="1" si="0"/>
        <v>0</v>
      </c>
      <c r="O21" s="89"/>
      <c r="P21" s="138">
        <f ca="1">E21</f>
        <v>43846</v>
      </c>
      <c r="Q21" s="114">
        <f t="shared" ca="1" si="1"/>
        <v>0.99234979594441997</v>
      </c>
      <c r="R21" s="111">
        <f t="shared" ca="1" si="2"/>
        <v>0.99234979594441997</v>
      </c>
      <c r="S21" s="90">
        <f t="shared" ca="1" si="3"/>
        <v>0</v>
      </c>
    </row>
    <row r="22" spans="2:19" x14ac:dyDescent="0.25">
      <c r="B22" s="101">
        <f ca="1"/>
        <v>43879</v>
      </c>
      <c r="C22" s="102">
        <f ca="1"/>
        <v>-5.129302230733046E-7</v>
      </c>
      <c r="E22" s="96">
        <f ca="1"/>
        <v>43879</v>
      </c>
      <c r="F22" s="134">
        <f ca="1"/>
        <v>0.99095815892494954</v>
      </c>
      <c r="H22" s="96">
        <f ca="1"/>
        <v>43879</v>
      </c>
      <c r="I22" s="134">
        <f ca="1"/>
        <v>0.99095764599472647</v>
      </c>
      <c r="K22" s="138">
        <f ca="1">H22</f>
        <v>43879</v>
      </c>
      <c r="L22" s="136">
        <f ca="1">C22</f>
        <v>-5.129302230733046E-7</v>
      </c>
      <c r="M22" s="107">
        <f ca="1">I22-F22</f>
        <v>-5.129302230733046E-7</v>
      </c>
      <c r="N22" s="90">
        <f t="shared" ca="1" si="0"/>
        <v>0</v>
      </c>
      <c r="O22" s="89"/>
      <c r="P22" s="138">
        <f ca="1">E22</f>
        <v>43879</v>
      </c>
      <c r="Q22" s="114">
        <f t="shared" ca="1" si="1"/>
        <v>0.99095764599472647</v>
      </c>
      <c r="R22" s="111">
        <f t="shared" ca="1" si="2"/>
        <v>0.99095764599472647</v>
      </c>
      <c r="S22" s="90">
        <f t="shared" ca="1" si="3"/>
        <v>0</v>
      </c>
    </row>
    <row r="23" spans="2:19" x14ac:dyDescent="0.25">
      <c r="B23" s="101">
        <f ca="1"/>
        <v>43969</v>
      </c>
      <c r="C23" s="102">
        <f ca="1"/>
        <v>-7.5335684091015764E-7</v>
      </c>
      <c r="E23" s="96">
        <f ca="1"/>
        <v>43969</v>
      </c>
      <c r="F23" s="134">
        <f ca="1"/>
        <v>0.98760781474005255</v>
      </c>
      <c r="H23" s="96">
        <f ca="1"/>
        <v>43969</v>
      </c>
      <c r="I23" s="134">
        <f ca="1"/>
        <v>0.98760706138321164</v>
      </c>
      <c r="K23" s="138">
        <f ca="1">H23</f>
        <v>43969</v>
      </c>
      <c r="L23" s="136">
        <f ca="1">C23</f>
        <v>-7.5335684091015764E-7</v>
      </c>
      <c r="M23" s="107">
        <f ca="1">I23-F23</f>
        <v>-7.5335684091015764E-7</v>
      </c>
      <c r="N23" s="90">
        <f t="shared" ca="1" si="0"/>
        <v>0</v>
      </c>
      <c r="O23" s="89"/>
      <c r="P23" s="138">
        <f ca="1">E23</f>
        <v>43969</v>
      </c>
      <c r="Q23" s="114">
        <f t="shared" ca="1" si="1"/>
        <v>0.98760706138321164</v>
      </c>
      <c r="R23" s="111">
        <f t="shared" ca="1" si="2"/>
        <v>0.98760706138321164</v>
      </c>
      <c r="S23" s="90">
        <f t="shared" ca="1" si="3"/>
        <v>0</v>
      </c>
    </row>
    <row r="24" spans="2:19" x14ac:dyDescent="0.25">
      <c r="B24" s="101">
        <f ca="1"/>
        <v>44060</v>
      </c>
      <c r="C24" s="102">
        <f ca="1"/>
        <v>-9.8400746051385823E-7</v>
      </c>
      <c r="E24" s="96">
        <f ca="1"/>
        <v>44060</v>
      </c>
      <c r="F24" s="134">
        <f ca="1"/>
        <v>0.98446069390565827</v>
      </c>
      <c r="H24" s="96">
        <f ca="1"/>
        <v>44060</v>
      </c>
      <c r="I24" s="134">
        <f ca="1"/>
        <v>0.98445970989819775</v>
      </c>
      <c r="K24" s="138">
        <f ca="1">H24</f>
        <v>44060</v>
      </c>
      <c r="L24" s="136">
        <f ca="1">C24</f>
        <v>-9.8400746051385823E-7</v>
      </c>
      <c r="M24" s="107">
        <f ca="1">I24-F24</f>
        <v>-9.8400746051385823E-7</v>
      </c>
      <c r="N24" s="90">
        <f t="shared" ca="1" si="0"/>
        <v>0</v>
      </c>
      <c r="O24" s="89"/>
      <c r="P24" s="138">
        <f ca="1">E24</f>
        <v>44060</v>
      </c>
      <c r="Q24" s="114">
        <f t="shared" ca="1" si="1"/>
        <v>0.98445970989819775</v>
      </c>
      <c r="R24" s="111">
        <f t="shared" ca="1" si="2"/>
        <v>0.98445970989819775</v>
      </c>
      <c r="S24" s="90">
        <f t="shared" ca="1" si="3"/>
        <v>0</v>
      </c>
    </row>
    <row r="25" spans="2:19" x14ac:dyDescent="0.25">
      <c r="B25" s="101">
        <f ca="1"/>
        <v>44151</v>
      </c>
      <c r="C25" s="102">
        <f ca="1"/>
        <v>-1.2138610637757452E-6</v>
      </c>
      <c r="E25" s="96">
        <f ca="1"/>
        <v>44151</v>
      </c>
      <c r="F25" s="134">
        <f ca="1"/>
        <v>0.98147776598942948</v>
      </c>
      <c r="H25" s="96">
        <f ca="1"/>
        <v>44151</v>
      </c>
      <c r="I25" s="134">
        <f ca="1"/>
        <v>0.98147655212836571</v>
      </c>
      <c r="K25" s="138">
        <f ca="1">H25</f>
        <v>44151</v>
      </c>
      <c r="L25" s="136">
        <f ca="1">C25</f>
        <v>-1.2138610637757452E-6</v>
      </c>
      <c r="M25" s="107">
        <f ca="1">I25-F25</f>
        <v>-1.2138610637757452E-6</v>
      </c>
      <c r="N25" s="90">
        <f t="shared" ca="1" si="0"/>
        <v>0</v>
      </c>
      <c r="O25" s="89"/>
      <c r="P25" s="138">
        <f ca="1">E25</f>
        <v>44151</v>
      </c>
      <c r="Q25" s="114">
        <f t="shared" ca="1" si="1"/>
        <v>0.98147655212836571</v>
      </c>
      <c r="R25" s="111">
        <f t="shared" ca="1" si="2"/>
        <v>0.98147655212836571</v>
      </c>
      <c r="S25" s="90">
        <f t="shared" ca="1" si="3"/>
        <v>0</v>
      </c>
    </row>
    <row r="26" spans="2:19" x14ac:dyDescent="0.25">
      <c r="B26" s="101">
        <f ca="1"/>
        <v>44243</v>
      </c>
      <c r="C26" s="102">
        <f ca="1"/>
        <v>-1.4526777267764857E-6</v>
      </c>
      <c r="E26" s="96">
        <f ca="1"/>
        <v>44243</v>
      </c>
      <c r="F26" s="134">
        <f ca="1"/>
        <v>0.9786335179934591</v>
      </c>
      <c r="H26" s="96">
        <f ca="1"/>
        <v>44243</v>
      </c>
      <c r="I26" s="134">
        <f ca="1"/>
        <v>0.97863206531573232</v>
      </c>
      <c r="K26" s="138">
        <f ca="1">H26</f>
        <v>44243</v>
      </c>
      <c r="L26" s="136">
        <f ca="1">C26</f>
        <v>-1.4526777267764857E-6</v>
      </c>
      <c r="M26" s="107">
        <f ca="1">I26-F26</f>
        <v>-1.4526777267764857E-6</v>
      </c>
      <c r="N26" s="90">
        <f t="shared" ca="1" si="0"/>
        <v>0</v>
      </c>
      <c r="O26" s="89"/>
      <c r="P26" s="138">
        <f ca="1">E26</f>
        <v>44243</v>
      </c>
      <c r="Q26" s="114">
        <f t="shared" ca="1" si="1"/>
        <v>0.97863206531573232</v>
      </c>
      <c r="R26" s="111">
        <f t="shared" ca="1" si="2"/>
        <v>0.97863206531573232</v>
      </c>
      <c r="S26" s="90">
        <f t="shared" ca="1" si="3"/>
        <v>0</v>
      </c>
    </row>
    <row r="27" spans="2:19" x14ac:dyDescent="0.25">
      <c r="B27" s="101">
        <f ca="1"/>
        <v>44333</v>
      </c>
      <c r="C27" s="102">
        <f ca="1"/>
        <v>-1.6919543337490239E-6</v>
      </c>
      <c r="E27" s="96">
        <f ca="1"/>
        <v>44333</v>
      </c>
      <c r="F27" s="134">
        <f ca="1"/>
        <v>0.97594952108774324</v>
      </c>
      <c r="H27" s="96">
        <f ca="1"/>
        <v>44333</v>
      </c>
      <c r="I27" s="134">
        <f ca="1"/>
        <v>0.97594782913340949</v>
      </c>
      <c r="K27" s="138">
        <f ca="1">H27</f>
        <v>44333</v>
      </c>
      <c r="L27" s="136">
        <f ca="1">C27</f>
        <v>-1.6919543337490239E-6</v>
      </c>
      <c r="M27" s="107">
        <f ca="1">I27-F27</f>
        <v>-1.6919543337490239E-6</v>
      </c>
      <c r="N27" s="90">
        <f t="shared" ca="1" si="0"/>
        <v>0</v>
      </c>
      <c r="O27" s="89"/>
      <c r="P27" s="138">
        <f ca="1">E27</f>
        <v>44333</v>
      </c>
      <c r="Q27" s="114">
        <f t="shared" ca="1" si="1"/>
        <v>0.97594782913340949</v>
      </c>
      <c r="R27" s="111">
        <f t="shared" ca="1" si="2"/>
        <v>0.97594782913340949</v>
      </c>
      <c r="S27" s="90">
        <f t="shared" ca="1" si="3"/>
        <v>0</v>
      </c>
    </row>
    <row r="28" spans="2:19" x14ac:dyDescent="0.25">
      <c r="B28" s="101">
        <f ca="1"/>
        <v>44424</v>
      </c>
      <c r="C28" s="102">
        <f ca="1"/>
        <v>-1.9355031167789249E-6</v>
      </c>
      <c r="E28" s="96">
        <f ca="1"/>
        <v>44424</v>
      </c>
      <c r="F28" s="134">
        <f ca="1"/>
        <v>0.97327288361254949</v>
      </c>
      <c r="H28" s="96">
        <f ca="1"/>
        <v>44424</v>
      </c>
      <c r="I28" s="134">
        <f ca="1"/>
        <v>0.97327094810943271</v>
      </c>
      <c r="K28" s="138">
        <f ca="1">H28</f>
        <v>44424</v>
      </c>
      <c r="L28" s="136">
        <f ca="1">C28</f>
        <v>-1.9355031167789249E-6</v>
      </c>
      <c r="M28" s="107">
        <f ca="1">I28-F28</f>
        <v>-1.9355031167789249E-6</v>
      </c>
      <c r="N28" s="90">
        <f t="shared" ca="1" si="0"/>
        <v>0</v>
      </c>
      <c r="O28" s="89"/>
      <c r="P28" s="138">
        <f ca="1">E28</f>
        <v>44424</v>
      </c>
      <c r="Q28" s="114">
        <f t="shared" ca="1" si="1"/>
        <v>0.97327094810943271</v>
      </c>
      <c r="R28" s="111">
        <f t="shared" ca="1" si="2"/>
        <v>0.97327094810943271</v>
      </c>
      <c r="S28" s="90">
        <f t="shared" ca="1" si="3"/>
        <v>0</v>
      </c>
    </row>
    <row r="29" spans="2:19" x14ac:dyDescent="0.25">
      <c r="B29" s="101">
        <f ca="1"/>
        <v>44516</v>
      </c>
      <c r="C29" s="102">
        <f ca="1"/>
        <v>-2.177437315453723E-6</v>
      </c>
      <c r="E29" s="96">
        <f ca="1"/>
        <v>44516</v>
      </c>
      <c r="F29" s="134">
        <f ca="1"/>
        <v>0.97055395979923365</v>
      </c>
      <c r="H29" s="96">
        <f ca="1"/>
        <v>44516</v>
      </c>
      <c r="I29" s="134">
        <f ca="1"/>
        <v>0.97055178236191819</v>
      </c>
      <c r="K29" s="138">
        <f ca="1">H29</f>
        <v>44516</v>
      </c>
      <c r="L29" s="136">
        <f ca="1">C29</f>
        <v>-2.177437315453723E-6</v>
      </c>
      <c r="M29" s="107">
        <f ca="1">I29-F29</f>
        <v>-2.177437315453723E-6</v>
      </c>
      <c r="N29" s="90">
        <f t="shared" ca="1" si="0"/>
        <v>0</v>
      </c>
      <c r="O29" s="89"/>
      <c r="P29" s="138">
        <f ca="1">E29</f>
        <v>44516</v>
      </c>
      <c r="Q29" s="114">
        <f t="shared" ca="1" si="1"/>
        <v>0.97055178236191819</v>
      </c>
      <c r="R29" s="111">
        <f t="shared" ca="1" si="2"/>
        <v>0.97055178236191819</v>
      </c>
      <c r="S29" s="90">
        <f t="shared" ca="1" si="3"/>
        <v>0</v>
      </c>
    </row>
    <row r="30" spans="2:19" x14ac:dyDescent="0.25">
      <c r="B30" s="101">
        <f ca="1"/>
        <v>44608</v>
      </c>
      <c r="C30" s="102">
        <f ca="1"/>
        <v>-2.41386159605117E-6</v>
      </c>
      <c r="E30" s="96">
        <f ca="1"/>
        <v>44608</v>
      </c>
      <c r="F30" s="134">
        <f ca="1"/>
        <v>0.96780302814694275</v>
      </c>
      <c r="H30" s="96">
        <f ca="1"/>
        <v>44608</v>
      </c>
      <c r="I30" s="134">
        <f ca="1"/>
        <v>0.96780061428534669</v>
      </c>
      <c r="K30" s="138">
        <f ca="1">H30</f>
        <v>44608</v>
      </c>
      <c r="L30" s="136">
        <f ca="1">C30</f>
        <v>-2.41386159605117E-6</v>
      </c>
      <c r="M30" s="107">
        <f ca="1">I30-F30</f>
        <v>-2.41386159605117E-6</v>
      </c>
      <c r="N30" s="90">
        <f t="shared" ca="1" si="0"/>
        <v>0</v>
      </c>
      <c r="O30" s="89"/>
      <c r="P30" s="138">
        <f ca="1">E30</f>
        <v>44608</v>
      </c>
      <c r="Q30" s="114">
        <f t="shared" ca="1" si="1"/>
        <v>0.96780061428534669</v>
      </c>
      <c r="R30" s="111">
        <f t="shared" ca="1" si="2"/>
        <v>0.96780061428534669</v>
      </c>
      <c r="S30" s="90">
        <f t="shared" ca="1" si="3"/>
        <v>0</v>
      </c>
    </row>
    <row r="31" spans="2:19" x14ac:dyDescent="0.25">
      <c r="B31" s="101">
        <f ca="1"/>
        <v>44697</v>
      </c>
      <c r="C31" s="102">
        <f ca="1"/>
        <v>-2.6383856207568002E-6</v>
      </c>
      <c r="E31" s="96">
        <f ca="1"/>
        <v>44697</v>
      </c>
      <c r="F31" s="134">
        <f ca="1"/>
        <v>0.96511634042985084</v>
      </c>
      <c r="H31" s="96">
        <f ca="1"/>
        <v>44697</v>
      </c>
      <c r="I31" s="134">
        <f ca="1"/>
        <v>0.96511370204423008</v>
      </c>
      <c r="K31" s="138">
        <f ca="1">H31</f>
        <v>44697</v>
      </c>
      <c r="L31" s="136">
        <f ca="1">C31</f>
        <v>-2.6383856207568002E-6</v>
      </c>
      <c r="M31" s="107">
        <f ca="1">I31-F31</f>
        <v>-2.6383856207568002E-6</v>
      </c>
      <c r="N31" s="90">
        <f t="shared" ca="1" si="0"/>
        <v>0</v>
      </c>
      <c r="O31" s="89"/>
      <c r="P31" s="138">
        <f ca="1">E31</f>
        <v>44697</v>
      </c>
      <c r="Q31" s="114">
        <f t="shared" ca="1" si="1"/>
        <v>0.96511370204423008</v>
      </c>
      <c r="R31" s="111">
        <f t="shared" ca="1" si="2"/>
        <v>0.96511370204423008</v>
      </c>
      <c r="S31" s="90">
        <f t="shared" ca="1" si="3"/>
        <v>0</v>
      </c>
    </row>
    <row r="32" spans="2:19" x14ac:dyDescent="0.25">
      <c r="B32" s="101">
        <f ca="1"/>
        <v>44789</v>
      </c>
      <c r="C32" s="102">
        <f ca="1"/>
        <v>-2.8682213599751094E-6</v>
      </c>
      <c r="E32" s="96">
        <f ca="1"/>
        <v>44789</v>
      </c>
      <c r="F32" s="134">
        <f ca="1"/>
        <v>0.96233755867940651</v>
      </c>
      <c r="H32" s="96">
        <f ca="1"/>
        <v>44789</v>
      </c>
      <c r="I32" s="134">
        <f ca="1"/>
        <v>0.96233469045804654</v>
      </c>
      <c r="K32" s="138">
        <f ca="1">H32</f>
        <v>44789</v>
      </c>
      <c r="L32" s="136">
        <f ca="1">C32</f>
        <v>-2.8682213599751094E-6</v>
      </c>
      <c r="M32" s="107">
        <f ca="1">I32-F32</f>
        <v>-2.8682213599751094E-6</v>
      </c>
      <c r="N32" s="90">
        <f t="shared" ca="1" si="0"/>
        <v>0</v>
      </c>
      <c r="O32" s="89"/>
      <c r="P32" s="138">
        <f ca="1">E32</f>
        <v>44789</v>
      </c>
      <c r="Q32" s="114">
        <f t="shared" ca="1" si="1"/>
        <v>0.96233469045804654</v>
      </c>
      <c r="R32" s="111">
        <f t="shared" ca="1" si="2"/>
        <v>0.96233469045804654</v>
      </c>
      <c r="S32" s="90">
        <f t="shared" ca="1" si="3"/>
        <v>0</v>
      </c>
    </row>
    <row r="33" spans="2:19" x14ac:dyDescent="0.25">
      <c r="B33" s="101">
        <f ca="1"/>
        <v>44881</v>
      </c>
      <c r="C33" s="102">
        <f ca="1"/>
        <v>-3.0981816597774881E-6</v>
      </c>
      <c r="E33" s="96">
        <f ca="1"/>
        <v>44881</v>
      </c>
      <c r="F33" s="134">
        <f ca="1"/>
        <v>0.95959012464077931</v>
      </c>
      <c r="H33" s="96">
        <f ca="1"/>
        <v>44881</v>
      </c>
      <c r="I33" s="134">
        <f ca="1"/>
        <v>0.95958702645911953</v>
      </c>
      <c r="K33" s="138">
        <f ca="1">H33</f>
        <v>44881</v>
      </c>
      <c r="L33" s="136">
        <f ca="1">C33</f>
        <v>-3.0981816597774881E-6</v>
      </c>
      <c r="M33" s="107">
        <f ca="1">I33-F33</f>
        <v>-3.0981816597774881E-6</v>
      </c>
      <c r="N33" s="90">
        <f t="shared" ca="1" si="0"/>
        <v>0</v>
      </c>
      <c r="O33" s="89"/>
      <c r="P33" s="138">
        <f ca="1">E33</f>
        <v>44881</v>
      </c>
      <c r="Q33" s="114">
        <f t="shared" ca="1" si="1"/>
        <v>0.95958702645911953</v>
      </c>
      <c r="R33" s="111">
        <f t="shared" ca="1" si="2"/>
        <v>0.95958702645911953</v>
      </c>
      <c r="S33" s="90">
        <f t="shared" ca="1" si="3"/>
        <v>0</v>
      </c>
    </row>
    <row r="34" spans="2:19" x14ac:dyDescent="0.25">
      <c r="B34" s="101">
        <f ca="1"/>
        <v>44973</v>
      </c>
      <c r="C34" s="102">
        <f ca="1"/>
        <v>-3.328490019383068E-6</v>
      </c>
      <c r="E34" s="96">
        <f ca="1"/>
        <v>44973</v>
      </c>
      <c r="F34" s="134">
        <f ca="1"/>
        <v>0.95687211532308669</v>
      </c>
      <c r="H34" s="96">
        <f ca="1"/>
        <v>44973</v>
      </c>
      <c r="I34" s="134">
        <f ca="1"/>
        <v>0.95686878683306731</v>
      </c>
      <c r="K34" s="138">
        <f ca="1">H34</f>
        <v>44973</v>
      </c>
      <c r="L34" s="136">
        <f ca="1">C34</f>
        <v>-3.328490019383068E-6</v>
      </c>
      <c r="M34" s="107">
        <f ca="1">I34-F34</f>
        <v>-3.328490019383068E-6</v>
      </c>
      <c r="N34" s="90">
        <f t="shared" ca="1" si="0"/>
        <v>0</v>
      </c>
      <c r="O34" s="89"/>
      <c r="P34" s="138">
        <f ca="1">E34</f>
        <v>44973</v>
      </c>
      <c r="Q34" s="114">
        <f t="shared" ca="1" si="1"/>
        <v>0.95686878683306731</v>
      </c>
      <c r="R34" s="111">
        <f t="shared" ca="1" si="2"/>
        <v>0.95686878683306731</v>
      </c>
      <c r="S34" s="90">
        <f t="shared" ca="1" si="3"/>
        <v>0</v>
      </c>
    </row>
    <row r="35" spans="2:19" x14ac:dyDescent="0.25">
      <c r="B35" s="101">
        <f ca="1"/>
        <v>45062</v>
      </c>
      <c r="C35" s="102">
        <f ca="1"/>
        <v>-3.5510052808218617E-6</v>
      </c>
      <c r="E35" s="96">
        <f ca="1"/>
        <v>45062</v>
      </c>
      <c r="F35" s="134">
        <f ca="1"/>
        <v>0.95425774588416878</v>
      </c>
      <c r="H35" s="96">
        <f ca="1"/>
        <v>45062</v>
      </c>
      <c r="I35" s="134">
        <f ca="1"/>
        <v>0.95425419487888796</v>
      </c>
      <c r="K35" s="138">
        <f ca="1">H35</f>
        <v>45062</v>
      </c>
      <c r="L35" s="136">
        <f ca="1">C35</f>
        <v>-3.5510052808218617E-6</v>
      </c>
      <c r="M35" s="107">
        <f ca="1">I35-F35</f>
        <v>-3.5510052808218617E-6</v>
      </c>
      <c r="N35" s="90">
        <f t="shared" ca="1" si="0"/>
        <v>0</v>
      </c>
      <c r="O35" s="89"/>
      <c r="P35" s="138">
        <f ca="1">E35</f>
        <v>45062</v>
      </c>
      <c r="Q35" s="114">
        <f t="shared" ca="1" si="1"/>
        <v>0.95425419487888796</v>
      </c>
      <c r="R35" s="111">
        <f t="shared" ca="1" si="2"/>
        <v>0.95425419487888796</v>
      </c>
      <c r="S35" s="90">
        <f t="shared" ca="1" si="3"/>
        <v>0</v>
      </c>
    </row>
    <row r="36" spans="2:19" x14ac:dyDescent="0.25">
      <c r="B36" s="101">
        <f ca="1"/>
        <v>45154</v>
      </c>
      <c r="C36" s="102">
        <f ca="1"/>
        <v>-3.7798204756134268E-6</v>
      </c>
      <c r="E36" s="96">
        <f ca="1"/>
        <v>45154</v>
      </c>
      <c r="F36" s="134">
        <f ca="1"/>
        <v>0.95155568394964818</v>
      </c>
      <c r="H36" s="96">
        <f ca="1"/>
        <v>45154</v>
      </c>
      <c r="I36" s="134">
        <f ca="1"/>
        <v>0.95155190412917257</v>
      </c>
      <c r="K36" s="138">
        <f ca="1">H36</f>
        <v>45154</v>
      </c>
      <c r="L36" s="136">
        <f ca="1">C36</f>
        <v>-3.7798204756134268E-6</v>
      </c>
      <c r="M36" s="107">
        <f ca="1">I36-F36</f>
        <v>-3.7798204756134268E-6</v>
      </c>
      <c r="N36" s="90">
        <f t="shared" ca="1" si="0"/>
        <v>0</v>
      </c>
      <c r="O36" s="89"/>
      <c r="P36" s="138">
        <f ca="1">E36</f>
        <v>45154</v>
      </c>
      <c r="Q36" s="114">
        <f t="shared" ca="1" si="1"/>
        <v>0.95155190412917257</v>
      </c>
      <c r="R36" s="111">
        <f t="shared" ca="1" si="2"/>
        <v>0.95155190412917257</v>
      </c>
      <c r="S36" s="90">
        <f t="shared" ca="1" si="3"/>
        <v>0</v>
      </c>
    </row>
    <row r="37" spans="2:19" x14ac:dyDescent="0.25">
      <c r="B37" s="101">
        <f ca="1"/>
        <v>45246</v>
      </c>
      <c r="C37" s="102">
        <f ca="1"/>
        <v>-4.0064806193784719E-6</v>
      </c>
      <c r="E37" s="96">
        <f ca="1"/>
        <v>45246</v>
      </c>
      <c r="F37" s="134">
        <f ca="1"/>
        <v>0.94883940427434088</v>
      </c>
      <c r="H37" s="96">
        <f ca="1"/>
        <v>45246</v>
      </c>
      <c r="I37" s="134">
        <f ca="1"/>
        <v>0.9488353977937215</v>
      </c>
      <c r="K37" s="138">
        <f ca="1">H37</f>
        <v>45246</v>
      </c>
      <c r="L37" s="136">
        <f ca="1">C37</f>
        <v>-4.0064806193784719E-6</v>
      </c>
      <c r="M37" s="107">
        <f ca="1">I37-F37</f>
        <v>-4.0064806193784719E-6</v>
      </c>
      <c r="N37" s="90">
        <f t="shared" ca="1" si="0"/>
        <v>0</v>
      </c>
      <c r="O37" s="89"/>
      <c r="P37" s="138">
        <f ca="1">E37</f>
        <v>45246</v>
      </c>
      <c r="Q37" s="114">
        <f t="shared" ca="1" si="1"/>
        <v>0.9488353977937215</v>
      </c>
      <c r="R37" s="111">
        <f t="shared" ca="1" si="2"/>
        <v>0.9488353977937215</v>
      </c>
      <c r="S37" s="90">
        <f t="shared" ca="1" si="3"/>
        <v>0</v>
      </c>
    </row>
    <row r="38" spans="2:19" x14ac:dyDescent="0.25">
      <c r="B38" s="101">
        <f ca="1"/>
        <v>45338</v>
      </c>
      <c r="C38" s="102">
        <f ca="1"/>
        <v>-4.2309424321818057E-6</v>
      </c>
      <c r="E38" s="96">
        <f ca="1"/>
        <v>45338</v>
      </c>
      <c r="F38" s="134">
        <f ca="1"/>
        <v>0.94610278871629649</v>
      </c>
      <c r="H38" s="96">
        <f ca="1"/>
        <v>45338</v>
      </c>
      <c r="I38" s="134">
        <f ca="1"/>
        <v>0.94609855777386431</v>
      </c>
      <c r="K38" s="138">
        <f ca="1">H38</f>
        <v>45338</v>
      </c>
      <c r="L38" s="136">
        <f ca="1">C38</f>
        <v>-4.2309424321818057E-6</v>
      </c>
      <c r="M38" s="107">
        <f ca="1">I38-F38</f>
        <v>-4.2309424321818057E-6</v>
      </c>
      <c r="N38" s="90">
        <f t="shared" ca="1" si="0"/>
        <v>0</v>
      </c>
      <c r="O38" s="89"/>
      <c r="P38" s="138">
        <f ca="1">E38</f>
        <v>45338</v>
      </c>
      <c r="Q38" s="114">
        <f t="shared" ca="1" si="1"/>
        <v>0.94609855777386431</v>
      </c>
      <c r="R38" s="111">
        <f t="shared" ca="1" si="2"/>
        <v>0.94609855777386431</v>
      </c>
      <c r="S38" s="90">
        <f t="shared" ca="1" si="3"/>
        <v>0</v>
      </c>
    </row>
    <row r="39" spans="2:19" x14ac:dyDescent="0.25">
      <c r="B39" s="101">
        <f ca="1"/>
        <v>45428</v>
      </c>
      <c r="C39" s="102">
        <f ca="1"/>
        <v>-4.4486694367185109E-6</v>
      </c>
      <c r="E39" s="96">
        <f ca="1"/>
        <v>45428</v>
      </c>
      <c r="F39" s="134">
        <f ca="1"/>
        <v>0.94340352187622156</v>
      </c>
      <c r="H39" s="96">
        <f ca="1"/>
        <v>45428</v>
      </c>
      <c r="I39" s="134">
        <f ca="1"/>
        <v>0.94339907320678484</v>
      </c>
      <c r="K39" s="138">
        <f ca="1">H39</f>
        <v>45428</v>
      </c>
      <c r="L39" s="136">
        <f ca="1">C39</f>
        <v>-4.4486694367185109E-6</v>
      </c>
      <c r="M39" s="107">
        <f ca="1">I39-F39</f>
        <v>-4.4486694367185109E-6</v>
      </c>
      <c r="N39" s="90">
        <f t="shared" ca="1" si="0"/>
        <v>0</v>
      </c>
      <c r="O39" s="89"/>
      <c r="P39" s="138">
        <f ca="1">E39</f>
        <v>45428</v>
      </c>
      <c r="Q39" s="114">
        <f t="shared" ca="1" si="1"/>
        <v>0.94339907320678484</v>
      </c>
      <c r="R39" s="111">
        <f t="shared" ca="1" si="2"/>
        <v>0.94339907320678484</v>
      </c>
      <c r="S39" s="90">
        <f t="shared" ca="1" si="3"/>
        <v>0</v>
      </c>
    </row>
    <row r="40" spans="2:19" x14ac:dyDescent="0.25">
      <c r="B40" s="101">
        <f ca="1"/>
        <v>45520</v>
      </c>
      <c r="C40" s="102">
        <f ca="1"/>
        <v>-4.6697080675617286E-6</v>
      </c>
      <c r="E40" s="96">
        <f ca="1"/>
        <v>45520</v>
      </c>
      <c r="F40" s="134">
        <f ca="1"/>
        <v>0.94062055472897954</v>
      </c>
      <c r="H40" s="96">
        <f ca="1"/>
        <v>45520</v>
      </c>
      <c r="I40" s="134">
        <f ca="1"/>
        <v>0.94061588502091198</v>
      </c>
      <c r="K40" s="138">
        <f ca="1">H40</f>
        <v>45520</v>
      </c>
      <c r="L40" s="136">
        <f ca="1">C40</f>
        <v>-4.6697080675617286E-6</v>
      </c>
      <c r="M40" s="107">
        <f ca="1">I40-F40</f>
        <v>-4.6697080675617286E-6</v>
      </c>
      <c r="N40" s="90">
        <f t="shared" ca="1" si="0"/>
        <v>0</v>
      </c>
      <c r="O40" s="89"/>
      <c r="P40" s="138">
        <f ca="1">E40</f>
        <v>45520</v>
      </c>
      <c r="Q40" s="114">
        <f t="shared" ca="1" si="1"/>
        <v>0.94061588502091198</v>
      </c>
      <c r="R40" s="111">
        <f t="shared" ca="1" si="2"/>
        <v>0.94061588502091198</v>
      </c>
      <c r="S40" s="90">
        <f t="shared" ca="1" si="3"/>
        <v>0</v>
      </c>
    </row>
    <row r="41" spans="2:19" x14ac:dyDescent="0.25">
      <c r="B41" s="101">
        <f ca="1"/>
        <v>45614</v>
      </c>
      <c r="C41" s="102">
        <f ca="1"/>
        <v>-4.8943406684154311E-6</v>
      </c>
      <c r="E41" s="96">
        <f ca="1"/>
        <v>45614</v>
      </c>
      <c r="F41" s="134">
        <f ca="1"/>
        <v>0.93775191320999718</v>
      </c>
      <c r="H41" s="96">
        <f ca="1"/>
        <v>45614</v>
      </c>
      <c r="I41" s="134">
        <f ca="1"/>
        <v>0.93774701886932876</v>
      </c>
      <c r="K41" s="138">
        <f ca="1">H41</f>
        <v>45614</v>
      </c>
      <c r="L41" s="136">
        <f ca="1">C41</f>
        <v>-4.8943406684154311E-6</v>
      </c>
      <c r="M41" s="107">
        <f ca="1">I41-F41</f>
        <v>-4.8943406684154311E-6</v>
      </c>
      <c r="N41" s="90">
        <f t="shared" ca="1" si="0"/>
        <v>0</v>
      </c>
      <c r="O41" s="89"/>
      <c r="P41" s="138">
        <f ca="1">E41</f>
        <v>45614</v>
      </c>
      <c r="Q41" s="114">
        <f t="shared" ca="1" si="1"/>
        <v>0.93774701886932876</v>
      </c>
      <c r="R41" s="111">
        <f t="shared" ca="1" si="2"/>
        <v>0.93774701886932876</v>
      </c>
      <c r="S41" s="90">
        <f t="shared" ca="1" si="3"/>
        <v>0</v>
      </c>
    </row>
    <row r="42" spans="2:19" x14ac:dyDescent="0.25">
      <c r="B42" s="101">
        <f ca="1"/>
        <v>45706</v>
      </c>
      <c r="C42" s="102">
        <f ca="1"/>
        <v>-5.1130527140008653E-6</v>
      </c>
      <c r="E42" s="96">
        <f ca="1"/>
        <v>45706</v>
      </c>
      <c r="F42" s="134">
        <f ca="1"/>
        <v>0.93491751302189807</v>
      </c>
      <c r="H42" s="96">
        <f ca="1"/>
        <v>45706</v>
      </c>
      <c r="I42" s="134">
        <f ca="1"/>
        <v>0.93491239996918407</v>
      </c>
      <c r="K42" s="138">
        <f ca="1">H42</f>
        <v>45706</v>
      </c>
      <c r="L42" s="136">
        <f ca="1">C42</f>
        <v>-5.1130527140008653E-6</v>
      </c>
      <c r="M42" s="107">
        <f ca="1">I42-F42</f>
        <v>-5.1130527140008653E-6</v>
      </c>
      <c r="N42" s="90">
        <f t="shared" ca="1" si="0"/>
        <v>0</v>
      </c>
      <c r="O42" s="89"/>
      <c r="P42" s="138">
        <f ca="1">E42</f>
        <v>45706</v>
      </c>
      <c r="Q42" s="114">
        <f t="shared" ca="1" si="1"/>
        <v>0.93491239996918407</v>
      </c>
      <c r="R42" s="111">
        <f t="shared" ca="1" si="2"/>
        <v>0.93491239996918407</v>
      </c>
      <c r="S42" s="90">
        <f t="shared" ca="1" si="3"/>
        <v>0</v>
      </c>
    </row>
    <row r="43" spans="2:19" x14ac:dyDescent="0.25">
      <c r="B43" s="101">
        <f ca="1"/>
        <v>45793</v>
      </c>
      <c r="C43" s="102">
        <f ca="1"/>
        <v>-5.318789035757554E-6</v>
      </c>
      <c r="E43" s="96">
        <f ca="1"/>
        <v>45793</v>
      </c>
      <c r="F43" s="134">
        <f ca="1"/>
        <v>0.932210834237859</v>
      </c>
      <c r="H43" s="96">
        <f ca="1"/>
        <v>45793</v>
      </c>
      <c r="I43" s="134">
        <f ca="1"/>
        <v>0.93220551544882324</v>
      </c>
      <c r="K43" s="138">
        <f ca="1">H43</f>
        <v>45793</v>
      </c>
      <c r="L43" s="136">
        <f ca="1">C43</f>
        <v>-5.318789035757554E-6</v>
      </c>
      <c r="M43" s="107">
        <f ca="1">I43-F43</f>
        <v>-5.318789035757554E-6</v>
      </c>
      <c r="N43" s="90">
        <f t="shared" ca="1" si="0"/>
        <v>0</v>
      </c>
      <c r="O43" s="89"/>
      <c r="P43" s="138">
        <f ca="1">E43</f>
        <v>45793</v>
      </c>
      <c r="Q43" s="114">
        <f t="shared" ca="1" si="1"/>
        <v>0.93220551544882324</v>
      </c>
      <c r="R43" s="111">
        <f t="shared" ca="1" si="2"/>
        <v>0.93220551544882324</v>
      </c>
      <c r="S43" s="90">
        <f t="shared" ca="1" si="3"/>
        <v>0</v>
      </c>
    </row>
    <row r="44" spans="2:19" x14ac:dyDescent="0.25">
      <c r="B44" s="101">
        <f ca="1"/>
        <v>45887</v>
      </c>
      <c r="C44" s="102">
        <f ca="1"/>
        <v>-5.5398211126211905E-6</v>
      </c>
      <c r="E44" s="96">
        <f ca="1"/>
        <v>45887</v>
      </c>
      <c r="F44" s="134">
        <f ca="1"/>
        <v>0.92925612475968999</v>
      </c>
      <c r="H44" s="96">
        <f ca="1"/>
        <v>45887</v>
      </c>
      <c r="I44" s="134">
        <f ca="1"/>
        <v>0.92925058493857737</v>
      </c>
      <c r="K44" s="138">
        <f ca="1">H44</f>
        <v>45887</v>
      </c>
      <c r="L44" s="136">
        <f ca="1">C44</f>
        <v>-5.5398211126211905E-6</v>
      </c>
      <c r="M44" s="107">
        <f ca="1">I44-F44</f>
        <v>-5.5398211126211905E-6</v>
      </c>
      <c r="N44" s="90">
        <f t="shared" ca="1" si="0"/>
        <v>0</v>
      </c>
      <c r="O44" s="89"/>
      <c r="P44" s="138">
        <f ca="1">E44</f>
        <v>45887</v>
      </c>
      <c r="Q44" s="114">
        <f t="shared" ca="1" si="1"/>
        <v>0.92925058493857737</v>
      </c>
      <c r="R44" s="111">
        <f t="shared" ca="1" si="2"/>
        <v>0.92925058493857737</v>
      </c>
      <c r="S44" s="90">
        <f t="shared" ca="1" si="3"/>
        <v>0</v>
      </c>
    </row>
    <row r="45" spans="2:19" x14ac:dyDescent="0.25">
      <c r="B45" s="101">
        <f ca="1"/>
        <v>45978</v>
      </c>
      <c r="C45" s="102">
        <f ca="1"/>
        <v>-5.7524764899286041E-6</v>
      </c>
      <c r="E45" s="96">
        <f ca="1"/>
        <v>45978</v>
      </c>
      <c r="F45" s="134">
        <f ca="1"/>
        <v>0.92636490889200296</v>
      </c>
      <c r="H45" s="96">
        <f ca="1"/>
        <v>45978</v>
      </c>
      <c r="I45" s="134">
        <f ca="1"/>
        <v>0.92635915641551303</v>
      </c>
      <c r="K45" s="138">
        <f ca="1">H45</f>
        <v>45978</v>
      </c>
      <c r="L45" s="136">
        <f ca="1">C45</f>
        <v>-5.7524764899286041E-6</v>
      </c>
      <c r="M45" s="107">
        <f ca="1">I45-F45</f>
        <v>-5.7524764899286041E-6</v>
      </c>
      <c r="N45" s="90">
        <f t="shared" ca="1" si="0"/>
        <v>0</v>
      </c>
      <c r="O45" s="89"/>
      <c r="P45" s="138">
        <f ca="1">E45</f>
        <v>45978</v>
      </c>
      <c r="Q45" s="114">
        <f t="shared" ca="1" si="1"/>
        <v>0.92635915641551303</v>
      </c>
      <c r="R45" s="111">
        <f t="shared" ca="1" si="2"/>
        <v>0.92635915641551303</v>
      </c>
      <c r="S45" s="90">
        <f t="shared" ca="1" si="3"/>
        <v>0</v>
      </c>
    </row>
    <row r="46" spans="2:19" x14ac:dyDescent="0.25">
      <c r="B46" s="101">
        <f ca="1"/>
        <v>46070</v>
      </c>
      <c r="C46" s="102">
        <f ca="1"/>
        <v>-5.9660563159757984E-6</v>
      </c>
      <c r="E46" s="96">
        <f ca="1"/>
        <v>46070</v>
      </c>
      <c r="F46" s="134">
        <f ca="1"/>
        <v>0.92341082937435348</v>
      </c>
      <c r="H46" s="96">
        <f ca="1"/>
        <v>46070</v>
      </c>
      <c r="I46" s="134">
        <f ca="1"/>
        <v>0.92340486331803751</v>
      </c>
      <c r="K46" s="138">
        <f ca="1">H46</f>
        <v>46070</v>
      </c>
      <c r="L46" s="136">
        <f ca="1">C46</f>
        <v>-5.9660563159757984E-6</v>
      </c>
      <c r="M46" s="107">
        <f ca="1">I46-F46</f>
        <v>-5.9660563159757984E-6</v>
      </c>
      <c r="N46" s="90">
        <f t="shared" ca="1" si="0"/>
        <v>0</v>
      </c>
      <c r="O46" s="89"/>
      <c r="P46" s="138">
        <f ca="1">E46</f>
        <v>46070</v>
      </c>
      <c r="Q46" s="114">
        <f t="shared" ca="1" si="1"/>
        <v>0.92340486331803751</v>
      </c>
      <c r="R46" s="111">
        <f t="shared" ca="1" si="2"/>
        <v>0.92340486331803751</v>
      </c>
      <c r="S46" s="90">
        <f t="shared" ca="1" si="3"/>
        <v>0</v>
      </c>
    </row>
    <row r="47" spans="2:19" x14ac:dyDescent="0.25">
      <c r="B47" s="101">
        <f ca="1"/>
        <v>46160</v>
      </c>
      <c r="C47" s="102">
        <f ca="1"/>
        <v>-6.1735235618032291E-6</v>
      </c>
      <c r="E47" s="96">
        <f ca="1"/>
        <v>46160</v>
      </c>
      <c r="F47" s="134">
        <f ca="1"/>
        <v>0.92049102086138757</v>
      </c>
      <c r="H47" s="96">
        <f ca="1"/>
        <v>46160</v>
      </c>
      <c r="I47" s="134">
        <f ca="1"/>
        <v>0.92048484733782576</v>
      </c>
      <c r="K47" s="138">
        <f ca="1">H47</f>
        <v>46160</v>
      </c>
      <c r="L47" s="136">
        <f ca="1">C47</f>
        <v>-6.1735235618032291E-6</v>
      </c>
      <c r="M47" s="107">
        <f ca="1">I47-F47</f>
        <v>-6.1735235618032291E-6</v>
      </c>
      <c r="N47" s="90">
        <f t="shared" ca="1" si="0"/>
        <v>0</v>
      </c>
      <c r="O47" s="89"/>
      <c r="P47" s="138">
        <f ca="1">E47</f>
        <v>46160</v>
      </c>
      <c r="Q47" s="114">
        <f t="shared" ca="1" si="1"/>
        <v>0.92048484733782576</v>
      </c>
      <c r="R47" s="111">
        <f t="shared" ca="1" si="2"/>
        <v>0.92048484733782576</v>
      </c>
      <c r="S47" s="90">
        <f t="shared" ca="1" si="3"/>
        <v>0</v>
      </c>
    </row>
    <row r="48" spans="2:19" x14ac:dyDescent="0.25">
      <c r="B48" s="101">
        <f ca="1"/>
        <v>46251</v>
      </c>
      <c r="C48" s="102">
        <f ca="1"/>
        <v>-6.381714103942393E-6</v>
      </c>
      <c r="E48" s="96">
        <f ca="1"/>
        <v>46251</v>
      </c>
      <c r="F48" s="134">
        <f ca="1"/>
        <v>0.91750952314401402</v>
      </c>
      <c r="H48" s="96">
        <f ca="1"/>
        <v>46251</v>
      </c>
      <c r="I48" s="134">
        <f ca="1"/>
        <v>0.91750314142991007</v>
      </c>
      <c r="K48" s="138">
        <f ca="1">H48</f>
        <v>46251</v>
      </c>
      <c r="L48" s="136">
        <f ca="1">C48</f>
        <v>-6.381714103942393E-6</v>
      </c>
      <c r="M48" s="107">
        <f ca="1">I48-F48</f>
        <v>-6.381714103942393E-6</v>
      </c>
      <c r="N48" s="90">
        <f t="shared" ca="1" si="0"/>
        <v>0</v>
      </c>
      <c r="O48" s="89"/>
      <c r="P48" s="138">
        <f ca="1">E48</f>
        <v>46251</v>
      </c>
      <c r="Q48" s="114">
        <f t="shared" ca="1" si="1"/>
        <v>0.91750314142991007</v>
      </c>
      <c r="R48" s="111">
        <f t="shared" ca="1" si="2"/>
        <v>0.91750314142991007</v>
      </c>
      <c r="S48" s="90">
        <f t="shared" ca="1" si="3"/>
        <v>0</v>
      </c>
    </row>
    <row r="49" spans="2:19" x14ac:dyDescent="0.25">
      <c r="B49" s="101">
        <f ca="1"/>
        <v>46342</v>
      </c>
      <c r="C49" s="102">
        <f ca="1"/>
        <v>-6.5882191762067777E-6</v>
      </c>
      <c r="E49" s="96">
        <f ca="1"/>
        <v>46342</v>
      </c>
      <c r="F49" s="134">
        <f ca="1"/>
        <v>0.91449972082780473</v>
      </c>
      <c r="H49" s="96">
        <f ca="1"/>
        <v>46342</v>
      </c>
      <c r="I49" s="134">
        <f ca="1"/>
        <v>0.91449313260862852</v>
      </c>
      <c r="K49" s="138">
        <f ca="1">H49</f>
        <v>46342</v>
      </c>
      <c r="L49" s="136">
        <f ca="1">C49</f>
        <v>-6.5882191762067777E-6</v>
      </c>
      <c r="M49" s="107">
        <f ca="1">I49-F49</f>
        <v>-6.5882191762067777E-6</v>
      </c>
      <c r="N49" s="90">
        <f t="shared" ca="1" si="0"/>
        <v>0</v>
      </c>
      <c r="O49" s="89"/>
      <c r="P49" s="138">
        <f ca="1">E49</f>
        <v>46342</v>
      </c>
      <c r="Q49" s="114">
        <f t="shared" ca="1" si="1"/>
        <v>0.91449313260862852</v>
      </c>
      <c r="R49" s="111">
        <f t="shared" ca="1" si="2"/>
        <v>0.91449313260862852</v>
      </c>
      <c r="S49" s="90">
        <f t="shared" ca="1" si="3"/>
        <v>0</v>
      </c>
    </row>
    <row r="50" spans="2:19" x14ac:dyDescent="0.25">
      <c r="B50" s="101">
        <f ca="1"/>
        <v>46434</v>
      </c>
      <c r="C50" s="102">
        <f ca="1"/>
        <v>-6.7952492635026118E-6</v>
      </c>
      <c r="E50" s="96">
        <f ca="1"/>
        <v>46434</v>
      </c>
      <c r="F50" s="134">
        <f ca="1"/>
        <v>0.91142836819222561</v>
      </c>
      <c r="H50" s="96">
        <f ca="1"/>
        <v>46434</v>
      </c>
      <c r="I50" s="134">
        <f ca="1"/>
        <v>0.91142157294296211</v>
      </c>
      <c r="K50" s="138">
        <f ca="1">H50</f>
        <v>46434</v>
      </c>
      <c r="L50" s="136">
        <f ca="1">C50</f>
        <v>-6.7952492635026118E-6</v>
      </c>
      <c r="M50" s="107">
        <f ca="1">I50-F50</f>
        <v>-6.7952492635026118E-6</v>
      </c>
      <c r="N50" s="90">
        <f t="shared" ca="1" si="0"/>
        <v>0</v>
      </c>
      <c r="O50" s="89"/>
      <c r="P50" s="138">
        <f ca="1">E50</f>
        <v>46434</v>
      </c>
      <c r="Q50" s="114">
        <f t="shared" ca="1" si="1"/>
        <v>0.91142157294296211</v>
      </c>
      <c r="R50" s="111">
        <f t="shared" ca="1" si="2"/>
        <v>0.91142157294296211</v>
      </c>
      <c r="S50" s="90">
        <f t="shared" ca="1" si="3"/>
        <v>0</v>
      </c>
    </row>
    <row r="51" spans="2:19" x14ac:dyDescent="0.25">
      <c r="B51" s="101">
        <f ca="1"/>
        <v>46524</v>
      </c>
      <c r="C51" s="102">
        <f ca="1"/>
        <v>-6.9960721474915388E-6</v>
      </c>
      <c r="E51" s="96">
        <f ca="1"/>
        <v>46524</v>
      </c>
      <c r="F51" s="134">
        <f ca="1"/>
        <v>0.90839637016575425</v>
      </c>
      <c r="H51" s="96">
        <f ca="1"/>
        <v>46524</v>
      </c>
      <c r="I51" s="134">
        <f ca="1"/>
        <v>0.90838937409360676</v>
      </c>
      <c r="K51" s="138">
        <f ca="1">H51</f>
        <v>46524</v>
      </c>
      <c r="L51" s="136">
        <f ca="1">C51</f>
        <v>-6.9960721474915388E-6</v>
      </c>
      <c r="M51" s="107">
        <f ca="1">I51-F51</f>
        <v>-6.9960721474915388E-6</v>
      </c>
      <c r="N51" s="90">
        <f t="shared" ca="1" si="0"/>
        <v>0</v>
      </c>
      <c r="O51" s="89"/>
      <c r="P51" s="138">
        <f ca="1">E51</f>
        <v>46524</v>
      </c>
      <c r="Q51" s="114">
        <f t="shared" ca="1" si="1"/>
        <v>0.90838937409360676</v>
      </c>
      <c r="R51" s="111">
        <f t="shared" ca="1" si="2"/>
        <v>0.90838937409360676</v>
      </c>
      <c r="S51" s="90">
        <f t="shared" ca="1" si="3"/>
        <v>0</v>
      </c>
    </row>
    <row r="52" spans="2:19" x14ac:dyDescent="0.25">
      <c r="B52" s="101">
        <f ca="1"/>
        <v>46615</v>
      </c>
      <c r="C52" s="102">
        <f ca="1"/>
        <v>-7.1974057364032618E-6</v>
      </c>
      <c r="E52" s="96">
        <f ca="1"/>
        <v>46615</v>
      </c>
      <c r="F52" s="134">
        <f ca="1"/>
        <v>0.90530370465515186</v>
      </c>
      <c r="H52" s="96">
        <f ca="1"/>
        <v>46615</v>
      </c>
      <c r="I52" s="134">
        <f ca="1"/>
        <v>0.90529650724941546</v>
      </c>
      <c r="K52" s="138">
        <f ca="1">H52</f>
        <v>46615</v>
      </c>
      <c r="L52" s="136">
        <f ca="1">C52</f>
        <v>-7.1974057364032618E-6</v>
      </c>
      <c r="M52" s="107">
        <f ca="1">I52-F52</f>
        <v>-7.1974057364032618E-6</v>
      </c>
      <c r="N52" s="90">
        <f t="shared" ca="1" si="0"/>
        <v>0</v>
      </c>
      <c r="O52" s="89"/>
      <c r="P52" s="138">
        <f ca="1">E52</f>
        <v>46615</v>
      </c>
      <c r="Q52" s="114">
        <f t="shared" ca="1" si="1"/>
        <v>0.90529650724941546</v>
      </c>
      <c r="R52" s="111">
        <f t="shared" ca="1" si="2"/>
        <v>0.90529650724941546</v>
      </c>
      <c r="S52" s="90">
        <f t="shared" ca="1" si="3"/>
        <v>0</v>
      </c>
    </row>
    <row r="53" spans="2:19" x14ac:dyDescent="0.25">
      <c r="B53" s="101">
        <f ca="1"/>
        <v>46707</v>
      </c>
      <c r="C53" s="102">
        <f ca="1"/>
        <v>-7.3991936121453605E-6</v>
      </c>
      <c r="E53" s="96">
        <f ca="1"/>
        <v>46707</v>
      </c>
      <c r="F53" s="134">
        <f ca="1"/>
        <v>0.90215037573150447</v>
      </c>
      <c r="H53" s="96">
        <f ca="1"/>
        <v>46707</v>
      </c>
      <c r="I53" s="134">
        <f ca="1"/>
        <v>0.90214297653789233</v>
      </c>
      <c r="K53" s="138">
        <f ca="1">H53</f>
        <v>46707</v>
      </c>
      <c r="L53" s="136">
        <f ca="1">C53</f>
        <v>-7.3991936121453605E-6</v>
      </c>
      <c r="M53" s="107">
        <f ca="1">I53-F53</f>
        <v>-7.3991936121453605E-6</v>
      </c>
      <c r="N53" s="90">
        <f t="shared" ca="1" si="0"/>
        <v>0</v>
      </c>
      <c r="O53" s="89"/>
      <c r="P53" s="138">
        <f ca="1">E53</f>
        <v>46707</v>
      </c>
      <c r="Q53" s="114">
        <f t="shared" ca="1" si="1"/>
        <v>0.90214297653789233</v>
      </c>
      <c r="R53" s="111">
        <f t="shared" ca="1" si="2"/>
        <v>0.90214297653789233</v>
      </c>
      <c r="S53" s="90">
        <f t="shared" ca="1" si="3"/>
        <v>0</v>
      </c>
    </row>
    <row r="54" spans="2:19" x14ac:dyDescent="0.25">
      <c r="B54" s="101">
        <f ca="1"/>
        <v>46799</v>
      </c>
      <c r="C54" s="102">
        <f ca="1"/>
        <v>-7.5992200457841719E-6</v>
      </c>
      <c r="E54" s="96">
        <f ca="1"/>
        <v>46799</v>
      </c>
      <c r="F54" s="134">
        <f ca="1"/>
        <v>0.89897142900352078</v>
      </c>
      <c r="H54" s="96">
        <f ca="1"/>
        <v>46799</v>
      </c>
      <c r="I54" s="134">
        <f ca="1"/>
        <v>0.898963829783475</v>
      </c>
      <c r="K54" s="138">
        <f ca="1">H54</f>
        <v>46799</v>
      </c>
      <c r="L54" s="136">
        <f ca="1">C54</f>
        <v>-7.5992200457841719E-6</v>
      </c>
      <c r="M54" s="107">
        <f ca="1">I54-F54</f>
        <v>-7.5992200457841719E-6</v>
      </c>
      <c r="N54" s="90">
        <f t="shared" ca="1" si="0"/>
        <v>0</v>
      </c>
      <c r="O54" s="89"/>
      <c r="P54" s="138">
        <f ca="1">E54</f>
        <v>46799</v>
      </c>
      <c r="Q54" s="114">
        <f t="shared" ca="1" si="1"/>
        <v>0.898963829783475</v>
      </c>
      <c r="R54" s="111">
        <f t="shared" ca="1" si="2"/>
        <v>0.898963829783475</v>
      </c>
      <c r="S54" s="90">
        <f t="shared" ca="1" si="3"/>
        <v>0</v>
      </c>
    </row>
    <row r="55" spans="2:19" x14ac:dyDescent="0.25">
      <c r="B55" s="101">
        <f ca="1"/>
        <v>46889</v>
      </c>
      <c r="C55" s="102">
        <f ca="1"/>
        <v>-7.7932055316809468E-6</v>
      </c>
      <c r="E55" s="96">
        <f ca="1"/>
        <v>46889</v>
      </c>
      <c r="F55" s="134">
        <f ca="1"/>
        <v>0.89583824425731895</v>
      </c>
      <c r="H55" s="96">
        <f ca="1"/>
        <v>46889</v>
      </c>
      <c r="I55" s="134">
        <f ca="1"/>
        <v>0.89583045105178727</v>
      </c>
      <c r="K55" s="138">
        <f ca="1">H55</f>
        <v>46889</v>
      </c>
      <c r="L55" s="136">
        <f ca="1">C55</f>
        <v>-7.7932055316809468E-6</v>
      </c>
      <c r="M55" s="107">
        <f ca="1">I55-F55</f>
        <v>-7.7932055316809468E-6</v>
      </c>
      <c r="N55" s="90">
        <f t="shared" ca="1" si="0"/>
        <v>0</v>
      </c>
      <c r="O55" s="89"/>
      <c r="P55" s="138">
        <f ca="1">E55</f>
        <v>46889</v>
      </c>
      <c r="Q55" s="114">
        <f t="shared" ca="1" si="1"/>
        <v>0.89583045105178727</v>
      </c>
      <c r="R55" s="111">
        <f t="shared" ca="1" si="2"/>
        <v>0.89583045105178727</v>
      </c>
      <c r="S55" s="90">
        <f t="shared" ca="1" si="3"/>
        <v>0</v>
      </c>
    </row>
    <row r="56" spans="2:19" x14ac:dyDescent="0.25">
      <c r="B56" s="101">
        <f ca="1"/>
        <v>46981</v>
      </c>
      <c r="C56" s="102">
        <f ca="1"/>
        <v>-7.9897899539771444E-6</v>
      </c>
      <c r="E56" s="96">
        <f ca="1"/>
        <v>46981</v>
      </c>
      <c r="F56" s="134">
        <f ca="1"/>
        <v>0.89261332541815963</v>
      </c>
      <c r="H56" s="96">
        <f ca="1"/>
        <v>46981</v>
      </c>
      <c r="I56" s="134">
        <f ca="1"/>
        <v>0.89260533562820565</v>
      </c>
      <c r="K56" s="138">
        <f ca="1">H56</f>
        <v>46981</v>
      </c>
      <c r="L56" s="136">
        <f ca="1">C56</f>
        <v>-7.9897899539771444E-6</v>
      </c>
      <c r="M56" s="107">
        <f ca="1">I56-F56</f>
        <v>-7.9897899539771444E-6</v>
      </c>
      <c r="N56" s="90">
        <f t="shared" ca="1" si="0"/>
        <v>0</v>
      </c>
      <c r="O56" s="89"/>
      <c r="P56" s="138">
        <f ca="1">E56</f>
        <v>46981</v>
      </c>
      <c r="Q56" s="114">
        <f t="shared" ca="1" si="1"/>
        <v>0.89260533562820565</v>
      </c>
      <c r="R56" s="111">
        <f t="shared" ca="1" si="2"/>
        <v>0.89260533562820565</v>
      </c>
      <c r="S56" s="90">
        <f t="shared" ca="1" si="3"/>
        <v>0</v>
      </c>
    </row>
    <row r="57" spans="2:19" x14ac:dyDescent="0.25">
      <c r="B57" s="101">
        <f ca="1"/>
        <v>47073</v>
      </c>
      <c r="C57" s="102">
        <f ca="1"/>
        <v>-8.1846687129960571E-6</v>
      </c>
      <c r="E57" s="96">
        <f ca="1"/>
        <v>47073</v>
      </c>
      <c r="F57" s="134">
        <f ca="1"/>
        <v>0.88936811065646437</v>
      </c>
      <c r="H57" s="96">
        <f ca="1"/>
        <v>47073</v>
      </c>
      <c r="I57" s="134">
        <f ca="1"/>
        <v>0.88935992598775138</v>
      </c>
      <c r="K57" s="138">
        <f ca="1">H57</f>
        <v>47073</v>
      </c>
      <c r="L57" s="136">
        <f ca="1">C57</f>
        <v>-8.1846687129960571E-6</v>
      </c>
      <c r="M57" s="107">
        <f ca="1">I57-F57</f>
        <v>-8.1846687129960571E-6</v>
      </c>
      <c r="N57" s="90">
        <f t="shared" ca="1" si="0"/>
        <v>0</v>
      </c>
      <c r="O57" s="89"/>
      <c r="P57" s="138">
        <f ca="1">E57</f>
        <v>47073</v>
      </c>
      <c r="Q57" s="114">
        <f t="shared" ca="1" si="1"/>
        <v>0.88935992598775138</v>
      </c>
      <c r="R57" s="111">
        <f t="shared" ca="1" si="2"/>
        <v>0.88935992598775138</v>
      </c>
      <c r="S57" s="90">
        <f t="shared" ca="1" si="3"/>
        <v>0</v>
      </c>
    </row>
    <row r="58" spans="2:19" x14ac:dyDescent="0.25">
      <c r="B58" s="101">
        <f ca="1"/>
        <v>47165</v>
      </c>
      <c r="C58" s="102">
        <f ca="1"/>
        <v>-8.3778737810513704E-6</v>
      </c>
      <c r="E58" s="96">
        <f ca="1"/>
        <v>47165</v>
      </c>
      <c r="F58" s="134">
        <f ca="1"/>
        <v>0.88610494480980362</v>
      </c>
      <c r="H58" s="96">
        <f ca="1"/>
        <v>47165</v>
      </c>
      <c r="I58" s="134">
        <f ca="1"/>
        <v>0.88609656693602257</v>
      </c>
      <c r="K58" s="138">
        <f ca="1">H58</f>
        <v>47165</v>
      </c>
      <c r="L58" s="136">
        <f ca="1">C58</f>
        <v>-8.3778737810513704E-6</v>
      </c>
      <c r="M58" s="107">
        <f ca="1">I58-F58</f>
        <v>-8.3778737810513704E-6</v>
      </c>
      <c r="N58" s="90">
        <f t="shared" ca="1" si="0"/>
        <v>0</v>
      </c>
      <c r="O58" s="89"/>
      <c r="P58" s="138">
        <f ca="1">E58</f>
        <v>47165</v>
      </c>
      <c r="Q58" s="114">
        <f t="shared" ca="1" si="1"/>
        <v>0.88609656693602257</v>
      </c>
      <c r="R58" s="111">
        <f t="shared" ca="1" si="2"/>
        <v>0.88609656693602257</v>
      </c>
      <c r="S58" s="90">
        <f t="shared" ca="1" si="3"/>
        <v>0</v>
      </c>
    </row>
    <row r="59" spans="2:19" x14ac:dyDescent="0.25">
      <c r="B59" s="101">
        <f ca="1"/>
        <v>47254</v>
      </c>
      <c r="C59" s="102">
        <f ca="1"/>
        <v>-8.5632226584086979E-6</v>
      </c>
      <c r="E59" s="96">
        <f ca="1"/>
        <v>47254</v>
      </c>
      <c r="F59" s="134">
        <f ca="1"/>
        <v>0.88293356375771859</v>
      </c>
      <c r="H59" s="96">
        <f ca="1"/>
        <v>47254</v>
      </c>
      <c r="I59" s="134">
        <f ca="1"/>
        <v>0.88292500053506018</v>
      </c>
      <c r="K59" s="138">
        <f ca="1">H59</f>
        <v>47254</v>
      </c>
      <c r="L59" s="136">
        <f ca="1">C59</f>
        <v>-8.5632226584086979E-6</v>
      </c>
      <c r="M59" s="107">
        <f ca="1">I59-F59</f>
        <v>-8.5632226584086979E-6</v>
      </c>
      <c r="N59" s="90">
        <f t="shared" ca="1" si="0"/>
        <v>0</v>
      </c>
      <c r="O59" s="89"/>
      <c r="P59" s="138">
        <f ca="1">E59</f>
        <v>47254</v>
      </c>
      <c r="Q59" s="114">
        <f t="shared" ca="1" si="1"/>
        <v>0.88292500053506018</v>
      </c>
      <c r="R59" s="111">
        <f t="shared" ca="1" si="2"/>
        <v>0.88292500053506018</v>
      </c>
      <c r="S59" s="90">
        <f t="shared" ca="1" si="3"/>
        <v>0</v>
      </c>
    </row>
    <row r="60" spans="2:19" x14ac:dyDescent="0.25">
      <c r="B60" s="101">
        <f ca="1"/>
        <v>47346</v>
      </c>
      <c r="C60" s="102">
        <f ca="1"/>
        <v>-8.7532557442315806E-6</v>
      </c>
      <c r="E60" s="96">
        <f ca="1"/>
        <v>47346</v>
      </c>
      <c r="F60" s="134">
        <f ca="1"/>
        <v>0.87964296465886294</v>
      </c>
      <c r="H60" s="96">
        <f ca="1"/>
        <v>47346</v>
      </c>
      <c r="I60" s="134">
        <f ca="1"/>
        <v>0.8796342114031187</v>
      </c>
      <c r="K60" s="138">
        <f ca="1">H60</f>
        <v>47346</v>
      </c>
      <c r="L60" s="136">
        <f ca="1">C60</f>
        <v>-8.7532557442315806E-6</v>
      </c>
      <c r="M60" s="107">
        <f ca="1">I60-F60</f>
        <v>-8.7532557442315806E-6</v>
      </c>
      <c r="N60" s="90">
        <f t="shared" ca="1" si="0"/>
        <v>0</v>
      </c>
      <c r="O60" s="89"/>
      <c r="P60" s="138">
        <f ca="1">E60</f>
        <v>47346</v>
      </c>
      <c r="Q60" s="114">
        <f t="shared" ca="1" si="1"/>
        <v>0.8796342114031187</v>
      </c>
      <c r="R60" s="111">
        <f t="shared" ca="1" si="2"/>
        <v>0.8796342114031187</v>
      </c>
      <c r="S60" s="90">
        <f t="shared" ca="1" si="3"/>
        <v>0</v>
      </c>
    </row>
    <row r="61" spans="2:19" x14ac:dyDescent="0.25">
      <c r="B61" s="101">
        <f ca="1"/>
        <v>47438</v>
      </c>
      <c r="C61" s="102">
        <f ca="1"/>
        <v>-8.9417404025571301E-6</v>
      </c>
      <c r="E61" s="96">
        <f ca="1"/>
        <v>47438</v>
      </c>
      <c r="F61" s="134">
        <f ca="1"/>
        <v>0.87634260039090683</v>
      </c>
      <c r="H61" s="96">
        <f ca="1"/>
        <v>47438</v>
      </c>
      <c r="I61" s="134">
        <f ca="1"/>
        <v>0.87633365865050428</v>
      </c>
      <c r="K61" s="138">
        <f ca="1">H61</f>
        <v>47438</v>
      </c>
      <c r="L61" s="136">
        <f ca="1">C61</f>
        <v>-8.9417404025571301E-6</v>
      </c>
      <c r="M61" s="107">
        <f ca="1">I61-F61</f>
        <v>-8.9417404025571301E-6</v>
      </c>
      <c r="N61" s="90">
        <f t="shared" ca="1" si="0"/>
        <v>0</v>
      </c>
      <c r="P61" s="138">
        <f ca="1">E61</f>
        <v>47438</v>
      </c>
      <c r="Q61" s="114">
        <f t="shared" ca="1" si="1"/>
        <v>0.87633365865050428</v>
      </c>
      <c r="R61" s="111">
        <f t="shared" ca="1" si="2"/>
        <v>0.87633365865050428</v>
      </c>
      <c r="S61" s="90">
        <f t="shared" ca="1" si="3"/>
        <v>0</v>
      </c>
    </row>
    <row r="62" spans="2:19" x14ac:dyDescent="0.25">
      <c r="B62" s="101">
        <f ca="1"/>
        <v>47533</v>
      </c>
      <c r="C62" s="102">
        <f ca="1"/>
        <v>-9.134744199723599E-6</v>
      </c>
      <c r="E62" s="96">
        <f ca="1"/>
        <v>47533</v>
      </c>
      <c r="F62" s="134">
        <f ca="1"/>
        <v>0.87292608064624999</v>
      </c>
      <c r="H62" s="96">
        <f ca="1"/>
        <v>47533</v>
      </c>
      <c r="I62" s="134">
        <f ca="1"/>
        <v>0.87291694590205027</v>
      </c>
      <c r="K62" s="138">
        <f ca="1">H62</f>
        <v>47533</v>
      </c>
      <c r="L62" s="136">
        <f ca="1">C62</f>
        <v>-9.134744199723599E-6</v>
      </c>
      <c r="M62" s="107">
        <f ca="1">I62-F62</f>
        <v>-9.134744199723599E-6</v>
      </c>
      <c r="N62" s="90">
        <f t="shared" ca="1" si="0"/>
        <v>0</v>
      </c>
      <c r="P62" s="138">
        <f ca="1">E62</f>
        <v>47533</v>
      </c>
      <c r="Q62" s="114">
        <f t="shared" ca="1" si="1"/>
        <v>0.87291694590205027</v>
      </c>
      <c r="R62" s="111">
        <f t="shared" ca="1" si="2"/>
        <v>0.87291694590205027</v>
      </c>
      <c r="S62" s="90">
        <f t="shared" ca="1" si="3"/>
        <v>0</v>
      </c>
    </row>
    <row r="63" spans="2:19" x14ac:dyDescent="0.25">
      <c r="B63" s="101">
        <f ca="1"/>
        <v>47619</v>
      </c>
      <c r="C63" s="102">
        <f ca="1"/>
        <v>-9.3080254565114373E-6</v>
      </c>
      <c r="E63" s="96">
        <f ca="1"/>
        <v>47619</v>
      </c>
      <c r="F63" s="134">
        <f ca="1"/>
        <v>0.86982699793955442</v>
      </c>
      <c r="H63" s="96">
        <f ca="1"/>
        <v>47619</v>
      </c>
      <c r="I63" s="134">
        <f ca="1"/>
        <v>0.86981768991409791</v>
      </c>
      <c r="K63" s="138">
        <f ca="1">H63</f>
        <v>47619</v>
      </c>
      <c r="L63" s="136">
        <f ca="1">C63</f>
        <v>-9.3080254565114373E-6</v>
      </c>
      <c r="M63" s="107">
        <f ca="1">I63-F63</f>
        <v>-9.3080254565114373E-6</v>
      </c>
      <c r="N63" s="90">
        <f t="shared" ca="1" si="0"/>
        <v>0</v>
      </c>
      <c r="P63" s="138">
        <f ca="1">E63</f>
        <v>47619</v>
      </c>
      <c r="Q63" s="114">
        <f t="shared" ca="1" si="1"/>
        <v>0.86981768991409791</v>
      </c>
      <c r="R63" s="111">
        <f t="shared" ca="1" si="2"/>
        <v>0.86981768991409791</v>
      </c>
      <c r="S63" s="90">
        <f t="shared" ca="1" si="3"/>
        <v>0</v>
      </c>
    </row>
    <row r="64" spans="2:19" x14ac:dyDescent="0.25">
      <c r="B64" s="101">
        <f ca="1"/>
        <v>47711</v>
      </c>
      <c r="C64" s="102">
        <f ca="1"/>
        <v>-9.4918703221757994E-6</v>
      </c>
      <c r="E64" s="96">
        <f ca="1"/>
        <v>47711</v>
      </c>
      <c r="F64" s="134">
        <f ca="1"/>
        <v>0.86650652538655371</v>
      </c>
      <c r="H64" s="96">
        <f ca="1"/>
        <v>47711</v>
      </c>
      <c r="I64" s="134">
        <f ca="1"/>
        <v>0.86649703351623153</v>
      </c>
      <c r="K64" s="138">
        <f ca="1">H64</f>
        <v>47711</v>
      </c>
      <c r="L64" s="136">
        <f ca="1">C64</f>
        <v>-9.4918703221757994E-6</v>
      </c>
      <c r="M64" s="107">
        <f ca="1">I64-F64</f>
        <v>-9.4918703221757994E-6</v>
      </c>
      <c r="N64" s="90">
        <f t="shared" ca="1" si="0"/>
        <v>0</v>
      </c>
      <c r="P64" s="138">
        <f ca="1">E64</f>
        <v>47711</v>
      </c>
      <c r="Q64" s="114">
        <f t="shared" ca="1" si="1"/>
        <v>0.86649703351623153</v>
      </c>
      <c r="R64" s="111">
        <f t="shared" ca="1" si="2"/>
        <v>0.86649703351623153</v>
      </c>
      <c r="S64" s="90">
        <f t="shared" ca="1" si="3"/>
        <v>0</v>
      </c>
    </row>
    <row r="65" spans="2:19" x14ac:dyDescent="0.25">
      <c r="B65" s="101">
        <f ca="1"/>
        <v>47805</v>
      </c>
      <c r="C65" s="102">
        <f ca="1"/>
        <v>-9.678069045726545E-6</v>
      </c>
      <c r="E65" s="96">
        <f ca="1"/>
        <v>47805</v>
      </c>
      <c r="F65" s="134">
        <f ca="1"/>
        <v>0.86310989073247302</v>
      </c>
      <c r="H65" s="96">
        <f ca="1"/>
        <v>47805</v>
      </c>
      <c r="I65" s="134">
        <f ca="1"/>
        <v>0.86310021266342729</v>
      </c>
      <c r="K65" s="138">
        <f ca="1">H65</f>
        <v>47805</v>
      </c>
      <c r="L65" s="136">
        <f ca="1">C65</f>
        <v>-9.678069045726545E-6</v>
      </c>
      <c r="M65" s="107">
        <f ca="1">I65-F65</f>
        <v>-9.678069045726545E-6</v>
      </c>
      <c r="N65" s="90">
        <f t="shared" ca="1" si="0"/>
        <v>0</v>
      </c>
      <c r="P65" s="138">
        <f ca="1">E65</f>
        <v>47805</v>
      </c>
      <c r="Q65" s="114">
        <f t="shared" ca="1" si="1"/>
        <v>0.86310021266342729</v>
      </c>
      <c r="R65" s="111">
        <f t="shared" ca="1" si="2"/>
        <v>0.86310021266342729</v>
      </c>
      <c r="S65" s="90">
        <f t="shared" ca="1" si="3"/>
        <v>0</v>
      </c>
    </row>
    <row r="66" spans="2:19" x14ac:dyDescent="0.25">
      <c r="B66" s="101">
        <f ca="1"/>
        <v>47897</v>
      </c>
      <c r="C66" s="102">
        <f ca="1"/>
        <v>-9.8586847034898284E-6</v>
      </c>
      <c r="E66" s="96">
        <f ca="1"/>
        <v>47897</v>
      </c>
      <c r="F66" s="134">
        <f ca="1"/>
        <v>0.85978325257290833</v>
      </c>
      <c r="H66" s="96">
        <f ca="1"/>
        <v>47897</v>
      </c>
      <c r="I66" s="134">
        <f ca="1"/>
        <v>0.85977339388820484</v>
      </c>
      <c r="K66" s="138">
        <f ca="1">H66</f>
        <v>47897</v>
      </c>
      <c r="L66" s="136">
        <f ca="1">C66</f>
        <v>-9.8586847034898284E-6</v>
      </c>
      <c r="M66" s="107">
        <f ca="1">I66-F66</f>
        <v>-9.8586847034898284E-6</v>
      </c>
      <c r="N66" s="90">
        <f t="shared" ca="1" si="0"/>
        <v>0</v>
      </c>
      <c r="P66" s="138">
        <f ca="1">E66</f>
        <v>47897</v>
      </c>
      <c r="Q66" s="114">
        <f t="shared" ca="1" si="1"/>
        <v>0.85977339388820484</v>
      </c>
      <c r="R66" s="111">
        <f t="shared" ca="1" si="2"/>
        <v>0.85977339388820484</v>
      </c>
      <c r="S66" s="90">
        <f t="shared" ca="1" si="3"/>
        <v>0</v>
      </c>
    </row>
    <row r="67" spans="2:19" x14ac:dyDescent="0.25">
      <c r="B67" s="101">
        <f ca="1"/>
        <v>47984</v>
      </c>
      <c r="C67" s="102">
        <f ca="1"/>
        <v>-1.0027996868222644E-5</v>
      </c>
      <c r="E67" s="96">
        <f ca="1"/>
        <v>47984</v>
      </c>
      <c r="F67" s="134">
        <f ca="1"/>
        <v>0.85663685482641638</v>
      </c>
      <c r="H67" s="96">
        <f ca="1"/>
        <v>47984</v>
      </c>
      <c r="I67" s="134">
        <f ca="1"/>
        <v>0.85662682682954816</v>
      </c>
      <c r="K67" s="138">
        <f ca="1">H67</f>
        <v>47984</v>
      </c>
      <c r="L67" s="136">
        <f ca="1">C67</f>
        <v>-1.0027996868222644E-5</v>
      </c>
      <c r="M67" s="107">
        <f ca="1">I67-F67</f>
        <v>-1.0027996868222644E-5</v>
      </c>
      <c r="N67" s="90">
        <f t="shared" ca="1" si="0"/>
        <v>0</v>
      </c>
      <c r="P67" s="138">
        <f ca="1">E67</f>
        <v>47984</v>
      </c>
      <c r="Q67" s="114">
        <f t="shared" ca="1" si="1"/>
        <v>0.85662682682954816</v>
      </c>
      <c r="R67" s="111">
        <f t="shared" ca="1" si="2"/>
        <v>0.85662682682954816</v>
      </c>
      <c r="S67" s="90">
        <f t="shared" ca="1" si="3"/>
        <v>0</v>
      </c>
    </row>
    <row r="68" spans="2:19" x14ac:dyDescent="0.25">
      <c r="B68" s="101">
        <f ca="1"/>
        <v>48078</v>
      </c>
      <c r="C68" s="102">
        <f ca="1"/>
        <v>-1.0209294258878288E-5</v>
      </c>
      <c r="E68" s="96">
        <f ca="1"/>
        <v>48078</v>
      </c>
      <c r="F68" s="134">
        <f ca="1"/>
        <v>0.85323841361629904</v>
      </c>
      <c r="H68" s="96">
        <f ca="1"/>
        <v>48078</v>
      </c>
      <c r="I68" s="134">
        <f ca="1"/>
        <v>0.85322820432204016</v>
      </c>
      <c r="K68" s="138">
        <f ca="1">H68</f>
        <v>48078</v>
      </c>
      <c r="L68" s="136">
        <f ca="1">C68</f>
        <v>-1.0209294258878288E-5</v>
      </c>
      <c r="M68" s="107">
        <f ca="1">I68-F68</f>
        <v>-1.0209294258878288E-5</v>
      </c>
      <c r="N68" s="90">
        <f t="shared" ca="1" si="0"/>
        <v>0</v>
      </c>
      <c r="P68" s="138">
        <f ca="1">E68</f>
        <v>48078</v>
      </c>
      <c r="Q68" s="114">
        <f t="shared" ca="1" si="1"/>
        <v>0.85322820432204016</v>
      </c>
      <c r="R68" s="111">
        <f t="shared" ca="1" si="2"/>
        <v>0.85322820432204016</v>
      </c>
      <c r="S68" s="90">
        <f t="shared" ca="1" si="3"/>
        <v>0</v>
      </c>
    </row>
    <row r="69" spans="2:19" x14ac:dyDescent="0.25">
      <c r="B69" s="101">
        <f ca="1"/>
        <v>48169</v>
      </c>
      <c r="C69" s="102">
        <f ca="1"/>
        <v>-1.0383177212247574E-5</v>
      </c>
      <c r="E69" s="96">
        <f ca="1"/>
        <v>48169</v>
      </c>
      <c r="F69" s="134">
        <f ca="1"/>
        <v>0.84995114942790295</v>
      </c>
      <c r="H69" s="96">
        <f ca="1"/>
        <v>48169</v>
      </c>
      <c r="I69" s="134">
        <f ca="1"/>
        <v>0.8499407662506907</v>
      </c>
      <c r="K69" s="138">
        <f ca="1">H69</f>
        <v>48169</v>
      </c>
      <c r="L69" s="136">
        <f ca="1">C69</f>
        <v>-1.0383177212247574E-5</v>
      </c>
      <c r="M69" s="107">
        <f ca="1">I69-F69</f>
        <v>-1.0383177212247574E-5</v>
      </c>
      <c r="N69" s="90">
        <f t="shared" ca="1" si="0"/>
        <v>0</v>
      </c>
      <c r="P69" s="138">
        <f ca="1">E69</f>
        <v>48169</v>
      </c>
      <c r="Q69" s="114">
        <f t="shared" ca="1" si="1"/>
        <v>0.8499407662506907</v>
      </c>
      <c r="R69" s="111">
        <f t="shared" ca="1" si="2"/>
        <v>0.8499407662506907</v>
      </c>
      <c r="S69" s="90">
        <f t="shared" ca="1" si="3"/>
        <v>0</v>
      </c>
    </row>
    <row r="70" spans="2:19" x14ac:dyDescent="0.25">
      <c r="B70" s="101">
        <f ca="1"/>
        <v>48261</v>
      </c>
      <c r="C70" s="102">
        <f ca="1"/>
        <v>-1.0557351018181116E-5</v>
      </c>
      <c r="E70" s="96">
        <f ca="1"/>
        <v>48261</v>
      </c>
      <c r="F70" s="134">
        <f ca="1"/>
        <v>0.84663155109425747</v>
      </c>
      <c r="H70" s="96">
        <f ca="1"/>
        <v>48261</v>
      </c>
      <c r="I70" s="134">
        <f ca="1"/>
        <v>0.84662099374323929</v>
      </c>
      <c r="K70" s="138">
        <f ca="1">H70</f>
        <v>48261</v>
      </c>
      <c r="L70" s="136">
        <f ca="1">C70</f>
        <v>-1.0557351018181116E-5</v>
      </c>
      <c r="M70" s="107">
        <f ca="1">I70-F70</f>
        <v>-1.0557351018181116E-5</v>
      </c>
      <c r="N70" s="90">
        <f t="shared" ca="1" si="0"/>
        <v>0</v>
      </c>
      <c r="P70" s="138">
        <f ca="1">E70</f>
        <v>48261</v>
      </c>
      <c r="Q70" s="114">
        <f t="shared" ca="1" si="1"/>
        <v>0.84662099374323929</v>
      </c>
      <c r="R70" s="111">
        <f t="shared" ca="1" si="2"/>
        <v>0.84662099374323929</v>
      </c>
      <c r="S70" s="90">
        <f t="shared" ca="1" si="3"/>
        <v>0</v>
      </c>
    </row>
    <row r="71" spans="2:19" x14ac:dyDescent="0.25">
      <c r="B71" s="101">
        <f ca="1"/>
        <v>48351</v>
      </c>
      <c r="C71" s="102">
        <f ca="1"/>
        <v>-1.0726175667441495E-5</v>
      </c>
      <c r="E71" s="96">
        <f ca="1"/>
        <v>48351</v>
      </c>
      <c r="F71" s="134">
        <f ca="1"/>
        <v>0.84338868909048603</v>
      </c>
      <c r="H71" s="96">
        <f ca="1"/>
        <v>48351</v>
      </c>
      <c r="I71" s="134">
        <f ca="1"/>
        <v>0.84337796291481859</v>
      </c>
      <c r="K71" s="138">
        <f ca="1">H71</f>
        <v>48351</v>
      </c>
      <c r="L71" s="136">
        <f ca="1">C71</f>
        <v>-1.0726175667441495E-5</v>
      </c>
      <c r="M71" s="107">
        <f ca="1">I71-F71</f>
        <v>-1.0726175667441495E-5</v>
      </c>
      <c r="N71" s="90">
        <f t="shared" ca="1" si="0"/>
        <v>0</v>
      </c>
      <c r="P71" s="138">
        <f ca="1">E71</f>
        <v>48351</v>
      </c>
      <c r="Q71" s="114">
        <f t="shared" ca="1" si="1"/>
        <v>0.84337796291481859</v>
      </c>
      <c r="R71" s="111">
        <f t="shared" ca="1" si="2"/>
        <v>0.84337796291481859</v>
      </c>
      <c r="S71" s="90">
        <f t="shared" ca="1" si="3"/>
        <v>0</v>
      </c>
    </row>
    <row r="72" spans="2:19" x14ac:dyDescent="0.25">
      <c r="B72" s="101">
        <f ca="1"/>
        <v>48442</v>
      </c>
      <c r="C72" s="102">
        <f ca="1"/>
        <v>-1.0895319340176179E-5</v>
      </c>
      <c r="E72" s="96">
        <f ca="1"/>
        <v>48442</v>
      </c>
      <c r="F72" s="134">
        <f ca="1"/>
        <v>0.84011528351073117</v>
      </c>
      <c r="H72" s="96">
        <f ca="1"/>
        <v>48442</v>
      </c>
      <c r="I72" s="134">
        <f ca="1"/>
        <v>0.84010438819139099</v>
      </c>
      <c r="K72" s="138">
        <f ca="1">H72</f>
        <v>48442</v>
      </c>
      <c r="L72" s="136">
        <f ca="1">C72</f>
        <v>-1.0895319340176179E-5</v>
      </c>
      <c r="M72" s="107">
        <f ca="1">I72-F72</f>
        <v>-1.0895319340176179E-5</v>
      </c>
      <c r="N72" s="90">
        <f t="shared" ca="1" si="0"/>
        <v>0</v>
      </c>
      <c r="P72" s="138">
        <f ca="1">E72</f>
        <v>48442</v>
      </c>
      <c r="Q72" s="114">
        <f t="shared" ca="1" si="1"/>
        <v>0.84010438819139099</v>
      </c>
      <c r="R72" s="111">
        <f t="shared" ca="1" si="2"/>
        <v>0.84010438819139099</v>
      </c>
      <c r="S72" s="90">
        <f t="shared" ca="1" si="3"/>
        <v>0</v>
      </c>
    </row>
    <row r="73" spans="2:19" x14ac:dyDescent="0.25">
      <c r="B73" s="101">
        <f ca="1"/>
        <v>48534</v>
      </c>
      <c r="C73" s="102">
        <f ca="1"/>
        <v>-1.1064746692768246E-5</v>
      </c>
      <c r="E73" s="96">
        <f ca="1"/>
        <v>48534</v>
      </c>
      <c r="F73" s="134">
        <f ca="1"/>
        <v>0.83681243013845563</v>
      </c>
      <c r="H73" s="96">
        <f ca="1"/>
        <v>48534</v>
      </c>
      <c r="I73" s="134">
        <f ca="1"/>
        <v>0.83680136539176286</v>
      </c>
      <c r="K73" s="138">
        <f ca="1">H73</f>
        <v>48534</v>
      </c>
      <c r="L73" s="136">
        <f ca="1">C73</f>
        <v>-1.1064746692768246E-5</v>
      </c>
      <c r="M73" s="107">
        <f ca="1">I73-F73</f>
        <v>-1.1064746692768246E-5</v>
      </c>
      <c r="N73" s="90">
        <f t="shared" ca="1" si="0"/>
        <v>0</v>
      </c>
      <c r="P73" s="138">
        <f ca="1">E73</f>
        <v>48534</v>
      </c>
      <c r="Q73" s="114">
        <f t="shared" ca="1" si="1"/>
        <v>0.83680136539176286</v>
      </c>
      <c r="R73" s="111">
        <f t="shared" ca="1" si="2"/>
        <v>0.83680136539176286</v>
      </c>
      <c r="S73" s="90">
        <f t="shared" ca="1" si="3"/>
        <v>0</v>
      </c>
    </row>
    <row r="74" spans="2:19" x14ac:dyDescent="0.25">
      <c r="B74" s="101">
        <f ca="1"/>
        <v>48626</v>
      </c>
      <c r="C74" s="102">
        <f ca="1"/>
        <v>-1.1232608170708147E-5</v>
      </c>
      <c r="E74" s="96">
        <f ca="1"/>
        <v>48626</v>
      </c>
      <c r="F74" s="134">
        <f ca="1"/>
        <v>0.83351706387625568</v>
      </c>
      <c r="H74" s="96">
        <f ca="1"/>
        <v>48626</v>
      </c>
      <c r="I74" s="134">
        <f ca="1"/>
        <v>0.83350583126808497</v>
      </c>
      <c r="K74" s="138">
        <f ca="1">H74</f>
        <v>48626</v>
      </c>
      <c r="L74" s="136">
        <f ca="1">C74</f>
        <v>-1.1232608170708147E-5</v>
      </c>
      <c r="M74" s="107">
        <f ca="1">I74-F74</f>
        <v>-1.1232608170708147E-5</v>
      </c>
      <c r="N74" s="90">
        <f t="shared" ca="1" si="0"/>
        <v>0</v>
      </c>
      <c r="P74" s="138">
        <f ca="1">E74</f>
        <v>48626</v>
      </c>
      <c r="Q74" s="114">
        <f t="shared" ca="1" si="1"/>
        <v>0.83350583126808497</v>
      </c>
      <c r="R74" s="111">
        <f t="shared" ca="1" si="2"/>
        <v>0.83350583126808497</v>
      </c>
      <c r="S74" s="90">
        <f t="shared" ca="1" si="3"/>
        <v>0</v>
      </c>
    </row>
    <row r="75" spans="2:19" x14ac:dyDescent="0.25">
      <c r="B75" s="101">
        <f ca="1"/>
        <v>48715</v>
      </c>
      <c r="C75" s="102">
        <f ca="1"/>
        <v>-1.1393523800751204E-5</v>
      </c>
      <c r="E75" s="96">
        <f ca="1"/>
        <v>48715</v>
      </c>
      <c r="F75" s="134">
        <f ca="1"/>
        <v>0.83033715836727662</v>
      </c>
      <c r="H75" s="96">
        <f ca="1"/>
        <v>48715</v>
      </c>
      <c r="I75" s="134">
        <f ca="1"/>
        <v>0.83032576484347587</v>
      </c>
      <c r="K75" s="138">
        <f ca="1">H75</f>
        <v>48715</v>
      </c>
      <c r="L75" s="136">
        <f ca="1">C75</f>
        <v>-1.1393523800751204E-5</v>
      </c>
      <c r="M75" s="107">
        <f ca="1">I75-F75</f>
        <v>-1.1393523800751204E-5</v>
      </c>
      <c r="N75" s="90">
        <f t="shared" ref="N75:N138" ca="1" si="4">L75-M75</f>
        <v>0</v>
      </c>
      <c r="P75" s="138">
        <f ca="1">E75</f>
        <v>48715</v>
      </c>
      <c r="Q75" s="114">
        <f t="shared" ref="Q75:Q138" ca="1" si="5">L75+F75</f>
        <v>0.83032576484347587</v>
      </c>
      <c r="R75" s="111">
        <f t="shared" ref="R75:R138" ca="1" si="6">F75+M75</f>
        <v>0.83032576484347587</v>
      </c>
      <c r="S75" s="90">
        <f t="shared" ref="S75:S138" ca="1" si="7">Q75-R75</f>
        <v>0</v>
      </c>
    </row>
    <row r="76" spans="2:19" x14ac:dyDescent="0.25">
      <c r="B76" s="101">
        <f ca="1"/>
        <v>48807</v>
      </c>
      <c r="C76" s="102">
        <f ca="1"/>
        <v>-1.1558361703745135E-5</v>
      </c>
      <c r="E76" s="96">
        <f ca="1"/>
        <v>48807</v>
      </c>
      <c r="F76" s="134">
        <f ca="1"/>
        <v>0.82705924751433502</v>
      </c>
      <c r="H76" s="96">
        <f ca="1"/>
        <v>48807</v>
      </c>
      <c r="I76" s="134">
        <f ca="1"/>
        <v>0.82704768915263127</v>
      </c>
      <c r="K76" s="138">
        <f ca="1">H76</f>
        <v>48807</v>
      </c>
      <c r="L76" s="136">
        <f ca="1">C76</f>
        <v>-1.1558361703745135E-5</v>
      </c>
      <c r="M76" s="107">
        <f ca="1">I76-F76</f>
        <v>-1.1558361703745135E-5</v>
      </c>
      <c r="N76" s="90">
        <f t="shared" ca="1" si="4"/>
        <v>0</v>
      </c>
      <c r="P76" s="138">
        <f ca="1">E76</f>
        <v>48807</v>
      </c>
      <c r="Q76" s="114">
        <f t="shared" ca="1" si="5"/>
        <v>0.82704768915263127</v>
      </c>
      <c r="R76" s="111">
        <f t="shared" ca="1" si="6"/>
        <v>0.82704768915263127</v>
      </c>
      <c r="S76" s="90">
        <f t="shared" ca="1" si="7"/>
        <v>0</v>
      </c>
    </row>
    <row r="77" spans="2:19" x14ac:dyDescent="0.25">
      <c r="B77" s="101">
        <f ca="1"/>
        <v>48899</v>
      </c>
      <c r="C77" s="102">
        <f ca="1"/>
        <v>-1.1721694341382261E-5</v>
      </c>
      <c r="E77" s="96">
        <f ca="1"/>
        <v>48899</v>
      </c>
      <c r="F77" s="134">
        <f ca="1"/>
        <v>0.82379159744269936</v>
      </c>
      <c r="H77" s="96">
        <f ca="1"/>
        <v>48899</v>
      </c>
      <c r="I77" s="134">
        <f ca="1"/>
        <v>0.82377987574835798</v>
      </c>
      <c r="K77" s="138">
        <f ca="1">H77</f>
        <v>48899</v>
      </c>
      <c r="L77" s="136">
        <f ca="1">C77</f>
        <v>-1.1721694341382261E-5</v>
      </c>
      <c r="M77" s="107">
        <f ca="1">I77-F77</f>
        <v>-1.1721694341382261E-5</v>
      </c>
      <c r="N77" s="90">
        <f t="shared" ca="1" si="4"/>
        <v>0</v>
      </c>
      <c r="P77" s="138">
        <f ca="1">E77</f>
        <v>48899</v>
      </c>
      <c r="Q77" s="114">
        <f t="shared" ca="1" si="5"/>
        <v>0.82377987574835798</v>
      </c>
      <c r="R77" s="111">
        <f t="shared" ca="1" si="6"/>
        <v>0.82377987574835798</v>
      </c>
      <c r="S77" s="90">
        <f t="shared" ca="1" si="7"/>
        <v>0</v>
      </c>
    </row>
    <row r="78" spans="2:19" x14ac:dyDescent="0.25">
      <c r="B78" s="101">
        <f ca="1"/>
        <v>48991</v>
      </c>
      <c r="C78" s="102">
        <f ca="1"/>
        <v>-1.1883544703605864E-5</v>
      </c>
      <c r="E78" s="96">
        <f ca="1"/>
        <v>48991</v>
      </c>
      <c r="F78" s="134">
        <f ca="1"/>
        <v>0.82053514571152486</v>
      </c>
      <c r="H78" s="96">
        <f ca="1"/>
        <v>48991</v>
      </c>
      <c r="I78" s="134">
        <f ca="1"/>
        <v>0.82052326216682125</v>
      </c>
      <c r="K78" s="138">
        <f ca="1">H78</f>
        <v>48991</v>
      </c>
      <c r="L78" s="136">
        <f ca="1">C78</f>
        <v>-1.1883544703605864E-5</v>
      </c>
      <c r="M78" s="107">
        <f ca="1">I78-F78</f>
        <v>-1.1883544703605864E-5</v>
      </c>
      <c r="N78" s="90">
        <f t="shared" ca="1" si="4"/>
        <v>0</v>
      </c>
      <c r="P78" s="138">
        <f ca="1">E78</f>
        <v>48991</v>
      </c>
      <c r="Q78" s="114">
        <f t="shared" ca="1" si="5"/>
        <v>0.82052326216682125</v>
      </c>
      <c r="R78" s="111">
        <f t="shared" ca="1" si="6"/>
        <v>0.82052326216682125</v>
      </c>
      <c r="S78" s="90">
        <f t="shared" ca="1" si="7"/>
        <v>0</v>
      </c>
    </row>
    <row r="79" spans="2:19" x14ac:dyDescent="0.25">
      <c r="B79" s="101">
        <f ca="1"/>
        <v>49080</v>
      </c>
      <c r="C79" s="102">
        <f ca="1"/>
        <v>-1.2038729611085763E-5</v>
      </c>
      <c r="E79" s="96">
        <f ca="1"/>
        <v>49080</v>
      </c>
      <c r="F79" s="134">
        <f ca="1"/>
        <v>0.81739642269393087</v>
      </c>
      <c r="H79" s="96">
        <f ca="1"/>
        <v>49080</v>
      </c>
      <c r="I79" s="134">
        <f ca="1"/>
        <v>0.81738438396431978</v>
      </c>
      <c r="K79" s="138">
        <f ca="1">H79</f>
        <v>49080</v>
      </c>
      <c r="L79" s="136">
        <f ca="1">C79</f>
        <v>-1.2038729611085763E-5</v>
      </c>
      <c r="M79" s="107">
        <f ca="1">I79-F79</f>
        <v>-1.2038729611085763E-5</v>
      </c>
      <c r="N79" s="90">
        <f t="shared" ca="1" si="4"/>
        <v>0</v>
      </c>
      <c r="P79" s="138">
        <f ca="1">E79</f>
        <v>49080</v>
      </c>
      <c r="Q79" s="114">
        <f t="shared" ca="1" si="5"/>
        <v>0.81738438396431978</v>
      </c>
      <c r="R79" s="111">
        <f t="shared" ca="1" si="6"/>
        <v>0.81738438396431978</v>
      </c>
      <c r="S79" s="90">
        <f t="shared" ca="1" si="7"/>
        <v>0</v>
      </c>
    </row>
    <row r="80" spans="2:19" x14ac:dyDescent="0.25">
      <c r="B80" s="101">
        <f ca="1"/>
        <v>49172</v>
      </c>
      <c r="C80" s="102">
        <f ca="1"/>
        <v>-1.2197735800523191E-5</v>
      </c>
      <c r="E80" s="96">
        <f ca="1"/>
        <v>49172</v>
      </c>
      <c r="F80" s="134">
        <f ca="1"/>
        <v>0.81416474326412469</v>
      </c>
      <c r="H80" s="96">
        <f ca="1"/>
        <v>49172</v>
      </c>
      <c r="I80" s="134">
        <f ca="1"/>
        <v>0.81415254552832417</v>
      </c>
      <c r="K80" s="138">
        <f ca="1">H80</f>
        <v>49172</v>
      </c>
      <c r="L80" s="136">
        <f ca="1">C80</f>
        <v>-1.2197735800523191E-5</v>
      </c>
      <c r="M80" s="107">
        <f ca="1">I80-F80</f>
        <v>-1.2197735800523191E-5</v>
      </c>
      <c r="N80" s="90">
        <f t="shared" ca="1" si="4"/>
        <v>0</v>
      </c>
      <c r="P80" s="138">
        <f ca="1">E80</f>
        <v>49172</v>
      </c>
      <c r="Q80" s="114">
        <f t="shared" ca="1" si="5"/>
        <v>0.81415254552832417</v>
      </c>
      <c r="R80" s="111">
        <f t="shared" ca="1" si="6"/>
        <v>0.81415254552832417</v>
      </c>
      <c r="S80" s="90">
        <f t="shared" ca="1" si="7"/>
        <v>0</v>
      </c>
    </row>
    <row r="81" spans="2:19" x14ac:dyDescent="0.25">
      <c r="B81" s="101">
        <f ca="1"/>
        <v>49264</v>
      </c>
      <c r="C81" s="102">
        <f ca="1"/>
        <v>-1.2355332880686909E-5</v>
      </c>
      <c r="E81" s="96">
        <f ca="1"/>
        <v>49264</v>
      </c>
      <c r="F81" s="134">
        <f ca="1"/>
        <v>0.81094695211609935</v>
      </c>
      <c r="H81" s="96">
        <f ca="1"/>
        <v>49264</v>
      </c>
      <c r="I81" s="134">
        <f ca="1"/>
        <v>0.81093459678321866</v>
      </c>
      <c r="K81" s="138">
        <f ca="1">H81</f>
        <v>49264</v>
      </c>
      <c r="L81" s="136">
        <f ca="1">C81</f>
        <v>-1.2355332880686909E-5</v>
      </c>
      <c r="M81" s="107">
        <f ca="1">I81-F81</f>
        <v>-1.2355332880686909E-5</v>
      </c>
      <c r="N81" s="90">
        <f t="shared" ca="1" si="4"/>
        <v>0</v>
      </c>
      <c r="P81" s="138">
        <f ca="1">E81</f>
        <v>49264</v>
      </c>
      <c r="Q81" s="114">
        <f t="shared" ca="1" si="5"/>
        <v>0.81093459678321866</v>
      </c>
      <c r="R81" s="111">
        <f t="shared" ca="1" si="6"/>
        <v>0.81093459678321866</v>
      </c>
      <c r="S81" s="90">
        <f t="shared" ca="1" si="7"/>
        <v>0</v>
      </c>
    </row>
    <row r="82" spans="2:19" x14ac:dyDescent="0.25">
      <c r="B82" s="101">
        <f ca="1"/>
        <v>49356</v>
      </c>
      <c r="C82" s="102">
        <f ca="1"/>
        <v>-1.2511535615100655E-5</v>
      </c>
      <c r="E82" s="96">
        <f ca="1"/>
        <v>49356</v>
      </c>
      <c r="F82" s="134">
        <f ca="1"/>
        <v>0.80774349089287278</v>
      </c>
      <c r="H82" s="96">
        <f ca="1"/>
        <v>49356</v>
      </c>
      <c r="I82" s="134">
        <f ca="1"/>
        <v>0.80773097935725768</v>
      </c>
      <c r="K82" s="138">
        <f ca="1">H82</f>
        <v>49356</v>
      </c>
      <c r="L82" s="136">
        <f ca="1">C82</f>
        <v>-1.2511535615100655E-5</v>
      </c>
      <c r="M82" s="107">
        <f ca="1">I82-F82</f>
        <v>-1.2511535615100655E-5</v>
      </c>
      <c r="N82" s="90">
        <f t="shared" ca="1" si="4"/>
        <v>0</v>
      </c>
      <c r="P82" s="138">
        <f ca="1">E82</f>
        <v>49356</v>
      </c>
      <c r="Q82" s="114">
        <f t="shared" ca="1" si="5"/>
        <v>0.80773097935725768</v>
      </c>
      <c r="R82" s="111">
        <f t="shared" ca="1" si="6"/>
        <v>0.80773097935725768</v>
      </c>
      <c r="S82" s="90">
        <f t="shared" ca="1" si="7"/>
        <v>0</v>
      </c>
    </row>
    <row r="83" spans="2:19" x14ac:dyDescent="0.25">
      <c r="B83" s="101">
        <f ca="1"/>
        <v>49445</v>
      </c>
      <c r="C83" s="102">
        <f ca="1"/>
        <v>-1.2661329368945928E-5</v>
      </c>
      <c r="E83" s="96">
        <f ca="1"/>
        <v>49445</v>
      </c>
      <c r="F83" s="134">
        <f ca="1"/>
        <v>0.80465842612900296</v>
      </c>
      <c r="H83" s="96">
        <f ca="1"/>
        <v>49445</v>
      </c>
      <c r="I83" s="134">
        <f ca="1"/>
        <v>0.80464576479963401</v>
      </c>
      <c r="K83" s="138">
        <f ca="1">H83</f>
        <v>49445</v>
      </c>
      <c r="L83" s="136">
        <f ca="1">C83</f>
        <v>-1.2661329368945928E-5</v>
      </c>
      <c r="M83" s="107">
        <f ca="1">I83-F83</f>
        <v>-1.2661329368945928E-5</v>
      </c>
      <c r="N83" s="90">
        <f t="shared" ca="1" si="4"/>
        <v>0</v>
      </c>
      <c r="P83" s="138">
        <f ca="1">E83</f>
        <v>49445</v>
      </c>
      <c r="Q83" s="114">
        <f t="shared" ca="1" si="5"/>
        <v>0.80464576479963401</v>
      </c>
      <c r="R83" s="111">
        <f t="shared" ca="1" si="6"/>
        <v>0.80464576479963401</v>
      </c>
      <c r="S83" s="90">
        <f t="shared" ca="1" si="7"/>
        <v>0</v>
      </c>
    </row>
    <row r="84" spans="2:19" x14ac:dyDescent="0.25">
      <c r="B84" s="101">
        <f ca="1"/>
        <v>49537</v>
      </c>
      <c r="C84" s="102">
        <f ca="1"/>
        <v>-1.2814824305262817E-5</v>
      </c>
      <c r="E84" s="96">
        <f ca="1"/>
        <v>49537</v>
      </c>
      <c r="F84" s="134">
        <f ca="1"/>
        <v>0.801484057987772</v>
      </c>
      <c r="H84" s="96">
        <f ca="1"/>
        <v>49537</v>
      </c>
      <c r="I84" s="134">
        <f ca="1"/>
        <v>0.80147124316346674</v>
      </c>
      <c r="K84" s="138">
        <f ca="1">H84</f>
        <v>49537</v>
      </c>
      <c r="L84" s="136">
        <f ca="1">C84</f>
        <v>-1.2814824305262817E-5</v>
      </c>
      <c r="M84" s="107">
        <f ca="1">I84-F84</f>
        <v>-1.2814824305262817E-5</v>
      </c>
      <c r="N84" s="90">
        <f t="shared" ca="1" si="4"/>
        <v>0</v>
      </c>
      <c r="P84" s="138">
        <f ca="1">E84</f>
        <v>49537</v>
      </c>
      <c r="Q84" s="114">
        <f t="shared" ca="1" si="5"/>
        <v>0.80147124316346674</v>
      </c>
      <c r="R84" s="111">
        <f t="shared" ca="1" si="6"/>
        <v>0.80147124316346674</v>
      </c>
      <c r="S84" s="90">
        <f t="shared" ca="1" si="7"/>
        <v>0</v>
      </c>
    </row>
    <row r="85" spans="2:19" x14ac:dyDescent="0.25">
      <c r="B85" s="101">
        <f ca="1"/>
        <v>49629</v>
      </c>
      <c r="C85" s="102">
        <f ca="1"/>
        <v>-1.2966960576621389E-5</v>
      </c>
      <c r="E85" s="96">
        <f ca="1"/>
        <v>49629</v>
      </c>
      <c r="F85" s="134">
        <f ca="1"/>
        <v>0.79832488046601691</v>
      </c>
      <c r="H85" s="96">
        <f ca="1"/>
        <v>49629</v>
      </c>
      <c r="I85" s="134">
        <f ca="1"/>
        <v>0.79831191350544028</v>
      </c>
      <c r="K85" s="138">
        <f ca="1">H85</f>
        <v>49629</v>
      </c>
      <c r="L85" s="136">
        <f ca="1">C85</f>
        <v>-1.2966960576621389E-5</v>
      </c>
      <c r="M85" s="107">
        <f ca="1">I85-F85</f>
        <v>-1.2966960576621389E-5</v>
      </c>
      <c r="N85" s="90">
        <f t="shared" ca="1" si="4"/>
        <v>0</v>
      </c>
      <c r="P85" s="138">
        <f ca="1">E85</f>
        <v>49629</v>
      </c>
      <c r="Q85" s="114">
        <f t="shared" ca="1" si="5"/>
        <v>0.79831191350544028</v>
      </c>
      <c r="R85" s="111">
        <f t="shared" ca="1" si="6"/>
        <v>0.79831191350544028</v>
      </c>
      <c r="S85" s="90">
        <f t="shared" ca="1" si="7"/>
        <v>0</v>
      </c>
    </row>
    <row r="86" spans="2:19" x14ac:dyDescent="0.25">
      <c r="B86" s="101">
        <f ca="1"/>
        <v>49724</v>
      </c>
      <c r="C86" s="102">
        <f ca="1"/>
        <v>-1.3122644321961197E-5</v>
      </c>
      <c r="E86" s="96">
        <f ca="1"/>
        <v>49724</v>
      </c>
      <c r="F86" s="134">
        <f ca="1"/>
        <v>0.79507887764132457</v>
      </c>
      <c r="H86" s="96">
        <f ca="1"/>
        <v>49724</v>
      </c>
      <c r="I86" s="134">
        <f ca="1"/>
        <v>0.79506575499700261</v>
      </c>
      <c r="K86" s="138">
        <f ca="1">H86</f>
        <v>49724</v>
      </c>
      <c r="L86" s="136">
        <f ca="1">C86</f>
        <v>-1.3122644321961197E-5</v>
      </c>
      <c r="M86" s="107">
        <f ca="1">I86-F86</f>
        <v>-1.3122644321961197E-5</v>
      </c>
      <c r="N86" s="90">
        <f t="shared" ca="1" si="4"/>
        <v>0</v>
      </c>
      <c r="P86" s="138">
        <f ca="1">E86</f>
        <v>49724</v>
      </c>
      <c r="Q86" s="114">
        <f t="shared" ca="1" si="5"/>
        <v>0.79506575499700261</v>
      </c>
      <c r="R86" s="111">
        <f t="shared" ca="1" si="6"/>
        <v>0.79506575499700261</v>
      </c>
      <c r="S86" s="90">
        <f t="shared" ca="1" si="7"/>
        <v>0</v>
      </c>
    </row>
    <row r="87" spans="2:19" x14ac:dyDescent="0.25">
      <c r="B87" s="101">
        <f ca="1"/>
        <v>49811</v>
      </c>
      <c r="C87" s="102">
        <f ca="1"/>
        <v>-1.326396860557022E-5</v>
      </c>
      <c r="E87" s="96">
        <f ca="1"/>
        <v>49811</v>
      </c>
      <c r="F87" s="134">
        <f ca="1"/>
        <v>0.79212084773547997</v>
      </c>
      <c r="H87" s="96">
        <f ca="1"/>
        <v>49811</v>
      </c>
      <c r="I87" s="134">
        <f ca="1"/>
        <v>0.7921075837668744</v>
      </c>
      <c r="K87" s="138">
        <f ca="1">H87</f>
        <v>49811</v>
      </c>
      <c r="L87" s="136">
        <f ca="1">C87</f>
        <v>-1.326396860557022E-5</v>
      </c>
      <c r="M87" s="107">
        <f ca="1">I87-F87</f>
        <v>-1.326396860557022E-5</v>
      </c>
      <c r="N87" s="90">
        <f t="shared" ca="1" si="4"/>
        <v>0</v>
      </c>
      <c r="P87" s="138">
        <f ca="1">E87</f>
        <v>49811</v>
      </c>
      <c r="Q87" s="114">
        <f t="shared" ca="1" si="5"/>
        <v>0.7921075837668744</v>
      </c>
      <c r="R87" s="111">
        <f t="shared" ca="1" si="6"/>
        <v>0.7921075837668744</v>
      </c>
      <c r="S87" s="90">
        <f t="shared" ca="1" si="7"/>
        <v>0</v>
      </c>
    </row>
    <row r="88" spans="2:19" x14ac:dyDescent="0.25">
      <c r="B88" s="101">
        <f ca="1"/>
        <v>49905</v>
      </c>
      <c r="C88" s="102">
        <f ca="1"/>
        <v>-1.3415332669852731E-5</v>
      </c>
      <c r="E88" s="96">
        <f ca="1"/>
        <v>49905</v>
      </c>
      <c r="F88" s="134">
        <f ca="1"/>
        <v>0.78894071425171397</v>
      </c>
      <c r="H88" s="96">
        <f ca="1"/>
        <v>49905</v>
      </c>
      <c r="I88" s="134">
        <f ca="1"/>
        <v>0.78892729891904412</v>
      </c>
      <c r="K88" s="138">
        <f ca="1">H88</f>
        <v>49905</v>
      </c>
      <c r="L88" s="136">
        <f ca="1">C88</f>
        <v>-1.3415332669852731E-5</v>
      </c>
      <c r="M88" s="107">
        <f ca="1">I88-F88</f>
        <v>-1.3415332669852731E-5</v>
      </c>
      <c r="N88" s="90">
        <f t="shared" ca="1" si="4"/>
        <v>0</v>
      </c>
      <c r="P88" s="138">
        <f ca="1">E88</f>
        <v>49905</v>
      </c>
      <c r="Q88" s="114">
        <f t="shared" ca="1" si="5"/>
        <v>0.78892729891904412</v>
      </c>
      <c r="R88" s="111">
        <f t="shared" ca="1" si="6"/>
        <v>0.78892729891904412</v>
      </c>
      <c r="S88" s="90">
        <f t="shared" ca="1" si="7"/>
        <v>0</v>
      </c>
    </row>
    <row r="89" spans="2:19" x14ac:dyDescent="0.25">
      <c r="B89" s="101">
        <f ca="1"/>
        <v>49996</v>
      </c>
      <c r="C89" s="102">
        <f ca="1"/>
        <v>-1.3560559490422008E-5</v>
      </c>
      <c r="E89" s="96">
        <f ca="1"/>
        <v>49996</v>
      </c>
      <c r="F89" s="134">
        <f ca="1"/>
        <v>0.78587795988823916</v>
      </c>
      <c r="H89" s="96">
        <f ca="1"/>
        <v>49996</v>
      </c>
      <c r="I89" s="134">
        <f ca="1"/>
        <v>0.78586439932874874</v>
      </c>
      <c r="K89" s="138">
        <f ca="1">H89</f>
        <v>49996</v>
      </c>
      <c r="L89" s="136">
        <f ca="1">C89</f>
        <v>-1.3560559490422008E-5</v>
      </c>
      <c r="M89" s="107">
        <f ca="1">I89-F89</f>
        <v>-1.3560559490422008E-5</v>
      </c>
      <c r="N89" s="90">
        <f t="shared" ca="1" si="4"/>
        <v>0</v>
      </c>
      <c r="P89" s="138">
        <f ca="1">E89</f>
        <v>49996</v>
      </c>
      <c r="Q89" s="114">
        <f t="shared" ca="1" si="5"/>
        <v>0.78586439932874874</v>
      </c>
      <c r="R89" s="111">
        <f t="shared" ca="1" si="6"/>
        <v>0.78586439932874874</v>
      </c>
      <c r="S89" s="90">
        <f t="shared" ca="1" si="7"/>
        <v>0</v>
      </c>
    </row>
    <row r="90" spans="2:19" x14ac:dyDescent="0.25">
      <c r="B90" s="101">
        <f ca="1"/>
        <v>50088</v>
      </c>
      <c r="C90" s="102">
        <f ca="1"/>
        <v>-1.3706086210540924E-5</v>
      </c>
      <c r="E90" s="96">
        <f ca="1"/>
        <v>50088</v>
      </c>
      <c r="F90" s="134">
        <f ca="1"/>
        <v>0.78279756723322591</v>
      </c>
      <c r="H90" s="96">
        <f ca="1"/>
        <v>50088</v>
      </c>
      <c r="I90" s="134">
        <f ca="1"/>
        <v>0.78278386114701537</v>
      </c>
      <c r="K90" s="138">
        <f ca="1">H90</f>
        <v>50088</v>
      </c>
      <c r="L90" s="136">
        <f ca="1">C90</f>
        <v>-1.3706086210540924E-5</v>
      </c>
      <c r="M90" s="107">
        <f ca="1">I90-F90</f>
        <v>-1.3706086210540924E-5</v>
      </c>
      <c r="N90" s="90">
        <f t="shared" ca="1" si="4"/>
        <v>0</v>
      </c>
      <c r="P90" s="138">
        <f ca="1">E90</f>
        <v>50088</v>
      </c>
      <c r="Q90" s="114">
        <f t="shared" ca="1" si="5"/>
        <v>0.78278386114701537</v>
      </c>
      <c r="R90" s="111">
        <f t="shared" ca="1" si="6"/>
        <v>0.78278386114701537</v>
      </c>
      <c r="S90" s="90">
        <f t="shared" ca="1" si="7"/>
        <v>0</v>
      </c>
    </row>
    <row r="91" spans="2:19" x14ac:dyDescent="0.25">
      <c r="B91" s="101">
        <f ca="1"/>
        <v>50178</v>
      </c>
      <c r="C91" s="102">
        <f ca="1"/>
        <v>-1.3847198216399015E-5</v>
      </c>
      <c r="E91" s="96">
        <f ca="1"/>
        <v>50178</v>
      </c>
      <c r="F91" s="134">
        <f ca="1"/>
        <v>0.77979982701785266</v>
      </c>
      <c r="H91" s="96">
        <f ca="1"/>
        <v>50178</v>
      </c>
      <c r="I91" s="134">
        <f ca="1"/>
        <v>0.77978597981963627</v>
      </c>
      <c r="K91" s="138">
        <f ca="1">H91</f>
        <v>50178</v>
      </c>
      <c r="L91" s="136">
        <f ca="1">C91</f>
        <v>-1.3847198216399015E-5</v>
      </c>
      <c r="M91" s="107">
        <f ca="1">I91-F91</f>
        <v>-1.3847198216399015E-5</v>
      </c>
      <c r="N91" s="90">
        <f t="shared" ca="1" si="4"/>
        <v>0</v>
      </c>
      <c r="P91" s="138">
        <f ca="1">E91</f>
        <v>50178</v>
      </c>
      <c r="Q91" s="114">
        <f t="shared" ca="1" si="5"/>
        <v>0.77978597981963627</v>
      </c>
      <c r="R91" s="111">
        <f t="shared" ca="1" si="6"/>
        <v>0.77978597981963627</v>
      </c>
      <c r="S91" s="90">
        <f t="shared" ca="1" si="7"/>
        <v>0</v>
      </c>
    </row>
    <row r="92" spans="2:19" x14ac:dyDescent="0.25">
      <c r="B92" s="101">
        <f ca="1"/>
        <v>50269</v>
      </c>
      <c r="C92" s="102">
        <f ca="1"/>
        <v>-1.3988629622985194E-5</v>
      </c>
      <c r="E92" s="96">
        <f ca="1"/>
        <v>50269</v>
      </c>
      <c r="F92" s="134">
        <f ca="1"/>
        <v>0.77678463348039417</v>
      </c>
      <c r="H92" s="96">
        <f ca="1"/>
        <v>50269</v>
      </c>
      <c r="I92" s="134">
        <f ca="1"/>
        <v>0.77677064485077119</v>
      </c>
      <c r="K92" s="138">
        <f ca="1">H92</f>
        <v>50269</v>
      </c>
      <c r="L92" s="136">
        <f ca="1">C92</f>
        <v>-1.3988629622985194E-5</v>
      </c>
      <c r="M92" s="107">
        <f ca="1">I92-F92</f>
        <v>-1.3988629622985194E-5</v>
      </c>
      <c r="N92" s="90">
        <f t="shared" ca="1" si="4"/>
        <v>0</v>
      </c>
      <c r="P92" s="138">
        <f ca="1">E92</f>
        <v>50269</v>
      </c>
      <c r="Q92" s="114">
        <f t="shared" ca="1" si="5"/>
        <v>0.77677064485077119</v>
      </c>
      <c r="R92" s="111">
        <f t="shared" ca="1" si="6"/>
        <v>0.77677064485077119</v>
      </c>
      <c r="S92" s="90">
        <f t="shared" ca="1" si="7"/>
        <v>0</v>
      </c>
    </row>
    <row r="93" spans="2:19" x14ac:dyDescent="0.25">
      <c r="B93" s="101">
        <f ca="1"/>
        <v>50360</v>
      </c>
      <c r="C93" s="102">
        <f ca="1"/>
        <v>-1.4128814815661528E-5</v>
      </c>
      <c r="E93" s="96">
        <f ca="1"/>
        <v>50360</v>
      </c>
      <c r="F93" s="134">
        <f ca="1"/>
        <v>0.7737854402613249</v>
      </c>
      <c r="H93" s="96">
        <f ca="1"/>
        <v>50360</v>
      </c>
      <c r="I93" s="134">
        <f ca="1"/>
        <v>0.77377131144650924</v>
      </c>
      <c r="K93" s="138">
        <f ca="1">H93</f>
        <v>50360</v>
      </c>
      <c r="L93" s="136">
        <f ca="1">C93</f>
        <v>-1.4128814815661528E-5</v>
      </c>
      <c r="M93" s="107">
        <f ca="1">I93-F93</f>
        <v>-1.4128814815661528E-5</v>
      </c>
      <c r="N93" s="90">
        <f t="shared" ca="1" si="4"/>
        <v>0</v>
      </c>
      <c r="P93" s="138">
        <f ca="1">E93</f>
        <v>50360</v>
      </c>
      <c r="Q93" s="114">
        <f t="shared" ca="1" si="5"/>
        <v>0.77377131144650924</v>
      </c>
      <c r="R93" s="111">
        <f t="shared" ca="1" si="6"/>
        <v>0.77377131144650924</v>
      </c>
      <c r="S93" s="90">
        <f t="shared" ca="1" si="7"/>
        <v>0</v>
      </c>
    </row>
    <row r="94" spans="2:19" x14ac:dyDescent="0.25">
      <c r="B94" s="101">
        <f ca="1"/>
        <v>50452</v>
      </c>
      <c r="C94" s="102">
        <f ca="1"/>
        <v>-1.426928270720218E-5</v>
      </c>
      <c r="E94" s="96">
        <f ca="1"/>
        <v>50452</v>
      </c>
      <c r="F94" s="134">
        <f ca="1"/>
        <v>0.77076959030743242</v>
      </c>
      <c r="H94" s="96">
        <f ca="1"/>
        <v>50452</v>
      </c>
      <c r="I94" s="134">
        <f ca="1"/>
        <v>0.77075532102472522</v>
      </c>
      <c r="K94" s="138">
        <f ca="1">H94</f>
        <v>50452</v>
      </c>
      <c r="L94" s="136">
        <f ca="1">C94</f>
        <v>-1.426928270720218E-5</v>
      </c>
      <c r="M94" s="107">
        <f ca="1">I94-F94</f>
        <v>-1.426928270720218E-5</v>
      </c>
      <c r="N94" s="90">
        <f t="shared" ca="1" si="4"/>
        <v>0</v>
      </c>
      <c r="P94" s="138">
        <f ca="1">E94</f>
        <v>50452</v>
      </c>
      <c r="Q94" s="114">
        <f t="shared" ca="1" si="5"/>
        <v>0.77075532102472522</v>
      </c>
      <c r="R94" s="111">
        <f t="shared" ca="1" si="6"/>
        <v>0.77075532102472522</v>
      </c>
      <c r="S94" s="90">
        <f t="shared" ca="1" si="7"/>
        <v>0</v>
      </c>
    </row>
    <row r="95" spans="2:19" x14ac:dyDescent="0.25">
      <c r="B95" s="101">
        <f ca="1"/>
        <v>50542</v>
      </c>
      <c r="C95" s="102">
        <f ca="1"/>
        <v>-1.440548158493371E-5</v>
      </c>
      <c r="E95" s="96">
        <f ca="1"/>
        <v>50542</v>
      </c>
      <c r="F95" s="134">
        <f ca="1"/>
        <v>0.76783517582594385</v>
      </c>
      <c r="H95" s="96">
        <f ca="1"/>
        <v>50542</v>
      </c>
      <c r="I95" s="134">
        <f ca="1"/>
        <v>0.76782077034435892</v>
      </c>
      <c r="K95" s="138">
        <f ca="1">H95</f>
        <v>50542</v>
      </c>
      <c r="L95" s="136">
        <f ca="1">C95</f>
        <v>-1.440548158493371E-5</v>
      </c>
      <c r="M95" s="107">
        <f ca="1">I95-F95</f>
        <v>-1.440548158493371E-5</v>
      </c>
      <c r="N95" s="90">
        <f t="shared" ca="1" si="4"/>
        <v>0</v>
      </c>
      <c r="P95" s="138">
        <f ca="1">E95</f>
        <v>50542</v>
      </c>
      <c r="Q95" s="114">
        <f t="shared" ca="1" si="5"/>
        <v>0.76782077034435892</v>
      </c>
      <c r="R95" s="111">
        <f t="shared" ca="1" si="6"/>
        <v>0.76782077034435892</v>
      </c>
      <c r="S95" s="90">
        <f t="shared" ca="1" si="7"/>
        <v>0</v>
      </c>
    </row>
    <row r="96" spans="2:19" x14ac:dyDescent="0.25">
      <c r="B96" s="101">
        <f ca="1"/>
        <v>50633</v>
      </c>
      <c r="C96" s="102">
        <f ca="1"/>
        <v>-1.4541979670879002E-5</v>
      </c>
      <c r="E96" s="96">
        <f ca="1"/>
        <v>50633</v>
      </c>
      <c r="F96" s="134">
        <f ca="1"/>
        <v>0.76488411073276874</v>
      </c>
      <c r="H96" s="96">
        <f ca="1"/>
        <v>50633</v>
      </c>
      <c r="I96" s="134">
        <f ca="1"/>
        <v>0.76486956875309786</v>
      </c>
      <c r="K96" s="138">
        <f ca="1">H96</f>
        <v>50633</v>
      </c>
      <c r="L96" s="136">
        <f ca="1">C96</f>
        <v>-1.4541979670879002E-5</v>
      </c>
      <c r="M96" s="107">
        <f ca="1">I96-F96</f>
        <v>-1.4541979670879002E-5</v>
      </c>
      <c r="N96" s="90">
        <f t="shared" ca="1" si="4"/>
        <v>0</v>
      </c>
      <c r="P96" s="138">
        <f ca="1">E96</f>
        <v>50633</v>
      </c>
      <c r="Q96" s="114">
        <f t="shared" ca="1" si="5"/>
        <v>0.76486956875309786</v>
      </c>
      <c r="R96" s="111">
        <f t="shared" ca="1" si="6"/>
        <v>0.76486956875309786</v>
      </c>
      <c r="S96" s="90">
        <f t="shared" ca="1" si="7"/>
        <v>0</v>
      </c>
    </row>
    <row r="97" spans="2:19" x14ac:dyDescent="0.25">
      <c r="B97" s="101">
        <f ca="1"/>
        <v>50725</v>
      </c>
      <c r="C97" s="102">
        <f ca="1"/>
        <v>-1.4678744458707094E-5</v>
      </c>
      <c r="E97" s="96">
        <f ca="1"/>
        <v>50725</v>
      </c>
      <c r="F97" s="134">
        <f ca="1"/>
        <v>0.76191689450398259</v>
      </c>
      <c r="H97" s="96">
        <f ca="1"/>
        <v>50725</v>
      </c>
      <c r="I97" s="134">
        <f ca="1"/>
        <v>0.76190221575952388</v>
      </c>
      <c r="K97" s="138">
        <f ca="1">H97</f>
        <v>50725</v>
      </c>
      <c r="L97" s="136">
        <f ca="1">C97</f>
        <v>-1.4678744458707094E-5</v>
      </c>
      <c r="M97" s="107">
        <f ca="1">I97-F97</f>
        <v>-1.4678744458707094E-5</v>
      </c>
      <c r="N97" s="90">
        <f t="shared" ca="1" si="4"/>
        <v>0</v>
      </c>
      <c r="P97" s="138">
        <f ca="1">E97</f>
        <v>50725</v>
      </c>
      <c r="Q97" s="114">
        <f t="shared" ca="1" si="5"/>
        <v>0.76190221575952388</v>
      </c>
      <c r="R97" s="111">
        <f t="shared" ca="1" si="6"/>
        <v>0.76190221575952388</v>
      </c>
      <c r="S97" s="90">
        <f t="shared" ca="1" si="7"/>
        <v>0</v>
      </c>
    </row>
    <row r="98" spans="2:19" x14ac:dyDescent="0.25">
      <c r="B98" s="101">
        <f ca="1"/>
        <v>50817</v>
      </c>
      <c r="C98" s="102">
        <f ca="1"/>
        <v>-1.481427660621204E-5</v>
      </c>
      <c r="E98" s="96">
        <f ca="1"/>
        <v>50817</v>
      </c>
      <c r="F98" s="134">
        <f ca="1"/>
        <v>0.75896599425321265</v>
      </c>
      <c r="H98" s="96">
        <f ca="1"/>
        <v>50817</v>
      </c>
      <c r="I98" s="134">
        <f ca="1"/>
        <v>0.75895117997660644</v>
      </c>
      <c r="K98" s="138">
        <f ca="1">H98</f>
        <v>50817</v>
      </c>
      <c r="L98" s="136">
        <f ca="1">C98</f>
        <v>-1.481427660621204E-5</v>
      </c>
      <c r="M98" s="107">
        <f ca="1">I98-F98</f>
        <v>-1.481427660621204E-5</v>
      </c>
      <c r="N98" s="90">
        <f t="shared" ca="1" si="4"/>
        <v>0</v>
      </c>
      <c r="P98" s="138">
        <f ca="1">E98</f>
        <v>50817</v>
      </c>
      <c r="Q98" s="114">
        <f t="shared" ca="1" si="5"/>
        <v>0.75895117997660644</v>
      </c>
      <c r="R98" s="111">
        <f t="shared" ca="1" si="6"/>
        <v>0.75895117997660644</v>
      </c>
      <c r="S98" s="90">
        <f t="shared" ca="1" si="7"/>
        <v>0</v>
      </c>
    </row>
    <row r="99" spans="2:19" x14ac:dyDescent="0.25">
      <c r="B99" s="101">
        <f ca="1"/>
        <v>50906</v>
      </c>
      <c r="C99" s="102">
        <f ca="1"/>
        <v>-1.494422273817797E-5</v>
      </c>
      <c r="E99" s="96">
        <f ca="1"/>
        <v>50906</v>
      </c>
      <c r="F99" s="134">
        <f ca="1"/>
        <v>0.75612677756216018</v>
      </c>
      <c r="H99" s="96">
        <f ca="1"/>
        <v>50906</v>
      </c>
      <c r="I99" s="134">
        <f ca="1"/>
        <v>0.756111833339422</v>
      </c>
      <c r="K99" s="138">
        <f ca="1">H99</f>
        <v>50906</v>
      </c>
      <c r="L99" s="136">
        <f ca="1">C99</f>
        <v>-1.494422273817797E-5</v>
      </c>
      <c r="M99" s="107">
        <f ca="1">I99-F99</f>
        <v>-1.494422273817797E-5</v>
      </c>
      <c r="N99" s="90">
        <f t="shared" ca="1" si="4"/>
        <v>0</v>
      </c>
      <c r="P99" s="138">
        <f ca="1">E99</f>
        <v>50906</v>
      </c>
      <c r="Q99" s="114">
        <f t="shared" ca="1" si="5"/>
        <v>0.756111833339422</v>
      </c>
      <c r="R99" s="111">
        <f t="shared" ca="1" si="6"/>
        <v>0.756111833339422</v>
      </c>
      <c r="S99" s="90">
        <f t="shared" ca="1" si="7"/>
        <v>0</v>
      </c>
    </row>
    <row r="100" spans="2:19" x14ac:dyDescent="0.25">
      <c r="B100" s="101">
        <f ca="1"/>
        <v>50998</v>
      </c>
      <c r="C100" s="102">
        <f ca="1"/>
        <v>-1.507734951389228E-5</v>
      </c>
      <c r="E100" s="96">
        <f ca="1"/>
        <v>50998</v>
      </c>
      <c r="F100" s="134">
        <f ca="1"/>
        <v>0.75320774616808117</v>
      </c>
      <c r="H100" s="96">
        <f ca="1"/>
        <v>50998</v>
      </c>
      <c r="I100" s="134">
        <f ca="1"/>
        <v>0.75319266881856728</v>
      </c>
      <c r="K100" s="138">
        <f ca="1">H100</f>
        <v>50998</v>
      </c>
      <c r="L100" s="136">
        <f ca="1">C100</f>
        <v>-1.507734951389228E-5</v>
      </c>
      <c r="M100" s="107">
        <f ca="1">I100-F100</f>
        <v>-1.507734951389228E-5</v>
      </c>
      <c r="N100" s="90">
        <f t="shared" ca="1" si="4"/>
        <v>0</v>
      </c>
      <c r="P100" s="138">
        <f ca="1">E100</f>
        <v>50998</v>
      </c>
      <c r="Q100" s="114">
        <f t="shared" ca="1" si="5"/>
        <v>0.75319266881856728</v>
      </c>
      <c r="R100" s="111">
        <f t="shared" ca="1" si="6"/>
        <v>0.75319266881856728</v>
      </c>
      <c r="S100" s="90">
        <f t="shared" ca="1" si="7"/>
        <v>0</v>
      </c>
    </row>
    <row r="101" spans="2:19" x14ac:dyDescent="0.25">
      <c r="B101" s="101">
        <f ca="1"/>
        <v>51090</v>
      </c>
      <c r="C101" s="102">
        <f ca="1"/>
        <v>-1.5209263980353604E-5</v>
      </c>
      <c r="E101" s="96">
        <f ca="1"/>
        <v>51090</v>
      </c>
      <c r="F101" s="134">
        <f ca="1"/>
        <v>0.75030479383121285</v>
      </c>
      <c r="H101" s="96">
        <f ca="1"/>
        <v>51090</v>
      </c>
      <c r="I101" s="134">
        <f ca="1"/>
        <v>0.75028958456723249</v>
      </c>
      <c r="K101" s="138">
        <f ca="1">H101</f>
        <v>51090</v>
      </c>
      <c r="L101" s="136">
        <f ca="1">C101</f>
        <v>-1.5209263980353604E-5</v>
      </c>
      <c r="M101" s="107">
        <f ca="1">I101-F101</f>
        <v>-1.5209263980353604E-5</v>
      </c>
      <c r="N101" s="90">
        <f t="shared" ca="1" si="4"/>
        <v>0</v>
      </c>
      <c r="P101" s="138">
        <f ca="1">E101</f>
        <v>51090</v>
      </c>
      <c r="Q101" s="114">
        <f t="shared" ca="1" si="5"/>
        <v>0.75028958456723249</v>
      </c>
      <c r="R101" s="111">
        <f t="shared" ca="1" si="6"/>
        <v>0.75028958456723249</v>
      </c>
      <c r="S101" s="90">
        <f t="shared" ca="1" si="7"/>
        <v>0</v>
      </c>
    </row>
    <row r="102" spans="2:19" x14ac:dyDescent="0.25">
      <c r="B102" s="101">
        <f ca="1"/>
        <v>51182</v>
      </c>
      <c r="C102" s="102">
        <f ca="1"/>
        <v>-1.5339978162387524E-5</v>
      </c>
      <c r="E102" s="96">
        <f ca="1"/>
        <v>51182</v>
      </c>
      <c r="F102" s="134">
        <f ca="1"/>
        <v>0.7474179820477681</v>
      </c>
      <c r="H102" s="96">
        <f ca="1"/>
        <v>51182</v>
      </c>
      <c r="I102" s="134">
        <f ca="1"/>
        <v>0.74740264206960572</v>
      </c>
      <c r="K102" s="138">
        <f ca="1">H102</f>
        <v>51182</v>
      </c>
      <c r="L102" s="136">
        <f ca="1">C102</f>
        <v>-1.5339978162387524E-5</v>
      </c>
      <c r="M102" s="107">
        <f ca="1">I102-F102</f>
        <v>-1.5339978162387524E-5</v>
      </c>
      <c r="N102" s="90">
        <f t="shared" ca="1" si="4"/>
        <v>0</v>
      </c>
      <c r="P102" s="138">
        <f ca="1">E102</f>
        <v>51182</v>
      </c>
      <c r="Q102" s="114">
        <f t="shared" ca="1" si="5"/>
        <v>0.74740264206960572</v>
      </c>
      <c r="R102" s="111">
        <f t="shared" ca="1" si="6"/>
        <v>0.74740264206960572</v>
      </c>
      <c r="S102" s="90">
        <f t="shared" ca="1" si="7"/>
        <v>0</v>
      </c>
    </row>
    <row r="103" spans="2:19" x14ac:dyDescent="0.25">
      <c r="B103" s="101">
        <f ca="1"/>
        <v>51272</v>
      </c>
      <c r="C103" s="102">
        <f ca="1"/>
        <v>-1.5466702012689737E-5</v>
      </c>
      <c r="E103" s="96">
        <f ca="1"/>
        <v>51272</v>
      </c>
      <c r="F103" s="134">
        <f ca="1"/>
        <v>0.7446096291008274</v>
      </c>
      <c r="H103" s="96">
        <f ca="1"/>
        <v>51272</v>
      </c>
      <c r="I103" s="134">
        <f ca="1"/>
        <v>0.74459416239881471</v>
      </c>
      <c r="K103" s="138">
        <f ca="1">H103</f>
        <v>51272</v>
      </c>
      <c r="L103" s="136">
        <f ca="1">C103</f>
        <v>-1.5466702012689737E-5</v>
      </c>
      <c r="M103" s="107">
        <f ca="1">I103-F103</f>
        <v>-1.5466702012689737E-5</v>
      </c>
      <c r="N103" s="90">
        <f t="shared" ca="1" si="4"/>
        <v>0</v>
      </c>
      <c r="P103" s="138">
        <f ca="1">E103</f>
        <v>51272</v>
      </c>
      <c r="Q103" s="114">
        <f t="shared" ca="1" si="5"/>
        <v>0.74459416239881471</v>
      </c>
      <c r="R103" s="111">
        <f t="shared" ca="1" si="6"/>
        <v>0.74459416239881471</v>
      </c>
      <c r="S103" s="90">
        <f t="shared" ca="1" si="7"/>
        <v>0</v>
      </c>
    </row>
    <row r="104" spans="2:19" x14ac:dyDescent="0.25">
      <c r="B104" s="101">
        <f ca="1"/>
        <v>51364</v>
      </c>
      <c r="C104" s="102">
        <f ca="1"/>
        <v>-1.5595080628982849E-5</v>
      </c>
      <c r="E104" s="96">
        <f ca="1"/>
        <v>51364</v>
      </c>
      <c r="F104" s="134">
        <f ca="1"/>
        <v>0.74175499386893129</v>
      </c>
      <c r="H104" s="96">
        <f ca="1"/>
        <v>51364</v>
      </c>
      <c r="I104" s="134">
        <f ca="1"/>
        <v>0.74173939878830231</v>
      </c>
      <c r="K104" s="138">
        <f ca="1">H104</f>
        <v>51364</v>
      </c>
      <c r="L104" s="136">
        <f ca="1">C104</f>
        <v>-1.5595080628982849E-5</v>
      </c>
      <c r="M104" s="107">
        <f ca="1">I104-F104</f>
        <v>-1.5595080628982849E-5</v>
      </c>
      <c r="N104" s="90">
        <f t="shared" ca="1" si="4"/>
        <v>0</v>
      </c>
      <c r="P104" s="138">
        <f ca="1">E104</f>
        <v>51364</v>
      </c>
      <c r="Q104" s="114">
        <f t="shared" ca="1" si="5"/>
        <v>0.74173939878830231</v>
      </c>
      <c r="R104" s="111">
        <f t="shared" ca="1" si="6"/>
        <v>0.74173939878830231</v>
      </c>
      <c r="S104" s="90">
        <f t="shared" ca="1" si="7"/>
        <v>0</v>
      </c>
    </row>
    <row r="105" spans="2:19" x14ac:dyDescent="0.25">
      <c r="B105" s="101">
        <f ca="1"/>
        <v>51456</v>
      </c>
      <c r="C105" s="102">
        <f ca="1"/>
        <v>-1.5722298157827552E-5</v>
      </c>
      <c r="E105" s="96">
        <f ca="1"/>
        <v>51456</v>
      </c>
      <c r="F105" s="134">
        <f ca="1"/>
        <v>0.7389167255555692</v>
      </c>
      <c r="H105" s="96">
        <f ca="1"/>
        <v>51456</v>
      </c>
      <c r="I105" s="134">
        <f ca="1"/>
        <v>0.73890100325741137</v>
      </c>
      <c r="K105" s="138">
        <f ca="1">H105</f>
        <v>51456</v>
      </c>
      <c r="L105" s="136">
        <f ca="1">C105</f>
        <v>-1.5722298157827552E-5</v>
      </c>
      <c r="M105" s="107">
        <f ca="1">I105-F105</f>
        <v>-1.5722298157827552E-5</v>
      </c>
      <c r="N105" s="90">
        <f t="shared" ca="1" si="4"/>
        <v>0</v>
      </c>
      <c r="P105" s="138">
        <f ca="1">E105</f>
        <v>51456</v>
      </c>
      <c r="Q105" s="114">
        <f t="shared" ca="1" si="5"/>
        <v>0.73890100325741137</v>
      </c>
      <c r="R105" s="111">
        <f t="shared" ca="1" si="6"/>
        <v>0.73890100325741137</v>
      </c>
      <c r="S105" s="90">
        <f t="shared" ca="1" si="7"/>
        <v>0</v>
      </c>
    </row>
    <row r="106" spans="2:19" x14ac:dyDescent="0.25">
      <c r="B106" s="101">
        <f ca="1"/>
        <v>51551</v>
      </c>
      <c r="C106" s="102">
        <f ca="1"/>
        <v>-1.5852459377296846E-5</v>
      </c>
      <c r="E106" s="96">
        <f ca="1"/>
        <v>51551</v>
      </c>
      <c r="F106" s="134">
        <f ca="1"/>
        <v>0.73600313787722538</v>
      </c>
      <c r="H106" s="96">
        <f ca="1"/>
        <v>51551</v>
      </c>
      <c r="I106" s="134">
        <f ca="1"/>
        <v>0.73598728541784808</v>
      </c>
      <c r="K106" s="138">
        <f ca="1">H106</f>
        <v>51551</v>
      </c>
      <c r="L106" s="136">
        <f ca="1">C106</f>
        <v>-1.5852459377296846E-5</v>
      </c>
      <c r="M106" s="107">
        <f ca="1">I106-F106</f>
        <v>-1.5852459377296846E-5</v>
      </c>
      <c r="N106" s="90">
        <f t="shared" ca="1" si="4"/>
        <v>0</v>
      </c>
      <c r="P106" s="138">
        <f ca="1">E106</f>
        <v>51551</v>
      </c>
      <c r="Q106" s="114">
        <f t="shared" ca="1" si="5"/>
        <v>0.73598728541784808</v>
      </c>
      <c r="R106" s="111">
        <f t="shared" ca="1" si="6"/>
        <v>0.73598728541784808</v>
      </c>
      <c r="S106" s="90">
        <f t="shared" ca="1" si="7"/>
        <v>0</v>
      </c>
    </row>
    <row r="107" spans="2:19" x14ac:dyDescent="0.25">
      <c r="B107" s="101">
        <f ca="1"/>
        <v>51637</v>
      </c>
      <c r="C107" s="102">
        <f ca="1"/>
        <v>-1.5969245682145861E-5</v>
      </c>
      <c r="E107" s="96">
        <f ca="1"/>
        <v>51637</v>
      </c>
      <c r="F107" s="134">
        <f ca="1"/>
        <v>0.73338071274781969</v>
      </c>
      <c r="H107" s="96">
        <f ca="1"/>
        <v>51637</v>
      </c>
      <c r="I107" s="134">
        <f ca="1"/>
        <v>0.73336474350213754</v>
      </c>
      <c r="K107" s="138">
        <f ca="1">H107</f>
        <v>51637</v>
      </c>
      <c r="L107" s="136">
        <f ca="1">C107</f>
        <v>-1.5969245682145861E-5</v>
      </c>
      <c r="M107" s="107">
        <f ca="1">I107-F107</f>
        <v>-1.5969245682145861E-5</v>
      </c>
      <c r="N107" s="90">
        <f t="shared" ca="1" si="4"/>
        <v>0</v>
      </c>
      <c r="P107" s="138">
        <f ca="1">E107</f>
        <v>51637</v>
      </c>
      <c r="Q107" s="114">
        <f t="shared" ca="1" si="5"/>
        <v>0.73336474350213754</v>
      </c>
      <c r="R107" s="111">
        <f t="shared" ca="1" si="6"/>
        <v>0.73336474350213754</v>
      </c>
      <c r="S107" s="90">
        <f t="shared" ca="1" si="7"/>
        <v>0</v>
      </c>
    </row>
    <row r="108" spans="2:19" x14ac:dyDescent="0.25">
      <c r="B108" s="101">
        <f ca="1"/>
        <v>51729</v>
      </c>
      <c r="C108" s="102">
        <f ca="1"/>
        <v>-1.6093093937796787E-5</v>
      </c>
      <c r="E108" s="96">
        <f ca="1"/>
        <v>51729</v>
      </c>
      <c r="F108" s="134">
        <f ca="1"/>
        <v>0.73059128446613764</v>
      </c>
      <c r="H108" s="96">
        <f ca="1"/>
        <v>51729</v>
      </c>
      <c r="I108" s="134">
        <f ca="1"/>
        <v>0.73057519137219984</v>
      </c>
      <c r="K108" s="138">
        <f ca="1">H108</f>
        <v>51729</v>
      </c>
      <c r="L108" s="136">
        <f ca="1">C108</f>
        <v>-1.6093093937796787E-5</v>
      </c>
      <c r="M108" s="107">
        <f ca="1">I108-F108</f>
        <v>-1.6093093937796787E-5</v>
      </c>
      <c r="N108" s="90">
        <f t="shared" ca="1" si="4"/>
        <v>0</v>
      </c>
      <c r="P108" s="138">
        <f ca="1">E108</f>
        <v>51729</v>
      </c>
      <c r="Q108" s="114">
        <f t="shared" ca="1" si="5"/>
        <v>0.73057519137219984</v>
      </c>
      <c r="R108" s="111">
        <f t="shared" ca="1" si="6"/>
        <v>0.73057519137219984</v>
      </c>
      <c r="S108" s="90">
        <f t="shared" ca="1" si="7"/>
        <v>0</v>
      </c>
    </row>
    <row r="109" spans="2:19" x14ac:dyDescent="0.25">
      <c r="B109" s="101">
        <f ca="1"/>
        <v>51823</v>
      </c>
      <c r="C109" s="102">
        <f ca="1"/>
        <v>-1.6218488036567891E-5</v>
      </c>
      <c r="E109" s="96">
        <f ca="1"/>
        <v>51823</v>
      </c>
      <c r="F109" s="134">
        <f ca="1"/>
        <v>0.72775827458965436</v>
      </c>
      <c r="H109" s="96">
        <f ca="1"/>
        <v>51823</v>
      </c>
      <c r="I109" s="134">
        <f ca="1"/>
        <v>0.7277420561016178</v>
      </c>
      <c r="K109" s="138">
        <f ca="1">H109</f>
        <v>51823</v>
      </c>
      <c r="L109" s="136">
        <f ca="1">C109</f>
        <v>-1.6218488036567891E-5</v>
      </c>
      <c r="M109" s="107">
        <f ca="1">I109-F109</f>
        <v>-1.6218488036567891E-5</v>
      </c>
      <c r="N109" s="90">
        <f t="shared" ca="1" si="4"/>
        <v>0</v>
      </c>
      <c r="P109" s="138">
        <f ca="1">E109</f>
        <v>51823</v>
      </c>
      <c r="Q109" s="114">
        <f t="shared" ca="1" si="5"/>
        <v>0.7277420561016178</v>
      </c>
      <c r="R109" s="111">
        <f t="shared" ca="1" si="6"/>
        <v>0.7277420561016178</v>
      </c>
      <c r="S109" s="90">
        <f t="shared" ca="1" si="7"/>
        <v>0</v>
      </c>
    </row>
    <row r="110" spans="2:19" x14ac:dyDescent="0.25">
      <c r="B110" s="101">
        <f ca="1"/>
        <v>51915</v>
      </c>
      <c r="C110" s="102">
        <f ca="1"/>
        <v>-1.6340104826539914E-5</v>
      </c>
      <c r="E110" s="96">
        <f ca="1"/>
        <v>51915</v>
      </c>
      <c r="F110" s="134">
        <f ca="1"/>
        <v>0.72500224809373692</v>
      </c>
      <c r="H110" s="96">
        <f ca="1"/>
        <v>51915</v>
      </c>
      <c r="I110" s="134">
        <f ca="1"/>
        <v>0.72498590798891038</v>
      </c>
      <c r="K110" s="138">
        <f ca="1">H110</f>
        <v>51915</v>
      </c>
      <c r="L110" s="136">
        <f ca="1">C110</f>
        <v>-1.6340104826539914E-5</v>
      </c>
      <c r="M110" s="107">
        <f ca="1">I110-F110</f>
        <v>-1.6340104826539914E-5</v>
      </c>
      <c r="N110" s="90">
        <f t="shared" ca="1" si="4"/>
        <v>0</v>
      </c>
      <c r="P110" s="138">
        <f ca="1">E110</f>
        <v>51915</v>
      </c>
      <c r="Q110" s="114">
        <f t="shared" ca="1" si="5"/>
        <v>0.72498590798891038</v>
      </c>
      <c r="R110" s="111">
        <f t="shared" ca="1" si="6"/>
        <v>0.72498590798891038</v>
      </c>
      <c r="S110" s="90">
        <f t="shared" ca="1" si="7"/>
        <v>0</v>
      </c>
    </row>
    <row r="111" spans="2:19" x14ac:dyDescent="0.25">
      <c r="B111" s="101">
        <f ca="1"/>
        <v>52002</v>
      </c>
      <c r="C111" s="102">
        <f ca="1"/>
        <v>-1.6454113711650287E-5</v>
      </c>
      <c r="E111" s="96">
        <f ca="1"/>
        <v>52002</v>
      </c>
      <c r="F111" s="134">
        <f ca="1"/>
        <v>0.72241121067502534</v>
      </c>
      <c r="H111" s="96">
        <f ca="1"/>
        <v>52002</v>
      </c>
      <c r="I111" s="134">
        <f ca="1"/>
        <v>0.72239475656131369</v>
      </c>
      <c r="K111" s="138">
        <f ca="1">H111</f>
        <v>52002</v>
      </c>
      <c r="L111" s="136">
        <f ca="1">C111</f>
        <v>-1.6454113711650287E-5</v>
      </c>
      <c r="M111" s="107">
        <f ca="1">I111-F111</f>
        <v>-1.6454113711650287E-5</v>
      </c>
      <c r="N111" s="90">
        <f t="shared" ca="1" si="4"/>
        <v>0</v>
      </c>
      <c r="P111" s="138">
        <f ca="1">E111</f>
        <v>52002</v>
      </c>
      <c r="Q111" s="114">
        <f t="shared" ca="1" si="5"/>
        <v>0.72239475656131369</v>
      </c>
      <c r="R111" s="111">
        <f t="shared" ca="1" si="6"/>
        <v>0.72239475656131369</v>
      </c>
      <c r="S111" s="90">
        <f t="shared" ca="1" si="7"/>
        <v>0</v>
      </c>
    </row>
    <row r="112" spans="2:19" x14ac:dyDescent="0.25">
      <c r="B112" s="101">
        <f ca="1"/>
        <v>52096</v>
      </c>
      <c r="C112" s="102">
        <f ca="1"/>
        <v>-1.6576217228947421E-5</v>
      </c>
      <c r="E112" s="96">
        <f ca="1"/>
        <v>52096</v>
      </c>
      <c r="F112" s="134">
        <f ca="1"/>
        <v>0.71962830216718887</v>
      </c>
      <c r="H112" s="96">
        <f ca="1"/>
        <v>52096</v>
      </c>
      <c r="I112" s="134">
        <f ca="1"/>
        <v>0.71961172594995992</v>
      </c>
      <c r="K112" s="138">
        <f ca="1">H112</f>
        <v>52096</v>
      </c>
      <c r="L112" s="136">
        <f ca="1">C112</f>
        <v>-1.6576217228947421E-5</v>
      </c>
      <c r="M112" s="107">
        <f ca="1">I112-F112</f>
        <v>-1.6576217228947421E-5</v>
      </c>
      <c r="N112" s="90">
        <f t="shared" ca="1" si="4"/>
        <v>0</v>
      </c>
      <c r="P112" s="138">
        <f ca="1">E112</f>
        <v>52096</v>
      </c>
      <c r="Q112" s="114">
        <f t="shared" ca="1" si="5"/>
        <v>0.71961172594995992</v>
      </c>
      <c r="R112" s="111">
        <f t="shared" ca="1" si="6"/>
        <v>0.71961172594995992</v>
      </c>
      <c r="S112" s="90">
        <f t="shared" ca="1" si="7"/>
        <v>0</v>
      </c>
    </row>
    <row r="113" spans="2:19" x14ac:dyDescent="0.25">
      <c r="B113" s="101">
        <f ca="1"/>
        <v>52187</v>
      </c>
      <c r="C113" s="102">
        <f ca="1"/>
        <v>-1.6693368521059071E-5</v>
      </c>
      <c r="E113" s="96">
        <f ca="1"/>
        <v>52187</v>
      </c>
      <c r="F113" s="134">
        <f ca="1"/>
        <v>0.71695062025350531</v>
      </c>
      <c r="H113" s="96">
        <f ca="1"/>
        <v>52187</v>
      </c>
      <c r="I113" s="134">
        <f ca="1"/>
        <v>0.71693392688498425</v>
      </c>
      <c r="K113" s="138">
        <f ca="1">H113</f>
        <v>52187</v>
      </c>
      <c r="L113" s="136">
        <f ca="1">C113</f>
        <v>-1.6693368521059071E-5</v>
      </c>
      <c r="M113" s="107">
        <f ca="1">I113-F113</f>
        <v>-1.6693368521059071E-5</v>
      </c>
      <c r="N113" s="90">
        <f t="shared" ca="1" si="4"/>
        <v>0</v>
      </c>
      <c r="P113" s="138">
        <f ca="1">E113</f>
        <v>52187</v>
      </c>
      <c r="Q113" s="114">
        <f t="shared" ca="1" si="5"/>
        <v>0.71693392688498425</v>
      </c>
      <c r="R113" s="111">
        <f t="shared" ca="1" si="6"/>
        <v>0.71693392688498425</v>
      </c>
      <c r="S113" s="90">
        <f t="shared" ca="1" si="7"/>
        <v>0</v>
      </c>
    </row>
    <row r="114" spans="2:19" x14ac:dyDescent="0.25">
      <c r="B114" s="101">
        <f ca="1"/>
        <v>52279</v>
      </c>
      <c r="C114" s="102">
        <f ca="1"/>
        <v>-1.6810763718289046E-5</v>
      </c>
      <c r="E114" s="96">
        <f ca="1"/>
        <v>52279</v>
      </c>
      <c r="F114" s="134">
        <f ca="1"/>
        <v>0.71425989666051715</v>
      </c>
      <c r="H114" s="96">
        <f ca="1"/>
        <v>52279</v>
      </c>
      <c r="I114" s="134">
        <f ca="1"/>
        <v>0.71424308589679886</v>
      </c>
      <c r="K114" s="138">
        <f ca="1">H114</f>
        <v>52279</v>
      </c>
      <c r="L114" s="136">
        <f ca="1">C114</f>
        <v>-1.6810763718289046E-5</v>
      </c>
      <c r="M114" s="107">
        <f ca="1">I114-F114</f>
        <v>-1.6810763718289046E-5</v>
      </c>
      <c r="N114" s="90">
        <f t="shared" ca="1" si="4"/>
        <v>0</v>
      </c>
      <c r="P114" s="138">
        <f ca="1">E114</f>
        <v>52279</v>
      </c>
      <c r="Q114" s="114">
        <f t="shared" ca="1" si="5"/>
        <v>0.71424308589679886</v>
      </c>
      <c r="R114" s="111">
        <f t="shared" ca="1" si="6"/>
        <v>0.71424308589679886</v>
      </c>
      <c r="S114" s="90">
        <f t="shared" ca="1" si="7"/>
        <v>0</v>
      </c>
    </row>
    <row r="115" spans="2:19" x14ac:dyDescent="0.25">
      <c r="B115" s="101">
        <f ca="1"/>
        <v>52369</v>
      </c>
      <c r="C115" s="102">
        <f ca="1"/>
        <v>-1.692460287039399E-5</v>
      </c>
      <c r="E115" s="96">
        <f ca="1"/>
        <v>52369</v>
      </c>
      <c r="F115" s="134">
        <f ca="1"/>
        <v>0.71164357094167241</v>
      </c>
      <c r="H115" s="96">
        <f ca="1"/>
        <v>52369</v>
      </c>
      <c r="I115" s="134">
        <f ca="1"/>
        <v>0.71162664633880202</v>
      </c>
      <c r="K115" s="138">
        <f ca="1">H115</f>
        <v>52369</v>
      </c>
      <c r="L115" s="136">
        <f ca="1">C115</f>
        <v>-1.692460287039399E-5</v>
      </c>
      <c r="M115" s="107">
        <f ca="1">I115-F115</f>
        <v>-1.692460287039399E-5</v>
      </c>
      <c r="N115" s="90">
        <f t="shared" ca="1" si="4"/>
        <v>0</v>
      </c>
      <c r="P115" s="138">
        <f ca="1">E115</f>
        <v>52369</v>
      </c>
      <c r="Q115" s="114">
        <f t="shared" ca="1" si="5"/>
        <v>0.71162664633880202</v>
      </c>
      <c r="R115" s="111">
        <f t="shared" ca="1" si="6"/>
        <v>0.71162664633880202</v>
      </c>
      <c r="S115" s="90">
        <f t="shared" ca="1" si="7"/>
        <v>0</v>
      </c>
    </row>
    <row r="116" spans="2:19" x14ac:dyDescent="0.25">
      <c r="B116" s="101">
        <f ca="1"/>
        <v>52460</v>
      </c>
      <c r="C116" s="102">
        <f ca="1"/>
        <v>-1.7038708465144659E-5</v>
      </c>
      <c r="E116" s="96">
        <f ca="1"/>
        <v>52460</v>
      </c>
      <c r="F116" s="134">
        <f ca="1"/>
        <v>0.70901412242012363</v>
      </c>
      <c r="H116" s="96">
        <f ca="1"/>
        <v>52460</v>
      </c>
      <c r="I116" s="134">
        <f ca="1"/>
        <v>0.70899708371165848</v>
      </c>
      <c r="K116" s="138">
        <f ca="1">H116</f>
        <v>52460</v>
      </c>
      <c r="L116" s="136">
        <f ca="1">C116</f>
        <v>-1.7038708465144659E-5</v>
      </c>
      <c r="M116" s="107">
        <f ca="1">I116-F116</f>
        <v>-1.7038708465144659E-5</v>
      </c>
      <c r="N116" s="90">
        <f t="shared" ca="1" si="4"/>
        <v>0</v>
      </c>
      <c r="P116" s="138">
        <f ca="1">E116</f>
        <v>52460</v>
      </c>
      <c r="Q116" s="114">
        <f t="shared" ca="1" si="5"/>
        <v>0.70899708371165848</v>
      </c>
      <c r="R116" s="111">
        <f t="shared" ca="1" si="6"/>
        <v>0.70899708371165848</v>
      </c>
      <c r="S116" s="90">
        <f t="shared" ca="1" si="7"/>
        <v>0</v>
      </c>
    </row>
    <row r="117" spans="2:19" x14ac:dyDescent="0.25">
      <c r="B117" s="101">
        <f ca="1"/>
        <v>52551</v>
      </c>
      <c r="C117" s="102">
        <f ca="1"/>
        <v>-1.7151821055438887E-5</v>
      </c>
      <c r="E117" s="96">
        <f ca="1"/>
        <v>52551</v>
      </c>
      <c r="F117" s="134">
        <f ca="1"/>
        <v>0.70640065601911495</v>
      </c>
      <c r="H117" s="96">
        <f ca="1"/>
        <v>52551</v>
      </c>
      <c r="I117" s="134">
        <f ca="1"/>
        <v>0.70638350419805951</v>
      </c>
      <c r="K117" s="138">
        <f ca="1">H117</f>
        <v>52551</v>
      </c>
      <c r="L117" s="136">
        <f ca="1">C117</f>
        <v>-1.7151821055438887E-5</v>
      </c>
      <c r="M117" s="107">
        <f ca="1">I117-F117</f>
        <v>-1.7151821055438887E-5</v>
      </c>
      <c r="N117" s="90">
        <f t="shared" ca="1" si="4"/>
        <v>0</v>
      </c>
      <c r="P117" s="138">
        <f ca="1">E117</f>
        <v>52551</v>
      </c>
      <c r="Q117" s="114">
        <f t="shared" ca="1" si="5"/>
        <v>0.70638350419805951</v>
      </c>
      <c r="R117" s="111">
        <f t="shared" ca="1" si="6"/>
        <v>0.70638350419805951</v>
      </c>
      <c r="S117" s="90">
        <f t="shared" ca="1" si="7"/>
        <v>0</v>
      </c>
    </row>
    <row r="118" spans="2:19" x14ac:dyDescent="0.25">
      <c r="B118" s="101">
        <f ca="1"/>
        <v>52643</v>
      </c>
      <c r="C118" s="102">
        <f ca="1"/>
        <v>-1.726517821865059E-5</v>
      </c>
      <c r="E118" s="96">
        <f ca="1"/>
        <v>52643</v>
      </c>
      <c r="F118" s="134">
        <f ca="1"/>
        <v>0.70377465330784084</v>
      </c>
      <c r="H118" s="96">
        <f ca="1"/>
        <v>52643</v>
      </c>
      <c r="I118" s="134">
        <f ca="1"/>
        <v>0.70375738812962219</v>
      </c>
      <c r="K118" s="138">
        <f ca="1">H118</f>
        <v>52643</v>
      </c>
      <c r="L118" s="136">
        <f ca="1">C118</f>
        <v>-1.726517821865059E-5</v>
      </c>
      <c r="M118" s="107">
        <f ca="1">I118-F118</f>
        <v>-1.726517821865059E-5</v>
      </c>
      <c r="N118" s="90">
        <f t="shared" ca="1" si="4"/>
        <v>0</v>
      </c>
      <c r="P118" s="138">
        <f ca="1">E118</f>
        <v>52643</v>
      </c>
      <c r="Q118" s="114">
        <f t="shared" ca="1" si="5"/>
        <v>0.70375738812962219</v>
      </c>
      <c r="R118" s="111">
        <f t="shared" ca="1" si="6"/>
        <v>0.70375738812962219</v>
      </c>
      <c r="S118" s="90">
        <f t="shared" ca="1" si="7"/>
        <v>0</v>
      </c>
    </row>
    <row r="119" spans="2:19" x14ac:dyDescent="0.25">
      <c r="B119" s="101">
        <f ca="1"/>
        <v>52733</v>
      </c>
      <c r="C119" s="102">
        <f ca="1"/>
        <v>-1.7375110185069431E-5</v>
      </c>
      <c r="E119" s="96">
        <f ca="1"/>
        <v>52733</v>
      </c>
      <c r="F119" s="134">
        <f ca="1"/>
        <v>0.7012214126665024</v>
      </c>
      <c r="H119" s="96">
        <f ca="1"/>
        <v>52733</v>
      </c>
      <c r="I119" s="134">
        <f ca="1"/>
        <v>0.70120403755631733</v>
      </c>
      <c r="K119" s="138">
        <f ca="1">H119</f>
        <v>52733</v>
      </c>
      <c r="L119" s="136">
        <f ca="1">C119</f>
        <v>-1.7375110185069431E-5</v>
      </c>
      <c r="M119" s="107">
        <f ca="1">I119-F119</f>
        <v>-1.7375110185069431E-5</v>
      </c>
      <c r="N119" s="90">
        <f t="shared" ca="1" si="4"/>
        <v>0</v>
      </c>
      <c r="P119" s="138">
        <f ca="1">E119</f>
        <v>52733</v>
      </c>
      <c r="Q119" s="114">
        <f t="shared" ca="1" si="5"/>
        <v>0.70120403755631733</v>
      </c>
      <c r="R119" s="111">
        <f t="shared" ca="1" si="6"/>
        <v>0.70120403755631733</v>
      </c>
      <c r="S119" s="90">
        <f t="shared" ca="1" si="7"/>
        <v>0</v>
      </c>
    </row>
    <row r="120" spans="2:19" x14ac:dyDescent="0.25">
      <c r="B120" s="101">
        <f ca="1"/>
        <v>52825</v>
      </c>
      <c r="C120" s="102">
        <f ca="1"/>
        <v>-1.7486513344877608E-5</v>
      </c>
      <c r="E120" s="96">
        <f ca="1"/>
        <v>52825</v>
      </c>
      <c r="F120" s="134">
        <f ca="1"/>
        <v>0.69862737687050602</v>
      </c>
      <c r="H120" s="96">
        <f ca="1"/>
        <v>52825</v>
      </c>
      <c r="I120" s="134">
        <f ca="1"/>
        <v>0.69860989035716115</v>
      </c>
      <c r="K120" s="138">
        <f ca="1">H120</f>
        <v>52825</v>
      </c>
      <c r="L120" s="136">
        <f ca="1">C120</f>
        <v>-1.7486513344877608E-5</v>
      </c>
      <c r="M120" s="107">
        <f ca="1">I120-F120</f>
        <v>-1.7486513344877608E-5</v>
      </c>
      <c r="N120" s="90">
        <f t="shared" ca="1" si="4"/>
        <v>0</v>
      </c>
      <c r="P120" s="138">
        <f ca="1">E120</f>
        <v>52825</v>
      </c>
      <c r="Q120" s="114">
        <f t="shared" ca="1" si="5"/>
        <v>0.69860989035716115</v>
      </c>
      <c r="R120" s="111">
        <f t="shared" ca="1" si="6"/>
        <v>0.69860989035716115</v>
      </c>
      <c r="S120" s="90">
        <f t="shared" ca="1" si="7"/>
        <v>0</v>
      </c>
    </row>
    <row r="121" spans="2:19" x14ac:dyDescent="0.25">
      <c r="B121" s="101">
        <f ca="1"/>
        <v>52917</v>
      </c>
      <c r="C121" s="102">
        <f ca="1"/>
        <v>-1.759694409575463E-5</v>
      </c>
      <c r="E121" s="96">
        <f ca="1"/>
        <v>52917</v>
      </c>
      <c r="F121" s="134">
        <f ca="1"/>
        <v>0.69604934147144681</v>
      </c>
      <c r="H121" s="96">
        <f ca="1"/>
        <v>52917</v>
      </c>
      <c r="I121" s="134">
        <f ca="1"/>
        <v>0.69603174452735106</v>
      </c>
      <c r="K121" s="138">
        <f ca="1">H121</f>
        <v>52917</v>
      </c>
      <c r="L121" s="136">
        <f ca="1">C121</f>
        <v>-1.759694409575463E-5</v>
      </c>
      <c r="M121" s="107">
        <f ca="1">I121-F121</f>
        <v>-1.759694409575463E-5</v>
      </c>
      <c r="N121" s="90">
        <f t="shared" ca="1" si="4"/>
        <v>0</v>
      </c>
      <c r="P121" s="138">
        <f ca="1">E121</f>
        <v>52917</v>
      </c>
      <c r="Q121" s="114">
        <f t="shared" ca="1" si="5"/>
        <v>0.69603174452735106</v>
      </c>
      <c r="R121" s="111">
        <f t="shared" ca="1" si="6"/>
        <v>0.69603174452735106</v>
      </c>
      <c r="S121" s="90">
        <f t="shared" ca="1" si="7"/>
        <v>0</v>
      </c>
    </row>
    <row r="122" spans="2:19" x14ac:dyDescent="0.25">
      <c r="B122" s="101">
        <f ca="1"/>
        <v>53009</v>
      </c>
      <c r="C122" s="102">
        <f ca="1"/>
        <v>-1.7706410587625676E-5</v>
      </c>
      <c r="E122" s="96">
        <f ca="1"/>
        <v>53009</v>
      </c>
      <c r="F122" s="134">
        <f ca="1"/>
        <v>0.69348706057446663</v>
      </c>
      <c r="H122" s="96">
        <f ca="1"/>
        <v>53009</v>
      </c>
      <c r="I122" s="134">
        <f ca="1"/>
        <v>0.693469354163879</v>
      </c>
      <c r="K122" s="138">
        <f ca="1">H122</f>
        <v>53009</v>
      </c>
      <c r="L122" s="136">
        <f ca="1">C122</f>
        <v>-1.7706410587625676E-5</v>
      </c>
      <c r="M122" s="107">
        <f ca="1">I122-F122</f>
        <v>-1.7706410587625676E-5</v>
      </c>
      <c r="N122" s="90">
        <f t="shared" ca="1" si="4"/>
        <v>0</v>
      </c>
      <c r="P122" s="138">
        <f ca="1">E122</f>
        <v>53009</v>
      </c>
      <c r="Q122" s="114">
        <f t="shared" ca="1" si="5"/>
        <v>0.693469354163879</v>
      </c>
      <c r="R122" s="111">
        <f t="shared" ca="1" si="6"/>
        <v>0.693469354163879</v>
      </c>
      <c r="S122" s="90">
        <f t="shared" ca="1" si="7"/>
        <v>0</v>
      </c>
    </row>
    <row r="123" spans="2:19" x14ac:dyDescent="0.25">
      <c r="B123" s="101">
        <f ca="1"/>
        <v>53098</v>
      </c>
      <c r="C123" s="102">
        <f ca="1"/>
        <v>-1.7811396768152576E-5</v>
      </c>
      <c r="E123" s="96">
        <f ca="1"/>
        <v>53098</v>
      </c>
      <c r="F123" s="134">
        <f ca="1"/>
        <v>0.69102305428693844</v>
      </c>
      <c r="H123" s="96">
        <f ca="1"/>
        <v>53098</v>
      </c>
      <c r="I123" s="134">
        <f ca="1"/>
        <v>0.69100524289017029</v>
      </c>
      <c r="K123" s="138">
        <f ca="1">H123</f>
        <v>53098</v>
      </c>
      <c r="L123" s="136">
        <f ca="1">C123</f>
        <v>-1.7811396768152576E-5</v>
      </c>
      <c r="M123" s="107">
        <f ca="1">I123-F123</f>
        <v>-1.7811396768152576E-5</v>
      </c>
      <c r="N123" s="90">
        <f t="shared" ca="1" si="4"/>
        <v>0</v>
      </c>
      <c r="P123" s="138">
        <f ca="1">E123</f>
        <v>53098</v>
      </c>
      <c r="Q123" s="114">
        <f t="shared" ca="1" si="5"/>
        <v>0.69100524289017029</v>
      </c>
      <c r="R123" s="111">
        <f t="shared" ca="1" si="6"/>
        <v>0.69100524289017029</v>
      </c>
      <c r="S123" s="90">
        <f t="shared" ca="1" si="7"/>
        <v>0</v>
      </c>
    </row>
    <row r="124" spans="2:19" x14ac:dyDescent="0.25">
      <c r="B124" s="101">
        <f ca="1"/>
        <v>53190</v>
      </c>
      <c r="C124" s="102">
        <f ca="1"/>
        <v>-1.7918986964349237E-5</v>
      </c>
      <c r="E124" s="96">
        <f ca="1"/>
        <v>53190</v>
      </c>
      <c r="F124" s="134">
        <f ca="1"/>
        <v>0.68849091864530787</v>
      </c>
      <c r="H124" s="96">
        <f ca="1"/>
        <v>53190</v>
      </c>
      <c r="I124" s="134">
        <f ca="1"/>
        <v>0.68847299965834352</v>
      </c>
      <c r="K124" s="138">
        <f ca="1">H124</f>
        <v>53190</v>
      </c>
      <c r="L124" s="136">
        <f ca="1">C124</f>
        <v>-1.7918986964349237E-5</v>
      </c>
      <c r="M124" s="107">
        <f ca="1">I124-F124</f>
        <v>-1.7918986964349237E-5</v>
      </c>
      <c r="N124" s="90">
        <f t="shared" ca="1" si="4"/>
        <v>0</v>
      </c>
      <c r="P124" s="138">
        <f ca="1">E124</f>
        <v>53190</v>
      </c>
      <c r="Q124" s="114">
        <f t="shared" ca="1" si="5"/>
        <v>0.68847299965834352</v>
      </c>
      <c r="R124" s="111">
        <f t="shared" ca="1" si="6"/>
        <v>0.68847299965834352</v>
      </c>
      <c r="S124" s="90">
        <f t="shared" ca="1" si="7"/>
        <v>0</v>
      </c>
    </row>
    <row r="125" spans="2:19" x14ac:dyDescent="0.25">
      <c r="B125" s="101">
        <f ca="1"/>
        <v>53282</v>
      </c>
      <c r="C125" s="102">
        <f ca="1"/>
        <v>-1.8025633039986388E-5</v>
      </c>
      <c r="E125" s="96">
        <f ca="1"/>
        <v>53282</v>
      </c>
      <c r="F125" s="134">
        <f ca="1"/>
        <v>0.6859736497204264</v>
      </c>
      <c r="H125" s="96">
        <f ca="1"/>
        <v>53282</v>
      </c>
      <c r="I125" s="134">
        <f ca="1"/>
        <v>0.68595562408738642</v>
      </c>
      <c r="K125" s="138">
        <f ca="1">H125</f>
        <v>53282</v>
      </c>
      <c r="L125" s="136">
        <f ca="1">C125</f>
        <v>-1.8025633039986388E-5</v>
      </c>
      <c r="M125" s="107">
        <f ca="1">I125-F125</f>
        <v>-1.8025633039986388E-5</v>
      </c>
      <c r="N125" s="90">
        <f t="shared" ca="1" si="4"/>
        <v>0</v>
      </c>
      <c r="P125" s="138">
        <f ca="1">E125</f>
        <v>53282</v>
      </c>
      <c r="Q125" s="114">
        <f t="shared" ca="1" si="5"/>
        <v>0.68595562408738642</v>
      </c>
      <c r="R125" s="111">
        <f t="shared" ca="1" si="6"/>
        <v>0.68595562408738642</v>
      </c>
      <c r="S125" s="90">
        <f t="shared" ca="1" si="7"/>
        <v>0</v>
      </c>
    </row>
    <row r="126" spans="2:19" x14ac:dyDescent="0.25">
      <c r="B126" s="101">
        <f ca="1"/>
        <v>53374</v>
      </c>
      <c r="C126" s="102">
        <f ca="1"/>
        <v>-1.8131340768223758E-5</v>
      </c>
      <c r="E126" s="96">
        <f ca="1"/>
        <v>53374</v>
      </c>
      <c r="F126" s="134">
        <f ca="1"/>
        <v>0.68347092477981353</v>
      </c>
      <c r="H126" s="96">
        <f ca="1"/>
        <v>53374</v>
      </c>
      <c r="I126" s="134">
        <f ca="1"/>
        <v>0.6834527934390453</v>
      </c>
      <c r="K126" s="138">
        <f ca="1">H126</f>
        <v>53374</v>
      </c>
      <c r="L126" s="136">
        <f ca="1">C126</f>
        <v>-1.8131340768223758E-5</v>
      </c>
      <c r="M126" s="107">
        <f ca="1">I126-F126</f>
        <v>-1.8131340768223758E-5</v>
      </c>
      <c r="N126" s="90">
        <f t="shared" ca="1" si="4"/>
        <v>0</v>
      </c>
      <c r="P126" s="138">
        <f ca="1">E126</f>
        <v>53374</v>
      </c>
      <c r="Q126" s="114">
        <f t="shared" ca="1" si="5"/>
        <v>0.6834527934390453</v>
      </c>
      <c r="R126" s="111">
        <f t="shared" ca="1" si="6"/>
        <v>0.6834527934390453</v>
      </c>
      <c r="S126" s="90">
        <f t="shared" ca="1" si="7"/>
        <v>0</v>
      </c>
    </row>
    <row r="127" spans="2:19" x14ac:dyDescent="0.25">
      <c r="B127" s="101">
        <f ca="1"/>
        <v>53463</v>
      </c>
      <c r="C127" s="102">
        <f ca="1"/>
        <v>-1.823271349665756E-5</v>
      </c>
      <c r="E127" s="96">
        <f ca="1"/>
        <v>53463</v>
      </c>
      <c r="F127" s="134">
        <f ca="1"/>
        <v>0.68106333625713744</v>
      </c>
      <c r="H127" s="96">
        <f ca="1"/>
        <v>53463</v>
      </c>
      <c r="I127" s="134">
        <f ca="1"/>
        <v>0.68104510354364078</v>
      </c>
      <c r="K127" s="138">
        <f ca="1">H127</f>
        <v>53463</v>
      </c>
      <c r="L127" s="136">
        <f ca="1">C127</f>
        <v>-1.823271349665756E-5</v>
      </c>
      <c r="M127" s="107">
        <f ca="1">I127-F127</f>
        <v>-1.823271349665756E-5</v>
      </c>
      <c r="N127" s="90">
        <f t="shared" ca="1" si="4"/>
        <v>0</v>
      </c>
      <c r="P127" s="138">
        <f ca="1">E127</f>
        <v>53463</v>
      </c>
      <c r="Q127" s="114">
        <f t="shared" ca="1" si="5"/>
        <v>0.68104510354364078</v>
      </c>
      <c r="R127" s="111">
        <f t="shared" ca="1" si="6"/>
        <v>0.68104510354364078</v>
      </c>
      <c r="S127" s="90">
        <f t="shared" ca="1" si="7"/>
        <v>0</v>
      </c>
    </row>
    <row r="128" spans="2:19" x14ac:dyDescent="0.25">
      <c r="B128" s="101">
        <f ca="1"/>
        <v>53555</v>
      </c>
      <c r="C128" s="102">
        <f ca="1"/>
        <v>-1.8336589930001423E-5</v>
      </c>
      <c r="E128" s="96">
        <f ca="1"/>
        <v>53555</v>
      </c>
      <c r="F128" s="134">
        <f ca="1"/>
        <v>0.67858823884191755</v>
      </c>
      <c r="H128" s="96">
        <f ca="1"/>
        <v>53555</v>
      </c>
      <c r="I128" s="134">
        <f ca="1"/>
        <v>0.67856990225198754</v>
      </c>
      <c r="K128" s="138">
        <f ca="1">H128</f>
        <v>53555</v>
      </c>
      <c r="L128" s="136">
        <f ca="1">C128</f>
        <v>-1.8336589930001423E-5</v>
      </c>
      <c r="M128" s="107">
        <f ca="1">I128-F128</f>
        <v>-1.8336589930001423E-5</v>
      </c>
      <c r="N128" s="90">
        <f t="shared" ca="1" si="4"/>
        <v>0</v>
      </c>
      <c r="P128" s="138">
        <f ca="1">E128</f>
        <v>53555</v>
      </c>
      <c r="Q128" s="114">
        <f t="shared" ca="1" si="5"/>
        <v>0.67856990225198754</v>
      </c>
      <c r="R128" s="111">
        <f t="shared" ca="1" si="6"/>
        <v>0.67856990225198754</v>
      </c>
      <c r="S128" s="90">
        <f t="shared" ca="1" si="7"/>
        <v>0</v>
      </c>
    </row>
    <row r="129" spans="2:19" x14ac:dyDescent="0.25">
      <c r="B129" s="101">
        <f ca="1"/>
        <v>53647</v>
      </c>
      <c r="C129" s="102">
        <f ca="1"/>
        <v>-1.8439541996873032E-5</v>
      </c>
      <c r="E129" s="96">
        <f ca="1"/>
        <v>53647</v>
      </c>
      <c r="F129" s="134">
        <f ca="1"/>
        <v>0.67612666100932672</v>
      </c>
      <c r="H129" s="96">
        <f ca="1"/>
        <v>53647</v>
      </c>
      <c r="I129" s="134">
        <f ca="1"/>
        <v>0.67610822146732985</v>
      </c>
      <c r="K129" s="138">
        <f ca="1">H129</f>
        <v>53647</v>
      </c>
      <c r="L129" s="136">
        <f ca="1">C129</f>
        <v>-1.8439541996873032E-5</v>
      </c>
      <c r="M129" s="107">
        <f ca="1">I129-F129</f>
        <v>-1.8439541996873032E-5</v>
      </c>
      <c r="N129" s="90">
        <f t="shared" ca="1" si="4"/>
        <v>0</v>
      </c>
      <c r="P129" s="138">
        <f ca="1">E129</f>
        <v>53647</v>
      </c>
      <c r="Q129" s="114">
        <f t="shared" ca="1" si="5"/>
        <v>0.67610822146732985</v>
      </c>
      <c r="R129" s="111">
        <f t="shared" ca="1" si="6"/>
        <v>0.67610822146732985</v>
      </c>
      <c r="S129" s="90">
        <f t="shared" ca="1" si="7"/>
        <v>0</v>
      </c>
    </row>
    <row r="130" spans="2:19" x14ac:dyDescent="0.25">
      <c r="B130" s="101">
        <f ca="1"/>
        <v>53742</v>
      </c>
      <c r="C130" s="102">
        <f ca="1"/>
        <v>-1.8544884958004992E-5</v>
      </c>
      <c r="E130" s="96">
        <f ca="1"/>
        <v>53742</v>
      </c>
      <c r="F130" s="134">
        <f ca="1"/>
        <v>0.6735986130004048</v>
      </c>
      <c r="H130" s="96">
        <f ca="1"/>
        <v>53742</v>
      </c>
      <c r="I130" s="134">
        <f ca="1"/>
        <v>0.6735800681154468</v>
      </c>
      <c r="K130" s="138">
        <f ca="1">H130</f>
        <v>53742</v>
      </c>
      <c r="L130" s="136">
        <f ca="1">C130</f>
        <v>-1.8544884958004992E-5</v>
      </c>
      <c r="M130" s="107">
        <f ca="1">I130-F130</f>
        <v>-1.8544884958004992E-5</v>
      </c>
      <c r="N130" s="90">
        <f t="shared" ca="1" si="4"/>
        <v>0</v>
      </c>
      <c r="P130" s="138">
        <f ca="1">E130</f>
        <v>53742</v>
      </c>
      <c r="Q130" s="114">
        <f t="shared" ca="1" si="5"/>
        <v>0.6735800681154468</v>
      </c>
      <c r="R130" s="111">
        <f t="shared" ca="1" si="6"/>
        <v>0.6735800681154468</v>
      </c>
      <c r="S130" s="90">
        <f t="shared" ca="1" si="7"/>
        <v>0</v>
      </c>
    </row>
    <row r="131" spans="2:19" x14ac:dyDescent="0.25">
      <c r="B131" s="101">
        <f ca="1"/>
        <v>53828</v>
      </c>
      <c r="C131" s="102">
        <f ca="1"/>
        <v>-1.8639404200326837E-5</v>
      </c>
      <c r="E131" s="96">
        <f ca="1"/>
        <v>53828</v>
      </c>
      <c r="F131" s="134">
        <f ca="1"/>
        <v>0.67132181149544468</v>
      </c>
      <c r="H131" s="96">
        <f ca="1"/>
        <v>53828</v>
      </c>
      <c r="I131" s="134">
        <f ca="1"/>
        <v>0.67130317209124435</v>
      </c>
      <c r="K131" s="138">
        <f ca="1">H131</f>
        <v>53828</v>
      </c>
      <c r="L131" s="136">
        <f ca="1">C131</f>
        <v>-1.8639404200326837E-5</v>
      </c>
      <c r="M131" s="107">
        <f ca="1">I131-F131</f>
        <v>-1.8639404200326837E-5</v>
      </c>
      <c r="N131" s="90">
        <f t="shared" ca="1" si="4"/>
        <v>0</v>
      </c>
      <c r="P131" s="138">
        <f ca="1">E131</f>
        <v>53828</v>
      </c>
      <c r="Q131" s="114">
        <f t="shared" ca="1" si="5"/>
        <v>0.67130317209124435</v>
      </c>
      <c r="R131" s="111">
        <f t="shared" ca="1" si="6"/>
        <v>0.67130317209124435</v>
      </c>
      <c r="S131" s="90">
        <f t="shared" ca="1" si="7"/>
        <v>0</v>
      </c>
    </row>
    <row r="132" spans="2:19" x14ac:dyDescent="0.25">
      <c r="B132" s="101">
        <f ca="1"/>
        <v>53920</v>
      </c>
      <c r="C132" s="102">
        <f ca="1"/>
        <v>-1.8739632411168827E-5</v>
      </c>
      <c r="E132" s="96">
        <f ca="1"/>
        <v>53920</v>
      </c>
      <c r="F132" s="134">
        <f ca="1"/>
        <v>0.66889815074433523</v>
      </c>
      <c r="H132" s="96">
        <f ca="1"/>
        <v>53920</v>
      </c>
      <c r="I132" s="134">
        <f ca="1"/>
        <v>0.66887941111192406</v>
      </c>
      <c r="K132" s="138">
        <f ca="1">H132</f>
        <v>53920</v>
      </c>
      <c r="L132" s="136">
        <f ca="1">C132</f>
        <v>-1.8739632411168827E-5</v>
      </c>
      <c r="M132" s="107">
        <f ca="1">I132-F132</f>
        <v>-1.8739632411168827E-5</v>
      </c>
      <c r="N132" s="90">
        <f t="shared" ca="1" si="4"/>
        <v>0</v>
      </c>
      <c r="P132" s="138">
        <f ca="1">E132</f>
        <v>53920</v>
      </c>
      <c r="Q132" s="114">
        <f t="shared" ca="1" si="5"/>
        <v>0.66887941111192406</v>
      </c>
      <c r="R132" s="111">
        <f t="shared" ca="1" si="6"/>
        <v>0.66887941111192406</v>
      </c>
      <c r="S132" s="90">
        <f t="shared" ca="1" si="7"/>
        <v>0</v>
      </c>
    </row>
    <row r="133" spans="2:19" x14ac:dyDescent="0.25">
      <c r="B133" s="101">
        <f ca="1"/>
        <v>54014</v>
      </c>
      <c r="C133" s="102">
        <f ca="1"/>
        <v>-1.8841096123711765E-5</v>
      </c>
      <c r="E133" s="96">
        <f ca="1"/>
        <v>54014</v>
      </c>
      <c r="F133" s="134">
        <f ca="1"/>
        <v>0.66643419504052814</v>
      </c>
      <c r="H133" s="96">
        <f ca="1"/>
        <v>54014</v>
      </c>
      <c r="I133" s="134">
        <f ca="1"/>
        <v>0.66641535394440443</v>
      </c>
      <c r="K133" s="138">
        <f ca="1">H133</f>
        <v>54014</v>
      </c>
      <c r="L133" s="136">
        <f ca="1">C133</f>
        <v>-1.8841096123711765E-5</v>
      </c>
      <c r="M133" s="107">
        <f ca="1">I133-F133</f>
        <v>-1.8841096123711765E-5</v>
      </c>
      <c r="N133" s="90">
        <f t="shared" ca="1" si="4"/>
        <v>0</v>
      </c>
      <c r="P133" s="138">
        <f ca="1">E133</f>
        <v>54014</v>
      </c>
      <c r="Q133" s="114">
        <f t="shared" ca="1" si="5"/>
        <v>0.66641535394440443</v>
      </c>
      <c r="R133" s="111">
        <f t="shared" ca="1" si="6"/>
        <v>0.66641535394440443</v>
      </c>
      <c r="S133" s="90">
        <f t="shared" ca="1" si="7"/>
        <v>0</v>
      </c>
    </row>
    <row r="134" spans="2:19" x14ac:dyDescent="0.25">
      <c r="B134" s="101">
        <f ca="1"/>
        <v>54106</v>
      </c>
      <c r="C134" s="102">
        <f ca="1"/>
        <v>-1.8939479068613707E-5</v>
      </c>
      <c r="E134" s="96">
        <f ca="1"/>
        <v>54106</v>
      </c>
      <c r="F134" s="134">
        <f ca="1"/>
        <v>0.66403437830057832</v>
      </c>
      <c r="H134" s="96">
        <f ca="1"/>
        <v>54106</v>
      </c>
      <c r="I134" s="134">
        <f ca="1"/>
        <v>0.66401543882150971</v>
      </c>
      <c r="K134" s="138">
        <f ca="1">H134</f>
        <v>54106</v>
      </c>
      <c r="L134" s="136">
        <f ca="1">C134</f>
        <v>-1.8939479068613707E-5</v>
      </c>
      <c r="M134" s="107">
        <f ca="1">I134-F134</f>
        <v>-1.8939479068613707E-5</v>
      </c>
      <c r="N134" s="90">
        <f t="shared" ca="1" si="4"/>
        <v>0</v>
      </c>
      <c r="P134" s="138">
        <f ca="1">E134</f>
        <v>54106</v>
      </c>
      <c r="Q134" s="114">
        <f t="shared" ca="1" si="5"/>
        <v>0.66401543882150971</v>
      </c>
      <c r="R134" s="111">
        <f t="shared" ca="1" si="6"/>
        <v>0.66401543882150971</v>
      </c>
      <c r="S134" s="90">
        <f t="shared" ca="1" si="7"/>
        <v>0</v>
      </c>
    </row>
    <row r="135" spans="2:19" x14ac:dyDescent="0.25">
      <c r="B135" s="101">
        <f ca="1"/>
        <v>54196</v>
      </c>
      <c r="C135" s="102">
        <f ca="1"/>
        <v>-1.9034841414633519E-5</v>
      </c>
      <c r="E135" s="96">
        <f ca="1"/>
        <v>54196</v>
      </c>
      <c r="F135" s="134">
        <f ca="1"/>
        <v>0.66169754069021502</v>
      </c>
      <c r="H135" s="96">
        <f ca="1"/>
        <v>54196</v>
      </c>
      <c r="I135" s="134">
        <f ca="1"/>
        <v>0.66167850584880039</v>
      </c>
      <c r="K135" s="138">
        <f ca="1">H135</f>
        <v>54196</v>
      </c>
      <c r="L135" s="136">
        <f ca="1">C135</f>
        <v>-1.9034841414633519E-5</v>
      </c>
      <c r="M135" s="107">
        <f ca="1">I135-F135</f>
        <v>-1.9034841414633519E-5</v>
      </c>
      <c r="N135" s="90">
        <f t="shared" ca="1" si="4"/>
        <v>0</v>
      </c>
      <c r="P135" s="138">
        <f ca="1">E135</f>
        <v>54196</v>
      </c>
      <c r="Q135" s="114">
        <f t="shared" ca="1" si="5"/>
        <v>0.66167850584880039</v>
      </c>
      <c r="R135" s="111">
        <f t="shared" ca="1" si="6"/>
        <v>0.66167850584880039</v>
      </c>
      <c r="S135" s="90">
        <f t="shared" ca="1" si="7"/>
        <v>0</v>
      </c>
    </row>
    <row r="136" spans="2:19" x14ac:dyDescent="0.25">
      <c r="B136" s="101">
        <f ca="1"/>
        <v>54287</v>
      </c>
      <c r="C136" s="102">
        <f ca="1"/>
        <v>-1.913037670364659E-5</v>
      </c>
      <c r="E136" s="96">
        <f ca="1"/>
        <v>54287</v>
      </c>
      <c r="F136" s="134">
        <f ca="1"/>
        <v>0.65934519642052325</v>
      </c>
      <c r="H136" s="96">
        <f ca="1"/>
        <v>54287</v>
      </c>
      <c r="I136" s="134">
        <f ca="1"/>
        <v>0.6593260660438196</v>
      </c>
      <c r="K136" s="138">
        <f ca="1">H136</f>
        <v>54287</v>
      </c>
      <c r="L136" s="136">
        <f ca="1">C136</f>
        <v>-1.913037670364659E-5</v>
      </c>
      <c r="M136" s="107">
        <f ca="1">I136-F136</f>
        <v>-1.913037670364659E-5</v>
      </c>
      <c r="N136" s="90">
        <f t="shared" ca="1" si="4"/>
        <v>0</v>
      </c>
      <c r="P136" s="138">
        <f ca="1">E136</f>
        <v>54287</v>
      </c>
      <c r="Q136" s="114">
        <f t="shared" ca="1" si="5"/>
        <v>0.6593260660438196</v>
      </c>
      <c r="R136" s="111">
        <f t="shared" ca="1" si="6"/>
        <v>0.6593260660438196</v>
      </c>
      <c r="S136" s="90">
        <f t="shared" ca="1" si="7"/>
        <v>0</v>
      </c>
    </row>
    <row r="137" spans="2:19" x14ac:dyDescent="0.25">
      <c r="B137" s="101">
        <f ca="1"/>
        <v>54378</v>
      </c>
      <c r="C137" s="102">
        <f ca="1"/>
        <v>-1.9225019967317181E-5</v>
      </c>
      <c r="E137" s="96">
        <f ca="1"/>
        <v>54378</v>
      </c>
      <c r="F137" s="134">
        <f ca="1"/>
        <v>0.65700294743274312</v>
      </c>
      <c r="H137" s="96">
        <f ca="1"/>
        <v>54378</v>
      </c>
      <c r="I137" s="134">
        <f ca="1"/>
        <v>0.65698372241277581</v>
      </c>
      <c r="K137" s="138">
        <f ca="1">H137</f>
        <v>54378</v>
      </c>
      <c r="L137" s="136">
        <f ca="1">C137</f>
        <v>-1.9225019967317181E-5</v>
      </c>
      <c r="M137" s="107">
        <f ca="1">I137-F137</f>
        <v>-1.9225019967317181E-5</v>
      </c>
      <c r="N137" s="90">
        <f t="shared" ca="1" si="4"/>
        <v>0</v>
      </c>
      <c r="P137" s="138">
        <f ca="1">E137</f>
        <v>54378</v>
      </c>
      <c r="Q137" s="114">
        <f t="shared" ca="1" si="5"/>
        <v>0.65698372241277581</v>
      </c>
      <c r="R137" s="111">
        <f t="shared" ca="1" si="6"/>
        <v>0.65698372241277581</v>
      </c>
      <c r="S137" s="90">
        <f t="shared" ca="1" si="7"/>
        <v>0</v>
      </c>
    </row>
    <row r="138" spans="2:19" x14ac:dyDescent="0.25">
      <c r="B138" s="101">
        <f ca="1"/>
        <v>54470</v>
      </c>
      <c r="C138" s="102">
        <f ca="1"/>
        <v>-1.9319795375616344E-5</v>
      </c>
      <c r="E138" s="96">
        <f ca="1"/>
        <v>54470</v>
      </c>
      <c r="F138" s="134">
        <f ca="1"/>
        <v>0.65464478202840581</v>
      </c>
      <c r="H138" s="96">
        <f ca="1"/>
        <v>54470</v>
      </c>
      <c r="I138" s="134">
        <f ca="1"/>
        <v>0.6546254622330302</v>
      </c>
      <c r="K138" s="138">
        <f ca="1">H138</f>
        <v>54470</v>
      </c>
      <c r="L138" s="136">
        <f ca="1">C138</f>
        <v>-1.9319795375616344E-5</v>
      </c>
      <c r="M138" s="107">
        <f ca="1">I138-F138</f>
        <v>-1.9319795375616344E-5</v>
      </c>
      <c r="N138" s="90">
        <f t="shared" ca="1" si="4"/>
        <v>0</v>
      </c>
      <c r="P138" s="138">
        <f ca="1">E138</f>
        <v>54470</v>
      </c>
      <c r="Q138" s="114">
        <f t="shared" ca="1" si="5"/>
        <v>0.6546254622330302</v>
      </c>
      <c r="R138" s="111">
        <f t="shared" ca="1" si="6"/>
        <v>0.6546254622330302</v>
      </c>
      <c r="S138" s="90">
        <f t="shared" ca="1" si="7"/>
        <v>0</v>
      </c>
    </row>
    <row r="139" spans="2:19" x14ac:dyDescent="0.25">
      <c r="B139" s="101">
        <f ca="1"/>
        <v>54560</v>
      </c>
      <c r="C139" s="102">
        <f ca="1"/>
        <v>-1.9411625476584149E-5</v>
      </c>
      <c r="E139" s="96">
        <f ca="1"/>
        <v>54560</v>
      </c>
      <c r="F139" s="134">
        <f ca="1"/>
        <v>0.65234700294533399</v>
      </c>
      <c r="H139" s="96">
        <f ca="1"/>
        <v>54560</v>
      </c>
      <c r="I139" s="134">
        <f ca="1"/>
        <v>0.6523275913198574</v>
      </c>
      <c r="K139" s="138">
        <f ca="1">H139</f>
        <v>54560</v>
      </c>
      <c r="L139" s="136">
        <f ca="1">C139</f>
        <v>-1.9411625476584149E-5</v>
      </c>
      <c r="M139" s="107">
        <f ca="1">I139-F139</f>
        <v>-1.9411625476584149E-5</v>
      </c>
      <c r="N139" s="90">
        <f t="shared" ref="N139:N202" ca="1" si="8">L139-M139</f>
        <v>0</v>
      </c>
      <c r="P139" s="138">
        <f ca="1">E139</f>
        <v>54560</v>
      </c>
      <c r="Q139" s="114">
        <f t="shared" ref="Q139:Q202" ca="1" si="9">L139+F139</f>
        <v>0.6523275913198574</v>
      </c>
      <c r="R139" s="111">
        <f t="shared" ref="R139:R202" ca="1" si="10">F139+M139</f>
        <v>0.6523275913198574</v>
      </c>
      <c r="S139" s="90">
        <f t="shared" ref="S139:S202" ca="1" si="11">Q139-R139</f>
        <v>0</v>
      </c>
    </row>
    <row r="140" spans="2:19" x14ac:dyDescent="0.25">
      <c r="B140" s="101">
        <f ca="1"/>
        <v>54651</v>
      </c>
      <c r="C140" s="102">
        <f ca="1"/>
        <v>-1.9503583735813734E-5</v>
      </c>
      <c r="E140" s="96">
        <f ca="1"/>
        <v>54651</v>
      </c>
      <c r="F140" s="134">
        <f ca="1"/>
        <v>0.65003242012362572</v>
      </c>
      <c r="H140" s="96">
        <f ca="1"/>
        <v>54651</v>
      </c>
      <c r="I140" s="134">
        <f ca="1"/>
        <v>0.65001291653988991</v>
      </c>
      <c r="K140" s="138">
        <f ca="1">H140</f>
        <v>54651</v>
      </c>
      <c r="L140" s="136">
        <f ca="1">C140</f>
        <v>-1.9503583735813734E-5</v>
      </c>
      <c r="M140" s="107">
        <f ca="1">I140-F140</f>
        <v>-1.9503583735813734E-5</v>
      </c>
      <c r="N140" s="90">
        <f t="shared" ca="1" si="8"/>
        <v>0</v>
      </c>
      <c r="P140" s="138">
        <f ca="1">E140</f>
        <v>54651</v>
      </c>
      <c r="Q140" s="114">
        <f t="shared" ca="1" si="9"/>
        <v>0.65001291653988991</v>
      </c>
      <c r="R140" s="111">
        <f t="shared" ca="1" si="10"/>
        <v>0.65001291653988991</v>
      </c>
      <c r="S140" s="90">
        <f t="shared" ca="1" si="11"/>
        <v>0</v>
      </c>
    </row>
    <row r="141" spans="2:19" x14ac:dyDescent="0.25">
      <c r="B141" s="101">
        <f ca="1"/>
        <v>54743</v>
      </c>
      <c r="C141" s="102">
        <f ca="1"/>
        <v>-1.9595639135894238E-5</v>
      </c>
      <c r="E141" s="96">
        <f ca="1"/>
        <v>54743</v>
      </c>
      <c r="F141" s="134">
        <f ca="1"/>
        <v>0.64770093310128862</v>
      </c>
      <c r="H141" s="96">
        <f ca="1"/>
        <v>54743</v>
      </c>
      <c r="I141" s="134">
        <f ca="1"/>
        <v>0.64768133746215273</v>
      </c>
      <c r="K141" s="138">
        <f ca="1">H141</f>
        <v>54743</v>
      </c>
      <c r="L141" s="136">
        <f ca="1">C141</f>
        <v>-1.9595639135894238E-5</v>
      </c>
      <c r="M141" s="107">
        <f ca="1">I141-F141</f>
        <v>-1.9595639135894238E-5</v>
      </c>
      <c r="N141" s="90">
        <f t="shared" ca="1" si="8"/>
        <v>0</v>
      </c>
      <c r="P141" s="138">
        <f ca="1">E141</f>
        <v>54743</v>
      </c>
      <c r="Q141" s="114">
        <f t="shared" ca="1" si="9"/>
        <v>0.64768133746215273</v>
      </c>
      <c r="R141" s="111">
        <f t="shared" ca="1" si="10"/>
        <v>0.64768133746215273</v>
      </c>
      <c r="S141" s="90">
        <f t="shared" ca="1" si="11"/>
        <v>0</v>
      </c>
    </row>
    <row r="142" spans="2:19" x14ac:dyDescent="0.25">
      <c r="B142" s="101">
        <f ca="1"/>
        <v>54835</v>
      </c>
      <c r="C142" s="102">
        <f ca="1"/>
        <v>-1.9686780320382624E-5</v>
      </c>
      <c r="E142" s="96">
        <f ca="1"/>
        <v>54835</v>
      </c>
      <c r="F142" s="134">
        <f ca="1"/>
        <v>0.6453779171521199</v>
      </c>
      <c r="H142" s="96">
        <f ca="1"/>
        <v>54835</v>
      </c>
      <c r="I142" s="134">
        <f ca="1"/>
        <v>0.64535823037179951</v>
      </c>
      <c r="K142" s="138">
        <f ca="1">H142</f>
        <v>54835</v>
      </c>
      <c r="L142" s="136">
        <f ca="1">C142</f>
        <v>-1.9686780320382624E-5</v>
      </c>
      <c r="M142" s="107">
        <f ca="1">I142-F142</f>
        <v>-1.9686780320382624E-5</v>
      </c>
      <c r="N142" s="90">
        <f t="shared" ca="1" si="8"/>
        <v>0</v>
      </c>
      <c r="P142" s="138">
        <f ca="1">E142</f>
        <v>54835</v>
      </c>
      <c r="Q142" s="114">
        <f t="shared" ca="1" si="9"/>
        <v>0.64535823037179951</v>
      </c>
      <c r="R142" s="111">
        <f t="shared" ca="1" si="10"/>
        <v>0.64535823037179951</v>
      </c>
      <c r="S142" s="90">
        <f t="shared" ca="1" si="11"/>
        <v>0</v>
      </c>
    </row>
    <row r="143" spans="2:19" x14ac:dyDescent="0.25">
      <c r="B143" s="101">
        <f ca="1"/>
        <v>54924</v>
      </c>
      <c r="C143" s="102">
        <f ca="1"/>
        <v>-1.9774084794366154E-5</v>
      </c>
      <c r="E143" s="96">
        <f ca="1"/>
        <v>54924</v>
      </c>
      <c r="F143" s="134">
        <f ca="1"/>
        <v>0.64313868060179979</v>
      </c>
      <c r="H143" s="96">
        <f ca="1"/>
        <v>54924</v>
      </c>
      <c r="I143" s="134">
        <f ca="1"/>
        <v>0.64311890651700543</v>
      </c>
      <c r="K143" s="138">
        <f ca="1">H143</f>
        <v>54924</v>
      </c>
      <c r="L143" s="136">
        <f ca="1">C143</f>
        <v>-1.9774084794366154E-5</v>
      </c>
      <c r="M143" s="107">
        <f ca="1">I143-F143</f>
        <v>-1.9774084794366154E-5</v>
      </c>
      <c r="N143" s="90">
        <f t="shared" ca="1" si="8"/>
        <v>0</v>
      </c>
      <c r="P143" s="138">
        <f ca="1">E143</f>
        <v>54924</v>
      </c>
      <c r="Q143" s="114">
        <f t="shared" ca="1" si="9"/>
        <v>0.64311890651700543</v>
      </c>
      <c r="R143" s="111">
        <f t="shared" ca="1" si="10"/>
        <v>0.64311890651700543</v>
      </c>
      <c r="S143" s="90">
        <f t="shared" ca="1" si="11"/>
        <v>0</v>
      </c>
    </row>
    <row r="144" spans="2:19" x14ac:dyDescent="0.25">
      <c r="B144" s="101">
        <f ca="1"/>
        <v>55016</v>
      </c>
      <c r="C144" s="102">
        <f ca="1"/>
        <v>-1.9863443665668612E-5</v>
      </c>
      <c r="E144" s="96">
        <f ca="1"/>
        <v>55016</v>
      </c>
      <c r="F144" s="134">
        <f ca="1"/>
        <v>0.64083223039605086</v>
      </c>
      <c r="H144" s="96">
        <f ca="1"/>
        <v>55016</v>
      </c>
      <c r="I144" s="134">
        <f ca="1"/>
        <v>0.64081236695238519</v>
      </c>
      <c r="K144" s="138">
        <f ca="1">H144</f>
        <v>55016</v>
      </c>
      <c r="L144" s="136">
        <f ca="1">C144</f>
        <v>-1.9863443665668612E-5</v>
      </c>
      <c r="M144" s="107">
        <f ca="1">I144-F144</f>
        <v>-1.9863443665668612E-5</v>
      </c>
      <c r="N144" s="90">
        <f t="shared" ca="1" si="8"/>
        <v>0</v>
      </c>
      <c r="P144" s="138">
        <f ca="1">E144</f>
        <v>55016</v>
      </c>
      <c r="Q144" s="114">
        <f t="shared" ca="1" si="9"/>
        <v>0.64081236695238519</v>
      </c>
      <c r="R144" s="111">
        <f t="shared" ca="1" si="10"/>
        <v>0.64081236695238519</v>
      </c>
      <c r="S144" s="90">
        <f t="shared" ca="1" si="11"/>
        <v>0</v>
      </c>
    </row>
    <row r="145" spans="2:19" x14ac:dyDescent="0.25">
      <c r="B145" s="101">
        <f ca="1"/>
        <v>55108</v>
      </c>
      <c r="C145" s="102">
        <f ca="1"/>
        <v>-1.9951904828729994E-5</v>
      </c>
      <c r="E145" s="96">
        <f ca="1"/>
        <v>55108</v>
      </c>
      <c r="F145" s="134">
        <f ca="1"/>
        <v>0.63853414974697931</v>
      </c>
      <c r="H145" s="96">
        <f ca="1"/>
        <v>55108</v>
      </c>
      <c r="I145" s="134">
        <f ca="1"/>
        <v>0.63851419784215058</v>
      </c>
      <c r="K145" s="138">
        <f ca="1">H145</f>
        <v>55108</v>
      </c>
      <c r="L145" s="136">
        <f ca="1">C145</f>
        <v>-1.9951904828729994E-5</v>
      </c>
      <c r="M145" s="107">
        <f ca="1">I145-F145</f>
        <v>-1.9951904828729994E-5</v>
      </c>
      <c r="N145" s="90">
        <f t="shared" ca="1" si="8"/>
        <v>0</v>
      </c>
      <c r="P145" s="138">
        <f ca="1">E145</f>
        <v>55108</v>
      </c>
      <c r="Q145" s="114">
        <f t="shared" ca="1" si="9"/>
        <v>0.63851419784215058</v>
      </c>
      <c r="R145" s="111">
        <f t="shared" ca="1" si="10"/>
        <v>0.63851419784215058</v>
      </c>
      <c r="S145" s="90">
        <f t="shared" ca="1" si="11"/>
        <v>0</v>
      </c>
    </row>
    <row r="146" spans="2:19" x14ac:dyDescent="0.25">
      <c r="B146" s="101">
        <f ca="1"/>
        <v>55200</v>
      </c>
      <c r="C146" s="102">
        <f ca="1"/>
        <v>-2.0039473776378713E-5</v>
      </c>
      <c r="E146" s="96">
        <f ca="1"/>
        <v>55200</v>
      </c>
      <c r="F146" s="134">
        <f ca="1"/>
        <v>0.63624440476208244</v>
      </c>
      <c r="H146" s="96">
        <f ca="1"/>
        <v>55200</v>
      </c>
      <c r="I146" s="134">
        <f ca="1"/>
        <v>0.63622436528830606</v>
      </c>
      <c r="K146" s="138">
        <f ca="1">H146</f>
        <v>55200</v>
      </c>
      <c r="L146" s="136">
        <f ca="1">C146</f>
        <v>-2.0039473776378713E-5</v>
      </c>
      <c r="M146" s="107">
        <f ca="1">I146-F146</f>
        <v>-2.0039473776378713E-5</v>
      </c>
      <c r="N146" s="90">
        <f t="shared" ca="1" si="8"/>
        <v>0</v>
      </c>
      <c r="P146" s="138">
        <f ca="1">E146</f>
        <v>55200</v>
      </c>
      <c r="Q146" s="114">
        <f t="shared" ca="1" si="9"/>
        <v>0.63622436528830606</v>
      </c>
      <c r="R146" s="111">
        <f t="shared" ca="1" si="10"/>
        <v>0.63622436528830606</v>
      </c>
      <c r="S146" s="90">
        <f t="shared" ca="1" si="11"/>
        <v>0</v>
      </c>
    </row>
    <row r="147" spans="2:19" x14ac:dyDescent="0.25">
      <c r="B147" s="101">
        <f ca="1"/>
        <v>55289</v>
      </c>
      <c r="C147" s="102">
        <f ca="1"/>
        <v>-2.0123343304367936E-5</v>
      </c>
      <c r="E147" s="96">
        <f ca="1"/>
        <v>55289</v>
      </c>
      <c r="F147" s="134">
        <f ca="1"/>
        <v>0.63403722599405343</v>
      </c>
      <c r="H147" s="96">
        <f ca="1"/>
        <v>55289</v>
      </c>
      <c r="I147" s="134">
        <f ca="1"/>
        <v>0.63401710265074906</v>
      </c>
      <c r="K147" s="138">
        <f ca="1">H147</f>
        <v>55289</v>
      </c>
      <c r="L147" s="136">
        <f ca="1">C147</f>
        <v>-2.0123343304367936E-5</v>
      </c>
      <c r="M147" s="107">
        <f ca="1">I147-F147</f>
        <v>-2.0123343304367936E-5</v>
      </c>
      <c r="N147" s="90">
        <f t="shared" ca="1" si="8"/>
        <v>0</v>
      </c>
      <c r="P147" s="138">
        <f ca="1">E147</f>
        <v>55289</v>
      </c>
      <c r="Q147" s="114">
        <f t="shared" ca="1" si="9"/>
        <v>0.63401710265074906</v>
      </c>
      <c r="R147" s="111">
        <f t="shared" ca="1" si="10"/>
        <v>0.63401710265074906</v>
      </c>
      <c r="S147" s="90">
        <f t="shared" ca="1" si="11"/>
        <v>0</v>
      </c>
    </row>
    <row r="148" spans="2:19" x14ac:dyDescent="0.25">
      <c r="B148" s="101">
        <f ca="1"/>
        <v>55381</v>
      </c>
      <c r="C148" s="102">
        <f ca="1"/>
        <v>-2.0209172815532916E-5</v>
      </c>
      <c r="E148" s="96">
        <f ca="1"/>
        <v>55381</v>
      </c>
      <c r="F148" s="134">
        <f ca="1"/>
        <v>0.63176378220287133</v>
      </c>
      <c r="H148" s="96">
        <f ca="1"/>
        <v>55381</v>
      </c>
      <c r="I148" s="134">
        <f ca="1"/>
        <v>0.63174357303005579</v>
      </c>
      <c r="K148" s="138">
        <f ca="1">H148</f>
        <v>55381</v>
      </c>
      <c r="L148" s="136">
        <f ca="1">C148</f>
        <v>-2.0209172815532916E-5</v>
      </c>
      <c r="M148" s="107">
        <f ca="1">I148-F148</f>
        <v>-2.0209172815532916E-5</v>
      </c>
      <c r="N148" s="90">
        <f t="shared" ca="1" si="8"/>
        <v>0</v>
      </c>
      <c r="P148" s="138">
        <f ca="1">E148</f>
        <v>55381</v>
      </c>
      <c r="Q148" s="114">
        <f t="shared" ca="1" si="9"/>
        <v>0.63174357303005579</v>
      </c>
      <c r="R148" s="111">
        <f t="shared" ca="1" si="10"/>
        <v>0.63174357303005579</v>
      </c>
      <c r="S148" s="90">
        <f t="shared" ca="1" si="11"/>
        <v>0</v>
      </c>
    </row>
    <row r="149" spans="2:19" x14ac:dyDescent="0.25">
      <c r="B149" s="101">
        <f ca="1"/>
        <v>55473</v>
      </c>
      <c r="C149" s="102">
        <f ca="1"/>
        <v>-2.0294126207409668E-5</v>
      </c>
      <c r="E149" s="96">
        <f ca="1"/>
        <v>55473</v>
      </c>
      <c r="F149" s="134">
        <f ca="1"/>
        <v>0.62949857443634605</v>
      </c>
      <c r="H149" s="96">
        <f ca="1"/>
        <v>55473</v>
      </c>
      <c r="I149" s="134">
        <f ca="1"/>
        <v>0.62947828031013864</v>
      </c>
      <c r="K149" s="138">
        <f ca="1">H149</f>
        <v>55473</v>
      </c>
      <c r="L149" s="136">
        <f ca="1">C149</f>
        <v>-2.0294126207409668E-5</v>
      </c>
      <c r="M149" s="107">
        <f ca="1">I149-F149</f>
        <v>-2.0294126207409668E-5</v>
      </c>
      <c r="N149" s="90">
        <f t="shared" ca="1" si="8"/>
        <v>0</v>
      </c>
      <c r="P149" s="138">
        <f ca="1">E149</f>
        <v>55473</v>
      </c>
      <c r="Q149" s="114">
        <f t="shared" ca="1" si="9"/>
        <v>0.62947828031013864</v>
      </c>
      <c r="R149" s="111">
        <f t="shared" ca="1" si="10"/>
        <v>0.62947828031013864</v>
      </c>
      <c r="S149" s="90">
        <f t="shared" ca="1" si="11"/>
        <v>0</v>
      </c>
    </row>
    <row r="150" spans="2:19" x14ac:dyDescent="0.25">
      <c r="B150" s="101">
        <f ca="1"/>
        <v>55565</v>
      </c>
      <c r="C150" s="102">
        <f ca="1"/>
        <v>-2.0378208836380196E-5</v>
      </c>
      <c r="E150" s="96">
        <f ca="1"/>
        <v>55565</v>
      </c>
      <c r="F150" s="134">
        <f ca="1"/>
        <v>0.62724156942796017</v>
      </c>
      <c r="H150" s="96">
        <f ca="1"/>
        <v>55565</v>
      </c>
      <c r="I150" s="134">
        <f ca="1"/>
        <v>0.62722119121912379</v>
      </c>
      <c r="K150" s="138">
        <f ca="1">H150</f>
        <v>55565</v>
      </c>
      <c r="L150" s="136">
        <f ca="1">C150</f>
        <v>-2.0378208836380196E-5</v>
      </c>
      <c r="M150" s="107">
        <f ca="1">I150-F150</f>
        <v>-2.0378208836380196E-5</v>
      </c>
      <c r="N150" s="90">
        <f t="shared" ca="1" si="8"/>
        <v>0</v>
      </c>
      <c r="P150" s="138">
        <f ca="1">E150</f>
        <v>55565</v>
      </c>
      <c r="Q150" s="114">
        <f t="shared" ca="1" si="9"/>
        <v>0.62722119121912379</v>
      </c>
      <c r="R150" s="111">
        <f t="shared" ca="1" si="10"/>
        <v>0.62722119121912379</v>
      </c>
      <c r="S150" s="90">
        <f t="shared" ca="1" si="11"/>
        <v>0</v>
      </c>
    </row>
    <row r="151" spans="2:19" x14ac:dyDescent="0.25">
      <c r="B151" s="101">
        <f ca="1"/>
        <v>55655</v>
      </c>
      <c r="C151" s="102">
        <f ca="1"/>
        <v>-2.0459626120850061E-5</v>
      </c>
      <c r="E151" s="96">
        <f ca="1"/>
        <v>55655</v>
      </c>
      <c r="F151" s="134">
        <f ca="1"/>
        <v>0.62504153515346417</v>
      </c>
      <c r="H151" s="96">
        <f ca="1"/>
        <v>55655</v>
      </c>
      <c r="I151" s="134">
        <f ca="1"/>
        <v>0.62502107552734332</v>
      </c>
      <c r="K151" s="138">
        <f ca="1">H151</f>
        <v>55655</v>
      </c>
      <c r="L151" s="136">
        <f ca="1">C151</f>
        <v>-2.0459626120850061E-5</v>
      </c>
      <c r="M151" s="107">
        <f ca="1">I151-F151</f>
        <v>-2.0459626120850061E-5</v>
      </c>
      <c r="N151" s="90">
        <f t="shared" ca="1" si="8"/>
        <v>0</v>
      </c>
      <c r="P151" s="138">
        <f ca="1">E151</f>
        <v>55655</v>
      </c>
      <c r="Q151" s="114">
        <f t="shared" ca="1" si="9"/>
        <v>0.62502107552734332</v>
      </c>
      <c r="R151" s="111">
        <f t="shared" ca="1" si="10"/>
        <v>0.62502107552734332</v>
      </c>
      <c r="S151" s="90">
        <f t="shared" ca="1" si="11"/>
        <v>0</v>
      </c>
    </row>
    <row r="152" spans="2:19" x14ac:dyDescent="0.25">
      <c r="B152" s="101">
        <f ca="1"/>
        <v>55747</v>
      </c>
      <c r="C152" s="102">
        <f ca="1"/>
        <v>-2.0542001800682996E-5</v>
      </c>
      <c r="E152" s="96">
        <f ca="1"/>
        <v>55747</v>
      </c>
      <c r="F152" s="134">
        <f ca="1"/>
        <v>0.62280065994870437</v>
      </c>
      <c r="H152" s="96">
        <f ca="1"/>
        <v>55747</v>
      </c>
      <c r="I152" s="134">
        <f ca="1"/>
        <v>0.62278011794690369</v>
      </c>
      <c r="K152" s="138">
        <f ca="1">H152</f>
        <v>55747</v>
      </c>
      <c r="L152" s="136">
        <f ca="1">C152</f>
        <v>-2.0542001800682996E-5</v>
      </c>
      <c r="M152" s="107">
        <f ca="1">I152-F152</f>
        <v>-2.0542001800682996E-5</v>
      </c>
      <c r="N152" s="90">
        <f t="shared" ca="1" si="8"/>
        <v>0</v>
      </c>
      <c r="P152" s="138">
        <f ca="1">E152</f>
        <v>55747</v>
      </c>
      <c r="Q152" s="114">
        <f t="shared" ca="1" si="9"/>
        <v>0.62278011794690369</v>
      </c>
      <c r="R152" s="111">
        <f t="shared" ca="1" si="10"/>
        <v>0.62278011794690369</v>
      </c>
      <c r="S152" s="90">
        <f t="shared" ca="1" si="11"/>
        <v>0</v>
      </c>
    </row>
    <row r="153" spans="2:19" x14ac:dyDescent="0.25">
      <c r="B153" s="101">
        <f ca="1"/>
        <v>55841</v>
      </c>
      <c r="C153" s="102">
        <f ca="1"/>
        <v>-2.0625285202524601E-5</v>
      </c>
      <c r="E153" s="96">
        <f ca="1"/>
        <v>55841</v>
      </c>
      <c r="F153" s="134">
        <f ca="1"/>
        <v>0.62051944061770836</v>
      </c>
      <c r="H153" s="96">
        <f ca="1"/>
        <v>55841</v>
      </c>
      <c r="I153" s="134">
        <f ca="1"/>
        <v>0.62049881533250584</v>
      </c>
      <c r="K153" s="138">
        <f ca="1">H153</f>
        <v>55841</v>
      </c>
      <c r="L153" s="136">
        <f ca="1">C153</f>
        <v>-2.0625285202524601E-5</v>
      </c>
      <c r="M153" s="107">
        <f ca="1">I153-F153</f>
        <v>-2.0625285202524601E-5</v>
      </c>
      <c r="N153" s="90">
        <f t="shared" ca="1" si="8"/>
        <v>0</v>
      </c>
      <c r="P153" s="138">
        <f ca="1">E153</f>
        <v>55841</v>
      </c>
      <c r="Q153" s="114">
        <f t="shared" ca="1" si="9"/>
        <v>0.62049881533250584</v>
      </c>
      <c r="R153" s="111">
        <f t="shared" ca="1" si="10"/>
        <v>0.62049881533250584</v>
      </c>
      <c r="S153" s="90">
        <f t="shared" ca="1" si="11"/>
        <v>0</v>
      </c>
    </row>
    <row r="154" spans="2:19" x14ac:dyDescent="0.25">
      <c r="B154" s="101">
        <f ca="1"/>
        <v>55933</v>
      </c>
      <c r="C154" s="102">
        <f ca="1"/>
        <v>-2.0705937669451835E-5</v>
      </c>
      <c r="E154" s="96">
        <f ca="1"/>
        <v>55933</v>
      </c>
      <c r="F154" s="134">
        <f ca="1"/>
        <v>0.61829491707936413</v>
      </c>
      <c r="H154" s="96">
        <f ca="1"/>
        <v>55933</v>
      </c>
      <c r="I154" s="134">
        <f ca="1"/>
        <v>0.61827421114169467</v>
      </c>
      <c r="K154" s="138">
        <f ca="1">H154</f>
        <v>55933</v>
      </c>
      <c r="L154" s="136">
        <f ca="1">C154</f>
        <v>-2.0705937669451835E-5</v>
      </c>
      <c r="M154" s="107">
        <f ca="1">I154-F154</f>
        <v>-2.0705937669451835E-5</v>
      </c>
      <c r="N154" s="90">
        <f t="shared" ca="1" si="8"/>
        <v>0</v>
      </c>
      <c r="P154" s="138">
        <f ca="1">E154</f>
        <v>55933</v>
      </c>
      <c r="Q154" s="114">
        <f t="shared" ca="1" si="9"/>
        <v>0.61827421114169467</v>
      </c>
      <c r="R154" s="111">
        <f t="shared" ca="1" si="10"/>
        <v>0.61827421114169467</v>
      </c>
      <c r="S154" s="90">
        <f t="shared" ca="1" si="11"/>
        <v>0</v>
      </c>
    </row>
    <row r="155" spans="2:19" x14ac:dyDescent="0.25">
      <c r="B155" s="101">
        <f ca="1"/>
        <v>56020</v>
      </c>
      <c r="C155" s="102">
        <f ca="1"/>
        <v>-2.0781429876381985E-5</v>
      </c>
      <c r="E155" s="96">
        <f ca="1"/>
        <v>56020</v>
      </c>
      <c r="F155" s="134">
        <f ca="1"/>
        <v>0.61619868738405259</v>
      </c>
      <c r="H155" s="96">
        <f ca="1"/>
        <v>56020</v>
      </c>
      <c r="I155" s="134">
        <f ca="1"/>
        <v>0.61617790595417621</v>
      </c>
      <c r="K155" s="138">
        <f ca="1">H155</f>
        <v>56020</v>
      </c>
      <c r="L155" s="136">
        <f ca="1">C155</f>
        <v>-2.0781429876381985E-5</v>
      </c>
      <c r="M155" s="107">
        <f ca="1">I155-F155</f>
        <v>-2.0781429876381985E-5</v>
      </c>
      <c r="N155" s="90">
        <f t="shared" ca="1" si="8"/>
        <v>0</v>
      </c>
      <c r="P155" s="138">
        <f ca="1">E155</f>
        <v>56020</v>
      </c>
      <c r="Q155" s="114">
        <f t="shared" ca="1" si="9"/>
        <v>0.61617790595417621</v>
      </c>
      <c r="R155" s="111">
        <f t="shared" ca="1" si="10"/>
        <v>0.61617790595417621</v>
      </c>
      <c r="S155" s="90">
        <f t="shared" ca="1" si="11"/>
        <v>0</v>
      </c>
    </row>
    <row r="156" spans="2:19" x14ac:dyDescent="0.25">
      <c r="B156" s="101">
        <f ca="1"/>
        <v>56114</v>
      </c>
      <c r="C156" s="102">
        <f ca="1"/>
        <v>-2.086215242769196E-5</v>
      </c>
      <c r="E156" s="96">
        <f ca="1"/>
        <v>56114</v>
      </c>
      <c r="F156" s="134">
        <f ca="1"/>
        <v>0.61394184354563819</v>
      </c>
      <c r="H156" s="96">
        <f ca="1"/>
        <v>56114</v>
      </c>
      <c r="I156" s="134">
        <f ca="1"/>
        <v>0.6139209813932105</v>
      </c>
      <c r="K156" s="138">
        <f ca="1">H156</f>
        <v>56114</v>
      </c>
      <c r="L156" s="136">
        <f ca="1">C156</f>
        <v>-2.086215242769196E-5</v>
      </c>
      <c r="M156" s="107">
        <f ca="1">I156-F156</f>
        <v>-2.086215242769196E-5</v>
      </c>
      <c r="N156" s="90">
        <f t="shared" ca="1" si="8"/>
        <v>0</v>
      </c>
      <c r="P156" s="138">
        <f ca="1">E156</f>
        <v>56114</v>
      </c>
      <c r="Q156" s="114">
        <f t="shared" ca="1" si="9"/>
        <v>0.6139209813932105</v>
      </c>
      <c r="R156" s="111">
        <f t="shared" ca="1" si="10"/>
        <v>0.6139209813932105</v>
      </c>
      <c r="S156" s="90">
        <f t="shared" ca="1" si="11"/>
        <v>0</v>
      </c>
    </row>
    <row r="157" spans="2:19" x14ac:dyDescent="0.25">
      <c r="B157" s="101">
        <f ca="1"/>
        <v>56205</v>
      </c>
      <c r="C157" s="102">
        <f ca="1"/>
        <v>-2.0939468886260748E-5</v>
      </c>
      <c r="E157" s="96">
        <f ca="1"/>
        <v>56205</v>
      </c>
      <c r="F157" s="134">
        <f ca="1"/>
        <v>0.61176495842620304</v>
      </c>
      <c r="H157" s="96">
        <f ca="1"/>
        <v>56205</v>
      </c>
      <c r="I157" s="134">
        <f ca="1"/>
        <v>0.61174401895731678</v>
      </c>
      <c r="K157" s="138">
        <f ca="1">H157</f>
        <v>56205</v>
      </c>
      <c r="L157" s="136">
        <f ca="1">C157</f>
        <v>-2.0939468886260748E-5</v>
      </c>
      <c r="M157" s="107">
        <f ca="1">I157-F157</f>
        <v>-2.0939468886260748E-5</v>
      </c>
      <c r="N157" s="90">
        <f t="shared" ca="1" si="8"/>
        <v>0</v>
      </c>
      <c r="P157" s="138">
        <f ca="1">E157</f>
        <v>56205</v>
      </c>
      <c r="Q157" s="114">
        <f t="shared" ca="1" si="9"/>
        <v>0.61174401895731678</v>
      </c>
      <c r="R157" s="111">
        <f t="shared" ca="1" si="10"/>
        <v>0.61174401895731678</v>
      </c>
      <c r="S157" s="90">
        <f t="shared" ca="1" si="11"/>
        <v>0</v>
      </c>
    </row>
    <row r="158" spans="2:19" x14ac:dyDescent="0.25">
      <c r="B158" s="101">
        <f ca="1"/>
        <v>56297</v>
      </c>
      <c r="C158" s="102">
        <f ca="1"/>
        <v>-2.1016810169860456E-5</v>
      </c>
      <c r="E158" s="96">
        <f ca="1"/>
        <v>56297</v>
      </c>
      <c r="F158" s="134">
        <f ca="1"/>
        <v>0.60957205176047435</v>
      </c>
      <c r="H158" s="96">
        <f ca="1"/>
        <v>56297</v>
      </c>
      <c r="I158" s="134">
        <f ca="1"/>
        <v>0.60955103495030449</v>
      </c>
      <c r="K158" s="138">
        <f ca="1">H158</f>
        <v>56297</v>
      </c>
      <c r="L158" s="136">
        <f ca="1">C158</f>
        <v>-2.1016810169860456E-5</v>
      </c>
      <c r="M158" s="107">
        <f ca="1">I158-F158</f>
        <v>-2.1016810169860456E-5</v>
      </c>
      <c r="N158" s="90">
        <f t="shared" ca="1" si="8"/>
        <v>0</v>
      </c>
      <c r="P158" s="138">
        <f ca="1">E158</f>
        <v>56297</v>
      </c>
      <c r="Q158" s="114">
        <f t="shared" ca="1" si="9"/>
        <v>0.60955103495030449</v>
      </c>
      <c r="R158" s="111">
        <f t="shared" ca="1" si="10"/>
        <v>0.60955103495030449</v>
      </c>
      <c r="S158" s="90">
        <f t="shared" ca="1" si="11"/>
        <v>0</v>
      </c>
    </row>
    <row r="159" spans="2:19" x14ac:dyDescent="0.25">
      <c r="B159" s="101">
        <f ca="1"/>
        <v>56387</v>
      </c>
      <c r="C159" s="102">
        <f ca="1"/>
        <v>-2.1091672499307101E-5</v>
      </c>
      <c r="E159" s="96">
        <f ca="1"/>
        <v>56387</v>
      </c>
      <c r="F159" s="134">
        <f ca="1"/>
        <v>0.60743447273727724</v>
      </c>
      <c r="H159" s="96">
        <f ca="1"/>
        <v>56387</v>
      </c>
      <c r="I159" s="134">
        <f ca="1"/>
        <v>0.60741338106477794</v>
      </c>
      <c r="K159" s="138">
        <f ca="1">H159</f>
        <v>56387</v>
      </c>
      <c r="L159" s="136">
        <f ca="1">C159</f>
        <v>-2.1091672499307101E-5</v>
      </c>
      <c r="M159" s="107">
        <f ca="1">I159-F159</f>
        <v>-2.1091672499307101E-5</v>
      </c>
      <c r="N159" s="90">
        <f t="shared" ca="1" si="8"/>
        <v>0</v>
      </c>
      <c r="P159" s="138">
        <f ca="1">E159</f>
        <v>56387</v>
      </c>
      <c r="Q159" s="114">
        <f t="shared" ca="1" si="9"/>
        <v>0.60741338106477794</v>
      </c>
      <c r="R159" s="111">
        <f t="shared" ca="1" si="10"/>
        <v>0.60741338106477794</v>
      </c>
      <c r="S159" s="90">
        <f t="shared" ca="1" si="11"/>
        <v>0</v>
      </c>
    </row>
    <row r="160" spans="2:19" x14ac:dyDescent="0.25">
      <c r="B160" s="101">
        <f ca="1"/>
        <v>56478</v>
      </c>
      <c r="C160" s="102">
        <f ca="1"/>
        <v>-2.1166569420416614E-5</v>
      </c>
      <c r="E160" s="96">
        <f ca="1"/>
        <v>56478</v>
      </c>
      <c r="F160" s="134">
        <f ca="1"/>
        <v>0.60528081056601346</v>
      </c>
      <c r="H160" s="96">
        <f ca="1"/>
        <v>56478</v>
      </c>
      <c r="I160" s="134">
        <f ca="1"/>
        <v>0.60525964399659304</v>
      </c>
      <c r="K160" s="138">
        <f ca="1">H160</f>
        <v>56478</v>
      </c>
      <c r="L160" s="136">
        <f ca="1">C160</f>
        <v>-2.1166569420416614E-5</v>
      </c>
      <c r="M160" s="107">
        <f ca="1">I160-F160</f>
        <v>-2.1166569420416614E-5</v>
      </c>
      <c r="N160" s="90">
        <f t="shared" ca="1" si="8"/>
        <v>0</v>
      </c>
      <c r="P160" s="138">
        <f ca="1">E160</f>
        <v>56478</v>
      </c>
      <c r="Q160" s="114">
        <f t="shared" ca="1" si="9"/>
        <v>0.60525964399659304</v>
      </c>
      <c r="R160" s="111">
        <f t="shared" ca="1" si="10"/>
        <v>0.60525964399659304</v>
      </c>
      <c r="S160" s="90">
        <f t="shared" ca="1" si="11"/>
        <v>0</v>
      </c>
    </row>
    <row r="161" spans="2:19" x14ac:dyDescent="0.25">
      <c r="B161" s="101">
        <f ca="1"/>
        <v>56569</v>
      </c>
      <c r="C161" s="102">
        <f ca="1"/>
        <v>-2.124066954489745E-5</v>
      </c>
      <c r="E161" s="96">
        <f ca="1"/>
        <v>56569</v>
      </c>
      <c r="F161" s="134">
        <f ca="1"/>
        <v>0.60313482801209262</v>
      </c>
      <c r="H161" s="96">
        <f ca="1"/>
        <v>56569</v>
      </c>
      <c r="I161" s="134">
        <f ca="1"/>
        <v>0.60311358734254772</v>
      </c>
      <c r="K161" s="138">
        <f ca="1">H161</f>
        <v>56569</v>
      </c>
      <c r="L161" s="136">
        <f ca="1">C161</f>
        <v>-2.124066954489745E-5</v>
      </c>
      <c r="M161" s="107">
        <f ca="1">I161-F161</f>
        <v>-2.124066954489745E-5</v>
      </c>
      <c r="N161" s="90">
        <f t="shared" ca="1" si="8"/>
        <v>0</v>
      </c>
      <c r="P161" s="138">
        <f ca="1">E161</f>
        <v>56569</v>
      </c>
      <c r="Q161" s="114">
        <f t="shared" ca="1" si="9"/>
        <v>0.60311358734254772</v>
      </c>
      <c r="R161" s="111">
        <f t="shared" ca="1" si="10"/>
        <v>0.60311358734254772</v>
      </c>
      <c r="S161" s="90">
        <f t="shared" ca="1" si="11"/>
        <v>0</v>
      </c>
    </row>
    <row r="162" spans="2:19" x14ac:dyDescent="0.25">
      <c r="B162" s="101">
        <f ca="1"/>
        <v>56661</v>
      </c>
      <c r="C162" s="102">
        <f ca="1"/>
        <v>-2.1314778883119168E-5</v>
      </c>
      <c r="E162" s="96">
        <f ca="1"/>
        <v>56661</v>
      </c>
      <c r="F162" s="134">
        <f ca="1"/>
        <v>0.60097303883634468</v>
      </c>
      <c r="H162" s="96">
        <f ca="1"/>
        <v>56661</v>
      </c>
      <c r="I162" s="134">
        <f ca="1"/>
        <v>0.60095172405746156</v>
      </c>
      <c r="K162" s="138">
        <f ca="1">H162</f>
        <v>56661</v>
      </c>
      <c r="L162" s="136">
        <f ca="1">C162</f>
        <v>-2.1314778883119168E-5</v>
      </c>
      <c r="M162" s="107">
        <f ca="1">I162-F162</f>
        <v>-2.1314778883119168E-5</v>
      </c>
      <c r="N162" s="90">
        <f t="shared" ca="1" si="8"/>
        <v>0</v>
      </c>
      <c r="P162" s="138">
        <f ca="1">E162</f>
        <v>56661</v>
      </c>
      <c r="Q162" s="114">
        <f t="shared" ca="1" si="9"/>
        <v>0.60095172405746156</v>
      </c>
      <c r="R162" s="111">
        <f t="shared" ca="1" si="10"/>
        <v>0.60095172405746156</v>
      </c>
      <c r="S162" s="90">
        <f t="shared" ca="1" si="11"/>
        <v>0</v>
      </c>
    </row>
    <row r="163" spans="2:19" x14ac:dyDescent="0.25">
      <c r="B163" s="101">
        <f ca="1"/>
        <v>56751</v>
      </c>
      <c r="C163" s="102">
        <f ca="1"/>
        <v>-2.1386498605835413E-5</v>
      </c>
      <c r="E163" s="96">
        <f ca="1"/>
        <v>56751</v>
      </c>
      <c r="F163" s="134">
        <f ca="1"/>
        <v>0.5988657801068058</v>
      </c>
      <c r="H163" s="96">
        <f ca="1"/>
        <v>56751</v>
      </c>
      <c r="I163" s="134">
        <f ca="1"/>
        <v>0.59884439360819997</v>
      </c>
      <c r="K163" s="138">
        <f ca="1">H163</f>
        <v>56751</v>
      </c>
      <c r="L163" s="136">
        <f ca="1">C163</f>
        <v>-2.1386498605835413E-5</v>
      </c>
      <c r="M163" s="107">
        <f ca="1">I163-F163</f>
        <v>-2.1386498605835413E-5</v>
      </c>
      <c r="N163" s="90">
        <f t="shared" ca="1" si="8"/>
        <v>0</v>
      </c>
      <c r="P163" s="138">
        <f ca="1">E163</f>
        <v>56751</v>
      </c>
      <c r="Q163" s="114">
        <f t="shared" ca="1" si="9"/>
        <v>0.59884439360819997</v>
      </c>
      <c r="R163" s="111">
        <f t="shared" ca="1" si="10"/>
        <v>0.59884439360819997</v>
      </c>
      <c r="S163" s="90">
        <f t="shared" ca="1" si="11"/>
        <v>0</v>
      </c>
    </row>
    <row r="164" spans="2:19" x14ac:dyDescent="0.25">
      <c r="B164" s="101">
        <f ca="1"/>
        <v>56842</v>
      </c>
      <c r="C164" s="102">
        <f ca="1"/>
        <v>-2.1458237068783248E-5</v>
      </c>
      <c r="E164" s="96">
        <f ca="1"/>
        <v>56842</v>
      </c>
      <c r="F164" s="134">
        <f ca="1"/>
        <v>0.59674265428021356</v>
      </c>
      <c r="H164" s="96">
        <f ca="1"/>
        <v>56842</v>
      </c>
      <c r="I164" s="134">
        <f ca="1"/>
        <v>0.59672119604314477</v>
      </c>
      <c r="K164" s="138">
        <f ca="1">H164</f>
        <v>56842</v>
      </c>
      <c r="L164" s="136">
        <f ca="1">C164</f>
        <v>-2.1458237068783248E-5</v>
      </c>
      <c r="M164" s="107">
        <f ca="1">I164-F164</f>
        <v>-2.1458237068783248E-5</v>
      </c>
      <c r="N164" s="90">
        <f t="shared" ca="1" si="8"/>
        <v>0</v>
      </c>
      <c r="P164" s="138">
        <f ca="1">E164</f>
        <v>56842</v>
      </c>
      <c r="Q164" s="114">
        <f t="shared" ca="1" si="9"/>
        <v>0.59672119604314477</v>
      </c>
      <c r="R164" s="111">
        <f t="shared" ca="1" si="10"/>
        <v>0.59672119604314477</v>
      </c>
      <c r="S164" s="90">
        <f t="shared" ca="1" si="11"/>
        <v>0</v>
      </c>
    </row>
    <row r="165" spans="2:19" x14ac:dyDescent="0.25">
      <c r="B165" s="101">
        <f ca="1"/>
        <v>56934</v>
      </c>
      <c r="C165" s="102">
        <f ca="1"/>
        <v>-2.1529973274092562E-5</v>
      </c>
      <c r="E165" s="96">
        <f ca="1"/>
        <v>56934</v>
      </c>
      <c r="F165" s="134">
        <f ca="1"/>
        <v>0.59460388100437933</v>
      </c>
      <c r="H165" s="96">
        <f ca="1"/>
        <v>56934</v>
      </c>
      <c r="I165" s="134">
        <f ca="1"/>
        <v>0.59458235103110524</v>
      </c>
      <c r="K165" s="138">
        <f ca="1">H165</f>
        <v>56934</v>
      </c>
      <c r="L165" s="136">
        <f ca="1">C165</f>
        <v>-2.1529973274092562E-5</v>
      </c>
      <c r="M165" s="107">
        <f ca="1">I165-F165</f>
        <v>-2.1529973274092562E-5</v>
      </c>
      <c r="N165" s="90">
        <f t="shared" ca="1" si="8"/>
        <v>0</v>
      </c>
      <c r="P165" s="138">
        <f ca="1">E165</f>
        <v>56934</v>
      </c>
      <c r="Q165" s="114">
        <f t="shared" ca="1" si="9"/>
        <v>0.59458235103110524</v>
      </c>
      <c r="R165" s="111">
        <f t="shared" ca="1" si="10"/>
        <v>0.59458235103110524</v>
      </c>
      <c r="S165" s="90">
        <f t="shared" ca="1" si="11"/>
        <v>0</v>
      </c>
    </row>
    <row r="166" spans="2:19" x14ac:dyDescent="0.25">
      <c r="B166" s="101">
        <f ca="1"/>
        <v>57026</v>
      </c>
      <c r="C166" s="102">
        <f ca="1"/>
        <v>-2.1600919394959561E-5</v>
      </c>
      <c r="E166" s="96">
        <f ca="1"/>
        <v>57026</v>
      </c>
      <c r="F166" s="134">
        <f ca="1"/>
        <v>0.59247280254470513</v>
      </c>
      <c r="H166" s="96">
        <f ca="1"/>
        <v>57026</v>
      </c>
      <c r="I166" s="134">
        <f ca="1"/>
        <v>0.59245120162531018</v>
      </c>
      <c r="K166" s="138">
        <f ca="1">H166</f>
        <v>57026</v>
      </c>
      <c r="L166" s="136">
        <f ca="1">C166</f>
        <v>-2.1600919394959561E-5</v>
      </c>
      <c r="M166" s="107">
        <f ca="1">I166-F166</f>
        <v>-2.1600919394959561E-5</v>
      </c>
      <c r="N166" s="90">
        <f t="shared" ca="1" si="8"/>
        <v>0</v>
      </c>
      <c r="P166" s="138">
        <f ca="1">E166</f>
        <v>57026</v>
      </c>
      <c r="Q166" s="114">
        <f t="shared" ca="1" si="9"/>
        <v>0.59245120162531018</v>
      </c>
      <c r="R166" s="111">
        <f t="shared" ca="1" si="10"/>
        <v>0.59245120162531018</v>
      </c>
      <c r="S166" s="90">
        <f t="shared" ca="1" si="11"/>
        <v>0</v>
      </c>
    </row>
    <row r="167" spans="2:19" x14ac:dyDescent="0.25">
      <c r="B167" s="101">
        <f ca="1"/>
        <v>57116</v>
      </c>
      <c r="C167" s="102">
        <f ca="1"/>
        <v>-2.1669563327830765E-5</v>
      </c>
      <c r="E167" s="96">
        <f ca="1"/>
        <v>57116</v>
      </c>
      <c r="F167" s="134">
        <f ca="1"/>
        <v>0.59039546806070275</v>
      </c>
      <c r="H167" s="96">
        <f ca="1"/>
        <v>57116</v>
      </c>
      <c r="I167" s="134">
        <f ca="1"/>
        <v>0.59037379849737492</v>
      </c>
      <c r="K167" s="138">
        <f ca="1">H167</f>
        <v>57116</v>
      </c>
      <c r="L167" s="136">
        <f ca="1">C167</f>
        <v>-2.1669563327830765E-5</v>
      </c>
      <c r="M167" s="107">
        <f ca="1">I167-F167</f>
        <v>-2.1669563327830765E-5</v>
      </c>
      <c r="N167" s="90">
        <f t="shared" ca="1" si="8"/>
        <v>0</v>
      </c>
      <c r="P167" s="138">
        <f ca="1">E167</f>
        <v>57116</v>
      </c>
      <c r="Q167" s="114">
        <f t="shared" ca="1" si="9"/>
        <v>0.59037379849737492</v>
      </c>
      <c r="R167" s="111">
        <f t="shared" ca="1" si="10"/>
        <v>0.59037379849737492</v>
      </c>
      <c r="S167" s="90">
        <f t="shared" ca="1" si="11"/>
        <v>0</v>
      </c>
    </row>
    <row r="168" spans="2:19" x14ac:dyDescent="0.25">
      <c r="B168" s="101">
        <f ca="1"/>
        <v>57208</v>
      </c>
      <c r="C168" s="102">
        <f ca="1"/>
        <v>-2.1738960614414715E-5</v>
      </c>
      <c r="E168" s="96">
        <f ca="1"/>
        <v>57208</v>
      </c>
      <c r="F168" s="134">
        <f ca="1"/>
        <v>0.58827952152488217</v>
      </c>
      <c r="H168" s="96">
        <f ca="1"/>
        <v>57208</v>
      </c>
      <c r="I168" s="134">
        <f ca="1"/>
        <v>0.58825778256426775</v>
      </c>
      <c r="K168" s="138">
        <f ca="1">H168</f>
        <v>57208</v>
      </c>
      <c r="L168" s="136">
        <f ca="1">C168</f>
        <v>-2.1738960614414715E-5</v>
      </c>
      <c r="M168" s="107">
        <f ca="1">I168-F168</f>
        <v>-2.1738960614414715E-5</v>
      </c>
      <c r="N168" s="90">
        <f t="shared" ca="1" si="8"/>
        <v>0</v>
      </c>
      <c r="P168" s="138">
        <f ca="1">E168</f>
        <v>57208</v>
      </c>
      <c r="Q168" s="114">
        <f t="shared" ca="1" si="9"/>
        <v>0.58825778256426775</v>
      </c>
      <c r="R168" s="111">
        <f t="shared" ca="1" si="10"/>
        <v>0.58825778256426775</v>
      </c>
      <c r="S168" s="90">
        <f t="shared" ca="1" si="11"/>
        <v>0</v>
      </c>
    </row>
    <row r="169" spans="2:19" x14ac:dyDescent="0.25">
      <c r="B169" s="101">
        <f ca="1"/>
        <v>57300</v>
      </c>
      <c r="C169" s="102">
        <f ca="1"/>
        <v>-2.1807582070598741E-5</v>
      </c>
      <c r="E169" s="96">
        <f ca="1"/>
        <v>57300</v>
      </c>
      <c r="F169" s="134">
        <f ca="1"/>
        <v>0.58617117866255186</v>
      </c>
      <c r="H169" s="96">
        <f ca="1"/>
        <v>57300</v>
      </c>
      <c r="I169" s="134">
        <f ca="1"/>
        <v>0.58614937108048126</v>
      </c>
      <c r="K169" s="138">
        <f ca="1">H169</f>
        <v>57300</v>
      </c>
      <c r="L169" s="136">
        <f ca="1">C169</f>
        <v>-2.1807582070598741E-5</v>
      </c>
      <c r="M169" s="107">
        <f ca="1">I169-F169</f>
        <v>-2.1807582070598741E-5</v>
      </c>
      <c r="N169" s="90">
        <f t="shared" ca="1" si="8"/>
        <v>0</v>
      </c>
      <c r="P169" s="138">
        <f ca="1">E169</f>
        <v>57300</v>
      </c>
      <c r="Q169" s="114">
        <f t="shared" ca="1" si="9"/>
        <v>0.58614937108048126</v>
      </c>
      <c r="R169" s="111">
        <f t="shared" ca="1" si="10"/>
        <v>0.58614937108048126</v>
      </c>
      <c r="S169" s="90">
        <f t="shared" ca="1" si="11"/>
        <v>0</v>
      </c>
    </row>
    <row r="170" spans="2:19" x14ac:dyDescent="0.25">
      <c r="B170" s="101">
        <f ca="1"/>
        <v>57392</v>
      </c>
      <c r="C170" s="102">
        <f ca="1"/>
        <v>-2.1875432424378616E-5</v>
      </c>
      <c r="E170" s="96">
        <f ca="1"/>
        <v>57392</v>
      </c>
      <c r="F170" s="134">
        <f ca="1"/>
        <v>0.58407040915281883</v>
      </c>
      <c r="H170" s="96">
        <f ca="1"/>
        <v>57392</v>
      </c>
      <c r="I170" s="134">
        <f ca="1"/>
        <v>0.58404853372039445</v>
      </c>
      <c r="K170" s="138">
        <f ca="1">H170</f>
        <v>57392</v>
      </c>
      <c r="L170" s="136">
        <f ca="1">C170</f>
        <v>-2.1875432424378616E-5</v>
      </c>
      <c r="M170" s="107">
        <f ca="1">I170-F170</f>
        <v>-2.1875432424378616E-5</v>
      </c>
      <c r="N170" s="90">
        <f t="shared" ca="1" si="8"/>
        <v>0</v>
      </c>
      <c r="P170" s="138">
        <f ca="1">E170</f>
        <v>57392</v>
      </c>
      <c r="Q170" s="114">
        <f t="shared" ca="1" si="9"/>
        <v>0.58404853372039445</v>
      </c>
      <c r="R170" s="111">
        <f t="shared" ca="1" si="10"/>
        <v>0.58404853372039445</v>
      </c>
      <c r="S170" s="90">
        <f t="shared" ca="1" si="11"/>
        <v>0</v>
      </c>
    </row>
    <row r="171" spans="2:19" x14ac:dyDescent="0.25">
      <c r="B171" s="101">
        <f ca="1"/>
        <v>57481</v>
      </c>
      <c r="C171" s="102">
        <f ca="1"/>
        <v>-2.1940340892645516E-5</v>
      </c>
      <c r="E171" s="96">
        <f ca="1"/>
        <v>57481</v>
      </c>
      <c r="F171" s="134">
        <f ca="1"/>
        <v>0.58204532153082611</v>
      </c>
      <c r="H171" s="96">
        <f ca="1"/>
        <v>57481</v>
      </c>
      <c r="I171" s="134">
        <f ca="1"/>
        <v>0.58202338118993346</v>
      </c>
      <c r="K171" s="138">
        <f ca="1">H171</f>
        <v>57481</v>
      </c>
      <c r="L171" s="136">
        <f ca="1">C171</f>
        <v>-2.1940340892645516E-5</v>
      </c>
      <c r="M171" s="107">
        <f ca="1">I171-F171</f>
        <v>-2.1940340892645516E-5</v>
      </c>
      <c r="N171" s="90">
        <f t="shared" ca="1" si="8"/>
        <v>0</v>
      </c>
      <c r="P171" s="138">
        <f ca="1">E171</f>
        <v>57481</v>
      </c>
      <c r="Q171" s="114">
        <f t="shared" ca="1" si="9"/>
        <v>0.58202338118993346</v>
      </c>
      <c r="R171" s="111">
        <f t="shared" ca="1" si="10"/>
        <v>0.58202338118993346</v>
      </c>
      <c r="S171" s="90">
        <f t="shared" ca="1" si="11"/>
        <v>0</v>
      </c>
    </row>
    <row r="172" spans="2:19" x14ac:dyDescent="0.25">
      <c r="B172" s="101">
        <f ca="1"/>
        <v>57573</v>
      </c>
      <c r="C172" s="102">
        <f ca="1"/>
        <v>-2.2006687870113062E-5</v>
      </c>
      <c r="E172" s="96">
        <f ca="1"/>
        <v>57573</v>
      </c>
      <c r="F172" s="134">
        <f ca="1"/>
        <v>0.57995936380357604</v>
      </c>
      <c r="H172" s="96">
        <f ca="1"/>
        <v>57573</v>
      </c>
      <c r="I172" s="134">
        <f ca="1"/>
        <v>0.57993735711570593</v>
      </c>
      <c r="K172" s="138">
        <f ca="1">H172</f>
        <v>57573</v>
      </c>
      <c r="L172" s="136">
        <f ca="1">C172</f>
        <v>-2.2006687870113062E-5</v>
      </c>
      <c r="M172" s="107">
        <f ca="1">I172-F172</f>
        <v>-2.2006687870113062E-5</v>
      </c>
      <c r="N172" s="90">
        <f t="shared" ca="1" si="8"/>
        <v>0</v>
      </c>
      <c r="P172" s="138">
        <f ca="1">E172</f>
        <v>57573</v>
      </c>
      <c r="Q172" s="114">
        <f t="shared" ca="1" si="9"/>
        <v>0.57993735711570593</v>
      </c>
      <c r="R172" s="111">
        <f t="shared" ca="1" si="10"/>
        <v>0.57993735711570593</v>
      </c>
      <c r="S172" s="90">
        <f t="shared" ca="1" si="11"/>
        <v>0</v>
      </c>
    </row>
    <row r="173" spans="2:19" x14ac:dyDescent="0.25">
      <c r="B173" s="101">
        <f ca="1"/>
        <v>57665</v>
      </c>
      <c r="C173" s="102">
        <f ca="1"/>
        <v>-2.207227759909447E-5</v>
      </c>
      <c r="E173" s="96">
        <f ca="1"/>
        <v>57665</v>
      </c>
      <c r="F173" s="134">
        <f ca="1"/>
        <v>0.57788089027880263</v>
      </c>
      <c r="H173" s="96">
        <f ca="1"/>
        <v>57665</v>
      </c>
      <c r="I173" s="134">
        <f ca="1"/>
        <v>0.57785881800120353</v>
      </c>
      <c r="K173" s="138">
        <f ca="1">H173</f>
        <v>57665</v>
      </c>
      <c r="L173" s="136">
        <f ca="1">C173</f>
        <v>-2.207227759909447E-5</v>
      </c>
      <c r="M173" s="107">
        <f ca="1">I173-F173</f>
        <v>-2.207227759909447E-5</v>
      </c>
      <c r="N173" s="90">
        <f t="shared" ca="1" si="8"/>
        <v>0</v>
      </c>
      <c r="P173" s="138">
        <f ca="1">E173</f>
        <v>57665</v>
      </c>
      <c r="Q173" s="114">
        <f t="shared" ca="1" si="9"/>
        <v>0.57785881800120353</v>
      </c>
      <c r="R173" s="111">
        <f t="shared" ca="1" si="10"/>
        <v>0.57785881800120353</v>
      </c>
      <c r="S173" s="90">
        <f t="shared" ca="1" si="11"/>
        <v>0</v>
      </c>
    </row>
    <row r="174" spans="2:19" x14ac:dyDescent="0.25">
      <c r="B174" s="101">
        <f ca="1"/>
        <v>57760</v>
      </c>
      <c r="C174" s="102">
        <f ca="1"/>
        <v>-2.2139216325101074E-5</v>
      </c>
      <c r="E174" s="96">
        <f ca="1"/>
        <v>57760</v>
      </c>
      <c r="F174" s="134">
        <f ca="1"/>
        <v>0.57574246312186228</v>
      </c>
      <c r="H174" s="96">
        <f ca="1"/>
        <v>57760</v>
      </c>
      <c r="I174" s="134">
        <f ca="1"/>
        <v>0.57572032390553718</v>
      </c>
      <c r="K174" s="138">
        <f ca="1">H174</f>
        <v>57760</v>
      </c>
      <c r="L174" s="136">
        <f ca="1">C174</f>
        <v>-2.2139216325101074E-5</v>
      </c>
      <c r="M174" s="107">
        <f ca="1">I174-F174</f>
        <v>-2.2139216325101074E-5</v>
      </c>
      <c r="N174" s="90">
        <f t="shared" ca="1" si="8"/>
        <v>0</v>
      </c>
      <c r="P174" s="138">
        <f ca="1">E174</f>
        <v>57760</v>
      </c>
      <c r="Q174" s="114">
        <f t="shared" ca="1" si="9"/>
        <v>0.57572032390553718</v>
      </c>
      <c r="R174" s="111">
        <f t="shared" ca="1" si="10"/>
        <v>0.57572032390553718</v>
      </c>
      <c r="S174" s="90">
        <f t="shared" ca="1" si="11"/>
        <v>0</v>
      </c>
    </row>
    <row r="175" spans="2:19" x14ac:dyDescent="0.25">
      <c r="B175" s="101">
        <f ca="1"/>
        <v>57846</v>
      </c>
      <c r="C175" s="102">
        <f ca="1"/>
        <v>-2.2199125620847582E-5</v>
      </c>
      <c r="E175" s="96">
        <f ca="1"/>
        <v>57846</v>
      </c>
      <c r="F175" s="134">
        <f ca="1"/>
        <v>0.57381345121660254</v>
      </c>
      <c r="H175" s="96">
        <f ca="1"/>
        <v>57846</v>
      </c>
      <c r="I175" s="134">
        <f ca="1"/>
        <v>0.5737912520909817</v>
      </c>
      <c r="K175" s="138">
        <f ca="1">H175</f>
        <v>57846</v>
      </c>
      <c r="L175" s="136">
        <f ca="1">C175</f>
        <v>-2.2199125620847582E-5</v>
      </c>
      <c r="M175" s="107">
        <f ca="1">I175-F175</f>
        <v>-2.2199125620847582E-5</v>
      </c>
      <c r="N175" s="90">
        <f t="shared" ca="1" si="8"/>
        <v>0</v>
      </c>
      <c r="P175" s="138">
        <f ca="1">E175</f>
        <v>57846</v>
      </c>
      <c r="Q175" s="114">
        <f t="shared" ca="1" si="9"/>
        <v>0.5737912520909817</v>
      </c>
      <c r="R175" s="111">
        <f t="shared" ca="1" si="10"/>
        <v>0.5737912520909817</v>
      </c>
      <c r="S175" s="90">
        <f t="shared" ca="1" si="11"/>
        <v>0</v>
      </c>
    </row>
    <row r="176" spans="2:19" x14ac:dyDescent="0.25">
      <c r="B176" s="101">
        <f ca="1"/>
        <v>57938</v>
      </c>
      <c r="C176" s="102">
        <f ca="1"/>
        <v>-2.2262495332436849E-5</v>
      </c>
      <c r="E176" s="96">
        <f ca="1"/>
        <v>57938</v>
      </c>
      <c r="F176" s="134">
        <f ca="1"/>
        <v>0.57175701155314451</v>
      </c>
      <c r="H176" s="96">
        <f ca="1"/>
        <v>57938</v>
      </c>
      <c r="I176" s="134">
        <f ca="1"/>
        <v>0.57173474905781208</v>
      </c>
      <c r="K176" s="138">
        <f ca="1">H176</f>
        <v>57938</v>
      </c>
      <c r="L176" s="136">
        <f ca="1">C176</f>
        <v>-2.2262495332436849E-5</v>
      </c>
      <c r="M176" s="107">
        <f ca="1">I176-F176</f>
        <v>-2.2262495332436849E-5</v>
      </c>
      <c r="N176" s="90">
        <f t="shared" ca="1" si="8"/>
        <v>0</v>
      </c>
      <c r="P176" s="138">
        <f ca="1">E176</f>
        <v>57938</v>
      </c>
      <c r="Q176" s="114">
        <f t="shared" ca="1" si="9"/>
        <v>0.57173474905781208</v>
      </c>
      <c r="R176" s="111">
        <f t="shared" ca="1" si="10"/>
        <v>0.57173474905781208</v>
      </c>
      <c r="S176" s="90">
        <f t="shared" ca="1" si="11"/>
        <v>0</v>
      </c>
    </row>
    <row r="177" spans="2:19" x14ac:dyDescent="0.25">
      <c r="B177" s="101">
        <f ca="1"/>
        <v>58032</v>
      </c>
      <c r="C177" s="102">
        <f ca="1"/>
        <v>-2.2326479283130141E-5</v>
      </c>
      <c r="E177" s="96">
        <f ca="1"/>
        <v>58032</v>
      </c>
      <c r="F177" s="134">
        <f ca="1"/>
        <v>0.56966347533486106</v>
      </c>
      <c r="H177" s="96">
        <f ca="1"/>
        <v>58032</v>
      </c>
      <c r="I177" s="134">
        <f ca="1"/>
        <v>0.56964114885557793</v>
      </c>
      <c r="K177" s="138">
        <f ca="1">H177</f>
        <v>58032</v>
      </c>
      <c r="L177" s="136">
        <f ca="1">C177</f>
        <v>-2.2326479283130141E-5</v>
      </c>
      <c r="M177" s="107">
        <f ca="1">I177-F177</f>
        <v>-2.2326479283130141E-5</v>
      </c>
      <c r="N177" s="90">
        <f t="shared" ca="1" si="8"/>
        <v>0</v>
      </c>
      <c r="P177" s="138">
        <f ca="1">E177</f>
        <v>58032</v>
      </c>
      <c r="Q177" s="114">
        <f t="shared" ca="1" si="9"/>
        <v>0.56964114885557793</v>
      </c>
      <c r="R177" s="111">
        <f t="shared" ca="1" si="10"/>
        <v>0.56964114885557793</v>
      </c>
      <c r="S177" s="90">
        <f t="shared" ca="1" si="11"/>
        <v>0</v>
      </c>
    </row>
    <row r="178" spans="2:19" x14ac:dyDescent="0.25">
      <c r="B178" s="101">
        <f ca="1"/>
        <v>58124</v>
      </c>
      <c r="C178" s="102">
        <f ca="1"/>
        <v>-2.2388359332325969E-5</v>
      </c>
      <c r="E178" s="96">
        <f ca="1"/>
        <v>58124</v>
      </c>
      <c r="F178" s="134">
        <f ca="1"/>
        <v>0.56762189945269637</v>
      </c>
      <c r="H178" s="96">
        <f ca="1"/>
        <v>58124</v>
      </c>
      <c r="I178" s="134">
        <f ca="1"/>
        <v>0.56759951109336404</v>
      </c>
      <c r="K178" s="138">
        <f ca="1">H178</f>
        <v>58124</v>
      </c>
      <c r="L178" s="136">
        <f ca="1">C178</f>
        <v>-2.2388359332325969E-5</v>
      </c>
      <c r="M178" s="107">
        <f ca="1">I178-F178</f>
        <v>-2.2388359332325969E-5</v>
      </c>
      <c r="N178" s="90">
        <f t="shared" ca="1" si="8"/>
        <v>0</v>
      </c>
      <c r="P178" s="138">
        <f ca="1">E178</f>
        <v>58124</v>
      </c>
      <c r="Q178" s="114">
        <f t="shared" ca="1" si="9"/>
        <v>0.56759951109336404</v>
      </c>
      <c r="R178" s="111">
        <f t="shared" ca="1" si="10"/>
        <v>0.56759951109336404</v>
      </c>
      <c r="S178" s="90">
        <f t="shared" ca="1" si="11"/>
        <v>0</v>
      </c>
    </row>
    <row r="179" spans="2:19" x14ac:dyDescent="0.25">
      <c r="B179" s="101">
        <f ca="1"/>
        <v>58211</v>
      </c>
      <c r="C179" s="102">
        <f ca="1"/>
        <v>-2.244620464542102E-5</v>
      </c>
      <c r="E179" s="96">
        <f ca="1"/>
        <v>58211</v>
      </c>
      <c r="F179" s="134">
        <f ca="1"/>
        <v>0.56569800225912437</v>
      </c>
      <c r="H179" s="96">
        <f ca="1"/>
        <v>58211</v>
      </c>
      <c r="I179" s="134">
        <f ca="1"/>
        <v>0.56567555605447895</v>
      </c>
      <c r="K179" s="138">
        <f ca="1">H179</f>
        <v>58211</v>
      </c>
      <c r="L179" s="136">
        <f ca="1">C179</f>
        <v>-2.244620464542102E-5</v>
      </c>
      <c r="M179" s="107">
        <f ca="1">I179-F179</f>
        <v>-2.244620464542102E-5</v>
      </c>
      <c r="N179" s="90">
        <f t="shared" ca="1" si="8"/>
        <v>0</v>
      </c>
      <c r="P179" s="138">
        <f ca="1">E179</f>
        <v>58211</v>
      </c>
      <c r="Q179" s="114">
        <f t="shared" ca="1" si="9"/>
        <v>0.56567555605447895</v>
      </c>
      <c r="R179" s="111">
        <f t="shared" ca="1" si="10"/>
        <v>0.56567555605447895</v>
      </c>
      <c r="S179" s="90">
        <f t="shared" ca="1" si="11"/>
        <v>0</v>
      </c>
    </row>
    <row r="180" spans="2:19" x14ac:dyDescent="0.25">
      <c r="B180" s="101">
        <f ca="1"/>
        <v>58305</v>
      </c>
      <c r="C180" s="102">
        <f ca="1"/>
        <v>-2.2507974753449567E-5</v>
      </c>
      <c r="E180" s="96">
        <f ca="1"/>
        <v>58305</v>
      </c>
      <c r="F180" s="134">
        <f ca="1"/>
        <v>0.56362662556543708</v>
      </c>
      <c r="H180" s="96">
        <f ca="1"/>
        <v>58305</v>
      </c>
      <c r="I180" s="134">
        <f ca="1"/>
        <v>0.56360411759068363</v>
      </c>
      <c r="K180" s="138">
        <f ca="1">H180</f>
        <v>58305</v>
      </c>
      <c r="L180" s="136">
        <f ca="1">C180</f>
        <v>-2.2507974753449567E-5</v>
      </c>
      <c r="M180" s="107">
        <f ca="1">I180-F180</f>
        <v>-2.2507974753449567E-5</v>
      </c>
      <c r="N180" s="90">
        <f t="shared" ca="1" si="8"/>
        <v>0</v>
      </c>
      <c r="P180" s="138">
        <f ca="1">E180</f>
        <v>58305</v>
      </c>
      <c r="Q180" s="114">
        <f t="shared" ca="1" si="9"/>
        <v>0.56360411759068363</v>
      </c>
      <c r="R180" s="111">
        <f t="shared" ca="1" si="10"/>
        <v>0.56360411759068363</v>
      </c>
      <c r="S180" s="90">
        <f t="shared" ca="1" si="11"/>
        <v>0</v>
      </c>
    </row>
    <row r="181" spans="2:19" x14ac:dyDescent="0.25">
      <c r="B181" s="101">
        <f ca="1"/>
        <v>58396</v>
      </c>
      <c r="C181" s="102">
        <f ca="1"/>
        <v>-2.2567056046196576E-5</v>
      </c>
      <c r="E181" s="96">
        <f ca="1"/>
        <v>58396</v>
      </c>
      <c r="F181" s="134">
        <f ca="1"/>
        <v>0.56162856884320778</v>
      </c>
      <c r="H181" s="96">
        <f ca="1"/>
        <v>58396</v>
      </c>
      <c r="I181" s="134">
        <f ca="1"/>
        <v>0.56160600178716158</v>
      </c>
      <c r="K181" s="138">
        <f ca="1">H181</f>
        <v>58396</v>
      </c>
      <c r="L181" s="136">
        <f ca="1">C181</f>
        <v>-2.2567056046196576E-5</v>
      </c>
      <c r="M181" s="107">
        <f ca="1">I181-F181</f>
        <v>-2.2567056046196576E-5</v>
      </c>
      <c r="N181" s="90">
        <f t="shared" ca="1" si="8"/>
        <v>0</v>
      </c>
      <c r="P181" s="138">
        <f ca="1">E181</f>
        <v>58396</v>
      </c>
      <c r="Q181" s="114">
        <f t="shared" ca="1" si="9"/>
        <v>0.56160600178716158</v>
      </c>
      <c r="R181" s="111">
        <f t="shared" ca="1" si="10"/>
        <v>0.56160600178716158</v>
      </c>
      <c r="S181" s="90">
        <f t="shared" ca="1" si="11"/>
        <v>0</v>
      </c>
    </row>
    <row r="182" spans="2:19" x14ac:dyDescent="0.25">
      <c r="B182" s="101">
        <f ca="1"/>
        <v>58488</v>
      </c>
      <c r="C182" s="102">
        <f ca="1"/>
        <v>-2.2626073462150842E-5</v>
      </c>
      <c r="E182" s="96">
        <f ca="1"/>
        <v>58488</v>
      </c>
      <c r="F182" s="134">
        <f ca="1"/>
        <v>0.55961574257739088</v>
      </c>
      <c r="H182" s="96">
        <f ca="1"/>
        <v>58488</v>
      </c>
      <c r="I182" s="134">
        <f ca="1"/>
        <v>0.55959311650392873</v>
      </c>
      <c r="K182" s="138">
        <f ca="1">H182</f>
        <v>58488</v>
      </c>
      <c r="L182" s="136">
        <f ca="1">C182</f>
        <v>-2.2626073462150842E-5</v>
      </c>
      <c r="M182" s="107">
        <f ca="1">I182-F182</f>
        <v>-2.2626073462150842E-5</v>
      </c>
      <c r="N182" s="90">
        <f t="shared" ca="1" si="8"/>
        <v>0</v>
      </c>
      <c r="P182" s="138">
        <f ca="1">E182</f>
        <v>58488</v>
      </c>
      <c r="Q182" s="114">
        <f t="shared" ca="1" si="9"/>
        <v>0.55959311650392873</v>
      </c>
      <c r="R182" s="111">
        <f t="shared" ca="1" si="10"/>
        <v>0.55959311650392873</v>
      </c>
      <c r="S182" s="90">
        <f t="shared" ca="1" si="11"/>
        <v>0</v>
      </c>
    </row>
    <row r="183" spans="2:19" x14ac:dyDescent="0.25">
      <c r="B183" s="101">
        <f ca="1"/>
        <v>58578</v>
      </c>
      <c r="C183" s="102">
        <f ca="1"/>
        <v>-2.2683118225508281E-5</v>
      </c>
      <c r="E183" s="96">
        <f ca="1"/>
        <v>58578</v>
      </c>
      <c r="F183" s="134">
        <f ca="1"/>
        <v>0.55765364218960356</v>
      </c>
      <c r="H183" s="96">
        <f ca="1"/>
        <v>58578</v>
      </c>
      <c r="I183" s="134">
        <f ca="1"/>
        <v>0.55763095907137805</v>
      </c>
      <c r="K183" s="138">
        <f ca="1">H183</f>
        <v>58578</v>
      </c>
      <c r="L183" s="136">
        <f ca="1">C183</f>
        <v>-2.2683118225508281E-5</v>
      </c>
      <c r="M183" s="107">
        <f ca="1">I183-F183</f>
        <v>-2.2683118225508281E-5</v>
      </c>
      <c r="N183" s="90">
        <f t="shared" ca="1" si="8"/>
        <v>0</v>
      </c>
      <c r="P183" s="138">
        <f ca="1">E183</f>
        <v>58578</v>
      </c>
      <c r="Q183" s="114">
        <f t="shared" ca="1" si="9"/>
        <v>0.55763095907137805</v>
      </c>
      <c r="R183" s="111">
        <f t="shared" ca="1" si="10"/>
        <v>0.55763095907137805</v>
      </c>
      <c r="S183" s="90">
        <f t="shared" ca="1" si="11"/>
        <v>0</v>
      </c>
    </row>
    <row r="184" spans="2:19" x14ac:dyDescent="0.25">
      <c r="B184" s="101">
        <f ca="1"/>
        <v>58669</v>
      </c>
      <c r="C184" s="102">
        <f ca="1"/>
        <v>-2.2740107464724879E-5</v>
      </c>
      <c r="E184" s="96">
        <f ca="1"/>
        <v>58669</v>
      </c>
      <c r="F184" s="134">
        <f ca="1"/>
        <v>0.55567672454076067</v>
      </c>
      <c r="H184" s="96">
        <f ca="1"/>
        <v>58669</v>
      </c>
      <c r="I184" s="134">
        <f ca="1"/>
        <v>0.55565398443329594</v>
      </c>
      <c r="K184" s="138">
        <f ca="1">H184</f>
        <v>58669</v>
      </c>
      <c r="L184" s="136">
        <f ca="1">C184</f>
        <v>-2.2740107464724879E-5</v>
      </c>
      <c r="M184" s="107">
        <f ca="1">I184-F184</f>
        <v>-2.2740107464724879E-5</v>
      </c>
      <c r="N184" s="90">
        <f t="shared" ca="1" si="8"/>
        <v>0</v>
      </c>
      <c r="P184" s="138">
        <f ca="1">E184</f>
        <v>58669</v>
      </c>
      <c r="Q184" s="114">
        <f t="shared" ca="1" si="9"/>
        <v>0.55565398443329594</v>
      </c>
      <c r="R184" s="111">
        <f t="shared" ca="1" si="10"/>
        <v>0.55565398443329594</v>
      </c>
      <c r="S184" s="90">
        <f t="shared" ca="1" si="11"/>
        <v>0</v>
      </c>
    </row>
    <row r="185" spans="2:19" x14ac:dyDescent="0.25">
      <c r="B185" s="101">
        <f ca="1"/>
        <v>58761</v>
      </c>
      <c r="C185" s="102">
        <f ca="1"/>
        <v>-2.2797022540377299E-5</v>
      </c>
      <c r="E185" s="96">
        <f ca="1"/>
        <v>58761</v>
      </c>
      <c r="F185" s="134">
        <f ca="1"/>
        <v>0.5536851971332607</v>
      </c>
      <c r="H185" s="96">
        <f ca="1"/>
        <v>58761</v>
      </c>
      <c r="I185" s="134">
        <f ca="1"/>
        <v>0.55366240011072032</v>
      </c>
      <c r="K185" s="138">
        <f ca="1">H185</f>
        <v>58761</v>
      </c>
      <c r="L185" s="136">
        <f ca="1">C185</f>
        <v>-2.2797022540377299E-5</v>
      </c>
      <c r="M185" s="107">
        <f ca="1">I185-F185</f>
        <v>-2.2797022540377299E-5</v>
      </c>
      <c r="N185" s="90">
        <f t="shared" ca="1" si="8"/>
        <v>0</v>
      </c>
      <c r="P185" s="138">
        <f ca="1">E185</f>
        <v>58761</v>
      </c>
      <c r="Q185" s="114">
        <f t="shared" ca="1" si="9"/>
        <v>0.55366240011072032</v>
      </c>
      <c r="R185" s="111">
        <f t="shared" ca="1" si="10"/>
        <v>0.55366240011072032</v>
      </c>
      <c r="S185" s="90">
        <f t="shared" ca="1" si="11"/>
        <v>0</v>
      </c>
    </row>
    <row r="186" spans="2:19" x14ac:dyDescent="0.25">
      <c r="B186" s="101">
        <f ca="1"/>
        <v>58853</v>
      </c>
      <c r="C186" s="102">
        <f ca="1"/>
        <v>-2.2853237611974997E-5</v>
      </c>
      <c r="E186" s="96">
        <f ca="1"/>
        <v>58853</v>
      </c>
      <c r="F186" s="134">
        <f ca="1"/>
        <v>0.55170079906404479</v>
      </c>
      <c r="H186" s="96">
        <f ca="1"/>
        <v>58853</v>
      </c>
      <c r="I186" s="134">
        <f ca="1"/>
        <v>0.55167794582643281</v>
      </c>
      <c r="K186" s="138">
        <f ca="1">H186</f>
        <v>58853</v>
      </c>
      <c r="L186" s="136">
        <f ca="1">C186</f>
        <v>-2.2853237611974997E-5</v>
      </c>
      <c r="M186" s="107">
        <f ca="1">I186-F186</f>
        <v>-2.2853237611974997E-5</v>
      </c>
      <c r="N186" s="90">
        <f t="shared" ca="1" si="8"/>
        <v>0</v>
      </c>
      <c r="P186" s="138">
        <f ca="1">E186</f>
        <v>58853</v>
      </c>
      <c r="Q186" s="114">
        <f t="shared" ca="1" si="9"/>
        <v>0.55167794582643281</v>
      </c>
      <c r="R186" s="111">
        <f t="shared" ca="1" si="10"/>
        <v>0.55167794582643281</v>
      </c>
      <c r="S186" s="90">
        <f t="shared" ca="1" si="11"/>
        <v>0</v>
      </c>
    </row>
    <row r="187" spans="2:19" x14ac:dyDescent="0.25">
      <c r="B187" s="101">
        <f ca="1"/>
        <v>58942</v>
      </c>
      <c r="C187" s="102">
        <f ca="1"/>
        <v>-2.2906957433566077E-5</v>
      </c>
      <c r="E187" s="96">
        <f ca="1"/>
        <v>58942</v>
      </c>
      <c r="F187" s="134">
        <f ca="1"/>
        <v>0.54978787137661933</v>
      </c>
      <c r="H187" s="96">
        <f ca="1"/>
        <v>58942</v>
      </c>
      <c r="I187" s="134">
        <f ca="1"/>
        <v>0.54976496441918576</v>
      </c>
      <c r="K187" s="138">
        <f ca="1">H187</f>
        <v>58942</v>
      </c>
      <c r="L187" s="136">
        <f ca="1">C187</f>
        <v>-2.2906957433566077E-5</v>
      </c>
      <c r="M187" s="107">
        <f ca="1">I187-F187</f>
        <v>-2.2906957433566077E-5</v>
      </c>
      <c r="N187" s="90">
        <f t="shared" ca="1" si="8"/>
        <v>0</v>
      </c>
      <c r="P187" s="138">
        <f ca="1">E187</f>
        <v>58942</v>
      </c>
      <c r="Q187" s="114">
        <f t="shared" ca="1" si="9"/>
        <v>0.54976496441918576</v>
      </c>
      <c r="R187" s="111">
        <f t="shared" ca="1" si="10"/>
        <v>0.54976496441918576</v>
      </c>
      <c r="S187" s="90">
        <f t="shared" ca="1" si="11"/>
        <v>0</v>
      </c>
    </row>
    <row r="188" spans="2:19" x14ac:dyDescent="0.25">
      <c r="B188" s="101">
        <f ca="1"/>
        <v>59034</v>
      </c>
      <c r="C188" s="102">
        <f ca="1"/>
        <v>-2.2961807666366241E-5</v>
      </c>
      <c r="E188" s="96">
        <f ca="1"/>
        <v>59034</v>
      </c>
      <c r="F188" s="134">
        <f ca="1"/>
        <v>0.54781742938481592</v>
      </c>
      <c r="H188" s="96">
        <f ca="1"/>
        <v>59034</v>
      </c>
      <c r="I188" s="134">
        <f ca="1"/>
        <v>0.54779446757714956</v>
      </c>
      <c r="K188" s="138">
        <f ca="1">H188</f>
        <v>59034</v>
      </c>
      <c r="L188" s="136">
        <f ca="1">C188</f>
        <v>-2.2961807666366241E-5</v>
      </c>
      <c r="M188" s="107">
        <f ca="1">I188-F188</f>
        <v>-2.2961807666366241E-5</v>
      </c>
      <c r="N188" s="90">
        <f t="shared" ca="1" si="8"/>
        <v>0</v>
      </c>
      <c r="P188" s="138">
        <f ca="1">E188</f>
        <v>59034</v>
      </c>
      <c r="Q188" s="114">
        <f t="shared" ca="1" si="9"/>
        <v>0.54779446757714956</v>
      </c>
      <c r="R188" s="111">
        <f t="shared" ca="1" si="10"/>
        <v>0.54779446757714956</v>
      </c>
      <c r="S188" s="90">
        <f t="shared" ca="1" si="11"/>
        <v>0</v>
      </c>
    </row>
    <row r="189" spans="2:19" x14ac:dyDescent="0.25">
      <c r="B189" s="101">
        <f ca="1"/>
        <v>59126</v>
      </c>
      <c r="C189" s="102">
        <f ca="1"/>
        <v>-2.3015970398665431E-5</v>
      </c>
      <c r="E189" s="96">
        <f ca="1"/>
        <v>59126</v>
      </c>
      <c r="F189" s="134">
        <f ca="1"/>
        <v>0.54585404576541463</v>
      </c>
      <c r="H189" s="96">
        <f ca="1"/>
        <v>59126</v>
      </c>
      <c r="I189" s="134">
        <f ca="1"/>
        <v>0.54583102979501597</v>
      </c>
      <c r="K189" s="138">
        <f ca="1">H189</f>
        <v>59126</v>
      </c>
      <c r="L189" s="136">
        <f ca="1">C189</f>
        <v>-2.3015970398665431E-5</v>
      </c>
      <c r="M189" s="107">
        <f ca="1">I189-F189</f>
        <v>-2.3015970398665431E-5</v>
      </c>
      <c r="N189" s="90">
        <f t="shared" ca="1" si="8"/>
        <v>0</v>
      </c>
      <c r="P189" s="138">
        <f ca="1">E189</f>
        <v>59126</v>
      </c>
      <c r="Q189" s="114">
        <f t="shared" ca="1" si="9"/>
        <v>0.54583102979501597</v>
      </c>
      <c r="R189" s="111">
        <f t="shared" ca="1" si="10"/>
        <v>0.54583102979501597</v>
      </c>
      <c r="S189" s="90">
        <f t="shared" ca="1" si="11"/>
        <v>0</v>
      </c>
    </row>
    <row r="190" spans="2:19" x14ac:dyDescent="0.25">
      <c r="B190" s="101">
        <f ca="1"/>
        <v>59218</v>
      </c>
      <c r="C190" s="102">
        <f ca="1"/>
        <v>-2.3069449800350306E-5</v>
      </c>
      <c r="E190" s="96">
        <f ca="1"/>
        <v>59218</v>
      </c>
      <c r="F190" s="134">
        <f ca="1"/>
        <v>0.54389769692081358</v>
      </c>
      <c r="H190" s="96">
        <f ca="1"/>
        <v>59218</v>
      </c>
      <c r="I190" s="134">
        <f ca="1"/>
        <v>0.54387462747101323</v>
      </c>
      <c r="K190" s="138">
        <f ca="1">H190</f>
        <v>59218</v>
      </c>
      <c r="L190" s="136">
        <f ca="1">C190</f>
        <v>-2.3069449800350306E-5</v>
      </c>
      <c r="M190" s="107">
        <f ca="1">I190-F190</f>
        <v>-2.3069449800350306E-5</v>
      </c>
      <c r="N190" s="90">
        <f t="shared" ca="1" si="8"/>
        <v>0</v>
      </c>
      <c r="P190" s="138">
        <f ca="1">E190</f>
        <v>59218</v>
      </c>
      <c r="Q190" s="114">
        <f t="shared" ca="1" si="9"/>
        <v>0.54387462747101323</v>
      </c>
      <c r="R190" s="111">
        <f t="shared" ca="1" si="10"/>
        <v>0.54387462747101323</v>
      </c>
      <c r="S190" s="90">
        <f t="shared" ca="1" si="11"/>
        <v>0</v>
      </c>
    </row>
    <row r="191" spans="2:19" x14ac:dyDescent="0.25">
      <c r="B191" s="101">
        <f ca="1"/>
        <v>59307</v>
      </c>
      <c r="C191" s="102">
        <f ca="1"/>
        <v>-2.3120538942600355E-5</v>
      </c>
      <c r="E191" s="96">
        <f ca="1"/>
        <v>59307</v>
      </c>
      <c r="F191" s="134">
        <f ca="1"/>
        <v>0.54201181441791368</v>
      </c>
      <c r="H191" s="96">
        <f ca="1"/>
        <v>59307</v>
      </c>
      <c r="I191" s="134">
        <f ca="1"/>
        <v>0.54198869387897108</v>
      </c>
      <c r="K191" s="138">
        <f ca="1">H191</f>
        <v>59307</v>
      </c>
      <c r="L191" s="136">
        <f ca="1">C191</f>
        <v>-2.3120538942600355E-5</v>
      </c>
      <c r="M191" s="107">
        <f ca="1">I191-F191</f>
        <v>-2.3120538942600355E-5</v>
      </c>
      <c r="N191" s="90">
        <f t="shared" ca="1" si="8"/>
        <v>0</v>
      </c>
      <c r="P191" s="138">
        <f ca="1">E191</f>
        <v>59307</v>
      </c>
      <c r="Q191" s="114">
        <f t="shared" ca="1" si="9"/>
        <v>0.54198869387897108</v>
      </c>
      <c r="R191" s="111">
        <f t="shared" ca="1" si="10"/>
        <v>0.54198869387897108</v>
      </c>
      <c r="S191" s="90">
        <f t="shared" ca="1" si="11"/>
        <v>0</v>
      </c>
    </row>
    <row r="192" spans="2:19" x14ac:dyDescent="0.25">
      <c r="B192" s="101">
        <f ca="1"/>
        <v>59399</v>
      </c>
      <c r="C192" s="102">
        <f ca="1"/>
        <v>-2.3172686052896907E-5</v>
      </c>
      <c r="E192" s="96">
        <f ca="1"/>
        <v>59399</v>
      </c>
      <c r="F192" s="134">
        <f ca="1"/>
        <v>0.54006923745170243</v>
      </c>
      <c r="H192" s="96">
        <f ca="1"/>
        <v>59399</v>
      </c>
      <c r="I192" s="134">
        <f ca="1"/>
        <v>0.54004606476564954</v>
      </c>
      <c r="K192" s="138">
        <f ca="1">H192</f>
        <v>59399</v>
      </c>
      <c r="L192" s="136">
        <f ca="1">C192</f>
        <v>-2.3172686052896907E-5</v>
      </c>
      <c r="M192" s="107">
        <f ca="1">I192-F192</f>
        <v>-2.3172686052896907E-5</v>
      </c>
      <c r="N192" s="90">
        <f t="shared" ca="1" si="8"/>
        <v>0</v>
      </c>
      <c r="P192" s="138">
        <f ca="1">E192</f>
        <v>59399</v>
      </c>
      <c r="Q192" s="114">
        <f t="shared" ca="1" si="9"/>
        <v>0.54004606476564954</v>
      </c>
      <c r="R192" s="111">
        <f t="shared" ca="1" si="10"/>
        <v>0.54004606476564954</v>
      </c>
      <c r="S192" s="90">
        <f t="shared" ca="1" si="11"/>
        <v>0</v>
      </c>
    </row>
    <row r="193" spans="2:19" x14ac:dyDescent="0.25">
      <c r="B193" s="101">
        <f ca="1"/>
        <v>59491</v>
      </c>
      <c r="C193" s="102">
        <f ca="1"/>
        <v>-2.3224162078672173E-5</v>
      </c>
      <c r="E193" s="96">
        <f ca="1"/>
        <v>59491</v>
      </c>
      <c r="F193" s="134">
        <f ca="1"/>
        <v>0.53813362615569005</v>
      </c>
      <c r="H193" s="96">
        <f ca="1"/>
        <v>59491</v>
      </c>
      <c r="I193" s="134">
        <f ca="1"/>
        <v>0.53811040199361138</v>
      </c>
      <c r="K193" s="138">
        <f ca="1">H193</f>
        <v>59491</v>
      </c>
      <c r="L193" s="136">
        <f ca="1">C193</f>
        <v>-2.3224162078672173E-5</v>
      </c>
      <c r="M193" s="107">
        <f ca="1">I193-F193</f>
        <v>-2.3224162078672173E-5</v>
      </c>
      <c r="N193" s="90">
        <f t="shared" ca="1" si="8"/>
        <v>0</v>
      </c>
      <c r="P193" s="138">
        <f ca="1">E193</f>
        <v>59491</v>
      </c>
      <c r="Q193" s="114">
        <f t="shared" ca="1" si="9"/>
        <v>0.53811040199361138</v>
      </c>
      <c r="R193" s="111">
        <f t="shared" ca="1" si="10"/>
        <v>0.53811040199361138</v>
      </c>
      <c r="S193" s="90">
        <f t="shared" ca="1" si="11"/>
        <v>0</v>
      </c>
    </row>
    <row r="194" spans="2:19" x14ac:dyDescent="0.25">
      <c r="B194" s="101">
        <f ca="1"/>
        <v>59583</v>
      </c>
      <c r="C194" s="102">
        <f ca="1"/>
        <v>-2.327497110399257E-5</v>
      </c>
      <c r="E194" s="96">
        <f ca="1"/>
        <v>59583</v>
      </c>
      <c r="F194" s="134">
        <f ca="1"/>
        <v>0.53620495754583919</v>
      </c>
      <c r="H194" s="96">
        <f ca="1"/>
        <v>59583</v>
      </c>
      <c r="I194" s="134">
        <f ca="1"/>
        <v>0.5361816825747352</v>
      </c>
      <c r="K194" s="138">
        <f ca="1">H194</f>
        <v>59583</v>
      </c>
      <c r="L194" s="136">
        <f ca="1">C194</f>
        <v>-2.327497110399257E-5</v>
      </c>
      <c r="M194" s="107">
        <f ca="1">I194-F194</f>
        <v>-2.327497110399257E-5</v>
      </c>
      <c r="N194" s="90">
        <f t="shared" ca="1" si="8"/>
        <v>0</v>
      </c>
      <c r="P194" s="138">
        <f ca="1">E194</f>
        <v>59583</v>
      </c>
      <c r="Q194" s="114">
        <f t="shared" ca="1" si="9"/>
        <v>0.5361816825747352</v>
      </c>
      <c r="R194" s="111">
        <f t="shared" ca="1" si="10"/>
        <v>0.5361816825747352</v>
      </c>
      <c r="S194" s="90">
        <f t="shared" ca="1" si="11"/>
        <v>0</v>
      </c>
    </row>
    <row r="195" spans="2:19" x14ac:dyDescent="0.25">
      <c r="B195" s="101">
        <f ca="1"/>
        <v>59672</v>
      </c>
      <c r="C195" s="102">
        <f ca="1"/>
        <v>-2.3323492408966473E-5</v>
      </c>
      <c r="E195" s="96">
        <f ca="1"/>
        <v>59672</v>
      </c>
      <c r="F195" s="134">
        <f ca="1"/>
        <v>0.53434576559927593</v>
      </c>
      <c r="H195" s="96">
        <f ca="1"/>
        <v>59672</v>
      </c>
      <c r="I195" s="134">
        <f ca="1"/>
        <v>0.53432244210686697</v>
      </c>
      <c r="K195" s="138">
        <f ca="1">H195</f>
        <v>59672</v>
      </c>
      <c r="L195" s="136">
        <f ca="1">C195</f>
        <v>-2.3323492408966473E-5</v>
      </c>
      <c r="M195" s="107">
        <f ca="1">I195-F195</f>
        <v>-2.3323492408966473E-5</v>
      </c>
      <c r="N195" s="90">
        <f t="shared" ca="1" si="8"/>
        <v>0</v>
      </c>
      <c r="P195" s="138">
        <f ca="1">E195</f>
        <v>59672</v>
      </c>
      <c r="Q195" s="114">
        <f t="shared" ca="1" si="9"/>
        <v>0.53432244210686697</v>
      </c>
      <c r="R195" s="111">
        <f t="shared" ca="1" si="10"/>
        <v>0.53432244210686697</v>
      </c>
      <c r="S195" s="90">
        <f t="shared" ca="1" si="11"/>
        <v>0</v>
      </c>
    </row>
    <row r="196" spans="2:19" x14ac:dyDescent="0.25">
      <c r="B196" s="101">
        <f ca="1"/>
        <v>59764</v>
      </c>
      <c r="C196" s="102">
        <f ca="1"/>
        <v>-2.3373001026616436E-5</v>
      </c>
      <c r="E196" s="96">
        <f ca="1"/>
        <v>59764</v>
      </c>
      <c r="F196" s="134">
        <f ca="1"/>
        <v>0.53243068945830796</v>
      </c>
      <c r="H196" s="96">
        <f ca="1"/>
        <v>59764</v>
      </c>
      <c r="I196" s="134">
        <f ca="1"/>
        <v>0.53240731645728134</v>
      </c>
      <c r="K196" s="138">
        <f ca="1">H196</f>
        <v>59764</v>
      </c>
      <c r="L196" s="136">
        <f ca="1">C196</f>
        <v>-2.3373001026616436E-5</v>
      </c>
      <c r="M196" s="107">
        <f ca="1">I196-F196</f>
        <v>-2.3373001026616436E-5</v>
      </c>
      <c r="N196" s="90">
        <f t="shared" ca="1" si="8"/>
        <v>0</v>
      </c>
      <c r="P196" s="138">
        <f ca="1">E196</f>
        <v>59764</v>
      </c>
      <c r="Q196" s="114">
        <f t="shared" ca="1" si="9"/>
        <v>0.53240731645728134</v>
      </c>
      <c r="R196" s="111">
        <f t="shared" ca="1" si="10"/>
        <v>0.53240731645728134</v>
      </c>
      <c r="S196" s="90">
        <f t="shared" ca="1" si="11"/>
        <v>0</v>
      </c>
    </row>
    <row r="197" spans="2:19" x14ac:dyDescent="0.25">
      <c r="B197" s="101">
        <f ca="1"/>
        <v>59856</v>
      </c>
      <c r="C197" s="102">
        <f ca="1"/>
        <v>-2.3421854643213003E-5</v>
      </c>
      <c r="E197" s="96">
        <f ca="1"/>
        <v>59856</v>
      </c>
      <c r="F197" s="134">
        <f ca="1"/>
        <v>0.53052248867991803</v>
      </c>
      <c r="H197" s="96">
        <f ca="1"/>
        <v>59856</v>
      </c>
      <c r="I197" s="134">
        <f ca="1"/>
        <v>0.53049906682527481</v>
      </c>
      <c r="K197" s="138">
        <f ca="1">H197</f>
        <v>59856</v>
      </c>
      <c r="L197" s="136">
        <f ca="1">C197</f>
        <v>-2.3421854643213003E-5</v>
      </c>
      <c r="M197" s="107">
        <f ca="1">I197-F197</f>
        <v>-2.3421854643213003E-5</v>
      </c>
      <c r="N197" s="90">
        <f t="shared" ca="1" si="8"/>
        <v>0</v>
      </c>
      <c r="P197" s="138">
        <f ca="1">E197</f>
        <v>59856</v>
      </c>
      <c r="Q197" s="114">
        <f t="shared" ca="1" si="9"/>
        <v>0.53049906682527481</v>
      </c>
      <c r="R197" s="111">
        <f t="shared" ca="1" si="10"/>
        <v>0.53049906682527481</v>
      </c>
      <c r="S197" s="90">
        <f t="shared" ca="1" si="11"/>
        <v>0</v>
      </c>
    </row>
    <row r="198" spans="2:19" x14ac:dyDescent="0.25">
      <c r="B198" s="101">
        <f ca="1"/>
        <v>59951</v>
      </c>
      <c r="C198" s="102">
        <f ca="1"/>
        <v>-2.3471618170844977E-5</v>
      </c>
      <c r="E198" s="96">
        <f ca="1"/>
        <v>59951</v>
      </c>
      <c r="F198" s="134">
        <f ca="1"/>
        <v>0.52855925551733063</v>
      </c>
      <c r="H198" s="96">
        <f ca="1"/>
        <v>59951</v>
      </c>
      <c r="I198" s="134">
        <f ca="1"/>
        <v>0.52853578389915978</v>
      </c>
      <c r="K198" s="138">
        <f ca="1">H198</f>
        <v>59951</v>
      </c>
      <c r="L198" s="136">
        <f ca="1">C198</f>
        <v>-2.3471618170844977E-5</v>
      </c>
      <c r="M198" s="107">
        <f ca="1">I198-F198</f>
        <v>-2.3471618170844977E-5</v>
      </c>
      <c r="N198" s="90">
        <f t="shared" ca="1" si="8"/>
        <v>0</v>
      </c>
      <c r="P198" s="138">
        <f ca="1">E198</f>
        <v>59951</v>
      </c>
      <c r="Q198" s="114">
        <f t="shared" ca="1" si="9"/>
        <v>0.52853578389915978</v>
      </c>
      <c r="R198" s="111">
        <f t="shared" ca="1" si="10"/>
        <v>0.52853578389915978</v>
      </c>
      <c r="S198" s="90">
        <f t="shared" ca="1" si="11"/>
        <v>0</v>
      </c>
    </row>
    <row r="199" spans="2:19" x14ac:dyDescent="0.25">
      <c r="B199" s="101">
        <f ca="1"/>
        <v>60038</v>
      </c>
      <c r="C199" s="102">
        <f ca="1"/>
        <v>-2.3516585898164521E-5</v>
      </c>
      <c r="E199" s="96">
        <f ca="1"/>
        <v>60038</v>
      </c>
      <c r="F199" s="134">
        <f ca="1"/>
        <v>0.52676773644365149</v>
      </c>
      <c r="H199" s="96">
        <f ca="1"/>
        <v>60038</v>
      </c>
      <c r="I199" s="134">
        <f ca="1"/>
        <v>0.52674421985775333</v>
      </c>
      <c r="K199" s="138">
        <f ca="1">H199</f>
        <v>60038</v>
      </c>
      <c r="L199" s="136">
        <f ca="1">C199</f>
        <v>-2.3516585898164521E-5</v>
      </c>
      <c r="M199" s="107">
        <f ca="1">I199-F199</f>
        <v>-2.3516585898164521E-5</v>
      </c>
      <c r="N199" s="90">
        <f t="shared" ca="1" si="8"/>
        <v>0</v>
      </c>
      <c r="P199" s="138">
        <f ca="1">E199</f>
        <v>60038</v>
      </c>
      <c r="Q199" s="114">
        <f t="shared" ca="1" si="9"/>
        <v>0.52674421985775333</v>
      </c>
      <c r="R199" s="111">
        <f t="shared" ca="1" si="10"/>
        <v>0.52674421985775333</v>
      </c>
      <c r="S199" s="90">
        <f t="shared" ca="1" si="11"/>
        <v>0</v>
      </c>
    </row>
    <row r="200" spans="2:19" x14ac:dyDescent="0.25">
      <c r="B200" s="101">
        <f ca="1"/>
        <v>60132</v>
      </c>
      <c r="C200" s="102">
        <f ca="1"/>
        <v>-2.3564525413743986E-5</v>
      </c>
      <c r="E200" s="96">
        <f ca="1"/>
        <v>60132</v>
      </c>
      <c r="F200" s="134">
        <f ca="1"/>
        <v>0.52483891526825299</v>
      </c>
      <c r="H200" s="96">
        <f ca="1"/>
        <v>60132</v>
      </c>
      <c r="I200" s="134">
        <f ca="1"/>
        <v>0.52481535074283925</v>
      </c>
      <c r="K200" s="138">
        <f ca="1">H200</f>
        <v>60132</v>
      </c>
      <c r="L200" s="136">
        <f ca="1">C200</f>
        <v>-2.3564525413743986E-5</v>
      </c>
      <c r="M200" s="107">
        <f ca="1">I200-F200</f>
        <v>-2.3564525413743986E-5</v>
      </c>
      <c r="N200" s="90">
        <f t="shared" ca="1" si="8"/>
        <v>0</v>
      </c>
      <c r="P200" s="138">
        <f ca="1">E200</f>
        <v>60132</v>
      </c>
      <c r="Q200" s="114">
        <f t="shared" ca="1" si="9"/>
        <v>0.52481535074283925</v>
      </c>
      <c r="R200" s="111">
        <f t="shared" ca="1" si="10"/>
        <v>0.52481535074283925</v>
      </c>
      <c r="S200" s="90">
        <f t="shared" ca="1" si="11"/>
        <v>0</v>
      </c>
    </row>
    <row r="201" spans="2:19" x14ac:dyDescent="0.25">
      <c r="B201" s="101">
        <f ca="1"/>
        <v>60223</v>
      </c>
      <c r="C201" s="102">
        <f ca="1"/>
        <v>-2.36102993043108E-5</v>
      </c>
      <c r="E201" s="96">
        <f ca="1"/>
        <v>60223</v>
      </c>
      <c r="F201" s="134">
        <f ca="1"/>
        <v>0.52297840179923683</v>
      </c>
      <c r="H201" s="96">
        <f ca="1"/>
        <v>60223</v>
      </c>
      <c r="I201" s="134">
        <f ca="1"/>
        <v>0.52295479149993251</v>
      </c>
      <c r="K201" s="138">
        <f ca="1">H201</f>
        <v>60223</v>
      </c>
      <c r="L201" s="136">
        <f ca="1">C201</f>
        <v>-2.36102993043108E-5</v>
      </c>
      <c r="M201" s="107">
        <f ca="1">I201-F201</f>
        <v>-2.36102993043108E-5</v>
      </c>
      <c r="N201" s="90">
        <f t="shared" ca="1" si="8"/>
        <v>0</v>
      </c>
      <c r="P201" s="138">
        <f ca="1">E201</f>
        <v>60223</v>
      </c>
      <c r="Q201" s="114">
        <f t="shared" ca="1" si="9"/>
        <v>0.52295479149993251</v>
      </c>
      <c r="R201" s="111">
        <f t="shared" ca="1" si="10"/>
        <v>0.52295479149993251</v>
      </c>
      <c r="S201" s="90">
        <f t="shared" ca="1" si="11"/>
        <v>0</v>
      </c>
    </row>
    <row r="202" spans="2:19" x14ac:dyDescent="0.25">
      <c r="B202" s="101">
        <f ca="1"/>
        <v>60315</v>
      </c>
      <c r="C202" s="102">
        <f ca="1"/>
        <v>-2.365594444386776E-5</v>
      </c>
      <c r="E202" s="96">
        <f ca="1"/>
        <v>60315</v>
      </c>
      <c r="F202" s="134">
        <f ca="1"/>
        <v>0.52110417131951881</v>
      </c>
      <c r="H202" s="96">
        <f ca="1"/>
        <v>60315</v>
      </c>
      <c r="I202" s="134">
        <f ca="1"/>
        <v>0.52108051537507494</v>
      </c>
      <c r="K202" s="138">
        <f ca="1">H202</f>
        <v>60315</v>
      </c>
      <c r="L202" s="136">
        <f ca="1">C202</f>
        <v>-2.365594444386776E-5</v>
      </c>
      <c r="M202" s="107">
        <f ca="1">I202-F202</f>
        <v>-2.365594444386776E-5</v>
      </c>
      <c r="N202" s="90">
        <f t="shared" ca="1" si="8"/>
        <v>0</v>
      </c>
      <c r="P202" s="138">
        <f ca="1">E202</f>
        <v>60315</v>
      </c>
      <c r="Q202" s="114">
        <f t="shared" ca="1" si="9"/>
        <v>0.52108051537507494</v>
      </c>
      <c r="R202" s="111">
        <f t="shared" ca="1" si="10"/>
        <v>0.52108051537507494</v>
      </c>
      <c r="S202" s="90">
        <f t="shared" ca="1" si="11"/>
        <v>0</v>
      </c>
    </row>
    <row r="203" spans="2:19" x14ac:dyDescent="0.25">
      <c r="B203" s="101">
        <f ca="1"/>
        <v>60405</v>
      </c>
      <c r="C203" s="102">
        <f ca="1"/>
        <v>-2.3699986385405936E-5</v>
      </c>
      <c r="E203" s="96">
        <f ca="1"/>
        <v>60405</v>
      </c>
      <c r="F203" s="134">
        <f ca="1"/>
        <v>0.51927721017638995</v>
      </c>
      <c r="H203" s="96">
        <f ca="1"/>
        <v>60405</v>
      </c>
      <c r="I203" s="134">
        <f ca="1"/>
        <v>0.51925351019000454</v>
      </c>
      <c r="K203" s="138">
        <f ca="1">H203</f>
        <v>60405</v>
      </c>
      <c r="L203" s="136">
        <f ca="1">C203</f>
        <v>-2.3699986385405936E-5</v>
      </c>
      <c r="M203" s="107">
        <f ca="1">I203-F203</f>
        <v>-2.3699986385405936E-5</v>
      </c>
      <c r="N203" s="90">
        <f t="shared" ref="N203:N220" ca="1" si="12">L203-M203</f>
        <v>0</v>
      </c>
      <c r="P203" s="138">
        <f ca="1">E203</f>
        <v>60405</v>
      </c>
      <c r="Q203" s="114">
        <f t="shared" ref="Q203:Q221" ca="1" si="13">L203+F203</f>
        <v>0.51925351019000454</v>
      </c>
      <c r="R203" s="111">
        <f t="shared" ref="R203:R221" ca="1" si="14">F203+M203</f>
        <v>0.51925351019000454</v>
      </c>
      <c r="S203" s="90">
        <f t="shared" ref="S203:S220" ca="1" si="15">Q203-R203</f>
        <v>0</v>
      </c>
    </row>
    <row r="204" spans="2:19" x14ac:dyDescent="0.25">
      <c r="B204" s="101">
        <f ca="1"/>
        <v>60496</v>
      </c>
      <c r="C204" s="102">
        <f ca="1"/>
        <v>-2.374390711556984E-5</v>
      </c>
      <c r="E204" s="96">
        <f ca="1"/>
        <v>60496</v>
      </c>
      <c r="F204" s="134">
        <f ca="1"/>
        <v>0.51743649016134163</v>
      </c>
      <c r="H204" s="96">
        <f ca="1"/>
        <v>60496</v>
      </c>
      <c r="I204" s="134">
        <f ca="1"/>
        <v>0.51741274625422606</v>
      </c>
      <c r="K204" s="138">
        <f ca="1">H204</f>
        <v>60496</v>
      </c>
      <c r="L204" s="136">
        <f ca="1">C204</f>
        <v>-2.374390711556984E-5</v>
      </c>
      <c r="M204" s="107">
        <f ca="1">I204-F204</f>
        <v>-2.374390711556984E-5</v>
      </c>
      <c r="N204" s="90">
        <f t="shared" ca="1" si="12"/>
        <v>0</v>
      </c>
      <c r="P204" s="138">
        <f ca="1">E204</f>
        <v>60496</v>
      </c>
      <c r="Q204" s="114">
        <f t="shared" ca="1" si="13"/>
        <v>0.51741274625422606</v>
      </c>
      <c r="R204" s="111">
        <f t="shared" ca="1" si="14"/>
        <v>0.51741274625422606</v>
      </c>
      <c r="S204" s="90">
        <f t="shared" ca="1" si="15"/>
        <v>0</v>
      </c>
    </row>
    <row r="205" spans="2:19" x14ac:dyDescent="0.25">
      <c r="B205" s="101">
        <f ca="1"/>
        <v>60587</v>
      </c>
      <c r="C205" s="102">
        <f ca="1"/>
        <v>-2.378721763529601E-5</v>
      </c>
      <c r="E205" s="96">
        <f ca="1"/>
        <v>60587</v>
      </c>
      <c r="F205" s="134">
        <f ca="1"/>
        <v>0.51560232631873515</v>
      </c>
      <c r="H205" s="96">
        <f ca="1"/>
        <v>60587</v>
      </c>
      <c r="I205" s="134">
        <f ca="1"/>
        <v>0.51557853910109985</v>
      </c>
      <c r="K205" s="138">
        <f ca="1">H205</f>
        <v>60587</v>
      </c>
      <c r="L205" s="136">
        <f ca="1">C205</f>
        <v>-2.378721763529601E-5</v>
      </c>
      <c r="M205" s="107">
        <f ca="1">I205-F205</f>
        <v>-2.378721763529601E-5</v>
      </c>
      <c r="N205" s="90">
        <f t="shared" ca="1" si="12"/>
        <v>0</v>
      </c>
      <c r="P205" s="138">
        <f ca="1">E205</f>
        <v>60587</v>
      </c>
      <c r="Q205" s="114">
        <f t="shared" ca="1" si="13"/>
        <v>0.51557853910109985</v>
      </c>
      <c r="R205" s="111">
        <f t="shared" ca="1" si="14"/>
        <v>0.51557853910109985</v>
      </c>
      <c r="S205" s="90">
        <f t="shared" ca="1" si="15"/>
        <v>0</v>
      </c>
    </row>
    <row r="206" spans="2:19" x14ac:dyDescent="0.25">
      <c r="B206" s="101">
        <f ca="1"/>
        <v>60679</v>
      </c>
      <c r="C206" s="102">
        <f ca="1"/>
        <v>-2.383038758912992E-5</v>
      </c>
      <c r="E206" s="96">
        <f ca="1"/>
        <v>60679</v>
      </c>
      <c r="F206" s="134">
        <f ca="1"/>
        <v>0.51375465043998447</v>
      </c>
      <c r="H206" s="96">
        <f ca="1"/>
        <v>60679</v>
      </c>
      <c r="I206" s="134">
        <f ca="1"/>
        <v>0.51373082005239534</v>
      </c>
      <c r="K206" s="138">
        <f ca="1">H206</f>
        <v>60679</v>
      </c>
      <c r="L206" s="136">
        <f ca="1">C206</f>
        <v>-2.383038758912992E-5</v>
      </c>
      <c r="M206" s="107">
        <f ca="1">I206-F206</f>
        <v>-2.383038758912992E-5</v>
      </c>
      <c r="N206" s="90">
        <f t="shared" ca="1" si="12"/>
        <v>0</v>
      </c>
      <c r="P206" s="138">
        <f ca="1">E206</f>
        <v>60679</v>
      </c>
      <c r="Q206" s="114">
        <f t="shared" ca="1" si="13"/>
        <v>0.51373082005239534</v>
      </c>
      <c r="R206" s="111">
        <f t="shared" ca="1" si="14"/>
        <v>0.51373082005239534</v>
      </c>
      <c r="S206" s="90">
        <f t="shared" ca="1" si="15"/>
        <v>0</v>
      </c>
    </row>
    <row r="207" spans="2:19" x14ac:dyDescent="0.25">
      <c r="B207" s="101">
        <f ca="1"/>
        <v>60769</v>
      </c>
      <c r="C207" s="102">
        <f ca="1"/>
        <v>-2.3872022924642522E-5</v>
      </c>
      <c r="E207" s="96">
        <f ca="1"/>
        <v>60769</v>
      </c>
      <c r="F207" s="134">
        <f ca="1"/>
        <v>0.51195358483982112</v>
      </c>
      <c r="H207" s="96">
        <f ca="1"/>
        <v>60769</v>
      </c>
      <c r="I207" s="134">
        <f ca="1"/>
        <v>0.51192971281689648</v>
      </c>
      <c r="K207" s="138">
        <f ca="1">H207</f>
        <v>60769</v>
      </c>
      <c r="L207" s="136">
        <f ca="1">C207</f>
        <v>-2.3872022924642522E-5</v>
      </c>
      <c r="M207" s="107">
        <f ca="1">I207-F207</f>
        <v>-2.3872022924642522E-5</v>
      </c>
      <c r="N207" s="90">
        <f t="shared" ca="1" si="12"/>
        <v>0</v>
      </c>
      <c r="P207" s="138">
        <f ca="1">E207</f>
        <v>60769</v>
      </c>
      <c r="Q207" s="114">
        <f t="shared" ca="1" si="13"/>
        <v>0.51192971281689648</v>
      </c>
      <c r="R207" s="111">
        <f t="shared" ca="1" si="14"/>
        <v>0.51192971281689648</v>
      </c>
      <c r="S207" s="90">
        <f t="shared" ca="1" si="15"/>
        <v>0</v>
      </c>
    </row>
    <row r="208" spans="2:19" x14ac:dyDescent="0.25">
      <c r="B208" s="101">
        <f ca="1"/>
        <v>60860</v>
      </c>
      <c r="C208" s="102">
        <f ca="1"/>
        <v>-2.3913525090790699E-5</v>
      </c>
      <c r="E208" s="96">
        <f ca="1"/>
        <v>60860</v>
      </c>
      <c r="F208" s="134">
        <f ca="1"/>
        <v>0.51013896636156153</v>
      </c>
      <c r="H208" s="96">
        <f ca="1"/>
        <v>60860</v>
      </c>
      <c r="I208" s="134">
        <f ca="1"/>
        <v>0.51011505283647074</v>
      </c>
      <c r="K208" s="138">
        <f ca="1">H208</f>
        <v>60860</v>
      </c>
      <c r="L208" s="136">
        <f ca="1">C208</f>
        <v>-2.3913525090790699E-5</v>
      </c>
      <c r="M208" s="107">
        <f ca="1">I208-F208</f>
        <v>-2.3913525090790699E-5</v>
      </c>
      <c r="N208" s="90">
        <f t="shared" ca="1" si="12"/>
        <v>0</v>
      </c>
      <c r="P208" s="138">
        <f ca="1">E208</f>
        <v>60860</v>
      </c>
      <c r="Q208" s="114">
        <f t="shared" ca="1" si="13"/>
        <v>0.51011505283647074</v>
      </c>
      <c r="R208" s="111">
        <f t="shared" ca="1" si="14"/>
        <v>0.51011505283647074</v>
      </c>
      <c r="S208" s="90">
        <f t="shared" ca="1" si="15"/>
        <v>0</v>
      </c>
    </row>
    <row r="209" spans="2:19" x14ac:dyDescent="0.25">
      <c r="B209" s="101">
        <f ca="1"/>
        <v>60952</v>
      </c>
      <c r="C209" s="102">
        <f ca="1"/>
        <v>-2.3954878070830965E-5</v>
      </c>
      <c r="E209" s="96">
        <f ca="1"/>
        <v>60952</v>
      </c>
      <c r="F209" s="134">
        <f ca="1"/>
        <v>0.50831098854486767</v>
      </c>
      <c r="H209" s="96">
        <f ca="1"/>
        <v>60952</v>
      </c>
      <c r="I209" s="134">
        <f ca="1"/>
        <v>0.50828703366679684</v>
      </c>
      <c r="K209" s="138">
        <f ca="1">H209</f>
        <v>60952</v>
      </c>
      <c r="L209" s="136">
        <f ca="1">C209</f>
        <v>-2.3954878070830965E-5</v>
      </c>
      <c r="M209" s="107">
        <f ca="1">I209-F209</f>
        <v>-2.3954878070830965E-5</v>
      </c>
      <c r="N209" s="90">
        <f t="shared" ca="1" si="12"/>
        <v>0</v>
      </c>
      <c r="P209" s="138">
        <f ca="1">E209</f>
        <v>60952</v>
      </c>
      <c r="Q209" s="114">
        <f t="shared" ca="1" si="13"/>
        <v>0.50828703366679684</v>
      </c>
      <c r="R209" s="111">
        <f t="shared" ca="1" si="14"/>
        <v>0.50828703366679684</v>
      </c>
      <c r="S209" s="90">
        <f t="shared" ca="1" si="15"/>
        <v>0</v>
      </c>
    </row>
    <row r="210" spans="2:19" x14ac:dyDescent="0.25">
      <c r="B210" s="101">
        <f ca="1"/>
        <v>61044</v>
      </c>
      <c r="C210" s="102">
        <f ca="1"/>
        <v>-2.3995626252437674E-5</v>
      </c>
      <c r="E210" s="96">
        <f ca="1"/>
        <v>61044</v>
      </c>
      <c r="F210" s="134">
        <f ca="1"/>
        <v>0.50648960750902594</v>
      </c>
      <c r="H210" s="96">
        <f ca="1"/>
        <v>61044</v>
      </c>
      <c r="I210" s="134">
        <f ca="1"/>
        <v>0.5064656118827735</v>
      </c>
      <c r="K210" s="138">
        <f ca="1">H210</f>
        <v>61044</v>
      </c>
      <c r="L210" s="136">
        <f ca="1">C210</f>
        <v>-2.3995626252437674E-5</v>
      </c>
      <c r="M210" s="107">
        <f ca="1">I210-F210</f>
        <v>-2.3995626252437674E-5</v>
      </c>
      <c r="N210" s="90">
        <f t="shared" ca="1" si="12"/>
        <v>0</v>
      </c>
      <c r="P210" s="138">
        <f ca="1">E210</f>
        <v>61044</v>
      </c>
      <c r="Q210" s="114">
        <f t="shared" ca="1" si="13"/>
        <v>0.5064656118827735</v>
      </c>
      <c r="R210" s="111">
        <f t="shared" ca="1" si="14"/>
        <v>0.5064656118827735</v>
      </c>
      <c r="S210" s="90">
        <f t="shared" ca="1" si="15"/>
        <v>0</v>
      </c>
    </row>
    <row r="211" spans="2:19" x14ac:dyDescent="0.25">
      <c r="B211" s="101">
        <f ca="1"/>
        <v>61133</v>
      </c>
      <c r="C211" s="102">
        <f ca="1"/>
        <v>-2.4034473689815705E-5</v>
      </c>
      <c r="E211" s="96">
        <f ca="1"/>
        <v>61133</v>
      </c>
      <c r="F211" s="134">
        <f ca="1"/>
        <v>0.50473387750716914</v>
      </c>
      <c r="H211" s="96">
        <f ca="1"/>
        <v>61133</v>
      </c>
      <c r="I211" s="134">
        <f ca="1"/>
        <v>0.50470984303347932</v>
      </c>
      <c r="K211" s="138">
        <f ca="1">H211</f>
        <v>61133</v>
      </c>
      <c r="L211" s="136">
        <f ca="1">C211</f>
        <v>-2.4034473689815705E-5</v>
      </c>
      <c r="M211" s="107">
        <f ca="1">I211-F211</f>
        <v>-2.4034473689815705E-5</v>
      </c>
      <c r="N211" s="90">
        <f t="shared" ca="1" si="12"/>
        <v>0</v>
      </c>
      <c r="P211" s="138">
        <f ca="1">E211</f>
        <v>61133</v>
      </c>
      <c r="Q211" s="114">
        <f t="shared" ca="1" si="13"/>
        <v>0.50470984303347932</v>
      </c>
      <c r="R211" s="111">
        <f t="shared" ca="1" si="14"/>
        <v>0.50470984303347932</v>
      </c>
      <c r="S211" s="90">
        <f t="shared" ca="1" si="15"/>
        <v>0</v>
      </c>
    </row>
    <row r="212" spans="2:19" x14ac:dyDescent="0.25">
      <c r="B212" s="101">
        <f ca="1"/>
        <v>61225</v>
      </c>
      <c r="C212" s="102">
        <f ca="1"/>
        <v>-2.4074042951682806E-5</v>
      </c>
      <c r="E212" s="96">
        <f ca="1"/>
        <v>61225</v>
      </c>
      <c r="F212" s="134">
        <f ca="1"/>
        <v>0.50292541473820995</v>
      </c>
      <c r="H212" s="96">
        <f ca="1"/>
        <v>61225</v>
      </c>
      <c r="I212" s="134">
        <f ca="1"/>
        <v>0.50290134069525827</v>
      </c>
      <c r="K212" s="138">
        <f ca="1">H212</f>
        <v>61225</v>
      </c>
      <c r="L212" s="136">
        <f ca="1">C212</f>
        <v>-2.4074042951682806E-5</v>
      </c>
      <c r="M212" s="107">
        <f ca="1">I212-F212</f>
        <v>-2.4074042951682806E-5</v>
      </c>
      <c r="N212" s="90">
        <f t="shared" ca="1" si="12"/>
        <v>0</v>
      </c>
      <c r="P212" s="138">
        <f ca="1">E212</f>
        <v>61225</v>
      </c>
      <c r="Q212" s="114">
        <f t="shared" ca="1" si="13"/>
        <v>0.50290134069525827</v>
      </c>
      <c r="R212" s="111">
        <f t="shared" ca="1" si="14"/>
        <v>0.50290134069525827</v>
      </c>
      <c r="S212" s="90">
        <f t="shared" ca="1" si="15"/>
        <v>0</v>
      </c>
    </row>
    <row r="213" spans="2:19" x14ac:dyDescent="0.25">
      <c r="B213" s="101">
        <f ca="1"/>
        <v>61317</v>
      </c>
      <c r="C213" s="102">
        <f ca="1"/>
        <v>-2.4113018517346596E-5</v>
      </c>
      <c r="E213" s="96">
        <f ca="1"/>
        <v>61317</v>
      </c>
      <c r="F213" s="134">
        <f ca="1"/>
        <v>0.5011234878130062</v>
      </c>
      <c r="H213" s="96">
        <f ca="1"/>
        <v>61317</v>
      </c>
      <c r="I213" s="134">
        <f ca="1"/>
        <v>0.50109937479448885</v>
      </c>
      <c r="K213" s="138">
        <f ca="1">H213</f>
        <v>61317</v>
      </c>
      <c r="L213" s="136">
        <f ca="1">C213</f>
        <v>-2.4113018517346596E-5</v>
      </c>
      <c r="M213" s="107">
        <f ca="1">I213-F213</f>
        <v>-2.4113018517346596E-5</v>
      </c>
      <c r="N213" s="90">
        <f t="shared" ca="1" si="12"/>
        <v>0</v>
      </c>
      <c r="P213" s="138">
        <f ca="1">E213</f>
        <v>61317</v>
      </c>
      <c r="Q213" s="114">
        <f t="shared" ca="1" si="13"/>
        <v>0.50109937479448885</v>
      </c>
      <c r="R213" s="111">
        <f t="shared" ca="1" si="14"/>
        <v>0.50109937479448885</v>
      </c>
      <c r="S213" s="90">
        <f t="shared" ca="1" si="15"/>
        <v>0</v>
      </c>
    </row>
    <row r="214" spans="2:19" x14ac:dyDescent="0.25">
      <c r="B214" s="101">
        <f ca="1"/>
        <v>61409</v>
      </c>
      <c r="C214" s="102">
        <f ca="1"/>
        <v>-2.4151404094174822E-5</v>
      </c>
      <c r="E214" s="96">
        <f ca="1"/>
        <v>61409</v>
      </c>
      <c r="F214" s="134">
        <f ca="1"/>
        <v>0.49932807643916238</v>
      </c>
      <c r="H214" s="96">
        <f ca="1"/>
        <v>61409</v>
      </c>
      <c r="I214" s="134">
        <f ca="1"/>
        <v>0.49930392503506821</v>
      </c>
      <c r="K214" s="138">
        <f ca="1">H214</f>
        <v>61409</v>
      </c>
      <c r="L214" s="136">
        <f ca="1">C214</f>
        <v>-2.4151404094174822E-5</v>
      </c>
      <c r="M214" s="107">
        <f ca="1">I214-F214</f>
        <v>-2.4151404094174822E-5</v>
      </c>
      <c r="N214" s="90">
        <f t="shared" ca="1" si="12"/>
        <v>0</v>
      </c>
      <c r="P214" s="138">
        <f ca="1">E214</f>
        <v>61409</v>
      </c>
      <c r="Q214" s="114">
        <f t="shared" ca="1" si="13"/>
        <v>0.49930392503506821</v>
      </c>
      <c r="R214" s="111">
        <f t="shared" ca="1" si="14"/>
        <v>0.49930392503506821</v>
      </c>
      <c r="S214" s="90">
        <f t="shared" ca="1" si="15"/>
        <v>0</v>
      </c>
    </row>
    <row r="215" spans="2:19" x14ac:dyDescent="0.25">
      <c r="B215" s="101">
        <f ca="1"/>
        <v>61499</v>
      </c>
      <c r="C215" s="102">
        <f ca="1"/>
        <v>-2.4188387856394211E-5</v>
      </c>
      <c r="E215" s="96">
        <f ca="1"/>
        <v>61499</v>
      </c>
      <c r="F215" s="134">
        <f ca="1"/>
        <v>0.4975779809964252</v>
      </c>
      <c r="H215" s="96">
        <f ca="1"/>
        <v>61499</v>
      </c>
      <c r="I215" s="134">
        <f ca="1"/>
        <v>0.4975537926085688</v>
      </c>
      <c r="K215" s="138">
        <f ca="1">H215</f>
        <v>61499</v>
      </c>
      <c r="L215" s="136">
        <f ca="1">C215</f>
        <v>-2.4188387856394211E-5</v>
      </c>
      <c r="M215" s="107">
        <f ca="1">I215-F215</f>
        <v>-2.4188387856394211E-5</v>
      </c>
      <c r="N215" s="90">
        <f t="shared" ca="1" si="12"/>
        <v>0</v>
      </c>
      <c r="P215" s="138">
        <f ca="1">E215</f>
        <v>61499</v>
      </c>
      <c r="Q215" s="114">
        <f t="shared" ca="1" si="13"/>
        <v>0.4975537926085688</v>
      </c>
      <c r="R215" s="111">
        <f t="shared" ca="1" si="14"/>
        <v>0.4975537926085688</v>
      </c>
      <c r="S215" s="90">
        <f t="shared" ca="1" si="15"/>
        <v>0</v>
      </c>
    </row>
    <row r="216" spans="2:19" x14ac:dyDescent="0.25">
      <c r="B216" s="101">
        <f ca="1"/>
        <v>61591</v>
      </c>
      <c r="C216" s="102">
        <f ca="1"/>
        <v>-2.4225617133721844E-5</v>
      </c>
      <c r="E216" s="96">
        <f ca="1"/>
        <v>61591</v>
      </c>
      <c r="F216" s="134">
        <f ca="1"/>
        <v>0.49579539977241149</v>
      </c>
      <c r="H216" s="96">
        <f ca="1"/>
        <v>61591</v>
      </c>
      <c r="I216" s="134">
        <f ca="1"/>
        <v>0.49577117415527777</v>
      </c>
      <c r="K216" s="138">
        <f ca="1">H216</f>
        <v>61591</v>
      </c>
      <c r="L216" s="136">
        <f ca="1">C216</f>
        <v>-2.4225617133721844E-5</v>
      </c>
      <c r="M216" s="107">
        <f ca="1">I216-F216</f>
        <v>-2.4225617133721844E-5</v>
      </c>
      <c r="N216" s="90">
        <f t="shared" ca="1" si="12"/>
        <v>0</v>
      </c>
      <c r="P216" s="138">
        <f ca="1">E216</f>
        <v>61591</v>
      </c>
      <c r="Q216" s="114">
        <f t="shared" ca="1" si="13"/>
        <v>0.49577117415527777</v>
      </c>
      <c r="R216" s="111">
        <f t="shared" ca="1" si="14"/>
        <v>0.49577117415527777</v>
      </c>
      <c r="S216" s="90">
        <f t="shared" ca="1" si="15"/>
        <v>0</v>
      </c>
    </row>
    <row r="217" spans="2:19" x14ac:dyDescent="0.25">
      <c r="B217" s="101">
        <f ca="1"/>
        <v>61683</v>
      </c>
      <c r="C217" s="102">
        <f ca="1"/>
        <v>-2.4262267360852796E-5</v>
      </c>
      <c r="E217" s="96">
        <f ca="1"/>
        <v>61683</v>
      </c>
      <c r="F217" s="134">
        <f ca="1"/>
        <v>0.49401927437110604</v>
      </c>
      <c r="H217" s="96">
        <f ca="1"/>
        <v>61683</v>
      </c>
      <c r="I217" s="134">
        <f ca="1"/>
        <v>0.49399501210374519</v>
      </c>
      <c r="K217" s="138">
        <f ca="1">H217</f>
        <v>61683</v>
      </c>
      <c r="L217" s="136">
        <f ca="1">C217</f>
        <v>-2.4262267360852796E-5</v>
      </c>
      <c r="M217" s="107">
        <f ca="1">I217-F217</f>
        <v>-2.4262267360852796E-5</v>
      </c>
      <c r="N217" s="90">
        <f t="shared" ca="1" si="12"/>
        <v>0</v>
      </c>
      <c r="P217" s="138">
        <f ca="1">E217</f>
        <v>61683</v>
      </c>
      <c r="Q217" s="114">
        <f t="shared" ca="1" si="13"/>
        <v>0.49399501210374519</v>
      </c>
      <c r="R217" s="111">
        <f t="shared" ca="1" si="14"/>
        <v>0.49399501210374519</v>
      </c>
      <c r="S217" s="90">
        <f t="shared" ca="1" si="15"/>
        <v>0</v>
      </c>
    </row>
    <row r="218" spans="2:19" x14ac:dyDescent="0.25">
      <c r="B218" s="101">
        <f ca="1"/>
        <v>61777</v>
      </c>
      <c r="C218" s="102">
        <f ca="1"/>
        <v>-2.4299120049198208E-5</v>
      </c>
      <c r="E218" s="96">
        <f ca="1"/>
        <v>61777</v>
      </c>
      <c r="F218" s="134">
        <f ca="1"/>
        <v>0.49221118479163067</v>
      </c>
      <c r="H218" s="96">
        <f ca="1"/>
        <v>61777</v>
      </c>
      <c r="I218" s="134">
        <f ca="1"/>
        <v>0.49218688567158148</v>
      </c>
      <c r="K218" s="138">
        <f ca="1">H218</f>
        <v>61777</v>
      </c>
      <c r="L218" s="136">
        <f ca="1">C218</f>
        <v>-2.4299120049198208E-5</v>
      </c>
      <c r="M218" s="107">
        <f ca="1">I218-F218</f>
        <v>-2.4299120049198208E-5</v>
      </c>
      <c r="N218" s="90">
        <f t="shared" ca="1" si="12"/>
        <v>0</v>
      </c>
      <c r="P218" s="138">
        <f ca="1">E218</f>
        <v>61777</v>
      </c>
      <c r="Q218" s="114">
        <f t="shared" ca="1" si="13"/>
        <v>0.49218688567158148</v>
      </c>
      <c r="R218" s="111">
        <f t="shared" ca="1" si="14"/>
        <v>0.49218688567158148</v>
      </c>
      <c r="S218" s="90">
        <f t="shared" ca="1" si="15"/>
        <v>0</v>
      </c>
    </row>
    <row r="219" spans="2:19" x14ac:dyDescent="0.25">
      <c r="B219" s="101">
        <f ca="1"/>
        <v>61864</v>
      </c>
      <c r="C219" s="102">
        <f ca="1"/>
        <v>-2.433269647988956E-5</v>
      </c>
      <c r="E219" s="96">
        <f ca="1"/>
        <v>61864</v>
      </c>
      <c r="F219" s="134">
        <f ca="1"/>
        <v>0.49054370890126975</v>
      </c>
      <c r="H219" s="96">
        <f ca="1"/>
        <v>61864</v>
      </c>
      <c r="I219" s="134">
        <f ca="1"/>
        <v>0.49051937620478986</v>
      </c>
      <c r="K219" s="138">
        <f ca="1">H219</f>
        <v>61864</v>
      </c>
      <c r="L219" s="136">
        <f ca="1">C219</f>
        <v>-2.433269647988956E-5</v>
      </c>
      <c r="M219" s="107">
        <f ca="1">I219-F219</f>
        <v>-2.433269647988956E-5</v>
      </c>
      <c r="N219" s="90">
        <f t="shared" ca="1" si="12"/>
        <v>0</v>
      </c>
      <c r="P219" s="138">
        <f ca="1">E219</f>
        <v>61864</v>
      </c>
      <c r="Q219" s="114">
        <f t="shared" ca="1" si="13"/>
        <v>0.49051937620478986</v>
      </c>
      <c r="R219" s="111">
        <f t="shared" ca="1" si="14"/>
        <v>0.49051937620478986</v>
      </c>
      <c r="S219" s="90">
        <f t="shared" ca="1" si="15"/>
        <v>0</v>
      </c>
    </row>
    <row r="220" spans="2:19" x14ac:dyDescent="0.25">
      <c r="B220" s="101">
        <f ca="1"/>
        <v>61956</v>
      </c>
      <c r="C220" s="102">
        <f ca="1"/>
        <v>-2.4367649798739954E-5</v>
      </c>
      <c r="E220" s="96">
        <f ca="1"/>
        <v>61956</v>
      </c>
      <c r="F220" s="134">
        <f ca="1"/>
        <v>0.48878662421571195</v>
      </c>
      <c r="H220" s="96">
        <f ca="1"/>
        <v>61956</v>
      </c>
      <c r="I220" s="134">
        <f ca="1"/>
        <v>0.48876225656591321</v>
      </c>
      <c r="K220" s="138">
        <f ca="1">H220</f>
        <v>61956</v>
      </c>
      <c r="L220" s="136">
        <f ca="1">C220</f>
        <v>-2.4367649798739954E-5</v>
      </c>
      <c r="M220" s="107">
        <f ca="1">I220-F220</f>
        <v>-2.4367649798739954E-5</v>
      </c>
      <c r="N220" s="90">
        <f t="shared" ca="1" si="12"/>
        <v>0</v>
      </c>
      <c r="P220" s="138">
        <f ca="1">E220</f>
        <v>61956</v>
      </c>
      <c r="Q220" s="114">
        <f t="shared" ca="1" si="13"/>
        <v>0.48876225656591321</v>
      </c>
      <c r="R220" s="111">
        <f t="shared" ca="1" si="14"/>
        <v>0.48876225656591321</v>
      </c>
      <c r="S220" s="90">
        <f t="shared" ca="1" si="15"/>
        <v>0</v>
      </c>
    </row>
    <row r="221" spans="2:19" ht="15.75" thickBot="1" x14ac:dyDescent="0.3">
      <c r="B221" s="99" t="e">
        <f ca="1"/>
        <v>#N/A</v>
      </c>
      <c r="C221" s="99" t="e">
        <f ca="1"/>
        <v>#N/A</v>
      </c>
      <c r="E221" s="132" t="e">
        <f ca="1"/>
        <v>#N/A</v>
      </c>
      <c r="F221" s="134" t="e">
        <f ca="1"/>
        <v>#N/A</v>
      </c>
      <c r="H221" s="132" t="e">
        <f ca="1"/>
        <v>#N/A</v>
      </c>
      <c r="I221" s="134" t="e">
        <f ca="1"/>
        <v>#N/A</v>
      </c>
      <c r="K221" s="138" t="e">
        <f ca="1">H221</f>
        <v>#N/A</v>
      </c>
      <c r="L221" s="137" t="e">
        <f ca="1">C221</f>
        <v>#N/A</v>
      </c>
      <c r="M221" s="108" t="e">
        <f ca="1">I221-F221</f>
        <v>#N/A</v>
      </c>
      <c r="N221" s="90" t="e">
        <f ca="1">C221-M221</f>
        <v>#N/A</v>
      </c>
      <c r="O221" t="s">
        <v>1</v>
      </c>
      <c r="P221" s="133" t="s">
        <v>1</v>
      </c>
      <c r="Q221" s="115" t="e">
        <f t="shared" ca="1" si="13"/>
        <v>#N/A</v>
      </c>
      <c r="R221" s="112" t="e">
        <f t="shared" ca="1" si="14"/>
        <v>#N/A</v>
      </c>
      <c r="S221" s="90" t="e">
        <f ca="1">G221-R221</f>
        <v>#N/A</v>
      </c>
    </row>
    <row r="222" spans="2:19" ht="15.75" thickTop="1" x14ac:dyDescent="0.25"/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Q31"/>
  <sheetViews>
    <sheetView showGridLines="0" workbookViewId="0"/>
  </sheetViews>
  <sheetFormatPr defaultRowHeight="15" x14ac:dyDescent="0.25"/>
  <cols>
    <col min="2" max="2" width="4.7109375" customWidth="1"/>
    <col min="3" max="3" width="28.5703125" customWidth="1"/>
    <col min="4" max="4" width="37.5703125" customWidth="1"/>
    <col min="5" max="5" width="4.7109375" customWidth="1"/>
    <col min="11" max="11" width="4.7109375" customWidth="1"/>
    <col min="14" max="14" width="4.7109375" customWidth="1"/>
    <col min="17" max="17" width="4.7109375" customWidth="1"/>
  </cols>
  <sheetData>
    <row r="2" spans="2:17" x14ac:dyDescent="0.25">
      <c r="B2" s="51"/>
      <c r="C2" s="52"/>
      <c r="D2" s="53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</row>
    <row r="3" spans="2:17" x14ac:dyDescent="0.25">
      <c r="B3" s="56"/>
      <c r="C3" s="1" t="s">
        <v>0</v>
      </c>
      <c r="D3" s="2"/>
      <c r="E3" s="3" t="s">
        <v>1</v>
      </c>
      <c r="F3" s="1" t="s">
        <v>2</v>
      </c>
      <c r="G3" s="3"/>
      <c r="H3" s="3"/>
      <c r="I3" s="3"/>
      <c r="J3" s="3"/>
      <c r="K3" s="3"/>
      <c r="L3" s="1" t="s">
        <v>3</v>
      </c>
      <c r="M3" s="1"/>
      <c r="N3" s="3"/>
      <c r="O3" s="1" t="s">
        <v>4</v>
      </c>
      <c r="P3" s="3"/>
      <c r="Q3" s="57"/>
    </row>
    <row r="4" spans="2:17" x14ac:dyDescent="0.25">
      <c r="B4" s="56" t="s">
        <v>1</v>
      </c>
      <c r="C4" s="2"/>
      <c r="D4" s="2"/>
      <c r="E4" s="3" t="s">
        <v>1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3"/>
      <c r="L4" s="4" t="s">
        <v>5</v>
      </c>
      <c r="M4" s="4" t="s">
        <v>6</v>
      </c>
      <c r="N4" s="3"/>
      <c r="O4" s="4" t="s">
        <v>5</v>
      </c>
      <c r="P4" s="4" t="s">
        <v>6</v>
      </c>
      <c r="Q4" s="57"/>
    </row>
    <row r="5" spans="2:17" x14ac:dyDescent="0.25">
      <c r="B5" s="56"/>
      <c r="C5" s="5" t="s">
        <v>10</v>
      </c>
      <c r="D5" s="6" t="s">
        <v>11</v>
      </c>
      <c r="E5" s="3" t="s">
        <v>1</v>
      </c>
      <c r="F5" s="7" t="s">
        <v>36</v>
      </c>
      <c r="G5" s="8">
        <v>2.12E-2</v>
      </c>
      <c r="H5" s="9"/>
      <c r="I5" s="10"/>
      <c r="J5" s="11" t="b">
        <v>1</v>
      </c>
      <c r="K5" s="80"/>
      <c r="L5" s="7" t="s">
        <v>37</v>
      </c>
      <c r="M5" s="12">
        <v>2.9624999999999999E-3</v>
      </c>
      <c r="N5" s="80"/>
      <c r="O5" s="7" t="s">
        <v>37</v>
      </c>
      <c r="P5" s="12">
        <v>1.8586999999999999E-2</v>
      </c>
      <c r="Q5" s="57"/>
    </row>
    <row r="6" spans="2:17" x14ac:dyDescent="0.25">
      <c r="B6" s="56"/>
      <c r="C6" s="13" t="s">
        <v>12</v>
      </c>
      <c r="D6" s="83" t="str">
        <f ca="1">CURVE_GENERATOR!$D$10</f>
        <v>ARR</v>
      </c>
      <c r="E6" s="3" t="s">
        <v>1</v>
      </c>
      <c r="F6" s="15" t="s">
        <v>38</v>
      </c>
      <c r="G6" s="16">
        <v>2.1328E-2</v>
      </c>
      <c r="H6" s="10"/>
      <c r="I6" s="10"/>
      <c r="J6" s="11" t="b">
        <v>1</v>
      </c>
      <c r="K6" s="80"/>
      <c r="L6" s="15" t="s">
        <v>39</v>
      </c>
      <c r="M6" s="17">
        <v>2.7437500000000001E-3</v>
      </c>
      <c r="N6" s="80"/>
      <c r="O6" s="15" t="s">
        <v>39</v>
      </c>
      <c r="P6" s="17">
        <v>1.634E-2</v>
      </c>
      <c r="Q6" s="57"/>
    </row>
    <row r="7" spans="2:17" x14ac:dyDescent="0.25">
      <c r="B7" s="56"/>
      <c r="C7" s="13" t="s">
        <v>13</v>
      </c>
      <c r="D7" s="14" t="s">
        <v>14</v>
      </c>
      <c r="E7" s="3" t="s">
        <v>1</v>
      </c>
      <c r="F7" s="15" t="s">
        <v>40</v>
      </c>
      <c r="G7" s="16">
        <v>2.1333000000000001E-2</v>
      </c>
      <c r="H7" s="10"/>
      <c r="I7" s="10"/>
      <c r="J7" s="11" t="b">
        <v>1</v>
      </c>
      <c r="K7" s="80"/>
      <c r="L7" s="15" t="s">
        <v>41</v>
      </c>
      <c r="M7" s="17">
        <v>2.575E-3</v>
      </c>
      <c r="N7" s="80"/>
      <c r="O7" s="15" t="s">
        <v>41</v>
      </c>
      <c r="P7" s="17">
        <v>1.5436E-2</v>
      </c>
      <c r="Q7" s="57"/>
    </row>
    <row r="8" spans="2:17" x14ac:dyDescent="0.25">
      <c r="B8" s="56"/>
      <c r="C8" s="18" t="s">
        <v>15</v>
      </c>
      <c r="D8" s="19">
        <v>43691</v>
      </c>
      <c r="E8" s="3" t="s">
        <v>1</v>
      </c>
      <c r="F8" s="15" t="s">
        <v>42</v>
      </c>
      <c r="G8" s="16">
        <v>2.137E-2</v>
      </c>
      <c r="H8" s="10"/>
      <c r="I8" s="10"/>
      <c r="J8" s="11" t="b">
        <v>1</v>
      </c>
      <c r="K8" s="80"/>
      <c r="L8" s="15" t="s">
        <v>43</v>
      </c>
      <c r="M8" s="17">
        <v>2.4875000000000001E-3</v>
      </c>
      <c r="N8" s="80"/>
      <c r="O8" s="15" t="s">
        <v>43</v>
      </c>
      <c r="P8" s="17">
        <v>1.4973E-2</v>
      </c>
      <c r="Q8" s="57"/>
    </row>
    <row r="9" spans="2:17" x14ac:dyDescent="0.25">
      <c r="B9" s="56"/>
      <c r="C9" s="20"/>
      <c r="D9" s="20"/>
      <c r="E9" s="3" t="s">
        <v>1</v>
      </c>
      <c r="F9" s="15" t="s">
        <v>44</v>
      </c>
      <c r="G9" s="16">
        <v>2.1358000000000002E-2</v>
      </c>
      <c r="H9" s="10"/>
      <c r="I9" s="10"/>
      <c r="J9" s="11" t="b">
        <v>1</v>
      </c>
      <c r="K9" s="80"/>
      <c r="L9" s="15" t="s">
        <v>45</v>
      </c>
      <c r="M9" s="17">
        <v>2.4499999999999999E-3</v>
      </c>
      <c r="N9" s="80"/>
      <c r="O9" s="15" t="s">
        <v>45</v>
      </c>
      <c r="P9" s="17">
        <v>1.4769000000000001E-2</v>
      </c>
      <c r="Q9" s="57"/>
    </row>
    <row r="10" spans="2:17" x14ac:dyDescent="0.25">
      <c r="B10" s="56"/>
      <c r="C10" s="25" t="s">
        <v>16</v>
      </c>
      <c r="D10" s="2"/>
      <c r="E10" s="3" t="s">
        <v>1</v>
      </c>
      <c r="F10" s="15" t="s">
        <v>46</v>
      </c>
      <c r="G10" s="16">
        <v>2.0019999999999996E-2</v>
      </c>
      <c r="H10" s="10"/>
      <c r="I10" s="10"/>
      <c r="J10" s="11" t="b">
        <v>1</v>
      </c>
      <c r="K10" s="80"/>
      <c r="L10" s="15" t="s">
        <v>47</v>
      </c>
      <c r="M10" s="17">
        <v>2.39375E-3</v>
      </c>
      <c r="N10" s="80"/>
      <c r="O10" s="15" t="s">
        <v>47</v>
      </c>
      <c r="P10" s="17">
        <v>1.4761E-2</v>
      </c>
      <c r="Q10" s="57"/>
    </row>
    <row r="11" spans="2:17" x14ac:dyDescent="0.25">
      <c r="B11" s="56"/>
      <c r="C11" s="21" t="s">
        <v>17</v>
      </c>
      <c r="D11" s="22" t="s">
        <v>113</v>
      </c>
      <c r="E11" s="3" t="s">
        <v>1</v>
      </c>
      <c r="F11" s="15" t="s">
        <v>48</v>
      </c>
      <c r="G11" s="16">
        <v>1.9095999999999998E-2</v>
      </c>
      <c r="H11" s="10"/>
      <c r="I11" s="10"/>
      <c r="J11" s="11" t="b">
        <v>1</v>
      </c>
      <c r="K11" s="80"/>
      <c r="L11" s="15" t="s">
        <v>49</v>
      </c>
      <c r="M11" s="17">
        <v>2.3625E-3</v>
      </c>
      <c r="N11" s="80"/>
      <c r="O11" s="15" t="s">
        <v>49</v>
      </c>
      <c r="P11" s="17">
        <v>1.5239000000000001E-2</v>
      </c>
      <c r="Q11" s="57"/>
    </row>
    <row r="12" spans="2:17" x14ac:dyDescent="0.25">
      <c r="B12" s="56"/>
      <c r="C12" s="23" t="s">
        <v>18</v>
      </c>
      <c r="D12" s="24" t="str">
        <f ca="1">_xll.meLWOCurveMarketDataCreate(D11,C3,C5:D8,F3,F5:J30,L3,L5:M30,O3,O5:P30)</f>
        <v>MARKET_DATA_NO_BUMP@9:0</v>
      </c>
      <c r="E12" s="3" t="s">
        <v>1</v>
      </c>
      <c r="F12" s="15" t="s">
        <v>50</v>
      </c>
      <c r="G12" s="16">
        <v>1.8489999999999999E-2</v>
      </c>
      <c r="H12" s="10"/>
      <c r="I12" s="10"/>
      <c r="J12" s="11" t="b">
        <v>1</v>
      </c>
      <c r="K12" s="80"/>
      <c r="L12" s="15" t="s">
        <v>51</v>
      </c>
      <c r="M12" s="17">
        <v>2.3500000000000001E-3</v>
      </c>
      <c r="N12" s="80"/>
      <c r="O12" s="15" t="s">
        <v>51</v>
      </c>
      <c r="P12" s="17">
        <v>1.5603000000000001E-2</v>
      </c>
      <c r="Q12" s="57"/>
    </row>
    <row r="13" spans="2:17" x14ac:dyDescent="0.25">
      <c r="B13" s="56"/>
      <c r="C13" s="3"/>
      <c r="D13" s="3"/>
      <c r="E13" s="3" t="s">
        <v>1</v>
      </c>
      <c r="F13" s="15" t="s">
        <v>52</v>
      </c>
      <c r="G13" s="16">
        <v>1.7859E-2</v>
      </c>
      <c r="H13" s="10"/>
      <c r="I13" s="10"/>
      <c r="J13" s="11" t="b">
        <v>1</v>
      </c>
      <c r="K13" s="80"/>
      <c r="L13" s="15" t="s">
        <v>53</v>
      </c>
      <c r="M13" s="17">
        <v>2.3500000000000001E-3</v>
      </c>
      <c r="N13" s="80"/>
      <c r="O13" s="15" t="s">
        <v>53</v>
      </c>
      <c r="P13" s="17">
        <v>1.6061000000000002E-2</v>
      </c>
      <c r="Q13" s="57"/>
    </row>
    <row r="14" spans="2:17" x14ac:dyDescent="0.25">
      <c r="B14" s="56"/>
      <c r="C14" s="3"/>
      <c r="D14" s="3"/>
      <c r="E14" s="3" t="s">
        <v>1</v>
      </c>
      <c r="F14" s="15" t="s">
        <v>54</v>
      </c>
      <c r="G14" s="16">
        <v>1.7430000000000001E-2</v>
      </c>
      <c r="H14" s="10"/>
      <c r="I14" s="10"/>
      <c r="J14" s="11" t="b">
        <v>1</v>
      </c>
      <c r="K14" s="80"/>
      <c r="L14" s="15" t="s">
        <v>55</v>
      </c>
      <c r="M14" s="17">
        <v>2.3437499999999999E-3</v>
      </c>
      <c r="N14" s="80"/>
      <c r="O14" s="15" t="s">
        <v>55</v>
      </c>
      <c r="P14" s="17">
        <v>1.6490999999999999E-2</v>
      </c>
      <c r="Q14" s="57"/>
    </row>
    <row r="15" spans="2:17" x14ac:dyDescent="0.25">
      <c r="B15" s="56"/>
      <c r="C15" s="3"/>
      <c r="D15" s="3"/>
      <c r="E15" s="3" t="s">
        <v>1</v>
      </c>
      <c r="F15" s="15" t="s">
        <v>56</v>
      </c>
      <c r="G15" s="16">
        <v>1.6211E-2</v>
      </c>
      <c r="H15" s="10"/>
      <c r="I15" s="10"/>
      <c r="J15" s="11" t="b">
        <v>1</v>
      </c>
      <c r="K15" s="80"/>
      <c r="L15" s="15" t="s">
        <v>57</v>
      </c>
      <c r="M15" s="17">
        <v>2.3437499999999999E-3</v>
      </c>
      <c r="N15" s="80"/>
      <c r="O15" s="15" t="s">
        <v>57</v>
      </c>
      <c r="P15" s="17">
        <v>1.6662E-2</v>
      </c>
      <c r="Q15" s="57"/>
    </row>
    <row r="16" spans="2:17" x14ac:dyDescent="0.25">
      <c r="B16" s="56"/>
      <c r="C16" s="3"/>
      <c r="D16" s="3"/>
      <c r="E16" s="3" t="s">
        <v>1</v>
      </c>
      <c r="F16" s="15" t="s">
        <v>37</v>
      </c>
      <c r="G16" s="16">
        <v>1.5406999999999999E-2</v>
      </c>
      <c r="H16" s="10"/>
      <c r="I16" s="10"/>
      <c r="J16" s="11" t="b">
        <v>1</v>
      </c>
      <c r="K16" s="80"/>
      <c r="L16" s="15" t="s">
        <v>58</v>
      </c>
      <c r="M16" s="17">
        <v>2.3500000000000001E-3</v>
      </c>
      <c r="N16" s="80"/>
      <c r="O16" s="15" t="s">
        <v>58</v>
      </c>
      <c r="P16" s="17">
        <v>1.6695000000000002E-2</v>
      </c>
      <c r="Q16" s="57"/>
    </row>
    <row r="17" spans="2:17" x14ac:dyDescent="0.25">
      <c r="B17" s="56"/>
      <c r="C17" s="25" t="s">
        <v>19</v>
      </c>
      <c r="D17" s="2"/>
      <c r="E17" s="3" t="s">
        <v>1</v>
      </c>
      <c r="F17" s="15"/>
      <c r="G17" s="16"/>
      <c r="H17" s="10"/>
      <c r="I17" s="10"/>
      <c r="J17" s="11"/>
      <c r="K17" s="80"/>
      <c r="L17" s="15" t="s">
        <v>20</v>
      </c>
      <c r="M17" s="17">
        <v>2.3500000000000001E-3</v>
      </c>
      <c r="N17" s="80"/>
      <c r="O17" s="15" t="s">
        <v>20</v>
      </c>
      <c r="P17" s="17">
        <v>1.6695000000000002E-2</v>
      </c>
      <c r="Q17" s="58"/>
    </row>
    <row r="18" spans="2:17" x14ac:dyDescent="0.25">
      <c r="B18" s="56"/>
      <c r="C18" s="26" t="s">
        <v>17</v>
      </c>
      <c r="D18" s="27" t="s">
        <v>112</v>
      </c>
      <c r="E18" s="3" t="s">
        <v>1</v>
      </c>
      <c r="F18" s="15"/>
      <c r="G18" s="16"/>
      <c r="H18" s="10"/>
      <c r="I18" s="10"/>
      <c r="J18" s="11"/>
      <c r="K18" s="80"/>
      <c r="L18" s="15" t="s">
        <v>21</v>
      </c>
      <c r="M18" s="17">
        <v>2.3500000000000001E-3</v>
      </c>
      <c r="N18" s="80"/>
      <c r="O18" s="15" t="s">
        <v>21</v>
      </c>
      <c r="P18" s="17">
        <v>1.6695000000000002E-2</v>
      </c>
      <c r="Q18" s="58"/>
    </row>
    <row r="19" spans="2:17" x14ac:dyDescent="0.25">
      <c r="B19" s="56"/>
      <c r="C19" s="28" t="s">
        <v>22</v>
      </c>
      <c r="D19" s="29" t="str">
        <f ca="1">CURVE_GENERATOR!$I$5</f>
        <v>USD_SOFR_NO_JACOBIAN@4:0</v>
      </c>
      <c r="E19" s="3" t="s">
        <v>1</v>
      </c>
      <c r="F19" s="15"/>
      <c r="G19" s="16"/>
      <c r="H19" s="10"/>
      <c r="I19" s="10"/>
      <c r="J19" s="11"/>
      <c r="K19" s="80"/>
      <c r="L19" s="15"/>
      <c r="M19" s="17"/>
      <c r="N19" s="80"/>
      <c r="O19" s="15"/>
      <c r="P19" s="17"/>
      <c r="Q19" s="57"/>
    </row>
    <row r="20" spans="2:17" x14ac:dyDescent="0.25">
      <c r="B20" s="56"/>
      <c r="C20" s="28" t="s">
        <v>23</v>
      </c>
      <c r="D20" s="30" t="s">
        <v>117</v>
      </c>
      <c r="E20" s="3" t="s">
        <v>1</v>
      </c>
      <c r="F20" s="15"/>
      <c r="G20" s="16"/>
      <c r="H20" s="10"/>
      <c r="I20" s="10"/>
      <c r="J20" s="11"/>
      <c r="K20" s="80"/>
      <c r="L20" s="15"/>
      <c r="M20" s="17"/>
      <c r="N20" s="80"/>
      <c r="O20" s="15"/>
      <c r="P20" s="17"/>
      <c r="Q20" s="57"/>
    </row>
    <row r="21" spans="2:17" x14ac:dyDescent="0.25">
      <c r="B21" s="56"/>
      <c r="C21" s="31" t="s">
        <v>25</v>
      </c>
      <c r="D21" s="32"/>
      <c r="E21" s="3" t="s">
        <v>1</v>
      </c>
      <c r="F21" s="15"/>
      <c r="G21" s="16"/>
      <c r="H21" s="10"/>
      <c r="I21" s="10"/>
      <c r="J21" s="11"/>
      <c r="K21" s="80"/>
      <c r="L21" s="15"/>
      <c r="M21" s="17"/>
      <c r="N21" s="80"/>
      <c r="O21" s="15"/>
      <c r="P21" s="17"/>
      <c r="Q21" s="57"/>
    </row>
    <row r="22" spans="2:17" x14ac:dyDescent="0.25">
      <c r="B22" s="56"/>
      <c r="C22" s="3"/>
      <c r="D22" s="3"/>
      <c r="E22" s="3" t="s">
        <v>1</v>
      </c>
      <c r="F22" s="15"/>
      <c r="G22" s="16"/>
      <c r="H22" s="10"/>
      <c r="I22" s="10"/>
      <c r="J22" s="11"/>
      <c r="K22" s="80"/>
      <c r="L22" s="15"/>
      <c r="M22" s="17"/>
      <c r="N22" s="80"/>
      <c r="O22" s="15"/>
      <c r="P22" s="17"/>
      <c r="Q22" s="57"/>
    </row>
    <row r="23" spans="2:17" x14ac:dyDescent="0.25">
      <c r="B23" s="56"/>
      <c r="C23" s="3"/>
      <c r="D23" s="3"/>
      <c r="E23" s="3" t="s">
        <v>1</v>
      </c>
      <c r="F23" s="15"/>
      <c r="G23" s="16"/>
      <c r="H23" s="10"/>
      <c r="I23" s="10"/>
      <c r="J23" s="11"/>
      <c r="K23" s="80"/>
      <c r="L23" s="15"/>
      <c r="M23" s="17"/>
      <c r="N23" s="80"/>
      <c r="O23" s="15"/>
      <c r="P23" s="17"/>
      <c r="Q23" s="57"/>
    </row>
    <row r="24" spans="2:17" x14ac:dyDescent="0.25">
      <c r="B24" s="56"/>
      <c r="C24" s="3"/>
      <c r="D24" s="3"/>
      <c r="E24" s="3" t="s">
        <v>1</v>
      </c>
      <c r="F24" s="15"/>
      <c r="G24" s="16"/>
      <c r="H24" s="10"/>
      <c r="I24" s="10"/>
      <c r="J24" s="11"/>
      <c r="K24" s="80"/>
      <c r="L24" s="15"/>
      <c r="M24" s="17"/>
      <c r="N24" s="80"/>
      <c r="O24" s="15"/>
      <c r="P24" s="17"/>
      <c r="Q24" s="57"/>
    </row>
    <row r="25" spans="2:17" x14ac:dyDescent="0.25">
      <c r="B25" s="56"/>
      <c r="C25" s="25" t="s">
        <v>26</v>
      </c>
      <c r="D25" s="3"/>
      <c r="E25" s="3" t="s">
        <v>1</v>
      </c>
      <c r="F25" s="15"/>
      <c r="G25" s="16"/>
      <c r="H25" s="10"/>
      <c r="I25" s="10"/>
      <c r="J25" s="11"/>
      <c r="K25" s="80"/>
      <c r="L25" s="15"/>
      <c r="M25" s="17"/>
      <c r="N25" s="80"/>
      <c r="O25" s="15"/>
      <c r="P25" s="17"/>
      <c r="Q25" s="57"/>
    </row>
    <row r="26" spans="2:17" x14ac:dyDescent="0.25">
      <c r="B26" s="56"/>
      <c r="C26" s="33" t="s">
        <v>17</v>
      </c>
      <c r="D26" s="34" t="str">
        <f t="array" aca="1" ref="D26:D29" ca="1">_xll.meLWOCurveCalibrate(D18,D19,D12,D20,D21)</f>
        <v>USD_ARR_NO_BUMP@10:0</v>
      </c>
      <c r="E26" s="3" t="s">
        <v>1</v>
      </c>
      <c r="F26" s="15"/>
      <c r="G26" s="16"/>
      <c r="H26" s="10"/>
      <c r="I26" s="10"/>
      <c r="J26" s="11"/>
      <c r="K26" s="80"/>
      <c r="L26" s="15"/>
      <c r="M26" s="17"/>
      <c r="N26" s="80"/>
      <c r="O26" s="15"/>
      <c r="P26" s="17"/>
      <c r="Q26" s="57"/>
    </row>
    <row r="27" spans="2:17" x14ac:dyDescent="0.25">
      <c r="B27" s="56"/>
      <c r="C27" s="37" t="s">
        <v>27</v>
      </c>
      <c r="D27" s="35" t="str">
        <f ca="1"/>
        <v>USDYC_NO_BUMP</v>
      </c>
      <c r="E27" s="3" t="s">
        <v>1</v>
      </c>
      <c r="F27" s="15"/>
      <c r="G27" s="16"/>
      <c r="H27" s="10"/>
      <c r="I27" s="10"/>
      <c r="J27" s="11"/>
      <c r="K27" s="80"/>
      <c r="L27" s="15"/>
      <c r="M27" s="17"/>
      <c r="N27" s="80"/>
      <c r="O27" s="15"/>
      <c r="P27" s="17"/>
      <c r="Q27" s="57"/>
    </row>
    <row r="28" spans="2:17" x14ac:dyDescent="0.25">
      <c r="B28" s="56"/>
      <c r="C28" s="37" t="s">
        <v>28</v>
      </c>
      <c r="D28" s="35" t="str">
        <f ca="1"/>
        <v>ARR</v>
      </c>
      <c r="E28" s="3" t="s">
        <v>1</v>
      </c>
      <c r="F28" s="15"/>
      <c r="G28" s="16"/>
      <c r="H28" s="10"/>
      <c r="I28" s="10"/>
      <c r="J28" s="11"/>
      <c r="K28" s="80"/>
      <c r="L28" s="15"/>
      <c r="M28" s="17"/>
      <c r="N28" s="80"/>
      <c r="O28" s="15"/>
      <c r="P28" s="17"/>
      <c r="Q28" s="57"/>
    </row>
    <row r="29" spans="2:17" x14ac:dyDescent="0.25">
      <c r="B29" s="56"/>
      <c r="C29" s="38" t="s">
        <v>29</v>
      </c>
      <c r="D29" s="36" t="str">
        <f ca="1"/>
        <v>0.28500 sec</v>
      </c>
      <c r="E29" s="3" t="s">
        <v>1</v>
      </c>
      <c r="F29" s="15"/>
      <c r="G29" s="16"/>
      <c r="H29" s="10"/>
      <c r="I29" s="10"/>
      <c r="J29" s="39"/>
      <c r="K29" s="80"/>
      <c r="L29" s="15"/>
      <c r="M29" s="17"/>
      <c r="N29" s="80"/>
      <c r="O29" s="15"/>
      <c r="P29" s="17"/>
      <c r="Q29" s="57"/>
    </row>
    <row r="30" spans="2:17" x14ac:dyDescent="0.25">
      <c r="B30" s="56"/>
      <c r="C30" s="40" t="s">
        <v>30</v>
      </c>
      <c r="D30" s="41" t="b">
        <f ca="1">_xll.meLWOExists(D26,"CURVE")</f>
        <v>1</v>
      </c>
      <c r="E30" s="3" t="s">
        <v>1</v>
      </c>
      <c r="F30" s="42"/>
      <c r="G30" s="43"/>
      <c r="H30" s="44"/>
      <c r="I30" s="44"/>
      <c r="J30" s="45"/>
      <c r="K30" s="80"/>
      <c r="L30" s="42"/>
      <c r="M30" s="46"/>
      <c r="N30" s="80"/>
      <c r="O30" s="42"/>
      <c r="P30" s="46"/>
      <c r="Q30" s="57"/>
    </row>
    <row r="31" spans="2:17" x14ac:dyDescent="0.25">
      <c r="B31" s="75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Q35"/>
  <sheetViews>
    <sheetView showGridLines="0" workbookViewId="0"/>
  </sheetViews>
  <sheetFormatPr defaultRowHeight="15" x14ac:dyDescent="0.25"/>
  <cols>
    <col min="2" max="2" width="4.7109375" customWidth="1"/>
    <col min="3" max="3" width="28.5703125" customWidth="1"/>
    <col min="4" max="4" width="37.5703125" customWidth="1"/>
    <col min="5" max="5" width="4.7109375" customWidth="1"/>
    <col min="11" max="11" width="4.7109375" customWidth="1"/>
    <col min="14" max="14" width="4.7109375" customWidth="1"/>
    <col min="17" max="17" width="4.7109375" customWidth="1"/>
  </cols>
  <sheetData>
    <row r="2" spans="2:17" x14ac:dyDescent="0.25">
      <c r="B2" s="51"/>
      <c r="C2" s="52"/>
      <c r="D2" s="53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</row>
    <row r="3" spans="2:17" x14ac:dyDescent="0.25">
      <c r="B3" s="56"/>
      <c r="C3" s="1" t="s">
        <v>0</v>
      </c>
      <c r="D3" s="2"/>
      <c r="E3" s="3" t="s">
        <v>1</v>
      </c>
      <c r="F3" s="1" t="s">
        <v>2</v>
      </c>
      <c r="G3" s="3"/>
      <c r="H3" s="3"/>
      <c r="I3" s="3"/>
      <c r="J3" s="3"/>
      <c r="K3" s="3"/>
      <c r="L3" s="1" t="s">
        <v>3</v>
      </c>
      <c r="M3" s="1"/>
      <c r="N3" s="3"/>
      <c r="O3" s="1" t="s">
        <v>4</v>
      </c>
      <c r="P3" s="3"/>
      <c r="Q3" s="57"/>
    </row>
    <row r="4" spans="2:17" x14ac:dyDescent="0.25">
      <c r="B4" s="56" t="s">
        <v>1</v>
      </c>
      <c r="C4" s="2"/>
      <c r="D4" s="2"/>
      <c r="E4" s="3" t="s">
        <v>1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3"/>
      <c r="L4" s="4" t="s">
        <v>5</v>
      </c>
      <c r="M4" s="4" t="s">
        <v>6</v>
      </c>
      <c r="N4" s="3"/>
      <c r="O4" s="4" t="s">
        <v>5</v>
      </c>
      <c r="P4" s="4" t="s">
        <v>6</v>
      </c>
      <c r="Q4" s="57"/>
    </row>
    <row r="5" spans="2:17" x14ac:dyDescent="0.25">
      <c r="B5" s="56"/>
      <c r="C5" s="5" t="s">
        <v>10</v>
      </c>
      <c r="D5" s="6" t="s">
        <v>11</v>
      </c>
      <c r="E5" s="3" t="s">
        <v>1</v>
      </c>
      <c r="F5" s="7" t="s">
        <v>36</v>
      </c>
      <c r="G5" s="8">
        <v>2.12E-2</v>
      </c>
      <c r="H5" s="9"/>
      <c r="I5" s="10"/>
      <c r="J5" s="11" t="b">
        <v>1</v>
      </c>
      <c r="K5" s="80"/>
      <c r="L5" s="7" t="s">
        <v>37</v>
      </c>
      <c r="M5" s="12">
        <v>2.9624999999999999E-3</v>
      </c>
      <c r="N5" s="80"/>
      <c r="O5" s="7" t="s">
        <v>37</v>
      </c>
      <c r="P5" s="12">
        <v>1.8586999999999999E-2</v>
      </c>
      <c r="Q5" s="57"/>
    </row>
    <row r="6" spans="2:17" x14ac:dyDescent="0.25">
      <c r="B6" s="56"/>
      <c r="C6" s="13" t="s">
        <v>12</v>
      </c>
      <c r="D6" s="83" t="str">
        <f ca="1">CURVE_GENERATOR!$D$10</f>
        <v>ARR</v>
      </c>
      <c r="E6" s="3" t="s">
        <v>1</v>
      </c>
      <c r="F6" s="15" t="s">
        <v>38</v>
      </c>
      <c r="G6" s="16">
        <v>2.1328E-2</v>
      </c>
      <c r="H6" s="10"/>
      <c r="I6" s="10"/>
      <c r="J6" s="11" t="b">
        <v>1</v>
      </c>
      <c r="K6" s="80"/>
      <c r="L6" s="15" t="s">
        <v>39</v>
      </c>
      <c r="M6" s="17">
        <v>2.7437500000000001E-3</v>
      </c>
      <c r="N6" s="80"/>
      <c r="O6" s="15" t="s">
        <v>39</v>
      </c>
      <c r="P6" s="17">
        <v>1.634E-2</v>
      </c>
      <c r="Q6" s="57"/>
    </row>
    <row r="7" spans="2:17" x14ac:dyDescent="0.25">
      <c r="B7" s="56"/>
      <c r="C7" s="13" t="s">
        <v>13</v>
      </c>
      <c r="D7" s="14" t="s">
        <v>14</v>
      </c>
      <c r="E7" s="3" t="s">
        <v>1</v>
      </c>
      <c r="F7" s="15" t="s">
        <v>40</v>
      </c>
      <c r="G7" s="16">
        <v>2.1333000000000001E-2</v>
      </c>
      <c r="H7" s="10"/>
      <c r="I7" s="10"/>
      <c r="J7" s="11" t="b">
        <v>1</v>
      </c>
      <c r="K7" s="80"/>
      <c r="L7" s="15" t="s">
        <v>41</v>
      </c>
      <c r="M7" s="17">
        <v>2.575E-3</v>
      </c>
      <c r="N7" s="80"/>
      <c r="O7" s="15" t="s">
        <v>41</v>
      </c>
      <c r="P7" s="17">
        <v>1.5436E-2</v>
      </c>
      <c r="Q7" s="57"/>
    </row>
    <row r="8" spans="2:17" x14ac:dyDescent="0.25">
      <c r="B8" s="56"/>
      <c r="C8" s="18" t="s">
        <v>15</v>
      </c>
      <c r="D8" s="19">
        <v>43691</v>
      </c>
      <c r="E8" s="3" t="s">
        <v>1</v>
      </c>
      <c r="F8" s="15" t="s">
        <v>42</v>
      </c>
      <c r="G8" s="16">
        <v>2.137E-2</v>
      </c>
      <c r="H8" s="10"/>
      <c r="I8" s="10"/>
      <c r="J8" s="11" t="b">
        <v>1</v>
      </c>
      <c r="K8" s="80"/>
      <c r="L8" s="15" t="s">
        <v>43</v>
      </c>
      <c r="M8" s="17">
        <v>2.4875000000000001E-3</v>
      </c>
      <c r="N8" s="80"/>
      <c r="O8" s="15" t="s">
        <v>43</v>
      </c>
      <c r="P8" s="17">
        <v>1.4973E-2</v>
      </c>
      <c r="Q8" s="57"/>
    </row>
    <row r="9" spans="2:17" x14ac:dyDescent="0.25">
      <c r="B9" s="56"/>
      <c r="C9" s="20"/>
      <c r="D9" s="20"/>
      <c r="E9" s="3" t="s">
        <v>1</v>
      </c>
      <c r="F9" s="15" t="s">
        <v>44</v>
      </c>
      <c r="G9" s="16">
        <v>2.1358000000000002E-2</v>
      </c>
      <c r="H9" s="10"/>
      <c r="I9" s="10"/>
      <c r="J9" s="11" t="b">
        <v>1</v>
      </c>
      <c r="K9" s="80"/>
      <c r="L9" s="15" t="s">
        <v>45</v>
      </c>
      <c r="M9" s="17">
        <v>2.4499999999999999E-3</v>
      </c>
      <c r="N9" s="80"/>
      <c r="O9" s="15" t="s">
        <v>45</v>
      </c>
      <c r="P9" s="17">
        <v>1.4769000000000001E-2</v>
      </c>
      <c r="Q9" s="57"/>
    </row>
    <row r="10" spans="2:17" x14ac:dyDescent="0.25">
      <c r="B10" s="56"/>
      <c r="C10" s="25" t="s">
        <v>16</v>
      </c>
      <c r="D10" s="2"/>
      <c r="E10" s="3" t="s">
        <v>1</v>
      </c>
      <c r="F10" s="15" t="s">
        <v>46</v>
      </c>
      <c r="G10" s="16">
        <v>2.0019999999999996E-2</v>
      </c>
      <c r="H10" s="10"/>
      <c r="I10" s="10"/>
      <c r="J10" s="11" t="b">
        <v>1</v>
      </c>
      <c r="K10" s="80"/>
      <c r="L10" s="15" t="s">
        <v>47</v>
      </c>
      <c r="M10" s="17">
        <v>2.39375E-3</v>
      </c>
      <c r="N10" s="80"/>
      <c r="O10" s="15" t="s">
        <v>47</v>
      </c>
      <c r="P10" s="17">
        <v>1.4761E-2</v>
      </c>
      <c r="Q10" s="57"/>
    </row>
    <row r="11" spans="2:17" x14ac:dyDescent="0.25">
      <c r="B11" s="56"/>
      <c r="C11" s="21" t="s">
        <v>17</v>
      </c>
      <c r="D11" s="22" t="s">
        <v>96</v>
      </c>
      <c r="E11" s="3" t="s">
        <v>1</v>
      </c>
      <c r="F11" s="15" t="s">
        <v>48</v>
      </c>
      <c r="G11" s="16">
        <v>1.9095999999999998E-2</v>
      </c>
      <c r="H11" s="10"/>
      <c r="I11" s="10"/>
      <c r="J11" s="11" t="b">
        <v>1</v>
      </c>
      <c r="K11" s="80"/>
      <c r="L11" s="15" t="s">
        <v>49</v>
      </c>
      <c r="M11" s="17">
        <v>2.3625E-3</v>
      </c>
      <c r="N11" s="80"/>
      <c r="O11" s="15" t="s">
        <v>49</v>
      </c>
      <c r="P11" s="17">
        <v>1.5239000000000001E-2</v>
      </c>
      <c r="Q11" s="57"/>
    </row>
    <row r="12" spans="2:17" x14ac:dyDescent="0.25">
      <c r="B12" s="56"/>
      <c r="C12" s="23" t="s">
        <v>18</v>
      </c>
      <c r="D12" s="24" t="str">
        <f ca="1">_xll.meLWOCurveMarketDataCreate(D11,C3,C5:D8,F3,F5:J30,L3,L5:M30,O3,O5:P30)</f>
        <v>USD_ARR_MARKETDATA@7:0</v>
      </c>
      <c r="E12" s="3" t="s">
        <v>1</v>
      </c>
      <c r="F12" s="15" t="s">
        <v>50</v>
      </c>
      <c r="G12" s="16">
        <v>1.8489999999999999E-2</v>
      </c>
      <c r="H12" s="10"/>
      <c r="I12" s="10"/>
      <c r="J12" s="11" t="b">
        <v>1</v>
      </c>
      <c r="K12" s="80"/>
      <c r="L12" s="15" t="s">
        <v>51</v>
      </c>
      <c r="M12" s="17">
        <v>2.3500000000000001E-3</v>
      </c>
      <c r="N12" s="80"/>
      <c r="O12" s="15" t="s">
        <v>51</v>
      </c>
      <c r="P12" s="17">
        <v>1.5603000000000001E-2</v>
      </c>
      <c r="Q12" s="57"/>
    </row>
    <row r="13" spans="2:17" x14ac:dyDescent="0.25">
      <c r="B13" s="56"/>
      <c r="C13" s="3"/>
      <c r="D13" s="3"/>
      <c r="E13" s="3" t="s">
        <v>1</v>
      </c>
      <c r="F13" s="15" t="s">
        <v>52</v>
      </c>
      <c r="G13" s="16">
        <v>1.7859E-2</v>
      </c>
      <c r="H13" s="10"/>
      <c r="I13" s="10"/>
      <c r="J13" s="11" t="b">
        <v>1</v>
      </c>
      <c r="K13" s="80"/>
      <c r="L13" s="15" t="s">
        <v>53</v>
      </c>
      <c r="M13" s="17">
        <v>2.3500000000000001E-3</v>
      </c>
      <c r="N13" s="80"/>
      <c r="O13" s="15" t="s">
        <v>53</v>
      </c>
      <c r="P13" s="17">
        <v>1.6061000000000002E-2</v>
      </c>
      <c r="Q13" s="57"/>
    </row>
    <row r="14" spans="2:17" x14ac:dyDescent="0.25">
      <c r="B14" s="56"/>
      <c r="C14" s="3"/>
      <c r="D14" s="3"/>
      <c r="E14" s="3" t="s">
        <v>1</v>
      </c>
      <c r="F14" s="15" t="s">
        <v>54</v>
      </c>
      <c r="G14" s="16">
        <v>1.7430000000000001E-2</v>
      </c>
      <c r="H14" s="10"/>
      <c r="I14" s="10"/>
      <c r="J14" s="11" t="b">
        <v>1</v>
      </c>
      <c r="K14" s="80"/>
      <c r="L14" s="15" t="s">
        <v>55</v>
      </c>
      <c r="M14" s="17">
        <v>2.3437499999999999E-3</v>
      </c>
      <c r="N14" s="80"/>
      <c r="O14" s="15" t="s">
        <v>55</v>
      </c>
      <c r="P14" s="17">
        <v>1.6490999999999999E-2</v>
      </c>
      <c r="Q14" s="57"/>
    </row>
    <row r="15" spans="2:17" x14ac:dyDescent="0.25">
      <c r="B15" s="56"/>
      <c r="C15" s="3"/>
      <c r="D15" s="3"/>
      <c r="E15" s="3" t="s">
        <v>1</v>
      </c>
      <c r="F15" s="15" t="s">
        <v>56</v>
      </c>
      <c r="G15" s="16">
        <v>1.6211E-2</v>
      </c>
      <c r="H15" s="10"/>
      <c r="I15" s="10"/>
      <c r="J15" s="11" t="b">
        <v>1</v>
      </c>
      <c r="K15" s="80"/>
      <c r="L15" s="15" t="s">
        <v>57</v>
      </c>
      <c r="M15" s="17">
        <v>2.3437499999999999E-3</v>
      </c>
      <c r="N15" s="80"/>
      <c r="O15" s="15" t="s">
        <v>57</v>
      </c>
      <c r="P15" s="17">
        <v>1.6662E-2</v>
      </c>
      <c r="Q15" s="57"/>
    </row>
    <row r="16" spans="2:17" x14ac:dyDescent="0.25">
      <c r="B16" s="56"/>
      <c r="C16" s="3"/>
      <c r="D16" s="3"/>
      <c r="E16" s="3" t="s">
        <v>1</v>
      </c>
      <c r="F16" s="15" t="s">
        <v>37</v>
      </c>
      <c r="G16" s="16">
        <v>1.5406999999999999E-2</v>
      </c>
      <c r="H16" s="10"/>
      <c r="I16" s="10"/>
      <c r="J16" s="11" t="b">
        <v>1</v>
      </c>
      <c r="K16" s="80"/>
      <c r="L16" s="15" t="s">
        <v>58</v>
      </c>
      <c r="M16" s="17">
        <v>2.3500000000000001E-3</v>
      </c>
      <c r="N16" s="80"/>
      <c r="O16" s="15" t="s">
        <v>58</v>
      </c>
      <c r="P16" s="17">
        <v>1.6695000000000002E-2</v>
      </c>
      <c r="Q16" s="57"/>
    </row>
    <row r="17" spans="2:17" x14ac:dyDescent="0.25">
      <c r="B17" s="56"/>
      <c r="C17" s="25" t="s">
        <v>19</v>
      </c>
      <c r="D17" s="2"/>
      <c r="E17" s="3" t="s">
        <v>1</v>
      </c>
      <c r="F17" s="15"/>
      <c r="G17" s="16"/>
      <c r="H17" s="10"/>
      <c r="I17" s="10"/>
      <c r="J17" s="11"/>
      <c r="K17" s="80"/>
      <c r="L17" s="15" t="s">
        <v>20</v>
      </c>
      <c r="M17" s="17">
        <v>2.3500000000000001E-3</v>
      </c>
      <c r="N17" s="80"/>
      <c r="O17" s="15" t="s">
        <v>20</v>
      </c>
      <c r="P17" s="17">
        <v>1.6695000000000002E-2</v>
      </c>
      <c r="Q17" s="58"/>
    </row>
    <row r="18" spans="2:17" x14ac:dyDescent="0.25">
      <c r="B18" s="56"/>
      <c r="C18" s="26" t="s">
        <v>17</v>
      </c>
      <c r="D18" s="27" t="s">
        <v>116</v>
      </c>
      <c r="E18" s="3" t="s">
        <v>1</v>
      </c>
      <c r="F18" s="15"/>
      <c r="G18" s="16"/>
      <c r="H18" s="10"/>
      <c r="I18" s="10"/>
      <c r="J18" s="11"/>
      <c r="K18" s="80"/>
      <c r="L18" s="15" t="s">
        <v>21</v>
      </c>
      <c r="M18" s="17">
        <v>2.3500000000000001E-3</v>
      </c>
      <c r="N18" s="80"/>
      <c r="O18" s="15" t="s">
        <v>21</v>
      </c>
      <c r="P18" s="17">
        <v>1.6695000000000002E-2</v>
      </c>
      <c r="Q18" s="58"/>
    </row>
    <row r="19" spans="2:17" x14ac:dyDescent="0.25">
      <c r="B19" s="56"/>
      <c r="C19" s="28" t="s">
        <v>22</v>
      </c>
      <c r="D19" s="29" t="str">
        <f ca="1">CURVE_GENERATOR!$I$5</f>
        <v>USD_SOFR_NO_JACOBIAN@4:0</v>
      </c>
      <c r="E19" s="3" t="s">
        <v>1</v>
      </c>
      <c r="F19" s="15"/>
      <c r="G19" s="16"/>
      <c r="H19" s="10"/>
      <c r="I19" s="10"/>
      <c r="J19" s="11"/>
      <c r="K19" s="80"/>
      <c r="L19" s="15"/>
      <c r="M19" s="17"/>
      <c r="N19" s="80"/>
      <c r="O19" s="15"/>
      <c r="P19" s="17"/>
      <c r="Q19" s="57"/>
    </row>
    <row r="20" spans="2:17" x14ac:dyDescent="0.25">
      <c r="B20" s="56"/>
      <c r="C20" s="28" t="s">
        <v>23</v>
      </c>
      <c r="D20" s="30" t="s">
        <v>99</v>
      </c>
      <c r="E20" s="3" t="s">
        <v>1</v>
      </c>
      <c r="F20" s="15"/>
      <c r="G20" s="16"/>
      <c r="H20" s="10"/>
      <c r="I20" s="10"/>
      <c r="J20" s="11"/>
      <c r="K20" s="80"/>
      <c r="L20" s="15"/>
      <c r="M20" s="17"/>
      <c r="N20" s="80"/>
      <c r="O20" s="15"/>
      <c r="P20" s="17"/>
      <c r="Q20" s="57"/>
    </row>
    <row r="21" spans="2:17" x14ac:dyDescent="0.25">
      <c r="B21" s="56"/>
      <c r="C21" s="31" t="s">
        <v>25</v>
      </c>
      <c r="D21" s="32"/>
      <c r="E21" s="3" t="s">
        <v>1</v>
      </c>
      <c r="F21" s="15"/>
      <c r="G21" s="16"/>
      <c r="H21" s="10"/>
      <c r="I21" s="10"/>
      <c r="J21" s="11"/>
      <c r="K21" s="80"/>
      <c r="L21" s="15"/>
      <c r="M21" s="17"/>
      <c r="N21" s="80"/>
      <c r="O21" s="15"/>
      <c r="P21" s="17"/>
      <c r="Q21" s="57"/>
    </row>
    <row r="22" spans="2:17" x14ac:dyDescent="0.25">
      <c r="B22" s="56"/>
      <c r="C22" s="3"/>
      <c r="D22" s="3"/>
      <c r="E22" s="3" t="s">
        <v>1</v>
      </c>
      <c r="F22" s="15"/>
      <c r="G22" s="16"/>
      <c r="H22" s="10"/>
      <c r="I22" s="10"/>
      <c r="J22" s="11"/>
      <c r="K22" s="80"/>
      <c r="L22" s="15"/>
      <c r="M22" s="17"/>
      <c r="N22" s="80"/>
      <c r="O22" s="15"/>
      <c r="P22" s="17"/>
      <c r="Q22" s="57"/>
    </row>
    <row r="23" spans="2:17" x14ac:dyDescent="0.25">
      <c r="B23" s="56"/>
      <c r="C23" s="3"/>
      <c r="D23" s="3"/>
      <c r="E23" s="3" t="s">
        <v>1</v>
      </c>
      <c r="F23" s="15"/>
      <c r="G23" s="16"/>
      <c r="H23" s="10"/>
      <c r="I23" s="10"/>
      <c r="J23" s="11"/>
      <c r="K23" s="80"/>
      <c r="L23" s="15"/>
      <c r="M23" s="17"/>
      <c r="N23" s="80"/>
      <c r="O23" s="15"/>
      <c r="P23" s="17"/>
      <c r="Q23" s="57"/>
    </row>
    <row r="24" spans="2:17" x14ac:dyDescent="0.25">
      <c r="B24" s="56"/>
      <c r="C24" s="3"/>
      <c r="D24" s="3"/>
      <c r="E24" s="3" t="s">
        <v>1</v>
      </c>
      <c r="F24" s="15"/>
      <c r="G24" s="16"/>
      <c r="H24" s="10"/>
      <c r="I24" s="10"/>
      <c r="J24" s="11"/>
      <c r="K24" s="80"/>
      <c r="L24" s="15"/>
      <c r="M24" s="17"/>
      <c r="N24" s="80"/>
      <c r="O24" s="15"/>
      <c r="P24" s="17"/>
      <c r="Q24" s="57"/>
    </row>
    <row r="25" spans="2:17" x14ac:dyDescent="0.25">
      <c r="B25" s="56"/>
      <c r="C25" s="25" t="s">
        <v>26</v>
      </c>
      <c r="D25" s="3"/>
      <c r="E25" s="3" t="s">
        <v>1</v>
      </c>
      <c r="F25" s="15"/>
      <c r="G25" s="16"/>
      <c r="H25" s="10"/>
      <c r="I25" s="10"/>
      <c r="J25" s="11"/>
      <c r="K25" s="80"/>
      <c r="L25" s="15"/>
      <c r="M25" s="17"/>
      <c r="N25" s="80"/>
      <c r="O25" s="15"/>
      <c r="P25" s="17"/>
      <c r="Q25" s="57"/>
    </row>
    <row r="26" spans="2:17" x14ac:dyDescent="0.25">
      <c r="B26" s="56"/>
      <c r="C26" s="33" t="s">
        <v>17</v>
      </c>
      <c r="D26" s="34" t="str">
        <f t="array" aca="1" ref="D26:D29" ca="1">_xll.meLWOCurveCalibrate(D18,D19,D12,D20,D21)</f>
        <v>USD_ARR_BUMPED@8:0</v>
      </c>
      <c r="E26" s="3" t="s">
        <v>1</v>
      </c>
      <c r="F26" s="15"/>
      <c r="G26" s="16"/>
      <c r="H26" s="10"/>
      <c r="I26" s="10"/>
      <c r="J26" s="11"/>
      <c r="K26" s="80"/>
      <c r="L26" s="15"/>
      <c r="M26" s="17"/>
      <c r="N26" s="80"/>
      <c r="O26" s="15"/>
      <c r="P26" s="17"/>
      <c r="Q26" s="57"/>
    </row>
    <row r="27" spans="2:17" x14ac:dyDescent="0.25">
      <c r="B27" s="56"/>
      <c r="C27" s="37" t="s">
        <v>27</v>
      </c>
      <c r="D27" s="35" t="str">
        <f ca="1"/>
        <v>USDYC_BUMPED</v>
      </c>
      <c r="E27" s="3" t="s">
        <v>1</v>
      </c>
      <c r="F27" s="15"/>
      <c r="G27" s="16"/>
      <c r="H27" s="10"/>
      <c r="I27" s="10"/>
      <c r="J27" s="11"/>
      <c r="K27" s="80"/>
      <c r="L27" s="15"/>
      <c r="M27" s="17"/>
      <c r="N27" s="80"/>
      <c r="O27" s="15"/>
      <c r="P27" s="17"/>
      <c r="Q27" s="57"/>
    </row>
    <row r="28" spans="2:17" x14ac:dyDescent="0.25">
      <c r="B28" s="56"/>
      <c r="C28" s="37" t="s">
        <v>28</v>
      </c>
      <c r="D28" s="35" t="str">
        <f ca="1"/>
        <v>ARR</v>
      </c>
      <c r="E28" s="3" t="s">
        <v>1</v>
      </c>
      <c r="F28" s="15"/>
      <c r="G28" s="16"/>
      <c r="H28" s="10"/>
      <c r="I28" s="10"/>
      <c r="J28" s="11"/>
      <c r="K28" s="80"/>
      <c r="L28" s="15"/>
      <c r="M28" s="17"/>
      <c r="N28" s="80"/>
      <c r="O28" s="15"/>
      <c r="P28" s="17"/>
      <c r="Q28" s="57"/>
    </row>
    <row r="29" spans="2:17" x14ac:dyDescent="0.25">
      <c r="B29" s="56"/>
      <c r="C29" s="38" t="s">
        <v>29</v>
      </c>
      <c r="D29" s="36" t="str">
        <f ca="1"/>
        <v>0.28400 sec</v>
      </c>
      <c r="E29" s="3" t="s">
        <v>1</v>
      </c>
      <c r="F29" s="15"/>
      <c r="G29" s="16"/>
      <c r="H29" s="10"/>
      <c r="I29" s="10"/>
      <c r="J29" s="39"/>
      <c r="K29" s="80"/>
      <c r="L29" s="15"/>
      <c r="M29" s="17"/>
      <c r="N29" s="80"/>
      <c r="O29" s="15"/>
      <c r="P29" s="17"/>
      <c r="Q29" s="57"/>
    </row>
    <row r="30" spans="2:17" x14ac:dyDescent="0.25">
      <c r="B30" s="56"/>
      <c r="C30" s="40" t="s">
        <v>30</v>
      </c>
      <c r="D30" s="41" t="b">
        <f ca="1">_xll.meLWOExists(D26,"CURVE")</f>
        <v>1</v>
      </c>
      <c r="E30" s="3" t="s">
        <v>1</v>
      </c>
      <c r="F30" s="42"/>
      <c r="G30" s="43"/>
      <c r="H30" s="44"/>
      <c r="I30" s="44"/>
      <c r="J30" s="45"/>
      <c r="K30" s="80"/>
      <c r="L30" s="42"/>
      <c r="M30" s="46"/>
      <c r="N30" s="80"/>
      <c r="O30" s="42"/>
      <c r="P30" s="46"/>
      <c r="Q30" s="57"/>
    </row>
    <row r="31" spans="2:17" x14ac:dyDescent="0.25">
      <c r="B31" s="75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7"/>
    </row>
    <row r="33" spans="3:4" x14ac:dyDescent="0.25">
      <c r="D33" s="82" t="s">
        <v>118</v>
      </c>
    </row>
    <row r="34" spans="3:4" x14ac:dyDescent="0.25">
      <c r="C34" s="119" t="s">
        <v>119</v>
      </c>
      <c r="D34" s="120">
        <v>9.9999999999999995E-7</v>
      </c>
    </row>
    <row r="35" spans="3:4" x14ac:dyDescent="0.25">
      <c r="C35" s="121" t="s">
        <v>120</v>
      </c>
      <c r="D35" s="122" t="str">
        <f ca="1">_xll.meLWOCurveBumpAll(D26,D34,TRUE)</f>
        <v>USD_ARR_BUMPED@8:1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AX109"/>
  <sheetViews>
    <sheetView showGridLines="0" workbookViewId="0"/>
  </sheetViews>
  <sheetFormatPr defaultRowHeight="15" x14ac:dyDescent="0.25"/>
  <cols>
    <col min="2" max="3" width="9.140625" customWidth="1"/>
    <col min="5" max="5" width="9.140625" customWidth="1"/>
    <col min="22" max="22" width="9.140625" style="92"/>
    <col min="25" max="25" width="10.140625" bestFit="1" customWidth="1"/>
    <col min="29" max="29" width="10.140625" bestFit="1" customWidth="1"/>
    <col min="33" max="33" width="15" style="92" customWidth="1"/>
    <col min="34" max="35" width="9.140625" customWidth="1"/>
    <col min="38" max="38" width="12.28515625" customWidth="1"/>
    <col min="39" max="39" width="9.28515625" bestFit="1" customWidth="1"/>
    <col min="40" max="40" width="9.140625" style="92"/>
    <col min="42" max="42" width="10.140625" bestFit="1" customWidth="1"/>
    <col min="43" max="43" width="9.85546875" customWidth="1"/>
    <col min="45" max="45" width="9.140625" style="92"/>
    <col min="47" max="47" width="10.7109375" customWidth="1"/>
    <col min="50" max="50" width="9.140625" style="92"/>
  </cols>
  <sheetData>
    <row r="2" spans="2:50" x14ac:dyDescent="0.25">
      <c r="B2" s="93"/>
      <c r="C2" s="93"/>
      <c r="D2" s="93"/>
      <c r="E2" s="93"/>
      <c r="F2" s="93"/>
      <c r="G2" s="93"/>
      <c r="H2" s="93"/>
      <c r="I2" s="93"/>
      <c r="J2" s="93"/>
      <c r="K2" s="93"/>
      <c r="L2" s="93" t="s">
        <v>119</v>
      </c>
      <c r="M2" s="124">
        <f ca="1">BUMP!D34</f>
        <v>9.9999999999999995E-7</v>
      </c>
    </row>
    <row r="3" spans="2:50" x14ac:dyDescent="0.25">
      <c r="B3" s="93" t="s">
        <v>121</v>
      </c>
      <c r="C3" s="125" t="str">
        <f ca="1">NO_BUMP!D26</f>
        <v>USD_ARR_NO_BUMP@10:0</v>
      </c>
      <c r="D3" s="93"/>
      <c r="E3" s="93"/>
      <c r="F3" s="93"/>
      <c r="G3" s="93"/>
      <c r="H3" s="93"/>
      <c r="I3" s="93"/>
      <c r="J3" s="93"/>
      <c r="K3" s="93"/>
      <c r="L3" s="93" t="s">
        <v>121</v>
      </c>
      <c r="M3" s="125" t="str">
        <f ca="1">BUMP!$D$35</f>
        <v>USD_ARR_BUMPED@8:1</v>
      </c>
      <c r="Y3" s="81" t="str">
        <f ca="1">C3</f>
        <v>USD_ARR_NO_BUMP@10:0</v>
      </c>
      <c r="AC3" s="81" t="str">
        <f ca="1">$M$3</f>
        <v>USD_ARR_BUMPED@8:1</v>
      </c>
      <c r="AG3" s="123" t="s">
        <v>126</v>
      </c>
      <c r="AL3" s="81" t="s">
        <v>142</v>
      </c>
      <c r="AN3" s="90"/>
      <c r="AP3" s="81" t="s">
        <v>125</v>
      </c>
      <c r="AU3" s="81" t="s">
        <v>143</v>
      </c>
    </row>
    <row r="4" spans="2:50" x14ac:dyDescent="0.25">
      <c r="AJ4" s="81"/>
    </row>
    <row r="5" spans="2:50" x14ac:dyDescent="0.25">
      <c r="B5" s="98" t="str">
        <f t="array" aca="1" ref="B5:J55" ca="1">_xll.meLWOCurveDisplay(C3)</f>
        <v>CURVEPROPERTIES</v>
      </c>
      <c r="C5" s="98" t="str">
        <f ca="1"/>
        <v/>
      </c>
      <c r="D5" s="98" t="str">
        <f ca="1"/>
        <v/>
      </c>
      <c r="E5" s="98" t="str">
        <f ca="1"/>
        <v>MARKETDATAPROPERTIES</v>
      </c>
      <c r="F5" s="98" t="str">
        <f ca="1"/>
        <v/>
      </c>
      <c r="G5" s="98" t="str">
        <f ca="1"/>
        <v/>
      </c>
      <c r="H5" s="98" t="str">
        <f ca="1"/>
        <v/>
      </c>
      <c r="I5" s="98" t="str">
        <f ca="1"/>
        <v/>
      </c>
      <c r="J5" s="98" t="e">
        <f ca="1"/>
        <v>#N/A</v>
      </c>
      <c r="L5" s="98" t="str">
        <f t="array" aca="1" ref="L5:T55" ca="1">_xll.meLWOCurveDisplay(M3)</f>
        <v>CURVEPROPERTIES</v>
      </c>
      <c r="M5" s="98" t="str">
        <f ca="1"/>
        <v/>
      </c>
      <c r="N5" s="98" t="str">
        <f ca="1"/>
        <v/>
      </c>
      <c r="O5" s="98" t="str">
        <f ca="1"/>
        <v>MARKETDATAPROPERTIES</v>
      </c>
      <c r="P5" s="98" t="str">
        <f ca="1"/>
        <v/>
      </c>
      <c r="Q5" s="98" t="str">
        <f ca="1"/>
        <v/>
      </c>
      <c r="R5" s="98" t="str">
        <f ca="1"/>
        <v/>
      </c>
      <c r="S5" s="98" t="str">
        <f ca="1"/>
        <v/>
      </c>
      <c r="T5" s="98" t="e">
        <f ca="1"/>
        <v>#N/A</v>
      </c>
      <c r="Y5" t="str">
        <f t="array" aca="1" ref="Y5:Z55" ca="1">_xll.meCurveDiscountFactorsDisplay(NO_BUMP!$D$27,NO_BUMP!$D$28)</f>
        <v>PaymentDates</v>
      </c>
      <c r="Z5" t="str">
        <f ca="1"/>
        <v>DiscountFactors</v>
      </c>
      <c r="AC5" t="str">
        <f t="array" aca="1" ref="AC5:AD55" ca="1">_xll.meCurveDiscountFactorsDisplay(BUMP!$D$27,BUMP!$D$28)</f>
        <v>PaymentDates</v>
      </c>
      <c r="AD5" t="str">
        <f ca="1"/>
        <v>DiscountFactors</v>
      </c>
      <c r="AG5" s="92" t="str">
        <f ca="1">Y5</f>
        <v>PaymentDates</v>
      </c>
      <c r="AH5" t="s">
        <v>122</v>
      </c>
      <c r="AI5" t="s">
        <v>123</v>
      </c>
      <c r="AJ5" t="s">
        <v>108</v>
      </c>
      <c r="AL5" s="92" t="str">
        <f ca="1">JACOBIAN_RESULTS!B10</f>
        <v>#Error: Jacobian Results for Curve Collection '#Error: OIS Curve Market Data is Missing' and/or Curve Index '#Error: OIS Curve Market Data is Missing' do not exist</v>
      </c>
      <c r="AM5" s="92" t="str">
        <f ca="1">JACOBIAN_RESULTS!C10</f>
        <v>#Error: Jacobian Results for Curve Collection '#Error: OIS Curve Market Data is Missing' and/or Curve Index '#Error: OIS Curve Market Data is Missing' do not exist</v>
      </c>
      <c r="AN5" s="104" t="s">
        <v>107</v>
      </c>
      <c r="AP5" s="94" t="str">
        <f ca="1">JACOBIAN_RESULTS!K10</f>
        <v>Date</v>
      </c>
      <c r="AQ5" s="92" t="s">
        <v>110</v>
      </c>
      <c r="AR5" s="103" t="s">
        <v>123</v>
      </c>
      <c r="AS5" s="104" t="s">
        <v>107</v>
      </c>
      <c r="AU5" s="94" t="str">
        <f ca="1">JACOBIAN_RESULTS!P10</f>
        <v>Date</v>
      </c>
      <c r="AV5" s="92" t="s">
        <v>144</v>
      </c>
      <c r="AW5" s="103" t="s">
        <v>123</v>
      </c>
      <c r="AX5" s="104" t="s">
        <v>107</v>
      </c>
    </row>
    <row r="6" spans="2:50" x14ac:dyDescent="0.25">
      <c r="B6" s="98" t="str">
        <f ca="1"/>
        <v>CurveType</v>
      </c>
      <c r="C6" s="98" t="str">
        <f ca="1"/>
        <v>ARR</v>
      </c>
      <c r="D6" s="98" t="str">
        <f ca="1"/>
        <v/>
      </c>
      <c r="E6" s="98" t="str">
        <f ca="1"/>
        <v>Currency</v>
      </c>
      <c r="F6" s="98" t="str">
        <f ca="1"/>
        <v>USD</v>
      </c>
      <c r="G6" s="98" t="str">
        <f ca="1"/>
        <v/>
      </c>
      <c r="H6" s="98" t="str">
        <f ca="1"/>
        <v/>
      </c>
      <c r="I6" s="98" t="str">
        <f ca="1"/>
        <v/>
      </c>
      <c r="J6" s="98" t="e">
        <f ca="1"/>
        <v>#N/A</v>
      </c>
      <c r="L6" s="98" t="str">
        <f ca="1"/>
        <v>CurveType</v>
      </c>
      <c r="M6" s="98" t="str">
        <f ca="1"/>
        <v>ARR</v>
      </c>
      <c r="N6" s="98" t="str">
        <f ca="1"/>
        <v/>
      </c>
      <c r="O6" s="98" t="str">
        <f ca="1"/>
        <v>Currency</v>
      </c>
      <c r="P6" s="98" t="str">
        <f ca="1"/>
        <v>USD</v>
      </c>
      <c r="Q6" s="98" t="str">
        <f ca="1"/>
        <v/>
      </c>
      <c r="R6" s="98" t="str">
        <f ca="1"/>
        <v/>
      </c>
      <c r="S6" s="98" t="str">
        <f ca="1"/>
        <v/>
      </c>
      <c r="T6" s="98" t="e">
        <f ca="1"/>
        <v>#N/A</v>
      </c>
      <c r="Y6" s="91">
        <f ca="1"/>
        <v>43691</v>
      </c>
      <c r="Z6" s="126">
        <f ca="1"/>
        <v>1</v>
      </c>
      <c r="AC6" s="91">
        <f ca="1"/>
        <v>43691</v>
      </c>
      <c r="AD6" s="126">
        <f ca="1"/>
        <v>1</v>
      </c>
      <c r="AE6" s="89">
        <f t="shared" ref="AE6:AE37" ca="1" si="0">AD6-Z6</f>
        <v>0</v>
      </c>
      <c r="AF6" s="89"/>
      <c r="AG6" s="94">
        <f t="shared" ref="AG6:AG37" ca="1" si="1">Y6</f>
        <v>43691</v>
      </c>
      <c r="AH6" s="126">
        <f ca="1">Z6</f>
        <v>1</v>
      </c>
      <c r="AI6" s="126">
        <f ca="1">AD6</f>
        <v>1</v>
      </c>
      <c r="AJ6" s="89">
        <f ca="1">AI6-AH6</f>
        <v>0</v>
      </c>
      <c r="AL6" s="127" t="str">
        <f ca="1">JACOBIAN_RESULTS!B11</f>
        <v>#Error: Jacobian Results for Curve Collection '#Error: OIS Curve Market Data is Missing' and/or Curve Index '#Error: OIS Curve Market Data is Missing' do not exist</v>
      </c>
      <c r="AM6" s="89" t="str">
        <f ca="1">JACOBIAN_RESULTS!C11</f>
        <v>#Error: Jacobian Results for Curve Collection '#Error: OIS Curve Market Data is Missing' and/or Curve Index '#Error: OIS Curve Market Data is Missing' do not exist</v>
      </c>
      <c r="AN6" s="129" t="e">
        <f ca="1">AM6-AJ6</f>
        <v>#VALUE!</v>
      </c>
      <c r="AP6" s="94">
        <f ca="1">JACOBIAN_RESULTS!K11</f>
        <v>43691</v>
      </c>
      <c r="AQ6" s="90" t="e">
        <f ca="1">JACOBIAN_RESULTS!M11</f>
        <v>#VALUE!</v>
      </c>
      <c r="AR6" s="89">
        <f t="shared" ref="AR6:AR37" ca="1" si="2">AJ6</f>
        <v>0</v>
      </c>
      <c r="AS6" s="129" t="e">
        <f ca="1">AR6-AQ6</f>
        <v>#VALUE!</v>
      </c>
      <c r="AU6" s="94" t="str">
        <f ca="1">JACOBIAN_RESULTS!P11</f>
        <v>#Error: Invalid Variant Data: Unable to cast '#Error: Invalid Curve: CurveCollection '#Error: OIS Curve Market Data is Missing' does not exist' to double</v>
      </c>
      <c r="AV6" s="109">
        <f ca="1">JACOBIAN_RESULTS!R11</f>
        <v>1</v>
      </c>
      <c r="AW6" s="126">
        <f t="shared" ref="AW6:AW37" ca="1" si="3">AI6</f>
        <v>1</v>
      </c>
      <c r="AX6" s="129">
        <f ca="1">AW6-AV6</f>
        <v>0</v>
      </c>
    </row>
    <row r="7" spans="2:50" x14ac:dyDescent="0.25">
      <c r="B7" s="98" t="str">
        <f ca="1"/>
        <v>CurveIndexFrequency</v>
      </c>
      <c r="C7" s="98" t="str">
        <f ca="1"/>
        <v>DAILY</v>
      </c>
      <c r="D7" s="98" t="str">
        <f ca="1"/>
        <v/>
      </c>
      <c r="E7" s="98" t="str">
        <f ca="1"/>
        <v>CurveType</v>
      </c>
      <c r="F7" s="98" t="str">
        <f ca="1"/>
        <v>ARR</v>
      </c>
      <c r="G7" s="98" t="str">
        <f ca="1"/>
        <v/>
      </c>
      <c r="H7" s="98" t="str">
        <f ca="1"/>
        <v/>
      </c>
      <c r="I7" s="98" t="str">
        <f ca="1"/>
        <v/>
      </c>
      <c r="J7" s="98" t="e">
        <f ca="1"/>
        <v>#N/A</v>
      </c>
      <c r="L7" s="98" t="str">
        <f ca="1"/>
        <v>CurveIndexFrequency</v>
      </c>
      <c r="M7" s="98" t="str">
        <f ca="1"/>
        <v>DAILY</v>
      </c>
      <c r="N7" s="98" t="str">
        <f ca="1"/>
        <v/>
      </c>
      <c r="O7" s="98" t="str">
        <f ca="1"/>
        <v>CurveType</v>
      </c>
      <c r="P7" s="98" t="str">
        <f ca="1"/>
        <v>ARR</v>
      </c>
      <c r="Q7" s="98" t="str">
        <f ca="1"/>
        <v/>
      </c>
      <c r="R7" s="98" t="str">
        <f ca="1"/>
        <v/>
      </c>
      <c r="S7" s="98" t="str">
        <f ca="1"/>
        <v/>
      </c>
      <c r="T7" s="98" t="e">
        <f ca="1"/>
        <v>#N/A</v>
      </c>
      <c r="Y7" s="91">
        <f ca="1"/>
        <v>43692</v>
      </c>
      <c r="Z7" s="126">
        <f ca="1"/>
        <v>0.99994111457880819</v>
      </c>
      <c r="AC7" s="91">
        <f ca="1"/>
        <v>43692</v>
      </c>
      <c r="AD7" s="126">
        <f ca="1"/>
        <v>0.99994111180135758</v>
      </c>
      <c r="AE7" s="89">
        <f t="shared" ca="1" si="0"/>
        <v>-2.7774506028421797E-9</v>
      </c>
      <c r="AF7" s="89"/>
      <c r="AG7" s="94">
        <f t="shared" ca="1" si="1"/>
        <v>43692</v>
      </c>
      <c r="AH7" s="126">
        <f t="shared" ref="AH7:AH55" ca="1" si="4">Z7</f>
        <v>0.99994111457880819</v>
      </c>
      <c r="AI7" s="126">
        <f t="shared" ref="AI7:AI55" ca="1" si="5">AD7</f>
        <v>0.99994111180135758</v>
      </c>
      <c r="AJ7" s="89">
        <f t="shared" ref="AJ7:AJ55" ca="1" si="6">AI7-AH7</f>
        <v>-2.7774506028421797E-9</v>
      </c>
      <c r="AL7" s="127" t="str">
        <f ca="1">JACOBIAN_RESULTS!B12</f>
        <v>#Error: Jacobian Results for Curve Collection '#Error: OIS Curve Market Data is Missing' and/or Curve Index '#Error: OIS Curve Market Data is Missing' do not exist</v>
      </c>
      <c r="AM7" s="89" t="str">
        <f ca="1">JACOBIAN_RESULTS!C12</f>
        <v>#Error: Jacobian Results for Curve Collection '#Error: OIS Curve Market Data is Missing' and/or Curve Index '#Error: OIS Curve Market Data is Missing' do not exist</v>
      </c>
      <c r="AN7" s="129" t="e">
        <f t="shared" ref="AN7:AN55" ca="1" si="7">AM7-AJ7</f>
        <v>#VALUE!</v>
      </c>
      <c r="AP7" s="94">
        <f ca="1">JACOBIAN_RESULTS!K12</f>
        <v>43692</v>
      </c>
      <c r="AQ7" s="90" t="e">
        <f ca="1">JACOBIAN_RESULTS!M12</f>
        <v>#VALUE!</v>
      </c>
      <c r="AR7" s="89">
        <f t="shared" ca="1" si="2"/>
        <v>-2.7774506028421797E-9</v>
      </c>
      <c r="AS7" s="129" t="e">
        <f t="shared" ref="AS7:AS55" ca="1" si="8">AR7-AQ7</f>
        <v>#VALUE!</v>
      </c>
      <c r="AU7" s="94" t="str">
        <f ca="1">JACOBIAN_RESULTS!P12</f>
        <v>#Error: Invalid Variant Data: Unable to cast '#Error: Invalid Curve: CurveCollection '#Error: OIS Curve Market Data is Missing' does not exist' to double</v>
      </c>
      <c r="AV7" s="109">
        <f ca="1">JACOBIAN_RESULTS!R12</f>
        <v>0.99994111180135758</v>
      </c>
      <c r="AW7" s="126">
        <f t="shared" ca="1" si="3"/>
        <v>0.99994111180135758</v>
      </c>
      <c r="AX7" s="129">
        <f t="shared" ref="AX7:AX55" ca="1" si="9">AW7-AV7</f>
        <v>0</v>
      </c>
    </row>
    <row r="8" spans="2:50" x14ac:dyDescent="0.25">
      <c r="B8" s="98" t="str">
        <f ca="1"/>
        <v>StaticDataTable</v>
      </c>
      <c r="C8" s="98" t="str">
        <f ca="1"/>
        <v>ARR</v>
      </c>
      <c r="D8" s="98" t="str">
        <f ca="1"/>
        <v/>
      </c>
      <c r="E8" s="98" t="str">
        <f ca="1"/>
        <v>CurveIndexFrequency</v>
      </c>
      <c r="F8" s="98" t="str">
        <f ca="1"/>
        <v>DAILY</v>
      </c>
      <c r="G8" s="98" t="str">
        <f ca="1"/>
        <v/>
      </c>
      <c r="H8" s="98" t="str">
        <f ca="1"/>
        <v/>
      </c>
      <c r="I8" s="98" t="str">
        <f ca="1"/>
        <v/>
      </c>
      <c r="J8" s="98" t="e">
        <f ca="1"/>
        <v>#N/A</v>
      </c>
      <c r="L8" s="98" t="str">
        <f ca="1"/>
        <v>StaticDataTable</v>
      </c>
      <c r="M8" s="98" t="str">
        <f ca="1"/>
        <v>ARR</v>
      </c>
      <c r="N8" s="98" t="str">
        <f ca="1"/>
        <v/>
      </c>
      <c r="O8" s="98" t="str">
        <f ca="1"/>
        <v>CurveIndexFrequency</v>
      </c>
      <c r="P8" s="98" t="str">
        <f ca="1"/>
        <v>DAILY</v>
      </c>
      <c r="Q8" s="98" t="str">
        <f ca="1"/>
        <v/>
      </c>
      <c r="R8" s="98" t="str">
        <f ca="1"/>
        <v/>
      </c>
      <c r="S8" s="98" t="str">
        <f ca="1"/>
        <v/>
      </c>
      <c r="T8" s="98" t="e">
        <f ca="1"/>
        <v>#N/A</v>
      </c>
      <c r="Y8" s="91">
        <f ca="1"/>
        <v>43693</v>
      </c>
      <c r="Z8" s="126">
        <f ca="1"/>
        <v>0.99988223262510922</v>
      </c>
      <c r="AC8" s="91">
        <f ca="1"/>
        <v>43693</v>
      </c>
      <c r="AD8" s="126">
        <f ca="1"/>
        <v>0.99988222707053509</v>
      </c>
      <c r="AE8" s="89">
        <f t="shared" ca="1" si="0"/>
        <v>-5.5545741339813048E-9</v>
      </c>
      <c r="AF8" s="89"/>
      <c r="AG8" s="94">
        <f t="shared" ca="1" si="1"/>
        <v>43693</v>
      </c>
      <c r="AH8" s="126">
        <f t="shared" ca="1" si="4"/>
        <v>0.99988223262510922</v>
      </c>
      <c r="AI8" s="126">
        <f t="shared" ca="1" si="5"/>
        <v>0.99988222707053509</v>
      </c>
      <c r="AJ8" s="89">
        <f t="shared" ca="1" si="6"/>
        <v>-5.5545741339813048E-9</v>
      </c>
      <c r="AL8" s="127" t="str">
        <f ca="1">JACOBIAN_RESULTS!B13</f>
        <v>#Error: Jacobian Results for Curve Collection '#Error: OIS Curve Market Data is Missing' and/or Curve Index '#Error: OIS Curve Market Data is Missing' do not exist</v>
      </c>
      <c r="AM8" s="89" t="str">
        <f ca="1">JACOBIAN_RESULTS!C13</f>
        <v>#Error: Jacobian Results for Curve Collection '#Error: OIS Curve Market Data is Missing' and/or Curve Index '#Error: OIS Curve Market Data is Missing' do not exist</v>
      </c>
      <c r="AN8" s="129" t="e">
        <f t="shared" ca="1" si="7"/>
        <v>#VALUE!</v>
      </c>
      <c r="AP8" s="94">
        <f ca="1">JACOBIAN_RESULTS!K13</f>
        <v>43693</v>
      </c>
      <c r="AQ8" s="90" t="e">
        <f ca="1">JACOBIAN_RESULTS!M13</f>
        <v>#VALUE!</v>
      </c>
      <c r="AR8" s="89">
        <f t="shared" ca="1" si="2"/>
        <v>-5.5545741339813048E-9</v>
      </c>
      <c r="AS8" s="129" t="e">
        <f t="shared" ca="1" si="8"/>
        <v>#VALUE!</v>
      </c>
      <c r="AU8" s="94" t="str">
        <f ca="1">JACOBIAN_RESULTS!P13</f>
        <v>#Error: Invalid Variant Data: Unable to cast '#Error: Invalid Curve: CurveCollection '#Error: OIS Curve Market Data is Missing' does not exist' to double</v>
      </c>
      <c r="AV8" s="109">
        <f ca="1">JACOBIAN_RESULTS!R13</f>
        <v>0.99988222707053509</v>
      </c>
      <c r="AW8" s="126">
        <f t="shared" ca="1" si="3"/>
        <v>0.99988222707053509</v>
      </c>
      <c r="AX8" s="129">
        <f t="shared" ca="1" si="9"/>
        <v>0</v>
      </c>
    </row>
    <row r="9" spans="2:50" x14ac:dyDescent="0.25">
      <c r="B9" s="98" t="str">
        <f ca="1"/>
        <v>IndexName</v>
      </c>
      <c r="C9" s="98" t="str">
        <f ca="1"/>
        <v>ARR</v>
      </c>
      <c r="D9" s="98" t="str">
        <f ca="1"/>
        <v/>
      </c>
      <c r="E9" s="98" t="str">
        <f ca="1"/>
        <v>AsOfDate</v>
      </c>
      <c r="F9" s="98">
        <f ca="1"/>
        <v>43691</v>
      </c>
      <c r="G9" s="98" t="str">
        <f ca="1"/>
        <v/>
      </c>
      <c r="H9" s="98" t="str">
        <f ca="1"/>
        <v/>
      </c>
      <c r="I9" s="98" t="str">
        <f ca="1"/>
        <v/>
      </c>
      <c r="J9" s="98" t="e">
        <f ca="1"/>
        <v>#N/A</v>
      </c>
      <c r="L9" s="98" t="str">
        <f ca="1"/>
        <v>IndexName</v>
      </c>
      <c r="M9" s="98" t="str">
        <f ca="1"/>
        <v>ARR</v>
      </c>
      <c r="N9" s="98" t="str">
        <f ca="1"/>
        <v/>
      </c>
      <c r="O9" s="98" t="str">
        <f ca="1"/>
        <v>AsOfDate</v>
      </c>
      <c r="P9" s="98">
        <f ca="1"/>
        <v>43691</v>
      </c>
      <c r="Q9" s="98" t="str">
        <f ca="1"/>
        <v/>
      </c>
      <c r="R9" s="98" t="str">
        <f ca="1"/>
        <v/>
      </c>
      <c r="S9" s="98" t="str">
        <f ca="1"/>
        <v/>
      </c>
      <c r="T9" s="98" t="e">
        <f ca="1"/>
        <v>#N/A</v>
      </c>
      <c r="V9" s="81" t="s">
        <v>124</v>
      </c>
      <c r="Y9" s="91">
        <f ca="1"/>
        <v>43700</v>
      </c>
      <c r="Z9" s="126">
        <f ca="1"/>
        <v>0.99946774224720281</v>
      </c>
      <c r="AC9" s="91">
        <f ca="1"/>
        <v>43700</v>
      </c>
      <c r="AD9" s="126">
        <f ca="1"/>
        <v>0.99946771726889294</v>
      </c>
      <c r="AE9" s="89">
        <f t="shared" ca="1" si="0"/>
        <v>-2.4978309864920334E-8</v>
      </c>
      <c r="AF9" s="89"/>
      <c r="AG9" s="94">
        <f t="shared" ca="1" si="1"/>
        <v>43700</v>
      </c>
      <c r="AH9" s="126">
        <f t="shared" ca="1" si="4"/>
        <v>0.99946774224720281</v>
      </c>
      <c r="AI9" s="126">
        <f t="shared" ca="1" si="5"/>
        <v>0.99946771726889294</v>
      </c>
      <c r="AJ9" s="89">
        <f t="shared" ca="1" si="6"/>
        <v>-2.4978309864920334E-8</v>
      </c>
      <c r="AL9" s="127" t="str">
        <f ca="1">JACOBIAN_RESULTS!B14</f>
        <v>#Error: Jacobian Results for Curve Collection '#Error: OIS Curve Market Data is Missing' and/or Curve Index '#Error: OIS Curve Market Data is Missing' do not exist</v>
      </c>
      <c r="AM9" s="89" t="str">
        <f ca="1">JACOBIAN_RESULTS!C14</f>
        <v>#Error: Jacobian Results for Curve Collection '#Error: OIS Curve Market Data is Missing' and/or Curve Index '#Error: OIS Curve Market Data is Missing' do not exist</v>
      </c>
      <c r="AN9" s="129" t="e">
        <f t="shared" ca="1" si="7"/>
        <v>#VALUE!</v>
      </c>
      <c r="AP9" s="94">
        <f ca="1">JACOBIAN_RESULTS!K14</f>
        <v>43700</v>
      </c>
      <c r="AQ9" s="90" t="e">
        <f ca="1">JACOBIAN_RESULTS!M14</f>
        <v>#VALUE!</v>
      </c>
      <c r="AR9" s="89">
        <f t="shared" ca="1" si="2"/>
        <v>-2.4978309864920334E-8</v>
      </c>
      <c r="AS9" s="129" t="e">
        <f t="shared" ca="1" si="8"/>
        <v>#VALUE!</v>
      </c>
      <c r="AU9" s="94" t="str">
        <f ca="1">JACOBIAN_RESULTS!P14</f>
        <v>#Error: Invalid Variant Data: Unable to cast '#Error: Invalid Curve: CurveCollection '#Error: OIS Curve Market Data is Missing' does not exist' to double</v>
      </c>
      <c r="AV9" s="109">
        <f ca="1">JACOBIAN_RESULTS!R14</f>
        <v>0.99946771726889294</v>
      </c>
      <c r="AW9" s="126">
        <f t="shared" ca="1" si="3"/>
        <v>0.99946771726889294</v>
      </c>
      <c r="AX9" s="129">
        <f t="shared" ca="1" si="9"/>
        <v>0</v>
      </c>
    </row>
    <row r="10" spans="2:50" x14ac:dyDescent="0.25">
      <c r="B10" s="98" t="str">
        <f ca="1"/>
        <v>Currency</v>
      </c>
      <c r="C10" s="98" t="str">
        <f ca="1"/>
        <v>USD</v>
      </c>
      <c r="D10" s="98" t="str">
        <f ca="1"/>
        <v/>
      </c>
      <c r="E10" s="98" t="str">
        <f ca="1"/>
        <v/>
      </c>
      <c r="F10" s="98" t="str">
        <f ca="1"/>
        <v/>
      </c>
      <c r="G10" s="98" t="str">
        <f ca="1"/>
        <v/>
      </c>
      <c r="H10" s="98" t="str">
        <f ca="1"/>
        <v/>
      </c>
      <c r="I10" s="98" t="str">
        <f ca="1"/>
        <v/>
      </c>
      <c r="J10" s="98" t="e">
        <f ca="1"/>
        <v>#N/A</v>
      </c>
      <c r="L10" s="98" t="str">
        <f ca="1"/>
        <v>Currency</v>
      </c>
      <c r="M10" s="98" t="str">
        <f ca="1"/>
        <v>USD</v>
      </c>
      <c r="N10" s="98" t="str">
        <f ca="1"/>
        <v/>
      </c>
      <c r="O10" s="98" t="str">
        <f ca="1"/>
        <v/>
      </c>
      <c r="P10" s="98" t="str">
        <f ca="1"/>
        <v/>
      </c>
      <c r="Q10" s="98" t="str">
        <f ca="1"/>
        <v/>
      </c>
      <c r="R10" s="98" t="str">
        <f ca="1"/>
        <v/>
      </c>
      <c r="S10" s="98" t="str">
        <f ca="1"/>
        <v/>
      </c>
      <c r="T10" s="98" t="e">
        <f ca="1"/>
        <v>#N/A</v>
      </c>
      <c r="Y10" s="91">
        <f ca="1"/>
        <v>43707</v>
      </c>
      <c r="Z10" s="126">
        <f ca="1"/>
        <v>0.99905340127252418</v>
      </c>
      <c r="AC10" s="91">
        <f ca="1"/>
        <v>43707</v>
      </c>
      <c r="AD10" s="126">
        <f ca="1"/>
        <v>0.99905335690268326</v>
      </c>
      <c r="AE10" s="89">
        <f t="shared" ca="1" si="0"/>
        <v>-4.4369840912494851E-8</v>
      </c>
      <c r="AF10" s="89"/>
      <c r="AG10" s="94">
        <f t="shared" ca="1" si="1"/>
        <v>43707</v>
      </c>
      <c r="AH10" s="126">
        <f t="shared" ca="1" si="4"/>
        <v>0.99905340127252418</v>
      </c>
      <c r="AI10" s="126">
        <f t="shared" ca="1" si="5"/>
        <v>0.99905335690268326</v>
      </c>
      <c r="AJ10" s="89">
        <f t="shared" ca="1" si="6"/>
        <v>-4.4369840912494851E-8</v>
      </c>
      <c r="AL10" s="127" t="str">
        <f ca="1">JACOBIAN_RESULTS!B15</f>
        <v>#Error: Jacobian Results for Curve Collection '#Error: OIS Curve Market Data is Missing' and/or Curve Index '#Error: OIS Curve Market Data is Missing' do not exist</v>
      </c>
      <c r="AM10" s="89" t="str">
        <f ca="1">JACOBIAN_RESULTS!C15</f>
        <v>#Error: Jacobian Results for Curve Collection '#Error: OIS Curve Market Data is Missing' and/or Curve Index '#Error: OIS Curve Market Data is Missing' do not exist</v>
      </c>
      <c r="AN10" s="129" t="e">
        <f t="shared" ca="1" si="7"/>
        <v>#VALUE!</v>
      </c>
      <c r="AP10" s="94">
        <f ca="1">JACOBIAN_RESULTS!K15</f>
        <v>43707</v>
      </c>
      <c r="AQ10" s="90" t="e">
        <f ca="1">JACOBIAN_RESULTS!M15</f>
        <v>#VALUE!</v>
      </c>
      <c r="AR10" s="89">
        <f t="shared" ca="1" si="2"/>
        <v>-4.4369840912494851E-8</v>
      </c>
      <c r="AS10" s="129" t="e">
        <f t="shared" ca="1" si="8"/>
        <v>#VALUE!</v>
      </c>
      <c r="AU10" s="94" t="str">
        <f ca="1">JACOBIAN_RESULTS!P15</f>
        <v>#Error: Invalid Variant Data: Unable to cast '#Error: Invalid Curve: CurveCollection '#Error: OIS Curve Market Data is Missing' does not exist' to double</v>
      </c>
      <c r="AV10" s="109">
        <f ca="1">JACOBIAN_RESULTS!R15</f>
        <v>0.99905335690268326</v>
      </c>
      <c r="AW10" s="126">
        <f t="shared" ca="1" si="3"/>
        <v>0.99905335690268326</v>
      </c>
      <c r="AX10" s="129">
        <f t="shared" ca="1" si="9"/>
        <v>0</v>
      </c>
    </row>
    <row r="11" spans="2:50" x14ac:dyDescent="0.25">
      <c r="B11" s="98" t="str">
        <f ca="1"/>
        <v>interpolation</v>
      </c>
      <c r="C11" s="98" t="str">
        <f ca="1"/>
        <v>FN_SPLINEINTERPOLATION</v>
      </c>
      <c r="D11" s="98" t="str">
        <f ca="1"/>
        <v/>
      </c>
      <c r="E11" s="98" t="str">
        <f ca="1"/>
        <v>OIS</v>
      </c>
      <c r="F11" s="98" t="str">
        <f ca="1"/>
        <v/>
      </c>
      <c r="G11" s="98" t="str">
        <f ca="1"/>
        <v/>
      </c>
      <c r="H11" s="98" t="str">
        <f ca="1"/>
        <v/>
      </c>
      <c r="I11" s="98" t="str">
        <f ca="1"/>
        <v/>
      </c>
      <c r="J11" s="98" t="e">
        <f ca="1"/>
        <v>#N/A</v>
      </c>
      <c r="L11" s="98" t="str">
        <f ca="1"/>
        <v>interpolation</v>
      </c>
      <c r="M11" s="98" t="str">
        <f ca="1"/>
        <v>FN_SPLINEINTERPOLATION</v>
      </c>
      <c r="N11" s="98" t="str">
        <f ca="1"/>
        <v/>
      </c>
      <c r="O11" s="98" t="str">
        <f ca="1"/>
        <v>OIS</v>
      </c>
      <c r="P11" s="98" t="str">
        <f ca="1"/>
        <v/>
      </c>
      <c r="Q11" s="98" t="str">
        <f ca="1"/>
        <v/>
      </c>
      <c r="R11" s="98" t="str">
        <f ca="1"/>
        <v/>
      </c>
      <c r="S11" s="98" t="str">
        <f ca="1"/>
        <v/>
      </c>
      <c r="T11" s="98" t="e">
        <f ca="1"/>
        <v>#N/A</v>
      </c>
      <c r="V11" s="117" t="s">
        <v>107</v>
      </c>
      <c r="Y11" s="91">
        <f ca="1"/>
        <v>43714</v>
      </c>
      <c r="Z11" s="126">
        <f ca="1"/>
        <v>0.99863734795110837</v>
      </c>
      <c r="AC11" s="91">
        <f ca="1"/>
        <v>43714</v>
      </c>
      <c r="AD11" s="126">
        <f ca="1"/>
        <v>0.9986372842221386</v>
      </c>
      <c r="AE11" s="89">
        <f t="shared" ca="1" si="0"/>
        <v>-6.3728969768028776E-8</v>
      </c>
      <c r="AF11" s="89"/>
      <c r="AG11" s="94">
        <f t="shared" ca="1" si="1"/>
        <v>43714</v>
      </c>
      <c r="AH11" s="126">
        <f t="shared" ca="1" si="4"/>
        <v>0.99863734795110837</v>
      </c>
      <c r="AI11" s="126">
        <f t="shared" ca="1" si="5"/>
        <v>0.9986372842221386</v>
      </c>
      <c r="AJ11" s="89">
        <f t="shared" ca="1" si="6"/>
        <v>-6.3728969768028776E-8</v>
      </c>
      <c r="AL11" s="127" t="str">
        <f ca="1">JACOBIAN_RESULTS!B16</f>
        <v>#Error: Jacobian Results for Curve Collection '#Error: OIS Curve Market Data is Missing' and/or Curve Index '#Error: OIS Curve Market Data is Missing' do not exist</v>
      </c>
      <c r="AM11" s="89" t="str">
        <f ca="1">JACOBIAN_RESULTS!C16</f>
        <v>#Error: Jacobian Results for Curve Collection '#Error: OIS Curve Market Data is Missing' and/or Curve Index '#Error: OIS Curve Market Data is Missing' do not exist</v>
      </c>
      <c r="AN11" s="129" t="e">
        <f t="shared" ca="1" si="7"/>
        <v>#VALUE!</v>
      </c>
      <c r="AP11" s="94">
        <f ca="1">JACOBIAN_RESULTS!K16</f>
        <v>43714</v>
      </c>
      <c r="AQ11" s="90" t="e">
        <f ca="1">JACOBIAN_RESULTS!M16</f>
        <v>#VALUE!</v>
      </c>
      <c r="AR11" s="89">
        <f t="shared" ca="1" si="2"/>
        <v>-6.3728969768028776E-8</v>
      </c>
      <c r="AS11" s="129" t="e">
        <f t="shared" ca="1" si="8"/>
        <v>#VALUE!</v>
      </c>
      <c r="AU11" s="94" t="str">
        <f ca="1">JACOBIAN_RESULTS!P16</f>
        <v>#Error: Invalid Variant Data: Unable to cast '#Error: Invalid Curve: CurveCollection '#Error: OIS Curve Market Data is Missing' does not exist' to double</v>
      </c>
      <c r="AV11" s="109">
        <f ca="1">JACOBIAN_RESULTS!R16</f>
        <v>0.9986372842221386</v>
      </c>
      <c r="AW11" s="126">
        <f t="shared" ca="1" si="3"/>
        <v>0.9986372842221386</v>
      </c>
      <c r="AX11" s="129">
        <f t="shared" ca="1" si="9"/>
        <v>0</v>
      </c>
    </row>
    <row r="12" spans="2:50" x14ac:dyDescent="0.25">
      <c r="B12" s="98" t="str">
        <f ca="1"/>
        <v>yieldgen.interpolation</v>
      </c>
      <c r="C12" s="98" t="str">
        <f ca="1"/>
        <v>FN_SPLINEINTERPOLATION</v>
      </c>
      <c r="D12" s="98" t="str">
        <f ca="1"/>
        <v/>
      </c>
      <c r="E12" s="98" t="str">
        <f ca="1"/>
        <v>ON</v>
      </c>
      <c r="F12" s="116">
        <f ca="1"/>
        <v>2.12E-2</v>
      </c>
      <c r="G12" s="98" t="str">
        <f ca="1"/>
        <v/>
      </c>
      <c r="H12" s="98" t="str">
        <f ca="1"/>
        <v/>
      </c>
      <c r="I12" s="98" t="str">
        <f ca="1"/>
        <v>TRUE</v>
      </c>
      <c r="J12" s="98" t="e">
        <f ca="1"/>
        <v>#N/A</v>
      </c>
      <c r="L12" s="98" t="str">
        <f ca="1"/>
        <v>yieldgen.interpolation</v>
      </c>
      <c r="M12" s="98" t="str">
        <f ca="1"/>
        <v>FN_SPLINEINTERPOLATION</v>
      </c>
      <c r="N12" s="98" t="str">
        <f ca="1"/>
        <v/>
      </c>
      <c r="O12" s="98" t="str">
        <f ca="1"/>
        <v>ON</v>
      </c>
      <c r="P12" s="116">
        <f ca="1"/>
        <v>2.1201000000000001E-2</v>
      </c>
      <c r="Q12" s="98" t="str">
        <f ca="1"/>
        <v/>
      </c>
      <c r="R12" s="98" t="str">
        <f ca="1"/>
        <v/>
      </c>
      <c r="S12" s="98" t="str">
        <f ca="1"/>
        <v>TRUE</v>
      </c>
      <c r="T12" s="98" t="e">
        <f ca="1"/>
        <v>#N/A</v>
      </c>
      <c r="V12" s="118">
        <f ca="1">P12-F12</f>
        <v>1.0000000000010001E-6</v>
      </c>
      <c r="Y12" s="91">
        <f ca="1"/>
        <v>43724</v>
      </c>
      <c r="Z12" s="126">
        <f ca="1"/>
        <v>0.998046664013581</v>
      </c>
      <c r="AC12" s="91">
        <f ca="1"/>
        <v>43724</v>
      </c>
      <c r="AD12" s="126">
        <f ca="1"/>
        <v>0.99804657268407737</v>
      </c>
      <c r="AE12" s="89">
        <f t="shared" ca="1" si="0"/>
        <v>-9.1329503626447206E-8</v>
      </c>
      <c r="AF12" s="89"/>
      <c r="AG12" s="94">
        <f t="shared" ca="1" si="1"/>
        <v>43724</v>
      </c>
      <c r="AH12" s="126">
        <f t="shared" ca="1" si="4"/>
        <v>0.998046664013581</v>
      </c>
      <c r="AI12" s="126">
        <f t="shared" ca="1" si="5"/>
        <v>0.99804657268407737</v>
      </c>
      <c r="AJ12" s="89">
        <f t="shared" ca="1" si="6"/>
        <v>-9.1329503626447206E-8</v>
      </c>
      <c r="AL12" s="127" t="str">
        <f ca="1">JACOBIAN_RESULTS!B17</f>
        <v>#Error: Jacobian Results for Curve Collection '#Error: OIS Curve Market Data is Missing' and/or Curve Index '#Error: OIS Curve Market Data is Missing' do not exist</v>
      </c>
      <c r="AM12" s="89" t="str">
        <f ca="1">JACOBIAN_RESULTS!C17</f>
        <v>#Error: Jacobian Results for Curve Collection '#Error: OIS Curve Market Data is Missing' and/or Curve Index '#Error: OIS Curve Market Data is Missing' do not exist</v>
      </c>
      <c r="AN12" s="129" t="e">
        <f t="shared" ca="1" si="7"/>
        <v>#VALUE!</v>
      </c>
      <c r="AP12" s="94">
        <f ca="1">JACOBIAN_RESULTS!K17</f>
        <v>43724</v>
      </c>
      <c r="AQ12" s="90" t="e">
        <f ca="1">JACOBIAN_RESULTS!M17</f>
        <v>#VALUE!</v>
      </c>
      <c r="AR12" s="89">
        <f t="shared" ca="1" si="2"/>
        <v>-9.1329503626447206E-8</v>
      </c>
      <c r="AS12" s="129" t="e">
        <f t="shared" ca="1" si="8"/>
        <v>#VALUE!</v>
      </c>
      <c r="AU12" s="94" t="str">
        <f ca="1">JACOBIAN_RESULTS!P17</f>
        <v>#Error: Invalid Variant Data: Unable to cast '#Error: Invalid Curve: CurveCollection '#Error: OIS Curve Market Data is Missing' does not exist' to double</v>
      </c>
      <c r="AV12" s="109">
        <f ca="1">JACOBIAN_RESULTS!R17</f>
        <v>0.99804657268407737</v>
      </c>
      <c r="AW12" s="126">
        <f t="shared" ca="1" si="3"/>
        <v>0.99804657268407737</v>
      </c>
      <c r="AX12" s="129">
        <f t="shared" ca="1" si="9"/>
        <v>0</v>
      </c>
    </row>
    <row r="13" spans="2:50" x14ac:dyDescent="0.25">
      <c r="B13" s="98" t="str">
        <f ca="1"/>
        <v>JacobianBuildFrequency</v>
      </c>
      <c r="C13" s="98" t="str">
        <f ca="1"/>
        <v>NEVER</v>
      </c>
      <c r="D13" s="98" t="str">
        <f ca="1"/>
        <v/>
      </c>
      <c r="E13" s="98" t="str">
        <f ca="1"/>
        <v>1W</v>
      </c>
      <c r="F13" s="116">
        <f ca="1"/>
        <v>2.1328E-2</v>
      </c>
      <c r="G13" s="98" t="str">
        <f ca="1"/>
        <v/>
      </c>
      <c r="H13" s="98" t="str">
        <f ca="1"/>
        <v/>
      </c>
      <c r="I13" s="98" t="str">
        <f ca="1"/>
        <v>TRUE</v>
      </c>
      <c r="J13" s="98" t="e">
        <f ca="1"/>
        <v>#N/A</v>
      </c>
      <c r="L13" s="98" t="str">
        <f ca="1"/>
        <v>JacobianBuildFrequency</v>
      </c>
      <c r="M13" s="98" t="str">
        <f ca="1"/>
        <v>NEVER</v>
      </c>
      <c r="N13" s="98" t="str">
        <f ca="1"/>
        <v/>
      </c>
      <c r="O13" s="98" t="str">
        <f ca="1"/>
        <v>1W</v>
      </c>
      <c r="P13" s="116">
        <f ca="1"/>
        <v>2.1329000000000001E-2</v>
      </c>
      <c r="Q13" s="98" t="str">
        <f ca="1"/>
        <v/>
      </c>
      <c r="R13" s="98" t="str">
        <f ca="1"/>
        <v/>
      </c>
      <c r="S13" s="98" t="str">
        <f ca="1"/>
        <v>TRUE</v>
      </c>
      <c r="T13" s="98" t="e">
        <f ca="1"/>
        <v>#N/A</v>
      </c>
      <c r="V13" s="118">
        <f t="shared" ref="V13:V55" ca="1" si="10">P13-F13</f>
        <v>1.0000000000010001E-6</v>
      </c>
      <c r="Y13" s="91">
        <f ca="1"/>
        <v>43754</v>
      </c>
      <c r="Z13" s="126">
        <f ca="1"/>
        <v>0.99650182164004475</v>
      </c>
      <c r="AC13" s="91">
        <f ca="1"/>
        <v>43754</v>
      </c>
      <c r="AD13" s="126">
        <f ca="1"/>
        <v>0.99650164782343664</v>
      </c>
      <c r="AE13" s="89">
        <f t="shared" ca="1" si="0"/>
        <v>-1.7381660810666943E-7</v>
      </c>
      <c r="AF13" s="89"/>
      <c r="AG13" s="94">
        <f t="shared" ca="1" si="1"/>
        <v>43754</v>
      </c>
      <c r="AH13" s="126">
        <f t="shared" ca="1" si="4"/>
        <v>0.99650182164004475</v>
      </c>
      <c r="AI13" s="126">
        <f t="shared" ca="1" si="5"/>
        <v>0.99650164782343664</v>
      </c>
      <c r="AJ13" s="89">
        <f t="shared" ca="1" si="6"/>
        <v>-1.7381660810666943E-7</v>
      </c>
      <c r="AL13" s="127" t="str">
        <f ca="1">JACOBIAN_RESULTS!B18</f>
        <v>#Error: Jacobian Results for Curve Collection '#Error: OIS Curve Market Data is Missing' and/or Curve Index '#Error: OIS Curve Market Data is Missing' do not exist</v>
      </c>
      <c r="AM13" s="89" t="str">
        <f ca="1">JACOBIAN_RESULTS!C18</f>
        <v>#Error: Jacobian Results for Curve Collection '#Error: OIS Curve Market Data is Missing' and/or Curve Index '#Error: OIS Curve Market Data is Missing' do not exist</v>
      </c>
      <c r="AN13" s="129" t="e">
        <f t="shared" ca="1" si="7"/>
        <v>#VALUE!</v>
      </c>
      <c r="AP13" s="94">
        <f ca="1">JACOBIAN_RESULTS!K18</f>
        <v>43754</v>
      </c>
      <c r="AQ13" s="90" t="e">
        <f ca="1">JACOBIAN_RESULTS!M18</f>
        <v>#VALUE!</v>
      </c>
      <c r="AR13" s="89">
        <f t="shared" ca="1" si="2"/>
        <v>-1.7381660810666943E-7</v>
      </c>
      <c r="AS13" s="129" t="e">
        <f t="shared" ca="1" si="8"/>
        <v>#VALUE!</v>
      </c>
      <c r="AU13" s="94" t="str">
        <f ca="1">JACOBIAN_RESULTS!P18</f>
        <v>#Error: Invalid Variant Data: Unable to cast '#Error: Invalid Curve: CurveCollection '#Error: OIS Curve Market Data is Missing' does not exist' to double</v>
      </c>
      <c r="AV13" s="109">
        <f ca="1">JACOBIAN_RESULTS!R18</f>
        <v>0.99650164782343664</v>
      </c>
      <c r="AW13" s="126">
        <f t="shared" ca="1" si="3"/>
        <v>0.99650164782343664</v>
      </c>
      <c r="AX13" s="129">
        <f t="shared" ca="1" si="9"/>
        <v>0</v>
      </c>
    </row>
    <row r="14" spans="2:50" x14ac:dyDescent="0.25">
      <c r="B14" s="98" t="str">
        <f ca="1"/>
        <v>JacobianShiftType</v>
      </c>
      <c r="C14" s="98" t="str">
        <f ca="1"/>
        <v>FLAT_SHIFT</v>
      </c>
      <c r="D14" s="98" t="str">
        <f ca="1"/>
        <v/>
      </c>
      <c r="E14" s="98" t="str">
        <f ca="1"/>
        <v>2W</v>
      </c>
      <c r="F14" s="116">
        <f ca="1"/>
        <v>2.1333000000000001E-2</v>
      </c>
      <c r="G14" s="98" t="str">
        <f ca="1"/>
        <v/>
      </c>
      <c r="H14" s="98" t="str">
        <f ca="1"/>
        <v/>
      </c>
      <c r="I14" s="98" t="str">
        <f ca="1"/>
        <v>TRUE</v>
      </c>
      <c r="J14" s="98" t="e">
        <f ca="1"/>
        <v>#N/A</v>
      </c>
      <c r="L14" s="98" t="str">
        <f ca="1"/>
        <v>JacobianShiftType</v>
      </c>
      <c r="M14" s="98" t="str">
        <f ca="1"/>
        <v>FLAT_SHIFT</v>
      </c>
      <c r="N14" s="98" t="str">
        <f ca="1"/>
        <v/>
      </c>
      <c r="O14" s="98" t="str">
        <f ca="1"/>
        <v>2W</v>
      </c>
      <c r="P14" s="116">
        <f ca="1"/>
        <v>2.1334000000000002E-2</v>
      </c>
      <c r="Q14" s="98" t="str">
        <f ca="1"/>
        <v/>
      </c>
      <c r="R14" s="98" t="str">
        <f ca="1"/>
        <v/>
      </c>
      <c r="S14" s="98" t="str">
        <f ca="1"/>
        <v>TRUE</v>
      </c>
      <c r="T14" s="98" t="e">
        <f ca="1"/>
        <v>#N/A</v>
      </c>
      <c r="V14" s="118">
        <f t="shared" ca="1" si="10"/>
        <v>1.0000000000010001E-6</v>
      </c>
      <c r="Y14" s="91">
        <f ca="1"/>
        <v>43787</v>
      </c>
      <c r="Z14" s="126">
        <f ca="1"/>
        <v>0.99492137776067813</v>
      </c>
      <c r="AC14" s="91">
        <f ca="1"/>
        <v>43787</v>
      </c>
      <c r="AD14" s="126">
        <f ca="1"/>
        <v>0.99492111373761216</v>
      </c>
      <c r="AE14" s="89">
        <f t="shared" ca="1" si="0"/>
        <v>-2.6402306596562397E-7</v>
      </c>
      <c r="AF14" s="89"/>
      <c r="AG14" s="94">
        <f t="shared" ca="1" si="1"/>
        <v>43787</v>
      </c>
      <c r="AH14" s="126">
        <f t="shared" ca="1" si="4"/>
        <v>0.99492137776067813</v>
      </c>
      <c r="AI14" s="126">
        <f t="shared" ca="1" si="5"/>
        <v>0.99492111373761216</v>
      </c>
      <c r="AJ14" s="89">
        <f t="shared" ca="1" si="6"/>
        <v>-2.6402306596562397E-7</v>
      </c>
      <c r="AL14" s="127" t="str">
        <f ca="1">JACOBIAN_RESULTS!B19</f>
        <v>#Error: Jacobian Results for Curve Collection '#Error: OIS Curve Market Data is Missing' and/or Curve Index '#Error: OIS Curve Market Data is Missing' do not exist</v>
      </c>
      <c r="AM14" s="89" t="str">
        <f ca="1">JACOBIAN_RESULTS!C19</f>
        <v>#Error: Jacobian Results for Curve Collection '#Error: OIS Curve Market Data is Missing' and/or Curve Index '#Error: OIS Curve Market Data is Missing' do not exist</v>
      </c>
      <c r="AN14" s="129" t="e">
        <f t="shared" ca="1" si="7"/>
        <v>#VALUE!</v>
      </c>
      <c r="AP14" s="94">
        <f ca="1">JACOBIAN_RESULTS!K19</f>
        <v>43787</v>
      </c>
      <c r="AQ14" s="90" t="e">
        <f ca="1">JACOBIAN_RESULTS!M19</f>
        <v>#VALUE!</v>
      </c>
      <c r="AR14" s="89">
        <f t="shared" ca="1" si="2"/>
        <v>-2.6402306596562397E-7</v>
      </c>
      <c r="AS14" s="129" t="e">
        <f t="shared" ca="1" si="8"/>
        <v>#VALUE!</v>
      </c>
      <c r="AU14" s="94" t="str">
        <f ca="1">JACOBIAN_RESULTS!P19</f>
        <v>#Error: Invalid Variant Data: Unable to cast '#Error: Invalid Curve: CurveCollection '#Error: OIS Curve Market Data is Missing' does not exist' to double</v>
      </c>
      <c r="AV14" s="109">
        <f ca="1">JACOBIAN_RESULTS!R19</f>
        <v>0.99492111373761216</v>
      </c>
      <c r="AW14" s="126">
        <f t="shared" ca="1" si="3"/>
        <v>0.99492111373761216</v>
      </c>
      <c r="AX14" s="129">
        <f t="shared" ca="1" si="9"/>
        <v>0</v>
      </c>
    </row>
    <row r="15" spans="2:50" x14ac:dyDescent="0.25">
      <c r="B15" s="98" t="str">
        <f ca="1"/>
        <v>JacobianRiskType</v>
      </c>
      <c r="C15" s="98" t="str">
        <f ca="1"/>
        <v>DISCOUNT_FACTORS</v>
      </c>
      <c r="D15" s="98" t="str">
        <f ca="1"/>
        <v/>
      </c>
      <c r="E15" s="98" t="str">
        <f ca="1"/>
        <v>3W</v>
      </c>
      <c r="F15" s="116">
        <f ca="1"/>
        <v>2.137E-2</v>
      </c>
      <c r="G15" s="98" t="str">
        <f ca="1"/>
        <v/>
      </c>
      <c r="H15" s="98" t="str">
        <f ca="1"/>
        <v/>
      </c>
      <c r="I15" s="98" t="str">
        <f ca="1"/>
        <v>TRUE</v>
      </c>
      <c r="J15" s="98" t="e">
        <f ca="1"/>
        <v>#N/A</v>
      </c>
      <c r="L15" s="98" t="str">
        <f ca="1"/>
        <v>JacobianRiskType</v>
      </c>
      <c r="M15" s="98" t="str">
        <f ca="1"/>
        <v>DISCOUNT_FACTORS</v>
      </c>
      <c r="N15" s="98" t="str">
        <f ca="1"/>
        <v/>
      </c>
      <c r="O15" s="98" t="str">
        <f ca="1"/>
        <v>3W</v>
      </c>
      <c r="P15" s="116">
        <f ca="1"/>
        <v>2.1371000000000001E-2</v>
      </c>
      <c r="Q15" s="98" t="str">
        <f ca="1"/>
        <v/>
      </c>
      <c r="R15" s="98" t="str">
        <f ca="1"/>
        <v/>
      </c>
      <c r="S15" s="98" t="str">
        <f ca="1"/>
        <v>TRUE</v>
      </c>
      <c r="T15" s="98" t="e">
        <f ca="1"/>
        <v>#N/A</v>
      </c>
      <c r="V15" s="118">
        <f t="shared" ca="1" si="10"/>
        <v>1.0000000000010001E-6</v>
      </c>
      <c r="Y15" s="91">
        <f ca="1"/>
        <v>43815</v>
      </c>
      <c r="Z15" s="126">
        <f ca="1"/>
        <v>0.99365592936858826</v>
      </c>
      <c r="AC15" s="91">
        <f ca="1"/>
        <v>43815</v>
      </c>
      <c r="AD15" s="126">
        <f ca="1"/>
        <v>0.99365558920663033</v>
      </c>
      <c r="AE15" s="89">
        <f t="shared" ca="1" si="0"/>
        <v>-3.40161957934626E-7</v>
      </c>
      <c r="AF15" s="89"/>
      <c r="AG15" s="94">
        <f t="shared" ca="1" si="1"/>
        <v>43815</v>
      </c>
      <c r="AH15" s="126">
        <f t="shared" ca="1" si="4"/>
        <v>0.99365592936858826</v>
      </c>
      <c r="AI15" s="126">
        <f t="shared" ca="1" si="5"/>
        <v>0.99365558920663033</v>
      </c>
      <c r="AJ15" s="89">
        <f t="shared" ca="1" si="6"/>
        <v>-3.40161957934626E-7</v>
      </c>
      <c r="AL15" s="127" t="str">
        <f ca="1">JACOBIAN_RESULTS!B20</f>
        <v>#Error: Jacobian Results for Curve Collection '#Error: OIS Curve Market Data is Missing' and/or Curve Index '#Error: OIS Curve Market Data is Missing' do not exist</v>
      </c>
      <c r="AM15" s="89" t="str">
        <f ca="1">JACOBIAN_RESULTS!C20</f>
        <v>#Error: Jacobian Results for Curve Collection '#Error: OIS Curve Market Data is Missing' and/or Curve Index '#Error: OIS Curve Market Data is Missing' do not exist</v>
      </c>
      <c r="AN15" s="129" t="e">
        <f t="shared" ca="1" si="7"/>
        <v>#VALUE!</v>
      </c>
      <c r="AP15" s="94">
        <f ca="1">JACOBIAN_RESULTS!K20</f>
        <v>43815</v>
      </c>
      <c r="AQ15" s="90" t="e">
        <f ca="1">JACOBIAN_RESULTS!M20</f>
        <v>#VALUE!</v>
      </c>
      <c r="AR15" s="89">
        <f t="shared" ca="1" si="2"/>
        <v>-3.40161957934626E-7</v>
      </c>
      <c r="AS15" s="129" t="e">
        <f t="shared" ca="1" si="8"/>
        <v>#VALUE!</v>
      </c>
      <c r="AU15" s="94" t="str">
        <f ca="1">JACOBIAN_RESULTS!P20</f>
        <v>#Error: Invalid Variant Data: Unable to cast '#Error: Invalid Curve: CurveCollection '#Error: OIS Curve Market Data is Missing' does not exist' to double</v>
      </c>
      <c r="AV15" s="109">
        <f ca="1">JACOBIAN_RESULTS!R20</f>
        <v>0.99365558920663033</v>
      </c>
      <c r="AW15" s="126">
        <f t="shared" ca="1" si="3"/>
        <v>0.99365558920663033</v>
      </c>
      <c r="AX15" s="129">
        <f t="shared" ca="1" si="9"/>
        <v>0</v>
      </c>
    </row>
    <row r="16" spans="2:50" x14ac:dyDescent="0.25">
      <c r="B16" s="98" t="str">
        <f ca="1"/>
        <v/>
      </c>
      <c r="C16" s="98" t="str">
        <f ca="1"/>
        <v/>
      </c>
      <c r="D16" s="98" t="str">
        <f ca="1"/>
        <v/>
      </c>
      <c r="E16" s="98" t="str">
        <f ca="1"/>
        <v>1M</v>
      </c>
      <c r="F16" s="116">
        <f ca="1"/>
        <v>2.1357999999999999E-2</v>
      </c>
      <c r="G16" s="98" t="str">
        <f ca="1"/>
        <v/>
      </c>
      <c r="H16" s="98" t="str">
        <f ca="1"/>
        <v/>
      </c>
      <c r="I16" s="98" t="str">
        <f ca="1"/>
        <v>TRUE</v>
      </c>
      <c r="J16" s="98" t="e">
        <f ca="1"/>
        <v>#N/A</v>
      </c>
      <c r="L16" s="98" t="str">
        <f ca="1"/>
        <v/>
      </c>
      <c r="M16" s="98" t="str">
        <f ca="1"/>
        <v/>
      </c>
      <c r="N16" s="98" t="str">
        <f ca="1"/>
        <v/>
      </c>
      <c r="O16" s="98" t="str">
        <f ca="1"/>
        <v>1M</v>
      </c>
      <c r="P16" s="116">
        <f ca="1"/>
        <v>2.1359E-2</v>
      </c>
      <c r="Q16" s="98" t="str">
        <f ca="1"/>
        <v/>
      </c>
      <c r="R16" s="98" t="str">
        <f ca="1"/>
        <v/>
      </c>
      <c r="S16" s="98" t="str">
        <f ca="1"/>
        <v>TRUE</v>
      </c>
      <c r="T16" s="98" t="e">
        <f ca="1"/>
        <v>#N/A</v>
      </c>
      <c r="V16" s="118">
        <f t="shared" ca="1" si="10"/>
        <v>1.0000000000010001E-6</v>
      </c>
      <c r="Y16" s="91">
        <f ca="1"/>
        <v>43846</v>
      </c>
      <c r="Z16" s="126">
        <f ca="1"/>
        <v>0.992350220028828</v>
      </c>
      <c r="AC16" s="91">
        <f ca="1"/>
        <v>43846</v>
      </c>
      <c r="AD16" s="126">
        <f ca="1"/>
        <v>0.99234979594441997</v>
      </c>
      <c r="AE16" s="89">
        <f t="shared" ca="1" si="0"/>
        <v>-4.2408440803498593E-7</v>
      </c>
      <c r="AF16" s="89"/>
      <c r="AG16" s="94">
        <f t="shared" ca="1" si="1"/>
        <v>43846</v>
      </c>
      <c r="AH16" s="126">
        <f t="shared" ca="1" si="4"/>
        <v>0.992350220028828</v>
      </c>
      <c r="AI16" s="126">
        <f t="shared" ca="1" si="5"/>
        <v>0.99234979594441997</v>
      </c>
      <c r="AJ16" s="89">
        <f t="shared" ca="1" si="6"/>
        <v>-4.2408440803498593E-7</v>
      </c>
      <c r="AL16" s="127" t="str">
        <f ca="1">JACOBIAN_RESULTS!B21</f>
        <v>#Error: Jacobian Results for Curve Collection '#Error: OIS Curve Market Data is Missing' and/or Curve Index '#Error: OIS Curve Market Data is Missing' do not exist</v>
      </c>
      <c r="AM16" s="89" t="str">
        <f ca="1">JACOBIAN_RESULTS!C21</f>
        <v>#Error: Jacobian Results for Curve Collection '#Error: OIS Curve Market Data is Missing' and/or Curve Index '#Error: OIS Curve Market Data is Missing' do not exist</v>
      </c>
      <c r="AN16" s="129" t="e">
        <f t="shared" ca="1" si="7"/>
        <v>#VALUE!</v>
      </c>
      <c r="AP16" s="94">
        <f ca="1">JACOBIAN_RESULTS!K21</f>
        <v>43846</v>
      </c>
      <c r="AQ16" s="90" t="e">
        <f ca="1">JACOBIAN_RESULTS!M21</f>
        <v>#VALUE!</v>
      </c>
      <c r="AR16" s="89">
        <f t="shared" ca="1" si="2"/>
        <v>-4.2408440803498593E-7</v>
      </c>
      <c r="AS16" s="129" t="e">
        <f t="shared" ca="1" si="8"/>
        <v>#VALUE!</v>
      </c>
      <c r="AU16" s="94" t="str">
        <f ca="1">JACOBIAN_RESULTS!P21</f>
        <v>#Error: Invalid Variant Data: Unable to cast '#Error: Invalid Curve: CurveCollection '#Error: OIS Curve Market Data is Missing' does not exist' to double</v>
      </c>
      <c r="AV16" s="109">
        <f ca="1">JACOBIAN_RESULTS!R21</f>
        <v>0.99234979594441997</v>
      </c>
      <c r="AW16" s="126">
        <f t="shared" ca="1" si="3"/>
        <v>0.99234979594441997</v>
      </c>
      <c r="AX16" s="129">
        <f t="shared" ca="1" si="9"/>
        <v>0</v>
      </c>
    </row>
    <row r="17" spans="2:50" x14ac:dyDescent="0.25">
      <c r="B17" s="98" t="str">
        <f ca="1"/>
        <v>OIS</v>
      </c>
      <c r="C17" s="98" t="str">
        <f ca="1"/>
        <v/>
      </c>
      <c r="D17" s="98" t="str">
        <f ca="1"/>
        <v/>
      </c>
      <c r="E17" s="98" t="str">
        <f ca="1"/>
        <v>2M</v>
      </c>
      <c r="F17" s="116">
        <f ca="1"/>
        <v>2.002E-2</v>
      </c>
      <c r="G17" s="98" t="str">
        <f ca="1"/>
        <v/>
      </c>
      <c r="H17" s="98" t="str">
        <f ca="1"/>
        <v/>
      </c>
      <c r="I17" s="98" t="str">
        <f ca="1"/>
        <v>TRUE</v>
      </c>
      <c r="J17" s="98" t="e">
        <f ca="1"/>
        <v>#N/A</v>
      </c>
      <c r="L17" s="98" t="str">
        <f ca="1"/>
        <v>OIS</v>
      </c>
      <c r="M17" s="98" t="str">
        <f ca="1"/>
        <v/>
      </c>
      <c r="N17" s="98" t="str">
        <f ca="1"/>
        <v/>
      </c>
      <c r="O17" s="98" t="str">
        <f ca="1"/>
        <v>2M</v>
      </c>
      <c r="P17" s="116">
        <f ca="1"/>
        <v>2.0021000000000001E-2</v>
      </c>
      <c r="Q17" s="98" t="str">
        <f ca="1"/>
        <v/>
      </c>
      <c r="R17" s="98" t="str">
        <f ca="1"/>
        <v/>
      </c>
      <c r="S17" s="98" t="str">
        <f ca="1"/>
        <v>TRUE</v>
      </c>
      <c r="T17" s="98" t="e">
        <f ca="1"/>
        <v>#N/A</v>
      </c>
      <c r="V17" s="118">
        <f t="shared" ca="1" si="10"/>
        <v>1.0000000000010001E-6</v>
      </c>
      <c r="Y17" s="91">
        <f ca="1"/>
        <v>43879</v>
      </c>
      <c r="Z17" s="126">
        <f ca="1"/>
        <v>0.99095815892494954</v>
      </c>
      <c r="AC17" s="91">
        <f ca="1"/>
        <v>43879</v>
      </c>
      <c r="AD17" s="126">
        <f ca="1"/>
        <v>0.99095764599472647</v>
      </c>
      <c r="AE17" s="89">
        <f t="shared" ca="1" si="0"/>
        <v>-5.129302230733046E-7</v>
      </c>
      <c r="AF17" s="89"/>
      <c r="AG17" s="94">
        <f t="shared" ca="1" si="1"/>
        <v>43879</v>
      </c>
      <c r="AH17" s="126">
        <f t="shared" ca="1" si="4"/>
        <v>0.99095815892494954</v>
      </c>
      <c r="AI17" s="126">
        <f t="shared" ca="1" si="5"/>
        <v>0.99095764599472647</v>
      </c>
      <c r="AJ17" s="89">
        <f t="shared" ca="1" si="6"/>
        <v>-5.129302230733046E-7</v>
      </c>
      <c r="AL17" s="127" t="str">
        <f ca="1">JACOBIAN_RESULTS!B22</f>
        <v>#Error: Jacobian Results for Curve Collection '#Error: OIS Curve Market Data is Missing' and/or Curve Index '#Error: OIS Curve Market Data is Missing' do not exist</v>
      </c>
      <c r="AM17" s="89" t="str">
        <f ca="1">JACOBIAN_RESULTS!C22</f>
        <v>#Error: Jacobian Results for Curve Collection '#Error: OIS Curve Market Data is Missing' and/or Curve Index '#Error: OIS Curve Market Data is Missing' do not exist</v>
      </c>
      <c r="AN17" s="129" t="e">
        <f t="shared" ca="1" si="7"/>
        <v>#VALUE!</v>
      </c>
      <c r="AP17" s="94">
        <f ca="1">JACOBIAN_RESULTS!K22</f>
        <v>43879</v>
      </c>
      <c r="AQ17" s="90" t="e">
        <f ca="1">JACOBIAN_RESULTS!M22</f>
        <v>#VALUE!</v>
      </c>
      <c r="AR17" s="89">
        <f t="shared" ca="1" si="2"/>
        <v>-5.129302230733046E-7</v>
      </c>
      <c r="AS17" s="129" t="e">
        <f t="shared" ca="1" si="8"/>
        <v>#VALUE!</v>
      </c>
      <c r="AU17" s="94" t="str">
        <f ca="1">JACOBIAN_RESULTS!P22</f>
        <v>#Error: Invalid Variant Data: Unable to cast '#Error: Invalid Curve: CurveCollection '#Error: OIS Curve Market Data is Missing' does not exist' to double</v>
      </c>
      <c r="AV17" s="109">
        <f ca="1">JACOBIAN_RESULTS!R22</f>
        <v>0.99095764599472647</v>
      </c>
      <c r="AW17" s="126">
        <f t="shared" ca="1" si="3"/>
        <v>0.99095764599472647</v>
      </c>
      <c r="AX17" s="129">
        <f t="shared" ca="1" si="9"/>
        <v>0</v>
      </c>
    </row>
    <row r="18" spans="2:50" x14ac:dyDescent="0.25">
      <c r="B18" s="98" t="str">
        <f ca="1"/>
        <v>calendar</v>
      </c>
      <c r="C18" s="98" t="str">
        <f ca="1"/>
        <v>NYB</v>
      </c>
      <c r="D18" s="98" t="str">
        <f ca="1"/>
        <v/>
      </c>
      <c r="E18" s="98" t="str">
        <f ca="1"/>
        <v>3M</v>
      </c>
      <c r="F18" s="116">
        <f ca="1"/>
        <v>1.9095999999999998E-2</v>
      </c>
      <c r="G18" s="98" t="str">
        <f ca="1"/>
        <v/>
      </c>
      <c r="H18" s="98" t="str">
        <f ca="1"/>
        <v/>
      </c>
      <c r="I18" s="98" t="str">
        <f ca="1"/>
        <v>TRUE</v>
      </c>
      <c r="J18" s="98" t="e">
        <f ca="1"/>
        <v>#N/A</v>
      </c>
      <c r="L18" s="98" t="str">
        <f ca="1"/>
        <v>calendar</v>
      </c>
      <c r="M18" s="98" t="str">
        <f ca="1"/>
        <v>NYB</v>
      </c>
      <c r="N18" s="98" t="str">
        <f ca="1"/>
        <v/>
      </c>
      <c r="O18" s="98" t="str">
        <f ca="1"/>
        <v>3M</v>
      </c>
      <c r="P18" s="116">
        <f ca="1"/>
        <v>1.9096999999999999E-2</v>
      </c>
      <c r="Q18" s="98" t="str">
        <f ca="1"/>
        <v/>
      </c>
      <c r="R18" s="98" t="str">
        <f ca="1"/>
        <v/>
      </c>
      <c r="S18" s="98" t="str">
        <f ca="1"/>
        <v>TRUE</v>
      </c>
      <c r="T18" s="98" t="e">
        <f ca="1"/>
        <v>#N/A</v>
      </c>
      <c r="V18" s="118">
        <f t="shared" ca="1" si="10"/>
        <v>1.0000000000010001E-6</v>
      </c>
      <c r="Y18" s="91">
        <f ca="1"/>
        <v>43969</v>
      </c>
      <c r="Z18" s="126">
        <f ca="1"/>
        <v>0.98760781474005255</v>
      </c>
      <c r="AC18" s="91">
        <f ca="1"/>
        <v>43969</v>
      </c>
      <c r="AD18" s="126">
        <f ca="1"/>
        <v>0.98760706138321164</v>
      </c>
      <c r="AE18" s="89">
        <f t="shared" ca="1" si="0"/>
        <v>-7.5335684091015764E-7</v>
      </c>
      <c r="AF18" s="89"/>
      <c r="AG18" s="94">
        <f t="shared" ca="1" si="1"/>
        <v>43969</v>
      </c>
      <c r="AH18" s="126">
        <f t="shared" ca="1" si="4"/>
        <v>0.98760781474005255</v>
      </c>
      <c r="AI18" s="126">
        <f t="shared" ca="1" si="5"/>
        <v>0.98760706138321164</v>
      </c>
      <c r="AJ18" s="89">
        <f t="shared" ca="1" si="6"/>
        <v>-7.5335684091015764E-7</v>
      </c>
      <c r="AL18" s="127" t="str">
        <f ca="1">JACOBIAN_RESULTS!B23</f>
        <v>#Error: Jacobian Results for Curve Collection '#Error: OIS Curve Market Data is Missing' and/or Curve Index '#Error: OIS Curve Market Data is Missing' do not exist</v>
      </c>
      <c r="AM18" s="89" t="str">
        <f ca="1">JACOBIAN_RESULTS!C23</f>
        <v>#Error: Jacobian Results for Curve Collection '#Error: OIS Curve Market Data is Missing' and/or Curve Index '#Error: OIS Curve Market Data is Missing' do not exist</v>
      </c>
      <c r="AN18" s="129" t="e">
        <f t="shared" ca="1" si="7"/>
        <v>#VALUE!</v>
      </c>
      <c r="AP18" s="94">
        <f ca="1">JACOBIAN_RESULTS!K23</f>
        <v>43969</v>
      </c>
      <c r="AQ18" s="90" t="e">
        <f ca="1">JACOBIAN_RESULTS!M23</f>
        <v>#VALUE!</v>
      </c>
      <c r="AR18" s="89">
        <f t="shared" ca="1" si="2"/>
        <v>-7.5335684091015764E-7</v>
      </c>
      <c r="AS18" s="129" t="e">
        <f t="shared" ca="1" si="8"/>
        <v>#VALUE!</v>
      </c>
      <c r="AU18" s="94" t="str">
        <f ca="1">JACOBIAN_RESULTS!P23</f>
        <v>#Error: Invalid Variant Data: Unable to cast '#Error: Invalid Curve: CurveCollection '#Error: OIS Curve Market Data is Missing' does not exist' to double</v>
      </c>
      <c r="AV18" s="109">
        <f ca="1">JACOBIAN_RESULTS!R23</f>
        <v>0.98760706138321164</v>
      </c>
      <c r="AW18" s="126">
        <f t="shared" ca="1" si="3"/>
        <v>0.98760706138321164</v>
      </c>
      <c r="AX18" s="129">
        <f t="shared" ca="1" si="9"/>
        <v>0</v>
      </c>
    </row>
    <row r="19" spans="2:50" x14ac:dyDescent="0.25">
      <c r="B19" s="98" t="str">
        <f ca="1"/>
        <v>daycount</v>
      </c>
      <c r="C19" s="98" t="str">
        <f ca="1"/>
        <v>ACT/360</v>
      </c>
      <c r="D19" s="98" t="str">
        <f ca="1"/>
        <v/>
      </c>
      <c r="E19" s="98" t="str">
        <f ca="1"/>
        <v>4M</v>
      </c>
      <c r="F19" s="116">
        <f ca="1"/>
        <v>1.8489999999999999E-2</v>
      </c>
      <c r="G19" s="98" t="str">
        <f ca="1"/>
        <v/>
      </c>
      <c r="H19" s="98" t="str">
        <f ca="1"/>
        <v/>
      </c>
      <c r="I19" s="98" t="str">
        <f ca="1"/>
        <v>TRUE</v>
      </c>
      <c r="J19" s="98" t="e">
        <f ca="1"/>
        <v>#N/A</v>
      </c>
      <c r="L19" s="98" t="str">
        <f ca="1"/>
        <v>daycount</v>
      </c>
      <c r="M19" s="98" t="str">
        <f ca="1"/>
        <v>ACT/360</v>
      </c>
      <c r="N19" s="98" t="str">
        <f ca="1"/>
        <v/>
      </c>
      <c r="O19" s="98" t="str">
        <f ca="1"/>
        <v>4M</v>
      </c>
      <c r="P19" s="116">
        <f ca="1"/>
        <v>1.8491E-2</v>
      </c>
      <c r="Q19" s="98" t="str">
        <f ca="1"/>
        <v/>
      </c>
      <c r="R19" s="98" t="str">
        <f ca="1"/>
        <v/>
      </c>
      <c r="S19" s="98" t="str">
        <f ca="1"/>
        <v>TRUE</v>
      </c>
      <c r="T19" s="98" t="e">
        <f ca="1"/>
        <v>#N/A</v>
      </c>
      <c r="V19" s="118">
        <f t="shared" ca="1" si="10"/>
        <v>1.0000000000010001E-6</v>
      </c>
      <c r="Y19" s="91">
        <f ca="1"/>
        <v>44060</v>
      </c>
      <c r="Z19" s="126">
        <f ca="1"/>
        <v>0.98446069390565827</v>
      </c>
      <c r="AC19" s="91">
        <f ca="1"/>
        <v>44060</v>
      </c>
      <c r="AD19" s="126">
        <f ca="1"/>
        <v>0.98445970989819775</v>
      </c>
      <c r="AE19" s="89">
        <f t="shared" ca="1" si="0"/>
        <v>-9.8400746051385823E-7</v>
      </c>
      <c r="AF19" s="89"/>
      <c r="AG19" s="94">
        <f t="shared" ca="1" si="1"/>
        <v>44060</v>
      </c>
      <c r="AH19" s="126">
        <f t="shared" ca="1" si="4"/>
        <v>0.98446069390565827</v>
      </c>
      <c r="AI19" s="126">
        <f t="shared" ca="1" si="5"/>
        <v>0.98445970989819775</v>
      </c>
      <c r="AJ19" s="89">
        <f t="shared" ca="1" si="6"/>
        <v>-9.8400746051385823E-7</v>
      </c>
      <c r="AL19" s="127" t="str">
        <f ca="1">JACOBIAN_RESULTS!B24</f>
        <v>#Error: Jacobian Results for Curve Collection '#Error: OIS Curve Market Data is Missing' and/or Curve Index '#Error: OIS Curve Market Data is Missing' do not exist</v>
      </c>
      <c r="AM19" s="89" t="str">
        <f ca="1">JACOBIAN_RESULTS!C24</f>
        <v>#Error: Jacobian Results for Curve Collection '#Error: OIS Curve Market Data is Missing' and/or Curve Index '#Error: OIS Curve Market Data is Missing' do not exist</v>
      </c>
      <c r="AN19" s="129" t="e">
        <f t="shared" ca="1" si="7"/>
        <v>#VALUE!</v>
      </c>
      <c r="AP19" s="94">
        <f ca="1">JACOBIAN_RESULTS!K24</f>
        <v>44060</v>
      </c>
      <c r="AQ19" s="90" t="e">
        <f ca="1">JACOBIAN_RESULTS!M24</f>
        <v>#VALUE!</v>
      </c>
      <c r="AR19" s="89">
        <f t="shared" ca="1" si="2"/>
        <v>-9.8400746051385823E-7</v>
      </c>
      <c r="AS19" s="129" t="e">
        <f t="shared" ca="1" si="8"/>
        <v>#VALUE!</v>
      </c>
      <c r="AU19" s="94" t="str">
        <f ca="1">JACOBIAN_RESULTS!P24</f>
        <v>#Error: Invalid Variant Data: Unable to cast '#Error: Invalid Curve: CurveCollection '#Error: OIS Curve Market Data is Missing' does not exist' to double</v>
      </c>
      <c r="AV19" s="109">
        <f ca="1">JACOBIAN_RESULTS!R24</f>
        <v>0.98445970989819775</v>
      </c>
      <c r="AW19" s="126">
        <f t="shared" ca="1" si="3"/>
        <v>0.98445970989819775</v>
      </c>
      <c r="AX19" s="129">
        <f t="shared" ca="1" si="9"/>
        <v>0</v>
      </c>
    </row>
    <row r="20" spans="2:50" x14ac:dyDescent="0.25">
      <c r="B20" s="98" t="str">
        <f ca="1"/>
        <v>frequency</v>
      </c>
      <c r="C20" s="98" t="str">
        <f ca="1"/>
        <v>ANNUAL</v>
      </c>
      <c r="D20" s="98" t="str">
        <f ca="1"/>
        <v/>
      </c>
      <c r="E20" s="98" t="str">
        <f ca="1"/>
        <v>5M</v>
      </c>
      <c r="F20" s="116">
        <f ca="1"/>
        <v>1.7859E-2</v>
      </c>
      <c r="G20" s="98" t="str">
        <f ca="1"/>
        <v/>
      </c>
      <c r="H20" s="98" t="str">
        <f ca="1"/>
        <v/>
      </c>
      <c r="I20" s="98" t="str">
        <f ca="1"/>
        <v>TRUE</v>
      </c>
      <c r="J20" s="98" t="e">
        <f ca="1"/>
        <v>#N/A</v>
      </c>
      <c r="L20" s="98" t="str">
        <f ca="1"/>
        <v>frequency</v>
      </c>
      <c r="M20" s="98" t="str">
        <f ca="1"/>
        <v>ANNUAL</v>
      </c>
      <c r="N20" s="98" t="str">
        <f ca="1"/>
        <v/>
      </c>
      <c r="O20" s="98" t="str">
        <f ca="1"/>
        <v>5M</v>
      </c>
      <c r="P20" s="116">
        <f ca="1"/>
        <v>1.7860000000000001E-2</v>
      </c>
      <c r="Q20" s="98" t="str">
        <f ca="1"/>
        <v/>
      </c>
      <c r="R20" s="98" t="str">
        <f ca="1"/>
        <v/>
      </c>
      <c r="S20" s="98" t="str">
        <f ca="1"/>
        <v>TRUE</v>
      </c>
      <c r="T20" s="98" t="e">
        <f ca="1"/>
        <v>#N/A</v>
      </c>
      <c r="V20" s="118">
        <f t="shared" ca="1" si="10"/>
        <v>1.0000000000010001E-6</v>
      </c>
      <c r="Y20" s="91">
        <f ca="1"/>
        <v>44151</v>
      </c>
      <c r="Z20" s="126">
        <f ca="1"/>
        <v>0.98147776598942948</v>
      </c>
      <c r="AC20" s="91">
        <f ca="1"/>
        <v>44151</v>
      </c>
      <c r="AD20" s="126">
        <f ca="1"/>
        <v>0.98147655212836571</v>
      </c>
      <c r="AE20" s="89">
        <f t="shared" ca="1" si="0"/>
        <v>-1.2138610637757452E-6</v>
      </c>
      <c r="AF20" s="89"/>
      <c r="AG20" s="94">
        <f t="shared" ca="1" si="1"/>
        <v>44151</v>
      </c>
      <c r="AH20" s="126">
        <f t="shared" ca="1" si="4"/>
        <v>0.98147776598942948</v>
      </c>
      <c r="AI20" s="126">
        <f t="shared" ca="1" si="5"/>
        <v>0.98147655212836571</v>
      </c>
      <c r="AJ20" s="89">
        <f t="shared" ca="1" si="6"/>
        <v>-1.2138610637757452E-6</v>
      </c>
      <c r="AL20" s="127" t="str">
        <f ca="1">JACOBIAN_RESULTS!B25</f>
        <v>#Error: Jacobian Results for Curve Collection '#Error: OIS Curve Market Data is Missing' and/or Curve Index '#Error: OIS Curve Market Data is Missing' do not exist</v>
      </c>
      <c r="AM20" s="89" t="str">
        <f ca="1">JACOBIAN_RESULTS!C25</f>
        <v>#Error: Jacobian Results for Curve Collection '#Error: OIS Curve Market Data is Missing' and/or Curve Index '#Error: OIS Curve Market Data is Missing' do not exist</v>
      </c>
      <c r="AN20" s="129" t="e">
        <f t="shared" ca="1" si="7"/>
        <v>#VALUE!</v>
      </c>
      <c r="AP20" s="94">
        <f ca="1">JACOBIAN_RESULTS!K25</f>
        <v>44151</v>
      </c>
      <c r="AQ20" s="90" t="e">
        <f ca="1">JACOBIAN_RESULTS!M25</f>
        <v>#VALUE!</v>
      </c>
      <c r="AR20" s="89">
        <f t="shared" ca="1" si="2"/>
        <v>-1.2138610637757452E-6</v>
      </c>
      <c r="AS20" s="129" t="e">
        <f t="shared" ca="1" si="8"/>
        <v>#VALUE!</v>
      </c>
      <c r="AU20" s="94" t="str">
        <f ca="1">JACOBIAN_RESULTS!P25</f>
        <v>#Error: Invalid Variant Data: Unable to cast '#Error: Invalid Curve: CurveCollection '#Error: OIS Curve Market Data is Missing' does not exist' to double</v>
      </c>
      <c r="AV20" s="109">
        <f ca="1">JACOBIAN_RESULTS!R25</f>
        <v>0.98147655212836571</v>
      </c>
      <c r="AW20" s="126">
        <f t="shared" ca="1" si="3"/>
        <v>0.98147655212836571</v>
      </c>
      <c r="AX20" s="129">
        <f t="shared" ca="1" si="9"/>
        <v>0</v>
      </c>
    </row>
    <row r="21" spans="2:50" x14ac:dyDescent="0.25">
      <c r="B21" s="98" t="str">
        <f ca="1"/>
        <v>generatemethod</v>
      </c>
      <c r="C21" s="98" t="str">
        <f ca="1"/>
        <v>DAILYCOMPOUNDING</v>
      </c>
      <c r="D21" s="98" t="str">
        <f ca="1"/>
        <v/>
      </c>
      <c r="E21" s="98" t="str">
        <f ca="1"/>
        <v>6M</v>
      </c>
      <c r="F21" s="116">
        <f ca="1"/>
        <v>1.7430000000000001E-2</v>
      </c>
      <c r="G21" s="98" t="str">
        <f ca="1"/>
        <v/>
      </c>
      <c r="H21" s="98" t="str">
        <f ca="1"/>
        <v/>
      </c>
      <c r="I21" s="98" t="str">
        <f ca="1"/>
        <v>TRUE</v>
      </c>
      <c r="J21" s="98" t="e">
        <f ca="1"/>
        <v>#N/A</v>
      </c>
      <c r="L21" s="98" t="str">
        <f ca="1"/>
        <v>generatemethod</v>
      </c>
      <c r="M21" s="98" t="str">
        <f ca="1"/>
        <v>DAILYCOMPOUNDING</v>
      </c>
      <c r="N21" s="98" t="str">
        <f ca="1"/>
        <v/>
      </c>
      <c r="O21" s="98" t="str">
        <f ca="1"/>
        <v>6M</v>
      </c>
      <c r="P21" s="116">
        <f ca="1"/>
        <v>1.7431000000000002E-2</v>
      </c>
      <c r="Q21" s="98" t="str">
        <f ca="1"/>
        <v/>
      </c>
      <c r="R21" s="98" t="str">
        <f ca="1"/>
        <v/>
      </c>
      <c r="S21" s="98" t="str">
        <f ca="1"/>
        <v>TRUE</v>
      </c>
      <c r="T21" s="98" t="e">
        <f ca="1"/>
        <v>#N/A</v>
      </c>
      <c r="V21" s="118">
        <f t="shared" ca="1" si="10"/>
        <v>1.0000000000010001E-6</v>
      </c>
      <c r="Y21" s="91">
        <f ca="1"/>
        <v>44243</v>
      </c>
      <c r="Z21" s="126">
        <f ca="1"/>
        <v>0.9786335179934591</v>
      </c>
      <c r="AC21" s="91">
        <f ca="1"/>
        <v>44243</v>
      </c>
      <c r="AD21" s="126">
        <f ca="1"/>
        <v>0.97863206531573232</v>
      </c>
      <c r="AE21" s="89">
        <f t="shared" ca="1" si="0"/>
        <v>-1.4526777267764857E-6</v>
      </c>
      <c r="AF21" s="89"/>
      <c r="AG21" s="94">
        <f t="shared" ca="1" si="1"/>
        <v>44243</v>
      </c>
      <c r="AH21" s="126">
        <f t="shared" ca="1" si="4"/>
        <v>0.9786335179934591</v>
      </c>
      <c r="AI21" s="126">
        <f t="shared" ca="1" si="5"/>
        <v>0.97863206531573232</v>
      </c>
      <c r="AJ21" s="89">
        <f t="shared" ca="1" si="6"/>
        <v>-1.4526777267764857E-6</v>
      </c>
      <c r="AL21" s="127" t="str">
        <f ca="1">JACOBIAN_RESULTS!B26</f>
        <v>#Error: Jacobian Results for Curve Collection '#Error: OIS Curve Market Data is Missing' and/or Curve Index '#Error: OIS Curve Market Data is Missing' do not exist</v>
      </c>
      <c r="AM21" s="89" t="str">
        <f ca="1">JACOBIAN_RESULTS!C26</f>
        <v>#Error: Jacobian Results for Curve Collection '#Error: OIS Curve Market Data is Missing' and/or Curve Index '#Error: OIS Curve Market Data is Missing' do not exist</v>
      </c>
      <c r="AN21" s="129" t="e">
        <f t="shared" ca="1" si="7"/>
        <v>#VALUE!</v>
      </c>
      <c r="AP21" s="94">
        <f ca="1">JACOBIAN_RESULTS!K26</f>
        <v>44243</v>
      </c>
      <c r="AQ21" s="90" t="e">
        <f ca="1">JACOBIAN_RESULTS!M26</f>
        <v>#VALUE!</v>
      </c>
      <c r="AR21" s="89">
        <f t="shared" ca="1" si="2"/>
        <v>-1.4526777267764857E-6</v>
      </c>
      <c r="AS21" s="129" t="e">
        <f t="shared" ca="1" si="8"/>
        <v>#VALUE!</v>
      </c>
      <c r="AU21" s="94" t="str">
        <f ca="1">JACOBIAN_RESULTS!P26</f>
        <v>#Error: Invalid Variant Data: Unable to cast '#Error: Invalid Curve: CurveCollection '#Error: OIS Curve Market Data is Missing' does not exist' to double</v>
      </c>
      <c r="AV21" s="109">
        <f ca="1">JACOBIAN_RESULTS!R26</f>
        <v>0.97863206531573232</v>
      </c>
      <c r="AW21" s="126">
        <f t="shared" ca="1" si="3"/>
        <v>0.97863206531573232</v>
      </c>
      <c r="AX21" s="129">
        <f t="shared" ca="1" si="9"/>
        <v>0</v>
      </c>
    </row>
    <row r="22" spans="2:50" x14ac:dyDescent="0.25">
      <c r="B22" s="98" t="str">
        <f ca="1"/>
        <v>resetlag</v>
      </c>
      <c r="C22" s="98" t="str">
        <f ca="1"/>
        <v>2D</v>
      </c>
      <c r="D22" s="98" t="str">
        <f ca="1"/>
        <v/>
      </c>
      <c r="E22" s="98" t="str">
        <f ca="1"/>
        <v>9M</v>
      </c>
      <c r="F22" s="116">
        <f ca="1"/>
        <v>1.6211E-2</v>
      </c>
      <c r="G22" s="98" t="str">
        <f ca="1"/>
        <v/>
      </c>
      <c r="H22" s="98" t="str">
        <f ca="1"/>
        <v/>
      </c>
      <c r="I22" s="98" t="str">
        <f ca="1"/>
        <v>TRUE</v>
      </c>
      <c r="J22" s="98" t="e">
        <f ca="1"/>
        <v>#N/A</v>
      </c>
      <c r="L22" s="98" t="str">
        <f ca="1"/>
        <v>resetlag</v>
      </c>
      <c r="M22" s="98" t="str">
        <f ca="1"/>
        <v>2D</v>
      </c>
      <c r="N22" s="98" t="str">
        <f ca="1"/>
        <v/>
      </c>
      <c r="O22" s="98" t="str">
        <f ca="1"/>
        <v>9M</v>
      </c>
      <c r="P22" s="116">
        <f ca="1"/>
        <v>1.6212000000000001E-2</v>
      </c>
      <c r="Q22" s="98" t="str">
        <f ca="1"/>
        <v/>
      </c>
      <c r="R22" s="98" t="str">
        <f ca="1"/>
        <v/>
      </c>
      <c r="S22" s="98" t="str">
        <f ca="1"/>
        <v>TRUE</v>
      </c>
      <c r="T22" s="98" t="e">
        <f ca="1"/>
        <v>#N/A</v>
      </c>
      <c r="V22" s="118">
        <f t="shared" ca="1" si="10"/>
        <v>1.0000000000010001E-6</v>
      </c>
      <c r="Y22" s="91">
        <f ca="1"/>
        <v>44333</v>
      </c>
      <c r="Z22" s="126">
        <f ca="1"/>
        <v>0.97594952108774324</v>
      </c>
      <c r="AC22" s="91">
        <f ca="1"/>
        <v>44333</v>
      </c>
      <c r="AD22" s="126">
        <f ca="1"/>
        <v>0.97594782913340949</v>
      </c>
      <c r="AE22" s="89">
        <f t="shared" ca="1" si="0"/>
        <v>-1.6919543337490239E-6</v>
      </c>
      <c r="AF22" s="89"/>
      <c r="AG22" s="94">
        <f t="shared" ca="1" si="1"/>
        <v>44333</v>
      </c>
      <c r="AH22" s="126">
        <f t="shared" ca="1" si="4"/>
        <v>0.97594952108774324</v>
      </c>
      <c r="AI22" s="126">
        <f t="shared" ca="1" si="5"/>
        <v>0.97594782913340949</v>
      </c>
      <c r="AJ22" s="89">
        <f t="shared" ca="1" si="6"/>
        <v>-1.6919543337490239E-6</v>
      </c>
      <c r="AL22" s="127" t="str">
        <f ca="1">JACOBIAN_RESULTS!B27</f>
        <v>#Error: Jacobian Results for Curve Collection '#Error: OIS Curve Market Data is Missing' and/or Curve Index '#Error: OIS Curve Market Data is Missing' do not exist</v>
      </c>
      <c r="AM22" s="89" t="str">
        <f ca="1">JACOBIAN_RESULTS!C27</f>
        <v>#Error: Jacobian Results for Curve Collection '#Error: OIS Curve Market Data is Missing' and/or Curve Index '#Error: OIS Curve Market Data is Missing' do not exist</v>
      </c>
      <c r="AN22" s="129" t="e">
        <f t="shared" ca="1" si="7"/>
        <v>#VALUE!</v>
      </c>
      <c r="AP22" s="94">
        <f ca="1">JACOBIAN_RESULTS!K27</f>
        <v>44333</v>
      </c>
      <c r="AQ22" s="90" t="e">
        <f ca="1">JACOBIAN_RESULTS!M27</f>
        <v>#VALUE!</v>
      </c>
      <c r="AR22" s="89">
        <f t="shared" ca="1" si="2"/>
        <v>-1.6919543337490239E-6</v>
      </c>
      <c r="AS22" s="129" t="e">
        <f t="shared" ca="1" si="8"/>
        <v>#VALUE!</v>
      </c>
      <c r="AU22" s="94" t="str">
        <f ca="1">JACOBIAN_RESULTS!P27</f>
        <v>#Error: Invalid Variant Data: Unable to cast '#Error: Invalid Curve: CurveCollection '#Error: OIS Curve Market Data is Missing' does not exist' to double</v>
      </c>
      <c r="AV22" s="109">
        <f ca="1">JACOBIAN_RESULTS!R27</f>
        <v>0.97594782913340949</v>
      </c>
      <c r="AW22" s="126">
        <f t="shared" ca="1" si="3"/>
        <v>0.97594782913340949</v>
      </c>
      <c r="AX22" s="129">
        <f t="shared" ca="1" si="9"/>
        <v>0</v>
      </c>
    </row>
    <row r="23" spans="2:50" x14ac:dyDescent="0.25">
      <c r="B23" s="98" t="str">
        <f ca="1"/>
        <v>firstrate</v>
      </c>
      <c r="C23" s="98" t="str">
        <f ca="1"/>
        <v>SHORTMARKET</v>
      </c>
      <c r="D23" s="98" t="str">
        <f ca="1"/>
        <v/>
      </c>
      <c r="E23" s="98" t="str">
        <f ca="1"/>
        <v>1Y</v>
      </c>
      <c r="F23" s="116">
        <f ca="1"/>
        <v>1.5407000000000001E-2</v>
      </c>
      <c r="G23" s="98" t="str">
        <f ca="1"/>
        <v/>
      </c>
      <c r="H23" s="98" t="str">
        <f ca="1"/>
        <v/>
      </c>
      <c r="I23" s="98" t="str">
        <f ca="1"/>
        <v>TRUE</v>
      </c>
      <c r="J23" s="98" t="e">
        <f ca="1"/>
        <v>#N/A</v>
      </c>
      <c r="L23" s="98" t="str">
        <f ca="1"/>
        <v>firstrate</v>
      </c>
      <c r="M23" s="98" t="str">
        <f ca="1"/>
        <v>SHORTMARKET</v>
      </c>
      <c r="N23" s="98" t="str">
        <f ca="1"/>
        <v/>
      </c>
      <c r="O23" s="98" t="str">
        <f ca="1"/>
        <v>1Y</v>
      </c>
      <c r="P23" s="116">
        <f ca="1"/>
        <v>1.5408E-2</v>
      </c>
      <c r="Q23" s="98" t="str">
        <f ca="1"/>
        <v/>
      </c>
      <c r="R23" s="98" t="str">
        <f ca="1"/>
        <v/>
      </c>
      <c r="S23" s="98" t="str">
        <f ca="1"/>
        <v>TRUE</v>
      </c>
      <c r="T23" s="98" t="e">
        <f ca="1"/>
        <v>#N/A</v>
      </c>
      <c r="V23" s="118">
        <f t="shared" ca="1" si="10"/>
        <v>9.9999999999926537E-7</v>
      </c>
      <c r="Y23" s="91">
        <f ca="1"/>
        <v>44424</v>
      </c>
      <c r="Z23" s="126">
        <f ca="1"/>
        <v>0.97327288361254949</v>
      </c>
      <c r="AC23" s="91">
        <f ca="1"/>
        <v>44424</v>
      </c>
      <c r="AD23" s="126">
        <f ca="1"/>
        <v>0.97327094810943271</v>
      </c>
      <c r="AE23" s="89">
        <f t="shared" ca="1" si="0"/>
        <v>-1.9355031167789249E-6</v>
      </c>
      <c r="AF23" s="89"/>
      <c r="AG23" s="94">
        <f t="shared" ca="1" si="1"/>
        <v>44424</v>
      </c>
      <c r="AH23" s="126">
        <f t="shared" ca="1" si="4"/>
        <v>0.97327288361254949</v>
      </c>
      <c r="AI23" s="126">
        <f t="shared" ca="1" si="5"/>
        <v>0.97327094810943271</v>
      </c>
      <c r="AJ23" s="89">
        <f t="shared" ca="1" si="6"/>
        <v>-1.9355031167789249E-6</v>
      </c>
      <c r="AL23" s="127" t="str">
        <f ca="1">JACOBIAN_RESULTS!B28</f>
        <v>#Error: Jacobian Results for Curve Collection '#Error: OIS Curve Market Data is Missing' and/or Curve Index '#Error: OIS Curve Market Data is Missing' do not exist</v>
      </c>
      <c r="AM23" s="89" t="str">
        <f ca="1">JACOBIAN_RESULTS!C28</f>
        <v>#Error: Jacobian Results for Curve Collection '#Error: OIS Curve Market Data is Missing' and/or Curve Index '#Error: OIS Curve Market Data is Missing' do not exist</v>
      </c>
      <c r="AN23" s="129" t="e">
        <f t="shared" ca="1" si="7"/>
        <v>#VALUE!</v>
      </c>
      <c r="AP23" s="94">
        <f ca="1">JACOBIAN_RESULTS!K28</f>
        <v>44424</v>
      </c>
      <c r="AQ23" s="90" t="e">
        <f ca="1">JACOBIAN_RESULTS!M28</f>
        <v>#VALUE!</v>
      </c>
      <c r="AR23" s="89">
        <f t="shared" ca="1" si="2"/>
        <v>-1.9355031167789249E-6</v>
      </c>
      <c r="AS23" s="129" t="e">
        <f t="shared" ca="1" si="8"/>
        <v>#VALUE!</v>
      </c>
      <c r="AU23" s="94" t="str">
        <f ca="1">JACOBIAN_RESULTS!P28</f>
        <v>#Error: Invalid Variant Data: Unable to cast '#Error: Invalid Curve: CurveCollection '#Error: OIS Curve Market Data is Missing' does not exist' to double</v>
      </c>
      <c r="AV23" s="109">
        <f ca="1">JACOBIAN_RESULTS!R28</f>
        <v>0.97327094810943271</v>
      </c>
      <c r="AW23" s="126">
        <f t="shared" ca="1" si="3"/>
        <v>0.97327094810943271</v>
      </c>
      <c r="AX23" s="129">
        <f t="shared" ca="1" si="9"/>
        <v>0</v>
      </c>
    </row>
    <row r="24" spans="2:50" x14ac:dyDescent="0.25">
      <c r="B24" s="98" t="str">
        <f ca="1"/>
        <v>slidingrule</v>
      </c>
      <c r="C24" s="98" t="str">
        <f ca="1"/>
        <v>MOD_FOLLOWING</v>
      </c>
      <c r="D24" s="98" t="str">
        <f ca="1"/>
        <v/>
      </c>
      <c r="E24" s="98" t="str">
        <f ca="1"/>
        <v/>
      </c>
      <c r="F24" s="98" t="str">
        <f ca="1"/>
        <v/>
      </c>
      <c r="G24" s="98" t="str">
        <f ca="1"/>
        <v/>
      </c>
      <c r="H24" s="98" t="str">
        <f ca="1"/>
        <v/>
      </c>
      <c r="I24" s="98" t="str">
        <f ca="1"/>
        <v/>
      </c>
      <c r="J24" s="98" t="e">
        <f ca="1"/>
        <v>#N/A</v>
      </c>
      <c r="L24" s="98" t="str">
        <f ca="1"/>
        <v>slidingrule</v>
      </c>
      <c r="M24" s="98" t="str">
        <f ca="1"/>
        <v>MOD_FOLLOWING</v>
      </c>
      <c r="N24" s="98" t="str">
        <f ca="1"/>
        <v/>
      </c>
      <c r="O24" s="98" t="str">
        <f ca="1"/>
        <v/>
      </c>
      <c r="P24" s="98" t="str">
        <f ca="1"/>
        <v/>
      </c>
      <c r="Q24" s="98" t="str">
        <f ca="1"/>
        <v/>
      </c>
      <c r="R24" s="98" t="str">
        <f ca="1"/>
        <v/>
      </c>
      <c r="S24" s="98" t="str">
        <f ca="1"/>
        <v/>
      </c>
      <c r="T24" s="98" t="e">
        <f ca="1"/>
        <v>#N/A</v>
      </c>
      <c r="V24" s="90"/>
      <c r="Y24" s="91">
        <f ca="1"/>
        <v>44516</v>
      </c>
      <c r="Z24" s="126">
        <f ca="1"/>
        <v>0.97055395979923365</v>
      </c>
      <c r="AC24" s="91">
        <f ca="1"/>
        <v>44516</v>
      </c>
      <c r="AD24" s="126">
        <f ca="1"/>
        <v>0.97055178236191819</v>
      </c>
      <c r="AE24" s="89">
        <f t="shared" ca="1" si="0"/>
        <v>-2.177437315453723E-6</v>
      </c>
      <c r="AF24" s="89"/>
      <c r="AG24" s="94">
        <f t="shared" ca="1" si="1"/>
        <v>44516</v>
      </c>
      <c r="AH24" s="126">
        <f t="shared" ca="1" si="4"/>
        <v>0.97055395979923365</v>
      </c>
      <c r="AI24" s="126">
        <f t="shared" ca="1" si="5"/>
        <v>0.97055178236191819</v>
      </c>
      <c r="AJ24" s="89">
        <f t="shared" ca="1" si="6"/>
        <v>-2.177437315453723E-6</v>
      </c>
      <c r="AL24" s="127" t="str">
        <f ca="1">JACOBIAN_RESULTS!B29</f>
        <v>#Error: Jacobian Results for Curve Collection '#Error: OIS Curve Market Data is Missing' and/or Curve Index '#Error: OIS Curve Market Data is Missing' do not exist</v>
      </c>
      <c r="AM24" s="89" t="str">
        <f ca="1">JACOBIAN_RESULTS!C29</f>
        <v>#Error: Jacobian Results for Curve Collection '#Error: OIS Curve Market Data is Missing' and/or Curve Index '#Error: OIS Curve Market Data is Missing' do not exist</v>
      </c>
      <c r="AN24" s="129" t="e">
        <f t="shared" ca="1" si="7"/>
        <v>#VALUE!</v>
      </c>
      <c r="AP24" s="94">
        <f ca="1">JACOBIAN_RESULTS!K29</f>
        <v>44516</v>
      </c>
      <c r="AQ24" s="90" t="e">
        <f ca="1">JACOBIAN_RESULTS!M29</f>
        <v>#VALUE!</v>
      </c>
      <c r="AR24" s="89">
        <f t="shared" ca="1" si="2"/>
        <v>-2.177437315453723E-6</v>
      </c>
      <c r="AS24" s="129" t="e">
        <f t="shared" ca="1" si="8"/>
        <v>#VALUE!</v>
      </c>
      <c r="AU24" s="94" t="str">
        <f ca="1">JACOBIAN_RESULTS!P29</f>
        <v>#Error: Invalid Variant Data: Unable to cast '#Error: Invalid Curve: CurveCollection '#Error: OIS Curve Market Data is Missing' does not exist' to double</v>
      </c>
      <c r="AV24" s="109">
        <f ca="1">JACOBIAN_RESULTS!R29</f>
        <v>0.97055178236191819</v>
      </c>
      <c r="AW24" s="126">
        <f t="shared" ca="1" si="3"/>
        <v>0.97055178236191819</v>
      </c>
      <c r="AX24" s="129">
        <f t="shared" ca="1" si="9"/>
        <v>0</v>
      </c>
    </row>
    <row r="25" spans="2:50" x14ac:dyDescent="0.25">
      <c r="B25" s="98" t="str">
        <f ca="1"/>
        <v>eomday</v>
      </c>
      <c r="C25" s="98">
        <f ca="1"/>
        <v>31</v>
      </c>
      <c r="D25" s="98" t="str">
        <f ca="1"/>
        <v/>
      </c>
      <c r="E25" s="98" t="str">
        <f ca="1"/>
        <v>LIBOROISBASISSPREADS</v>
      </c>
      <c r="F25" s="98" t="str">
        <f ca="1"/>
        <v/>
      </c>
      <c r="G25" s="98" t="str">
        <f ca="1"/>
        <v/>
      </c>
      <c r="H25" s="98" t="str">
        <f ca="1"/>
        <v/>
      </c>
      <c r="I25" s="98" t="str">
        <f ca="1"/>
        <v/>
      </c>
      <c r="J25" s="98" t="e">
        <f ca="1"/>
        <v>#N/A</v>
      </c>
      <c r="L25" s="98" t="str">
        <f ca="1"/>
        <v>eomday</v>
      </c>
      <c r="M25" s="98">
        <f ca="1"/>
        <v>31</v>
      </c>
      <c r="N25" s="98" t="str">
        <f ca="1"/>
        <v/>
      </c>
      <c r="O25" s="98" t="str">
        <f ca="1"/>
        <v>LIBOROISBASISSPREADS</v>
      </c>
      <c r="P25" s="98" t="str">
        <f ca="1"/>
        <v/>
      </c>
      <c r="Q25" s="98" t="str">
        <f ca="1"/>
        <v/>
      </c>
      <c r="R25" s="98" t="str">
        <f ca="1"/>
        <v/>
      </c>
      <c r="S25" s="98" t="str">
        <f ca="1"/>
        <v/>
      </c>
      <c r="T25" s="98" t="e">
        <f ca="1"/>
        <v>#N/A</v>
      </c>
      <c r="V25" s="117" t="s">
        <v>107</v>
      </c>
      <c r="Y25" s="91">
        <f ca="1"/>
        <v>44608</v>
      </c>
      <c r="Z25" s="126">
        <f ca="1"/>
        <v>0.96780302814694275</v>
      </c>
      <c r="AC25" s="91">
        <f ca="1"/>
        <v>44608</v>
      </c>
      <c r="AD25" s="126">
        <f ca="1"/>
        <v>0.96780061428534669</v>
      </c>
      <c r="AE25" s="89">
        <f t="shared" ca="1" si="0"/>
        <v>-2.41386159605117E-6</v>
      </c>
      <c r="AF25" s="89"/>
      <c r="AG25" s="94">
        <f t="shared" ca="1" si="1"/>
        <v>44608</v>
      </c>
      <c r="AH25" s="126">
        <f t="shared" ca="1" si="4"/>
        <v>0.96780302814694275</v>
      </c>
      <c r="AI25" s="126">
        <f t="shared" ca="1" si="5"/>
        <v>0.96780061428534669</v>
      </c>
      <c r="AJ25" s="89">
        <f t="shared" ca="1" si="6"/>
        <v>-2.41386159605117E-6</v>
      </c>
      <c r="AL25" s="127" t="str">
        <f ca="1">JACOBIAN_RESULTS!B30</f>
        <v>#Error: Jacobian Results for Curve Collection '#Error: OIS Curve Market Data is Missing' and/or Curve Index '#Error: OIS Curve Market Data is Missing' do not exist</v>
      </c>
      <c r="AM25" s="89" t="str">
        <f ca="1">JACOBIAN_RESULTS!C30</f>
        <v>#Error: Jacobian Results for Curve Collection '#Error: OIS Curve Market Data is Missing' and/or Curve Index '#Error: OIS Curve Market Data is Missing' do not exist</v>
      </c>
      <c r="AN25" s="129" t="e">
        <f t="shared" ca="1" si="7"/>
        <v>#VALUE!</v>
      </c>
      <c r="AP25" s="94">
        <f ca="1">JACOBIAN_RESULTS!K30</f>
        <v>44608</v>
      </c>
      <c r="AQ25" s="90" t="e">
        <f ca="1">JACOBIAN_RESULTS!M30</f>
        <v>#VALUE!</v>
      </c>
      <c r="AR25" s="89">
        <f t="shared" ca="1" si="2"/>
        <v>-2.41386159605117E-6</v>
      </c>
      <c r="AS25" s="129" t="e">
        <f t="shared" ca="1" si="8"/>
        <v>#VALUE!</v>
      </c>
      <c r="AU25" s="94" t="str">
        <f ca="1">JACOBIAN_RESULTS!P30</f>
        <v>#Error: Invalid Variant Data: Unable to cast '#Error: Invalid Curve: CurveCollection '#Error: OIS Curve Market Data is Missing' does not exist' to double</v>
      </c>
      <c r="AV25" s="109">
        <f ca="1">JACOBIAN_RESULTS!R30</f>
        <v>0.96780061428534669</v>
      </c>
      <c r="AW25" s="126">
        <f t="shared" ca="1" si="3"/>
        <v>0.96780061428534669</v>
      </c>
      <c r="AX25" s="129">
        <f t="shared" ca="1" si="9"/>
        <v>0</v>
      </c>
    </row>
    <row r="26" spans="2:50" x14ac:dyDescent="0.25">
      <c r="B26" s="98" t="str">
        <f ca="1"/>
        <v>iseomroll</v>
      </c>
      <c r="C26" s="98" t="str">
        <f ca="1"/>
        <v>TRUE</v>
      </c>
      <c r="D26" s="98" t="str">
        <f ca="1"/>
        <v/>
      </c>
      <c r="E26" s="98" t="str">
        <f ca="1"/>
        <v>1Y</v>
      </c>
      <c r="F26" s="116">
        <f ca="1"/>
        <v>2.9624999999999999E-3</v>
      </c>
      <c r="G26" s="98" t="str">
        <f ca="1"/>
        <v/>
      </c>
      <c r="H26" s="98" t="str">
        <f ca="1"/>
        <v/>
      </c>
      <c r="I26" s="98" t="str">
        <f ca="1"/>
        <v/>
      </c>
      <c r="J26" s="98" t="e">
        <f ca="1"/>
        <v>#N/A</v>
      </c>
      <c r="L26" s="98" t="str">
        <f ca="1"/>
        <v>iseomroll</v>
      </c>
      <c r="M26" s="98" t="str">
        <f ca="1"/>
        <v>TRUE</v>
      </c>
      <c r="N26" s="98" t="str">
        <f ca="1"/>
        <v/>
      </c>
      <c r="O26" s="98" t="str">
        <f ca="1"/>
        <v>1Y</v>
      </c>
      <c r="P26" s="116">
        <f ca="1"/>
        <v>2.9624999999999999E-3</v>
      </c>
      <c r="Q26" s="98" t="str">
        <f ca="1"/>
        <v/>
      </c>
      <c r="R26" s="98" t="str">
        <f ca="1"/>
        <v/>
      </c>
      <c r="S26" s="98" t="str">
        <f ca="1"/>
        <v/>
      </c>
      <c r="T26" s="98" t="e">
        <f ca="1"/>
        <v>#N/A</v>
      </c>
      <c r="V26" s="118">
        <f t="shared" ca="1" si="10"/>
        <v>0</v>
      </c>
      <c r="Y26" s="91">
        <f ca="1"/>
        <v>44697</v>
      </c>
      <c r="Z26" s="126">
        <f ca="1"/>
        <v>0.96511634042985084</v>
      </c>
      <c r="AC26" s="91">
        <f ca="1"/>
        <v>44697</v>
      </c>
      <c r="AD26" s="126">
        <f ca="1"/>
        <v>0.96511370204423008</v>
      </c>
      <c r="AE26" s="89">
        <f t="shared" ca="1" si="0"/>
        <v>-2.6383856207568002E-6</v>
      </c>
      <c r="AF26" s="89"/>
      <c r="AG26" s="94">
        <f t="shared" ca="1" si="1"/>
        <v>44697</v>
      </c>
      <c r="AH26" s="126">
        <f t="shared" ca="1" si="4"/>
        <v>0.96511634042985084</v>
      </c>
      <c r="AI26" s="126">
        <f t="shared" ca="1" si="5"/>
        <v>0.96511370204423008</v>
      </c>
      <c r="AJ26" s="89">
        <f t="shared" ca="1" si="6"/>
        <v>-2.6383856207568002E-6</v>
      </c>
      <c r="AL26" s="127" t="str">
        <f ca="1">JACOBIAN_RESULTS!B31</f>
        <v>#Error: Jacobian Results for Curve Collection '#Error: OIS Curve Market Data is Missing' and/or Curve Index '#Error: OIS Curve Market Data is Missing' do not exist</v>
      </c>
      <c r="AM26" s="89" t="str">
        <f ca="1">JACOBIAN_RESULTS!C31</f>
        <v>#Error: Jacobian Results for Curve Collection '#Error: OIS Curve Market Data is Missing' and/or Curve Index '#Error: OIS Curve Market Data is Missing' do not exist</v>
      </c>
      <c r="AN26" s="129" t="e">
        <f t="shared" ca="1" si="7"/>
        <v>#VALUE!</v>
      </c>
      <c r="AP26" s="94">
        <f ca="1">JACOBIAN_RESULTS!K31</f>
        <v>44697</v>
      </c>
      <c r="AQ26" s="90" t="e">
        <f ca="1">JACOBIAN_RESULTS!M31</f>
        <v>#VALUE!</v>
      </c>
      <c r="AR26" s="89">
        <f t="shared" ca="1" si="2"/>
        <v>-2.6383856207568002E-6</v>
      </c>
      <c r="AS26" s="129" t="e">
        <f t="shared" ca="1" si="8"/>
        <v>#VALUE!</v>
      </c>
      <c r="AU26" s="94" t="str">
        <f ca="1">JACOBIAN_RESULTS!P31</f>
        <v>#Error: Invalid Variant Data: Unable to cast '#Error: Invalid Curve: CurveCollection '#Error: OIS Curve Market Data is Missing' does not exist' to double</v>
      </c>
      <c r="AV26" s="109">
        <f ca="1">JACOBIAN_RESULTS!R31</f>
        <v>0.96511370204423008</v>
      </c>
      <c r="AW26" s="126">
        <f t="shared" ca="1" si="3"/>
        <v>0.96511370204423008</v>
      </c>
      <c r="AX26" s="129">
        <f t="shared" ca="1" si="9"/>
        <v>0</v>
      </c>
    </row>
    <row r="27" spans="2:50" x14ac:dyDescent="0.25">
      <c r="B27" s="98" t="str">
        <f ca="1"/>
        <v>shorttermconvention</v>
      </c>
      <c r="C27" s="98" t="str">
        <f ca="1"/>
        <v>ARITHMETICAVERAGE</v>
      </c>
      <c r="D27" s="98" t="str">
        <f ca="1"/>
        <v/>
      </c>
      <c r="E27" s="98" t="str">
        <f ca="1"/>
        <v>2Y</v>
      </c>
      <c r="F27" s="116">
        <f ca="1"/>
        <v>2.7437500000000001E-3</v>
      </c>
      <c r="G27" s="98" t="str">
        <f ca="1"/>
        <v/>
      </c>
      <c r="H27" s="98" t="str">
        <f ca="1"/>
        <v/>
      </c>
      <c r="I27" s="98" t="str">
        <f ca="1"/>
        <v/>
      </c>
      <c r="J27" s="98" t="e">
        <f ca="1"/>
        <v>#N/A</v>
      </c>
      <c r="L27" s="98" t="str">
        <f ca="1"/>
        <v>shorttermconvention</v>
      </c>
      <c r="M27" s="98" t="str">
        <f ca="1"/>
        <v>ARITHMETICAVERAGE</v>
      </c>
      <c r="N27" s="98" t="str">
        <f ca="1"/>
        <v/>
      </c>
      <c r="O27" s="98" t="str">
        <f ca="1"/>
        <v>2Y</v>
      </c>
      <c r="P27" s="116">
        <f ca="1"/>
        <v>2.7437500000000001E-3</v>
      </c>
      <c r="Q27" s="98" t="str">
        <f ca="1"/>
        <v/>
      </c>
      <c r="R27" s="98" t="str">
        <f ca="1"/>
        <v/>
      </c>
      <c r="S27" s="98" t="str">
        <f ca="1"/>
        <v/>
      </c>
      <c r="T27" s="98" t="e">
        <f ca="1"/>
        <v>#N/A</v>
      </c>
      <c r="V27" s="118">
        <f t="shared" ca="1" si="10"/>
        <v>0</v>
      </c>
      <c r="Y27" s="91">
        <f ca="1"/>
        <v>44789</v>
      </c>
      <c r="Z27" s="126">
        <f ca="1"/>
        <v>0.96233755867940651</v>
      </c>
      <c r="AC27" s="91">
        <f ca="1"/>
        <v>44789</v>
      </c>
      <c r="AD27" s="126">
        <f ca="1"/>
        <v>0.96233469045804654</v>
      </c>
      <c r="AE27" s="89">
        <f t="shared" ca="1" si="0"/>
        <v>-2.8682213599751094E-6</v>
      </c>
      <c r="AF27" s="89"/>
      <c r="AG27" s="94">
        <f t="shared" ca="1" si="1"/>
        <v>44789</v>
      </c>
      <c r="AH27" s="126">
        <f t="shared" ca="1" si="4"/>
        <v>0.96233755867940651</v>
      </c>
      <c r="AI27" s="126">
        <f t="shared" ca="1" si="5"/>
        <v>0.96233469045804654</v>
      </c>
      <c r="AJ27" s="89">
        <f t="shared" ca="1" si="6"/>
        <v>-2.8682213599751094E-6</v>
      </c>
      <c r="AL27" s="127" t="str">
        <f ca="1">JACOBIAN_RESULTS!B32</f>
        <v>#Error: Jacobian Results for Curve Collection '#Error: OIS Curve Market Data is Missing' and/or Curve Index '#Error: OIS Curve Market Data is Missing' do not exist</v>
      </c>
      <c r="AM27" s="89" t="str">
        <f ca="1">JACOBIAN_RESULTS!C32</f>
        <v>#Error: Jacobian Results for Curve Collection '#Error: OIS Curve Market Data is Missing' and/or Curve Index '#Error: OIS Curve Market Data is Missing' do not exist</v>
      </c>
      <c r="AN27" s="129" t="e">
        <f t="shared" ca="1" si="7"/>
        <v>#VALUE!</v>
      </c>
      <c r="AP27" s="94">
        <f ca="1">JACOBIAN_RESULTS!K32</f>
        <v>44789</v>
      </c>
      <c r="AQ27" s="90" t="e">
        <f ca="1">JACOBIAN_RESULTS!M32</f>
        <v>#VALUE!</v>
      </c>
      <c r="AR27" s="89">
        <f t="shared" ca="1" si="2"/>
        <v>-2.8682213599751094E-6</v>
      </c>
      <c r="AS27" s="129" t="e">
        <f t="shared" ca="1" si="8"/>
        <v>#VALUE!</v>
      </c>
      <c r="AU27" s="94" t="str">
        <f ca="1">JACOBIAN_RESULTS!P32</f>
        <v>#Error: Invalid Variant Data: Unable to cast '#Error: Invalid Curve: CurveCollection '#Error: OIS Curve Market Data is Missing' does not exist' to double</v>
      </c>
      <c r="AV27" s="109">
        <f ca="1">JACOBIAN_RESULTS!R32</f>
        <v>0.96233469045804654</v>
      </c>
      <c r="AW27" s="126">
        <f t="shared" ca="1" si="3"/>
        <v>0.96233469045804654</v>
      </c>
      <c r="AX27" s="129">
        <f t="shared" ca="1" si="9"/>
        <v>0</v>
      </c>
    </row>
    <row r="28" spans="2:50" x14ac:dyDescent="0.25">
      <c r="B28" s="98" t="str">
        <f ca="1"/>
        <v>longtermconvention</v>
      </c>
      <c r="C28" s="98" t="str">
        <f ca="1"/>
        <v>LOBASIS</v>
      </c>
      <c r="D28" s="98" t="str">
        <f ca="1"/>
        <v/>
      </c>
      <c r="E28" s="98" t="str">
        <f ca="1"/>
        <v>3Y</v>
      </c>
      <c r="F28" s="116">
        <f ca="1"/>
        <v>2.575E-3</v>
      </c>
      <c r="G28" s="98" t="str">
        <f ca="1"/>
        <v/>
      </c>
      <c r="H28" s="98" t="str">
        <f ca="1"/>
        <v/>
      </c>
      <c r="I28" s="98" t="str">
        <f ca="1"/>
        <v/>
      </c>
      <c r="J28" s="98" t="e">
        <f ca="1"/>
        <v>#N/A</v>
      </c>
      <c r="L28" s="98" t="str">
        <f ca="1"/>
        <v>longtermconvention</v>
      </c>
      <c r="M28" s="98" t="str">
        <f ca="1"/>
        <v>LOBASIS</v>
      </c>
      <c r="N28" s="98" t="str">
        <f ca="1"/>
        <v/>
      </c>
      <c r="O28" s="98" t="str">
        <f ca="1"/>
        <v>3Y</v>
      </c>
      <c r="P28" s="116">
        <f ca="1"/>
        <v>2.575E-3</v>
      </c>
      <c r="Q28" s="98" t="str">
        <f ca="1"/>
        <v/>
      </c>
      <c r="R28" s="98" t="str">
        <f ca="1"/>
        <v/>
      </c>
      <c r="S28" s="98" t="str">
        <f ca="1"/>
        <v/>
      </c>
      <c r="T28" s="98" t="e">
        <f ca="1"/>
        <v>#N/A</v>
      </c>
      <c r="V28" s="118">
        <f t="shared" ca="1" si="10"/>
        <v>0</v>
      </c>
      <c r="Y28" s="91">
        <f ca="1"/>
        <v>44881</v>
      </c>
      <c r="Z28" s="126">
        <f ca="1"/>
        <v>0.95959012464077931</v>
      </c>
      <c r="AC28" s="91">
        <f ca="1"/>
        <v>44881</v>
      </c>
      <c r="AD28" s="126">
        <f ca="1"/>
        <v>0.95958702645911953</v>
      </c>
      <c r="AE28" s="89">
        <f t="shared" ca="1" si="0"/>
        <v>-3.0981816597774881E-6</v>
      </c>
      <c r="AF28" s="89"/>
      <c r="AG28" s="94">
        <f t="shared" ca="1" si="1"/>
        <v>44881</v>
      </c>
      <c r="AH28" s="126">
        <f t="shared" ca="1" si="4"/>
        <v>0.95959012464077931</v>
      </c>
      <c r="AI28" s="126">
        <f t="shared" ca="1" si="5"/>
        <v>0.95958702645911953</v>
      </c>
      <c r="AJ28" s="89">
        <f t="shared" ca="1" si="6"/>
        <v>-3.0981816597774881E-6</v>
      </c>
      <c r="AL28" s="127" t="str">
        <f ca="1">JACOBIAN_RESULTS!B33</f>
        <v>#Error: Jacobian Results for Curve Collection '#Error: OIS Curve Market Data is Missing' and/or Curve Index '#Error: OIS Curve Market Data is Missing' do not exist</v>
      </c>
      <c r="AM28" s="89" t="str">
        <f ca="1">JACOBIAN_RESULTS!C33</f>
        <v>#Error: Jacobian Results for Curve Collection '#Error: OIS Curve Market Data is Missing' and/or Curve Index '#Error: OIS Curve Market Data is Missing' do not exist</v>
      </c>
      <c r="AN28" s="129" t="e">
        <f t="shared" ca="1" si="7"/>
        <v>#VALUE!</v>
      </c>
      <c r="AP28" s="94">
        <f ca="1">JACOBIAN_RESULTS!K33</f>
        <v>44881</v>
      </c>
      <c r="AQ28" s="90" t="e">
        <f ca="1">JACOBIAN_RESULTS!M33</f>
        <v>#VALUE!</v>
      </c>
      <c r="AR28" s="89">
        <f t="shared" ca="1" si="2"/>
        <v>-3.0981816597774881E-6</v>
      </c>
      <c r="AS28" s="129" t="e">
        <f t="shared" ca="1" si="8"/>
        <v>#VALUE!</v>
      </c>
      <c r="AU28" s="94" t="str">
        <f ca="1">JACOBIAN_RESULTS!P33</f>
        <v>#Error: Invalid Variant Data: Unable to cast '#Error: Invalid Curve: CurveCollection '#Error: OIS Curve Market Data is Missing' does not exist' to double</v>
      </c>
      <c r="AV28" s="109">
        <f ca="1">JACOBIAN_RESULTS!R33</f>
        <v>0.95958702645911953</v>
      </c>
      <c r="AW28" s="126">
        <f t="shared" ca="1" si="3"/>
        <v>0.95958702645911953</v>
      </c>
      <c r="AX28" s="129">
        <f t="shared" ca="1" si="9"/>
        <v>0</v>
      </c>
    </row>
    <row r="29" spans="2:50" x14ac:dyDescent="0.25">
      <c r="B29" s="98" t="str">
        <f ca="1"/>
        <v>longterm</v>
      </c>
      <c r="C29" s="98" t="str">
        <f ca="1"/>
        <v>1Y</v>
      </c>
      <c r="D29" s="98" t="str">
        <f ca="1"/>
        <v/>
      </c>
      <c r="E29" s="98" t="str">
        <f ca="1"/>
        <v>4Y</v>
      </c>
      <c r="F29" s="116">
        <f ca="1"/>
        <v>2.4875000000000001E-3</v>
      </c>
      <c r="G29" s="98" t="str">
        <f ca="1"/>
        <v/>
      </c>
      <c r="H29" s="98" t="str">
        <f ca="1"/>
        <v/>
      </c>
      <c r="I29" s="98" t="str">
        <f ca="1"/>
        <v/>
      </c>
      <c r="J29" s="98" t="e">
        <f ca="1"/>
        <v>#N/A</v>
      </c>
      <c r="L29" s="98" t="str">
        <f ca="1"/>
        <v>longterm</v>
      </c>
      <c r="M29" s="98" t="str">
        <f ca="1"/>
        <v>1Y</v>
      </c>
      <c r="N29" s="98" t="str">
        <f ca="1"/>
        <v/>
      </c>
      <c r="O29" s="98" t="str">
        <f ca="1"/>
        <v>4Y</v>
      </c>
      <c r="P29" s="116">
        <f ca="1"/>
        <v>2.4875000000000001E-3</v>
      </c>
      <c r="Q29" s="98" t="str">
        <f ca="1"/>
        <v/>
      </c>
      <c r="R29" s="98" t="str">
        <f ca="1"/>
        <v/>
      </c>
      <c r="S29" s="98" t="str">
        <f ca="1"/>
        <v/>
      </c>
      <c r="T29" s="98" t="e">
        <f ca="1"/>
        <v>#N/A</v>
      </c>
      <c r="V29" s="118">
        <f t="shared" ca="1" si="10"/>
        <v>0</v>
      </c>
      <c r="Y29" s="91">
        <f ca="1"/>
        <v>44973</v>
      </c>
      <c r="Z29" s="126">
        <f ca="1"/>
        <v>0.95687211532308669</v>
      </c>
      <c r="AC29" s="91">
        <f ca="1"/>
        <v>44973</v>
      </c>
      <c r="AD29" s="126">
        <f ca="1"/>
        <v>0.95686878683306731</v>
      </c>
      <c r="AE29" s="89">
        <f t="shared" ca="1" si="0"/>
        <v>-3.328490019383068E-6</v>
      </c>
      <c r="AF29" s="89"/>
      <c r="AG29" s="94">
        <f t="shared" ca="1" si="1"/>
        <v>44973</v>
      </c>
      <c r="AH29" s="126">
        <f t="shared" ca="1" si="4"/>
        <v>0.95687211532308669</v>
      </c>
      <c r="AI29" s="126">
        <f t="shared" ca="1" si="5"/>
        <v>0.95686878683306731</v>
      </c>
      <c r="AJ29" s="89">
        <f t="shared" ca="1" si="6"/>
        <v>-3.328490019383068E-6</v>
      </c>
      <c r="AL29" s="127" t="str">
        <f ca="1">JACOBIAN_RESULTS!B34</f>
        <v>#Error: Jacobian Results for Curve Collection '#Error: OIS Curve Market Data is Missing' and/or Curve Index '#Error: OIS Curve Market Data is Missing' do not exist</v>
      </c>
      <c r="AM29" s="89" t="str">
        <f ca="1">JACOBIAN_RESULTS!C34</f>
        <v>#Error: Jacobian Results for Curve Collection '#Error: OIS Curve Market Data is Missing' and/or Curve Index '#Error: OIS Curve Market Data is Missing' do not exist</v>
      </c>
      <c r="AN29" s="129" t="e">
        <f t="shared" ca="1" si="7"/>
        <v>#VALUE!</v>
      </c>
      <c r="AP29" s="94">
        <f ca="1">JACOBIAN_RESULTS!K34</f>
        <v>44973</v>
      </c>
      <c r="AQ29" s="90" t="e">
        <f ca="1">JACOBIAN_RESULTS!M34</f>
        <v>#VALUE!</v>
      </c>
      <c r="AR29" s="89">
        <f t="shared" ca="1" si="2"/>
        <v>-3.328490019383068E-6</v>
      </c>
      <c r="AS29" s="129" t="e">
        <f t="shared" ca="1" si="8"/>
        <v>#VALUE!</v>
      </c>
      <c r="AU29" s="94" t="str">
        <f ca="1">JACOBIAN_RESULTS!P34</f>
        <v>#Error: Invalid Variant Data: Unable to cast '#Error: Invalid Curve: CurveCollection '#Error: OIS Curve Market Data is Missing' does not exist' to double</v>
      </c>
      <c r="AV29" s="109">
        <f ca="1">JACOBIAN_RESULTS!R34</f>
        <v>0.95686878683306731</v>
      </c>
      <c r="AW29" s="126">
        <f t="shared" ca="1" si="3"/>
        <v>0.95686878683306731</v>
      </c>
      <c r="AX29" s="129">
        <f t="shared" ca="1" si="9"/>
        <v>0</v>
      </c>
    </row>
    <row r="30" spans="2:50" x14ac:dyDescent="0.25">
      <c r="B30" s="98" t="str">
        <f ca="1"/>
        <v>longterm.generatemethod</v>
      </c>
      <c r="C30" s="98" t="str">
        <f ca="1"/>
        <v>NONE</v>
      </c>
      <c r="D30" s="98" t="str">
        <f ca="1"/>
        <v/>
      </c>
      <c r="E30" s="98" t="str">
        <f ca="1"/>
        <v>5Y</v>
      </c>
      <c r="F30" s="116">
        <f ca="1"/>
        <v>2.4499999999999999E-3</v>
      </c>
      <c r="G30" s="98" t="str">
        <f ca="1"/>
        <v/>
      </c>
      <c r="H30" s="98" t="str">
        <f ca="1"/>
        <v/>
      </c>
      <c r="I30" s="98" t="str">
        <f ca="1"/>
        <v/>
      </c>
      <c r="J30" s="98" t="e">
        <f ca="1"/>
        <v>#N/A</v>
      </c>
      <c r="L30" s="98" t="str">
        <f ca="1"/>
        <v>longterm.generatemethod</v>
      </c>
      <c r="M30" s="98" t="str">
        <f ca="1"/>
        <v>NONE</v>
      </c>
      <c r="N30" s="98" t="str">
        <f ca="1"/>
        <v/>
      </c>
      <c r="O30" s="98" t="str">
        <f ca="1"/>
        <v>5Y</v>
      </c>
      <c r="P30" s="116">
        <f ca="1"/>
        <v>2.4499999999999999E-3</v>
      </c>
      <c r="Q30" s="98" t="str">
        <f ca="1"/>
        <v/>
      </c>
      <c r="R30" s="98" t="str">
        <f ca="1"/>
        <v/>
      </c>
      <c r="S30" s="98" t="str">
        <f ca="1"/>
        <v/>
      </c>
      <c r="T30" s="98" t="e">
        <f ca="1"/>
        <v>#N/A</v>
      </c>
      <c r="V30" s="118">
        <f t="shared" ca="1" si="10"/>
        <v>0</v>
      </c>
      <c r="Y30" s="91">
        <f ca="1"/>
        <v>45062</v>
      </c>
      <c r="Z30" s="126">
        <f ca="1"/>
        <v>0.95425774588416878</v>
      </c>
      <c r="AC30" s="91">
        <f ca="1"/>
        <v>45062</v>
      </c>
      <c r="AD30" s="126">
        <f ca="1"/>
        <v>0.95425419487888796</v>
      </c>
      <c r="AE30" s="89">
        <f t="shared" ca="1" si="0"/>
        <v>-3.5510052808218617E-6</v>
      </c>
      <c r="AF30" s="89"/>
      <c r="AG30" s="94">
        <f t="shared" ca="1" si="1"/>
        <v>45062</v>
      </c>
      <c r="AH30" s="126">
        <f t="shared" ca="1" si="4"/>
        <v>0.95425774588416878</v>
      </c>
      <c r="AI30" s="126">
        <f t="shared" ca="1" si="5"/>
        <v>0.95425419487888796</v>
      </c>
      <c r="AJ30" s="89">
        <f t="shared" ca="1" si="6"/>
        <v>-3.5510052808218617E-6</v>
      </c>
      <c r="AL30" s="127" t="str">
        <f ca="1">JACOBIAN_RESULTS!B35</f>
        <v>#Error: Jacobian Results for Curve Collection '#Error: OIS Curve Market Data is Missing' and/or Curve Index '#Error: OIS Curve Market Data is Missing' do not exist</v>
      </c>
      <c r="AM30" s="89" t="str">
        <f ca="1">JACOBIAN_RESULTS!C35</f>
        <v>#Error: Jacobian Results for Curve Collection '#Error: OIS Curve Market Data is Missing' and/or Curve Index '#Error: OIS Curve Market Data is Missing' do not exist</v>
      </c>
      <c r="AN30" s="129" t="e">
        <f t="shared" ca="1" si="7"/>
        <v>#VALUE!</v>
      </c>
      <c r="AP30" s="94">
        <f ca="1">JACOBIAN_RESULTS!K35</f>
        <v>45062</v>
      </c>
      <c r="AQ30" s="90" t="e">
        <f ca="1">JACOBIAN_RESULTS!M35</f>
        <v>#VALUE!</v>
      </c>
      <c r="AR30" s="89">
        <f t="shared" ca="1" si="2"/>
        <v>-3.5510052808218617E-6</v>
      </c>
      <c r="AS30" s="129" t="e">
        <f t="shared" ca="1" si="8"/>
        <v>#VALUE!</v>
      </c>
      <c r="AU30" s="94" t="str">
        <f ca="1">JACOBIAN_RESULTS!P35</f>
        <v>#Error: Invalid Variant Data: Unable to cast '#Error: Invalid Curve: CurveCollection '#Error: OIS Curve Market Data is Missing' does not exist' to double</v>
      </c>
      <c r="AV30" s="109">
        <f ca="1">JACOBIAN_RESULTS!R35</f>
        <v>0.95425419487888796</v>
      </c>
      <c r="AW30" s="126">
        <f t="shared" ca="1" si="3"/>
        <v>0.95425419487888796</v>
      </c>
      <c r="AX30" s="129">
        <f t="shared" ca="1" si="9"/>
        <v>0</v>
      </c>
    </row>
    <row r="31" spans="2:50" x14ac:dyDescent="0.25">
      <c r="B31" s="98" t="str">
        <f ca="1"/>
        <v>Epsilon</v>
      </c>
      <c r="C31" s="98">
        <f ca="1"/>
        <v>1E-10</v>
      </c>
      <c r="D31" s="98" t="str">
        <f ca="1"/>
        <v/>
      </c>
      <c r="E31" s="98" t="str">
        <f ca="1"/>
        <v>7Y</v>
      </c>
      <c r="F31" s="116">
        <f ca="1"/>
        <v>2.39375E-3</v>
      </c>
      <c r="G31" s="98" t="str">
        <f ca="1"/>
        <v/>
      </c>
      <c r="H31" s="98" t="str">
        <f ca="1"/>
        <v/>
      </c>
      <c r="I31" s="98" t="str">
        <f ca="1"/>
        <v/>
      </c>
      <c r="J31" s="98" t="e">
        <f ca="1"/>
        <v>#N/A</v>
      </c>
      <c r="L31" s="98" t="str">
        <f ca="1"/>
        <v>Epsilon</v>
      </c>
      <c r="M31" s="98">
        <f ca="1"/>
        <v>1E-10</v>
      </c>
      <c r="N31" s="98" t="str">
        <f ca="1"/>
        <v/>
      </c>
      <c r="O31" s="98" t="str">
        <f ca="1"/>
        <v>7Y</v>
      </c>
      <c r="P31" s="116">
        <f ca="1"/>
        <v>2.39375E-3</v>
      </c>
      <c r="Q31" s="98" t="str">
        <f ca="1"/>
        <v/>
      </c>
      <c r="R31" s="98" t="str">
        <f ca="1"/>
        <v/>
      </c>
      <c r="S31" s="98" t="str">
        <f ca="1"/>
        <v/>
      </c>
      <c r="T31" s="98" t="e">
        <f ca="1"/>
        <v>#N/A</v>
      </c>
      <c r="V31" s="118">
        <f t="shared" ca="1" si="10"/>
        <v>0</v>
      </c>
      <c r="Y31" s="91">
        <f ca="1"/>
        <v>45154</v>
      </c>
      <c r="Z31" s="126">
        <f ca="1"/>
        <v>0.95155568394964818</v>
      </c>
      <c r="AC31" s="91">
        <f ca="1"/>
        <v>45154</v>
      </c>
      <c r="AD31" s="126">
        <f ca="1"/>
        <v>0.95155190412917257</v>
      </c>
      <c r="AE31" s="89">
        <f t="shared" ca="1" si="0"/>
        <v>-3.7798204756134268E-6</v>
      </c>
      <c r="AF31" s="89"/>
      <c r="AG31" s="94">
        <f t="shared" ca="1" si="1"/>
        <v>45154</v>
      </c>
      <c r="AH31" s="126">
        <f t="shared" ca="1" si="4"/>
        <v>0.95155568394964818</v>
      </c>
      <c r="AI31" s="126">
        <f t="shared" ca="1" si="5"/>
        <v>0.95155190412917257</v>
      </c>
      <c r="AJ31" s="89">
        <f t="shared" ca="1" si="6"/>
        <v>-3.7798204756134268E-6</v>
      </c>
      <c r="AL31" s="127" t="str">
        <f ca="1">JACOBIAN_RESULTS!B36</f>
        <v>#Error: Jacobian Results for Curve Collection '#Error: OIS Curve Market Data is Missing' and/or Curve Index '#Error: OIS Curve Market Data is Missing' do not exist</v>
      </c>
      <c r="AM31" s="89" t="str">
        <f ca="1">JACOBIAN_RESULTS!C36</f>
        <v>#Error: Jacobian Results for Curve Collection '#Error: OIS Curve Market Data is Missing' and/or Curve Index '#Error: OIS Curve Market Data is Missing' do not exist</v>
      </c>
      <c r="AN31" s="129" t="e">
        <f t="shared" ca="1" si="7"/>
        <v>#VALUE!</v>
      </c>
      <c r="AP31" s="94">
        <f ca="1">JACOBIAN_RESULTS!K36</f>
        <v>45154</v>
      </c>
      <c r="AQ31" s="90" t="e">
        <f ca="1">JACOBIAN_RESULTS!M36</f>
        <v>#VALUE!</v>
      </c>
      <c r="AR31" s="89">
        <f t="shared" ca="1" si="2"/>
        <v>-3.7798204756134268E-6</v>
      </c>
      <c r="AS31" s="129" t="e">
        <f t="shared" ca="1" si="8"/>
        <v>#VALUE!</v>
      </c>
      <c r="AU31" s="94" t="str">
        <f ca="1">JACOBIAN_RESULTS!P36</f>
        <v>#Error: Invalid Variant Data: Unable to cast '#Error: Invalid Curve: CurveCollection '#Error: OIS Curve Market Data is Missing' does not exist' to double</v>
      </c>
      <c r="AV31" s="109">
        <f ca="1">JACOBIAN_RESULTS!R36</f>
        <v>0.95155190412917257</v>
      </c>
      <c r="AW31" s="126">
        <f t="shared" ca="1" si="3"/>
        <v>0.95155190412917257</v>
      </c>
      <c r="AX31" s="129">
        <f t="shared" ca="1" si="9"/>
        <v>0</v>
      </c>
    </row>
    <row r="32" spans="2:50" x14ac:dyDescent="0.25">
      <c r="B32" s="98" t="str">
        <f ca="1"/>
        <v>MaxLoop</v>
      </c>
      <c r="C32" s="98">
        <f ca="1"/>
        <v>1000</v>
      </c>
      <c r="D32" s="98" t="str">
        <f ca="1"/>
        <v/>
      </c>
      <c r="E32" s="98" t="str">
        <f ca="1"/>
        <v>10Y</v>
      </c>
      <c r="F32" s="116">
        <f ca="1"/>
        <v>2.3625E-3</v>
      </c>
      <c r="G32" s="98" t="str">
        <f ca="1"/>
        <v/>
      </c>
      <c r="H32" s="98" t="str">
        <f ca="1"/>
        <v/>
      </c>
      <c r="I32" s="98" t="str">
        <f ca="1"/>
        <v/>
      </c>
      <c r="J32" s="98" t="e">
        <f ca="1"/>
        <v>#N/A</v>
      </c>
      <c r="L32" s="98" t="str">
        <f ca="1"/>
        <v>MaxLoop</v>
      </c>
      <c r="M32" s="98">
        <f ca="1"/>
        <v>1000</v>
      </c>
      <c r="N32" s="98" t="str">
        <f ca="1"/>
        <v/>
      </c>
      <c r="O32" s="98" t="str">
        <f ca="1"/>
        <v>10Y</v>
      </c>
      <c r="P32" s="116">
        <f ca="1"/>
        <v>2.3625E-3</v>
      </c>
      <c r="Q32" s="98" t="str">
        <f ca="1"/>
        <v/>
      </c>
      <c r="R32" s="98" t="str">
        <f ca="1"/>
        <v/>
      </c>
      <c r="S32" s="98" t="str">
        <f ca="1"/>
        <v/>
      </c>
      <c r="T32" s="98" t="e">
        <f ca="1"/>
        <v>#N/A</v>
      </c>
      <c r="V32" s="118">
        <f t="shared" ca="1" si="10"/>
        <v>0</v>
      </c>
      <c r="Y32" s="91">
        <f ca="1"/>
        <v>45246</v>
      </c>
      <c r="Z32" s="126">
        <f ca="1"/>
        <v>0.94883940427434088</v>
      </c>
      <c r="AC32" s="91">
        <f ca="1"/>
        <v>45246</v>
      </c>
      <c r="AD32" s="126">
        <f ca="1"/>
        <v>0.9488353977937215</v>
      </c>
      <c r="AE32" s="89">
        <f t="shared" ca="1" si="0"/>
        <v>-4.0064806193784719E-6</v>
      </c>
      <c r="AF32" s="89"/>
      <c r="AG32" s="94">
        <f t="shared" ca="1" si="1"/>
        <v>45246</v>
      </c>
      <c r="AH32" s="126">
        <f t="shared" ca="1" si="4"/>
        <v>0.94883940427434088</v>
      </c>
      <c r="AI32" s="126">
        <f t="shared" ca="1" si="5"/>
        <v>0.9488353977937215</v>
      </c>
      <c r="AJ32" s="89">
        <f t="shared" ca="1" si="6"/>
        <v>-4.0064806193784719E-6</v>
      </c>
      <c r="AL32" s="127" t="str">
        <f ca="1">JACOBIAN_RESULTS!B37</f>
        <v>#Error: Jacobian Results for Curve Collection '#Error: OIS Curve Market Data is Missing' and/or Curve Index '#Error: OIS Curve Market Data is Missing' do not exist</v>
      </c>
      <c r="AM32" s="89" t="str">
        <f ca="1">JACOBIAN_RESULTS!C37</f>
        <v>#Error: Jacobian Results for Curve Collection '#Error: OIS Curve Market Data is Missing' and/or Curve Index '#Error: OIS Curve Market Data is Missing' do not exist</v>
      </c>
      <c r="AN32" s="129" t="e">
        <f t="shared" ca="1" si="7"/>
        <v>#VALUE!</v>
      </c>
      <c r="AP32" s="94">
        <f ca="1">JACOBIAN_RESULTS!K37</f>
        <v>45246</v>
      </c>
      <c r="AQ32" s="90" t="e">
        <f ca="1">JACOBIAN_RESULTS!M37</f>
        <v>#VALUE!</v>
      </c>
      <c r="AR32" s="89">
        <f t="shared" ca="1" si="2"/>
        <v>-4.0064806193784719E-6</v>
      </c>
      <c r="AS32" s="129" t="e">
        <f t="shared" ca="1" si="8"/>
        <v>#VALUE!</v>
      </c>
      <c r="AU32" s="94" t="str">
        <f ca="1">JACOBIAN_RESULTS!P37</f>
        <v>#Error: Invalid Variant Data: Unable to cast '#Error: Invalid Curve: CurveCollection '#Error: OIS Curve Market Data is Missing' does not exist' to double</v>
      </c>
      <c r="AV32" s="109">
        <f ca="1">JACOBIAN_RESULTS!R37</f>
        <v>0.9488353977937215</v>
      </c>
      <c r="AW32" s="126">
        <f t="shared" ca="1" si="3"/>
        <v>0.9488353977937215</v>
      </c>
      <c r="AX32" s="129">
        <f t="shared" ca="1" si="9"/>
        <v>0</v>
      </c>
    </row>
    <row r="33" spans="2:50" x14ac:dyDescent="0.25">
      <c r="B33" s="98" t="str">
        <f ca="1"/>
        <v>CompoundingMethod</v>
      </c>
      <c r="C33" s="98" t="str">
        <f ca="1"/>
        <v>ARITHMETIC</v>
      </c>
      <c r="D33" s="98" t="str">
        <f ca="1"/>
        <v/>
      </c>
      <c r="E33" s="98" t="str">
        <f ca="1"/>
        <v>12Y</v>
      </c>
      <c r="F33" s="116">
        <f ca="1"/>
        <v>2.3500000000000001E-3</v>
      </c>
      <c r="G33" s="98" t="str">
        <f ca="1"/>
        <v/>
      </c>
      <c r="H33" s="98" t="str">
        <f ca="1"/>
        <v/>
      </c>
      <c r="I33" s="98" t="str">
        <f ca="1"/>
        <v/>
      </c>
      <c r="J33" s="98" t="e">
        <f ca="1"/>
        <v>#N/A</v>
      </c>
      <c r="L33" s="98" t="str">
        <f ca="1"/>
        <v>CompoundingMethod</v>
      </c>
      <c r="M33" s="98" t="str">
        <f ca="1"/>
        <v>ARITHMETIC</v>
      </c>
      <c r="N33" s="98" t="str">
        <f ca="1"/>
        <v/>
      </c>
      <c r="O33" s="98" t="str">
        <f ca="1"/>
        <v>12Y</v>
      </c>
      <c r="P33" s="116">
        <f ca="1"/>
        <v>2.3500000000000001E-3</v>
      </c>
      <c r="Q33" s="98" t="str">
        <f ca="1"/>
        <v/>
      </c>
      <c r="R33" s="98" t="str">
        <f ca="1"/>
        <v/>
      </c>
      <c r="S33" s="98" t="str">
        <f ca="1"/>
        <v/>
      </c>
      <c r="T33" s="98" t="e">
        <f ca="1"/>
        <v>#N/A</v>
      </c>
      <c r="V33" s="118">
        <f t="shared" ca="1" si="10"/>
        <v>0</v>
      </c>
      <c r="Y33" s="91">
        <f ca="1"/>
        <v>45338</v>
      </c>
      <c r="Z33" s="126">
        <f ca="1"/>
        <v>0.94610278871629649</v>
      </c>
      <c r="AC33" s="91">
        <f ca="1"/>
        <v>45338</v>
      </c>
      <c r="AD33" s="126">
        <f ca="1"/>
        <v>0.94609855777386431</v>
      </c>
      <c r="AE33" s="89">
        <f t="shared" ca="1" si="0"/>
        <v>-4.2309424321818057E-6</v>
      </c>
      <c r="AF33" s="89"/>
      <c r="AG33" s="94">
        <f t="shared" ca="1" si="1"/>
        <v>45338</v>
      </c>
      <c r="AH33" s="126">
        <f t="shared" ca="1" si="4"/>
        <v>0.94610278871629649</v>
      </c>
      <c r="AI33" s="126">
        <f t="shared" ca="1" si="5"/>
        <v>0.94609855777386431</v>
      </c>
      <c r="AJ33" s="89">
        <f t="shared" ca="1" si="6"/>
        <v>-4.2309424321818057E-6</v>
      </c>
      <c r="AL33" s="127" t="str">
        <f ca="1">JACOBIAN_RESULTS!B38</f>
        <v>#Error: Jacobian Results for Curve Collection '#Error: OIS Curve Market Data is Missing' and/or Curve Index '#Error: OIS Curve Market Data is Missing' do not exist</v>
      </c>
      <c r="AM33" s="89" t="str">
        <f ca="1">JACOBIAN_RESULTS!C38</f>
        <v>#Error: Jacobian Results for Curve Collection '#Error: OIS Curve Market Data is Missing' and/or Curve Index '#Error: OIS Curve Market Data is Missing' do not exist</v>
      </c>
      <c r="AN33" s="129" t="e">
        <f t="shared" ca="1" si="7"/>
        <v>#VALUE!</v>
      </c>
      <c r="AP33" s="94">
        <f ca="1">JACOBIAN_RESULTS!K38</f>
        <v>45338</v>
      </c>
      <c r="AQ33" s="90" t="e">
        <f ca="1">JACOBIAN_RESULTS!M38</f>
        <v>#VALUE!</v>
      </c>
      <c r="AR33" s="89">
        <f t="shared" ca="1" si="2"/>
        <v>-4.2309424321818057E-6</v>
      </c>
      <c r="AS33" s="129" t="e">
        <f t="shared" ca="1" si="8"/>
        <v>#VALUE!</v>
      </c>
      <c r="AU33" s="94" t="str">
        <f ca="1">JACOBIAN_RESULTS!P38</f>
        <v>#Error: Invalid Variant Data: Unable to cast '#Error: Invalid Curve: CurveCollection '#Error: OIS Curve Market Data is Missing' does not exist' to double</v>
      </c>
      <c r="AV33" s="109">
        <f ca="1">JACOBIAN_RESULTS!R38</f>
        <v>0.94609855777386431</v>
      </c>
      <c r="AW33" s="126">
        <f t="shared" ca="1" si="3"/>
        <v>0.94609855777386431</v>
      </c>
      <c r="AX33" s="129">
        <f t="shared" ca="1" si="9"/>
        <v>0</v>
      </c>
    </row>
    <row r="34" spans="2:50" x14ac:dyDescent="0.25">
      <c r="B34" s="98" t="str">
        <f ca="1"/>
        <v>SmoothShortEnd</v>
      </c>
      <c r="C34" s="98" t="str">
        <f ca="1"/>
        <v>FALSE</v>
      </c>
      <c r="D34" s="98" t="str">
        <f ca="1"/>
        <v/>
      </c>
      <c r="E34" s="98" t="str">
        <f ca="1"/>
        <v>15Y</v>
      </c>
      <c r="F34" s="116">
        <f ca="1"/>
        <v>2.3500000000000001E-3</v>
      </c>
      <c r="G34" s="98" t="str">
        <f ca="1"/>
        <v/>
      </c>
      <c r="H34" s="98" t="str">
        <f ca="1"/>
        <v/>
      </c>
      <c r="I34" s="98" t="str">
        <f ca="1"/>
        <v/>
      </c>
      <c r="J34" s="98" t="e">
        <f ca="1"/>
        <v>#N/A</v>
      </c>
      <c r="L34" s="98" t="str">
        <f ca="1"/>
        <v>SmoothShortEnd</v>
      </c>
      <c r="M34" s="98" t="str">
        <f ca="1"/>
        <v>FALSE</v>
      </c>
      <c r="N34" s="98" t="str">
        <f ca="1"/>
        <v/>
      </c>
      <c r="O34" s="98" t="str">
        <f ca="1"/>
        <v>15Y</v>
      </c>
      <c r="P34" s="116">
        <f ca="1"/>
        <v>2.3500000000000001E-3</v>
      </c>
      <c r="Q34" s="98" t="str">
        <f ca="1"/>
        <v/>
      </c>
      <c r="R34" s="98" t="str">
        <f ca="1"/>
        <v/>
      </c>
      <c r="S34" s="98" t="str">
        <f ca="1"/>
        <v/>
      </c>
      <c r="T34" s="98" t="e">
        <f ca="1"/>
        <v>#N/A</v>
      </c>
      <c r="V34" s="118">
        <f t="shared" ca="1" si="10"/>
        <v>0</v>
      </c>
      <c r="Y34" s="91">
        <f ca="1"/>
        <v>45428</v>
      </c>
      <c r="Z34" s="126">
        <f ca="1"/>
        <v>0.94340352187622156</v>
      </c>
      <c r="AC34" s="91">
        <f ca="1"/>
        <v>45428</v>
      </c>
      <c r="AD34" s="126">
        <f ca="1"/>
        <v>0.94339907320678484</v>
      </c>
      <c r="AE34" s="89">
        <f t="shared" ca="1" si="0"/>
        <v>-4.4486694367185109E-6</v>
      </c>
      <c r="AF34" s="89"/>
      <c r="AG34" s="94">
        <f t="shared" ca="1" si="1"/>
        <v>45428</v>
      </c>
      <c r="AH34" s="126">
        <f t="shared" ca="1" si="4"/>
        <v>0.94340352187622156</v>
      </c>
      <c r="AI34" s="126">
        <f t="shared" ca="1" si="5"/>
        <v>0.94339907320678484</v>
      </c>
      <c r="AJ34" s="89">
        <f t="shared" ca="1" si="6"/>
        <v>-4.4486694367185109E-6</v>
      </c>
      <c r="AL34" s="127" t="str">
        <f ca="1">JACOBIAN_RESULTS!B39</f>
        <v>#Error: Jacobian Results for Curve Collection '#Error: OIS Curve Market Data is Missing' and/or Curve Index '#Error: OIS Curve Market Data is Missing' do not exist</v>
      </c>
      <c r="AM34" s="89" t="str">
        <f ca="1">JACOBIAN_RESULTS!C39</f>
        <v>#Error: Jacobian Results for Curve Collection '#Error: OIS Curve Market Data is Missing' and/or Curve Index '#Error: OIS Curve Market Data is Missing' do not exist</v>
      </c>
      <c r="AN34" s="129" t="e">
        <f t="shared" ca="1" si="7"/>
        <v>#VALUE!</v>
      </c>
      <c r="AP34" s="94">
        <f ca="1">JACOBIAN_RESULTS!K39</f>
        <v>45428</v>
      </c>
      <c r="AQ34" s="90" t="e">
        <f ca="1">JACOBIAN_RESULTS!M39</f>
        <v>#VALUE!</v>
      </c>
      <c r="AR34" s="89">
        <f t="shared" ca="1" si="2"/>
        <v>-4.4486694367185109E-6</v>
      </c>
      <c r="AS34" s="129" t="e">
        <f t="shared" ca="1" si="8"/>
        <v>#VALUE!</v>
      </c>
      <c r="AU34" s="94" t="str">
        <f ca="1">JACOBIAN_RESULTS!P39</f>
        <v>#Error: Invalid Variant Data: Unable to cast '#Error: Invalid Curve: CurveCollection '#Error: OIS Curve Market Data is Missing' does not exist' to double</v>
      </c>
      <c r="AV34" s="109">
        <f ca="1">JACOBIAN_RESULTS!R39</f>
        <v>0.94339907320678484</v>
      </c>
      <c r="AW34" s="126">
        <f t="shared" ca="1" si="3"/>
        <v>0.94339907320678484</v>
      </c>
      <c r="AX34" s="129">
        <f t="shared" ca="1" si="9"/>
        <v>0</v>
      </c>
    </row>
    <row r="35" spans="2:50" x14ac:dyDescent="0.25">
      <c r="B35" s="98" t="str">
        <f ca="1"/>
        <v/>
      </c>
      <c r="C35" s="98" t="str">
        <f ca="1"/>
        <v/>
      </c>
      <c r="D35" s="98" t="str">
        <f ca="1"/>
        <v/>
      </c>
      <c r="E35" s="98" t="str">
        <f ca="1"/>
        <v>20Y</v>
      </c>
      <c r="F35" s="116">
        <f ca="1"/>
        <v>2.3437499999999999E-3</v>
      </c>
      <c r="G35" s="98" t="str">
        <f ca="1"/>
        <v/>
      </c>
      <c r="H35" s="98" t="str">
        <f ca="1"/>
        <v/>
      </c>
      <c r="I35" s="98" t="str">
        <f ca="1"/>
        <v/>
      </c>
      <c r="J35" s="98" t="e">
        <f ca="1"/>
        <v>#N/A</v>
      </c>
      <c r="L35" s="98" t="str">
        <f ca="1"/>
        <v/>
      </c>
      <c r="M35" s="98" t="str">
        <f ca="1"/>
        <v/>
      </c>
      <c r="N35" s="98" t="str">
        <f ca="1"/>
        <v/>
      </c>
      <c r="O35" s="98" t="str">
        <f ca="1"/>
        <v>20Y</v>
      </c>
      <c r="P35" s="116">
        <f ca="1"/>
        <v>2.3437499999999999E-3</v>
      </c>
      <c r="Q35" s="98" t="str">
        <f ca="1"/>
        <v/>
      </c>
      <c r="R35" s="98" t="str">
        <f ca="1"/>
        <v/>
      </c>
      <c r="S35" s="98" t="str">
        <f ca="1"/>
        <v/>
      </c>
      <c r="T35" s="98" t="e">
        <f ca="1"/>
        <v>#N/A</v>
      </c>
      <c r="V35" s="118">
        <f t="shared" ca="1" si="10"/>
        <v>0</v>
      </c>
      <c r="Y35" s="91">
        <f ca="1"/>
        <v>45520</v>
      </c>
      <c r="Z35" s="126">
        <f ca="1"/>
        <v>0.94062055472897954</v>
      </c>
      <c r="AC35" s="91">
        <f ca="1"/>
        <v>45520</v>
      </c>
      <c r="AD35" s="126">
        <f ca="1"/>
        <v>0.94061588502091198</v>
      </c>
      <c r="AE35" s="89">
        <f t="shared" ca="1" si="0"/>
        <v>-4.6697080675617286E-6</v>
      </c>
      <c r="AF35" s="89"/>
      <c r="AG35" s="94">
        <f t="shared" ca="1" si="1"/>
        <v>45520</v>
      </c>
      <c r="AH35" s="126">
        <f t="shared" ca="1" si="4"/>
        <v>0.94062055472897954</v>
      </c>
      <c r="AI35" s="126">
        <f t="shared" ca="1" si="5"/>
        <v>0.94061588502091198</v>
      </c>
      <c r="AJ35" s="89">
        <f t="shared" ca="1" si="6"/>
        <v>-4.6697080675617286E-6</v>
      </c>
      <c r="AL35" s="127" t="str">
        <f ca="1">JACOBIAN_RESULTS!B40</f>
        <v>#Error: Jacobian Results for Curve Collection '#Error: OIS Curve Market Data is Missing' and/or Curve Index '#Error: OIS Curve Market Data is Missing' do not exist</v>
      </c>
      <c r="AM35" s="89" t="str">
        <f ca="1">JACOBIAN_RESULTS!C40</f>
        <v>#Error: Jacobian Results for Curve Collection '#Error: OIS Curve Market Data is Missing' and/or Curve Index '#Error: OIS Curve Market Data is Missing' do not exist</v>
      </c>
      <c r="AN35" s="129" t="e">
        <f t="shared" ca="1" si="7"/>
        <v>#VALUE!</v>
      </c>
      <c r="AP35" s="94">
        <f ca="1">JACOBIAN_RESULTS!K40</f>
        <v>45520</v>
      </c>
      <c r="AQ35" s="90" t="e">
        <f ca="1">JACOBIAN_RESULTS!M40</f>
        <v>#VALUE!</v>
      </c>
      <c r="AR35" s="89">
        <f t="shared" ca="1" si="2"/>
        <v>-4.6697080675617286E-6</v>
      </c>
      <c r="AS35" s="129" t="e">
        <f t="shared" ca="1" si="8"/>
        <v>#VALUE!</v>
      </c>
      <c r="AU35" s="94" t="str">
        <f ca="1">JACOBIAN_RESULTS!P40</f>
        <v>#Error: Invalid Variant Data: Unable to cast '#Error: Invalid Curve: CurveCollection '#Error: OIS Curve Market Data is Missing' does not exist' to double</v>
      </c>
      <c r="AV35" s="109">
        <f ca="1">JACOBIAN_RESULTS!R40</f>
        <v>0.94061588502091198</v>
      </c>
      <c r="AW35" s="126">
        <f t="shared" ca="1" si="3"/>
        <v>0.94061588502091198</v>
      </c>
      <c r="AX35" s="129">
        <f t="shared" ca="1" si="9"/>
        <v>0</v>
      </c>
    </row>
    <row r="36" spans="2:50" x14ac:dyDescent="0.25">
      <c r="B36" s="98" t="str">
        <f ca="1"/>
        <v>LIBOROISBASIS</v>
      </c>
      <c r="C36" s="98" t="str">
        <f ca="1"/>
        <v/>
      </c>
      <c r="D36" s="98" t="str">
        <f ca="1"/>
        <v/>
      </c>
      <c r="E36" s="98" t="str">
        <f ca="1"/>
        <v>25Y</v>
      </c>
      <c r="F36" s="116">
        <f ca="1"/>
        <v>2.3437499999999999E-3</v>
      </c>
      <c r="G36" s="98" t="str">
        <f ca="1"/>
        <v/>
      </c>
      <c r="H36" s="98" t="str">
        <f ca="1"/>
        <v/>
      </c>
      <c r="I36" s="98" t="str">
        <f ca="1"/>
        <v/>
      </c>
      <c r="J36" s="98" t="e">
        <f ca="1"/>
        <v>#N/A</v>
      </c>
      <c r="L36" s="98" t="str">
        <f ca="1"/>
        <v>LIBOROISBASIS</v>
      </c>
      <c r="M36" s="98" t="str">
        <f ca="1"/>
        <v/>
      </c>
      <c r="N36" s="98" t="str">
        <f ca="1"/>
        <v/>
      </c>
      <c r="O36" s="98" t="str">
        <f ca="1"/>
        <v>25Y</v>
      </c>
      <c r="P36" s="116">
        <f ca="1"/>
        <v>2.3437499999999999E-3</v>
      </c>
      <c r="Q36" s="98" t="str">
        <f ca="1"/>
        <v/>
      </c>
      <c r="R36" s="98" t="str">
        <f ca="1"/>
        <v/>
      </c>
      <c r="S36" s="98" t="str">
        <f ca="1"/>
        <v/>
      </c>
      <c r="T36" s="98" t="e">
        <f ca="1"/>
        <v>#N/A</v>
      </c>
      <c r="V36" s="118">
        <f t="shared" ca="1" si="10"/>
        <v>0</v>
      </c>
      <c r="Y36" s="91">
        <f ca="1"/>
        <v>45614</v>
      </c>
      <c r="Z36" s="126">
        <f ca="1"/>
        <v>0.93775191320999718</v>
      </c>
      <c r="AC36" s="91">
        <f ca="1"/>
        <v>45614</v>
      </c>
      <c r="AD36" s="126">
        <f ca="1"/>
        <v>0.93774701886932876</v>
      </c>
      <c r="AE36" s="89">
        <f t="shared" ca="1" si="0"/>
        <v>-4.8943406684154311E-6</v>
      </c>
      <c r="AF36" s="89"/>
      <c r="AG36" s="94">
        <f t="shared" ca="1" si="1"/>
        <v>45614</v>
      </c>
      <c r="AH36" s="126">
        <f t="shared" ca="1" si="4"/>
        <v>0.93775191320999718</v>
      </c>
      <c r="AI36" s="126">
        <f t="shared" ca="1" si="5"/>
        <v>0.93774701886932876</v>
      </c>
      <c r="AJ36" s="89">
        <f t="shared" ca="1" si="6"/>
        <v>-4.8943406684154311E-6</v>
      </c>
      <c r="AL36" s="127" t="str">
        <f ca="1">JACOBIAN_RESULTS!B41</f>
        <v>#Error: Jacobian Results for Curve Collection '#Error: OIS Curve Market Data is Missing' and/or Curve Index '#Error: OIS Curve Market Data is Missing' do not exist</v>
      </c>
      <c r="AM36" s="89" t="str">
        <f ca="1">JACOBIAN_RESULTS!C41</f>
        <v>#Error: Jacobian Results for Curve Collection '#Error: OIS Curve Market Data is Missing' and/or Curve Index '#Error: OIS Curve Market Data is Missing' do not exist</v>
      </c>
      <c r="AN36" s="129" t="e">
        <f t="shared" ca="1" si="7"/>
        <v>#VALUE!</v>
      </c>
      <c r="AP36" s="94">
        <f ca="1">JACOBIAN_RESULTS!K41</f>
        <v>45614</v>
      </c>
      <c r="AQ36" s="90" t="e">
        <f ca="1">JACOBIAN_RESULTS!M41</f>
        <v>#VALUE!</v>
      </c>
      <c r="AR36" s="89">
        <f t="shared" ca="1" si="2"/>
        <v>-4.8943406684154311E-6</v>
      </c>
      <c r="AS36" s="129" t="e">
        <f t="shared" ca="1" si="8"/>
        <v>#VALUE!</v>
      </c>
      <c r="AU36" s="94" t="str">
        <f ca="1">JACOBIAN_RESULTS!P41</f>
        <v>#Error: Invalid Variant Data: Unable to cast '#Error: Invalid Curve: CurveCollection '#Error: OIS Curve Market Data is Missing' does not exist' to double</v>
      </c>
      <c r="AV36" s="109">
        <f ca="1">JACOBIAN_RESULTS!R41</f>
        <v>0.93774701886932876</v>
      </c>
      <c r="AW36" s="126">
        <f t="shared" ca="1" si="3"/>
        <v>0.93774701886932876</v>
      </c>
      <c r="AX36" s="129">
        <f t="shared" ca="1" si="9"/>
        <v>0</v>
      </c>
    </row>
    <row r="37" spans="2:50" x14ac:dyDescent="0.25">
      <c r="B37" s="98" t="str">
        <f ca="1"/>
        <v>Calendar</v>
      </c>
      <c r="C37" s="98" t="str">
        <f ca="1"/>
        <v>LNB:NYB</v>
      </c>
      <c r="D37" s="98" t="str">
        <f ca="1"/>
        <v/>
      </c>
      <c r="E37" s="98" t="str">
        <f ca="1"/>
        <v>30Y</v>
      </c>
      <c r="F37" s="116">
        <f ca="1"/>
        <v>2.3500000000000001E-3</v>
      </c>
      <c r="G37" s="98" t="str">
        <f ca="1"/>
        <v/>
      </c>
      <c r="H37" s="98" t="str">
        <f ca="1"/>
        <v/>
      </c>
      <c r="I37" s="98" t="str">
        <f ca="1"/>
        <v/>
      </c>
      <c r="J37" s="98" t="e">
        <f ca="1"/>
        <v>#N/A</v>
      </c>
      <c r="L37" s="98" t="str">
        <f ca="1"/>
        <v>Calendar</v>
      </c>
      <c r="M37" s="98" t="str">
        <f ca="1"/>
        <v>LNB:NYB</v>
      </c>
      <c r="N37" s="98" t="str">
        <f ca="1"/>
        <v/>
      </c>
      <c r="O37" s="98" t="str">
        <f ca="1"/>
        <v>30Y</v>
      </c>
      <c r="P37" s="116">
        <f ca="1"/>
        <v>2.3500000000000001E-3</v>
      </c>
      <c r="Q37" s="98" t="str">
        <f ca="1"/>
        <v/>
      </c>
      <c r="R37" s="98" t="str">
        <f ca="1"/>
        <v/>
      </c>
      <c r="S37" s="98" t="str">
        <f ca="1"/>
        <v/>
      </c>
      <c r="T37" s="98" t="e">
        <f ca="1"/>
        <v>#N/A</v>
      </c>
      <c r="V37" s="118">
        <f t="shared" ca="1" si="10"/>
        <v>0</v>
      </c>
      <c r="Y37" s="91">
        <f ca="1"/>
        <v>45706</v>
      </c>
      <c r="Z37" s="126">
        <f ca="1"/>
        <v>0.93491751302189807</v>
      </c>
      <c r="AC37" s="91">
        <f ca="1"/>
        <v>45706</v>
      </c>
      <c r="AD37" s="126">
        <f ca="1"/>
        <v>0.93491239996918407</v>
      </c>
      <c r="AE37" s="89">
        <f t="shared" ca="1" si="0"/>
        <v>-5.1130527140008653E-6</v>
      </c>
      <c r="AF37" s="89"/>
      <c r="AG37" s="94">
        <f t="shared" ca="1" si="1"/>
        <v>45706</v>
      </c>
      <c r="AH37" s="126">
        <f t="shared" ca="1" si="4"/>
        <v>0.93491751302189807</v>
      </c>
      <c r="AI37" s="126">
        <f t="shared" ca="1" si="5"/>
        <v>0.93491239996918407</v>
      </c>
      <c r="AJ37" s="89">
        <f t="shared" ca="1" si="6"/>
        <v>-5.1130527140008653E-6</v>
      </c>
      <c r="AL37" s="127" t="str">
        <f ca="1">JACOBIAN_RESULTS!B42</f>
        <v>#Error: Jacobian Results for Curve Collection '#Error: OIS Curve Market Data is Missing' and/or Curve Index '#Error: OIS Curve Market Data is Missing' do not exist</v>
      </c>
      <c r="AM37" s="89" t="str">
        <f ca="1">JACOBIAN_RESULTS!C42</f>
        <v>#Error: Jacobian Results for Curve Collection '#Error: OIS Curve Market Data is Missing' and/or Curve Index '#Error: OIS Curve Market Data is Missing' do not exist</v>
      </c>
      <c r="AN37" s="129" t="e">
        <f t="shared" ca="1" si="7"/>
        <v>#VALUE!</v>
      </c>
      <c r="AP37" s="94">
        <f ca="1">JACOBIAN_RESULTS!K42</f>
        <v>45706</v>
      </c>
      <c r="AQ37" s="90" t="e">
        <f ca="1">JACOBIAN_RESULTS!M42</f>
        <v>#VALUE!</v>
      </c>
      <c r="AR37" s="89">
        <f t="shared" ca="1" si="2"/>
        <v>-5.1130527140008653E-6</v>
      </c>
      <c r="AS37" s="129" t="e">
        <f t="shared" ca="1" si="8"/>
        <v>#VALUE!</v>
      </c>
      <c r="AU37" s="94" t="str">
        <f ca="1">JACOBIAN_RESULTS!P42</f>
        <v>#Error: Invalid Variant Data: Unable to cast '#Error: Invalid Curve: CurveCollection '#Error: OIS Curve Market Data is Missing' does not exist' to double</v>
      </c>
      <c r="AV37" s="109">
        <f ca="1">JACOBIAN_RESULTS!R42</f>
        <v>0.93491239996918407</v>
      </c>
      <c r="AW37" s="126">
        <f t="shared" ca="1" si="3"/>
        <v>0.93491239996918407</v>
      </c>
      <c r="AX37" s="129">
        <f t="shared" ca="1" si="9"/>
        <v>0</v>
      </c>
    </row>
    <row r="38" spans="2:50" x14ac:dyDescent="0.25">
      <c r="B38" s="98" t="str">
        <f ca="1"/>
        <v>Daycount</v>
      </c>
      <c r="C38" s="98" t="str">
        <f ca="1"/>
        <v>ACT/360</v>
      </c>
      <c r="D38" s="98" t="str">
        <f ca="1"/>
        <v/>
      </c>
      <c r="E38" s="98" t="str">
        <f ca="1"/>
        <v>40Y</v>
      </c>
      <c r="F38" s="116">
        <f ca="1"/>
        <v>2.3500000000000001E-3</v>
      </c>
      <c r="G38" s="98" t="str">
        <f ca="1"/>
        <v/>
      </c>
      <c r="H38" s="98" t="str">
        <f ca="1"/>
        <v/>
      </c>
      <c r="I38" s="98" t="str">
        <f ca="1"/>
        <v/>
      </c>
      <c r="J38" s="98" t="e">
        <f ca="1"/>
        <v>#N/A</v>
      </c>
      <c r="L38" s="98" t="str">
        <f ca="1"/>
        <v>Daycount</v>
      </c>
      <c r="M38" s="98" t="str">
        <f ca="1"/>
        <v>ACT/360</v>
      </c>
      <c r="N38" s="98" t="str">
        <f ca="1"/>
        <v/>
      </c>
      <c r="O38" s="98" t="str">
        <f ca="1"/>
        <v>40Y</v>
      </c>
      <c r="P38" s="116">
        <f ca="1"/>
        <v>2.3500000000000001E-3</v>
      </c>
      <c r="Q38" s="98" t="str">
        <f ca="1"/>
        <v/>
      </c>
      <c r="R38" s="98" t="str">
        <f ca="1"/>
        <v/>
      </c>
      <c r="S38" s="98" t="str">
        <f ca="1"/>
        <v/>
      </c>
      <c r="T38" s="98" t="e">
        <f ca="1"/>
        <v>#N/A</v>
      </c>
      <c r="V38" s="118">
        <f t="shared" ca="1" si="10"/>
        <v>0</v>
      </c>
      <c r="Y38" s="91">
        <f ca="1"/>
        <v>45793</v>
      </c>
      <c r="Z38" s="126">
        <f ca="1"/>
        <v>0.932210834237859</v>
      </c>
      <c r="AC38" s="91">
        <f ca="1"/>
        <v>45793</v>
      </c>
      <c r="AD38" s="126">
        <f ca="1"/>
        <v>0.93220551544882324</v>
      </c>
      <c r="AE38" s="89">
        <f t="shared" ref="AE38:AE55" ca="1" si="11">AD38-Z38</f>
        <v>-5.318789035757554E-6</v>
      </c>
      <c r="AF38" s="89"/>
      <c r="AG38" s="94">
        <f t="shared" ref="AG38:AG55" ca="1" si="12">Y38</f>
        <v>45793</v>
      </c>
      <c r="AH38" s="126">
        <f t="shared" ca="1" si="4"/>
        <v>0.932210834237859</v>
      </c>
      <c r="AI38" s="126">
        <f t="shared" ca="1" si="5"/>
        <v>0.93220551544882324</v>
      </c>
      <c r="AJ38" s="89">
        <f t="shared" ca="1" si="6"/>
        <v>-5.318789035757554E-6</v>
      </c>
      <c r="AL38" s="127" t="str">
        <f ca="1">JACOBIAN_RESULTS!B43</f>
        <v>#Error: Jacobian Results for Curve Collection '#Error: OIS Curve Market Data is Missing' and/or Curve Index '#Error: OIS Curve Market Data is Missing' do not exist</v>
      </c>
      <c r="AM38" s="89" t="str">
        <f ca="1">JACOBIAN_RESULTS!C43</f>
        <v>#Error: Jacobian Results for Curve Collection '#Error: OIS Curve Market Data is Missing' and/or Curve Index '#Error: OIS Curve Market Data is Missing' do not exist</v>
      </c>
      <c r="AN38" s="129" t="e">
        <f t="shared" ca="1" si="7"/>
        <v>#VALUE!</v>
      </c>
      <c r="AP38" s="94">
        <f ca="1">JACOBIAN_RESULTS!K43</f>
        <v>45793</v>
      </c>
      <c r="AQ38" s="90" t="e">
        <f ca="1">JACOBIAN_RESULTS!M43</f>
        <v>#VALUE!</v>
      </c>
      <c r="AR38" s="89">
        <f t="shared" ref="AR38:AR55" ca="1" si="13">AJ38</f>
        <v>-5.318789035757554E-6</v>
      </c>
      <c r="AS38" s="129" t="e">
        <f t="shared" ca="1" si="8"/>
        <v>#VALUE!</v>
      </c>
      <c r="AU38" s="94" t="str">
        <f ca="1">JACOBIAN_RESULTS!P43</f>
        <v>#Error: Invalid Variant Data: Unable to cast '#Error: Invalid Curve: CurveCollection '#Error: OIS Curve Market Data is Missing' does not exist' to double</v>
      </c>
      <c r="AV38" s="109">
        <f ca="1">JACOBIAN_RESULTS!R43</f>
        <v>0.93220551544882324</v>
      </c>
      <c r="AW38" s="126">
        <f t="shared" ref="AW38:AW55" ca="1" si="14">AI38</f>
        <v>0.93220551544882324</v>
      </c>
      <c r="AX38" s="129">
        <f t="shared" ca="1" si="9"/>
        <v>0</v>
      </c>
    </row>
    <row r="39" spans="2:50" x14ac:dyDescent="0.25">
      <c r="B39" s="98" t="str">
        <f ca="1"/>
        <v>Frequency</v>
      </c>
      <c r="C39" s="98" t="str">
        <f ca="1"/>
        <v>QUARTERLY</v>
      </c>
      <c r="D39" s="98" t="str">
        <f ca="1"/>
        <v/>
      </c>
      <c r="E39" s="98" t="str">
        <f ca="1"/>
        <v>50Y</v>
      </c>
      <c r="F39" s="116">
        <f ca="1"/>
        <v>2.3500000000000001E-3</v>
      </c>
      <c r="G39" s="98" t="str">
        <f ca="1"/>
        <v/>
      </c>
      <c r="H39" s="98" t="str">
        <f ca="1"/>
        <v/>
      </c>
      <c r="I39" s="98" t="str">
        <f ca="1"/>
        <v/>
      </c>
      <c r="J39" s="98" t="e">
        <f ca="1"/>
        <v>#N/A</v>
      </c>
      <c r="L39" s="98" t="str">
        <f ca="1"/>
        <v>Frequency</v>
      </c>
      <c r="M39" s="98" t="str">
        <f ca="1"/>
        <v>QUARTERLY</v>
      </c>
      <c r="N39" s="98" t="str">
        <f ca="1"/>
        <v/>
      </c>
      <c r="O39" s="98" t="str">
        <f ca="1"/>
        <v>50Y</v>
      </c>
      <c r="P39" s="116">
        <f ca="1"/>
        <v>2.3500000000000001E-3</v>
      </c>
      <c r="Q39" s="98" t="str">
        <f ca="1"/>
        <v/>
      </c>
      <c r="R39" s="98" t="str">
        <f ca="1"/>
        <v/>
      </c>
      <c r="S39" s="98" t="str">
        <f ca="1"/>
        <v/>
      </c>
      <c r="T39" s="98" t="e">
        <f ca="1"/>
        <v>#N/A</v>
      </c>
      <c r="V39" s="118">
        <f t="shared" ca="1" si="10"/>
        <v>0</v>
      </c>
      <c r="Y39" s="91">
        <f ca="1"/>
        <v>45887</v>
      </c>
      <c r="Z39" s="126">
        <f ca="1"/>
        <v>0.92925612475968999</v>
      </c>
      <c r="AC39" s="91">
        <f ca="1"/>
        <v>45887</v>
      </c>
      <c r="AD39" s="126">
        <f ca="1"/>
        <v>0.92925058493857737</v>
      </c>
      <c r="AE39" s="89">
        <f t="shared" ca="1" si="11"/>
        <v>-5.5398211126211905E-6</v>
      </c>
      <c r="AF39" s="89"/>
      <c r="AG39" s="94">
        <f t="shared" ca="1" si="12"/>
        <v>45887</v>
      </c>
      <c r="AH39" s="126">
        <f t="shared" ca="1" si="4"/>
        <v>0.92925612475968999</v>
      </c>
      <c r="AI39" s="126">
        <f t="shared" ca="1" si="5"/>
        <v>0.92925058493857737</v>
      </c>
      <c r="AJ39" s="89">
        <f t="shared" ca="1" si="6"/>
        <v>-5.5398211126211905E-6</v>
      </c>
      <c r="AL39" s="127" t="str">
        <f ca="1">JACOBIAN_RESULTS!B44</f>
        <v>#Error: Jacobian Results for Curve Collection '#Error: OIS Curve Market Data is Missing' and/or Curve Index '#Error: OIS Curve Market Data is Missing' do not exist</v>
      </c>
      <c r="AM39" s="89" t="str">
        <f ca="1">JACOBIAN_RESULTS!C44</f>
        <v>#Error: Jacobian Results for Curve Collection '#Error: OIS Curve Market Data is Missing' and/or Curve Index '#Error: OIS Curve Market Data is Missing' do not exist</v>
      </c>
      <c r="AN39" s="129" t="e">
        <f t="shared" ca="1" si="7"/>
        <v>#VALUE!</v>
      </c>
      <c r="AP39" s="94">
        <f ca="1">JACOBIAN_RESULTS!K44</f>
        <v>45887</v>
      </c>
      <c r="AQ39" s="90" t="e">
        <f ca="1">JACOBIAN_RESULTS!M44</f>
        <v>#VALUE!</v>
      </c>
      <c r="AR39" s="89">
        <f t="shared" ca="1" si="13"/>
        <v>-5.5398211126211905E-6</v>
      </c>
      <c r="AS39" s="129" t="e">
        <f t="shared" ca="1" si="8"/>
        <v>#VALUE!</v>
      </c>
      <c r="AU39" s="94" t="str">
        <f ca="1">JACOBIAN_RESULTS!P44</f>
        <v>#Error: Invalid Variant Data: Unable to cast '#Error: Invalid Curve: CurveCollection '#Error: OIS Curve Market Data is Missing' does not exist' to double</v>
      </c>
      <c r="AV39" s="109">
        <f ca="1">JACOBIAN_RESULTS!R44</f>
        <v>0.92925058493857737</v>
      </c>
      <c r="AW39" s="126">
        <f t="shared" ca="1" si="14"/>
        <v>0.92925058493857737</v>
      </c>
      <c r="AX39" s="129">
        <f t="shared" ca="1" si="9"/>
        <v>0</v>
      </c>
    </row>
    <row r="40" spans="2:50" x14ac:dyDescent="0.25">
      <c r="B40" s="98" t="str">
        <f ca="1"/>
        <v>SlidingRule</v>
      </c>
      <c r="C40" s="98" t="str">
        <f ca="1"/>
        <v>MOD_FOLLOWING</v>
      </c>
      <c r="D40" s="98" t="str">
        <f ca="1"/>
        <v/>
      </c>
      <c r="E40" s="98" t="str">
        <f ca="1"/>
        <v/>
      </c>
      <c r="F40" s="98" t="str">
        <f ca="1"/>
        <v/>
      </c>
      <c r="G40" s="98" t="str">
        <f ca="1"/>
        <v/>
      </c>
      <c r="H40" s="98" t="str">
        <f ca="1"/>
        <v/>
      </c>
      <c r="I40" s="98" t="str">
        <f ca="1"/>
        <v/>
      </c>
      <c r="J40" s="98" t="e">
        <f ca="1"/>
        <v>#N/A</v>
      </c>
      <c r="L40" s="98" t="str">
        <f ca="1"/>
        <v>SlidingRule</v>
      </c>
      <c r="M40" s="98" t="str">
        <f ca="1"/>
        <v>MOD_FOLLOWING</v>
      </c>
      <c r="N40" s="98" t="str">
        <f ca="1"/>
        <v/>
      </c>
      <c r="O40" s="98" t="str">
        <f ca="1"/>
        <v/>
      </c>
      <c r="P40" s="98" t="str">
        <f ca="1"/>
        <v/>
      </c>
      <c r="Q40" s="98" t="str">
        <f ca="1"/>
        <v/>
      </c>
      <c r="R40" s="98" t="str">
        <f ca="1"/>
        <v/>
      </c>
      <c r="S40" s="98" t="str">
        <f ca="1"/>
        <v/>
      </c>
      <c r="T40" s="98" t="e">
        <f ca="1"/>
        <v>#N/A</v>
      </c>
      <c r="V40" s="90"/>
      <c r="Y40" s="91">
        <f ca="1"/>
        <v>45978</v>
      </c>
      <c r="Z40" s="126">
        <f ca="1"/>
        <v>0.92636490889200296</v>
      </c>
      <c r="AC40" s="91">
        <f ca="1"/>
        <v>45978</v>
      </c>
      <c r="AD40" s="126">
        <f ca="1"/>
        <v>0.92635915641551303</v>
      </c>
      <c r="AE40" s="89">
        <f t="shared" ca="1" si="11"/>
        <v>-5.7524764899286041E-6</v>
      </c>
      <c r="AF40" s="89"/>
      <c r="AG40" s="94">
        <f t="shared" ca="1" si="12"/>
        <v>45978</v>
      </c>
      <c r="AH40" s="126">
        <f t="shared" ca="1" si="4"/>
        <v>0.92636490889200296</v>
      </c>
      <c r="AI40" s="126">
        <f t="shared" ca="1" si="5"/>
        <v>0.92635915641551303</v>
      </c>
      <c r="AJ40" s="89">
        <f t="shared" ca="1" si="6"/>
        <v>-5.7524764899286041E-6</v>
      </c>
      <c r="AL40" s="127" t="str">
        <f ca="1">JACOBIAN_RESULTS!B45</f>
        <v>#Error: Jacobian Results for Curve Collection '#Error: OIS Curve Market Data is Missing' and/or Curve Index '#Error: OIS Curve Market Data is Missing' do not exist</v>
      </c>
      <c r="AM40" s="89" t="str">
        <f ca="1">JACOBIAN_RESULTS!C45</f>
        <v>#Error: Jacobian Results for Curve Collection '#Error: OIS Curve Market Data is Missing' and/or Curve Index '#Error: OIS Curve Market Data is Missing' do not exist</v>
      </c>
      <c r="AN40" s="129" t="e">
        <f t="shared" ca="1" si="7"/>
        <v>#VALUE!</v>
      </c>
      <c r="AP40" s="94">
        <f ca="1">JACOBIAN_RESULTS!K45</f>
        <v>45978</v>
      </c>
      <c r="AQ40" s="90" t="e">
        <f ca="1">JACOBIAN_RESULTS!M45</f>
        <v>#VALUE!</v>
      </c>
      <c r="AR40" s="89">
        <f t="shared" ca="1" si="13"/>
        <v>-5.7524764899286041E-6</v>
      </c>
      <c r="AS40" s="129" t="e">
        <f t="shared" ca="1" si="8"/>
        <v>#VALUE!</v>
      </c>
      <c r="AU40" s="94" t="str">
        <f ca="1">JACOBIAN_RESULTS!P45</f>
        <v>#Error: Invalid Variant Data: Unable to cast '#Error: Invalid Curve: CurveCollection '#Error: OIS Curve Market Data is Missing' does not exist' to double</v>
      </c>
      <c r="AV40" s="109">
        <f ca="1">JACOBIAN_RESULTS!R45</f>
        <v>0.92635915641551303</v>
      </c>
      <c r="AW40" s="126">
        <f t="shared" ca="1" si="14"/>
        <v>0.92635915641551303</v>
      </c>
      <c r="AX40" s="129">
        <f t="shared" ca="1" si="9"/>
        <v>0</v>
      </c>
    </row>
    <row r="41" spans="2:50" x14ac:dyDescent="0.25">
      <c r="B41" s="98" t="str">
        <f ca="1"/>
        <v/>
      </c>
      <c r="C41" s="98" t="str">
        <f ca="1"/>
        <v/>
      </c>
      <c r="D41" s="98" t="str">
        <f ca="1"/>
        <v/>
      </c>
      <c r="E41" s="98" t="str">
        <f ca="1"/>
        <v>SWAPS</v>
      </c>
      <c r="F41" s="98" t="str">
        <f ca="1"/>
        <v/>
      </c>
      <c r="G41" s="98" t="str">
        <f ca="1"/>
        <v/>
      </c>
      <c r="H41" s="98" t="str">
        <f ca="1"/>
        <v/>
      </c>
      <c r="I41" s="98" t="str">
        <f ca="1"/>
        <v/>
      </c>
      <c r="J41" s="98" t="e">
        <f ca="1"/>
        <v>#N/A</v>
      </c>
      <c r="L41" s="98" t="str">
        <f ca="1"/>
        <v/>
      </c>
      <c r="M41" s="98" t="str">
        <f ca="1"/>
        <v/>
      </c>
      <c r="N41" s="98" t="str">
        <f ca="1"/>
        <v/>
      </c>
      <c r="O41" s="98" t="str">
        <f ca="1"/>
        <v>SWAPS</v>
      </c>
      <c r="P41" s="98" t="str">
        <f ca="1"/>
        <v/>
      </c>
      <c r="Q41" s="98" t="str">
        <f ca="1"/>
        <v/>
      </c>
      <c r="R41" s="98" t="str">
        <f ca="1"/>
        <v/>
      </c>
      <c r="S41" s="98" t="str">
        <f ca="1"/>
        <v/>
      </c>
      <c r="T41" s="98" t="e">
        <f ca="1"/>
        <v>#N/A</v>
      </c>
      <c r="V41" s="117" t="s">
        <v>107</v>
      </c>
      <c r="Y41" s="91">
        <f ca="1"/>
        <v>46070</v>
      </c>
      <c r="Z41" s="126">
        <f ca="1"/>
        <v>0.92341082937435348</v>
      </c>
      <c r="AC41" s="91">
        <f ca="1"/>
        <v>46070</v>
      </c>
      <c r="AD41" s="126">
        <f ca="1"/>
        <v>0.92340486331803751</v>
      </c>
      <c r="AE41" s="89">
        <f t="shared" ca="1" si="11"/>
        <v>-5.9660563159757984E-6</v>
      </c>
      <c r="AF41" s="89"/>
      <c r="AG41" s="94">
        <f t="shared" ca="1" si="12"/>
        <v>46070</v>
      </c>
      <c r="AH41" s="126">
        <f t="shared" ca="1" si="4"/>
        <v>0.92341082937435348</v>
      </c>
      <c r="AI41" s="126">
        <f t="shared" ca="1" si="5"/>
        <v>0.92340486331803751</v>
      </c>
      <c r="AJ41" s="89">
        <f t="shared" ca="1" si="6"/>
        <v>-5.9660563159757984E-6</v>
      </c>
      <c r="AL41" s="127" t="str">
        <f ca="1">JACOBIAN_RESULTS!B46</f>
        <v>#Error: Jacobian Results for Curve Collection '#Error: OIS Curve Market Data is Missing' and/or Curve Index '#Error: OIS Curve Market Data is Missing' do not exist</v>
      </c>
      <c r="AM41" s="89" t="str">
        <f ca="1">JACOBIAN_RESULTS!C46</f>
        <v>#Error: Jacobian Results for Curve Collection '#Error: OIS Curve Market Data is Missing' and/or Curve Index '#Error: OIS Curve Market Data is Missing' do not exist</v>
      </c>
      <c r="AN41" s="129" t="e">
        <f t="shared" ca="1" si="7"/>
        <v>#VALUE!</v>
      </c>
      <c r="AP41" s="94">
        <f ca="1">JACOBIAN_RESULTS!K46</f>
        <v>46070</v>
      </c>
      <c r="AQ41" s="90" t="e">
        <f ca="1">JACOBIAN_RESULTS!M46</f>
        <v>#VALUE!</v>
      </c>
      <c r="AR41" s="89">
        <f t="shared" ca="1" si="13"/>
        <v>-5.9660563159757984E-6</v>
      </c>
      <c r="AS41" s="129" t="e">
        <f t="shared" ca="1" si="8"/>
        <v>#VALUE!</v>
      </c>
      <c r="AU41" s="94" t="str">
        <f ca="1">JACOBIAN_RESULTS!P46</f>
        <v>#Error: Invalid Variant Data: Unable to cast '#Error: Invalid Curve: CurveCollection '#Error: OIS Curve Market Data is Missing' does not exist' to double</v>
      </c>
      <c r="AV41" s="109">
        <f ca="1">JACOBIAN_RESULTS!R46</f>
        <v>0.92340486331803751</v>
      </c>
      <c r="AW41" s="126">
        <f t="shared" ca="1" si="14"/>
        <v>0.92340486331803751</v>
      </c>
      <c r="AX41" s="129">
        <f t="shared" ca="1" si="9"/>
        <v>0</v>
      </c>
    </row>
    <row r="42" spans="2:50" x14ac:dyDescent="0.25">
      <c r="B42" s="98" t="str">
        <f ca="1"/>
        <v>SWAPS</v>
      </c>
      <c r="C42" s="98" t="str">
        <f ca="1"/>
        <v/>
      </c>
      <c r="D42" s="98" t="str">
        <f ca="1"/>
        <v/>
      </c>
      <c r="E42" s="98" t="str">
        <f ca="1"/>
        <v>1Y</v>
      </c>
      <c r="F42" s="116">
        <f ca="1"/>
        <v>1.8586999999999999E-2</v>
      </c>
      <c r="G42" s="98" t="str">
        <f ca="1"/>
        <v/>
      </c>
      <c r="H42" s="98" t="str">
        <f ca="1"/>
        <v/>
      </c>
      <c r="I42" s="98" t="str">
        <f ca="1"/>
        <v/>
      </c>
      <c r="J42" s="98" t="e">
        <f ca="1"/>
        <v>#N/A</v>
      </c>
      <c r="L42" s="98" t="str">
        <f ca="1"/>
        <v>SWAPS</v>
      </c>
      <c r="M42" s="98" t="str">
        <f ca="1"/>
        <v/>
      </c>
      <c r="N42" s="98" t="str">
        <f ca="1"/>
        <v/>
      </c>
      <c r="O42" s="98" t="str">
        <f ca="1"/>
        <v>1Y</v>
      </c>
      <c r="P42" s="116">
        <f ca="1"/>
        <v>1.8588E-2</v>
      </c>
      <c r="Q42" s="98" t="str">
        <f ca="1"/>
        <v/>
      </c>
      <c r="R42" s="98" t="str">
        <f ca="1"/>
        <v/>
      </c>
      <c r="S42" s="98" t="str">
        <f ca="1"/>
        <v/>
      </c>
      <c r="T42" s="98" t="e">
        <f ca="1"/>
        <v>#N/A</v>
      </c>
      <c r="V42" s="118">
        <f t="shared" ca="1" si="10"/>
        <v>1.0000000000010001E-6</v>
      </c>
      <c r="Y42" s="91">
        <f ca="1"/>
        <v>46160</v>
      </c>
      <c r="Z42" s="126">
        <f ca="1"/>
        <v>0.92049102086138757</v>
      </c>
      <c r="AC42" s="91">
        <f ca="1"/>
        <v>46160</v>
      </c>
      <c r="AD42" s="126">
        <f ca="1"/>
        <v>0.92048484733782576</v>
      </c>
      <c r="AE42" s="89">
        <f t="shared" ca="1" si="11"/>
        <v>-6.1735235618032291E-6</v>
      </c>
      <c r="AF42" s="89"/>
      <c r="AG42" s="94">
        <f t="shared" ca="1" si="12"/>
        <v>46160</v>
      </c>
      <c r="AH42" s="126">
        <f t="shared" ca="1" si="4"/>
        <v>0.92049102086138757</v>
      </c>
      <c r="AI42" s="126">
        <f t="shared" ca="1" si="5"/>
        <v>0.92048484733782576</v>
      </c>
      <c r="AJ42" s="89">
        <f t="shared" ca="1" si="6"/>
        <v>-6.1735235618032291E-6</v>
      </c>
      <c r="AL42" s="127" t="str">
        <f ca="1">JACOBIAN_RESULTS!B47</f>
        <v>#Error: Jacobian Results for Curve Collection '#Error: OIS Curve Market Data is Missing' and/or Curve Index '#Error: OIS Curve Market Data is Missing' do not exist</v>
      </c>
      <c r="AM42" s="89" t="str">
        <f ca="1">JACOBIAN_RESULTS!C47</f>
        <v>#Error: Jacobian Results for Curve Collection '#Error: OIS Curve Market Data is Missing' and/or Curve Index '#Error: OIS Curve Market Data is Missing' do not exist</v>
      </c>
      <c r="AN42" s="129" t="e">
        <f t="shared" ca="1" si="7"/>
        <v>#VALUE!</v>
      </c>
      <c r="AP42" s="94">
        <f ca="1">JACOBIAN_RESULTS!K47</f>
        <v>46160</v>
      </c>
      <c r="AQ42" s="90" t="e">
        <f ca="1">JACOBIAN_RESULTS!M47</f>
        <v>#VALUE!</v>
      </c>
      <c r="AR42" s="89">
        <f t="shared" ca="1" si="13"/>
        <v>-6.1735235618032291E-6</v>
      </c>
      <c r="AS42" s="129" t="e">
        <f t="shared" ca="1" si="8"/>
        <v>#VALUE!</v>
      </c>
      <c r="AU42" s="94" t="str">
        <f ca="1">JACOBIAN_RESULTS!P47</f>
        <v>#Error: Invalid Variant Data: Unable to cast '#Error: Invalid Curve: CurveCollection '#Error: OIS Curve Market Data is Missing' does not exist' to double</v>
      </c>
      <c r="AV42" s="109">
        <f ca="1">JACOBIAN_RESULTS!R47</f>
        <v>0.92048484733782576</v>
      </c>
      <c r="AW42" s="126">
        <f t="shared" ca="1" si="14"/>
        <v>0.92048484733782576</v>
      </c>
      <c r="AX42" s="129">
        <f t="shared" ca="1" si="9"/>
        <v>0</v>
      </c>
    </row>
    <row r="43" spans="2:50" x14ac:dyDescent="0.25">
      <c r="B43" s="98" t="str">
        <f ca="1"/>
        <v>calendar</v>
      </c>
      <c r="C43" s="98" t="str">
        <f ca="1"/>
        <v>LNB:NYB</v>
      </c>
      <c r="D43" s="98" t="str">
        <f ca="1"/>
        <v/>
      </c>
      <c r="E43" s="98" t="str">
        <f ca="1"/>
        <v>2Y</v>
      </c>
      <c r="F43" s="116">
        <f ca="1"/>
        <v>1.634E-2</v>
      </c>
      <c r="G43" s="98" t="str">
        <f ca="1"/>
        <v/>
      </c>
      <c r="H43" s="98" t="str">
        <f ca="1"/>
        <v/>
      </c>
      <c r="I43" s="98" t="str">
        <f ca="1"/>
        <v/>
      </c>
      <c r="J43" s="98" t="e">
        <f ca="1"/>
        <v>#N/A</v>
      </c>
      <c r="L43" s="98" t="str">
        <f ca="1"/>
        <v>calendar</v>
      </c>
      <c r="M43" s="98" t="str">
        <f ca="1"/>
        <v>LNB:NYB</v>
      </c>
      <c r="N43" s="98" t="str">
        <f ca="1"/>
        <v/>
      </c>
      <c r="O43" s="98" t="str">
        <f ca="1"/>
        <v>2Y</v>
      </c>
      <c r="P43" s="116">
        <f ca="1"/>
        <v>1.6341000000000001E-2</v>
      </c>
      <c r="Q43" s="98" t="str">
        <f ca="1"/>
        <v/>
      </c>
      <c r="R43" s="98" t="str">
        <f ca="1"/>
        <v/>
      </c>
      <c r="S43" s="98" t="str">
        <f ca="1"/>
        <v/>
      </c>
      <c r="T43" s="98" t="e">
        <f ca="1"/>
        <v>#N/A</v>
      </c>
      <c r="V43" s="118">
        <f t="shared" ca="1" si="10"/>
        <v>1.0000000000010001E-6</v>
      </c>
      <c r="Y43" s="91">
        <f ca="1"/>
        <v>46251</v>
      </c>
      <c r="Z43" s="126">
        <f ca="1"/>
        <v>0.91750952314401402</v>
      </c>
      <c r="AC43" s="91">
        <f ca="1"/>
        <v>46251</v>
      </c>
      <c r="AD43" s="126">
        <f ca="1"/>
        <v>0.91750314142991007</v>
      </c>
      <c r="AE43" s="89">
        <f t="shared" ca="1" si="11"/>
        <v>-6.381714103942393E-6</v>
      </c>
      <c r="AF43" s="89"/>
      <c r="AG43" s="94">
        <f t="shared" ca="1" si="12"/>
        <v>46251</v>
      </c>
      <c r="AH43" s="126">
        <f t="shared" ca="1" si="4"/>
        <v>0.91750952314401402</v>
      </c>
      <c r="AI43" s="126">
        <f t="shared" ca="1" si="5"/>
        <v>0.91750314142991007</v>
      </c>
      <c r="AJ43" s="89">
        <f t="shared" ca="1" si="6"/>
        <v>-6.381714103942393E-6</v>
      </c>
      <c r="AL43" s="127" t="str">
        <f ca="1">JACOBIAN_RESULTS!B48</f>
        <v>#Error: Jacobian Results for Curve Collection '#Error: OIS Curve Market Data is Missing' and/or Curve Index '#Error: OIS Curve Market Data is Missing' do not exist</v>
      </c>
      <c r="AM43" s="89" t="str">
        <f ca="1">JACOBIAN_RESULTS!C48</f>
        <v>#Error: Jacobian Results for Curve Collection '#Error: OIS Curve Market Data is Missing' and/or Curve Index '#Error: OIS Curve Market Data is Missing' do not exist</v>
      </c>
      <c r="AN43" s="129" t="e">
        <f t="shared" ca="1" si="7"/>
        <v>#VALUE!</v>
      </c>
      <c r="AP43" s="94">
        <f ca="1">JACOBIAN_RESULTS!K48</f>
        <v>46251</v>
      </c>
      <c r="AQ43" s="90" t="e">
        <f ca="1">JACOBIAN_RESULTS!M48</f>
        <v>#VALUE!</v>
      </c>
      <c r="AR43" s="89">
        <f t="shared" ca="1" si="13"/>
        <v>-6.381714103942393E-6</v>
      </c>
      <c r="AS43" s="129" t="e">
        <f t="shared" ca="1" si="8"/>
        <v>#VALUE!</v>
      </c>
      <c r="AU43" s="94" t="str">
        <f ca="1">JACOBIAN_RESULTS!P48</f>
        <v>#Error: Invalid Variant Data: Unable to cast '#Error: Invalid Curve: CurveCollection '#Error: OIS Curve Market Data is Missing' does not exist' to double</v>
      </c>
      <c r="AV43" s="109">
        <f ca="1">JACOBIAN_RESULTS!R48</f>
        <v>0.91750314142991007</v>
      </c>
      <c r="AW43" s="126">
        <f t="shared" ca="1" si="14"/>
        <v>0.91750314142991007</v>
      </c>
      <c r="AX43" s="129">
        <f t="shared" ca="1" si="9"/>
        <v>0</v>
      </c>
    </row>
    <row r="44" spans="2:50" x14ac:dyDescent="0.25">
      <c r="B44" s="98" t="str">
        <f ca="1"/>
        <v>daycountfix</v>
      </c>
      <c r="C44" s="98" t="str">
        <f ca="1"/>
        <v>30/360</v>
      </c>
      <c r="D44" s="98" t="str">
        <f ca="1"/>
        <v/>
      </c>
      <c r="E44" s="98" t="str">
        <f ca="1"/>
        <v>3Y</v>
      </c>
      <c r="F44" s="116">
        <f ca="1"/>
        <v>1.5436E-2</v>
      </c>
      <c r="G44" s="98" t="str">
        <f ca="1"/>
        <v/>
      </c>
      <c r="H44" s="98" t="str">
        <f ca="1"/>
        <v/>
      </c>
      <c r="I44" s="98" t="str">
        <f ca="1"/>
        <v/>
      </c>
      <c r="J44" s="98" t="e">
        <f ca="1"/>
        <v>#N/A</v>
      </c>
      <c r="L44" s="98" t="str">
        <f ca="1"/>
        <v>daycountfix</v>
      </c>
      <c r="M44" s="98" t="str">
        <f ca="1"/>
        <v>30/360</v>
      </c>
      <c r="N44" s="98" t="str">
        <f ca="1"/>
        <v/>
      </c>
      <c r="O44" s="98" t="str">
        <f ca="1"/>
        <v>3Y</v>
      </c>
      <c r="P44" s="116">
        <f ca="1"/>
        <v>1.5436999999999999E-2</v>
      </c>
      <c r="Q44" s="98" t="str">
        <f ca="1"/>
        <v/>
      </c>
      <c r="R44" s="98" t="str">
        <f ca="1"/>
        <v/>
      </c>
      <c r="S44" s="98" t="str">
        <f ca="1"/>
        <v/>
      </c>
      <c r="T44" s="98" t="e">
        <f ca="1"/>
        <v>#N/A</v>
      </c>
      <c r="V44" s="118">
        <f t="shared" ca="1" si="10"/>
        <v>9.9999999999926537E-7</v>
      </c>
      <c r="Y44" s="91">
        <f ca="1"/>
        <v>46342</v>
      </c>
      <c r="Z44" s="126">
        <f ca="1"/>
        <v>0.91449972082780473</v>
      </c>
      <c r="AC44" s="91">
        <f ca="1"/>
        <v>46342</v>
      </c>
      <c r="AD44" s="126">
        <f ca="1"/>
        <v>0.91449313260862852</v>
      </c>
      <c r="AE44" s="89">
        <f t="shared" ca="1" si="11"/>
        <v>-6.5882191762067777E-6</v>
      </c>
      <c r="AF44" s="89"/>
      <c r="AG44" s="94">
        <f t="shared" ca="1" si="12"/>
        <v>46342</v>
      </c>
      <c r="AH44" s="126">
        <f t="shared" ca="1" si="4"/>
        <v>0.91449972082780473</v>
      </c>
      <c r="AI44" s="126">
        <f t="shared" ca="1" si="5"/>
        <v>0.91449313260862852</v>
      </c>
      <c r="AJ44" s="89">
        <f t="shared" ca="1" si="6"/>
        <v>-6.5882191762067777E-6</v>
      </c>
      <c r="AL44" s="127" t="str">
        <f ca="1">JACOBIAN_RESULTS!B49</f>
        <v>#Error: Jacobian Results for Curve Collection '#Error: OIS Curve Market Data is Missing' and/or Curve Index '#Error: OIS Curve Market Data is Missing' do not exist</v>
      </c>
      <c r="AM44" s="89" t="str">
        <f ca="1">JACOBIAN_RESULTS!C49</f>
        <v>#Error: Jacobian Results for Curve Collection '#Error: OIS Curve Market Data is Missing' and/or Curve Index '#Error: OIS Curve Market Data is Missing' do not exist</v>
      </c>
      <c r="AN44" s="129" t="e">
        <f t="shared" ca="1" si="7"/>
        <v>#VALUE!</v>
      </c>
      <c r="AP44" s="94">
        <f ca="1">JACOBIAN_RESULTS!K49</f>
        <v>46342</v>
      </c>
      <c r="AQ44" s="90" t="e">
        <f ca="1">JACOBIAN_RESULTS!M49</f>
        <v>#VALUE!</v>
      </c>
      <c r="AR44" s="89">
        <f t="shared" ca="1" si="13"/>
        <v>-6.5882191762067777E-6</v>
      </c>
      <c r="AS44" s="129" t="e">
        <f t="shared" ca="1" si="8"/>
        <v>#VALUE!</v>
      </c>
      <c r="AU44" s="94" t="str">
        <f ca="1">JACOBIAN_RESULTS!P49</f>
        <v>#Error: Invalid Variant Data: Unable to cast '#Error: Invalid Curve: CurveCollection '#Error: OIS Curve Market Data is Missing' does not exist' to double</v>
      </c>
      <c r="AV44" s="109">
        <f ca="1">JACOBIAN_RESULTS!R49</f>
        <v>0.91449313260862852</v>
      </c>
      <c r="AW44" s="126">
        <f t="shared" ca="1" si="14"/>
        <v>0.91449313260862852</v>
      </c>
      <c r="AX44" s="129">
        <f t="shared" ca="1" si="9"/>
        <v>0</v>
      </c>
    </row>
    <row r="45" spans="2:50" x14ac:dyDescent="0.25">
      <c r="B45" s="98" t="str">
        <f ca="1"/>
        <v>frequencyfix</v>
      </c>
      <c r="C45" s="98" t="str">
        <f ca="1"/>
        <v>SEMI-ANNUAL</v>
      </c>
      <c r="D45" s="98" t="str">
        <f ca="1"/>
        <v/>
      </c>
      <c r="E45" s="98" t="str">
        <f ca="1"/>
        <v>4Y</v>
      </c>
      <c r="F45" s="116">
        <f ca="1"/>
        <v>1.4973E-2</v>
      </c>
      <c r="G45" s="98" t="str">
        <f ca="1"/>
        <v/>
      </c>
      <c r="H45" s="98" t="str">
        <f ca="1"/>
        <v/>
      </c>
      <c r="I45" s="98" t="str">
        <f ca="1"/>
        <v/>
      </c>
      <c r="J45" s="98" t="e">
        <f ca="1"/>
        <v>#N/A</v>
      </c>
      <c r="L45" s="98" t="str">
        <f ca="1"/>
        <v>frequencyfix</v>
      </c>
      <c r="M45" s="98" t="str">
        <f ca="1"/>
        <v>SEMI-ANNUAL</v>
      </c>
      <c r="N45" s="98" t="str">
        <f ca="1"/>
        <v/>
      </c>
      <c r="O45" s="98" t="str">
        <f ca="1"/>
        <v>4Y</v>
      </c>
      <c r="P45" s="116">
        <f ca="1"/>
        <v>1.4973999999999999E-2</v>
      </c>
      <c r="Q45" s="98" t="str">
        <f ca="1"/>
        <v/>
      </c>
      <c r="R45" s="98" t="str">
        <f ca="1"/>
        <v/>
      </c>
      <c r="S45" s="98" t="str">
        <f ca="1"/>
        <v/>
      </c>
      <c r="T45" s="98" t="e">
        <f ca="1"/>
        <v>#N/A</v>
      </c>
      <c r="V45" s="118">
        <f t="shared" ca="1" si="10"/>
        <v>9.9999999999926537E-7</v>
      </c>
      <c r="Y45" s="91">
        <f ca="1"/>
        <v>46434</v>
      </c>
      <c r="Z45" s="126">
        <f ca="1"/>
        <v>0.91142836819222561</v>
      </c>
      <c r="AC45" s="91">
        <f ca="1"/>
        <v>46434</v>
      </c>
      <c r="AD45" s="126">
        <f ca="1"/>
        <v>0.91142157294296211</v>
      </c>
      <c r="AE45" s="89">
        <f t="shared" ca="1" si="11"/>
        <v>-6.7952492635026118E-6</v>
      </c>
      <c r="AF45" s="89"/>
      <c r="AG45" s="94">
        <f t="shared" ca="1" si="12"/>
        <v>46434</v>
      </c>
      <c r="AH45" s="126">
        <f t="shared" ca="1" si="4"/>
        <v>0.91142836819222561</v>
      </c>
      <c r="AI45" s="126">
        <f t="shared" ca="1" si="5"/>
        <v>0.91142157294296211</v>
      </c>
      <c r="AJ45" s="89">
        <f t="shared" ca="1" si="6"/>
        <v>-6.7952492635026118E-6</v>
      </c>
      <c r="AL45" s="127" t="str">
        <f ca="1">JACOBIAN_RESULTS!B50</f>
        <v>#Error: Jacobian Results for Curve Collection '#Error: OIS Curve Market Data is Missing' and/or Curve Index '#Error: OIS Curve Market Data is Missing' do not exist</v>
      </c>
      <c r="AM45" s="89" t="str">
        <f ca="1">JACOBIAN_RESULTS!C50</f>
        <v>#Error: Jacobian Results for Curve Collection '#Error: OIS Curve Market Data is Missing' and/or Curve Index '#Error: OIS Curve Market Data is Missing' do not exist</v>
      </c>
      <c r="AN45" s="129" t="e">
        <f t="shared" ca="1" si="7"/>
        <v>#VALUE!</v>
      </c>
      <c r="AP45" s="94">
        <f ca="1">JACOBIAN_RESULTS!K50</f>
        <v>46434</v>
      </c>
      <c r="AQ45" s="90" t="e">
        <f ca="1">JACOBIAN_RESULTS!M50</f>
        <v>#VALUE!</v>
      </c>
      <c r="AR45" s="89">
        <f t="shared" ca="1" si="13"/>
        <v>-6.7952492635026118E-6</v>
      </c>
      <c r="AS45" s="129" t="e">
        <f t="shared" ca="1" si="8"/>
        <v>#VALUE!</v>
      </c>
      <c r="AU45" s="94" t="str">
        <f ca="1">JACOBIAN_RESULTS!P50</f>
        <v>#Error: Invalid Variant Data: Unable to cast '#Error: Invalid Curve: CurveCollection '#Error: OIS Curve Market Data is Missing' does not exist' to double</v>
      </c>
      <c r="AV45" s="109">
        <f ca="1">JACOBIAN_RESULTS!R50</f>
        <v>0.91142157294296211</v>
      </c>
      <c r="AW45" s="126">
        <f t="shared" ca="1" si="14"/>
        <v>0.91142157294296211</v>
      </c>
      <c r="AX45" s="129">
        <f t="shared" ca="1" si="9"/>
        <v>0</v>
      </c>
    </row>
    <row r="46" spans="2:50" x14ac:dyDescent="0.25">
      <c r="B46" s="98" t="str">
        <f ca="1"/>
        <v>slidingrule</v>
      </c>
      <c r="C46" s="98" t="str">
        <f ca="1"/>
        <v>MOD_FOLLOWING</v>
      </c>
      <c r="D46" s="98" t="str">
        <f ca="1"/>
        <v/>
      </c>
      <c r="E46" s="98" t="str">
        <f ca="1"/>
        <v>5Y</v>
      </c>
      <c r="F46" s="116">
        <f ca="1"/>
        <v>1.4768999999999999E-2</v>
      </c>
      <c r="G46" s="98" t="str">
        <f ca="1"/>
        <v/>
      </c>
      <c r="H46" s="98" t="str">
        <f ca="1"/>
        <v/>
      </c>
      <c r="I46" s="98" t="str">
        <f ca="1"/>
        <v/>
      </c>
      <c r="J46" s="98" t="e">
        <f ca="1"/>
        <v>#N/A</v>
      </c>
      <c r="L46" s="98" t="str">
        <f ca="1"/>
        <v>slidingrule</v>
      </c>
      <c r="M46" s="98" t="str">
        <f ca="1"/>
        <v>MOD_FOLLOWING</v>
      </c>
      <c r="N46" s="98" t="str">
        <f ca="1"/>
        <v/>
      </c>
      <c r="O46" s="98" t="str">
        <f ca="1"/>
        <v>5Y</v>
      </c>
      <c r="P46" s="116">
        <f ca="1"/>
        <v>1.4769999999999998E-2</v>
      </c>
      <c r="Q46" s="98" t="str">
        <f ca="1"/>
        <v/>
      </c>
      <c r="R46" s="98" t="str">
        <f ca="1"/>
        <v/>
      </c>
      <c r="S46" s="98" t="str">
        <f ca="1"/>
        <v/>
      </c>
      <c r="T46" s="98" t="e">
        <f ca="1"/>
        <v>#N/A</v>
      </c>
      <c r="V46" s="118">
        <f t="shared" ca="1" si="10"/>
        <v>9.9999999999926537E-7</v>
      </c>
      <c r="Y46" s="91">
        <f ca="1"/>
        <v>46524</v>
      </c>
      <c r="Z46" s="126">
        <f ca="1"/>
        <v>0.90839637016575425</v>
      </c>
      <c r="AC46" s="91">
        <f ca="1"/>
        <v>46524</v>
      </c>
      <c r="AD46" s="126">
        <f ca="1"/>
        <v>0.90838937409360676</v>
      </c>
      <c r="AE46" s="89">
        <f t="shared" ca="1" si="11"/>
        <v>-6.9960721474915388E-6</v>
      </c>
      <c r="AF46" s="89"/>
      <c r="AG46" s="94">
        <f t="shared" ca="1" si="12"/>
        <v>46524</v>
      </c>
      <c r="AH46" s="126">
        <f t="shared" ca="1" si="4"/>
        <v>0.90839637016575425</v>
      </c>
      <c r="AI46" s="126">
        <f t="shared" ca="1" si="5"/>
        <v>0.90838937409360676</v>
      </c>
      <c r="AJ46" s="89">
        <f t="shared" ca="1" si="6"/>
        <v>-6.9960721474915388E-6</v>
      </c>
      <c r="AL46" s="127" t="str">
        <f ca="1">JACOBIAN_RESULTS!B51</f>
        <v>#Error: Jacobian Results for Curve Collection '#Error: OIS Curve Market Data is Missing' and/or Curve Index '#Error: OIS Curve Market Data is Missing' do not exist</v>
      </c>
      <c r="AM46" s="89" t="str">
        <f ca="1">JACOBIAN_RESULTS!C51</f>
        <v>#Error: Jacobian Results for Curve Collection '#Error: OIS Curve Market Data is Missing' and/or Curve Index '#Error: OIS Curve Market Data is Missing' do not exist</v>
      </c>
      <c r="AN46" s="129" t="e">
        <f t="shared" ca="1" si="7"/>
        <v>#VALUE!</v>
      </c>
      <c r="AP46" s="94">
        <f ca="1">JACOBIAN_RESULTS!K51</f>
        <v>46524</v>
      </c>
      <c r="AQ46" s="90" t="e">
        <f ca="1">JACOBIAN_RESULTS!M51</f>
        <v>#VALUE!</v>
      </c>
      <c r="AR46" s="89">
        <f t="shared" ca="1" si="13"/>
        <v>-6.9960721474915388E-6</v>
      </c>
      <c r="AS46" s="129" t="e">
        <f t="shared" ca="1" si="8"/>
        <v>#VALUE!</v>
      </c>
      <c r="AU46" s="94" t="str">
        <f ca="1">JACOBIAN_RESULTS!P51</f>
        <v>#Error: Invalid Variant Data: Unable to cast '#Error: Invalid Curve: CurveCollection '#Error: OIS Curve Market Data is Missing' does not exist' to double</v>
      </c>
      <c r="AV46" s="109">
        <f ca="1">JACOBIAN_RESULTS!R51</f>
        <v>0.90838937409360676</v>
      </c>
      <c r="AW46" s="126">
        <f t="shared" ca="1" si="14"/>
        <v>0.90838937409360676</v>
      </c>
      <c r="AX46" s="129">
        <f t="shared" ca="1" si="9"/>
        <v>0</v>
      </c>
    </row>
    <row r="47" spans="2:50" x14ac:dyDescent="0.25">
      <c r="B47" s="98" t="str">
        <f ca="1"/>
        <v/>
      </c>
      <c r="C47" s="98" t="str">
        <f ca="1"/>
        <v/>
      </c>
      <c r="D47" s="98" t="str">
        <f ca="1"/>
        <v/>
      </c>
      <c r="E47" s="98" t="str">
        <f ca="1"/>
        <v>7Y</v>
      </c>
      <c r="F47" s="116">
        <f ca="1"/>
        <v>1.4761E-2</v>
      </c>
      <c r="G47" s="98" t="str">
        <f ca="1"/>
        <v/>
      </c>
      <c r="H47" s="98" t="str">
        <f ca="1"/>
        <v/>
      </c>
      <c r="I47" s="98" t="str">
        <f ca="1"/>
        <v/>
      </c>
      <c r="J47" s="98" t="e">
        <f ca="1"/>
        <v>#N/A</v>
      </c>
      <c r="L47" s="98" t="str">
        <f ca="1"/>
        <v/>
      </c>
      <c r="M47" s="98" t="str">
        <f ca="1"/>
        <v/>
      </c>
      <c r="N47" s="98" t="str">
        <f ca="1"/>
        <v/>
      </c>
      <c r="O47" s="98" t="str">
        <f ca="1"/>
        <v>7Y</v>
      </c>
      <c r="P47" s="116">
        <f ca="1"/>
        <v>1.4761999999999999E-2</v>
      </c>
      <c r="Q47" s="98" t="str">
        <f ca="1"/>
        <v/>
      </c>
      <c r="R47" s="98" t="str">
        <f ca="1"/>
        <v/>
      </c>
      <c r="S47" s="98" t="str">
        <f ca="1"/>
        <v/>
      </c>
      <c r="T47" s="98" t="e">
        <f ca="1"/>
        <v>#N/A</v>
      </c>
      <c r="V47" s="118">
        <f t="shared" ca="1" si="10"/>
        <v>9.9999999999926537E-7</v>
      </c>
      <c r="Y47" s="91">
        <f ca="1"/>
        <v>46615</v>
      </c>
      <c r="Z47" s="126">
        <f ca="1"/>
        <v>0.90530370465515186</v>
      </c>
      <c r="AC47" s="91">
        <f ca="1"/>
        <v>46615</v>
      </c>
      <c r="AD47" s="126">
        <f ca="1"/>
        <v>0.90529650724941546</v>
      </c>
      <c r="AE47" s="89">
        <f t="shared" ca="1" si="11"/>
        <v>-7.1974057364032618E-6</v>
      </c>
      <c r="AF47" s="89"/>
      <c r="AG47" s="94">
        <f t="shared" ca="1" si="12"/>
        <v>46615</v>
      </c>
      <c r="AH47" s="126">
        <f t="shared" ca="1" si="4"/>
        <v>0.90530370465515186</v>
      </c>
      <c r="AI47" s="126">
        <f t="shared" ca="1" si="5"/>
        <v>0.90529650724941546</v>
      </c>
      <c r="AJ47" s="89">
        <f t="shared" ca="1" si="6"/>
        <v>-7.1974057364032618E-6</v>
      </c>
      <c r="AL47" s="127" t="str">
        <f ca="1">JACOBIAN_RESULTS!B52</f>
        <v>#Error: Jacobian Results for Curve Collection '#Error: OIS Curve Market Data is Missing' and/or Curve Index '#Error: OIS Curve Market Data is Missing' do not exist</v>
      </c>
      <c r="AM47" s="89" t="str">
        <f ca="1">JACOBIAN_RESULTS!C52</f>
        <v>#Error: Jacobian Results for Curve Collection '#Error: OIS Curve Market Data is Missing' and/or Curve Index '#Error: OIS Curve Market Data is Missing' do not exist</v>
      </c>
      <c r="AN47" s="129" t="e">
        <f t="shared" ca="1" si="7"/>
        <v>#VALUE!</v>
      </c>
      <c r="AP47" s="94">
        <f ca="1">JACOBIAN_RESULTS!K52</f>
        <v>46615</v>
      </c>
      <c r="AQ47" s="90" t="e">
        <f ca="1">JACOBIAN_RESULTS!M52</f>
        <v>#VALUE!</v>
      </c>
      <c r="AR47" s="89">
        <f t="shared" ca="1" si="13"/>
        <v>-7.1974057364032618E-6</v>
      </c>
      <c r="AS47" s="129" t="e">
        <f t="shared" ca="1" si="8"/>
        <v>#VALUE!</v>
      </c>
      <c r="AU47" s="94" t="str">
        <f ca="1">JACOBIAN_RESULTS!P52</f>
        <v>#Error: Invalid Variant Data: Unable to cast '#Error: Invalid Curve: CurveCollection '#Error: OIS Curve Market Data is Missing' does not exist' to double</v>
      </c>
      <c r="AV47" s="109">
        <f ca="1">JACOBIAN_RESULTS!R52</f>
        <v>0.90529650724941546</v>
      </c>
      <c r="AW47" s="126">
        <f t="shared" ca="1" si="14"/>
        <v>0.90529650724941546</v>
      </c>
      <c r="AX47" s="129">
        <f t="shared" ca="1" si="9"/>
        <v>0</v>
      </c>
    </row>
    <row r="48" spans="2:50" x14ac:dyDescent="0.25">
      <c r="B48" s="98" t="str">
        <f ca="1"/>
        <v/>
      </c>
      <c r="C48" s="98" t="str">
        <f ca="1"/>
        <v/>
      </c>
      <c r="D48" s="98" t="str">
        <f ca="1"/>
        <v/>
      </c>
      <c r="E48" s="98" t="str">
        <f ca="1"/>
        <v>10Y</v>
      </c>
      <c r="F48" s="116">
        <f ca="1"/>
        <v>1.5239000000000001E-2</v>
      </c>
      <c r="G48" s="98" t="str">
        <f ca="1"/>
        <v/>
      </c>
      <c r="H48" s="98" t="str">
        <f ca="1"/>
        <v/>
      </c>
      <c r="I48" s="98" t="str">
        <f ca="1"/>
        <v/>
      </c>
      <c r="J48" s="98" t="e">
        <f ca="1"/>
        <v>#N/A</v>
      </c>
      <c r="L48" s="98" t="str">
        <f ca="1"/>
        <v/>
      </c>
      <c r="M48" s="98" t="str">
        <f ca="1"/>
        <v/>
      </c>
      <c r="N48" s="98" t="str">
        <f ca="1"/>
        <v/>
      </c>
      <c r="O48" s="98" t="str">
        <f ca="1"/>
        <v>10Y</v>
      </c>
      <c r="P48" s="116">
        <f ca="1"/>
        <v>1.524E-2</v>
      </c>
      <c r="Q48" s="98" t="str">
        <f ca="1"/>
        <v/>
      </c>
      <c r="R48" s="98" t="str">
        <f ca="1"/>
        <v/>
      </c>
      <c r="S48" s="98" t="str">
        <f ca="1"/>
        <v/>
      </c>
      <c r="T48" s="98" t="e">
        <f ca="1"/>
        <v>#N/A</v>
      </c>
      <c r="V48" s="118">
        <f t="shared" ca="1" si="10"/>
        <v>9.9999999999926537E-7</v>
      </c>
      <c r="Y48" s="91">
        <f ca="1"/>
        <v>46707</v>
      </c>
      <c r="Z48" s="126">
        <f ca="1"/>
        <v>0.90215037573150447</v>
      </c>
      <c r="AC48" s="91">
        <f ca="1"/>
        <v>46707</v>
      </c>
      <c r="AD48" s="126">
        <f ca="1"/>
        <v>0.90214297653789233</v>
      </c>
      <c r="AE48" s="89">
        <f t="shared" ca="1" si="11"/>
        <v>-7.3991936121453605E-6</v>
      </c>
      <c r="AF48" s="89"/>
      <c r="AG48" s="94">
        <f t="shared" ca="1" si="12"/>
        <v>46707</v>
      </c>
      <c r="AH48" s="126">
        <f t="shared" ca="1" si="4"/>
        <v>0.90215037573150447</v>
      </c>
      <c r="AI48" s="126">
        <f t="shared" ca="1" si="5"/>
        <v>0.90214297653789233</v>
      </c>
      <c r="AJ48" s="89">
        <f t="shared" ca="1" si="6"/>
        <v>-7.3991936121453605E-6</v>
      </c>
      <c r="AL48" s="127" t="str">
        <f ca="1">JACOBIAN_RESULTS!B53</f>
        <v>#Error: Jacobian Results for Curve Collection '#Error: OIS Curve Market Data is Missing' and/or Curve Index '#Error: OIS Curve Market Data is Missing' do not exist</v>
      </c>
      <c r="AM48" s="89" t="str">
        <f ca="1">JACOBIAN_RESULTS!C53</f>
        <v>#Error: Jacobian Results for Curve Collection '#Error: OIS Curve Market Data is Missing' and/or Curve Index '#Error: OIS Curve Market Data is Missing' do not exist</v>
      </c>
      <c r="AN48" s="129" t="e">
        <f t="shared" ca="1" si="7"/>
        <v>#VALUE!</v>
      </c>
      <c r="AP48" s="94">
        <f ca="1">JACOBIAN_RESULTS!K53</f>
        <v>46707</v>
      </c>
      <c r="AQ48" s="90" t="e">
        <f ca="1">JACOBIAN_RESULTS!M53</f>
        <v>#VALUE!</v>
      </c>
      <c r="AR48" s="89">
        <f t="shared" ca="1" si="13"/>
        <v>-7.3991936121453605E-6</v>
      </c>
      <c r="AS48" s="129" t="e">
        <f t="shared" ca="1" si="8"/>
        <v>#VALUE!</v>
      </c>
      <c r="AU48" s="94" t="str">
        <f ca="1">JACOBIAN_RESULTS!P53</f>
        <v>#Error: Invalid Variant Data: Unable to cast '#Error: Invalid Curve: CurveCollection '#Error: OIS Curve Market Data is Missing' does not exist' to double</v>
      </c>
      <c r="AV48" s="109">
        <f ca="1">JACOBIAN_RESULTS!R53</f>
        <v>0.90214297653789233</v>
      </c>
      <c r="AW48" s="126">
        <f t="shared" ca="1" si="14"/>
        <v>0.90214297653789233</v>
      </c>
      <c r="AX48" s="129">
        <f t="shared" ca="1" si="9"/>
        <v>0</v>
      </c>
    </row>
    <row r="49" spans="2:50" x14ac:dyDescent="0.25">
      <c r="B49" s="98" t="str">
        <f ca="1"/>
        <v/>
      </c>
      <c r="C49" s="98" t="str">
        <f ca="1"/>
        <v/>
      </c>
      <c r="D49" s="98" t="str">
        <f ca="1"/>
        <v/>
      </c>
      <c r="E49" s="98" t="str">
        <f ca="1"/>
        <v>12Y</v>
      </c>
      <c r="F49" s="116">
        <f ca="1"/>
        <v>1.5603000000000001E-2</v>
      </c>
      <c r="G49" s="98" t="str">
        <f ca="1"/>
        <v/>
      </c>
      <c r="H49" s="98" t="str">
        <f ca="1"/>
        <v/>
      </c>
      <c r="I49" s="98" t="str">
        <f ca="1"/>
        <v/>
      </c>
      <c r="J49" s="98" t="e">
        <f ca="1"/>
        <v>#N/A</v>
      </c>
      <c r="L49" s="98" t="str">
        <f ca="1"/>
        <v/>
      </c>
      <c r="M49" s="98" t="str">
        <f ca="1"/>
        <v/>
      </c>
      <c r="N49" s="98" t="str">
        <f ca="1"/>
        <v/>
      </c>
      <c r="O49" s="98" t="str">
        <f ca="1"/>
        <v>12Y</v>
      </c>
      <c r="P49" s="116">
        <f ca="1"/>
        <v>1.5604E-2</v>
      </c>
      <c r="Q49" s="98" t="str">
        <f ca="1"/>
        <v/>
      </c>
      <c r="R49" s="98" t="str">
        <f ca="1"/>
        <v/>
      </c>
      <c r="S49" s="98" t="str">
        <f ca="1"/>
        <v/>
      </c>
      <c r="T49" s="98" t="e">
        <f ca="1"/>
        <v>#N/A</v>
      </c>
      <c r="V49" s="118">
        <f t="shared" ca="1" si="10"/>
        <v>9.9999999999926537E-7</v>
      </c>
      <c r="Y49" s="91">
        <f ca="1"/>
        <v>46799</v>
      </c>
      <c r="Z49" s="126">
        <f ca="1"/>
        <v>0.89897142900352078</v>
      </c>
      <c r="AC49" s="91">
        <f ca="1"/>
        <v>46799</v>
      </c>
      <c r="AD49" s="126">
        <f ca="1"/>
        <v>0.898963829783475</v>
      </c>
      <c r="AE49" s="89">
        <f t="shared" ca="1" si="11"/>
        <v>-7.5992200457841719E-6</v>
      </c>
      <c r="AF49" s="89"/>
      <c r="AG49" s="94">
        <f t="shared" ca="1" si="12"/>
        <v>46799</v>
      </c>
      <c r="AH49" s="126">
        <f t="shared" ca="1" si="4"/>
        <v>0.89897142900352078</v>
      </c>
      <c r="AI49" s="126">
        <f t="shared" ca="1" si="5"/>
        <v>0.898963829783475</v>
      </c>
      <c r="AJ49" s="89">
        <f t="shared" ca="1" si="6"/>
        <v>-7.5992200457841719E-6</v>
      </c>
      <c r="AL49" s="127" t="str">
        <f ca="1">JACOBIAN_RESULTS!B54</f>
        <v>#Error: Jacobian Results for Curve Collection '#Error: OIS Curve Market Data is Missing' and/or Curve Index '#Error: OIS Curve Market Data is Missing' do not exist</v>
      </c>
      <c r="AM49" s="89" t="str">
        <f ca="1">JACOBIAN_RESULTS!C54</f>
        <v>#Error: Jacobian Results for Curve Collection '#Error: OIS Curve Market Data is Missing' and/or Curve Index '#Error: OIS Curve Market Data is Missing' do not exist</v>
      </c>
      <c r="AN49" s="129" t="e">
        <f t="shared" ca="1" si="7"/>
        <v>#VALUE!</v>
      </c>
      <c r="AP49" s="94">
        <f ca="1">JACOBIAN_RESULTS!K54</f>
        <v>46799</v>
      </c>
      <c r="AQ49" s="90" t="e">
        <f ca="1">JACOBIAN_RESULTS!M54</f>
        <v>#VALUE!</v>
      </c>
      <c r="AR49" s="89">
        <f t="shared" ca="1" si="13"/>
        <v>-7.5992200457841719E-6</v>
      </c>
      <c r="AS49" s="129" t="e">
        <f t="shared" ca="1" si="8"/>
        <v>#VALUE!</v>
      </c>
      <c r="AU49" s="94" t="str">
        <f ca="1">JACOBIAN_RESULTS!P54</f>
        <v>#Error: Invalid Variant Data: Unable to cast '#Error: Invalid Curve: CurveCollection '#Error: OIS Curve Market Data is Missing' does not exist' to double</v>
      </c>
      <c r="AV49" s="109">
        <f ca="1">JACOBIAN_RESULTS!R54</f>
        <v>0.898963829783475</v>
      </c>
      <c r="AW49" s="126">
        <f t="shared" ca="1" si="14"/>
        <v>0.898963829783475</v>
      </c>
      <c r="AX49" s="129">
        <f t="shared" ca="1" si="9"/>
        <v>0</v>
      </c>
    </row>
    <row r="50" spans="2:50" x14ac:dyDescent="0.25">
      <c r="B50" s="98" t="str">
        <f ca="1"/>
        <v/>
      </c>
      <c r="C50" s="98" t="str">
        <f ca="1"/>
        <v/>
      </c>
      <c r="D50" s="98" t="str">
        <f ca="1"/>
        <v/>
      </c>
      <c r="E50" s="98" t="str">
        <f ca="1"/>
        <v>15Y</v>
      </c>
      <c r="F50" s="116">
        <f ca="1"/>
        <v>1.6060999999999999E-2</v>
      </c>
      <c r="G50" s="98" t="str">
        <f ca="1"/>
        <v/>
      </c>
      <c r="H50" s="98" t="str">
        <f ca="1"/>
        <v/>
      </c>
      <c r="I50" s="98" t="str">
        <f ca="1"/>
        <v/>
      </c>
      <c r="J50" s="98" t="e">
        <f ca="1"/>
        <v>#N/A</v>
      </c>
      <c r="L50" s="98" t="str">
        <f ca="1"/>
        <v/>
      </c>
      <c r="M50" s="98" t="str">
        <f ca="1"/>
        <v/>
      </c>
      <c r="N50" s="98" t="str">
        <f ca="1"/>
        <v/>
      </c>
      <c r="O50" s="98" t="str">
        <f ca="1"/>
        <v>15Y</v>
      </c>
      <c r="P50" s="116">
        <f ca="1"/>
        <v>1.6062E-2</v>
      </c>
      <c r="Q50" s="98" t="str">
        <f ca="1"/>
        <v/>
      </c>
      <c r="R50" s="98" t="str">
        <f ca="1"/>
        <v/>
      </c>
      <c r="S50" s="98" t="str">
        <f ca="1"/>
        <v/>
      </c>
      <c r="T50" s="98" t="e">
        <f ca="1"/>
        <v>#N/A</v>
      </c>
      <c r="V50" s="118">
        <f t="shared" ca="1" si="10"/>
        <v>1.0000000000010001E-6</v>
      </c>
      <c r="Y50" s="91">
        <f ca="1"/>
        <v>46889</v>
      </c>
      <c r="Z50" s="126">
        <f ca="1"/>
        <v>0.89583824425731895</v>
      </c>
      <c r="AC50" s="91">
        <f ca="1"/>
        <v>46889</v>
      </c>
      <c r="AD50" s="126">
        <f ca="1"/>
        <v>0.89583045105178727</v>
      </c>
      <c r="AE50" s="89">
        <f t="shared" ca="1" si="11"/>
        <v>-7.7932055316809468E-6</v>
      </c>
      <c r="AF50" s="89"/>
      <c r="AG50" s="94">
        <f t="shared" ca="1" si="12"/>
        <v>46889</v>
      </c>
      <c r="AH50" s="126">
        <f t="shared" ca="1" si="4"/>
        <v>0.89583824425731895</v>
      </c>
      <c r="AI50" s="126">
        <f t="shared" ca="1" si="5"/>
        <v>0.89583045105178727</v>
      </c>
      <c r="AJ50" s="89">
        <f t="shared" ca="1" si="6"/>
        <v>-7.7932055316809468E-6</v>
      </c>
      <c r="AL50" s="127" t="str">
        <f ca="1">JACOBIAN_RESULTS!B55</f>
        <v>#Error: Jacobian Results for Curve Collection '#Error: OIS Curve Market Data is Missing' and/or Curve Index '#Error: OIS Curve Market Data is Missing' do not exist</v>
      </c>
      <c r="AM50" s="89" t="str">
        <f ca="1">JACOBIAN_RESULTS!C55</f>
        <v>#Error: Jacobian Results for Curve Collection '#Error: OIS Curve Market Data is Missing' and/or Curve Index '#Error: OIS Curve Market Data is Missing' do not exist</v>
      </c>
      <c r="AN50" s="129" t="e">
        <f t="shared" ca="1" si="7"/>
        <v>#VALUE!</v>
      </c>
      <c r="AP50" s="94">
        <f ca="1">JACOBIAN_RESULTS!K55</f>
        <v>46889</v>
      </c>
      <c r="AQ50" s="90" t="e">
        <f ca="1">JACOBIAN_RESULTS!M55</f>
        <v>#VALUE!</v>
      </c>
      <c r="AR50" s="89">
        <f t="shared" ca="1" si="13"/>
        <v>-7.7932055316809468E-6</v>
      </c>
      <c r="AS50" s="129" t="e">
        <f t="shared" ca="1" si="8"/>
        <v>#VALUE!</v>
      </c>
      <c r="AU50" s="94" t="str">
        <f ca="1">JACOBIAN_RESULTS!P55</f>
        <v>#Error: Invalid Variant Data: Unable to cast '#Error: Invalid Curve: CurveCollection '#Error: OIS Curve Market Data is Missing' does not exist' to double</v>
      </c>
      <c r="AV50" s="109">
        <f ca="1">JACOBIAN_RESULTS!R55</f>
        <v>0.89583045105178727</v>
      </c>
      <c r="AW50" s="126">
        <f t="shared" ca="1" si="14"/>
        <v>0.89583045105178727</v>
      </c>
      <c r="AX50" s="129">
        <f t="shared" ca="1" si="9"/>
        <v>0</v>
      </c>
    </row>
    <row r="51" spans="2:50" x14ac:dyDescent="0.25">
      <c r="B51" s="98" t="str">
        <f ca="1"/>
        <v/>
      </c>
      <c r="C51" s="98" t="str">
        <f ca="1"/>
        <v/>
      </c>
      <c r="D51" s="98" t="str">
        <f ca="1"/>
        <v/>
      </c>
      <c r="E51" s="98" t="str">
        <f ca="1"/>
        <v>20Y</v>
      </c>
      <c r="F51" s="116">
        <f ca="1"/>
        <v>1.6490999999999999E-2</v>
      </c>
      <c r="G51" s="98" t="str">
        <f ca="1"/>
        <v/>
      </c>
      <c r="H51" s="98" t="str">
        <f ca="1"/>
        <v/>
      </c>
      <c r="I51" s="98" t="str">
        <f ca="1"/>
        <v/>
      </c>
      <c r="J51" s="98" t="e">
        <f ca="1"/>
        <v>#N/A</v>
      </c>
      <c r="L51" s="98" t="str">
        <f ca="1"/>
        <v/>
      </c>
      <c r="M51" s="98" t="str">
        <f ca="1"/>
        <v/>
      </c>
      <c r="N51" s="98" t="str">
        <f ca="1"/>
        <v/>
      </c>
      <c r="O51" s="98" t="str">
        <f ca="1"/>
        <v>20Y</v>
      </c>
      <c r="P51" s="116">
        <f ca="1"/>
        <v>1.6492E-2</v>
      </c>
      <c r="Q51" s="98" t="str">
        <f ca="1"/>
        <v/>
      </c>
      <c r="R51" s="98" t="str">
        <f ca="1"/>
        <v/>
      </c>
      <c r="S51" s="98" t="str">
        <f ca="1"/>
        <v/>
      </c>
      <c r="T51" s="98" t="e">
        <f ca="1"/>
        <v>#N/A</v>
      </c>
      <c r="V51" s="118">
        <f t="shared" ca="1" si="10"/>
        <v>1.0000000000010001E-6</v>
      </c>
      <c r="Y51" s="91">
        <f ca="1"/>
        <v>46981</v>
      </c>
      <c r="Z51" s="126">
        <f ca="1"/>
        <v>0.89261332541815963</v>
      </c>
      <c r="AC51" s="91">
        <f ca="1"/>
        <v>46981</v>
      </c>
      <c r="AD51" s="126">
        <f ca="1"/>
        <v>0.89260533562820565</v>
      </c>
      <c r="AE51" s="89">
        <f t="shared" ca="1" si="11"/>
        <v>-7.9897899539771444E-6</v>
      </c>
      <c r="AF51" s="89"/>
      <c r="AG51" s="94">
        <f t="shared" ca="1" si="12"/>
        <v>46981</v>
      </c>
      <c r="AH51" s="126">
        <f t="shared" ca="1" si="4"/>
        <v>0.89261332541815963</v>
      </c>
      <c r="AI51" s="126">
        <f t="shared" ca="1" si="5"/>
        <v>0.89260533562820565</v>
      </c>
      <c r="AJ51" s="89">
        <f t="shared" ca="1" si="6"/>
        <v>-7.9897899539771444E-6</v>
      </c>
      <c r="AL51" s="127" t="str">
        <f ca="1">JACOBIAN_RESULTS!B56</f>
        <v>#Error: Jacobian Results for Curve Collection '#Error: OIS Curve Market Data is Missing' and/or Curve Index '#Error: OIS Curve Market Data is Missing' do not exist</v>
      </c>
      <c r="AM51" s="89" t="str">
        <f ca="1">JACOBIAN_RESULTS!C56</f>
        <v>#Error: Jacobian Results for Curve Collection '#Error: OIS Curve Market Data is Missing' and/or Curve Index '#Error: OIS Curve Market Data is Missing' do not exist</v>
      </c>
      <c r="AN51" s="129" t="e">
        <f t="shared" ca="1" si="7"/>
        <v>#VALUE!</v>
      </c>
      <c r="AP51" s="94">
        <f ca="1">JACOBIAN_RESULTS!K56</f>
        <v>46981</v>
      </c>
      <c r="AQ51" s="90" t="e">
        <f ca="1">JACOBIAN_RESULTS!M56</f>
        <v>#VALUE!</v>
      </c>
      <c r="AR51" s="89">
        <f t="shared" ca="1" si="13"/>
        <v>-7.9897899539771444E-6</v>
      </c>
      <c r="AS51" s="129" t="e">
        <f t="shared" ca="1" si="8"/>
        <v>#VALUE!</v>
      </c>
      <c r="AU51" s="94" t="str">
        <f ca="1">JACOBIAN_RESULTS!P56</f>
        <v>#Error: Invalid Variant Data: Unable to cast '#Error: Invalid Curve: CurveCollection '#Error: OIS Curve Market Data is Missing' does not exist' to double</v>
      </c>
      <c r="AV51" s="109">
        <f ca="1">JACOBIAN_RESULTS!R56</f>
        <v>0.89260533562820565</v>
      </c>
      <c r="AW51" s="126">
        <f t="shared" ca="1" si="14"/>
        <v>0.89260533562820565</v>
      </c>
      <c r="AX51" s="129">
        <f t="shared" ca="1" si="9"/>
        <v>0</v>
      </c>
    </row>
    <row r="52" spans="2:50" x14ac:dyDescent="0.25">
      <c r="B52" s="98" t="str">
        <f ca="1"/>
        <v/>
      </c>
      <c r="C52" s="98" t="str">
        <f ca="1"/>
        <v/>
      </c>
      <c r="D52" s="98" t="str">
        <f ca="1"/>
        <v/>
      </c>
      <c r="E52" s="98" t="str">
        <f ca="1"/>
        <v>25Y</v>
      </c>
      <c r="F52" s="116">
        <f ca="1"/>
        <v>1.6662E-2</v>
      </c>
      <c r="G52" s="98" t="str">
        <f ca="1"/>
        <v/>
      </c>
      <c r="H52" s="98" t="str">
        <f ca="1"/>
        <v/>
      </c>
      <c r="I52" s="98" t="str">
        <f ca="1"/>
        <v/>
      </c>
      <c r="J52" s="98" t="e">
        <f ca="1"/>
        <v>#N/A</v>
      </c>
      <c r="L52" s="98" t="str">
        <f ca="1"/>
        <v/>
      </c>
      <c r="M52" s="98" t="str">
        <f ca="1"/>
        <v/>
      </c>
      <c r="N52" s="98" t="str">
        <f ca="1"/>
        <v/>
      </c>
      <c r="O52" s="98" t="str">
        <f ca="1"/>
        <v>25Y</v>
      </c>
      <c r="P52" s="116">
        <f ca="1"/>
        <v>1.6663000000000001E-2</v>
      </c>
      <c r="Q52" s="98" t="str">
        <f ca="1"/>
        <v/>
      </c>
      <c r="R52" s="98" t="str">
        <f ca="1"/>
        <v/>
      </c>
      <c r="S52" s="98" t="str">
        <f ca="1"/>
        <v/>
      </c>
      <c r="T52" s="98" t="e">
        <f ca="1"/>
        <v>#N/A</v>
      </c>
      <c r="V52" s="118">
        <f t="shared" ca="1" si="10"/>
        <v>1.0000000000010001E-6</v>
      </c>
      <c r="Y52" s="91">
        <f ca="1"/>
        <v>47073</v>
      </c>
      <c r="Z52" s="126">
        <f ca="1"/>
        <v>0.88936811065646437</v>
      </c>
      <c r="AC52" s="91">
        <f ca="1"/>
        <v>47073</v>
      </c>
      <c r="AD52" s="126">
        <f ca="1"/>
        <v>0.88935992598775138</v>
      </c>
      <c r="AE52" s="89">
        <f t="shared" ca="1" si="11"/>
        <v>-8.1846687129960571E-6</v>
      </c>
      <c r="AF52" s="89"/>
      <c r="AG52" s="94">
        <f t="shared" ca="1" si="12"/>
        <v>47073</v>
      </c>
      <c r="AH52" s="126">
        <f t="shared" ca="1" si="4"/>
        <v>0.88936811065646437</v>
      </c>
      <c r="AI52" s="126">
        <f t="shared" ca="1" si="5"/>
        <v>0.88935992598775138</v>
      </c>
      <c r="AJ52" s="89">
        <f t="shared" ca="1" si="6"/>
        <v>-8.1846687129960571E-6</v>
      </c>
      <c r="AL52" s="127" t="str">
        <f ca="1">JACOBIAN_RESULTS!B57</f>
        <v>#Error: Jacobian Results for Curve Collection '#Error: OIS Curve Market Data is Missing' and/or Curve Index '#Error: OIS Curve Market Data is Missing' do not exist</v>
      </c>
      <c r="AM52" s="89" t="str">
        <f ca="1">JACOBIAN_RESULTS!C57</f>
        <v>#Error: Jacobian Results for Curve Collection '#Error: OIS Curve Market Data is Missing' and/or Curve Index '#Error: OIS Curve Market Data is Missing' do not exist</v>
      </c>
      <c r="AN52" s="129" t="e">
        <f t="shared" ca="1" si="7"/>
        <v>#VALUE!</v>
      </c>
      <c r="AP52" s="94">
        <f ca="1">JACOBIAN_RESULTS!K57</f>
        <v>47073</v>
      </c>
      <c r="AQ52" s="90" t="e">
        <f ca="1">JACOBIAN_RESULTS!M57</f>
        <v>#VALUE!</v>
      </c>
      <c r="AR52" s="89">
        <f t="shared" ca="1" si="13"/>
        <v>-8.1846687129960571E-6</v>
      </c>
      <c r="AS52" s="129" t="e">
        <f t="shared" ca="1" si="8"/>
        <v>#VALUE!</v>
      </c>
      <c r="AU52" s="94" t="str">
        <f ca="1">JACOBIAN_RESULTS!P57</f>
        <v>#Error: Invalid Variant Data: Unable to cast '#Error: Invalid Curve: CurveCollection '#Error: OIS Curve Market Data is Missing' does not exist' to double</v>
      </c>
      <c r="AV52" s="109">
        <f ca="1">JACOBIAN_RESULTS!R57</f>
        <v>0.88935992598775138</v>
      </c>
      <c r="AW52" s="126">
        <f t="shared" ca="1" si="14"/>
        <v>0.88935992598775138</v>
      </c>
      <c r="AX52" s="129">
        <f t="shared" ca="1" si="9"/>
        <v>0</v>
      </c>
    </row>
    <row r="53" spans="2:50" x14ac:dyDescent="0.25">
      <c r="B53" s="98" t="str">
        <f ca="1"/>
        <v/>
      </c>
      <c r="C53" s="98" t="str">
        <f ca="1"/>
        <v/>
      </c>
      <c r="D53" s="98" t="str">
        <f ca="1"/>
        <v/>
      </c>
      <c r="E53" s="98" t="str">
        <f ca="1"/>
        <v>30Y</v>
      </c>
      <c r="F53" s="116">
        <f ca="1"/>
        <v>1.6695000000000002E-2</v>
      </c>
      <c r="G53" s="98" t="str">
        <f ca="1"/>
        <v/>
      </c>
      <c r="H53" s="98" t="str">
        <f ca="1"/>
        <v/>
      </c>
      <c r="I53" s="98" t="str">
        <f ca="1"/>
        <v/>
      </c>
      <c r="J53" s="98" t="e">
        <f ca="1"/>
        <v>#N/A</v>
      </c>
      <c r="L53" s="98" t="str">
        <f ca="1"/>
        <v/>
      </c>
      <c r="M53" s="98" t="str">
        <f ca="1"/>
        <v/>
      </c>
      <c r="N53" s="98" t="str">
        <f ca="1"/>
        <v/>
      </c>
      <c r="O53" s="98" t="str">
        <f ca="1"/>
        <v>30Y</v>
      </c>
      <c r="P53" s="116">
        <f ca="1"/>
        <v>1.6696000000000003E-2</v>
      </c>
      <c r="Q53" s="98" t="str">
        <f ca="1"/>
        <v/>
      </c>
      <c r="R53" s="98" t="str">
        <f ca="1"/>
        <v/>
      </c>
      <c r="S53" s="98" t="str">
        <f ca="1"/>
        <v/>
      </c>
      <c r="T53" s="98" t="e">
        <f ca="1"/>
        <v>#N/A</v>
      </c>
      <c r="V53" s="118">
        <f t="shared" ca="1" si="10"/>
        <v>1.0000000000010001E-6</v>
      </c>
      <c r="Y53" s="91">
        <f ca="1"/>
        <v>47165</v>
      </c>
      <c r="Z53" s="126">
        <f ca="1"/>
        <v>0.88610494480980362</v>
      </c>
      <c r="AC53" s="91">
        <f ca="1"/>
        <v>47165</v>
      </c>
      <c r="AD53" s="126">
        <f ca="1"/>
        <v>0.88609656693602257</v>
      </c>
      <c r="AE53" s="89">
        <f t="shared" ca="1" si="11"/>
        <v>-8.3778737810513704E-6</v>
      </c>
      <c r="AF53" s="89"/>
      <c r="AG53" s="94">
        <f t="shared" ca="1" si="12"/>
        <v>47165</v>
      </c>
      <c r="AH53" s="126">
        <f t="shared" ca="1" si="4"/>
        <v>0.88610494480980362</v>
      </c>
      <c r="AI53" s="126">
        <f t="shared" ca="1" si="5"/>
        <v>0.88609656693602257</v>
      </c>
      <c r="AJ53" s="89">
        <f t="shared" ca="1" si="6"/>
        <v>-8.3778737810513704E-6</v>
      </c>
      <c r="AL53" s="127" t="str">
        <f ca="1">JACOBIAN_RESULTS!B58</f>
        <v>#Error: Jacobian Results for Curve Collection '#Error: OIS Curve Market Data is Missing' and/or Curve Index '#Error: OIS Curve Market Data is Missing' do not exist</v>
      </c>
      <c r="AM53" s="89" t="str">
        <f ca="1">JACOBIAN_RESULTS!C58</f>
        <v>#Error: Jacobian Results for Curve Collection '#Error: OIS Curve Market Data is Missing' and/or Curve Index '#Error: OIS Curve Market Data is Missing' do not exist</v>
      </c>
      <c r="AN53" s="129" t="e">
        <f t="shared" ca="1" si="7"/>
        <v>#VALUE!</v>
      </c>
      <c r="AP53" s="94">
        <f ca="1">JACOBIAN_RESULTS!K58</f>
        <v>47165</v>
      </c>
      <c r="AQ53" s="90" t="e">
        <f ca="1">JACOBIAN_RESULTS!M58</f>
        <v>#VALUE!</v>
      </c>
      <c r="AR53" s="89">
        <f t="shared" ca="1" si="13"/>
        <v>-8.3778737810513704E-6</v>
      </c>
      <c r="AS53" s="129" t="e">
        <f t="shared" ca="1" si="8"/>
        <v>#VALUE!</v>
      </c>
      <c r="AU53" s="94" t="str">
        <f ca="1">JACOBIAN_RESULTS!P58</f>
        <v>#Error: Invalid Variant Data: Unable to cast '#Error: Invalid Curve: CurveCollection '#Error: OIS Curve Market Data is Missing' does not exist' to double</v>
      </c>
      <c r="AV53" s="109">
        <f ca="1">JACOBIAN_RESULTS!R58</f>
        <v>0.88609656693602257</v>
      </c>
      <c r="AW53" s="126">
        <f t="shared" ca="1" si="14"/>
        <v>0.88609656693602257</v>
      </c>
      <c r="AX53" s="129">
        <f t="shared" ca="1" si="9"/>
        <v>0</v>
      </c>
    </row>
    <row r="54" spans="2:50" x14ac:dyDescent="0.25">
      <c r="B54" s="98" t="str">
        <f ca="1"/>
        <v/>
      </c>
      <c r="C54" s="98" t="str">
        <f ca="1"/>
        <v/>
      </c>
      <c r="D54" s="98" t="str">
        <f ca="1"/>
        <v/>
      </c>
      <c r="E54" s="98" t="str">
        <f ca="1"/>
        <v>40Y</v>
      </c>
      <c r="F54" s="116">
        <f ca="1"/>
        <v>1.6695000000000002E-2</v>
      </c>
      <c r="G54" s="98" t="str">
        <f ca="1"/>
        <v/>
      </c>
      <c r="H54" s="98" t="str">
        <f ca="1"/>
        <v/>
      </c>
      <c r="I54" s="98" t="str">
        <f ca="1"/>
        <v/>
      </c>
      <c r="J54" s="98" t="e">
        <f ca="1"/>
        <v>#N/A</v>
      </c>
      <c r="L54" s="98" t="str">
        <f ca="1"/>
        <v/>
      </c>
      <c r="M54" s="98" t="str">
        <f ca="1"/>
        <v/>
      </c>
      <c r="N54" s="98" t="str">
        <f ca="1"/>
        <v/>
      </c>
      <c r="O54" s="98" t="str">
        <f ca="1"/>
        <v>40Y</v>
      </c>
      <c r="P54" s="116">
        <f ca="1"/>
        <v>1.6696000000000003E-2</v>
      </c>
      <c r="Q54" s="98" t="str">
        <f ca="1"/>
        <v/>
      </c>
      <c r="R54" s="98" t="str">
        <f ca="1"/>
        <v/>
      </c>
      <c r="S54" s="98" t="str">
        <f ca="1"/>
        <v/>
      </c>
      <c r="T54" s="98" t="e">
        <f ca="1"/>
        <v>#N/A</v>
      </c>
      <c r="V54" s="118">
        <f t="shared" ca="1" si="10"/>
        <v>1.0000000000010001E-6</v>
      </c>
      <c r="Y54" s="91">
        <f ca="1"/>
        <v>47254</v>
      </c>
      <c r="Z54" s="126">
        <f ca="1"/>
        <v>0.88293356375771859</v>
      </c>
      <c r="AC54" s="91">
        <f ca="1"/>
        <v>47254</v>
      </c>
      <c r="AD54" s="126">
        <f ca="1"/>
        <v>0.88292500053506018</v>
      </c>
      <c r="AE54" s="89">
        <f t="shared" ca="1" si="11"/>
        <v>-8.5632226584086979E-6</v>
      </c>
      <c r="AF54" s="89"/>
      <c r="AG54" s="94">
        <f t="shared" ca="1" si="12"/>
        <v>47254</v>
      </c>
      <c r="AH54" s="126">
        <f t="shared" ca="1" si="4"/>
        <v>0.88293356375771859</v>
      </c>
      <c r="AI54" s="126">
        <f t="shared" ca="1" si="5"/>
        <v>0.88292500053506018</v>
      </c>
      <c r="AJ54" s="89">
        <f t="shared" ca="1" si="6"/>
        <v>-8.5632226584086979E-6</v>
      </c>
      <c r="AL54" s="127" t="str">
        <f ca="1">JACOBIAN_RESULTS!B59</f>
        <v>#Error: Jacobian Results for Curve Collection '#Error: OIS Curve Market Data is Missing' and/or Curve Index '#Error: OIS Curve Market Data is Missing' do not exist</v>
      </c>
      <c r="AM54" s="89" t="str">
        <f ca="1">JACOBIAN_RESULTS!C59</f>
        <v>#Error: Jacobian Results for Curve Collection '#Error: OIS Curve Market Data is Missing' and/or Curve Index '#Error: OIS Curve Market Data is Missing' do not exist</v>
      </c>
      <c r="AN54" s="129" t="e">
        <f t="shared" ca="1" si="7"/>
        <v>#VALUE!</v>
      </c>
      <c r="AP54" s="94">
        <f ca="1">JACOBIAN_RESULTS!K59</f>
        <v>47254</v>
      </c>
      <c r="AQ54" s="90" t="e">
        <f ca="1">JACOBIAN_RESULTS!M59</f>
        <v>#VALUE!</v>
      </c>
      <c r="AR54" s="89">
        <f t="shared" ca="1" si="13"/>
        <v>-8.5632226584086979E-6</v>
      </c>
      <c r="AS54" s="129" t="e">
        <f t="shared" ca="1" si="8"/>
        <v>#VALUE!</v>
      </c>
      <c r="AU54" s="94" t="str">
        <f ca="1">JACOBIAN_RESULTS!P59</f>
        <v>#Error: Invalid Variant Data: Unable to cast '#Error: Invalid Curve: CurveCollection '#Error: OIS Curve Market Data is Missing' does not exist' to double</v>
      </c>
      <c r="AV54" s="109">
        <f ca="1">JACOBIAN_RESULTS!R59</f>
        <v>0.88292500053506018</v>
      </c>
      <c r="AW54" s="126">
        <f t="shared" ca="1" si="14"/>
        <v>0.88292500053506018</v>
      </c>
      <c r="AX54" s="129">
        <f t="shared" ca="1" si="9"/>
        <v>0</v>
      </c>
    </row>
    <row r="55" spans="2:50" x14ac:dyDescent="0.25">
      <c r="B55" s="98" t="str">
        <f ca="1"/>
        <v/>
      </c>
      <c r="C55" s="98" t="str">
        <f ca="1"/>
        <v/>
      </c>
      <c r="D55" s="98" t="str">
        <f ca="1"/>
        <v/>
      </c>
      <c r="E55" s="98" t="str">
        <f ca="1"/>
        <v>50Y</v>
      </c>
      <c r="F55" s="116">
        <f ca="1"/>
        <v>1.6695000000000002E-2</v>
      </c>
      <c r="G55" s="98" t="str">
        <f ca="1"/>
        <v/>
      </c>
      <c r="H55" s="98" t="str">
        <f ca="1"/>
        <v/>
      </c>
      <c r="I55" s="98" t="str">
        <f ca="1"/>
        <v/>
      </c>
      <c r="J55" s="98" t="e">
        <f ca="1"/>
        <v>#N/A</v>
      </c>
      <c r="L55" s="98" t="str">
        <f ca="1"/>
        <v/>
      </c>
      <c r="M55" s="98" t="str">
        <f ca="1"/>
        <v/>
      </c>
      <c r="N55" s="98" t="str">
        <f ca="1"/>
        <v/>
      </c>
      <c r="O55" s="98" t="str">
        <f ca="1"/>
        <v>50Y</v>
      </c>
      <c r="P55" s="116">
        <f ca="1"/>
        <v>1.6696000000000003E-2</v>
      </c>
      <c r="Q55" s="98" t="str">
        <f ca="1"/>
        <v/>
      </c>
      <c r="R55" s="98" t="str">
        <f ca="1"/>
        <v/>
      </c>
      <c r="S55" s="98" t="str">
        <f ca="1"/>
        <v/>
      </c>
      <c r="T55" s="98" t="e">
        <f ca="1"/>
        <v>#N/A</v>
      </c>
      <c r="V55" s="118">
        <f t="shared" ca="1" si="10"/>
        <v>1.0000000000010001E-6</v>
      </c>
      <c r="Y55" s="91">
        <f ca="1"/>
        <v>47346</v>
      </c>
      <c r="Z55" s="126">
        <f ca="1"/>
        <v>0.87964296465886294</v>
      </c>
      <c r="AC55" s="91">
        <f ca="1"/>
        <v>47346</v>
      </c>
      <c r="AD55" s="126">
        <f ca="1"/>
        <v>0.8796342114031187</v>
      </c>
      <c r="AE55" s="89">
        <f t="shared" ca="1" si="11"/>
        <v>-8.7532557442315806E-6</v>
      </c>
      <c r="AF55" s="89"/>
      <c r="AG55" s="94">
        <f t="shared" ca="1" si="12"/>
        <v>47346</v>
      </c>
      <c r="AH55" s="126">
        <f t="shared" ca="1" si="4"/>
        <v>0.87964296465886294</v>
      </c>
      <c r="AI55" s="126">
        <f t="shared" ca="1" si="5"/>
        <v>0.8796342114031187</v>
      </c>
      <c r="AJ55" s="89">
        <f t="shared" ca="1" si="6"/>
        <v>-8.7532557442315806E-6</v>
      </c>
      <c r="AL55" s="127" t="str">
        <f ca="1">JACOBIAN_RESULTS!B60</f>
        <v>#Error: Jacobian Results for Curve Collection '#Error: OIS Curve Market Data is Missing' and/or Curve Index '#Error: OIS Curve Market Data is Missing' do not exist</v>
      </c>
      <c r="AM55" s="89" t="str">
        <f ca="1">JACOBIAN_RESULTS!C60</f>
        <v>#Error: Jacobian Results for Curve Collection '#Error: OIS Curve Market Data is Missing' and/or Curve Index '#Error: OIS Curve Market Data is Missing' do not exist</v>
      </c>
      <c r="AN55" s="129" t="e">
        <f t="shared" ca="1" si="7"/>
        <v>#VALUE!</v>
      </c>
      <c r="AP55" s="94">
        <f ca="1">JACOBIAN_RESULTS!K60</f>
        <v>47346</v>
      </c>
      <c r="AQ55" s="90" t="e">
        <f ca="1">JACOBIAN_RESULTS!M60</f>
        <v>#VALUE!</v>
      </c>
      <c r="AR55" s="89">
        <f t="shared" ca="1" si="13"/>
        <v>-8.7532557442315806E-6</v>
      </c>
      <c r="AS55" s="129" t="e">
        <f t="shared" ca="1" si="8"/>
        <v>#VALUE!</v>
      </c>
      <c r="AU55" s="94" t="str">
        <f ca="1">JACOBIAN_RESULTS!P60</f>
        <v>#Error: Invalid Variant Data: Unable to cast '#Error: Invalid Curve: CurveCollection '#Error: OIS Curve Market Data is Missing' does not exist' to double</v>
      </c>
      <c r="AV55" s="109">
        <f ca="1">JACOBIAN_RESULTS!R60</f>
        <v>0.8796342114031187</v>
      </c>
      <c r="AW55" s="126">
        <f t="shared" ca="1" si="14"/>
        <v>0.8796342114031187</v>
      </c>
      <c r="AX55" s="129">
        <f t="shared" ca="1" si="9"/>
        <v>0</v>
      </c>
    </row>
    <row r="59" spans="2:50" x14ac:dyDescent="0.25">
      <c r="L59" s="98" t="str">
        <f t="array" aca="1" ref="L59:T109" ca="1">_xll.meLWOCurveDisplay(USD_ARR_CURVE!D26)</f>
        <v>#Error: Unrecognised object type from #ERROR</v>
      </c>
      <c r="M59" s="98" t="str">
        <f ca="1"/>
        <v>#Error: Unrecognised object type from #ERROR</v>
      </c>
      <c r="N59" s="98" t="str">
        <f ca="1"/>
        <v>#Error: Unrecognised object type from #ERROR</v>
      </c>
      <c r="O59" s="98" t="str">
        <f ca="1"/>
        <v>#Error: Unrecognised object type from #ERROR</v>
      </c>
      <c r="P59" s="98" t="str">
        <f ca="1"/>
        <v>#Error: Unrecognised object type from #ERROR</v>
      </c>
      <c r="Q59" s="98" t="str">
        <f ca="1"/>
        <v>#Error: Unrecognised object type from #ERROR</v>
      </c>
      <c r="R59" s="98" t="str">
        <f ca="1"/>
        <v>#Error: Unrecognised object type from #ERROR</v>
      </c>
      <c r="S59" s="98" t="str">
        <f ca="1"/>
        <v>#Error: Unrecognised object type from #ERROR</v>
      </c>
      <c r="T59" s="98" t="str">
        <f ca="1"/>
        <v>#Error: Unrecognised object type from #ERROR</v>
      </c>
    </row>
    <row r="60" spans="2:50" x14ac:dyDescent="0.25">
      <c r="L60" s="98" t="str">
        <f ca="1"/>
        <v>#Error: Unrecognised object type from #ERROR</v>
      </c>
      <c r="M60" s="98" t="str">
        <f ca="1"/>
        <v>#Error: Unrecognised object type from #ERROR</v>
      </c>
      <c r="N60" s="98" t="str">
        <f ca="1"/>
        <v>#Error: Unrecognised object type from #ERROR</v>
      </c>
      <c r="O60" s="98" t="str">
        <f ca="1"/>
        <v>#Error: Unrecognised object type from #ERROR</v>
      </c>
      <c r="P60" s="98" t="str">
        <f ca="1"/>
        <v>#Error: Unrecognised object type from #ERROR</v>
      </c>
      <c r="Q60" s="98" t="str">
        <f ca="1"/>
        <v>#Error: Unrecognised object type from #ERROR</v>
      </c>
      <c r="R60" s="98" t="str">
        <f ca="1"/>
        <v>#Error: Unrecognised object type from #ERROR</v>
      </c>
      <c r="S60" s="98" t="str">
        <f ca="1"/>
        <v>#Error: Unrecognised object type from #ERROR</v>
      </c>
      <c r="T60" s="98" t="str">
        <f ca="1"/>
        <v>#Error: Unrecognised object type from #ERROR</v>
      </c>
    </row>
    <row r="61" spans="2:50" x14ac:dyDescent="0.25">
      <c r="L61" s="98" t="str">
        <f ca="1"/>
        <v>#Error: Unrecognised object type from #ERROR</v>
      </c>
      <c r="M61" s="98" t="str">
        <f ca="1"/>
        <v>#Error: Unrecognised object type from #ERROR</v>
      </c>
      <c r="N61" s="98" t="str">
        <f ca="1"/>
        <v>#Error: Unrecognised object type from #ERROR</v>
      </c>
      <c r="O61" s="98" t="str">
        <f ca="1"/>
        <v>#Error: Unrecognised object type from #ERROR</v>
      </c>
      <c r="P61" s="98" t="str">
        <f ca="1"/>
        <v>#Error: Unrecognised object type from #ERROR</v>
      </c>
      <c r="Q61" s="98" t="str">
        <f ca="1"/>
        <v>#Error: Unrecognised object type from #ERROR</v>
      </c>
      <c r="R61" s="98" t="str">
        <f ca="1"/>
        <v>#Error: Unrecognised object type from #ERROR</v>
      </c>
      <c r="S61" s="98" t="str">
        <f ca="1"/>
        <v>#Error: Unrecognised object type from #ERROR</v>
      </c>
      <c r="T61" s="98" t="str">
        <f ca="1"/>
        <v>#Error: Unrecognised object type from #ERROR</v>
      </c>
    </row>
    <row r="62" spans="2:50" x14ac:dyDescent="0.25">
      <c r="L62" s="98" t="str">
        <f ca="1"/>
        <v>#Error: Unrecognised object type from #ERROR</v>
      </c>
      <c r="M62" s="98" t="str">
        <f ca="1"/>
        <v>#Error: Unrecognised object type from #ERROR</v>
      </c>
      <c r="N62" s="98" t="str">
        <f ca="1"/>
        <v>#Error: Unrecognised object type from #ERROR</v>
      </c>
      <c r="O62" s="98" t="str">
        <f ca="1"/>
        <v>#Error: Unrecognised object type from #ERROR</v>
      </c>
      <c r="P62" s="98" t="str">
        <f ca="1"/>
        <v>#Error: Unrecognised object type from #ERROR</v>
      </c>
      <c r="Q62" s="98" t="str">
        <f ca="1"/>
        <v>#Error: Unrecognised object type from #ERROR</v>
      </c>
      <c r="R62" s="98" t="str">
        <f ca="1"/>
        <v>#Error: Unrecognised object type from #ERROR</v>
      </c>
      <c r="S62" s="98" t="str">
        <f ca="1"/>
        <v>#Error: Unrecognised object type from #ERROR</v>
      </c>
      <c r="T62" s="98" t="str">
        <f ca="1"/>
        <v>#Error: Unrecognised object type from #ERROR</v>
      </c>
    </row>
    <row r="63" spans="2:50" x14ac:dyDescent="0.25">
      <c r="L63" s="98" t="str">
        <f ca="1"/>
        <v>#Error: Unrecognised object type from #ERROR</v>
      </c>
      <c r="M63" s="98" t="str">
        <f ca="1"/>
        <v>#Error: Unrecognised object type from #ERROR</v>
      </c>
      <c r="N63" s="98" t="str">
        <f ca="1"/>
        <v>#Error: Unrecognised object type from #ERROR</v>
      </c>
      <c r="O63" s="98" t="str">
        <f ca="1"/>
        <v>#Error: Unrecognised object type from #ERROR</v>
      </c>
      <c r="P63" s="98" t="str">
        <f ca="1"/>
        <v>#Error: Unrecognised object type from #ERROR</v>
      </c>
      <c r="Q63" s="98" t="str">
        <f ca="1"/>
        <v>#Error: Unrecognised object type from #ERROR</v>
      </c>
      <c r="R63" s="98" t="str">
        <f ca="1"/>
        <v>#Error: Unrecognised object type from #ERROR</v>
      </c>
      <c r="S63" s="98" t="str">
        <f ca="1"/>
        <v>#Error: Unrecognised object type from #ERROR</v>
      </c>
      <c r="T63" s="98" t="str">
        <f ca="1"/>
        <v>#Error: Unrecognised object type from #ERROR</v>
      </c>
      <c r="V63" s="81" t="s">
        <v>124</v>
      </c>
    </row>
    <row r="64" spans="2:50" x14ac:dyDescent="0.25">
      <c r="L64" s="98" t="str">
        <f ca="1"/>
        <v>#Error: Unrecognised object type from #ERROR</v>
      </c>
      <c r="M64" s="98" t="str">
        <f ca="1"/>
        <v>#Error: Unrecognised object type from #ERROR</v>
      </c>
      <c r="N64" s="98" t="str">
        <f ca="1"/>
        <v>#Error: Unrecognised object type from #ERROR</v>
      </c>
      <c r="O64" s="98" t="str">
        <f ca="1"/>
        <v>#Error: Unrecognised object type from #ERROR</v>
      </c>
      <c r="P64" s="98" t="str">
        <f ca="1"/>
        <v>#Error: Unrecognised object type from #ERROR</v>
      </c>
      <c r="Q64" s="98" t="str">
        <f ca="1"/>
        <v>#Error: Unrecognised object type from #ERROR</v>
      </c>
      <c r="R64" s="98" t="str">
        <f ca="1"/>
        <v>#Error: Unrecognised object type from #ERROR</v>
      </c>
      <c r="S64" s="98" t="str">
        <f ca="1"/>
        <v>#Error: Unrecognised object type from #ERROR</v>
      </c>
      <c r="T64" s="98" t="str">
        <f ca="1"/>
        <v>#Error: Unrecognised object type from #ERROR</v>
      </c>
    </row>
    <row r="65" spans="12:22" x14ac:dyDescent="0.25">
      <c r="L65" s="98" t="str">
        <f ca="1"/>
        <v>#Error: Unrecognised object type from #ERROR</v>
      </c>
      <c r="M65" s="98" t="str">
        <f ca="1"/>
        <v>#Error: Unrecognised object type from #ERROR</v>
      </c>
      <c r="N65" s="98" t="str">
        <f ca="1"/>
        <v>#Error: Unrecognised object type from #ERROR</v>
      </c>
      <c r="O65" s="98" t="str">
        <f ca="1"/>
        <v>#Error: Unrecognised object type from #ERROR</v>
      </c>
      <c r="P65" s="98" t="str">
        <f ca="1"/>
        <v>#Error: Unrecognised object type from #ERROR</v>
      </c>
      <c r="Q65" s="98" t="str">
        <f ca="1"/>
        <v>#Error: Unrecognised object type from #ERROR</v>
      </c>
      <c r="R65" s="98" t="str">
        <f ca="1"/>
        <v>#Error: Unrecognised object type from #ERROR</v>
      </c>
      <c r="S65" s="98" t="str">
        <f ca="1"/>
        <v>#Error: Unrecognised object type from #ERROR</v>
      </c>
      <c r="T65" s="98" t="str">
        <f ca="1"/>
        <v>#Error: Unrecognised object type from #ERROR</v>
      </c>
      <c r="V65" s="117" t="s">
        <v>107</v>
      </c>
    </row>
    <row r="66" spans="12:22" x14ac:dyDescent="0.25">
      <c r="L66" s="98" t="str">
        <f ca="1"/>
        <v>#Error: Unrecognised object type from #ERROR</v>
      </c>
      <c r="M66" s="98" t="str">
        <f ca="1"/>
        <v>#Error: Unrecognised object type from #ERROR</v>
      </c>
      <c r="N66" s="98" t="str">
        <f ca="1"/>
        <v>#Error: Unrecognised object type from #ERROR</v>
      </c>
      <c r="O66" s="98" t="str">
        <f ca="1"/>
        <v>#Error: Unrecognised object type from #ERROR</v>
      </c>
      <c r="P66" s="116" t="str">
        <f ca="1"/>
        <v>#Error: Unrecognised object type from #ERROR</v>
      </c>
      <c r="Q66" s="98" t="str">
        <f ca="1"/>
        <v>#Error: Unrecognised object type from #ERROR</v>
      </c>
      <c r="R66" s="98" t="str">
        <f ca="1"/>
        <v>#Error: Unrecognised object type from #ERROR</v>
      </c>
      <c r="S66" s="98" t="str">
        <f ca="1"/>
        <v>#Error: Unrecognised object type from #ERROR</v>
      </c>
      <c r="T66" s="98" t="str">
        <f ca="1"/>
        <v>#Error: Unrecognised object type from #ERROR</v>
      </c>
      <c r="V66" s="118" t="e">
        <f t="shared" ref="V66:V77" ca="1" si="15">P66-P12</f>
        <v>#VALUE!</v>
      </c>
    </row>
    <row r="67" spans="12:22" x14ac:dyDescent="0.25">
      <c r="L67" s="98" t="str">
        <f ca="1"/>
        <v>#Error: Unrecognised object type from #ERROR</v>
      </c>
      <c r="M67" s="98" t="str">
        <f ca="1"/>
        <v>#Error: Unrecognised object type from #ERROR</v>
      </c>
      <c r="N67" s="98" t="str">
        <f ca="1"/>
        <v>#Error: Unrecognised object type from #ERROR</v>
      </c>
      <c r="O67" s="98" t="str">
        <f ca="1"/>
        <v>#Error: Unrecognised object type from #ERROR</v>
      </c>
      <c r="P67" s="116" t="str">
        <f ca="1"/>
        <v>#Error: Unrecognised object type from #ERROR</v>
      </c>
      <c r="Q67" s="98" t="str">
        <f ca="1"/>
        <v>#Error: Unrecognised object type from #ERROR</v>
      </c>
      <c r="R67" s="98" t="str">
        <f ca="1"/>
        <v>#Error: Unrecognised object type from #ERROR</v>
      </c>
      <c r="S67" s="98" t="str">
        <f ca="1"/>
        <v>#Error: Unrecognised object type from #ERROR</v>
      </c>
      <c r="T67" s="98" t="str">
        <f ca="1"/>
        <v>#Error: Unrecognised object type from #ERROR</v>
      </c>
      <c r="V67" s="118" t="e">
        <f t="shared" ca="1" si="15"/>
        <v>#VALUE!</v>
      </c>
    </row>
    <row r="68" spans="12:22" x14ac:dyDescent="0.25">
      <c r="L68" s="98" t="str">
        <f ca="1"/>
        <v>#Error: Unrecognised object type from #ERROR</v>
      </c>
      <c r="M68" s="98" t="str">
        <f ca="1"/>
        <v>#Error: Unrecognised object type from #ERROR</v>
      </c>
      <c r="N68" s="98" t="str">
        <f ca="1"/>
        <v>#Error: Unrecognised object type from #ERROR</v>
      </c>
      <c r="O68" s="98" t="str">
        <f ca="1"/>
        <v>#Error: Unrecognised object type from #ERROR</v>
      </c>
      <c r="P68" s="116" t="str">
        <f ca="1"/>
        <v>#Error: Unrecognised object type from #ERROR</v>
      </c>
      <c r="Q68" s="98" t="str">
        <f ca="1"/>
        <v>#Error: Unrecognised object type from #ERROR</v>
      </c>
      <c r="R68" s="98" t="str">
        <f ca="1"/>
        <v>#Error: Unrecognised object type from #ERROR</v>
      </c>
      <c r="S68" s="98" t="str">
        <f ca="1"/>
        <v>#Error: Unrecognised object type from #ERROR</v>
      </c>
      <c r="T68" s="98" t="str">
        <f ca="1"/>
        <v>#Error: Unrecognised object type from #ERROR</v>
      </c>
      <c r="V68" s="118" t="e">
        <f t="shared" ca="1" si="15"/>
        <v>#VALUE!</v>
      </c>
    </row>
    <row r="69" spans="12:22" x14ac:dyDescent="0.25">
      <c r="L69" s="98" t="str">
        <f ca="1"/>
        <v>#Error: Unrecognised object type from #ERROR</v>
      </c>
      <c r="M69" s="98" t="str">
        <f ca="1"/>
        <v>#Error: Unrecognised object type from #ERROR</v>
      </c>
      <c r="N69" s="98" t="str">
        <f ca="1"/>
        <v>#Error: Unrecognised object type from #ERROR</v>
      </c>
      <c r="O69" s="98" t="str">
        <f ca="1"/>
        <v>#Error: Unrecognised object type from #ERROR</v>
      </c>
      <c r="P69" s="116" t="str">
        <f ca="1"/>
        <v>#Error: Unrecognised object type from #ERROR</v>
      </c>
      <c r="Q69" s="98" t="str">
        <f ca="1"/>
        <v>#Error: Unrecognised object type from #ERROR</v>
      </c>
      <c r="R69" s="98" t="str">
        <f ca="1"/>
        <v>#Error: Unrecognised object type from #ERROR</v>
      </c>
      <c r="S69" s="98" t="str">
        <f ca="1"/>
        <v>#Error: Unrecognised object type from #ERROR</v>
      </c>
      <c r="T69" s="98" t="str">
        <f ca="1"/>
        <v>#Error: Unrecognised object type from #ERROR</v>
      </c>
      <c r="V69" s="118" t="e">
        <f t="shared" ca="1" si="15"/>
        <v>#VALUE!</v>
      </c>
    </row>
    <row r="70" spans="12:22" x14ac:dyDescent="0.25">
      <c r="L70" s="98" t="str">
        <f ca="1"/>
        <v>#Error: Unrecognised object type from #ERROR</v>
      </c>
      <c r="M70" s="98" t="str">
        <f ca="1"/>
        <v>#Error: Unrecognised object type from #ERROR</v>
      </c>
      <c r="N70" s="98" t="str">
        <f ca="1"/>
        <v>#Error: Unrecognised object type from #ERROR</v>
      </c>
      <c r="O70" s="98" t="str">
        <f ca="1"/>
        <v>#Error: Unrecognised object type from #ERROR</v>
      </c>
      <c r="P70" s="116" t="str">
        <f ca="1"/>
        <v>#Error: Unrecognised object type from #ERROR</v>
      </c>
      <c r="Q70" s="98" t="str">
        <f ca="1"/>
        <v>#Error: Unrecognised object type from #ERROR</v>
      </c>
      <c r="R70" s="98" t="str">
        <f ca="1"/>
        <v>#Error: Unrecognised object type from #ERROR</v>
      </c>
      <c r="S70" s="98" t="str">
        <f ca="1"/>
        <v>#Error: Unrecognised object type from #ERROR</v>
      </c>
      <c r="T70" s="98" t="str">
        <f ca="1"/>
        <v>#Error: Unrecognised object type from #ERROR</v>
      </c>
      <c r="V70" s="118" t="e">
        <f t="shared" ca="1" si="15"/>
        <v>#VALUE!</v>
      </c>
    </row>
    <row r="71" spans="12:22" x14ac:dyDescent="0.25">
      <c r="L71" s="98" t="str">
        <f ca="1"/>
        <v>#Error: Unrecognised object type from #ERROR</v>
      </c>
      <c r="M71" s="98" t="str">
        <f ca="1"/>
        <v>#Error: Unrecognised object type from #ERROR</v>
      </c>
      <c r="N71" s="98" t="str">
        <f ca="1"/>
        <v>#Error: Unrecognised object type from #ERROR</v>
      </c>
      <c r="O71" s="98" t="str">
        <f ca="1"/>
        <v>#Error: Unrecognised object type from #ERROR</v>
      </c>
      <c r="P71" s="116" t="str">
        <f ca="1"/>
        <v>#Error: Unrecognised object type from #ERROR</v>
      </c>
      <c r="Q71" s="98" t="str">
        <f ca="1"/>
        <v>#Error: Unrecognised object type from #ERROR</v>
      </c>
      <c r="R71" s="98" t="str">
        <f ca="1"/>
        <v>#Error: Unrecognised object type from #ERROR</v>
      </c>
      <c r="S71" s="98" t="str">
        <f ca="1"/>
        <v>#Error: Unrecognised object type from #ERROR</v>
      </c>
      <c r="T71" s="98" t="str">
        <f ca="1"/>
        <v>#Error: Unrecognised object type from #ERROR</v>
      </c>
      <c r="V71" s="118" t="e">
        <f t="shared" ca="1" si="15"/>
        <v>#VALUE!</v>
      </c>
    </row>
    <row r="72" spans="12:22" x14ac:dyDescent="0.25">
      <c r="L72" s="98" t="str">
        <f ca="1"/>
        <v>#Error: Unrecognised object type from #ERROR</v>
      </c>
      <c r="M72" s="98" t="str">
        <f ca="1"/>
        <v>#Error: Unrecognised object type from #ERROR</v>
      </c>
      <c r="N72" s="98" t="str">
        <f ca="1"/>
        <v>#Error: Unrecognised object type from #ERROR</v>
      </c>
      <c r="O72" s="98" t="str">
        <f ca="1"/>
        <v>#Error: Unrecognised object type from #ERROR</v>
      </c>
      <c r="P72" s="116" t="str">
        <f ca="1"/>
        <v>#Error: Unrecognised object type from #ERROR</v>
      </c>
      <c r="Q72" s="98" t="str">
        <f ca="1"/>
        <v>#Error: Unrecognised object type from #ERROR</v>
      </c>
      <c r="R72" s="98" t="str">
        <f ca="1"/>
        <v>#Error: Unrecognised object type from #ERROR</v>
      </c>
      <c r="S72" s="98" t="str">
        <f ca="1"/>
        <v>#Error: Unrecognised object type from #ERROR</v>
      </c>
      <c r="T72" s="98" t="str">
        <f ca="1"/>
        <v>#Error: Unrecognised object type from #ERROR</v>
      </c>
      <c r="V72" s="118" t="e">
        <f t="shared" ca="1" si="15"/>
        <v>#VALUE!</v>
      </c>
    </row>
    <row r="73" spans="12:22" x14ac:dyDescent="0.25">
      <c r="L73" s="98" t="str">
        <f ca="1"/>
        <v>#Error: Unrecognised object type from #ERROR</v>
      </c>
      <c r="M73" s="98" t="str">
        <f ca="1"/>
        <v>#Error: Unrecognised object type from #ERROR</v>
      </c>
      <c r="N73" s="98" t="str">
        <f ca="1"/>
        <v>#Error: Unrecognised object type from #ERROR</v>
      </c>
      <c r="O73" s="98" t="str">
        <f ca="1"/>
        <v>#Error: Unrecognised object type from #ERROR</v>
      </c>
      <c r="P73" s="116" t="str">
        <f ca="1"/>
        <v>#Error: Unrecognised object type from #ERROR</v>
      </c>
      <c r="Q73" s="98" t="str">
        <f ca="1"/>
        <v>#Error: Unrecognised object type from #ERROR</v>
      </c>
      <c r="R73" s="98" t="str">
        <f ca="1"/>
        <v>#Error: Unrecognised object type from #ERROR</v>
      </c>
      <c r="S73" s="98" t="str">
        <f ca="1"/>
        <v>#Error: Unrecognised object type from #ERROR</v>
      </c>
      <c r="T73" s="98" t="str">
        <f ca="1"/>
        <v>#Error: Unrecognised object type from #ERROR</v>
      </c>
      <c r="V73" s="118" t="e">
        <f t="shared" ca="1" si="15"/>
        <v>#VALUE!</v>
      </c>
    </row>
    <row r="74" spans="12:22" x14ac:dyDescent="0.25">
      <c r="L74" s="98" t="str">
        <f ca="1"/>
        <v>#Error: Unrecognised object type from #ERROR</v>
      </c>
      <c r="M74" s="98" t="str">
        <f ca="1"/>
        <v>#Error: Unrecognised object type from #ERROR</v>
      </c>
      <c r="N74" s="98" t="str">
        <f ca="1"/>
        <v>#Error: Unrecognised object type from #ERROR</v>
      </c>
      <c r="O74" s="98" t="str">
        <f ca="1"/>
        <v>#Error: Unrecognised object type from #ERROR</v>
      </c>
      <c r="P74" s="116" t="str">
        <f ca="1"/>
        <v>#Error: Unrecognised object type from #ERROR</v>
      </c>
      <c r="Q74" s="98" t="str">
        <f ca="1"/>
        <v>#Error: Unrecognised object type from #ERROR</v>
      </c>
      <c r="R74" s="98" t="str">
        <f ca="1"/>
        <v>#Error: Unrecognised object type from #ERROR</v>
      </c>
      <c r="S74" s="98" t="str">
        <f ca="1"/>
        <v>#Error: Unrecognised object type from #ERROR</v>
      </c>
      <c r="T74" s="98" t="str">
        <f ca="1"/>
        <v>#Error: Unrecognised object type from #ERROR</v>
      </c>
      <c r="V74" s="118" t="e">
        <f t="shared" ca="1" si="15"/>
        <v>#VALUE!</v>
      </c>
    </row>
    <row r="75" spans="12:22" x14ac:dyDescent="0.25">
      <c r="L75" s="98" t="str">
        <f ca="1"/>
        <v>#Error: Unrecognised object type from #ERROR</v>
      </c>
      <c r="M75" s="98" t="str">
        <f ca="1"/>
        <v>#Error: Unrecognised object type from #ERROR</v>
      </c>
      <c r="N75" s="98" t="str">
        <f ca="1"/>
        <v>#Error: Unrecognised object type from #ERROR</v>
      </c>
      <c r="O75" s="98" t="str">
        <f ca="1"/>
        <v>#Error: Unrecognised object type from #ERROR</v>
      </c>
      <c r="P75" s="116" t="str">
        <f ca="1"/>
        <v>#Error: Unrecognised object type from #ERROR</v>
      </c>
      <c r="Q75" s="98" t="str">
        <f ca="1"/>
        <v>#Error: Unrecognised object type from #ERROR</v>
      </c>
      <c r="R75" s="98" t="str">
        <f ca="1"/>
        <v>#Error: Unrecognised object type from #ERROR</v>
      </c>
      <c r="S75" s="98" t="str">
        <f ca="1"/>
        <v>#Error: Unrecognised object type from #ERROR</v>
      </c>
      <c r="T75" s="98" t="str">
        <f ca="1"/>
        <v>#Error: Unrecognised object type from #ERROR</v>
      </c>
      <c r="V75" s="118" t="e">
        <f t="shared" ca="1" si="15"/>
        <v>#VALUE!</v>
      </c>
    </row>
    <row r="76" spans="12:22" x14ac:dyDescent="0.25">
      <c r="L76" s="98" t="str">
        <f ca="1"/>
        <v>#Error: Unrecognised object type from #ERROR</v>
      </c>
      <c r="M76" s="98" t="str">
        <f ca="1"/>
        <v>#Error: Unrecognised object type from #ERROR</v>
      </c>
      <c r="N76" s="98" t="str">
        <f ca="1"/>
        <v>#Error: Unrecognised object type from #ERROR</v>
      </c>
      <c r="O76" s="98" t="str">
        <f ca="1"/>
        <v>#Error: Unrecognised object type from #ERROR</v>
      </c>
      <c r="P76" s="116" t="str">
        <f ca="1"/>
        <v>#Error: Unrecognised object type from #ERROR</v>
      </c>
      <c r="Q76" s="98" t="str">
        <f ca="1"/>
        <v>#Error: Unrecognised object type from #ERROR</v>
      </c>
      <c r="R76" s="98" t="str">
        <f ca="1"/>
        <v>#Error: Unrecognised object type from #ERROR</v>
      </c>
      <c r="S76" s="98" t="str">
        <f ca="1"/>
        <v>#Error: Unrecognised object type from #ERROR</v>
      </c>
      <c r="T76" s="98" t="str">
        <f ca="1"/>
        <v>#Error: Unrecognised object type from #ERROR</v>
      </c>
      <c r="V76" s="118" t="e">
        <f t="shared" ca="1" si="15"/>
        <v>#VALUE!</v>
      </c>
    </row>
    <row r="77" spans="12:22" x14ac:dyDescent="0.25">
      <c r="L77" s="98" t="str">
        <f ca="1"/>
        <v>#Error: Unrecognised object type from #ERROR</v>
      </c>
      <c r="M77" s="98" t="str">
        <f ca="1"/>
        <v>#Error: Unrecognised object type from #ERROR</v>
      </c>
      <c r="N77" s="98" t="str">
        <f ca="1"/>
        <v>#Error: Unrecognised object type from #ERROR</v>
      </c>
      <c r="O77" s="98" t="str">
        <f ca="1"/>
        <v>#Error: Unrecognised object type from #ERROR</v>
      </c>
      <c r="P77" s="116" t="str">
        <f ca="1"/>
        <v>#Error: Unrecognised object type from #ERROR</v>
      </c>
      <c r="Q77" s="98" t="str">
        <f ca="1"/>
        <v>#Error: Unrecognised object type from #ERROR</v>
      </c>
      <c r="R77" s="98" t="str">
        <f ca="1"/>
        <v>#Error: Unrecognised object type from #ERROR</v>
      </c>
      <c r="S77" s="98" t="str">
        <f ca="1"/>
        <v>#Error: Unrecognised object type from #ERROR</v>
      </c>
      <c r="T77" s="98" t="str">
        <f ca="1"/>
        <v>#Error: Unrecognised object type from #ERROR</v>
      </c>
      <c r="V77" s="118" t="e">
        <f t="shared" ca="1" si="15"/>
        <v>#VALUE!</v>
      </c>
    </row>
    <row r="78" spans="12:22" x14ac:dyDescent="0.25">
      <c r="L78" s="98" t="str">
        <f ca="1"/>
        <v>#Error: Unrecognised object type from #ERROR</v>
      </c>
      <c r="M78" s="98" t="str">
        <f ca="1"/>
        <v>#Error: Unrecognised object type from #ERROR</v>
      </c>
      <c r="N78" s="98" t="str">
        <f ca="1"/>
        <v>#Error: Unrecognised object type from #ERROR</v>
      </c>
      <c r="O78" s="98" t="str">
        <f ca="1"/>
        <v>#Error: Unrecognised object type from #ERROR</v>
      </c>
      <c r="P78" s="98" t="str">
        <f ca="1"/>
        <v>#Error: Unrecognised object type from #ERROR</v>
      </c>
      <c r="Q78" s="98" t="str">
        <f ca="1"/>
        <v>#Error: Unrecognised object type from #ERROR</v>
      </c>
      <c r="R78" s="98" t="str">
        <f ca="1"/>
        <v>#Error: Unrecognised object type from #ERROR</v>
      </c>
      <c r="S78" s="98" t="str">
        <f ca="1"/>
        <v>#Error: Unrecognised object type from #ERROR</v>
      </c>
      <c r="T78" s="98" t="str">
        <f ca="1"/>
        <v>#Error: Unrecognised object type from #ERROR</v>
      </c>
      <c r="V78" s="90"/>
    </row>
    <row r="79" spans="12:22" x14ac:dyDescent="0.25">
      <c r="L79" s="98" t="str">
        <f ca="1"/>
        <v>#Error: Unrecognised object type from #ERROR</v>
      </c>
      <c r="M79" s="98" t="str">
        <f ca="1"/>
        <v>#Error: Unrecognised object type from #ERROR</v>
      </c>
      <c r="N79" s="98" t="str">
        <f ca="1"/>
        <v>#Error: Unrecognised object type from #ERROR</v>
      </c>
      <c r="O79" s="98" t="str">
        <f ca="1"/>
        <v>#Error: Unrecognised object type from #ERROR</v>
      </c>
      <c r="P79" s="98" t="str">
        <f ca="1"/>
        <v>#Error: Unrecognised object type from #ERROR</v>
      </c>
      <c r="Q79" s="98" t="str">
        <f ca="1"/>
        <v>#Error: Unrecognised object type from #ERROR</v>
      </c>
      <c r="R79" s="98" t="str">
        <f ca="1"/>
        <v>#Error: Unrecognised object type from #ERROR</v>
      </c>
      <c r="S79" s="98" t="str">
        <f ca="1"/>
        <v>#Error: Unrecognised object type from #ERROR</v>
      </c>
      <c r="T79" s="98" t="str">
        <f ca="1"/>
        <v>#Error: Unrecognised object type from #ERROR</v>
      </c>
      <c r="V79" s="117" t="s">
        <v>107</v>
      </c>
    </row>
    <row r="80" spans="12:22" x14ac:dyDescent="0.25">
      <c r="L80" s="98" t="str">
        <f ca="1"/>
        <v>#Error: Unrecognised object type from #ERROR</v>
      </c>
      <c r="M80" s="98" t="str">
        <f ca="1"/>
        <v>#Error: Unrecognised object type from #ERROR</v>
      </c>
      <c r="N80" s="98" t="str">
        <f ca="1"/>
        <v>#Error: Unrecognised object type from #ERROR</v>
      </c>
      <c r="O80" s="98" t="str">
        <f ca="1"/>
        <v>#Error: Unrecognised object type from #ERROR</v>
      </c>
      <c r="P80" s="116" t="str">
        <f ca="1"/>
        <v>#Error: Unrecognised object type from #ERROR</v>
      </c>
      <c r="Q80" s="98" t="str">
        <f ca="1"/>
        <v>#Error: Unrecognised object type from #ERROR</v>
      </c>
      <c r="R80" s="98" t="str">
        <f ca="1"/>
        <v>#Error: Unrecognised object type from #ERROR</v>
      </c>
      <c r="S80" s="98" t="str">
        <f ca="1"/>
        <v>#Error: Unrecognised object type from #ERROR</v>
      </c>
      <c r="T80" s="98" t="str">
        <f ca="1"/>
        <v>#Error: Unrecognised object type from #ERROR</v>
      </c>
      <c r="V80" s="118" t="e">
        <f t="shared" ref="V80:V93" ca="1" si="16">P80-P26</f>
        <v>#VALUE!</v>
      </c>
    </row>
    <row r="81" spans="12:22" x14ac:dyDescent="0.25">
      <c r="L81" s="98" t="str">
        <f ca="1"/>
        <v>#Error: Unrecognised object type from #ERROR</v>
      </c>
      <c r="M81" s="98" t="str">
        <f ca="1"/>
        <v>#Error: Unrecognised object type from #ERROR</v>
      </c>
      <c r="N81" s="98" t="str">
        <f ca="1"/>
        <v>#Error: Unrecognised object type from #ERROR</v>
      </c>
      <c r="O81" s="98" t="str">
        <f ca="1"/>
        <v>#Error: Unrecognised object type from #ERROR</v>
      </c>
      <c r="P81" s="116" t="str">
        <f ca="1"/>
        <v>#Error: Unrecognised object type from #ERROR</v>
      </c>
      <c r="Q81" s="98" t="str">
        <f ca="1"/>
        <v>#Error: Unrecognised object type from #ERROR</v>
      </c>
      <c r="R81" s="98" t="str">
        <f ca="1"/>
        <v>#Error: Unrecognised object type from #ERROR</v>
      </c>
      <c r="S81" s="98" t="str">
        <f ca="1"/>
        <v>#Error: Unrecognised object type from #ERROR</v>
      </c>
      <c r="T81" s="98" t="str">
        <f ca="1"/>
        <v>#Error: Unrecognised object type from #ERROR</v>
      </c>
      <c r="V81" s="118" t="e">
        <f t="shared" ca="1" si="16"/>
        <v>#VALUE!</v>
      </c>
    </row>
    <row r="82" spans="12:22" x14ac:dyDescent="0.25">
      <c r="L82" s="98" t="str">
        <f ca="1"/>
        <v>#Error: Unrecognised object type from #ERROR</v>
      </c>
      <c r="M82" s="98" t="str">
        <f ca="1"/>
        <v>#Error: Unrecognised object type from #ERROR</v>
      </c>
      <c r="N82" s="98" t="str">
        <f ca="1"/>
        <v>#Error: Unrecognised object type from #ERROR</v>
      </c>
      <c r="O82" s="98" t="str">
        <f ca="1"/>
        <v>#Error: Unrecognised object type from #ERROR</v>
      </c>
      <c r="P82" s="116" t="str">
        <f ca="1"/>
        <v>#Error: Unrecognised object type from #ERROR</v>
      </c>
      <c r="Q82" s="98" t="str">
        <f ca="1"/>
        <v>#Error: Unrecognised object type from #ERROR</v>
      </c>
      <c r="R82" s="98" t="str">
        <f ca="1"/>
        <v>#Error: Unrecognised object type from #ERROR</v>
      </c>
      <c r="S82" s="98" t="str">
        <f ca="1"/>
        <v>#Error: Unrecognised object type from #ERROR</v>
      </c>
      <c r="T82" s="98" t="str">
        <f ca="1"/>
        <v>#Error: Unrecognised object type from #ERROR</v>
      </c>
      <c r="V82" s="118" t="e">
        <f t="shared" ca="1" si="16"/>
        <v>#VALUE!</v>
      </c>
    </row>
    <row r="83" spans="12:22" x14ac:dyDescent="0.25">
      <c r="L83" s="98" t="str">
        <f ca="1"/>
        <v>#Error: Unrecognised object type from #ERROR</v>
      </c>
      <c r="M83" s="98" t="str">
        <f ca="1"/>
        <v>#Error: Unrecognised object type from #ERROR</v>
      </c>
      <c r="N83" s="98" t="str">
        <f ca="1"/>
        <v>#Error: Unrecognised object type from #ERROR</v>
      </c>
      <c r="O83" s="98" t="str">
        <f ca="1"/>
        <v>#Error: Unrecognised object type from #ERROR</v>
      </c>
      <c r="P83" s="116" t="str">
        <f ca="1"/>
        <v>#Error: Unrecognised object type from #ERROR</v>
      </c>
      <c r="Q83" s="98" t="str">
        <f ca="1"/>
        <v>#Error: Unrecognised object type from #ERROR</v>
      </c>
      <c r="R83" s="98" t="str">
        <f ca="1"/>
        <v>#Error: Unrecognised object type from #ERROR</v>
      </c>
      <c r="S83" s="98" t="str">
        <f ca="1"/>
        <v>#Error: Unrecognised object type from #ERROR</v>
      </c>
      <c r="T83" s="98" t="str">
        <f ca="1"/>
        <v>#Error: Unrecognised object type from #ERROR</v>
      </c>
      <c r="V83" s="118" t="e">
        <f t="shared" ca="1" si="16"/>
        <v>#VALUE!</v>
      </c>
    </row>
    <row r="84" spans="12:22" x14ac:dyDescent="0.25">
      <c r="L84" s="98" t="str">
        <f ca="1"/>
        <v>#Error: Unrecognised object type from #ERROR</v>
      </c>
      <c r="M84" s="98" t="str">
        <f ca="1"/>
        <v>#Error: Unrecognised object type from #ERROR</v>
      </c>
      <c r="N84" s="98" t="str">
        <f ca="1"/>
        <v>#Error: Unrecognised object type from #ERROR</v>
      </c>
      <c r="O84" s="98" t="str">
        <f ca="1"/>
        <v>#Error: Unrecognised object type from #ERROR</v>
      </c>
      <c r="P84" s="116" t="str">
        <f ca="1"/>
        <v>#Error: Unrecognised object type from #ERROR</v>
      </c>
      <c r="Q84" s="98" t="str">
        <f ca="1"/>
        <v>#Error: Unrecognised object type from #ERROR</v>
      </c>
      <c r="R84" s="98" t="str">
        <f ca="1"/>
        <v>#Error: Unrecognised object type from #ERROR</v>
      </c>
      <c r="S84" s="98" t="str">
        <f ca="1"/>
        <v>#Error: Unrecognised object type from #ERROR</v>
      </c>
      <c r="T84" s="98" t="str">
        <f ca="1"/>
        <v>#Error: Unrecognised object type from #ERROR</v>
      </c>
      <c r="V84" s="118" t="e">
        <f t="shared" ca="1" si="16"/>
        <v>#VALUE!</v>
      </c>
    </row>
    <row r="85" spans="12:22" x14ac:dyDescent="0.25">
      <c r="L85" s="98" t="str">
        <f ca="1"/>
        <v>#Error: Unrecognised object type from #ERROR</v>
      </c>
      <c r="M85" s="98" t="str">
        <f ca="1"/>
        <v>#Error: Unrecognised object type from #ERROR</v>
      </c>
      <c r="N85" s="98" t="str">
        <f ca="1"/>
        <v>#Error: Unrecognised object type from #ERROR</v>
      </c>
      <c r="O85" s="98" t="str">
        <f ca="1"/>
        <v>#Error: Unrecognised object type from #ERROR</v>
      </c>
      <c r="P85" s="116" t="str">
        <f ca="1"/>
        <v>#Error: Unrecognised object type from #ERROR</v>
      </c>
      <c r="Q85" s="98" t="str">
        <f ca="1"/>
        <v>#Error: Unrecognised object type from #ERROR</v>
      </c>
      <c r="R85" s="98" t="str">
        <f ca="1"/>
        <v>#Error: Unrecognised object type from #ERROR</v>
      </c>
      <c r="S85" s="98" t="str">
        <f ca="1"/>
        <v>#Error: Unrecognised object type from #ERROR</v>
      </c>
      <c r="T85" s="98" t="str">
        <f ca="1"/>
        <v>#Error: Unrecognised object type from #ERROR</v>
      </c>
      <c r="V85" s="118" t="e">
        <f t="shared" ca="1" si="16"/>
        <v>#VALUE!</v>
      </c>
    </row>
    <row r="86" spans="12:22" x14ac:dyDescent="0.25">
      <c r="L86" s="98" t="str">
        <f ca="1"/>
        <v>#Error: Unrecognised object type from #ERROR</v>
      </c>
      <c r="M86" s="98" t="str">
        <f ca="1"/>
        <v>#Error: Unrecognised object type from #ERROR</v>
      </c>
      <c r="N86" s="98" t="str">
        <f ca="1"/>
        <v>#Error: Unrecognised object type from #ERROR</v>
      </c>
      <c r="O86" s="98" t="str">
        <f ca="1"/>
        <v>#Error: Unrecognised object type from #ERROR</v>
      </c>
      <c r="P86" s="116" t="str">
        <f ca="1"/>
        <v>#Error: Unrecognised object type from #ERROR</v>
      </c>
      <c r="Q86" s="98" t="str">
        <f ca="1"/>
        <v>#Error: Unrecognised object type from #ERROR</v>
      </c>
      <c r="R86" s="98" t="str">
        <f ca="1"/>
        <v>#Error: Unrecognised object type from #ERROR</v>
      </c>
      <c r="S86" s="98" t="str">
        <f ca="1"/>
        <v>#Error: Unrecognised object type from #ERROR</v>
      </c>
      <c r="T86" s="98" t="str">
        <f ca="1"/>
        <v>#Error: Unrecognised object type from #ERROR</v>
      </c>
      <c r="V86" s="118" t="e">
        <f t="shared" ca="1" si="16"/>
        <v>#VALUE!</v>
      </c>
    </row>
    <row r="87" spans="12:22" x14ac:dyDescent="0.25">
      <c r="L87" s="98" t="str">
        <f ca="1"/>
        <v>#Error: Unrecognised object type from #ERROR</v>
      </c>
      <c r="M87" s="98" t="str">
        <f ca="1"/>
        <v>#Error: Unrecognised object type from #ERROR</v>
      </c>
      <c r="N87" s="98" t="str">
        <f ca="1"/>
        <v>#Error: Unrecognised object type from #ERROR</v>
      </c>
      <c r="O87" s="98" t="str">
        <f ca="1"/>
        <v>#Error: Unrecognised object type from #ERROR</v>
      </c>
      <c r="P87" s="116" t="str">
        <f ca="1"/>
        <v>#Error: Unrecognised object type from #ERROR</v>
      </c>
      <c r="Q87" s="98" t="str">
        <f ca="1"/>
        <v>#Error: Unrecognised object type from #ERROR</v>
      </c>
      <c r="R87" s="98" t="str">
        <f ca="1"/>
        <v>#Error: Unrecognised object type from #ERROR</v>
      </c>
      <c r="S87" s="98" t="str">
        <f ca="1"/>
        <v>#Error: Unrecognised object type from #ERROR</v>
      </c>
      <c r="T87" s="98" t="str">
        <f ca="1"/>
        <v>#Error: Unrecognised object type from #ERROR</v>
      </c>
      <c r="V87" s="118" t="e">
        <f t="shared" ca="1" si="16"/>
        <v>#VALUE!</v>
      </c>
    </row>
    <row r="88" spans="12:22" x14ac:dyDescent="0.25">
      <c r="L88" s="98" t="str">
        <f ca="1"/>
        <v>#Error: Unrecognised object type from #ERROR</v>
      </c>
      <c r="M88" s="98" t="str">
        <f ca="1"/>
        <v>#Error: Unrecognised object type from #ERROR</v>
      </c>
      <c r="N88" s="98" t="str">
        <f ca="1"/>
        <v>#Error: Unrecognised object type from #ERROR</v>
      </c>
      <c r="O88" s="98" t="str">
        <f ca="1"/>
        <v>#Error: Unrecognised object type from #ERROR</v>
      </c>
      <c r="P88" s="116" t="str">
        <f ca="1"/>
        <v>#Error: Unrecognised object type from #ERROR</v>
      </c>
      <c r="Q88" s="98" t="str">
        <f ca="1"/>
        <v>#Error: Unrecognised object type from #ERROR</v>
      </c>
      <c r="R88" s="98" t="str">
        <f ca="1"/>
        <v>#Error: Unrecognised object type from #ERROR</v>
      </c>
      <c r="S88" s="98" t="str">
        <f ca="1"/>
        <v>#Error: Unrecognised object type from #ERROR</v>
      </c>
      <c r="T88" s="98" t="str">
        <f ca="1"/>
        <v>#Error: Unrecognised object type from #ERROR</v>
      </c>
      <c r="V88" s="118" t="e">
        <f t="shared" ca="1" si="16"/>
        <v>#VALUE!</v>
      </c>
    </row>
    <row r="89" spans="12:22" x14ac:dyDescent="0.25">
      <c r="L89" s="98" t="str">
        <f ca="1"/>
        <v>#Error: Unrecognised object type from #ERROR</v>
      </c>
      <c r="M89" s="98" t="str">
        <f ca="1"/>
        <v>#Error: Unrecognised object type from #ERROR</v>
      </c>
      <c r="N89" s="98" t="str">
        <f ca="1"/>
        <v>#Error: Unrecognised object type from #ERROR</v>
      </c>
      <c r="O89" s="98" t="str">
        <f ca="1"/>
        <v>#Error: Unrecognised object type from #ERROR</v>
      </c>
      <c r="P89" s="116" t="str">
        <f ca="1"/>
        <v>#Error: Unrecognised object type from #ERROR</v>
      </c>
      <c r="Q89" s="98" t="str">
        <f ca="1"/>
        <v>#Error: Unrecognised object type from #ERROR</v>
      </c>
      <c r="R89" s="98" t="str">
        <f ca="1"/>
        <v>#Error: Unrecognised object type from #ERROR</v>
      </c>
      <c r="S89" s="98" t="str">
        <f ca="1"/>
        <v>#Error: Unrecognised object type from #ERROR</v>
      </c>
      <c r="T89" s="98" t="str">
        <f ca="1"/>
        <v>#Error: Unrecognised object type from #ERROR</v>
      </c>
      <c r="V89" s="118" t="e">
        <f t="shared" ca="1" si="16"/>
        <v>#VALUE!</v>
      </c>
    </row>
    <row r="90" spans="12:22" x14ac:dyDescent="0.25">
      <c r="L90" s="98" t="str">
        <f ca="1"/>
        <v>#Error: Unrecognised object type from #ERROR</v>
      </c>
      <c r="M90" s="98" t="str">
        <f ca="1"/>
        <v>#Error: Unrecognised object type from #ERROR</v>
      </c>
      <c r="N90" s="98" t="str">
        <f ca="1"/>
        <v>#Error: Unrecognised object type from #ERROR</v>
      </c>
      <c r="O90" s="98" t="str">
        <f ca="1"/>
        <v>#Error: Unrecognised object type from #ERROR</v>
      </c>
      <c r="P90" s="116" t="str">
        <f ca="1"/>
        <v>#Error: Unrecognised object type from #ERROR</v>
      </c>
      <c r="Q90" s="98" t="str">
        <f ca="1"/>
        <v>#Error: Unrecognised object type from #ERROR</v>
      </c>
      <c r="R90" s="98" t="str">
        <f ca="1"/>
        <v>#Error: Unrecognised object type from #ERROR</v>
      </c>
      <c r="S90" s="98" t="str">
        <f ca="1"/>
        <v>#Error: Unrecognised object type from #ERROR</v>
      </c>
      <c r="T90" s="98" t="str">
        <f ca="1"/>
        <v>#Error: Unrecognised object type from #ERROR</v>
      </c>
      <c r="V90" s="118" t="e">
        <f t="shared" ca="1" si="16"/>
        <v>#VALUE!</v>
      </c>
    </row>
    <row r="91" spans="12:22" x14ac:dyDescent="0.25">
      <c r="L91" s="98" t="str">
        <f ca="1"/>
        <v>#Error: Unrecognised object type from #ERROR</v>
      </c>
      <c r="M91" s="98" t="str">
        <f ca="1"/>
        <v>#Error: Unrecognised object type from #ERROR</v>
      </c>
      <c r="N91" s="98" t="str">
        <f ca="1"/>
        <v>#Error: Unrecognised object type from #ERROR</v>
      </c>
      <c r="O91" s="98" t="str">
        <f ca="1"/>
        <v>#Error: Unrecognised object type from #ERROR</v>
      </c>
      <c r="P91" s="116" t="str">
        <f ca="1"/>
        <v>#Error: Unrecognised object type from #ERROR</v>
      </c>
      <c r="Q91" s="98" t="str">
        <f ca="1"/>
        <v>#Error: Unrecognised object type from #ERROR</v>
      </c>
      <c r="R91" s="98" t="str">
        <f ca="1"/>
        <v>#Error: Unrecognised object type from #ERROR</v>
      </c>
      <c r="S91" s="98" t="str">
        <f ca="1"/>
        <v>#Error: Unrecognised object type from #ERROR</v>
      </c>
      <c r="T91" s="98" t="str">
        <f ca="1"/>
        <v>#Error: Unrecognised object type from #ERROR</v>
      </c>
      <c r="V91" s="118" t="e">
        <f t="shared" ca="1" si="16"/>
        <v>#VALUE!</v>
      </c>
    </row>
    <row r="92" spans="12:22" x14ac:dyDescent="0.25">
      <c r="L92" s="98" t="str">
        <f ca="1"/>
        <v>#Error: Unrecognised object type from #ERROR</v>
      </c>
      <c r="M92" s="98" t="str">
        <f ca="1"/>
        <v>#Error: Unrecognised object type from #ERROR</v>
      </c>
      <c r="N92" s="98" t="str">
        <f ca="1"/>
        <v>#Error: Unrecognised object type from #ERROR</v>
      </c>
      <c r="O92" s="98" t="str">
        <f ca="1"/>
        <v>#Error: Unrecognised object type from #ERROR</v>
      </c>
      <c r="P92" s="116" t="str">
        <f ca="1"/>
        <v>#Error: Unrecognised object type from #ERROR</v>
      </c>
      <c r="Q92" s="98" t="str">
        <f ca="1"/>
        <v>#Error: Unrecognised object type from #ERROR</v>
      </c>
      <c r="R92" s="98" t="str">
        <f ca="1"/>
        <v>#Error: Unrecognised object type from #ERROR</v>
      </c>
      <c r="S92" s="98" t="str">
        <f ca="1"/>
        <v>#Error: Unrecognised object type from #ERROR</v>
      </c>
      <c r="T92" s="98" t="str">
        <f ca="1"/>
        <v>#Error: Unrecognised object type from #ERROR</v>
      </c>
      <c r="V92" s="118" t="e">
        <f t="shared" ca="1" si="16"/>
        <v>#VALUE!</v>
      </c>
    </row>
    <row r="93" spans="12:22" x14ac:dyDescent="0.25">
      <c r="L93" s="98" t="str">
        <f ca="1"/>
        <v>#Error: Unrecognised object type from #ERROR</v>
      </c>
      <c r="M93" s="98" t="str">
        <f ca="1"/>
        <v>#Error: Unrecognised object type from #ERROR</v>
      </c>
      <c r="N93" s="98" t="str">
        <f ca="1"/>
        <v>#Error: Unrecognised object type from #ERROR</v>
      </c>
      <c r="O93" s="98" t="str">
        <f ca="1"/>
        <v>#Error: Unrecognised object type from #ERROR</v>
      </c>
      <c r="P93" s="116" t="str">
        <f ca="1"/>
        <v>#Error: Unrecognised object type from #ERROR</v>
      </c>
      <c r="Q93" s="98" t="str">
        <f ca="1"/>
        <v>#Error: Unrecognised object type from #ERROR</v>
      </c>
      <c r="R93" s="98" t="str">
        <f ca="1"/>
        <v>#Error: Unrecognised object type from #ERROR</v>
      </c>
      <c r="S93" s="98" t="str">
        <f ca="1"/>
        <v>#Error: Unrecognised object type from #ERROR</v>
      </c>
      <c r="T93" s="98" t="str">
        <f ca="1"/>
        <v>#Error: Unrecognised object type from #ERROR</v>
      </c>
      <c r="V93" s="118" t="e">
        <f t="shared" ca="1" si="16"/>
        <v>#VALUE!</v>
      </c>
    </row>
    <row r="94" spans="12:22" x14ac:dyDescent="0.25">
      <c r="L94" s="98" t="str">
        <f ca="1"/>
        <v>#Error: Unrecognised object type from #ERROR</v>
      </c>
      <c r="M94" s="98" t="str">
        <f ca="1"/>
        <v>#Error: Unrecognised object type from #ERROR</v>
      </c>
      <c r="N94" s="98" t="str">
        <f ca="1"/>
        <v>#Error: Unrecognised object type from #ERROR</v>
      </c>
      <c r="O94" s="98" t="str">
        <f ca="1"/>
        <v>#Error: Unrecognised object type from #ERROR</v>
      </c>
      <c r="P94" s="98" t="str">
        <f ca="1"/>
        <v>#Error: Unrecognised object type from #ERROR</v>
      </c>
      <c r="Q94" s="98" t="str">
        <f ca="1"/>
        <v>#Error: Unrecognised object type from #ERROR</v>
      </c>
      <c r="R94" s="98" t="str">
        <f ca="1"/>
        <v>#Error: Unrecognised object type from #ERROR</v>
      </c>
      <c r="S94" s="98" t="str">
        <f ca="1"/>
        <v>#Error: Unrecognised object type from #ERROR</v>
      </c>
      <c r="T94" s="98" t="str">
        <f ca="1"/>
        <v>#Error: Unrecognised object type from #ERROR</v>
      </c>
      <c r="V94" s="90"/>
    </row>
    <row r="95" spans="12:22" x14ac:dyDescent="0.25">
      <c r="L95" s="98" t="str">
        <f ca="1"/>
        <v>#Error: Unrecognised object type from #ERROR</v>
      </c>
      <c r="M95" s="98" t="str">
        <f ca="1"/>
        <v>#Error: Unrecognised object type from #ERROR</v>
      </c>
      <c r="N95" s="98" t="str">
        <f ca="1"/>
        <v>#Error: Unrecognised object type from #ERROR</v>
      </c>
      <c r="O95" s="98" t="str">
        <f ca="1"/>
        <v>#Error: Unrecognised object type from #ERROR</v>
      </c>
      <c r="P95" s="98" t="str">
        <f ca="1"/>
        <v>#Error: Unrecognised object type from #ERROR</v>
      </c>
      <c r="Q95" s="98" t="str">
        <f ca="1"/>
        <v>#Error: Unrecognised object type from #ERROR</v>
      </c>
      <c r="R95" s="98" t="str">
        <f ca="1"/>
        <v>#Error: Unrecognised object type from #ERROR</v>
      </c>
      <c r="S95" s="98" t="str">
        <f ca="1"/>
        <v>#Error: Unrecognised object type from #ERROR</v>
      </c>
      <c r="T95" s="98" t="str">
        <f ca="1"/>
        <v>#Error: Unrecognised object type from #ERROR</v>
      </c>
      <c r="V95" s="117" t="s">
        <v>107</v>
      </c>
    </row>
    <row r="96" spans="12:22" x14ac:dyDescent="0.25">
      <c r="L96" s="98" t="str">
        <f ca="1"/>
        <v>#Error: Unrecognised object type from #ERROR</v>
      </c>
      <c r="M96" s="98" t="str">
        <f ca="1"/>
        <v>#Error: Unrecognised object type from #ERROR</v>
      </c>
      <c r="N96" s="98" t="str">
        <f ca="1"/>
        <v>#Error: Unrecognised object type from #ERROR</v>
      </c>
      <c r="O96" s="98" t="str">
        <f ca="1"/>
        <v>#Error: Unrecognised object type from #ERROR</v>
      </c>
      <c r="P96" s="116" t="str">
        <f ca="1"/>
        <v>#Error: Unrecognised object type from #ERROR</v>
      </c>
      <c r="Q96" s="98" t="str">
        <f ca="1"/>
        <v>#Error: Unrecognised object type from #ERROR</v>
      </c>
      <c r="R96" s="98" t="str">
        <f ca="1"/>
        <v>#Error: Unrecognised object type from #ERROR</v>
      </c>
      <c r="S96" s="98" t="str">
        <f ca="1"/>
        <v>#Error: Unrecognised object type from #ERROR</v>
      </c>
      <c r="T96" s="98" t="str">
        <f ca="1"/>
        <v>#Error: Unrecognised object type from #ERROR</v>
      </c>
      <c r="V96" s="118" t="e">
        <f t="shared" ref="V96:V109" ca="1" si="17">P96-P42</f>
        <v>#VALUE!</v>
      </c>
    </row>
    <row r="97" spans="12:22" x14ac:dyDescent="0.25">
      <c r="L97" s="98" t="str">
        <f ca="1"/>
        <v>#Error: Unrecognised object type from #ERROR</v>
      </c>
      <c r="M97" s="98" t="str">
        <f ca="1"/>
        <v>#Error: Unrecognised object type from #ERROR</v>
      </c>
      <c r="N97" s="98" t="str">
        <f ca="1"/>
        <v>#Error: Unrecognised object type from #ERROR</v>
      </c>
      <c r="O97" s="98" t="str">
        <f ca="1"/>
        <v>#Error: Unrecognised object type from #ERROR</v>
      </c>
      <c r="P97" s="116" t="str">
        <f ca="1"/>
        <v>#Error: Unrecognised object type from #ERROR</v>
      </c>
      <c r="Q97" s="98" t="str">
        <f ca="1"/>
        <v>#Error: Unrecognised object type from #ERROR</v>
      </c>
      <c r="R97" s="98" t="str">
        <f ca="1"/>
        <v>#Error: Unrecognised object type from #ERROR</v>
      </c>
      <c r="S97" s="98" t="str">
        <f ca="1"/>
        <v>#Error: Unrecognised object type from #ERROR</v>
      </c>
      <c r="T97" s="98" t="str">
        <f ca="1"/>
        <v>#Error: Unrecognised object type from #ERROR</v>
      </c>
      <c r="V97" s="118" t="e">
        <f t="shared" ca="1" si="17"/>
        <v>#VALUE!</v>
      </c>
    </row>
    <row r="98" spans="12:22" x14ac:dyDescent="0.25">
      <c r="L98" s="98" t="str">
        <f ca="1"/>
        <v>#Error: Unrecognised object type from #ERROR</v>
      </c>
      <c r="M98" s="98" t="str">
        <f ca="1"/>
        <v>#Error: Unrecognised object type from #ERROR</v>
      </c>
      <c r="N98" s="98" t="str">
        <f ca="1"/>
        <v>#Error: Unrecognised object type from #ERROR</v>
      </c>
      <c r="O98" s="98" t="str">
        <f ca="1"/>
        <v>#Error: Unrecognised object type from #ERROR</v>
      </c>
      <c r="P98" s="116" t="str">
        <f ca="1"/>
        <v>#Error: Unrecognised object type from #ERROR</v>
      </c>
      <c r="Q98" s="98" t="str">
        <f ca="1"/>
        <v>#Error: Unrecognised object type from #ERROR</v>
      </c>
      <c r="R98" s="98" t="str">
        <f ca="1"/>
        <v>#Error: Unrecognised object type from #ERROR</v>
      </c>
      <c r="S98" s="98" t="str">
        <f ca="1"/>
        <v>#Error: Unrecognised object type from #ERROR</v>
      </c>
      <c r="T98" s="98" t="str">
        <f ca="1"/>
        <v>#Error: Unrecognised object type from #ERROR</v>
      </c>
      <c r="V98" s="118" t="e">
        <f t="shared" ca="1" si="17"/>
        <v>#VALUE!</v>
      </c>
    </row>
    <row r="99" spans="12:22" x14ac:dyDescent="0.25">
      <c r="L99" s="98" t="str">
        <f ca="1"/>
        <v>#Error: Unrecognised object type from #ERROR</v>
      </c>
      <c r="M99" s="98" t="str">
        <f ca="1"/>
        <v>#Error: Unrecognised object type from #ERROR</v>
      </c>
      <c r="N99" s="98" t="str">
        <f ca="1"/>
        <v>#Error: Unrecognised object type from #ERROR</v>
      </c>
      <c r="O99" s="98" t="str">
        <f ca="1"/>
        <v>#Error: Unrecognised object type from #ERROR</v>
      </c>
      <c r="P99" s="116" t="str">
        <f ca="1"/>
        <v>#Error: Unrecognised object type from #ERROR</v>
      </c>
      <c r="Q99" s="98" t="str">
        <f ca="1"/>
        <v>#Error: Unrecognised object type from #ERROR</v>
      </c>
      <c r="R99" s="98" t="str">
        <f ca="1"/>
        <v>#Error: Unrecognised object type from #ERROR</v>
      </c>
      <c r="S99" s="98" t="str">
        <f ca="1"/>
        <v>#Error: Unrecognised object type from #ERROR</v>
      </c>
      <c r="T99" s="98" t="str">
        <f ca="1"/>
        <v>#Error: Unrecognised object type from #ERROR</v>
      </c>
      <c r="V99" s="118" t="e">
        <f t="shared" ca="1" si="17"/>
        <v>#VALUE!</v>
      </c>
    </row>
    <row r="100" spans="12:22" x14ac:dyDescent="0.25">
      <c r="L100" s="98" t="str">
        <f ca="1"/>
        <v>#Error: Unrecognised object type from #ERROR</v>
      </c>
      <c r="M100" s="98" t="str">
        <f ca="1"/>
        <v>#Error: Unrecognised object type from #ERROR</v>
      </c>
      <c r="N100" s="98" t="str">
        <f ca="1"/>
        <v>#Error: Unrecognised object type from #ERROR</v>
      </c>
      <c r="O100" s="98" t="str">
        <f ca="1"/>
        <v>#Error: Unrecognised object type from #ERROR</v>
      </c>
      <c r="P100" s="116" t="str">
        <f ca="1"/>
        <v>#Error: Unrecognised object type from #ERROR</v>
      </c>
      <c r="Q100" s="98" t="str">
        <f ca="1"/>
        <v>#Error: Unrecognised object type from #ERROR</v>
      </c>
      <c r="R100" s="98" t="str">
        <f ca="1"/>
        <v>#Error: Unrecognised object type from #ERROR</v>
      </c>
      <c r="S100" s="98" t="str">
        <f ca="1"/>
        <v>#Error: Unrecognised object type from #ERROR</v>
      </c>
      <c r="T100" s="98" t="str">
        <f ca="1"/>
        <v>#Error: Unrecognised object type from #ERROR</v>
      </c>
      <c r="V100" s="118" t="e">
        <f t="shared" ca="1" si="17"/>
        <v>#VALUE!</v>
      </c>
    </row>
    <row r="101" spans="12:22" x14ac:dyDescent="0.25">
      <c r="L101" s="98" t="str">
        <f ca="1"/>
        <v>#Error: Unrecognised object type from #ERROR</v>
      </c>
      <c r="M101" s="98" t="str">
        <f ca="1"/>
        <v>#Error: Unrecognised object type from #ERROR</v>
      </c>
      <c r="N101" s="98" t="str">
        <f ca="1"/>
        <v>#Error: Unrecognised object type from #ERROR</v>
      </c>
      <c r="O101" s="98" t="str">
        <f ca="1"/>
        <v>#Error: Unrecognised object type from #ERROR</v>
      </c>
      <c r="P101" s="116" t="str">
        <f ca="1"/>
        <v>#Error: Unrecognised object type from #ERROR</v>
      </c>
      <c r="Q101" s="98" t="str">
        <f ca="1"/>
        <v>#Error: Unrecognised object type from #ERROR</v>
      </c>
      <c r="R101" s="98" t="str">
        <f ca="1"/>
        <v>#Error: Unrecognised object type from #ERROR</v>
      </c>
      <c r="S101" s="98" t="str">
        <f ca="1"/>
        <v>#Error: Unrecognised object type from #ERROR</v>
      </c>
      <c r="T101" s="98" t="str">
        <f ca="1"/>
        <v>#Error: Unrecognised object type from #ERROR</v>
      </c>
      <c r="V101" s="118" t="e">
        <f t="shared" ca="1" si="17"/>
        <v>#VALUE!</v>
      </c>
    </row>
    <row r="102" spans="12:22" x14ac:dyDescent="0.25">
      <c r="L102" s="98" t="str">
        <f ca="1"/>
        <v>#Error: Unrecognised object type from #ERROR</v>
      </c>
      <c r="M102" s="98" t="str">
        <f ca="1"/>
        <v>#Error: Unrecognised object type from #ERROR</v>
      </c>
      <c r="N102" s="98" t="str">
        <f ca="1"/>
        <v>#Error: Unrecognised object type from #ERROR</v>
      </c>
      <c r="O102" s="98" t="str">
        <f ca="1"/>
        <v>#Error: Unrecognised object type from #ERROR</v>
      </c>
      <c r="P102" s="116" t="str">
        <f ca="1"/>
        <v>#Error: Unrecognised object type from #ERROR</v>
      </c>
      <c r="Q102" s="98" t="str">
        <f ca="1"/>
        <v>#Error: Unrecognised object type from #ERROR</v>
      </c>
      <c r="R102" s="98" t="str">
        <f ca="1"/>
        <v>#Error: Unrecognised object type from #ERROR</v>
      </c>
      <c r="S102" s="98" t="str">
        <f ca="1"/>
        <v>#Error: Unrecognised object type from #ERROR</v>
      </c>
      <c r="T102" s="98" t="str">
        <f ca="1"/>
        <v>#Error: Unrecognised object type from #ERROR</v>
      </c>
      <c r="V102" s="118" t="e">
        <f t="shared" ca="1" si="17"/>
        <v>#VALUE!</v>
      </c>
    </row>
    <row r="103" spans="12:22" x14ac:dyDescent="0.25">
      <c r="L103" s="98" t="str">
        <f ca="1"/>
        <v>#Error: Unrecognised object type from #ERROR</v>
      </c>
      <c r="M103" s="98" t="str">
        <f ca="1"/>
        <v>#Error: Unrecognised object type from #ERROR</v>
      </c>
      <c r="N103" s="98" t="str">
        <f ca="1"/>
        <v>#Error: Unrecognised object type from #ERROR</v>
      </c>
      <c r="O103" s="98" t="str">
        <f ca="1"/>
        <v>#Error: Unrecognised object type from #ERROR</v>
      </c>
      <c r="P103" s="116" t="str">
        <f ca="1"/>
        <v>#Error: Unrecognised object type from #ERROR</v>
      </c>
      <c r="Q103" s="98" t="str">
        <f ca="1"/>
        <v>#Error: Unrecognised object type from #ERROR</v>
      </c>
      <c r="R103" s="98" t="str">
        <f ca="1"/>
        <v>#Error: Unrecognised object type from #ERROR</v>
      </c>
      <c r="S103" s="98" t="str">
        <f ca="1"/>
        <v>#Error: Unrecognised object type from #ERROR</v>
      </c>
      <c r="T103" s="98" t="str">
        <f ca="1"/>
        <v>#Error: Unrecognised object type from #ERROR</v>
      </c>
      <c r="V103" s="118" t="e">
        <f t="shared" ca="1" si="17"/>
        <v>#VALUE!</v>
      </c>
    </row>
    <row r="104" spans="12:22" x14ac:dyDescent="0.25">
      <c r="L104" s="98" t="str">
        <f ca="1"/>
        <v>#Error: Unrecognised object type from #ERROR</v>
      </c>
      <c r="M104" s="98" t="str">
        <f ca="1"/>
        <v>#Error: Unrecognised object type from #ERROR</v>
      </c>
      <c r="N104" s="98" t="str">
        <f ca="1"/>
        <v>#Error: Unrecognised object type from #ERROR</v>
      </c>
      <c r="O104" s="98" t="str">
        <f ca="1"/>
        <v>#Error: Unrecognised object type from #ERROR</v>
      </c>
      <c r="P104" s="116" t="str">
        <f ca="1"/>
        <v>#Error: Unrecognised object type from #ERROR</v>
      </c>
      <c r="Q104" s="98" t="str">
        <f ca="1"/>
        <v>#Error: Unrecognised object type from #ERROR</v>
      </c>
      <c r="R104" s="98" t="str">
        <f ca="1"/>
        <v>#Error: Unrecognised object type from #ERROR</v>
      </c>
      <c r="S104" s="98" t="str">
        <f ca="1"/>
        <v>#Error: Unrecognised object type from #ERROR</v>
      </c>
      <c r="T104" s="98" t="str">
        <f ca="1"/>
        <v>#Error: Unrecognised object type from #ERROR</v>
      </c>
      <c r="V104" s="118" t="e">
        <f t="shared" ca="1" si="17"/>
        <v>#VALUE!</v>
      </c>
    </row>
    <row r="105" spans="12:22" x14ac:dyDescent="0.25">
      <c r="L105" s="98" t="str">
        <f ca="1"/>
        <v>#Error: Unrecognised object type from #ERROR</v>
      </c>
      <c r="M105" s="98" t="str">
        <f ca="1"/>
        <v>#Error: Unrecognised object type from #ERROR</v>
      </c>
      <c r="N105" s="98" t="str">
        <f ca="1"/>
        <v>#Error: Unrecognised object type from #ERROR</v>
      </c>
      <c r="O105" s="98" t="str">
        <f ca="1"/>
        <v>#Error: Unrecognised object type from #ERROR</v>
      </c>
      <c r="P105" s="116" t="str">
        <f ca="1"/>
        <v>#Error: Unrecognised object type from #ERROR</v>
      </c>
      <c r="Q105" s="98" t="str">
        <f ca="1"/>
        <v>#Error: Unrecognised object type from #ERROR</v>
      </c>
      <c r="R105" s="98" t="str">
        <f ca="1"/>
        <v>#Error: Unrecognised object type from #ERROR</v>
      </c>
      <c r="S105" s="98" t="str">
        <f ca="1"/>
        <v>#Error: Unrecognised object type from #ERROR</v>
      </c>
      <c r="T105" s="98" t="str">
        <f ca="1"/>
        <v>#Error: Unrecognised object type from #ERROR</v>
      </c>
      <c r="V105" s="118" t="e">
        <f t="shared" ca="1" si="17"/>
        <v>#VALUE!</v>
      </c>
    </row>
    <row r="106" spans="12:22" x14ac:dyDescent="0.25">
      <c r="L106" s="98" t="str">
        <f ca="1"/>
        <v>#Error: Unrecognised object type from #ERROR</v>
      </c>
      <c r="M106" s="98" t="str">
        <f ca="1"/>
        <v>#Error: Unrecognised object type from #ERROR</v>
      </c>
      <c r="N106" s="98" t="str">
        <f ca="1"/>
        <v>#Error: Unrecognised object type from #ERROR</v>
      </c>
      <c r="O106" s="98" t="str">
        <f ca="1"/>
        <v>#Error: Unrecognised object type from #ERROR</v>
      </c>
      <c r="P106" s="116" t="str">
        <f ca="1"/>
        <v>#Error: Unrecognised object type from #ERROR</v>
      </c>
      <c r="Q106" s="98" t="str">
        <f ca="1"/>
        <v>#Error: Unrecognised object type from #ERROR</v>
      </c>
      <c r="R106" s="98" t="str">
        <f ca="1"/>
        <v>#Error: Unrecognised object type from #ERROR</v>
      </c>
      <c r="S106" s="98" t="str">
        <f ca="1"/>
        <v>#Error: Unrecognised object type from #ERROR</v>
      </c>
      <c r="T106" s="98" t="str">
        <f ca="1"/>
        <v>#Error: Unrecognised object type from #ERROR</v>
      </c>
      <c r="V106" s="118" t="e">
        <f t="shared" ca="1" si="17"/>
        <v>#VALUE!</v>
      </c>
    </row>
    <row r="107" spans="12:22" x14ac:dyDescent="0.25">
      <c r="L107" s="98" t="str">
        <f ca="1"/>
        <v>#Error: Unrecognised object type from #ERROR</v>
      </c>
      <c r="M107" s="98" t="str">
        <f ca="1"/>
        <v>#Error: Unrecognised object type from #ERROR</v>
      </c>
      <c r="N107" s="98" t="str">
        <f ca="1"/>
        <v>#Error: Unrecognised object type from #ERROR</v>
      </c>
      <c r="O107" s="98" t="str">
        <f ca="1"/>
        <v>#Error: Unrecognised object type from #ERROR</v>
      </c>
      <c r="P107" s="116" t="str">
        <f ca="1"/>
        <v>#Error: Unrecognised object type from #ERROR</v>
      </c>
      <c r="Q107" s="98" t="str">
        <f ca="1"/>
        <v>#Error: Unrecognised object type from #ERROR</v>
      </c>
      <c r="R107" s="98" t="str">
        <f ca="1"/>
        <v>#Error: Unrecognised object type from #ERROR</v>
      </c>
      <c r="S107" s="98" t="str">
        <f ca="1"/>
        <v>#Error: Unrecognised object type from #ERROR</v>
      </c>
      <c r="T107" s="98" t="str">
        <f ca="1"/>
        <v>#Error: Unrecognised object type from #ERROR</v>
      </c>
      <c r="V107" s="118" t="e">
        <f t="shared" ca="1" si="17"/>
        <v>#VALUE!</v>
      </c>
    </row>
    <row r="108" spans="12:22" x14ac:dyDescent="0.25">
      <c r="L108" s="98" t="str">
        <f ca="1"/>
        <v>#Error: Unrecognised object type from #ERROR</v>
      </c>
      <c r="M108" s="98" t="str">
        <f ca="1"/>
        <v>#Error: Unrecognised object type from #ERROR</v>
      </c>
      <c r="N108" s="98" t="str">
        <f ca="1"/>
        <v>#Error: Unrecognised object type from #ERROR</v>
      </c>
      <c r="O108" s="98" t="str">
        <f ca="1"/>
        <v>#Error: Unrecognised object type from #ERROR</v>
      </c>
      <c r="P108" s="116" t="str">
        <f ca="1"/>
        <v>#Error: Unrecognised object type from #ERROR</v>
      </c>
      <c r="Q108" s="98" t="str">
        <f ca="1"/>
        <v>#Error: Unrecognised object type from #ERROR</v>
      </c>
      <c r="R108" s="98" t="str">
        <f ca="1"/>
        <v>#Error: Unrecognised object type from #ERROR</v>
      </c>
      <c r="S108" s="98" t="str">
        <f ca="1"/>
        <v>#Error: Unrecognised object type from #ERROR</v>
      </c>
      <c r="T108" s="98" t="str">
        <f ca="1"/>
        <v>#Error: Unrecognised object type from #ERROR</v>
      </c>
      <c r="V108" s="118" t="e">
        <f t="shared" ca="1" si="17"/>
        <v>#VALUE!</v>
      </c>
    </row>
    <row r="109" spans="12:22" x14ac:dyDescent="0.25">
      <c r="L109" s="98" t="str">
        <f ca="1"/>
        <v>#Error: Unrecognised object type from #ERROR</v>
      </c>
      <c r="M109" s="98" t="str">
        <f ca="1"/>
        <v>#Error: Unrecognised object type from #ERROR</v>
      </c>
      <c r="N109" s="98" t="str">
        <f ca="1"/>
        <v>#Error: Unrecognised object type from #ERROR</v>
      </c>
      <c r="O109" s="98" t="str">
        <f ca="1"/>
        <v>#Error: Unrecognised object type from #ERROR</v>
      </c>
      <c r="P109" s="116" t="str">
        <f ca="1"/>
        <v>#Error: Unrecognised object type from #ERROR</v>
      </c>
      <c r="Q109" s="98" t="str">
        <f ca="1"/>
        <v>#Error: Unrecognised object type from #ERROR</v>
      </c>
      <c r="R109" s="98" t="str">
        <f ca="1"/>
        <v>#Error: Unrecognised object type from #ERROR</v>
      </c>
      <c r="S109" s="98" t="str">
        <f ca="1"/>
        <v>#Error: Unrecognised object type from #ERROR</v>
      </c>
      <c r="T109" s="98" t="str">
        <f ca="1"/>
        <v>#Error: Unrecognised object type from #ERROR</v>
      </c>
      <c r="V109" s="118" t="e">
        <f t="shared" ca="1" si="17"/>
        <v>#VALUE!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CURVE_GENERATOR</vt:lpstr>
      <vt:lpstr>USD_ARR_CURVE</vt:lpstr>
      <vt:lpstr>APPLY_FLAT_SHIFT</vt:lpstr>
      <vt:lpstr>JACOBIAN_RESULTS</vt:lpstr>
      <vt:lpstr>NO_BUMP</vt:lpstr>
      <vt:lpstr>BUMP</vt:lpstr>
      <vt:lpstr>BUMP_RESULTS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2019-08-14T10:31:48Z</dcterms:created>
  <dcterms:modified xsi:type="dcterms:W3CDTF">2019-08-15T09:50:36Z</dcterms:modified>
</cp:coreProperties>
</file>