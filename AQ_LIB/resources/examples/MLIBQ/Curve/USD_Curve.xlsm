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50" windowWidth="20700" windowHeight="11700" tabRatio="703" activeTab="2"/>
  </bookViews>
  <sheets>
    <sheet name="USD OIS" sheetId="9" r:id="rId1"/>
    <sheet name="USD SWAP 3ML" sheetId="10" r:id="rId2"/>
    <sheet name="USD Forwards" sheetId="19" r:id="rId3"/>
  </sheets>
  <functionGroups builtInGroupCount="17"/>
  <definedNames>
    <definedName name="COB">'USD OIS'!$D$20</definedName>
    <definedName name="Curve.BuildProperties">#REF!</definedName>
    <definedName name="Curve.CollectionName">#REF!</definedName>
    <definedName name="Curve.MarketDataTable">#REF!</definedName>
    <definedName name="Curve.OISIndexName">#REF!</definedName>
    <definedName name="CurveBuildProperties" localSheetId="0">'USD OIS'!$C$20:$D$24</definedName>
    <definedName name="CurveBuildProperties" localSheetId="1">'USD SWAP 3ML'!$C$22:$D$31</definedName>
    <definedName name="CurveCollection" localSheetId="0">'USD OIS'!$D$11</definedName>
    <definedName name="CurveCollection" localSheetId="1">'USD SWAP 3ML'!$D$13</definedName>
    <definedName name="ForwardCurves.CurveID" localSheetId="2">#REF!</definedName>
    <definedName name="ForwardCurves.CurveID">#REF!</definedName>
    <definedName name="ForwardCurves.Interpolation" localSheetId="2">#REF!</definedName>
    <definedName name="ForwardCurves.Interpolation">#REF!</definedName>
    <definedName name="ForwardCurves.Periodicity" localSheetId="2">#REF!</definedName>
    <definedName name="ForwardCurves.Periodicity">#REF!</definedName>
    <definedName name="Forwards.EUR1ML" localSheetId="2">#REF!</definedName>
    <definedName name="Forwards.EUR1ML">#REF!</definedName>
    <definedName name="Forwards.OIS" localSheetId="2">#REF!</definedName>
    <definedName name="Forwards.OIS">#REF!</definedName>
    <definedName name="Forwards.StartDate" localSheetId="2">#REF!</definedName>
    <definedName name="Forwards.StartDate">#REF!</definedName>
    <definedName name="FRA.Conventions">#REF!</definedName>
    <definedName name="FRA.MarketDataX3">#REF!</definedName>
    <definedName name="FRA.MarketDataX6">#REF!</definedName>
    <definedName name="FRAConventions" localSheetId="1">'USD SWAP 3ML'!$C$51:$D$64</definedName>
    <definedName name="FRAMarketData3M" localSheetId="1">'USD SWAP 3ML'!$F$52:$G$64</definedName>
    <definedName name="FRAMarketData6M" localSheetId="1">'USD SWAP 3ML'!$I$52:$J$64</definedName>
    <definedName name="Futures.Conventions">#REF!</definedName>
    <definedName name="Futures.MarketData">#REF!</definedName>
    <definedName name="FuturesConventions" localSheetId="1">'USD SWAP 3ML'!$C$72:$D$85</definedName>
    <definedName name="FuturesMarketData" localSheetId="1">'USD SWAP 3ML'!$F$73:$J$85</definedName>
    <definedName name="IndexName" localSheetId="0">'USD OIS'!$D$13</definedName>
    <definedName name="IndexName" localSheetId="1">'USD SWAP 3ML'!$D$15</definedName>
    <definedName name="isEUR3MLLoaded">#REF!</definedName>
    <definedName name="isEUR6MLLoaded">#REF!</definedName>
    <definedName name="isEURGBPLoaded">#REF!</definedName>
    <definedName name="isEUROISLoaded">#REF!</definedName>
    <definedName name="isEURXCCYLoaded">#REF!</definedName>
    <definedName name="isGBP3MLLoaded">#REF!</definedName>
    <definedName name="isGBP6MLLoaded">#REF!</definedName>
    <definedName name="isGBPOISLoaded">#REF!</definedName>
    <definedName name="isGBPXCCYLoaded">#REF!</definedName>
    <definedName name="isUSD3MLLoaded">'USD SWAP 3ML'!$D$9</definedName>
    <definedName name="isUSDOISLoaded">'USD OIS'!$D$8</definedName>
    <definedName name="Libor.Conventions">#REF!</definedName>
    <definedName name="Libor.MarketData">#REF!</definedName>
    <definedName name="LiborConventions" localSheetId="1">'USD SWAP 3ML'!$F$38:$G$43</definedName>
    <definedName name="LiborMarketData" localSheetId="1">'USD SWAP 3ML'!$I$39:$J$43</definedName>
    <definedName name="LiborOISBasis.Conventions">#REF!</definedName>
    <definedName name="LiborOISBasis.MarketData">#REF!</definedName>
    <definedName name="LiborSwap.Conventions" localSheetId="0">'USD OIS'!$I$64:$J$89</definedName>
    <definedName name="LiborSwap.Conventions">#REF!</definedName>
    <definedName name="LiborSwap.MarketData" localSheetId="0">'USD OIS'!$L$65:$M$89</definedName>
    <definedName name="LiborSwap.MarketData">#REF!</definedName>
    <definedName name="MoneyMarket.Conventions">#REF!</definedName>
    <definedName name="MoneyMarketConventions" localSheetId="1">'USD SWAP 3ML'!$C$38:$D$43</definedName>
    <definedName name="OIS.Conventions">#REF!</definedName>
    <definedName name="OIS.FixingTable">#REF!</definedName>
    <definedName name="OIS.MarketData">#REF!</definedName>
    <definedName name="OISBasis.Conventions" localSheetId="0">'USD OIS'!$C$64:$D$89</definedName>
    <definedName name="OISBasis.Spreads" localSheetId="0">'USD OIS'!$F$65:$G$89</definedName>
    <definedName name="OISConventions" localSheetId="0">'USD OIS'!$C$31:$D$57</definedName>
    <definedName name="OISFixingTable" localSheetId="0">'USD OIS'!$L$32:$M$57</definedName>
    <definedName name="OISMarketData" localSheetId="0">'USD OIS'!$F$32:$J$57</definedName>
    <definedName name="StaticDataTable" localSheetId="0">'USD OIS'!$D$12</definedName>
    <definedName name="StaticDataTable" localSheetId="1">'USD SWAP 3ML'!$D$14</definedName>
    <definedName name="STDCurve.Buildproperties">#REF!</definedName>
    <definedName name="STDCurve.CollectionName">#REF!</definedName>
    <definedName name="STDCurve.IndexName">#REF!</definedName>
    <definedName name="STDCurve.StaticDataTable">#REF!</definedName>
    <definedName name="Swap.Conventions">#REF!</definedName>
    <definedName name="Swap.MarketData">#REF!</definedName>
    <definedName name="SwapConventions" localSheetId="1">'USD SWAP 3ML'!$C$93:$D$111</definedName>
    <definedName name="SwapMarketData" localSheetId="1">'USD SWAP 3ML'!$F$94:$H$111</definedName>
    <definedName name="TenorBasisCurve3M6M.BuildProperties">#REF!</definedName>
    <definedName name="TenorBasisCurve3M6M.CollectionName">#REF!</definedName>
    <definedName name="TenorBasisCurve3M6M.IndexName">#REF!</definedName>
    <definedName name="TenorBasisCurve3M6M.StaticDataTable">#REF!</definedName>
    <definedName name="TenorBasisSwap3M6M.Conventions">#REF!</definedName>
    <definedName name="TenorBasisSwap3M6M.MarketData">#REF!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D10" i="19" l="1"/>
  <c r="C10" i="19"/>
  <c r="B11" i="19"/>
  <c r="B12" i="19" s="1"/>
  <c r="B13" i="19" s="1"/>
  <c r="B14" i="19" s="1"/>
  <c r="B15" i="19" s="1"/>
  <c r="B16" i="19" s="1"/>
  <c r="B17" i="19" s="1"/>
  <c r="B18" i="19" s="1"/>
  <c r="B19" i="19" s="1"/>
  <c r="B20" i="19" s="1"/>
  <c r="B21" i="19" s="1"/>
  <c r="B22" i="19" s="1"/>
  <c r="B23" i="19" s="1"/>
  <c r="B24" i="19" s="1"/>
  <c r="B25" i="19" s="1"/>
  <c r="B26" i="19" s="1"/>
  <c r="B27" i="19" s="1"/>
  <c r="B28" i="19" s="1"/>
  <c r="B29" i="19" s="1"/>
  <c r="B30" i="19" s="1"/>
  <c r="B31" i="19" s="1"/>
  <c r="B32" i="19" s="1"/>
  <c r="B33" i="19" s="1"/>
  <c r="B34" i="19" s="1"/>
  <c r="B35" i="19" s="1"/>
  <c r="B36" i="19" s="1"/>
  <c r="B37" i="19" s="1"/>
  <c r="B38" i="19" s="1"/>
  <c r="B39" i="19" s="1"/>
  <c r="B40" i="19" s="1"/>
  <c r="B41" i="19" s="1"/>
  <c r="B42" i="19" s="1"/>
  <c r="B43" i="19" s="1"/>
  <c r="B44" i="19" s="1"/>
  <c r="B45" i="19" s="1"/>
  <c r="B46" i="19" s="1"/>
  <c r="B47" i="19" s="1"/>
  <c r="B48" i="19" s="1"/>
  <c r="B49" i="19" s="1"/>
  <c r="B50" i="19" s="1"/>
  <c r="B51" i="19" s="1"/>
  <c r="B52" i="19" s="1"/>
  <c r="B53" i="19" s="1"/>
  <c r="B54" i="19" s="1"/>
  <c r="B55" i="19" s="1"/>
  <c r="B56" i="19" s="1"/>
  <c r="B57" i="19" s="1"/>
  <c r="B58" i="19" s="1"/>
  <c r="B59" i="19" s="1"/>
  <c r="B60" i="19" s="1"/>
  <c r="B61" i="19" s="1"/>
  <c r="B62" i="19" s="1"/>
  <c r="B63" i="19" s="1"/>
  <c r="B64" i="19" s="1"/>
  <c r="B65" i="19" s="1"/>
  <c r="B66" i="19" s="1"/>
  <c r="B67" i="19" s="1"/>
  <c r="B68" i="19" s="1"/>
  <c r="B69" i="19" s="1"/>
  <c r="B70" i="19" s="1"/>
  <c r="B71" i="19" s="1"/>
  <c r="B72" i="19" s="1"/>
  <c r="B73" i="19" s="1"/>
  <c r="B74" i="19" s="1"/>
  <c r="B75" i="19" s="1"/>
  <c r="B76" i="19" s="1"/>
  <c r="B77" i="19" s="1"/>
  <c r="B78" i="19" s="1"/>
  <c r="B79" i="19" s="1"/>
  <c r="B80" i="19" s="1"/>
  <c r="B81" i="19" s="1"/>
  <c r="B82" i="19" s="1"/>
  <c r="B83" i="19" s="1"/>
  <c r="B84" i="19" s="1"/>
  <c r="B85" i="19" s="1"/>
  <c r="B86" i="19" s="1"/>
  <c r="B87" i="19" s="1"/>
  <c r="B88" i="19" s="1"/>
  <c r="B89" i="19" s="1"/>
  <c r="B90" i="19" s="1"/>
  <c r="B91" i="19" s="1"/>
  <c r="B92" i="19" s="1"/>
  <c r="B93" i="19" s="1"/>
  <c r="B94" i="19" s="1"/>
  <c r="B95" i="19" s="1"/>
  <c r="B96" i="19" s="1"/>
  <c r="B97" i="19" s="1"/>
  <c r="B98" i="19" s="1"/>
  <c r="B99" i="19" s="1"/>
  <c r="B100" i="19" s="1"/>
  <c r="B101" i="19" s="1"/>
  <c r="B102" i="19" s="1"/>
  <c r="B103" i="19" s="1"/>
  <c r="B104" i="19" s="1"/>
  <c r="B105" i="19" s="1"/>
  <c r="J72" i="10"/>
  <c r="C11" i="19" a="1"/>
  <c r="D11" i="19" a="1"/>
  <c r="C18" i="19" l="1"/>
  <c r="C26" i="19"/>
  <c r="C34" i="19"/>
  <c r="C42" i="19"/>
  <c r="C50" i="19"/>
  <c r="C58" i="19"/>
  <c r="C66" i="19"/>
  <c r="C74" i="19"/>
  <c r="C82" i="19"/>
  <c r="C90" i="19"/>
  <c r="C98" i="19"/>
  <c r="C13" i="19"/>
  <c r="C21" i="19"/>
  <c r="C29" i="19"/>
  <c r="C37" i="19"/>
  <c r="C45" i="19"/>
  <c r="C53" i="19"/>
  <c r="C61" i="19"/>
  <c r="C11" i="19"/>
  <c r="C19" i="19"/>
  <c r="C27" i="19"/>
  <c r="C35" i="19"/>
  <c r="C43" i="19"/>
  <c r="C51" i="19"/>
  <c r="C59" i="19"/>
  <c r="C67" i="19"/>
  <c r="C75" i="19"/>
  <c r="C83" i="19"/>
  <c r="C91" i="19"/>
  <c r="C99" i="19"/>
  <c r="C12" i="19"/>
  <c r="C20" i="19"/>
  <c r="C28" i="19"/>
  <c r="C36" i="19"/>
  <c r="C44" i="19"/>
  <c r="C52" i="19"/>
  <c r="C60" i="19"/>
  <c r="C68" i="19"/>
  <c r="C76" i="19"/>
  <c r="C84" i="19"/>
  <c r="C92" i="19"/>
  <c r="C100" i="19"/>
  <c r="C14" i="19"/>
  <c r="C22" i="19"/>
  <c r="C30" i="19"/>
  <c r="C38" i="19"/>
  <c r="C46" i="19"/>
  <c r="C54" i="19"/>
  <c r="C62" i="19"/>
  <c r="C70" i="19"/>
  <c r="C78" i="19"/>
  <c r="C86" i="19"/>
  <c r="C94" i="19"/>
  <c r="C102" i="19"/>
  <c r="C15" i="19"/>
  <c r="C23" i="19"/>
  <c r="C31" i="19"/>
  <c r="C39" i="19"/>
  <c r="C47" i="19"/>
  <c r="C55" i="19"/>
  <c r="C63" i="19"/>
  <c r="C71" i="19"/>
  <c r="C79" i="19"/>
  <c r="C87" i="19"/>
  <c r="C95" i="19"/>
  <c r="C103" i="19"/>
  <c r="C16" i="19"/>
  <c r="C24" i="19"/>
  <c r="C32" i="19"/>
  <c r="C40" i="19"/>
  <c r="C48" i="19"/>
  <c r="C56" i="19"/>
  <c r="C64" i="19"/>
  <c r="C72" i="19"/>
  <c r="C80" i="19"/>
  <c r="C88" i="19"/>
  <c r="C96" i="19"/>
  <c r="C104" i="19"/>
  <c r="C17" i="19"/>
  <c r="C25" i="19"/>
  <c r="C77" i="19"/>
  <c r="C33" i="19"/>
  <c r="C81" i="19"/>
  <c r="C41" i="19"/>
  <c r="C85" i="19"/>
  <c r="C49" i="19"/>
  <c r="C89" i="19"/>
  <c r="C57" i="19"/>
  <c r="C93" i="19"/>
  <c r="C65" i="19"/>
  <c r="C97" i="19"/>
  <c r="C69" i="19"/>
  <c r="C101" i="19"/>
  <c r="C73" i="19"/>
  <c r="C105" i="19"/>
  <c r="D18" i="19"/>
  <c r="D26" i="19"/>
  <c r="D34" i="19"/>
  <c r="D42" i="19"/>
  <c r="D50" i="19"/>
  <c r="D58" i="19"/>
  <c r="D66" i="19"/>
  <c r="D74" i="19"/>
  <c r="D82" i="19"/>
  <c r="D90" i="19"/>
  <c r="D98" i="19"/>
  <c r="D13" i="19"/>
  <c r="D21" i="19"/>
  <c r="D29" i="19"/>
  <c r="D37" i="19"/>
  <c r="D45" i="19"/>
  <c r="D53" i="19"/>
  <c r="D61" i="19"/>
  <c r="D69" i="19"/>
  <c r="D77" i="19"/>
  <c r="D85" i="19"/>
  <c r="D93" i="19"/>
  <c r="D101" i="19"/>
  <c r="D11" i="19"/>
  <c r="D19" i="19"/>
  <c r="D27" i="19"/>
  <c r="D35" i="19"/>
  <c r="D43" i="19"/>
  <c r="D51" i="19"/>
  <c r="D59" i="19"/>
  <c r="D67" i="19"/>
  <c r="D75" i="19"/>
  <c r="D83" i="19"/>
  <c r="D91" i="19"/>
  <c r="D99" i="19"/>
  <c r="D12" i="19"/>
  <c r="D20" i="19"/>
  <c r="D28" i="19"/>
  <c r="D36" i="19"/>
  <c r="D44" i="19"/>
  <c r="D52" i="19"/>
  <c r="D60" i="19"/>
  <c r="D68" i="19"/>
  <c r="D76" i="19"/>
  <c r="D84" i="19"/>
  <c r="D92" i="19"/>
  <c r="D100" i="19"/>
  <c r="D14" i="19"/>
  <c r="D22" i="19"/>
  <c r="D30" i="19"/>
  <c r="D38" i="19"/>
  <c r="D46" i="19"/>
  <c r="D54" i="19"/>
  <c r="D62" i="19"/>
  <c r="D70" i="19"/>
  <c r="D78" i="19"/>
  <c r="D86" i="19"/>
  <c r="D94" i="19"/>
  <c r="D102" i="19"/>
  <c r="D15" i="19"/>
  <c r="D23" i="19"/>
  <c r="D31" i="19"/>
  <c r="D39" i="19"/>
  <c r="D47" i="19"/>
  <c r="D55" i="19"/>
  <c r="D63" i="19"/>
  <c r="D71" i="19"/>
  <c r="D79" i="19"/>
  <c r="D87" i="19"/>
  <c r="D95" i="19"/>
  <c r="D103" i="19"/>
  <c r="D16" i="19"/>
  <c r="D24" i="19"/>
  <c r="D32" i="19"/>
  <c r="D40" i="19"/>
  <c r="D48" i="19"/>
  <c r="D56" i="19"/>
  <c r="D64" i="19"/>
  <c r="D72" i="19"/>
  <c r="D80" i="19"/>
  <c r="D88" i="19"/>
  <c r="D96" i="19"/>
  <c r="D104" i="19"/>
  <c r="D17" i="19"/>
  <c r="D25" i="19"/>
  <c r="D33" i="19"/>
  <c r="D41" i="19"/>
  <c r="D49" i="19"/>
  <c r="D57" i="19"/>
  <c r="D65" i="19"/>
  <c r="D73" i="19"/>
  <c r="D81" i="19"/>
  <c r="D89" i="19"/>
  <c r="D97" i="19"/>
  <c r="D105" i="19"/>
  <c r="D7" i="9" l="1"/>
  <c r="D8" i="9" l="1"/>
  <c r="D8" i="10"/>
  <c r="D9" i="10" l="1"/>
</calcChain>
</file>

<file path=xl/comments1.xml><?xml version="1.0" encoding="utf-8"?>
<comments xmlns="http://schemas.openxmlformats.org/spreadsheetml/2006/main">
  <authors>
    <author>Nicholas Burgess</author>
  </authors>
  <commentList>
    <comment ref="D43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<sst xmlns="http://schemas.openxmlformats.org/spreadsheetml/2006/main" count="317" uniqueCount="163">
  <si>
    <t>Curve Names</t>
  </si>
  <si>
    <t>Calendar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</si>
  <si>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</si>
  <si>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</si>
  <si>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</si>
  <si>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</si>
  <si>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</si>
  <si>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</si>
  <si>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</si>
  <si>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</si>
  <si>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</si>
  <si>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</si>
  <si>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</si>
  <si>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</si>
  <si>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</si>
  <si>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</si>
  <si>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</si>
  <si>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</si>
  <si>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</si>
  <si>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</si>
  <si>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</si>
  <si>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</si>
  <si>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</si>
  <si>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</si>
  <si>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</si>
  <si>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</si>
  <si>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</si>
  <si>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</si>
  <si>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</si>
  <si>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</si>
  <si>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</si>
  <si>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</si>
  <si>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</si>
  <si>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</si>
  <si>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</si>
  <si>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</si>
  <si>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</si>
  <si>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</si>
  <si>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</si>
  <si>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</si>
  <si>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</si>
  <si>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</si>
  <si>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</si>
  <si>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</si>
  <si>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4Y</t>
  </si>
  <si>
    <t>5Y</t>
  </si>
  <si>
    <t>6Y</t>
  </si>
  <si>
    <t>7Y</t>
  </si>
  <si>
    <t>12M</t>
  </si>
  <si>
    <t>10Y</t>
  </si>
  <si>
    <t>11Y</t>
  </si>
  <si>
    <t>12Y</t>
  </si>
  <si>
    <t>15Y</t>
  </si>
  <si>
    <t>20Y</t>
  </si>
  <si>
    <t>25Y</t>
  </si>
  <si>
    <t>30Y</t>
  </si>
  <si>
    <t>40Y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</si>
  <si>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</si>
  <si>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</si>
  <si>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</si>
  <si>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</si>
  <si>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</si>
  <si>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</si>
  <si>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</si>
  <si>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</si>
  <si>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</si>
  <si>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</si>
  <si>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</si>
  <si>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</si>
  <si>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</si>
  <si>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</si>
  <si>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</si>
  <si>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</si>
  <si>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</si>
  <si>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</si>
  <si>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</si>
  <si>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t>STD</t>
  </si>
  <si>
    <t>interpolation</t>
  </si>
  <si>
    <t>isfutureuse</t>
  </si>
  <si>
    <t>isfrause</t>
  </si>
  <si>
    <t>dfcurvename</t>
  </si>
  <si>
    <t>Cash Instruments</t>
  </si>
  <si>
    <t>DayCount</t>
  </si>
  <si>
    <t>FOLLOWING</t>
  </si>
  <si>
    <t>Resetlag</t>
  </si>
  <si>
    <t>IsEomRoll</t>
  </si>
  <si>
    <t>Libor Conventions</t>
  </si>
  <si>
    <t>6M</t>
  </si>
  <si>
    <t>FRA Instruments</t>
  </si>
  <si>
    <t>FRA Conventions</t>
  </si>
  <si>
    <t>ApplyTension</t>
  </si>
  <si>
    <t>TensionGap</t>
  </si>
  <si>
    <t>Futures Instruments</t>
  </si>
  <si>
    <t>Futures Conventions</t>
  </si>
  <si>
    <t>2</t>
  </si>
  <si>
    <t>Futures Data</t>
  </si>
  <si>
    <t>Swap Instruments</t>
  </si>
  <si>
    <t>Swap Conventions</t>
  </si>
  <si>
    <t>Swap Data</t>
  </si>
  <si>
    <t>DayCountFloat</t>
  </si>
  <si>
    <t>Semi-Annual</t>
  </si>
  <si>
    <t>FrequencyFloat</t>
  </si>
  <si>
    <t>Interpolation</t>
  </si>
  <si>
    <t>IsNewtonraphson</t>
  </si>
  <si>
    <t>issimultaneouseq</t>
  </si>
  <si>
    <t>Epsilon</t>
  </si>
  <si>
    <t>MaxLoop</t>
  </si>
  <si>
    <t>FRA Market Data X3</t>
  </si>
  <si>
    <t>FRA Market Data x6</t>
  </si>
  <si>
    <t>Term / Ticker</t>
  </si>
  <si>
    <t>Act/360</t>
  </si>
  <si>
    <t>3M</t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</si>
  <si>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</si>
  <si>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</si>
  <si>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t>USDYC</t>
  </si>
  <si>
    <t>NYB</t>
  </si>
  <si>
    <t>eomday</t>
  </si>
  <si>
    <t>iseomroll</t>
  </si>
  <si>
    <t>USD</t>
  </si>
  <si>
    <t>OIS:USDOIS:USDDF:USDDF_NOCSA</t>
  </si>
  <si>
    <t>FFJ6</t>
  </si>
  <si>
    <t>FFK6</t>
  </si>
  <si>
    <t>FFM6</t>
  </si>
  <si>
    <t>FFN6</t>
  </si>
  <si>
    <t>FFQ6</t>
  </si>
  <si>
    <t>FFU6</t>
  </si>
  <si>
    <t>FFV6</t>
  </si>
  <si>
    <t>FFX6</t>
  </si>
  <si>
    <t>FFZ7</t>
  </si>
  <si>
    <t>LNB:NYB</t>
  </si>
  <si>
    <t>SEMI-ANNUAL</t>
  </si>
  <si>
    <t>simple</t>
  </si>
  <si>
    <t>ED2 COMB Comdty</t>
  </si>
  <si>
    <t>ED3 COMB Comdty</t>
  </si>
  <si>
    <t>ED4  COMB Comdty</t>
  </si>
  <si>
    <t>ED5  COMB Comdty</t>
  </si>
  <si>
    <t>ED6  COMB Comdty</t>
  </si>
  <si>
    <t>ED7  COMB Comdty</t>
  </si>
  <si>
    <t>ED8  COMB Comdty</t>
  </si>
  <si>
    <t>ED9 COMB Comdty</t>
  </si>
  <si>
    <t>ED10  COMB Comdty</t>
  </si>
  <si>
    <t>ED11  COMB Comdty</t>
  </si>
  <si>
    <t>ED12  COMB Comdty</t>
  </si>
  <si>
    <t>MeanReversion</t>
  </si>
  <si>
    <t>IsTimeInterpolation</t>
  </si>
  <si>
    <t>STD:USD3ML</t>
  </si>
  <si>
    <t>Curve Loaded</t>
  </si>
  <si>
    <t>meCurveCalibrateOIS</t>
  </si>
  <si>
    <t>meCurveCalibrateOIS(CurveCollection,StaticDataTable,IndexName,CurveBuildProperties,OISConventions,OISMarketData,OISFixingTable, OISBasis.Conventions,OISBasis.Spreads,LiborSwap.Conventions,LiborSwap.MarketData)</t>
  </si>
  <si>
    <t>meCurveCalibrateSwap(CurveCollection,StaticDataTable,IndexName,CurveBuildProperties,MoneyMarketConventions,LiborConventions,LiborMarketData,SwapConventions,SwapMarketData,FRAConventions,FRAMarketData3M,FRAMarketData6M,FuturesConventions,FuturesMarketData)</t>
  </si>
  <si>
    <t>meCurveCalibrateSwap</t>
  </si>
  <si>
    <t>CurveIndex</t>
  </si>
  <si>
    <t>USD3ML</t>
  </si>
  <si>
    <t>Libor Fixing Table</t>
  </si>
  <si>
    <t>Money Market O/N and T/N Conventions</t>
  </si>
  <si>
    <t>EomDay</t>
  </si>
  <si>
    <t>UseConvexAdjustment</t>
  </si>
  <si>
    <t>SmoothShortEnd</t>
  </si>
  <si>
    <t>USDOIS</t>
  </si>
  <si>
    <t>FixingDate</t>
  </si>
  <si>
    <t>meForwardRates("FixingDates","CurveCollection","CurveIndex")</t>
  </si>
  <si>
    <t>Periodicity, Days</t>
  </si>
  <si>
    <t>GenerateForwardsFromSwapsOnly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</si>
</sst>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1" formatCode="_-* #,##0_-;\-* #,##0_-;_-* &quot;-&quot;_-;_-@_-"/>
    <numFmt numFmtId="164" formatCode="0.000%"/>
    <numFmt numFmtId="165" formatCode="0.00000%"/>
    <numFmt numFmtId="166" formatCode="#,##0.0000"/>
    <numFmt numFmtId="167" formatCode="ddd\,\ d\-mmm\-yy"/>
    <numFmt numFmtId="168" formatCode="0.0000%"/>
  </numFmts>
  <fonts count="2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12"/>
      <name val="Tahoma"/>
      <family val="2"/>
    </font>
    <font>
      <u/>
      <sz val="12"/>
      <color indexed="39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16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3">
    <xf numFmtId="0" fontId="0" fillId="0" borderId="0"/>
    <xf numFmtId="0" fontId="10" fillId="0" borderId="0">
      <alignment vertical="center"/>
    </xf>
    <xf numFmtId="41" fontId="18" fillId="0" borderId="0" applyFont="0" applyFill="0" applyBorder="0" applyAlignment="0" applyProtection="0"/>
  </cellStyleXfs>
  <cellXfs count="128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left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3" fillId="0" borderId="15" xfId="0" applyFont="1" applyFill="1" applyBorder="1"/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0" fontId="9" fillId="0" borderId="10" xfId="0" applyNumberFormat="1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10" xfId="2" quotePrefix="1" applyNumberFormat="1" applyFont="1" applyFill="1" applyBorder="1" applyAlignment="1">
      <alignment horizontal="center" vertical="center"/>
    </xf>
    <xf numFmtId="165" fontId="9" fillId="0" borderId="9" xfId="1" quotePrefix="1" applyNumberFormat="1" applyFont="1" applyFill="1" applyBorder="1" applyAlignment="1">
      <alignment horizontal="center" vertical="center"/>
    </xf>
    <xf numFmtId="165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6" fontId="9" fillId="0" borderId="12" xfId="1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11" xfId="0" applyFont="1" applyFill="1" applyBorder="1"/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11" fontId="9" fillId="0" borderId="4" xfId="0" applyNumberFormat="1" applyFont="1" applyFill="1" applyBorder="1" applyAlignment="1">
      <alignment horizontal="center" vertical="center"/>
    </xf>
    <xf numFmtId="4" fontId="9" fillId="0" borderId="0" xfId="0" applyNumberFormat="1" applyFont="1" applyFill="1" applyBorder="1" applyAlignment="1">
      <alignment horizontal="center" vertical="center"/>
    </xf>
    <xf numFmtId="0" fontId="0" fillId="2" borderId="0" xfId="0" applyFont="1" applyFill="1" applyBorder="1"/>
    <xf numFmtId="0" fontId="0" fillId="2" borderId="0" xfId="0" applyFont="1" applyFill="1" applyBorder="1" applyAlignment="1">
      <alignment horizontal="center" vertical="center"/>
    </xf>
    <xf numFmtId="0" fontId="0" fillId="0" borderId="0" xfId="0"/>
    <xf numFmtId="0" fontId="6" fillId="0" borderId="4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15" fontId="0" fillId="0" borderId="0" xfId="0" applyNumberFormat="1" applyAlignment="1">
      <alignment horizontal="center" vertical="center"/>
    </xf>
    <xf numFmtId="167" fontId="9" fillId="0" borderId="0" xfId="0" applyNumberFormat="1" applyFont="1" applyAlignment="1">
      <alignment horizontal="center" vertical="center"/>
    </xf>
    <xf numFmtId="168" fontId="9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0" fillId="2" borderId="1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9" fillId="3" borderId="15" xfId="0" applyFont="1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</cellXfs>
  <cellStyles count="3">
    <cellStyle name="Comma [0]" xfId="2" builtinId="6"/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FFFFCC"/>
      <color rgb="FF0066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829812115069777E-2"/>
          <c:y val="2.4692841174045636E-2"/>
          <c:w val="0.88484161014526641"/>
          <c:h val="0.79059401727213474"/>
        </c:manualLayout>
      </c:layout>
      <c:lineChart>
        <c:grouping val="standard"/>
        <c:varyColors val="0"/>
        <c:ser>
          <c:idx val="0"/>
          <c:order val="0"/>
          <c:tx>
            <c:strRef>
              <c:f>'USD Forwards'!$C$10</c:f>
              <c:strCache>
                <c:ptCount val="1"/>
                <c:pt idx="0">
                  <c:v>USDOIS</c:v>
                </c:pt>
              </c:strCache>
            </c:strRef>
          </c:tx>
          <c:marker>
            <c:symbol val="none"/>
          </c:marker>
          <c:cat>
            <c:numRef>
              <c:f>'USD Forwards'!$B$11:$B$105</c:f>
              <c:numCache>
                <c:formatCode>ddd\,\ d\-mmm\-yy</c:formatCode>
                <c:ptCount val="95"/>
                <c:pt idx="0">
                  <c:v>42419</c:v>
                </c:pt>
                <c:pt idx="1">
                  <c:v>42429</c:v>
                </c:pt>
                <c:pt idx="2">
                  <c:v>42439</c:v>
                </c:pt>
                <c:pt idx="3">
                  <c:v>42449</c:v>
                </c:pt>
                <c:pt idx="4">
                  <c:v>42459</c:v>
                </c:pt>
                <c:pt idx="5">
                  <c:v>42469</c:v>
                </c:pt>
                <c:pt idx="6">
                  <c:v>42479</c:v>
                </c:pt>
                <c:pt idx="7">
                  <c:v>42489</c:v>
                </c:pt>
                <c:pt idx="8">
                  <c:v>42499</c:v>
                </c:pt>
                <c:pt idx="9">
                  <c:v>42509</c:v>
                </c:pt>
                <c:pt idx="10">
                  <c:v>42519</c:v>
                </c:pt>
                <c:pt idx="11">
                  <c:v>42529</c:v>
                </c:pt>
                <c:pt idx="12">
                  <c:v>42539</c:v>
                </c:pt>
                <c:pt idx="13">
                  <c:v>42549</c:v>
                </c:pt>
                <c:pt idx="14">
                  <c:v>42559</c:v>
                </c:pt>
                <c:pt idx="15">
                  <c:v>42569</c:v>
                </c:pt>
                <c:pt idx="16">
                  <c:v>42579</c:v>
                </c:pt>
                <c:pt idx="17">
                  <c:v>42589</c:v>
                </c:pt>
                <c:pt idx="18">
                  <c:v>42599</c:v>
                </c:pt>
                <c:pt idx="19">
                  <c:v>42609</c:v>
                </c:pt>
                <c:pt idx="20">
                  <c:v>42619</c:v>
                </c:pt>
                <c:pt idx="21">
                  <c:v>42629</c:v>
                </c:pt>
                <c:pt idx="22">
                  <c:v>42639</c:v>
                </c:pt>
                <c:pt idx="23">
                  <c:v>42649</c:v>
                </c:pt>
                <c:pt idx="24">
                  <c:v>42659</c:v>
                </c:pt>
                <c:pt idx="25">
                  <c:v>42669</c:v>
                </c:pt>
                <c:pt idx="26">
                  <c:v>42679</c:v>
                </c:pt>
                <c:pt idx="27">
                  <c:v>42689</c:v>
                </c:pt>
                <c:pt idx="28">
                  <c:v>42699</c:v>
                </c:pt>
                <c:pt idx="29">
                  <c:v>42709</c:v>
                </c:pt>
                <c:pt idx="30">
                  <c:v>42719</c:v>
                </c:pt>
                <c:pt idx="31">
                  <c:v>42729</c:v>
                </c:pt>
                <c:pt idx="32">
                  <c:v>42739</c:v>
                </c:pt>
                <c:pt idx="33">
                  <c:v>42749</c:v>
                </c:pt>
                <c:pt idx="34">
                  <c:v>42759</c:v>
                </c:pt>
                <c:pt idx="35">
                  <c:v>42769</c:v>
                </c:pt>
                <c:pt idx="36">
                  <c:v>42779</c:v>
                </c:pt>
                <c:pt idx="37">
                  <c:v>42789</c:v>
                </c:pt>
                <c:pt idx="38">
                  <c:v>42799</c:v>
                </c:pt>
                <c:pt idx="39">
                  <c:v>42809</c:v>
                </c:pt>
                <c:pt idx="40">
                  <c:v>42819</c:v>
                </c:pt>
                <c:pt idx="41">
                  <c:v>42829</c:v>
                </c:pt>
                <c:pt idx="42">
                  <c:v>42839</c:v>
                </c:pt>
                <c:pt idx="43">
                  <c:v>42849</c:v>
                </c:pt>
                <c:pt idx="44">
                  <c:v>42859</c:v>
                </c:pt>
                <c:pt idx="45">
                  <c:v>42869</c:v>
                </c:pt>
                <c:pt idx="46">
                  <c:v>42879</c:v>
                </c:pt>
                <c:pt idx="47">
                  <c:v>42889</c:v>
                </c:pt>
                <c:pt idx="48">
                  <c:v>42899</c:v>
                </c:pt>
                <c:pt idx="49">
                  <c:v>42909</c:v>
                </c:pt>
                <c:pt idx="50">
                  <c:v>42919</c:v>
                </c:pt>
                <c:pt idx="51">
                  <c:v>42929</c:v>
                </c:pt>
                <c:pt idx="52">
                  <c:v>42939</c:v>
                </c:pt>
                <c:pt idx="53">
                  <c:v>42949</c:v>
                </c:pt>
                <c:pt idx="54">
                  <c:v>42959</c:v>
                </c:pt>
                <c:pt idx="55">
                  <c:v>42969</c:v>
                </c:pt>
                <c:pt idx="56">
                  <c:v>42979</c:v>
                </c:pt>
                <c:pt idx="57">
                  <c:v>42989</c:v>
                </c:pt>
                <c:pt idx="58">
                  <c:v>42999</c:v>
                </c:pt>
                <c:pt idx="59">
                  <c:v>43009</c:v>
                </c:pt>
                <c:pt idx="60">
                  <c:v>43019</c:v>
                </c:pt>
                <c:pt idx="61">
                  <c:v>43029</c:v>
                </c:pt>
                <c:pt idx="62">
                  <c:v>43039</c:v>
                </c:pt>
                <c:pt idx="63">
                  <c:v>43049</c:v>
                </c:pt>
                <c:pt idx="64">
                  <c:v>43059</c:v>
                </c:pt>
                <c:pt idx="65">
                  <c:v>43069</c:v>
                </c:pt>
                <c:pt idx="66">
                  <c:v>43079</c:v>
                </c:pt>
                <c:pt idx="67">
                  <c:v>43089</c:v>
                </c:pt>
                <c:pt idx="68">
                  <c:v>43099</c:v>
                </c:pt>
                <c:pt idx="69">
                  <c:v>43109</c:v>
                </c:pt>
                <c:pt idx="70">
                  <c:v>43119</c:v>
                </c:pt>
                <c:pt idx="71">
                  <c:v>43129</c:v>
                </c:pt>
                <c:pt idx="72">
                  <c:v>43139</c:v>
                </c:pt>
                <c:pt idx="73">
                  <c:v>43149</c:v>
                </c:pt>
                <c:pt idx="74">
                  <c:v>43159</c:v>
                </c:pt>
                <c:pt idx="75">
                  <c:v>43169</c:v>
                </c:pt>
                <c:pt idx="76">
                  <c:v>43179</c:v>
                </c:pt>
                <c:pt idx="77">
                  <c:v>43189</c:v>
                </c:pt>
                <c:pt idx="78">
                  <c:v>43199</c:v>
                </c:pt>
                <c:pt idx="79">
                  <c:v>43209</c:v>
                </c:pt>
                <c:pt idx="80">
                  <c:v>43219</c:v>
                </c:pt>
                <c:pt idx="81">
                  <c:v>43229</c:v>
                </c:pt>
                <c:pt idx="82">
                  <c:v>43239</c:v>
                </c:pt>
                <c:pt idx="83">
                  <c:v>43249</c:v>
                </c:pt>
                <c:pt idx="84">
                  <c:v>43259</c:v>
                </c:pt>
                <c:pt idx="85">
                  <c:v>43269</c:v>
                </c:pt>
                <c:pt idx="86">
                  <c:v>43279</c:v>
                </c:pt>
                <c:pt idx="87">
                  <c:v>43289</c:v>
                </c:pt>
                <c:pt idx="88">
                  <c:v>43299</c:v>
                </c:pt>
                <c:pt idx="89">
                  <c:v>43309</c:v>
                </c:pt>
                <c:pt idx="90">
                  <c:v>43319</c:v>
                </c:pt>
                <c:pt idx="91">
                  <c:v>43329</c:v>
                </c:pt>
                <c:pt idx="92">
                  <c:v>43339</c:v>
                </c:pt>
                <c:pt idx="93">
                  <c:v>43349</c:v>
                </c:pt>
                <c:pt idx="94">
                  <c:v>43359</c:v>
                </c:pt>
              </c:numCache>
            </c:numRef>
          </c:cat>
          <c:val>
            <c:numRef>
              <c:f>'USD Forwards'!$C$11:$C$105</c:f>
              <c:numCache>
                <c:formatCode>0.0000%</c:formatCode>
                <c:ptCount val="95"/>
                <c:pt idx="0">
                  <c:v>3.7067684619342955E-3</c:v>
                </c:pt>
                <c:pt idx="1">
                  <c:v>3.7068343658062108E-3</c:v>
                </c:pt>
                <c:pt idx="2">
                  <c:v>3.7068343657260527E-3</c:v>
                </c:pt>
                <c:pt idx="3">
                  <c:v>3.7068015544754473E-3</c:v>
                </c:pt>
                <c:pt idx="4">
                  <c:v>3.7068343657260527E-3</c:v>
                </c:pt>
                <c:pt idx="5">
                  <c:v>3.7067854843388925E-3</c:v>
                </c:pt>
                <c:pt idx="6">
                  <c:v>3.7068343657260527E-3</c:v>
                </c:pt>
                <c:pt idx="7">
                  <c:v>3.7068015552776945E-3</c:v>
                </c:pt>
                <c:pt idx="8">
                  <c:v>3.7068343657260527E-3</c:v>
                </c:pt>
                <c:pt idx="9">
                  <c:v>3.7068343657260527E-3</c:v>
                </c:pt>
                <c:pt idx="10">
                  <c:v>3.7067621554145447E-3</c:v>
                </c:pt>
                <c:pt idx="11">
                  <c:v>3.7068343657260527E-3</c:v>
                </c:pt>
                <c:pt idx="12">
                  <c:v>3.7067855502088687E-3</c:v>
                </c:pt>
                <c:pt idx="13">
                  <c:v>3.7068343657260527E-3</c:v>
                </c:pt>
                <c:pt idx="14">
                  <c:v>3.9073195257619542E-3</c:v>
                </c:pt>
                <c:pt idx="15">
                  <c:v>3.9075936887373874E-3</c:v>
                </c:pt>
                <c:pt idx="16">
                  <c:v>3.9075936888175455E-3</c:v>
                </c:pt>
                <c:pt idx="17">
                  <c:v>4.4099062767875008E-3</c:v>
                </c:pt>
                <c:pt idx="18">
                  <c:v>4.4096672057529762E-3</c:v>
                </c:pt>
                <c:pt idx="19">
                  <c:v>4.4107727197633118E-3</c:v>
                </c:pt>
                <c:pt idx="20">
                  <c:v>4.8617474584309317E-3</c:v>
                </c:pt>
                <c:pt idx="21">
                  <c:v>4.8616907964751377E-3</c:v>
                </c:pt>
                <c:pt idx="22">
                  <c:v>4.8617474584309317E-3</c:v>
                </c:pt>
                <c:pt idx="23">
                  <c:v>5.1632470178089029E-3</c:v>
                </c:pt>
                <c:pt idx="24">
                  <c:v>5.1631835924303981E-3</c:v>
                </c:pt>
                <c:pt idx="25">
                  <c:v>5.1632470178895051E-3</c:v>
                </c:pt>
                <c:pt idx="26">
                  <c:v>5.3636677594917082E-3</c:v>
                </c:pt>
                <c:pt idx="27">
                  <c:v>5.3642968395495316E-3</c:v>
                </c:pt>
                <c:pt idx="28">
                  <c:v>5.3655248297947988E-3</c:v>
                </c:pt>
                <c:pt idx="29">
                  <c:v>5.6659467653294993E-3</c:v>
                </c:pt>
                <c:pt idx="30">
                  <c:v>5.6659467653294993E-3</c:v>
                </c:pt>
                <c:pt idx="31">
                  <c:v>5.6657652707985395E-3</c:v>
                </c:pt>
                <c:pt idx="32">
                  <c:v>5.816805572418815E-3</c:v>
                </c:pt>
                <c:pt idx="33">
                  <c:v>5.8166274563091758E-3</c:v>
                </c:pt>
                <c:pt idx="34">
                  <c:v>5.8168055724190371E-3</c:v>
                </c:pt>
                <c:pt idx="35">
                  <c:v>6.1599787022212915E-3</c:v>
                </c:pt>
                <c:pt idx="36">
                  <c:v>6.1688972229323458E-3</c:v>
                </c:pt>
                <c:pt idx="37">
                  <c:v>6.1688972230127259E-3</c:v>
                </c:pt>
                <c:pt idx="38">
                  <c:v>6.2826566767362202E-3</c:v>
                </c:pt>
                <c:pt idx="39">
                  <c:v>6.4719059171509663E-3</c:v>
                </c:pt>
                <c:pt idx="40">
                  <c:v>6.6559448815270983E-3</c:v>
                </c:pt>
                <c:pt idx="41">
                  <c:v>6.8334587231253519E-3</c:v>
                </c:pt>
                <c:pt idx="42">
                  <c:v>7.0031241838597325E-3</c:v>
                </c:pt>
                <c:pt idx="43">
                  <c:v>7.1636158427010876E-3</c:v>
                </c:pt>
                <c:pt idx="44">
                  <c:v>7.3136098224830803E-3</c:v>
                </c:pt>
                <c:pt idx="45">
                  <c:v>7.4517822345754325E-3</c:v>
                </c:pt>
                <c:pt idx="46">
                  <c:v>7.6820900092762212E-3</c:v>
                </c:pt>
                <c:pt idx="47">
                  <c:v>7.9560109725069772E-3</c:v>
                </c:pt>
                <c:pt idx="48">
                  <c:v>8.0759207583536163E-3</c:v>
                </c:pt>
                <c:pt idx="49">
                  <c:v>8.1947471122145732E-3</c:v>
                </c:pt>
                <c:pt idx="50">
                  <c:v>8.312398170252866E-3</c:v>
                </c:pt>
                <c:pt idx="51">
                  <c:v>8.4287887540224204E-3</c:v>
                </c:pt>
                <c:pt idx="52">
                  <c:v>8.5438335361665008E-3</c:v>
                </c:pt>
                <c:pt idx="53">
                  <c:v>8.6574472700233773E-3</c:v>
                </c:pt>
                <c:pt idx="54">
                  <c:v>8.76954454169665E-3</c:v>
                </c:pt>
                <c:pt idx="55">
                  <c:v>8.8800399858137702E-3</c:v>
                </c:pt>
                <c:pt idx="56">
                  <c:v>9.0014990869426992E-3</c:v>
                </c:pt>
                <c:pt idx="57">
                  <c:v>9.1448341380753195E-3</c:v>
                </c:pt>
                <c:pt idx="58">
                  <c:v>9.2744786418372804E-3</c:v>
                </c:pt>
                <c:pt idx="59">
                  <c:v>9.3904146845018577E-3</c:v>
                </c:pt>
                <c:pt idx="60">
                  <c:v>9.4926244318331854E-3</c:v>
                </c:pt>
                <c:pt idx="61">
                  <c:v>9.5810901822375172E-3</c:v>
                </c:pt>
                <c:pt idx="62">
                  <c:v>9.6557944197572798E-3</c:v>
                </c:pt>
                <c:pt idx="63">
                  <c:v>9.7167198683434375E-3</c:v>
                </c:pt>
                <c:pt idx="64">
                  <c:v>9.7638495448924001E-3</c:v>
                </c:pt>
                <c:pt idx="65">
                  <c:v>9.7991597555731058E-3</c:v>
                </c:pt>
                <c:pt idx="66">
                  <c:v>9.8294811262664705E-3</c:v>
                </c:pt>
                <c:pt idx="67">
                  <c:v>9.8553889252319671E-3</c:v>
                </c:pt>
                <c:pt idx="68">
                  <c:v>9.8768780505082976E-3</c:v>
                </c:pt>
                <c:pt idx="69">
                  <c:v>9.8939434257241388E-3</c:v>
                </c:pt>
                <c:pt idx="70">
                  <c:v>9.9065800050732733E-3</c:v>
                </c:pt>
                <c:pt idx="71">
                  <c:v>9.9147827796624011E-3</c:v>
                </c:pt>
                <c:pt idx="72">
                  <c:v>9.9185467826503615E-3</c:v>
                </c:pt>
                <c:pt idx="73">
                  <c:v>9.9178670950326175E-3</c:v>
                </c:pt>
                <c:pt idx="74">
                  <c:v>9.9138624863528424E-3</c:v>
                </c:pt>
                <c:pt idx="75">
                  <c:v>9.9120630878495319E-3</c:v>
                </c:pt>
                <c:pt idx="76">
                  <c:v>9.9132250615152628E-3</c:v>
                </c:pt>
                <c:pt idx="77">
                  <c:v>9.9173516652550919E-3</c:v>
                </c:pt>
                <c:pt idx="78">
                  <c:v>9.9244461871614842E-3</c:v>
                </c:pt>
                <c:pt idx="79">
                  <c:v>9.9345119482725508E-3</c:v>
                </c:pt>
                <c:pt idx="80">
                  <c:v>9.9475523053345061E-3</c:v>
                </c:pt>
                <c:pt idx="81">
                  <c:v>9.9635706533209856E-3</c:v>
                </c:pt>
                <c:pt idx="82">
                  <c:v>9.9825704277909377E-3</c:v>
                </c:pt>
                <c:pt idx="83">
                  <c:v>1.0003864278815167E-2</c:v>
                </c:pt>
                <c:pt idx="84">
                  <c:v>1.0025082326301282E-2</c:v>
                </c:pt>
                <c:pt idx="85">
                  <c:v>1.0046023086865752E-2</c:v>
                </c:pt>
                <c:pt idx="86">
                  <c:v>1.0066686261755775E-2</c:v>
                </c:pt>
                <c:pt idx="87">
                  <c:v>1.0087071550648252E-2</c:v>
                </c:pt>
                <c:pt idx="88">
                  <c:v>1.0107178651244997E-2</c:v>
                </c:pt>
                <c:pt idx="89">
                  <c:v>1.012700726016269E-2</c:v>
                </c:pt>
                <c:pt idx="90">
                  <c:v>1.0146557072125528E-2</c:v>
                </c:pt>
                <c:pt idx="91">
                  <c:v>1.0165827780531655E-2</c:v>
                </c:pt>
                <c:pt idx="92">
                  <c:v>1.0184934778972643E-2</c:v>
                </c:pt>
                <c:pt idx="93">
                  <c:v>1.0204727974951755E-2</c:v>
                </c:pt>
                <c:pt idx="94">
                  <c:v>1.0225380946361717E-2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'USD Forwards'!$D$10</c:f>
              <c:strCache>
                <c:ptCount val="1"/>
                <c:pt idx="0">
                  <c:v>USD3ML</c:v>
                </c:pt>
              </c:strCache>
            </c:strRef>
          </c:tx>
          <c:marker>
            <c:symbol val="none"/>
          </c:marker>
          <c:cat>
            <c:numRef>
              <c:f>'USD Forwards'!$B$11:$B$105</c:f>
              <c:numCache>
                <c:formatCode>ddd\,\ d\-mmm\-yy</c:formatCode>
                <c:ptCount val="95"/>
                <c:pt idx="0">
                  <c:v>42419</c:v>
                </c:pt>
                <c:pt idx="1">
                  <c:v>42429</c:v>
                </c:pt>
                <c:pt idx="2">
                  <c:v>42439</c:v>
                </c:pt>
                <c:pt idx="3">
                  <c:v>42449</c:v>
                </c:pt>
                <c:pt idx="4">
                  <c:v>42459</c:v>
                </c:pt>
                <c:pt idx="5">
                  <c:v>42469</c:v>
                </c:pt>
                <c:pt idx="6">
                  <c:v>42479</c:v>
                </c:pt>
                <c:pt idx="7">
                  <c:v>42489</c:v>
                </c:pt>
                <c:pt idx="8">
                  <c:v>42499</c:v>
                </c:pt>
                <c:pt idx="9">
                  <c:v>42509</c:v>
                </c:pt>
                <c:pt idx="10">
                  <c:v>42519</c:v>
                </c:pt>
                <c:pt idx="11">
                  <c:v>42529</c:v>
                </c:pt>
                <c:pt idx="12">
                  <c:v>42539</c:v>
                </c:pt>
                <c:pt idx="13">
                  <c:v>42549</c:v>
                </c:pt>
                <c:pt idx="14">
                  <c:v>42559</c:v>
                </c:pt>
                <c:pt idx="15">
                  <c:v>42569</c:v>
                </c:pt>
                <c:pt idx="16">
                  <c:v>42579</c:v>
                </c:pt>
                <c:pt idx="17">
                  <c:v>42589</c:v>
                </c:pt>
                <c:pt idx="18">
                  <c:v>42599</c:v>
                </c:pt>
                <c:pt idx="19">
                  <c:v>42609</c:v>
                </c:pt>
                <c:pt idx="20">
                  <c:v>42619</c:v>
                </c:pt>
                <c:pt idx="21">
                  <c:v>42629</c:v>
                </c:pt>
                <c:pt idx="22">
                  <c:v>42639</c:v>
                </c:pt>
                <c:pt idx="23">
                  <c:v>42649</c:v>
                </c:pt>
                <c:pt idx="24">
                  <c:v>42659</c:v>
                </c:pt>
                <c:pt idx="25">
                  <c:v>42669</c:v>
                </c:pt>
                <c:pt idx="26">
                  <c:v>42679</c:v>
                </c:pt>
                <c:pt idx="27">
                  <c:v>42689</c:v>
                </c:pt>
                <c:pt idx="28">
                  <c:v>42699</c:v>
                </c:pt>
                <c:pt idx="29">
                  <c:v>42709</c:v>
                </c:pt>
                <c:pt idx="30">
                  <c:v>42719</c:v>
                </c:pt>
                <c:pt idx="31">
                  <c:v>42729</c:v>
                </c:pt>
                <c:pt idx="32">
                  <c:v>42739</c:v>
                </c:pt>
                <c:pt idx="33">
                  <c:v>42749</c:v>
                </c:pt>
                <c:pt idx="34">
                  <c:v>42759</c:v>
                </c:pt>
                <c:pt idx="35">
                  <c:v>42769</c:v>
                </c:pt>
                <c:pt idx="36">
                  <c:v>42779</c:v>
                </c:pt>
                <c:pt idx="37">
                  <c:v>42789</c:v>
                </c:pt>
                <c:pt idx="38">
                  <c:v>42799</c:v>
                </c:pt>
                <c:pt idx="39">
                  <c:v>42809</c:v>
                </c:pt>
                <c:pt idx="40">
                  <c:v>42819</c:v>
                </c:pt>
                <c:pt idx="41">
                  <c:v>42829</c:v>
                </c:pt>
                <c:pt idx="42">
                  <c:v>42839</c:v>
                </c:pt>
                <c:pt idx="43">
                  <c:v>42849</c:v>
                </c:pt>
                <c:pt idx="44">
                  <c:v>42859</c:v>
                </c:pt>
                <c:pt idx="45">
                  <c:v>42869</c:v>
                </c:pt>
                <c:pt idx="46">
                  <c:v>42879</c:v>
                </c:pt>
                <c:pt idx="47">
                  <c:v>42889</c:v>
                </c:pt>
                <c:pt idx="48">
                  <c:v>42899</c:v>
                </c:pt>
                <c:pt idx="49">
                  <c:v>42909</c:v>
                </c:pt>
                <c:pt idx="50">
                  <c:v>42919</c:v>
                </c:pt>
                <c:pt idx="51">
                  <c:v>42929</c:v>
                </c:pt>
                <c:pt idx="52">
                  <c:v>42939</c:v>
                </c:pt>
                <c:pt idx="53">
                  <c:v>42949</c:v>
                </c:pt>
                <c:pt idx="54">
                  <c:v>42959</c:v>
                </c:pt>
                <c:pt idx="55">
                  <c:v>42969</c:v>
                </c:pt>
                <c:pt idx="56">
                  <c:v>42979</c:v>
                </c:pt>
                <c:pt idx="57">
                  <c:v>42989</c:v>
                </c:pt>
                <c:pt idx="58">
                  <c:v>42999</c:v>
                </c:pt>
                <c:pt idx="59">
                  <c:v>43009</c:v>
                </c:pt>
                <c:pt idx="60">
                  <c:v>43019</c:v>
                </c:pt>
                <c:pt idx="61">
                  <c:v>43029</c:v>
                </c:pt>
                <c:pt idx="62">
                  <c:v>43039</c:v>
                </c:pt>
                <c:pt idx="63">
                  <c:v>43049</c:v>
                </c:pt>
                <c:pt idx="64">
                  <c:v>43059</c:v>
                </c:pt>
                <c:pt idx="65">
                  <c:v>43069</c:v>
                </c:pt>
                <c:pt idx="66">
                  <c:v>43079</c:v>
                </c:pt>
                <c:pt idx="67">
                  <c:v>43089</c:v>
                </c:pt>
                <c:pt idx="68">
                  <c:v>43099</c:v>
                </c:pt>
                <c:pt idx="69">
                  <c:v>43109</c:v>
                </c:pt>
                <c:pt idx="70">
                  <c:v>43119</c:v>
                </c:pt>
                <c:pt idx="71">
                  <c:v>43129</c:v>
                </c:pt>
                <c:pt idx="72">
                  <c:v>43139</c:v>
                </c:pt>
                <c:pt idx="73">
                  <c:v>43149</c:v>
                </c:pt>
                <c:pt idx="74">
                  <c:v>43159</c:v>
                </c:pt>
                <c:pt idx="75">
                  <c:v>43169</c:v>
                </c:pt>
                <c:pt idx="76">
                  <c:v>43179</c:v>
                </c:pt>
                <c:pt idx="77">
                  <c:v>43189</c:v>
                </c:pt>
                <c:pt idx="78">
                  <c:v>43199</c:v>
                </c:pt>
                <c:pt idx="79">
                  <c:v>43209</c:v>
                </c:pt>
                <c:pt idx="80">
                  <c:v>43219</c:v>
                </c:pt>
                <c:pt idx="81">
                  <c:v>43229</c:v>
                </c:pt>
                <c:pt idx="82">
                  <c:v>43239</c:v>
                </c:pt>
                <c:pt idx="83">
                  <c:v>43249</c:v>
                </c:pt>
                <c:pt idx="84">
                  <c:v>43259</c:v>
                </c:pt>
                <c:pt idx="85">
                  <c:v>43269</c:v>
                </c:pt>
                <c:pt idx="86">
                  <c:v>43279</c:v>
                </c:pt>
                <c:pt idx="87">
                  <c:v>43289</c:v>
                </c:pt>
                <c:pt idx="88">
                  <c:v>43299</c:v>
                </c:pt>
                <c:pt idx="89">
                  <c:v>43309</c:v>
                </c:pt>
                <c:pt idx="90">
                  <c:v>43319</c:v>
                </c:pt>
                <c:pt idx="91">
                  <c:v>43329</c:v>
                </c:pt>
                <c:pt idx="92">
                  <c:v>43339</c:v>
                </c:pt>
                <c:pt idx="93">
                  <c:v>43349</c:v>
                </c:pt>
                <c:pt idx="94">
                  <c:v>43359</c:v>
                </c:pt>
              </c:numCache>
            </c:numRef>
          </c:cat>
          <c:val>
            <c:numRef>
              <c:f>'USD Forwards'!$D$11:$D$105</c:f>
              <c:numCache>
                <c:formatCode>0.0000%</c:formatCode>
                <c:ptCount val="95"/>
                <c:pt idx="0">
                  <c:v>6.2074303272633292E-3</c:v>
                </c:pt>
                <c:pt idx="1">
                  <c:v>6.3038545091053805E-3</c:v>
                </c:pt>
                <c:pt idx="2">
                  <c:v>6.4002786909476824E-3</c:v>
                </c:pt>
                <c:pt idx="3">
                  <c:v>6.4967028727899853E-3</c:v>
                </c:pt>
                <c:pt idx="4">
                  <c:v>6.5931270546322864E-3</c:v>
                </c:pt>
                <c:pt idx="5">
                  <c:v>6.6895512364745892E-3</c:v>
                </c:pt>
                <c:pt idx="6">
                  <c:v>6.7859754183168912E-3</c:v>
                </c:pt>
                <c:pt idx="7">
                  <c:v>6.882399600159194E-3</c:v>
                </c:pt>
                <c:pt idx="8">
                  <c:v>6.978823782001496E-3</c:v>
                </c:pt>
                <c:pt idx="9">
                  <c:v>7.075247963843798E-3</c:v>
                </c:pt>
                <c:pt idx="10">
                  <c:v>6.5937075736689412E-3</c:v>
                </c:pt>
                <c:pt idx="11">
                  <c:v>6.0176743742683452E-3</c:v>
                </c:pt>
                <c:pt idx="12">
                  <c:v>5.557325009940977E-3</c:v>
                </c:pt>
                <c:pt idx="13">
                  <c:v>5.2262425603120301E-3</c:v>
                </c:pt>
                <c:pt idx="14">
                  <c:v>5.0380101050067003E-3</c:v>
                </c:pt>
                <c:pt idx="15">
                  <c:v>5.0062107236501759E-3</c:v>
                </c:pt>
                <c:pt idx="16">
                  <c:v>5.1444274958676465E-3</c:v>
                </c:pt>
                <c:pt idx="17">
                  <c:v>5.4662435012843048E-3</c:v>
                </c:pt>
                <c:pt idx="18">
                  <c:v>5.9852418195253396E-3</c:v>
                </c:pt>
                <c:pt idx="19">
                  <c:v>6.7116726122687931E-3</c:v>
                </c:pt>
                <c:pt idx="20">
                  <c:v>7.5262188559974399E-3</c:v>
                </c:pt>
                <c:pt idx="21">
                  <c:v>8.1412511708631903E-3</c:v>
                </c:pt>
                <c:pt idx="22">
                  <c:v>8.3264809215228813E-3</c:v>
                </c:pt>
                <c:pt idx="23">
                  <c:v>8.4180868037366779E-3</c:v>
                </c:pt>
                <c:pt idx="24">
                  <c:v>8.5097780444309164E-3</c:v>
                </c:pt>
                <c:pt idx="25">
                  <c:v>8.601469167467941E-3</c:v>
                </c:pt>
                <c:pt idx="26">
                  <c:v>8.6931601158466119E-3</c:v>
                </c:pt>
                <c:pt idx="27">
                  <c:v>8.7849776345297181E-3</c:v>
                </c:pt>
                <c:pt idx="28">
                  <c:v>8.8699814508296365E-3</c:v>
                </c:pt>
                <c:pt idx="29">
                  <c:v>8.9682438668996067E-3</c:v>
                </c:pt>
                <c:pt idx="30">
                  <c:v>9.061401452975482E-3</c:v>
                </c:pt>
                <c:pt idx="31">
                  <c:v>9.1424687936774458E-3</c:v>
                </c:pt>
                <c:pt idx="32">
                  <c:v>9.2113675612270178E-3</c:v>
                </c:pt>
                <c:pt idx="33">
                  <c:v>9.2803794630418601E-3</c:v>
                </c:pt>
                <c:pt idx="34">
                  <c:v>9.3493913648567024E-3</c:v>
                </c:pt>
                <c:pt idx="35">
                  <c:v>9.4184032666715448E-3</c:v>
                </c:pt>
                <c:pt idx="36">
                  <c:v>9.4874151684863871E-3</c:v>
                </c:pt>
                <c:pt idx="37">
                  <c:v>9.6562467922018721E-3</c:v>
                </c:pt>
                <c:pt idx="38">
                  <c:v>9.6254389721160717E-3</c:v>
                </c:pt>
                <c:pt idx="39">
                  <c:v>9.694450873930914E-3</c:v>
                </c:pt>
                <c:pt idx="40">
                  <c:v>9.758087250657627E-3</c:v>
                </c:pt>
                <c:pt idx="41">
                  <c:v>9.8217236273843399E-3</c:v>
                </c:pt>
                <c:pt idx="42">
                  <c:v>9.8853600041110528E-3</c:v>
                </c:pt>
                <c:pt idx="43">
                  <c:v>9.9489963808377657E-3</c:v>
                </c:pt>
                <c:pt idx="44">
                  <c:v>1.0012632757564479E-2</c:v>
                </c:pt>
                <c:pt idx="45">
                  <c:v>1.0076269134291192E-2</c:v>
                </c:pt>
                <c:pt idx="46">
                  <c:v>1.0139905511017903E-2</c:v>
                </c:pt>
                <c:pt idx="47">
                  <c:v>1.0203541887744616E-2</c:v>
                </c:pt>
                <c:pt idx="48">
                  <c:v>1.0267178264471329E-2</c:v>
                </c:pt>
                <c:pt idx="49">
                  <c:v>1.0333916362887417E-2</c:v>
                </c:pt>
                <c:pt idx="50">
                  <c:v>1.0413061348061001E-2</c:v>
                </c:pt>
                <c:pt idx="51">
                  <c:v>1.0492206333234586E-2</c:v>
                </c:pt>
                <c:pt idx="52">
                  <c:v>1.0571351318408171E-2</c:v>
                </c:pt>
                <c:pt idx="53">
                  <c:v>1.0650496303581756E-2</c:v>
                </c:pt>
                <c:pt idx="54">
                  <c:v>1.0729641288755341E-2</c:v>
                </c:pt>
                <c:pt idx="55">
                  <c:v>1.0808786273928925E-2</c:v>
                </c:pt>
                <c:pt idx="56">
                  <c:v>1.088793125910251E-2</c:v>
                </c:pt>
                <c:pt idx="57">
                  <c:v>1.0967076244276095E-2</c:v>
                </c:pt>
                <c:pt idx="58">
                  <c:v>1.1046183754242942E-2</c:v>
                </c:pt>
                <c:pt idx="59">
                  <c:v>1.1124845762191041E-2</c:v>
                </c:pt>
                <c:pt idx="60">
                  <c:v>1.120351763474864E-2</c:v>
                </c:pt>
                <c:pt idx="61">
                  <c:v>1.1282189493681065E-2</c:v>
                </c:pt>
                <c:pt idx="62">
                  <c:v>1.1360861352632305E-2</c:v>
                </c:pt>
                <c:pt idx="63">
                  <c:v>1.143953321158352E-2</c:v>
                </c:pt>
                <c:pt idx="64">
                  <c:v>1.151820507053493E-2</c:v>
                </c:pt>
                <c:pt idx="65">
                  <c:v>1.1596876929944844E-2</c:v>
                </c:pt>
                <c:pt idx="66">
                  <c:v>1.1675548456037686E-2</c:v>
                </c:pt>
                <c:pt idx="67">
                  <c:v>1.1754220647388382E-2</c:v>
                </c:pt>
                <c:pt idx="68">
                  <c:v>1.1815946776006815E-2</c:v>
                </c:pt>
                <c:pt idx="69">
                  <c:v>1.1877672904625249E-2</c:v>
                </c:pt>
                <c:pt idx="70">
                  <c:v>1.1939399033243682E-2</c:v>
                </c:pt>
                <c:pt idx="71">
                  <c:v>1.2001125161862115E-2</c:v>
                </c:pt>
                <c:pt idx="72">
                  <c:v>1.2062851290480549E-2</c:v>
                </c:pt>
                <c:pt idx="73">
                  <c:v>1.2124577419098984E-2</c:v>
                </c:pt>
                <c:pt idx="74">
                  <c:v>1.2186303547717417E-2</c:v>
                </c:pt>
                <c:pt idx="75">
                  <c:v>1.2248029676335852E-2</c:v>
                </c:pt>
                <c:pt idx="76">
                  <c:v>1.2309755804954284E-2</c:v>
                </c:pt>
                <c:pt idx="77">
                  <c:v>1.2380964570815873E-2</c:v>
                </c:pt>
                <c:pt idx="78">
                  <c:v>1.2453229348942859E-2</c:v>
                </c:pt>
                <c:pt idx="79">
                  <c:v>1.2525492994516576E-2</c:v>
                </c:pt>
                <c:pt idx="80">
                  <c:v>1.2597756644940146E-2</c:v>
                </c:pt>
                <c:pt idx="81">
                  <c:v>1.267001791662593E-2</c:v>
                </c:pt>
                <c:pt idx="82">
                  <c:v>1.274400138961789E-2</c:v>
                </c:pt>
                <c:pt idx="83">
                  <c:v>1.2814087392716901E-2</c:v>
                </c:pt>
                <c:pt idx="84">
                  <c:v>1.288681189704491E-2</c:v>
                </c:pt>
                <c:pt idx="85">
                  <c:v>1.2959052290268452E-2</c:v>
                </c:pt>
                <c:pt idx="86">
                  <c:v>1.3026590152891118E-2</c:v>
                </c:pt>
                <c:pt idx="87">
                  <c:v>1.3092918335512923E-2</c:v>
                </c:pt>
                <c:pt idx="88">
                  <c:v>1.3159246518134731E-2</c:v>
                </c:pt>
                <c:pt idx="89">
                  <c:v>1.3225574700756536E-2</c:v>
                </c:pt>
                <c:pt idx="90">
                  <c:v>1.3291902883378342E-2</c:v>
                </c:pt>
                <c:pt idx="91">
                  <c:v>1.3358231066000148E-2</c:v>
                </c:pt>
                <c:pt idx="92">
                  <c:v>1.3424559248621952E-2</c:v>
                </c:pt>
                <c:pt idx="93">
                  <c:v>1.3490887431243759E-2</c:v>
                </c:pt>
                <c:pt idx="94">
                  <c:v>1.3557215613865565E-2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321664"/>
        <c:axId val="474323968"/>
      </c:lineChart>
      <c:dateAx>
        <c:axId val="474321664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2100000"/>
          <a:lstStyle/>
          <a:p>
            <a:pPr>
              <a:defRPr/>
            </a:pPr>
            <a:endParaRPr lang="en-US"/>
          </a:p>
        </c:txPr>
        <c:crossAx val="474323968"/>
        <c:crosses val="autoZero"/>
        <c:auto val="1"/>
        <c:lblOffset val="100"/>
        <c:baseTimeUnit val="days"/>
      </c:dateAx>
      <c:valAx>
        <c:axId val="474323968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4743216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2378693381149129"/>
          <c:y val="6.6120886730115291E-2"/>
          <c:w val="0.10723616849873963"/>
          <c:h val="8.043552650519995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133350</xdr:colOff>
      <xdr:row>10</xdr:row>
      <xdr:rowOff>23812</xdr:rowOff>
    </xdr:from>
    <xdr:to>
      <xdr:col>17</xdr:col>
      <xdr:colOff>514350</xdr:colOff>
      <xdr:row>40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C00000"/>
  </sheetPr>
  <dimension ref="B2:N90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56" t="s">
        <v>148</v>
      </c>
    </row>
    <row r="3" spans="2:14" x14ac:dyDescent="0.25">
      <c r="B3" s="65"/>
    </row>
    <row r="4" spans="2:14" x14ac:dyDescent="0.25">
      <c r="B4" s="65"/>
    </row>
    <row r="5" spans="2:14" x14ac:dyDescent="0.25">
      <c r="B5" s="65" t="s">
        <v>147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64" t="s">
        <v>147</v>
      </c>
      <c r="D7" s="61" t="str">
        <f ca="1">IF(NOW(),_xll.meCurveCalibrateOIS(CurveCollection,StaticDataTable,IndexName,CurveBuildProperties,OISConventions,OISMarketData,OISFixingTable, OISBasis.Conventions,OISBasis.Spreads,LiborSwap.Conventions,LiborSwap.MarketData),"Error Building OIS Curve")</f>
        <v>USDYC OIS Curve has been set (0.04500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112" t="s">
        <v>146</v>
      </c>
      <c r="D8" s="113" t="b">
        <f ca="1">LEFT(D7,5)=CurveCollection</f>
        <v>1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74</v>
      </c>
      <c r="D11" s="106" t="s">
        <v>114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73</v>
      </c>
      <c r="D12" s="107" t="s">
        <v>8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75</v>
      </c>
      <c r="D13" s="108" t="s">
        <v>119</v>
      </c>
      <c r="E13" s="7"/>
      <c r="F13" s="7"/>
      <c r="G13" s="7"/>
      <c r="H13" s="7" t="s">
        <v>3</v>
      </c>
      <c r="I13" s="7" t="s">
        <v>3</v>
      </c>
      <c r="J13" s="7" t="s">
        <v>3</v>
      </c>
      <c r="K13" s="7" t="s">
        <v>3</v>
      </c>
      <c r="L13" s="7" t="s">
        <v>3</v>
      </c>
      <c r="M13" s="7" t="s">
        <v>3</v>
      </c>
      <c r="N13" s="8" t="s">
        <v>3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57</v>
      </c>
    </row>
    <row r="18" spans="2:14" x14ac:dyDescent="0.25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57</v>
      </c>
      <c r="D19" s="47"/>
      <c r="E19" s="7"/>
      <c r="F19" s="50" t="s">
        <v>67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9</v>
      </c>
      <c r="D20" s="106">
        <v>42419</v>
      </c>
      <c r="E20" s="7"/>
      <c r="F20" s="14" t="s">
        <v>68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15</v>
      </c>
      <c r="D21" s="107" t="s">
        <v>118</v>
      </c>
      <c r="E21" s="7"/>
      <c r="F21" s="17" t="s">
        <v>69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22</v>
      </c>
      <c r="D22" s="109" t="s">
        <v>70</v>
      </c>
      <c r="E22" s="7"/>
      <c r="F22" s="17" t="s">
        <v>70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107"/>
      <c r="E23" s="7"/>
      <c r="F23" s="17" t="s">
        <v>71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08"/>
      <c r="E24" s="7"/>
      <c r="F24" s="21" t="s">
        <v>72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7"/>
    </row>
    <row r="28" spans="2:14" x14ac:dyDescent="0.25">
      <c r="B28" s="56" t="s">
        <v>66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4</v>
      </c>
      <c r="D30" s="10"/>
      <c r="E30" s="10"/>
      <c r="F30" s="49" t="s">
        <v>59</v>
      </c>
      <c r="G30" s="10"/>
      <c r="H30" s="10"/>
      <c r="I30" s="10"/>
      <c r="J30" s="10"/>
      <c r="K30" s="10"/>
      <c r="L30" s="49" t="s">
        <v>61</v>
      </c>
      <c r="M30" s="10"/>
      <c r="N30" s="55"/>
    </row>
    <row r="31" spans="2:14" x14ac:dyDescent="0.25">
      <c r="B31" s="5"/>
      <c r="C31" s="27" t="s">
        <v>2</v>
      </c>
      <c r="D31" s="34" t="s">
        <v>115</v>
      </c>
      <c r="E31" s="7"/>
      <c r="F31" s="58" t="s">
        <v>10</v>
      </c>
      <c r="G31" s="58" t="s">
        <v>11</v>
      </c>
      <c r="H31" s="58" t="s">
        <v>12</v>
      </c>
      <c r="I31" s="58" t="s">
        <v>13</v>
      </c>
      <c r="J31" s="58" t="s">
        <v>7</v>
      </c>
      <c r="K31" s="10"/>
      <c r="L31" s="58" t="s">
        <v>62</v>
      </c>
      <c r="M31" s="58" t="s">
        <v>11</v>
      </c>
      <c r="N31" s="55"/>
    </row>
    <row r="32" spans="2:14" x14ac:dyDescent="0.25">
      <c r="B32" s="5"/>
      <c r="C32" s="28" t="s">
        <v>6</v>
      </c>
      <c r="D32" s="35" t="s">
        <v>5</v>
      </c>
      <c r="E32" s="9"/>
      <c r="F32" s="24" t="s">
        <v>42</v>
      </c>
      <c r="G32" s="19">
        <v>3.7000000000000002E-3</v>
      </c>
      <c r="H32" s="20" t="s">
        <v>33</v>
      </c>
      <c r="I32" s="20" t="s">
        <v>33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23</v>
      </c>
      <c r="D33" s="35" t="s">
        <v>24</v>
      </c>
      <c r="E33" s="9"/>
      <c r="F33" s="24" t="s">
        <v>120</v>
      </c>
      <c r="G33" s="111">
        <v>99.63</v>
      </c>
      <c r="H33" s="20">
        <v>42522</v>
      </c>
      <c r="I33" s="20">
        <v>42551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29</v>
      </c>
      <c r="D34" s="35" t="s">
        <v>30</v>
      </c>
      <c r="E34" s="9"/>
      <c r="F34" s="24" t="s">
        <v>121</v>
      </c>
      <c r="G34" s="111">
        <v>99.61</v>
      </c>
      <c r="H34" s="20">
        <v>42552</v>
      </c>
      <c r="I34" s="20">
        <v>42582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14</v>
      </c>
      <c r="D35" s="35" t="s">
        <v>28</v>
      </c>
      <c r="E35" s="9"/>
      <c r="F35" s="24" t="s">
        <v>122</v>
      </c>
      <c r="G35" s="111">
        <v>99.56</v>
      </c>
      <c r="H35" s="20">
        <v>42583</v>
      </c>
      <c r="I35" s="20">
        <v>42613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31</v>
      </c>
      <c r="D36" s="35" t="s">
        <v>32</v>
      </c>
      <c r="E36" s="9"/>
      <c r="F36" s="24" t="s">
        <v>123</v>
      </c>
      <c r="G36" s="111">
        <v>99.515000000000001</v>
      </c>
      <c r="H36" s="20">
        <v>42614</v>
      </c>
      <c r="I36" s="20">
        <v>42643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21</v>
      </c>
      <c r="D37" s="36" t="s">
        <v>20</v>
      </c>
      <c r="E37" s="9"/>
      <c r="F37" s="24" t="s">
        <v>124</v>
      </c>
      <c r="G37" s="111">
        <v>99.484999999999999</v>
      </c>
      <c r="H37" s="20">
        <v>42646</v>
      </c>
      <c r="I37" s="20">
        <v>42674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34</v>
      </c>
      <c r="D38" s="35" t="s">
        <v>35</v>
      </c>
      <c r="E38" s="9"/>
      <c r="F38" s="24" t="s">
        <v>125</v>
      </c>
      <c r="G38" s="111">
        <v>99.465000000000003</v>
      </c>
      <c r="H38" s="20">
        <v>42675</v>
      </c>
      <c r="I38" s="20">
        <v>42704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116</v>
      </c>
      <c r="D39" s="35">
        <v>31</v>
      </c>
      <c r="E39" s="9"/>
      <c r="F39" s="24" t="s">
        <v>126</v>
      </c>
      <c r="G39" s="111">
        <v>99.435000000000002</v>
      </c>
      <c r="H39" s="20">
        <v>42705</v>
      </c>
      <c r="I39" s="20">
        <v>42735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117</v>
      </c>
      <c r="D40" s="35" t="b">
        <v>0</v>
      </c>
      <c r="E40" s="9"/>
      <c r="F40" s="24" t="s">
        <v>127</v>
      </c>
      <c r="G40" s="111">
        <v>99.42</v>
      </c>
      <c r="H40" s="20">
        <v>42738</v>
      </c>
      <c r="I40" s="20">
        <v>42766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34</v>
      </c>
      <c r="D41" s="107" t="s">
        <v>35</v>
      </c>
      <c r="E41" s="9"/>
      <c r="F41" s="24" t="s">
        <v>128</v>
      </c>
      <c r="G41" s="111">
        <v>99.385000000000005</v>
      </c>
      <c r="H41" s="20">
        <v>42767</v>
      </c>
      <c r="I41" s="20">
        <v>42794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28" t="s">
        <v>36</v>
      </c>
      <c r="D42" s="107" t="s">
        <v>37</v>
      </c>
      <c r="E42" s="9"/>
      <c r="F42" s="24" t="s">
        <v>43</v>
      </c>
      <c r="G42" s="19">
        <v>6.6E-3</v>
      </c>
      <c r="H42" s="20" t="s">
        <v>33</v>
      </c>
      <c r="I42" s="20" t="s">
        <v>33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28" t="s">
        <v>38</v>
      </c>
      <c r="D43" s="107" t="s">
        <v>39</v>
      </c>
      <c r="E43" s="9"/>
      <c r="F43" s="24" t="s">
        <v>39</v>
      </c>
      <c r="G43" s="19">
        <v>7.7600000000000004E-3</v>
      </c>
      <c r="H43" s="20" t="s">
        <v>33</v>
      </c>
      <c r="I43" s="20" t="s">
        <v>33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8" t="s">
        <v>40</v>
      </c>
      <c r="D44" s="107" t="s">
        <v>41</v>
      </c>
      <c r="E44" s="9"/>
      <c r="F44" s="24" t="s">
        <v>44</v>
      </c>
      <c r="G44" s="19">
        <v>8.8000000000000005E-3</v>
      </c>
      <c r="H44" s="20" t="s">
        <v>33</v>
      </c>
      <c r="I44" s="20" t="s">
        <v>33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105</v>
      </c>
      <c r="D45" s="110">
        <v>1E-10</v>
      </c>
      <c r="E45" s="9"/>
      <c r="F45" s="24" t="s">
        <v>45</v>
      </c>
      <c r="G45" s="19">
        <v>9.7900000000000001E-3</v>
      </c>
      <c r="H45" s="20" t="s">
        <v>33</v>
      </c>
      <c r="I45" s="20" t="s">
        <v>33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28" t="s">
        <v>106</v>
      </c>
      <c r="D46" s="105">
        <v>1000</v>
      </c>
      <c r="E46" s="9"/>
      <c r="F46" s="24" t="s">
        <v>46</v>
      </c>
      <c r="G46" s="19">
        <v>1.072E-2</v>
      </c>
      <c r="H46" s="20" t="s">
        <v>33</v>
      </c>
      <c r="I46" s="20" t="s">
        <v>33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 t="s">
        <v>157</v>
      </c>
      <c r="D47" s="35" t="b">
        <v>1</v>
      </c>
      <c r="E47" s="9"/>
      <c r="F47" s="24" t="s">
        <v>47</v>
      </c>
      <c r="G47" s="19">
        <v>1.159E-2</v>
      </c>
      <c r="H47" s="20" t="s">
        <v>33</v>
      </c>
      <c r="I47" s="20" t="s">
        <v>33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49</v>
      </c>
      <c r="G48" s="19">
        <v>1.371E-2</v>
      </c>
      <c r="H48" s="20" t="s">
        <v>33</v>
      </c>
      <c r="I48" s="20" t="s">
        <v>33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28"/>
      <c r="D49" s="39"/>
      <c r="E49" s="9"/>
      <c r="F49" s="24" t="s">
        <v>51</v>
      </c>
      <c r="G49" s="19">
        <v>1.482E-2</v>
      </c>
      <c r="H49" s="20" t="s">
        <v>33</v>
      </c>
      <c r="I49" s="20" t="s">
        <v>33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28"/>
      <c r="D50" s="39"/>
      <c r="E50" s="9"/>
      <c r="F50" s="24" t="s">
        <v>52</v>
      </c>
      <c r="G50" s="19">
        <v>1.6E-2</v>
      </c>
      <c r="H50" s="20" t="s">
        <v>33</v>
      </c>
      <c r="I50" s="20" t="s">
        <v>33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28"/>
      <c r="D51" s="39"/>
      <c r="E51" s="9"/>
      <c r="F51" s="24" t="s">
        <v>53</v>
      </c>
      <c r="G51" s="19">
        <v>1.72E-2</v>
      </c>
      <c r="H51" s="20" t="s">
        <v>33</v>
      </c>
      <c r="I51" s="20" t="s">
        <v>33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28"/>
      <c r="D52" s="39"/>
      <c r="E52" s="9"/>
      <c r="F52" s="24" t="s">
        <v>54</v>
      </c>
      <c r="G52" s="19">
        <v>1.7780000000000001E-2</v>
      </c>
      <c r="H52" s="20" t="s">
        <v>33</v>
      </c>
      <c r="I52" s="20" t="s">
        <v>33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55</v>
      </c>
      <c r="G53" s="19">
        <v>1.813E-2</v>
      </c>
      <c r="H53" s="20" t="s">
        <v>33</v>
      </c>
      <c r="I53" s="20" t="s">
        <v>33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/>
      <c r="G54" s="19"/>
      <c r="H54" s="20"/>
      <c r="I54" s="20"/>
      <c r="J54" s="41"/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/>
      <c r="G55" s="19"/>
      <c r="H55" s="20"/>
      <c r="I55" s="20"/>
      <c r="J55" s="41"/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/>
      <c r="G56" s="19"/>
      <c r="H56" s="20"/>
      <c r="I56" s="20"/>
      <c r="J56" s="41"/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65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58</v>
      </c>
      <c r="D63" s="10"/>
      <c r="E63" s="10"/>
      <c r="F63" s="49" t="s">
        <v>60</v>
      </c>
      <c r="G63" s="10"/>
      <c r="H63" s="10"/>
      <c r="I63" s="49" t="s">
        <v>63</v>
      </c>
      <c r="J63" s="10"/>
      <c r="K63" s="10"/>
      <c r="L63" s="49" t="s">
        <v>64</v>
      </c>
      <c r="M63" s="10"/>
      <c r="N63" s="55"/>
    </row>
    <row r="64" spans="2:14" x14ac:dyDescent="0.25">
      <c r="B64" s="5"/>
      <c r="C64" s="27" t="s">
        <v>1</v>
      </c>
      <c r="D64" s="34" t="s">
        <v>129</v>
      </c>
      <c r="E64" s="7"/>
      <c r="F64" s="58" t="s">
        <v>10</v>
      </c>
      <c r="G64" s="58" t="s">
        <v>11</v>
      </c>
      <c r="H64" s="10"/>
      <c r="I64" s="27" t="s">
        <v>2</v>
      </c>
      <c r="J64" s="34" t="s">
        <v>129</v>
      </c>
      <c r="K64" s="10"/>
      <c r="L64" s="58" t="s">
        <v>10</v>
      </c>
      <c r="M64" s="58" t="s">
        <v>11</v>
      </c>
      <c r="N64" s="55"/>
    </row>
    <row r="65" spans="2:14" x14ac:dyDescent="0.25">
      <c r="B65" s="5"/>
      <c r="C65" s="28" t="s">
        <v>16</v>
      </c>
      <c r="D65" s="35" t="s">
        <v>5</v>
      </c>
      <c r="E65" s="9"/>
      <c r="F65" s="24" t="s">
        <v>43</v>
      </c>
      <c r="G65" s="51">
        <v>2.66E-3</v>
      </c>
      <c r="H65" s="10"/>
      <c r="I65" s="28" t="s">
        <v>17</v>
      </c>
      <c r="J65" s="35" t="s">
        <v>18</v>
      </c>
      <c r="K65" s="10"/>
      <c r="L65" s="24" t="s">
        <v>43</v>
      </c>
      <c r="M65" s="51">
        <v>9.4850000000000004E-3</v>
      </c>
      <c r="N65" s="55"/>
    </row>
    <row r="66" spans="2:14" x14ac:dyDescent="0.25">
      <c r="B66" s="5"/>
      <c r="C66" s="28" t="s">
        <v>25</v>
      </c>
      <c r="D66" s="35" t="s">
        <v>26</v>
      </c>
      <c r="E66" s="9"/>
      <c r="F66" s="24" t="s">
        <v>39</v>
      </c>
      <c r="G66" s="51">
        <v>2.7799999999999999E-3</v>
      </c>
      <c r="H66" s="10"/>
      <c r="I66" s="28" t="s">
        <v>27</v>
      </c>
      <c r="J66" s="35" t="s">
        <v>130</v>
      </c>
      <c r="K66" s="10"/>
      <c r="L66" s="24" t="s">
        <v>39</v>
      </c>
      <c r="M66" s="51">
        <v>1.073E-2</v>
      </c>
      <c r="N66" s="55"/>
    </row>
    <row r="67" spans="2:14" x14ac:dyDescent="0.25">
      <c r="B67" s="5"/>
      <c r="C67" s="28" t="s">
        <v>19</v>
      </c>
      <c r="D67" s="35" t="s">
        <v>20</v>
      </c>
      <c r="E67" s="9"/>
      <c r="F67" s="24" t="s">
        <v>44</v>
      </c>
      <c r="G67" s="51">
        <v>2.9199999999999999E-3</v>
      </c>
      <c r="H67" s="10"/>
      <c r="I67" s="28" t="s">
        <v>21</v>
      </c>
      <c r="J67" s="35" t="s">
        <v>20</v>
      </c>
      <c r="K67" s="10"/>
      <c r="L67" s="24" t="s">
        <v>44</v>
      </c>
      <c r="M67" s="51">
        <v>1.1915E-2</v>
      </c>
      <c r="N67" s="55"/>
    </row>
    <row r="68" spans="2:14" x14ac:dyDescent="0.25">
      <c r="B68" s="5"/>
      <c r="C68" s="28"/>
      <c r="D68" s="35"/>
      <c r="E68" s="9"/>
      <c r="F68" s="24" t="s">
        <v>45</v>
      </c>
      <c r="G68" s="51">
        <v>3.0600000000000002E-3</v>
      </c>
      <c r="H68" s="10"/>
      <c r="I68" s="28"/>
      <c r="J68" s="35"/>
      <c r="K68" s="10"/>
      <c r="L68" s="24" t="s">
        <v>45</v>
      </c>
      <c r="M68" s="51">
        <v>1.3055000000000001E-2</v>
      </c>
      <c r="N68" s="55"/>
    </row>
    <row r="69" spans="2:14" x14ac:dyDescent="0.25">
      <c r="B69" s="5"/>
      <c r="C69" s="29"/>
      <c r="D69" s="35"/>
      <c r="E69" s="9"/>
      <c r="F69" s="24" t="s">
        <v>46</v>
      </c>
      <c r="G69" s="51">
        <v>3.1899999999999997E-3</v>
      </c>
      <c r="H69" s="10"/>
      <c r="I69" s="29"/>
      <c r="J69" s="35"/>
      <c r="K69" s="10"/>
      <c r="L69" s="24" t="s">
        <v>46</v>
      </c>
      <c r="M69" s="51">
        <v>1.409E-2</v>
      </c>
      <c r="N69" s="55"/>
    </row>
    <row r="70" spans="2:14" x14ac:dyDescent="0.25">
      <c r="B70" s="5"/>
      <c r="C70" s="30"/>
      <c r="D70" s="36"/>
      <c r="E70" s="9"/>
      <c r="F70" s="24" t="s">
        <v>47</v>
      </c>
      <c r="G70" s="51">
        <v>3.29E-3</v>
      </c>
      <c r="H70" s="10"/>
      <c r="I70" s="30"/>
      <c r="J70" s="36"/>
      <c r="K70" s="10"/>
      <c r="L70" s="24" t="s">
        <v>47</v>
      </c>
      <c r="M70" s="51">
        <v>1.508E-2</v>
      </c>
      <c r="N70" s="55"/>
    </row>
    <row r="71" spans="2:14" x14ac:dyDescent="0.25">
      <c r="B71" s="5"/>
      <c r="C71" s="28"/>
      <c r="D71" s="35"/>
      <c r="E71" s="9"/>
      <c r="F71" s="24" t="s">
        <v>49</v>
      </c>
      <c r="G71" s="51">
        <v>3.4700000000000004E-3</v>
      </c>
      <c r="H71" s="10"/>
      <c r="I71" s="28"/>
      <c r="J71" s="35"/>
      <c r="K71" s="10"/>
      <c r="L71" s="24" t="s">
        <v>49</v>
      </c>
      <c r="M71" s="51">
        <v>1.7399999999999999E-2</v>
      </c>
      <c r="N71" s="55"/>
    </row>
    <row r="72" spans="2:14" x14ac:dyDescent="0.25">
      <c r="B72" s="5"/>
      <c r="C72" s="28"/>
      <c r="D72" s="35"/>
      <c r="E72" s="9"/>
      <c r="F72" s="24" t="s">
        <v>51</v>
      </c>
      <c r="G72" s="51">
        <v>3.5200000000000001E-3</v>
      </c>
      <c r="H72" s="10"/>
      <c r="I72" s="28"/>
      <c r="J72" s="35"/>
      <c r="K72" s="10"/>
      <c r="L72" s="24" t="s">
        <v>51</v>
      </c>
      <c r="M72" s="51">
        <v>1.8574999999999998E-2</v>
      </c>
      <c r="N72" s="55"/>
    </row>
    <row r="73" spans="2:14" x14ac:dyDescent="0.25">
      <c r="B73" s="5"/>
      <c r="C73" s="28"/>
      <c r="D73" s="35"/>
      <c r="E73" s="9"/>
      <c r="F73" s="24" t="s">
        <v>52</v>
      </c>
      <c r="G73" s="51">
        <v>3.5700000000000003E-3</v>
      </c>
      <c r="H73" s="10"/>
      <c r="I73" s="28"/>
      <c r="J73" s="35"/>
      <c r="K73" s="10"/>
      <c r="L73" s="24" t="s">
        <v>52</v>
      </c>
      <c r="M73" s="51">
        <v>1.9779999999999999E-2</v>
      </c>
      <c r="N73" s="55"/>
    </row>
    <row r="74" spans="2:14" x14ac:dyDescent="0.25">
      <c r="B74" s="5"/>
      <c r="C74" s="28"/>
      <c r="D74" s="35"/>
      <c r="E74" s="9"/>
      <c r="F74" s="24" t="s">
        <v>53</v>
      </c>
      <c r="G74" s="51">
        <v>3.6200000000000004E-3</v>
      </c>
      <c r="H74" s="10"/>
      <c r="I74" s="28"/>
      <c r="J74" s="35"/>
      <c r="K74" s="10"/>
      <c r="L74" s="24" t="s">
        <v>53</v>
      </c>
      <c r="M74" s="51">
        <v>2.1015000000000002E-2</v>
      </c>
      <c r="N74" s="55"/>
    </row>
    <row r="75" spans="2:14" x14ac:dyDescent="0.25">
      <c r="B75" s="5"/>
      <c r="C75" s="28"/>
      <c r="D75" s="35"/>
      <c r="E75" s="9"/>
      <c r="F75" s="24" t="s">
        <v>54</v>
      </c>
      <c r="G75" s="51">
        <v>3.64E-3</v>
      </c>
      <c r="H75" s="10"/>
      <c r="I75" s="28"/>
      <c r="J75" s="35"/>
      <c r="K75" s="10"/>
      <c r="L75" s="24" t="s">
        <v>54</v>
      </c>
      <c r="M75" s="51">
        <v>2.1600000000000001E-2</v>
      </c>
      <c r="N75" s="55"/>
    </row>
    <row r="76" spans="2:14" x14ac:dyDescent="0.25">
      <c r="B76" s="5"/>
      <c r="C76" s="29"/>
      <c r="D76" s="35"/>
      <c r="E76" s="9"/>
      <c r="F76" s="24" t="s">
        <v>55</v>
      </c>
      <c r="G76" s="51">
        <v>3.65E-3</v>
      </c>
      <c r="H76" s="10"/>
      <c r="I76" s="29"/>
      <c r="J76" s="35"/>
      <c r="K76" s="10"/>
      <c r="L76" s="24" t="s">
        <v>55</v>
      </c>
      <c r="M76" s="51">
        <v>2.1964999999999998E-2</v>
      </c>
      <c r="N76" s="55"/>
    </row>
    <row r="77" spans="2:14" x14ac:dyDescent="0.25">
      <c r="B77" s="5"/>
      <c r="C77" s="31"/>
      <c r="D77" s="37"/>
      <c r="E77" s="9"/>
      <c r="F77" s="24"/>
      <c r="G77" s="51"/>
      <c r="H77" s="10"/>
      <c r="I77" s="31"/>
      <c r="J77" s="37"/>
      <c r="K77" s="10"/>
      <c r="L77" s="24"/>
      <c r="M77" s="51"/>
      <c r="N77" s="55"/>
    </row>
    <row r="78" spans="2:14" x14ac:dyDescent="0.25">
      <c r="B78" s="5"/>
      <c r="C78" s="31"/>
      <c r="D78" s="38"/>
      <c r="E78" s="9"/>
      <c r="F78" s="24"/>
      <c r="G78" s="51"/>
      <c r="H78" s="10"/>
      <c r="I78" s="31"/>
      <c r="J78" s="38"/>
      <c r="K78" s="10"/>
      <c r="L78" s="24"/>
      <c r="M78" s="51"/>
      <c r="N78" s="55"/>
    </row>
    <row r="79" spans="2:14" x14ac:dyDescent="0.25">
      <c r="B79" s="5"/>
      <c r="C79" s="31"/>
      <c r="D79" s="37"/>
      <c r="E79" s="9"/>
      <c r="F79" s="24"/>
      <c r="G79" s="51"/>
      <c r="H79" s="10"/>
      <c r="I79" s="31"/>
      <c r="J79" s="37"/>
      <c r="K79" s="10"/>
      <c r="L79" s="24"/>
      <c r="M79" s="51"/>
      <c r="N79" s="55"/>
    </row>
    <row r="80" spans="2:14" x14ac:dyDescent="0.25">
      <c r="B80" s="5"/>
      <c r="C80" s="32"/>
      <c r="D80" s="35"/>
      <c r="E80" s="9"/>
      <c r="F80" s="24"/>
      <c r="G80" s="51"/>
      <c r="H80" s="10"/>
      <c r="I80" s="32"/>
      <c r="J80" s="35"/>
      <c r="K80" s="10"/>
      <c r="L80" s="24"/>
      <c r="M80" s="51"/>
      <c r="N80" s="55"/>
    </row>
    <row r="81" spans="2:14" x14ac:dyDescent="0.25">
      <c r="B81" s="5"/>
      <c r="C81" s="32"/>
      <c r="D81" s="39"/>
      <c r="E81" s="9"/>
      <c r="F81" s="24"/>
      <c r="G81" s="51"/>
      <c r="H81" s="10"/>
      <c r="I81" s="32"/>
      <c r="J81" s="39"/>
      <c r="K81" s="10"/>
      <c r="L81" s="24"/>
      <c r="M81" s="51"/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C00000"/>
  </sheetPr>
  <dimension ref="B2:L113"/>
  <sheetViews>
    <sheetView showGridLines="0" workbookViewId="0"/>
  </sheetViews>
  <sheetFormatPr defaultRowHeight="15" x14ac:dyDescent="0.25"/>
  <cols>
    <col min="2" max="2" width="2.7109375" customWidth="1"/>
    <col min="3" max="3" width="23.140625" customWidth="1"/>
    <col min="4" max="4" width="35.140625" customWidth="1"/>
    <col min="6" max="7" width="18.7109375" customWidth="1"/>
    <col min="8" max="8" width="12.7109375" customWidth="1"/>
    <col min="9" max="11" width="18.7109375" customWidth="1"/>
    <col min="12" max="12" width="5.5703125" customWidth="1"/>
    <col min="14" max="15" width="15.7109375" customWidth="1"/>
  </cols>
  <sheetData>
    <row r="2" spans="2:12" x14ac:dyDescent="0.25">
      <c r="B2" s="56" t="s">
        <v>149</v>
      </c>
    </row>
    <row r="6" spans="2:12" x14ac:dyDescent="0.25">
      <c r="B6" s="56" t="s">
        <v>150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64" t="s">
        <v>150</v>
      </c>
      <c r="D8" s="61" t="str">
        <f ca="1">IF(AND(isUSDOISLoaded,NOW()),_xll.meCurveCalibrateSwap(CurveCollection,StaticDataTable,IndexName,CurveBuildProperties,MoneyMarketConventions,LiborConventions,LiborMarketData,SwapConventions,SwapMarketData,FRAConventions,FRAMarketData3M,FRAMarketData6M,FuturesConventions,FuturesMarketData),"Error Loading Swap Curve")</f>
        <v>USDYC STD Curve has been set (0.01700 sec)</v>
      </c>
      <c r="E8" s="62"/>
      <c r="F8" s="63"/>
      <c r="G8" s="7"/>
      <c r="H8" s="7"/>
      <c r="I8" s="7"/>
      <c r="J8" s="7"/>
      <c r="K8" s="7"/>
      <c r="L8" s="8"/>
    </row>
    <row r="9" spans="2:12" x14ac:dyDescent="0.25">
      <c r="B9" s="5"/>
      <c r="C9" s="112" t="s">
        <v>146</v>
      </c>
      <c r="D9" s="113" t="b">
        <f ca="1">LEFT(D8,5)=CurveCollection</f>
        <v>1</v>
      </c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74</v>
      </c>
      <c r="D13" s="106" t="s">
        <v>114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73</v>
      </c>
      <c r="D14" s="107" t="s">
        <v>76</v>
      </c>
      <c r="E14" s="7"/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75</v>
      </c>
      <c r="D15" s="108" t="s">
        <v>145</v>
      </c>
      <c r="E15" s="7"/>
      <c r="F15" s="7"/>
      <c r="G15" s="7"/>
      <c r="H15" s="7" t="s">
        <v>3</v>
      </c>
      <c r="I15" s="7" t="s">
        <v>3</v>
      </c>
      <c r="J15" s="7" t="s">
        <v>3</v>
      </c>
      <c r="K15" s="7"/>
      <c r="L15" s="8" t="s">
        <v>3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57</v>
      </c>
    </row>
    <row r="20" spans="2:12" x14ac:dyDescent="0.25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 x14ac:dyDescent="0.25">
      <c r="B21" s="5"/>
      <c r="C21" s="48" t="s">
        <v>57</v>
      </c>
      <c r="D21" s="47"/>
      <c r="E21" s="7"/>
      <c r="F21" s="50" t="s">
        <v>67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9</v>
      </c>
      <c r="D22" s="106">
        <v>42419</v>
      </c>
      <c r="E22" s="7"/>
      <c r="F22" s="14" t="s">
        <v>68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15</v>
      </c>
      <c r="D23" s="107" t="s">
        <v>118</v>
      </c>
      <c r="E23" s="7"/>
      <c r="F23" s="17" t="s">
        <v>69</v>
      </c>
      <c r="G23" s="18"/>
      <c r="H23" s="7"/>
      <c r="I23" s="7"/>
      <c r="J23" s="7"/>
      <c r="K23" s="7"/>
      <c r="L23" s="8"/>
    </row>
    <row r="24" spans="2:12" x14ac:dyDescent="0.25">
      <c r="B24" s="5"/>
      <c r="C24" s="29" t="s">
        <v>77</v>
      </c>
      <c r="D24" s="109" t="s">
        <v>70</v>
      </c>
      <c r="E24" s="7"/>
      <c r="F24" s="17" t="s">
        <v>70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22</v>
      </c>
      <c r="D25" s="109" t="s">
        <v>70</v>
      </c>
      <c r="E25" s="7"/>
      <c r="F25" s="17" t="s">
        <v>71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79</v>
      </c>
      <c r="D26" s="107" t="b">
        <v>0</v>
      </c>
      <c r="E26" s="7"/>
      <c r="F26" s="17" t="s">
        <v>72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78</v>
      </c>
      <c r="D27" s="107" t="b">
        <v>1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25</v>
      </c>
      <c r="D28" s="107" t="s">
        <v>26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80</v>
      </c>
      <c r="D29" s="107" t="s">
        <v>8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 t="s">
        <v>162</v>
      </c>
      <c r="D30" s="107" t="b">
        <v>1</v>
      </c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08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81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154</v>
      </c>
      <c r="D37" s="10"/>
      <c r="E37" s="10"/>
      <c r="F37" s="49" t="s">
        <v>86</v>
      </c>
      <c r="G37" s="10"/>
      <c r="H37" s="10"/>
      <c r="I37" s="49" t="s">
        <v>153</v>
      </c>
      <c r="J37" s="10"/>
      <c r="K37" s="10"/>
      <c r="L37" s="55"/>
    </row>
    <row r="38" spans="2:12" x14ac:dyDescent="0.25">
      <c r="B38" s="5"/>
      <c r="C38" s="27" t="s">
        <v>2</v>
      </c>
      <c r="D38" s="34" t="s">
        <v>115</v>
      </c>
      <c r="E38" s="7"/>
      <c r="F38" s="27" t="s">
        <v>2</v>
      </c>
      <c r="G38" s="34" t="s">
        <v>129</v>
      </c>
      <c r="H38" s="10"/>
      <c r="I38" s="78" t="s">
        <v>10</v>
      </c>
      <c r="J38" s="78" t="s">
        <v>11</v>
      </c>
      <c r="K38" s="78"/>
      <c r="L38" s="55"/>
    </row>
    <row r="39" spans="2:12" x14ac:dyDescent="0.25">
      <c r="B39" s="5"/>
      <c r="C39" s="28" t="s">
        <v>6</v>
      </c>
      <c r="D39" s="35" t="s">
        <v>110</v>
      </c>
      <c r="E39" s="9"/>
      <c r="F39" s="30" t="s">
        <v>6</v>
      </c>
      <c r="G39" s="69" t="s">
        <v>110</v>
      </c>
      <c r="H39" s="10"/>
      <c r="I39" s="71" t="s">
        <v>112</v>
      </c>
      <c r="J39" s="75">
        <v>4.3179999999999998E-3</v>
      </c>
      <c r="K39" s="78"/>
      <c r="L39" s="55"/>
    </row>
    <row r="40" spans="2:12" x14ac:dyDescent="0.25">
      <c r="B40" s="5"/>
      <c r="C40" s="28" t="s">
        <v>21</v>
      </c>
      <c r="D40" s="68" t="s">
        <v>83</v>
      </c>
      <c r="E40" s="9"/>
      <c r="F40" s="29" t="s">
        <v>23</v>
      </c>
      <c r="G40" s="35" t="s">
        <v>131</v>
      </c>
      <c r="H40" s="10"/>
      <c r="I40" s="72" t="s">
        <v>111</v>
      </c>
      <c r="J40" s="76">
        <v>6.2459999999999998E-3</v>
      </c>
      <c r="K40" s="78"/>
      <c r="L40" s="55"/>
    </row>
    <row r="41" spans="2:12" x14ac:dyDescent="0.25">
      <c r="B41" s="5"/>
      <c r="C41" s="28"/>
      <c r="D41" s="35"/>
      <c r="E41" s="9"/>
      <c r="F41" s="29" t="s">
        <v>14</v>
      </c>
      <c r="G41" s="69" t="s">
        <v>94</v>
      </c>
      <c r="H41" s="10"/>
      <c r="I41" s="72" t="s">
        <v>87</v>
      </c>
      <c r="J41" s="76">
        <v>8.9814999999999999E-3</v>
      </c>
      <c r="K41" s="78"/>
      <c r="L41" s="55"/>
    </row>
    <row r="42" spans="2:12" x14ac:dyDescent="0.25">
      <c r="B42" s="5"/>
      <c r="C42" s="28"/>
      <c r="D42" s="35"/>
      <c r="E42" s="9"/>
      <c r="F42" s="29" t="s">
        <v>21</v>
      </c>
      <c r="G42" s="68" t="s">
        <v>20</v>
      </c>
      <c r="H42" s="10"/>
      <c r="I42" s="72" t="s">
        <v>48</v>
      </c>
      <c r="J42" s="76">
        <v>1.21365E-2</v>
      </c>
      <c r="K42" s="78"/>
      <c r="L42" s="55"/>
    </row>
    <row r="43" spans="2:12" x14ac:dyDescent="0.25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113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88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89</v>
      </c>
      <c r="D50" s="10"/>
      <c r="E50" s="10"/>
      <c r="F50" s="49" t="s">
        <v>107</v>
      </c>
      <c r="G50" s="10"/>
      <c r="H50" s="10"/>
      <c r="I50" s="49" t="s">
        <v>108</v>
      </c>
      <c r="J50" s="10"/>
      <c r="K50" s="10"/>
      <c r="L50" s="55"/>
    </row>
    <row r="51" spans="2:12" x14ac:dyDescent="0.25">
      <c r="B51" s="5"/>
      <c r="C51" s="27"/>
      <c r="D51" s="34"/>
      <c r="E51" s="7"/>
      <c r="F51" s="78" t="s">
        <v>10</v>
      </c>
      <c r="G51" s="78" t="s">
        <v>11</v>
      </c>
      <c r="H51" s="10"/>
      <c r="I51" s="78" t="s">
        <v>10</v>
      </c>
      <c r="J51" s="78" t="s">
        <v>11</v>
      </c>
      <c r="K51" s="78"/>
      <c r="L51" s="55"/>
    </row>
    <row r="52" spans="2:12" x14ac:dyDescent="0.25">
      <c r="B52" s="5"/>
      <c r="C52" s="28"/>
      <c r="D52" s="35"/>
      <c r="E52" s="9"/>
      <c r="F52" s="71"/>
      <c r="G52" s="75"/>
      <c r="H52" s="10"/>
      <c r="I52" s="71"/>
      <c r="J52" s="75"/>
      <c r="K52" s="78"/>
      <c r="L52" s="55"/>
    </row>
    <row r="53" spans="2:12" x14ac:dyDescent="0.25">
      <c r="B53" s="5"/>
      <c r="C53" s="28"/>
      <c r="D53" s="35"/>
      <c r="E53" s="9"/>
      <c r="F53" s="72"/>
      <c r="G53" s="76"/>
      <c r="H53" s="10"/>
      <c r="I53" s="72"/>
      <c r="J53" s="76"/>
      <c r="K53" s="78"/>
      <c r="L53" s="55"/>
    </row>
    <row r="54" spans="2:12" x14ac:dyDescent="0.25">
      <c r="B54" s="5"/>
      <c r="C54" s="28"/>
      <c r="D54" s="35"/>
      <c r="E54" s="9"/>
      <c r="F54" s="72"/>
      <c r="G54" s="76"/>
      <c r="H54" s="10"/>
      <c r="I54" s="72"/>
      <c r="J54" s="76"/>
      <c r="K54" s="78"/>
      <c r="L54" s="55"/>
    </row>
    <row r="55" spans="2:12" x14ac:dyDescent="0.25">
      <c r="B55" s="5"/>
      <c r="C55" s="28"/>
      <c r="D55" s="35"/>
      <c r="E55" s="9"/>
      <c r="F55" s="72"/>
      <c r="G55" s="76"/>
      <c r="H55" s="10"/>
      <c r="I55" s="72"/>
      <c r="J55" s="76"/>
      <c r="K55" s="78"/>
      <c r="L55" s="55"/>
    </row>
    <row r="56" spans="2:12" x14ac:dyDescent="0.25">
      <c r="B56" s="5"/>
      <c r="C56" s="28"/>
      <c r="D56" s="35"/>
      <c r="E56" s="9"/>
      <c r="F56" s="72"/>
      <c r="G56" s="76"/>
      <c r="H56" s="10"/>
      <c r="I56" s="72"/>
      <c r="J56" s="76"/>
      <c r="K56" s="78"/>
      <c r="L56" s="55"/>
    </row>
    <row r="57" spans="2:12" x14ac:dyDescent="0.25">
      <c r="B57" s="5"/>
      <c r="C57" s="28"/>
      <c r="D57" s="35"/>
      <c r="E57" s="9"/>
      <c r="F57" s="72"/>
      <c r="G57" s="76"/>
      <c r="H57" s="10"/>
      <c r="I57" s="72"/>
      <c r="J57" s="76"/>
      <c r="K57" s="78"/>
      <c r="L57" s="55"/>
    </row>
    <row r="58" spans="2:12" x14ac:dyDescent="0.25">
      <c r="B58" s="5"/>
      <c r="C58" s="28"/>
      <c r="D58" s="35"/>
      <c r="E58" s="9"/>
      <c r="F58" s="72"/>
      <c r="G58" s="76"/>
      <c r="H58" s="10"/>
      <c r="I58" s="72"/>
      <c r="J58" s="76"/>
      <c r="K58" s="78"/>
      <c r="L58" s="55"/>
    </row>
    <row r="59" spans="2:12" x14ac:dyDescent="0.25">
      <c r="B59" s="5"/>
      <c r="C59" s="28"/>
      <c r="D59" s="35"/>
      <c r="E59" s="9"/>
      <c r="F59" s="72"/>
      <c r="G59" s="76"/>
      <c r="H59" s="10"/>
      <c r="I59" s="72"/>
      <c r="J59" s="76"/>
      <c r="K59" s="78"/>
      <c r="L59" s="55"/>
    </row>
    <row r="60" spans="2:12" x14ac:dyDescent="0.25">
      <c r="B60" s="5"/>
      <c r="C60" s="28"/>
      <c r="D60" s="35"/>
      <c r="E60" s="9"/>
      <c r="F60" s="72"/>
      <c r="G60" s="76"/>
      <c r="H60" s="10"/>
      <c r="I60" s="72"/>
      <c r="J60" s="76"/>
      <c r="K60" s="78"/>
      <c r="L60" s="55"/>
    </row>
    <row r="61" spans="2:12" x14ac:dyDescent="0.25">
      <c r="B61" s="5"/>
      <c r="C61" s="28"/>
      <c r="D61" s="35"/>
      <c r="E61" s="9"/>
      <c r="F61" s="72"/>
      <c r="G61" s="76"/>
      <c r="H61" s="10"/>
      <c r="I61" s="72"/>
      <c r="J61" s="76"/>
      <c r="K61" s="78"/>
      <c r="L61" s="55"/>
    </row>
    <row r="62" spans="2:12" x14ac:dyDescent="0.25">
      <c r="B62" s="5"/>
      <c r="C62" s="28"/>
      <c r="D62" s="35"/>
      <c r="E62" s="9"/>
      <c r="F62" s="72"/>
      <c r="G62" s="76"/>
      <c r="H62" s="10"/>
      <c r="I62" s="72"/>
      <c r="J62" s="76"/>
      <c r="K62" s="78"/>
      <c r="L62" s="55"/>
    </row>
    <row r="63" spans="2:12" x14ac:dyDescent="0.25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 x14ac:dyDescent="0.25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92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93</v>
      </c>
      <c r="D71" s="10"/>
      <c r="E71" s="10"/>
      <c r="F71" s="49" t="s">
        <v>95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 t="s">
        <v>2</v>
      </c>
      <c r="D72" s="34" t="s">
        <v>115</v>
      </c>
      <c r="E72" s="7"/>
      <c r="F72" s="96" t="s">
        <v>109</v>
      </c>
      <c r="G72" s="96" t="s">
        <v>12</v>
      </c>
      <c r="H72" s="96" t="s">
        <v>13</v>
      </c>
      <c r="I72" s="96" t="s">
        <v>11</v>
      </c>
      <c r="J72" s="96" t="str">
        <f>IF(D79,"ConvexityAdj","Volatility")</f>
        <v>Volatility</v>
      </c>
      <c r="K72" s="10"/>
      <c r="L72" s="55"/>
    </row>
    <row r="73" spans="2:12" x14ac:dyDescent="0.25">
      <c r="B73" s="5"/>
      <c r="C73" s="28" t="s">
        <v>6</v>
      </c>
      <c r="D73" s="35" t="s">
        <v>110</v>
      </c>
      <c r="E73" s="9"/>
      <c r="F73" s="82" t="s">
        <v>132</v>
      </c>
      <c r="G73" s="79">
        <v>42634</v>
      </c>
      <c r="H73" s="79">
        <v>42725</v>
      </c>
      <c r="I73" s="80">
        <v>99.17</v>
      </c>
      <c r="J73" s="81">
        <v>8.9999999999999993E-3</v>
      </c>
      <c r="K73" s="10"/>
      <c r="L73" s="55"/>
    </row>
    <row r="74" spans="2:12" x14ac:dyDescent="0.25">
      <c r="B74" s="5"/>
      <c r="C74" s="28" t="s">
        <v>14</v>
      </c>
      <c r="D74" s="35" t="s">
        <v>94</v>
      </c>
      <c r="E74" s="9"/>
      <c r="F74" s="83" t="s">
        <v>133</v>
      </c>
      <c r="G74" s="84">
        <v>42725</v>
      </c>
      <c r="H74" s="84">
        <v>42809</v>
      </c>
      <c r="I74" s="85">
        <v>99.085000000000008</v>
      </c>
      <c r="J74" s="86">
        <v>8.9999999999999993E-3</v>
      </c>
      <c r="K74" s="10"/>
      <c r="L74" s="55"/>
    </row>
    <row r="75" spans="2:12" x14ac:dyDescent="0.25">
      <c r="B75" s="5"/>
      <c r="C75" s="28" t="s">
        <v>21</v>
      </c>
      <c r="D75" s="104" t="s">
        <v>20</v>
      </c>
      <c r="E75" s="9"/>
      <c r="F75" s="83" t="s">
        <v>134</v>
      </c>
      <c r="G75" s="84">
        <v>42809</v>
      </c>
      <c r="H75" s="84">
        <v>42907</v>
      </c>
      <c r="I75" s="85">
        <v>99.025000000000006</v>
      </c>
      <c r="J75" s="86">
        <v>8.9999999999999993E-3</v>
      </c>
      <c r="K75" s="10"/>
      <c r="L75" s="55"/>
    </row>
    <row r="76" spans="2:12" x14ac:dyDescent="0.25">
      <c r="B76" s="5"/>
      <c r="C76" s="28" t="s">
        <v>143</v>
      </c>
      <c r="D76" s="74">
        <v>0.03</v>
      </c>
      <c r="E76" s="9"/>
      <c r="F76" s="83" t="s">
        <v>135</v>
      </c>
      <c r="G76" s="84">
        <v>42907</v>
      </c>
      <c r="H76" s="84">
        <v>42998</v>
      </c>
      <c r="I76" s="85">
        <v>98.960000000000008</v>
      </c>
      <c r="J76" s="86">
        <v>8.9999999999999993E-3</v>
      </c>
      <c r="K76" s="10"/>
      <c r="L76" s="55"/>
    </row>
    <row r="77" spans="2:12" x14ac:dyDescent="0.25">
      <c r="B77" s="5"/>
      <c r="C77" s="28" t="s">
        <v>90</v>
      </c>
      <c r="D77" s="35" t="b">
        <v>0</v>
      </c>
      <c r="E77" s="9"/>
      <c r="F77" s="83" t="s">
        <v>136</v>
      </c>
      <c r="G77" s="84">
        <v>42998</v>
      </c>
      <c r="H77" s="84">
        <v>43089</v>
      </c>
      <c r="I77" s="85">
        <v>98.885000000000005</v>
      </c>
      <c r="J77" s="86">
        <v>8.9999999999999993E-3</v>
      </c>
      <c r="K77" s="10"/>
      <c r="L77" s="55"/>
    </row>
    <row r="78" spans="2:12" x14ac:dyDescent="0.25">
      <c r="B78" s="5"/>
      <c r="C78" s="28" t="s">
        <v>91</v>
      </c>
      <c r="D78" s="35">
        <v>2</v>
      </c>
      <c r="E78" s="9"/>
      <c r="F78" s="83" t="s">
        <v>137</v>
      </c>
      <c r="G78" s="84">
        <v>43089</v>
      </c>
      <c r="H78" s="84">
        <v>43180</v>
      </c>
      <c r="I78" s="85">
        <v>98.81</v>
      </c>
      <c r="J78" s="86">
        <v>8.9999999999999993E-3</v>
      </c>
      <c r="K78" s="10"/>
      <c r="L78" s="55"/>
    </row>
    <row r="79" spans="2:12" x14ac:dyDescent="0.25">
      <c r="B79" s="5"/>
      <c r="C79" s="115" t="s">
        <v>156</v>
      </c>
      <c r="D79" s="35" t="b">
        <v>0</v>
      </c>
      <c r="E79" s="9"/>
      <c r="F79" s="83" t="s">
        <v>138</v>
      </c>
      <c r="G79" s="84">
        <v>43180</v>
      </c>
      <c r="H79" s="84">
        <v>43271</v>
      </c>
      <c r="I79" s="85">
        <v>98.75</v>
      </c>
      <c r="J79" s="86">
        <v>8.9999999999999993E-3</v>
      </c>
      <c r="K79" s="10"/>
      <c r="L79" s="55"/>
    </row>
    <row r="80" spans="2:12" x14ac:dyDescent="0.25">
      <c r="B80" s="5"/>
      <c r="C80" s="28"/>
      <c r="D80" s="35"/>
      <c r="E80" s="9"/>
      <c r="F80" s="83" t="s">
        <v>139</v>
      </c>
      <c r="G80" s="84">
        <v>43271</v>
      </c>
      <c r="H80" s="84">
        <v>43362</v>
      </c>
      <c r="I80" s="85">
        <v>98.68</v>
      </c>
      <c r="J80" s="86">
        <v>8.9999999999999993E-3</v>
      </c>
      <c r="K80" s="10"/>
      <c r="L80" s="55"/>
    </row>
    <row r="81" spans="2:12" x14ac:dyDescent="0.25">
      <c r="B81" s="5"/>
      <c r="C81" s="28"/>
      <c r="D81" s="35"/>
      <c r="E81" s="9"/>
      <c r="F81" s="87" t="s">
        <v>140</v>
      </c>
      <c r="G81" s="84">
        <v>43362</v>
      </c>
      <c r="H81" s="84">
        <v>43453</v>
      </c>
      <c r="I81" s="88">
        <v>98.615000000000009</v>
      </c>
      <c r="J81" s="86">
        <v>8.9999999999999993E-3</v>
      </c>
      <c r="K81" s="10"/>
      <c r="L81" s="55"/>
    </row>
    <row r="82" spans="2:12" x14ac:dyDescent="0.25">
      <c r="B82" s="5"/>
      <c r="C82" s="28"/>
      <c r="D82" s="35"/>
      <c r="E82" s="9"/>
      <c r="F82" s="89" t="s">
        <v>141</v>
      </c>
      <c r="G82" s="90">
        <v>43453</v>
      </c>
      <c r="H82" s="90">
        <v>43544</v>
      </c>
      <c r="I82" s="88">
        <v>98.54</v>
      </c>
      <c r="J82" s="91">
        <v>8.9999999999999993E-3</v>
      </c>
      <c r="K82" s="10"/>
      <c r="L82" s="55"/>
    </row>
    <row r="83" spans="2:12" x14ac:dyDescent="0.25">
      <c r="B83" s="5"/>
      <c r="C83" s="28"/>
      <c r="D83" s="35"/>
      <c r="E83" s="9"/>
      <c r="F83" s="89" t="s">
        <v>142</v>
      </c>
      <c r="G83" s="90">
        <v>43544</v>
      </c>
      <c r="H83" s="90">
        <v>43635</v>
      </c>
      <c r="I83" s="88">
        <v>98.484999999999999</v>
      </c>
      <c r="J83" s="91">
        <v>8.9999999999999993E-3</v>
      </c>
      <c r="K83" s="10"/>
      <c r="L83" s="55"/>
    </row>
    <row r="84" spans="2:12" x14ac:dyDescent="0.25">
      <c r="B84" s="5"/>
      <c r="C84" s="28"/>
      <c r="D84" s="35"/>
      <c r="E84" s="9"/>
      <c r="F84" s="89"/>
      <c r="G84" s="90"/>
      <c r="H84" s="90"/>
      <c r="I84" s="88"/>
      <c r="J84" s="91"/>
      <c r="K84" s="10"/>
      <c r="L84" s="55"/>
    </row>
    <row r="85" spans="2:12" x14ac:dyDescent="0.25">
      <c r="B85" s="5"/>
      <c r="C85" s="33"/>
      <c r="D85" s="40"/>
      <c r="E85" s="9"/>
      <c r="F85" s="92"/>
      <c r="G85" s="93"/>
      <c r="H85" s="93"/>
      <c r="I85" s="94"/>
      <c r="J85" s="95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96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97</v>
      </c>
      <c r="D92" s="10"/>
      <c r="E92" s="10"/>
      <c r="F92" s="49" t="s">
        <v>98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101" t="s">
        <v>1</v>
      </c>
      <c r="D93" s="34" t="s">
        <v>129</v>
      </c>
      <c r="E93" s="7"/>
      <c r="F93" s="78" t="s">
        <v>10</v>
      </c>
      <c r="G93" s="78" t="s">
        <v>11</v>
      </c>
      <c r="H93" s="78" t="s">
        <v>7</v>
      </c>
      <c r="I93" s="10"/>
      <c r="J93" s="10"/>
      <c r="K93" s="10"/>
      <c r="L93" s="55"/>
    </row>
    <row r="94" spans="2:12" x14ac:dyDescent="0.25">
      <c r="B94" s="5"/>
      <c r="C94" s="102" t="s">
        <v>82</v>
      </c>
      <c r="D94" s="35" t="s">
        <v>18</v>
      </c>
      <c r="E94" s="9"/>
      <c r="F94" s="100" t="s">
        <v>45</v>
      </c>
      <c r="G94" s="97">
        <v>1.3004999999999999E-2</v>
      </c>
      <c r="H94" s="75" t="b">
        <v>1</v>
      </c>
      <c r="I94" s="10"/>
      <c r="J94" s="10"/>
      <c r="K94" s="10"/>
      <c r="L94" s="55"/>
    </row>
    <row r="95" spans="2:12" x14ac:dyDescent="0.25">
      <c r="B95" s="5"/>
      <c r="C95" s="102" t="s">
        <v>99</v>
      </c>
      <c r="D95" s="35" t="s">
        <v>5</v>
      </c>
      <c r="E95" s="9"/>
      <c r="F95" s="24" t="s">
        <v>47</v>
      </c>
      <c r="G95" s="98">
        <v>1.502E-2</v>
      </c>
      <c r="H95" s="76" t="b">
        <v>1</v>
      </c>
      <c r="I95" s="10"/>
      <c r="J95" s="10"/>
      <c r="K95" s="10"/>
      <c r="L95" s="55"/>
    </row>
    <row r="96" spans="2:12" x14ac:dyDescent="0.25">
      <c r="B96" s="5"/>
      <c r="C96" s="102" t="s">
        <v>25</v>
      </c>
      <c r="D96" s="35" t="s">
        <v>100</v>
      </c>
      <c r="E96" s="9"/>
      <c r="F96" s="24" t="s">
        <v>49</v>
      </c>
      <c r="G96" s="98">
        <v>1.7344999999999999E-2</v>
      </c>
      <c r="H96" s="76" t="b">
        <v>1</v>
      </c>
      <c r="I96" s="10"/>
      <c r="J96" s="10"/>
      <c r="K96" s="10"/>
      <c r="L96" s="55"/>
    </row>
    <row r="97" spans="2:12" x14ac:dyDescent="0.25">
      <c r="B97" s="5"/>
      <c r="C97" s="102" t="s">
        <v>101</v>
      </c>
      <c r="D97" s="35" t="s">
        <v>26</v>
      </c>
      <c r="E97" s="9"/>
      <c r="F97" s="24" t="s">
        <v>50</v>
      </c>
      <c r="G97" s="98">
        <v>1.7989999999999999E-2</v>
      </c>
      <c r="H97" s="76" t="b">
        <v>1</v>
      </c>
      <c r="I97" s="10"/>
      <c r="J97" s="10"/>
      <c r="K97" s="10"/>
      <c r="L97" s="55"/>
    </row>
    <row r="98" spans="2:12" x14ac:dyDescent="0.25">
      <c r="B98" s="5"/>
      <c r="C98" s="102" t="s">
        <v>102</v>
      </c>
      <c r="D98" s="109" t="s">
        <v>70</v>
      </c>
      <c r="E98" s="9"/>
      <c r="F98" s="24" t="s">
        <v>51</v>
      </c>
      <c r="G98" s="98">
        <v>1.8494999999999998E-2</v>
      </c>
      <c r="H98" s="76" t="b">
        <v>1</v>
      </c>
      <c r="I98" s="10"/>
      <c r="J98" s="10"/>
      <c r="K98" s="10"/>
      <c r="L98" s="55"/>
    </row>
    <row r="99" spans="2:12" x14ac:dyDescent="0.25">
      <c r="B99" s="5"/>
      <c r="C99" s="102" t="s">
        <v>85</v>
      </c>
      <c r="D99" s="35" t="b">
        <v>1</v>
      </c>
      <c r="E99" s="9"/>
      <c r="F99" s="24" t="s">
        <v>52</v>
      </c>
      <c r="G99" s="98">
        <v>1.9720000000000001E-2</v>
      </c>
      <c r="H99" s="76" t="b">
        <v>1</v>
      </c>
      <c r="I99" s="10"/>
      <c r="J99" s="10"/>
      <c r="K99" s="10"/>
      <c r="L99" s="55"/>
    </row>
    <row r="100" spans="2:12" x14ac:dyDescent="0.25">
      <c r="B100" s="5"/>
      <c r="C100" s="102" t="s">
        <v>155</v>
      </c>
      <c r="D100" s="35">
        <v>31</v>
      </c>
      <c r="E100" s="9"/>
      <c r="F100" s="24" t="s">
        <v>53</v>
      </c>
      <c r="G100" s="98">
        <v>2.0975000000000001E-2</v>
      </c>
      <c r="H100" s="76" t="b">
        <v>1</v>
      </c>
      <c r="I100" s="10"/>
      <c r="J100" s="10"/>
      <c r="K100" s="10"/>
      <c r="L100" s="55"/>
    </row>
    <row r="101" spans="2:12" x14ac:dyDescent="0.25">
      <c r="B101" s="5"/>
      <c r="C101" s="102" t="s">
        <v>103</v>
      </c>
      <c r="D101" s="35" t="b">
        <v>1</v>
      </c>
      <c r="E101" s="9"/>
      <c r="F101" s="24" t="s">
        <v>54</v>
      </c>
      <c r="G101" s="98">
        <v>2.1579999999999998E-2</v>
      </c>
      <c r="H101" s="76" t="b">
        <v>1</v>
      </c>
      <c r="I101" s="10"/>
      <c r="J101" s="10"/>
      <c r="K101" s="10"/>
      <c r="L101" s="55"/>
    </row>
    <row r="102" spans="2:12" x14ac:dyDescent="0.25">
      <c r="B102" s="5"/>
      <c r="C102" s="102" t="s">
        <v>144</v>
      </c>
      <c r="D102" s="35" t="b">
        <v>1</v>
      </c>
      <c r="E102" s="9"/>
      <c r="F102" s="24" t="s">
        <v>55</v>
      </c>
      <c r="G102" s="98">
        <v>2.198E-2</v>
      </c>
      <c r="H102" s="76" t="b">
        <v>1</v>
      </c>
      <c r="I102" s="10"/>
      <c r="J102" s="10"/>
      <c r="K102" s="10"/>
      <c r="L102" s="55"/>
    </row>
    <row r="103" spans="2:12" x14ac:dyDescent="0.25">
      <c r="B103" s="5"/>
      <c r="C103" s="102" t="s">
        <v>84</v>
      </c>
      <c r="D103" s="35">
        <v>2</v>
      </c>
      <c r="E103" s="9"/>
      <c r="F103" s="24" t="s">
        <v>56</v>
      </c>
      <c r="G103" s="98">
        <v>2.2151999999999998E-2</v>
      </c>
      <c r="H103" s="76" t="b">
        <v>1</v>
      </c>
      <c r="I103" s="10"/>
      <c r="J103" s="10"/>
      <c r="K103" s="10"/>
      <c r="L103" s="55"/>
    </row>
    <row r="104" spans="2:12" x14ac:dyDescent="0.25">
      <c r="B104" s="5"/>
      <c r="C104" s="102" t="s">
        <v>19</v>
      </c>
      <c r="D104" s="68" t="s">
        <v>20</v>
      </c>
      <c r="E104" s="9"/>
      <c r="F104" s="24"/>
      <c r="G104" s="98"/>
      <c r="H104" s="76"/>
      <c r="I104" s="10"/>
      <c r="J104" s="10"/>
      <c r="K104" s="10"/>
      <c r="L104" s="55"/>
    </row>
    <row r="105" spans="2:12" x14ac:dyDescent="0.25">
      <c r="B105" s="5"/>
      <c r="C105" s="102" t="s">
        <v>104</v>
      </c>
      <c r="D105" s="35" t="b">
        <v>1</v>
      </c>
      <c r="E105" s="9"/>
      <c r="F105" s="24"/>
      <c r="G105" s="98"/>
      <c r="H105" s="76"/>
      <c r="I105" s="10"/>
      <c r="J105" s="10"/>
      <c r="K105" s="10"/>
      <c r="L105" s="55"/>
    </row>
    <row r="106" spans="2:12" x14ac:dyDescent="0.25">
      <c r="B106" s="5"/>
      <c r="C106" s="102" t="s">
        <v>105</v>
      </c>
      <c r="D106" s="38">
        <v>1.0000000000000001E-9</v>
      </c>
      <c r="E106" s="9"/>
      <c r="F106" s="24"/>
      <c r="G106" s="98"/>
      <c r="H106" s="76"/>
      <c r="I106" s="10"/>
      <c r="J106" s="10"/>
      <c r="K106" s="10"/>
      <c r="L106" s="55"/>
    </row>
    <row r="107" spans="2:12" x14ac:dyDescent="0.25">
      <c r="B107" s="5"/>
      <c r="C107" s="102" t="s">
        <v>106</v>
      </c>
      <c r="D107" s="105">
        <v>1000</v>
      </c>
      <c r="E107" s="9"/>
      <c r="F107" s="24"/>
      <c r="G107" s="98"/>
      <c r="H107" s="76"/>
      <c r="I107" s="10"/>
      <c r="J107" s="10"/>
      <c r="K107" s="10"/>
      <c r="L107" s="55"/>
    </row>
    <row r="108" spans="2:12" x14ac:dyDescent="0.25">
      <c r="B108" s="5"/>
      <c r="C108" s="102"/>
      <c r="D108" s="35"/>
      <c r="E108" s="9"/>
      <c r="F108" s="24"/>
      <c r="G108" s="98"/>
      <c r="H108" s="76"/>
      <c r="I108" s="10"/>
      <c r="J108" s="10"/>
      <c r="K108" s="10"/>
      <c r="L108" s="55"/>
    </row>
    <row r="109" spans="2:12" x14ac:dyDescent="0.25">
      <c r="B109" s="5"/>
      <c r="C109" s="102"/>
      <c r="D109" s="35"/>
      <c r="E109" s="9"/>
      <c r="F109" s="24"/>
      <c r="G109" s="98"/>
      <c r="H109" s="76"/>
      <c r="I109" s="10"/>
      <c r="J109" s="10"/>
      <c r="K109" s="10"/>
      <c r="L109" s="55"/>
    </row>
    <row r="110" spans="2:12" x14ac:dyDescent="0.25">
      <c r="B110" s="5"/>
      <c r="C110" s="102"/>
      <c r="D110" s="35"/>
      <c r="E110" s="9"/>
      <c r="F110" s="24"/>
      <c r="G110" s="98"/>
      <c r="H110" s="76"/>
      <c r="I110" s="10"/>
      <c r="J110" s="10"/>
      <c r="K110" s="10"/>
      <c r="L110" s="55"/>
    </row>
    <row r="111" spans="2:12" x14ac:dyDescent="0.25">
      <c r="B111" s="5"/>
      <c r="C111" s="103"/>
      <c r="D111" s="40"/>
      <c r="E111" s="9"/>
      <c r="F111" s="25"/>
      <c r="G111" s="99"/>
      <c r="H111" s="77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G42 D104 D75 D40">
      <formula1>"FOLLOWING,MOD_FOLLOWING,PRECEDING,MOD_PRECEEDING,NO_CHANGE"</formula1>
    </dataValidation>
    <dataValidation type="list" allowBlank="1" showInputMessage="1" showErrorMessage="1" sqref="D98 D24:D25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C00000"/>
  </sheetPr>
  <dimension ref="A2:D147"/>
  <sheetViews>
    <sheetView showGridLines="0" tabSelected="1" workbookViewId="0"/>
  </sheetViews>
  <sheetFormatPr defaultRowHeight="15" x14ac:dyDescent="0.25"/>
  <cols>
    <col min="1" max="1" width="9.140625" style="114"/>
    <col min="2" max="2" width="17.7109375" style="116" bestFit="1" customWidth="1"/>
    <col min="3" max="3" width="12.140625" style="114" customWidth="1"/>
    <col min="4" max="16384" width="9.140625" style="114"/>
  </cols>
  <sheetData>
    <row r="2" spans="1:4" x14ac:dyDescent="0.25">
      <c r="B2" s="120" t="s">
        <v>160</v>
      </c>
    </row>
    <row r="4" spans="1:4" x14ac:dyDescent="0.25">
      <c r="B4" s="121" t="s">
        <v>74</v>
      </c>
      <c r="C4" s="124" t="s">
        <v>114</v>
      </c>
      <c r="D4" s="125" t="s">
        <v>114</v>
      </c>
    </row>
    <row r="5" spans="1:4" x14ac:dyDescent="0.25">
      <c r="B5" s="122" t="s">
        <v>151</v>
      </c>
      <c r="C5" s="126" t="s">
        <v>158</v>
      </c>
      <c r="D5" s="127" t="s">
        <v>152</v>
      </c>
    </row>
    <row r="7" spans="1:4" x14ac:dyDescent="0.25">
      <c r="B7" s="116" t="s">
        <v>161</v>
      </c>
    </row>
    <row r="8" spans="1:4" x14ac:dyDescent="0.25">
      <c r="A8" s="116"/>
      <c r="B8" s="123">
        <v>10</v>
      </c>
    </row>
    <row r="10" spans="1:4" x14ac:dyDescent="0.25">
      <c r="B10" s="116" t="s">
        <v>159</v>
      </c>
      <c r="C10" s="116" t="str">
        <f>C5</f>
        <v>USDOIS</v>
      </c>
      <c r="D10" s="116" t="str">
        <f>D5</f>
        <v>USD3ML</v>
      </c>
    </row>
    <row r="11" spans="1:4" x14ac:dyDescent="0.25">
      <c r="B11" s="118">
        <f>COB</f>
        <v>42419</v>
      </c>
      <c r="C11" s="119">
        <f t="array" aca="1" ref="C11:C105" ca="1">_xll.meCurveForwardRates($B$11:$B$105,C$4,C$5)</f>
        <v>3.7067684619342955E-3</v>
      </c>
      <c r="D11" s="119">
        <f t="array" aca="1" ref="D11:D105" ca="1">_xll.meCurveForwardRates($B$11:$B$105,D$4,D$5)</f>
        <v>6.2074303272633292E-3</v>
      </c>
    </row>
    <row r="12" spans="1:4" x14ac:dyDescent="0.25">
      <c r="B12" s="118">
        <f t="shared" ref="B12:B43" si="0">B11+$B$8</f>
        <v>42429</v>
      </c>
      <c r="C12" s="119">
        <f ca="1"/>
        <v>3.7068343658062108E-3</v>
      </c>
      <c r="D12" s="119">
        <f ca="1"/>
        <v>6.3038545091053805E-3</v>
      </c>
    </row>
    <row r="13" spans="1:4" x14ac:dyDescent="0.25">
      <c r="B13" s="118">
        <f t="shared" si="0"/>
        <v>42439</v>
      </c>
      <c r="C13" s="119">
        <f ca="1"/>
        <v>3.7068343657260527E-3</v>
      </c>
      <c r="D13" s="119">
        <f ca="1"/>
        <v>6.4002786909476824E-3</v>
      </c>
    </row>
    <row r="14" spans="1:4" x14ac:dyDescent="0.25">
      <c r="B14" s="118">
        <f t="shared" si="0"/>
        <v>42449</v>
      </c>
      <c r="C14" s="119">
        <f ca="1"/>
        <v>3.7068015544754473E-3</v>
      </c>
      <c r="D14" s="119">
        <f ca="1"/>
        <v>6.4967028727899853E-3</v>
      </c>
    </row>
    <row r="15" spans="1:4" x14ac:dyDescent="0.25">
      <c r="B15" s="118">
        <f t="shared" si="0"/>
        <v>42459</v>
      </c>
      <c r="C15" s="119">
        <f ca="1"/>
        <v>3.7068343657260527E-3</v>
      </c>
      <c r="D15" s="119">
        <f ca="1"/>
        <v>6.5931270546322864E-3</v>
      </c>
    </row>
    <row r="16" spans="1:4" x14ac:dyDescent="0.25">
      <c r="B16" s="118">
        <f t="shared" si="0"/>
        <v>42469</v>
      </c>
      <c r="C16" s="119">
        <f ca="1"/>
        <v>3.7067854843388925E-3</v>
      </c>
      <c r="D16" s="119">
        <f ca="1"/>
        <v>6.6895512364745892E-3</v>
      </c>
    </row>
    <row r="17" spans="2:4" x14ac:dyDescent="0.25">
      <c r="B17" s="118">
        <f t="shared" si="0"/>
        <v>42479</v>
      </c>
      <c r="C17" s="119">
        <f ca="1"/>
        <v>3.7068343657260527E-3</v>
      </c>
      <c r="D17" s="119">
        <f ca="1"/>
        <v>6.7859754183168912E-3</v>
      </c>
    </row>
    <row r="18" spans="2:4" x14ac:dyDescent="0.25">
      <c r="B18" s="118">
        <f t="shared" si="0"/>
        <v>42489</v>
      </c>
      <c r="C18" s="119">
        <f ca="1"/>
        <v>3.7068015552776945E-3</v>
      </c>
      <c r="D18" s="119">
        <f ca="1"/>
        <v>6.882399600159194E-3</v>
      </c>
    </row>
    <row r="19" spans="2:4" x14ac:dyDescent="0.25">
      <c r="B19" s="118">
        <f t="shared" si="0"/>
        <v>42499</v>
      </c>
      <c r="C19" s="119">
        <f ca="1"/>
        <v>3.7068343657260527E-3</v>
      </c>
      <c r="D19" s="119">
        <f ca="1"/>
        <v>6.978823782001496E-3</v>
      </c>
    </row>
    <row r="20" spans="2:4" x14ac:dyDescent="0.25">
      <c r="B20" s="118">
        <f t="shared" si="0"/>
        <v>42509</v>
      </c>
      <c r="C20" s="119">
        <f ca="1"/>
        <v>3.7068343657260527E-3</v>
      </c>
      <c r="D20" s="119">
        <f ca="1"/>
        <v>7.075247963843798E-3</v>
      </c>
    </row>
    <row r="21" spans="2:4" x14ac:dyDescent="0.25">
      <c r="B21" s="118">
        <f t="shared" si="0"/>
        <v>42519</v>
      </c>
      <c r="C21" s="119">
        <f ca="1"/>
        <v>3.7067621554145447E-3</v>
      </c>
      <c r="D21" s="119">
        <f ca="1"/>
        <v>6.5937075736689412E-3</v>
      </c>
    </row>
    <row r="22" spans="2:4" x14ac:dyDescent="0.25">
      <c r="B22" s="118">
        <f t="shared" si="0"/>
        <v>42529</v>
      </c>
      <c r="C22" s="119">
        <f ca="1"/>
        <v>3.7068343657260527E-3</v>
      </c>
      <c r="D22" s="119">
        <f ca="1"/>
        <v>6.0176743742683452E-3</v>
      </c>
    </row>
    <row r="23" spans="2:4" x14ac:dyDescent="0.25">
      <c r="B23" s="118">
        <f t="shared" si="0"/>
        <v>42539</v>
      </c>
      <c r="C23" s="119">
        <f ca="1"/>
        <v>3.7067855502088687E-3</v>
      </c>
      <c r="D23" s="119">
        <f ca="1"/>
        <v>5.557325009940977E-3</v>
      </c>
    </row>
    <row r="24" spans="2:4" x14ac:dyDescent="0.25">
      <c r="B24" s="118">
        <f t="shared" si="0"/>
        <v>42549</v>
      </c>
      <c r="C24" s="119">
        <f ca="1"/>
        <v>3.7068343657260527E-3</v>
      </c>
      <c r="D24" s="119">
        <f ca="1"/>
        <v>5.2262425603120301E-3</v>
      </c>
    </row>
    <row r="25" spans="2:4" x14ac:dyDescent="0.25">
      <c r="B25" s="118">
        <f t="shared" si="0"/>
        <v>42559</v>
      </c>
      <c r="C25" s="119">
        <f ca="1"/>
        <v>3.9073195257619542E-3</v>
      </c>
      <c r="D25" s="119">
        <f ca="1"/>
        <v>5.0380101050067003E-3</v>
      </c>
    </row>
    <row r="26" spans="2:4" x14ac:dyDescent="0.25">
      <c r="B26" s="118">
        <f t="shared" si="0"/>
        <v>42569</v>
      </c>
      <c r="C26" s="119">
        <f ca="1"/>
        <v>3.9075936887373874E-3</v>
      </c>
      <c r="D26" s="119">
        <f ca="1"/>
        <v>5.0062107236501759E-3</v>
      </c>
    </row>
    <row r="27" spans="2:4" x14ac:dyDescent="0.25">
      <c r="B27" s="118">
        <f t="shared" si="0"/>
        <v>42579</v>
      </c>
      <c r="C27" s="119">
        <f ca="1"/>
        <v>3.9075936888175455E-3</v>
      </c>
      <c r="D27" s="119">
        <f ca="1"/>
        <v>5.1444274958676465E-3</v>
      </c>
    </row>
    <row r="28" spans="2:4" x14ac:dyDescent="0.25">
      <c r="B28" s="118">
        <f t="shared" si="0"/>
        <v>42589</v>
      </c>
      <c r="C28" s="119">
        <f ca="1"/>
        <v>4.4099062767875008E-3</v>
      </c>
      <c r="D28" s="119">
        <f ca="1"/>
        <v>5.4662435012843048E-3</v>
      </c>
    </row>
    <row r="29" spans="2:4" x14ac:dyDescent="0.25">
      <c r="B29" s="118">
        <f t="shared" si="0"/>
        <v>42599</v>
      </c>
      <c r="C29" s="119">
        <f ca="1"/>
        <v>4.4096672057529762E-3</v>
      </c>
      <c r="D29" s="119">
        <f ca="1"/>
        <v>5.9852418195253396E-3</v>
      </c>
    </row>
    <row r="30" spans="2:4" x14ac:dyDescent="0.25">
      <c r="B30" s="118">
        <f t="shared" si="0"/>
        <v>42609</v>
      </c>
      <c r="C30" s="119">
        <f ca="1"/>
        <v>4.4107727197633118E-3</v>
      </c>
      <c r="D30" s="119">
        <f ca="1"/>
        <v>6.7116726122687931E-3</v>
      </c>
    </row>
    <row r="31" spans="2:4" x14ac:dyDescent="0.25">
      <c r="B31" s="118">
        <f t="shared" si="0"/>
        <v>42619</v>
      </c>
      <c r="C31" s="119">
        <f ca="1"/>
        <v>4.8617474584309317E-3</v>
      </c>
      <c r="D31" s="119">
        <f ca="1"/>
        <v>7.5262188559974399E-3</v>
      </c>
    </row>
    <row r="32" spans="2:4" x14ac:dyDescent="0.25">
      <c r="B32" s="118">
        <f t="shared" si="0"/>
        <v>42629</v>
      </c>
      <c r="C32" s="119">
        <f ca="1"/>
        <v>4.8616907964751377E-3</v>
      </c>
      <c r="D32" s="119">
        <f ca="1"/>
        <v>8.1412511708631903E-3</v>
      </c>
    </row>
    <row r="33" spans="2:4" x14ac:dyDescent="0.25">
      <c r="B33" s="118">
        <f t="shared" si="0"/>
        <v>42639</v>
      </c>
      <c r="C33" s="119">
        <f ca="1"/>
        <v>4.8617474584309317E-3</v>
      </c>
      <c r="D33" s="119">
        <f ca="1"/>
        <v>8.3264809215228813E-3</v>
      </c>
    </row>
    <row r="34" spans="2:4" x14ac:dyDescent="0.25">
      <c r="B34" s="118">
        <f t="shared" si="0"/>
        <v>42649</v>
      </c>
      <c r="C34" s="119">
        <f ca="1"/>
        <v>5.1632470178089029E-3</v>
      </c>
      <c r="D34" s="119">
        <f ca="1"/>
        <v>8.4180868037366779E-3</v>
      </c>
    </row>
    <row r="35" spans="2:4" x14ac:dyDescent="0.25">
      <c r="B35" s="118">
        <f t="shared" si="0"/>
        <v>42659</v>
      </c>
      <c r="C35" s="119">
        <f ca="1"/>
        <v>5.1631835924303981E-3</v>
      </c>
      <c r="D35" s="119">
        <f ca="1"/>
        <v>8.5097780444309164E-3</v>
      </c>
    </row>
    <row r="36" spans="2:4" x14ac:dyDescent="0.25">
      <c r="B36" s="118">
        <f t="shared" si="0"/>
        <v>42669</v>
      </c>
      <c r="C36" s="119">
        <f ca="1"/>
        <v>5.1632470178895051E-3</v>
      </c>
      <c r="D36" s="119">
        <f ca="1"/>
        <v>8.601469167467941E-3</v>
      </c>
    </row>
    <row r="37" spans="2:4" x14ac:dyDescent="0.25">
      <c r="B37" s="118">
        <f t="shared" si="0"/>
        <v>42679</v>
      </c>
      <c r="C37" s="119">
        <f ca="1"/>
        <v>5.3636677594917082E-3</v>
      </c>
      <c r="D37" s="119">
        <f ca="1"/>
        <v>8.6931601158466119E-3</v>
      </c>
    </row>
    <row r="38" spans="2:4" x14ac:dyDescent="0.25">
      <c r="B38" s="118">
        <f t="shared" si="0"/>
        <v>42689</v>
      </c>
      <c r="C38" s="119">
        <f ca="1"/>
        <v>5.3642968395495316E-3</v>
      </c>
      <c r="D38" s="119">
        <f ca="1"/>
        <v>8.7849776345297181E-3</v>
      </c>
    </row>
    <row r="39" spans="2:4" x14ac:dyDescent="0.25">
      <c r="B39" s="118">
        <f t="shared" si="0"/>
        <v>42699</v>
      </c>
      <c r="C39" s="119">
        <f ca="1"/>
        <v>5.3655248297947988E-3</v>
      </c>
      <c r="D39" s="119">
        <f ca="1"/>
        <v>8.8699814508296365E-3</v>
      </c>
    </row>
    <row r="40" spans="2:4" x14ac:dyDescent="0.25">
      <c r="B40" s="118">
        <f t="shared" si="0"/>
        <v>42709</v>
      </c>
      <c r="C40" s="119">
        <f ca="1"/>
        <v>5.6659467653294993E-3</v>
      </c>
      <c r="D40" s="119">
        <f ca="1"/>
        <v>8.9682438668996067E-3</v>
      </c>
    </row>
    <row r="41" spans="2:4" x14ac:dyDescent="0.25">
      <c r="B41" s="118">
        <f t="shared" si="0"/>
        <v>42719</v>
      </c>
      <c r="C41" s="119">
        <f ca="1"/>
        <v>5.6659467653294993E-3</v>
      </c>
      <c r="D41" s="119">
        <f ca="1"/>
        <v>9.061401452975482E-3</v>
      </c>
    </row>
    <row r="42" spans="2:4" x14ac:dyDescent="0.25">
      <c r="B42" s="118">
        <f t="shared" si="0"/>
        <v>42729</v>
      </c>
      <c r="C42" s="119">
        <f ca="1"/>
        <v>5.6657652707985395E-3</v>
      </c>
      <c r="D42" s="119">
        <f ca="1"/>
        <v>9.1424687936774458E-3</v>
      </c>
    </row>
    <row r="43" spans="2:4" x14ac:dyDescent="0.25">
      <c r="B43" s="118">
        <f t="shared" si="0"/>
        <v>42739</v>
      </c>
      <c r="C43" s="119">
        <f ca="1"/>
        <v>5.816805572418815E-3</v>
      </c>
      <c r="D43" s="119">
        <f ca="1"/>
        <v>9.2113675612270178E-3</v>
      </c>
    </row>
    <row r="44" spans="2:4" x14ac:dyDescent="0.25">
      <c r="B44" s="118">
        <f t="shared" ref="B44:B75" si="1">B43+$B$8</f>
        <v>42749</v>
      </c>
      <c r="C44" s="119">
        <f ca="1"/>
        <v>5.8166274563091758E-3</v>
      </c>
      <c r="D44" s="119">
        <f ca="1"/>
        <v>9.2803794630418601E-3</v>
      </c>
    </row>
    <row r="45" spans="2:4" x14ac:dyDescent="0.25">
      <c r="B45" s="118">
        <f t="shared" si="1"/>
        <v>42759</v>
      </c>
      <c r="C45" s="119">
        <f ca="1"/>
        <v>5.8168055724190371E-3</v>
      </c>
      <c r="D45" s="119">
        <f ca="1"/>
        <v>9.3493913648567024E-3</v>
      </c>
    </row>
    <row r="46" spans="2:4" x14ac:dyDescent="0.25">
      <c r="B46" s="118">
        <f t="shared" si="1"/>
        <v>42769</v>
      </c>
      <c r="C46" s="119">
        <f ca="1"/>
        <v>6.1599787022212915E-3</v>
      </c>
      <c r="D46" s="119">
        <f ca="1"/>
        <v>9.4184032666715448E-3</v>
      </c>
    </row>
    <row r="47" spans="2:4" x14ac:dyDescent="0.25">
      <c r="B47" s="118">
        <f t="shared" si="1"/>
        <v>42779</v>
      </c>
      <c r="C47" s="119">
        <f ca="1"/>
        <v>6.1688972229323458E-3</v>
      </c>
      <c r="D47" s="119">
        <f ca="1"/>
        <v>9.4874151684863871E-3</v>
      </c>
    </row>
    <row r="48" spans="2:4" x14ac:dyDescent="0.25">
      <c r="B48" s="118">
        <f t="shared" si="1"/>
        <v>42789</v>
      </c>
      <c r="C48" s="119">
        <f ca="1"/>
        <v>6.1688972230127259E-3</v>
      </c>
      <c r="D48" s="119">
        <f ca="1"/>
        <v>9.6562467922018721E-3</v>
      </c>
    </row>
    <row r="49" spans="2:4" x14ac:dyDescent="0.25">
      <c r="B49" s="118">
        <f t="shared" si="1"/>
        <v>42799</v>
      </c>
      <c r="C49" s="119">
        <f ca="1"/>
        <v>6.2826566767362202E-3</v>
      </c>
      <c r="D49" s="119">
        <f ca="1"/>
        <v>9.6254389721160717E-3</v>
      </c>
    </row>
    <row r="50" spans="2:4" x14ac:dyDescent="0.25">
      <c r="B50" s="118">
        <f t="shared" si="1"/>
        <v>42809</v>
      </c>
      <c r="C50" s="119">
        <f ca="1"/>
        <v>6.4719059171509663E-3</v>
      </c>
      <c r="D50" s="119">
        <f ca="1"/>
        <v>9.694450873930914E-3</v>
      </c>
    </row>
    <row r="51" spans="2:4" x14ac:dyDescent="0.25">
      <c r="B51" s="118">
        <f t="shared" si="1"/>
        <v>42819</v>
      </c>
      <c r="C51" s="119">
        <f ca="1"/>
        <v>6.6559448815270983E-3</v>
      </c>
      <c r="D51" s="119">
        <f ca="1"/>
        <v>9.758087250657627E-3</v>
      </c>
    </row>
    <row r="52" spans="2:4" x14ac:dyDescent="0.25">
      <c r="B52" s="118">
        <f t="shared" si="1"/>
        <v>42829</v>
      </c>
      <c r="C52" s="119">
        <f ca="1"/>
        <v>6.8334587231253519E-3</v>
      </c>
      <c r="D52" s="119">
        <f ca="1"/>
        <v>9.8217236273843399E-3</v>
      </c>
    </row>
    <row r="53" spans="2:4" x14ac:dyDescent="0.25">
      <c r="B53" s="118">
        <f t="shared" si="1"/>
        <v>42839</v>
      </c>
      <c r="C53" s="119">
        <f ca="1"/>
        <v>7.0031241838597325E-3</v>
      </c>
      <c r="D53" s="119">
        <f ca="1"/>
        <v>9.8853600041110528E-3</v>
      </c>
    </row>
    <row r="54" spans="2:4" x14ac:dyDescent="0.25">
      <c r="B54" s="118">
        <f t="shared" si="1"/>
        <v>42849</v>
      </c>
      <c r="C54" s="119">
        <f ca="1"/>
        <v>7.1636158427010876E-3</v>
      </c>
      <c r="D54" s="119">
        <f ca="1"/>
        <v>9.9489963808377657E-3</v>
      </c>
    </row>
    <row r="55" spans="2:4" x14ac:dyDescent="0.25">
      <c r="B55" s="118">
        <f t="shared" si="1"/>
        <v>42859</v>
      </c>
      <c r="C55" s="119">
        <f ca="1"/>
        <v>7.3136098224830803E-3</v>
      </c>
      <c r="D55" s="119">
        <f ca="1"/>
        <v>1.0012632757564479E-2</v>
      </c>
    </row>
    <row r="56" spans="2:4" x14ac:dyDescent="0.25">
      <c r="B56" s="118">
        <f t="shared" si="1"/>
        <v>42869</v>
      </c>
      <c r="C56" s="119">
        <f ca="1"/>
        <v>7.4517822345754325E-3</v>
      </c>
      <c r="D56" s="119">
        <f ca="1"/>
        <v>1.0076269134291192E-2</v>
      </c>
    </row>
    <row r="57" spans="2:4" x14ac:dyDescent="0.25">
      <c r="B57" s="118">
        <f t="shared" si="1"/>
        <v>42879</v>
      </c>
      <c r="C57" s="119">
        <f ca="1"/>
        <v>7.6820900092762212E-3</v>
      </c>
      <c r="D57" s="119">
        <f ca="1"/>
        <v>1.0139905511017903E-2</v>
      </c>
    </row>
    <row r="58" spans="2:4" x14ac:dyDescent="0.25">
      <c r="B58" s="118">
        <f t="shared" si="1"/>
        <v>42889</v>
      </c>
      <c r="C58" s="119">
        <f ca="1"/>
        <v>7.9560109725069772E-3</v>
      </c>
      <c r="D58" s="119">
        <f ca="1"/>
        <v>1.0203541887744616E-2</v>
      </c>
    </row>
    <row r="59" spans="2:4" x14ac:dyDescent="0.25">
      <c r="B59" s="118">
        <f t="shared" si="1"/>
        <v>42899</v>
      </c>
      <c r="C59" s="119">
        <f ca="1"/>
        <v>8.0759207583536163E-3</v>
      </c>
      <c r="D59" s="119">
        <f ca="1"/>
        <v>1.0267178264471329E-2</v>
      </c>
    </row>
    <row r="60" spans="2:4" x14ac:dyDescent="0.25">
      <c r="B60" s="118">
        <f t="shared" si="1"/>
        <v>42909</v>
      </c>
      <c r="C60" s="119">
        <f ca="1"/>
        <v>8.1947471122145732E-3</v>
      </c>
      <c r="D60" s="119">
        <f ca="1"/>
        <v>1.0333916362887417E-2</v>
      </c>
    </row>
    <row r="61" spans="2:4" x14ac:dyDescent="0.25">
      <c r="B61" s="118">
        <f t="shared" si="1"/>
        <v>42919</v>
      </c>
      <c r="C61" s="119">
        <f ca="1"/>
        <v>8.312398170252866E-3</v>
      </c>
      <c r="D61" s="119">
        <f ca="1"/>
        <v>1.0413061348061001E-2</v>
      </c>
    </row>
    <row r="62" spans="2:4" x14ac:dyDescent="0.25">
      <c r="B62" s="118">
        <f t="shared" si="1"/>
        <v>42929</v>
      </c>
      <c r="C62" s="119">
        <f ca="1"/>
        <v>8.4287887540224204E-3</v>
      </c>
      <c r="D62" s="119">
        <f ca="1"/>
        <v>1.0492206333234586E-2</v>
      </c>
    </row>
    <row r="63" spans="2:4" x14ac:dyDescent="0.25">
      <c r="B63" s="118">
        <f t="shared" si="1"/>
        <v>42939</v>
      </c>
      <c r="C63" s="119">
        <f ca="1"/>
        <v>8.5438335361665008E-3</v>
      </c>
      <c r="D63" s="119">
        <f ca="1"/>
        <v>1.0571351318408171E-2</v>
      </c>
    </row>
    <row r="64" spans="2:4" x14ac:dyDescent="0.25">
      <c r="B64" s="118">
        <f t="shared" si="1"/>
        <v>42949</v>
      </c>
      <c r="C64" s="119">
        <f ca="1"/>
        <v>8.6574472700233773E-3</v>
      </c>
      <c r="D64" s="119">
        <f ca="1"/>
        <v>1.0650496303581756E-2</v>
      </c>
    </row>
    <row r="65" spans="2:4" x14ac:dyDescent="0.25">
      <c r="B65" s="118">
        <f t="shared" si="1"/>
        <v>42959</v>
      </c>
      <c r="C65" s="119">
        <f ca="1"/>
        <v>8.76954454169665E-3</v>
      </c>
      <c r="D65" s="119">
        <f ca="1"/>
        <v>1.0729641288755341E-2</v>
      </c>
    </row>
    <row r="66" spans="2:4" x14ac:dyDescent="0.25">
      <c r="B66" s="118">
        <f t="shared" si="1"/>
        <v>42969</v>
      </c>
      <c r="C66" s="119">
        <f ca="1"/>
        <v>8.8800399858137702E-3</v>
      </c>
      <c r="D66" s="119">
        <f ca="1"/>
        <v>1.0808786273928925E-2</v>
      </c>
    </row>
    <row r="67" spans="2:4" x14ac:dyDescent="0.25">
      <c r="B67" s="118">
        <f t="shared" si="1"/>
        <v>42979</v>
      </c>
      <c r="C67" s="119">
        <f ca="1"/>
        <v>9.0014990869426992E-3</v>
      </c>
      <c r="D67" s="119">
        <f ca="1"/>
        <v>1.088793125910251E-2</v>
      </c>
    </row>
    <row r="68" spans="2:4" x14ac:dyDescent="0.25">
      <c r="B68" s="118">
        <f t="shared" si="1"/>
        <v>42989</v>
      </c>
      <c r="C68" s="119">
        <f ca="1"/>
        <v>9.1448341380753195E-3</v>
      </c>
      <c r="D68" s="119">
        <f ca="1"/>
        <v>1.0967076244276095E-2</v>
      </c>
    </row>
    <row r="69" spans="2:4" x14ac:dyDescent="0.25">
      <c r="B69" s="118">
        <f t="shared" si="1"/>
        <v>42999</v>
      </c>
      <c r="C69" s="119">
        <f ca="1"/>
        <v>9.2744786418372804E-3</v>
      </c>
      <c r="D69" s="119">
        <f ca="1"/>
        <v>1.1046183754242942E-2</v>
      </c>
    </row>
    <row r="70" spans="2:4" x14ac:dyDescent="0.25">
      <c r="B70" s="118">
        <f t="shared" si="1"/>
        <v>43009</v>
      </c>
      <c r="C70" s="119">
        <f ca="1"/>
        <v>9.3904146845018577E-3</v>
      </c>
      <c r="D70" s="119">
        <f ca="1"/>
        <v>1.1124845762191041E-2</v>
      </c>
    </row>
    <row r="71" spans="2:4" x14ac:dyDescent="0.25">
      <c r="B71" s="118">
        <f t="shared" si="1"/>
        <v>43019</v>
      </c>
      <c r="C71" s="119">
        <f ca="1"/>
        <v>9.4926244318331854E-3</v>
      </c>
      <c r="D71" s="119">
        <f ca="1"/>
        <v>1.120351763474864E-2</v>
      </c>
    </row>
    <row r="72" spans="2:4" x14ac:dyDescent="0.25">
      <c r="B72" s="118">
        <f t="shared" si="1"/>
        <v>43029</v>
      </c>
      <c r="C72" s="119">
        <f ca="1"/>
        <v>9.5810901822375172E-3</v>
      </c>
      <c r="D72" s="119">
        <f ca="1"/>
        <v>1.1282189493681065E-2</v>
      </c>
    </row>
    <row r="73" spans="2:4" x14ac:dyDescent="0.25">
      <c r="B73" s="118">
        <f t="shared" si="1"/>
        <v>43039</v>
      </c>
      <c r="C73" s="119">
        <f ca="1"/>
        <v>9.6557944197572798E-3</v>
      </c>
      <c r="D73" s="119">
        <f ca="1"/>
        <v>1.1360861352632305E-2</v>
      </c>
    </row>
    <row r="74" spans="2:4" x14ac:dyDescent="0.25">
      <c r="B74" s="118">
        <f t="shared" si="1"/>
        <v>43049</v>
      </c>
      <c r="C74" s="119">
        <f ca="1"/>
        <v>9.7167198683434375E-3</v>
      </c>
      <c r="D74" s="119">
        <f ca="1"/>
        <v>1.143953321158352E-2</v>
      </c>
    </row>
    <row r="75" spans="2:4" x14ac:dyDescent="0.25">
      <c r="B75" s="118">
        <f t="shared" si="1"/>
        <v>43059</v>
      </c>
      <c r="C75" s="119">
        <f ca="1"/>
        <v>9.7638495448924001E-3</v>
      </c>
      <c r="D75" s="119">
        <f ca="1"/>
        <v>1.151820507053493E-2</v>
      </c>
    </row>
    <row r="76" spans="2:4" x14ac:dyDescent="0.25">
      <c r="B76" s="118">
        <f t="shared" ref="B76:B105" si="2">B75+$B$8</f>
        <v>43069</v>
      </c>
      <c r="C76" s="119">
        <f ca="1"/>
        <v>9.7991597555731058E-3</v>
      </c>
      <c r="D76" s="119">
        <f ca="1"/>
        <v>1.1596876929944844E-2</v>
      </c>
    </row>
    <row r="77" spans="2:4" x14ac:dyDescent="0.25">
      <c r="B77" s="118">
        <f t="shared" si="2"/>
        <v>43079</v>
      </c>
      <c r="C77" s="119">
        <f ca="1"/>
        <v>9.8294811262664705E-3</v>
      </c>
      <c r="D77" s="119">
        <f ca="1"/>
        <v>1.1675548456037686E-2</v>
      </c>
    </row>
    <row r="78" spans="2:4" x14ac:dyDescent="0.25">
      <c r="B78" s="118">
        <f t="shared" si="2"/>
        <v>43089</v>
      </c>
      <c r="C78" s="119">
        <f ca="1"/>
        <v>9.8553889252319671E-3</v>
      </c>
      <c r="D78" s="119">
        <f ca="1"/>
        <v>1.1754220647388382E-2</v>
      </c>
    </row>
    <row r="79" spans="2:4" x14ac:dyDescent="0.25">
      <c r="B79" s="118">
        <f t="shared" si="2"/>
        <v>43099</v>
      </c>
      <c r="C79" s="119">
        <f ca="1"/>
        <v>9.8768780505082976E-3</v>
      </c>
      <c r="D79" s="119">
        <f ca="1"/>
        <v>1.1815946776006815E-2</v>
      </c>
    </row>
    <row r="80" spans="2:4" x14ac:dyDescent="0.25">
      <c r="B80" s="118">
        <f t="shared" si="2"/>
        <v>43109</v>
      </c>
      <c r="C80" s="119">
        <f ca="1"/>
        <v>9.8939434257241388E-3</v>
      </c>
      <c r="D80" s="119">
        <f ca="1"/>
        <v>1.1877672904625249E-2</v>
      </c>
    </row>
    <row r="81" spans="2:4" x14ac:dyDescent="0.25">
      <c r="B81" s="118">
        <f t="shared" si="2"/>
        <v>43119</v>
      </c>
      <c r="C81" s="119">
        <f ca="1"/>
        <v>9.9065800050732733E-3</v>
      </c>
      <c r="D81" s="119">
        <f ca="1"/>
        <v>1.1939399033243682E-2</v>
      </c>
    </row>
    <row r="82" spans="2:4" x14ac:dyDescent="0.25">
      <c r="B82" s="118">
        <f t="shared" si="2"/>
        <v>43129</v>
      </c>
      <c r="C82" s="119">
        <f ca="1"/>
        <v>9.9147827796624011E-3</v>
      </c>
      <c r="D82" s="119">
        <f ca="1"/>
        <v>1.2001125161862115E-2</v>
      </c>
    </row>
    <row r="83" spans="2:4" x14ac:dyDescent="0.25">
      <c r="B83" s="118">
        <f t="shared" si="2"/>
        <v>43139</v>
      </c>
      <c r="C83" s="119">
        <f ca="1"/>
        <v>9.9185467826503615E-3</v>
      </c>
      <c r="D83" s="119">
        <f ca="1"/>
        <v>1.2062851290480549E-2</v>
      </c>
    </row>
    <row r="84" spans="2:4" x14ac:dyDescent="0.25">
      <c r="B84" s="118">
        <f t="shared" si="2"/>
        <v>43149</v>
      </c>
      <c r="C84" s="119">
        <f ca="1"/>
        <v>9.9178670950326175E-3</v>
      </c>
      <c r="D84" s="119">
        <f ca="1"/>
        <v>1.2124577419098984E-2</v>
      </c>
    </row>
    <row r="85" spans="2:4" x14ac:dyDescent="0.25">
      <c r="B85" s="118">
        <f t="shared" si="2"/>
        <v>43159</v>
      </c>
      <c r="C85" s="119">
        <f ca="1"/>
        <v>9.9138624863528424E-3</v>
      </c>
      <c r="D85" s="119">
        <f ca="1"/>
        <v>1.2186303547717417E-2</v>
      </c>
    </row>
    <row r="86" spans="2:4" x14ac:dyDescent="0.25">
      <c r="B86" s="118">
        <f t="shared" si="2"/>
        <v>43169</v>
      </c>
      <c r="C86" s="119">
        <f ca="1"/>
        <v>9.9120630878495319E-3</v>
      </c>
      <c r="D86" s="119">
        <f ca="1"/>
        <v>1.2248029676335852E-2</v>
      </c>
    </row>
    <row r="87" spans="2:4" x14ac:dyDescent="0.25">
      <c r="B87" s="118">
        <f t="shared" si="2"/>
        <v>43179</v>
      </c>
      <c r="C87" s="119">
        <f ca="1"/>
        <v>9.9132250615152628E-3</v>
      </c>
      <c r="D87" s="119">
        <f ca="1"/>
        <v>1.2309755804954284E-2</v>
      </c>
    </row>
    <row r="88" spans="2:4" x14ac:dyDescent="0.25">
      <c r="B88" s="118">
        <f t="shared" si="2"/>
        <v>43189</v>
      </c>
      <c r="C88" s="119">
        <f ca="1"/>
        <v>9.9173516652550919E-3</v>
      </c>
      <c r="D88" s="119">
        <f ca="1"/>
        <v>1.2380964570815873E-2</v>
      </c>
    </row>
    <row r="89" spans="2:4" x14ac:dyDescent="0.25">
      <c r="B89" s="118">
        <f t="shared" si="2"/>
        <v>43199</v>
      </c>
      <c r="C89" s="119">
        <f ca="1"/>
        <v>9.9244461871614842E-3</v>
      </c>
      <c r="D89" s="119">
        <f ca="1"/>
        <v>1.2453229348942859E-2</v>
      </c>
    </row>
    <row r="90" spans="2:4" x14ac:dyDescent="0.25">
      <c r="B90" s="118">
        <f t="shared" si="2"/>
        <v>43209</v>
      </c>
      <c r="C90" s="119">
        <f ca="1"/>
        <v>9.9345119482725508E-3</v>
      </c>
      <c r="D90" s="119">
        <f ca="1"/>
        <v>1.2525492994516576E-2</v>
      </c>
    </row>
    <row r="91" spans="2:4" x14ac:dyDescent="0.25">
      <c r="B91" s="118">
        <f t="shared" si="2"/>
        <v>43219</v>
      </c>
      <c r="C91" s="119">
        <f ca="1"/>
        <v>9.9475523053345061E-3</v>
      </c>
      <c r="D91" s="119">
        <f ca="1"/>
        <v>1.2597756644940146E-2</v>
      </c>
    </row>
    <row r="92" spans="2:4" x14ac:dyDescent="0.25">
      <c r="B92" s="118">
        <f t="shared" si="2"/>
        <v>43229</v>
      </c>
      <c r="C92" s="119">
        <f ca="1"/>
        <v>9.9635706533209856E-3</v>
      </c>
      <c r="D92" s="119">
        <f ca="1"/>
        <v>1.267001791662593E-2</v>
      </c>
    </row>
    <row r="93" spans="2:4" x14ac:dyDescent="0.25">
      <c r="B93" s="118">
        <f t="shared" si="2"/>
        <v>43239</v>
      </c>
      <c r="C93" s="119">
        <f ca="1"/>
        <v>9.9825704277909377E-3</v>
      </c>
      <c r="D93" s="119">
        <f ca="1"/>
        <v>1.274400138961789E-2</v>
      </c>
    </row>
    <row r="94" spans="2:4" x14ac:dyDescent="0.25">
      <c r="B94" s="118">
        <f t="shared" si="2"/>
        <v>43249</v>
      </c>
      <c r="C94" s="119">
        <f ca="1"/>
        <v>1.0003864278815167E-2</v>
      </c>
      <c r="D94" s="119">
        <f ca="1"/>
        <v>1.2814087392716901E-2</v>
      </c>
    </row>
    <row r="95" spans="2:4" x14ac:dyDescent="0.25">
      <c r="B95" s="118">
        <f t="shared" si="2"/>
        <v>43259</v>
      </c>
      <c r="C95" s="119">
        <f ca="1"/>
        <v>1.0025082326301282E-2</v>
      </c>
      <c r="D95" s="119">
        <f ca="1"/>
        <v>1.288681189704491E-2</v>
      </c>
    </row>
    <row r="96" spans="2:4" x14ac:dyDescent="0.25">
      <c r="B96" s="118">
        <f t="shared" si="2"/>
        <v>43269</v>
      </c>
      <c r="C96" s="119">
        <f ca="1"/>
        <v>1.0046023086865752E-2</v>
      </c>
      <c r="D96" s="119">
        <f ca="1"/>
        <v>1.2959052290268452E-2</v>
      </c>
    </row>
    <row r="97" spans="2:4" x14ac:dyDescent="0.25">
      <c r="B97" s="118">
        <f t="shared" si="2"/>
        <v>43279</v>
      </c>
      <c r="C97" s="119">
        <f ca="1"/>
        <v>1.0066686261755775E-2</v>
      </c>
      <c r="D97" s="119">
        <f ca="1"/>
        <v>1.3026590152891118E-2</v>
      </c>
    </row>
    <row r="98" spans="2:4" x14ac:dyDescent="0.25">
      <c r="B98" s="118">
        <f t="shared" si="2"/>
        <v>43289</v>
      </c>
      <c r="C98" s="119">
        <f ca="1"/>
        <v>1.0087071550648252E-2</v>
      </c>
      <c r="D98" s="119">
        <f ca="1"/>
        <v>1.3092918335512923E-2</v>
      </c>
    </row>
    <row r="99" spans="2:4" x14ac:dyDescent="0.25">
      <c r="B99" s="118">
        <f t="shared" si="2"/>
        <v>43299</v>
      </c>
      <c r="C99" s="119">
        <f ca="1"/>
        <v>1.0107178651244997E-2</v>
      </c>
      <c r="D99" s="119">
        <f ca="1"/>
        <v>1.3159246518134731E-2</v>
      </c>
    </row>
    <row r="100" spans="2:4" x14ac:dyDescent="0.25">
      <c r="B100" s="118">
        <f t="shared" si="2"/>
        <v>43309</v>
      </c>
      <c r="C100" s="119">
        <f ca="1"/>
        <v>1.012700726016269E-2</v>
      </c>
      <c r="D100" s="119">
        <f ca="1"/>
        <v>1.3225574700756536E-2</v>
      </c>
    </row>
    <row r="101" spans="2:4" x14ac:dyDescent="0.25">
      <c r="B101" s="118">
        <f t="shared" si="2"/>
        <v>43319</v>
      </c>
      <c r="C101" s="119">
        <f ca="1"/>
        <v>1.0146557072125528E-2</v>
      </c>
      <c r="D101" s="119">
        <f ca="1"/>
        <v>1.3291902883378342E-2</v>
      </c>
    </row>
    <row r="102" spans="2:4" x14ac:dyDescent="0.25">
      <c r="B102" s="118">
        <f t="shared" si="2"/>
        <v>43329</v>
      </c>
      <c r="C102" s="119">
        <f ca="1"/>
        <v>1.0165827780531655E-2</v>
      </c>
      <c r="D102" s="119">
        <f ca="1"/>
        <v>1.3358231066000148E-2</v>
      </c>
    </row>
    <row r="103" spans="2:4" x14ac:dyDescent="0.25">
      <c r="B103" s="118">
        <f t="shared" si="2"/>
        <v>43339</v>
      </c>
      <c r="C103" s="119">
        <f ca="1"/>
        <v>1.0184934778972643E-2</v>
      </c>
      <c r="D103" s="119">
        <f ca="1"/>
        <v>1.3424559248621952E-2</v>
      </c>
    </row>
    <row r="104" spans="2:4" x14ac:dyDescent="0.25">
      <c r="B104" s="118">
        <f t="shared" si="2"/>
        <v>43349</v>
      </c>
      <c r="C104" s="119">
        <f ca="1"/>
        <v>1.0204727974951755E-2</v>
      </c>
      <c r="D104" s="119">
        <f ca="1"/>
        <v>1.3490887431243759E-2</v>
      </c>
    </row>
    <row r="105" spans="2:4" x14ac:dyDescent="0.25">
      <c r="B105" s="118">
        <f t="shared" si="2"/>
        <v>43359</v>
      </c>
      <c r="C105" s="119">
        <f ca="1"/>
        <v>1.0225380946361717E-2</v>
      </c>
      <c r="D105" s="119">
        <f ca="1"/>
        <v>1.3557215613865565E-2</v>
      </c>
    </row>
    <row r="106" spans="2:4" x14ac:dyDescent="0.25">
      <c r="B106" s="117"/>
    </row>
    <row r="107" spans="2:4" x14ac:dyDescent="0.25">
      <c r="B107" s="117"/>
    </row>
    <row r="108" spans="2:4" x14ac:dyDescent="0.25">
      <c r="B108" s="117"/>
    </row>
    <row r="109" spans="2:4" x14ac:dyDescent="0.25">
      <c r="B109" s="117"/>
    </row>
    <row r="110" spans="2:4" x14ac:dyDescent="0.25">
      <c r="B110" s="117"/>
    </row>
    <row r="111" spans="2:4" x14ac:dyDescent="0.25">
      <c r="B111" s="117"/>
    </row>
    <row r="112" spans="2:4" x14ac:dyDescent="0.25">
      <c r="B112" s="117"/>
    </row>
    <row r="113" spans="2:2" x14ac:dyDescent="0.25">
      <c r="B113" s="117"/>
    </row>
    <row r="114" spans="2:2" x14ac:dyDescent="0.25">
      <c r="B114" s="117"/>
    </row>
    <row r="115" spans="2:2" x14ac:dyDescent="0.25">
      <c r="B115" s="117"/>
    </row>
    <row r="116" spans="2:2" x14ac:dyDescent="0.25">
      <c r="B116" s="117"/>
    </row>
    <row r="117" spans="2:2" x14ac:dyDescent="0.25">
      <c r="B117" s="117"/>
    </row>
    <row r="118" spans="2:2" x14ac:dyDescent="0.25">
      <c r="B118" s="117"/>
    </row>
    <row r="119" spans="2:2" x14ac:dyDescent="0.25">
      <c r="B119" s="117"/>
    </row>
    <row r="120" spans="2:2" x14ac:dyDescent="0.25">
      <c r="B120" s="117"/>
    </row>
    <row r="121" spans="2:2" x14ac:dyDescent="0.25">
      <c r="B121" s="117"/>
    </row>
    <row r="122" spans="2:2" x14ac:dyDescent="0.25">
      <c r="B122" s="117"/>
    </row>
    <row r="123" spans="2:2" x14ac:dyDescent="0.25">
      <c r="B123" s="117"/>
    </row>
    <row r="124" spans="2:2" x14ac:dyDescent="0.25">
      <c r="B124" s="117"/>
    </row>
    <row r="125" spans="2:2" x14ac:dyDescent="0.25">
      <c r="B125" s="117"/>
    </row>
    <row r="126" spans="2:2" x14ac:dyDescent="0.25">
      <c r="B126" s="117"/>
    </row>
    <row r="127" spans="2:2" x14ac:dyDescent="0.25">
      <c r="B127" s="117"/>
    </row>
    <row r="128" spans="2:2" x14ac:dyDescent="0.25">
      <c r="B128" s="117"/>
    </row>
    <row r="129" spans="2:2" x14ac:dyDescent="0.25">
      <c r="B129" s="117"/>
    </row>
    <row r="130" spans="2:2" x14ac:dyDescent="0.25">
      <c r="B130" s="117"/>
    </row>
    <row r="131" spans="2:2" x14ac:dyDescent="0.25">
      <c r="B131" s="117"/>
    </row>
    <row r="132" spans="2:2" x14ac:dyDescent="0.25">
      <c r="B132" s="117"/>
    </row>
    <row r="133" spans="2:2" x14ac:dyDescent="0.25">
      <c r="B133" s="117"/>
    </row>
    <row r="134" spans="2:2" x14ac:dyDescent="0.25">
      <c r="B134" s="117"/>
    </row>
    <row r="135" spans="2:2" x14ac:dyDescent="0.25">
      <c r="B135" s="117"/>
    </row>
    <row r="136" spans="2:2" x14ac:dyDescent="0.25">
      <c r="B136" s="117"/>
    </row>
    <row r="137" spans="2:2" x14ac:dyDescent="0.25">
      <c r="B137" s="117"/>
    </row>
    <row r="138" spans="2:2" x14ac:dyDescent="0.25">
      <c r="B138" s="117"/>
    </row>
    <row r="139" spans="2:2" x14ac:dyDescent="0.25">
      <c r="B139" s="117"/>
    </row>
    <row r="140" spans="2:2" x14ac:dyDescent="0.25">
      <c r="B140" s="117"/>
    </row>
    <row r="141" spans="2:2" x14ac:dyDescent="0.25">
      <c r="B141" s="117"/>
    </row>
    <row r="142" spans="2:2" x14ac:dyDescent="0.25">
      <c r="B142" s="117"/>
    </row>
    <row r="143" spans="2:2" x14ac:dyDescent="0.25">
      <c r="B143" s="117"/>
    </row>
    <row r="144" spans="2:2" x14ac:dyDescent="0.25">
      <c r="B144" s="117"/>
    </row>
    <row r="145" spans="2:2" x14ac:dyDescent="0.25">
      <c r="B145" s="117"/>
    </row>
    <row r="146" spans="2:2" x14ac:dyDescent="0.25">
      <c r="B146" s="117"/>
    </row>
    <row r="147" spans="2:2" x14ac:dyDescent="0.25">
      <c r="B147" s="117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28</vt:i4>
      </vt:variant>
    </vt:vector>
  </HeadingPairs>
  <TitlesOfParts>
    <vt:vector size="31" baseType="lpstr">
      <vt:lpstr>USD OIS</vt:lpstr>
      <vt:lpstr>USD SWAP 3ML</vt:lpstr>
      <vt:lpstr>USD Forwards</vt:lpstr>
      <vt:lpstr>COB</vt:lpstr>
      <vt:lpstr>'USD OIS'!CurveBuildProperties</vt:lpstr>
      <vt:lpstr>'USD SWAP 3ML'!CurveBuildProperties</vt:lpstr>
      <vt:lpstr>'USD OIS'!CurveCollection</vt:lpstr>
      <vt:lpstr>'USD SWAP 3ML'!CurveCollection</vt:lpstr>
      <vt:lpstr>'USD SWAP 3ML'!FRAConventions</vt:lpstr>
      <vt:lpstr>'USD SWAP 3ML'!FRAMarketData3M</vt:lpstr>
      <vt:lpstr>'USD SWAP 3ML'!FRAMarketData6M</vt:lpstr>
      <vt:lpstr>'USD SWAP 3ML'!FuturesConventions</vt:lpstr>
      <vt:lpstr>'USD SWAP 3ML'!FuturesMarketData</vt:lpstr>
      <vt:lpstr>'USD OIS'!IndexName</vt:lpstr>
      <vt:lpstr>'USD SWAP 3ML'!IndexName</vt:lpstr>
      <vt:lpstr>isUSD3MLLoaded</vt:lpstr>
      <vt:lpstr>isUSDOISLoaded</vt:lpstr>
      <vt:lpstr>'USD SWAP 3ML'!LiborConventions</vt:lpstr>
      <vt:lpstr>'USD SWAP 3ML'!LiborMarketData</vt:lpstr>
      <vt:lpstr>'USD OIS'!LiborSwap.Conventions</vt:lpstr>
      <vt:lpstr>'USD OIS'!LiborSwap.MarketData</vt:lpstr>
      <vt:lpstr>'USD SWAP 3ML'!MoneyMarketConventions</vt:lpstr>
      <vt:lpstr>'USD OIS'!OISBasis.Conventions</vt:lpstr>
      <vt:lpstr>'USD OIS'!OISBasis.Spreads</vt:lpstr>
      <vt:lpstr>'USD OIS'!OISConventions</vt:lpstr>
      <vt:lpstr>'USD OIS'!OISFixingTable</vt:lpstr>
      <vt:lpstr>'USD OIS'!OISMarketData</vt:lpstr>
      <vt:lpstr>'USD OIS'!StaticDataTable</vt:lpstr>
      <vt:lpstr>'USD SWAP 3ML'!StaticDataTable</vt:lpstr>
      <vt:lpstr>'USD SWAP 3ML'!SwapConventions</vt:lpstr>
      <vt:lpstr>'USD SWAP 3ML'!SwapMarketData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2016-10-18T10:23:19Z</dcterms:modified>
</cp:coreProperties>
</file>