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003\BurgNi$\DESKTOP\"/>
    </mc:Choice>
  </mc:AlternateContent>
  <bookViews>
    <workbookView xWindow="480" yWindow="90" windowWidth="20700" windowHeight="11700"/>
  </bookViews>
  <sheets>
    <sheet name="USD GLOBAL CURVE" sheetId="20" r:id="rId1"/>
    <sheet name="DISPLAY_CURVE" sheetId="21" r:id="rId2"/>
    <sheet name="PRICING" sheetId="22" r:id="rId3"/>
    <sheet name="RISK" sheetId="23" r:id="rId4"/>
  </sheets>
  <calcPr calcId="162913" calcMode="manual" calcCompleted="0" calcOnSave="0"/>
</workbook>
</file>

<file path=xl/calcChain.xml><?xml version="1.0" encoding="utf-8"?>
<calcChain xmlns="http://schemas.openxmlformats.org/spreadsheetml/2006/main">
  <c r="B9" i="21" l="1" a="1"/>
  <c r="I97" i="20"/>
  <c r="I76" i="20"/>
  <c r="I55" i="20"/>
  <c r="D27" i="20" l="1"/>
  <c r="D30" i="20"/>
  <c r="D29" i="20"/>
  <c r="C10" i="21"/>
  <c r="E11" i="21"/>
  <c r="G12" i="21"/>
  <c r="C14" i="21"/>
  <c r="E15" i="21"/>
  <c r="G16" i="21"/>
  <c r="C18" i="21"/>
  <c r="E19" i="21"/>
  <c r="G20" i="21"/>
  <c r="C22" i="21"/>
  <c r="E23" i="21"/>
  <c r="G24" i="21"/>
  <c r="C26" i="21"/>
  <c r="E27" i="21"/>
  <c r="F9" i="21"/>
  <c r="B11" i="21"/>
  <c r="D12" i="21"/>
  <c r="F13" i="21"/>
  <c r="B15" i="21"/>
  <c r="D16" i="21"/>
  <c r="F17" i="21"/>
  <c r="B19" i="21"/>
  <c r="D20" i="21"/>
  <c r="F21" i="21"/>
  <c r="B23" i="21"/>
  <c r="D24" i="21"/>
  <c r="B10" i="21"/>
  <c r="D11" i="21"/>
  <c r="F12" i="21"/>
  <c r="B14" i="21"/>
  <c r="D15" i="21"/>
  <c r="F16" i="21"/>
  <c r="B18" i="21"/>
  <c r="D19" i="21"/>
  <c r="F20" i="21"/>
  <c r="B22" i="21"/>
  <c r="D23" i="21"/>
  <c r="F24" i="21"/>
  <c r="B26" i="21"/>
  <c r="D27" i="21"/>
  <c r="F28" i="21"/>
  <c r="B30" i="21"/>
  <c r="D31" i="21"/>
  <c r="F32" i="21"/>
  <c r="B34" i="21"/>
  <c r="D35" i="21"/>
  <c r="F36" i="21"/>
  <c r="B38" i="21"/>
  <c r="D39" i="21"/>
  <c r="F40" i="21"/>
  <c r="B42" i="21"/>
  <c r="D43" i="21"/>
  <c r="F44" i="21"/>
  <c r="B46" i="21"/>
  <c r="D47" i="21"/>
  <c r="F48" i="21"/>
  <c r="B50" i="21"/>
  <c r="D51" i="21"/>
  <c r="F52" i="21"/>
  <c r="B54" i="21"/>
  <c r="D55" i="21"/>
  <c r="F56" i="21"/>
  <c r="B58" i="21"/>
  <c r="D59" i="21"/>
  <c r="F60" i="21"/>
  <c r="B62" i="21"/>
  <c r="D63" i="21"/>
  <c r="F64" i="21"/>
  <c r="B66" i="21"/>
  <c r="D67" i="21"/>
  <c r="F68" i="21"/>
  <c r="B70" i="21"/>
  <c r="D71" i="21"/>
  <c r="F72" i="21"/>
  <c r="B74" i="21"/>
  <c r="D75" i="21"/>
  <c r="F76" i="21"/>
  <c r="B78" i="21"/>
  <c r="D79" i="21"/>
  <c r="F80" i="21"/>
  <c r="B82" i="21"/>
  <c r="D83" i="21"/>
  <c r="F84" i="21"/>
  <c r="B86" i="21"/>
  <c r="D87" i="21"/>
  <c r="F88" i="21"/>
  <c r="B90" i="21"/>
  <c r="D91" i="21"/>
  <c r="F92" i="21"/>
  <c r="B94" i="21"/>
  <c r="D95" i="21"/>
  <c r="F96" i="21"/>
  <c r="B98" i="21"/>
  <c r="D99" i="21"/>
  <c r="F100" i="21"/>
  <c r="B102" i="21"/>
  <c r="D103" i="21"/>
  <c r="F104" i="21"/>
  <c r="B106" i="21"/>
  <c r="D107" i="21"/>
  <c r="F108" i="21"/>
  <c r="B110" i="21"/>
  <c r="D111" i="21"/>
  <c r="F112" i="21"/>
  <c r="B114" i="21"/>
  <c r="D115" i="21"/>
  <c r="F116" i="21"/>
  <c r="B118" i="21"/>
  <c r="D119" i="21"/>
  <c r="F120" i="21"/>
  <c r="B122" i="21"/>
  <c r="B9" i="21"/>
  <c r="G10" i="21"/>
  <c r="C13" i="21"/>
  <c r="C15" i="21"/>
  <c r="D17" i="21"/>
  <c r="F19" i="21"/>
  <c r="E21" i="21"/>
  <c r="G23" i="21"/>
  <c r="F25" i="21"/>
  <c r="F27" i="21"/>
  <c r="C29" i="21"/>
  <c r="F30" i="21"/>
  <c r="C32" i="21"/>
  <c r="F33" i="21"/>
  <c r="C35" i="21"/>
  <c r="G36" i="21"/>
  <c r="D38" i="21"/>
  <c r="G39" i="21"/>
  <c r="D41" i="21"/>
  <c r="G42" i="21"/>
  <c r="D44" i="21"/>
  <c r="E9" i="21"/>
  <c r="G11" i="21"/>
  <c r="G13" i="21"/>
  <c r="B16" i="21"/>
  <c r="D18" i="21"/>
  <c r="C20" i="21"/>
  <c r="E22" i="21"/>
  <c r="E24" i="21"/>
  <c r="E26" i="21"/>
  <c r="C28" i="21"/>
  <c r="F29" i="21"/>
  <c r="C31" i="21"/>
  <c r="G32" i="21"/>
  <c r="D34" i="21"/>
  <c r="G35" i="21"/>
  <c r="D37" i="21"/>
  <c r="G38" i="21"/>
  <c r="D40" i="21"/>
  <c r="G41" i="21"/>
  <c r="E43" i="21"/>
  <c r="B45" i="21"/>
  <c r="E46" i="21"/>
  <c r="B48" i="21"/>
  <c r="E49" i="21"/>
  <c r="B51" i="21"/>
  <c r="E52" i="21"/>
  <c r="C54" i="21"/>
  <c r="F55" i="21"/>
  <c r="C57" i="21"/>
  <c r="F58" i="21"/>
  <c r="C60" i="21"/>
  <c r="F61" i="21"/>
  <c r="C63" i="21"/>
  <c r="G64" i="21"/>
  <c r="D66" i="21"/>
  <c r="G67" i="21"/>
  <c r="D69" i="21"/>
  <c r="G70" i="21"/>
  <c r="D72" i="21"/>
  <c r="G73" i="21"/>
  <c r="E75" i="21"/>
  <c r="B77" i="21"/>
  <c r="E78" i="21"/>
  <c r="B80" i="21"/>
  <c r="E81" i="21"/>
  <c r="B83" i="21"/>
  <c r="E84" i="21"/>
  <c r="C86" i="21"/>
  <c r="F87" i="21"/>
  <c r="C89" i="21"/>
  <c r="F90" i="21"/>
  <c r="C92" i="21"/>
  <c r="F93" i="21"/>
  <c r="C95" i="21"/>
  <c r="G96" i="21"/>
  <c r="D98" i="21"/>
  <c r="G99" i="21"/>
  <c r="D101" i="21"/>
  <c r="G102" i="21"/>
  <c r="D104" i="21"/>
  <c r="G105" i="21"/>
  <c r="E107" i="21"/>
  <c r="B109" i="21"/>
  <c r="E110" i="21"/>
  <c r="B112" i="21"/>
  <c r="E113" i="21"/>
  <c r="B115" i="21"/>
  <c r="E116" i="21"/>
  <c r="C118" i="21"/>
  <c r="F119" i="21"/>
  <c r="C121" i="21"/>
  <c r="F122" i="21"/>
  <c r="B124" i="21"/>
  <c r="D125" i="21"/>
  <c r="F126" i="21"/>
  <c r="B128" i="21"/>
  <c r="D129" i="21"/>
  <c r="F130" i="21"/>
  <c r="B132" i="21"/>
  <c r="D133" i="21"/>
  <c r="F134" i="21"/>
  <c r="B136" i="21"/>
  <c r="D137" i="21"/>
  <c r="F138" i="21"/>
  <c r="B140" i="21"/>
  <c r="G9" i="21"/>
  <c r="B12" i="21"/>
  <c r="D14" i="21"/>
  <c r="C16" i="21"/>
  <c r="E18" i="21"/>
  <c r="E20" i="21"/>
  <c r="F22" i="21"/>
  <c r="B25" i="21"/>
  <c r="F26" i="21"/>
  <c r="D28" i="21"/>
  <c r="G29" i="21"/>
  <c r="E31" i="21"/>
  <c r="B33" i="21"/>
  <c r="E34" i="21"/>
  <c r="B36" i="21"/>
  <c r="E37" i="21"/>
  <c r="B39" i="21"/>
  <c r="E40" i="21"/>
  <c r="C42" i="21"/>
  <c r="F43" i="21"/>
  <c r="F10" i="21"/>
  <c r="B13" i="21"/>
  <c r="G14" i="21"/>
  <c r="C17" i="21"/>
  <c r="C19" i="21"/>
  <c r="D21" i="21"/>
  <c r="F23" i="21"/>
  <c r="E25" i="21"/>
  <c r="C27" i="21"/>
  <c r="B29" i="21"/>
  <c r="E30" i="21"/>
  <c r="B32" i="21"/>
  <c r="E33" i="21"/>
  <c r="B35" i="21"/>
  <c r="E36" i="21"/>
  <c r="C38" i="21"/>
  <c r="F39" i="21"/>
  <c r="C41" i="21"/>
  <c r="F42" i="21"/>
  <c r="C44" i="21"/>
  <c r="F45" i="21"/>
  <c r="C47" i="21"/>
  <c r="G48" i="21"/>
  <c r="D50" i="21"/>
  <c r="G51" i="21"/>
  <c r="D53" i="21"/>
  <c r="G54" i="21"/>
  <c r="D56" i="21"/>
  <c r="G57" i="21"/>
  <c r="E59" i="21"/>
  <c r="B61" i="21"/>
  <c r="E62" i="21"/>
  <c r="B64" i="21"/>
  <c r="E65" i="21"/>
  <c r="B67" i="21"/>
  <c r="E68" i="21"/>
  <c r="C70" i="21"/>
  <c r="F71" i="21"/>
  <c r="C73" i="21"/>
  <c r="F74" i="21"/>
  <c r="C76" i="21"/>
  <c r="F77" i="21"/>
  <c r="C79" i="21"/>
  <c r="G80" i="21"/>
  <c r="D82" i="21"/>
  <c r="G83" i="21"/>
  <c r="D85" i="21"/>
  <c r="G86" i="21"/>
  <c r="D88" i="21"/>
  <c r="G89" i="21"/>
  <c r="E91" i="21"/>
  <c r="B93" i="21"/>
  <c r="E94" i="21"/>
  <c r="B96" i="21"/>
  <c r="E97" i="21"/>
  <c r="B99" i="21"/>
  <c r="E100" i="21"/>
  <c r="C102" i="21"/>
  <c r="F103" i="21"/>
  <c r="C105" i="21"/>
  <c r="F106" i="21"/>
  <c r="C108" i="21"/>
  <c r="F109" i="21"/>
  <c r="C111" i="21"/>
  <c r="G112" i="21"/>
  <c r="D114" i="21"/>
  <c r="G115" i="21"/>
  <c r="D117" i="21"/>
  <c r="G118" i="21"/>
  <c r="D120" i="21"/>
  <c r="G121" i="21"/>
  <c r="D123" i="21"/>
  <c r="F124" i="21"/>
  <c r="B126" i="21"/>
  <c r="D127" i="21"/>
  <c r="F128" i="21"/>
  <c r="B130" i="21"/>
  <c r="D131" i="21"/>
  <c r="F132" i="21"/>
  <c r="B134" i="21"/>
  <c r="D135" i="21"/>
  <c r="C9" i="21"/>
  <c r="D13" i="21"/>
  <c r="E17" i="21"/>
  <c r="G21" i="21"/>
  <c r="G25" i="21"/>
  <c r="D29" i="21"/>
  <c r="D32" i="21"/>
  <c r="E35" i="21"/>
  <c r="E38" i="21"/>
  <c r="E41" i="21"/>
  <c r="E44" i="21"/>
  <c r="F46" i="21"/>
  <c r="E48" i="21"/>
  <c r="F50" i="21"/>
  <c r="G52" i="21"/>
  <c r="F54" i="21"/>
  <c r="G56" i="21"/>
  <c r="G58" i="21"/>
  <c r="G60" i="21"/>
  <c r="G62" i="21"/>
  <c r="B65" i="21"/>
  <c r="G66" i="21"/>
  <c r="B69" i="21"/>
  <c r="B71" i="21"/>
  <c r="B73" i="21"/>
  <c r="B75" i="21"/>
  <c r="C77" i="21"/>
  <c r="B79" i="21"/>
  <c r="C81" i="21"/>
  <c r="C83" i="21"/>
  <c r="C85" i="21"/>
  <c r="C87" i="21"/>
  <c r="D89" i="21"/>
  <c r="C91" i="21"/>
  <c r="D93" i="21"/>
  <c r="E95" i="21"/>
  <c r="D97" i="21"/>
  <c r="E99" i="21"/>
  <c r="E101" i="21"/>
  <c r="E103" i="21"/>
  <c r="E105" i="21"/>
  <c r="F107" i="21"/>
  <c r="E109" i="21"/>
  <c r="F111" i="21"/>
  <c r="F113" i="21"/>
  <c r="F115" i="21"/>
  <c r="F117" i="21"/>
  <c r="G119" i="21"/>
  <c r="F121" i="21"/>
  <c r="F123" i="21"/>
  <c r="E125" i="21"/>
  <c r="C127" i="21"/>
  <c r="B129" i="21"/>
  <c r="G130" i="21"/>
  <c r="E132" i="21"/>
  <c r="D134" i="21"/>
  <c r="C136" i="21"/>
  <c r="F137" i="21"/>
  <c r="C139" i="21"/>
  <c r="F140" i="21"/>
  <c r="B142" i="21"/>
  <c r="D143" i="21"/>
  <c r="F144" i="21"/>
  <c r="B146" i="21"/>
  <c r="D147" i="21"/>
  <c r="F148" i="21"/>
  <c r="B150" i="21"/>
  <c r="D151" i="21"/>
  <c r="F152" i="21"/>
  <c r="B154" i="21"/>
  <c r="D155" i="21"/>
  <c r="F156" i="21"/>
  <c r="B158" i="21"/>
  <c r="D159" i="21"/>
  <c r="F160" i="21"/>
  <c r="B162" i="21"/>
  <c r="D163" i="21"/>
  <c r="E10" i="21"/>
  <c r="F14" i="21"/>
  <c r="G18" i="21"/>
  <c r="C23" i="21"/>
  <c r="B27" i="21"/>
  <c r="D30" i="21"/>
  <c r="D33" i="21"/>
  <c r="D36" i="21"/>
  <c r="E39" i="21"/>
  <c r="E42" i="21"/>
  <c r="D45" i="21"/>
  <c r="E47" i="21"/>
  <c r="D49" i="21"/>
  <c r="E51" i="21"/>
  <c r="E53" i="21"/>
  <c r="E55" i="21"/>
  <c r="E57" i="21"/>
  <c r="F59" i="21"/>
  <c r="E61" i="21"/>
  <c r="F63" i="21"/>
  <c r="F65" i="21"/>
  <c r="F67" i="21"/>
  <c r="F69" i="21"/>
  <c r="G71" i="21"/>
  <c r="F73" i="21"/>
  <c r="G75" i="21"/>
  <c r="G77" i="21"/>
  <c r="G79" i="21"/>
  <c r="G81" i="21"/>
  <c r="B84" i="21"/>
  <c r="G85" i="21"/>
  <c r="B88" i="21"/>
  <c r="C90" i="21"/>
  <c r="B92" i="21"/>
  <c r="C94" i="21"/>
  <c r="C96" i="21"/>
  <c r="C98" i="21"/>
  <c r="C100" i="21"/>
  <c r="D102" i="21"/>
  <c r="C104" i="21"/>
  <c r="D106" i="21"/>
  <c r="D108" i="21"/>
  <c r="D110" i="21"/>
  <c r="D112" i="21"/>
  <c r="E114" i="21"/>
  <c r="D116" i="21"/>
  <c r="E118" i="21"/>
  <c r="E120" i="21"/>
  <c r="E122" i="21"/>
  <c r="D124" i="21"/>
  <c r="C126" i="21"/>
  <c r="G127" i="21"/>
  <c r="F129" i="21"/>
  <c r="E131" i="21"/>
  <c r="C133" i="21"/>
  <c r="B135" i="21"/>
  <c r="F136" i="21"/>
  <c r="C138" i="21"/>
  <c r="F139" i="21"/>
  <c r="C141" i="21"/>
  <c r="E142" i="21"/>
  <c r="G143" i="21"/>
  <c r="C145" i="21"/>
  <c r="E146" i="21"/>
  <c r="G147" i="21"/>
  <c r="C149" i="21"/>
  <c r="E150" i="21"/>
  <c r="G151" i="21"/>
  <c r="C153" i="21"/>
  <c r="E154" i="21"/>
  <c r="G155" i="21"/>
  <c r="C157" i="21"/>
  <c r="E158" i="21"/>
  <c r="G159" i="21"/>
  <c r="C161" i="21"/>
  <c r="E162" i="21"/>
  <c r="G163" i="21"/>
  <c r="C165" i="21"/>
  <c r="E166" i="21"/>
  <c r="G167" i="21"/>
  <c r="C169" i="21"/>
  <c r="E170" i="21"/>
  <c r="G171" i="21"/>
  <c r="C173" i="21"/>
  <c r="E174" i="21"/>
  <c r="G175" i="21"/>
  <c r="C177" i="21"/>
  <c r="E178" i="21"/>
  <c r="G179" i="21"/>
  <c r="C181" i="21"/>
  <c r="E182" i="21"/>
  <c r="G183" i="21"/>
  <c r="C185" i="21"/>
  <c r="E186" i="21"/>
  <c r="G187" i="21"/>
  <c r="C189" i="21"/>
  <c r="E190" i="21"/>
  <c r="G191" i="21"/>
  <c r="C193" i="21"/>
  <c r="E194" i="21"/>
  <c r="G195" i="21"/>
  <c r="C197" i="21"/>
  <c r="E198" i="21"/>
  <c r="G199" i="21"/>
  <c r="C201" i="21"/>
  <c r="E202" i="21"/>
  <c r="G203" i="21"/>
  <c r="C205" i="21"/>
  <c r="E206" i="21"/>
  <c r="G207" i="21"/>
  <c r="C209" i="21"/>
  <c r="E210" i="21"/>
  <c r="G211" i="21"/>
  <c r="C213" i="21"/>
  <c r="E214" i="21"/>
  <c r="G215" i="21"/>
  <c r="C217" i="21"/>
  <c r="E218" i="21"/>
  <c r="G219" i="21"/>
  <c r="C221" i="21"/>
  <c r="E222" i="21"/>
  <c r="G223" i="21"/>
  <c r="C225" i="21"/>
  <c r="E226" i="21"/>
  <c r="G227" i="21"/>
  <c r="C229" i="21"/>
  <c r="E230" i="21"/>
  <c r="G231" i="21"/>
  <c r="C233" i="21"/>
  <c r="E234" i="21"/>
  <c r="G235" i="21"/>
  <c r="C237" i="21"/>
  <c r="E238" i="21"/>
  <c r="G239" i="21"/>
  <c r="C241" i="21"/>
  <c r="E242" i="21"/>
  <c r="G243" i="21"/>
  <c r="C245" i="21"/>
  <c r="E246" i="21"/>
  <c r="G247" i="21"/>
  <c r="C249" i="21"/>
  <c r="E250" i="21"/>
  <c r="G251" i="21"/>
  <c r="C253" i="21"/>
  <c r="E254" i="21"/>
  <c r="G255" i="21"/>
  <c r="C257" i="21"/>
  <c r="E258" i="21"/>
  <c r="G259" i="21"/>
  <c r="C261" i="21"/>
  <c r="E262" i="21"/>
  <c r="G263" i="21"/>
  <c r="C265" i="21"/>
  <c r="E266" i="21"/>
  <c r="G267" i="21"/>
  <c r="C269" i="21"/>
  <c r="E270" i="21"/>
  <c r="G271" i="21"/>
  <c r="C273" i="21"/>
  <c r="E274" i="21"/>
  <c r="G275" i="21"/>
  <c r="C277" i="21"/>
  <c r="E278" i="21"/>
  <c r="G279" i="21"/>
  <c r="C281" i="21"/>
  <c r="E282" i="21"/>
  <c r="G283" i="21"/>
  <c r="C285" i="21"/>
  <c r="E286" i="21"/>
  <c r="G287" i="21"/>
  <c r="C11" i="21"/>
  <c r="F15" i="21"/>
  <c r="G19" i="21"/>
  <c r="B24" i="21"/>
  <c r="G27" i="21"/>
  <c r="G30" i="21"/>
  <c r="G33" i="21"/>
  <c r="B37" i="21"/>
  <c r="B40" i="21"/>
  <c r="B43" i="21"/>
  <c r="E45" i="21"/>
  <c r="F47" i="21"/>
  <c r="F49" i="21"/>
  <c r="F51" i="21"/>
  <c r="F53" i="21"/>
  <c r="G55" i="21"/>
  <c r="F57" i="21"/>
  <c r="G59" i="21"/>
  <c r="G61" i="21"/>
  <c r="G63" i="21"/>
  <c r="G65" i="21"/>
  <c r="B68" i="21"/>
  <c r="G69" i="21"/>
  <c r="B72" i="21"/>
  <c r="C74" i="21"/>
  <c r="B76" i="21"/>
  <c r="C78" i="21"/>
  <c r="C80" i="21"/>
  <c r="C82" i="21"/>
  <c r="C84" i="21"/>
  <c r="D86" i="21"/>
  <c r="C88" i="21"/>
  <c r="D90" i="21"/>
  <c r="D92" i="21"/>
  <c r="D94" i="21"/>
  <c r="D96" i="21"/>
  <c r="E98" i="21"/>
  <c r="D100" i="21"/>
  <c r="E102" i="21"/>
  <c r="E104" i="21"/>
  <c r="E106" i="21"/>
  <c r="E108" i="21"/>
  <c r="F110" i="21"/>
  <c r="E112" i="21"/>
  <c r="F114" i="21"/>
  <c r="G116" i="21"/>
  <c r="F118" i="21"/>
  <c r="G120" i="21"/>
  <c r="G122" i="21"/>
  <c r="E124" i="21"/>
  <c r="D126" i="21"/>
  <c r="C128" i="21"/>
  <c r="G129" i="21"/>
  <c r="F131" i="21"/>
  <c r="E133" i="21"/>
  <c r="C135" i="21"/>
  <c r="G136" i="21"/>
  <c r="D138" i="21"/>
  <c r="G139" i="21"/>
  <c r="D141" i="21"/>
  <c r="F142" i="21"/>
  <c r="B144" i="21"/>
  <c r="D145" i="21"/>
  <c r="F146" i="21"/>
  <c r="B148" i="21"/>
  <c r="D149" i="21"/>
  <c r="F150" i="21"/>
  <c r="B152" i="21"/>
  <c r="D153" i="21"/>
  <c r="F154" i="21"/>
  <c r="B156" i="21"/>
  <c r="D157" i="21"/>
  <c r="F158" i="21"/>
  <c r="B160" i="21"/>
  <c r="D161" i="21"/>
  <c r="F162" i="21"/>
  <c r="B164" i="21"/>
  <c r="E12" i="21"/>
  <c r="B17" i="21"/>
  <c r="C21" i="21"/>
  <c r="D25" i="21"/>
  <c r="G28" i="21"/>
  <c r="G31" i="21"/>
  <c r="G34" i="21"/>
  <c r="G37" i="21"/>
  <c r="B41" i="21"/>
  <c r="B44" i="21"/>
  <c r="D46" i="21"/>
  <c r="D48" i="21"/>
  <c r="E50" i="21"/>
  <c r="D52" i="21"/>
  <c r="E54" i="21"/>
  <c r="E56" i="21"/>
  <c r="E58" i="21"/>
  <c r="E60" i="21"/>
  <c r="F62" i="21"/>
  <c r="E64" i="21"/>
  <c r="F66" i="21"/>
  <c r="G68" i="21"/>
  <c r="F70" i="21"/>
  <c r="G72" i="21"/>
  <c r="G74" i="21"/>
  <c r="G76" i="21"/>
  <c r="G78" i="21"/>
  <c r="B81" i="21"/>
  <c r="G82" i="21"/>
  <c r="B85" i="21"/>
  <c r="B87" i="21"/>
  <c r="B89" i="21"/>
  <c r="B91" i="21"/>
  <c r="C93" i="21"/>
  <c r="B95" i="21"/>
  <c r="C97" i="21"/>
  <c r="C99" i="21"/>
  <c r="C101" i="21"/>
  <c r="C103" i="21"/>
  <c r="D105" i="21"/>
  <c r="C107" i="21"/>
  <c r="D109" i="21"/>
  <c r="E111" i="21"/>
  <c r="D113" i="21"/>
  <c r="E115" i="21"/>
  <c r="E117" i="21"/>
  <c r="E119" i="21"/>
  <c r="E121" i="21"/>
  <c r="E123" i="21"/>
  <c r="C125" i="21"/>
  <c r="B127" i="21"/>
  <c r="G128" i="21"/>
  <c r="E130" i="21"/>
  <c r="D132" i="21"/>
  <c r="C134" i="21"/>
  <c r="G135" i="21"/>
  <c r="E137" i="21"/>
  <c r="B139" i="21"/>
  <c r="E140" i="21"/>
  <c r="G141" i="21"/>
  <c r="C143" i="21"/>
  <c r="E144" i="21"/>
  <c r="G145" i="21"/>
  <c r="C147" i="21"/>
  <c r="E148" i="21"/>
  <c r="G149" i="21"/>
  <c r="C151" i="21"/>
  <c r="E152" i="21"/>
  <c r="G153" i="21"/>
  <c r="C155" i="21"/>
  <c r="E156" i="21"/>
  <c r="G157" i="21"/>
  <c r="C159" i="21"/>
  <c r="E160" i="21"/>
  <c r="G161" i="21"/>
  <c r="C163" i="21"/>
  <c r="E164" i="21"/>
  <c r="G165" i="21"/>
  <c r="C167" i="21"/>
  <c r="E168" i="21"/>
  <c r="G169" i="21"/>
  <c r="C171" i="21"/>
  <c r="E172" i="21"/>
  <c r="G173" i="21"/>
  <c r="C175" i="21"/>
  <c r="E176" i="21"/>
  <c r="G177" i="21"/>
  <c r="C179" i="21"/>
  <c r="E180" i="21"/>
  <c r="G181" i="21"/>
  <c r="C183" i="21"/>
  <c r="E184" i="21"/>
  <c r="G185" i="21"/>
  <c r="C187" i="21"/>
  <c r="E188" i="21"/>
  <c r="G189" i="21"/>
  <c r="C191" i="21"/>
  <c r="E192" i="21"/>
  <c r="G193" i="21"/>
  <c r="C195" i="21"/>
  <c r="E196" i="21"/>
  <c r="G197" i="21"/>
  <c r="C199" i="21"/>
  <c r="E200" i="21"/>
  <c r="G201" i="21"/>
  <c r="C203" i="21"/>
  <c r="E204" i="21"/>
  <c r="G205" i="21"/>
  <c r="C207" i="21"/>
  <c r="E208" i="21"/>
  <c r="G209" i="21"/>
  <c r="C211" i="21"/>
  <c r="E212" i="21"/>
  <c r="G213" i="21"/>
  <c r="C215" i="21"/>
  <c r="E216" i="21"/>
  <c r="G217" i="21"/>
  <c r="C219" i="21"/>
  <c r="E220" i="21"/>
  <c r="G221" i="21"/>
  <c r="C223" i="21"/>
  <c r="E224" i="21"/>
  <c r="G225" i="21"/>
  <c r="C227" i="21"/>
  <c r="E228" i="21"/>
  <c r="G229" i="21"/>
  <c r="C231" i="21"/>
  <c r="E232" i="21"/>
  <c r="G233" i="21"/>
  <c r="C235" i="21"/>
  <c r="E236" i="21"/>
  <c r="G237" i="21"/>
  <c r="C239" i="21"/>
  <c r="E240" i="21"/>
  <c r="G241" i="21"/>
  <c r="C243" i="21"/>
  <c r="E244" i="21"/>
  <c r="G245" i="21"/>
  <c r="C247" i="21"/>
  <c r="E248" i="21"/>
  <c r="G249" i="21"/>
  <c r="C251" i="21"/>
  <c r="E252" i="21"/>
  <c r="G253" i="21"/>
  <c r="C255" i="21"/>
  <c r="E256" i="21"/>
  <c r="G257" i="21"/>
  <c r="C259" i="21"/>
  <c r="E260" i="21"/>
  <c r="G261" i="21"/>
  <c r="C263" i="21"/>
  <c r="E264" i="21"/>
  <c r="G265" i="21"/>
  <c r="C267" i="21"/>
  <c r="E268" i="21"/>
  <c r="G269" i="21"/>
  <c r="C271" i="21"/>
  <c r="E272" i="21"/>
  <c r="G273" i="21"/>
  <c r="C275" i="21"/>
  <c r="E276" i="21"/>
  <c r="G277" i="21"/>
  <c r="C279" i="21"/>
  <c r="E280" i="21"/>
  <c r="G281" i="21"/>
  <c r="C283" i="21"/>
  <c r="E284" i="21"/>
  <c r="G285" i="21"/>
  <c r="C287" i="21"/>
  <c r="E288" i="21"/>
  <c r="C12" i="21"/>
  <c r="B21" i="21"/>
  <c r="E28" i="21"/>
  <c r="F34" i="21"/>
  <c r="G40" i="21"/>
  <c r="C46" i="21"/>
  <c r="C50" i="21"/>
  <c r="D54" i="21"/>
  <c r="D58" i="21"/>
  <c r="D62" i="21"/>
  <c r="E66" i="21"/>
  <c r="E70" i="21"/>
  <c r="E74" i="21"/>
  <c r="F78" i="21"/>
  <c r="F82" i="21"/>
  <c r="F86" i="21"/>
  <c r="G90" i="21"/>
  <c r="G94" i="21"/>
  <c r="G98" i="21"/>
  <c r="B103" i="21"/>
  <c r="B107" i="21"/>
  <c r="B111" i="21"/>
  <c r="C115" i="21"/>
  <c r="C119" i="21"/>
  <c r="C123" i="21"/>
  <c r="G126" i="21"/>
  <c r="D130" i="21"/>
  <c r="G133" i="21"/>
  <c r="C137" i="21"/>
  <c r="D140" i="21"/>
  <c r="B143" i="21"/>
  <c r="F145" i="21"/>
  <c r="D148" i="21"/>
  <c r="B151" i="21"/>
  <c r="F153" i="21"/>
  <c r="D156" i="21"/>
  <c r="B159" i="21"/>
  <c r="F161" i="21"/>
  <c r="D164" i="21"/>
  <c r="C166" i="21"/>
  <c r="B168" i="21"/>
  <c r="F169" i="21"/>
  <c r="E171" i="21"/>
  <c r="D173" i="21"/>
  <c r="B175" i="21"/>
  <c r="G176" i="21"/>
  <c r="F178" i="21"/>
  <c r="D180" i="21"/>
  <c r="C182" i="21"/>
  <c r="B184" i="21"/>
  <c r="F185" i="21"/>
  <c r="E187" i="21"/>
  <c r="D189" i="21"/>
  <c r="B191" i="21"/>
  <c r="G192" i="21"/>
  <c r="F194" i="21"/>
  <c r="D196" i="21"/>
  <c r="C198" i="21"/>
  <c r="B200" i="21"/>
  <c r="F201" i="21"/>
  <c r="E203" i="21"/>
  <c r="D205" i="21"/>
  <c r="B207" i="21"/>
  <c r="G208" i="21"/>
  <c r="F210" i="21"/>
  <c r="D212" i="21"/>
  <c r="C214" i="21"/>
  <c r="B216" i="21"/>
  <c r="F217" i="21"/>
  <c r="E219" i="21"/>
  <c r="D221" i="21"/>
  <c r="B223" i="21"/>
  <c r="G224" i="21"/>
  <c r="F226" i="21"/>
  <c r="D228" i="21"/>
  <c r="C230" i="21"/>
  <c r="B232" i="21"/>
  <c r="F233" i="21"/>
  <c r="E235" i="21"/>
  <c r="D237" i="21"/>
  <c r="B239" i="21"/>
  <c r="G240" i="21"/>
  <c r="F242" i="21"/>
  <c r="D244" i="21"/>
  <c r="C246" i="21"/>
  <c r="B248" i="21"/>
  <c r="F249" i="21"/>
  <c r="E251" i="21"/>
  <c r="D253" i="21"/>
  <c r="B255" i="21"/>
  <c r="G256" i="21"/>
  <c r="F258" i="21"/>
  <c r="D260" i="21"/>
  <c r="C262" i="21"/>
  <c r="B264" i="21"/>
  <c r="F265" i="21"/>
  <c r="E267" i="21"/>
  <c r="D269" i="21"/>
  <c r="B271" i="21"/>
  <c r="G272" i="21"/>
  <c r="F274" i="21"/>
  <c r="D276" i="21"/>
  <c r="C278" i="21"/>
  <c r="B280" i="21"/>
  <c r="F281" i="21"/>
  <c r="E283" i="21"/>
  <c r="D285" i="21"/>
  <c r="B287" i="21"/>
  <c r="G288" i="21"/>
  <c r="C290" i="21"/>
  <c r="E291" i="21"/>
  <c r="G292" i="21"/>
  <c r="C294" i="21"/>
  <c r="E295" i="21"/>
  <c r="G296" i="21"/>
  <c r="C298" i="21"/>
  <c r="E299" i="21"/>
  <c r="G300" i="21"/>
  <c r="C302" i="21"/>
  <c r="E303" i="21"/>
  <c r="G304" i="21"/>
  <c r="C306" i="21"/>
  <c r="E307" i="21"/>
  <c r="G308" i="21"/>
  <c r="C310" i="21"/>
  <c r="E311" i="21"/>
  <c r="G312" i="21"/>
  <c r="C314" i="21"/>
  <c r="E315" i="21"/>
  <c r="G316" i="21"/>
  <c r="C318" i="21"/>
  <c r="E319" i="21"/>
  <c r="G320" i="21"/>
  <c r="C322" i="21"/>
  <c r="E323" i="21"/>
  <c r="G324" i="21"/>
  <c r="C326" i="21"/>
  <c r="E327" i="21"/>
  <c r="G328" i="21"/>
  <c r="C330" i="21"/>
  <c r="E331" i="21"/>
  <c r="G332" i="21"/>
  <c r="C334" i="21"/>
  <c r="E335" i="21"/>
  <c r="G336" i="21"/>
  <c r="C338" i="21"/>
  <c r="E339" i="21"/>
  <c r="G340" i="21"/>
  <c r="C342" i="21"/>
  <c r="E343" i="21"/>
  <c r="G344" i="21"/>
  <c r="C346" i="21"/>
  <c r="E347" i="21"/>
  <c r="G348" i="21"/>
  <c r="C350" i="21"/>
  <c r="E351" i="21"/>
  <c r="G352" i="21"/>
  <c r="C354" i="21"/>
  <c r="E355" i="21"/>
  <c r="G356" i="21"/>
  <c r="C358" i="21"/>
  <c r="E359" i="21"/>
  <c r="G360" i="21"/>
  <c r="C362" i="21"/>
  <c r="E363" i="21"/>
  <c r="G364" i="21"/>
  <c r="C366" i="21"/>
  <c r="E367" i="21"/>
  <c r="G368" i="21"/>
  <c r="C370" i="21"/>
  <c r="E371" i="21"/>
  <c r="E16" i="21"/>
  <c r="C25" i="21"/>
  <c r="F31" i="21"/>
  <c r="F37" i="21"/>
  <c r="G43" i="21"/>
  <c r="C48" i="21"/>
  <c r="C52" i="21"/>
  <c r="C56" i="21"/>
  <c r="D60" i="21"/>
  <c r="D64" i="21"/>
  <c r="D68" i="21"/>
  <c r="E72" i="21"/>
  <c r="E76" i="21"/>
  <c r="E80" i="21"/>
  <c r="G84" i="21"/>
  <c r="G88" i="21"/>
  <c r="G92" i="21"/>
  <c r="B97" i="21"/>
  <c r="B101" i="21"/>
  <c r="B105" i="21"/>
  <c r="C109" i="21"/>
  <c r="C113" i="21"/>
  <c r="C117" i="21"/>
  <c r="D121" i="21"/>
  <c r="B125" i="21"/>
  <c r="E128" i="21"/>
  <c r="C132" i="21"/>
  <c r="F135" i="21"/>
  <c r="G138" i="21"/>
  <c r="F141" i="21"/>
  <c r="D144" i="21"/>
  <c r="B147" i="21"/>
  <c r="F149" i="21"/>
  <c r="D152" i="21"/>
  <c r="B155" i="21"/>
  <c r="F157" i="21"/>
  <c r="D160" i="21"/>
  <c r="B163" i="21"/>
  <c r="D165" i="21"/>
  <c r="B167" i="21"/>
  <c r="G168" i="21"/>
  <c r="F170" i="21"/>
  <c r="D172" i="21"/>
  <c r="C174" i="21"/>
  <c r="B176" i="21"/>
  <c r="F177" i="21"/>
  <c r="E179" i="21"/>
  <c r="D181" i="21"/>
  <c r="B183" i="21"/>
  <c r="G184" i="21"/>
  <c r="F186" i="21"/>
  <c r="D188" i="21"/>
  <c r="C190" i="21"/>
  <c r="B192" i="21"/>
  <c r="F193" i="21"/>
  <c r="E195" i="21"/>
  <c r="D197" i="21"/>
  <c r="B199" i="21"/>
  <c r="G200" i="21"/>
  <c r="F202" i="21"/>
  <c r="D204" i="21"/>
  <c r="C206" i="21"/>
  <c r="B208" i="21"/>
  <c r="F209" i="21"/>
  <c r="E211" i="21"/>
  <c r="D213" i="21"/>
  <c r="B215" i="21"/>
  <c r="G216" i="21"/>
  <c r="F218" i="21"/>
  <c r="D220" i="21"/>
  <c r="C222" i="21"/>
  <c r="B224" i="21"/>
  <c r="F225" i="21"/>
  <c r="E227" i="21"/>
  <c r="D229" i="21"/>
  <c r="B231" i="21"/>
  <c r="G232" i="21"/>
  <c r="F234" i="21"/>
  <c r="D236" i="21"/>
  <c r="C238" i="21"/>
  <c r="B240" i="21"/>
  <c r="F241" i="21"/>
  <c r="E243" i="21"/>
  <c r="D245" i="21"/>
  <c r="B247" i="21"/>
  <c r="G248" i="21"/>
  <c r="F250" i="21"/>
  <c r="D252" i="21"/>
  <c r="C254" i="21"/>
  <c r="B256" i="21"/>
  <c r="F257" i="21"/>
  <c r="E259" i="21"/>
  <c r="D261" i="21"/>
  <c r="B263" i="21"/>
  <c r="G264" i="21"/>
  <c r="F266" i="21"/>
  <c r="D268" i="21"/>
  <c r="C270" i="21"/>
  <c r="B272" i="21"/>
  <c r="F273" i="21"/>
  <c r="E275" i="21"/>
  <c r="D277" i="21"/>
  <c r="B279" i="21"/>
  <c r="G280" i="21"/>
  <c r="F282" i="21"/>
  <c r="D284" i="21"/>
  <c r="C286" i="21"/>
  <c r="B288" i="21"/>
  <c r="E289" i="21"/>
  <c r="G290" i="21"/>
  <c r="C292" i="21"/>
  <c r="E293" i="21"/>
  <c r="G294" i="21"/>
  <c r="C296" i="21"/>
  <c r="E297" i="21"/>
  <c r="G298" i="21"/>
  <c r="C300" i="21"/>
  <c r="E301" i="21"/>
  <c r="G302" i="21"/>
  <c r="C304" i="21"/>
  <c r="E305" i="21"/>
  <c r="G306" i="21"/>
  <c r="C308" i="21"/>
  <c r="E309" i="21"/>
  <c r="G310" i="21"/>
  <c r="C312" i="21"/>
  <c r="E313" i="21"/>
  <c r="G314" i="21"/>
  <c r="C316" i="21"/>
  <c r="E317" i="21"/>
  <c r="G318" i="21"/>
  <c r="C320" i="21"/>
  <c r="E321" i="21"/>
  <c r="G322" i="21"/>
  <c r="C324" i="21"/>
  <c r="E325" i="21"/>
  <c r="G326" i="21"/>
  <c r="C328" i="21"/>
  <c r="E329" i="21"/>
  <c r="G330" i="21"/>
  <c r="C332" i="21"/>
  <c r="E333" i="21"/>
  <c r="G334" i="21"/>
  <c r="C336" i="21"/>
  <c r="E337" i="21"/>
  <c r="G338" i="21"/>
  <c r="C340" i="21"/>
  <c r="E341" i="21"/>
  <c r="G342" i="21"/>
  <c r="C344" i="21"/>
  <c r="E345" i="21"/>
  <c r="G346" i="21"/>
  <c r="C348" i="21"/>
  <c r="E349" i="21"/>
  <c r="G350" i="21"/>
  <c r="C352" i="21"/>
  <c r="E353" i="21"/>
  <c r="G354" i="21"/>
  <c r="C356" i="21"/>
  <c r="E357" i="21"/>
  <c r="G358" i="21"/>
  <c r="C360" i="21"/>
  <c r="E361" i="21"/>
  <c r="G362" i="21"/>
  <c r="C364" i="21"/>
  <c r="E365" i="21"/>
  <c r="G366" i="21"/>
  <c r="C368" i="21"/>
  <c r="E369" i="21"/>
  <c r="G370" i="21"/>
  <c r="D9" i="21"/>
  <c r="B20" i="21"/>
  <c r="C30" i="21"/>
  <c r="G45" i="21"/>
  <c r="C51" i="21"/>
  <c r="B57" i="21"/>
  <c r="C62" i="21"/>
  <c r="E67" i="21"/>
  <c r="D73" i="21"/>
  <c r="D78" i="21"/>
  <c r="F83" i="21"/>
  <c r="E89" i="21"/>
  <c r="F94" i="21"/>
  <c r="B100" i="21"/>
  <c r="F105" i="21"/>
  <c r="G110" i="21"/>
  <c r="C116" i="21"/>
  <c r="C122" i="21"/>
  <c r="E126" i="21"/>
  <c r="C131" i="21"/>
  <c r="D136" i="21"/>
  <c r="C140" i="21"/>
  <c r="F143" i="21"/>
  <c r="E147" i="21"/>
  <c r="G150" i="21"/>
  <c r="D154" i="21"/>
  <c r="C158" i="21"/>
  <c r="E161" i="21"/>
  <c r="G164" i="21"/>
  <c r="D167" i="21"/>
  <c r="E169" i="21"/>
  <c r="B172" i="21"/>
  <c r="D174" i="21"/>
  <c r="F176" i="21"/>
  <c r="B179" i="21"/>
  <c r="E181" i="21"/>
  <c r="F183" i="21"/>
  <c r="C186" i="21"/>
  <c r="F188" i="21"/>
  <c r="G190" i="21"/>
  <c r="D193" i="21"/>
  <c r="F195" i="21"/>
  <c r="B198" i="21"/>
  <c r="D200" i="21"/>
  <c r="G202" i="21"/>
  <c r="B205" i="21"/>
  <c r="E207" i="21"/>
  <c r="B210" i="21"/>
  <c r="C212" i="21"/>
  <c r="F214" i="21"/>
  <c r="D219" i="21"/>
  <c r="F221" i="21"/>
  <c r="C224" i="21"/>
  <c r="D226" i="21"/>
  <c r="G228" i="21"/>
  <c r="D231" i="21"/>
  <c r="E233" i="21"/>
  <c r="B236" i="21"/>
  <c r="F240" i="21"/>
  <c r="B243" i="21"/>
  <c r="E245" i="21"/>
  <c r="C250" i="21"/>
  <c r="D257" i="21"/>
  <c r="D264" i="21"/>
  <c r="B274" i="21"/>
  <c r="F285" i="21"/>
  <c r="D295" i="21"/>
  <c r="D10" i="21"/>
  <c r="D22" i="21"/>
  <c r="B31" i="21"/>
  <c r="C39" i="21"/>
  <c r="G46" i="21"/>
  <c r="B52" i="21"/>
  <c r="D57" i="21"/>
  <c r="B63" i="21"/>
  <c r="C68" i="21"/>
  <c r="E73" i="21"/>
  <c r="E79" i="21"/>
  <c r="D84" i="21"/>
  <c r="F89" i="21"/>
  <c r="F95" i="21"/>
  <c r="G100" i="21"/>
  <c r="C106" i="21"/>
  <c r="G111" i="21"/>
  <c r="B117" i="21"/>
  <c r="D122" i="21"/>
  <c r="E127" i="21"/>
  <c r="G131" i="21"/>
  <c r="E136" i="21"/>
  <c r="G140" i="21"/>
  <c r="C144" i="21"/>
  <c r="F147" i="21"/>
  <c r="E151" i="21"/>
  <c r="G154" i="21"/>
  <c r="D158" i="21"/>
  <c r="C162" i="21"/>
  <c r="B165" i="21"/>
  <c r="E167" i="21"/>
  <c r="B170" i="21"/>
  <c r="C172" i="21"/>
  <c r="F174" i="21"/>
  <c r="B177" i="21"/>
  <c r="D179" i="21"/>
  <c r="F181" i="21"/>
  <c r="C184" i="21"/>
  <c r="D186" i="21"/>
  <c r="G188" i="21"/>
  <c r="D191" i="21"/>
  <c r="E193" i="21"/>
  <c r="B196" i="21"/>
  <c r="D198" i="21"/>
  <c r="F200" i="21"/>
  <c r="B203" i="21"/>
  <c r="E205" i="21"/>
  <c r="F207" i="21"/>
  <c r="C210" i="21"/>
  <c r="F212" i="21"/>
  <c r="G214" i="21"/>
  <c r="D217" i="21"/>
  <c r="F219" i="21"/>
  <c r="B222" i="21"/>
  <c r="D224" i="21"/>
  <c r="G226" i="21"/>
  <c r="B229" i="21"/>
  <c r="E231" i="21"/>
  <c r="B234" i="21"/>
  <c r="C236" i="21"/>
  <c r="F238" i="21"/>
  <c r="B241" i="21"/>
  <c r="D243" i="21"/>
  <c r="F245" i="21"/>
  <c r="C248" i="21"/>
  <c r="D250" i="21"/>
  <c r="G252" i="21"/>
  <c r="D255" i="21"/>
  <c r="E257" i="21"/>
  <c r="B260" i="21"/>
  <c r="D262" i="21"/>
  <c r="F264" i="21"/>
  <c r="B267" i="21"/>
  <c r="E269" i="21"/>
  <c r="F271" i="21"/>
  <c r="C274" i="21"/>
  <c r="F276" i="21"/>
  <c r="G278" i="21"/>
  <c r="D281" i="21"/>
  <c r="F283" i="21"/>
  <c r="B286" i="21"/>
  <c r="D288" i="21"/>
  <c r="D290" i="21"/>
  <c r="B292" i="21"/>
  <c r="G293" i="21"/>
  <c r="F11" i="21"/>
  <c r="G22" i="21"/>
  <c r="E32" i="21"/>
  <c r="C40" i="21"/>
  <c r="B47" i="21"/>
  <c r="B53" i="21"/>
  <c r="C58" i="21"/>
  <c r="E63" i="21"/>
  <c r="C69" i="21"/>
  <c r="D74" i="21"/>
  <c r="F79" i="21"/>
  <c r="E85" i="21"/>
  <c r="E90" i="21"/>
  <c r="G95" i="21"/>
  <c r="F101" i="21"/>
  <c r="G106" i="21"/>
  <c r="C112" i="21"/>
  <c r="G117" i="21"/>
  <c r="B123" i="21"/>
  <c r="F127" i="21"/>
  <c r="G132" i="21"/>
  <c r="B137" i="21"/>
  <c r="B141" i="21"/>
  <c r="G144" i="21"/>
  <c r="C148" i="21"/>
  <c r="F151" i="21"/>
  <c r="E155" i="21"/>
  <c r="G158" i="21"/>
  <c r="D162" i="21"/>
  <c r="E165" i="21"/>
  <c r="F167" i="21"/>
  <c r="C170" i="21"/>
  <c r="F172" i="21"/>
  <c r="G174" i="21"/>
  <c r="D177" i="21"/>
  <c r="F179" i="21"/>
  <c r="B182" i="21"/>
  <c r="D184" i="21"/>
  <c r="G186" i="21"/>
  <c r="B189" i="21"/>
  <c r="E191" i="21"/>
  <c r="B194" i="21"/>
  <c r="C196" i="21"/>
  <c r="F198" i="21"/>
  <c r="B201" i="21"/>
  <c r="D203" i="21"/>
  <c r="F205" i="21"/>
  <c r="C208" i="21"/>
  <c r="D210" i="21"/>
  <c r="G212" i="21"/>
  <c r="D215" i="21"/>
  <c r="E217" i="21"/>
  <c r="B220" i="21"/>
  <c r="D222" i="21"/>
  <c r="F224" i="21"/>
  <c r="B227" i="21"/>
  <c r="E229" i="21"/>
  <c r="F231" i="21"/>
  <c r="C234" i="21"/>
  <c r="F236" i="21"/>
  <c r="G238" i="21"/>
  <c r="D241" i="21"/>
  <c r="F243" i="21"/>
  <c r="B246" i="21"/>
  <c r="D248" i="21"/>
  <c r="G250" i="21"/>
  <c r="B253" i="21"/>
  <c r="E255" i="21"/>
  <c r="B258" i="21"/>
  <c r="C260" i="21"/>
  <c r="F262" i="21"/>
  <c r="B265" i="21"/>
  <c r="D267" i="21"/>
  <c r="F269" i="21"/>
  <c r="C272" i="21"/>
  <c r="D274" i="21"/>
  <c r="G276" i="21"/>
  <c r="D279" i="21"/>
  <c r="E281" i="21"/>
  <c r="B284" i="21"/>
  <c r="D286" i="21"/>
  <c r="F288" i="21"/>
  <c r="E290" i="21"/>
  <c r="D292" i="21"/>
  <c r="B294" i="21"/>
  <c r="E13" i="21"/>
  <c r="C24" i="21"/>
  <c r="C33" i="21"/>
  <c r="F41" i="21"/>
  <c r="G47" i="21"/>
  <c r="C53" i="21"/>
  <c r="B59" i="21"/>
  <c r="C64" i="21"/>
  <c r="E69" i="21"/>
  <c r="C75" i="21"/>
  <c r="D80" i="21"/>
  <c r="F85" i="21"/>
  <c r="F91" i="21"/>
  <c r="E96" i="21"/>
  <c r="G101" i="21"/>
  <c r="G107" i="21"/>
  <c r="B113" i="21"/>
  <c r="D118" i="21"/>
  <c r="G123" i="21"/>
  <c r="D128" i="21"/>
  <c r="B133" i="21"/>
  <c r="G137" i="21"/>
  <c r="E141" i="21"/>
  <c r="B145" i="21"/>
  <c r="G148" i="21"/>
  <c r="C152" i="21"/>
  <c r="F155" i="21"/>
  <c r="E159" i="21"/>
  <c r="G162" i="21"/>
  <c r="F165" i="21"/>
  <c r="C168" i="21"/>
  <c r="D170" i="21"/>
  <c r="G172" i="21"/>
  <c r="D175" i="21"/>
  <c r="E177" i="21"/>
  <c r="B180" i="21"/>
  <c r="D182" i="21"/>
  <c r="F184" i="21"/>
  <c r="B187" i="21"/>
  <c r="E189" i="21"/>
  <c r="F191" i="21"/>
  <c r="C194" i="21"/>
  <c r="F196" i="21"/>
  <c r="G198" i="21"/>
  <c r="D201" i="21"/>
  <c r="F203" i="21"/>
  <c r="B206" i="21"/>
  <c r="D208" i="21"/>
  <c r="G210" i="21"/>
  <c r="B213" i="21"/>
  <c r="E215" i="21"/>
  <c r="B218" i="21"/>
  <c r="C220" i="21"/>
  <c r="F222" i="21"/>
  <c r="B225" i="21"/>
  <c r="D227" i="21"/>
  <c r="F229" i="21"/>
  <c r="C232" i="21"/>
  <c r="D234" i="21"/>
  <c r="G236" i="21"/>
  <c r="D239" i="21"/>
  <c r="E241" i="21"/>
  <c r="B244" i="21"/>
  <c r="D246" i="21"/>
  <c r="F248" i="21"/>
  <c r="B251" i="21"/>
  <c r="E253" i="21"/>
  <c r="F255" i="21"/>
  <c r="C258" i="21"/>
  <c r="F260" i="21"/>
  <c r="G262" i="21"/>
  <c r="D265" i="21"/>
  <c r="F267" i="21"/>
  <c r="B270" i="21"/>
  <c r="D272" i="21"/>
  <c r="G274" i="21"/>
  <c r="B277" i="21"/>
  <c r="E279" i="21"/>
  <c r="B282" i="21"/>
  <c r="C284" i="21"/>
  <c r="F286" i="21"/>
  <c r="B289" i="21"/>
  <c r="F290" i="21"/>
  <c r="E292" i="21"/>
  <c r="D294" i="21"/>
  <c r="B296" i="21"/>
  <c r="G297" i="21"/>
  <c r="F299" i="21"/>
  <c r="D301" i="21"/>
  <c r="C303" i="21"/>
  <c r="B305" i="21"/>
  <c r="F306" i="21"/>
  <c r="E308" i="21"/>
  <c r="D310" i="21"/>
  <c r="B312" i="21"/>
  <c r="G313" i="21"/>
  <c r="F315" i="21"/>
  <c r="D317" i="21"/>
  <c r="C319" i="21"/>
  <c r="B321" i="21"/>
  <c r="F322" i="21"/>
  <c r="E324" i="21"/>
  <c r="D326" i="21"/>
  <c r="B328" i="21"/>
  <c r="G329" i="21"/>
  <c r="F331" i="21"/>
  <c r="D333" i="21"/>
  <c r="C335" i="21"/>
  <c r="B337" i="21"/>
  <c r="F338" i="21"/>
  <c r="E340" i="21"/>
  <c r="D342" i="21"/>
  <c r="B344" i="21"/>
  <c r="G345" i="21"/>
  <c r="F347" i="21"/>
  <c r="D349" i="21"/>
  <c r="C351" i="21"/>
  <c r="B353" i="21"/>
  <c r="F354" i="21"/>
  <c r="E356" i="21"/>
  <c r="D358" i="21"/>
  <c r="B360" i="21"/>
  <c r="G361" i="21"/>
  <c r="F363" i="21"/>
  <c r="D365" i="21"/>
  <c r="C367" i="21"/>
  <c r="B369" i="21"/>
  <c r="F370" i="21"/>
  <c r="D372" i="21"/>
  <c r="F373" i="21"/>
  <c r="B375" i="21"/>
  <c r="D376" i="21"/>
  <c r="F377" i="21"/>
  <c r="B379" i="21"/>
  <c r="D380" i="21"/>
  <c r="F381" i="21"/>
  <c r="B383" i="21"/>
  <c r="D384" i="21"/>
  <c r="F385" i="21"/>
  <c r="B387" i="21"/>
  <c r="D388" i="21"/>
  <c r="F389" i="21"/>
  <c r="B391" i="21"/>
  <c r="D392" i="21"/>
  <c r="F393" i="21"/>
  <c r="B395" i="21"/>
  <c r="D396" i="21"/>
  <c r="F397" i="21"/>
  <c r="B399" i="21"/>
  <c r="D400" i="21"/>
  <c r="F401" i="21"/>
  <c r="B403" i="21"/>
  <c r="D404" i="21"/>
  <c r="F405" i="21"/>
  <c r="B407" i="21"/>
  <c r="D408" i="21"/>
  <c r="F409" i="21"/>
  <c r="B411" i="21"/>
  <c r="D412" i="21"/>
  <c r="F413" i="21"/>
  <c r="B415" i="21"/>
  <c r="D416" i="21"/>
  <c r="F417" i="21"/>
  <c r="B419" i="21"/>
  <c r="D420" i="21"/>
  <c r="F421" i="21"/>
  <c r="B423" i="21"/>
  <c r="D424" i="21"/>
  <c r="F425" i="21"/>
  <c r="B427" i="21"/>
  <c r="D428" i="21"/>
  <c r="F429" i="21"/>
  <c r="B431" i="21"/>
  <c r="D432" i="21"/>
  <c r="F433" i="21"/>
  <c r="B435" i="21"/>
  <c r="D436" i="21"/>
  <c r="F437" i="21"/>
  <c r="B439" i="21"/>
  <c r="D440" i="21"/>
  <c r="F441" i="21"/>
  <c r="B443" i="21"/>
  <c r="D444" i="21"/>
  <c r="F445" i="21"/>
  <c r="B447" i="21"/>
  <c r="D448" i="21"/>
  <c r="F449" i="21"/>
  <c r="B451" i="21"/>
  <c r="D452" i="21"/>
  <c r="F453" i="21"/>
  <c r="B455" i="21"/>
  <c r="D456" i="21"/>
  <c r="F457" i="21"/>
  <c r="B459" i="21"/>
  <c r="D460" i="21"/>
  <c r="F461" i="21"/>
  <c r="B463" i="21"/>
  <c r="D464" i="21"/>
  <c r="F465" i="21"/>
  <c r="B467" i="21"/>
  <c r="D468" i="21"/>
  <c r="F469" i="21"/>
  <c r="B471" i="21"/>
  <c r="D472" i="21"/>
  <c r="F473" i="21"/>
  <c r="B475" i="21"/>
  <c r="D476" i="21"/>
  <c r="F477" i="21"/>
  <c r="B479" i="21"/>
  <c r="D480" i="21"/>
  <c r="F481" i="21"/>
  <c r="B483" i="21"/>
  <c r="D484" i="21"/>
  <c r="F485" i="21"/>
  <c r="B487" i="21"/>
  <c r="D488" i="21"/>
  <c r="F489" i="21"/>
  <c r="B491" i="21"/>
  <c r="D492" i="21"/>
  <c r="F493" i="21"/>
  <c r="B495" i="21"/>
  <c r="D496" i="21"/>
  <c r="F497" i="21"/>
  <c r="B499" i="21"/>
  <c r="D500" i="21"/>
  <c r="F501" i="21"/>
  <c r="D42" i="21"/>
  <c r="F215" i="21"/>
  <c r="E239" i="21"/>
  <c r="F246" i="21"/>
  <c r="D251" i="21"/>
  <c r="F253" i="21"/>
  <c r="D258" i="21"/>
  <c r="G260" i="21"/>
  <c r="E265" i="21"/>
  <c r="B268" i="21"/>
  <c r="D270" i="21"/>
  <c r="B275" i="21"/>
  <c r="E277" i="21"/>
  <c r="F279" i="21"/>
  <c r="C282" i="21"/>
  <c r="G286" i="21"/>
  <c r="C289" i="21"/>
  <c r="B291" i="21"/>
  <c r="F292" i="21"/>
  <c r="D296" i="21"/>
  <c r="B298" i="21"/>
  <c r="G299" i="21"/>
  <c r="F301" i="21"/>
  <c r="D303" i="21"/>
  <c r="E14" i="21"/>
  <c r="D26" i="21"/>
  <c r="C34" i="21"/>
  <c r="B49" i="21"/>
  <c r="G53" i="21"/>
  <c r="C59" i="21"/>
  <c r="C65" i="21"/>
  <c r="D70" i="21"/>
  <c r="F75" i="21"/>
  <c r="D81" i="21"/>
  <c r="E86" i="21"/>
  <c r="G91" i="21"/>
  <c r="F97" i="21"/>
  <c r="F102" i="21"/>
  <c r="B108" i="21"/>
  <c r="G113" i="21"/>
  <c r="B119" i="21"/>
  <c r="C124" i="21"/>
  <c r="C129" i="21"/>
  <c r="F133" i="21"/>
  <c r="B138" i="21"/>
  <c r="C142" i="21"/>
  <c r="E145" i="21"/>
  <c r="B149" i="21"/>
  <c r="G152" i="21"/>
  <c r="C156" i="21"/>
  <c r="F159" i="21"/>
  <c r="E163" i="21"/>
  <c r="B166" i="21"/>
  <c r="D168" i="21"/>
  <c r="G170" i="21"/>
  <c r="B173" i="21"/>
  <c r="E175" i="21"/>
  <c r="B178" i="21"/>
  <c r="C180" i="21"/>
  <c r="F182" i="21"/>
  <c r="B185" i="21"/>
  <c r="D187" i="21"/>
  <c r="F189" i="21"/>
  <c r="C192" i="21"/>
  <c r="D194" i="21"/>
  <c r="G196" i="21"/>
  <c r="D199" i="21"/>
  <c r="E201" i="21"/>
  <c r="B204" i="21"/>
  <c r="D206" i="21"/>
  <c r="F208" i="21"/>
  <c r="B211" i="21"/>
  <c r="E213" i="21"/>
  <c r="C218" i="21"/>
  <c r="F220" i="21"/>
  <c r="G222" i="21"/>
  <c r="D225" i="21"/>
  <c r="F227" i="21"/>
  <c r="B230" i="21"/>
  <c r="D232" i="21"/>
  <c r="G234" i="21"/>
  <c r="B237" i="21"/>
  <c r="B242" i="21"/>
  <c r="C244" i="21"/>
  <c r="B249" i="21"/>
  <c r="C256" i="21"/>
  <c r="D263" i="21"/>
  <c r="F272" i="21"/>
  <c r="F284" i="21"/>
  <c r="E294" i="21"/>
  <c r="G15" i="21"/>
  <c r="G26" i="21"/>
  <c r="F35" i="21"/>
  <c r="C43" i="21"/>
  <c r="C49" i="21"/>
  <c r="B55" i="21"/>
  <c r="B60" i="21"/>
  <c r="D65" i="21"/>
  <c r="C71" i="21"/>
  <c r="D76" i="21"/>
  <c r="F81" i="21"/>
  <c r="E87" i="21"/>
  <c r="E92" i="21"/>
  <c r="G97" i="21"/>
  <c r="G103" i="21"/>
  <c r="G108" i="21"/>
  <c r="C114" i="21"/>
  <c r="B120" i="21"/>
  <c r="G124" i="21"/>
  <c r="E129" i="21"/>
  <c r="E134" i="21"/>
  <c r="E138" i="21"/>
  <c r="D142" i="21"/>
  <c r="C146" i="21"/>
  <c r="E149" i="21"/>
  <c r="B153" i="21"/>
  <c r="G156" i="21"/>
  <c r="C160" i="21"/>
  <c r="F163" i="21"/>
  <c r="D166" i="21"/>
  <c r="F168" i="21"/>
  <c r="B171" i="21"/>
  <c r="E173" i="21"/>
  <c r="F175" i="21"/>
  <c r="C178" i="21"/>
  <c r="F180" i="21"/>
  <c r="G182" i="21"/>
  <c r="D185" i="21"/>
  <c r="F187" i="21"/>
  <c r="B190" i="21"/>
  <c r="D192" i="21"/>
  <c r="G194" i="21"/>
  <c r="B197" i="21"/>
  <c r="E199" i="21"/>
  <c r="B202" i="21"/>
  <c r="C204" i="21"/>
  <c r="F206" i="21"/>
  <c r="B209" i="21"/>
  <c r="D211" i="21"/>
  <c r="F213" i="21"/>
  <c r="C216" i="21"/>
  <c r="D218" i="21"/>
  <c r="G220" i="21"/>
  <c r="D223" i="21"/>
  <c r="E225" i="21"/>
  <c r="B228" i="21"/>
  <c r="D230" i="21"/>
  <c r="F232" i="21"/>
  <c r="B235" i="21"/>
  <c r="E237" i="21"/>
  <c r="F239" i="21"/>
  <c r="C242" i="21"/>
  <c r="F244" i="21"/>
  <c r="G246" i="21"/>
  <c r="D249" i="21"/>
  <c r="F251" i="21"/>
  <c r="B254" i="21"/>
  <c r="D256" i="21"/>
  <c r="G258" i="21"/>
  <c r="B261" i="21"/>
  <c r="E263" i="21"/>
  <c r="B266" i="21"/>
  <c r="C268" i="21"/>
  <c r="F270" i="21"/>
  <c r="B273" i="21"/>
  <c r="D275" i="21"/>
  <c r="F277" i="21"/>
  <c r="C280" i="21"/>
  <c r="D282" i="21"/>
  <c r="G284" i="21"/>
  <c r="D287" i="21"/>
  <c r="D289" i="21"/>
  <c r="C291" i="21"/>
  <c r="B293" i="21"/>
  <c r="F294" i="21"/>
  <c r="G17" i="21"/>
  <c r="B28" i="21"/>
  <c r="C36" i="21"/>
  <c r="G44" i="21"/>
  <c r="G49" i="21"/>
  <c r="C55" i="21"/>
  <c r="C61" i="21"/>
  <c r="C66" i="21"/>
  <c r="E71" i="21"/>
  <c r="D77" i="21"/>
  <c r="E82" i="21"/>
  <c r="G87" i="21"/>
  <c r="E93" i="21"/>
  <c r="F98" i="21"/>
  <c r="B104" i="21"/>
  <c r="G109" i="21"/>
  <c r="G114" i="21"/>
  <c r="C120" i="21"/>
  <c r="F125" i="21"/>
  <c r="C130" i="21"/>
  <c r="G134" i="21"/>
  <c r="D139" i="21"/>
  <c r="G142" i="21"/>
  <c r="D146" i="21"/>
  <c r="C150" i="21"/>
  <c r="E153" i="21"/>
  <c r="B157" i="21"/>
  <c r="G160" i="21"/>
  <c r="C164" i="21"/>
  <c r="F166" i="21"/>
  <c r="B169" i="21"/>
  <c r="D171" i="21"/>
  <c r="F173" i="21"/>
  <c r="C176" i="21"/>
  <c r="D178" i="21"/>
  <c r="G180" i="21"/>
  <c r="D183" i="21"/>
  <c r="E185" i="21"/>
  <c r="B188" i="21"/>
  <c r="D190" i="21"/>
  <c r="F192" i="21"/>
  <c r="B195" i="21"/>
  <c r="E197" i="21"/>
  <c r="F199" i="21"/>
  <c r="C202" i="21"/>
  <c r="F204" i="21"/>
  <c r="G206" i="21"/>
  <c r="D209" i="21"/>
  <c r="F211" i="21"/>
  <c r="B214" i="21"/>
  <c r="D216" i="21"/>
  <c r="G218" i="21"/>
  <c r="B221" i="21"/>
  <c r="E223" i="21"/>
  <c r="B226" i="21"/>
  <c r="C228" i="21"/>
  <c r="F230" i="21"/>
  <c r="B233" i="21"/>
  <c r="D235" i="21"/>
  <c r="F237" i="21"/>
  <c r="C240" i="21"/>
  <c r="D242" i="21"/>
  <c r="G244" i="21"/>
  <c r="D247" i="21"/>
  <c r="E249" i="21"/>
  <c r="B252" i="21"/>
  <c r="D254" i="21"/>
  <c r="F256" i="21"/>
  <c r="B259" i="21"/>
  <c r="E261" i="21"/>
  <c r="F263" i="21"/>
  <c r="C266" i="21"/>
  <c r="F268" i="21"/>
  <c r="G270" i="21"/>
  <c r="D273" i="21"/>
  <c r="F275" i="21"/>
  <c r="B278" i="21"/>
  <c r="D280" i="21"/>
  <c r="G282" i="21"/>
  <c r="B285" i="21"/>
  <c r="E287" i="21"/>
  <c r="F289" i="21"/>
  <c r="D291" i="21"/>
  <c r="C293" i="21"/>
  <c r="B295" i="21"/>
  <c r="F18" i="21"/>
  <c r="E29" i="21"/>
  <c r="C37" i="21"/>
  <c r="C45" i="21"/>
  <c r="G50" i="21"/>
  <c r="B56" i="21"/>
  <c r="D61" i="21"/>
  <c r="C67" i="21"/>
  <c r="C72" i="21"/>
  <c r="E77" i="21"/>
  <c r="E83" i="21"/>
  <c r="E88" i="21"/>
  <c r="G93" i="21"/>
  <c r="F99" i="21"/>
  <c r="G104" i="21"/>
  <c r="C110" i="21"/>
  <c r="B116" i="21"/>
  <c r="B121" i="21"/>
  <c r="G125" i="21"/>
  <c r="B131" i="21"/>
  <c r="E135" i="21"/>
  <c r="E139" i="21"/>
  <c r="E143" i="21"/>
  <c r="G146" i="21"/>
  <c r="D150" i="21"/>
  <c r="C154" i="21"/>
  <c r="E157" i="21"/>
  <c r="B161" i="21"/>
  <c r="F164" i="21"/>
  <c r="G166" i="21"/>
  <c r="D169" i="21"/>
  <c r="F171" i="21"/>
  <c r="B174" i="21"/>
  <c r="D176" i="21"/>
  <c r="G178" i="21"/>
  <c r="B181" i="21"/>
  <c r="E183" i="21"/>
  <c r="B186" i="21"/>
  <c r="C188" i="21"/>
  <c r="F190" i="21"/>
  <c r="B193" i="21"/>
  <c r="D195" i="21"/>
  <c r="F197" i="21"/>
  <c r="C200" i="21"/>
  <c r="D202" i="21"/>
  <c r="G204" i="21"/>
  <c r="D207" i="21"/>
  <c r="E209" i="21"/>
  <c r="B212" i="21"/>
  <c r="D214" i="21"/>
  <c r="F216" i="21"/>
  <c r="B219" i="21"/>
  <c r="E221" i="21"/>
  <c r="F223" i="21"/>
  <c r="C226" i="21"/>
  <c r="F228" i="21"/>
  <c r="G230" i="21"/>
  <c r="D233" i="21"/>
  <c r="F235" i="21"/>
  <c r="B238" i="21"/>
  <c r="D240" i="21"/>
  <c r="G242" i="21"/>
  <c r="B245" i="21"/>
  <c r="E247" i="21"/>
  <c r="B250" i="21"/>
  <c r="C252" i="21"/>
  <c r="F254" i="21"/>
  <c r="B257" i="21"/>
  <c r="D259" i="21"/>
  <c r="F261" i="21"/>
  <c r="C264" i="21"/>
  <c r="D266" i="21"/>
  <c r="G268" i="21"/>
  <c r="D271" i="21"/>
  <c r="E273" i="21"/>
  <c r="B276" i="21"/>
  <c r="D278" i="21"/>
  <c r="F280" i="21"/>
  <c r="B283" i="21"/>
  <c r="E285" i="21"/>
  <c r="F287" i="21"/>
  <c r="G289" i="21"/>
  <c r="F291" i="21"/>
  <c r="D293" i="21"/>
  <c r="C295" i="21"/>
  <c r="B297" i="21"/>
  <c r="F298" i="21"/>
  <c r="E300" i="21"/>
  <c r="D302" i="21"/>
  <c r="B304" i="21"/>
  <c r="G305" i="21"/>
  <c r="F307" i="21"/>
  <c r="D309" i="21"/>
  <c r="C311" i="21"/>
  <c r="B313" i="21"/>
  <c r="F314" i="21"/>
  <c r="E316" i="21"/>
  <c r="D318" i="21"/>
  <c r="B320" i="21"/>
  <c r="G321" i="21"/>
  <c r="F323" i="21"/>
  <c r="D325" i="21"/>
  <c r="C327" i="21"/>
  <c r="B329" i="21"/>
  <c r="F330" i="21"/>
  <c r="E332" i="21"/>
  <c r="D334" i="21"/>
  <c r="B336" i="21"/>
  <c r="G337" i="21"/>
  <c r="F339" i="21"/>
  <c r="D341" i="21"/>
  <c r="C343" i="21"/>
  <c r="B345" i="21"/>
  <c r="F346" i="21"/>
  <c r="E348" i="21"/>
  <c r="D350" i="21"/>
  <c r="B352" i="21"/>
  <c r="G353" i="21"/>
  <c r="F355" i="21"/>
  <c r="D357" i="21"/>
  <c r="C359" i="21"/>
  <c r="B361" i="21"/>
  <c r="F362" i="21"/>
  <c r="E364" i="21"/>
  <c r="D366" i="21"/>
  <c r="B368" i="21"/>
  <c r="G369" i="21"/>
  <c r="F371" i="21"/>
  <c r="B373" i="21"/>
  <c r="D374" i="21"/>
  <c r="F375" i="21"/>
  <c r="B377" i="21"/>
  <c r="D378" i="21"/>
  <c r="F379" i="21"/>
  <c r="B381" i="21"/>
  <c r="D382" i="21"/>
  <c r="F383" i="21"/>
  <c r="B385" i="21"/>
  <c r="D386" i="21"/>
  <c r="F387" i="21"/>
  <c r="B389" i="21"/>
  <c r="D390" i="21"/>
  <c r="F391" i="21"/>
  <c r="B393" i="21"/>
  <c r="D394" i="21"/>
  <c r="F395" i="21"/>
  <c r="B397" i="21"/>
  <c r="D398" i="21"/>
  <c r="F399" i="21"/>
  <c r="B401" i="21"/>
  <c r="D402" i="21"/>
  <c r="F403" i="21"/>
  <c r="B405" i="21"/>
  <c r="D406" i="21"/>
  <c r="F407" i="21"/>
  <c r="B409" i="21"/>
  <c r="D410" i="21"/>
  <c r="F411" i="21"/>
  <c r="B413" i="21"/>
  <c r="D414" i="21"/>
  <c r="F415" i="21"/>
  <c r="B417" i="21"/>
  <c r="D418" i="21"/>
  <c r="F419" i="21"/>
  <c r="B421" i="21"/>
  <c r="D422" i="21"/>
  <c r="F423" i="21"/>
  <c r="B425" i="21"/>
  <c r="D426" i="21"/>
  <c r="F427" i="21"/>
  <c r="B429" i="21"/>
  <c r="D430" i="21"/>
  <c r="F431" i="21"/>
  <c r="B433" i="21"/>
  <c r="D434" i="21"/>
  <c r="F435" i="21"/>
  <c r="B437" i="21"/>
  <c r="D438" i="21"/>
  <c r="F439" i="21"/>
  <c r="B441" i="21"/>
  <c r="D442" i="21"/>
  <c r="F443" i="21"/>
  <c r="B445" i="21"/>
  <c r="D446" i="21"/>
  <c r="F447" i="21"/>
  <c r="B449" i="21"/>
  <c r="D450" i="21"/>
  <c r="F451" i="21"/>
  <c r="B453" i="21"/>
  <c r="D454" i="21"/>
  <c r="F455" i="21"/>
  <c r="B457" i="21"/>
  <c r="D458" i="21"/>
  <c r="F459" i="21"/>
  <c r="B461" i="21"/>
  <c r="D462" i="21"/>
  <c r="F463" i="21"/>
  <c r="B465" i="21"/>
  <c r="D466" i="21"/>
  <c r="F467" i="21"/>
  <c r="B469" i="21"/>
  <c r="D470" i="21"/>
  <c r="F471" i="21"/>
  <c r="B473" i="21"/>
  <c r="D474" i="21"/>
  <c r="F475" i="21"/>
  <c r="B477" i="21"/>
  <c r="D478" i="21"/>
  <c r="F479" i="21"/>
  <c r="B481" i="21"/>
  <c r="D482" i="21"/>
  <c r="F483" i="21"/>
  <c r="B485" i="21"/>
  <c r="D486" i="21"/>
  <c r="F487" i="21"/>
  <c r="B489" i="21"/>
  <c r="D490" i="21"/>
  <c r="F491" i="21"/>
  <c r="B493" i="21"/>
  <c r="D494" i="21"/>
  <c r="F495" i="21"/>
  <c r="B497" i="21"/>
  <c r="D498" i="21"/>
  <c r="F499" i="21"/>
  <c r="B501" i="21"/>
  <c r="F38" i="21"/>
  <c r="B217" i="21"/>
  <c r="D238" i="21"/>
  <c r="F247" i="21"/>
  <c r="F252" i="21"/>
  <c r="G254" i="21"/>
  <c r="F259" i="21"/>
  <c r="B262" i="21"/>
  <c r="G266" i="21"/>
  <c r="B269" i="21"/>
  <c r="E271" i="21"/>
  <c r="C276" i="21"/>
  <c r="F278" i="21"/>
  <c r="B281" i="21"/>
  <c r="D283" i="21"/>
  <c r="C288" i="21"/>
  <c r="B290" i="21"/>
  <c r="G291" i="21"/>
  <c r="F293" i="21"/>
  <c r="C297" i="21"/>
  <c r="B299" i="21"/>
  <c r="F300" i="21"/>
  <c r="E302" i="21"/>
  <c r="D304" i="21"/>
  <c r="F295" i="21"/>
  <c r="C299" i="21"/>
  <c r="F302" i="21"/>
  <c r="F305" i="21"/>
  <c r="B308" i="21"/>
  <c r="E310" i="21"/>
  <c r="F312" i="21"/>
  <c r="C315" i="21"/>
  <c r="F317" i="21"/>
  <c r="G319" i="21"/>
  <c r="D322" i="21"/>
  <c r="F324" i="21"/>
  <c r="B327" i="21"/>
  <c r="D329" i="21"/>
  <c r="G331" i="21"/>
  <c r="B334" i="21"/>
  <c r="E336" i="21"/>
  <c r="B339" i="21"/>
  <c r="C341" i="21"/>
  <c r="F343" i="21"/>
  <c r="B346" i="21"/>
  <c r="D348" i="21"/>
  <c r="F350" i="21"/>
  <c r="C353" i="21"/>
  <c r="D355" i="21"/>
  <c r="D360" i="21"/>
  <c r="E362" i="21"/>
  <c r="B365" i="21"/>
  <c r="D367" i="21"/>
  <c r="F369" i="21"/>
  <c r="B372" i="21"/>
  <c r="G373" i="21"/>
  <c r="E375" i="21"/>
  <c r="D377" i="21"/>
  <c r="C379" i="21"/>
  <c r="G380" i="21"/>
  <c r="F382" i="21"/>
  <c r="E384" i="21"/>
  <c r="C386" i="21"/>
  <c r="B388" i="21"/>
  <c r="G389" i="21"/>
  <c r="E391" i="21"/>
  <c r="C395" i="21"/>
  <c r="G396" i="21"/>
  <c r="E400" i="21"/>
  <c r="B404" i="21"/>
  <c r="D409" i="21"/>
  <c r="F414" i="21"/>
  <c r="G421" i="21"/>
  <c r="G428" i="21"/>
  <c r="E439" i="21"/>
  <c r="B452" i="21"/>
  <c r="F462" i="21"/>
  <c r="D473" i="21"/>
  <c r="G485" i="21"/>
  <c r="C498" i="21"/>
  <c r="C313" i="21"/>
  <c r="B370" i="21"/>
  <c r="C381" i="21"/>
  <c r="C388" i="21"/>
  <c r="E393" i="21"/>
  <c r="C397" i="21"/>
  <c r="E402" i="21"/>
  <c r="B406" i="21"/>
  <c r="G407" i="21"/>
  <c r="C413" i="21"/>
  <c r="F416" i="21"/>
  <c r="C420" i="21"/>
  <c r="G423" i="21"/>
  <c r="C429" i="21"/>
  <c r="F432" i="21"/>
  <c r="C436" i="21"/>
  <c r="E441" i="21"/>
  <c r="C445" i="21"/>
  <c r="F448" i="21"/>
  <c r="B454" i="21"/>
  <c r="E457" i="21"/>
  <c r="C461" i="21"/>
  <c r="E466" i="21"/>
  <c r="B470" i="21"/>
  <c r="D475" i="21"/>
  <c r="G478" i="21"/>
  <c r="E482" i="21"/>
  <c r="G487" i="21"/>
  <c r="D491" i="21"/>
  <c r="G295" i="21"/>
  <c r="B303" i="21"/>
  <c r="B306" i="21"/>
  <c r="D308" i="21"/>
  <c r="F310" i="21"/>
  <c r="D315" i="21"/>
  <c r="G317" i="21"/>
  <c r="D320" i="21"/>
  <c r="E322" i="21"/>
  <c r="B325" i="21"/>
  <c r="D327" i="21"/>
  <c r="F329" i="21"/>
  <c r="B332" i="21"/>
  <c r="E334" i="21"/>
  <c r="F336" i="21"/>
  <c r="C339" i="21"/>
  <c r="F341" i="21"/>
  <c r="G343" i="21"/>
  <c r="D346" i="21"/>
  <c r="F348" i="21"/>
  <c r="B351" i="21"/>
  <c r="D353" i="21"/>
  <c r="G355" i="21"/>
  <c r="E360" i="21"/>
  <c r="B363" i="21"/>
  <c r="C365" i="21"/>
  <c r="F367" i="21"/>
  <c r="B374" i="21"/>
  <c r="D379" i="21"/>
  <c r="F384" i="21"/>
  <c r="B390" i="21"/>
  <c r="F400" i="21"/>
  <c r="D411" i="21"/>
  <c r="E425" i="21"/>
  <c r="B438" i="21"/>
  <c r="C452" i="21"/>
  <c r="G462" i="21"/>
  <c r="G471" i="21"/>
  <c r="C484" i="21"/>
  <c r="E296" i="21"/>
  <c r="B300" i="21"/>
  <c r="F303" i="21"/>
  <c r="D306" i="21"/>
  <c r="F308" i="21"/>
  <c r="B311" i="21"/>
  <c r="D313" i="21"/>
  <c r="G315" i="21"/>
  <c r="B318" i="21"/>
  <c r="E320" i="21"/>
  <c r="B323" i="21"/>
  <c r="C325" i="21"/>
  <c r="F327" i="21"/>
  <c r="B330" i="21"/>
  <c r="D332" i="21"/>
  <c r="F334" i="21"/>
  <c r="C337" i="21"/>
  <c r="D339" i="21"/>
  <c r="G341" i="21"/>
  <c r="D344" i="21"/>
  <c r="E346" i="21"/>
  <c r="B349" i="21"/>
  <c r="D351" i="21"/>
  <c r="F353" i="21"/>
  <c r="B356" i="21"/>
  <c r="E358" i="21"/>
  <c r="F360" i="21"/>
  <c r="C363" i="21"/>
  <c r="F365" i="21"/>
  <c r="G367" i="21"/>
  <c r="D370" i="21"/>
  <c r="E372" i="21"/>
  <c r="C374" i="21"/>
  <c r="B376" i="21"/>
  <c r="G377" i="21"/>
  <c r="E379" i="21"/>
  <c r="D381" i="21"/>
  <c r="C383" i="21"/>
  <c r="G384" i="21"/>
  <c r="F386" i="21"/>
  <c r="E388" i="21"/>
  <c r="C390" i="21"/>
  <c r="B392" i="21"/>
  <c r="G393" i="21"/>
  <c r="E395" i="21"/>
  <c r="D397" i="21"/>
  <c r="C399" i="21"/>
  <c r="G400" i="21"/>
  <c r="F402" i="21"/>
  <c r="E404" i="21"/>
  <c r="C406" i="21"/>
  <c r="B408" i="21"/>
  <c r="G409" i="21"/>
  <c r="E411" i="21"/>
  <c r="D413" i="21"/>
  <c r="C415" i="21"/>
  <c r="G416" i="21"/>
  <c r="F418" i="21"/>
  <c r="E420" i="21"/>
  <c r="C422" i="21"/>
  <c r="B424" i="21"/>
  <c r="G425" i="21"/>
  <c r="E427" i="21"/>
  <c r="D429" i="21"/>
  <c r="C431" i="21"/>
  <c r="G432" i="21"/>
  <c r="F434" i="21"/>
  <c r="E436" i="21"/>
  <c r="C438" i="21"/>
  <c r="B440" i="21"/>
  <c r="G441" i="21"/>
  <c r="E443" i="21"/>
  <c r="D445" i="21"/>
  <c r="C447" i="21"/>
  <c r="G448" i="21"/>
  <c r="F450" i="21"/>
  <c r="E452" i="21"/>
  <c r="C454" i="21"/>
  <c r="B456" i="21"/>
  <c r="G457" i="21"/>
  <c r="E459" i="21"/>
  <c r="D461" i="21"/>
  <c r="C463" i="21"/>
  <c r="F296" i="21"/>
  <c r="D300" i="21"/>
  <c r="G303" i="21"/>
  <c r="E306" i="21"/>
  <c r="B309" i="21"/>
  <c r="D311" i="21"/>
  <c r="F313" i="21"/>
  <c r="B316" i="21"/>
  <c r="E318" i="21"/>
  <c r="F320" i="21"/>
  <c r="C323" i="21"/>
  <c r="F325" i="21"/>
  <c r="G327" i="21"/>
  <c r="D330" i="21"/>
  <c r="F332" i="21"/>
  <c r="B335" i="21"/>
  <c r="D337" i="21"/>
  <c r="G339" i="21"/>
  <c r="B342" i="21"/>
  <c r="E344" i="21"/>
  <c r="B347" i="21"/>
  <c r="C349" i="21"/>
  <c r="F351" i="21"/>
  <c r="B354" i="21"/>
  <c r="D356" i="21"/>
  <c r="F358" i="21"/>
  <c r="C361" i="21"/>
  <c r="D363" i="21"/>
  <c r="G365" i="21"/>
  <c r="D368" i="21"/>
  <c r="E370" i="21"/>
  <c r="F372" i="21"/>
  <c r="E374" i="21"/>
  <c r="C376" i="21"/>
  <c r="B378" i="21"/>
  <c r="G379" i="21"/>
  <c r="E381" i="21"/>
  <c r="D383" i="21"/>
  <c r="C385" i="21"/>
  <c r="G386" i="21"/>
  <c r="F388" i="21"/>
  <c r="E390" i="21"/>
  <c r="C392" i="21"/>
  <c r="B394" i="21"/>
  <c r="G395" i="21"/>
  <c r="E397" i="21"/>
  <c r="D399" i="21"/>
  <c r="C401" i="21"/>
  <c r="G402" i="21"/>
  <c r="F404" i="21"/>
  <c r="E406" i="21"/>
  <c r="C408" i="21"/>
  <c r="B410" i="21"/>
  <c r="G411" i="21"/>
  <c r="E413" i="21"/>
  <c r="D415" i="21"/>
  <c r="C417" i="21"/>
  <c r="G418" i="21"/>
  <c r="F420" i="21"/>
  <c r="E422" i="21"/>
  <c r="C424" i="21"/>
  <c r="B426" i="21"/>
  <c r="G427" i="21"/>
  <c r="E429" i="21"/>
  <c r="D431" i="21"/>
  <c r="C433" i="21"/>
  <c r="G434" i="21"/>
  <c r="F436" i="21"/>
  <c r="E438" i="21"/>
  <c r="C440" i="21"/>
  <c r="B442" i="21"/>
  <c r="G443" i="21"/>
  <c r="E445" i="21"/>
  <c r="D447" i="21"/>
  <c r="C449" i="21"/>
  <c r="G450" i="21"/>
  <c r="F452" i="21"/>
  <c r="E454" i="21"/>
  <c r="C456" i="21"/>
  <c r="B458" i="21"/>
  <c r="G459" i="21"/>
  <c r="E461" i="21"/>
  <c r="D463" i="21"/>
  <c r="C465" i="21"/>
  <c r="G466" i="21"/>
  <c r="F468" i="21"/>
  <c r="E470" i="21"/>
  <c r="C472" i="21"/>
  <c r="B474" i="21"/>
  <c r="G475" i="21"/>
  <c r="E477" i="21"/>
  <c r="D479" i="21"/>
  <c r="C481" i="21"/>
  <c r="G482" i="21"/>
  <c r="F484" i="21"/>
  <c r="E486" i="21"/>
  <c r="C488" i="21"/>
  <c r="B490" i="21"/>
  <c r="G491" i="21"/>
  <c r="E493" i="21"/>
  <c r="D495" i="21"/>
  <c r="C497" i="21"/>
  <c r="G498" i="21"/>
  <c r="F500" i="21"/>
  <c r="B359" i="21"/>
  <c r="C394" i="21"/>
  <c r="E399" i="21"/>
  <c r="D401" i="21"/>
  <c r="G404" i="21"/>
  <c r="E408" i="21"/>
  <c r="C410" i="21"/>
  <c r="B412" i="21"/>
  <c r="E415" i="21"/>
  <c r="D417" i="21"/>
  <c r="C419" i="21"/>
  <c r="F422" i="21"/>
  <c r="E424" i="21"/>
  <c r="C426" i="21"/>
  <c r="B428" i="21"/>
  <c r="E431" i="21"/>
  <c r="D433" i="21"/>
  <c r="C435" i="21"/>
  <c r="G436" i="21"/>
  <c r="F438" i="21"/>
  <c r="C442" i="21"/>
  <c r="B444" i="21"/>
  <c r="G445" i="21"/>
  <c r="E447" i="21"/>
  <c r="D449" i="21"/>
  <c r="C451" i="21"/>
  <c r="F454" i="21"/>
  <c r="E456" i="21"/>
  <c r="C458" i="21"/>
  <c r="B460" i="21"/>
  <c r="G461" i="21"/>
  <c r="D465" i="21"/>
  <c r="C467" i="21"/>
  <c r="G468" i="21"/>
  <c r="F470" i="21"/>
  <c r="E472" i="21"/>
  <c r="B476" i="21"/>
  <c r="G477" i="21"/>
  <c r="E479" i="21"/>
  <c r="D481" i="21"/>
  <c r="C483" i="21"/>
  <c r="F486" i="21"/>
  <c r="E488" i="21"/>
  <c r="C490" i="21"/>
  <c r="B492" i="21"/>
  <c r="G493" i="21"/>
  <c r="E495" i="21"/>
  <c r="C499" i="21"/>
  <c r="G500" i="21"/>
  <c r="C301" i="21"/>
  <c r="B357" i="21"/>
  <c r="F368" i="21"/>
  <c r="G374" i="21"/>
  <c r="E378" i="21"/>
  <c r="B382" i="21"/>
  <c r="E385" i="21"/>
  <c r="C389" i="21"/>
  <c r="F392" i="21"/>
  <c r="C396" i="21"/>
  <c r="G399" i="21"/>
  <c r="C405" i="21"/>
  <c r="F408" i="21"/>
  <c r="C412" i="21"/>
  <c r="E417" i="21"/>
  <c r="C421" i="21"/>
  <c r="E426" i="21"/>
  <c r="B430" i="21"/>
  <c r="E433" i="21"/>
  <c r="G438" i="21"/>
  <c r="E442" i="21"/>
  <c r="B446" i="21"/>
  <c r="C453" i="21"/>
  <c r="F456" i="21"/>
  <c r="C460" i="21"/>
  <c r="E465" i="21"/>
  <c r="G470" i="21"/>
  <c r="C476" i="21"/>
  <c r="G479" i="21"/>
  <c r="D483" i="21"/>
  <c r="F488" i="21"/>
  <c r="C492" i="21"/>
  <c r="D297" i="21"/>
  <c r="B301" i="21"/>
  <c r="E304" i="21"/>
  <c r="B307" i="21"/>
  <c r="C309" i="21"/>
  <c r="F311" i="21"/>
  <c r="B314" i="21"/>
  <c r="D316" i="21"/>
  <c r="F318" i="21"/>
  <c r="C321" i="21"/>
  <c r="D323" i="21"/>
  <c r="G325" i="21"/>
  <c r="D328" i="21"/>
  <c r="E330" i="21"/>
  <c r="B333" i="21"/>
  <c r="D335" i="21"/>
  <c r="F337" i="21"/>
  <c r="B340" i="21"/>
  <c r="E342" i="21"/>
  <c r="F344" i="21"/>
  <c r="C347" i="21"/>
  <c r="F349" i="21"/>
  <c r="G351" i="21"/>
  <c r="D354" i="21"/>
  <c r="F356" i="21"/>
  <c r="D361" i="21"/>
  <c r="G363" i="21"/>
  <c r="B366" i="21"/>
  <c r="E368" i="21"/>
  <c r="B371" i="21"/>
  <c r="G372" i="21"/>
  <c r="F374" i="21"/>
  <c r="E376" i="21"/>
  <c r="C378" i="21"/>
  <c r="B380" i="21"/>
  <c r="G381" i="21"/>
  <c r="E383" i="21"/>
  <c r="D385" i="21"/>
  <c r="C387" i="21"/>
  <c r="G388" i="21"/>
  <c r="F390" i="21"/>
  <c r="E392" i="21"/>
  <c r="B396" i="21"/>
  <c r="G397" i="21"/>
  <c r="C403" i="21"/>
  <c r="F406" i="21"/>
  <c r="G413" i="21"/>
  <c r="G420" i="21"/>
  <c r="G429" i="21"/>
  <c r="E440" i="21"/>
  <c r="G452" i="21"/>
  <c r="E463" i="21"/>
  <c r="C474" i="21"/>
  <c r="G484" i="21"/>
  <c r="D497" i="21"/>
  <c r="D314" i="21"/>
  <c r="C371" i="21"/>
  <c r="C380" i="21"/>
  <c r="D387" i="21"/>
  <c r="E394" i="21"/>
  <c r="B398" i="21"/>
  <c r="D403" i="21"/>
  <c r="G406" i="21"/>
  <c r="E410" i="21"/>
  <c r="G415" i="21"/>
  <c r="D419" i="21"/>
  <c r="G422" i="21"/>
  <c r="C428" i="21"/>
  <c r="G431" i="21"/>
  <c r="D435" i="21"/>
  <c r="F440" i="21"/>
  <c r="C444" i="21"/>
  <c r="G447" i="21"/>
  <c r="D451" i="21"/>
  <c r="G454" i="21"/>
  <c r="E458" i="21"/>
  <c r="G463" i="21"/>
  <c r="D467" i="21"/>
  <c r="C469" i="21"/>
  <c r="F472" i="21"/>
  <c r="B478" i="21"/>
  <c r="E481" i="21"/>
  <c r="C485" i="21"/>
  <c r="E490" i="21"/>
  <c r="B494" i="21"/>
  <c r="F297" i="21"/>
  <c r="F304" i="21"/>
  <c r="C307" i="21"/>
  <c r="F309" i="21"/>
  <c r="G311" i="21"/>
  <c r="F316" i="21"/>
  <c r="B319" i="21"/>
  <c r="D321" i="21"/>
  <c r="G323" i="21"/>
  <c r="B326" i="21"/>
  <c r="E328" i="21"/>
  <c r="B331" i="21"/>
  <c r="C333" i="21"/>
  <c r="F335" i="21"/>
  <c r="B338" i="21"/>
  <c r="D340" i="21"/>
  <c r="F342" i="21"/>
  <c r="C345" i="21"/>
  <c r="D347" i="21"/>
  <c r="G349" i="21"/>
  <c r="D352" i="21"/>
  <c r="E354" i="21"/>
  <c r="D359" i="21"/>
  <c r="F361" i="21"/>
  <c r="B364" i="21"/>
  <c r="E366" i="21"/>
  <c r="C373" i="21"/>
  <c r="F376" i="21"/>
  <c r="G383" i="21"/>
  <c r="G390" i="21"/>
  <c r="E401" i="21"/>
  <c r="B414" i="21"/>
  <c r="F424" i="21"/>
  <c r="C437" i="21"/>
  <c r="E449" i="21"/>
  <c r="B462" i="21"/>
  <c r="E474" i="21"/>
  <c r="G486" i="21"/>
  <c r="D298" i="21"/>
  <c r="G301" i="21"/>
  <c r="C305" i="21"/>
  <c r="D307" i="21"/>
  <c r="G309" i="21"/>
  <c r="D312" i="21"/>
  <c r="E314" i="21"/>
  <c r="B317" i="21"/>
  <c r="D319" i="21"/>
  <c r="F321" i="21"/>
  <c r="B324" i="21"/>
  <c r="E326" i="21"/>
  <c r="F328" i="21"/>
  <c r="C331" i="21"/>
  <c r="F333" i="21"/>
  <c r="G335" i="21"/>
  <c r="D338" i="21"/>
  <c r="F340" i="21"/>
  <c r="B343" i="21"/>
  <c r="D345" i="21"/>
  <c r="G347" i="21"/>
  <c r="B350" i="21"/>
  <c r="E352" i="21"/>
  <c r="B355" i="21"/>
  <c r="C357" i="21"/>
  <c r="F359" i="21"/>
  <c r="B362" i="21"/>
  <c r="D364" i="21"/>
  <c r="F366" i="21"/>
  <c r="C369" i="21"/>
  <c r="D371" i="21"/>
  <c r="D373" i="21"/>
  <c r="C375" i="21"/>
  <c r="G376" i="21"/>
  <c r="F378" i="21"/>
  <c r="E380" i="21"/>
  <c r="C382" i="21"/>
  <c r="B384" i="21"/>
  <c r="G385" i="21"/>
  <c r="E387" i="21"/>
  <c r="D389" i="21"/>
  <c r="C391" i="21"/>
  <c r="G392" i="21"/>
  <c r="F394" i="21"/>
  <c r="E396" i="21"/>
  <c r="C398" i="21"/>
  <c r="B400" i="21"/>
  <c r="G401" i="21"/>
  <c r="E403" i="21"/>
  <c r="D405" i="21"/>
  <c r="C407" i="21"/>
  <c r="G408" i="21"/>
  <c r="F410" i="21"/>
  <c r="E412" i="21"/>
  <c r="C414" i="21"/>
  <c r="B416" i="21"/>
  <c r="G417" i="21"/>
  <c r="E419" i="21"/>
  <c r="D421" i="21"/>
  <c r="C423" i="21"/>
  <c r="G424" i="21"/>
  <c r="F426" i="21"/>
  <c r="E428" i="21"/>
  <c r="C430" i="21"/>
  <c r="B432" i="21"/>
  <c r="G433" i="21"/>
  <c r="E435" i="21"/>
  <c r="D437" i="21"/>
  <c r="C439" i="21"/>
  <c r="G440" i="21"/>
  <c r="F442" i="21"/>
  <c r="E444" i="21"/>
  <c r="C446" i="21"/>
  <c r="B448" i="21"/>
  <c r="G449" i="21"/>
  <c r="E451" i="21"/>
  <c r="D453" i="21"/>
  <c r="C455" i="21"/>
  <c r="G456" i="21"/>
  <c r="F458" i="21"/>
  <c r="E460" i="21"/>
  <c r="C462" i="21"/>
  <c r="E298" i="21"/>
  <c r="B302" i="21"/>
  <c r="D305" i="21"/>
  <c r="G307" i="21"/>
  <c r="B310" i="21"/>
  <c r="E312" i="21"/>
  <c r="B315" i="21"/>
  <c r="C317" i="21"/>
  <c r="F319" i="21"/>
  <c r="B322" i="21"/>
  <c r="D324" i="21"/>
  <c r="F326" i="21"/>
  <c r="C329" i="21"/>
  <c r="D331" i="21"/>
  <c r="G333" i="21"/>
  <c r="D336" i="21"/>
  <c r="E338" i="21"/>
  <c r="B341" i="21"/>
  <c r="D343" i="21"/>
  <c r="F345" i="21"/>
  <c r="B348" i="21"/>
  <c r="E350" i="21"/>
  <c r="F352" i="21"/>
  <c r="C355" i="21"/>
  <c r="F357" i="21"/>
  <c r="G359" i="21"/>
  <c r="D362" i="21"/>
  <c r="F364" i="21"/>
  <c r="B367" i="21"/>
  <c r="D369" i="21"/>
  <c r="G371" i="21"/>
  <c r="E373" i="21"/>
  <c r="D375" i="21"/>
  <c r="C377" i="21"/>
  <c r="G378" i="21"/>
  <c r="F380" i="21"/>
  <c r="E382" i="21"/>
  <c r="C384" i="21"/>
  <c r="B386" i="21"/>
  <c r="G387" i="21"/>
  <c r="E389" i="21"/>
  <c r="D391" i="21"/>
  <c r="C393" i="21"/>
  <c r="G394" i="21"/>
  <c r="F396" i="21"/>
  <c r="E398" i="21"/>
  <c r="C400" i="21"/>
  <c r="B402" i="21"/>
  <c r="G403" i="21"/>
  <c r="E405" i="21"/>
  <c r="D407" i="21"/>
  <c r="C409" i="21"/>
  <c r="G410" i="21"/>
  <c r="F412" i="21"/>
  <c r="E414" i="21"/>
  <c r="C416" i="21"/>
  <c r="B418" i="21"/>
  <c r="G419" i="21"/>
  <c r="E421" i="21"/>
  <c r="D423" i="21"/>
  <c r="C425" i="21"/>
  <c r="G426" i="21"/>
  <c r="F428" i="21"/>
  <c r="E430" i="21"/>
  <c r="C432" i="21"/>
  <c r="B434" i="21"/>
  <c r="G435" i="21"/>
  <c r="E437" i="21"/>
  <c r="D439" i="21"/>
  <c r="C441" i="21"/>
  <c r="G442" i="21"/>
  <c r="F444" i="21"/>
  <c r="E446" i="21"/>
  <c r="C448" i="21"/>
  <c r="B450" i="21"/>
  <c r="G451" i="21"/>
  <c r="E453" i="21"/>
  <c r="D455" i="21"/>
  <c r="C457" i="21"/>
  <c r="G458" i="21"/>
  <c r="F460" i="21"/>
  <c r="E462" i="21"/>
  <c r="C464" i="21"/>
  <c r="B466" i="21"/>
  <c r="G467" i="21"/>
  <c r="E469" i="21"/>
  <c r="D471" i="21"/>
  <c r="C473" i="21"/>
  <c r="G474" i="21"/>
  <c r="F476" i="21"/>
  <c r="E478" i="21"/>
  <c r="C480" i="21"/>
  <c r="B482" i="21"/>
  <c r="G483" i="21"/>
  <c r="E485" i="21"/>
  <c r="D487" i="21"/>
  <c r="C489" i="21"/>
  <c r="G490" i="21"/>
  <c r="F492" i="21"/>
  <c r="E494" i="21"/>
  <c r="C496" i="21"/>
  <c r="B498" i="21"/>
  <c r="G499" i="21"/>
  <c r="E501" i="21"/>
  <c r="G357" i="21"/>
  <c r="D393" i="21"/>
  <c r="F398" i="21"/>
  <c r="C402" i="21"/>
  <c r="G405" i="21"/>
  <c r="E407" i="21"/>
  <c r="C411" i="21"/>
  <c r="G412" i="21"/>
  <c r="E416" i="21"/>
  <c r="C418" i="21"/>
  <c r="B420" i="21"/>
  <c r="E423" i="21"/>
  <c r="D425" i="21"/>
  <c r="C427" i="21"/>
  <c r="F430" i="21"/>
  <c r="E432" i="21"/>
  <c r="C434" i="21"/>
  <c r="B436" i="21"/>
  <c r="G437" i="21"/>
  <c r="D441" i="21"/>
  <c r="C443" i="21"/>
  <c r="G444" i="21"/>
  <c r="F446" i="21"/>
  <c r="E448" i="21"/>
  <c r="C450" i="21"/>
  <c r="G453" i="21"/>
  <c r="E455" i="21"/>
  <c r="D457" i="21"/>
  <c r="C459" i="21"/>
  <c r="G460" i="21"/>
  <c r="E464" i="21"/>
  <c r="C466" i="21"/>
  <c r="B468" i="21"/>
  <c r="G469" i="21"/>
  <c r="E471" i="21"/>
  <c r="C475" i="21"/>
  <c r="G476" i="21"/>
  <c r="F478" i="21"/>
  <c r="E480" i="21"/>
  <c r="C482" i="21"/>
  <c r="B484" i="21"/>
  <c r="E487" i="21"/>
  <c r="D489" i="21"/>
  <c r="C491" i="21"/>
  <c r="G492" i="21"/>
  <c r="F494" i="21"/>
  <c r="E496" i="21"/>
  <c r="B500" i="21"/>
  <c r="G501" i="21"/>
  <c r="D299" i="21"/>
  <c r="B358" i="21"/>
  <c r="C372" i="21"/>
  <c r="G375" i="21"/>
  <c r="E377" i="21"/>
  <c r="G382" i="21"/>
  <c r="E386" i="21"/>
  <c r="G391" i="21"/>
  <c r="D395" i="21"/>
  <c r="G398" i="21"/>
  <c r="C404" i="21"/>
  <c r="E409" i="21"/>
  <c r="G414" i="21"/>
  <c r="E418" i="21"/>
  <c r="B422" i="21"/>
  <c r="D427" i="21"/>
  <c r="G430" i="21"/>
  <c r="E434" i="21"/>
  <c r="G439" i="21"/>
  <c r="D443" i="21"/>
  <c r="G446" i="21"/>
  <c r="E450" i="21"/>
  <c r="G455" i="21"/>
  <c r="D459" i="21"/>
  <c r="F464" i="21"/>
  <c r="C468" i="21"/>
  <c r="E473" i="21"/>
  <c r="C477" i="21"/>
  <c r="F480" i="21"/>
  <c r="B486" i="21"/>
  <c r="E489" i="21"/>
  <c r="C493" i="21"/>
  <c r="F496" i="21"/>
  <c r="F466" i="21"/>
  <c r="G473" i="21"/>
  <c r="G480" i="21"/>
  <c r="B488" i="21"/>
  <c r="G494" i="21"/>
  <c r="F498" i="21"/>
  <c r="E467" i="21"/>
  <c r="F474" i="21"/>
  <c r="G481" i="21"/>
  <c r="G488" i="21"/>
  <c r="C495" i="21"/>
  <c r="D499" i="21"/>
  <c r="E468" i="21"/>
  <c r="E475" i="21"/>
  <c r="F482" i="21"/>
  <c r="G489" i="21"/>
  <c r="G495" i="21"/>
  <c r="E499" i="21"/>
  <c r="D469" i="21"/>
  <c r="E476" i="21"/>
  <c r="E483" i="21"/>
  <c r="F490" i="21"/>
  <c r="B496" i="21"/>
  <c r="C500" i="21"/>
  <c r="C479" i="21"/>
  <c r="D493" i="21"/>
  <c r="D501" i="21"/>
  <c r="G472" i="21"/>
  <c r="C487" i="21"/>
  <c r="E498" i="21"/>
  <c r="C470" i="21"/>
  <c r="D477" i="21"/>
  <c r="E484" i="21"/>
  <c r="E491" i="21"/>
  <c r="G496" i="21"/>
  <c r="E500" i="21"/>
  <c r="B464" i="21"/>
  <c r="C471" i="21"/>
  <c r="C478" i="21"/>
  <c r="D485" i="21"/>
  <c r="E492" i="21"/>
  <c r="E497" i="21"/>
  <c r="C501" i="21"/>
  <c r="G464" i="21"/>
  <c r="B472" i="21"/>
  <c r="C486" i="21"/>
  <c r="G497" i="21"/>
  <c r="G465" i="21"/>
  <c r="B480" i="21"/>
  <c r="C494" i="21"/>
  <c r="D18" i="23" l="1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B18" i="23"/>
  <c r="B17" i="23"/>
  <c r="B16" i="23"/>
  <c r="B15" i="23"/>
  <c r="B14" i="23"/>
  <c r="B13" i="23"/>
  <c r="B12" i="23"/>
  <c r="B11" i="23"/>
  <c r="B10" i="23"/>
  <c r="B9" i="23"/>
  <c r="B8" i="23"/>
  <c r="B7" i="23"/>
  <c r="B6" i="23"/>
  <c r="B5" i="23"/>
  <c r="B4" i="23"/>
  <c r="B3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C18" i="23"/>
  <c r="C17" i="23"/>
  <c r="C16" i="23"/>
  <c r="U40" i="20"/>
  <c r="C5" i="22"/>
  <c r="B5" i="22"/>
  <c r="C7" i="22"/>
  <c r="B7" i="22"/>
  <c r="C6" i="22"/>
  <c r="B6" i="22"/>
  <c r="I35" i="20"/>
  <c r="I14" i="20"/>
  <c r="D28" i="20" l="1"/>
  <c r="C15" i="23"/>
  <c r="C14" i="23"/>
  <c r="C13" i="23"/>
  <c r="S8" i="22"/>
  <c r="T8" i="22"/>
  <c r="S9" i="22"/>
  <c r="T9" i="22"/>
  <c r="S10" i="22"/>
  <c r="T10" i="22"/>
  <c r="S11" i="22"/>
  <c r="T11" i="22"/>
  <c r="S12" i="22"/>
  <c r="T12" i="22"/>
  <c r="S13" i="22"/>
  <c r="T13" i="22"/>
  <c r="S14" i="22"/>
  <c r="T14" i="22"/>
  <c r="S15" i="22"/>
  <c r="T15" i="22"/>
  <c r="S16" i="22"/>
  <c r="T16" i="22"/>
  <c r="S17" i="22"/>
  <c r="T17" i="22"/>
  <c r="S18" i="22"/>
  <c r="T18" i="22"/>
  <c r="S19" i="22"/>
  <c r="T19" i="22"/>
  <c r="S20" i="22"/>
  <c r="T20" i="22"/>
  <c r="D6" i="22"/>
  <c r="D7" i="22"/>
  <c r="C8" i="22"/>
  <c r="D5" i="22"/>
  <c r="B8" i="22"/>
  <c r="N7" i="22"/>
  <c r="N18" i="22"/>
  <c r="N16" i="22"/>
  <c r="N17" i="22"/>
  <c r="N20" i="22"/>
  <c r="P20" i="22" s="1"/>
  <c r="Q20" i="22"/>
  <c r="N5" i="22"/>
  <c r="N6" i="22"/>
  <c r="N19" i="22"/>
  <c r="P7" i="22"/>
  <c r="Q7" i="22"/>
  <c r="P18" i="22"/>
  <c r="Q18" i="22"/>
  <c r="Q16" i="22"/>
  <c r="P16" i="22"/>
  <c r="P17" i="22"/>
  <c r="Q17" i="22"/>
  <c r="Q5" i="22"/>
  <c r="P5" i="22"/>
  <c r="P6" i="22"/>
  <c r="Q6" i="22"/>
  <c r="Q19" i="22"/>
  <c r="P19" i="22"/>
  <c r="D26" i="20" l="1"/>
  <c r="U18" i="22"/>
  <c r="U19" i="22"/>
  <c r="U20" i="22"/>
  <c r="U17" i="22"/>
  <c r="U16" i="22"/>
  <c r="C9" i="22"/>
  <c r="C3" i="23"/>
  <c r="C4" i="23"/>
  <c r="C5" i="23"/>
  <c r="C6" i="23"/>
  <c r="C7" i="23"/>
  <c r="C8" i="23"/>
  <c r="C9" i="23"/>
  <c r="C10" i="23"/>
  <c r="C11" i="23"/>
  <c r="C12" i="23"/>
  <c r="N12" i="22"/>
  <c r="D8" i="22"/>
  <c r="N15" i="22"/>
  <c r="Q15" i="22" s="1"/>
  <c r="N8" i="22"/>
  <c r="N14" i="22"/>
  <c r="N9" i="22"/>
  <c r="N13" i="22"/>
  <c r="P13" i="22" s="1"/>
  <c r="P14" i="22"/>
  <c r="P12" i="22"/>
  <c r="N11" i="22"/>
  <c r="Q11" i="22" s="1"/>
  <c r="N10" i="22"/>
  <c r="P15" i="22"/>
  <c r="Q14" i="22"/>
  <c r="P8" i="22"/>
  <c r="Q10" i="22"/>
  <c r="Q12" i="22"/>
  <c r="D8" i="20"/>
  <c r="P9" i="22"/>
  <c r="U12" i="22" l="1"/>
  <c r="U14" i="22"/>
  <c r="U10" i="22"/>
  <c r="U15" i="22"/>
  <c r="U11" i="22"/>
  <c r="Q9" i="22"/>
  <c r="Q8" i="22"/>
  <c r="P11" i="22"/>
  <c r="Q13" i="22"/>
  <c r="P10" i="22"/>
  <c r="B9" i="22"/>
  <c r="D9" i="22" s="1"/>
  <c r="U9" i="22" l="1"/>
  <c r="U13" i="22"/>
  <c r="U8" i="22"/>
  <c r="C10" i="22"/>
  <c r="B10" i="22"/>
  <c r="C11" i="22" l="1"/>
  <c r="D10" i="22"/>
  <c r="B11" i="22"/>
  <c r="C12" i="22" l="1"/>
  <c r="D11" i="22"/>
  <c r="B12" i="22"/>
  <c r="C13" i="22" l="1"/>
  <c r="D12" i="22"/>
  <c r="B13" i="22"/>
  <c r="C14" i="22" l="1"/>
  <c r="D13" i="22"/>
  <c r="B14" i="22"/>
  <c r="C15" i="22" l="1"/>
  <c r="C16" i="22" s="1"/>
  <c r="B15" i="22"/>
  <c r="D14" i="22"/>
  <c r="B16" i="22"/>
  <c r="C17" i="22" l="1"/>
  <c r="B17" i="22"/>
  <c r="D15" i="22"/>
  <c r="D16" i="22"/>
  <c r="C18" i="22" l="1"/>
  <c r="D17" i="22"/>
  <c r="B18" i="22"/>
  <c r="C19" i="22" l="1"/>
  <c r="D18" i="22"/>
  <c r="B19" i="22"/>
  <c r="C20" i="22" l="1"/>
  <c r="D19" i="22"/>
  <c r="B20" i="22"/>
  <c r="G3" i="23" a="1"/>
  <c r="D20" i="22"/>
  <c r="J19" i="23" l="1"/>
  <c r="H14" i="23"/>
  <c r="G7" i="23"/>
  <c r="K17" i="23"/>
  <c r="I28" i="23"/>
  <c r="H3" i="23"/>
  <c r="L13" i="23"/>
  <c r="J24" i="23"/>
  <c r="H35" i="23"/>
  <c r="G10" i="23"/>
  <c r="K20" i="23"/>
  <c r="I31" i="23"/>
  <c r="H26" i="23"/>
  <c r="G9" i="23"/>
  <c r="L3" i="23"/>
  <c r="J14" i="23"/>
  <c r="H25" i="23"/>
  <c r="L35" i="23"/>
  <c r="G21" i="23"/>
  <c r="K6" i="23"/>
  <c r="G32" i="23"/>
  <c r="G4" i="23"/>
  <c r="K18" i="23"/>
  <c r="H8" i="23"/>
  <c r="L18" i="23"/>
  <c r="J29" i="23"/>
  <c r="G3" i="23"/>
  <c r="I36" i="23"/>
  <c r="I7" i="23"/>
  <c r="H38" i="23"/>
  <c r="J22" i="23"/>
  <c r="I10" i="23"/>
  <c r="H16" i="23"/>
  <c r="G27" i="23"/>
  <c r="K8" i="23"/>
  <c r="K35" i="23"/>
  <c r="G17" i="23"/>
  <c r="L6" i="23"/>
  <c r="L4" i="23"/>
  <c r="H10" i="23"/>
  <c r="H30" i="23"/>
  <c r="I8" i="23"/>
  <c r="G19" i="23"/>
  <c r="K29" i="23"/>
  <c r="J4" i="23"/>
  <c r="H15" i="23"/>
  <c r="L25" i="23"/>
  <c r="J36" i="23"/>
  <c r="I11" i="23"/>
  <c r="G22" i="23"/>
  <c r="K32" i="23"/>
  <c r="L28" i="23"/>
  <c r="G13" i="23"/>
  <c r="H5" i="23"/>
  <c r="L15" i="23"/>
  <c r="J26" i="23"/>
  <c r="H37" i="23"/>
  <c r="K23" i="23"/>
  <c r="I13" i="23"/>
  <c r="I33" i="23"/>
  <c r="I5" i="23"/>
  <c r="G20" i="23"/>
  <c r="J9" i="23"/>
  <c r="H20" i="23"/>
  <c r="L30" i="23"/>
  <c r="K25" i="23"/>
  <c r="I14" i="23"/>
  <c r="L8" i="23"/>
  <c r="I19" i="23"/>
  <c r="L23" i="23"/>
  <c r="J17" i="23"/>
  <c r="J15" i="23"/>
  <c r="L20" i="23"/>
  <c r="J35" i="23"/>
  <c r="K9" i="23"/>
  <c r="I20" i="23"/>
  <c r="G31" i="23"/>
  <c r="L5" i="23"/>
  <c r="J16" i="23"/>
  <c r="H27" i="23"/>
  <c r="L37" i="23"/>
  <c r="K12" i="23"/>
  <c r="I23" i="23"/>
  <c r="G34" i="23"/>
  <c r="J31" i="23"/>
  <c r="K15" i="23"/>
  <c r="J6" i="23"/>
  <c r="H17" i="23"/>
  <c r="L27" i="23"/>
  <c r="J38" i="23"/>
  <c r="I26" i="23"/>
  <c r="I17" i="23"/>
  <c r="K34" i="23"/>
  <c r="G8" i="23"/>
  <c r="K22" i="23"/>
  <c r="L10" i="23"/>
  <c r="J21" i="23"/>
  <c r="H32" i="23"/>
  <c r="G15" i="23"/>
  <c r="J32" i="23"/>
  <c r="H22" i="23"/>
  <c r="L11" i="23"/>
  <c r="G28" i="23"/>
  <c r="J5" i="23"/>
  <c r="I16" i="23"/>
  <c r="L33" i="23"/>
  <c r="I6" i="23"/>
  <c r="J34" i="23"/>
  <c r="G16" i="23"/>
  <c r="L38" i="23"/>
  <c r="H6" i="23"/>
  <c r="J11" i="23"/>
  <c r="K3" i="23"/>
  <c r="G11" i="23"/>
  <c r="K21" i="23"/>
  <c r="I32" i="23"/>
  <c r="H7" i="23"/>
  <c r="L17" i="23"/>
  <c r="J28" i="23"/>
  <c r="I3" i="23"/>
  <c r="G14" i="23"/>
  <c r="K24" i="23"/>
  <c r="I35" i="23"/>
  <c r="L32" i="23"/>
  <c r="I18" i="23"/>
  <c r="L7" i="23"/>
  <c r="J18" i="23"/>
  <c r="H29" i="23"/>
  <c r="G5" i="23"/>
  <c r="G29" i="23"/>
  <c r="I21" i="23"/>
  <c r="G36" i="23"/>
  <c r="I9" i="23"/>
  <c r="I25" i="23"/>
  <c r="H12" i="23"/>
  <c r="L22" i="23"/>
  <c r="J33" i="23"/>
  <c r="I4" i="23"/>
  <c r="G18" i="23"/>
  <c r="H33" i="23"/>
  <c r="K14" i="23"/>
  <c r="K5" i="23"/>
  <c r="I38" i="23"/>
  <c r="L16" i="23"/>
  <c r="J23" i="23"/>
  <c r="K19" i="23"/>
  <c r="I12" i="23"/>
  <c r="G23" i="23"/>
  <c r="K33" i="23"/>
  <c r="J8" i="23"/>
  <c r="H19" i="23"/>
  <c r="L29" i="23"/>
  <c r="K4" i="23"/>
  <c r="I15" i="23"/>
  <c r="G26" i="23"/>
  <c r="K36" i="23"/>
  <c r="H34" i="23"/>
  <c r="I22" i="23"/>
  <c r="H9" i="23"/>
  <c r="L19" i="23"/>
  <c r="J30" i="23"/>
  <c r="K7" i="23"/>
  <c r="I30" i="23"/>
  <c r="G24" i="23"/>
  <c r="I37" i="23"/>
  <c r="K10" i="23"/>
  <c r="I29" i="23"/>
  <c r="J13" i="23"/>
  <c r="H24" i="23"/>
  <c r="L34" i="23"/>
  <c r="H18" i="23"/>
  <c r="L21" i="23"/>
  <c r="J37" i="23"/>
  <c r="K37" i="23"/>
  <c r="H23" i="23"/>
  <c r="L24" i="23"/>
  <c r="K30" i="23"/>
  <c r="J7" i="23"/>
  <c r="L12" i="23"/>
  <c r="G37" i="23"/>
  <c r="K13" i="23"/>
  <c r="I24" i="23"/>
  <c r="G35" i="23"/>
  <c r="L9" i="23"/>
  <c r="J20" i="23"/>
  <c r="H31" i="23"/>
  <c r="G6" i="23"/>
  <c r="K16" i="23"/>
  <c r="I27" i="23"/>
  <c r="G38" i="23"/>
  <c r="L36" i="23"/>
  <c r="G25" i="23"/>
  <c r="J10" i="23"/>
  <c r="H21" i="23"/>
  <c r="L31" i="23"/>
  <c r="K11" i="23"/>
  <c r="G33" i="23"/>
  <c r="K26" i="23"/>
  <c r="K38" i="23"/>
  <c r="G12" i="23"/>
  <c r="H4" i="23"/>
  <c r="L14" i="23"/>
  <c r="J25" i="23"/>
  <c r="H36" i="23"/>
  <c r="J27" i="23"/>
  <c r="H11" i="23"/>
  <c r="K28" i="23"/>
  <c r="K31" i="23"/>
  <c r="I34" i="23"/>
  <c r="L26" i="23"/>
  <c r="J3" i="23"/>
  <c r="J12" i="23"/>
  <c r="G30" i="23"/>
  <c r="H13" i="23"/>
  <c r="K27" i="23"/>
  <c r="H28" i="23"/>
</calcChain>
</file>

<file path=xl/sharedStrings.xml><?xml version="1.0" encoding="utf-8"?>
<sst xmlns="http://schemas.openxmlformats.org/spreadsheetml/2006/main" count="970" uniqueCount="139">
  <si>
    <t>Notional</t>
  </si>
  <si>
    <t>USD</t>
  </si>
  <si>
    <t>USD_3ML</t>
  </si>
  <si>
    <t>CreateSwap</t>
  </si>
  <si>
    <t>USDYC</t>
  </si>
  <si>
    <t>1Y</t>
  </si>
  <si>
    <t>5Y</t>
  </si>
  <si>
    <t>Currency</t>
  </si>
  <si>
    <t>PV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</si>
  <si>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</si>
  <si>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</si>
  <si>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</si>
  <si>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</si>
  <si>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</si>
  <si>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</si>
  <si>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</si>
  <si>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</si>
  <si>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</si>
  <si>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</si>
  <si>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</si>
  <si>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</si>
  <si>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</si>
  <si>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</si>
  <si>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</si>
  <si>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</si>
  <si>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</si>
  <si>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</si>
  <si>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Market Data Handle</t>
  </si>
  <si>
    <t>40Y</t>
  </si>
  <si>
    <t>50Y</t>
  </si>
  <si>
    <t>USD_OIS</t>
  </si>
  <si>
    <t>3Y</t>
  </si>
  <si>
    <t>QUARTERLY</t>
  </si>
  <si>
    <t>LIBORFIXINGS</t>
  </si>
  <si>
    <t>FUTURES</t>
  </si>
  <si>
    <t>SWAP</t>
  </si>
  <si>
    <t>USD_SWAP_3M</t>
  </si>
  <si>
    <t>ON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</si>
  <si>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</si>
  <si>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</si>
  <si>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</si>
  <si>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</si>
  <si>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</si>
  <si>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</si>
  <si>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</si>
  <si>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</si>
  <si>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</si>
  <si>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</si>
  <si>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</si>
  <si>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</si>
  <si>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</si>
  <si>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</si>
  <si>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</si>
  <si>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</si>
  <si>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</si>
  <si>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</si>
  <si>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</si>
  <si>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ED1 Comdty</t>
  </si>
  <si>
    <t>ED2 Comdty</t>
  </si>
  <si>
    <t>ED3 Comdty</t>
  </si>
  <si>
    <t>ED4 Comdty</t>
  </si>
  <si>
    <t>ED5 Comdty</t>
  </si>
  <si>
    <t>8Y</t>
  </si>
  <si>
    <t>ED6 Comdty</t>
  </si>
  <si>
    <t>9Y</t>
  </si>
  <si>
    <t>ED7 Comdty</t>
  </si>
  <si>
    <t>ED8 Comdty</t>
  </si>
  <si>
    <t>EffectiveDate</t>
  </si>
  <si>
    <t>2D</t>
  </si>
  <si>
    <t>ParRate</t>
  </si>
  <si>
    <t>Key</t>
  </si>
  <si>
    <t>Value</t>
  </si>
  <si>
    <t>ED9 Comdty</t>
  </si>
  <si>
    <t>ED10 Comdty</t>
  </si>
  <si>
    <t>ED11 Comdty</t>
  </si>
  <si>
    <t>ED12 Comdty</t>
  </si>
  <si>
    <t>USD_OIS_MARKETDATA</t>
  </si>
  <si>
    <t>USD_3M_MARKETDATA</t>
  </si>
  <si>
    <t>CURVE ENGINE PARAMETERS</t>
  </si>
  <si>
    <t>FastRebuild</t>
  </si>
  <si>
    <t>CURVE GENERATORS</t>
  </si>
  <si>
    <t>3ML</t>
  </si>
  <si>
    <t>CURVE MARKET DATA</t>
  </si>
  <si>
    <t>GLOBAL CURVE ENGINE</t>
  </si>
  <si>
    <t>CurveObject</t>
  </si>
  <si>
    <t>CurveName</t>
  </si>
  <si>
    <t>USD_CURVE</t>
  </si>
  <si>
    <t>CurveIndices</t>
  </si>
  <si>
    <t>Start</t>
  </si>
  <si>
    <t>End</t>
  </si>
  <si>
    <t>Periodicity</t>
  </si>
  <si>
    <t>0Y</t>
  </si>
  <si>
    <t>USDOIS</t>
  </si>
  <si>
    <t>USD3ML</t>
  </si>
  <si>
    <t>Forward Curve Display Settings</t>
  </si>
  <si>
    <t>Trade Dates</t>
  </si>
  <si>
    <t>SWAPS: USD3ML</t>
  </si>
  <si>
    <t>Trade Booking &amp; Pricing</t>
  </si>
  <si>
    <t>Unadjusted Date !</t>
  </si>
  <si>
    <t>Swap Template</t>
  </si>
  <si>
    <t>MaturityDate</t>
  </si>
  <si>
    <t>Maturity</t>
  </si>
  <si>
    <t>Generator</t>
  </si>
  <si>
    <t>PayRec</t>
  </si>
  <si>
    <t>FixedRate</t>
  </si>
  <si>
    <t>Spread</t>
  </si>
  <si>
    <t>PAY</t>
  </si>
  <si>
    <t>EffectiveLag</t>
  </si>
  <si>
    <t>SwapNames</t>
  </si>
  <si>
    <t>Curves</t>
  </si>
  <si>
    <t>Risk</t>
  </si>
  <si>
    <t>Include</t>
  </si>
  <si>
    <t>Tenor</t>
  </si>
  <si>
    <t>MONTHLY</t>
  </si>
  <si>
    <t>Epsilon</t>
  </si>
  <si>
    <t>GradientEpsilon</t>
  </si>
  <si>
    <t>Delta</t>
  </si>
  <si>
    <t>Calendar</t>
  </si>
  <si>
    <t>51Y</t>
  </si>
  <si>
    <t>+/- Bps</t>
  </si>
  <si>
    <t>Curve Calibration / Repricing Check</t>
  </si>
  <si>
    <t>Futures to 3Y then Swaps from 4Y inclusive</t>
  </si>
  <si>
    <t>BASISSWAPS</t>
  </si>
  <si>
    <t>6ML</t>
  </si>
  <si>
    <t>USD_6M_MARKETDATA</t>
  </si>
  <si>
    <t>SEMI-ANNUAL</t>
  </si>
  <si>
    <t>USD_BASIS_3X6</t>
  </si>
  <si>
    <t>TENORBASIS</t>
  </si>
  <si>
    <t>USD6ML</t>
  </si>
  <si>
    <t>USD_BASIS_1X3</t>
  </si>
  <si>
    <t>1ML</t>
  </si>
  <si>
    <t>12ML</t>
  </si>
  <si>
    <t>ANNUAL</t>
  </si>
  <si>
    <t>USD_12M_MARKETDATA</t>
  </si>
  <si>
    <t>USD_1M_MARKETDATA</t>
  </si>
  <si>
    <t>USD_BASIS_3X12</t>
  </si>
  <si>
    <t>USD1ML</t>
  </si>
  <si>
    <t>USD12ML</t>
  </si>
  <si>
    <t>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</si>
</sst>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"/>
    <numFmt numFmtId="165" formatCode="ddd\,\ d\-mmm\-yy"/>
    <numFmt numFmtId="166" formatCode="0.00000%"/>
    <numFmt numFmtId="167" formatCode="0.0000%"/>
    <numFmt numFmtId="168" formatCode="0.000%"/>
    <numFmt numFmtId="169" formatCode="#,##0.000"/>
    <numFmt numFmtId="170" formatCode="_(&quot;$&quot;* #,##0.00_);_(&quot;$&quot;* \(#,##0.00\);_(&quot;$&quot;* &quot;-&quot;??_);_(@_)"/>
    <numFmt numFmtId="171" formatCode="0\ &quot; days&quot;"/>
    <numFmt numFmtId="172" formatCode="mmm\-yyyy"/>
    <numFmt numFmtId="173" formatCode="0.000"/>
    <numFmt numFmtId="174" formatCode="dd/m/yy"/>
    <numFmt numFmtId="175" formatCode="_(&quot;$&quot;* #,##0_);_(&quot;$&quot;* \(#,##0\);_(&quot;$&quot;* &quot;-&quot;_);_(@_)"/>
    <numFmt numFmtId="176" formatCode="0.00_)"/>
    <numFmt numFmtId="177" formatCode="dd\-mmm\-yy;dd\-mmm\-yy;"/>
    <numFmt numFmtId="178" formatCode="_ * #,##0_ ;_ * \-#,##0_ ;_ * &quot;-&quot;_ ;_ @_ "/>
    <numFmt numFmtId="179" formatCode="#,##0.00000"/>
  </numFmts>
  <fonts count="9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66"/>
        <bgColor indexed="64"/>
      </patternFill>
    </fill>
  </fills>
  <borders count="5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361">
    <xf numFmtId="0" fontId="0" fillId="0" borderId="0"/>
    <xf numFmtId="0" fontId="7" fillId="0" borderId="0">
      <alignment vertical="center"/>
    </xf>
    <xf numFmtId="41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9" fillId="0" borderId="0">
      <alignment vertical="center"/>
    </xf>
    <xf numFmtId="9" fontId="10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9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30" borderId="0" applyNumberFormat="0" applyBorder="0" applyAlignment="0" applyProtection="0"/>
    <xf numFmtId="0" fontId="12" fillId="1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0" borderId="12" applyNumberFormat="0" applyFill="0" applyAlignment="0" applyProtection="0">
      <alignment horizontal="left"/>
    </xf>
    <xf numFmtId="0" fontId="14" fillId="0" borderId="12">
      <protection hidden="1"/>
    </xf>
    <xf numFmtId="0" fontId="15" fillId="40" borderId="0" applyNumberFormat="0" applyFont="0" applyBorder="0" applyAlignment="0" applyProtection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16" fillId="41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9" fillId="42" borderId="0"/>
    <xf numFmtId="0" fontId="20" fillId="43" borderId="0" applyNumberFormat="0" applyFont="0" applyBorder="0" applyAlignment="0" applyProtection="0">
      <alignment horizontal="center"/>
    </xf>
    <xf numFmtId="0" fontId="21" fillId="0" borderId="0">
      <alignment horizontal="right"/>
    </xf>
    <xf numFmtId="168" fontId="22" fillId="44" borderId="0"/>
    <xf numFmtId="0" fontId="23" fillId="45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19" fillId="35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25" fillId="0" borderId="12" applyNumberFormat="0" applyBorder="0" applyAlignment="0" applyProtection="0">
      <alignment horizontal="left"/>
    </xf>
    <xf numFmtId="38" fontId="2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9" fillId="0" borderId="0">
      <alignment horizontal="right"/>
    </xf>
    <xf numFmtId="0" fontId="10" fillId="47" borderId="15" applyNumberFormat="0" applyFont="0" applyBorder="0" applyAlignment="0" applyProtection="0">
      <alignment horizontal="centerContinuous"/>
    </xf>
    <xf numFmtId="0" fontId="30" fillId="48" borderId="0" applyNumberFormat="0" applyBorder="0" applyAlignment="0">
      <alignment horizontal="center"/>
    </xf>
    <xf numFmtId="0" fontId="31" fillId="49" borderId="16">
      <alignment horizontal="center"/>
      <protection locked="0"/>
    </xf>
    <xf numFmtId="15" fontId="32" fillId="50" borderId="17" applyFont="0" applyFill="0" applyBorder="0" applyAlignment="0" applyProtection="0">
      <alignment horizontal="left"/>
    </xf>
    <xf numFmtId="17" fontId="32" fillId="50" borderId="17" applyFont="0" applyFill="0" applyBorder="0" applyAlignment="0" applyProtection="0">
      <alignment horizontal="left"/>
    </xf>
    <xf numFmtId="0" fontId="32" fillId="50" borderId="0">
      <alignment vertical="center"/>
    </xf>
    <xf numFmtId="171" fontId="32" fillId="0" borderId="0" applyFont="0" applyFill="0" applyBorder="0" applyAlignment="0" applyProtection="0"/>
    <xf numFmtId="0" fontId="15" fillId="1" borderId="18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5" borderId="0"/>
    <xf numFmtId="172" fontId="35" fillId="51" borderId="19" applyBorder="0"/>
    <xf numFmtId="0" fontId="8" fillId="20" borderId="18"/>
    <xf numFmtId="0" fontId="8" fillId="20" borderId="18"/>
    <xf numFmtId="0" fontId="8" fillId="20" borderId="18"/>
    <xf numFmtId="0" fontId="8" fillId="20" borderId="18"/>
    <xf numFmtId="173" fontId="36" fillId="45" borderId="0"/>
    <xf numFmtId="0" fontId="37" fillId="52" borderId="18"/>
    <xf numFmtId="172" fontId="35" fillId="0" borderId="18"/>
    <xf numFmtId="172" fontId="35" fillId="53" borderId="18"/>
    <xf numFmtId="172" fontId="35" fillId="54" borderId="20" applyBorder="0"/>
    <xf numFmtId="172" fontId="35" fillId="55" borderId="18"/>
    <xf numFmtId="0" fontId="38" fillId="45" borderId="18"/>
    <xf numFmtId="0" fontId="34" fillId="56" borderId="18"/>
    <xf numFmtId="0" fontId="39" fillId="57" borderId="21" applyBorder="0">
      <alignment horizontal="right"/>
    </xf>
    <xf numFmtId="38" fontId="8" fillId="0" borderId="18"/>
    <xf numFmtId="0" fontId="8" fillId="0" borderId="18"/>
    <xf numFmtId="0" fontId="8" fillId="8" borderId="18"/>
    <xf numFmtId="0" fontId="8" fillId="8" borderId="18"/>
    <xf numFmtId="0" fontId="8" fillId="8" borderId="18"/>
    <xf numFmtId="0" fontId="8" fillId="8" borderId="18"/>
    <xf numFmtId="172" fontId="35" fillId="53" borderId="18"/>
    <xf numFmtId="0" fontId="40" fillId="51" borderId="22">
      <alignment horizontal="center"/>
    </xf>
    <xf numFmtId="172" fontId="35" fillId="45" borderId="18"/>
    <xf numFmtId="0" fontId="41" fillId="58" borderId="0"/>
    <xf numFmtId="0" fontId="42" fillId="0" borderId="0"/>
    <xf numFmtId="0" fontId="43" fillId="0" borderId="0" applyNumberFormat="0" applyFill="0" applyBorder="0" applyAlignment="0" applyProtection="0"/>
    <xf numFmtId="0" fontId="44" fillId="35" borderId="0">
      <alignment horizontal="center"/>
    </xf>
    <xf numFmtId="0" fontId="45" fillId="20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6" fillId="59" borderId="23" applyNumberFormat="0" applyFont="0" applyBorder="0" applyAlignment="0">
      <alignment horizontal="centerContinuous"/>
    </xf>
    <xf numFmtId="0" fontId="47" fillId="18" borderId="18" applyProtection="0">
      <alignment horizontal="center"/>
      <protection locked="0"/>
    </xf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8" fillId="0" borderId="26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50" fillId="0" borderId="27" applyNumberFormat="0" applyFill="0" applyAlignment="0" applyProtection="0"/>
    <xf numFmtId="0" fontId="51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52" fillId="0" borderId="31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60" borderId="0" applyNumberFormat="0" applyFont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2" fontId="8" fillId="61" borderId="32" applyNumberFormat="0" applyBorder="0">
      <alignment horizontal="right" vertical="center"/>
    </xf>
    <xf numFmtId="2" fontId="58" fillId="62" borderId="33" applyBorder="0">
      <alignment horizontal="left" vertical="center"/>
    </xf>
    <xf numFmtId="10" fontId="59" fillId="45" borderId="0" applyBorder="0">
      <alignment horizontal="right"/>
      <protection locked="0"/>
    </xf>
    <xf numFmtId="15" fontId="59" fillId="45" borderId="18" applyBorder="0">
      <alignment horizontal="center"/>
      <protection locked="0"/>
    </xf>
    <xf numFmtId="15" fontId="59" fillId="45" borderId="0" applyBorder="0">
      <alignment horizontal="left"/>
      <protection locked="0"/>
    </xf>
    <xf numFmtId="0" fontId="60" fillId="63" borderId="0" applyFont="0" applyFill="0" applyBorder="0" applyAlignment="0" applyProtection="0">
      <alignment horizontal="right" vertical="center"/>
    </xf>
    <xf numFmtId="2" fontId="61" fillId="64" borderId="33" applyNumberFormat="0">
      <alignment horizontal="center" vertical="center"/>
    </xf>
    <xf numFmtId="0" fontId="62" fillId="0" borderId="12" applyNumberFormat="0" applyFill="0" applyBorder="0" applyAlignment="0" applyProtection="0"/>
    <xf numFmtId="174" fontId="63" fillId="18" borderId="23" applyBorder="0">
      <alignment horizontal="left"/>
      <protection locked="0"/>
    </xf>
    <xf numFmtId="174" fontId="63" fillId="18" borderId="34" applyBorder="0">
      <alignment horizontal="right"/>
      <protection locked="0"/>
    </xf>
    <xf numFmtId="0" fontId="64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39" fillId="0" borderId="22"/>
    <xf numFmtId="0" fontId="15" fillId="0" borderId="0"/>
    <xf numFmtId="0" fontId="67" fillId="0" borderId="12">
      <alignment horizontal="left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68" fillId="65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176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71" fillId="0" borderId="12" applyNumberFormat="0" applyFill="0" applyBorder="0" applyAlignment="0" applyProtection="0">
      <alignment horizontal="left"/>
      <protection locked="0"/>
    </xf>
    <xf numFmtId="0" fontId="72" fillId="45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3" fillId="66" borderId="0" applyNumberFormat="0" applyFont="0" applyBorder="0" applyAlignment="0" applyProtection="0"/>
    <xf numFmtId="0" fontId="73" fillId="67" borderId="0" applyNumberFormat="0" applyFont="0" applyBorder="0" applyAlignment="0" applyProtection="0"/>
    <xf numFmtId="0" fontId="73" fillId="68" borderId="0" applyNumberFormat="0" applyFont="0" applyBorder="0" applyAlignment="0" applyProtection="0">
      <alignment horizontal="center"/>
    </xf>
    <xf numFmtId="0" fontId="73" fillId="69" borderId="38" applyNumberFormat="0" applyFont="0" applyBorder="0" applyAlignment="0" applyProtection="0"/>
    <xf numFmtId="0" fontId="73" fillId="70" borderId="38" applyNumberFormat="0" applyFont="0" applyBorder="0" applyAlignment="0"/>
    <xf numFmtId="0" fontId="73" fillId="71" borderId="38" applyNumberFormat="0" applyFont="0" applyBorder="0" applyAlignment="0"/>
    <xf numFmtId="0" fontId="15" fillId="72" borderId="0" applyNumberFormat="0" applyFont="0" applyBorder="0" applyAlignment="0" applyProtection="0">
      <alignment horizontal="center"/>
      <protection hidden="1"/>
    </xf>
    <xf numFmtId="0" fontId="8" fillId="40" borderId="0" applyNumberFormat="0" applyFont="0" applyBorder="0" applyAlignment="0" applyProtection="0">
      <protection hidden="1"/>
    </xf>
    <xf numFmtId="0" fontId="8" fillId="73" borderId="0" applyNumberFormat="0" applyFont="0" applyBorder="0" applyAlignment="0" applyProtection="0">
      <protection hidden="1"/>
    </xf>
    <xf numFmtId="0" fontId="8" fillId="74" borderId="0" applyNumberFormat="0" applyFont="0" applyBorder="0" applyAlignment="0" applyProtection="0">
      <protection hidden="1"/>
    </xf>
    <xf numFmtId="0" fontId="8" fillId="75" borderId="0" applyNumberFormat="0" applyFont="0" applyBorder="0" applyAlignment="0" applyProtection="0">
      <protection hidden="1"/>
    </xf>
    <xf numFmtId="0" fontId="8" fillId="76" borderId="0" applyNumberFormat="0" applyFont="0" applyBorder="0" applyAlignment="0" applyProtection="0">
      <protection hidden="1"/>
    </xf>
    <xf numFmtId="0" fontId="8" fillId="77" borderId="0" applyNumberFormat="0" applyFont="0" applyBorder="0" applyAlignment="0" applyProtection="0">
      <protection hidden="1"/>
    </xf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2" fillId="50" borderId="17" applyFont="0" applyFill="0" applyBorder="0" applyAlignment="0" applyProtection="0">
      <alignment horizontal="left"/>
    </xf>
    <xf numFmtId="0" fontId="74" fillId="0" borderId="39" applyBorder="0"/>
    <xf numFmtId="0" fontId="32" fillId="78" borderId="0" applyFont="0" applyFill="0" applyBorder="0">
      <alignment horizontal="left"/>
    </xf>
    <xf numFmtId="0" fontId="75" fillId="0" borderId="0"/>
    <xf numFmtId="177" fontId="76" fillId="0" borderId="39" applyBorder="0">
      <alignment horizontal="center"/>
      <protection locked="0"/>
    </xf>
    <xf numFmtId="0" fontId="8" fillId="0" borderId="0">
      <alignment horizontal="left" wrapText="1"/>
    </xf>
    <xf numFmtId="0" fontId="8" fillId="0" borderId="0"/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 applyNumberFormat="0" applyFill="0" applyBorder="0" applyAlignment="0" applyProtection="0"/>
    <xf numFmtId="0" fontId="8" fillId="45" borderId="18" applyAlignment="0">
      <alignment horizontal="right"/>
    </xf>
    <xf numFmtId="0" fontId="8" fillId="45" borderId="18" applyAlignment="0">
      <alignment horizontal="right"/>
    </xf>
    <xf numFmtId="0" fontId="78" fillId="0" borderId="0"/>
    <xf numFmtId="0" fontId="79" fillId="0" borderId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0">
      <alignment horizontal="center"/>
    </xf>
    <xf numFmtId="0" fontId="84" fillId="17" borderId="12"/>
    <xf numFmtId="0" fontId="85" fillId="0" borderId="40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6" fillId="18" borderId="0" applyNumberFormat="0" applyFont="0" applyBorder="0" applyAlignment="0" applyProtection="0">
      <alignment horizontal="lef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26" fillId="0" borderId="0">
      <alignment vertical="center"/>
    </xf>
    <xf numFmtId="0" fontId="88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</cellStyleXfs>
  <cellXfs count="18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5" xfId="0" applyFill="1" applyBorder="1"/>
    <xf numFmtId="0" fontId="5" fillId="2" borderId="6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68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68" fontId="1" fillId="4" borderId="8" xfId="2" quotePrefix="1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8" fontId="1" fillId="4" borderId="8" xfId="2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9" fontId="3" fillId="4" borderId="10" xfId="0" applyNumberFormat="1" applyFont="1" applyFill="1" applyBorder="1" applyAlignment="1">
      <alignment horizontal="center" vertical="center"/>
    </xf>
    <xf numFmtId="168" fontId="1" fillId="4" borderId="11" xfId="2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6" fontId="1" fillId="0" borderId="7" xfId="0" applyNumberFormat="1" applyFont="1" applyFill="1" applyBorder="1" applyAlignment="1">
      <alignment horizontal="center" vertical="center"/>
    </xf>
    <xf numFmtId="166" fontId="1" fillId="0" borderId="8" xfId="0" applyNumberFormat="1" applyFont="1" applyFill="1" applyBorder="1" applyAlignment="1">
      <alignment horizontal="center" vertical="center"/>
    </xf>
    <xf numFmtId="166" fontId="1" fillId="0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15" fontId="1" fillId="0" borderId="11" xfId="0" applyNumberFormat="1" applyFont="1" applyFill="1" applyBorder="1" applyAlignment="1">
      <alignment horizontal="center" vertical="center"/>
    </xf>
    <xf numFmtId="166" fontId="1" fillId="0" borderId="6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6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167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167" fontId="1" fillId="4" borderId="6" xfId="0" applyNumberFormat="1" applyFont="1" applyFill="1" applyBorder="1" applyAlignment="1">
      <alignment horizontal="center" vertical="center"/>
    </xf>
    <xf numFmtId="167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9" fontId="1" fillId="4" borderId="0" xfId="0" applyNumberFormat="1" applyFont="1" applyFill="1" applyBorder="1" applyAlignment="1">
      <alignment horizontal="center" vertical="center"/>
    </xf>
    <xf numFmtId="167" fontId="1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4" fontId="1" fillId="2" borderId="0" xfId="0" quotePrefix="1" applyNumberFormat="1" applyFont="1" applyFill="1" applyBorder="1"/>
    <xf numFmtId="4" fontId="1" fillId="2" borderId="0" xfId="0" applyNumberFormat="1" applyFont="1" applyFill="1" applyBorder="1"/>
    <xf numFmtId="15" fontId="1" fillId="4" borderId="6" xfId="1" quotePrefix="1" applyNumberFormat="1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5" fontId="90" fillId="4" borderId="1" xfId="0" applyNumberFormat="1" applyFont="1" applyFill="1" applyBorder="1" applyAlignment="1">
      <alignment horizontal="center" vertical="center"/>
    </xf>
    <xf numFmtId="11" fontId="90" fillId="4" borderId="2" xfId="0" applyNumberFormat="1" applyFont="1" applyFill="1" applyBorder="1" applyAlignment="1">
      <alignment horizontal="center" vertical="center"/>
    </xf>
    <xf numFmtId="11" fontId="90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81" borderId="1" xfId="0" applyFill="1" applyBorder="1" applyAlignment="1">
      <alignment horizontal="center" vertical="center"/>
    </xf>
    <xf numFmtId="0" fontId="0" fillId="81" borderId="2" xfId="0" applyFill="1" applyBorder="1" applyAlignment="1">
      <alignment horizontal="center" vertical="center"/>
    </xf>
    <xf numFmtId="0" fontId="0" fillId="81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9" fillId="80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1" fillId="4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3" fillId="2" borderId="7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15" fontId="3" fillId="2" borderId="9" xfId="0" applyNumberFormat="1" applyFont="1" applyFill="1" applyBorder="1" applyAlignment="1">
      <alignment horizontal="center" vertical="center"/>
    </xf>
    <xf numFmtId="166" fontId="3" fillId="2" borderId="10" xfId="0" applyNumberFormat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left" vertical="center"/>
    </xf>
    <xf numFmtId="0" fontId="92" fillId="0" borderId="0" xfId="0" applyFont="1"/>
    <xf numFmtId="0" fontId="93" fillId="0" borderId="0" xfId="0" applyFont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0" fillId="3" borderId="5" xfId="0" quotePrefix="1" applyNumberForma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0" fontId="94" fillId="79" borderId="4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6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165" fontId="0" fillId="3" borderId="4" xfId="0" quotePrefix="1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0" fontId="94" fillId="79" borderId="44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0" fillId="3" borderId="9" xfId="0" quotePrefix="1" applyNumberFormat="1" applyFill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0" fontId="94" fillId="79" borderId="4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166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1" xfId="0" applyFont="1" applyFill="1" applyBorder="1"/>
    <xf numFmtId="0" fontId="95" fillId="0" borderId="0" xfId="0" applyFont="1"/>
    <xf numFmtId="165" fontId="3" fillId="0" borderId="4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2" fillId="0" borderId="0" xfId="0" applyFont="1" applyBorder="1"/>
    <xf numFmtId="0" fontId="3" fillId="2" borderId="46" xfId="0" applyFont="1" applyFill="1" applyBorder="1" applyAlignment="1">
      <alignment horizontal="center"/>
    </xf>
    <xf numFmtId="166" fontId="3" fillId="2" borderId="47" xfId="0" applyNumberFormat="1" applyFont="1" applyFill="1" applyBorder="1" applyAlignment="1">
      <alignment horizontal="center" vertical="center"/>
    </xf>
    <xf numFmtId="179" fontId="3" fillId="2" borderId="48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/>
    </xf>
    <xf numFmtId="179" fontId="3" fillId="2" borderId="50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/>
    </xf>
    <xf numFmtId="166" fontId="3" fillId="2" borderId="52" xfId="0" applyNumberFormat="1" applyFont="1" applyFill="1" applyBorder="1" applyAlignment="1">
      <alignment horizontal="center" vertical="center"/>
    </xf>
    <xf numFmtId="179" fontId="3" fillId="2" borderId="5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/>
    </xf>
    <xf numFmtId="0" fontId="94" fillId="4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67" fontId="1" fillId="4" borderId="10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96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FFFFCC"/>
      <color rgb="FF006600"/>
      <color rgb="FF0000FF"/>
      <color rgb="FFFFFF66"/>
      <color rgb="FFFFFF99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en-GB" sz="2000" b="0"/>
              <a:t>USD Yield</a:t>
            </a:r>
            <a:r>
              <a:rPr lang="en-GB" sz="2000" b="0" baseline="0"/>
              <a:t> Curve</a:t>
            </a:r>
            <a:endParaRPr lang="en-GB" sz="2000" b="0"/>
          </a:p>
        </c:rich>
      </c:tx>
      <c:layout>
        <c:manualLayout>
          <c:xMode val="edge"/>
          <c:yMode val="edge"/>
          <c:x val="0.39717852384512897"/>
          <c:y val="2.42424242424242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7332342542762453E-2"/>
          <c:y val="2.2429332697049234E-2"/>
          <c:w val="0.87920625982713474"/>
          <c:h val="0.87093215620774678"/>
        </c:manualLayout>
      </c:layout>
      <c:lineChart>
        <c:grouping val="standard"/>
        <c:varyColors val="0"/>
        <c:ser>
          <c:idx val="0"/>
          <c:order val="0"/>
          <c:tx>
            <c:strRef>
              <c:f>DISPLAY_CURVE!$C$9</c:f>
              <c:strCache>
                <c:ptCount val="1"/>
                <c:pt idx="0">
                  <c:v>USDOIS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DISPLAY_CURVE!$C$10:$C$501</c:f>
              <c:numCache>
                <c:formatCode>0.00000%</c:formatCode>
                <c:ptCount val="492"/>
                <c:pt idx="0">
                  <c:v>1.9100000000005224E-2</c:v>
                </c:pt>
                <c:pt idx="1">
                  <c:v>1.9456437659552933E-2</c:v>
                </c:pt>
                <c:pt idx="2">
                  <c:v>2.1487379812725825E-2</c:v>
                </c:pt>
                <c:pt idx="3">
                  <c:v>2.1399280725260188E-2</c:v>
                </c:pt>
                <c:pt idx="4">
                  <c:v>2.2348232561091388E-2</c:v>
                </c:pt>
                <c:pt idx="5">
                  <c:v>2.3536537233353E-2</c:v>
                </c:pt>
                <c:pt idx="6">
                  <c:v>2.3574125855301047E-2</c:v>
                </c:pt>
                <c:pt idx="7">
                  <c:v>2.4314010148414143E-2</c:v>
                </c:pt>
                <c:pt idx="8">
                  <c:v>2.4768296966444312E-2</c:v>
                </c:pt>
                <c:pt idx="9">
                  <c:v>2.486493188091474E-2</c:v>
                </c:pt>
                <c:pt idx="10">
                  <c:v>2.4819935322275642E-2</c:v>
                </c:pt>
                <c:pt idx="11">
                  <c:v>2.4896789275157347E-2</c:v>
                </c:pt>
                <c:pt idx="12">
                  <c:v>2.5106682056472797E-2</c:v>
                </c:pt>
                <c:pt idx="13">
                  <c:v>2.5392622998756754E-2</c:v>
                </c:pt>
                <c:pt idx="14">
                  <c:v>2.5623482698593582E-2</c:v>
                </c:pt>
                <c:pt idx="15">
                  <c:v>2.584754265784648E-2</c:v>
                </c:pt>
                <c:pt idx="16">
                  <c:v>2.6023347245587396E-2</c:v>
                </c:pt>
                <c:pt idx="17">
                  <c:v>2.6171771232128643E-2</c:v>
                </c:pt>
                <c:pt idx="18">
                  <c:v>2.6300981693816661E-2</c:v>
                </c:pt>
                <c:pt idx="19">
                  <c:v>2.6382654765244689E-2</c:v>
                </c:pt>
                <c:pt idx="20">
                  <c:v>2.6441766163021279E-2</c:v>
                </c:pt>
                <c:pt idx="21">
                  <c:v>2.6473653496567551E-2</c:v>
                </c:pt>
                <c:pt idx="22">
                  <c:v>2.6470702295951037E-2</c:v>
                </c:pt>
                <c:pt idx="23">
                  <c:v>2.644039949408326E-2</c:v>
                </c:pt>
                <c:pt idx="24">
                  <c:v>2.6372938728949174E-2</c:v>
                </c:pt>
                <c:pt idx="25">
                  <c:v>2.6298177543306971E-2</c:v>
                </c:pt>
                <c:pt idx="26">
                  <c:v>2.622054426230323E-2</c:v>
                </c:pt>
                <c:pt idx="27">
                  <c:v>2.6137407306103904E-2</c:v>
                </c:pt>
                <c:pt idx="28">
                  <c:v>2.6061749558277208E-2</c:v>
                </c:pt>
                <c:pt idx="29">
                  <c:v>2.5979762658741117E-2</c:v>
                </c:pt>
                <c:pt idx="30">
                  <c:v>2.589890992410036E-2</c:v>
                </c:pt>
                <c:pt idx="31">
                  <c:v>2.5824887872252324E-2</c:v>
                </c:pt>
                <c:pt idx="32">
                  <c:v>2.5742592005251287E-2</c:v>
                </c:pt>
                <c:pt idx="33">
                  <c:v>2.5657264812739645E-2</c:v>
                </c:pt>
                <c:pt idx="34">
                  <c:v>2.5579609938208937E-2</c:v>
                </c:pt>
                <c:pt idx="35">
                  <c:v>2.5498953503477841E-2</c:v>
                </c:pt>
                <c:pt idx="36">
                  <c:v>2.541255842974275E-2</c:v>
                </c:pt>
                <c:pt idx="37">
                  <c:v>2.5334505847025658E-2</c:v>
                </c:pt>
                <c:pt idx="38">
                  <c:v>2.5262450853027564E-2</c:v>
                </c:pt>
                <c:pt idx="39">
                  <c:v>2.5195893085117139E-2</c:v>
                </c:pt>
                <c:pt idx="40">
                  <c:v>2.5137639606995867E-2</c:v>
                </c:pt>
                <c:pt idx="41">
                  <c:v>2.5081050037885168E-2</c:v>
                </c:pt>
                <c:pt idx="42">
                  <c:v>2.5037854528395888E-2</c:v>
                </c:pt>
                <c:pt idx="43">
                  <c:v>2.5001935346846783E-2</c:v>
                </c:pt>
                <c:pt idx="44">
                  <c:v>2.496954175176045E-2</c:v>
                </c:pt>
                <c:pt idx="45">
                  <c:v>2.4942576583102484E-2</c:v>
                </c:pt>
                <c:pt idx="46">
                  <c:v>2.4923864720483115E-2</c:v>
                </c:pt>
                <c:pt idx="47">
                  <c:v>2.4913069186736171E-2</c:v>
                </c:pt>
                <c:pt idx="48">
                  <c:v>2.4905875163842756E-2</c:v>
                </c:pt>
                <c:pt idx="49">
                  <c:v>2.4905614971175345E-2</c:v>
                </c:pt>
                <c:pt idx="50">
                  <c:v>2.4909214207923986E-2</c:v>
                </c:pt>
                <c:pt idx="51">
                  <c:v>2.4915895256838093E-2</c:v>
                </c:pt>
                <c:pt idx="52">
                  <c:v>2.4926218722352556E-2</c:v>
                </c:pt>
                <c:pt idx="53">
                  <c:v>2.4941036923099E-2</c:v>
                </c:pt>
                <c:pt idx="54">
                  <c:v>2.495852782887073E-2</c:v>
                </c:pt>
                <c:pt idx="55">
                  <c:v>2.4977987677315388E-2</c:v>
                </c:pt>
                <c:pt idx="56">
                  <c:v>2.5004786815352099E-2</c:v>
                </c:pt>
                <c:pt idx="57">
                  <c:v>2.5030831058746011E-2</c:v>
                </c:pt>
                <c:pt idx="58">
                  <c:v>2.5063189638561658E-2</c:v>
                </c:pt>
                <c:pt idx="59">
                  <c:v>2.5100453033970977E-2</c:v>
                </c:pt>
                <c:pt idx="60">
                  <c:v>2.5137639509469855E-2</c:v>
                </c:pt>
                <c:pt idx="61">
                  <c:v>2.5181487726849552E-2</c:v>
                </c:pt>
                <c:pt idx="62">
                  <c:v>2.5217320105039534E-2</c:v>
                </c:pt>
                <c:pt idx="63">
                  <c:v>2.5253086599677448E-2</c:v>
                </c:pt>
                <c:pt idx="64">
                  <c:v>2.5289913893803743E-2</c:v>
                </c:pt>
                <c:pt idx="65">
                  <c:v>2.5320229470061E-2</c:v>
                </c:pt>
                <c:pt idx="66">
                  <c:v>2.5351483273046628E-2</c:v>
                </c:pt>
                <c:pt idx="67">
                  <c:v>2.5381671836245248E-2</c:v>
                </c:pt>
                <c:pt idx="68">
                  <c:v>2.5406480185270943E-2</c:v>
                </c:pt>
                <c:pt idx="69">
                  <c:v>2.54312591492716E-2</c:v>
                </c:pt>
                <c:pt idx="70">
                  <c:v>2.545642362857194E-2</c:v>
                </c:pt>
                <c:pt idx="71">
                  <c:v>2.5476064891436223E-2</c:v>
                </c:pt>
                <c:pt idx="72">
                  <c:v>2.5495962859021681E-2</c:v>
                </c:pt>
                <c:pt idx="73">
                  <c:v>2.5514470113638672E-2</c:v>
                </c:pt>
                <c:pt idx="74">
                  <c:v>2.5529471199052533E-2</c:v>
                </c:pt>
                <c:pt idx="75">
                  <c:v>2.5545864595900421E-2</c:v>
                </c:pt>
                <c:pt idx="76">
                  <c:v>2.5555849570371606E-2</c:v>
                </c:pt>
                <c:pt idx="77">
                  <c:v>2.556584435234184E-2</c:v>
                </c:pt>
                <c:pt idx="78">
                  <c:v>2.5574738908545225E-2</c:v>
                </c:pt>
                <c:pt idx="79">
                  <c:v>2.5580565036373588E-2</c:v>
                </c:pt>
                <c:pt idx="80">
                  <c:v>2.558494305488131E-2</c:v>
                </c:pt>
                <c:pt idx="81">
                  <c:v>2.5587684083085722E-2</c:v>
                </c:pt>
                <c:pt idx="82">
                  <c:v>2.5588609530955871E-2</c:v>
                </c:pt>
                <c:pt idx="83">
                  <c:v>2.5587680553341038E-2</c:v>
                </c:pt>
                <c:pt idx="84">
                  <c:v>2.5586505974485651E-2</c:v>
                </c:pt>
                <c:pt idx="85">
                  <c:v>2.5581306297905743E-2</c:v>
                </c:pt>
                <c:pt idx="86">
                  <c:v>2.5579001693790016E-2</c:v>
                </c:pt>
                <c:pt idx="87">
                  <c:v>2.5577726835978882E-2</c:v>
                </c:pt>
                <c:pt idx="88">
                  <c:v>2.5577674268500328E-2</c:v>
                </c:pt>
                <c:pt idx="89">
                  <c:v>2.5578709714789039E-2</c:v>
                </c:pt>
                <c:pt idx="90">
                  <c:v>2.5580994711860591E-2</c:v>
                </c:pt>
                <c:pt idx="91">
                  <c:v>2.5584005046010733E-2</c:v>
                </c:pt>
                <c:pt idx="92">
                  <c:v>2.5588272075772075E-2</c:v>
                </c:pt>
                <c:pt idx="93">
                  <c:v>2.5595643148780104E-2</c:v>
                </c:pt>
                <c:pt idx="94">
                  <c:v>2.5600296922970053E-2</c:v>
                </c:pt>
                <c:pt idx="95">
                  <c:v>2.5607848082267896E-2</c:v>
                </c:pt>
                <c:pt idx="96">
                  <c:v>2.5617409762515468E-2</c:v>
                </c:pt>
                <c:pt idx="97">
                  <c:v>2.5626894074970864E-2</c:v>
                </c:pt>
                <c:pt idx="98">
                  <c:v>2.5637765168995841E-2</c:v>
                </c:pt>
                <c:pt idx="99">
                  <c:v>2.5650559151029637E-2</c:v>
                </c:pt>
                <c:pt idx="100">
                  <c:v>2.5663218376857241E-2</c:v>
                </c:pt>
                <c:pt idx="101">
                  <c:v>2.5680187645114465E-2</c:v>
                </c:pt>
                <c:pt idx="102">
                  <c:v>2.5693669657873987E-2</c:v>
                </c:pt>
                <c:pt idx="103">
                  <c:v>2.5708940816691485E-2</c:v>
                </c:pt>
                <c:pt idx="104">
                  <c:v>2.5726943015782908E-2</c:v>
                </c:pt>
                <c:pt idx="105">
                  <c:v>2.5746742999851698E-2</c:v>
                </c:pt>
                <c:pt idx="106">
                  <c:v>2.5765750651927512E-2</c:v>
                </c:pt>
                <c:pt idx="107">
                  <c:v>2.5786473573466272E-2</c:v>
                </c:pt>
                <c:pt idx="108">
                  <c:v>2.5809776123995449E-2</c:v>
                </c:pt>
                <c:pt idx="109">
                  <c:v>2.5832741661627037E-2</c:v>
                </c:pt>
                <c:pt idx="110">
                  <c:v>2.5859462735146416E-2</c:v>
                </c:pt>
                <c:pt idx="111">
                  <c:v>2.5882771423640212E-2</c:v>
                </c:pt>
                <c:pt idx="112">
                  <c:v>2.590902124333469E-2</c:v>
                </c:pt>
                <c:pt idx="113">
                  <c:v>2.5939140279240033E-2</c:v>
                </c:pt>
                <c:pt idx="114">
                  <c:v>2.5966693771288019E-2</c:v>
                </c:pt>
                <c:pt idx="115">
                  <c:v>2.5995260300813273E-2</c:v>
                </c:pt>
                <c:pt idx="116">
                  <c:v>2.6028993659079996E-2</c:v>
                </c:pt>
                <c:pt idx="117">
                  <c:v>2.6058648420383235E-2</c:v>
                </c:pt>
                <c:pt idx="118">
                  <c:v>2.6092579338281935E-2</c:v>
                </c:pt>
                <c:pt idx="119">
                  <c:v>2.6128806496035575E-2</c:v>
                </c:pt>
                <c:pt idx="120">
                  <c:v>2.6162700792525046E-2</c:v>
                </c:pt>
                <c:pt idx="121">
                  <c:v>2.6201345588395052E-2</c:v>
                </c:pt>
                <c:pt idx="122">
                  <c:v>2.623131395231882E-2</c:v>
                </c:pt>
                <c:pt idx="123">
                  <c:v>2.6260675467714632E-2</c:v>
                </c:pt>
                <c:pt idx="124">
                  <c:v>2.6290308068796338E-2</c:v>
                </c:pt>
                <c:pt idx="125">
                  <c:v>2.6312686592721513E-2</c:v>
                </c:pt>
                <c:pt idx="126">
                  <c:v>2.6335163577538057E-2</c:v>
                </c:pt>
                <c:pt idx="127">
                  <c:v>2.6353167280146795E-2</c:v>
                </c:pt>
                <c:pt idx="128">
                  <c:v>2.6371093493780293E-2</c:v>
                </c:pt>
                <c:pt idx="129">
                  <c:v>2.6384877387166977E-2</c:v>
                </c:pt>
                <c:pt idx="130">
                  <c:v>2.639931414909186E-2</c:v>
                </c:pt>
                <c:pt idx="131">
                  <c:v>2.6406531869933893E-2</c:v>
                </c:pt>
                <c:pt idx="132">
                  <c:v>2.6413176652897753E-2</c:v>
                </c:pt>
                <c:pt idx="133">
                  <c:v>2.6417600989714664E-2</c:v>
                </c:pt>
                <c:pt idx="134">
                  <c:v>2.6418997852819849E-2</c:v>
                </c:pt>
                <c:pt idx="135">
                  <c:v>2.641799778255325E-2</c:v>
                </c:pt>
                <c:pt idx="136">
                  <c:v>2.6414164524699021E-2</c:v>
                </c:pt>
                <c:pt idx="137">
                  <c:v>2.6408250768877074E-2</c:v>
                </c:pt>
                <c:pt idx="138">
                  <c:v>2.6400944340913394E-2</c:v>
                </c:pt>
                <c:pt idx="139">
                  <c:v>2.6390521519667309E-2</c:v>
                </c:pt>
                <c:pt idx="140">
                  <c:v>2.6375019518805373E-2</c:v>
                </c:pt>
                <c:pt idx="141">
                  <c:v>2.6358944738898202E-2</c:v>
                </c:pt>
                <c:pt idx="142">
                  <c:v>2.6338380098747439E-2</c:v>
                </c:pt>
                <c:pt idx="143">
                  <c:v>2.631857702724482E-2</c:v>
                </c:pt>
                <c:pt idx="144">
                  <c:v>2.6294109537707215E-2</c:v>
                </c:pt>
                <c:pt idx="145">
                  <c:v>2.6267302467686608E-2</c:v>
                </c:pt>
                <c:pt idx="146">
                  <c:v>2.6243283288657684E-2</c:v>
                </c:pt>
                <c:pt idx="147">
                  <c:v>2.6219015471557298E-2</c:v>
                </c:pt>
                <c:pt idx="148">
                  <c:v>2.6192872458587368E-2</c:v>
                </c:pt>
                <c:pt idx="149">
                  <c:v>2.6168930797516938E-2</c:v>
                </c:pt>
                <c:pt idx="150">
                  <c:v>2.6142936488491662E-2</c:v>
                </c:pt>
                <c:pt idx="151">
                  <c:v>2.6121160781893773E-2</c:v>
                </c:pt>
                <c:pt idx="152">
                  <c:v>2.6098876859746239E-2</c:v>
                </c:pt>
                <c:pt idx="153">
                  <c:v>2.6076116533562486E-2</c:v>
                </c:pt>
                <c:pt idx="154">
                  <c:v>2.6052165134698248E-2</c:v>
                </c:pt>
                <c:pt idx="155">
                  <c:v>2.603074720710678E-2</c:v>
                </c:pt>
                <c:pt idx="156">
                  <c:v>2.600931439171765E-2</c:v>
                </c:pt>
                <c:pt idx="157">
                  <c:v>2.5985886059270259E-2</c:v>
                </c:pt>
                <c:pt idx="158">
                  <c:v>2.5964630007151816E-2</c:v>
                </c:pt>
                <c:pt idx="159">
                  <c:v>2.5941591271912253E-2</c:v>
                </c:pt>
                <c:pt idx="160">
                  <c:v>2.5922323521014069E-2</c:v>
                </c:pt>
                <c:pt idx="161">
                  <c:v>2.5901289374492934E-2</c:v>
                </c:pt>
                <c:pt idx="162">
                  <c:v>2.5879909124922169E-2</c:v>
                </c:pt>
                <c:pt idx="163">
                  <c:v>2.5861477308608948E-2</c:v>
                </c:pt>
                <c:pt idx="164">
                  <c:v>2.5841368710798614E-2</c:v>
                </c:pt>
                <c:pt idx="165">
                  <c:v>2.582094386624641E-2</c:v>
                </c:pt>
                <c:pt idx="166">
                  <c:v>2.5802724003987493E-2</c:v>
                </c:pt>
                <c:pt idx="167">
                  <c:v>2.5784164397176089E-2</c:v>
                </c:pt>
                <c:pt idx="168">
                  <c:v>2.5764694675917368E-2</c:v>
                </c:pt>
                <c:pt idx="169">
                  <c:v>2.574674713268929E-2</c:v>
                </c:pt>
                <c:pt idx="170">
                  <c:v>2.5730348517349143E-2</c:v>
                </c:pt>
                <c:pt idx="171">
                  <c:v>2.5711162124309329E-2</c:v>
                </c:pt>
                <c:pt idx="172">
                  <c:v>2.569411021354593E-2</c:v>
                </c:pt>
                <c:pt idx="173">
                  <c:v>2.5675691934324157E-2</c:v>
                </c:pt>
                <c:pt idx="174">
                  <c:v>2.5659802565783249E-2</c:v>
                </c:pt>
                <c:pt idx="175">
                  <c:v>2.5644723318092744E-2</c:v>
                </c:pt>
                <c:pt idx="176">
                  <c:v>2.5629627507789757E-2</c:v>
                </c:pt>
                <c:pt idx="177">
                  <c:v>2.561224675457429E-2</c:v>
                </c:pt>
                <c:pt idx="178">
                  <c:v>2.5596985757484637E-2</c:v>
                </c:pt>
                <c:pt idx="179">
                  <c:v>2.5583342098732139E-2</c:v>
                </c:pt>
                <c:pt idx="180">
                  <c:v>2.556686270663092E-2</c:v>
                </c:pt>
                <c:pt idx="181">
                  <c:v>2.5551925296425807E-2</c:v>
                </c:pt>
                <c:pt idx="182">
                  <c:v>2.5536607689403027E-2</c:v>
                </c:pt>
                <c:pt idx="183">
                  <c:v>2.552281653270639E-2</c:v>
                </c:pt>
                <c:pt idx="184">
                  <c:v>2.5508639891085771E-2</c:v>
                </c:pt>
                <c:pt idx="185">
                  <c:v>2.5493618264343276E-2</c:v>
                </c:pt>
                <c:pt idx="186">
                  <c:v>2.5479630886623514E-2</c:v>
                </c:pt>
                <c:pt idx="187">
                  <c:v>2.5466658872824083E-2</c:v>
                </c:pt>
                <c:pt idx="188">
                  <c:v>2.5451471963174228E-2</c:v>
                </c:pt>
                <c:pt idx="189">
                  <c:v>2.5438673596407856E-2</c:v>
                </c:pt>
                <c:pt idx="190">
                  <c:v>2.5424597095579166E-2</c:v>
                </c:pt>
                <c:pt idx="191">
                  <c:v>2.5410168257694665E-2</c:v>
                </c:pt>
                <c:pt idx="192">
                  <c:v>2.5397182829841661E-2</c:v>
                </c:pt>
                <c:pt idx="193">
                  <c:v>2.5384743306168859E-2</c:v>
                </c:pt>
                <c:pt idx="194">
                  <c:v>2.5369707432411976E-2</c:v>
                </c:pt>
                <c:pt idx="195">
                  <c:v>2.5356553634840823E-2</c:v>
                </c:pt>
                <c:pt idx="196">
                  <c:v>2.5344841856888341E-2</c:v>
                </c:pt>
                <c:pt idx="197">
                  <c:v>2.5330089331884215E-2</c:v>
                </c:pt>
                <c:pt idx="198">
                  <c:v>2.531678548039135E-2</c:v>
                </c:pt>
                <c:pt idx="199">
                  <c:v>2.5304853641786598E-2</c:v>
                </c:pt>
                <c:pt idx="200">
                  <c:v>2.5291314081513645E-2</c:v>
                </c:pt>
                <c:pt idx="201">
                  <c:v>2.527913436419893E-2</c:v>
                </c:pt>
                <c:pt idx="202">
                  <c:v>2.5267567325687794E-2</c:v>
                </c:pt>
                <c:pt idx="203">
                  <c:v>2.5253381396967863E-2</c:v>
                </c:pt>
                <c:pt idx="204">
                  <c:v>2.5241061073119058E-2</c:v>
                </c:pt>
                <c:pt idx="205">
                  <c:v>2.5227614601822632E-2</c:v>
                </c:pt>
                <c:pt idx="206">
                  <c:v>2.5216291640534044E-2</c:v>
                </c:pt>
                <c:pt idx="207">
                  <c:v>2.5203849184236498E-2</c:v>
                </c:pt>
                <c:pt idx="208">
                  <c:v>2.5191108258961696E-2</c:v>
                </c:pt>
                <c:pt idx="209">
                  <c:v>2.5179650996462966E-2</c:v>
                </c:pt>
                <c:pt idx="210">
                  <c:v>2.5168867885173904E-2</c:v>
                </c:pt>
                <c:pt idx="211">
                  <c:v>2.5155444647889599E-2</c:v>
                </c:pt>
                <c:pt idx="212">
                  <c:v>2.514425599436592E-2</c:v>
                </c:pt>
                <c:pt idx="213">
                  <c:v>2.5132772104814443E-2</c:v>
                </c:pt>
                <c:pt idx="214">
                  <c:v>2.5120623837222571E-2</c:v>
                </c:pt>
                <c:pt idx="215">
                  <c:v>2.5109703730004096E-2</c:v>
                </c:pt>
                <c:pt idx="216">
                  <c:v>2.5099503697846619E-2</c:v>
                </c:pt>
                <c:pt idx="217">
                  <c:v>2.508664577161359E-2</c:v>
                </c:pt>
                <c:pt idx="218">
                  <c:v>2.5075628491405447E-2</c:v>
                </c:pt>
                <c:pt idx="219">
                  <c:v>2.5063615982865477E-2</c:v>
                </c:pt>
                <c:pt idx="220">
                  <c:v>2.5053510505402724E-2</c:v>
                </c:pt>
                <c:pt idx="221">
                  <c:v>2.5042414631103349E-2</c:v>
                </c:pt>
                <c:pt idx="222">
                  <c:v>2.5031064071970748E-2</c:v>
                </c:pt>
                <c:pt idx="223">
                  <c:v>2.5021217949941017E-2</c:v>
                </c:pt>
                <c:pt idx="224">
                  <c:v>2.5010756365334435E-2</c:v>
                </c:pt>
                <c:pt idx="225">
                  <c:v>2.5001779046115759E-2</c:v>
                </c:pt>
                <c:pt idx="226">
                  <c:v>2.4989768196931189E-2</c:v>
                </c:pt>
                <c:pt idx="227">
                  <c:v>2.4979584417431502E-2</c:v>
                </c:pt>
                <c:pt idx="228">
                  <c:v>2.496848874313214E-2</c:v>
                </c:pt>
                <c:pt idx="229">
                  <c:v>2.4958829527193093E-2</c:v>
                </c:pt>
                <c:pt idx="230">
                  <c:v>2.4948926644471188E-2</c:v>
                </c:pt>
                <c:pt idx="231">
                  <c:v>2.4938465201479302E-2</c:v>
                </c:pt>
                <c:pt idx="232">
                  <c:v>2.4929074617169145E-2</c:v>
                </c:pt>
                <c:pt idx="233">
                  <c:v>2.4920536030813872E-2</c:v>
                </c:pt>
                <c:pt idx="234">
                  <c:v>2.4909284238121714E-2</c:v>
                </c:pt>
                <c:pt idx="235">
                  <c:v>2.4900475351733273E-2</c:v>
                </c:pt>
                <c:pt idx="236">
                  <c:v>2.4890815182668592E-2</c:v>
                </c:pt>
                <c:pt idx="237">
                  <c:v>2.4880946787127853E-2</c:v>
                </c:pt>
                <c:pt idx="238">
                  <c:v>2.4872093354580765E-2</c:v>
                </c:pt>
                <c:pt idx="239">
                  <c:v>2.4863023453110891E-2</c:v>
                </c:pt>
                <c:pt idx="240">
                  <c:v>2.4853449822422675E-2</c:v>
                </c:pt>
                <c:pt idx="241">
                  <c:v>2.4844348486465984E-2</c:v>
                </c:pt>
                <c:pt idx="242">
                  <c:v>2.4836270870018131E-2</c:v>
                </c:pt>
                <c:pt idx="243">
                  <c:v>2.4824706574449136E-2</c:v>
                </c:pt>
                <c:pt idx="244">
                  <c:v>2.4814486576512973E-2</c:v>
                </c:pt>
                <c:pt idx="245">
                  <c:v>2.4802821044900527E-2</c:v>
                </c:pt>
                <c:pt idx="246">
                  <c:v>2.4792200662167283E-2</c:v>
                </c:pt>
                <c:pt idx="247">
                  <c:v>2.4781619700572115E-2</c:v>
                </c:pt>
                <c:pt idx="248">
                  <c:v>2.4770839857292955E-2</c:v>
                </c:pt>
                <c:pt idx="249">
                  <c:v>2.4757050324406841E-2</c:v>
                </c:pt>
                <c:pt idx="250">
                  <c:v>2.4744596534758988E-2</c:v>
                </c:pt>
                <c:pt idx="251">
                  <c:v>2.4733040993024941E-2</c:v>
                </c:pt>
                <c:pt idx="252">
                  <c:v>2.4718139606031149E-2</c:v>
                </c:pt>
                <c:pt idx="253">
                  <c:v>2.4704109893088123E-2</c:v>
                </c:pt>
                <c:pt idx="254">
                  <c:v>2.4689216588658417E-2</c:v>
                </c:pt>
                <c:pt idx="255">
                  <c:v>2.4675356454977662E-2</c:v>
                </c:pt>
                <c:pt idx="256">
                  <c:v>2.4660656026454765E-2</c:v>
                </c:pt>
                <c:pt idx="257">
                  <c:v>2.4644571127042353E-2</c:v>
                </c:pt>
                <c:pt idx="258">
                  <c:v>2.4629109872205922E-2</c:v>
                </c:pt>
                <c:pt idx="259">
                  <c:v>2.4613813620740457E-2</c:v>
                </c:pt>
                <c:pt idx="260">
                  <c:v>2.4596537013475642E-2</c:v>
                </c:pt>
                <c:pt idx="261">
                  <c:v>2.4580517130295628E-2</c:v>
                </c:pt>
                <c:pt idx="262">
                  <c:v>2.4564116279794108E-2</c:v>
                </c:pt>
                <c:pt idx="263">
                  <c:v>2.4545114353633941E-2</c:v>
                </c:pt>
                <c:pt idx="264">
                  <c:v>2.4527418781697591E-2</c:v>
                </c:pt>
                <c:pt idx="265">
                  <c:v>2.4507528140851813E-2</c:v>
                </c:pt>
                <c:pt idx="266">
                  <c:v>2.4490302990696943E-2</c:v>
                </c:pt>
                <c:pt idx="267">
                  <c:v>2.4470857045203076E-2</c:v>
                </c:pt>
                <c:pt idx="268">
                  <c:v>2.4450370811373735E-2</c:v>
                </c:pt>
                <c:pt idx="269">
                  <c:v>2.4431444596618314E-2</c:v>
                </c:pt>
                <c:pt idx="270">
                  <c:v>2.4411815260451386E-2</c:v>
                </c:pt>
                <c:pt idx="271">
                  <c:v>2.439284462173813E-2</c:v>
                </c:pt>
                <c:pt idx="272">
                  <c:v>2.4370514366796721E-2</c:v>
                </c:pt>
                <c:pt idx="273">
                  <c:v>2.4349467428524504E-2</c:v>
                </c:pt>
                <c:pt idx="274">
                  <c:v>2.4325890391930297E-2</c:v>
                </c:pt>
                <c:pt idx="275">
                  <c:v>2.4305537299789768E-2</c:v>
                </c:pt>
                <c:pt idx="276">
                  <c:v>2.4282628308126074E-2</c:v>
                </c:pt>
                <c:pt idx="277">
                  <c:v>2.4258567295903428E-2</c:v>
                </c:pt>
                <c:pt idx="278">
                  <c:v>2.4236401288074191E-2</c:v>
                </c:pt>
                <c:pt idx="279">
                  <c:v>2.4213170155169484E-2</c:v>
                </c:pt>
                <c:pt idx="280">
                  <c:v>2.4187855475873057E-2</c:v>
                </c:pt>
                <c:pt idx="281">
                  <c:v>2.4163801933386204E-2</c:v>
                </c:pt>
                <c:pt idx="282">
                  <c:v>2.4136916621729235E-2</c:v>
                </c:pt>
                <c:pt idx="283">
                  <c:v>2.4113755145552244E-2</c:v>
                </c:pt>
                <c:pt idx="284">
                  <c:v>2.4089429332908013E-2</c:v>
                </c:pt>
                <c:pt idx="285">
                  <c:v>2.406390180065995E-2</c:v>
                </c:pt>
                <c:pt idx="286">
                  <c:v>2.4036266122993654E-2</c:v>
                </c:pt>
                <c:pt idx="287">
                  <c:v>2.4010860474528661E-2</c:v>
                </c:pt>
                <c:pt idx="288">
                  <c:v>2.3984023925322204E-2</c:v>
                </c:pt>
                <c:pt idx="289">
                  <c:v>2.3955388564232769E-2</c:v>
                </c:pt>
                <c:pt idx="290">
                  <c:v>2.3927983516832022E-2</c:v>
                </c:pt>
                <c:pt idx="291">
                  <c:v>2.3897411535085844E-2</c:v>
                </c:pt>
                <c:pt idx="292">
                  <c:v>2.3871122188706004E-2</c:v>
                </c:pt>
                <c:pt idx="293">
                  <c:v>2.3841643105021359E-2</c:v>
                </c:pt>
                <c:pt idx="294">
                  <c:v>2.3810799818376673E-2</c:v>
                </c:pt>
                <c:pt idx="295">
                  <c:v>2.3783467876097697E-2</c:v>
                </c:pt>
                <c:pt idx="296">
                  <c:v>2.3753828148754787E-2</c:v>
                </c:pt>
                <c:pt idx="297">
                  <c:v>2.3724375339809995E-2</c:v>
                </c:pt>
                <c:pt idx="298">
                  <c:v>2.3692422691076208E-2</c:v>
                </c:pt>
                <c:pt idx="299">
                  <c:v>2.3661667824373175E-2</c:v>
                </c:pt>
                <c:pt idx="300">
                  <c:v>2.3627413662995547E-2</c:v>
                </c:pt>
                <c:pt idx="301">
                  <c:v>2.3597663039111132E-2</c:v>
                </c:pt>
                <c:pt idx="302">
                  <c:v>2.3567995103672974E-2</c:v>
                </c:pt>
                <c:pt idx="303">
                  <c:v>2.353760303880819E-2</c:v>
                </c:pt>
                <c:pt idx="304">
                  <c:v>2.3511173176829193E-2</c:v>
                </c:pt>
                <c:pt idx="305">
                  <c:v>2.3484761303570693E-2</c:v>
                </c:pt>
                <c:pt idx="306">
                  <c:v>2.3458203915212261E-2</c:v>
                </c:pt>
                <c:pt idx="307">
                  <c:v>2.3435088947672211E-2</c:v>
                </c:pt>
                <c:pt idx="308">
                  <c:v>2.3412326387718618E-2</c:v>
                </c:pt>
                <c:pt idx="309">
                  <c:v>2.3389209210273026E-2</c:v>
                </c:pt>
                <c:pt idx="310">
                  <c:v>2.3368746063046252E-2</c:v>
                </c:pt>
                <c:pt idx="311">
                  <c:v>2.3350298267611699E-2</c:v>
                </c:pt>
                <c:pt idx="312">
                  <c:v>2.3330619093464736E-2</c:v>
                </c:pt>
                <c:pt idx="313">
                  <c:v>2.331303818838314E-2</c:v>
                </c:pt>
                <c:pt idx="314">
                  <c:v>2.3296151081819857E-2</c:v>
                </c:pt>
                <c:pt idx="315">
                  <c:v>2.3281962961061588E-2</c:v>
                </c:pt>
                <c:pt idx="316">
                  <c:v>2.3268398414615504E-2</c:v>
                </c:pt>
                <c:pt idx="317">
                  <c:v>2.3255170173073349E-2</c:v>
                </c:pt>
                <c:pt idx="318">
                  <c:v>2.3243941500811591E-2</c:v>
                </c:pt>
                <c:pt idx="319">
                  <c:v>2.3234482979595086E-2</c:v>
                </c:pt>
                <c:pt idx="320">
                  <c:v>2.3224594566676863E-2</c:v>
                </c:pt>
                <c:pt idx="321">
                  <c:v>2.3217281294718565E-2</c:v>
                </c:pt>
                <c:pt idx="322">
                  <c:v>2.3210333911969472E-2</c:v>
                </c:pt>
                <c:pt idx="323">
                  <c:v>2.3204423605804991E-2</c:v>
                </c:pt>
                <c:pt idx="324">
                  <c:v>2.320018311208882E-2</c:v>
                </c:pt>
                <c:pt idx="325">
                  <c:v>2.319822614210619E-2</c:v>
                </c:pt>
                <c:pt idx="326">
                  <c:v>2.3194658372942649E-2</c:v>
                </c:pt>
                <c:pt idx="327">
                  <c:v>2.3193721049653976E-2</c:v>
                </c:pt>
                <c:pt idx="328">
                  <c:v>2.3195435891222513E-2</c:v>
                </c:pt>
                <c:pt idx="329">
                  <c:v>2.3195298078481502E-2</c:v>
                </c:pt>
                <c:pt idx="330">
                  <c:v>2.319789190507501E-2</c:v>
                </c:pt>
                <c:pt idx="331">
                  <c:v>2.3201275635520543E-2</c:v>
                </c:pt>
                <c:pt idx="332">
                  <c:v>2.320634346855377E-2</c:v>
                </c:pt>
                <c:pt idx="333">
                  <c:v>2.3212050713470437E-2</c:v>
                </c:pt>
                <c:pt idx="334">
                  <c:v>2.3221072937085498E-2</c:v>
                </c:pt>
                <c:pt idx="335">
                  <c:v>2.3227792753032606E-2</c:v>
                </c:pt>
                <c:pt idx="336">
                  <c:v>2.3237146044403759E-2</c:v>
                </c:pt>
                <c:pt idx="337">
                  <c:v>2.3248741410511052E-2</c:v>
                </c:pt>
                <c:pt idx="338">
                  <c:v>2.3259648235873922E-2</c:v>
                </c:pt>
                <c:pt idx="339">
                  <c:v>2.3272876671870744E-2</c:v>
                </c:pt>
                <c:pt idx="340">
                  <c:v>2.328780036383294E-2</c:v>
                </c:pt>
                <c:pt idx="341">
                  <c:v>2.3302430983428764E-2</c:v>
                </c:pt>
                <c:pt idx="342">
                  <c:v>2.3321316119810025E-2</c:v>
                </c:pt>
                <c:pt idx="343">
                  <c:v>2.3337577954222415E-2</c:v>
                </c:pt>
                <c:pt idx="344">
                  <c:v>2.3354574487423351E-2</c:v>
                </c:pt>
                <c:pt idx="345">
                  <c:v>2.3374218586840381E-2</c:v>
                </c:pt>
                <c:pt idx="346">
                  <c:v>2.3397133344182062E-2</c:v>
                </c:pt>
                <c:pt idx="347">
                  <c:v>2.3417644682839567E-2</c:v>
                </c:pt>
                <c:pt idx="348">
                  <c:v>2.344150679141865E-2</c:v>
                </c:pt>
                <c:pt idx="349">
                  <c:v>2.3467407397348664E-2</c:v>
                </c:pt>
                <c:pt idx="350">
                  <c:v>2.3491986219016561E-2</c:v>
                </c:pt>
                <c:pt idx="351">
                  <c:v>2.3521875122788586E-2</c:v>
                </c:pt>
                <c:pt idx="352">
                  <c:v>2.3548087237597323E-2</c:v>
                </c:pt>
                <c:pt idx="353">
                  <c:v>2.357696223228245E-2</c:v>
                </c:pt>
                <c:pt idx="354">
                  <c:v>2.3610035174857241E-2</c:v>
                </c:pt>
                <c:pt idx="355">
                  <c:v>2.3639171241666208E-2</c:v>
                </c:pt>
                <c:pt idx="356">
                  <c:v>2.3671477417670842E-2</c:v>
                </c:pt>
                <c:pt idx="357">
                  <c:v>2.370761436938508E-2</c:v>
                </c:pt>
                <c:pt idx="358">
                  <c:v>2.3740662994378527E-2</c:v>
                </c:pt>
                <c:pt idx="359">
                  <c:v>2.377639722035679E-2</c:v>
                </c:pt>
                <c:pt idx="360">
                  <c:v>2.3817013137675733E-2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2-4B6D-A377-32F933455548}"/>
            </c:ext>
          </c:extLst>
        </c:ser>
        <c:ser>
          <c:idx val="1"/>
          <c:order val="1"/>
          <c:tx>
            <c:strRef>
              <c:f>DISPLAY_CURVE!$D$9</c:f>
              <c:strCache>
                <c:ptCount val="1"/>
                <c:pt idx="0">
                  <c:v>USD1ML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DISPLAY_CURVE!$D$10:$D$501</c:f>
              <c:numCache>
                <c:formatCode>0.00000%</c:formatCode>
                <c:ptCount val="492"/>
                <c:pt idx="0">
                  <c:v>2.299276551333743E-2</c:v>
                </c:pt>
                <c:pt idx="1">
                  <c:v>2.3301901707509565E-2</c:v>
                </c:pt>
                <c:pt idx="2">
                  <c:v>2.3640457858266045E-2</c:v>
                </c:pt>
                <c:pt idx="3">
                  <c:v>2.4013121906756026E-2</c:v>
                </c:pt>
                <c:pt idx="4">
                  <c:v>2.4380101163323491E-2</c:v>
                </c:pt>
                <c:pt idx="5">
                  <c:v>2.4716121948141025E-2</c:v>
                </c:pt>
                <c:pt idx="6">
                  <c:v>2.5052647615165614E-2</c:v>
                </c:pt>
                <c:pt idx="7">
                  <c:v>2.5391629432742677E-2</c:v>
                </c:pt>
                <c:pt idx="8">
                  <c:v>2.5735649336573931E-2</c:v>
                </c:pt>
                <c:pt idx="9">
                  <c:v>2.6091617307888851E-2</c:v>
                </c:pt>
                <c:pt idx="10">
                  <c:v>2.6438860489945693E-2</c:v>
                </c:pt>
                <c:pt idx="11">
                  <c:v>2.6753883748354457E-2</c:v>
                </c:pt>
                <c:pt idx="12">
                  <c:v>2.7095201337525261E-2</c:v>
                </c:pt>
                <c:pt idx="13">
                  <c:v>2.7400251976211567E-2</c:v>
                </c:pt>
                <c:pt idx="14">
                  <c:v>2.7660406920591116E-2</c:v>
                </c:pt>
                <c:pt idx="15">
                  <c:v>2.7898246702243643E-2</c:v>
                </c:pt>
                <c:pt idx="16">
                  <c:v>2.810067992161553E-2</c:v>
                </c:pt>
                <c:pt idx="17">
                  <c:v>2.8269726652622104E-2</c:v>
                </c:pt>
                <c:pt idx="18">
                  <c:v>2.8397267095896919E-2</c:v>
                </c:pt>
                <c:pt idx="19">
                  <c:v>2.8490388317711002E-2</c:v>
                </c:pt>
                <c:pt idx="20">
                  <c:v>2.855019209809664E-2</c:v>
                </c:pt>
                <c:pt idx="21">
                  <c:v>2.8580416699655151E-2</c:v>
                </c:pt>
                <c:pt idx="22">
                  <c:v>2.8574284937590757E-2</c:v>
                </c:pt>
                <c:pt idx="23">
                  <c:v>2.8536144924209045E-2</c:v>
                </c:pt>
                <c:pt idx="24">
                  <c:v>2.8460887534392788E-2</c:v>
                </c:pt>
                <c:pt idx="25">
                  <c:v>2.83898517368017E-2</c:v>
                </c:pt>
                <c:pt idx="26">
                  <c:v>2.8317426748772179E-2</c:v>
                </c:pt>
                <c:pt idx="27">
                  <c:v>2.8241974934736853E-2</c:v>
                </c:pt>
                <c:pt idx="28">
                  <c:v>2.8174741521949268E-2</c:v>
                </c:pt>
                <c:pt idx="29">
                  <c:v>2.8104327154208963E-2</c:v>
                </c:pt>
                <c:pt idx="30">
                  <c:v>2.8035373100643558E-2</c:v>
                </c:pt>
                <c:pt idx="31">
                  <c:v>2.7974290574204294E-2</c:v>
                </c:pt>
                <c:pt idx="32">
                  <c:v>2.7908084440652448E-2</c:v>
                </c:pt>
                <c:pt idx="33">
                  <c:v>2.7841195378874889E-2</c:v>
                </c:pt>
                <c:pt idx="34">
                  <c:v>2.7781864050877077E-2</c:v>
                </c:pt>
                <c:pt idx="35">
                  <c:v>2.7722024502935635E-2</c:v>
                </c:pt>
                <c:pt idx="36">
                  <c:v>2.7660006445059598E-2</c:v>
                </c:pt>
                <c:pt idx="37">
                  <c:v>2.7606021151158573E-2</c:v>
                </c:pt>
                <c:pt idx="38">
                  <c:v>2.7557300086000939E-2</c:v>
                </c:pt>
                <c:pt idx="39">
                  <c:v>2.7511440800146177E-2</c:v>
                </c:pt>
                <c:pt idx="40">
                  <c:v>2.7473610050060413E-2</c:v>
                </c:pt>
                <c:pt idx="41">
                  <c:v>2.7435274899501136E-2</c:v>
                </c:pt>
                <c:pt idx="42">
                  <c:v>2.7405383160825261E-2</c:v>
                </c:pt>
                <c:pt idx="43">
                  <c:v>2.7384398179505356E-2</c:v>
                </c:pt>
                <c:pt idx="44">
                  <c:v>2.7364055164346639E-2</c:v>
                </c:pt>
                <c:pt idx="45">
                  <c:v>2.7348874411529105E-2</c:v>
                </c:pt>
                <c:pt idx="46">
                  <c:v>2.733817074075779E-2</c:v>
                </c:pt>
                <c:pt idx="47">
                  <c:v>2.7334156628237651E-2</c:v>
                </c:pt>
                <c:pt idx="48">
                  <c:v>2.7333715596386612E-2</c:v>
                </c:pt>
                <c:pt idx="49">
                  <c:v>2.7337112670011252E-2</c:v>
                </c:pt>
                <c:pt idx="50">
                  <c:v>2.7340625315882543E-2</c:v>
                </c:pt>
                <c:pt idx="51">
                  <c:v>2.7345600258870659E-2</c:v>
                </c:pt>
                <c:pt idx="52">
                  <c:v>2.7356280276103581E-2</c:v>
                </c:pt>
                <c:pt idx="53">
                  <c:v>2.7366150486014925E-2</c:v>
                </c:pt>
                <c:pt idx="54">
                  <c:v>2.7374785486422679E-2</c:v>
                </c:pt>
                <c:pt idx="55">
                  <c:v>2.7394610805137724E-2</c:v>
                </c:pt>
                <c:pt idx="56">
                  <c:v>2.7408706622967668E-2</c:v>
                </c:pt>
                <c:pt idx="57">
                  <c:v>2.7427248559118989E-2</c:v>
                </c:pt>
                <c:pt idx="58">
                  <c:v>2.7449731496128435E-2</c:v>
                </c:pt>
                <c:pt idx="59">
                  <c:v>2.7472312835437294E-2</c:v>
                </c:pt>
                <c:pt idx="60">
                  <c:v>2.7495750848956977E-2</c:v>
                </c:pt>
                <c:pt idx="61">
                  <c:v>2.7521333216028159E-2</c:v>
                </c:pt>
                <c:pt idx="62">
                  <c:v>2.7547103400574462E-2</c:v>
                </c:pt>
                <c:pt idx="63">
                  <c:v>2.7570745521932755E-2</c:v>
                </c:pt>
                <c:pt idx="64">
                  <c:v>2.7597514569004056E-2</c:v>
                </c:pt>
                <c:pt idx="65">
                  <c:v>2.7623835924862537E-2</c:v>
                </c:pt>
                <c:pt idx="66">
                  <c:v>2.7647364194821594E-2</c:v>
                </c:pt>
                <c:pt idx="67">
                  <c:v>2.7675313872833968E-2</c:v>
                </c:pt>
                <c:pt idx="68">
                  <c:v>2.7700686047027565E-2</c:v>
                </c:pt>
                <c:pt idx="69">
                  <c:v>2.7731382016065544E-2</c:v>
                </c:pt>
                <c:pt idx="70">
                  <c:v>2.775586610140637E-2</c:v>
                </c:pt>
                <c:pt idx="71">
                  <c:v>2.778215487377354E-2</c:v>
                </c:pt>
                <c:pt idx="72">
                  <c:v>2.7811287104610546E-2</c:v>
                </c:pt>
                <c:pt idx="73">
                  <c:v>2.783693959377952E-2</c:v>
                </c:pt>
                <c:pt idx="74">
                  <c:v>2.7864646908633311E-2</c:v>
                </c:pt>
                <c:pt idx="75">
                  <c:v>2.7892815653350451E-2</c:v>
                </c:pt>
                <c:pt idx="76">
                  <c:v>2.7921172175079882E-2</c:v>
                </c:pt>
                <c:pt idx="77">
                  <c:v>2.7951885850968569E-2</c:v>
                </c:pt>
                <c:pt idx="78">
                  <c:v>2.7974723534574072E-2</c:v>
                </c:pt>
                <c:pt idx="79">
                  <c:v>2.8005496938571732E-2</c:v>
                </c:pt>
                <c:pt idx="80">
                  <c:v>2.8031148096589676E-2</c:v>
                </c:pt>
                <c:pt idx="81">
                  <c:v>2.8062600580800279E-2</c:v>
                </c:pt>
                <c:pt idx="82">
                  <c:v>2.8089867622577612E-2</c:v>
                </c:pt>
                <c:pt idx="83">
                  <c:v>2.8119168214793159E-2</c:v>
                </c:pt>
                <c:pt idx="84">
                  <c:v>2.8148964816564901E-2</c:v>
                </c:pt>
                <c:pt idx="85">
                  <c:v>2.8177202502007604E-2</c:v>
                </c:pt>
                <c:pt idx="86">
                  <c:v>2.821079155948179E-2</c:v>
                </c:pt>
                <c:pt idx="87">
                  <c:v>2.8237731972307601E-2</c:v>
                </c:pt>
                <c:pt idx="88">
                  <c:v>2.8266192608717121E-2</c:v>
                </c:pt>
                <c:pt idx="89">
                  <c:v>2.8297515130203222E-2</c:v>
                </c:pt>
                <c:pt idx="90">
                  <c:v>2.8321815384455645E-2</c:v>
                </c:pt>
                <c:pt idx="91">
                  <c:v>2.8353406743691686E-2</c:v>
                </c:pt>
                <c:pt idx="92">
                  <c:v>2.8380520181020431E-2</c:v>
                </c:pt>
                <c:pt idx="93">
                  <c:v>2.8410804793235954E-2</c:v>
                </c:pt>
                <c:pt idx="94">
                  <c:v>2.8438827537656686E-2</c:v>
                </c:pt>
                <c:pt idx="95">
                  <c:v>2.8472277462632624E-2</c:v>
                </c:pt>
                <c:pt idx="96">
                  <c:v>2.8500559393606986E-2</c:v>
                </c:pt>
                <c:pt idx="97">
                  <c:v>2.8526602154775003E-2</c:v>
                </c:pt>
                <c:pt idx="98">
                  <c:v>2.8558397216162202E-2</c:v>
                </c:pt>
                <c:pt idx="99">
                  <c:v>2.858564313422975E-2</c:v>
                </c:pt>
                <c:pt idx="100">
                  <c:v>2.8614839907957337E-2</c:v>
                </c:pt>
                <c:pt idx="101">
                  <c:v>2.864430772151377E-2</c:v>
                </c:pt>
                <c:pt idx="102">
                  <c:v>2.8668906667162666E-2</c:v>
                </c:pt>
                <c:pt idx="103">
                  <c:v>2.8700329622276602E-2</c:v>
                </c:pt>
                <c:pt idx="104">
                  <c:v>2.8731351784781006E-2</c:v>
                </c:pt>
                <c:pt idx="105">
                  <c:v>2.8760059877996149E-2</c:v>
                </c:pt>
                <c:pt idx="106">
                  <c:v>2.8785900334305631E-2</c:v>
                </c:pt>
                <c:pt idx="107">
                  <c:v>2.8817539008579411E-2</c:v>
                </c:pt>
                <c:pt idx="108">
                  <c:v>2.8846173281995367E-2</c:v>
                </c:pt>
                <c:pt idx="109">
                  <c:v>2.8872890776190169E-2</c:v>
                </c:pt>
                <c:pt idx="110">
                  <c:v>2.890284556191261E-2</c:v>
                </c:pt>
                <c:pt idx="111">
                  <c:v>2.8930460241502382E-2</c:v>
                </c:pt>
                <c:pt idx="112">
                  <c:v>2.8963646543973705E-2</c:v>
                </c:pt>
                <c:pt idx="113">
                  <c:v>2.8991463101905181E-2</c:v>
                </c:pt>
                <c:pt idx="114">
                  <c:v>2.901548313326139E-2</c:v>
                </c:pt>
                <c:pt idx="115">
                  <c:v>2.9049321077327498E-2</c:v>
                </c:pt>
                <c:pt idx="116">
                  <c:v>2.9075412917036983E-2</c:v>
                </c:pt>
                <c:pt idx="117">
                  <c:v>2.9103353160506756E-2</c:v>
                </c:pt>
                <c:pt idx="118">
                  <c:v>2.9134093532857779E-2</c:v>
                </c:pt>
                <c:pt idx="119">
                  <c:v>2.9162455183866662E-2</c:v>
                </c:pt>
                <c:pt idx="120">
                  <c:v>2.9189372505175924E-2</c:v>
                </c:pt>
                <c:pt idx="121">
                  <c:v>2.9216636069533692E-2</c:v>
                </c:pt>
                <c:pt idx="122">
                  <c:v>2.9241992279654249E-2</c:v>
                </c:pt>
                <c:pt idx="123">
                  <c:v>2.926316702352369E-2</c:v>
                </c:pt>
                <c:pt idx="124">
                  <c:v>2.9285650324819782E-2</c:v>
                </c:pt>
                <c:pt idx="125">
                  <c:v>2.9305407365616019E-2</c:v>
                </c:pt>
                <c:pt idx="126">
                  <c:v>2.9318872686277395E-2</c:v>
                </c:pt>
                <c:pt idx="127">
                  <c:v>2.9339173545099954E-2</c:v>
                </c:pt>
                <c:pt idx="128">
                  <c:v>2.9350982360980785E-2</c:v>
                </c:pt>
                <c:pt idx="129">
                  <c:v>2.9363903668395131E-2</c:v>
                </c:pt>
                <c:pt idx="130">
                  <c:v>2.9374369670752118E-2</c:v>
                </c:pt>
                <c:pt idx="131">
                  <c:v>2.9382928185265379E-2</c:v>
                </c:pt>
                <c:pt idx="132">
                  <c:v>2.9391966064576405E-2</c:v>
                </c:pt>
                <c:pt idx="133">
                  <c:v>2.9393189760785948E-2</c:v>
                </c:pt>
                <c:pt idx="134">
                  <c:v>2.9397033523541442E-2</c:v>
                </c:pt>
                <c:pt idx="135">
                  <c:v>2.9399280762512709E-2</c:v>
                </c:pt>
                <c:pt idx="136">
                  <c:v>2.9397170137675642E-2</c:v>
                </c:pt>
                <c:pt idx="137">
                  <c:v>2.9394585161885485E-2</c:v>
                </c:pt>
                <c:pt idx="138">
                  <c:v>2.9386661823438198E-2</c:v>
                </c:pt>
                <c:pt idx="139">
                  <c:v>2.9384173390936172E-2</c:v>
                </c:pt>
                <c:pt idx="140">
                  <c:v>2.9374889456934353E-2</c:v>
                </c:pt>
                <c:pt idx="141">
                  <c:v>2.9368169862195707E-2</c:v>
                </c:pt>
                <c:pt idx="142">
                  <c:v>2.9352331820018632E-2</c:v>
                </c:pt>
                <c:pt idx="143">
                  <c:v>2.9340728912366096E-2</c:v>
                </c:pt>
                <c:pt idx="144">
                  <c:v>2.9326160966332941E-2</c:v>
                </c:pt>
                <c:pt idx="145">
                  <c:v>2.9308026110153013E-2</c:v>
                </c:pt>
                <c:pt idx="146">
                  <c:v>2.929448746033407E-2</c:v>
                </c:pt>
                <c:pt idx="147">
                  <c:v>2.9279275080840602E-2</c:v>
                </c:pt>
                <c:pt idx="148">
                  <c:v>2.9264337476534171E-2</c:v>
                </c:pt>
                <c:pt idx="149">
                  <c:v>2.9252050810546455E-2</c:v>
                </c:pt>
                <c:pt idx="150">
                  <c:v>2.9231956306555357E-2</c:v>
                </c:pt>
                <c:pt idx="151">
                  <c:v>2.9222075511924395E-2</c:v>
                </c:pt>
                <c:pt idx="152">
                  <c:v>2.920814182470434E-2</c:v>
                </c:pt>
                <c:pt idx="153">
                  <c:v>2.9196906510269675E-2</c:v>
                </c:pt>
                <c:pt idx="154">
                  <c:v>2.9181211452172354E-2</c:v>
                </c:pt>
                <c:pt idx="155">
                  <c:v>2.9169965149559166E-2</c:v>
                </c:pt>
                <c:pt idx="156">
                  <c:v>2.91571724833058E-2</c:v>
                </c:pt>
                <c:pt idx="157">
                  <c:v>2.9143674840737845E-2</c:v>
                </c:pt>
                <c:pt idx="158">
                  <c:v>2.9134768616228962E-2</c:v>
                </c:pt>
                <c:pt idx="159">
                  <c:v>2.9119074797004499E-2</c:v>
                </c:pt>
                <c:pt idx="160">
                  <c:v>2.9109495576605089E-2</c:v>
                </c:pt>
                <c:pt idx="161">
                  <c:v>2.9099052517863148E-2</c:v>
                </c:pt>
                <c:pt idx="162">
                  <c:v>2.9084547666696443E-2</c:v>
                </c:pt>
                <c:pt idx="163">
                  <c:v>2.9076704168997169E-2</c:v>
                </c:pt>
                <c:pt idx="164">
                  <c:v>2.9067078085259039E-2</c:v>
                </c:pt>
                <c:pt idx="165">
                  <c:v>2.9055389352598139E-2</c:v>
                </c:pt>
                <c:pt idx="166">
                  <c:v>2.9044948231021075E-2</c:v>
                </c:pt>
                <c:pt idx="167">
                  <c:v>2.9037471425544602E-2</c:v>
                </c:pt>
                <c:pt idx="168">
                  <c:v>2.9026604619905246E-2</c:v>
                </c:pt>
                <c:pt idx="169">
                  <c:v>2.9016612252259728E-2</c:v>
                </c:pt>
                <c:pt idx="170">
                  <c:v>2.9008920812854291E-2</c:v>
                </c:pt>
                <c:pt idx="171">
                  <c:v>2.8999158317578173E-2</c:v>
                </c:pt>
                <c:pt idx="172">
                  <c:v>2.8994063311972559E-2</c:v>
                </c:pt>
                <c:pt idx="173">
                  <c:v>2.8983285531104019E-2</c:v>
                </c:pt>
                <c:pt idx="174">
                  <c:v>2.8972766123804623E-2</c:v>
                </c:pt>
                <c:pt idx="175">
                  <c:v>2.8968971103919196E-2</c:v>
                </c:pt>
                <c:pt idx="176">
                  <c:v>2.8961576019720596E-2</c:v>
                </c:pt>
                <c:pt idx="177">
                  <c:v>2.8954455693353372E-2</c:v>
                </c:pt>
                <c:pt idx="178">
                  <c:v>2.8946771429657816E-2</c:v>
                </c:pt>
                <c:pt idx="179">
                  <c:v>2.8941454907885245E-2</c:v>
                </c:pt>
                <c:pt idx="180">
                  <c:v>2.8935076525436532E-2</c:v>
                </c:pt>
                <c:pt idx="181">
                  <c:v>2.8929649422836483E-2</c:v>
                </c:pt>
                <c:pt idx="182">
                  <c:v>2.8921695777202636E-2</c:v>
                </c:pt>
                <c:pt idx="183">
                  <c:v>2.8914213600475209E-2</c:v>
                </c:pt>
                <c:pt idx="184">
                  <c:v>2.8909465042956488E-2</c:v>
                </c:pt>
                <c:pt idx="185">
                  <c:v>2.8900921066219481E-2</c:v>
                </c:pt>
                <c:pt idx="186">
                  <c:v>2.8890589118147212E-2</c:v>
                </c:pt>
                <c:pt idx="187">
                  <c:v>2.8888852929702027E-2</c:v>
                </c:pt>
                <c:pt idx="188">
                  <c:v>2.8877407718112612E-2</c:v>
                </c:pt>
                <c:pt idx="189">
                  <c:v>2.8871173848984889E-2</c:v>
                </c:pt>
                <c:pt idx="190">
                  <c:v>2.8863965657125006E-2</c:v>
                </c:pt>
                <c:pt idx="191">
                  <c:v>2.8854241435097013E-2</c:v>
                </c:pt>
                <c:pt idx="192">
                  <c:v>2.8846171672736735E-2</c:v>
                </c:pt>
                <c:pt idx="193">
                  <c:v>2.8837353329307168E-2</c:v>
                </c:pt>
                <c:pt idx="194">
                  <c:v>2.8828336535569703E-2</c:v>
                </c:pt>
                <c:pt idx="195">
                  <c:v>2.8818419703814227E-2</c:v>
                </c:pt>
                <c:pt idx="196">
                  <c:v>2.8810320928442303E-2</c:v>
                </c:pt>
                <c:pt idx="197">
                  <c:v>2.8800721593611953E-2</c:v>
                </c:pt>
                <c:pt idx="198">
                  <c:v>2.8787953183261248E-2</c:v>
                </c:pt>
                <c:pt idx="199">
                  <c:v>2.8782890171454956E-2</c:v>
                </c:pt>
                <c:pt idx="200">
                  <c:v>2.8770414201474158E-2</c:v>
                </c:pt>
                <c:pt idx="201">
                  <c:v>2.8761691996474634E-2</c:v>
                </c:pt>
                <c:pt idx="202">
                  <c:v>2.8751126041234761E-2</c:v>
                </c:pt>
                <c:pt idx="203">
                  <c:v>2.8740361640097956E-2</c:v>
                </c:pt>
                <c:pt idx="204">
                  <c:v>2.8731688645344925E-2</c:v>
                </c:pt>
                <c:pt idx="205">
                  <c:v>2.8716911905797692E-2</c:v>
                </c:pt>
                <c:pt idx="206">
                  <c:v>2.8707616651239377E-2</c:v>
                </c:pt>
                <c:pt idx="207">
                  <c:v>2.8697025675386668E-2</c:v>
                </c:pt>
                <c:pt idx="208">
                  <c:v>2.8683945335773002E-2</c:v>
                </c:pt>
                <c:pt idx="209">
                  <c:v>2.8672773550892584E-2</c:v>
                </c:pt>
                <c:pt idx="210">
                  <c:v>2.8660639262621631E-2</c:v>
                </c:pt>
                <c:pt idx="211">
                  <c:v>2.8648306531377652E-2</c:v>
                </c:pt>
                <c:pt idx="212">
                  <c:v>2.8635655805474742E-2</c:v>
                </c:pt>
                <c:pt idx="213">
                  <c:v>2.8625216216499983E-2</c:v>
                </c:pt>
                <c:pt idx="214">
                  <c:v>2.8610032194792266E-2</c:v>
                </c:pt>
                <c:pt idx="215">
                  <c:v>2.8598696117030739E-2</c:v>
                </c:pt>
                <c:pt idx="216">
                  <c:v>2.8585396803929627E-2</c:v>
                </c:pt>
                <c:pt idx="217">
                  <c:v>2.8570985976135128E-2</c:v>
                </c:pt>
                <c:pt idx="218">
                  <c:v>2.8560465507400518E-2</c:v>
                </c:pt>
                <c:pt idx="219">
                  <c:v>2.8542952380363827E-2</c:v>
                </c:pt>
                <c:pt idx="220">
                  <c:v>2.853113041298232E-2</c:v>
                </c:pt>
                <c:pt idx="221">
                  <c:v>2.8517747810323336E-2</c:v>
                </c:pt>
                <c:pt idx="222">
                  <c:v>2.8499229252764435E-2</c:v>
                </c:pt>
                <c:pt idx="223">
                  <c:v>2.8488651865054129E-2</c:v>
                </c:pt>
                <c:pt idx="224">
                  <c:v>2.8473389711864933E-2</c:v>
                </c:pt>
                <c:pt idx="225">
                  <c:v>2.8459708658234512E-2</c:v>
                </c:pt>
                <c:pt idx="226">
                  <c:v>2.8443588608378662E-2</c:v>
                </c:pt>
                <c:pt idx="227">
                  <c:v>2.8431261974358461E-2</c:v>
                </c:pt>
                <c:pt idx="228">
                  <c:v>2.8412869784823592E-2</c:v>
                </c:pt>
                <c:pt idx="229">
                  <c:v>2.8397189576741946E-2</c:v>
                </c:pt>
                <c:pt idx="230">
                  <c:v>2.8383396260173267E-2</c:v>
                </c:pt>
                <c:pt idx="231">
                  <c:v>2.8364935008159134E-2</c:v>
                </c:pt>
                <c:pt idx="232">
                  <c:v>2.8350424282004745E-2</c:v>
                </c:pt>
                <c:pt idx="233">
                  <c:v>2.8333809269071395E-2</c:v>
                </c:pt>
                <c:pt idx="234">
                  <c:v>2.8314477206395836E-2</c:v>
                </c:pt>
                <c:pt idx="235">
                  <c:v>2.8301638951514552E-2</c:v>
                </c:pt>
                <c:pt idx="236">
                  <c:v>2.8285278662431679E-2</c:v>
                </c:pt>
                <c:pt idx="237">
                  <c:v>2.8266494119861787E-2</c:v>
                </c:pt>
                <c:pt idx="238">
                  <c:v>2.8249219058129119E-2</c:v>
                </c:pt>
                <c:pt idx="239">
                  <c:v>2.8233654959424304E-2</c:v>
                </c:pt>
                <c:pt idx="240">
                  <c:v>2.8214314888643524E-2</c:v>
                </c:pt>
                <c:pt idx="241">
                  <c:v>2.8196110648748361E-2</c:v>
                </c:pt>
                <c:pt idx="242">
                  <c:v>2.8179548028541588E-2</c:v>
                </c:pt>
                <c:pt idx="243">
                  <c:v>2.8160796121054241E-2</c:v>
                </c:pt>
                <c:pt idx="244">
                  <c:v>2.8145880857597297E-2</c:v>
                </c:pt>
                <c:pt idx="245">
                  <c:v>2.8125194727947188E-2</c:v>
                </c:pt>
                <c:pt idx="246">
                  <c:v>2.8106030557459954E-2</c:v>
                </c:pt>
                <c:pt idx="247">
                  <c:v>2.8092304057464396E-2</c:v>
                </c:pt>
                <c:pt idx="248">
                  <c:v>2.8074437777193813E-2</c:v>
                </c:pt>
                <c:pt idx="249">
                  <c:v>2.8056586738244856E-2</c:v>
                </c:pt>
                <c:pt idx="250">
                  <c:v>2.8038522503840157E-2</c:v>
                </c:pt>
                <c:pt idx="251">
                  <c:v>2.8022079630521359E-2</c:v>
                </c:pt>
                <c:pt idx="252">
                  <c:v>2.8004273326375225E-2</c:v>
                </c:pt>
                <c:pt idx="253">
                  <c:v>2.7987282443126083E-2</c:v>
                </c:pt>
                <c:pt idx="254">
                  <c:v>2.7968133272428464E-2</c:v>
                </c:pt>
                <c:pt idx="255">
                  <c:v>2.7950720591527572E-2</c:v>
                </c:pt>
                <c:pt idx="256">
                  <c:v>2.7935141757077332E-2</c:v>
                </c:pt>
                <c:pt idx="257">
                  <c:v>2.791604208560752E-2</c:v>
                </c:pt>
                <c:pt idx="258">
                  <c:v>2.7897308783938386E-2</c:v>
                </c:pt>
                <c:pt idx="259">
                  <c:v>2.7883132402311928E-2</c:v>
                </c:pt>
                <c:pt idx="260">
                  <c:v>2.7863289830609657E-2</c:v>
                </c:pt>
                <c:pt idx="261">
                  <c:v>2.7847551162680954E-2</c:v>
                </c:pt>
                <c:pt idx="262">
                  <c:v>2.7829894785954969E-2</c:v>
                </c:pt>
                <c:pt idx="263">
                  <c:v>2.7812253649363582E-2</c:v>
                </c:pt>
                <c:pt idx="264">
                  <c:v>2.7796772183339726E-2</c:v>
                </c:pt>
                <c:pt idx="265">
                  <c:v>2.7775662419721056E-2</c:v>
                </c:pt>
                <c:pt idx="266">
                  <c:v>2.7760556397635059E-2</c:v>
                </c:pt>
                <c:pt idx="267">
                  <c:v>2.7743759972162593E-2</c:v>
                </c:pt>
                <c:pt idx="268">
                  <c:v>2.7724842910400296E-2</c:v>
                </c:pt>
                <c:pt idx="269">
                  <c:v>2.7708424522989383E-2</c:v>
                </c:pt>
                <c:pt idx="270">
                  <c:v>2.7688544268925901E-2</c:v>
                </c:pt>
                <c:pt idx="271">
                  <c:v>2.7675062755644703E-2</c:v>
                </c:pt>
                <c:pt idx="272">
                  <c:v>2.7656776451111257E-2</c:v>
                </c:pt>
                <c:pt idx="273">
                  <c:v>2.7642184764006459E-2</c:v>
                </c:pt>
                <c:pt idx="274">
                  <c:v>2.7621246998042463E-2</c:v>
                </c:pt>
                <c:pt idx="275">
                  <c:v>2.7606252477671078E-2</c:v>
                </c:pt>
                <c:pt idx="276">
                  <c:v>2.7589580573496961E-2</c:v>
                </c:pt>
                <c:pt idx="277">
                  <c:v>2.7570037764283521E-2</c:v>
                </c:pt>
                <c:pt idx="278">
                  <c:v>2.7554518843848935E-2</c:v>
                </c:pt>
                <c:pt idx="279">
                  <c:v>2.7537117086401164E-2</c:v>
                </c:pt>
                <c:pt idx="280">
                  <c:v>2.7519730567879489E-2</c:v>
                </c:pt>
                <c:pt idx="281">
                  <c:v>2.7504458875751241E-2</c:v>
                </c:pt>
                <c:pt idx="282">
                  <c:v>2.7482137990091464E-2</c:v>
                </c:pt>
                <c:pt idx="283">
                  <c:v>2.746878073563325E-2</c:v>
                </c:pt>
                <c:pt idx="284">
                  <c:v>2.7451804982105477E-2</c:v>
                </c:pt>
                <c:pt idx="285">
                  <c:v>2.7436583047850779E-2</c:v>
                </c:pt>
                <c:pt idx="286">
                  <c:v>2.7417197760936707E-2</c:v>
                </c:pt>
                <c:pt idx="287">
                  <c:v>2.7401794872099944E-2</c:v>
                </c:pt>
                <c:pt idx="288">
                  <c:v>2.7384527298508144E-2</c:v>
                </c:pt>
                <c:pt idx="289">
                  <c:v>2.7366513653397928E-2</c:v>
                </c:pt>
                <c:pt idx="290">
                  <c:v>2.7352114269475671E-2</c:v>
                </c:pt>
                <c:pt idx="291">
                  <c:v>2.7331501558279958E-2</c:v>
                </c:pt>
                <c:pt idx="292">
                  <c:v>2.7316719020790185E-2</c:v>
                </c:pt>
                <c:pt idx="293">
                  <c:v>2.7300283798184041E-2</c:v>
                </c:pt>
                <c:pt idx="294">
                  <c:v>2.727952755831085E-2</c:v>
                </c:pt>
                <c:pt idx="295">
                  <c:v>2.7266294367801765E-2</c:v>
                </c:pt>
                <c:pt idx="296">
                  <c:v>2.7248945550888529E-2</c:v>
                </c:pt>
                <c:pt idx="297">
                  <c:v>2.723311916569229E-2</c:v>
                </c:pt>
                <c:pt idx="298">
                  <c:v>2.7215248989395428E-2</c:v>
                </c:pt>
                <c:pt idx="299">
                  <c:v>2.72009516140258E-2</c:v>
                </c:pt>
                <c:pt idx="300">
                  <c:v>2.7181366896756372E-2</c:v>
                </c:pt>
                <c:pt idx="301">
                  <c:v>2.7165214080411396E-2</c:v>
                </c:pt>
                <c:pt idx="302">
                  <c:v>2.7151444415045675E-2</c:v>
                </c:pt>
                <c:pt idx="303">
                  <c:v>2.7134235539282899E-2</c:v>
                </c:pt>
                <c:pt idx="304">
                  <c:v>2.7121445129707281E-2</c:v>
                </c:pt>
                <c:pt idx="305">
                  <c:v>2.7107572716642724E-2</c:v>
                </c:pt>
                <c:pt idx="306">
                  <c:v>2.7092735219462556E-2</c:v>
                </c:pt>
                <c:pt idx="307">
                  <c:v>2.7082597795216296E-2</c:v>
                </c:pt>
                <c:pt idx="308">
                  <c:v>2.7070662744808793E-2</c:v>
                </c:pt>
                <c:pt idx="309">
                  <c:v>2.7059387692331495E-2</c:v>
                </c:pt>
                <c:pt idx="310">
                  <c:v>2.7048253919546846E-2</c:v>
                </c:pt>
                <c:pt idx="311">
                  <c:v>2.7039439848005466E-2</c:v>
                </c:pt>
                <c:pt idx="312">
                  <c:v>2.7030102136697889E-2</c:v>
                </c:pt>
                <c:pt idx="313">
                  <c:v>2.7022304965405711E-2</c:v>
                </c:pt>
                <c:pt idx="314">
                  <c:v>2.7013158959116945E-2</c:v>
                </c:pt>
                <c:pt idx="315">
                  <c:v>2.7005375718202659E-2</c:v>
                </c:pt>
                <c:pt idx="316">
                  <c:v>2.7000673365158254E-2</c:v>
                </c:pt>
                <c:pt idx="317">
                  <c:v>2.6993497546648679E-2</c:v>
                </c:pt>
                <c:pt idx="318">
                  <c:v>2.6985471892239689E-2</c:v>
                </c:pt>
                <c:pt idx="319">
                  <c:v>2.6985813664766736E-2</c:v>
                </c:pt>
                <c:pt idx="320">
                  <c:v>2.6978572426836444E-2</c:v>
                </c:pt>
                <c:pt idx="321">
                  <c:v>2.6976367381014311E-2</c:v>
                </c:pt>
                <c:pt idx="322">
                  <c:v>2.6974472310085193E-2</c:v>
                </c:pt>
                <c:pt idx="323">
                  <c:v>2.6971235566418925E-2</c:v>
                </c:pt>
                <c:pt idx="324">
                  <c:v>2.6969789424882082E-2</c:v>
                </c:pt>
                <c:pt idx="325">
                  <c:v>2.6968882210809363E-2</c:v>
                </c:pt>
                <c:pt idx="326">
                  <c:v>2.6968634965746231E-2</c:v>
                </c:pt>
                <c:pt idx="327">
                  <c:v>2.6968001399199203E-2</c:v>
                </c:pt>
                <c:pt idx="328">
                  <c:v>2.6970031229040715E-2</c:v>
                </c:pt>
                <c:pt idx="329">
                  <c:v>2.6971721291524402E-2</c:v>
                </c:pt>
                <c:pt idx="330">
                  <c:v>2.6970908255303273E-2</c:v>
                </c:pt>
                <c:pt idx="331">
                  <c:v>2.697782587527324E-2</c:v>
                </c:pt>
                <c:pt idx="332">
                  <c:v>2.6979418811543917E-2</c:v>
                </c:pt>
                <c:pt idx="333">
                  <c:v>2.6984485332730141E-2</c:v>
                </c:pt>
                <c:pt idx="334">
                  <c:v>2.698939003125506E-2</c:v>
                </c:pt>
                <c:pt idx="335">
                  <c:v>2.699495470252335E-2</c:v>
                </c:pt>
                <c:pt idx="336">
                  <c:v>2.700320670858164E-2</c:v>
                </c:pt>
                <c:pt idx="337">
                  <c:v>2.700716633505745E-2</c:v>
                </c:pt>
                <c:pt idx="338">
                  <c:v>2.7015101843945451E-2</c:v>
                </c:pt>
                <c:pt idx="339">
                  <c:v>2.7024416136377336E-2</c:v>
                </c:pt>
                <c:pt idx="340">
                  <c:v>2.7032381281499981E-2</c:v>
                </c:pt>
                <c:pt idx="341">
                  <c:v>2.7041251447531341E-2</c:v>
                </c:pt>
                <c:pt idx="342">
                  <c:v>2.7047815686295489E-2</c:v>
                </c:pt>
                <c:pt idx="343">
                  <c:v>2.7061080445624986E-2</c:v>
                </c:pt>
                <c:pt idx="344">
                  <c:v>2.7071249515239988E-2</c:v>
                </c:pt>
                <c:pt idx="345">
                  <c:v>2.708653361673816E-2</c:v>
                </c:pt>
                <c:pt idx="346">
                  <c:v>2.7096379802439004E-2</c:v>
                </c:pt>
                <c:pt idx="347">
                  <c:v>2.7109665327007544E-2</c:v>
                </c:pt>
                <c:pt idx="348">
                  <c:v>2.7124892958428747E-2</c:v>
                </c:pt>
                <c:pt idx="349">
                  <c:v>2.7137490911193603E-2</c:v>
                </c:pt>
                <c:pt idx="350">
                  <c:v>2.71530636351381E-2</c:v>
                </c:pt>
                <c:pt idx="351">
                  <c:v>2.7168996306957394E-2</c:v>
                </c:pt>
                <c:pt idx="352">
                  <c:v>2.7185588981531072E-2</c:v>
                </c:pt>
                <c:pt idx="353">
                  <c:v>2.7204899355385222E-2</c:v>
                </c:pt>
                <c:pt idx="354">
                  <c:v>2.7218694346943913E-2</c:v>
                </c:pt>
                <c:pt idx="355">
                  <c:v>2.7238108837221314E-2</c:v>
                </c:pt>
                <c:pt idx="356">
                  <c:v>2.7255322455992326E-2</c:v>
                </c:pt>
                <c:pt idx="357">
                  <c:v>2.7275848469203397E-2</c:v>
                </c:pt>
                <c:pt idx="358">
                  <c:v>2.7294944916222474E-2</c:v>
                </c:pt>
                <c:pt idx="359">
                  <c:v>2.7319518600194385E-2</c:v>
                </c:pt>
                <c:pt idx="360">
                  <c:v>2.7339794515540188E-2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2-4B6D-A377-32F933455548}"/>
            </c:ext>
          </c:extLst>
        </c:ser>
        <c:ser>
          <c:idx val="2"/>
          <c:order val="2"/>
          <c:tx>
            <c:strRef>
              <c:f>DISPLAY_CURVE!$E$9</c:f>
              <c:strCache>
                <c:ptCount val="1"/>
                <c:pt idx="0">
                  <c:v>USD3ML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DISPLAY_CURVE!$E$10:$E$501</c:f>
              <c:numCache>
                <c:formatCode>0.00000%</c:formatCode>
                <c:ptCount val="492"/>
                <c:pt idx="0">
                  <c:v>2.3494162997045601E-2</c:v>
                </c:pt>
                <c:pt idx="1">
                  <c:v>2.3590473545793682E-2</c:v>
                </c:pt>
                <c:pt idx="2">
                  <c:v>2.4309250169301418E-2</c:v>
                </c:pt>
                <c:pt idx="3">
                  <c:v>2.5159293563038049E-2</c:v>
                </c:pt>
                <c:pt idx="4">
                  <c:v>2.6023383652019744E-2</c:v>
                </c:pt>
                <c:pt idx="5">
                  <c:v>2.6480456757755941E-2</c:v>
                </c:pt>
                <c:pt idx="6">
                  <c:v>2.6943375034756002E-2</c:v>
                </c:pt>
                <c:pt idx="7">
                  <c:v>2.7368666431880025E-2</c:v>
                </c:pt>
                <c:pt idx="8">
                  <c:v>2.7753027527900626E-2</c:v>
                </c:pt>
                <c:pt idx="9">
                  <c:v>2.8108646098659165E-2</c:v>
                </c:pt>
                <c:pt idx="10">
                  <c:v>2.8477038536294692E-2</c:v>
                </c:pt>
                <c:pt idx="11">
                  <c:v>2.8669710052588095E-2</c:v>
                </c:pt>
                <c:pt idx="12">
                  <c:v>2.8872919588713443E-2</c:v>
                </c:pt>
                <c:pt idx="13">
                  <c:v>2.9078134771800112E-2</c:v>
                </c:pt>
                <c:pt idx="14">
                  <c:v>2.9174705451475384E-2</c:v>
                </c:pt>
                <c:pt idx="15">
                  <c:v>2.9270903447369247E-2</c:v>
                </c:pt>
                <c:pt idx="16">
                  <c:v>2.9364058025882867E-2</c:v>
                </c:pt>
                <c:pt idx="17">
                  <c:v>2.9359374983415551E-2</c:v>
                </c:pt>
                <c:pt idx="18">
                  <c:v>2.9346797295261927E-2</c:v>
                </c:pt>
                <c:pt idx="19">
                  <c:v>2.9337595767432452E-2</c:v>
                </c:pt>
                <c:pt idx="20">
                  <c:v>2.9323551297661225E-2</c:v>
                </c:pt>
                <c:pt idx="21">
                  <c:v>2.9309203682093981E-2</c:v>
                </c:pt>
                <c:pt idx="22">
                  <c:v>2.929294581727437E-2</c:v>
                </c:pt>
                <c:pt idx="23">
                  <c:v>2.9274882378870715E-2</c:v>
                </c:pt>
                <c:pt idx="24">
                  <c:v>2.9254841189751295E-2</c:v>
                </c:pt>
                <c:pt idx="25">
                  <c:v>2.9235812660837277E-2</c:v>
                </c:pt>
                <c:pt idx="26">
                  <c:v>2.9213884898503777E-2</c:v>
                </c:pt>
                <c:pt idx="27">
                  <c:v>2.9190412781357238E-2</c:v>
                </c:pt>
                <c:pt idx="28">
                  <c:v>2.9167803004509951E-2</c:v>
                </c:pt>
                <c:pt idx="29">
                  <c:v>2.914003040308339E-2</c:v>
                </c:pt>
                <c:pt idx="30">
                  <c:v>2.9112139386929251E-2</c:v>
                </c:pt>
                <c:pt idx="31">
                  <c:v>2.9089362409328162E-2</c:v>
                </c:pt>
                <c:pt idx="32">
                  <c:v>2.9059836554463338E-2</c:v>
                </c:pt>
                <c:pt idx="33">
                  <c:v>2.9029036889229289E-2</c:v>
                </c:pt>
                <c:pt idx="34">
                  <c:v>2.8998646999449675E-2</c:v>
                </c:pt>
                <c:pt idx="35">
                  <c:v>2.892311513742437E-2</c:v>
                </c:pt>
                <c:pt idx="36">
                  <c:v>2.884092596799924E-2</c:v>
                </c:pt>
                <c:pt idx="37">
                  <c:v>2.8743082041577727E-2</c:v>
                </c:pt>
                <c:pt idx="38">
                  <c:v>2.8639077357098489E-2</c:v>
                </c:pt>
                <c:pt idx="39">
                  <c:v>2.8542931599921696E-2</c:v>
                </c:pt>
                <c:pt idx="40">
                  <c:v>2.8469027167816428E-2</c:v>
                </c:pt>
                <c:pt idx="41">
                  <c:v>2.8408433105880461E-2</c:v>
                </c:pt>
                <c:pt idx="42">
                  <c:v>2.8369472168980902E-2</c:v>
                </c:pt>
                <c:pt idx="43">
                  <c:v>2.8341847039892988E-2</c:v>
                </c:pt>
                <c:pt idx="44">
                  <c:v>2.8322461516620448E-2</c:v>
                </c:pt>
                <c:pt idx="45">
                  <c:v>2.8315477226726948E-2</c:v>
                </c:pt>
                <c:pt idx="46">
                  <c:v>2.8320490788900417E-2</c:v>
                </c:pt>
                <c:pt idx="47">
                  <c:v>2.8334144568877142E-2</c:v>
                </c:pt>
                <c:pt idx="48">
                  <c:v>2.835336835871842E-2</c:v>
                </c:pt>
                <c:pt idx="49">
                  <c:v>2.837419719105462E-2</c:v>
                </c:pt>
                <c:pt idx="50">
                  <c:v>2.8395991990126872E-2</c:v>
                </c:pt>
                <c:pt idx="51">
                  <c:v>2.8415441765939343E-2</c:v>
                </c:pt>
                <c:pt idx="52">
                  <c:v>2.8434943515839851E-2</c:v>
                </c:pt>
                <c:pt idx="53">
                  <c:v>2.8456008301626541E-2</c:v>
                </c:pt>
                <c:pt idx="54">
                  <c:v>2.8477262822156263E-2</c:v>
                </c:pt>
                <c:pt idx="55">
                  <c:v>2.8499211698178928E-2</c:v>
                </c:pt>
                <c:pt idx="56">
                  <c:v>2.8526731361226066E-2</c:v>
                </c:pt>
                <c:pt idx="57">
                  <c:v>2.8550180568232303E-2</c:v>
                </c:pt>
                <c:pt idx="58">
                  <c:v>2.857517310112629E-2</c:v>
                </c:pt>
                <c:pt idx="59">
                  <c:v>2.8600591378028648E-2</c:v>
                </c:pt>
                <c:pt idx="60">
                  <c:v>2.8624341116661008E-2</c:v>
                </c:pt>
                <c:pt idx="61">
                  <c:v>2.8651161147112081E-2</c:v>
                </c:pt>
                <c:pt idx="62">
                  <c:v>2.8678135785181563E-2</c:v>
                </c:pt>
                <c:pt idx="63">
                  <c:v>2.8702565152531501E-2</c:v>
                </c:pt>
                <c:pt idx="64">
                  <c:v>2.8724116837299189E-2</c:v>
                </c:pt>
                <c:pt idx="65">
                  <c:v>2.874490714496539E-2</c:v>
                </c:pt>
                <c:pt idx="66">
                  <c:v>2.8766653633751513E-2</c:v>
                </c:pt>
                <c:pt idx="67">
                  <c:v>2.8789678761153129E-2</c:v>
                </c:pt>
                <c:pt idx="68">
                  <c:v>2.8816068374971575E-2</c:v>
                </c:pt>
                <c:pt idx="69">
                  <c:v>2.8841036657395434E-2</c:v>
                </c:pt>
                <c:pt idx="70">
                  <c:v>2.886577366585414E-2</c:v>
                </c:pt>
                <c:pt idx="71">
                  <c:v>2.8885178498453446E-2</c:v>
                </c:pt>
                <c:pt idx="72">
                  <c:v>2.8906402382075258E-2</c:v>
                </c:pt>
                <c:pt idx="73">
                  <c:v>2.8929280214875917E-2</c:v>
                </c:pt>
                <c:pt idx="74">
                  <c:v>2.8950499624412408E-2</c:v>
                </c:pt>
                <c:pt idx="75">
                  <c:v>2.8972737294381039E-2</c:v>
                </c:pt>
                <c:pt idx="76">
                  <c:v>2.8993783027358961E-2</c:v>
                </c:pt>
                <c:pt idx="77">
                  <c:v>2.9013544855121535E-2</c:v>
                </c:pt>
                <c:pt idx="78">
                  <c:v>2.9035697240332302E-2</c:v>
                </c:pt>
                <c:pt idx="79">
                  <c:v>2.9055495178622163E-2</c:v>
                </c:pt>
                <c:pt idx="80">
                  <c:v>2.9076536678253159E-2</c:v>
                </c:pt>
                <c:pt idx="81">
                  <c:v>2.9098065028387781E-2</c:v>
                </c:pt>
                <c:pt idx="82">
                  <c:v>2.9120125757295414E-2</c:v>
                </c:pt>
                <c:pt idx="83">
                  <c:v>2.9140257086705763E-2</c:v>
                </c:pt>
                <c:pt idx="84">
                  <c:v>2.916349828645895E-2</c:v>
                </c:pt>
                <c:pt idx="85">
                  <c:v>2.9189847621976246E-2</c:v>
                </c:pt>
                <c:pt idx="86">
                  <c:v>2.9218174048595055E-2</c:v>
                </c:pt>
                <c:pt idx="87">
                  <c:v>2.925183472158991E-2</c:v>
                </c:pt>
                <c:pt idx="88">
                  <c:v>2.9282101773878372E-2</c:v>
                </c:pt>
                <c:pt idx="89">
                  <c:v>2.9318164109999878E-2</c:v>
                </c:pt>
                <c:pt idx="90">
                  <c:v>2.9359344453113591E-2</c:v>
                </c:pt>
                <c:pt idx="91">
                  <c:v>2.9399372895811158E-2</c:v>
                </c:pt>
                <c:pt idx="92">
                  <c:v>2.9445790923753618E-2</c:v>
                </c:pt>
                <c:pt idx="93">
                  <c:v>2.9494826016499741E-2</c:v>
                </c:pt>
                <c:pt idx="94">
                  <c:v>2.9547069200812123E-2</c:v>
                </c:pt>
                <c:pt idx="95">
                  <c:v>2.9597756449914404E-2</c:v>
                </c:pt>
                <c:pt idx="96">
                  <c:v>2.9651925817459904E-2</c:v>
                </c:pt>
                <c:pt idx="97">
                  <c:v>2.969679509018314E-2</c:v>
                </c:pt>
                <c:pt idx="98">
                  <c:v>2.9739645074887532E-2</c:v>
                </c:pt>
                <c:pt idx="99">
                  <c:v>2.9780532929739676E-2</c:v>
                </c:pt>
                <c:pt idx="100">
                  <c:v>2.9812833876567156E-2</c:v>
                </c:pt>
                <c:pt idx="101">
                  <c:v>2.9843300989462671E-2</c:v>
                </c:pt>
                <c:pt idx="102">
                  <c:v>2.9870967117425082E-2</c:v>
                </c:pt>
                <c:pt idx="103">
                  <c:v>2.9894448662019776E-2</c:v>
                </c:pt>
                <c:pt idx="104">
                  <c:v>2.9917994523255095E-2</c:v>
                </c:pt>
                <c:pt idx="105">
                  <c:v>2.993807337858416E-2</c:v>
                </c:pt>
                <c:pt idx="106">
                  <c:v>2.995179415080362E-2</c:v>
                </c:pt>
                <c:pt idx="107">
                  <c:v>2.9963324477269834E-2</c:v>
                </c:pt>
                <c:pt idx="108">
                  <c:v>2.9975471383316948E-2</c:v>
                </c:pt>
                <c:pt idx="109">
                  <c:v>2.998892986381841E-2</c:v>
                </c:pt>
                <c:pt idx="110">
                  <c:v>3.0004416022463405E-2</c:v>
                </c:pt>
                <c:pt idx="111">
                  <c:v>3.002191728252138E-2</c:v>
                </c:pt>
                <c:pt idx="112">
                  <c:v>3.0039901627875266E-2</c:v>
                </c:pt>
                <c:pt idx="113">
                  <c:v>3.0061635553916041E-2</c:v>
                </c:pt>
                <c:pt idx="114">
                  <c:v>3.0083383252515427E-2</c:v>
                </c:pt>
                <c:pt idx="115">
                  <c:v>3.0108252514837321E-2</c:v>
                </c:pt>
                <c:pt idx="116">
                  <c:v>3.0139564960663837E-2</c:v>
                </c:pt>
                <c:pt idx="117">
                  <c:v>3.016762908609651E-2</c:v>
                </c:pt>
                <c:pt idx="118">
                  <c:v>3.0199322851144631E-2</c:v>
                </c:pt>
                <c:pt idx="119">
                  <c:v>3.0232351903871548E-2</c:v>
                </c:pt>
                <c:pt idx="120">
                  <c:v>3.026239118951778E-2</c:v>
                </c:pt>
                <c:pt idx="121">
                  <c:v>3.0294210353061759E-2</c:v>
                </c:pt>
                <c:pt idx="122">
                  <c:v>3.0324222666705376E-2</c:v>
                </c:pt>
                <c:pt idx="123">
                  <c:v>3.0349802232566302E-2</c:v>
                </c:pt>
                <c:pt idx="124">
                  <c:v>3.037075996831054E-2</c:v>
                </c:pt>
                <c:pt idx="125">
                  <c:v>3.0388807624904989E-2</c:v>
                </c:pt>
                <c:pt idx="126">
                  <c:v>3.0405246279814269E-2</c:v>
                </c:pt>
                <c:pt idx="127">
                  <c:v>3.0420211978560697E-2</c:v>
                </c:pt>
                <c:pt idx="128">
                  <c:v>3.043709768413902E-2</c:v>
                </c:pt>
                <c:pt idx="129">
                  <c:v>3.0451053466104942E-2</c:v>
                </c:pt>
                <c:pt idx="130">
                  <c:v>3.0463482736624154E-2</c:v>
                </c:pt>
                <c:pt idx="131">
                  <c:v>3.0473086411789092E-2</c:v>
                </c:pt>
                <c:pt idx="132">
                  <c:v>3.0479673571677985E-2</c:v>
                </c:pt>
                <c:pt idx="133">
                  <c:v>3.0483856389948855E-2</c:v>
                </c:pt>
                <c:pt idx="134">
                  <c:v>3.0485004441694739E-2</c:v>
                </c:pt>
                <c:pt idx="135">
                  <c:v>3.048386260000524E-2</c:v>
                </c:pt>
                <c:pt idx="136">
                  <c:v>3.0480254787228201E-2</c:v>
                </c:pt>
                <c:pt idx="137">
                  <c:v>3.0475334388340061E-2</c:v>
                </c:pt>
                <c:pt idx="138">
                  <c:v>3.0468951535362172E-2</c:v>
                </c:pt>
                <c:pt idx="139">
                  <c:v>3.046256147132817E-2</c:v>
                </c:pt>
                <c:pt idx="140">
                  <c:v>3.0454079042932472E-2</c:v>
                </c:pt>
                <c:pt idx="141">
                  <c:v>3.0443302299789671E-2</c:v>
                </c:pt>
                <c:pt idx="142">
                  <c:v>3.0427645268878374E-2</c:v>
                </c:pt>
                <c:pt idx="143">
                  <c:v>3.0412270268991463E-2</c:v>
                </c:pt>
                <c:pt idx="144">
                  <c:v>3.0394673760155623E-2</c:v>
                </c:pt>
                <c:pt idx="145">
                  <c:v>3.0377393806708997E-2</c:v>
                </c:pt>
                <c:pt idx="146">
                  <c:v>3.0362438295860286E-2</c:v>
                </c:pt>
                <c:pt idx="147">
                  <c:v>3.0346567050288781E-2</c:v>
                </c:pt>
                <c:pt idx="148">
                  <c:v>3.0330339728961601E-2</c:v>
                </c:pt>
                <c:pt idx="149">
                  <c:v>3.0314660199516168E-2</c:v>
                </c:pt>
                <c:pt idx="150">
                  <c:v>3.0298185865610235E-2</c:v>
                </c:pt>
                <c:pt idx="151">
                  <c:v>3.0285289818679458E-2</c:v>
                </c:pt>
                <c:pt idx="152">
                  <c:v>3.0272683473446655E-2</c:v>
                </c:pt>
                <c:pt idx="153">
                  <c:v>3.0259890381044222E-2</c:v>
                </c:pt>
                <c:pt idx="154">
                  <c:v>3.0245996914795324E-2</c:v>
                </c:pt>
                <c:pt idx="155">
                  <c:v>3.0233313824325384E-2</c:v>
                </c:pt>
                <c:pt idx="156">
                  <c:v>3.0220022056176573E-2</c:v>
                </c:pt>
                <c:pt idx="157">
                  <c:v>3.0207282937097901E-2</c:v>
                </c:pt>
                <c:pt idx="158">
                  <c:v>3.0195280255877876E-2</c:v>
                </c:pt>
                <c:pt idx="159">
                  <c:v>3.0182029606881825E-2</c:v>
                </c:pt>
                <c:pt idx="160">
                  <c:v>3.0170540221092872E-2</c:v>
                </c:pt>
                <c:pt idx="161">
                  <c:v>3.0157968101099421E-2</c:v>
                </c:pt>
                <c:pt idx="162">
                  <c:v>3.0145805775518442E-2</c:v>
                </c:pt>
                <c:pt idx="163">
                  <c:v>3.0136243696570274E-2</c:v>
                </c:pt>
                <c:pt idx="164">
                  <c:v>3.0126465371638565E-2</c:v>
                </c:pt>
                <c:pt idx="165">
                  <c:v>3.0116583817585228E-2</c:v>
                </c:pt>
                <c:pt idx="166">
                  <c:v>3.0107361166951101E-2</c:v>
                </c:pt>
                <c:pt idx="167">
                  <c:v>3.0097756251257369E-2</c:v>
                </c:pt>
                <c:pt idx="168">
                  <c:v>3.0087869648404424E-2</c:v>
                </c:pt>
                <c:pt idx="169">
                  <c:v>3.0079212447434112E-2</c:v>
                </c:pt>
                <c:pt idx="170">
                  <c:v>3.007081723908233E-2</c:v>
                </c:pt>
                <c:pt idx="171">
                  <c:v>3.0061890143455769E-2</c:v>
                </c:pt>
                <c:pt idx="172">
                  <c:v>3.0052685076709568E-2</c:v>
                </c:pt>
                <c:pt idx="173">
                  <c:v>3.0042655064693131E-2</c:v>
                </c:pt>
                <c:pt idx="174">
                  <c:v>3.0034835096229492E-2</c:v>
                </c:pt>
                <c:pt idx="175">
                  <c:v>3.0028760242196178E-2</c:v>
                </c:pt>
                <c:pt idx="176">
                  <c:v>3.0023164476312016E-2</c:v>
                </c:pt>
                <c:pt idx="177">
                  <c:v>3.0017753040884766E-2</c:v>
                </c:pt>
                <c:pt idx="178">
                  <c:v>3.00119153499512E-2</c:v>
                </c:pt>
                <c:pt idx="179">
                  <c:v>3.0005624626612767E-2</c:v>
                </c:pt>
                <c:pt idx="180">
                  <c:v>2.9999061967547321E-2</c:v>
                </c:pt>
                <c:pt idx="181">
                  <c:v>2.9992721076036399E-2</c:v>
                </c:pt>
                <c:pt idx="182">
                  <c:v>2.9985991834826461E-2</c:v>
                </c:pt>
                <c:pt idx="183">
                  <c:v>2.9979188796211014E-2</c:v>
                </c:pt>
                <c:pt idx="184">
                  <c:v>2.9971106133297828E-2</c:v>
                </c:pt>
                <c:pt idx="185">
                  <c:v>2.9962026464514836E-2</c:v>
                </c:pt>
                <c:pt idx="186">
                  <c:v>2.9954055523574719E-2</c:v>
                </c:pt>
                <c:pt idx="187">
                  <c:v>2.9947706435091252E-2</c:v>
                </c:pt>
                <c:pt idx="188">
                  <c:v>2.9940867235225346E-2</c:v>
                </c:pt>
                <c:pt idx="189">
                  <c:v>2.9934644971520458E-2</c:v>
                </c:pt>
                <c:pt idx="190">
                  <c:v>2.9926526957047946E-2</c:v>
                </c:pt>
                <c:pt idx="191">
                  <c:v>2.9917409097023034E-2</c:v>
                </c:pt>
                <c:pt idx="192">
                  <c:v>2.9909391286093684E-2</c:v>
                </c:pt>
                <c:pt idx="193">
                  <c:v>2.9901709999558355E-2</c:v>
                </c:pt>
                <c:pt idx="194">
                  <c:v>2.9894118471335284E-2</c:v>
                </c:pt>
                <c:pt idx="195">
                  <c:v>2.9885660340489537E-2</c:v>
                </c:pt>
                <c:pt idx="196">
                  <c:v>2.9875271770744991E-2</c:v>
                </c:pt>
                <c:pt idx="197">
                  <c:v>2.9863339166541245E-2</c:v>
                </c:pt>
                <c:pt idx="198">
                  <c:v>2.9851569502174033E-2</c:v>
                </c:pt>
                <c:pt idx="199">
                  <c:v>2.9842086982075803E-2</c:v>
                </c:pt>
                <c:pt idx="200">
                  <c:v>2.9832365518782555E-2</c:v>
                </c:pt>
                <c:pt idx="201">
                  <c:v>2.9823839052335998E-2</c:v>
                </c:pt>
                <c:pt idx="202">
                  <c:v>2.9814317009861053E-2</c:v>
                </c:pt>
                <c:pt idx="203">
                  <c:v>2.9804156944521373E-2</c:v>
                </c:pt>
                <c:pt idx="204">
                  <c:v>2.9793644687020091E-2</c:v>
                </c:pt>
                <c:pt idx="205">
                  <c:v>2.9781266061203928E-2</c:v>
                </c:pt>
                <c:pt idx="206">
                  <c:v>2.9770201204229099E-2</c:v>
                </c:pt>
                <c:pt idx="207">
                  <c:v>2.9757510541771528E-2</c:v>
                </c:pt>
                <c:pt idx="208">
                  <c:v>2.9744119962240717E-2</c:v>
                </c:pt>
                <c:pt idx="209">
                  <c:v>2.9731992631205705E-2</c:v>
                </c:pt>
                <c:pt idx="210">
                  <c:v>2.9719348506730841E-2</c:v>
                </c:pt>
                <c:pt idx="211">
                  <c:v>2.9707257763248167E-2</c:v>
                </c:pt>
                <c:pt idx="212">
                  <c:v>2.9696157995725211E-2</c:v>
                </c:pt>
                <c:pt idx="213">
                  <c:v>2.9684410771942511E-2</c:v>
                </c:pt>
                <c:pt idx="214">
                  <c:v>2.9671148208511539E-2</c:v>
                </c:pt>
                <c:pt idx="215">
                  <c:v>2.9658600697957296E-2</c:v>
                </c:pt>
                <c:pt idx="216">
                  <c:v>2.9644959070543205E-2</c:v>
                </c:pt>
                <c:pt idx="217">
                  <c:v>2.9631331261726013E-2</c:v>
                </c:pt>
                <c:pt idx="218">
                  <c:v>2.9617976446654423E-2</c:v>
                </c:pt>
                <c:pt idx="219">
                  <c:v>2.9602722374393903E-2</c:v>
                </c:pt>
                <c:pt idx="220">
                  <c:v>2.9589130375243067E-2</c:v>
                </c:pt>
                <c:pt idx="221">
                  <c:v>2.9573756040869929E-2</c:v>
                </c:pt>
                <c:pt idx="222">
                  <c:v>2.9558110332510872E-2</c:v>
                </c:pt>
                <c:pt idx="223">
                  <c:v>2.9544966371664313E-2</c:v>
                </c:pt>
                <c:pt idx="224">
                  <c:v>2.9531142586577429E-2</c:v>
                </c:pt>
                <c:pt idx="225">
                  <c:v>2.9517062970031989E-2</c:v>
                </c:pt>
                <c:pt idx="226">
                  <c:v>2.9501795087477599E-2</c:v>
                </c:pt>
                <c:pt idx="227">
                  <c:v>2.9486480815614228E-2</c:v>
                </c:pt>
                <c:pt idx="228">
                  <c:v>2.9469434641545691E-2</c:v>
                </c:pt>
                <c:pt idx="229">
                  <c:v>2.945451706774839E-2</c:v>
                </c:pt>
                <c:pt idx="230">
                  <c:v>2.9438879948536084E-2</c:v>
                </c:pt>
                <c:pt idx="231">
                  <c:v>2.9421515312760251E-2</c:v>
                </c:pt>
                <c:pt idx="232">
                  <c:v>2.9404915458059937E-2</c:v>
                </c:pt>
                <c:pt idx="233">
                  <c:v>2.9386788580783332E-2</c:v>
                </c:pt>
                <c:pt idx="234">
                  <c:v>2.9369048314575659E-2</c:v>
                </c:pt>
                <c:pt idx="235">
                  <c:v>2.935386058497489E-2</c:v>
                </c:pt>
                <c:pt idx="236">
                  <c:v>2.9337527890455233E-2</c:v>
                </c:pt>
                <c:pt idx="237">
                  <c:v>2.9320339812156215E-2</c:v>
                </c:pt>
                <c:pt idx="238">
                  <c:v>2.9303902289929806E-2</c:v>
                </c:pt>
                <c:pt idx="239">
                  <c:v>2.9286307745129969E-2</c:v>
                </c:pt>
                <c:pt idx="240">
                  <c:v>2.9267442766319481E-2</c:v>
                </c:pt>
                <c:pt idx="241">
                  <c:v>2.9250059928753659E-2</c:v>
                </c:pt>
                <c:pt idx="242">
                  <c:v>2.9232723222240617E-2</c:v>
                </c:pt>
                <c:pt idx="243">
                  <c:v>2.9214405495370004E-2</c:v>
                </c:pt>
                <c:pt idx="244">
                  <c:v>2.9196005008005184E-2</c:v>
                </c:pt>
                <c:pt idx="245">
                  <c:v>2.9175576745615626E-2</c:v>
                </c:pt>
                <c:pt idx="246">
                  <c:v>2.9158184818587785E-2</c:v>
                </c:pt>
                <c:pt idx="247">
                  <c:v>2.9142361363178729E-2</c:v>
                </c:pt>
                <c:pt idx="248">
                  <c:v>2.9125519846411121E-2</c:v>
                </c:pt>
                <c:pt idx="249">
                  <c:v>2.9108610842267568E-2</c:v>
                </c:pt>
                <c:pt idx="250">
                  <c:v>2.9091593734153036E-2</c:v>
                </c:pt>
                <c:pt idx="251">
                  <c:v>2.907411585451888E-2</c:v>
                </c:pt>
                <c:pt idx="252">
                  <c:v>2.9055989895791369E-2</c:v>
                </c:pt>
                <c:pt idx="253">
                  <c:v>2.9038124041296447E-2</c:v>
                </c:pt>
                <c:pt idx="254">
                  <c:v>2.9019771530095325E-2</c:v>
                </c:pt>
                <c:pt idx="255">
                  <c:v>2.9002923725764056E-2</c:v>
                </c:pt>
                <c:pt idx="256">
                  <c:v>2.8985083466293027E-2</c:v>
                </c:pt>
                <c:pt idx="257">
                  <c:v>2.8965904302591265E-2</c:v>
                </c:pt>
                <c:pt idx="258">
                  <c:v>2.8948222058206529E-2</c:v>
                </c:pt>
                <c:pt idx="259">
                  <c:v>2.8931719972600203E-2</c:v>
                </c:pt>
                <c:pt idx="260">
                  <c:v>2.8914046447444657E-2</c:v>
                </c:pt>
                <c:pt idx="261">
                  <c:v>2.8898255639434701E-2</c:v>
                </c:pt>
                <c:pt idx="262">
                  <c:v>2.8881353914483463E-2</c:v>
                </c:pt>
                <c:pt idx="263">
                  <c:v>2.8864259319517353E-2</c:v>
                </c:pt>
                <c:pt idx="264">
                  <c:v>2.8847394274895344E-2</c:v>
                </c:pt>
                <c:pt idx="265">
                  <c:v>2.8828357489256263E-2</c:v>
                </c:pt>
                <c:pt idx="266">
                  <c:v>2.881185163080487E-2</c:v>
                </c:pt>
                <c:pt idx="267">
                  <c:v>2.8793291753514583E-2</c:v>
                </c:pt>
                <c:pt idx="268">
                  <c:v>2.8773971945032398E-2</c:v>
                </c:pt>
                <c:pt idx="269">
                  <c:v>2.8756706653641408E-2</c:v>
                </c:pt>
                <c:pt idx="270">
                  <c:v>2.8739007458000492E-2</c:v>
                </c:pt>
                <c:pt idx="271">
                  <c:v>2.8724001243577248E-2</c:v>
                </c:pt>
                <c:pt idx="272">
                  <c:v>2.8707915609564049E-2</c:v>
                </c:pt>
                <c:pt idx="273">
                  <c:v>2.8691967574496505E-2</c:v>
                </c:pt>
                <c:pt idx="274">
                  <c:v>2.8673191604351011E-2</c:v>
                </c:pt>
                <c:pt idx="275">
                  <c:v>2.8656614492140579E-2</c:v>
                </c:pt>
                <c:pt idx="276">
                  <c:v>2.8638281545397791E-2</c:v>
                </c:pt>
                <c:pt idx="277">
                  <c:v>2.8619997612350616E-2</c:v>
                </c:pt>
                <c:pt idx="278">
                  <c:v>2.8603783455228685E-2</c:v>
                </c:pt>
                <c:pt idx="279">
                  <c:v>2.8586315354769631E-2</c:v>
                </c:pt>
                <c:pt idx="280">
                  <c:v>2.8568319472031346E-2</c:v>
                </c:pt>
                <c:pt idx="281">
                  <c:v>2.8550698601805192E-2</c:v>
                </c:pt>
                <c:pt idx="282">
                  <c:v>2.8531691105661269E-2</c:v>
                </c:pt>
                <c:pt idx="283">
                  <c:v>2.851623715017312E-2</c:v>
                </c:pt>
                <c:pt idx="284">
                  <c:v>2.8500640894301269E-2</c:v>
                </c:pt>
                <c:pt idx="285">
                  <c:v>2.84844922290747E-2</c:v>
                </c:pt>
                <c:pt idx="286">
                  <c:v>2.8466821455804637E-2</c:v>
                </c:pt>
                <c:pt idx="287">
                  <c:v>2.845051269266808E-2</c:v>
                </c:pt>
                <c:pt idx="288">
                  <c:v>2.8433062395983987E-2</c:v>
                </c:pt>
                <c:pt idx="289">
                  <c:v>2.8415820324371632E-2</c:v>
                </c:pt>
                <c:pt idx="290">
                  <c:v>2.8399178529899285E-2</c:v>
                </c:pt>
                <c:pt idx="291">
                  <c:v>2.8380597290503653E-2</c:v>
                </c:pt>
                <c:pt idx="292">
                  <c:v>2.8364442969244022E-2</c:v>
                </c:pt>
                <c:pt idx="293">
                  <c:v>2.8346458195478555E-2</c:v>
                </c:pt>
                <c:pt idx="294">
                  <c:v>2.8328284892996054E-2</c:v>
                </c:pt>
                <c:pt idx="295">
                  <c:v>2.8313018439383469E-2</c:v>
                </c:pt>
                <c:pt idx="296">
                  <c:v>2.8297060313095434E-2</c:v>
                </c:pt>
                <c:pt idx="297">
                  <c:v>2.8281070197303651E-2</c:v>
                </c:pt>
                <c:pt idx="298">
                  <c:v>2.8264156348908328E-2</c:v>
                </c:pt>
                <c:pt idx="299">
                  <c:v>2.8247691520302178E-2</c:v>
                </c:pt>
                <c:pt idx="300">
                  <c:v>2.8230041856702845E-2</c:v>
                </c:pt>
                <c:pt idx="301">
                  <c:v>2.8215300694691359E-2</c:v>
                </c:pt>
                <c:pt idx="302">
                  <c:v>2.8200669431161372E-2</c:v>
                </c:pt>
                <c:pt idx="303">
                  <c:v>2.8185440693513211E-2</c:v>
                </c:pt>
                <c:pt idx="304">
                  <c:v>2.8171799170350269E-2</c:v>
                </c:pt>
                <c:pt idx="305">
                  <c:v>2.8157730821312139E-2</c:v>
                </c:pt>
                <c:pt idx="306">
                  <c:v>2.8144712327104918E-2</c:v>
                </c:pt>
                <c:pt idx="307">
                  <c:v>2.8133834237866383E-2</c:v>
                </c:pt>
                <c:pt idx="308">
                  <c:v>2.8123288058332873E-2</c:v>
                </c:pt>
                <c:pt idx="309">
                  <c:v>2.8113316349767273E-2</c:v>
                </c:pt>
                <c:pt idx="310">
                  <c:v>2.8103815783423258E-2</c:v>
                </c:pt>
                <c:pt idx="311">
                  <c:v>2.8094637753028517E-2</c:v>
                </c:pt>
                <c:pt idx="312">
                  <c:v>2.8085846199294093E-2</c:v>
                </c:pt>
                <c:pt idx="313">
                  <c:v>2.807800368210837E-2</c:v>
                </c:pt>
                <c:pt idx="314">
                  <c:v>2.8070558110312463E-2</c:v>
                </c:pt>
                <c:pt idx="315">
                  <c:v>2.8063927576598067E-2</c:v>
                </c:pt>
                <c:pt idx="316">
                  <c:v>2.8056910880788651E-2</c:v>
                </c:pt>
                <c:pt idx="317">
                  <c:v>2.8049904683138119E-2</c:v>
                </c:pt>
                <c:pt idx="318">
                  <c:v>2.8044664738749215E-2</c:v>
                </c:pt>
                <c:pt idx="319">
                  <c:v>2.8041491718217727E-2</c:v>
                </c:pt>
                <c:pt idx="320">
                  <c:v>2.8039220153774965E-2</c:v>
                </c:pt>
                <c:pt idx="321">
                  <c:v>2.8037643210185613E-2</c:v>
                </c:pt>
                <c:pt idx="322">
                  <c:v>2.80355560093993E-2</c:v>
                </c:pt>
                <c:pt idx="323">
                  <c:v>2.80336387558381E-2</c:v>
                </c:pt>
                <c:pt idx="324">
                  <c:v>2.803298224480661E-2</c:v>
                </c:pt>
                <c:pt idx="325">
                  <c:v>2.8034025728119392E-2</c:v>
                </c:pt>
                <c:pt idx="326">
                  <c:v>2.8036010703552026E-2</c:v>
                </c:pt>
                <c:pt idx="327">
                  <c:v>2.8037597285319179E-2</c:v>
                </c:pt>
                <c:pt idx="328">
                  <c:v>2.8037996545124004E-2</c:v>
                </c:pt>
                <c:pt idx="329">
                  <c:v>2.8038030522270867E-2</c:v>
                </c:pt>
                <c:pt idx="330">
                  <c:v>2.8039118309341991E-2</c:v>
                </c:pt>
                <c:pt idx="331">
                  <c:v>2.8042057829222724E-2</c:v>
                </c:pt>
                <c:pt idx="332">
                  <c:v>2.8047469739200005E-2</c:v>
                </c:pt>
                <c:pt idx="333">
                  <c:v>2.8053496920548038E-2</c:v>
                </c:pt>
                <c:pt idx="334">
                  <c:v>2.8060389425157397E-2</c:v>
                </c:pt>
                <c:pt idx="335">
                  <c:v>2.8067510020605549E-2</c:v>
                </c:pt>
                <c:pt idx="336">
                  <c:v>2.8074528304982325E-2</c:v>
                </c:pt>
                <c:pt idx="337">
                  <c:v>2.8082318506683211E-2</c:v>
                </c:pt>
                <c:pt idx="338">
                  <c:v>2.8089027930197678E-2</c:v>
                </c:pt>
                <c:pt idx="339">
                  <c:v>2.8096640044435579E-2</c:v>
                </c:pt>
                <c:pt idx="340">
                  <c:v>2.8104874988528986E-2</c:v>
                </c:pt>
                <c:pt idx="341">
                  <c:v>2.8113255014325749E-2</c:v>
                </c:pt>
                <c:pt idx="342">
                  <c:v>2.8123960740369627E-2</c:v>
                </c:pt>
                <c:pt idx="343">
                  <c:v>2.8135667404078309E-2</c:v>
                </c:pt>
                <c:pt idx="344">
                  <c:v>2.8150039421145176E-2</c:v>
                </c:pt>
                <c:pt idx="345">
                  <c:v>2.8163972077359961E-2</c:v>
                </c:pt>
                <c:pt idx="346">
                  <c:v>2.8178107159485172E-2</c:v>
                </c:pt>
                <c:pt idx="347">
                  <c:v>2.8189688114139855E-2</c:v>
                </c:pt>
                <c:pt idx="348">
                  <c:v>2.8203162159469913E-2</c:v>
                </c:pt>
                <c:pt idx="349">
                  <c:v>2.8218735411901417E-2</c:v>
                </c:pt>
                <c:pt idx="350">
                  <c:v>2.8233970121481301E-2</c:v>
                </c:pt>
                <c:pt idx="351">
                  <c:v>2.8250620918825492E-2</c:v>
                </c:pt>
                <c:pt idx="352">
                  <c:v>2.8267035345050533E-2</c:v>
                </c:pt>
                <c:pt idx="353">
                  <c:v>2.8283197630218457E-2</c:v>
                </c:pt>
                <c:pt idx="354">
                  <c:v>2.8302305475626198E-2</c:v>
                </c:pt>
                <c:pt idx="355">
                  <c:v>2.832021614806433E-2</c:v>
                </c:pt>
                <c:pt idx="356">
                  <c:v>2.8340687614594167E-2</c:v>
                </c:pt>
                <c:pt idx="357">
                  <c:v>2.8361689155725667E-2</c:v>
                </c:pt>
                <c:pt idx="358">
                  <c:v>2.8383225996732476E-2</c:v>
                </c:pt>
                <c:pt idx="359">
                  <c:v>2.8403921541126184E-2</c:v>
                </c:pt>
                <c:pt idx="360">
                  <c:v>2.8426808551606585E-2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2-4B6D-A377-32F933455548}"/>
            </c:ext>
          </c:extLst>
        </c:ser>
        <c:ser>
          <c:idx val="3"/>
          <c:order val="3"/>
          <c:tx>
            <c:strRef>
              <c:f>DISPLAY_CURVE!$F$9</c:f>
              <c:strCache>
                <c:ptCount val="1"/>
                <c:pt idx="0">
                  <c:v>USD6ML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DISPLAY_CURVE!$F$10:$F$501</c:f>
              <c:numCache>
                <c:formatCode>0.00000%</c:formatCode>
                <c:ptCount val="492"/>
                <c:pt idx="0">
                  <c:v>2.4406511920250833E-2</c:v>
                </c:pt>
                <c:pt idx="1">
                  <c:v>2.5387938318725514E-2</c:v>
                </c:pt>
                <c:pt idx="2">
                  <c:v>2.62800189647228E-2</c:v>
                </c:pt>
                <c:pt idx="3">
                  <c:v>2.7240346035872432E-2</c:v>
                </c:pt>
                <c:pt idx="4">
                  <c:v>2.8201054043488372E-2</c:v>
                </c:pt>
                <c:pt idx="5">
                  <c:v>2.8948341023242792E-2</c:v>
                </c:pt>
                <c:pt idx="6">
                  <c:v>2.9610435871350763E-2</c:v>
                </c:pt>
                <c:pt idx="7">
                  <c:v>3.0057529142474608E-2</c:v>
                </c:pt>
                <c:pt idx="8">
                  <c:v>3.0347686477064342E-2</c:v>
                </c:pt>
                <c:pt idx="9">
                  <c:v>3.0498272854601535E-2</c:v>
                </c:pt>
                <c:pt idx="10">
                  <c:v>3.0542848039428215E-2</c:v>
                </c:pt>
                <c:pt idx="11">
                  <c:v>3.0515526268847529E-2</c:v>
                </c:pt>
                <c:pt idx="12">
                  <c:v>3.0449129055506133E-2</c:v>
                </c:pt>
                <c:pt idx="13">
                  <c:v>3.0375182469941059E-2</c:v>
                </c:pt>
                <c:pt idx="14">
                  <c:v>3.0317139489899884E-2</c:v>
                </c:pt>
                <c:pt idx="15">
                  <c:v>3.0264576155348527E-2</c:v>
                </c:pt>
                <c:pt idx="16">
                  <c:v>3.022657833011554E-2</c:v>
                </c:pt>
                <c:pt idx="17">
                  <c:v>3.020223783331754E-2</c:v>
                </c:pt>
                <c:pt idx="18">
                  <c:v>3.0195444944399363E-2</c:v>
                </c:pt>
                <c:pt idx="19">
                  <c:v>3.0208117059602035E-2</c:v>
                </c:pt>
                <c:pt idx="20">
                  <c:v>3.0226306596772813E-2</c:v>
                </c:pt>
                <c:pt idx="21">
                  <c:v>3.0255871402739741E-2</c:v>
                </c:pt>
                <c:pt idx="22">
                  <c:v>3.0281205215344154E-2</c:v>
                </c:pt>
                <c:pt idx="23">
                  <c:v>3.0308087859754487E-2</c:v>
                </c:pt>
                <c:pt idx="24">
                  <c:v>3.0327732375605904E-2</c:v>
                </c:pt>
                <c:pt idx="25">
                  <c:v>3.0330957068991336E-2</c:v>
                </c:pt>
                <c:pt idx="26">
                  <c:v>3.0327858413956774E-2</c:v>
                </c:pt>
                <c:pt idx="27">
                  <c:v>3.0310682116529326E-2</c:v>
                </c:pt>
                <c:pt idx="28">
                  <c:v>3.0283811889713002E-2</c:v>
                </c:pt>
                <c:pt idx="29">
                  <c:v>3.0242898002730598E-2</c:v>
                </c:pt>
                <c:pt idx="30">
                  <c:v>3.0190376376416896E-2</c:v>
                </c:pt>
                <c:pt idx="31">
                  <c:v>3.0132464045777661E-2</c:v>
                </c:pt>
                <c:pt idx="32">
                  <c:v>3.0059772509299684E-2</c:v>
                </c:pt>
                <c:pt idx="33">
                  <c:v>2.9978879077252031E-2</c:v>
                </c:pt>
                <c:pt idx="34">
                  <c:v>2.9903920927664706E-2</c:v>
                </c:pt>
                <c:pt idx="35">
                  <c:v>2.9828079281356095E-2</c:v>
                </c:pt>
                <c:pt idx="36">
                  <c:v>2.9752078865046903E-2</c:v>
                </c:pt>
                <c:pt idx="37">
                  <c:v>2.9687906291896125E-2</c:v>
                </c:pt>
                <c:pt idx="38">
                  <c:v>2.9633372664273162E-2</c:v>
                </c:pt>
                <c:pt idx="39">
                  <c:v>2.9585446884184487E-2</c:v>
                </c:pt>
                <c:pt idx="40">
                  <c:v>2.9547576324105852E-2</c:v>
                </c:pt>
                <c:pt idx="41">
                  <c:v>2.9515563086531599E-2</c:v>
                </c:pt>
                <c:pt idx="42">
                  <c:v>2.9494685128496675E-2</c:v>
                </c:pt>
                <c:pt idx="43">
                  <c:v>2.9486220824337699E-2</c:v>
                </c:pt>
                <c:pt idx="44">
                  <c:v>2.9481856689773159E-2</c:v>
                </c:pt>
                <c:pt idx="45">
                  <c:v>2.9481358065264487E-2</c:v>
                </c:pt>
                <c:pt idx="46">
                  <c:v>2.9485637427810924E-2</c:v>
                </c:pt>
                <c:pt idx="47">
                  <c:v>2.9497733338807352E-2</c:v>
                </c:pt>
                <c:pt idx="48">
                  <c:v>2.9508499264879657E-2</c:v>
                </c:pt>
                <c:pt idx="49">
                  <c:v>2.9517799088540356E-2</c:v>
                </c:pt>
                <c:pt idx="50">
                  <c:v>2.9534587749286651E-2</c:v>
                </c:pt>
                <c:pt idx="51">
                  <c:v>2.9548116642863304E-2</c:v>
                </c:pt>
                <c:pt idx="52">
                  <c:v>2.9566280186907271E-2</c:v>
                </c:pt>
                <c:pt idx="53">
                  <c:v>2.9585329161628829E-2</c:v>
                </c:pt>
                <c:pt idx="54">
                  <c:v>2.9602822131099042E-2</c:v>
                </c:pt>
                <c:pt idx="55">
                  <c:v>2.962633799544042E-2</c:v>
                </c:pt>
                <c:pt idx="56">
                  <c:v>2.9648082152334405E-2</c:v>
                </c:pt>
                <c:pt idx="57">
                  <c:v>2.9670300057576274E-2</c:v>
                </c:pt>
                <c:pt idx="58">
                  <c:v>2.9692255184763167E-2</c:v>
                </c:pt>
                <c:pt idx="59">
                  <c:v>2.9718836992875419E-2</c:v>
                </c:pt>
                <c:pt idx="60">
                  <c:v>2.974187955227733E-2</c:v>
                </c:pt>
                <c:pt idx="61">
                  <c:v>2.9763545493049964E-2</c:v>
                </c:pt>
                <c:pt idx="62">
                  <c:v>2.9790384860430598E-2</c:v>
                </c:pt>
                <c:pt idx="63">
                  <c:v>2.9813400368813487E-2</c:v>
                </c:pt>
                <c:pt idx="64">
                  <c:v>2.9843278422175677E-2</c:v>
                </c:pt>
                <c:pt idx="65">
                  <c:v>2.9864349641423073E-2</c:v>
                </c:pt>
                <c:pt idx="66">
                  <c:v>2.9890663587338547E-2</c:v>
                </c:pt>
                <c:pt idx="67">
                  <c:v>2.9920555924237924E-2</c:v>
                </c:pt>
                <c:pt idx="68">
                  <c:v>2.9944082792686524E-2</c:v>
                </c:pt>
                <c:pt idx="69">
                  <c:v>2.9972045438869041E-2</c:v>
                </c:pt>
                <c:pt idx="70">
                  <c:v>2.9999571393940452E-2</c:v>
                </c:pt>
                <c:pt idx="71">
                  <c:v>3.0026309462038703E-2</c:v>
                </c:pt>
                <c:pt idx="72">
                  <c:v>3.0057721548301219E-2</c:v>
                </c:pt>
                <c:pt idx="73">
                  <c:v>3.008008069028183E-2</c:v>
                </c:pt>
                <c:pt idx="74">
                  <c:v>3.0106791762648535E-2</c:v>
                </c:pt>
                <c:pt idx="75">
                  <c:v>3.0133893512167453E-2</c:v>
                </c:pt>
                <c:pt idx="76">
                  <c:v>3.0164732563773864E-2</c:v>
                </c:pt>
                <c:pt idx="77">
                  <c:v>3.0191435876051671E-2</c:v>
                </c:pt>
                <c:pt idx="78">
                  <c:v>3.0224771139832737E-2</c:v>
                </c:pt>
                <c:pt idx="79">
                  <c:v>3.025533194484702E-2</c:v>
                </c:pt>
                <c:pt idx="80">
                  <c:v>3.028180257532424E-2</c:v>
                </c:pt>
                <c:pt idx="81">
                  <c:v>3.0316454833781949E-2</c:v>
                </c:pt>
                <c:pt idx="82">
                  <c:v>3.0342621849159934E-2</c:v>
                </c:pt>
                <c:pt idx="83">
                  <c:v>3.0372962389577027E-2</c:v>
                </c:pt>
                <c:pt idx="84">
                  <c:v>3.0405295056243842E-2</c:v>
                </c:pt>
                <c:pt idx="85">
                  <c:v>3.0430516556294002E-2</c:v>
                </c:pt>
                <c:pt idx="86">
                  <c:v>3.0460021142534995E-2</c:v>
                </c:pt>
                <c:pt idx="87">
                  <c:v>3.0492430924383588E-2</c:v>
                </c:pt>
                <c:pt idx="88">
                  <c:v>3.0519893116328255E-2</c:v>
                </c:pt>
                <c:pt idx="89">
                  <c:v>3.0548479871991333E-2</c:v>
                </c:pt>
                <c:pt idx="90">
                  <c:v>3.0581559583142511E-2</c:v>
                </c:pt>
                <c:pt idx="91">
                  <c:v>3.0612476613608542E-2</c:v>
                </c:pt>
                <c:pt idx="92">
                  <c:v>3.0639965026935851E-2</c:v>
                </c:pt>
                <c:pt idx="93">
                  <c:v>3.0672768953100626E-2</c:v>
                </c:pt>
                <c:pt idx="94">
                  <c:v>3.0699362551099289E-2</c:v>
                </c:pt>
                <c:pt idx="95">
                  <c:v>3.0730305355427728E-2</c:v>
                </c:pt>
                <c:pt idx="96">
                  <c:v>3.0762331126357713E-2</c:v>
                </c:pt>
                <c:pt idx="97">
                  <c:v>3.0785056554884789E-2</c:v>
                </c:pt>
                <c:pt idx="98">
                  <c:v>3.0815882245912946E-2</c:v>
                </c:pt>
                <c:pt idx="99">
                  <c:v>3.0846807467288195E-2</c:v>
                </c:pt>
                <c:pt idx="100">
                  <c:v>3.0874795142475389E-2</c:v>
                </c:pt>
                <c:pt idx="101">
                  <c:v>3.0902872129163365E-2</c:v>
                </c:pt>
                <c:pt idx="102">
                  <c:v>3.0934508289503723E-2</c:v>
                </c:pt>
                <c:pt idx="103">
                  <c:v>3.0965029164575778E-2</c:v>
                </c:pt>
                <c:pt idx="104">
                  <c:v>3.0992982999453373E-2</c:v>
                </c:pt>
                <c:pt idx="105">
                  <c:v>3.1025466053325002E-2</c:v>
                </c:pt>
                <c:pt idx="106">
                  <c:v>3.1051419442777853E-2</c:v>
                </c:pt>
                <c:pt idx="107">
                  <c:v>3.1085536775556942E-2</c:v>
                </c:pt>
                <c:pt idx="108">
                  <c:v>3.1112467066838446E-2</c:v>
                </c:pt>
                <c:pt idx="109">
                  <c:v>3.1137442096428589E-2</c:v>
                </c:pt>
                <c:pt idx="110">
                  <c:v>3.1171457994906445E-2</c:v>
                </c:pt>
                <c:pt idx="111">
                  <c:v>3.1195480508210069E-2</c:v>
                </c:pt>
                <c:pt idx="112">
                  <c:v>3.1225783202853172E-2</c:v>
                </c:pt>
                <c:pt idx="113">
                  <c:v>3.1255243758856473E-2</c:v>
                </c:pt>
                <c:pt idx="114">
                  <c:v>3.128268968401806E-2</c:v>
                </c:pt>
                <c:pt idx="115">
                  <c:v>3.1313703622231751E-2</c:v>
                </c:pt>
                <c:pt idx="116">
                  <c:v>3.1342661075527606E-2</c:v>
                </c:pt>
                <c:pt idx="117">
                  <c:v>3.1369999559998862E-2</c:v>
                </c:pt>
                <c:pt idx="118">
                  <c:v>3.13955765634387E-2</c:v>
                </c:pt>
                <c:pt idx="119">
                  <c:v>3.1424245011435245E-2</c:v>
                </c:pt>
                <c:pt idx="120">
                  <c:v>3.1447157553438514E-2</c:v>
                </c:pt>
                <c:pt idx="121">
                  <c:v>3.1464780372628447E-2</c:v>
                </c:pt>
                <c:pt idx="122">
                  <c:v>3.1487291393480325E-2</c:v>
                </c:pt>
                <c:pt idx="123">
                  <c:v>3.1503978731614209E-2</c:v>
                </c:pt>
                <c:pt idx="124">
                  <c:v>3.1522129232700674E-2</c:v>
                </c:pt>
                <c:pt idx="125">
                  <c:v>3.153730942996702E-2</c:v>
                </c:pt>
                <c:pt idx="126">
                  <c:v>3.1549027209762777E-2</c:v>
                </c:pt>
                <c:pt idx="127">
                  <c:v>3.1566962206474806E-2</c:v>
                </c:pt>
                <c:pt idx="128">
                  <c:v>3.1572278390979772E-2</c:v>
                </c:pt>
                <c:pt idx="129">
                  <c:v>3.1580906021639203E-2</c:v>
                </c:pt>
                <c:pt idx="130">
                  <c:v>3.1588110404560381E-2</c:v>
                </c:pt>
                <c:pt idx="131">
                  <c:v>3.1590544587165786E-2</c:v>
                </c:pt>
                <c:pt idx="132">
                  <c:v>3.1592450814419658E-2</c:v>
                </c:pt>
                <c:pt idx="133">
                  <c:v>3.1589804806165994E-2</c:v>
                </c:pt>
                <c:pt idx="134">
                  <c:v>3.1588170531882613E-2</c:v>
                </c:pt>
                <c:pt idx="135">
                  <c:v>3.1583260989426203E-2</c:v>
                </c:pt>
                <c:pt idx="136">
                  <c:v>3.1578771302417978E-2</c:v>
                </c:pt>
                <c:pt idx="137">
                  <c:v>3.1570572192716723E-2</c:v>
                </c:pt>
                <c:pt idx="138">
                  <c:v>3.156128339282481E-2</c:v>
                </c:pt>
                <c:pt idx="139">
                  <c:v>3.1555897697686998E-2</c:v>
                </c:pt>
                <c:pt idx="140">
                  <c:v>3.1540937647372445E-2</c:v>
                </c:pt>
                <c:pt idx="141">
                  <c:v>3.1528635262797047E-2</c:v>
                </c:pt>
                <c:pt idx="142">
                  <c:v>3.1511791927757743E-2</c:v>
                </c:pt>
                <c:pt idx="143">
                  <c:v>3.1499129603352209E-2</c:v>
                </c:pt>
                <c:pt idx="144">
                  <c:v>3.1485994902563957E-2</c:v>
                </c:pt>
                <c:pt idx="145">
                  <c:v>3.1465800162485506E-2</c:v>
                </c:pt>
                <c:pt idx="146">
                  <c:v>3.1451839605488481E-2</c:v>
                </c:pt>
                <c:pt idx="147">
                  <c:v>3.1436049838695523E-2</c:v>
                </c:pt>
                <c:pt idx="148">
                  <c:v>3.1422807870199292E-2</c:v>
                </c:pt>
                <c:pt idx="149">
                  <c:v>3.1408014251562373E-2</c:v>
                </c:pt>
                <c:pt idx="150">
                  <c:v>3.1394434890062391E-2</c:v>
                </c:pt>
                <c:pt idx="151">
                  <c:v>3.1384484037458908E-2</c:v>
                </c:pt>
                <c:pt idx="152">
                  <c:v>3.1370889732638338E-2</c:v>
                </c:pt>
                <c:pt idx="153">
                  <c:v>3.1361732588507836E-2</c:v>
                </c:pt>
                <c:pt idx="154">
                  <c:v>3.1345088283169585E-2</c:v>
                </c:pt>
                <c:pt idx="155">
                  <c:v>3.1334558551521327E-2</c:v>
                </c:pt>
                <c:pt idx="156">
                  <c:v>3.1323495483366028E-2</c:v>
                </c:pt>
                <c:pt idx="157">
                  <c:v>3.130804141960053E-2</c:v>
                </c:pt>
                <c:pt idx="158">
                  <c:v>3.12979003185146E-2</c:v>
                </c:pt>
                <c:pt idx="159">
                  <c:v>3.1284582643207347E-2</c:v>
                </c:pt>
                <c:pt idx="160">
                  <c:v>3.1275698947279724E-2</c:v>
                </c:pt>
                <c:pt idx="161">
                  <c:v>3.1263642553503043E-2</c:v>
                </c:pt>
                <c:pt idx="162">
                  <c:v>3.1252701486306524E-2</c:v>
                </c:pt>
                <c:pt idx="163">
                  <c:v>3.1245745201350181E-2</c:v>
                </c:pt>
                <c:pt idx="164">
                  <c:v>3.123448827365289E-2</c:v>
                </c:pt>
                <c:pt idx="165">
                  <c:v>3.122557926158169E-2</c:v>
                </c:pt>
                <c:pt idx="166">
                  <c:v>3.1215478919035269E-2</c:v>
                </c:pt>
                <c:pt idx="167">
                  <c:v>3.121012918766003E-2</c:v>
                </c:pt>
                <c:pt idx="168">
                  <c:v>3.1198455497516046E-2</c:v>
                </c:pt>
                <c:pt idx="169">
                  <c:v>3.1186403214244252E-2</c:v>
                </c:pt>
                <c:pt idx="170">
                  <c:v>3.1179441034785909E-2</c:v>
                </c:pt>
                <c:pt idx="171">
                  <c:v>3.1171266841862492E-2</c:v>
                </c:pt>
                <c:pt idx="172">
                  <c:v>3.1163617513763207E-2</c:v>
                </c:pt>
                <c:pt idx="173">
                  <c:v>3.115549957096303E-2</c:v>
                </c:pt>
                <c:pt idx="174">
                  <c:v>3.1147393295955457E-2</c:v>
                </c:pt>
                <c:pt idx="175">
                  <c:v>3.1144660757298447E-2</c:v>
                </c:pt>
                <c:pt idx="176">
                  <c:v>3.1138975121221327E-2</c:v>
                </c:pt>
                <c:pt idx="177">
                  <c:v>3.1130947493887541E-2</c:v>
                </c:pt>
                <c:pt idx="178">
                  <c:v>3.112318325492584E-2</c:v>
                </c:pt>
                <c:pt idx="179">
                  <c:v>3.1119067088658647E-2</c:v>
                </c:pt>
                <c:pt idx="180">
                  <c:v>3.1110940115212E-2</c:v>
                </c:pt>
                <c:pt idx="181">
                  <c:v>3.1100200730022561E-2</c:v>
                </c:pt>
                <c:pt idx="182">
                  <c:v>3.1093899439474579E-2</c:v>
                </c:pt>
                <c:pt idx="183">
                  <c:v>3.1085690598473225E-2</c:v>
                </c:pt>
                <c:pt idx="184">
                  <c:v>3.107947532690912E-2</c:v>
                </c:pt>
                <c:pt idx="185">
                  <c:v>3.1071348279088033E-2</c:v>
                </c:pt>
                <c:pt idx="186">
                  <c:v>3.1062337236017888E-2</c:v>
                </c:pt>
                <c:pt idx="187">
                  <c:v>3.105846438587068E-2</c:v>
                </c:pt>
                <c:pt idx="188">
                  <c:v>3.1048263349457612E-2</c:v>
                </c:pt>
                <c:pt idx="189">
                  <c:v>3.1041631013386927E-2</c:v>
                </c:pt>
                <c:pt idx="190">
                  <c:v>3.1031596749236265E-2</c:v>
                </c:pt>
                <c:pt idx="191">
                  <c:v>3.1023433128837229E-2</c:v>
                </c:pt>
                <c:pt idx="192">
                  <c:v>3.1014778620034576E-2</c:v>
                </c:pt>
                <c:pt idx="193">
                  <c:v>3.1001820362395426E-2</c:v>
                </c:pt>
                <c:pt idx="194">
                  <c:v>3.0993354200577694E-2</c:v>
                </c:pt>
                <c:pt idx="195">
                  <c:v>3.098267411725892E-2</c:v>
                </c:pt>
                <c:pt idx="196">
                  <c:v>3.0974132746402119E-2</c:v>
                </c:pt>
                <c:pt idx="197">
                  <c:v>3.0963907893950579E-2</c:v>
                </c:pt>
                <c:pt idx="198">
                  <c:v>3.0952332030106725E-2</c:v>
                </c:pt>
                <c:pt idx="199">
                  <c:v>3.0948483498920203E-2</c:v>
                </c:pt>
                <c:pt idx="200">
                  <c:v>3.0933880384555579E-2</c:v>
                </c:pt>
                <c:pt idx="201">
                  <c:v>3.0924719906207751E-2</c:v>
                </c:pt>
                <c:pt idx="202">
                  <c:v>3.0914647154635738E-2</c:v>
                </c:pt>
                <c:pt idx="203">
                  <c:v>3.090210478701369E-2</c:v>
                </c:pt>
                <c:pt idx="204">
                  <c:v>3.0890874667298878E-2</c:v>
                </c:pt>
                <c:pt idx="205">
                  <c:v>3.0876061091095936E-2</c:v>
                </c:pt>
                <c:pt idx="206">
                  <c:v>3.0866344080169261E-2</c:v>
                </c:pt>
                <c:pt idx="207">
                  <c:v>3.0853039386966957E-2</c:v>
                </c:pt>
                <c:pt idx="208">
                  <c:v>3.0841359439472603E-2</c:v>
                </c:pt>
                <c:pt idx="209">
                  <c:v>3.0828475333399483E-2</c:v>
                </c:pt>
                <c:pt idx="210">
                  <c:v>3.0815695127243265E-2</c:v>
                </c:pt>
                <c:pt idx="211">
                  <c:v>3.0804908584616469E-2</c:v>
                </c:pt>
                <c:pt idx="212">
                  <c:v>3.0791483873382552E-2</c:v>
                </c:pt>
                <c:pt idx="213">
                  <c:v>3.0781812194250632E-2</c:v>
                </c:pt>
                <c:pt idx="214">
                  <c:v>3.0764540518162197E-2</c:v>
                </c:pt>
                <c:pt idx="215">
                  <c:v>3.0752743245761185E-2</c:v>
                </c:pt>
                <c:pt idx="216">
                  <c:v>3.073985545103845E-2</c:v>
                </c:pt>
                <c:pt idx="217">
                  <c:v>3.0722474521252954E-2</c:v>
                </c:pt>
                <c:pt idx="218">
                  <c:v>3.0708586262241336E-2</c:v>
                </c:pt>
                <c:pt idx="219">
                  <c:v>3.069309283540227E-2</c:v>
                </c:pt>
                <c:pt idx="220">
                  <c:v>3.0679769169593828E-2</c:v>
                </c:pt>
                <c:pt idx="221">
                  <c:v>3.0663774082660133E-2</c:v>
                </c:pt>
                <c:pt idx="222">
                  <c:v>3.0649194448196519E-2</c:v>
                </c:pt>
                <c:pt idx="223">
                  <c:v>3.0637430194215051E-2</c:v>
                </c:pt>
                <c:pt idx="224">
                  <c:v>3.0621356668432853E-2</c:v>
                </c:pt>
                <c:pt idx="225">
                  <c:v>3.0608212498524644E-2</c:v>
                </c:pt>
                <c:pt idx="226">
                  <c:v>3.059022052642545E-2</c:v>
                </c:pt>
                <c:pt idx="227">
                  <c:v>3.0575650476079446E-2</c:v>
                </c:pt>
                <c:pt idx="228">
                  <c:v>3.0558272413499402E-2</c:v>
                </c:pt>
                <c:pt idx="229">
                  <c:v>3.0539760251447331E-2</c:v>
                </c:pt>
                <c:pt idx="230">
                  <c:v>3.0524610927007909E-2</c:v>
                </c:pt>
                <c:pt idx="231">
                  <c:v>3.0507159658599972E-2</c:v>
                </c:pt>
                <c:pt idx="232">
                  <c:v>3.0491160627693279E-2</c:v>
                </c:pt>
                <c:pt idx="233">
                  <c:v>3.0472865558963873E-2</c:v>
                </c:pt>
                <c:pt idx="234">
                  <c:v>3.0456370191094869E-2</c:v>
                </c:pt>
                <c:pt idx="235">
                  <c:v>3.0442382982251909E-2</c:v>
                </c:pt>
                <c:pt idx="236">
                  <c:v>3.0423549691266781E-2</c:v>
                </c:pt>
                <c:pt idx="237">
                  <c:v>3.0405979573027455E-2</c:v>
                </c:pt>
                <c:pt idx="238">
                  <c:v>3.0388091218737902E-2</c:v>
                </c:pt>
                <c:pt idx="239">
                  <c:v>3.0373496019051361E-2</c:v>
                </c:pt>
                <c:pt idx="240">
                  <c:v>3.0352796695444113E-2</c:v>
                </c:pt>
                <c:pt idx="241">
                  <c:v>3.0332302418727346E-2</c:v>
                </c:pt>
                <c:pt idx="242">
                  <c:v>3.0315742197707291E-2</c:v>
                </c:pt>
                <c:pt idx="243">
                  <c:v>3.029763326683663E-2</c:v>
                </c:pt>
                <c:pt idx="244">
                  <c:v>3.028012304900533E-2</c:v>
                </c:pt>
                <c:pt idx="245">
                  <c:v>3.0260878177282732E-2</c:v>
                </c:pt>
                <c:pt idx="246">
                  <c:v>3.0243007058822356E-2</c:v>
                </c:pt>
                <c:pt idx="247">
                  <c:v>3.0229620642736273E-2</c:v>
                </c:pt>
                <c:pt idx="248">
                  <c:v>3.0212552942441115E-2</c:v>
                </c:pt>
                <c:pt idx="249">
                  <c:v>3.0193558760227647E-2</c:v>
                </c:pt>
                <c:pt idx="250">
                  <c:v>3.0175162673550478E-2</c:v>
                </c:pt>
                <c:pt idx="251">
                  <c:v>3.0159683773944162E-2</c:v>
                </c:pt>
                <c:pt idx="252">
                  <c:v>3.014073713136697E-2</c:v>
                </c:pt>
                <c:pt idx="253">
                  <c:v>3.0120843598665452E-2</c:v>
                </c:pt>
                <c:pt idx="254">
                  <c:v>3.0103280878749882E-2</c:v>
                </c:pt>
                <c:pt idx="255">
                  <c:v>3.0085542561257495E-2</c:v>
                </c:pt>
                <c:pt idx="256">
                  <c:v>3.0069163488664348E-2</c:v>
                </c:pt>
                <c:pt idx="257">
                  <c:v>3.0049722458232887E-2</c:v>
                </c:pt>
                <c:pt idx="258">
                  <c:v>3.0032411688344373E-2</c:v>
                </c:pt>
                <c:pt idx="259">
                  <c:v>3.0019519886598039E-2</c:v>
                </c:pt>
                <c:pt idx="260">
                  <c:v>2.9998212180969257E-2</c:v>
                </c:pt>
                <c:pt idx="261">
                  <c:v>2.9982472820400646E-2</c:v>
                </c:pt>
                <c:pt idx="262">
                  <c:v>2.9965594137518706E-2</c:v>
                </c:pt>
                <c:pt idx="263">
                  <c:v>2.9946823426950792E-2</c:v>
                </c:pt>
                <c:pt idx="264">
                  <c:v>2.9929595162926478E-2</c:v>
                </c:pt>
                <c:pt idx="265">
                  <c:v>2.9908760777394464E-2</c:v>
                </c:pt>
                <c:pt idx="266">
                  <c:v>2.9892710359463028E-2</c:v>
                </c:pt>
                <c:pt idx="267">
                  <c:v>2.9874007196976329E-2</c:v>
                </c:pt>
                <c:pt idx="268">
                  <c:v>2.9856641764127296E-2</c:v>
                </c:pt>
                <c:pt idx="269">
                  <c:v>2.9839114644469773E-2</c:v>
                </c:pt>
                <c:pt idx="270">
                  <c:v>2.9821404594624366E-2</c:v>
                </c:pt>
                <c:pt idx="271">
                  <c:v>2.9809192094825313E-2</c:v>
                </c:pt>
                <c:pt idx="272">
                  <c:v>2.9789622597616031E-2</c:v>
                </c:pt>
                <c:pt idx="273">
                  <c:v>2.9773463563977785E-2</c:v>
                </c:pt>
                <c:pt idx="274">
                  <c:v>2.9753730109252089E-2</c:v>
                </c:pt>
                <c:pt idx="275">
                  <c:v>2.9738735662811072E-2</c:v>
                </c:pt>
                <c:pt idx="276">
                  <c:v>2.9722982864047533E-2</c:v>
                </c:pt>
                <c:pt idx="277">
                  <c:v>2.9701059022068672E-2</c:v>
                </c:pt>
                <c:pt idx="278">
                  <c:v>2.9684600088851019E-2</c:v>
                </c:pt>
                <c:pt idx="279">
                  <c:v>2.9666087417616074E-2</c:v>
                </c:pt>
                <c:pt idx="280">
                  <c:v>2.9649456018603651E-2</c:v>
                </c:pt>
                <c:pt idx="281">
                  <c:v>2.9631541560585596E-2</c:v>
                </c:pt>
                <c:pt idx="282">
                  <c:v>2.9613806495023907E-2</c:v>
                </c:pt>
                <c:pt idx="283">
                  <c:v>2.9599839101246812E-2</c:v>
                </c:pt>
                <c:pt idx="284">
                  <c:v>2.9582532785420782E-2</c:v>
                </c:pt>
                <c:pt idx="285">
                  <c:v>2.9568382803988737E-2</c:v>
                </c:pt>
                <c:pt idx="286">
                  <c:v>2.9547562063192378E-2</c:v>
                </c:pt>
                <c:pt idx="287">
                  <c:v>2.9532149240100565E-2</c:v>
                </c:pt>
                <c:pt idx="288">
                  <c:v>2.9515621921091726E-2</c:v>
                </c:pt>
                <c:pt idx="289">
                  <c:v>2.9495420650936931E-2</c:v>
                </c:pt>
                <c:pt idx="290">
                  <c:v>2.9478563739578932E-2</c:v>
                </c:pt>
                <c:pt idx="291">
                  <c:v>2.9460037290508046E-2</c:v>
                </c:pt>
                <c:pt idx="292">
                  <c:v>2.9444331546236102E-2</c:v>
                </c:pt>
                <c:pt idx="293">
                  <c:v>2.942604117898549E-2</c:v>
                </c:pt>
                <c:pt idx="294">
                  <c:v>2.9409041317524733E-2</c:v>
                </c:pt>
                <c:pt idx="295">
                  <c:v>2.9395224809986211E-2</c:v>
                </c:pt>
                <c:pt idx="296">
                  <c:v>2.93776515545567E-2</c:v>
                </c:pt>
                <c:pt idx="297">
                  <c:v>2.936305426532675E-2</c:v>
                </c:pt>
                <c:pt idx="298">
                  <c:v>2.9344534973410275E-2</c:v>
                </c:pt>
                <c:pt idx="299">
                  <c:v>2.9329763052798892E-2</c:v>
                </c:pt>
                <c:pt idx="300">
                  <c:v>2.9313087796614554E-2</c:v>
                </c:pt>
                <c:pt idx="301">
                  <c:v>2.9297121361509311E-2</c:v>
                </c:pt>
                <c:pt idx="302">
                  <c:v>2.9284157284204144E-2</c:v>
                </c:pt>
                <c:pt idx="303">
                  <c:v>2.9269017803149926E-2</c:v>
                </c:pt>
                <c:pt idx="304">
                  <c:v>2.9257779621092904E-2</c:v>
                </c:pt>
                <c:pt idx="305">
                  <c:v>2.9244369686461824E-2</c:v>
                </c:pt>
                <c:pt idx="306">
                  <c:v>2.9232615964528943E-2</c:v>
                </c:pt>
                <c:pt idx="307">
                  <c:v>2.9224259138080338E-2</c:v>
                </c:pt>
                <c:pt idx="308">
                  <c:v>2.9214845199199077E-2</c:v>
                </c:pt>
                <c:pt idx="309">
                  <c:v>2.9204044600165267E-2</c:v>
                </c:pt>
                <c:pt idx="310">
                  <c:v>2.9194176058758164E-2</c:v>
                </c:pt>
                <c:pt idx="311">
                  <c:v>2.9188083302359513E-2</c:v>
                </c:pt>
                <c:pt idx="312">
                  <c:v>2.9179214865524508E-2</c:v>
                </c:pt>
                <c:pt idx="313">
                  <c:v>2.9168841656512293E-2</c:v>
                </c:pt>
                <c:pt idx="314">
                  <c:v>2.9163224192532519E-2</c:v>
                </c:pt>
                <c:pt idx="315">
                  <c:v>2.9156676755288685E-2</c:v>
                </c:pt>
                <c:pt idx="316">
                  <c:v>2.9152750066197705E-2</c:v>
                </c:pt>
                <c:pt idx="317">
                  <c:v>2.9148082045560419E-2</c:v>
                </c:pt>
                <c:pt idx="318">
                  <c:v>2.9143225235403331E-2</c:v>
                </c:pt>
                <c:pt idx="319">
                  <c:v>2.9143711352972886E-2</c:v>
                </c:pt>
                <c:pt idx="320">
                  <c:v>2.9139847893458342E-2</c:v>
                </c:pt>
                <c:pt idx="321">
                  <c:v>2.9139287019580629E-2</c:v>
                </c:pt>
                <c:pt idx="322">
                  <c:v>2.9136860942905216E-2</c:v>
                </c:pt>
                <c:pt idx="323">
                  <c:v>2.9137432967997496E-2</c:v>
                </c:pt>
                <c:pt idx="324">
                  <c:v>2.9137506816837151E-2</c:v>
                </c:pt>
                <c:pt idx="325">
                  <c:v>2.9134630096290623E-2</c:v>
                </c:pt>
                <c:pt idx="326">
                  <c:v>2.9137203054672059E-2</c:v>
                </c:pt>
                <c:pt idx="327">
                  <c:v>2.9137945989116353E-2</c:v>
                </c:pt>
                <c:pt idx="328">
                  <c:v>2.9141758914547553E-2</c:v>
                </c:pt>
                <c:pt idx="329">
                  <c:v>2.9145093985829783E-2</c:v>
                </c:pt>
                <c:pt idx="330">
                  <c:v>2.9147842742147146E-2</c:v>
                </c:pt>
                <c:pt idx="331">
                  <c:v>2.9158350054615909E-2</c:v>
                </c:pt>
                <c:pt idx="332">
                  <c:v>2.9160020585291373E-2</c:v>
                </c:pt>
                <c:pt idx="333">
                  <c:v>2.916687810213018E-2</c:v>
                </c:pt>
                <c:pt idx="334">
                  <c:v>2.9174789190666947E-2</c:v>
                </c:pt>
                <c:pt idx="335">
                  <c:v>2.9180770474183149E-2</c:v>
                </c:pt>
                <c:pt idx="336">
                  <c:v>2.9188452358418597E-2</c:v>
                </c:pt>
                <c:pt idx="337">
                  <c:v>2.9194958814944855E-2</c:v>
                </c:pt>
                <c:pt idx="338">
                  <c:v>2.9203315188006708E-2</c:v>
                </c:pt>
                <c:pt idx="339">
                  <c:v>2.9211848232485228E-2</c:v>
                </c:pt>
                <c:pt idx="340">
                  <c:v>2.9224110935675444E-2</c:v>
                </c:pt>
                <c:pt idx="341">
                  <c:v>2.9233233850894186E-2</c:v>
                </c:pt>
                <c:pt idx="342">
                  <c:v>2.9245093652590686E-2</c:v>
                </c:pt>
                <c:pt idx="343">
                  <c:v>2.9261982583463922E-2</c:v>
                </c:pt>
                <c:pt idx="344">
                  <c:v>2.927233593552344E-2</c:v>
                </c:pt>
                <c:pt idx="345">
                  <c:v>2.9287127221821845E-2</c:v>
                </c:pt>
                <c:pt idx="346">
                  <c:v>2.9301129984509459E-2</c:v>
                </c:pt>
                <c:pt idx="347">
                  <c:v>2.9316261040982897E-2</c:v>
                </c:pt>
                <c:pt idx="348">
                  <c:v>2.9334979258533685E-2</c:v>
                </c:pt>
                <c:pt idx="349">
                  <c:v>2.9346123222914553E-2</c:v>
                </c:pt>
                <c:pt idx="350">
                  <c:v>2.9363613115595447E-2</c:v>
                </c:pt>
                <c:pt idx="351">
                  <c:v>2.937988725058216E-2</c:v>
                </c:pt>
                <c:pt idx="352">
                  <c:v>2.939982097970327E-2</c:v>
                </c:pt>
                <c:pt idx="353">
                  <c:v>2.9416781422442168E-2</c:v>
                </c:pt>
                <c:pt idx="354">
                  <c:v>2.9437819553729989E-2</c:v>
                </c:pt>
                <c:pt idx="355">
                  <c:v>2.9459328160717717E-2</c:v>
                </c:pt>
                <c:pt idx="356">
                  <c:v>2.9478006031178512E-2</c:v>
                </c:pt>
                <c:pt idx="357">
                  <c:v>2.9501680194326901E-2</c:v>
                </c:pt>
                <c:pt idx="358">
                  <c:v>2.9520055623968557E-2</c:v>
                </c:pt>
                <c:pt idx="359">
                  <c:v>2.9542460593606389E-2</c:v>
                </c:pt>
                <c:pt idx="360">
                  <c:v>2.9565304803071568E-2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72-4B6D-A377-32F933455548}"/>
            </c:ext>
          </c:extLst>
        </c:ser>
        <c:ser>
          <c:idx val="4"/>
          <c:order val="4"/>
          <c:tx>
            <c:strRef>
              <c:f>DISPLAY_CURVE!$G$9</c:f>
              <c:strCache>
                <c:ptCount val="1"/>
                <c:pt idx="0">
                  <c:v>USD12ML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43327</c:v>
                </c:pt>
                <c:pt idx="1">
                  <c:v>43360</c:v>
                </c:pt>
                <c:pt idx="2">
                  <c:v>43388</c:v>
                </c:pt>
                <c:pt idx="3">
                  <c:v>43419</c:v>
                </c:pt>
                <c:pt idx="4">
                  <c:v>43451</c:v>
                </c:pt>
                <c:pt idx="5">
                  <c:v>43480</c:v>
                </c:pt>
                <c:pt idx="6">
                  <c:v>43511</c:v>
                </c:pt>
                <c:pt idx="7">
                  <c:v>43539</c:v>
                </c:pt>
                <c:pt idx="8">
                  <c:v>43570</c:v>
                </c:pt>
                <c:pt idx="9">
                  <c:v>43600</c:v>
                </c:pt>
                <c:pt idx="10">
                  <c:v>43633</c:v>
                </c:pt>
                <c:pt idx="11">
                  <c:v>43661</c:v>
                </c:pt>
                <c:pt idx="12">
                  <c:v>43692</c:v>
                </c:pt>
                <c:pt idx="13">
                  <c:v>43724</c:v>
                </c:pt>
                <c:pt idx="14">
                  <c:v>43753</c:v>
                </c:pt>
                <c:pt idx="15">
                  <c:v>43784</c:v>
                </c:pt>
                <c:pt idx="16">
                  <c:v>43815</c:v>
                </c:pt>
                <c:pt idx="17">
                  <c:v>43845</c:v>
                </c:pt>
                <c:pt idx="18">
                  <c:v>43878</c:v>
                </c:pt>
                <c:pt idx="19">
                  <c:v>43906</c:v>
                </c:pt>
                <c:pt idx="20">
                  <c:v>43936</c:v>
                </c:pt>
                <c:pt idx="21">
                  <c:v>43966</c:v>
                </c:pt>
                <c:pt idx="22">
                  <c:v>43997</c:v>
                </c:pt>
                <c:pt idx="23">
                  <c:v>44027</c:v>
                </c:pt>
                <c:pt idx="24">
                  <c:v>44060</c:v>
                </c:pt>
                <c:pt idx="25">
                  <c:v>44089</c:v>
                </c:pt>
                <c:pt idx="26">
                  <c:v>44119</c:v>
                </c:pt>
                <c:pt idx="27">
                  <c:v>44151</c:v>
                </c:pt>
                <c:pt idx="28">
                  <c:v>44180</c:v>
                </c:pt>
                <c:pt idx="29">
                  <c:v>44211</c:v>
                </c:pt>
                <c:pt idx="30">
                  <c:v>44242</c:v>
                </c:pt>
                <c:pt idx="31">
                  <c:v>44270</c:v>
                </c:pt>
                <c:pt idx="32">
                  <c:v>44301</c:v>
                </c:pt>
                <c:pt idx="33">
                  <c:v>44333</c:v>
                </c:pt>
                <c:pt idx="34">
                  <c:v>44362</c:v>
                </c:pt>
                <c:pt idx="35">
                  <c:v>44392</c:v>
                </c:pt>
                <c:pt idx="36">
                  <c:v>44424</c:v>
                </c:pt>
                <c:pt idx="37">
                  <c:v>44454</c:v>
                </c:pt>
                <c:pt idx="38">
                  <c:v>44484</c:v>
                </c:pt>
                <c:pt idx="39">
                  <c:v>44515</c:v>
                </c:pt>
                <c:pt idx="40">
                  <c:v>44545</c:v>
                </c:pt>
                <c:pt idx="41">
                  <c:v>44578</c:v>
                </c:pt>
                <c:pt idx="42">
                  <c:v>44607</c:v>
                </c:pt>
                <c:pt idx="43">
                  <c:v>44635</c:v>
                </c:pt>
                <c:pt idx="44">
                  <c:v>44666</c:v>
                </c:pt>
                <c:pt idx="45">
                  <c:v>44697</c:v>
                </c:pt>
                <c:pt idx="46">
                  <c:v>44727</c:v>
                </c:pt>
                <c:pt idx="47">
                  <c:v>44757</c:v>
                </c:pt>
                <c:pt idx="48">
                  <c:v>44788</c:v>
                </c:pt>
                <c:pt idx="49">
                  <c:v>44819</c:v>
                </c:pt>
                <c:pt idx="50">
                  <c:v>44851</c:v>
                </c:pt>
                <c:pt idx="51">
                  <c:v>44880</c:v>
                </c:pt>
                <c:pt idx="52">
                  <c:v>44910</c:v>
                </c:pt>
                <c:pt idx="53">
                  <c:v>44942</c:v>
                </c:pt>
                <c:pt idx="54">
                  <c:v>44972</c:v>
                </c:pt>
                <c:pt idx="55">
                  <c:v>45000</c:v>
                </c:pt>
                <c:pt idx="56">
                  <c:v>45033</c:v>
                </c:pt>
                <c:pt idx="57">
                  <c:v>45061</c:v>
                </c:pt>
                <c:pt idx="58">
                  <c:v>45092</c:v>
                </c:pt>
                <c:pt idx="59">
                  <c:v>45124</c:v>
                </c:pt>
                <c:pt idx="60">
                  <c:v>45153</c:v>
                </c:pt>
                <c:pt idx="61">
                  <c:v>45184</c:v>
                </c:pt>
                <c:pt idx="62">
                  <c:v>45215</c:v>
                </c:pt>
                <c:pt idx="63">
                  <c:v>45245</c:v>
                </c:pt>
                <c:pt idx="64">
                  <c:v>45275</c:v>
                </c:pt>
                <c:pt idx="65">
                  <c:v>45306</c:v>
                </c:pt>
                <c:pt idx="66">
                  <c:v>45337</c:v>
                </c:pt>
                <c:pt idx="67">
                  <c:v>45366</c:v>
                </c:pt>
                <c:pt idx="68">
                  <c:v>45397</c:v>
                </c:pt>
                <c:pt idx="69">
                  <c:v>45427</c:v>
                </c:pt>
                <c:pt idx="70">
                  <c:v>45460</c:v>
                </c:pt>
                <c:pt idx="71">
                  <c:v>45488</c:v>
                </c:pt>
                <c:pt idx="72">
                  <c:v>45519</c:v>
                </c:pt>
                <c:pt idx="73">
                  <c:v>45551</c:v>
                </c:pt>
                <c:pt idx="74">
                  <c:v>45580</c:v>
                </c:pt>
                <c:pt idx="75">
                  <c:v>45611</c:v>
                </c:pt>
                <c:pt idx="76">
                  <c:v>45642</c:v>
                </c:pt>
                <c:pt idx="77">
                  <c:v>45672</c:v>
                </c:pt>
                <c:pt idx="78">
                  <c:v>45705</c:v>
                </c:pt>
                <c:pt idx="79">
                  <c:v>45733</c:v>
                </c:pt>
                <c:pt idx="80">
                  <c:v>45762</c:v>
                </c:pt>
                <c:pt idx="81">
                  <c:v>45792</c:v>
                </c:pt>
                <c:pt idx="82">
                  <c:v>45824</c:v>
                </c:pt>
                <c:pt idx="83">
                  <c:v>45853</c:v>
                </c:pt>
                <c:pt idx="84">
                  <c:v>45884</c:v>
                </c:pt>
                <c:pt idx="85">
                  <c:v>45915</c:v>
                </c:pt>
                <c:pt idx="86">
                  <c:v>45945</c:v>
                </c:pt>
                <c:pt idx="87">
                  <c:v>45978</c:v>
                </c:pt>
                <c:pt idx="88">
                  <c:v>46006</c:v>
                </c:pt>
                <c:pt idx="89">
                  <c:v>46037</c:v>
                </c:pt>
                <c:pt idx="90">
                  <c:v>46069</c:v>
                </c:pt>
                <c:pt idx="91">
                  <c:v>46097</c:v>
                </c:pt>
                <c:pt idx="92">
                  <c:v>46127</c:v>
                </c:pt>
                <c:pt idx="93">
                  <c:v>46157</c:v>
                </c:pt>
                <c:pt idx="94">
                  <c:v>46188</c:v>
                </c:pt>
                <c:pt idx="95">
                  <c:v>46218</c:v>
                </c:pt>
                <c:pt idx="96">
                  <c:v>46251</c:v>
                </c:pt>
                <c:pt idx="97">
                  <c:v>46280</c:v>
                </c:pt>
                <c:pt idx="98">
                  <c:v>46310</c:v>
                </c:pt>
                <c:pt idx="99">
                  <c:v>46342</c:v>
                </c:pt>
                <c:pt idx="100">
                  <c:v>46371</c:v>
                </c:pt>
                <c:pt idx="101">
                  <c:v>46402</c:v>
                </c:pt>
                <c:pt idx="102">
                  <c:v>46433</c:v>
                </c:pt>
                <c:pt idx="103">
                  <c:v>46461</c:v>
                </c:pt>
                <c:pt idx="104">
                  <c:v>46492</c:v>
                </c:pt>
                <c:pt idx="105">
                  <c:v>46524</c:v>
                </c:pt>
                <c:pt idx="106">
                  <c:v>46553</c:v>
                </c:pt>
                <c:pt idx="107">
                  <c:v>46583</c:v>
                </c:pt>
                <c:pt idx="108">
                  <c:v>46615</c:v>
                </c:pt>
                <c:pt idx="109">
                  <c:v>46645</c:v>
                </c:pt>
                <c:pt idx="110">
                  <c:v>46675</c:v>
                </c:pt>
                <c:pt idx="111">
                  <c:v>46706</c:v>
                </c:pt>
                <c:pt idx="112">
                  <c:v>46736</c:v>
                </c:pt>
                <c:pt idx="113">
                  <c:v>46769</c:v>
                </c:pt>
                <c:pt idx="114">
                  <c:v>46798</c:v>
                </c:pt>
                <c:pt idx="115">
                  <c:v>46827</c:v>
                </c:pt>
                <c:pt idx="116">
                  <c:v>46860</c:v>
                </c:pt>
                <c:pt idx="117">
                  <c:v>46888</c:v>
                </c:pt>
                <c:pt idx="118">
                  <c:v>46919</c:v>
                </c:pt>
                <c:pt idx="119">
                  <c:v>46951</c:v>
                </c:pt>
                <c:pt idx="120">
                  <c:v>46980</c:v>
                </c:pt>
                <c:pt idx="121">
                  <c:v>47011</c:v>
                </c:pt>
                <c:pt idx="122">
                  <c:v>47042</c:v>
                </c:pt>
                <c:pt idx="123">
                  <c:v>47072</c:v>
                </c:pt>
                <c:pt idx="124">
                  <c:v>47102</c:v>
                </c:pt>
                <c:pt idx="125">
                  <c:v>47133</c:v>
                </c:pt>
                <c:pt idx="126">
                  <c:v>47164</c:v>
                </c:pt>
                <c:pt idx="127">
                  <c:v>47192</c:v>
                </c:pt>
                <c:pt idx="128">
                  <c:v>47224</c:v>
                </c:pt>
                <c:pt idx="129">
                  <c:v>47253</c:v>
                </c:pt>
                <c:pt idx="130">
                  <c:v>47284</c:v>
                </c:pt>
                <c:pt idx="131">
                  <c:v>47315</c:v>
                </c:pt>
                <c:pt idx="132">
                  <c:v>47345</c:v>
                </c:pt>
                <c:pt idx="133">
                  <c:v>47378</c:v>
                </c:pt>
                <c:pt idx="134">
                  <c:v>47406</c:v>
                </c:pt>
                <c:pt idx="135">
                  <c:v>47437</c:v>
                </c:pt>
                <c:pt idx="136">
                  <c:v>47469</c:v>
                </c:pt>
                <c:pt idx="137">
                  <c:v>47498</c:v>
                </c:pt>
                <c:pt idx="138">
                  <c:v>47529</c:v>
                </c:pt>
                <c:pt idx="139">
                  <c:v>47557</c:v>
                </c:pt>
                <c:pt idx="140">
                  <c:v>47588</c:v>
                </c:pt>
                <c:pt idx="141">
                  <c:v>47618</c:v>
                </c:pt>
                <c:pt idx="142">
                  <c:v>47651</c:v>
                </c:pt>
                <c:pt idx="143">
                  <c:v>47679</c:v>
                </c:pt>
                <c:pt idx="144">
                  <c:v>47710</c:v>
                </c:pt>
                <c:pt idx="145">
                  <c:v>47742</c:v>
                </c:pt>
                <c:pt idx="146">
                  <c:v>47771</c:v>
                </c:pt>
                <c:pt idx="147">
                  <c:v>47802</c:v>
                </c:pt>
                <c:pt idx="148">
                  <c:v>47833</c:v>
                </c:pt>
                <c:pt idx="149">
                  <c:v>47863</c:v>
                </c:pt>
                <c:pt idx="150">
                  <c:v>47896</c:v>
                </c:pt>
                <c:pt idx="151">
                  <c:v>47924</c:v>
                </c:pt>
                <c:pt idx="152">
                  <c:v>47953</c:v>
                </c:pt>
                <c:pt idx="153">
                  <c:v>47983</c:v>
                </c:pt>
                <c:pt idx="154">
                  <c:v>48015</c:v>
                </c:pt>
                <c:pt idx="155">
                  <c:v>48044</c:v>
                </c:pt>
                <c:pt idx="156">
                  <c:v>48075</c:v>
                </c:pt>
                <c:pt idx="157">
                  <c:v>48106</c:v>
                </c:pt>
                <c:pt idx="158">
                  <c:v>48136</c:v>
                </c:pt>
                <c:pt idx="159">
                  <c:v>48169</c:v>
                </c:pt>
                <c:pt idx="160">
                  <c:v>48197</c:v>
                </c:pt>
                <c:pt idx="161">
                  <c:v>48228</c:v>
                </c:pt>
                <c:pt idx="162">
                  <c:v>48260</c:v>
                </c:pt>
                <c:pt idx="163">
                  <c:v>48288</c:v>
                </c:pt>
                <c:pt idx="164">
                  <c:v>48319</c:v>
                </c:pt>
                <c:pt idx="165">
                  <c:v>48351</c:v>
                </c:pt>
                <c:pt idx="166">
                  <c:v>48380</c:v>
                </c:pt>
                <c:pt idx="167">
                  <c:v>48410</c:v>
                </c:pt>
                <c:pt idx="168">
                  <c:v>48442</c:v>
                </c:pt>
                <c:pt idx="169">
                  <c:v>48472</c:v>
                </c:pt>
                <c:pt idx="170">
                  <c:v>48502</c:v>
                </c:pt>
                <c:pt idx="171">
                  <c:v>48533</c:v>
                </c:pt>
                <c:pt idx="172">
                  <c:v>48563</c:v>
                </c:pt>
                <c:pt idx="173">
                  <c:v>48596</c:v>
                </c:pt>
                <c:pt idx="174">
                  <c:v>48625</c:v>
                </c:pt>
                <c:pt idx="175">
                  <c:v>48653</c:v>
                </c:pt>
                <c:pt idx="176">
                  <c:v>48684</c:v>
                </c:pt>
                <c:pt idx="177">
                  <c:v>48715</c:v>
                </c:pt>
                <c:pt idx="178">
                  <c:v>48745</c:v>
                </c:pt>
                <c:pt idx="179">
                  <c:v>48775</c:v>
                </c:pt>
                <c:pt idx="180">
                  <c:v>48806</c:v>
                </c:pt>
                <c:pt idx="181">
                  <c:v>48837</c:v>
                </c:pt>
                <c:pt idx="182">
                  <c:v>48869</c:v>
                </c:pt>
                <c:pt idx="183">
                  <c:v>48898</c:v>
                </c:pt>
                <c:pt idx="184">
                  <c:v>48928</c:v>
                </c:pt>
                <c:pt idx="185">
                  <c:v>48960</c:v>
                </c:pt>
                <c:pt idx="186">
                  <c:v>48990</c:v>
                </c:pt>
                <c:pt idx="187">
                  <c:v>49018</c:v>
                </c:pt>
                <c:pt idx="188">
                  <c:v>49051</c:v>
                </c:pt>
                <c:pt idx="189">
                  <c:v>49079</c:v>
                </c:pt>
                <c:pt idx="190">
                  <c:v>49110</c:v>
                </c:pt>
                <c:pt idx="191">
                  <c:v>49142</c:v>
                </c:pt>
                <c:pt idx="192">
                  <c:v>49171</c:v>
                </c:pt>
                <c:pt idx="193">
                  <c:v>49202</c:v>
                </c:pt>
                <c:pt idx="194">
                  <c:v>49233</c:v>
                </c:pt>
                <c:pt idx="195">
                  <c:v>49263</c:v>
                </c:pt>
                <c:pt idx="196">
                  <c:v>49293</c:v>
                </c:pt>
                <c:pt idx="197">
                  <c:v>49324</c:v>
                </c:pt>
                <c:pt idx="198">
                  <c:v>49355</c:v>
                </c:pt>
                <c:pt idx="199">
                  <c:v>49383</c:v>
                </c:pt>
                <c:pt idx="200">
                  <c:v>49415</c:v>
                </c:pt>
                <c:pt idx="201">
                  <c:v>49444</c:v>
                </c:pt>
                <c:pt idx="202">
                  <c:v>49475</c:v>
                </c:pt>
                <c:pt idx="203">
                  <c:v>49506</c:v>
                </c:pt>
                <c:pt idx="204">
                  <c:v>49536</c:v>
                </c:pt>
                <c:pt idx="205">
                  <c:v>49569</c:v>
                </c:pt>
                <c:pt idx="206">
                  <c:v>49597</c:v>
                </c:pt>
                <c:pt idx="207">
                  <c:v>49628</c:v>
                </c:pt>
                <c:pt idx="208">
                  <c:v>49660</c:v>
                </c:pt>
                <c:pt idx="209">
                  <c:v>49689</c:v>
                </c:pt>
                <c:pt idx="210">
                  <c:v>49720</c:v>
                </c:pt>
                <c:pt idx="211">
                  <c:v>49751</c:v>
                </c:pt>
                <c:pt idx="212">
                  <c:v>49780</c:v>
                </c:pt>
                <c:pt idx="213">
                  <c:v>49810</c:v>
                </c:pt>
                <c:pt idx="214">
                  <c:v>49842</c:v>
                </c:pt>
                <c:pt idx="215">
                  <c:v>49871</c:v>
                </c:pt>
                <c:pt idx="216">
                  <c:v>49902</c:v>
                </c:pt>
                <c:pt idx="217">
                  <c:v>49933</c:v>
                </c:pt>
                <c:pt idx="218">
                  <c:v>49963</c:v>
                </c:pt>
                <c:pt idx="219">
                  <c:v>49996</c:v>
                </c:pt>
                <c:pt idx="220">
                  <c:v>50024</c:v>
                </c:pt>
                <c:pt idx="221">
                  <c:v>50055</c:v>
                </c:pt>
                <c:pt idx="222">
                  <c:v>50087</c:v>
                </c:pt>
                <c:pt idx="223">
                  <c:v>50115</c:v>
                </c:pt>
                <c:pt idx="224">
                  <c:v>50145</c:v>
                </c:pt>
                <c:pt idx="225">
                  <c:v>50175</c:v>
                </c:pt>
                <c:pt idx="226">
                  <c:v>50206</c:v>
                </c:pt>
                <c:pt idx="227">
                  <c:v>50236</c:v>
                </c:pt>
                <c:pt idx="228">
                  <c:v>50269</c:v>
                </c:pt>
                <c:pt idx="229">
                  <c:v>50298</c:v>
                </c:pt>
                <c:pt idx="230">
                  <c:v>50328</c:v>
                </c:pt>
                <c:pt idx="231">
                  <c:v>50360</c:v>
                </c:pt>
                <c:pt idx="232">
                  <c:v>50389</c:v>
                </c:pt>
                <c:pt idx="233">
                  <c:v>50420</c:v>
                </c:pt>
                <c:pt idx="234">
                  <c:v>50451</c:v>
                </c:pt>
                <c:pt idx="235">
                  <c:v>50479</c:v>
                </c:pt>
                <c:pt idx="236">
                  <c:v>50510</c:v>
                </c:pt>
                <c:pt idx="237">
                  <c:v>50542</c:v>
                </c:pt>
                <c:pt idx="238">
                  <c:v>50571</c:v>
                </c:pt>
                <c:pt idx="239">
                  <c:v>50601</c:v>
                </c:pt>
                <c:pt idx="240">
                  <c:v>50633</c:v>
                </c:pt>
                <c:pt idx="241">
                  <c:v>50663</c:v>
                </c:pt>
                <c:pt idx="242">
                  <c:v>50693</c:v>
                </c:pt>
                <c:pt idx="243">
                  <c:v>50724</c:v>
                </c:pt>
                <c:pt idx="244">
                  <c:v>50754</c:v>
                </c:pt>
                <c:pt idx="245">
                  <c:v>50787</c:v>
                </c:pt>
                <c:pt idx="246">
                  <c:v>50816</c:v>
                </c:pt>
                <c:pt idx="247">
                  <c:v>50844</c:v>
                </c:pt>
                <c:pt idx="248">
                  <c:v>50875</c:v>
                </c:pt>
                <c:pt idx="249">
                  <c:v>50906</c:v>
                </c:pt>
                <c:pt idx="250">
                  <c:v>50936</c:v>
                </c:pt>
                <c:pt idx="251">
                  <c:v>50966</c:v>
                </c:pt>
                <c:pt idx="252">
                  <c:v>50997</c:v>
                </c:pt>
                <c:pt idx="253">
                  <c:v>51028</c:v>
                </c:pt>
                <c:pt idx="254">
                  <c:v>51060</c:v>
                </c:pt>
                <c:pt idx="255">
                  <c:v>51089</c:v>
                </c:pt>
                <c:pt idx="256">
                  <c:v>51119</c:v>
                </c:pt>
                <c:pt idx="257">
                  <c:v>51151</c:v>
                </c:pt>
                <c:pt idx="258">
                  <c:v>51181</c:v>
                </c:pt>
                <c:pt idx="259">
                  <c:v>51210</c:v>
                </c:pt>
                <c:pt idx="260">
                  <c:v>51242</c:v>
                </c:pt>
                <c:pt idx="261">
                  <c:v>51271</c:v>
                </c:pt>
                <c:pt idx="262">
                  <c:v>51302</c:v>
                </c:pt>
                <c:pt idx="263">
                  <c:v>51333</c:v>
                </c:pt>
                <c:pt idx="264">
                  <c:v>51363</c:v>
                </c:pt>
                <c:pt idx="265">
                  <c:v>51396</c:v>
                </c:pt>
                <c:pt idx="266">
                  <c:v>51424</c:v>
                </c:pt>
                <c:pt idx="267">
                  <c:v>51455</c:v>
                </c:pt>
                <c:pt idx="268">
                  <c:v>51487</c:v>
                </c:pt>
                <c:pt idx="269">
                  <c:v>51516</c:v>
                </c:pt>
                <c:pt idx="270">
                  <c:v>51547</c:v>
                </c:pt>
                <c:pt idx="271">
                  <c:v>51575</c:v>
                </c:pt>
                <c:pt idx="272">
                  <c:v>51606</c:v>
                </c:pt>
                <c:pt idx="273">
                  <c:v>51636</c:v>
                </c:pt>
                <c:pt idx="274">
                  <c:v>51669</c:v>
                </c:pt>
                <c:pt idx="275">
                  <c:v>51697</c:v>
                </c:pt>
                <c:pt idx="276">
                  <c:v>51728</c:v>
                </c:pt>
                <c:pt idx="277">
                  <c:v>51760</c:v>
                </c:pt>
                <c:pt idx="278">
                  <c:v>51789</c:v>
                </c:pt>
                <c:pt idx="279">
                  <c:v>51820</c:v>
                </c:pt>
                <c:pt idx="280">
                  <c:v>51851</c:v>
                </c:pt>
                <c:pt idx="281">
                  <c:v>51881</c:v>
                </c:pt>
                <c:pt idx="282">
                  <c:v>51914</c:v>
                </c:pt>
                <c:pt idx="283">
                  <c:v>51942</c:v>
                </c:pt>
                <c:pt idx="284">
                  <c:v>51971</c:v>
                </c:pt>
                <c:pt idx="285">
                  <c:v>52001</c:v>
                </c:pt>
                <c:pt idx="286">
                  <c:v>52033</c:v>
                </c:pt>
                <c:pt idx="287">
                  <c:v>52062</c:v>
                </c:pt>
                <c:pt idx="288">
                  <c:v>52093</c:v>
                </c:pt>
                <c:pt idx="289">
                  <c:v>52124</c:v>
                </c:pt>
                <c:pt idx="290">
                  <c:v>52154</c:v>
                </c:pt>
                <c:pt idx="291">
                  <c:v>52187</c:v>
                </c:pt>
                <c:pt idx="292">
                  <c:v>52215</c:v>
                </c:pt>
                <c:pt idx="293">
                  <c:v>52246</c:v>
                </c:pt>
                <c:pt idx="294">
                  <c:v>52278</c:v>
                </c:pt>
                <c:pt idx="295">
                  <c:v>52306</c:v>
                </c:pt>
                <c:pt idx="296">
                  <c:v>52336</c:v>
                </c:pt>
                <c:pt idx="297">
                  <c:v>52366</c:v>
                </c:pt>
                <c:pt idx="298">
                  <c:v>52397</c:v>
                </c:pt>
                <c:pt idx="299">
                  <c:v>52427</c:v>
                </c:pt>
                <c:pt idx="300">
                  <c:v>52460</c:v>
                </c:pt>
                <c:pt idx="301">
                  <c:v>52489</c:v>
                </c:pt>
                <c:pt idx="302">
                  <c:v>52519</c:v>
                </c:pt>
                <c:pt idx="303">
                  <c:v>52551</c:v>
                </c:pt>
                <c:pt idx="304">
                  <c:v>52580</c:v>
                </c:pt>
                <c:pt idx="305">
                  <c:v>52611</c:v>
                </c:pt>
                <c:pt idx="306">
                  <c:v>52642</c:v>
                </c:pt>
                <c:pt idx="307">
                  <c:v>52671</c:v>
                </c:pt>
                <c:pt idx="308">
                  <c:v>52702</c:v>
                </c:pt>
                <c:pt idx="309">
                  <c:v>52733</c:v>
                </c:pt>
                <c:pt idx="310">
                  <c:v>52763</c:v>
                </c:pt>
                <c:pt idx="311">
                  <c:v>52793</c:v>
                </c:pt>
                <c:pt idx="312">
                  <c:v>52824</c:v>
                </c:pt>
                <c:pt idx="313">
                  <c:v>52855</c:v>
                </c:pt>
                <c:pt idx="314">
                  <c:v>52887</c:v>
                </c:pt>
                <c:pt idx="315">
                  <c:v>52916</c:v>
                </c:pt>
                <c:pt idx="316">
                  <c:v>52946</c:v>
                </c:pt>
                <c:pt idx="317">
                  <c:v>52978</c:v>
                </c:pt>
                <c:pt idx="318">
                  <c:v>53008</c:v>
                </c:pt>
                <c:pt idx="319">
                  <c:v>53036</c:v>
                </c:pt>
                <c:pt idx="320">
                  <c:v>53069</c:v>
                </c:pt>
                <c:pt idx="321">
                  <c:v>53097</c:v>
                </c:pt>
                <c:pt idx="322">
                  <c:v>53128</c:v>
                </c:pt>
                <c:pt idx="323">
                  <c:v>53160</c:v>
                </c:pt>
                <c:pt idx="324">
                  <c:v>53189</c:v>
                </c:pt>
                <c:pt idx="325">
                  <c:v>53220</c:v>
                </c:pt>
                <c:pt idx="326">
                  <c:v>53251</c:v>
                </c:pt>
                <c:pt idx="327">
                  <c:v>53281</c:v>
                </c:pt>
                <c:pt idx="328">
                  <c:v>53311</c:v>
                </c:pt>
                <c:pt idx="329">
                  <c:v>53342</c:v>
                </c:pt>
                <c:pt idx="330">
                  <c:v>53373</c:v>
                </c:pt>
                <c:pt idx="331">
                  <c:v>53401</c:v>
                </c:pt>
                <c:pt idx="332">
                  <c:v>53433</c:v>
                </c:pt>
                <c:pt idx="333">
                  <c:v>53462</c:v>
                </c:pt>
                <c:pt idx="334">
                  <c:v>53493</c:v>
                </c:pt>
                <c:pt idx="335">
                  <c:v>53524</c:v>
                </c:pt>
                <c:pt idx="336">
                  <c:v>53554</c:v>
                </c:pt>
                <c:pt idx="337">
                  <c:v>53587</c:v>
                </c:pt>
                <c:pt idx="338">
                  <c:v>53615</c:v>
                </c:pt>
                <c:pt idx="339">
                  <c:v>53646</c:v>
                </c:pt>
                <c:pt idx="340">
                  <c:v>53678</c:v>
                </c:pt>
                <c:pt idx="341">
                  <c:v>53707</c:v>
                </c:pt>
                <c:pt idx="342">
                  <c:v>53738</c:v>
                </c:pt>
                <c:pt idx="343">
                  <c:v>53766</c:v>
                </c:pt>
                <c:pt idx="344">
                  <c:v>53797</c:v>
                </c:pt>
                <c:pt idx="345">
                  <c:v>53827</c:v>
                </c:pt>
                <c:pt idx="346">
                  <c:v>53860</c:v>
                </c:pt>
                <c:pt idx="347">
                  <c:v>53888</c:v>
                </c:pt>
                <c:pt idx="348">
                  <c:v>53919</c:v>
                </c:pt>
                <c:pt idx="349">
                  <c:v>53951</c:v>
                </c:pt>
                <c:pt idx="350">
                  <c:v>53980</c:v>
                </c:pt>
                <c:pt idx="351">
                  <c:v>54011</c:v>
                </c:pt>
                <c:pt idx="352">
                  <c:v>54042</c:v>
                </c:pt>
                <c:pt idx="353">
                  <c:v>54072</c:v>
                </c:pt>
                <c:pt idx="354">
                  <c:v>54105</c:v>
                </c:pt>
                <c:pt idx="355">
                  <c:v>54133</c:v>
                </c:pt>
                <c:pt idx="356">
                  <c:v>54163</c:v>
                </c:pt>
                <c:pt idx="357">
                  <c:v>54193</c:v>
                </c:pt>
                <c:pt idx="358">
                  <c:v>54224</c:v>
                </c:pt>
                <c:pt idx="359">
                  <c:v>54254</c:v>
                </c:pt>
                <c:pt idx="360">
                  <c:v>54287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DISPLAY_CURVE!$G$10:$G$501</c:f>
              <c:numCache>
                <c:formatCode>0.00000%</c:formatCode>
                <c:ptCount val="492"/>
                <c:pt idx="0">
                  <c:v>2.5413806883562547E-2</c:v>
                </c:pt>
                <c:pt idx="1">
                  <c:v>2.6331595804297551E-2</c:v>
                </c:pt>
                <c:pt idx="2">
                  <c:v>2.7142654387817135E-2</c:v>
                </c:pt>
                <c:pt idx="3">
                  <c:v>2.8059713663331189E-2</c:v>
                </c:pt>
                <c:pt idx="4">
                  <c:v>2.9010286197415698E-2</c:v>
                </c:pt>
                <c:pt idx="5">
                  <c:v>2.9859790683379576E-2</c:v>
                </c:pt>
                <c:pt idx="6">
                  <c:v>3.0766172893524162E-2</c:v>
                </c:pt>
                <c:pt idx="7">
                  <c:v>3.1517319969476272E-2</c:v>
                </c:pt>
                <c:pt idx="8">
                  <c:v>3.2277751419671305E-2</c:v>
                </c:pt>
                <c:pt idx="9">
                  <c:v>3.2948394802039628E-2</c:v>
                </c:pt>
                <c:pt idx="10">
                  <c:v>3.3578820452383494E-2</c:v>
                </c:pt>
                <c:pt idx="11">
                  <c:v>3.4009641000466571E-2</c:v>
                </c:pt>
                <c:pt idx="12">
                  <c:v>3.4359786886976489E-2</c:v>
                </c:pt>
                <c:pt idx="13">
                  <c:v>3.4559292112790442E-2</c:v>
                </c:pt>
                <c:pt idx="14">
                  <c:v>3.4611043711570991E-2</c:v>
                </c:pt>
                <c:pt idx="15">
                  <c:v>3.4541645220610907E-2</c:v>
                </c:pt>
                <c:pt idx="16">
                  <c:v>3.4374810141066366E-2</c:v>
                </c:pt>
                <c:pt idx="17">
                  <c:v>3.4125461871493366E-2</c:v>
                </c:pt>
                <c:pt idx="18">
                  <c:v>3.3776824685877116E-2</c:v>
                </c:pt>
                <c:pt idx="19">
                  <c:v>3.3442145866750775E-2</c:v>
                </c:pt>
                <c:pt idx="20">
                  <c:v>3.3048822640541278E-2</c:v>
                </c:pt>
                <c:pt idx="21">
                  <c:v>3.2634454939020799E-2</c:v>
                </c:pt>
                <c:pt idx="22">
                  <c:v>3.2230535980917158E-2</c:v>
                </c:pt>
                <c:pt idx="23">
                  <c:v>3.1855603207588755E-2</c:v>
                </c:pt>
                <c:pt idx="24">
                  <c:v>3.1493047152672378E-2</c:v>
                </c:pt>
                <c:pt idx="25">
                  <c:v>3.123393687956787E-2</c:v>
                </c:pt>
                <c:pt idx="26">
                  <c:v>3.1024685582048919E-2</c:v>
                </c:pt>
                <c:pt idx="27">
                  <c:v>3.0860537480144477E-2</c:v>
                </c:pt>
                <c:pt idx="28">
                  <c:v>3.0758262215588538E-2</c:v>
                </c:pt>
                <c:pt idx="29">
                  <c:v>3.0694825454281854E-2</c:v>
                </c:pt>
                <c:pt idx="30">
                  <c:v>3.0660918271764308E-2</c:v>
                </c:pt>
                <c:pt idx="31">
                  <c:v>3.0659349655290553E-2</c:v>
                </c:pt>
                <c:pt idx="32">
                  <c:v>3.0679567831816846E-2</c:v>
                </c:pt>
                <c:pt idx="33">
                  <c:v>3.071723543142724E-2</c:v>
                </c:pt>
                <c:pt idx="34">
                  <c:v>3.0759476440570581E-2</c:v>
                </c:pt>
                <c:pt idx="35">
                  <c:v>3.0804648588935453E-2</c:v>
                </c:pt>
                <c:pt idx="36">
                  <c:v>3.0846969960266271E-2</c:v>
                </c:pt>
                <c:pt idx="37">
                  <c:v>3.0875211019322706E-2</c:v>
                </c:pt>
                <c:pt idx="38">
                  <c:v>3.0894466850780084E-2</c:v>
                </c:pt>
                <c:pt idx="39">
                  <c:v>3.0899617653721918E-2</c:v>
                </c:pt>
                <c:pt idx="40">
                  <c:v>3.0898454484581526E-2</c:v>
                </c:pt>
                <c:pt idx="41">
                  <c:v>3.0889577520805751E-2</c:v>
                </c:pt>
                <c:pt idx="42">
                  <c:v>3.0876785329484176E-2</c:v>
                </c:pt>
                <c:pt idx="43">
                  <c:v>3.0861389325027987E-2</c:v>
                </c:pt>
                <c:pt idx="44">
                  <c:v>3.0844486539746453E-2</c:v>
                </c:pt>
                <c:pt idx="45">
                  <c:v>3.0823140484637579E-2</c:v>
                </c:pt>
                <c:pt idx="46">
                  <c:v>3.0805853459435369E-2</c:v>
                </c:pt>
                <c:pt idx="47">
                  <c:v>3.0794167951909431E-2</c:v>
                </c:pt>
                <c:pt idx="48">
                  <c:v>3.0781689479530371E-2</c:v>
                </c:pt>
                <c:pt idx="49">
                  <c:v>3.0778272305793629E-2</c:v>
                </c:pt>
                <c:pt idx="50">
                  <c:v>3.0781410326509672E-2</c:v>
                </c:pt>
                <c:pt idx="51">
                  <c:v>3.0789569234195246E-2</c:v>
                </c:pt>
                <c:pt idx="52">
                  <c:v>3.08027936704823E-2</c:v>
                </c:pt>
                <c:pt idx="53">
                  <c:v>3.0821657519891726E-2</c:v>
                </c:pt>
                <c:pt idx="54">
                  <c:v>3.0843223531045735E-2</c:v>
                </c:pt>
                <c:pt idx="55">
                  <c:v>3.0868065562158979E-2</c:v>
                </c:pt>
                <c:pt idx="56">
                  <c:v>3.0898155920722713E-2</c:v>
                </c:pt>
                <c:pt idx="57">
                  <c:v>3.0925651161462429E-2</c:v>
                </c:pt>
                <c:pt idx="58">
                  <c:v>3.0961304844478892E-2</c:v>
                </c:pt>
                <c:pt idx="59">
                  <c:v>3.0991599245113681E-2</c:v>
                </c:pt>
                <c:pt idx="60">
                  <c:v>3.1022712122530421E-2</c:v>
                </c:pt>
                <c:pt idx="61">
                  <c:v>3.1057604877197754E-2</c:v>
                </c:pt>
                <c:pt idx="62">
                  <c:v>3.1088479203557885E-2</c:v>
                </c:pt>
                <c:pt idx="63">
                  <c:v>3.1119843402136291E-2</c:v>
                </c:pt>
                <c:pt idx="64">
                  <c:v>3.1152764767365618E-2</c:v>
                </c:pt>
                <c:pt idx="65">
                  <c:v>3.1182758684198227E-2</c:v>
                </c:pt>
                <c:pt idx="66">
                  <c:v>3.1217992942664714E-2</c:v>
                </c:pt>
                <c:pt idx="67">
                  <c:v>3.1245440553113717E-2</c:v>
                </c:pt>
                <c:pt idx="68">
                  <c:v>3.1272833250317884E-2</c:v>
                </c:pt>
                <c:pt idx="69">
                  <c:v>3.1302674852281095E-2</c:v>
                </c:pt>
                <c:pt idx="70">
                  <c:v>3.1335263085984104E-2</c:v>
                </c:pt>
                <c:pt idx="71">
                  <c:v>3.1362731193627459E-2</c:v>
                </c:pt>
                <c:pt idx="72">
                  <c:v>3.1392960685381284E-2</c:v>
                </c:pt>
                <c:pt idx="73">
                  <c:v>3.1423975845841147E-2</c:v>
                </c:pt>
                <c:pt idx="74">
                  <c:v>3.1451926244045934E-2</c:v>
                </c:pt>
                <c:pt idx="75">
                  <c:v>3.1485326956246007E-2</c:v>
                </c:pt>
                <c:pt idx="76">
                  <c:v>3.1511249688515687E-2</c:v>
                </c:pt>
                <c:pt idx="77">
                  <c:v>3.1539776458775683E-2</c:v>
                </c:pt>
                <c:pt idx="78">
                  <c:v>3.1571048151610888E-2</c:v>
                </c:pt>
                <c:pt idx="79">
                  <c:v>3.1597509198352289E-2</c:v>
                </c:pt>
                <c:pt idx="80">
                  <c:v>3.1624860598004623E-2</c:v>
                </c:pt>
                <c:pt idx="81">
                  <c:v>3.1653112799129163E-2</c:v>
                </c:pt>
                <c:pt idx="82">
                  <c:v>3.1683220208212876E-2</c:v>
                </c:pt>
                <c:pt idx="83">
                  <c:v>3.1710497138012703E-2</c:v>
                </c:pt>
                <c:pt idx="84">
                  <c:v>3.1743378624522617E-2</c:v>
                </c:pt>
                <c:pt idx="85">
                  <c:v>3.176886543944319E-2</c:v>
                </c:pt>
                <c:pt idx="86">
                  <c:v>3.1797163974942949E-2</c:v>
                </c:pt>
                <c:pt idx="87">
                  <c:v>3.1828338874407489E-2</c:v>
                </c:pt>
                <c:pt idx="88">
                  <c:v>3.1854828818360062E-2</c:v>
                </c:pt>
                <c:pt idx="89">
                  <c:v>3.1884198544512764E-2</c:v>
                </c:pt>
                <c:pt idx="90">
                  <c:v>3.1914561870039333E-2</c:v>
                </c:pt>
                <c:pt idx="91">
                  <c:v>3.1941168576690292E-2</c:v>
                </c:pt>
                <c:pt idx="92">
                  <c:v>3.1969716260964259E-2</c:v>
                </c:pt>
                <c:pt idx="93">
                  <c:v>3.2002076935890474E-2</c:v>
                </c:pt>
                <c:pt idx="94">
                  <c:v>3.2027893766240642E-2</c:v>
                </c:pt>
                <c:pt idx="95">
                  <c:v>3.2056570538389631E-2</c:v>
                </c:pt>
                <c:pt idx="96">
                  <c:v>3.2088164936539827E-2</c:v>
                </c:pt>
                <c:pt idx="97">
                  <c:v>3.2115973604321932E-2</c:v>
                </c:pt>
                <c:pt idx="98">
                  <c:v>3.2144784147467638E-2</c:v>
                </c:pt>
                <c:pt idx="99">
                  <c:v>3.2175562129047097E-2</c:v>
                </c:pt>
                <c:pt idx="100">
                  <c:v>3.220349507065616E-2</c:v>
                </c:pt>
                <c:pt idx="101">
                  <c:v>3.2237218832763939E-2</c:v>
                </c:pt>
                <c:pt idx="102">
                  <c:v>3.2263337033707873E-2</c:v>
                </c:pt>
                <c:pt idx="103">
                  <c:v>3.2292332723795898E-2</c:v>
                </c:pt>
                <c:pt idx="104">
                  <c:v>3.2326193771295059E-2</c:v>
                </c:pt>
                <c:pt idx="105">
                  <c:v>3.2353377134302697E-2</c:v>
                </c:pt>
                <c:pt idx="106">
                  <c:v>3.238152654440038E-2</c:v>
                </c:pt>
                <c:pt idx="107">
                  <c:v>3.2414538578143588E-2</c:v>
                </c:pt>
                <c:pt idx="108">
                  <c:v>3.2441805500423998E-2</c:v>
                </c:pt>
                <c:pt idx="109">
                  <c:v>3.2470995560523158E-2</c:v>
                </c:pt>
                <c:pt idx="110">
                  <c:v>3.2502002048584049E-2</c:v>
                </c:pt>
                <c:pt idx="111">
                  <c:v>3.2529838188317242E-2</c:v>
                </c:pt>
                <c:pt idx="112">
                  <c:v>3.2558220269998245E-2</c:v>
                </c:pt>
                <c:pt idx="113">
                  <c:v>3.2588774436605975E-2</c:v>
                </c:pt>
                <c:pt idx="114">
                  <c:v>3.261489155623272E-2</c:v>
                </c:pt>
                <c:pt idx="115">
                  <c:v>3.2638320911341931E-2</c:v>
                </c:pt>
                <c:pt idx="116">
                  <c:v>3.2665923587472681E-2</c:v>
                </c:pt>
                <c:pt idx="117">
                  <c:v>3.2688197416998965E-2</c:v>
                </c:pt>
                <c:pt idx="118">
                  <c:v>3.2711462327877125E-2</c:v>
                </c:pt>
                <c:pt idx="119">
                  <c:v>3.2733754983572248E-2</c:v>
                </c:pt>
                <c:pt idx="120">
                  <c:v>3.2752280487090536E-2</c:v>
                </c:pt>
                <c:pt idx="121">
                  <c:v>3.2773535450421817E-2</c:v>
                </c:pt>
                <c:pt idx="122">
                  <c:v>3.2786049561872165E-2</c:v>
                </c:pt>
                <c:pt idx="123">
                  <c:v>3.279950612777828E-2</c:v>
                </c:pt>
                <c:pt idx="124">
                  <c:v>3.2814268795335333E-2</c:v>
                </c:pt>
                <c:pt idx="125">
                  <c:v>3.2821081526390523E-2</c:v>
                </c:pt>
                <c:pt idx="126">
                  <c:v>3.2829078736669889E-2</c:v>
                </c:pt>
                <c:pt idx="127">
                  <c:v>3.2834586540277273E-2</c:v>
                </c:pt>
                <c:pt idx="128">
                  <c:v>3.2838890473414394E-2</c:v>
                </c:pt>
                <c:pt idx="129">
                  <c:v>3.28409596633321E-2</c:v>
                </c:pt>
                <c:pt idx="130">
                  <c:v>3.2844064957071033E-2</c:v>
                </c:pt>
                <c:pt idx="131">
                  <c:v>3.2839556297551038E-2</c:v>
                </c:pt>
                <c:pt idx="132">
                  <c:v>3.2836033445365072E-2</c:v>
                </c:pt>
                <c:pt idx="133">
                  <c:v>3.2830045230434028E-2</c:v>
                </c:pt>
                <c:pt idx="134">
                  <c:v>3.2823350933458652E-2</c:v>
                </c:pt>
                <c:pt idx="135">
                  <c:v>3.2814385093744812E-2</c:v>
                </c:pt>
                <c:pt idx="136">
                  <c:v>3.2803608131815327E-2</c:v>
                </c:pt>
                <c:pt idx="137">
                  <c:v>3.2792677685462963E-2</c:v>
                </c:pt>
                <c:pt idx="138">
                  <c:v>3.2782421405923967E-2</c:v>
                </c:pt>
                <c:pt idx="139">
                  <c:v>3.2770150869988843E-2</c:v>
                </c:pt>
                <c:pt idx="140">
                  <c:v>3.2753443658866198E-2</c:v>
                </c:pt>
                <c:pt idx="141">
                  <c:v>3.2739164897810043E-2</c:v>
                </c:pt>
                <c:pt idx="142">
                  <c:v>3.2723117364937743E-2</c:v>
                </c:pt>
                <c:pt idx="143">
                  <c:v>3.2709396298990744E-2</c:v>
                </c:pt>
                <c:pt idx="144">
                  <c:v>3.2694284329639951E-2</c:v>
                </c:pt>
                <c:pt idx="145">
                  <c:v>3.267895478055137E-2</c:v>
                </c:pt>
                <c:pt idx="146">
                  <c:v>3.2665339066320603E-2</c:v>
                </c:pt>
                <c:pt idx="147">
                  <c:v>3.2653567265252099E-2</c:v>
                </c:pt>
                <c:pt idx="148">
                  <c:v>3.2637106381704799E-2</c:v>
                </c:pt>
                <c:pt idx="149">
                  <c:v>3.2623871450388156E-2</c:v>
                </c:pt>
                <c:pt idx="150">
                  <c:v>3.2609631657860787E-2</c:v>
                </c:pt>
                <c:pt idx="151">
                  <c:v>3.2599069765330106E-2</c:v>
                </c:pt>
                <c:pt idx="152">
                  <c:v>3.2587079485177091E-2</c:v>
                </c:pt>
                <c:pt idx="153">
                  <c:v>3.2577476281784722E-2</c:v>
                </c:pt>
                <c:pt idx="154">
                  <c:v>3.2562294219630257E-2</c:v>
                </c:pt>
                <c:pt idx="155">
                  <c:v>3.2551095226629828E-2</c:v>
                </c:pt>
                <c:pt idx="156">
                  <c:v>3.254067692147971E-2</c:v>
                </c:pt>
                <c:pt idx="157">
                  <c:v>3.2527989858862127E-2</c:v>
                </c:pt>
                <c:pt idx="158">
                  <c:v>3.251722476912812E-2</c:v>
                </c:pt>
                <c:pt idx="159">
                  <c:v>3.2505696954032617E-2</c:v>
                </c:pt>
                <c:pt idx="160">
                  <c:v>3.2496173310746876E-2</c:v>
                </c:pt>
                <c:pt idx="161">
                  <c:v>3.2488496767740696E-2</c:v>
                </c:pt>
                <c:pt idx="162">
                  <c:v>3.2475608271632789E-2</c:v>
                </c:pt>
                <c:pt idx="163">
                  <c:v>3.2465548364904055E-2</c:v>
                </c:pt>
                <c:pt idx="164">
                  <c:v>3.2456123907411503E-2</c:v>
                </c:pt>
                <c:pt idx="165">
                  <c:v>3.2446697553367654E-2</c:v>
                </c:pt>
                <c:pt idx="166">
                  <c:v>3.2438419635662269E-2</c:v>
                </c:pt>
                <c:pt idx="167">
                  <c:v>3.243012073640527E-2</c:v>
                </c:pt>
                <c:pt idx="168">
                  <c:v>3.2421564545089536E-2</c:v>
                </c:pt>
                <c:pt idx="169">
                  <c:v>3.241381431307256E-2</c:v>
                </c:pt>
                <c:pt idx="170">
                  <c:v>3.2408951443647485E-2</c:v>
                </c:pt>
                <c:pt idx="171">
                  <c:v>3.2398733608027044E-2</c:v>
                </c:pt>
                <c:pt idx="172">
                  <c:v>3.2391576263617626E-2</c:v>
                </c:pt>
                <c:pt idx="173">
                  <c:v>3.2383842090134708E-2</c:v>
                </c:pt>
                <c:pt idx="174">
                  <c:v>3.2377127379947385E-2</c:v>
                </c:pt>
                <c:pt idx="175">
                  <c:v>3.2370683509635956E-2</c:v>
                </c:pt>
                <c:pt idx="176">
                  <c:v>3.2366199893565858E-2</c:v>
                </c:pt>
                <c:pt idx="177">
                  <c:v>3.2356395466212703E-2</c:v>
                </c:pt>
                <c:pt idx="178">
                  <c:v>3.2349392984927471E-2</c:v>
                </c:pt>
                <c:pt idx="179">
                  <c:v>3.2344901806955942E-2</c:v>
                </c:pt>
                <c:pt idx="180">
                  <c:v>3.2334769228534024E-2</c:v>
                </c:pt>
                <c:pt idx="181">
                  <c:v>3.23270596416073E-2</c:v>
                </c:pt>
                <c:pt idx="182">
                  <c:v>3.2318882886865401E-2</c:v>
                </c:pt>
                <c:pt idx="183">
                  <c:v>3.2311281259850208E-2</c:v>
                </c:pt>
                <c:pt idx="184">
                  <c:v>3.230322622866913E-2</c:v>
                </c:pt>
                <c:pt idx="185">
                  <c:v>3.2294420108333839E-2</c:v>
                </c:pt>
                <c:pt idx="186">
                  <c:v>3.2285963978269668E-2</c:v>
                </c:pt>
                <c:pt idx="187">
                  <c:v>3.2277896903361691E-2</c:v>
                </c:pt>
                <c:pt idx="188">
                  <c:v>3.226817311342018E-2</c:v>
                </c:pt>
                <c:pt idx="189">
                  <c:v>3.2259739524838439E-2</c:v>
                </c:pt>
                <c:pt idx="190">
                  <c:v>3.2250206625604606E-2</c:v>
                </c:pt>
                <c:pt idx="191">
                  <c:v>3.224015089833851E-2</c:v>
                </c:pt>
                <c:pt idx="192">
                  <c:v>3.2230849334039878E-2</c:v>
                </c:pt>
                <c:pt idx="193">
                  <c:v>3.2223217804951063E-2</c:v>
                </c:pt>
                <c:pt idx="194">
                  <c:v>3.2210362809633124E-2</c:v>
                </c:pt>
                <c:pt idx="195">
                  <c:v>3.220015611567166E-2</c:v>
                </c:pt>
                <c:pt idx="196">
                  <c:v>3.2192242212490903E-2</c:v>
                </c:pt>
                <c:pt idx="197">
                  <c:v>3.2178810935978748E-2</c:v>
                </c:pt>
                <c:pt idx="198">
                  <c:v>3.21676592488402E-2</c:v>
                </c:pt>
                <c:pt idx="199">
                  <c:v>3.2161100078342712E-2</c:v>
                </c:pt>
                <c:pt idx="200">
                  <c:v>3.214671809932397E-2</c:v>
                </c:pt>
                <c:pt idx="201">
                  <c:v>3.2135724626988667E-2</c:v>
                </c:pt>
                <c:pt idx="202">
                  <c:v>3.2124991276979917E-2</c:v>
                </c:pt>
                <c:pt idx="203">
                  <c:v>3.2111618578496127E-2</c:v>
                </c:pt>
                <c:pt idx="204">
                  <c:v>3.2099659399300443E-2</c:v>
                </c:pt>
                <c:pt idx="205">
                  <c:v>3.2086282045878073E-2</c:v>
                </c:pt>
                <c:pt idx="206">
                  <c:v>3.2074748934464423E-2</c:v>
                </c:pt>
                <c:pt idx="207">
                  <c:v>3.2064174763080391E-2</c:v>
                </c:pt>
                <c:pt idx="208">
                  <c:v>3.2048186386651863E-2</c:v>
                </c:pt>
                <c:pt idx="209">
                  <c:v>3.2035673888573771E-2</c:v>
                </c:pt>
                <c:pt idx="210">
                  <c:v>3.2023281422689495E-2</c:v>
                </c:pt>
                <c:pt idx="211">
                  <c:v>3.2007142441879181E-2</c:v>
                </c:pt>
                <c:pt idx="212">
                  <c:v>3.1994069921148401E-2</c:v>
                </c:pt>
                <c:pt idx="213">
                  <c:v>3.1980357490391284E-2</c:v>
                </c:pt>
                <c:pt idx="214">
                  <c:v>3.1965518957188237E-2</c:v>
                </c:pt>
                <c:pt idx="215">
                  <c:v>3.1951882626134971E-2</c:v>
                </c:pt>
                <c:pt idx="216">
                  <c:v>3.1939417497891281E-2</c:v>
                </c:pt>
                <c:pt idx="217">
                  <c:v>3.1922126674089939E-2</c:v>
                </c:pt>
                <c:pt idx="218">
                  <c:v>3.190743359167135E-2</c:v>
                </c:pt>
                <c:pt idx="219">
                  <c:v>3.1891048990974662E-2</c:v>
                </c:pt>
                <c:pt idx="220">
                  <c:v>3.1876964450107806E-2</c:v>
                </c:pt>
                <c:pt idx="221">
                  <c:v>3.1861175589748394E-2</c:v>
                </c:pt>
                <c:pt idx="222">
                  <c:v>3.184466232780063E-2</c:v>
                </c:pt>
                <c:pt idx="223">
                  <c:v>3.1830034114873632E-2</c:v>
                </c:pt>
                <c:pt idx="224">
                  <c:v>3.1814175664544052E-2</c:v>
                </c:pt>
                <c:pt idx="225">
                  <c:v>3.1800353403699175E-2</c:v>
                </c:pt>
                <c:pt idx="226">
                  <c:v>3.1781339436057765E-2</c:v>
                </c:pt>
                <c:pt idx="227">
                  <c:v>3.1764900304886032E-2</c:v>
                </c:pt>
                <c:pt idx="228">
                  <c:v>3.1746596580652771E-2</c:v>
                </c:pt>
                <c:pt idx="229">
                  <c:v>3.173032345803687E-2</c:v>
                </c:pt>
                <c:pt idx="230">
                  <c:v>3.1713317470352075E-2</c:v>
                </c:pt>
                <c:pt idx="231">
                  <c:v>3.1695003314585357E-2</c:v>
                </c:pt>
                <c:pt idx="232">
                  <c:v>3.1678266845159446E-2</c:v>
                </c:pt>
                <c:pt idx="233">
                  <c:v>3.1662411090326907E-2</c:v>
                </c:pt>
                <c:pt idx="234">
                  <c:v>3.1642112341373908E-2</c:v>
                </c:pt>
                <c:pt idx="235">
                  <c:v>3.1625648990733883E-2</c:v>
                </c:pt>
                <c:pt idx="236">
                  <c:v>3.1607346633724984E-2</c:v>
                </c:pt>
                <c:pt idx="237">
                  <c:v>3.1588390679866442E-2</c:v>
                </c:pt>
                <c:pt idx="238">
                  <c:v>3.1571173918762983E-2</c:v>
                </c:pt>
                <c:pt idx="239">
                  <c:v>3.1553343056315492E-2</c:v>
                </c:pt>
                <c:pt idx="240">
                  <c:v>3.1534320437455438E-2</c:v>
                </c:pt>
                <c:pt idx="241">
                  <c:v>3.1516500154584619E-2</c:v>
                </c:pt>
                <c:pt idx="242">
                  <c:v>3.1500831634399117E-2</c:v>
                </c:pt>
                <c:pt idx="243">
                  <c:v>3.148031642070194E-2</c:v>
                </c:pt>
                <c:pt idx="244">
                  <c:v>3.1462545897498854E-2</c:v>
                </c:pt>
                <c:pt idx="245">
                  <c:v>3.1443016972262025E-2</c:v>
                </c:pt>
                <c:pt idx="246">
                  <c:v>3.1425871183816893E-2</c:v>
                </c:pt>
                <c:pt idx="247">
                  <c:v>3.1410391862549056E-2</c:v>
                </c:pt>
                <c:pt idx="248">
                  <c:v>3.1393153710953532E-2</c:v>
                </c:pt>
                <c:pt idx="249">
                  <c:v>3.1373812499308339E-2</c:v>
                </c:pt>
                <c:pt idx="250">
                  <c:v>3.1356136578003561E-2</c:v>
                </c:pt>
                <c:pt idx="251">
                  <c:v>3.1339531983096566E-2</c:v>
                </c:pt>
                <c:pt idx="252">
                  <c:v>3.1320242562956561E-2</c:v>
                </c:pt>
                <c:pt idx="253">
                  <c:v>3.1304132226401271E-2</c:v>
                </c:pt>
                <c:pt idx="254">
                  <c:v>3.1283236998797904E-2</c:v>
                </c:pt>
                <c:pt idx="255">
                  <c:v>3.1266224996594455E-2</c:v>
                </c:pt>
                <c:pt idx="256">
                  <c:v>3.1250740674419297E-2</c:v>
                </c:pt>
                <c:pt idx="257">
                  <c:v>3.1229901900043253E-2</c:v>
                </c:pt>
                <c:pt idx="258">
                  <c:v>3.1212349469445969E-2</c:v>
                </c:pt>
                <c:pt idx="259">
                  <c:v>3.1194350748594099E-2</c:v>
                </c:pt>
                <c:pt idx="260">
                  <c:v>3.1175661997803455E-2</c:v>
                </c:pt>
                <c:pt idx="261">
                  <c:v>3.115874032379579E-2</c:v>
                </c:pt>
                <c:pt idx="262">
                  <c:v>3.1142751492992518E-2</c:v>
                </c:pt>
                <c:pt idx="263">
                  <c:v>3.1122610909019695E-2</c:v>
                </c:pt>
                <c:pt idx="264">
                  <c:v>3.1105152433908736E-2</c:v>
                </c:pt>
                <c:pt idx="265">
                  <c:v>3.1085965884126803E-2</c:v>
                </c:pt>
                <c:pt idx="266">
                  <c:v>3.106970104357756E-2</c:v>
                </c:pt>
                <c:pt idx="267">
                  <c:v>3.1051709236119218E-2</c:v>
                </c:pt>
                <c:pt idx="268">
                  <c:v>3.1033154343417135E-2</c:v>
                </c:pt>
                <c:pt idx="269">
                  <c:v>3.1016354142590137E-2</c:v>
                </c:pt>
                <c:pt idx="270">
                  <c:v>3.1000475440859265E-2</c:v>
                </c:pt>
                <c:pt idx="271">
                  <c:v>3.0984280794689567E-2</c:v>
                </c:pt>
                <c:pt idx="272">
                  <c:v>3.0964307335347375E-2</c:v>
                </c:pt>
                <c:pt idx="273">
                  <c:v>3.0946989191688958E-2</c:v>
                </c:pt>
                <c:pt idx="274">
                  <c:v>3.0927956979611503E-2</c:v>
                </c:pt>
                <c:pt idx="275">
                  <c:v>3.0911822993191982E-2</c:v>
                </c:pt>
                <c:pt idx="276">
                  <c:v>3.0893975926895932E-2</c:v>
                </c:pt>
                <c:pt idx="277">
                  <c:v>3.087557025336336E-2</c:v>
                </c:pt>
                <c:pt idx="278">
                  <c:v>3.0858905101199242E-2</c:v>
                </c:pt>
                <c:pt idx="279">
                  <c:v>3.0843148736193246E-2</c:v>
                </c:pt>
                <c:pt idx="280">
                  <c:v>3.0823324043291443E-2</c:v>
                </c:pt>
                <c:pt idx="281">
                  <c:v>3.0806130861831094E-2</c:v>
                </c:pt>
                <c:pt idx="282">
                  <c:v>3.0787236054082762E-2</c:v>
                </c:pt>
                <c:pt idx="283">
                  <c:v>3.077121864009659E-2</c:v>
                </c:pt>
                <c:pt idx="284">
                  <c:v>3.0754643258034838E-2</c:v>
                </c:pt>
                <c:pt idx="285">
                  <c:v>3.073751139473184E-2</c:v>
                </c:pt>
                <c:pt idx="286">
                  <c:v>3.0719254316937502E-2</c:v>
                </c:pt>
                <c:pt idx="287">
                  <c:v>3.0702723917009057E-2</c:v>
                </c:pt>
                <c:pt idx="288">
                  <c:v>3.0687089943044366E-2</c:v>
                </c:pt>
                <c:pt idx="289">
                  <c:v>3.0667441170819817E-2</c:v>
                </c:pt>
                <c:pt idx="290">
                  <c:v>3.0650450383577787E-2</c:v>
                </c:pt>
                <c:pt idx="291">
                  <c:v>3.0631897324711249E-2</c:v>
                </c:pt>
                <c:pt idx="292">
                  <c:v>3.0616314886304032E-2</c:v>
                </c:pt>
                <c:pt idx="293">
                  <c:v>3.0599285317423057E-2</c:v>
                </c:pt>
                <c:pt idx="294">
                  <c:v>3.0582008348572425E-2</c:v>
                </c:pt>
                <c:pt idx="295">
                  <c:v>3.0568226457575124E-2</c:v>
                </c:pt>
                <c:pt idx="296">
                  <c:v>3.055271727677026E-2</c:v>
                </c:pt>
                <c:pt idx="297">
                  <c:v>3.0538683490021513E-2</c:v>
                </c:pt>
                <c:pt idx="298">
                  <c:v>3.0522541720350325E-2</c:v>
                </c:pt>
                <c:pt idx="299">
                  <c:v>3.0508476548850812E-2</c:v>
                </c:pt>
                <c:pt idx="300">
                  <c:v>3.0493679407028042E-2</c:v>
                </c:pt>
                <c:pt idx="301">
                  <c:v>3.0481302974523731E-2</c:v>
                </c:pt>
                <c:pt idx="302">
                  <c:v>3.0471325505702064E-2</c:v>
                </c:pt>
                <c:pt idx="303">
                  <c:v>3.0456833464737015E-2</c:v>
                </c:pt>
                <c:pt idx="304">
                  <c:v>3.0446319255225455E-2</c:v>
                </c:pt>
                <c:pt idx="305">
                  <c:v>3.043686642211807E-2</c:v>
                </c:pt>
                <c:pt idx="306">
                  <c:v>3.0425831746009116E-2</c:v>
                </c:pt>
                <c:pt idx="307">
                  <c:v>3.0416031048616874E-2</c:v>
                </c:pt>
                <c:pt idx="308">
                  <c:v>3.0409748087375708E-2</c:v>
                </c:pt>
                <c:pt idx="309">
                  <c:v>3.0399505435576464E-2</c:v>
                </c:pt>
                <c:pt idx="310">
                  <c:v>3.039248285082757E-2</c:v>
                </c:pt>
                <c:pt idx="311">
                  <c:v>3.0388474664128536E-2</c:v>
                </c:pt>
                <c:pt idx="312">
                  <c:v>3.038016117815865E-2</c:v>
                </c:pt>
                <c:pt idx="313">
                  <c:v>3.0374904785523085E-2</c:v>
                </c:pt>
                <c:pt idx="314">
                  <c:v>3.0370189583925691E-2</c:v>
                </c:pt>
                <c:pt idx="315">
                  <c:v>3.0366540226107453E-2</c:v>
                </c:pt>
                <c:pt idx="316">
                  <c:v>3.0363389272211952E-2</c:v>
                </c:pt>
                <c:pt idx="317">
                  <c:v>3.0360728054600744E-2</c:v>
                </c:pt>
                <c:pt idx="318">
                  <c:v>3.0358889278682587E-2</c:v>
                </c:pt>
                <c:pt idx="319">
                  <c:v>3.035774597874611E-2</c:v>
                </c:pt>
                <c:pt idx="320">
                  <c:v>3.0357108638444149E-2</c:v>
                </c:pt>
                <c:pt idx="321">
                  <c:v>3.0357170372802049E-2</c:v>
                </c:pt>
                <c:pt idx="322">
                  <c:v>3.0357883868835919E-2</c:v>
                </c:pt>
                <c:pt idx="323">
                  <c:v>3.0359331414215814E-2</c:v>
                </c:pt>
                <c:pt idx="324">
                  <c:v>3.0361267080689824E-2</c:v>
                </c:pt>
                <c:pt idx="325">
                  <c:v>3.0366669934105233E-2</c:v>
                </c:pt>
                <c:pt idx="326">
                  <c:v>3.0367394829777586E-2</c:v>
                </c:pt>
                <c:pt idx="327">
                  <c:v>3.0371333210457142E-2</c:v>
                </c:pt>
                <c:pt idx="328">
                  <c:v>3.0378650588169805E-2</c:v>
                </c:pt>
                <c:pt idx="329">
                  <c:v>3.0381299166361828E-2</c:v>
                </c:pt>
                <c:pt idx="330">
                  <c:v>3.0387369831201907E-2</c:v>
                </c:pt>
                <c:pt idx="331">
                  <c:v>3.0393435733207914E-2</c:v>
                </c:pt>
                <c:pt idx="332">
                  <c:v>3.0401045423594557E-2</c:v>
                </c:pt>
                <c:pt idx="333">
                  <c:v>3.0408565635441556E-2</c:v>
                </c:pt>
                <c:pt idx="334">
                  <c:v>3.0420138922160684E-2</c:v>
                </c:pt>
                <c:pt idx="335">
                  <c:v>3.0426632997822323E-2</c:v>
                </c:pt>
                <c:pt idx="336">
                  <c:v>3.0436348409535914E-2</c:v>
                </c:pt>
                <c:pt idx="337">
                  <c:v>3.0447768467501392E-2</c:v>
                </c:pt>
                <c:pt idx="338">
                  <c:v>3.0458060782009234E-2</c:v>
                </c:pt>
                <c:pt idx="339">
                  <c:v>3.0470101198770277E-2</c:v>
                </c:pt>
                <c:pt idx="340">
                  <c:v>3.0483241438662625E-2</c:v>
                </c:pt>
                <c:pt idx="341">
                  <c:v>3.0495774100980311E-2</c:v>
                </c:pt>
                <c:pt idx="342">
                  <c:v>3.0512894935611001E-2</c:v>
                </c:pt>
                <c:pt idx="343">
                  <c:v>3.052619327460851E-2</c:v>
                </c:pt>
                <c:pt idx="344">
                  <c:v>3.0540005273254643E-2</c:v>
                </c:pt>
                <c:pt idx="345">
                  <c:v>3.0555512668500703E-2</c:v>
                </c:pt>
                <c:pt idx="346">
                  <c:v>3.0573304729607082E-2</c:v>
                </c:pt>
                <c:pt idx="347">
                  <c:v>3.0589003967427426E-2</c:v>
                </c:pt>
                <c:pt idx="348">
                  <c:v>3.0610242681044172E-2</c:v>
                </c:pt>
                <c:pt idx="349">
                  <c:v>3.0626335442601967E-2</c:v>
                </c:pt>
                <c:pt idx="350">
                  <c:v>3.0644381695823248E-2</c:v>
                </c:pt>
                <c:pt idx="351">
                  <c:v>3.0665813778766027E-2</c:v>
                </c:pt>
                <c:pt idx="352">
                  <c:v>3.0684430906196093E-2</c:v>
                </c:pt>
                <c:pt idx="353">
                  <c:v>3.0704385449709826E-2</c:v>
                </c:pt>
                <c:pt idx="354">
                  <c:v>3.0726657261459869E-2</c:v>
                </c:pt>
                <c:pt idx="355">
                  <c:v>3.0744106059723025E-2</c:v>
                </c:pt>
                <c:pt idx="356">
                  <c:v>3.0764694125151835E-2</c:v>
                </c:pt>
                <c:pt idx="357">
                  <c:v>3.0788635613812856E-2</c:v>
                </c:pt>
                <c:pt idx="358">
                  <c:v>3.0806679585142816E-2</c:v>
                </c:pt>
                <c:pt idx="359">
                  <c:v>3.0827238827771154E-2</c:v>
                </c:pt>
                <c:pt idx="360">
                  <c:v>3.0849667465168228E-2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72-4B6D-A377-32F933455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119040"/>
        <c:axId val="666674304"/>
      </c:lineChart>
      <c:dateAx>
        <c:axId val="7381190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66674304"/>
        <c:crosses val="autoZero"/>
        <c:auto val="1"/>
        <c:lblOffset val="100"/>
        <c:baseTimeUnit val="months"/>
      </c:dateAx>
      <c:valAx>
        <c:axId val="666674304"/>
        <c:scaling>
          <c:orientation val="minMax"/>
          <c:min val="1.5000000000000003E-2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738119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0570043047081011"/>
          <c:y val="0.57559007396802675"/>
          <c:w val="0.1823465736185087"/>
          <c:h val="0.25471295633500357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9</xdr:row>
      <xdr:rowOff>47625</xdr:rowOff>
    </xdr:from>
    <xdr:to>
      <xdr:col>21</xdr:col>
      <xdr:colOff>209549</xdr:colOff>
      <xdr:row>42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W104"/>
  <sheetViews>
    <sheetView showGridLines="0" tabSelected="1" workbookViewId="0"/>
  </sheetViews>
  <sheetFormatPr defaultRowHeight="15"/>
  <cols>
    <col min="1" max="1" width="4.7109375" customWidth="1"/>
    <col min="2" max="2" width="2.7109375" customWidth="1"/>
    <col min="3" max="3" width="16" customWidth="1"/>
    <col min="4" max="4" width="27.7109375" customWidth="1"/>
    <col min="5" max="5" width="2.7109375" customWidth="1"/>
    <col min="6" max="6" width="4.7109375" customWidth="1"/>
    <col min="7" max="7" width="2.7109375" customWidth="1"/>
    <col min="8" max="8" width="25.28515625" bestFit="1" customWidth="1"/>
    <col min="9" max="9" width="28.28515625" customWidth="1"/>
    <col min="10" max="10" width="2.7109375" customWidth="1"/>
    <col min="12" max="12" width="10.140625" bestFit="1" customWidth="1"/>
    <col min="13" max="13" width="2.7109375" customWidth="1"/>
    <col min="14" max="14" width="12.140625" customWidth="1"/>
    <col min="15" max="16" width="12.7109375" customWidth="1"/>
    <col min="18" max="18" width="13.5703125" customWidth="1"/>
    <col min="19" max="19" width="2.7109375" customWidth="1"/>
    <col min="21" max="21" width="10.140625" customWidth="1"/>
    <col min="23" max="23" width="2.7109375" customWidth="1"/>
  </cols>
  <sheetData>
    <row r="3" spans="2:23">
      <c r="B3" s="6"/>
      <c r="C3" s="9"/>
      <c r="D3" s="9"/>
      <c r="E3" s="10"/>
      <c r="G3" s="6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2:23">
      <c r="B4" s="11"/>
      <c r="C4" s="25" t="s">
        <v>83</v>
      </c>
      <c r="D4" s="13"/>
      <c r="E4" s="14"/>
      <c r="G4" s="11"/>
      <c r="H4" s="15" t="s">
        <v>13</v>
      </c>
      <c r="I4" s="16"/>
      <c r="J4" s="13" t="s">
        <v>12</v>
      </c>
      <c r="K4" s="13" t="s">
        <v>12</v>
      </c>
      <c r="L4" s="13" t="s">
        <v>12</v>
      </c>
      <c r="M4" s="13" t="s">
        <v>12</v>
      </c>
      <c r="N4" s="17" t="s">
        <v>14</v>
      </c>
      <c r="O4" s="5"/>
      <c r="P4" s="5"/>
      <c r="Q4" s="5"/>
      <c r="R4" s="5"/>
      <c r="S4" s="5"/>
      <c r="T4" s="17" t="s">
        <v>15</v>
      </c>
      <c r="U4" s="17"/>
      <c r="V4" s="13"/>
      <c r="W4" s="14"/>
    </row>
    <row r="5" spans="2:23">
      <c r="B5" s="11"/>
      <c r="C5" s="69" t="s">
        <v>70</v>
      </c>
      <c r="D5" s="69" t="s">
        <v>71</v>
      </c>
      <c r="E5" s="14"/>
      <c r="G5" s="11" t="s">
        <v>12</v>
      </c>
      <c r="H5" s="69" t="s">
        <v>70</v>
      </c>
      <c r="I5" s="69" t="s">
        <v>71</v>
      </c>
      <c r="J5" s="13" t="s">
        <v>12</v>
      </c>
      <c r="K5" s="13" t="s">
        <v>12</v>
      </c>
      <c r="L5" s="13" t="s">
        <v>12</v>
      </c>
      <c r="M5" s="13" t="s">
        <v>12</v>
      </c>
      <c r="N5" s="18" t="s">
        <v>17</v>
      </c>
      <c r="O5" s="18" t="s">
        <v>18</v>
      </c>
      <c r="P5" s="18" t="s">
        <v>19</v>
      </c>
      <c r="Q5" s="18" t="s">
        <v>20</v>
      </c>
      <c r="R5" s="18" t="s">
        <v>21</v>
      </c>
      <c r="S5" s="13"/>
      <c r="T5" s="18" t="s">
        <v>17</v>
      </c>
      <c r="U5" s="18" t="s">
        <v>18</v>
      </c>
      <c r="V5" s="13"/>
      <c r="W5" s="14"/>
    </row>
    <row r="6" spans="2:23">
      <c r="B6" s="11"/>
      <c r="C6" s="12" t="s">
        <v>85</v>
      </c>
      <c r="D6" s="86" t="s">
        <v>86</v>
      </c>
      <c r="E6" s="14"/>
      <c r="G6" s="11"/>
      <c r="H6" s="36" t="s">
        <v>7</v>
      </c>
      <c r="I6" s="89" t="s">
        <v>1</v>
      </c>
      <c r="J6" s="13" t="s">
        <v>12</v>
      </c>
      <c r="K6" s="13" t="s">
        <v>12</v>
      </c>
      <c r="L6" s="13" t="s">
        <v>12</v>
      </c>
      <c r="M6" s="13" t="s">
        <v>12</v>
      </c>
      <c r="N6" s="49" t="s">
        <v>37</v>
      </c>
      <c r="O6" s="55">
        <v>1.9099999999999999E-2</v>
      </c>
      <c r="P6" s="29"/>
      <c r="Q6" s="30"/>
      <c r="R6" s="19" t="b">
        <v>1</v>
      </c>
      <c r="S6" s="53"/>
      <c r="T6" s="49" t="s">
        <v>5</v>
      </c>
      <c r="U6" s="50">
        <v>2.7499999999999998E-3</v>
      </c>
      <c r="V6" s="26"/>
      <c r="W6" s="27"/>
    </row>
    <row r="7" spans="2:23">
      <c r="B7" s="11"/>
      <c r="C7" s="79" t="s">
        <v>10</v>
      </c>
      <c r="D7" s="87" t="s">
        <v>4</v>
      </c>
      <c r="E7" s="14"/>
      <c r="G7" s="11"/>
      <c r="H7" s="39" t="s">
        <v>22</v>
      </c>
      <c r="I7" s="90" t="s">
        <v>14</v>
      </c>
      <c r="J7" s="13" t="s">
        <v>12</v>
      </c>
      <c r="K7" s="13" t="s">
        <v>12</v>
      </c>
      <c r="L7" s="13" t="s">
        <v>12</v>
      </c>
      <c r="M7" s="13" t="s">
        <v>12</v>
      </c>
      <c r="N7" s="33" t="s">
        <v>38</v>
      </c>
      <c r="O7" s="56">
        <v>1.9123000000000001E-2</v>
      </c>
      <c r="P7" s="30"/>
      <c r="Q7" s="30"/>
      <c r="R7" s="19" t="b">
        <v>1</v>
      </c>
      <c r="S7" s="53"/>
      <c r="T7" s="33" t="s">
        <v>39</v>
      </c>
      <c r="U7" s="51">
        <v>2.875E-3</v>
      </c>
      <c r="V7" s="26"/>
      <c r="W7" s="27"/>
    </row>
    <row r="8" spans="2:23">
      <c r="B8" s="11"/>
      <c r="C8" s="20" t="s">
        <v>84</v>
      </c>
      <c r="D8" s="88" t="str">
        <f ca="1">_xll.meLWOCurveEngineCalibrate(D6,D7,C12:D15,D19,D26,D20,D27,D21,D28,D22,D29,D23,D30)</f>
        <v>USD_CURVE@6:29</v>
      </c>
      <c r="E8" s="14"/>
      <c r="G8" s="11"/>
      <c r="H8" s="39" t="s">
        <v>23</v>
      </c>
      <c r="I8" s="185" t="s">
        <v>24</v>
      </c>
      <c r="J8" s="13" t="s">
        <v>12</v>
      </c>
      <c r="K8" s="13" t="s">
        <v>12</v>
      </c>
      <c r="L8" s="13" t="s">
        <v>12</v>
      </c>
      <c r="M8" s="13" t="s">
        <v>12</v>
      </c>
      <c r="N8" s="33" t="s">
        <v>40</v>
      </c>
      <c r="O8" s="56">
        <v>1.9126000000000001E-2</v>
      </c>
      <c r="P8" s="30"/>
      <c r="Q8" s="30"/>
      <c r="R8" s="19" t="b">
        <v>1</v>
      </c>
      <c r="S8" s="53"/>
      <c r="T8" s="33" t="s">
        <v>31</v>
      </c>
      <c r="U8" s="51">
        <v>2.96875E-3</v>
      </c>
      <c r="V8" s="26"/>
      <c r="W8" s="27"/>
    </row>
    <row r="9" spans="2:23">
      <c r="B9" s="11"/>
      <c r="C9" s="13"/>
      <c r="D9" s="13"/>
      <c r="E9" s="14"/>
      <c r="G9" s="11"/>
      <c r="H9" s="59" t="s">
        <v>9</v>
      </c>
      <c r="I9" s="91">
        <v>43327</v>
      </c>
      <c r="J9" s="13" t="s">
        <v>12</v>
      </c>
      <c r="K9" s="13" t="s">
        <v>12</v>
      </c>
      <c r="L9" s="13" t="s">
        <v>12</v>
      </c>
      <c r="M9" s="13" t="s">
        <v>12</v>
      </c>
      <c r="N9" s="33" t="s">
        <v>41</v>
      </c>
      <c r="O9" s="56">
        <v>1.9119999999999998E-2</v>
      </c>
      <c r="P9" s="30"/>
      <c r="Q9" s="30"/>
      <c r="R9" s="19" t="b">
        <v>1</v>
      </c>
      <c r="S9" s="53"/>
      <c r="T9" s="33" t="s">
        <v>42</v>
      </c>
      <c r="U9" s="51">
        <v>3.0625000000000001E-3</v>
      </c>
      <c r="V9" s="26"/>
      <c r="W9" s="27"/>
    </row>
    <row r="10" spans="2:23">
      <c r="B10" s="11"/>
      <c r="C10" s="13"/>
      <c r="D10" s="13"/>
      <c r="E10" s="14"/>
      <c r="G10" s="11"/>
      <c r="H10" s="16"/>
      <c r="I10" s="16"/>
      <c r="J10" s="13" t="s">
        <v>12</v>
      </c>
      <c r="K10" s="13" t="s">
        <v>12</v>
      </c>
      <c r="L10" s="13" t="s">
        <v>12</v>
      </c>
      <c r="M10" s="13" t="s">
        <v>12</v>
      </c>
      <c r="N10" s="33" t="s">
        <v>43</v>
      </c>
      <c r="O10" s="56">
        <v>1.9099999999999999E-2</v>
      </c>
      <c r="P10" s="30"/>
      <c r="Q10" s="30"/>
      <c r="R10" s="19" t="b">
        <v>1</v>
      </c>
      <c r="S10" s="53"/>
      <c r="T10" s="33" t="s">
        <v>6</v>
      </c>
      <c r="U10" s="51">
        <v>3.1250000000000002E-3</v>
      </c>
      <c r="V10" s="26"/>
      <c r="W10" s="27"/>
    </row>
    <row r="11" spans="2:23">
      <c r="B11" s="11"/>
      <c r="C11" s="15" t="s">
        <v>78</v>
      </c>
      <c r="D11" s="13"/>
      <c r="E11" s="14"/>
      <c r="G11" s="11"/>
      <c r="H11" s="13"/>
      <c r="I11" s="92"/>
      <c r="J11" s="13" t="s">
        <v>12</v>
      </c>
      <c r="K11" s="13" t="s">
        <v>12</v>
      </c>
      <c r="L11" s="13" t="s">
        <v>12</v>
      </c>
      <c r="M11" s="13" t="s">
        <v>12</v>
      </c>
      <c r="N11" s="33" t="s">
        <v>44</v>
      </c>
      <c r="O11" s="56">
        <v>1.9900000000000001E-2</v>
      </c>
      <c r="P11" s="30"/>
      <c r="Q11" s="30"/>
      <c r="R11" s="19" t="b">
        <v>1</v>
      </c>
      <c r="S11" s="53"/>
      <c r="T11" s="33" t="s">
        <v>45</v>
      </c>
      <c r="U11" s="51">
        <v>3.18125E-3</v>
      </c>
      <c r="V11" s="26"/>
      <c r="W11" s="27"/>
    </row>
    <row r="12" spans="2:23">
      <c r="B12" s="11"/>
      <c r="C12" s="36" t="s">
        <v>79</v>
      </c>
      <c r="D12" s="76" t="b">
        <v>1</v>
      </c>
      <c r="E12" s="14"/>
      <c r="G12" s="11"/>
      <c r="H12" s="24" t="s">
        <v>25</v>
      </c>
      <c r="I12" s="16"/>
      <c r="J12" s="13" t="s">
        <v>12</v>
      </c>
      <c r="K12" s="13" t="s">
        <v>12</v>
      </c>
      <c r="L12" s="13" t="s">
        <v>12</v>
      </c>
      <c r="M12" s="13" t="s">
        <v>12</v>
      </c>
      <c r="N12" s="33" t="s">
        <v>46</v>
      </c>
      <c r="O12" s="56">
        <v>2.0475E-2</v>
      </c>
      <c r="P12" s="30"/>
      <c r="Q12" s="30"/>
      <c r="R12" s="19" t="b">
        <v>1</v>
      </c>
      <c r="S12" s="53"/>
      <c r="T12" s="33" t="s">
        <v>47</v>
      </c>
      <c r="U12" s="51">
        <v>3.375E-3</v>
      </c>
      <c r="V12" s="26"/>
      <c r="W12" s="27"/>
    </row>
    <row r="13" spans="2:23">
      <c r="B13" s="11"/>
      <c r="C13" s="39" t="s">
        <v>114</v>
      </c>
      <c r="D13" s="77">
        <v>1.0000000000000001E-9</v>
      </c>
      <c r="E13" s="14"/>
      <c r="G13" s="11"/>
      <c r="H13" s="12" t="s">
        <v>26</v>
      </c>
      <c r="I13" s="86" t="s">
        <v>76</v>
      </c>
      <c r="J13" s="13" t="s">
        <v>12</v>
      </c>
      <c r="K13" s="13" t="s">
        <v>12</v>
      </c>
      <c r="L13" s="13" t="s">
        <v>12</v>
      </c>
      <c r="M13" s="13" t="s">
        <v>12</v>
      </c>
      <c r="N13" s="33" t="s">
        <v>48</v>
      </c>
      <c r="O13" s="56">
        <v>2.0710000000000003E-2</v>
      </c>
      <c r="P13" s="30"/>
      <c r="Q13" s="30"/>
      <c r="R13" s="19" t="b">
        <v>1</v>
      </c>
      <c r="S13" s="53"/>
      <c r="T13" s="33" t="s">
        <v>49</v>
      </c>
      <c r="U13" s="51">
        <v>3.4630000000000004E-3</v>
      </c>
      <c r="V13" s="26"/>
      <c r="W13" s="27"/>
    </row>
    <row r="14" spans="2:23">
      <c r="B14" s="11"/>
      <c r="C14" s="39" t="s">
        <v>115</v>
      </c>
      <c r="D14" s="77">
        <v>1.0000000000000001E-15</v>
      </c>
      <c r="E14" s="14"/>
      <c r="G14" s="11"/>
      <c r="H14" s="20" t="s">
        <v>27</v>
      </c>
      <c r="I14" s="97" t="str">
        <f ca="1">_xll.meLWOCurveMarketDataCreate(I13,H4,H6:I9,N4,N6:R20,T4,T6:U20)</f>
        <v>USD_OIS_MARKETDATA@5:29</v>
      </c>
      <c r="J14" s="13" t="s">
        <v>12</v>
      </c>
      <c r="K14" s="13" t="s">
        <v>12</v>
      </c>
      <c r="L14" s="13" t="s">
        <v>12</v>
      </c>
      <c r="M14" s="13" t="s">
        <v>12</v>
      </c>
      <c r="N14" s="33" t="s">
        <v>50</v>
      </c>
      <c r="O14" s="56">
        <v>2.1219000000000002E-2</v>
      </c>
      <c r="P14" s="30"/>
      <c r="Q14" s="30"/>
      <c r="R14" s="19" t="b">
        <v>1</v>
      </c>
      <c r="S14" s="53"/>
      <c r="T14" s="33" t="s">
        <v>51</v>
      </c>
      <c r="U14" s="51">
        <v>3.5875E-3</v>
      </c>
      <c r="V14" s="26"/>
      <c r="W14" s="27"/>
    </row>
    <row r="15" spans="2:23">
      <c r="B15" s="11"/>
      <c r="C15" s="59" t="s">
        <v>116</v>
      </c>
      <c r="D15" s="78">
        <v>1E-10</v>
      </c>
      <c r="E15" s="14"/>
      <c r="G15" s="11"/>
      <c r="H15" s="13"/>
      <c r="I15" s="13"/>
      <c r="J15" s="13" t="s">
        <v>12</v>
      </c>
      <c r="K15" s="13" t="s">
        <v>12</v>
      </c>
      <c r="L15" s="13" t="s">
        <v>12</v>
      </c>
      <c r="M15" s="13" t="s">
        <v>12</v>
      </c>
      <c r="N15" s="33" t="s">
        <v>52</v>
      </c>
      <c r="O15" s="56">
        <v>2.1610999999999998E-2</v>
      </c>
      <c r="P15" s="30"/>
      <c r="Q15" s="30"/>
      <c r="R15" s="19" t="b">
        <v>1</v>
      </c>
      <c r="S15" s="53"/>
      <c r="T15" s="33" t="s">
        <v>53</v>
      </c>
      <c r="U15" s="51">
        <v>3.7624999999999998E-3</v>
      </c>
      <c r="V15" s="26"/>
      <c r="W15" s="27"/>
    </row>
    <row r="16" spans="2:23">
      <c r="B16" s="11"/>
      <c r="C16" s="13"/>
      <c r="D16" s="13"/>
      <c r="E16" s="14"/>
      <c r="G16" s="11"/>
      <c r="H16" s="13"/>
      <c r="I16" s="13"/>
      <c r="J16" s="13" t="s">
        <v>12</v>
      </c>
      <c r="K16" s="13" t="s">
        <v>12</v>
      </c>
      <c r="L16" s="13" t="s">
        <v>12</v>
      </c>
      <c r="M16" s="13" t="s">
        <v>12</v>
      </c>
      <c r="N16" s="33" t="s">
        <v>54</v>
      </c>
      <c r="O16" s="56">
        <v>2.2532999999999997E-2</v>
      </c>
      <c r="P16" s="30"/>
      <c r="Q16" s="30"/>
      <c r="R16" s="19" t="b">
        <v>1</v>
      </c>
      <c r="S16" s="53"/>
      <c r="T16" s="33" t="s">
        <v>55</v>
      </c>
      <c r="U16" s="51">
        <v>3.8500000000000001E-3</v>
      </c>
      <c r="V16" s="26"/>
      <c r="W16" s="27"/>
    </row>
    <row r="17" spans="2:23">
      <c r="B17" s="11"/>
      <c r="C17" s="13"/>
      <c r="D17" s="13"/>
      <c r="E17" s="14"/>
      <c r="G17" s="11"/>
      <c r="H17" s="13"/>
      <c r="I17" s="13"/>
      <c r="J17" s="13" t="s">
        <v>12</v>
      </c>
      <c r="K17" s="13" t="s">
        <v>12</v>
      </c>
      <c r="L17" s="13" t="s">
        <v>12</v>
      </c>
      <c r="M17" s="13" t="s">
        <v>12</v>
      </c>
      <c r="N17" s="33"/>
      <c r="O17" s="56"/>
      <c r="P17" s="30"/>
      <c r="Q17" s="30"/>
      <c r="R17" s="19"/>
      <c r="S17" s="53"/>
      <c r="T17" s="33" t="s">
        <v>56</v>
      </c>
      <c r="U17" s="51">
        <v>3.9500000000000004E-3</v>
      </c>
      <c r="V17" s="26"/>
      <c r="W17" s="27"/>
    </row>
    <row r="18" spans="2:23">
      <c r="B18" s="11"/>
      <c r="C18" s="15" t="s">
        <v>80</v>
      </c>
      <c r="D18" s="13"/>
      <c r="E18" s="14"/>
      <c r="G18" s="11"/>
      <c r="H18" s="13"/>
      <c r="I18" s="13"/>
      <c r="J18" s="13" t="s">
        <v>12</v>
      </c>
      <c r="K18" s="13" t="s">
        <v>12</v>
      </c>
      <c r="L18" s="13" t="s">
        <v>12</v>
      </c>
      <c r="M18" s="13" t="s">
        <v>12</v>
      </c>
      <c r="N18" s="33"/>
      <c r="O18" s="56"/>
      <c r="P18" s="30"/>
      <c r="Q18" s="30"/>
      <c r="R18" s="19"/>
      <c r="S18" s="53"/>
      <c r="T18" s="33" t="s">
        <v>28</v>
      </c>
      <c r="U18" s="51">
        <v>3.9500000000000004E-3</v>
      </c>
      <c r="V18" s="26"/>
      <c r="W18" s="27"/>
    </row>
    <row r="19" spans="2:23">
      <c r="B19" s="11"/>
      <c r="C19" s="36" t="s">
        <v>14</v>
      </c>
      <c r="D19" s="12" t="s">
        <v>30</v>
      </c>
      <c r="E19" s="14"/>
      <c r="G19" s="11"/>
      <c r="H19" s="13"/>
      <c r="I19" s="13"/>
      <c r="J19" s="13" t="s">
        <v>12</v>
      </c>
      <c r="K19" s="13" t="s">
        <v>12</v>
      </c>
      <c r="L19" s="13" t="s">
        <v>12</v>
      </c>
      <c r="M19" s="13" t="s">
        <v>12</v>
      </c>
      <c r="N19" s="33"/>
      <c r="O19" s="56"/>
      <c r="P19" s="30"/>
      <c r="Q19" s="30"/>
      <c r="R19" s="19"/>
      <c r="S19" s="53"/>
      <c r="T19" s="33" t="s">
        <v>29</v>
      </c>
      <c r="U19" s="51">
        <v>3.9500000000000004E-3</v>
      </c>
      <c r="V19" s="26"/>
      <c r="W19" s="27"/>
    </row>
    <row r="20" spans="2:23">
      <c r="B20" s="11"/>
      <c r="C20" s="39" t="s">
        <v>130</v>
      </c>
      <c r="D20" s="79" t="s">
        <v>129</v>
      </c>
      <c r="E20" s="14"/>
      <c r="G20" s="11"/>
      <c r="H20" s="13"/>
      <c r="I20" s="13"/>
      <c r="J20" s="13"/>
      <c r="K20" s="13"/>
      <c r="L20" s="13"/>
      <c r="M20" s="13"/>
      <c r="N20" s="45"/>
      <c r="O20" s="57"/>
      <c r="P20" s="58"/>
      <c r="Q20" s="58"/>
      <c r="R20" s="54"/>
      <c r="S20" s="53"/>
      <c r="T20" s="45" t="s">
        <v>118</v>
      </c>
      <c r="U20" s="52">
        <v>3.9500000000000004E-3</v>
      </c>
      <c r="V20" s="26"/>
      <c r="W20" s="27"/>
    </row>
    <row r="21" spans="2:23">
      <c r="B21" s="11"/>
      <c r="C21" s="39" t="s">
        <v>81</v>
      </c>
      <c r="D21" s="79" t="s">
        <v>36</v>
      </c>
      <c r="E21" s="14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spans="2:23">
      <c r="B22" s="11"/>
      <c r="C22" s="39" t="s">
        <v>123</v>
      </c>
      <c r="D22" s="79" t="s">
        <v>126</v>
      </c>
      <c r="E22" s="14"/>
    </row>
    <row r="23" spans="2:23">
      <c r="B23" s="11"/>
      <c r="C23" s="59" t="s">
        <v>131</v>
      </c>
      <c r="D23" s="20" t="s">
        <v>135</v>
      </c>
      <c r="E23" s="14"/>
    </row>
    <row r="24" spans="2:23">
      <c r="B24" s="11"/>
      <c r="C24" s="13"/>
      <c r="D24" s="13"/>
      <c r="E24" s="14"/>
      <c r="G24" s="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</row>
    <row r="25" spans="2:23">
      <c r="B25" s="11"/>
      <c r="C25" s="15" t="s">
        <v>82</v>
      </c>
      <c r="D25" s="13"/>
      <c r="E25" s="14"/>
      <c r="G25" s="11"/>
      <c r="H25" s="15" t="s">
        <v>13</v>
      </c>
      <c r="I25" s="13"/>
      <c r="J25" s="13"/>
      <c r="K25" s="15" t="s">
        <v>33</v>
      </c>
      <c r="L25" s="13"/>
      <c r="M25" s="13"/>
      <c r="N25" s="15" t="s">
        <v>34</v>
      </c>
      <c r="O25" s="35"/>
      <c r="P25" s="13"/>
      <c r="Q25" s="13"/>
      <c r="R25" s="13"/>
      <c r="S25" s="13"/>
      <c r="T25" s="15" t="s">
        <v>16</v>
      </c>
      <c r="U25" s="13"/>
      <c r="V25" s="13"/>
      <c r="W25" s="14"/>
    </row>
    <row r="26" spans="2:23">
      <c r="B26" s="11"/>
      <c r="C26" s="36" t="s">
        <v>14</v>
      </c>
      <c r="D26" s="81" t="str">
        <f ca="1">I14</f>
        <v>USD_OIS_MARKETDATA@5:29</v>
      </c>
      <c r="E26" s="14"/>
      <c r="G26" s="11"/>
      <c r="H26" s="69" t="s">
        <v>70</v>
      </c>
      <c r="I26" s="69" t="s">
        <v>71</v>
      </c>
      <c r="J26" s="13" t="s">
        <v>12</v>
      </c>
      <c r="K26" s="16" t="s">
        <v>17</v>
      </c>
      <c r="L26" s="16" t="s">
        <v>18</v>
      </c>
      <c r="M26" s="34"/>
      <c r="N26" s="37" t="s">
        <v>17</v>
      </c>
      <c r="O26" s="37" t="s">
        <v>19</v>
      </c>
      <c r="P26" s="37" t="s">
        <v>20</v>
      </c>
      <c r="Q26" s="37" t="s">
        <v>18</v>
      </c>
      <c r="R26" s="37" t="s">
        <v>11</v>
      </c>
      <c r="S26" s="34"/>
      <c r="T26" s="38" t="s">
        <v>17</v>
      </c>
      <c r="U26" s="16" t="s">
        <v>18</v>
      </c>
      <c r="V26" s="16" t="s">
        <v>21</v>
      </c>
      <c r="W26" s="14"/>
    </row>
    <row r="27" spans="2:23">
      <c r="B27" s="11"/>
      <c r="C27" s="39" t="s">
        <v>130</v>
      </c>
      <c r="D27" s="184" t="str">
        <f ca="1">I55</f>
        <v>USD_1M_MARKETDATA@3:29</v>
      </c>
      <c r="E27" s="14"/>
      <c r="G27" s="11"/>
      <c r="H27" s="36" t="s">
        <v>7</v>
      </c>
      <c r="I27" s="93" t="s">
        <v>1</v>
      </c>
      <c r="J27" s="13" t="s">
        <v>12</v>
      </c>
      <c r="K27" s="49" t="s">
        <v>43</v>
      </c>
      <c r="L27" s="60">
        <v>2.3E-2</v>
      </c>
      <c r="M27" s="26"/>
      <c r="N27" s="61" t="s">
        <v>57</v>
      </c>
      <c r="O27" s="72">
        <v>43362</v>
      </c>
      <c r="P27" s="72">
        <v>43453</v>
      </c>
      <c r="Q27" s="62">
        <v>97.64</v>
      </c>
      <c r="R27" s="40">
        <v>1.4999999999999999E-2</v>
      </c>
      <c r="S27" s="26"/>
      <c r="T27" s="61" t="s">
        <v>42</v>
      </c>
      <c r="U27" s="63">
        <v>2.8679999999999997E-2</v>
      </c>
      <c r="V27" s="41" t="b">
        <v>1</v>
      </c>
      <c r="W27" s="27"/>
    </row>
    <row r="28" spans="2:23">
      <c r="B28" s="11"/>
      <c r="C28" s="39" t="s">
        <v>81</v>
      </c>
      <c r="D28" s="184" t="str">
        <f ca="1">I35</f>
        <v>USD_3M_MARKETDATA@4:29</v>
      </c>
      <c r="E28" s="14"/>
      <c r="G28" s="11"/>
      <c r="H28" s="39" t="s">
        <v>22</v>
      </c>
      <c r="I28" s="94" t="s">
        <v>35</v>
      </c>
      <c r="J28" s="13" t="s">
        <v>12</v>
      </c>
      <c r="K28" s="33" t="s">
        <v>46</v>
      </c>
      <c r="L28" s="64">
        <v>2.35E-2</v>
      </c>
      <c r="M28" s="26"/>
      <c r="N28" s="65" t="s">
        <v>58</v>
      </c>
      <c r="O28" s="73">
        <v>43453</v>
      </c>
      <c r="P28" s="73">
        <v>43544</v>
      </c>
      <c r="Q28" s="66">
        <v>97.39</v>
      </c>
      <c r="R28" s="42">
        <v>1.4999999999999999E-2</v>
      </c>
      <c r="S28" s="26"/>
      <c r="T28" s="65" t="s">
        <v>6</v>
      </c>
      <c r="U28" s="67">
        <v>2.8729000000000001E-2</v>
      </c>
      <c r="V28" s="43" t="b">
        <v>1</v>
      </c>
      <c r="W28" s="27"/>
    </row>
    <row r="29" spans="2:23">
      <c r="B29" s="11"/>
      <c r="C29" s="39" t="s">
        <v>123</v>
      </c>
      <c r="D29" s="184" t="str">
        <f ca="1">I97</f>
        <v>USD_6M_MARKETDATA@1:29</v>
      </c>
      <c r="E29" s="14"/>
      <c r="G29" s="11"/>
      <c r="H29" s="39" t="s">
        <v>23</v>
      </c>
      <c r="I29" s="185" t="s">
        <v>32</v>
      </c>
      <c r="J29" s="13" t="s">
        <v>12</v>
      </c>
      <c r="K29" s="33" t="s">
        <v>52</v>
      </c>
      <c r="L29" s="64">
        <v>2.4500000000000001E-2</v>
      </c>
      <c r="M29" s="26"/>
      <c r="N29" s="65" t="s">
        <v>59</v>
      </c>
      <c r="O29" s="74">
        <v>43544</v>
      </c>
      <c r="P29" s="74">
        <v>43635</v>
      </c>
      <c r="Q29" s="66">
        <v>97.25</v>
      </c>
      <c r="R29" s="44">
        <v>1.4999999999999999E-2</v>
      </c>
      <c r="S29" s="26"/>
      <c r="T29" s="65" t="s">
        <v>45</v>
      </c>
      <c r="U29" s="67">
        <v>2.8910000000000002E-2</v>
      </c>
      <c r="V29" s="43" t="b">
        <v>1</v>
      </c>
      <c r="W29" s="27"/>
    </row>
    <row r="30" spans="2:23">
      <c r="B30" s="11"/>
      <c r="C30" s="59" t="s">
        <v>131</v>
      </c>
      <c r="D30" s="80" t="str">
        <f ca="1">I76</f>
        <v>USD_12M_MARKETDATA@2:29</v>
      </c>
      <c r="E30" s="14"/>
      <c r="G30" s="11"/>
      <c r="H30" s="39" t="s">
        <v>9</v>
      </c>
      <c r="I30" s="95">
        <v>43327</v>
      </c>
      <c r="J30" s="13" t="s">
        <v>12</v>
      </c>
      <c r="K30" s="33" t="s">
        <v>138</v>
      </c>
      <c r="L30" s="64">
        <v>2.5499999999999998E-2</v>
      </c>
      <c r="M30" s="26"/>
      <c r="N30" s="65" t="s">
        <v>60</v>
      </c>
      <c r="O30" s="74">
        <v>43635</v>
      </c>
      <c r="P30" s="74">
        <v>43726</v>
      </c>
      <c r="Q30" s="66">
        <v>97.14</v>
      </c>
      <c r="R30" s="44">
        <v>1.4999999999999999E-2</v>
      </c>
      <c r="S30" s="26"/>
      <c r="T30" s="65" t="s">
        <v>62</v>
      </c>
      <c r="U30" s="67">
        <v>2.9014000000000002E-2</v>
      </c>
      <c r="V30" s="43" t="b">
        <v>1</v>
      </c>
      <c r="W30" s="27"/>
    </row>
    <row r="31" spans="2:23">
      <c r="B31" s="11"/>
      <c r="C31" s="13"/>
      <c r="D31" s="13"/>
      <c r="E31" s="14"/>
      <c r="G31" s="11"/>
      <c r="H31" s="59"/>
      <c r="I31" s="96"/>
      <c r="J31" s="13" t="s">
        <v>12</v>
      </c>
      <c r="K31" s="45"/>
      <c r="L31" s="52"/>
      <c r="M31" s="26"/>
      <c r="N31" s="65" t="s">
        <v>61</v>
      </c>
      <c r="O31" s="74">
        <v>43726</v>
      </c>
      <c r="P31" s="74">
        <v>43817</v>
      </c>
      <c r="Q31" s="66">
        <v>97.075000000000003</v>
      </c>
      <c r="R31" s="44">
        <v>1.4999999999999999E-2</v>
      </c>
      <c r="S31" s="26"/>
      <c r="T31" s="65" t="s">
        <v>64</v>
      </c>
      <c r="U31" s="67">
        <v>2.9144999999999997E-2</v>
      </c>
      <c r="V31" s="43" t="b">
        <v>1</v>
      </c>
      <c r="W31" s="27"/>
    </row>
    <row r="32" spans="2:23">
      <c r="B32" s="11"/>
      <c r="C32" s="13"/>
      <c r="D32" s="13"/>
      <c r="E32" s="14"/>
      <c r="G32" s="11"/>
      <c r="H32" s="13"/>
      <c r="I32" s="92"/>
      <c r="J32" s="13" t="s">
        <v>12</v>
      </c>
      <c r="K32" s="26"/>
      <c r="L32" s="26"/>
      <c r="M32" s="26"/>
      <c r="N32" s="65" t="s">
        <v>63</v>
      </c>
      <c r="O32" s="74">
        <v>43817</v>
      </c>
      <c r="P32" s="74">
        <v>43908</v>
      </c>
      <c r="Q32" s="66">
        <v>97.04</v>
      </c>
      <c r="R32" s="44">
        <v>1.4999999999999999E-2</v>
      </c>
      <c r="S32" s="26"/>
      <c r="T32" s="65" t="s">
        <v>47</v>
      </c>
      <c r="U32" s="67">
        <v>2.928E-2</v>
      </c>
      <c r="V32" s="43" t="b">
        <v>1</v>
      </c>
      <c r="W32" s="27"/>
    </row>
    <row r="33" spans="2:23">
      <c r="B33" s="11"/>
      <c r="C33" s="13"/>
      <c r="D33" s="13"/>
      <c r="E33" s="14"/>
      <c r="G33" s="11"/>
      <c r="H33" s="25" t="s">
        <v>25</v>
      </c>
      <c r="I33" s="16"/>
      <c r="J33" s="13" t="s">
        <v>12</v>
      </c>
      <c r="K33" s="26"/>
      <c r="L33" s="26"/>
      <c r="M33" s="26"/>
      <c r="N33" s="65" t="s">
        <v>65</v>
      </c>
      <c r="O33" s="74">
        <v>43908</v>
      </c>
      <c r="P33" s="74">
        <v>43999</v>
      </c>
      <c r="Q33" s="66">
        <v>97.034999999999997</v>
      </c>
      <c r="R33" s="44">
        <v>1.4999999999999999E-2</v>
      </c>
      <c r="S33" s="26"/>
      <c r="T33" s="65" t="s">
        <v>49</v>
      </c>
      <c r="U33" s="67">
        <v>2.9523000000000001E-2</v>
      </c>
      <c r="V33" s="43" t="b">
        <v>1</v>
      </c>
      <c r="W33" s="27"/>
    </row>
    <row r="34" spans="2:23">
      <c r="B34" s="11"/>
      <c r="C34" s="13"/>
      <c r="D34" s="13"/>
      <c r="E34" s="14"/>
      <c r="G34" s="11"/>
      <c r="H34" s="12" t="s">
        <v>26</v>
      </c>
      <c r="I34" s="86" t="s">
        <v>77</v>
      </c>
      <c r="J34" s="13" t="s">
        <v>12</v>
      </c>
      <c r="K34" s="26"/>
      <c r="L34" s="26"/>
      <c r="M34" s="26"/>
      <c r="N34" s="65" t="s">
        <v>66</v>
      </c>
      <c r="O34" s="74">
        <v>43999</v>
      </c>
      <c r="P34" s="74">
        <v>44090</v>
      </c>
      <c r="Q34" s="66">
        <v>97.03</v>
      </c>
      <c r="R34" s="44">
        <v>1.4999999999999999E-2</v>
      </c>
      <c r="S34" s="26"/>
      <c r="T34" s="65" t="s">
        <v>51</v>
      </c>
      <c r="U34" s="67">
        <v>2.9727999999999997E-2</v>
      </c>
      <c r="V34" s="43" t="b">
        <v>1</v>
      </c>
      <c r="W34" s="27"/>
    </row>
    <row r="35" spans="2:23">
      <c r="B35" s="11"/>
      <c r="C35" s="13"/>
      <c r="D35" s="13"/>
      <c r="E35" s="14"/>
      <c r="G35" s="11"/>
      <c r="H35" s="20" t="s">
        <v>27</v>
      </c>
      <c r="I35" s="97" t="str">
        <f ca="1">_xll.meLWOCurveMarketDataCreate(I34,H25,H27:I31,K25,K27:L31,N25,N27:R40,T25,T27:V40)</f>
        <v>USD_3M_MARKETDATA@4:29</v>
      </c>
      <c r="J35" s="13" t="s">
        <v>12</v>
      </c>
      <c r="K35" s="26"/>
      <c r="L35" s="26"/>
      <c r="M35" s="70"/>
      <c r="N35" s="65" t="s">
        <v>72</v>
      </c>
      <c r="O35" s="74">
        <v>44090</v>
      </c>
      <c r="P35" s="74">
        <v>44181</v>
      </c>
      <c r="Q35" s="66">
        <v>97.025000000000006</v>
      </c>
      <c r="R35" s="44">
        <v>1.4999999999999999E-2</v>
      </c>
      <c r="S35" s="26"/>
      <c r="T35" s="65" t="s">
        <v>53</v>
      </c>
      <c r="U35" s="67">
        <v>2.9832999999999998E-2</v>
      </c>
      <c r="V35" s="43" t="b">
        <v>1</v>
      </c>
      <c r="W35" s="27"/>
    </row>
    <row r="36" spans="2:23">
      <c r="B36" s="11"/>
      <c r="C36" s="13"/>
      <c r="D36" s="13"/>
      <c r="E36" s="14"/>
      <c r="G36" s="11"/>
      <c r="H36" s="13"/>
      <c r="I36" s="13"/>
      <c r="J36" s="13" t="s">
        <v>12</v>
      </c>
      <c r="K36" s="26"/>
      <c r="L36" s="26"/>
      <c r="M36" s="71"/>
      <c r="N36" s="65" t="s">
        <v>73</v>
      </c>
      <c r="O36" s="74">
        <v>44181</v>
      </c>
      <c r="P36" s="74">
        <v>44272</v>
      </c>
      <c r="Q36" s="66">
        <v>97.02000000000001</v>
      </c>
      <c r="R36" s="44">
        <v>1.4999999999999999E-2</v>
      </c>
      <c r="S36" s="26"/>
      <c r="T36" s="65" t="s">
        <v>55</v>
      </c>
      <c r="U36" s="67">
        <v>2.9750000000000002E-2</v>
      </c>
      <c r="V36" s="43" t="b">
        <v>1</v>
      </c>
      <c r="W36" s="27"/>
    </row>
    <row r="37" spans="2:23">
      <c r="B37" s="11"/>
      <c r="C37" s="13"/>
      <c r="D37" s="13"/>
      <c r="E37" s="14"/>
      <c r="G37" s="11"/>
      <c r="H37" s="13"/>
      <c r="I37" s="13"/>
      <c r="J37" s="13" t="s">
        <v>12</v>
      </c>
      <c r="K37" s="26"/>
      <c r="L37" s="26"/>
      <c r="M37" s="71"/>
      <c r="N37" s="65" t="s">
        <v>74</v>
      </c>
      <c r="O37" s="74">
        <v>44272</v>
      </c>
      <c r="P37" s="74">
        <v>44363</v>
      </c>
      <c r="Q37" s="66">
        <v>97.015000000000015</v>
      </c>
      <c r="R37" s="44">
        <v>1.4999999999999999E-2</v>
      </c>
      <c r="S37" s="26"/>
      <c r="T37" s="65" t="s">
        <v>56</v>
      </c>
      <c r="U37" s="67">
        <v>2.9618000000000002E-2</v>
      </c>
      <c r="V37" s="43" t="b">
        <v>1</v>
      </c>
      <c r="W37" s="27"/>
    </row>
    <row r="38" spans="2:23">
      <c r="B38" s="11"/>
      <c r="C38" s="13"/>
      <c r="D38" s="13"/>
      <c r="E38" s="14"/>
      <c r="G38" s="11"/>
      <c r="H38" s="13"/>
      <c r="I38" s="13"/>
      <c r="J38" s="13" t="s">
        <v>12</v>
      </c>
      <c r="K38" s="26"/>
      <c r="L38" s="26"/>
      <c r="M38" s="71"/>
      <c r="N38" s="65" t="s">
        <v>75</v>
      </c>
      <c r="O38" s="74">
        <v>44363</v>
      </c>
      <c r="P38" s="74">
        <v>44454</v>
      </c>
      <c r="Q38" s="66">
        <v>97.010000000000019</v>
      </c>
      <c r="R38" s="44">
        <v>1.4999999999999999E-2</v>
      </c>
      <c r="S38" s="26"/>
      <c r="T38" s="65" t="s">
        <v>28</v>
      </c>
      <c r="U38" s="67">
        <v>2.9618000000000002E-2</v>
      </c>
      <c r="V38" s="43" t="b">
        <v>1</v>
      </c>
      <c r="W38" s="27"/>
    </row>
    <row r="39" spans="2:23">
      <c r="B39" s="11"/>
      <c r="C39" s="13"/>
      <c r="D39" s="13"/>
      <c r="E39" s="14"/>
      <c r="G39" s="11"/>
      <c r="H39" s="13"/>
      <c r="I39" s="13"/>
      <c r="J39" s="13" t="s">
        <v>12</v>
      </c>
      <c r="K39" s="26"/>
      <c r="L39" s="26"/>
      <c r="M39" s="26"/>
      <c r="N39" s="65"/>
      <c r="O39" s="74"/>
      <c r="P39" s="74"/>
      <c r="Q39" s="66"/>
      <c r="R39" s="44"/>
      <c r="S39" s="26"/>
      <c r="T39" s="65" t="s">
        <v>29</v>
      </c>
      <c r="U39" s="67">
        <v>2.9618000000000002E-2</v>
      </c>
      <c r="V39" s="43" t="b">
        <v>1</v>
      </c>
      <c r="W39" s="27"/>
    </row>
    <row r="40" spans="2:23">
      <c r="B40" s="11"/>
      <c r="C40" s="13"/>
      <c r="D40" s="13"/>
      <c r="E40" s="14"/>
      <c r="G40" s="11"/>
      <c r="H40" s="13"/>
      <c r="I40" s="13"/>
      <c r="J40" s="13"/>
      <c r="K40" s="13"/>
      <c r="L40" s="13"/>
      <c r="M40" s="13"/>
      <c r="N40" s="46"/>
      <c r="O40" s="75"/>
      <c r="P40" s="75"/>
      <c r="Q40" s="47"/>
      <c r="R40" s="48"/>
      <c r="S40" s="13"/>
      <c r="T40" s="181" t="s">
        <v>118</v>
      </c>
      <c r="U40" s="182">
        <f ca="1">U39</f>
        <v>2.9618000000000002E-2</v>
      </c>
      <c r="V40" s="183" t="b">
        <v>1</v>
      </c>
      <c r="W40" s="27"/>
    </row>
    <row r="41" spans="2:23">
      <c r="B41" s="21"/>
      <c r="C41" s="22"/>
      <c r="D41" s="22"/>
      <c r="E41" s="23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3"/>
    </row>
    <row r="44" spans="2:23">
      <c r="G44" s="6"/>
      <c r="H44" s="7"/>
      <c r="I44" s="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</row>
    <row r="45" spans="2:23">
      <c r="G45" s="11"/>
      <c r="H45" s="15" t="s">
        <v>13</v>
      </c>
      <c r="I45" s="16"/>
      <c r="J45" s="13" t="s">
        <v>12</v>
      </c>
      <c r="K45" s="13" t="s">
        <v>12</v>
      </c>
      <c r="L45" s="13" t="s">
        <v>12</v>
      </c>
      <c r="M45" s="13" t="s">
        <v>12</v>
      </c>
      <c r="N45" s="17" t="s">
        <v>122</v>
      </c>
      <c r="O45" s="17"/>
      <c r="P45" s="13"/>
      <c r="Q45" s="13" t="s">
        <v>12</v>
      </c>
      <c r="R45" s="13" t="s">
        <v>12</v>
      </c>
      <c r="S45" s="13" t="s">
        <v>12</v>
      </c>
      <c r="T45" s="13" t="s">
        <v>12</v>
      </c>
      <c r="U45" s="13" t="s">
        <v>12</v>
      </c>
      <c r="V45" s="13" t="s">
        <v>12</v>
      </c>
      <c r="W45" s="14"/>
    </row>
    <row r="46" spans="2:23">
      <c r="G46" s="11" t="s">
        <v>12</v>
      </c>
      <c r="H46" s="69" t="s">
        <v>70</v>
      </c>
      <c r="I46" s="69" t="s">
        <v>71</v>
      </c>
      <c r="J46" s="13" t="s">
        <v>12</v>
      </c>
      <c r="K46" s="13" t="s">
        <v>12</v>
      </c>
      <c r="L46" s="13" t="s">
        <v>12</v>
      </c>
      <c r="M46" s="13" t="s">
        <v>12</v>
      </c>
      <c r="N46" s="18" t="s">
        <v>17</v>
      </c>
      <c r="O46" s="18" t="s">
        <v>18</v>
      </c>
      <c r="P46" s="13"/>
      <c r="Q46" s="13" t="s">
        <v>12</v>
      </c>
      <c r="R46" s="13" t="s">
        <v>12</v>
      </c>
      <c r="S46" s="13" t="s">
        <v>12</v>
      </c>
      <c r="T46" s="13" t="s">
        <v>12</v>
      </c>
      <c r="U46" s="13" t="s">
        <v>12</v>
      </c>
      <c r="V46" s="13" t="s">
        <v>12</v>
      </c>
      <c r="W46" s="14"/>
    </row>
    <row r="47" spans="2:23">
      <c r="G47" s="11"/>
      <c r="H47" s="36" t="s">
        <v>7</v>
      </c>
      <c r="I47" s="89" t="s">
        <v>1</v>
      </c>
      <c r="J47" s="13" t="s">
        <v>12</v>
      </c>
      <c r="K47" s="13" t="s">
        <v>12</v>
      </c>
      <c r="L47" s="13" t="s">
        <v>12</v>
      </c>
      <c r="M47" s="13" t="s">
        <v>12</v>
      </c>
      <c r="N47" s="49" t="s">
        <v>5</v>
      </c>
      <c r="O47" s="50">
        <v>1E-3</v>
      </c>
      <c r="P47" s="26"/>
      <c r="Q47" s="13" t="s">
        <v>12</v>
      </c>
      <c r="R47" s="13" t="s">
        <v>12</v>
      </c>
      <c r="S47" s="13" t="s">
        <v>12</v>
      </c>
      <c r="T47" s="13" t="s">
        <v>12</v>
      </c>
      <c r="U47" s="13" t="s">
        <v>12</v>
      </c>
      <c r="V47" s="13" t="s">
        <v>12</v>
      </c>
      <c r="W47" s="27"/>
    </row>
    <row r="48" spans="2:23">
      <c r="G48" s="11"/>
      <c r="H48" s="39" t="s">
        <v>22</v>
      </c>
      <c r="I48" s="90" t="s">
        <v>127</v>
      </c>
      <c r="J48" s="13" t="s">
        <v>12</v>
      </c>
      <c r="K48" s="13" t="s">
        <v>12</v>
      </c>
      <c r="L48" s="13" t="s">
        <v>12</v>
      </c>
      <c r="M48" s="13" t="s">
        <v>12</v>
      </c>
      <c r="N48" s="33" t="s">
        <v>39</v>
      </c>
      <c r="O48" s="51">
        <v>1E-3</v>
      </c>
      <c r="P48" s="26"/>
      <c r="Q48" s="13" t="s">
        <v>12</v>
      </c>
      <c r="R48" s="13" t="s">
        <v>12</v>
      </c>
      <c r="S48" s="13" t="s">
        <v>12</v>
      </c>
      <c r="T48" s="13" t="s">
        <v>12</v>
      </c>
      <c r="U48" s="13" t="s">
        <v>12</v>
      </c>
      <c r="V48" s="13" t="s">
        <v>12</v>
      </c>
      <c r="W48" s="27"/>
    </row>
    <row r="49" spans="7:23">
      <c r="G49" s="11"/>
      <c r="H49" s="39" t="s">
        <v>23</v>
      </c>
      <c r="I49" s="185" t="s">
        <v>113</v>
      </c>
      <c r="J49" s="13" t="s">
        <v>12</v>
      </c>
      <c r="K49" s="13" t="s">
        <v>12</v>
      </c>
      <c r="L49" s="13" t="s">
        <v>12</v>
      </c>
      <c r="M49" s="13" t="s">
        <v>12</v>
      </c>
      <c r="N49" s="33" t="s">
        <v>31</v>
      </c>
      <c r="O49" s="51">
        <v>1E-3</v>
      </c>
      <c r="P49" s="26"/>
      <c r="Q49" s="13" t="s">
        <v>12</v>
      </c>
      <c r="R49" s="13" t="s">
        <v>12</v>
      </c>
      <c r="S49" s="13" t="s">
        <v>12</v>
      </c>
      <c r="T49" s="13" t="s">
        <v>12</v>
      </c>
      <c r="U49" s="13" t="s">
        <v>12</v>
      </c>
      <c r="V49" s="13" t="s">
        <v>12</v>
      </c>
      <c r="W49" s="27"/>
    </row>
    <row r="50" spans="7:23">
      <c r="G50" s="11"/>
      <c r="H50" s="59" t="s">
        <v>9</v>
      </c>
      <c r="I50" s="91">
        <v>43327</v>
      </c>
      <c r="J50" s="13" t="s">
        <v>12</v>
      </c>
      <c r="K50" s="13" t="s">
        <v>12</v>
      </c>
      <c r="L50" s="13" t="s">
        <v>12</v>
      </c>
      <c r="M50" s="13" t="s">
        <v>12</v>
      </c>
      <c r="N50" s="33" t="s">
        <v>42</v>
      </c>
      <c r="O50" s="51">
        <v>1E-3</v>
      </c>
      <c r="P50" s="26"/>
      <c r="Q50" s="13" t="s">
        <v>12</v>
      </c>
      <c r="R50" s="13" t="s">
        <v>12</v>
      </c>
      <c r="S50" s="13" t="s">
        <v>12</v>
      </c>
      <c r="T50" s="13" t="s">
        <v>12</v>
      </c>
      <c r="U50" s="13" t="s">
        <v>12</v>
      </c>
      <c r="V50" s="13" t="s">
        <v>12</v>
      </c>
      <c r="W50" s="27"/>
    </row>
    <row r="51" spans="7:23">
      <c r="G51" s="11"/>
      <c r="H51" s="16"/>
      <c r="I51" s="16"/>
      <c r="J51" s="13" t="s">
        <v>12</v>
      </c>
      <c r="K51" s="13" t="s">
        <v>12</v>
      </c>
      <c r="L51" s="13" t="s">
        <v>12</v>
      </c>
      <c r="M51" s="13" t="s">
        <v>12</v>
      </c>
      <c r="N51" s="33" t="s">
        <v>6</v>
      </c>
      <c r="O51" s="51">
        <v>1E-3</v>
      </c>
      <c r="P51" s="26"/>
      <c r="Q51" s="13" t="s">
        <v>12</v>
      </c>
      <c r="R51" s="13" t="s">
        <v>12</v>
      </c>
      <c r="S51" s="13" t="s">
        <v>12</v>
      </c>
      <c r="T51" s="13" t="s">
        <v>12</v>
      </c>
      <c r="U51" s="13" t="s">
        <v>12</v>
      </c>
      <c r="V51" s="13" t="s">
        <v>12</v>
      </c>
      <c r="W51" s="27"/>
    </row>
    <row r="52" spans="7:23">
      <c r="G52" s="11"/>
      <c r="H52" s="13"/>
      <c r="I52" s="92"/>
      <c r="J52" s="13" t="s">
        <v>12</v>
      </c>
      <c r="K52" s="13" t="s">
        <v>12</v>
      </c>
      <c r="L52" s="13" t="s">
        <v>12</v>
      </c>
      <c r="M52" s="13" t="s">
        <v>12</v>
      </c>
      <c r="N52" s="33" t="s">
        <v>45</v>
      </c>
      <c r="O52" s="51">
        <v>1E-3</v>
      </c>
      <c r="P52" s="26"/>
      <c r="Q52" s="13" t="s">
        <v>12</v>
      </c>
      <c r="R52" s="13" t="s">
        <v>12</v>
      </c>
      <c r="S52" s="13" t="s">
        <v>12</v>
      </c>
      <c r="T52" s="13" t="s">
        <v>12</v>
      </c>
      <c r="U52" s="13" t="s">
        <v>12</v>
      </c>
      <c r="V52" s="13" t="s">
        <v>12</v>
      </c>
      <c r="W52" s="27"/>
    </row>
    <row r="53" spans="7:23">
      <c r="G53" s="11"/>
      <c r="H53" s="24" t="s">
        <v>25</v>
      </c>
      <c r="I53" s="16"/>
      <c r="J53" s="13" t="s">
        <v>12</v>
      </c>
      <c r="K53" s="13" t="s">
        <v>12</v>
      </c>
      <c r="L53" s="13" t="s">
        <v>12</v>
      </c>
      <c r="M53" s="13" t="s">
        <v>12</v>
      </c>
      <c r="N53" s="33" t="s">
        <v>47</v>
      </c>
      <c r="O53" s="51">
        <v>1E-3</v>
      </c>
      <c r="P53" s="26"/>
      <c r="Q53" s="13" t="s">
        <v>12</v>
      </c>
      <c r="R53" s="13" t="s">
        <v>12</v>
      </c>
      <c r="S53" s="13" t="s">
        <v>12</v>
      </c>
      <c r="T53" s="13" t="s">
        <v>12</v>
      </c>
      <c r="U53" s="13" t="s">
        <v>12</v>
      </c>
      <c r="V53" s="13" t="s">
        <v>12</v>
      </c>
      <c r="W53" s="27"/>
    </row>
    <row r="54" spans="7:23">
      <c r="G54" s="11"/>
      <c r="H54" s="12" t="s">
        <v>26</v>
      </c>
      <c r="I54" s="86" t="s">
        <v>134</v>
      </c>
      <c r="J54" s="13" t="s">
        <v>12</v>
      </c>
      <c r="K54" s="13" t="s">
        <v>12</v>
      </c>
      <c r="L54" s="13" t="s">
        <v>12</v>
      </c>
      <c r="M54" s="13" t="s">
        <v>12</v>
      </c>
      <c r="N54" s="33" t="s">
        <v>49</v>
      </c>
      <c r="O54" s="51">
        <v>1E-3</v>
      </c>
      <c r="P54" s="26"/>
      <c r="Q54" s="13" t="s">
        <v>12</v>
      </c>
      <c r="R54" s="13" t="s">
        <v>12</v>
      </c>
      <c r="S54" s="13" t="s">
        <v>12</v>
      </c>
      <c r="T54" s="13" t="s">
        <v>12</v>
      </c>
      <c r="U54" s="13" t="s">
        <v>12</v>
      </c>
      <c r="V54" s="13" t="s">
        <v>12</v>
      </c>
      <c r="W54" s="27"/>
    </row>
    <row r="55" spans="7:23">
      <c r="G55" s="11"/>
      <c r="H55" s="20" t="s">
        <v>27</v>
      </c>
      <c r="I55" s="97" t="str">
        <f ca="1">_xll.meLWOCurveMarketDataCreate(I54,H45,H47:I50,N45,N47:O61)</f>
        <v>USD_1M_MARKETDATA@3:29</v>
      </c>
      <c r="J55" s="13" t="s">
        <v>12</v>
      </c>
      <c r="K55" s="13" t="s">
        <v>12</v>
      </c>
      <c r="L55" s="13" t="s">
        <v>12</v>
      </c>
      <c r="M55" s="13" t="s">
        <v>12</v>
      </c>
      <c r="N55" s="33" t="s">
        <v>51</v>
      </c>
      <c r="O55" s="51">
        <v>1E-3</v>
      </c>
      <c r="P55" s="26"/>
      <c r="Q55" s="13" t="s">
        <v>12</v>
      </c>
      <c r="R55" s="13" t="s">
        <v>12</v>
      </c>
      <c r="S55" s="13" t="s">
        <v>12</v>
      </c>
      <c r="T55" s="13" t="s">
        <v>12</v>
      </c>
      <c r="U55" s="13" t="s">
        <v>12</v>
      </c>
      <c r="V55" s="13" t="s">
        <v>12</v>
      </c>
      <c r="W55" s="27"/>
    </row>
    <row r="56" spans="7:23">
      <c r="G56" s="11"/>
      <c r="H56" s="13"/>
      <c r="I56" s="13"/>
      <c r="J56" s="13" t="s">
        <v>12</v>
      </c>
      <c r="K56" s="13" t="s">
        <v>12</v>
      </c>
      <c r="L56" s="13" t="s">
        <v>12</v>
      </c>
      <c r="M56" s="13" t="s">
        <v>12</v>
      </c>
      <c r="N56" s="33" t="s">
        <v>53</v>
      </c>
      <c r="O56" s="51">
        <v>1E-3</v>
      </c>
      <c r="P56" s="26"/>
      <c r="Q56" s="13" t="s">
        <v>12</v>
      </c>
      <c r="R56" s="13" t="s">
        <v>12</v>
      </c>
      <c r="S56" s="13" t="s">
        <v>12</v>
      </c>
      <c r="T56" s="13" t="s">
        <v>12</v>
      </c>
      <c r="U56" s="13" t="s">
        <v>12</v>
      </c>
      <c r="V56" s="13" t="s">
        <v>12</v>
      </c>
      <c r="W56" s="27"/>
    </row>
    <row r="57" spans="7:23">
      <c r="G57" s="11"/>
      <c r="H57" s="13"/>
      <c r="I57" s="13"/>
      <c r="J57" s="13" t="s">
        <v>12</v>
      </c>
      <c r="K57" s="13" t="s">
        <v>12</v>
      </c>
      <c r="L57" s="13" t="s">
        <v>12</v>
      </c>
      <c r="M57" s="13" t="s">
        <v>12</v>
      </c>
      <c r="N57" s="33" t="s">
        <v>55</v>
      </c>
      <c r="O57" s="51">
        <v>1E-3</v>
      </c>
      <c r="P57" s="26"/>
      <c r="Q57" s="13" t="s">
        <v>12</v>
      </c>
      <c r="R57" s="13" t="s">
        <v>12</v>
      </c>
      <c r="S57" s="13" t="s">
        <v>12</v>
      </c>
      <c r="T57" s="13" t="s">
        <v>12</v>
      </c>
      <c r="U57" s="13" t="s">
        <v>12</v>
      </c>
      <c r="V57" s="13" t="s">
        <v>12</v>
      </c>
      <c r="W57" s="27"/>
    </row>
    <row r="58" spans="7:23">
      <c r="G58" s="11"/>
      <c r="H58" s="13"/>
      <c r="I58" s="13"/>
      <c r="J58" s="13" t="s">
        <v>12</v>
      </c>
      <c r="K58" s="13" t="s">
        <v>12</v>
      </c>
      <c r="L58" s="13" t="s">
        <v>12</v>
      </c>
      <c r="M58" s="13" t="s">
        <v>12</v>
      </c>
      <c r="N58" s="33" t="s">
        <v>56</v>
      </c>
      <c r="O58" s="51">
        <v>1E-3</v>
      </c>
      <c r="P58" s="26"/>
      <c r="Q58" s="13" t="s">
        <v>12</v>
      </c>
      <c r="R58" s="13" t="s">
        <v>12</v>
      </c>
      <c r="S58" s="13" t="s">
        <v>12</v>
      </c>
      <c r="T58" s="13" t="s">
        <v>12</v>
      </c>
      <c r="U58" s="13" t="s">
        <v>12</v>
      </c>
      <c r="V58" s="13" t="s">
        <v>12</v>
      </c>
      <c r="W58" s="27"/>
    </row>
    <row r="59" spans="7:23">
      <c r="G59" s="11"/>
      <c r="H59" s="13"/>
      <c r="I59" s="13"/>
      <c r="J59" s="13" t="s">
        <v>12</v>
      </c>
      <c r="K59" s="13" t="s">
        <v>12</v>
      </c>
      <c r="L59" s="13" t="s">
        <v>12</v>
      </c>
      <c r="M59" s="13" t="s">
        <v>12</v>
      </c>
      <c r="N59" s="33" t="s">
        <v>28</v>
      </c>
      <c r="O59" s="51">
        <v>1E-3</v>
      </c>
      <c r="P59" s="26"/>
      <c r="Q59" s="13" t="s">
        <v>12</v>
      </c>
      <c r="R59" s="13" t="s">
        <v>12</v>
      </c>
      <c r="S59" s="13" t="s">
        <v>12</v>
      </c>
      <c r="T59" s="13" t="s">
        <v>12</v>
      </c>
      <c r="U59" s="13" t="s">
        <v>12</v>
      </c>
      <c r="V59" s="13" t="s">
        <v>12</v>
      </c>
      <c r="W59" s="27"/>
    </row>
    <row r="60" spans="7:23">
      <c r="G60" s="11"/>
      <c r="H60" s="13"/>
      <c r="I60" s="13"/>
      <c r="J60" s="13" t="s">
        <v>12</v>
      </c>
      <c r="K60" s="13" t="s">
        <v>12</v>
      </c>
      <c r="L60" s="13" t="s">
        <v>12</v>
      </c>
      <c r="M60" s="13" t="s">
        <v>12</v>
      </c>
      <c r="N60" s="33" t="s">
        <v>29</v>
      </c>
      <c r="O60" s="51">
        <v>1E-3</v>
      </c>
      <c r="P60" s="26"/>
      <c r="Q60" s="13" t="s">
        <v>12</v>
      </c>
      <c r="R60" s="13" t="s">
        <v>12</v>
      </c>
      <c r="S60" s="13" t="s">
        <v>12</v>
      </c>
      <c r="T60" s="13" t="s">
        <v>12</v>
      </c>
      <c r="U60" s="13" t="s">
        <v>12</v>
      </c>
      <c r="V60" s="13" t="s">
        <v>12</v>
      </c>
      <c r="W60" s="27"/>
    </row>
    <row r="61" spans="7:23">
      <c r="G61" s="11"/>
      <c r="H61" s="13"/>
      <c r="I61" s="13"/>
      <c r="J61" s="13"/>
      <c r="K61" s="13"/>
      <c r="L61" s="13"/>
      <c r="M61" s="13"/>
      <c r="N61" s="45" t="s">
        <v>118</v>
      </c>
      <c r="O61" s="52">
        <v>1E-3</v>
      </c>
      <c r="P61" s="26"/>
      <c r="Q61" s="13" t="s">
        <v>12</v>
      </c>
      <c r="R61" s="13" t="s">
        <v>12</v>
      </c>
      <c r="S61" s="13" t="s">
        <v>12</v>
      </c>
      <c r="T61" s="13" t="s">
        <v>12</v>
      </c>
      <c r="U61" s="13" t="s">
        <v>12</v>
      </c>
      <c r="V61" s="13" t="s">
        <v>12</v>
      </c>
      <c r="W61" s="27"/>
    </row>
    <row r="62" spans="7:23">
      <c r="G62" s="2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3"/>
    </row>
    <row r="65" spans="7:23">
      <c r="G65" s="6"/>
      <c r="H65" s="7"/>
      <c r="I65" s="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</row>
    <row r="66" spans="7:23">
      <c r="G66" s="11"/>
      <c r="H66" s="15" t="s">
        <v>13</v>
      </c>
      <c r="I66" s="16"/>
      <c r="J66" s="13" t="s">
        <v>12</v>
      </c>
      <c r="K66" s="13" t="s">
        <v>12</v>
      </c>
      <c r="L66" s="13" t="s">
        <v>12</v>
      </c>
      <c r="M66" s="13" t="s">
        <v>12</v>
      </c>
      <c r="N66" s="17" t="s">
        <v>122</v>
      </c>
      <c r="O66" s="17"/>
      <c r="P66" s="13"/>
      <c r="Q66" s="13" t="s">
        <v>12</v>
      </c>
      <c r="R66" s="13" t="s">
        <v>12</v>
      </c>
      <c r="S66" s="13" t="s">
        <v>12</v>
      </c>
      <c r="T66" s="13" t="s">
        <v>12</v>
      </c>
      <c r="U66" s="13" t="s">
        <v>12</v>
      </c>
      <c r="V66" s="13" t="s">
        <v>12</v>
      </c>
      <c r="W66" s="14"/>
    </row>
    <row r="67" spans="7:23">
      <c r="G67" s="11" t="s">
        <v>12</v>
      </c>
      <c r="H67" s="69" t="s">
        <v>70</v>
      </c>
      <c r="I67" s="69" t="s">
        <v>71</v>
      </c>
      <c r="J67" s="13" t="s">
        <v>12</v>
      </c>
      <c r="K67" s="13" t="s">
        <v>12</v>
      </c>
      <c r="L67" s="13" t="s">
        <v>12</v>
      </c>
      <c r="M67" s="13" t="s">
        <v>12</v>
      </c>
      <c r="N67" s="18" t="s">
        <v>17</v>
      </c>
      <c r="O67" s="18" t="s">
        <v>18</v>
      </c>
      <c r="P67" s="13"/>
      <c r="Q67" s="13" t="s">
        <v>12</v>
      </c>
      <c r="R67" s="13" t="s">
        <v>12</v>
      </c>
      <c r="S67" s="13" t="s">
        <v>12</v>
      </c>
      <c r="T67" s="13" t="s">
        <v>12</v>
      </c>
      <c r="U67" s="13" t="s">
        <v>12</v>
      </c>
      <c r="V67" s="13" t="s">
        <v>12</v>
      </c>
      <c r="W67" s="14"/>
    </row>
    <row r="68" spans="7:23">
      <c r="G68" s="11"/>
      <c r="H68" s="36" t="s">
        <v>7</v>
      </c>
      <c r="I68" s="89" t="s">
        <v>1</v>
      </c>
      <c r="J68" s="13" t="s">
        <v>12</v>
      </c>
      <c r="K68" s="13" t="s">
        <v>12</v>
      </c>
      <c r="L68" s="13" t="s">
        <v>12</v>
      </c>
      <c r="M68" s="13" t="s">
        <v>12</v>
      </c>
      <c r="N68" s="49" t="s">
        <v>5</v>
      </c>
      <c r="O68" s="50">
        <v>2E-3</v>
      </c>
      <c r="P68" s="26"/>
      <c r="Q68" s="13" t="s">
        <v>12</v>
      </c>
      <c r="R68" s="13" t="s">
        <v>12</v>
      </c>
      <c r="S68" s="13" t="s">
        <v>12</v>
      </c>
      <c r="T68" s="13" t="s">
        <v>12</v>
      </c>
      <c r="U68" s="13" t="s">
        <v>12</v>
      </c>
      <c r="V68" s="13" t="s">
        <v>12</v>
      </c>
      <c r="W68" s="27"/>
    </row>
    <row r="69" spans="7:23">
      <c r="G69" s="11"/>
      <c r="H69" s="39" t="s">
        <v>22</v>
      </c>
      <c r="I69" s="90" t="s">
        <v>127</v>
      </c>
      <c r="J69" s="13" t="s">
        <v>12</v>
      </c>
      <c r="K69" s="13" t="s">
        <v>12</v>
      </c>
      <c r="L69" s="13" t="s">
        <v>12</v>
      </c>
      <c r="M69" s="13" t="s">
        <v>12</v>
      </c>
      <c r="N69" s="33" t="s">
        <v>39</v>
      </c>
      <c r="O69" s="51">
        <v>2E-3</v>
      </c>
      <c r="P69" s="26"/>
      <c r="Q69" s="13" t="s">
        <v>12</v>
      </c>
      <c r="R69" s="13" t="s">
        <v>12</v>
      </c>
      <c r="S69" s="13" t="s">
        <v>12</v>
      </c>
      <c r="T69" s="13" t="s">
        <v>12</v>
      </c>
      <c r="U69" s="13" t="s">
        <v>12</v>
      </c>
      <c r="V69" s="13" t="s">
        <v>12</v>
      </c>
      <c r="W69" s="27"/>
    </row>
    <row r="70" spans="7:23">
      <c r="G70" s="11"/>
      <c r="H70" s="39" t="s">
        <v>23</v>
      </c>
      <c r="I70" s="185" t="s">
        <v>132</v>
      </c>
      <c r="J70" s="13" t="s">
        <v>12</v>
      </c>
      <c r="K70" s="13" t="s">
        <v>12</v>
      </c>
      <c r="L70" s="13" t="s">
        <v>12</v>
      </c>
      <c r="M70" s="13" t="s">
        <v>12</v>
      </c>
      <c r="N70" s="33" t="s">
        <v>31</v>
      </c>
      <c r="O70" s="51">
        <v>2E-3</v>
      </c>
      <c r="P70" s="26"/>
      <c r="Q70" s="13" t="s">
        <v>12</v>
      </c>
      <c r="R70" s="13" t="s">
        <v>12</v>
      </c>
      <c r="S70" s="13" t="s">
        <v>12</v>
      </c>
      <c r="T70" s="13" t="s">
        <v>12</v>
      </c>
      <c r="U70" s="13" t="s">
        <v>12</v>
      </c>
      <c r="V70" s="13" t="s">
        <v>12</v>
      </c>
      <c r="W70" s="27"/>
    </row>
    <row r="71" spans="7:23">
      <c r="G71" s="11"/>
      <c r="H71" s="59" t="s">
        <v>9</v>
      </c>
      <c r="I71" s="91">
        <v>43327</v>
      </c>
      <c r="J71" s="13" t="s">
        <v>12</v>
      </c>
      <c r="K71" s="13" t="s">
        <v>12</v>
      </c>
      <c r="L71" s="13" t="s">
        <v>12</v>
      </c>
      <c r="M71" s="13" t="s">
        <v>12</v>
      </c>
      <c r="N71" s="33" t="s">
        <v>42</v>
      </c>
      <c r="O71" s="51">
        <v>2E-3</v>
      </c>
      <c r="P71" s="26"/>
      <c r="Q71" s="13" t="s">
        <v>12</v>
      </c>
      <c r="R71" s="13" t="s">
        <v>12</v>
      </c>
      <c r="S71" s="13" t="s">
        <v>12</v>
      </c>
      <c r="T71" s="13" t="s">
        <v>12</v>
      </c>
      <c r="U71" s="13" t="s">
        <v>12</v>
      </c>
      <c r="V71" s="13" t="s">
        <v>12</v>
      </c>
      <c r="W71" s="27"/>
    </row>
    <row r="72" spans="7:23">
      <c r="G72" s="11"/>
      <c r="H72" s="16"/>
      <c r="I72" s="16"/>
      <c r="J72" s="13" t="s">
        <v>12</v>
      </c>
      <c r="K72" s="13" t="s">
        <v>12</v>
      </c>
      <c r="L72" s="13" t="s">
        <v>12</v>
      </c>
      <c r="M72" s="13" t="s">
        <v>12</v>
      </c>
      <c r="N72" s="33" t="s">
        <v>6</v>
      </c>
      <c r="O72" s="51">
        <v>2E-3</v>
      </c>
      <c r="P72" s="26"/>
      <c r="Q72" s="13" t="s">
        <v>12</v>
      </c>
      <c r="R72" s="13" t="s">
        <v>12</v>
      </c>
      <c r="S72" s="13" t="s">
        <v>12</v>
      </c>
      <c r="T72" s="13" t="s">
        <v>12</v>
      </c>
      <c r="U72" s="13" t="s">
        <v>12</v>
      </c>
      <c r="V72" s="13" t="s">
        <v>12</v>
      </c>
      <c r="W72" s="27"/>
    </row>
    <row r="73" spans="7:23">
      <c r="G73" s="11"/>
      <c r="H73" s="13"/>
      <c r="I73" s="92"/>
      <c r="J73" s="13" t="s">
        <v>12</v>
      </c>
      <c r="K73" s="13" t="s">
        <v>12</v>
      </c>
      <c r="L73" s="13" t="s">
        <v>12</v>
      </c>
      <c r="M73" s="13" t="s">
        <v>12</v>
      </c>
      <c r="N73" s="33" t="s">
        <v>45</v>
      </c>
      <c r="O73" s="51">
        <v>2E-3</v>
      </c>
      <c r="P73" s="26"/>
      <c r="Q73" s="13" t="s">
        <v>12</v>
      </c>
      <c r="R73" s="13" t="s">
        <v>12</v>
      </c>
      <c r="S73" s="13" t="s">
        <v>12</v>
      </c>
      <c r="T73" s="13" t="s">
        <v>12</v>
      </c>
      <c r="U73" s="13" t="s">
        <v>12</v>
      </c>
      <c r="V73" s="13" t="s">
        <v>12</v>
      </c>
      <c r="W73" s="27"/>
    </row>
    <row r="74" spans="7:23">
      <c r="G74" s="11"/>
      <c r="H74" s="24" t="s">
        <v>25</v>
      </c>
      <c r="I74" s="16"/>
      <c r="J74" s="13" t="s">
        <v>12</v>
      </c>
      <c r="K74" s="13" t="s">
        <v>12</v>
      </c>
      <c r="L74" s="13" t="s">
        <v>12</v>
      </c>
      <c r="M74" s="13" t="s">
        <v>12</v>
      </c>
      <c r="N74" s="33" t="s">
        <v>47</v>
      </c>
      <c r="O74" s="51">
        <v>2E-3</v>
      </c>
      <c r="P74" s="26"/>
      <c r="Q74" s="13" t="s">
        <v>12</v>
      </c>
      <c r="R74" s="13" t="s">
        <v>12</v>
      </c>
      <c r="S74" s="13" t="s">
        <v>12</v>
      </c>
      <c r="T74" s="13" t="s">
        <v>12</v>
      </c>
      <c r="U74" s="13" t="s">
        <v>12</v>
      </c>
      <c r="V74" s="13" t="s">
        <v>12</v>
      </c>
      <c r="W74" s="27"/>
    </row>
    <row r="75" spans="7:23">
      <c r="G75" s="11"/>
      <c r="H75" s="12" t="s">
        <v>26</v>
      </c>
      <c r="I75" s="86" t="s">
        <v>133</v>
      </c>
      <c r="J75" s="13" t="s">
        <v>12</v>
      </c>
      <c r="K75" s="13" t="s">
        <v>12</v>
      </c>
      <c r="L75" s="13" t="s">
        <v>12</v>
      </c>
      <c r="M75" s="13" t="s">
        <v>12</v>
      </c>
      <c r="N75" s="33" t="s">
        <v>49</v>
      </c>
      <c r="O75" s="51">
        <v>2E-3</v>
      </c>
      <c r="P75" s="26"/>
      <c r="Q75" s="13" t="s">
        <v>12</v>
      </c>
      <c r="R75" s="13" t="s">
        <v>12</v>
      </c>
      <c r="S75" s="13" t="s">
        <v>12</v>
      </c>
      <c r="T75" s="13" t="s">
        <v>12</v>
      </c>
      <c r="U75" s="13" t="s">
        <v>12</v>
      </c>
      <c r="V75" s="13" t="s">
        <v>12</v>
      </c>
      <c r="W75" s="27"/>
    </row>
    <row r="76" spans="7:23">
      <c r="G76" s="11"/>
      <c r="H76" s="20" t="s">
        <v>27</v>
      </c>
      <c r="I76" s="97" t="str">
        <f ca="1">_xll.meLWOCurveMarketDataCreate(I75,H66,H68:I71,N66,N68:O82)</f>
        <v>USD_12M_MARKETDATA@2:29</v>
      </c>
      <c r="J76" s="13" t="s">
        <v>12</v>
      </c>
      <c r="K76" s="13" t="s">
        <v>12</v>
      </c>
      <c r="L76" s="13" t="s">
        <v>12</v>
      </c>
      <c r="M76" s="13" t="s">
        <v>12</v>
      </c>
      <c r="N76" s="33" t="s">
        <v>51</v>
      </c>
      <c r="O76" s="51">
        <v>2E-3</v>
      </c>
      <c r="P76" s="26"/>
      <c r="Q76" s="13" t="s">
        <v>12</v>
      </c>
      <c r="R76" s="13" t="s">
        <v>12</v>
      </c>
      <c r="S76" s="13" t="s">
        <v>12</v>
      </c>
      <c r="T76" s="13" t="s">
        <v>12</v>
      </c>
      <c r="U76" s="13" t="s">
        <v>12</v>
      </c>
      <c r="V76" s="13" t="s">
        <v>12</v>
      </c>
      <c r="W76" s="27"/>
    </row>
    <row r="77" spans="7:23">
      <c r="G77" s="11"/>
      <c r="H77" s="13"/>
      <c r="I77" s="13"/>
      <c r="J77" s="13" t="s">
        <v>12</v>
      </c>
      <c r="K77" s="13" t="s">
        <v>12</v>
      </c>
      <c r="L77" s="13" t="s">
        <v>12</v>
      </c>
      <c r="M77" s="13" t="s">
        <v>12</v>
      </c>
      <c r="N77" s="33" t="s">
        <v>53</v>
      </c>
      <c r="O77" s="51">
        <v>2E-3</v>
      </c>
      <c r="P77" s="26"/>
      <c r="Q77" s="13" t="s">
        <v>12</v>
      </c>
      <c r="R77" s="13" t="s">
        <v>12</v>
      </c>
      <c r="S77" s="13" t="s">
        <v>12</v>
      </c>
      <c r="T77" s="13" t="s">
        <v>12</v>
      </c>
      <c r="U77" s="13" t="s">
        <v>12</v>
      </c>
      <c r="V77" s="13" t="s">
        <v>12</v>
      </c>
      <c r="W77" s="27"/>
    </row>
    <row r="78" spans="7:23">
      <c r="G78" s="11"/>
      <c r="H78" s="13"/>
      <c r="I78" s="13"/>
      <c r="J78" s="13" t="s">
        <v>12</v>
      </c>
      <c r="K78" s="13" t="s">
        <v>12</v>
      </c>
      <c r="L78" s="13" t="s">
        <v>12</v>
      </c>
      <c r="M78" s="13" t="s">
        <v>12</v>
      </c>
      <c r="N78" s="33" t="s">
        <v>55</v>
      </c>
      <c r="O78" s="51">
        <v>2E-3</v>
      </c>
      <c r="P78" s="26"/>
      <c r="Q78" s="13" t="s">
        <v>12</v>
      </c>
      <c r="R78" s="13" t="s">
        <v>12</v>
      </c>
      <c r="S78" s="13" t="s">
        <v>12</v>
      </c>
      <c r="T78" s="13" t="s">
        <v>12</v>
      </c>
      <c r="U78" s="13" t="s">
        <v>12</v>
      </c>
      <c r="V78" s="13" t="s">
        <v>12</v>
      </c>
      <c r="W78" s="27"/>
    </row>
    <row r="79" spans="7:23">
      <c r="G79" s="11"/>
      <c r="H79" s="13"/>
      <c r="I79" s="13"/>
      <c r="J79" s="13" t="s">
        <v>12</v>
      </c>
      <c r="K79" s="13" t="s">
        <v>12</v>
      </c>
      <c r="L79" s="13" t="s">
        <v>12</v>
      </c>
      <c r="M79" s="13" t="s">
        <v>12</v>
      </c>
      <c r="N79" s="33" t="s">
        <v>56</v>
      </c>
      <c r="O79" s="51">
        <v>2E-3</v>
      </c>
      <c r="P79" s="26"/>
      <c r="Q79" s="13" t="s">
        <v>12</v>
      </c>
      <c r="R79" s="13" t="s">
        <v>12</v>
      </c>
      <c r="S79" s="13" t="s">
        <v>12</v>
      </c>
      <c r="T79" s="13" t="s">
        <v>12</v>
      </c>
      <c r="U79" s="13" t="s">
        <v>12</v>
      </c>
      <c r="V79" s="13" t="s">
        <v>12</v>
      </c>
      <c r="W79" s="27"/>
    </row>
    <row r="80" spans="7:23">
      <c r="G80" s="11"/>
      <c r="H80" s="13"/>
      <c r="I80" s="13"/>
      <c r="J80" s="13" t="s">
        <v>12</v>
      </c>
      <c r="K80" s="13" t="s">
        <v>12</v>
      </c>
      <c r="L80" s="13" t="s">
        <v>12</v>
      </c>
      <c r="M80" s="13" t="s">
        <v>12</v>
      </c>
      <c r="N80" s="33" t="s">
        <v>28</v>
      </c>
      <c r="O80" s="51">
        <v>2E-3</v>
      </c>
      <c r="P80" s="26"/>
      <c r="Q80" s="13" t="s">
        <v>12</v>
      </c>
      <c r="R80" s="13" t="s">
        <v>12</v>
      </c>
      <c r="S80" s="13" t="s">
        <v>12</v>
      </c>
      <c r="T80" s="13" t="s">
        <v>12</v>
      </c>
      <c r="U80" s="13" t="s">
        <v>12</v>
      </c>
      <c r="V80" s="13" t="s">
        <v>12</v>
      </c>
      <c r="W80" s="27"/>
    </row>
    <row r="81" spans="7:23">
      <c r="G81" s="11"/>
      <c r="H81" s="13"/>
      <c r="I81" s="13"/>
      <c r="J81" s="13" t="s">
        <v>12</v>
      </c>
      <c r="K81" s="13" t="s">
        <v>12</v>
      </c>
      <c r="L81" s="13" t="s">
        <v>12</v>
      </c>
      <c r="M81" s="13" t="s">
        <v>12</v>
      </c>
      <c r="N81" s="33" t="s">
        <v>29</v>
      </c>
      <c r="O81" s="51">
        <v>2E-3</v>
      </c>
      <c r="P81" s="26"/>
      <c r="Q81" s="13" t="s">
        <v>12</v>
      </c>
      <c r="R81" s="13" t="s">
        <v>12</v>
      </c>
      <c r="S81" s="13" t="s">
        <v>12</v>
      </c>
      <c r="T81" s="13" t="s">
        <v>12</v>
      </c>
      <c r="U81" s="13" t="s">
        <v>12</v>
      </c>
      <c r="V81" s="13" t="s">
        <v>12</v>
      </c>
      <c r="W81" s="27"/>
    </row>
    <row r="82" spans="7:23">
      <c r="G82" s="11"/>
      <c r="H82" s="13"/>
      <c r="I82" s="13"/>
      <c r="J82" s="13"/>
      <c r="K82" s="13"/>
      <c r="L82" s="13"/>
      <c r="M82" s="13"/>
      <c r="N82" s="45" t="s">
        <v>118</v>
      </c>
      <c r="O82" s="52">
        <v>2E-3</v>
      </c>
      <c r="P82" s="26"/>
      <c r="Q82" s="13" t="s">
        <v>12</v>
      </c>
      <c r="R82" s="13" t="s">
        <v>12</v>
      </c>
      <c r="S82" s="13" t="s">
        <v>12</v>
      </c>
      <c r="T82" s="13" t="s">
        <v>12</v>
      </c>
      <c r="U82" s="13" t="s">
        <v>12</v>
      </c>
      <c r="V82" s="13" t="s">
        <v>12</v>
      </c>
      <c r="W82" s="27"/>
    </row>
    <row r="83" spans="7:23">
      <c r="G83" s="2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3"/>
    </row>
    <row r="86" spans="7:23">
      <c r="G86" s="6"/>
      <c r="H86" s="7"/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</row>
    <row r="87" spans="7:23">
      <c r="G87" s="11"/>
      <c r="H87" s="15" t="s">
        <v>13</v>
      </c>
      <c r="I87" s="16"/>
      <c r="J87" s="13" t="s">
        <v>12</v>
      </c>
      <c r="K87" s="13" t="s">
        <v>12</v>
      </c>
      <c r="L87" s="13" t="s">
        <v>12</v>
      </c>
      <c r="M87" s="13" t="s">
        <v>12</v>
      </c>
      <c r="N87" s="17" t="s">
        <v>122</v>
      </c>
      <c r="O87" s="17"/>
      <c r="P87" s="13"/>
      <c r="Q87" s="13" t="s">
        <v>12</v>
      </c>
      <c r="R87" s="13" t="s">
        <v>12</v>
      </c>
      <c r="S87" s="13" t="s">
        <v>12</v>
      </c>
      <c r="T87" s="13" t="s">
        <v>12</v>
      </c>
      <c r="U87" s="13" t="s">
        <v>12</v>
      </c>
      <c r="V87" s="13" t="s">
        <v>12</v>
      </c>
      <c r="W87" s="14"/>
    </row>
    <row r="88" spans="7:23">
      <c r="G88" s="11" t="s">
        <v>12</v>
      </c>
      <c r="H88" s="69" t="s">
        <v>70</v>
      </c>
      <c r="I88" s="69" t="s">
        <v>71</v>
      </c>
      <c r="J88" s="13" t="s">
        <v>12</v>
      </c>
      <c r="K88" s="13" t="s">
        <v>12</v>
      </c>
      <c r="L88" s="13" t="s">
        <v>12</v>
      </c>
      <c r="M88" s="13" t="s">
        <v>12</v>
      </c>
      <c r="N88" s="18" t="s">
        <v>17</v>
      </c>
      <c r="O88" s="18" t="s">
        <v>18</v>
      </c>
      <c r="P88" s="13"/>
      <c r="Q88" s="13" t="s">
        <v>12</v>
      </c>
      <c r="R88" s="13" t="s">
        <v>12</v>
      </c>
      <c r="S88" s="13" t="s">
        <v>12</v>
      </c>
      <c r="T88" s="13" t="s">
        <v>12</v>
      </c>
      <c r="U88" s="13" t="s">
        <v>12</v>
      </c>
      <c r="V88" s="13" t="s">
        <v>12</v>
      </c>
      <c r="W88" s="14"/>
    </row>
    <row r="89" spans="7:23">
      <c r="G89" s="11"/>
      <c r="H89" s="36" t="s">
        <v>7</v>
      </c>
      <c r="I89" s="89" t="s">
        <v>1</v>
      </c>
      <c r="J89" s="13" t="s">
        <v>12</v>
      </c>
      <c r="K89" s="13" t="s">
        <v>12</v>
      </c>
      <c r="L89" s="13" t="s">
        <v>12</v>
      </c>
      <c r="M89" s="13" t="s">
        <v>12</v>
      </c>
      <c r="N89" s="49" t="s">
        <v>5</v>
      </c>
      <c r="O89" s="50">
        <v>1E-3</v>
      </c>
      <c r="P89" s="26"/>
      <c r="Q89" s="13" t="s">
        <v>12</v>
      </c>
      <c r="R89" s="13" t="s">
        <v>12</v>
      </c>
      <c r="S89" s="13" t="s">
        <v>12</v>
      </c>
      <c r="T89" s="13" t="s">
        <v>12</v>
      </c>
      <c r="U89" s="13" t="s">
        <v>12</v>
      </c>
      <c r="V89" s="13" t="s">
        <v>12</v>
      </c>
      <c r="W89" s="27"/>
    </row>
    <row r="90" spans="7:23">
      <c r="G90" s="11"/>
      <c r="H90" s="39" t="s">
        <v>22</v>
      </c>
      <c r="I90" s="90" t="s">
        <v>127</v>
      </c>
      <c r="J90" s="13" t="s">
        <v>12</v>
      </c>
      <c r="K90" s="13" t="s">
        <v>12</v>
      </c>
      <c r="L90" s="13" t="s">
        <v>12</v>
      </c>
      <c r="M90" s="13" t="s">
        <v>12</v>
      </c>
      <c r="N90" s="33" t="s">
        <v>39</v>
      </c>
      <c r="O90" s="51">
        <v>1E-3</v>
      </c>
      <c r="P90" s="26"/>
      <c r="Q90" s="13" t="s">
        <v>12</v>
      </c>
      <c r="R90" s="13" t="s">
        <v>12</v>
      </c>
      <c r="S90" s="13" t="s">
        <v>12</v>
      </c>
      <c r="T90" s="13" t="s">
        <v>12</v>
      </c>
      <c r="U90" s="13" t="s">
        <v>12</v>
      </c>
      <c r="V90" s="13" t="s">
        <v>12</v>
      </c>
      <c r="W90" s="27"/>
    </row>
    <row r="91" spans="7:23">
      <c r="G91" s="11"/>
      <c r="H91" s="39" t="s">
        <v>23</v>
      </c>
      <c r="I91" s="185" t="s">
        <v>125</v>
      </c>
      <c r="J91" s="13" t="s">
        <v>12</v>
      </c>
      <c r="K91" s="13" t="s">
        <v>12</v>
      </c>
      <c r="L91" s="13" t="s">
        <v>12</v>
      </c>
      <c r="M91" s="13" t="s">
        <v>12</v>
      </c>
      <c r="N91" s="33" t="s">
        <v>31</v>
      </c>
      <c r="O91" s="51">
        <v>1E-3</v>
      </c>
      <c r="P91" s="26"/>
      <c r="Q91" s="13" t="s">
        <v>12</v>
      </c>
      <c r="R91" s="13" t="s">
        <v>12</v>
      </c>
      <c r="S91" s="13" t="s">
        <v>12</v>
      </c>
      <c r="T91" s="13" t="s">
        <v>12</v>
      </c>
      <c r="U91" s="13" t="s">
        <v>12</v>
      </c>
      <c r="V91" s="13" t="s">
        <v>12</v>
      </c>
      <c r="W91" s="27"/>
    </row>
    <row r="92" spans="7:23">
      <c r="G92" s="11"/>
      <c r="H92" s="59" t="s">
        <v>9</v>
      </c>
      <c r="I92" s="91">
        <v>43327</v>
      </c>
      <c r="J92" s="13" t="s">
        <v>12</v>
      </c>
      <c r="K92" s="13" t="s">
        <v>12</v>
      </c>
      <c r="L92" s="13" t="s">
        <v>12</v>
      </c>
      <c r="M92" s="13" t="s">
        <v>12</v>
      </c>
      <c r="N92" s="33" t="s">
        <v>42</v>
      </c>
      <c r="O92" s="51">
        <v>1E-3</v>
      </c>
      <c r="P92" s="26"/>
      <c r="Q92" s="13" t="s">
        <v>12</v>
      </c>
      <c r="R92" s="13" t="s">
        <v>12</v>
      </c>
      <c r="S92" s="13" t="s">
        <v>12</v>
      </c>
      <c r="T92" s="13" t="s">
        <v>12</v>
      </c>
      <c r="U92" s="13" t="s">
        <v>12</v>
      </c>
      <c r="V92" s="13" t="s">
        <v>12</v>
      </c>
      <c r="W92" s="27"/>
    </row>
    <row r="93" spans="7:23">
      <c r="G93" s="11"/>
      <c r="H93" s="16"/>
      <c r="I93" s="16"/>
      <c r="J93" s="13" t="s">
        <v>12</v>
      </c>
      <c r="K93" s="13" t="s">
        <v>12</v>
      </c>
      <c r="L93" s="13" t="s">
        <v>12</v>
      </c>
      <c r="M93" s="13" t="s">
        <v>12</v>
      </c>
      <c r="N93" s="33" t="s">
        <v>6</v>
      </c>
      <c r="O93" s="51">
        <v>1E-3</v>
      </c>
      <c r="P93" s="26"/>
      <c r="Q93" s="13" t="s">
        <v>12</v>
      </c>
      <c r="R93" s="13" t="s">
        <v>12</v>
      </c>
      <c r="S93" s="13" t="s">
        <v>12</v>
      </c>
      <c r="T93" s="13" t="s">
        <v>12</v>
      </c>
      <c r="U93" s="13" t="s">
        <v>12</v>
      </c>
      <c r="V93" s="13" t="s">
        <v>12</v>
      </c>
      <c r="W93" s="27"/>
    </row>
    <row r="94" spans="7:23">
      <c r="G94" s="11"/>
      <c r="H94" s="13"/>
      <c r="I94" s="92"/>
      <c r="J94" s="13" t="s">
        <v>12</v>
      </c>
      <c r="K94" s="13" t="s">
        <v>12</v>
      </c>
      <c r="L94" s="13" t="s">
        <v>12</v>
      </c>
      <c r="M94" s="13" t="s">
        <v>12</v>
      </c>
      <c r="N94" s="33" t="s">
        <v>45</v>
      </c>
      <c r="O94" s="51">
        <v>1E-3</v>
      </c>
      <c r="P94" s="26"/>
      <c r="Q94" s="13" t="s">
        <v>12</v>
      </c>
      <c r="R94" s="13" t="s">
        <v>12</v>
      </c>
      <c r="S94" s="13" t="s">
        <v>12</v>
      </c>
      <c r="T94" s="13" t="s">
        <v>12</v>
      </c>
      <c r="U94" s="13" t="s">
        <v>12</v>
      </c>
      <c r="V94" s="13" t="s">
        <v>12</v>
      </c>
      <c r="W94" s="27"/>
    </row>
    <row r="95" spans="7:23">
      <c r="G95" s="11"/>
      <c r="H95" s="24" t="s">
        <v>25</v>
      </c>
      <c r="I95" s="16"/>
      <c r="J95" s="13" t="s">
        <v>12</v>
      </c>
      <c r="K95" s="13" t="s">
        <v>12</v>
      </c>
      <c r="L95" s="13" t="s">
        <v>12</v>
      </c>
      <c r="M95" s="13" t="s">
        <v>12</v>
      </c>
      <c r="N95" s="33" t="s">
        <v>47</v>
      </c>
      <c r="O95" s="51">
        <v>1E-3</v>
      </c>
      <c r="P95" s="26"/>
      <c r="Q95" s="13" t="s">
        <v>12</v>
      </c>
      <c r="R95" s="13" t="s">
        <v>12</v>
      </c>
      <c r="S95" s="13" t="s">
        <v>12</v>
      </c>
      <c r="T95" s="13" t="s">
        <v>12</v>
      </c>
      <c r="U95" s="13" t="s">
        <v>12</v>
      </c>
      <c r="V95" s="13" t="s">
        <v>12</v>
      </c>
      <c r="W95" s="27"/>
    </row>
    <row r="96" spans="7:23">
      <c r="G96" s="11"/>
      <c r="H96" s="12" t="s">
        <v>26</v>
      </c>
      <c r="I96" s="86" t="s">
        <v>124</v>
      </c>
      <c r="J96" s="13" t="s">
        <v>12</v>
      </c>
      <c r="K96" s="13" t="s">
        <v>12</v>
      </c>
      <c r="L96" s="13" t="s">
        <v>12</v>
      </c>
      <c r="M96" s="13" t="s">
        <v>12</v>
      </c>
      <c r="N96" s="33" t="s">
        <v>49</v>
      </c>
      <c r="O96" s="51">
        <v>1E-3</v>
      </c>
      <c r="P96" s="26"/>
      <c r="Q96" s="13" t="s">
        <v>12</v>
      </c>
      <c r="R96" s="13" t="s">
        <v>12</v>
      </c>
      <c r="S96" s="13" t="s">
        <v>12</v>
      </c>
      <c r="T96" s="13" t="s">
        <v>12</v>
      </c>
      <c r="U96" s="13" t="s">
        <v>12</v>
      </c>
      <c r="V96" s="13" t="s">
        <v>12</v>
      </c>
      <c r="W96" s="27"/>
    </row>
    <row r="97" spans="7:23">
      <c r="G97" s="11"/>
      <c r="H97" s="20" t="s">
        <v>27</v>
      </c>
      <c r="I97" s="97" t="str">
        <f ca="1">_xll.meLWOCurveMarketDataCreate(I96,H87,H89:I92,N87,N89:O103)</f>
        <v>USD_6M_MARKETDATA@1:29</v>
      </c>
      <c r="J97" s="13" t="s">
        <v>12</v>
      </c>
      <c r="K97" s="13" t="s">
        <v>12</v>
      </c>
      <c r="L97" s="13" t="s">
        <v>12</v>
      </c>
      <c r="M97" s="13" t="s">
        <v>12</v>
      </c>
      <c r="N97" s="33" t="s">
        <v>51</v>
      </c>
      <c r="O97" s="51">
        <v>1E-3</v>
      </c>
      <c r="P97" s="26"/>
      <c r="Q97" s="13" t="s">
        <v>12</v>
      </c>
      <c r="R97" s="13" t="s">
        <v>12</v>
      </c>
      <c r="S97" s="13" t="s">
        <v>12</v>
      </c>
      <c r="T97" s="13" t="s">
        <v>12</v>
      </c>
      <c r="U97" s="13" t="s">
        <v>12</v>
      </c>
      <c r="V97" s="13" t="s">
        <v>12</v>
      </c>
      <c r="W97" s="27"/>
    </row>
    <row r="98" spans="7:23">
      <c r="G98" s="11"/>
      <c r="H98" s="13"/>
      <c r="I98" s="13"/>
      <c r="J98" s="13" t="s">
        <v>12</v>
      </c>
      <c r="K98" s="13" t="s">
        <v>12</v>
      </c>
      <c r="L98" s="13" t="s">
        <v>12</v>
      </c>
      <c r="M98" s="13" t="s">
        <v>12</v>
      </c>
      <c r="N98" s="33" t="s">
        <v>53</v>
      </c>
      <c r="O98" s="51">
        <v>1E-3</v>
      </c>
      <c r="P98" s="26"/>
      <c r="Q98" s="13" t="s">
        <v>12</v>
      </c>
      <c r="R98" s="13" t="s">
        <v>12</v>
      </c>
      <c r="S98" s="13" t="s">
        <v>12</v>
      </c>
      <c r="T98" s="13" t="s">
        <v>12</v>
      </c>
      <c r="U98" s="13" t="s">
        <v>12</v>
      </c>
      <c r="V98" s="13" t="s">
        <v>12</v>
      </c>
      <c r="W98" s="27"/>
    </row>
    <row r="99" spans="7:23">
      <c r="G99" s="11"/>
      <c r="H99" s="13"/>
      <c r="I99" s="13"/>
      <c r="J99" s="13" t="s">
        <v>12</v>
      </c>
      <c r="K99" s="13" t="s">
        <v>12</v>
      </c>
      <c r="L99" s="13" t="s">
        <v>12</v>
      </c>
      <c r="M99" s="13" t="s">
        <v>12</v>
      </c>
      <c r="N99" s="33" t="s">
        <v>55</v>
      </c>
      <c r="O99" s="51">
        <v>1E-3</v>
      </c>
      <c r="P99" s="26"/>
      <c r="Q99" s="13" t="s">
        <v>12</v>
      </c>
      <c r="R99" s="13" t="s">
        <v>12</v>
      </c>
      <c r="S99" s="13" t="s">
        <v>12</v>
      </c>
      <c r="T99" s="13" t="s">
        <v>12</v>
      </c>
      <c r="U99" s="13" t="s">
        <v>12</v>
      </c>
      <c r="V99" s="13" t="s">
        <v>12</v>
      </c>
      <c r="W99" s="27"/>
    </row>
    <row r="100" spans="7:23">
      <c r="G100" s="11"/>
      <c r="H100" s="13"/>
      <c r="I100" s="13"/>
      <c r="J100" s="13" t="s">
        <v>12</v>
      </c>
      <c r="K100" s="13" t="s">
        <v>12</v>
      </c>
      <c r="L100" s="13" t="s">
        <v>12</v>
      </c>
      <c r="M100" s="13" t="s">
        <v>12</v>
      </c>
      <c r="N100" s="33" t="s">
        <v>56</v>
      </c>
      <c r="O100" s="51">
        <v>1E-3</v>
      </c>
      <c r="P100" s="26"/>
      <c r="Q100" s="13" t="s">
        <v>12</v>
      </c>
      <c r="R100" s="13" t="s">
        <v>12</v>
      </c>
      <c r="S100" s="13" t="s">
        <v>12</v>
      </c>
      <c r="T100" s="13" t="s">
        <v>12</v>
      </c>
      <c r="U100" s="13" t="s">
        <v>12</v>
      </c>
      <c r="V100" s="13" t="s">
        <v>12</v>
      </c>
      <c r="W100" s="27"/>
    </row>
    <row r="101" spans="7:23">
      <c r="G101" s="11"/>
      <c r="H101" s="13"/>
      <c r="I101" s="13"/>
      <c r="J101" s="13" t="s">
        <v>12</v>
      </c>
      <c r="K101" s="13" t="s">
        <v>12</v>
      </c>
      <c r="L101" s="13" t="s">
        <v>12</v>
      </c>
      <c r="M101" s="13" t="s">
        <v>12</v>
      </c>
      <c r="N101" s="33" t="s">
        <v>28</v>
      </c>
      <c r="O101" s="51">
        <v>1E-3</v>
      </c>
      <c r="P101" s="26"/>
      <c r="Q101" s="13" t="s">
        <v>12</v>
      </c>
      <c r="R101" s="13" t="s">
        <v>12</v>
      </c>
      <c r="S101" s="13" t="s">
        <v>12</v>
      </c>
      <c r="T101" s="13" t="s">
        <v>12</v>
      </c>
      <c r="U101" s="13" t="s">
        <v>12</v>
      </c>
      <c r="V101" s="13" t="s">
        <v>12</v>
      </c>
      <c r="W101" s="27"/>
    </row>
    <row r="102" spans="7:23">
      <c r="G102" s="11"/>
      <c r="H102" s="13"/>
      <c r="I102" s="13"/>
      <c r="J102" s="13" t="s">
        <v>12</v>
      </c>
      <c r="K102" s="13" t="s">
        <v>12</v>
      </c>
      <c r="L102" s="13" t="s">
        <v>12</v>
      </c>
      <c r="M102" s="13" t="s">
        <v>12</v>
      </c>
      <c r="N102" s="33" t="s">
        <v>29</v>
      </c>
      <c r="O102" s="51">
        <v>1E-3</v>
      </c>
      <c r="P102" s="26"/>
      <c r="Q102" s="13" t="s">
        <v>12</v>
      </c>
      <c r="R102" s="13" t="s">
        <v>12</v>
      </c>
      <c r="S102" s="13" t="s">
        <v>12</v>
      </c>
      <c r="T102" s="13" t="s">
        <v>12</v>
      </c>
      <c r="U102" s="13" t="s">
        <v>12</v>
      </c>
      <c r="V102" s="13" t="s">
        <v>12</v>
      </c>
      <c r="W102" s="27"/>
    </row>
    <row r="103" spans="7:23">
      <c r="G103" s="11"/>
      <c r="H103" s="13"/>
      <c r="I103" s="13"/>
      <c r="J103" s="13"/>
      <c r="K103" s="13"/>
      <c r="L103" s="13"/>
      <c r="M103" s="13"/>
      <c r="N103" s="45" t="s">
        <v>118</v>
      </c>
      <c r="O103" s="52">
        <v>1E-3</v>
      </c>
      <c r="P103" s="26"/>
      <c r="Q103" s="13" t="s">
        <v>12</v>
      </c>
      <c r="R103" s="13" t="s">
        <v>12</v>
      </c>
      <c r="S103" s="13" t="s">
        <v>12</v>
      </c>
      <c r="T103" s="13" t="s">
        <v>12</v>
      </c>
      <c r="U103" s="13" t="s">
        <v>12</v>
      </c>
      <c r="V103" s="13" t="s">
        <v>12</v>
      </c>
      <c r="W103" s="27"/>
    </row>
    <row r="104" spans="7:23">
      <c r="G104" s="21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G501"/>
  <sheetViews>
    <sheetView showGridLines="0" workbookViewId="0"/>
  </sheetViews>
  <sheetFormatPr defaultRowHeight="15"/>
  <cols>
    <col min="2" max="2" width="15.28515625" bestFit="1" customWidth="1"/>
    <col min="3" max="3" width="15.140625" customWidth="1"/>
    <col min="4" max="7" width="12.7109375" customWidth="1"/>
  </cols>
  <sheetData>
    <row r="2" spans="2:7">
      <c r="B2" s="2" t="s">
        <v>94</v>
      </c>
      <c r="E2" s="2" t="s">
        <v>87</v>
      </c>
      <c r="F2" s="2"/>
      <c r="G2" s="2"/>
    </row>
    <row r="3" spans="2:7">
      <c r="B3" s="28" t="s">
        <v>10</v>
      </c>
      <c r="C3" s="83" t="s">
        <v>4</v>
      </c>
      <c r="E3" s="83" t="s">
        <v>92</v>
      </c>
      <c r="F3" s="2"/>
      <c r="G3" s="2"/>
    </row>
    <row r="4" spans="2:7">
      <c r="B4" s="31" t="s">
        <v>88</v>
      </c>
      <c r="C4" s="84" t="s">
        <v>91</v>
      </c>
      <c r="E4" s="84" t="s">
        <v>136</v>
      </c>
      <c r="F4" s="2"/>
      <c r="G4" s="2"/>
    </row>
    <row r="5" spans="2:7">
      <c r="B5" s="31" t="s">
        <v>89</v>
      </c>
      <c r="C5" s="84" t="s">
        <v>56</v>
      </c>
      <c r="E5" s="84" t="s">
        <v>93</v>
      </c>
      <c r="F5" s="2"/>
      <c r="G5" s="2"/>
    </row>
    <row r="6" spans="2:7">
      <c r="B6" s="32" t="s">
        <v>90</v>
      </c>
      <c r="C6" s="85" t="s">
        <v>113</v>
      </c>
      <c r="E6" s="84" t="s">
        <v>128</v>
      </c>
      <c r="F6" s="2"/>
      <c r="G6" s="2"/>
    </row>
    <row r="7" spans="2:7">
      <c r="E7" s="85" t="s">
        <v>137</v>
      </c>
      <c r="F7" s="2"/>
      <c r="G7" s="2"/>
    </row>
    <row r="9" spans="2:7">
      <c r="B9" s="3" t="str">
        <f t="array" aca="1" ref="B9:G501" ca="1">_xll.meLWOCurveForwardRatesTable($C$3,$E$3:$E$7,C4,C5,,,,C6)</f>
        <v>Fixing Dates</v>
      </c>
      <c r="C9" s="3" t="str">
        <f ca="1"/>
        <v>USDOIS</v>
      </c>
      <c r="D9" s="3" t="str">
        <f ca="1"/>
        <v>USD1ML</v>
      </c>
      <c r="E9" s="186" t="str">
        <f ca="1"/>
        <v>USD3ML</v>
      </c>
      <c r="F9" s="186" t="str">
        <f ca="1"/>
        <v>USD6ML</v>
      </c>
      <c r="G9" s="186" t="str">
        <f ca="1"/>
        <v>USD12ML</v>
      </c>
    </row>
    <row r="10" spans="2:7">
      <c r="B10" s="98">
        <f ca="1"/>
        <v>43327</v>
      </c>
      <c r="C10" s="99">
        <f ca="1"/>
        <v>1.9100000000005224E-2</v>
      </c>
      <c r="D10" s="99">
        <f ca="1"/>
        <v>2.299276551333743E-2</v>
      </c>
      <c r="E10" s="99">
        <f ca="1"/>
        <v>2.3494162997045601E-2</v>
      </c>
      <c r="F10" s="99">
        <f ca="1"/>
        <v>2.4406511920250833E-2</v>
      </c>
      <c r="G10" s="100">
        <f ca="1"/>
        <v>2.5413806883562547E-2</v>
      </c>
    </row>
    <row r="11" spans="2:7">
      <c r="B11" s="101">
        <f ca="1"/>
        <v>43360</v>
      </c>
      <c r="C11" s="102">
        <f ca="1"/>
        <v>1.9456437659552933E-2</v>
      </c>
      <c r="D11" s="102">
        <f ca="1"/>
        <v>2.3301901707509565E-2</v>
      </c>
      <c r="E11" s="102">
        <f ca="1"/>
        <v>2.3590473545793682E-2</v>
      </c>
      <c r="F11" s="102">
        <f ca="1"/>
        <v>2.5387938318725514E-2</v>
      </c>
      <c r="G11" s="103">
        <f ca="1"/>
        <v>2.6331595804297551E-2</v>
      </c>
    </row>
    <row r="12" spans="2:7">
      <c r="B12" s="101">
        <f ca="1"/>
        <v>43388</v>
      </c>
      <c r="C12" s="102">
        <f ca="1"/>
        <v>2.1487379812725825E-2</v>
      </c>
      <c r="D12" s="102">
        <f ca="1"/>
        <v>2.3640457858266045E-2</v>
      </c>
      <c r="E12" s="102">
        <f ca="1"/>
        <v>2.4309250169301418E-2</v>
      </c>
      <c r="F12" s="102">
        <f ca="1"/>
        <v>2.62800189647228E-2</v>
      </c>
      <c r="G12" s="103">
        <f ca="1"/>
        <v>2.7142654387817135E-2</v>
      </c>
    </row>
    <row r="13" spans="2:7">
      <c r="B13" s="101">
        <f ca="1"/>
        <v>43419</v>
      </c>
      <c r="C13" s="102">
        <f ca="1"/>
        <v>2.1399280725260188E-2</v>
      </c>
      <c r="D13" s="102">
        <f ca="1"/>
        <v>2.4013121906756026E-2</v>
      </c>
      <c r="E13" s="102">
        <f ca="1"/>
        <v>2.5159293563038049E-2</v>
      </c>
      <c r="F13" s="102">
        <f ca="1"/>
        <v>2.7240346035872432E-2</v>
      </c>
      <c r="G13" s="103">
        <f ca="1"/>
        <v>2.8059713663331189E-2</v>
      </c>
    </row>
    <row r="14" spans="2:7">
      <c r="B14" s="101">
        <f ca="1"/>
        <v>43451</v>
      </c>
      <c r="C14" s="102">
        <f ca="1"/>
        <v>2.2348232561091388E-2</v>
      </c>
      <c r="D14" s="102">
        <f ca="1"/>
        <v>2.4380101163323491E-2</v>
      </c>
      <c r="E14" s="102">
        <f ca="1"/>
        <v>2.6023383652019744E-2</v>
      </c>
      <c r="F14" s="102">
        <f ca="1"/>
        <v>2.8201054043488372E-2</v>
      </c>
      <c r="G14" s="103">
        <f ca="1"/>
        <v>2.9010286197415698E-2</v>
      </c>
    </row>
    <row r="15" spans="2:7">
      <c r="B15" s="101">
        <f ca="1"/>
        <v>43480</v>
      </c>
      <c r="C15" s="102">
        <f ca="1"/>
        <v>2.3536537233353E-2</v>
      </c>
      <c r="D15" s="102">
        <f ca="1"/>
        <v>2.4716121948141025E-2</v>
      </c>
      <c r="E15" s="102">
        <f ca="1"/>
        <v>2.6480456757755941E-2</v>
      </c>
      <c r="F15" s="102">
        <f ca="1"/>
        <v>2.8948341023242792E-2</v>
      </c>
      <c r="G15" s="103">
        <f ca="1"/>
        <v>2.9859790683379576E-2</v>
      </c>
    </row>
    <row r="16" spans="2:7">
      <c r="B16" s="101">
        <f ca="1"/>
        <v>43511</v>
      </c>
      <c r="C16" s="102">
        <f ca="1"/>
        <v>2.3574125855301047E-2</v>
      </c>
      <c r="D16" s="102">
        <f ca="1"/>
        <v>2.5052647615165614E-2</v>
      </c>
      <c r="E16" s="102">
        <f ca="1"/>
        <v>2.6943375034756002E-2</v>
      </c>
      <c r="F16" s="102">
        <f ca="1"/>
        <v>2.9610435871350763E-2</v>
      </c>
      <c r="G16" s="103">
        <f ca="1"/>
        <v>3.0766172893524162E-2</v>
      </c>
    </row>
    <row r="17" spans="2:7">
      <c r="B17" s="101">
        <f ca="1"/>
        <v>43539</v>
      </c>
      <c r="C17" s="102">
        <f ca="1"/>
        <v>2.4314010148414143E-2</v>
      </c>
      <c r="D17" s="102">
        <f ca="1"/>
        <v>2.5391629432742677E-2</v>
      </c>
      <c r="E17" s="102">
        <f ca="1"/>
        <v>2.7368666431880025E-2</v>
      </c>
      <c r="F17" s="102">
        <f ca="1"/>
        <v>3.0057529142474608E-2</v>
      </c>
      <c r="G17" s="103">
        <f ca="1"/>
        <v>3.1517319969476272E-2</v>
      </c>
    </row>
    <row r="18" spans="2:7">
      <c r="B18" s="101">
        <f ca="1"/>
        <v>43570</v>
      </c>
      <c r="C18" s="102">
        <f ca="1"/>
        <v>2.4768296966444312E-2</v>
      </c>
      <c r="D18" s="102">
        <f ca="1"/>
        <v>2.5735649336573931E-2</v>
      </c>
      <c r="E18" s="102">
        <f ca="1"/>
        <v>2.7753027527900626E-2</v>
      </c>
      <c r="F18" s="102">
        <f ca="1"/>
        <v>3.0347686477064342E-2</v>
      </c>
      <c r="G18" s="103">
        <f ca="1"/>
        <v>3.2277751419671305E-2</v>
      </c>
    </row>
    <row r="19" spans="2:7">
      <c r="B19" s="101">
        <f ca="1"/>
        <v>43600</v>
      </c>
      <c r="C19" s="102">
        <f ca="1"/>
        <v>2.486493188091474E-2</v>
      </c>
      <c r="D19" s="102">
        <f ca="1"/>
        <v>2.6091617307888851E-2</v>
      </c>
      <c r="E19" s="102">
        <f ca="1"/>
        <v>2.8108646098659165E-2</v>
      </c>
      <c r="F19" s="102">
        <f ca="1"/>
        <v>3.0498272854601535E-2</v>
      </c>
      <c r="G19" s="103">
        <f ca="1"/>
        <v>3.2948394802039628E-2</v>
      </c>
    </row>
    <row r="20" spans="2:7">
      <c r="B20" s="101">
        <f ca="1"/>
        <v>43633</v>
      </c>
      <c r="C20" s="102">
        <f ca="1"/>
        <v>2.4819935322275642E-2</v>
      </c>
      <c r="D20" s="102">
        <f ca="1"/>
        <v>2.6438860489945693E-2</v>
      </c>
      <c r="E20" s="102">
        <f ca="1"/>
        <v>2.8477038536294692E-2</v>
      </c>
      <c r="F20" s="102">
        <f ca="1"/>
        <v>3.0542848039428215E-2</v>
      </c>
      <c r="G20" s="103">
        <f ca="1"/>
        <v>3.3578820452383494E-2</v>
      </c>
    </row>
    <row r="21" spans="2:7">
      <c r="B21" s="101">
        <f ca="1"/>
        <v>43661</v>
      </c>
      <c r="C21" s="102">
        <f ca="1"/>
        <v>2.4896789275157347E-2</v>
      </c>
      <c r="D21" s="102">
        <f ca="1"/>
        <v>2.6753883748354457E-2</v>
      </c>
      <c r="E21" s="102">
        <f ca="1"/>
        <v>2.8669710052588095E-2</v>
      </c>
      <c r="F21" s="102">
        <f ca="1"/>
        <v>3.0515526268847529E-2</v>
      </c>
      <c r="G21" s="103">
        <f ca="1"/>
        <v>3.4009641000466571E-2</v>
      </c>
    </row>
    <row r="22" spans="2:7">
      <c r="B22" s="101">
        <f ca="1"/>
        <v>43692</v>
      </c>
      <c r="C22" s="102">
        <f ca="1"/>
        <v>2.5106682056472797E-2</v>
      </c>
      <c r="D22" s="102">
        <f ca="1"/>
        <v>2.7095201337525261E-2</v>
      </c>
      <c r="E22" s="102">
        <f ca="1"/>
        <v>2.8872919588713443E-2</v>
      </c>
      <c r="F22" s="102">
        <f ca="1"/>
        <v>3.0449129055506133E-2</v>
      </c>
      <c r="G22" s="103">
        <f ca="1"/>
        <v>3.4359786886976489E-2</v>
      </c>
    </row>
    <row r="23" spans="2:7">
      <c r="B23" s="101">
        <f ca="1"/>
        <v>43724</v>
      </c>
      <c r="C23" s="102">
        <f ca="1"/>
        <v>2.5392622998756754E-2</v>
      </c>
      <c r="D23" s="102">
        <f ca="1"/>
        <v>2.7400251976211567E-2</v>
      </c>
      <c r="E23" s="102">
        <f ca="1"/>
        <v>2.9078134771800112E-2</v>
      </c>
      <c r="F23" s="102">
        <f ca="1"/>
        <v>3.0375182469941059E-2</v>
      </c>
      <c r="G23" s="103">
        <f ca="1"/>
        <v>3.4559292112790442E-2</v>
      </c>
    </row>
    <row r="24" spans="2:7">
      <c r="B24" s="101">
        <f ca="1"/>
        <v>43753</v>
      </c>
      <c r="C24" s="102">
        <f ca="1"/>
        <v>2.5623482698593582E-2</v>
      </c>
      <c r="D24" s="102">
        <f ca="1"/>
        <v>2.7660406920591116E-2</v>
      </c>
      <c r="E24" s="102">
        <f ca="1"/>
        <v>2.9174705451475384E-2</v>
      </c>
      <c r="F24" s="102">
        <f ca="1"/>
        <v>3.0317139489899884E-2</v>
      </c>
      <c r="G24" s="103">
        <f ca="1"/>
        <v>3.4611043711570991E-2</v>
      </c>
    </row>
    <row r="25" spans="2:7">
      <c r="B25" s="101">
        <f ca="1"/>
        <v>43784</v>
      </c>
      <c r="C25" s="102">
        <f ca="1"/>
        <v>2.584754265784648E-2</v>
      </c>
      <c r="D25" s="102">
        <f ca="1"/>
        <v>2.7898246702243643E-2</v>
      </c>
      <c r="E25" s="102">
        <f ca="1"/>
        <v>2.9270903447369247E-2</v>
      </c>
      <c r="F25" s="102">
        <f ca="1"/>
        <v>3.0264576155348527E-2</v>
      </c>
      <c r="G25" s="103">
        <f ca="1"/>
        <v>3.4541645220610907E-2</v>
      </c>
    </row>
    <row r="26" spans="2:7">
      <c r="B26" s="101">
        <f ca="1"/>
        <v>43815</v>
      </c>
      <c r="C26" s="102">
        <f ca="1"/>
        <v>2.6023347245587396E-2</v>
      </c>
      <c r="D26" s="102">
        <f ca="1"/>
        <v>2.810067992161553E-2</v>
      </c>
      <c r="E26" s="102">
        <f ca="1"/>
        <v>2.9364058025882867E-2</v>
      </c>
      <c r="F26" s="102">
        <f ca="1"/>
        <v>3.022657833011554E-2</v>
      </c>
      <c r="G26" s="103">
        <f ca="1"/>
        <v>3.4374810141066366E-2</v>
      </c>
    </row>
    <row r="27" spans="2:7">
      <c r="B27" s="101">
        <f ca="1"/>
        <v>43845</v>
      </c>
      <c r="C27" s="102">
        <f ca="1"/>
        <v>2.6171771232128643E-2</v>
      </c>
      <c r="D27" s="102">
        <f ca="1"/>
        <v>2.8269726652622104E-2</v>
      </c>
      <c r="E27" s="102">
        <f ca="1"/>
        <v>2.9359374983415551E-2</v>
      </c>
      <c r="F27" s="102">
        <f ca="1"/>
        <v>3.020223783331754E-2</v>
      </c>
      <c r="G27" s="103">
        <f ca="1"/>
        <v>3.4125461871493366E-2</v>
      </c>
    </row>
    <row r="28" spans="2:7">
      <c r="B28" s="101">
        <f ca="1"/>
        <v>43878</v>
      </c>
      <c r="C28" s="102">
        <f ca="1"/>
        <v>2.6300981693816661E-2</v>
      </c>
      <c r="D28" s="102">
        <f ca="1"/>
        <v>2.8397267095896919E-2</v>
      </c>
      <c r="E28" s="102">
        <f ca="1"/>
        <v>2.9346797295261927E-2</v>
      </c>
      <c r="F28" s="102">
        <f ca="1"/>
        <v>3.0195444944399363E-2</v>
      </c>
      <c r="G28" s="103">
        <f ca="1"/>
        <v>3.3776824685877116E-2</v>
      </c>
    </row>
    <row r="29" spans="2:7">
      <c r="B29" s="101">
        <f ca="1"/>
        <v>43906</v>
      </c>
      <c r="C29" s="102">
        <f ca="1"/>
        <v>2.6382654765244689E-2</v>
      </c>
      <c r="D29" s="102">
        <f ca="1"/>
        <v>2.8490388317711002E-2</v>
      </c>
      <c r="E29" s="102">
        <f ca="1"/>
        <v>2.9337595767432452E-2</v>
      </c>
      <c r="F29" s="102">
        <f ca="1"/>
        <v>3.0208117059602035E-2</v>
      </c>
      <c r="G29" s="103">
        <f ca="1"/>
        <v>3.3442145866750775E-2</v>
      </c>
    </row>
    <row r="30" spans="2:7">
      <c r="B30" s="101">
        <f ca="1"/>
        <v>43936</v>
      </c>
      <c r="C30" s="102">
        <f ca="1"/>
        <v>2.6441766163021279E-2</v>
      </c>
      <c r="D30" s="102">
        <f ca="1"/>
        <v>2.855019209809664E-2</v>
      </c>
      <c r="E30" s="102">
        <f ca="1"/>
        <v>2.9323551297661225E-2</v>
      </c>
      <c r="F30" s="102">
        <f ca="1"/>
        <v>3.0226306596772813E-2</v>
      </c>
      <c r="G30" s="103">
        <f ca="1"/>
        <v>3.3048822640541278E-2</v>
      </c>
    </row>
    <row r="31" spans="2:7">
      <c r="B31" s="101">
        <f ca="1"/>
        <v>43966</v>
      </c>
      <c r="C31" s="102">
        <f ca="1"/>
        <v>2.6473653496567551E-2</v>
      </c>
      <c r="D31" s="102">
        <f ca="1"/>
        <v>2.8580416699655151E-2</v>
      </c>
      <c r="E31" s="102">
        <f ca="1"/>
        <v>2.9309203682093981E-2</v>
      </c>
      <c r="F31" s="102">
        <f ca="1"/>
        <v>3.0255871402739741E-2</v>
      </c>
      <c r="G31" s="103">
        <f ca="1"/>
        <v>3.2634454939020799E-2</v>
      </c>
    </row>
    <row r="32" spans="2:7">
      <c r="B32" s="101">
        <f ca="1"/>
        <v>43997</v>
      </c>
      <c r="C32" s="102">
        <f ca="1"/>
        <v>2.6470702295951037E-2</v>
      </c>
      <c r="D32" s="102">
        <f ca="1"/>
        <v>2.8574284937590757E-2</v>
      </c>
      <c r="E32" s="102">
        <f ca="1"/>
        <v>2.929294581727437E-2</v>
      </c>
      <c r="F32" s="102">
        <f ca="1"/>
        <v>3.0281205215344154E-2</v>
      </c>
      <c r="G32" s="103">
        <f ca="1"/>
        <v>3.2230535980917158E-2</v>
      </c>
    </row>
    <row r="33" spans="2:7">
      <c r="B33" s="101">
        <f ca="1"/>
        <v>44027</v>
      </c>
      <c r="C33" s="102">
        <f ca="1"/>
        <v>2.644039949408326E-2</v>
      </c>
      <c r="D33" s="102">
        <f ca="1"/>
        <v>2.8536144924209045E-2</v>
      </c>
      <c r="E33" s="102">
        <f ca="1"/>
        <v>2.9274882378870715E-2</v>
      </c>
      <c r="F33" s="102">
        <f ca="1"/>
        <v>3.0308087859754487E-2</v>
      </c>
      <c r="G33" s="103">
        <f ca="1"/>
        <v>3.1855603207588755E-2</v>
      </c>
    </row>
    <row r="34" spans="2:7">
      <c r="B34" s="101">
        <f ca="1"/>
        <v>44060</v>
      </c>
      <c r="C34" s="102">
        <f ca="1"/>
        <v>2.6372938728949174E-2</v>
      </c>
      <c r="D34" s="102">
        <f ca="1"/>
        <v>2.8460887534392788E-2</v>
      </c>
      <c r="E34" s="102">
        <f ca="1"/>
        <v>2.9254841189751295E-2</v>
      </c>
      <c r="F34" s="102">
        <f ca="1"/>
        <v>3.0327732375605904E-2</v>
      </c>
      <c r="G34" s="103">
        <f ca="1"/>
        <v>3.1493047152672378E-2</v>
      </c>
    </row>
    <row r="35" spans="2:7">
      <c r="B35" s="101">
        <f ca="1"/>
        <v>44089</v>
      </c>
      <c r="C35" s="102">
        <f ca="1"/>
        <v>2.6298177543306971E-2</v>
      </c>
      <c r="D35" s="102">
        <f ca="1"/>
        <v>2.83898517368017E-2</v>
      </c>
      <c r="E35" s="102">
        <f ca="1"/>
        <v>2.9235812660837277E-2</v>
      </c>
      <c r="F35" s="102">
        <f ca="1"/>
        <v>3.0330957068991336E-2</v>
      </c>
      <c r="G35" s="103">
        <f ca="1"/>
        <v>3.123393687956787E-2</v>
      </c>
    </row>
    <row r="36" spans="2:7">
      <c r="B36" s="101">
        <f ca="1"/>
        <v>44119</v>
      </c>
      <c r="C36" s="102">
        <f ca="1"/>
        <v>2.622054426230323E-2</v>
      </c>
      <c r="D36" s="102">
        <f ca="1"/>
        <v>2.8317426748772179E-2</v>
      </c>
      <c r="E36" s="102">
        <f ca="1"/>
        <v>2.9213884898503777E-2</v>
      </c>
      <c r="F36" s="102">
        <f ca="1"/>
        <v>3.0327858413956774E-2</v>
      </c>
      <c r="G36" s="103">
        <f ca="1"/>
        <v>3.1024685582048919E-2</v>
      </c>
    </row>
    <row r="37" spans="2:7">
      <c r="B37" s="101">
        <f ca="1"/>
        <v>44151</v>
      </c>
      <c r="C37" s="102">
        <f ca="1"/>
        <v>2.6137407306103904E-2</v>
      </c>
      <c r="D37" s="102">
        <f ca="1"/>
        <v>2.8241974934736853E-2</v>
      </c>
      <c r="E37" s="102">
        <f ca="1"/>
        <v>2.9190412781357238E-2</v>
      </c>
      <c r="F37" s="102">
        <f ca="1"/>
        <v>3.0310682116529326E-2</v>
      </c>
      <c r="G37" s="103">
        <f ca="1"/>
        <v>3.0860537480144477E-2</v>
      </c>
    </row>
    <row r="38" spans="2:7">
      <c r="B38" s="101">
        <f ca="1"/>
        <v>44180</v>
      </c>
      <c r="C38" s="102">
        <f ca="1"/>
        <v>2.6061749558277208E-2</v>
      </c>
      <c r="D38" s="102">
        <f ca="1"/>
        <v>2.8174741521949268E-2</v>
      </c>
      <c r="E38" s="102">
        <f ca="1"/>
        <v>2.9167803004509951E-2</v>
      </c>
      <c r="F38" s="102">
        <f ca="1"/>
        <v>3.0283811889713002E-2</v>
      </c>
      <c r="G38" s="103">
        <f ca="1"/>
        <v>3.0758262215588538E-2</v>
      </c>
    </row>
    <row r="39" spans="2:7">
      <c r="B39" s="101">
        <f ca="1"/>
        <v>44211</v>
      </c>
      <c r="C39" s="102">
        <f ca="1"/>
        <v>2.5979762658741117E-2</v>
      </c>
      <c r="D39" s="102">
        <f ca="1"/>
        <v>2.8104327154208963E-2</v>
      </c>
      <c r="E39" s="102">
        <f ca="1"/>
        <v>2.914003040308339E-2</v>
      </c>
      <c r="F39" s="102">
        <f ca="1"/>
        <v>3.0242898002730598E-2</v>
      </c>
      <c r="G39" s="103">
        <f ca="1"/>
        <v>3.0694825454281854E-2</v>
      </c>
    </row>
    <row r="40" spans="2:7">
      <c r="B40" s="101">
        <f ca="1"/>
        <v>44242</v>
      </c>
      <c r="C40" s="102">
        <f ca="1"/>
        <v>2.589890992410036E-2</v>
      </c>
      <c r="D40" s="102">
        <f ca="1"/>
        <v>2.8035373100643558E-2</v>
      </c>
      <c r="E40" s="102">
        <f ca="1"/>
        <v>2.9112139386929251E-2</v>
      </c>
      <c r="F40" s="102">
        <f ca="1"/>
        <v>3.0190376376416896E-2</v>
      </c>
      <c r="G40" s="103">
        <f ca="1"/>
        <v>3.0660918271764308E-2</v>
      </c>
    </row>
    <row r="41" spans="2:7">
      <c r="B41" s="101">
        <f ca="1"/>
        <v>44270</v>
      </c>
      <c r="C41" s="102">
        <f ca="1"/>
        <v>2.5824887872252324E-2</v>
      </c>
      <c r="D41" s="102">
        <f ca="1"/>
        <v>2.7974290574204294E-2</v>
      </c>
      <c r="E41" s="102">
        <f ca="1"/>
        <v>2.9089362409328162E-2</v>
      </c>
      <c r="F41" s="102">
        <f ca="1"/>
        <v>3.0132464045777661E-2</v>
      </c>
      <c r="G41" s="103">
        <f ca="1"/>
        <v>3.0659349655290553E-2</v>
      </c>
    </row>
    <row r="42" spans="2:7">
      <c r="B42" s="101">
        <f ca="1"/>
        <v>44301</v>
      </c>
      <c r="C42" s="102">
        <f ca="1"/>
        <v>2.5742592005251287E-2</v>
      </c>
      <c r="D42" s="102">
        <f ca="1"/>
        <v>2.7908084440652448E-2</v>
      </c>
      <c r="E42" s="102">
        <f ca="1"/>
        <v>2.9059836554463338E-2</v>
      </c>
      <c r="F42" s="102">
        <f ca="1"/>
        <v>3.0059772509299684E-2</v>
      </c>
      <c r="G42" s="103">
        <f ca="1"/>
        <v>3.0679567831816846E-2</v>
      </c>
    </row>
    <row r="43" spans="2:7">
      <c r="B43" s="101">
        <f ca="1"/>
        <v>44333</v>
      </c>
      <c r="C43" s="102">
        <f ca="1"/>
        <v>2.5657264812739645E-2</v>
      </c>
      <c r="D43" s="102">
        <f ca="1"/>
        <v>2.7841195378874889E-2</v>
      </c>
      <c r="E43" s="102">
        <f ca="1"/>
        <v>2.9029036889229289E-2</v>
      </c>
      <c r="F43" s="102">
        <f ca="1"/>
        <v>2.9978879077252031E-2</v>
      </c>
      <c r="G43" s="103">
        <f ca="1"/>
        <v>3.071723543142724E-2</v>
      </c>
    </row>
    <row r="44" spans="2:7">
      <c r="B44" s="101">
        <f ca="1"/>
        <v>44362</v>
      </c>
      <c r="C44" s="102">
        <f ca="1"/>
        <v>2.5579609938208937E-2</v>
      </c>
      <c r="D44" s="102">
        <f ca="1"/>
        <v>2.7781864050877077E-2</v>
      </c>
      <c r="E44" s="102">
        <f ca="1"/>
        <v>2.8998646999449675E-2</v>
      </c>
      <c r="F44" s="102">
        <f ca="1"/>
        <v>2.9903920927664706E-2</v>
      </c>
      <c r="G44" s="103">
        <f ca="1"/>
        <v>3.0759476440570581E-2</v>
      </c>
    </row>
    <row r="45" spans="2:7">
      <c r="B45" s="101">
        <f ca="1"/>
        <v>44392</v>
      </c>
      <c r="C45" s="102">
        <f ca="1"/>
        <v>2.5498953503477841E-2</v>
      </c>
      <c r="D45" s="102">
        <f ca="1"/>
        <v>2.7722024502935635E-2</v>
      </c>
      <c r="E45" s="102">
        <f ca="1"/>
        <v>2.892311513742437E-2</v>
      </c>
      <c r="F45" s="102">
        <f ca="1"/>
        <v>2.9828079281356095E-2</v>
      </c>
      <c r="G45" s="103">
        <f ca="1"/>
        <v>3.0804648588935453E-2</v>
      </c>
    </row>
    <row r="46" spans="2:7">
      <c r="B46" s="101">
        <f ca="1"/>
        <v>44424</v>
      </c>
      <c r="C46" s="102">
        <f ca="1"/>
        <v>2.541255842974275E-2</v>
      </c>
      <c r="D46" s="102">
        <f ca="1"/>
        <v>2.7660006445059598E-2</v>
      </c>
      <c r="E46" s="102">
        <f ca="1"/>
        <v>2.884092596799924E-2</v>
      </c>
      <c r="F46" s="102">
        <f ca="1"/>
        <v>2.9752078865046903E-2</v>
      </c>
      <c r="G46" s="103">
        <f ca="1"/>
        <v>3.0846969960266271E-2</v>
      </c>
    </row>
    <row r="47" spans="2:7">
      <c r="B47" s="101">
        <f ca="1"/>
        <v>44454</v>
      </c>
      <c r="C47" s="102">
        <f ca="1"/>
        <v>2.5334505847025658E-2</v>
      </c>
      <c r="D47" s="102">
        <f ca="1"/>
        <v>2.7606021151158573E-2</v>
      </c>
      <c r="E47" s="102">
        <f ca="1"/>
        <v>2.8743082041577727E-2</v>
      </c>
      <c r="F47" s="102">
        <f ca="1"/>
        <v>2.9687906291896125E-2</v>
      </c>
      <c r="G47" s="103">
        <f ca="1"/>
        <v>3.0875211019322706E-2</v>
      </c>
    </row>
    <row r="48" spans="2:7">
      <c r="B48" s="101">
        <f ca="1"/>
        <v>44484</v>
      </c>
      <c r="C48" s="102">
        <f ca="1"/>
        <v>2.5262450853027564E-2</v>
      </c>
      <c r="D48" s="102">
        <f ca="1"/>
        <v>2.7557300086000939E-2</v>
      </c>
      <c r="E48" s="102">
        <f ca="1"/>
        <v>2.8639077357098489E-2</v>
      </c>
      <c r="F48" s="102">
        <f ca="1"/>
        <v>2.9633372664273162E-2</v>
      </c>
      <c r="G48" s="103">
        <f ca="1"/>
        <v>3.0894466850780084E-2</v>
      </c>
    </row>
    <row r="49" spans="2:7">
      <c r="B49" s="101">
        <f ca="1"/>
        <v>44515</v>
      </c>
      <c r="C49" s="102">
        <f ca="1"/>
        <v>2.5195893085117139E-2</v>
      </c>
      <c r="D49" s="102">
        <f ca="1"/>
        <v>2.7511440800146177E-2</v>
      </c>
      <c r="E49" s="102">
        <f ca="1"/>
        <v>2.8542931599921696E-2</v>
      </c>
      <c r="F49" s="102">
        <f ca="1"/>
        <v>2.9585446884184487E-2</v>
      </c>
      <c r="G49" s="103">
        <f ca="1"/>
        <v>3.0899617653721918E-2</v>
      </c>
    </row>
    <row r="50" spans="2:7">
      <c r="B50" s="101">
        <f ca="1"/>
        <v>44545</v>
      </c>
      <c r="C50" s="102">
        <f ca="1"/>
        <v>2.5137639606995867E-2</v>
      </c>
      <c r="D50" s="102">
        <f ca="1"/>
        <v>2.7473610050060413E-2</v>
      </c>
      <c r="E50" s="102">
        <f ca="1"/>
        <v>2.8469027167816428E-2</v>
      </c>
      <c r="F50" s="102">
        <f ca="1"/>
        <v>2.9547576324105852E-2</v>
      </c>
      <c r="G50" s="103">
        <f ca="1"/>
        <v>3.0898454484581526E-2</v>
      </c>
    </row>
    <row r="51" spans="2:7">
      <c r="B51" s="101">
        <f ca="1"/>
        <v>44578</v>
      </c>
      <c r="C51" s="102">
        <f ca="1"/>
        <v>2.5081050037885168E-2</v>
      </c>
      <c r="D51" s="102">
        <f ca="1"/>
        <v>2.7435274899501136E-2</v>
      </c>
      <c r="E51" s="102">
        <f ca="1"/>
        <v>2.8408433105880461E-2</v>
      </c>
      <c r="F51" s="102">
        <f ca="1"/>
        <v>2.9515563086531599E-2</v>
      </c>
      <c r="G51" s="103">
        <f ca="1"/>
        <v>3.0889577520805751E-2</v>
      </c>
    </row>
    <row r="52" spans="2:7">
      <c r="B52" s="101">
        <f ca="1"/>
        <v>44607</v>
      </c>
      <c r="C52" s="102">
        <f ca="1"/>
        <v>2.5037854528395888E-2</v>
      </c>
      <c r="D52" s="102">
        <f ca="1"/>
        <v>2.7405383160825261E-2</v>
      </c>
      <c r="E52" s="102">
        <f ca="1"/>
        <v>2.8369472168980902E-2</v>
      </c>
      <c r="F52" s="102">
        <f ca="1"/>
        <v>2.9494685128496675E-2</v>
      </c>
      <c r="G52" s="103">
        <f ca="1"/>
        <v>3.0876785329484176E-2</v>
      </c>
    </row>
    <row r="53" spans="2:7">
      <c r="B53" s="101">
        <f ca="1"/>
        <v>44635</v>
      </c>
      <c r="C53" s="102">
        <f ca="1"/>
        <v>2.5001935346846783E-2</v>
      </c>
      <c r="D53" s="102">
        <f ca="1"/>
        <v>2.7384398179505356E-2</v>
      </c>
      <c r="E53" s="102">
        <f ca="1"/>
        <v>2.8341847039892988E-2</v>
      </c>
      <c r="F53" s="102">
        <f ca="1"/>
        <v>2.9486220824337699E-2</v>
      </c>
      <c r="G53" s="103">
        <f ca="1"/>
        <v>3.0861389325027987E-2</v>
      </c>
    </row>
    <row r="54" spans="2:7">
      <c r="B54" s="101">
        <f ca="1"/>
        <v>44666</v>
      </c>
      <c r="C54" s="102">
        <f ca="1"/>
        <v>2.496954175176045E-2</v>
      </c>
      <c r="D54" s="102">
        <f ca="1"/>
        <v>2.7364055164346639E-2</v>
      </c>
      <c r="E54" s="102">
        <f ca="1"/>
        <v>2.8322461516620448E-2</v>
      </c>
      <c r="F54" s="102">
        <f ca="1"/>
        <v>2.9481856689773159E-2</v>
      </c>
      <c r="G54" s="103">
        <f ca="1"/>
        <v>3.0844486539746453E-2</v>
      </c>
    </row>
    <row r="55" spans="2:7">
      <c r="B55" s="101">
        <f ca="1"/>
        <v>44697</v>
      </c>
      <c r="C55" s="102">
        <f ca="1"/>
        <v>2.4942576583102484E-2</v>
      </c>
      <c r="D55" s="102">
        <f ca="1"/>
        <v>2.7348874411529105E-2</v>
      </c>
      <c r="E55" s="102">
        <f ca="1"/>
        <v>2.8315477226726948E-2</v>
      </c>
      <c r="F55" s="102">
        <f ca="1"/>
        <v>2.9481358065264487E-2</v>
      </c>
      <c r="G55" s="103">
        <f ca="1"/>
        <v>3.0823140484637579E-2</v>
      </c>
    </row>
    <row r="56" spans="2:7">
      <c r="B56" s="101">
        <f ca="1"/>
        <v>44727</v>
      </c>
      <c r="C56" s="102">
        <f ca="1"/>
        <v>2.4923864720483115E-2</v>
      </c>
      <c r="D56" s="102">
        <f ca="1"/>
        <v>2.733817074075779E-2</v>
      </c>
      <c r="E56" s="102">
        <f ca="1"/>
        <v>2.8320490788900417E-2</v>
      </c>
      <c r="F56" s="102">
        <f ca="1"/>
        <v>2.9485637427810924E-2</v>
      </c>
      <c r="G56" s="103">
        <f ca="1"/>
        <v>3.0805853459435369E-2</v>
      </c>
    </row>
    <row r="57" spans="2:7">
      <c r="B57" s="101">
        <f ca="1"/>
        <v>44757</v>
      </c>
      <c r="C57" s="102">
        <f ca="1"/>
        <v>2.4913069186736171E-2</v>
      </c>
      <c r="D57" s="102">
        <f ca="1"/>
        <v>2.7334156628237651E-2</v>
      </c>
      <c r="E57" s="102">
        <f ca="1"/>
        <v>2.8334144568877142E-2</v>
      </c>
      <c r="F57" s="102">
        <f ca="1"/>
        <v>2.9497733338807352E-2</v>
      </c>
      <c r="G57" s="103">
        <f ca="1"/>
        <v>3.0794167951909431E-2</v>
      </c>
    </row>
    <row r="58" spans="2:7">
      <c r="B58" s="101">
        <f ca="1"/>
        <v>44788</v>
      </c>
      <c r="C58" s="102">
        <f ca="1"/>
        <v>2.4905875163842756E-2</v>
      </c>
      <c r="D58" s="102">
        <f ca="1"/>
        <v>2.7333715596386612E-2</v>
      </c>
      <c r="E58" s="102">
        <f ca="1"/>
        <v>2.835336835871842E-2</v>
      </c>
      <c r="F58" s="102">
        <f ca="1"/>
        <v>2.9508499264879657E-2</v>
      </c>
      <c r="G58" s="103">
        <f ca="1"/>
        <v>3.0781689479530371E-2</v>
      </c>
    </row>
    <row r="59" spans="2:7">
      <c r="B59" s="101">
        <f ca="1"/>
        <v>44819</v>
      </c>
      <c r="C59" s="102">
        <f ca="1"/>
        <v>2.4905614971175345E-2</v>
      </c>
      <c r="D59" s="102">
        <f ca="1"/>
        <v>2.7337112670011252E-2</v>
      </c>
      <c r="E59" s="102">
        <f ca="1"/>
        <v>2.837419719105462E-2</v>
      </c>
      <c r="F59" s="102">
        <f ca="1"/>
        <v>2.9517799088540356E-2</v>
      </c>
      <c r="G59" s="103">
        <f ca="1"/>
        <v>3.0778272305793629E-2</v>
      </c>
    </row>
    <row r="60" spans="2:7">
      <c r="B60" s="101">
        <f ca="1"/>
        <v>44851</v>
      </c>
      <c r="C60" s="102">
        <f ca="1"/>
        <v>2.4909214207923986E-2</v>
      </c>
      <c r="D60" s="102">
        <f ca="1"/>
        <v>2.7340625315882543E-2</v>
      </c>
      <c r="E60" s="102">
        <f ca="1"/>
        <v>2.8395991990126872E-2</v>
      </c>
      <c r="F60" s="102">
        <f ca="1"/>
        <v>2.9534587749286651E-2</v>
      </c>
      <c r="G60" s="103">
        <f ca="1"/>
        <v>3.0781410326509672E-2</v>
      </c>
    </row>
    <row r="61" spans="2:7">
      <c r="B61" s="101">
        <f ca="1"/>
        <v>44880</v>
      </c>
      <c r="C61" s="102">
        <f ca="1"/>
        <v>2.4915895256838093E-2</v>
      </c>
      <c r="D61" s="102">
        <f ca="1"/>
        <v>2.7345600258870659E-2</v>
      </c>
      <c r="E61" s="102">
        <f ca="1"/>
        <v>2.8415441765939343E-2</v>
      </c>
      <c r="F61" s="102">
        <f ca="1"/>
        <v>2.9548116642863304E-2</v>
      </c>
      <c r="G61" s="103">
        <f ca="1"/>
        <v>3.0789569234195246E-2</v>
      </c>
    </row>
    <row r="62" spans="2:7">
      <c r="B62" s="101">
        <f ca="1"/>
        <v>44910</v>
      </c>
      <c r="C62" s="102">
        <f ca="1"/>
        <v>2.4926218722352556E-2</v>
      </c>
      <c r="D62" s="102">
        <f ca="1"/>
        <v>2.7356280276103581E-2</v>
      </c>
      <c r="E62" s="102">
        <f ca="1"/>
        <v>2.8434943515839851E-2</v>
      </c>
      <c r="F62" s="102">
        <f ca="1"/>
        <v>2.9566280186907271E-2</v>
      </c>
      <c r="G62" s="103">
        <f ca="1"/>
        <v>3.08027936704823E-2</v>
      </c>
    </row>
    <row r="63" spans="2:7">
      <c r="B63" s="101">
        <f ca="1"/>
        <v>44942</v>
      </c>
      <c r="C63" s="102">
        <f ca="1"/>
        <v>2.4941036923099E-2</v>
      </c>
      <c r="D63" s="102">
        <f ca="1"/>
        <v>2.7366150486014925E-2</v>
      </c>
      <c r="E63" s="102">
        <f ca="1"/>
        <v>2.8456008301626541E-2</v>
      </c>
      <c r="F63" s="102">
        <f ca="1"/>
        <v>2.9585329161628829E-2</v>
      </c>
      <c r="G63" s="103">
        <f ca="1"/>
        <v>3.0821657519891726E-2</v>
      </c>
    </row>
    <row r="64" spans="2:7">
      <c r="B64" s="101">
        <f ca="1"/>
        <v>44972</v>
      </c>
      <c r="C64" s="102">
        <f ca="1"/>
        <v>2.495852782887073E-2</v>
      </c>
      <c r="D64" s="102">
        <f ca="1"/>
        <v>2.7374785486422679E-2</v>
      </c>
      <c r="E64" s="102">
        <f ca="1"/>
        <v>2.8477262822156263E-2</v>
      </c>
      <c r="F64" s="102">
        <f ca="1"/>
        <v>2.9602822131099042E-2</v>
      </c>
      <c r="G64" s="103">
        <f ca="1"/>
        <v>3.0843223531045735E-2</v>
      </c>
    </row>
    <row r="65" spans="2:7">
      <c r="B65" s="101">
        <f ca="1"/>
        <v>45000</v>
      </c>
      <c r="C65" s="102">
        <f ca="1"/>
        <v>2.4977987677315388E-2</v>
      </c>
      <c r="D65" s="102">
        <f ca="1"/>
        <v>2.7394610805137724E-2</v>
      </c>
      <c r="E65" s="102">
        <f ca="1"/>
        <v>2.8499211698178928E-2</v>
      </c>
      <c r="F65" s="102">
        <f ca="1"/>
        <v>2.962633799544042E-2</v>
      </c>
      <c r="G65" s="103">
        <f ca="1"/>
        <v>3.0868065562158979E-2</v>
      </c>
    </row>
    <row r="66" spans="2:7">
      <c r="B66" s="101">
        <f ca="1"/>
        <v>45033</v>
      </c>
      <c r="C66" s="102">
        <f ca="1"/>
        <v>2.5004786815352099E-2</v>
      </c>
      <c r="D66" s="102">
        <f ca="1"/>
        <v>2.7408706622967668E-2</v>
      </c>
      <c r="E66" s="102">
        <f ca="1"/>
        <v>2.8526731361226066E-2</v>
      </c>
      <c r="F66" s="102">
        <f ca="1"/>
        <v>2.9648082152334405E-2</v>
      </c>
      <c r="G66" s="103">
        <f ca="1"/>
        <v>3.0898155920722713E-2</v>
      </c>
    </row>
    <row r="67" spans="2:7">
      <c r="B67" s="101">
        <f ca="1"/>
        <v>45061</v>
      </c>
      <c r="C67" s="102">
        <f ca="1"/>
        <v>2.5030831058746011E-2</v>
      </c>
      <c r="D67" s="102">
        <f ca="1"/>
        <v>2.7427248559118989E-2</v>
      </c>
      <c r="E67" s="102">
        <f ca="1"/>
        <v>2.8550180568232303E-2</v>
      </c>
      <c r="F67" s="102">
        <f ca="1"/>
        <v>2.9670300057576274E-2</v>
      </c>
      <c r="G67" s="103">
        <f ca="1"/>
        <v>3.0925651161462429E-2</v>
      </c>
    </row>
    <row r="68" spans="2:7">
      <c r="B68" s="101">
        <f ca="1"/>
        <v>45092</v>
      </c>
      <c r="C68" s="102">
        <f ca="1"/>
        <v>2.5063189638561658E-2</v>
      </c>
      <c r="D68" s="102">
        <f ca="1"/>
        <v>2.7449731496128435E-2</v>
      </c>
      <c r="E68" s="102">
        <f ca="1"/>
        <v>2.857517310112629E-2</v>
      </c>
      <c r="F68" s="102">
        <f ca="1"/>
        <v>2.9692255184763167E-2</v>
      </c>
      <c r="G68" s="103">
        <f ca="1"/>
        <v>3.0961304844478892E-2</v>
      </c>
    </row>
    <row r="69" spans="2:7">
      <c r="B69" s="101">
        <f ca="1"/>
        <v>45124</v>
      </c>
      <c r="C69" s="102">
        <f ca="1"/>
        <v>2.5100453033970977E-2</v>
      </c>
      <c r="D69" s="102">
        <f ca="1"/>
        <v>2.7472312835437294E-2</v>
      </c>
      <c r="E69" s="102">
        <f ca="1"/>
        <v>2.8600591378028648E-2</v>
      </c>
      <c r="F69" s="102">
        <f ca="1"/>
        <v>2.9718836992875419E-2</v>
      </c>
      <c r="G69" s="103">
        <f ca="1"/>
        <v>3.0991599245113681E-2</v>
      </c>
    </row>
    <row r="70" spans="2:7">
      <c r="B70" s="101">
        <f ca="1"/>
        <v>45153</v>
      </c>
      <c r="C70" s="102">
        <f ca="1"/>
        <v>2.5137639509469855E-2</v>
      </c>
      <c r="D70" s="102">
        <f ca="1"/>
        <v>2.7495750848956977E-2</v>
      </c>
      <c r="E70" s="102">
        <f ca="1"/>
        <v>2.8624341116661008E-2</v>
      </c>
      <c r="F70" s="102">
        <f ca="1"/>
        <v>2.974187955227733E-2</v>
      </c>
      <c r="G70" s="103">
        <f ca="1"/>
        <v>3.1022712122530421E-2</v>
      </c>
    </row>
    <row r="71" spans="2:7">
      <c r="B71" s="101">
        <f ca="1"/>
        <v>45184</v>
      </c>
      <c r="C71" s="102">
        <f ca="1"/>
        <v>2.5181487726849552E-2</v>
      </c>
      <c r="D71" s="102">
        <f ca="1"/>
        <v>2.7521333216028159E-2</v>
      </c>
      <c r="E71" s="102">
        <f ca="1"/>
        <v>2.8651161147112081E-2</v>
      </c>
      <c r="F71" s="102">
        <f ca="1"/>
        <v>2.9763545493049964E-2</v>
      </c>
      <c r="G71" s="103">
        <f ca="1"/>
        <v>3.1057604877197754E-2</v>
      </c>
    </row>
    <row r="72" spans="2:7">
      <c r="B72" s="101">
        <f ca="1"/>
        <v>45215</v>
      </c>
      <c r="C72" s="102">
        <f ca="1"/>
        <v>2.5217320105039534E-2</v>
      </c>
      <c r="D72" s="102">
        <f ca="1"/>
        <v>2.7547103400574462E-2</v>
      </c>
      <c r="E72" s="102">
        <f ca="1"/>
        <v>2.8678135785181563E-2</v>
      </c>
      <c r="F72" s="102">
        <f ca="1"/>
        <v>2.9790384860430598E-2</v>
      </c>
      <c r="G72" s="103">
        <f ca="1"/>
        <v>3.1088479203557885E-2</v>
      </c>
    </row>
    <row r="73" spans="2:7">
      <c r="B73" s="101">
        <f ca="1"/>
        <v>45245</v>
      </c>
      <c r="C73" s="102">
        <f ca="1"/>
        <v>2.5253086599677448E-2</v>
      </c>
      <c r="D73" s="102">
        <f ca="1"/>
        <v>2.7570745521932755E-2</v>
      </c>
      <c r="E73" s="102">
        <f ca="1"/>
        <v>2.8702565152531501E-2</v>
      </c>
      <c r="F73" s="102">
        <f ca="1"/>
        <v>2.9813400368813487E-2</v>
      </c>
      <c r="G73" s="103">
        <f ca="1"/>
        <v>3.1119843402136291E-2</v>
      </c>
    </row>
    <row r="74" spans="2:7">
      <c r="B74" s="101">
        <f ca="1"/>
        <v>45275</v>
      </c>
      <c r="C74" s="102">
        <f ca="1"/>
        <v>2.5289913893803743E-2</v>
      </c>
      <c r="D74" s="102">
        <f ca="1"/>
        <v>2.7597514569004056E-2</v>
      </c>
      <c r="E74" s="102">
        <f ca="1"/>
        <v>2.8724116837299189E-2</v>
      </c>
      <c r="F74" s="102">
        <f ca="1"/>
        <v>2.9843278422175677E-2</v>
      </c>
      <c r="G74" s="103">
        <f ca="1"/>
        <v>3.1152764767365618E-2</v>
      </c>
    </row>
    <row r="75" spans="2:7">
      <c r="B75" s="101">
        <f ca="1"/>
        <v>45306</v>
      </c>
      <c r="C75" s="102">
        <f ca="1"/>
        <v>2.5320229470061E-2</v>
      </c>
      <c r="D75" s="102">
        <f ca="1"/>
        <v>2.7623835924862537E-2</v>
      </c>
      <c r="E75" s="102">
        <f ca="1"/>
        <v>2.874490714496539E-2</v>
      </c>
      <c r="F75" s="102">
        <f ca="1"/>
        <v>2.9864349641423073E-2</v>
      </c>
      <c r="G75" s="103">
        <f ca="1"/>
        <v>3.1182758684198227E-2</v>
      </c>
    </row>
    <row r="76" spans="2:7">
      <c r="B76" s="101">
        <f ca="1"/>
        <v>45337</v>
      </c>
      <c r="C76" s="102">
        <f ca="1"/>
        <v>2.5351483273046628E-2</v>
      </c>
      <c r="D76" s="102">
        <f ca="1"/>
        <v>2.7647364194821594E-2</v>
      </c>
      <c r="E76" s="102">
        <f ca="1"/>
        <v>2.8766653633751513E-2</v>
      </c>
      <c r="F76" s="102">
        <f ca="1"/>
        <v>2.9890663587338547E-2</v>
      </c>
      <c r="G76" s="103">
        <f ca="1"/>
        <v>3.1217992942664714E-2</v>
      </c>
    </row>
    <row r="77" spans="2:7">
      <c r="B77" s="101">
        <f ca="1"/>
        <v>45366</v>
      </c>
      <c r="C77" s="102">
        <f ca="1"/>
        <v>2.5381671836245248E-2</v>
      </c>
      <c r="D77" s="102">
        <f ca="1"/>
        <v>2.7675313872833968E-2</v>
      </c>
      <c r="E77" s="102">
        <f ca="1"/>
        <v>2.8789678761153129E-2</v>
      </c>
      <c r="F77" s="102">
        <f ca="1"/>
        <v>2.9920555924237924E-2</v>
      </c>
      <c r="G77" s="103">
        <f ca="1"/>
        <v>3.1245440553113717E-2</v>
      </c>
    </row>
    <row r="78" spans="2:7">
      <c r="B78" s="101">
        <f ca="1"/>
        <v>45397</v>
      </c>
      <c r="C78" s="102">
        <f ca="1"/>
        <v>2.5406480185270943E-2</v>
      </c>
      <c r="D78" s="102">
        <f ca="1"/>
        <v>2.7700686047027565E-2</v>
      </c>
      <c r="E78" s="102">
        <f ca="1"/>
        <v>2.8816068374971575E-2</v>
      </c>
      <c r="F78" s="102">
        <f ca="1"/>
        <v>2.9944082792686524E-2</v>
      </c>
      <c r="G78" s="103">
        <f ca="1"/>
        <v>3.1272833250317884E-2</v>
      </c>
    </row>
    <row r="79" spans="2:7">
      <c r="B79" s="101">
        <f ca="1"/>
        <v>45427</v>
      </c>
      <c r="C79" s="102">
        <f ca="1"/>
        <v>2.54312591492716E-2</v>
      </c>
      <c r="D79" s="102">
        <f ca="1"/>
        <v>2.7731382016065544E-2</v>
      </c>
      <c r="E79" s="102">
        <f ca="1"/>
        <v>2.8841036657395434E-2</v>
      </c>
      <c r="F79" s="102">
        <f ca="1"/>
        <v>2.9972045438869041E-2</v>
      </c>
      <c r="G79" s="103">
        <f ca="1"/>
        <v>3.1302674852281095E-2</v>
      </c>
    </row>
    <row r="80" spans="2:7">
      <c r="B80" s="101">
        <f ca="1"/>
        <v>45460</v>
      </c>
      <c r="C80" s="102">
        <f ca="1"/>
        <v>2.545642362857194E-2</v>
      </c>
      <c r="D80" s="102">
        <f ca="1"/>
        <v>2.775586610140637E-2</v>
      </c>
      <c r="E80" s="102">
        <f ca="1"/>
        <v>2.886577366585414E-2</v>
      </c>
      <c r="F80" s="102">
        <f ca="1"/>
        <v>2.9999571393940452E-2</v>
      </c>
      <c r="G80" s="103">
        <f ca="1"/>
        <v>3.1335263085984104E-2</v>
      </c>
    </row>
    <row r="81" spans="2:7">
      <c r="B81" s="101">
        <f ca="1"/>
        <v>45488</v>
      </c>
      <c r="C81" s="102">
        <f ca="1"/>
        <v>2.5476064891436223E-2</v>
      </c>
      <c r="D81" s="102">
        <f ca="1"/>
        <v>2.778215487377354E-2</v>
      </c>
      <c r="E81" s="102">
        <f ca="1"/>
        <v>2.8885178498453446E-2</v>
      </c>
      <c r="F81" s="102">
        <f ca="1"/>
        <v>3.0026309462038703E-2</v>
      </c>
      <c r="G81" s="103">
        <f ca="1"/>
        <v>3.1362731193627459E-2</v>
      </c>
    </row>
    <row r="82" spans="2:7">
      <c r="B82" s="101">
        <f ca="1"/>
        <v>45519</v>
      </c>
      <c r="C82" s="102">
        <f ca="1"/>
        <v>2.5495962859021681E-2</v>
      </c>
      <c r="D82" s="102">
        <f ca="1"/>
        <v>2.7811287104610546E-2</v>
      </c>
      <c r="E82" s="102">
        <f ca="1"/>
        <v>2.8906402382075258E-2</v>
      </c>
      <c r="F82" s="102">
        <f ca="1"/>
        <v>3.0057721548301219E-2</v>
      </c>
      <c r="G82" s="103">
        <f ca="1"/>
        <v>3.1392960685381284E-2</v>
      </c>
    </row>
    <row r="83" spans="2:7">
      <c r="B83" s="101">
        <f ca="1"/>
        <v>45551</v>
      </c>
      <c r="C83" s="102">
        <f ca="1"/>
        <v>2.5514470113638672E-2</v>
      </c>
      <c r="D83" s="102">
        <f ca="1"/>
        <v>2.783693959377952E-2</v>
      </c>
      <c r="E83" s="102">
        <f ca="1"/>
        <v>2.8929280214875917E-2</v>
      </c>
      <c r="F83" s="102">
        <f ca="1"/>
        <v>3.008008069028183E-2</v>
      </c>
      <c r="G83" s="103">
        <f ca="1"/>
        <v>3.1423975845841147E-2</v>
      </c>
    </row>
    <row r="84" spans="2:7">
      <c r="B84" s="101">
        <f ca="1"/>
        <v>45580</v>
      </c>
      <c r="C84" s="102">
        <f ca="1"/>
        <v>2.5529471199052533E-2</v>
      </c>
      <c r="D84" s="102">
        <f ca="1"/>
        <v>2.7864646908633311E-2</v>
      </c>
      <c r="E84" s="102">
        <f ca="1"/>
        <v>2.8950499624412408E-2</v>
      </c>
      <c r="F84" s="102">
        <f ca="1"/>
        <v>3.0106791762648535E-2</v>
      </c>
      <c r="G84" s="103">
        <f ca="1"/>
        <v>3.1451926244045934E-2</v>
      </c>
    </row>
    <row r="85" spans="2:7">
      <c r="B85" s="101">
        <f ca="1"/>
        <v>45611</v>
      </c>
      <c r="C85" s="102">
        <f ca="1"/>
        <v>2.5545864595900421E-2</v>
      </c>
      <c r="D85" s="102">
        <f ca="1"/>
        <v>2.7892815653350451E-2</v>
      </c>
      <c r="E85" s="102">
        <f ca="1"/>
        <v>2.8972737294381039E-2</v>
      </c>
      <c r="F85" s="102">
        <f ca="1"/>
        <v>3.0133893512167453E-2</v>
      </c>
      <c r="G85" s="103">
        <f ca="1"/>
        <v>3.1485326956246007E-2</v>
      </c>
    </row>
    <row r="86" spans="2:7">
      <c r="B86" s="101">
        <f ca="1"/>
        <v>45642</v>
      </c>
      <c r="C86" s="102">
        <f ca="1"/>
        <v>2.5555849570371606E-2</v>
      </c>
      <c r="D86" s="102">
        <f ca="1"/>
        <v>2.7921172175079882E-2</v>
      </c>
      <c r="E86" s="102">
        <f ca="1"/>
        <v>2.8993783027358961E-2</v>
      </c>
      <c r="F86" s="102">
        <f ca="1"/>
        <v>3.0164732563773864E-2</v>
      </c>
      <c r="G86" s="103">
        <f ca="1"/>
        <v>3.1511249688515687E-2</v>
      </c>
    </row>
    <row r="87" spans="2:7">
      <c r="B87" s="101">
        <f ca="1"/>
        <v>45672</v>
      </c>
      <c r="C87" s="102">
        <f ca="1"/>
        <v>2.556584435234184E-2</v>
      </c>
      <c r="D87" s="102">
        <f ca="1"/>
        <v>2.7951885850968569E-2</v>
      </c>
      <c r="E87" s="102">
        <f ca="1"/>
        <v>2.9013544855121535E-2</v>
      </c>
      <c r="F87" s="102">
        <f ca="1"/>
        <v>3.0191435876051671E-2</v>
      </c>
      <c r="G87" s="103">
        <f ca="1"/>
        <v>3.1539776458775683E-2</v>
      </c>
    </row>
    <row r="88" spans="2:7">
      <c r="B88" s="101">
        <f ca="1"/>
        <v>45705</v>
      </c>
      <c r="C88" s="102">
        <f ca="1"/>
        <v>2.5574738908545225E-2</v>
      </c>
      <c r="D88" s="102">
        <f ca="1"/>
        <v>2.7974723534574072E-2</v>
      </c>
      <c r="E88" s="102">
        <f ca="1"/>
        <v>2.9035697240332302E-2</v>
      </c>
      <c r="F88" s="102">
        <f ca="1"/>
        <v>3.0224771139832737E-2</v>
      </c>
      <c r="G88" s="103">
        <f ca="1"/>
        <v>3.1571048151610888E-2</v>
      </c>
    </row>
    <row r="89" spans="2:7">
      <c r="B89" s="101">
        <f ca="1"/>
        <v>45733</v>
      </c>
      <c r="C89" s="102">
        <f ca="1"/>
        <v>2.5580565036373588E-2</v>
      </c>
      <c r="D89" s="102">
        <f ca="1"/>
        <v>2.8005496938571732E-2</v>
      </c>
      <c r="E89" s="102">
        <f ca="1"/>
        <v>2.9055495178622163E-2</v>
      </c>
      <c r="F89" s="102">
        <f ca="1"/>
        <v>3.025533194484702E-2</v>
      </c>
      <c r="G89" s="103">
        <f ca="1"/>
        <v>3.1597509198352289E-2</v>
      </c>
    </row>
    <row r="90" spans="2:7">
      <c r="B90" s="101">
        <f ca="1"/>
        <v>45762</v>
      </c>
      <c r="C90" s="102">
        <f ca="1"/>
        <v>2.558494305488131E-2</v>
      </c>
      <c r="D90" s="102">
        <f ca="1"/>
        <v>2.8031148096589676E-2</v>
      </c>
      <c r="E90" s="102">
        <f ca="1"/>
        <v>2.9076536678253159E-2</v>
      </c>
      <c r="F90" s="102">
        <f ca="1"/>
        <v>3.028180257532424E-2</v>
      </c>
      <c r="G90" s="103">
        <f ca="1"/>
        <v>3.1624860598004623E-2</v>
      </c>
    </row>
    <row r="91" spans="2:7">
      <c r="B91" s="101">
        <f ca="1"/>
        <v>45792</v>
      </c>
      <c r="C91" s="102">
        <f ca="1"/>
        <v>2.5587684083085722E-2</v>
      </c>
      <c r="D91" s="102">
        <f ca="1"/>
        <v>2.8062600580800279E-2</v>
      </c>
      <c r="E91" s="102">
        <f ca="1"/>
        <v>2.9098065028387781E-2</v>
      </c>
      <c r="F91" s="102">
        <f ca="1"/>
        <v>3.0316454833781949E-2</v>
      </c>
      <c r="G91" s="103">
        <f ca="1"/>
        <v>3.1653112799129163E-2</v>
      </c>
    </row>
    <row r="92" spans="2:7">
      <c r="B92" s="101">
        <f ca="1"/>
        <v>45824</v>
      </c>
      <c r="C92" s="102">
        <f ca="1"/>
        <v>2.5588609530955871E-2</v>
      </c>
      <c r="D92" s="102">
        <f ca="1"/>
        <v>2.8089867622577612E-2</v>
      </c>
      <c r="E92" s="102">
        <f ca="1"/>
        <v>2.9120125757295414E-2</v>
      </c>
      <c r="F92" s="102">
        <f ca="1"/>
        <v>3.0342621849159934E-2</v>
      </c>
      <c r="G92" s="103">
        <f ca="1"/>
        <v>3.1683220208212876E-2</v>
      </c>
    </row>
    <row r="93" spans="2:7">
      <c r="B93" s="101">
        <f ca="1"/>
        <v>45853</v>
      </c>
      <c r="C93" s="102">
        <f ca="1"/>
        <v>2.5587680553341038E-2</v>
      </c>
      <c r="D93" s="102">
        <f ca="1"/>
        <v>2.8119168214793159E-2</v>
      </c>
      <c r="E93" s="102">
        <f ca="1"/>
        <v>2.9140257086705763E-2</v>
      </c>
      <c r="F93" s="102">
        <f ca="1"/>
        <v>3.0372962389577027E-2</v>
      </c>
      <c r="G93" s="103">
        <f ca="1"/>
        <v>3.1710497138012703E-2</v>
      </c>
    </row>
    <row r="94" spans="2:7">
      <c r="B94" s="101">
        <f ca="1"/>
        <v>45884</v>
      </c>
      <c r="C94" s="102">
        <f ca="1"/>
        <v>2.5586505974485651E-2</v>
      </c>
      <c r="D94" s="102">
        <f ca="1"/>
        <v>2.8148964816564901E-2</v>
      </c>
      <c r="E94" s="102">
        <f ca="1"/>
        <v>2.916349828645895E-2</v>
      </c>
      <c r="F94" s="102">
        <f ca="1"/>
        <v>3.0405295056243842E-2</v>
      </c>
      <c r="G94" s="103">
        <f ca="1"/>
        <v>3.1743378624522617E-2</v>
      </c>
    </row>
    <row r="95" spans="2:7">
      <c r="B95" s="101">
        <f ca="1"/>
        <v>45915</v>
      </c>
      <c r="C95" s="102">
        <f ca="1"/>
        <v>2.5581306297905743E-2</v>
      </c>
      <c r="D95" s="102">
        <f ca="1"/>
        <v>2.8177202502007604E-2</v>
      </c>
      <c r="E95" s="102">
        <f ca="1"/>
        <v>2.9189847621976246E-2</v>
      </c>
      <c r="F95" s="102">
        <f ca="1"/>
        <v>3.0430516556294002E-2</v>
      </c>
      <c r="G95" s="103">
        <f ca="1"/>
        <v>3.176886543944319E-2</v>
      </c>
    </row>
    <row r="96" spans="2:7">
      <c r="B96" s="101">
        <f ca="1"/>
        <v>45945</v>
      </c>
      <c r="C96" s="102">
        <f ca="1"/>
        <v>2.5579001693790016E-2</v>
      </c>
      <c r="D96" s="102">
        <f ca="1"/>
        <v>2.821079155948179E-2</v>
      </c>
      <c r="E96" s="102">
        <f ca="1"/>
        <v>2.9218174048595055E-2</v>
      </c>
      <c r="F96" s="102">
        <f ca="1"/>
        <v>3.0460021142534995E-2</v>
      </c>
      <c r="G96" s="103">
        <f ca="1"/>
        <v>3.1797163974942949E-2</v>
      </c>
    </row>
    <row r="97" spans="2:7">
      <c r="B97" s="101">
        <f ca="1"/>
        <v>45978</v>
      </c>
      <c r="C97" s="102">
        <f ca="1"/>
        <v>2.5577726835978882E-2</v>
      </c>
      <c r="D97" s="102">
        <f ca="1"/>
        <v>2.8237731972307601E-2</v>
      </c>
      <c r="E97" s="102">
        <f ca="1"/>
        <v>2.925183472158991E-2</v>
      </c>
      <c r="F97" s="102">
        <f ca="1"/>
        <v>3.0492430924383588E-2</v>
      </c>
      <c r="G97" s="103">
        <f ca="1"/>
        <v>3.1828338874407489E-2</v>
      </c>
    </row>
    <row r="98" spans="2:7">
      <c r="B98" s="101">
        <f ca="1"/>
        <v>46006</v>
      </c>
      <c r="C98" s="102">
        <f ca="1"/>
        <v>2.5577674268500328E-2</v>
      </c>
      <c r="D98" s="102">
        <f ca="1"/>
        <v>2.8266192608717121E-2</v>
      </c>
      <c r="E98" s="102">
        <f ca="1"/>
        <v>2.9282101773878372E-2</v>
      </c>
      <c r="F98" s="102">
        <f ca="1"/>
        <v>3.0519893116328255E-2</v>
      </c>
      <c r="G98" s="103">
        <f ca="1"/>
        <v>3.1854828818360062E-2</v>
      </c>
    </row>
    <row r="99" spans="2:7">
      <c r="B99" s="101">
        <f ca="1"/>
        <v>46037</v>
      </c>
      <c r="C99" s="102">
        <f ca="1"/>
        <v>2.5578709714789039E-2</v>
      </c>
      <c r="D99" s="102">
        <f ca="1"/>
        <v>2.8297515130203222E-2</v>
      </c>
      <c r="E99" s="102">
        <f ca="1"/>
        <v>2.9318164109999878E-2</v>
      </c>
      <c r="F99" s="102">
        <f ca="1"/>
        <v>3.0548479871991333E-2</v>
      </c>
      <c r="G99" s="103">
        <f ca="1"/>
        <v>3.1884198544512764E-2</v>
      </c>
    </row>
    <row r="100" spans="2:7">
      <c r="B100" s="101">
        <f ca="1"/>
        <v>46069</v>
      </c>
      <c r="C100" s="102">
        <f ca="1"/>
        <v>2.5580994711860591E-2</v>
      </c>
      <c r="D100" s="102">
        <f ca="1"/>
        <v>2.8321815384455645E-2</v>
      </c>
      <c r="E100" s="102">
        <f ca="1"/>
        <v>2.9359344453113591E-2</v>
      </c>
      <c r="F100" s="102">
        <f ca="1"/>
        <v>3.0581559583142511E-2</v>
      </c>
      <c r="G100" s="103">
        <f ca="1"/>
        <v>3.1914561870039333E-2</v>
      </c>
    </row>
    <row r="101" spans="2:7">
      <c r="B101" s="101">
        <f ca="1"/>
        <v>46097</v>
      </c>
      <c r="C101" s="102">
        <f ca="1"/>
        <v>2.5584005046010733E-2</v>
      </c>
      <c r="D101" s="102">
        <f ca="1"/>
        <v>2.8353406743691686E-2</v>
      </c>
      <c r="E101" s="102">
        <f ca="1"/>
        <v>2.9399372895811158E-2</v>
      </c>
      <c r="F101" s="102">
        <f ca="1"/>
        <v>3.0612476613608542E-2</v>
      </c>
      <c r="G101" s="103">
        <f ca="1"/>
        <v>3.1941168576690292E-2</v>
      </c>
    </row>
    <row r="102" spans="2:7">
      <c r="B102" s="101">
        <f ca="1"/>
        <v>46127</v>
      </c>
      <c r="C102" s="102">
        <f ca="1"/>
        <v>2.5588272075772075E-2</v>
      </c>
      <c r="D102" s="102">
        <f ca="1"/>
        <v>2.8380520181020431E-2</v>
      </c>
      <c r="E102" s="102">
        <f ca="1"/>
        <v>2.9445790923753618E-2</v>
      </c>
      <c r="F102" s="102">
        <f ca="1"/>
        <v>3.0639965026935851E-2</v>
      </c>
      <c r="G102" s="103">
        <f ca="1"/>
        <v>3.1969716260964259E-2</v>
      </c>
    </row>
    <row r="103" spans="2:7">
      <c r="B103" s="101">
        <f ca="1"/>
        <v>46157</v>
      </c>
      <c r="C103" s="102">
        <f ca="1"/>
        <v>2.5595643148780104E-2</v>
      </c>
      <c r="D103" s="102">
        <f ca="1"/>
        <v>2.8410804793235954E-2</v>
      </c>
      <c r="E103" s="102">
        <f ca="1"/>
        <v>2.9494826016499741E-2</v>
      </c>
      <c r="F103" s="102">
        <f ca="1"/>
        <v>3.0672768953100626E-2</v>
      </c>
      <c r="G103" s="103">
        <f ca="1"/>
        <v>3.2002076935890474E-2</v>
      </c>
    </row>
    <row r="104" spans="2:7">
      <c r="B104" s="101">
        <f ca="1"/>
        <v>46188</v>
      </c>
      <c r="C104" s="102">
        <f ca="1"/>
        <v>2.5600296922970053E-2</v>
      </c>
      <c r="D104" s="102">
        <f ca="1"/>
        <v>2.8438827537656686E-2</v>
      </c>
      <c r="E104" s="102">
        <f ca="1"/>
        <v>2.9547069200812123E-2</v>
      </c>
      <c r="F104" s="102">
        <f ca="1"/>
        <v>3.0699362551099289E-2</v>
      </c>
      <c r="G104" s="103">
        <f ca="1"/>
        <v>3.2027893766240642E-2</v>
      </c>
    </row>
    <row r="105" spans="2:7">
      <c r="B105" s="101">
        <f ca="1"/>
        <v>46218</v>
      </c>
      <c r="C105" s="102">
        <f ca="1"/>
        <v>2.5607848082267896E-2</v>
      </c>
      <c r="D105" s="102">
        <f ca="1"/>
        <v>2.8472277462632624E-2</v>
      </c>
      <c r="E105" s="102">
        <f ca="1"/>
        <v>2.9597756449914404E-2</v>
      </c>
      <c r="F105" s="102">
        <f ca="1"/>
        <v>3.0730305355427728E-2</v>
      </c>
      <c r="G105" s="103">
        <f ca="1"/>
        <v>3.2056570538389631E-2</v>
      </c>
    </row>
    <row r="106" spans="2:7">
      <c r="B106" s="101">
        <f ca="1"/>
        <v>46251</v>
      </c>
      <c r="C106" s="102">
        <f ca="1"/>
        <v>2.5617409762515468E-2</v>
      </c>
      <c r="D106" s="102">
        <f ca="1"/>
        <v>2.8500559393606986E-2</v>
      </c>
      <c r="E106" s="102">
        <f ca="1"/>
        <v>2.9651925817459904E-2</v>
      </c>
      <c r="F106" s="102">
        <f ca="1"/>
        <v>3.0762331126357713E-2</v>
      </c>
      <c r="G106" s="103">
        <f ca="1"/>
        <v>3.2088164936539827E-2</v>
      </c>
    </row>
    <row r="107" spans="2:7">
      <c r="B107" s="101">
        <f ca="1"/>
        <v>46280</v>
      </c>
      <c r="C107" s="102">
        <f ca="1"/>
        <v>2.5626894074970864E-2</v>
      </c>
      <c r="D107" s="102">
        <f ca="1"/>
        <v>2.8526602154775003E-2</v>
      </c>
      <c r="E107" s="102">
        <f ca="1"/>
        <v>2.969679509018314E-2</v>
      </c>
      <c r="F107" s="102">
        <f ca="1"/>
        <v>3.0785056554884789E-2</v>
      </c>
      <c r="G107" s="103">
        <f ca="1"/>
        <v>3.2115973604321932E-2</v>
      </c>
    </row>
    <row r="108" spans="2:7">
      <c r="B108" s="101">
        <f ca="1"/>
        <v>46310</v>
      </c>
      <c r="C108" s="102">
        <f ca="1"/>
        <v>2.5637765168995841E-2</v>
      </c>
      <c r="D108" s="102">
        <f ca="1"/>
        <v>2.8558397216162202E-2</v>
      </c>
      <c r="E108" s="102">
        <f ca="1"/>
        <v>2.9739645074887532E-2</v>
      </c>
      <c r="F108" s="102">
        <f ca="1"/>
        <v>3.0815882245912946E-2</v>
      </c>
      <c r="G108" s="103">
        <f ca="1"/>
        <v>3.2144784147467638E-2</v>
      </c>
    </row>
    <row r="109" spans="2:7">
      <c r="B109" s="101">
        <f ca="1"/>
        <v>46342</v>
      </c>
      <c r="C109" s="102">
        <f ca="1"/>
        <v>2.5650559151029637E-2</v>
      </c>
      <c r="D109" s="102">
        <f ca="1"/>
        <v>2.858564313422975E-2</v>
      </c>
      <c r="E109" s="102">
        <f ca="1"/>
        <v>2.9780532929739676E-2</v>
      </c>
      <c r="F109" s="102">
        <f ca="1"/>
        <v>3.0846807467288195E-2</v>
      </c>
      <c r="G109" s="103">
        <f ca="1"/>
        <v>3.2175562129047097E-2</v>
      </c>
    </row>
    <row r="110" spans="2:7">
      <c r="B110" s="101">
        <f ca="1"/>
        <v>46371</v>
      </c>
      <c r="C110" s="102">
        <f ca="1"/>
        <v>2.5663218376857241E-2</v>
      </c>
      <c r="D110" s="102">
        <f ca="1"/>
        <v>2.8614839907957337E-2</v>
      </c>
      <c r="E110" s="102">
        <f ca="1"/>
        <v>2.9812833876567156E-2</v>
      </c>
      <c r="F110" s="102">
        <f ca="1"/>
        <v>3.0874795142475389E-2</v>
      </c>
      <c r="G110" s="103">
        <f ca="1"/>
        <v>3.220349507065616E-2</v>
      </c>
    </row>
    <row r="111" spans="2:7">
      <c r="B111" s="101">
        <f ca="1"/>
        <v>46402</v>
      </c>
      <c r="C111" s="102">
        <f ca="1"/>
        <v>2.5680187645114465E-2</v>
      </c>
      <c r="D111" s="102">
        <f ca="1"/>
        <v>2.864430772151377E-2</v>
      </c>
      <c r="E111" s="102">
        <f ca="1"/>
        <v>2.9843300989462671E-2</v>
      </c>
      <c r="F111" s="102">
        <f ca="1"/>
        <v>3.0902872129163365E-2</v>
      </c>
      <c r="G111" s="103">
        <f ca="1"/>
        <v>3.2237218832763939E-2</v>
      </c>
    </row>
    <row r="112" spans="2:7">
      <c r="B112" s="101">
        <f ca="1"/>
        <v>46433</v>
      </c>
      <c r="C112" s="102">
        <f ca="1"/>
        <v>2.5693669657873987E-2</v>
      </c>
      <c r="D112" s="102">
        <f ca="1"/>
        <v>2.8668906667162666E-2</v>
      </c>
      <c r="E112" s="102">
        <f ca="1"/>
        <v>2.9870967117425082E-2</v>
      </c>
      <c r="F112" s="102">
        <f ca="1"/>
        <v>3.0934508289503723E-2</v>
      </c>
      <c r="G112" s="103">
        <f ca="1"/>
        <v>3.2263337033707873E-2</v>
      </c>
    </row>
    <row r="113" spans="2:7">
      <c r="B113" s="101">
        <f ca="1"/>
        <v>46461</v>
      </c>
      <c r="C113" s="102">
        <f ca="1"/>
        <v>2.5708940816691485E-2</v>
      </c>
      <c r="D113" s="102">
        <f ca="1"/>
        <v>2.8700329622276602E-2</v>
      </c>
      <c r="E113" s="102">
        <f ca="1"/>
        <v>2.9894448662019776E-2</v>
      </c>
      <c r="F113" s="102">
        <f ca="1"/>
        <v>3.0965029164575778E-2</v>
      </c>
      <c r="G113" s="103">
        <f ca="1"/>
        <v>3.2292332723795898E-2</v>
      </c>
    </row>
    <row r="114" spans="2:7">
      <c r="B114" s="101">
        <f ca="1"/>
        <v>46492</v>
      </c>
      <c r="C114" s="102">
        <f ca="1"/>
        <v>2.5726943015782908E-2</v>
      </c>
      <c r="D114" s="102">
        <f ca="1"/>
        <v>2.8731351784781006E-2</v>
      </c>
      <c r="E114" s="102">
        <f ca="1"/>
        <v>2.9917994523255095E-2</v>
      </c>
      <c r="F114" s="102">
        <f ca="1"/>
        <v>3.0992982999453373E-2</v>
      </c>
      <c r="G114" s="103">
        <f ca="1"/>
        <v>3.2326193771295059E-2</v>
      </c>
    </row>
    <row r="115" spans="2:7">
      <c r="B115" s="101">
        <f ca="1"/>
        <v>46524</v>
      </c>
      <c r="C115" s="102">
        <f ca="1"/>
        <v>2.5746742999851698E-2</v>
      </c>
      <c r="D115" s="102">
        <f ca="1"/>
        <v>2.8760059877996149E-2</v>
      </c>
      <c r="E115" s="102">
        <f ca="1"/>
        <v>2.993807337858416E-2</v>
      </c>
      <c r="F115" s="102">
        <f ca="1"/>
        <v>3.1025466053325002E-2</v>
      </c>
      <c r="G115" s="103">
        <f ca="1"/>
        <v>3.2353377134302697E-2</v>
      </c>
    </row>
    <row r="116" spans="2:7">
      <c r="B116" s="101">
        <f ca="1"/>
        <v>46553</v>
      </c>
      <c r="C116" s="102">
        <f ca="1"/>
        <v>2.5765750651927512E-2</v>
      </c>
      <c r="D116" s="102">
        <f ca="1"/>
        <v>2.8785900334305631E-2</v>
      </c>
      <c r="E116" s="102">
        <f ca="1"/>
        <v>2.995179415080362E-2</v>
      </c>
      <c r="F116" s="102">
        <f ca="1"/>
        <v>3.1051419442777853E-2</v>
      </c>
      <c r="G116" s="103">
        <f ca="1"/>
        <v>3.238152654440038E-2</v>
      </c>
    </row>
    <row r="117" spans="2:7">
      <c r="B117" s="101">
        <f ca="1"/>
        <v>46583</v>
      </c>
      <c r="C117" s="102">
        <f ca="1"/>
        <v>2.5786473573466272E-2</v>
      </c>
      <c r="D117" s="102">
        <f ca="1"/>
        <v>2.8817539008579411E-2</v>
      </c>
      <c r="E117" s="102">
        <f ca="1"/>
        <v>2.9963324477269834E-2</v>
      </c>
      <c r="F117" s="102">
        <f ca="1"/>
        <v>3.1085536775556942E-2</v>
      </c>
      <c r="G117" s="103">
        <f ca="1"/>
        <v>3.2414538578143588E-2</v>
      </c>
    </row>
    <row r="118" spans="2:7">
      <c r="B118" s="101">
        <f ca="1"/>
        <v>46615</v>
      </c>
      <c r="C118" s="102">
        <f ca="1"/>
        <v>2.5809776123995449E-2</v>
      </c>
      <c r="D118" s="102">
        <f ca="1"/>
        <v>2.8846173281995367E-2</v>
      </c>
      <c r="E118" s="102">
        <f ca="1"/>
        <v>2.9975471383316948E-2</v>
      </c>
      <c r="F118" s="102">
        <f ca="1"/>
        <v>3.1112467066838446E-2</v>
      </c>
      <c r="G118" s="103">
        <f ca="1"/>
        <v>3.2441805500423998E-2</v>
      </c>
    </row>
    <row r="119" spans="2:7">
      <c r="B119" s="101">
        <f ca="1"/>
        <v>46645</v>
      </c>
      <c r="C119" s="102">
        <f ca="1"/>
        <v>2.5832741661627037E-2</v>
      </c>
      <c r="D119" s="102">
        <f ca="1"/>
        <v>2.8872890776190169E-2</v>
      </c>
      <c r="E119" s="102">
        <f ca="1"/>
        <v>2.998892986381841E-2</v>
      </c>
      <c r="F119" s="102">
        <f ca="1"/>
        <v>3.1137442096428589E-2</v>
      </c>
      <c r="G119" s="103">
        <f ca="1"/>
        <v>3.2470995560523158E-2</v>
      </c>
    </row>
    <row r="120" spans="2:7">
      <c r="B120" s="101">
        <f ca="1"/>
        <v>46675</v>
      </c>
      <c r="C120" s="102">
        <f ca="1"/>
        <v>2.5859462735146416E-2</v>
      </c>
      <c r="D120" s="102">
        <f ca="1"/>
        <v>2.890284556191261E-2</v>
      </c>
      <c r="E120" s="102">
        <f ca="1"/>
        <v>3.0004416022463405E-2</v>
      </c>
      <c r="F120" s="102">
        <f ca="1"/>
        <v>3.1171457994906445E-2</v>
      </c>
      <c r="G120" s="103">
        <f ca="1"/>
        <v>3.2502002048584049E-2</v>
      </c>
    </row>
    <row r="121" spans="2:7">
      <c r="B121" s="101">
        <f ca="1"/>
        <v>46706</v>
      </c>
      <c r="C121" s="102">
        <f ca="1"/>
        <v>2.5882771423640212E-2</v>
      </c>
      <c r="D121" s="102">
        <f ca="1"/>
        <v>2.8930460241502382E-2</v>
      </c>
      <c r="E121" s="102">
        <f ca="1"/>
        <v>3.002191728252138E-2</v>
      </c>
      <c r="F121" s="102">
        <f ca="1"/>
        <v>3.1195480508210069E-2</v>
      </c>
      <c r="G121" s="103">
        <f ca="1"/>
        <v>3.2529838188317242E-2</v>
      </c>
    </row>
    <row r="122" spans="2:7">
      <c r="B122" s="101">
        <f ca="1"/>
        <v>46736</v>
      </c>
      <c r="C122" s="102">
        <f ca="1"/>
        <v>2.590902124333469E-2</v>
      </c>
      <c r="D122" s="102">
        <f ca="1"/>
        <v>2.8963646543973705E-2</v>
      </c>
      <c r="E122" s="102">
        <f ca="1"/>
        <v>3.0039901627875266E-2</v>
      </c>
      <c r="F122" s="102">
        <f ca="1"/>
        <v>3.1225783202853172E-2</v>
      </c>
      <c r="G122" s="103">
        <f ca="1"/>
        <v>3.2558220269998245E-2</v>
      </c>
    </row>
    <row r="123" spans="2:7">
      <c r="B123" s="101">
        <f ca="1"/>
        <v>46769</v>
      </c>
      <c r="C123" s="102">
        <f ca="1"/>
        <v>2.5939140279240033E-2</v>
      </c>
      <c r="D123" s="102">
        <f ca="1"/>
        <v>2.8991463101905181E-2</v>
      </c>
      <c r="E123" s="102">
        <f ca="1"/>
        <v>3.0061635553916041E-2</v>
      </c>
      <c r="F123" s="102">
        <f ca="1"/>
        <v>3.1255243758856473E-2</v>
      </c>
      <c r="G123" s="103">
        <f ca="1"/>
        <v>3.2588774436605975E-2</v>
      </c>
    </row>
    <row r="124" spans="2:7">
      <c r="B124" s="101">
        <f ca="1"/>
        <v>46798</v>
      </c>
      <c r="C124" s="102">
        <f ca="1"/>
        <v>2.5966693771288019E-2</v>
      </c>
      <c r="D124" s="102">
        <f ca="1"/>
        <v>2.901548313326139E-2</v>
      </c>
      <c r="E124" s="102">
        <f ca="1"/>
        <v>3.0083383252515427E-2</v>
      </c>
      <c r="F124" s="102">
        <f ca="1"/>
        <v>3.128268968401806E-2</v>
      </c>
      <c r="G124" s="103">
        <f ca="1"/>
        <v>3.261489155623272E-2</v>
      </c>
    </row>
    <row r="125" spans="2:7">
      <c r="B125" s="101">
        <f ca="1"/>
        <v>46827</v>
      </c>
      <c r="C125" s="102">
        <f ca="1"/>
        <v>2.5995260300813273E-2</v>
      </c>
      <c r="D125" s="102">
        <f ca="1"/>
        <v>2.9049321077327498E-2</v>
      </c>
      <c r="E125" s="102">
        <f ca="1"/>
        <v>3.0108252514837321E-2</v>
      </c>
      <c r="F125" s="102">
        <f ca="1"/>
        <v>3.1313703622231751E-2</v>
      </c>
      <c r="G125" s="103">
        <f ca="1"/>
        <v>3.2638320911341931E-2</v>
      </c>
    </row>
    <row r="126" spans="2:7">
      <c r="B126" s="101">
        <f ca="1"/>
        <v>46860</v>
      </c>
      <c r="C126" s="102">
        <f ca="1"/>
        <v>2.6028993659079996E-2</v>
      </c>
      <c r="D126" s="102">
        <f ca="1"/>
        <v>2.9075412917036983E-2</v>
      </c>
      <c r="E126" s="102">
        <f ca="1"/>
        <v>3.0139564960663837E-2</v>
      </c>
      <c r="F126" s="102">
        <f ca="1"/>
        <v>3.1342661075527606E-2</v>
      </c>
      <c r="G126" s="103">
        <f ca="1"/>
        <v>3.2665923587472681E-2</v>
      </c>
    </row>
    <row r="127" spans="2:7">
      <c r="B127" s="101">
        <f ca="1"/>
        <v>46888</v>
      </c>
      <c r="C127" s="102">
        <f ca="1"/>
        <v>2.6058648420383235E-2</v>
      </c>
      <c r="D127" s="102">
        <f ca="1"/>
        <v>2.9103353160506756E-2</v>
      </c>
      <c r="E127" s="102">
        <f ca="1"/>
        <v>3.016762908609651E-2</v>
      </c>
      <c r="F127" s="102">
        <f ca="1"/>
        <v>3.1369999559998862E-2</v>
      </c>
      <c r="G127" s="103">
        <f ca="1"/>
        <v>3.2688197416998965E-2</v>
      </c>
    </row>
    <row r="128" spans="2:7">
      <c r="B128" s="101">
        <f ca="1"/>
        <v>46919</v>
      </c>
      <c r="C128" s="102">
        <f ca="1"/>
        <v>2.6092579338281935E-2</v>
      </c>
      <c r="D128" s="102">
        <f ca="1"/>
        <v>2.9134093532857779E-2</v>
      </c>
      <c r="E128" s="102">
        <f ca="1"/>
        <v>3.0199322851144631E-2</v>
      </c>
      <c r="F128" s="102">
        <f ca="1"/>
        <v>3.13955765634387E-2</v>
      </c>
      <c r="G128" s="103">
        <f ca="1"/>
        <v>3.2711462327877125E-2</v>
      </c>
    </row>
    <row r="129" spans="2:7">
      <c r="B129" s="101">
        <f ca="1"/>
        <v>46951</v>
      </c>
      <c r="C129" s="102">
        <f ca="1"/>
        <v>2.6128806496035575E-2</v>
      </c>
      <c r="D129" s="102">
        <f ca="1"/>
        <v>2.9162455183866662E-2</v>
      </c>
      <c r="E129" s="102">
        <f ca="1"/>
        <v>3.0232351903871548E-2</v>
      </c>
      <c r="F129" s="102">
        <f ca="1"/>
        <v>3.1424245011435245E-2</v>
      </c>
      <c r="G129" s="103">
        <f ca="1"/>
        <v>3.2733754983572248E-2</v>
      </c>
    </row>
    <row r="130" spans="2:7">
      <c r="B130" s="101">
        <f ca="1"/>
        <v>46980</v>
      </c>
      <c r="C130" s="102">
        <f ca="1"/>
        <v>2.6162700792525046E-2</v>
      </c>
      <c r="D130" s="102">
        <f ca="1"/>
        <v>2.9189372505175924E-2</v>
      </c>
      <c r="E130" s="102">
        <f ca="1"/>
        <v>3.026239118951778E-2</v>
      </c>
      <c r="F130" s="102">
        <f ca="1"/>
        <v>3.1447157553438514E-2</v>
      </c>
      <c r="G130" s="103">
        <f ca="1"/>
        <v>3.2752280487090536E-2</v>
      </c>
    </row>
    <row r="131" spans="2:7">
      <c r="B131" s="101">
        <f ca="1"/>
        <v>47011</v>
      </c>
      <c r="C131" s="102">
        <f ca="1"/>
        <v>2.6201345588395052E-2</v>
      </c>
      <c r="D131" s="102">
        <f ca="1"/>
        <v>2.9216636069533692E-2</v>
      </c>
      <c r="E131" s="102">
        <f ca="1"/>
        <v>3.0294210353061759E-2</v>
      </c>
      <c r="F131" s="102">
        <f ca="1"/>
        <v>3.1464780372628447E-2</v>
      </c>
      <c r="G131" s="103">
        <f ca="1"/>
        <v>3.2773535450421817E-2</v>
      </c>
    </row>
    <row r="132" spans="2:7">
      <c r="B132" s="101">
        <f ca="1"/>
        <v>47042</v>
      </c>
      <c r="C132" s="102">
        <f ca="1"/>
        <v>2.623131395231882E-2</v>
      </c>
      <c r="D132" s="102">
        <f ca="1"/>
        <v>2.9241992279654249E-2</v>
      </c>
      <c r="E132" s="102">
        <f ca="1"/>
        <v>3.0324222666705376E-2</v>
      </c>
      <c r="F132" s="102">
        <f ca="1"/>
        <v>3.1487291393480325E-2</v>
      </c>
      <c r="G132" s="103">
        <f ca="1"/>
        <v>3.2786049561872165E-2</v>
      </c>
    </row>
    <row r="133" spans="2:7">
      <c r="B133" s="101">
        <f ca="1"/>
        <v>47072</v>
      </c>
      <c r="C133" s="102">
        <f ca="1"/>
        <v>2.6260675467714632E-2</v>
      </c>
      <c r="D133" s="102">
        <f ca="1"/>
        <v>2.926316702352369E-2</v>
      </c>
      <c r="E133" s="102">
        <f ca="1"/>
        <v>3.0349802232566302E-2</v>
      </c>
      <c r="F133" s="102">
        <f ca="1"/>
        <v>3.1503978731614209E-2</v>
      </c>
      <c r="G133" s="103">
        <f ca="1"/>
        <v>3.279950612777828E-2</v>
      </c>
    </row>
    <row r="134" spans="2:7">
      <c r="B134" s="101">
        <f ca="1"/>
        <v>47102</v>
      </c>
      <c r="C134" s="102">
        <f ca="1"/>
        <v>2.6290308068796338E-2</v>
      </c>
      <c r="D134" s="102">
        <f ca="1"/>
        <v>2.9285650324819782E-2</v>
      </c>
      <c r="E134" s="102">
        <f ca="1"/>
        <v>3.037075996831054E-2</v>
      </c>
      <c r="F134" s="102">
        <f ca="1"/>
        <v>3.1522129232700674E-2</v>
      </c>
      <c r="G134" s="103">
        <f ca="1"/>
        <v>3.2814268795335333E-2</v>
      </c>
    </row>
    <row r="135" spans="2:7">
      <c r="B135" s="101">
        <f ca="1"/>
        <v>47133</v>
      </c>
      <c r="C135" s="102">
        <f ca="1"/>
        <v>2.6312686592721513E-2</v>
      </c>
      <c r="D135" s="102">
        <f ca="1"/>
        <v>2.9305407365616019E-2</v>
      </c>
      <c r="E135" s="102">
        <f ca="1"/>
        <v>3.0388807624904989E-2</v>
      </c>
      <c r="F135" s="102">
        <f ca="1"/>
        <v>3.153730942996702E-2</v>
      </c>
      <c r="G135" s="103">
        <f ca="1"/>
        <v>3.2821081526390523E-2</v>
      </c>
    </row>
    <row r="136" spans="2:7">
      <c r="B136" s="101">
        <f ca="1"/>
        <v>47164</v>
      </c>
      <c r="C136" s="102">
        <f ca="1"/>
        <v>2.6335163577538057E-2</v>
      </c>
      <c r="D136" s="102">
        <f ca="1"/>
        <v>2.9318872686277395E-2</v>
      </c>
      <c r="E136" s="102">
        <f ca="1"/>
        <v>3.0405246279814269E-2</v>
      </c>
      <c r="F136" s="102">
        <f ca="1"/>
        <v>3.1549027209762777E-2</v>
      </c>
      <c r="G136" s="103">
        <f ca="1"/>
        <v>3.2829078736669889E-2</v>
      </c>
    </row>
    <row r="137" spans="2:7">
      <c r="B137" s="101">
        <f ca="1"/>
        <v>47192</v>
      </c>
      <c r="C137" s="102">
        <f ca="1"/>
        <v>2.6353167280146795E-2</v>
      </c>
      <c r="D137" s="102">
        <f ca="1"/>
        <v>2.9339173545099954E-2</v>
      </c>
      <c r="E137" s="102">
        <f ca="1"/>
        <v>3.0420211978560697E-2</v>
      </c>
      <c r="F137" s="102">
        <f ca="1"/>
        <v>3.1566962206474806E-2</v>
      </c>
      <c r="G137" s="103">
        <f ca="1"/>
        <v>3.2834586540277273E-2</v>
      </c>
    </row>
    <row r="138" spans="2:7">
      <c r="B138" s="101">
        <f ca="1"/>
        <v>47224</v>
      </c>
      <c r="C138" s="102">
        <f ca="1"/>
        <v>2.6371093493780293E-2</v>
      </c>
      <c r="D138" s="102">
        <f ca="1"/>
        <v>2.9350982360980785E-2</v>
      </c>
      <c r="E138" s="102">
        <f ca="1"/>
        <v>3.043709768413902E-2</v>
      </c>
      <c r="F138" s="102">
        <f ca="1"/>
        <v>3.1572278390979772E-2</v>
      </c>
      <c r="G138" s="103">
        <f ca="1"/>
        <v>3.2838890473414394E-2</v>
      </c>
    </row>
    <row r="139" spans="2:7">
      <c r="B139" s="101">
        <f ca="1"/>
        <v>47253</v>
      </c>
      <c r="C139" s="102">
        <f ca="1"/>
        <v>2.6384877387166977E-2</v>
      </c>
      <c r="D139" s="102">
        <f ca="1"/>
        <v>2.9363903668395131E-2</v>
      </c>
      <c r="E139" s="102">
        <f ca="1"/>
        <v>3.0451053466104942E-2</v>
      </c>
      <c r="F139" s="102">
        <f ca="1"/>
        <v>3.1580906021639203E-2</v>
      </c>
      <c r="G139" s="103">
        <f ca="1"/>
        <v>3.28409596633321E-2</v>
      </c>
    </row>
    <row r="140" spans="2:7">
      <c r="B140" s="101">
        <f ca="1"/>
        <v>47284</v>
      </c>
      <c r="C140" s="102">
        <f ca="1"/>
        <v>2.639931414909186E-2</v>
      </c>
      <c r="D140" s="102">
        <f ca="1"/>
        <v>2.9374369670752118E-2</v>
      </c>
      <c r="E140" s="102">
        <f ca="1"/>
        <v>3.0463482736624154E-2</v>
      </c>
      <c r="F140" s="102">
        <f ca="1"/>
        <v>3.1588110404560381E-2</v>
      </c>
      <c r="G140" s="103">
        <f ca="1"/>
        <v>3.2844064957071033E-2</v>
      </c>
    </row>
    <row r="141" spans="2:7">
      <c r="B141" s="101">
        <f ca="1"/>
        <v>47315</v>
      </c>
      <c r="C141" s="102">
        <f ca="1"/>
        <v>2.6406531869933893E-2</v>
      </c>
      <c r="D141" s="102">
        <f ca="1"/>
        <v>2.9382928185265379E-2</v>
      </c>
      <c r="E141" s="102">
        <f ca="1"/>
        <v>3.0473086411789092E-2</v>
      </c>
      <c r="F141" s="102">
        <f ca="1"/>
        <v>3.1590544587165786E-2</v>
      </c>
      <c r="G141" s="103">
        <f ca="1"/>
        <v>3.2839556297551038E-2</v>
      </c>
    </row>
    <row r="142" spans="2:7">
      <c r="B142" s="101">
        <f ca="1"/>
        <v>47345</v>
      </c>
      <c r="C142" s="102">
        <f ca="1"/>
        <v>2.6413176652897753E-2</v>
      </c>
      <c r="D142" s="102">
        <f ca="1"/>
        <v>2.9391966064576405E-2</v>
      </c>
      <c r="E142" s="102">
        <f ca="1"/>
        <v>3.0479673571677985E-2</v>
      </c>
      <c r="F142" s="102">
        <f ca="1"/>
        <v>3.1592450814419658E-2</v>
      </c>
      <c r="G142" s="103">
        <f ca="1"/>
        <v>3.2836033445365072E-2</v>
      </c>
    </row>
    <row r="143" spans="2:7">
      <c r="B143" s="101">
        <f ca="1"/>
        <v>47378</v>
      </c>
      <c r="C143" s="102">
        <f ca="1"/>
        <v>2.6417600989714664E-2</v>
      </c>
      <c r="D143" s="102">
        <f ca="1"/>
        <v>2.9393189760785948E-2</v>
      </c>
      <c r="E143" s="102">
        <f ca="1"/>
        <v>3.0483856389948855E-2</v>
      </c>
      <c r="F143" s="102">
        <f ca="1"/>
        <v>3.1589804806165994E-2</v>
      </c>
      <c r="G143" s="103">
        <f ca="1"/>
        <v>3.2830045230434028E-2</v>
      </c>
    </row>
    <row r="144" spans="2:7">
      <c r="B144" s="101">
        <f ca="1"/>
        <v>47406</v>
      </c>
      <c r="C144" s="102">
        <f ca="1"/>
        <v>2.6418997852819849E-2</v>
      </c>
      <c r="D144" s="102">
        <f ca="1"/>
        <v>2.9397033523541442E-2</v>
      </c>
      <c r="E144" s="102">
        <f ca="1"/>
        <v>3.0485004441694739E-2</v>
      </c>
      <c r="F144" s="102">
        <f ca="1"/>
        <v>3.1588170531882613E-2</v>
      </c>
      <c r="G144" s="103">
        <f ca="1"/>
        <v>3.2823350933458652E-2</v>
      </c>
    </row>
    <row r="145" spans="2:7">
      <c r="B145" s="101">
        <f ca="1"/>
        <v>47437</v>
      </c>
      <c r="C145" s="102">
        <f ca="1"/>
        <v>2.641799778255325E-2</v>
      </c>
      <c r="D145" s="102">
        <f ca="1"/>
        <v>2.9399280762512709E-2</v>
      </c>
      <c r="E145" s="102">
        <f ca="1"/>
        <v>3.048386260000524E-2</v>
      </c>
      <c r="F145" s="102">
        <f ca="1"/>
        <v>3.1583260989426203E-2</v>
      </c>
      <c r="G145" s="103">
        <f ca="1"/>
        <v>3.2814385093744812E-2</v>
      </c>
    </row>
    <row r="146" spans="2:7">
      <c r="B146" s="101">
        <f ca="1"/>
        <v>47469</v>
      </c>
      <c r="C146" s="102">
        <f ca="1"/>
        <v>2.6414164524699021E-2</v>
      </c>
      <c r="D146" s="102">
        <f ca="1"/>
        <v>2.9397170137675642E-2</v>
      </c>
      <c r="E146" s="102">
        <f ca="1"/>
        <v>3.0480254787228201E-2</v>
      </c>
      <c r="F146" s="102">
        <f ca="1"/>
        <v>3.1578771302417978E-2</v>
      </c>
      <c r="G146" s="103">
        <f ca="1"/>
        <v>3.2803608131815327E-2</v>
      </c>
    </row>
    <row r="147" spans="2:7">
      <c r="B147" s="101">
        <f ca="1"/>
        <v>47498</v>
      </c>
      <c r="C147" s="102">
        <f ca="1"/>
        <v>2.6408250768877074E-2</v>
      </c>
      <c r="D147" s="102">
        <f ca="1"/>
        <v>2.9394585161885485E-2</v>
      </c>
      <c r="E147" s="102">
        <f ca="1"/>
        <v>3.0475334388340061E-2</v>
      </c>
      <c r="F147" s="102">
        <f ca="1"/>
        <v>3.1570572192716723E-2</v>
      </c>
      <c r="G147" s="103">
        <f ca="1"/>
        <v>3.2792677685462963E-2</v>
      </c>
    </row>
    <row r="148" spans="2:7">
      <c r="B148" s="101">
        <f ca="1"/>
        <v>47529</v>
      </c>
      <c r="C148" s="102">
        <f ca="1"/>
        <v>2.6400944340913394E-2</v>
      </c>
      <c r="D148" s="102">
        <f ca="1"/>
        <v>2.9386661823438198E-2</v>
      </c>
      <c r="E148" s="102">
        <f ca="1"/>
        <v>3.0468951535362172E-2</v>
      </c>
      <c r="F148" s="102">
        <f ca="1"/>
        <v>3.156128339282481E-2</v>
      </c>
      <c r="G148" s="103">
        <f ca="1"/>
        <v>3.2782421405923967E-2</v>
      </c>
    </row>
    <row r="149" spans="2:7">
      <c r="B149" s="101">
        <f ca="1"/>
        <v>47557</v>
      </c>
      <c r="C149" s="102">
        <f ca="1"/>
        <v>2.6390521519667309E-2</v>
      </c>
      <c r="D149" s="102">
        <f ca="1"/>
        <v>2.9384173390936172E-2</v>
      </c>
      <c r="E149" s="102">
        <f ca="1"/>
        <v>3.046256147132817E-2</v>
      </c>
      <c r="F149" s="102">
        <f ca="1"/>
        <v>3.1555897697686998E-2</v>
      </c>
      <c r="G149" s="103">
        <f ca="1"/>
        <v>3.2770150869988843E-2</v>
      </c>
    </row>
    <row r="150" spans="2:7">
      <c r="B150" s="101">
        <f ca="1"/>
        <v>47588</v>
      </c>
      <c r="C150" s="102">
        <f ca="1"/>
        <v>2.6375019518805373E-2</v>
      </c>
      <c r="D150" s="102">
        <f ca="1"/>
        <v>2.9374889456934353E-2</v>
      </c>
      <c r="E150" s="102">
        <f ca="1"/>
        <v>3.0454079042932472E-2</v>
      </c>
      <c r="F150" s="102">
        <f ca="1"/>
        <v>3.1540937647372445E-2</v>
      </c>
      <c r="G150" s="103">
        <f ca="1"/>
        <v>3.2753443658866198E-2</v>
      </c>
    </row>
    <row r="151" spans="2:7">
      <c r="B151" s="101">
        <f ca="1"/>
        <v>47618</v>
      </c>
      <c r="C151" s="102">
        <f ca="1"/>
        <v>2.6358944738898202E-2</v>
      </c>
      <c r="D151" s="102">
        <f ca="1"/>
        <v>2.9368169862195707E-2</v>
      </c>
      <c r="E151" s="102">
        <f ca="1"/>
        <v>3.0443302299789671E-2</v>
      </c>
      <c r="F151" s="102">
        <f ca="1"/>
        <v>3.1528635262797047E-2</v>
      </c>
      <c r="G151" s="103">
        <f ca="1"/>
        <v>3.2739164897810043E-2</v>
      </c>
    </row>
    <row r="152" spans="2:7">
      <c r="B152" s="101">
        <f ca="1"/>
        <v>47651</v>
      </c>
      <c r="C152" s="102">
        <f ca="1"/>
        <v>2.6338380098747439E-2</v>
      </c>
      <c r="D152" s="102">
        <f ca="1"/>
        <v>2.9352331820018632E-2</v>
      </c>
      <c r="E152" s="102">
        <f ca="1"/>
        <v>3.0427645268878374E-2</v>
      </c>
      <c r="F152" s="102">
        <f ca="1"/>
        <v>3.1511791927757743E-2</v>
      </c>
      <c r="G152" s="103">
        <f ca="1"/>
        <v>3.2723117364937743E-2</v>
      </c>
    </row>
    <row r="153" spans="2:7">
      <c r="B153" s="101">
        <f ca="1"/>
        <v>47679</v>
      </c>
      <c r="C153" s="102">
        <f ca="1"/>
        <v>2.631857702724482E-2</v>
      </c>
      <c r="D153" s="102">
        <f ca="1"/>
        <v>2.9340728912366096E-2</v>
      </c>
      <c r="E153" s="102">
        <f ca="1"/>
        <v>3.0412270268991463E-2</v>
      </c>
      <c r="F153" s="102">
        <f ca="1"/>
        <v>3.1499129603352209E-2</v>
      </c>
      <c r="G153" s="103">
        <f ca="1"/>
        <v>3.2709396298990744E-2</v>
      </c>
    </row>
    <row r="154" spans="2:7">
      <c r="B154" s="101">
        <f ca="1"/>
        <v>47710</v>
      </c>
      <c r="C154" s="102">
        <f ca="1"/>
        <v>2.6294109537707215E-2</v>
      </c>
      <c r="D154" s="102">
        <f ca="1"/>
        <v>2.9326160966332941E-2</v>
      </c>
      <c r="E154" s="102">
        <f ca="1"/>
        <v>3.0394673760155623E-2</v>
      </c>
      <c r="F154" s="102">
        <f ca="1"/>
        <v>3.1485994902563957E-2</v>
      </c>
      <c r="G154" s="103">
        <f ca="1"/>
        <v>3.2694284329639951E-2</v>
      </c>
    </row>
    <row r="155" spans="2:7">
      <c r="B155" s="101">
        <f ca="1"/>
        <v>47742</v>
      </c>
      <c r="C155" s="102">
        <f ca="1"/>
        <v>2.6267302467686608E-2</v>
      </c>
      <c r="D155" s="102">
        <f ca="1"/>
        <v>2.9308026110153013E-2</v>
      </c>
      <c r="E155" s="102">
        <f ca="1"/>
        <v>3.0377393806708997E-2</v>
      </c>
      <c r="F155" s="102">
        <f ca="1"/>
        <v>3.1465800162485506E-2</v>
      </c>
      <c r="G155" s="103">
        <f ca="1"/>
        <v>3.267895478055137E-2</v>
      </c>
    </row>
    <row r="156" spans="2:7">
      <c r="B156" s="101">
        <f ca="1"/>
        <v>47771</v>
      </c>
      <c r="C156" s="102">
        <f ca="1"/>
        <v>2.6243283288657684E-2</v>
      </c>
      <c r="D156" s="102">
        <f ca="1"/>
        <v>2.929448746033407E-2</v>
      </c>
      <c r="E156" s="102">
        <f ca="1"/>
        <v>3.0362438295860286E-2</v>
      </c>
      <c r="F156" s="102">
        <f ca="1"/>
        <v>3.1451839605488481E-2</v>
      </c>
      <c r="G156" s="103">
        <f ca="1"/>
        <v>3.2665339066320603E-2</v>
      </c>
    </row>
    <row r="157" spans="2:7">
      <c r="B157" s="101">
        <f ca="1"/>
        <v>47802</v>
      </c>
      <c r="C157" s="102">
        <f ca="1"/>
        <v>2.6219015471557298E-2</v>
      </c>
      <c r="D157" s="102">
        <f ca="1"/>
        <v>2.9279275080840602E-2</v>
      </c>
      <c r="E157" s="102">
        <f ca="1"/>
        <v>3.0346567050288781E-2</v>
      </c>
      <c r="F157" s="102">
        <f ca="1"/>
        <v>3.1436049838695523E-2</v>
      </c>
      <c r="G157" s="103">
        <f ca="1"/>
        <v>3.2653567265252099E-2</v>
      </c>
    </row>
    <row r="158" spans="2:7">
      <c r="B158" s="101">
        <f ca="1"/>
        <v>47833</v>
      </c>
      <c r="C158" s="102">
        <f ca="1"/>
        <v>2.6192872458587368E-2</v>
      </c>
      <c r="D158" s="102">
        <f ca="1"/>
        <v>2.9264337476534171E-2</v>
      </c>
      <c r="E158" s="102">
        <f ca="1"/>
        <v>3.0330339728961601E-2</v>
      </c>
      <c r="F158" s="102">
        <f ca="1"/>
        <v>3.1422807870199292E-2</v>
      </c>
      <c r="G158" s="103">
        <f ca="1"/>
        <v>3.2637106381704799E-2</v>
      </c>
    </row>
    <row r="159" spans="2:7">
      <c r="B159" s="101">
        <f ca="1"/>
        <v>47863</v>
      </c>
      <c r="C159" s="102">
        <f ca="1"/>
        <v>2.6168930797516938E-2</v>
      </c>
      <c r="D159" s="102">
        <f ca="1"/>
        <v>2.9252050810546455E-2</v>
      </c>
      <c r="E159" s="102">
        <f ca="1"/>
        <v>3.0314660199516168E-2</v>
      </c>
      <c r="F159" s="102">
        <f ca="1"/>
        <v>3.1408014251562373E-2</v>
      </c>
      <c r="G159" s="103">
        <f ca="1"/>
        <v>3.2623871450388156E-2</v>
      </c>
    </row>
    <row r="160" spans="2:7">
      <c r="B160" s="101">
        <f ca="1"/>
        <v>47896</v>
      </c>
      <c r="C160" s="102">
        <f ca="1"/>
        <v>2.6142936488491662E-2</v>
      </c>
      <c r="D160" s="102">
        <f ca="1"/>
        <v>2.9231956306555357E-2</v>
      </c>
      <c r="E160" s="102">
        <f ca="1"/>
        <v>3.0298185865610235E-2</v>
      </c>
      <c r="F160" s="102">
        <f ca="1"/>
        <v>3.1394434890062391E-2</v>
      </c>
      <c r="G160" s="103">
        <f ca="1"/>
        <v>3.2609631657860787E-2</v>
      </c>
    </row>
    <row r="161" spans="2:7">
      <c r="B161" s="101">
        <f ca="1"/>
        <v>47924</v>
      </c>
      <c r="C161" s="102">
        <f ca="1"/>
        <v>2.6121160781893773E-2</v>
      </c>
      <c r="D161" s="102">
        <f ca="1"/>
        <v>2.9222075511924395E-2</v>
      </c>
      <c r="E161" s="102">
        <f ca="1"/>
        <v>3.0285289818679458E-2</v>
      </c>
      <c r="F161" s="102">
        <f ca="1"/>
        <v>3.1384484037458908E-2</v>
      </c>
      <c r="G161" s="103">
        <f ca="1"/>
        <v>3.2599069765330106E-2</v>
      </c>
    </row>
    <row r="162" spans="2:7">
      <c r="B162" s="101">
        <f ca="1"/>
        <v>47953</v>
      </c>
      <c r="C162" s="102">
        <f ca="1"/>
        <v>2.6098876859746239E-2</v>
      </c>
      <c r="D162" s="102">
        <f ca="1"/>
        <v>2.920814182470434E-2</v>
      </c>
      <c r="E162" s="102">
        <f ca="1"/>
        <v>3.0272683473446655E-2</v>
      </c>
      <c r="F162" s="102">
        <f ca="1"/>
        <v>3.1370889732638338E-2</v>
      </c>
      <c r="G162" s="103">
        <f ca="1"/>
        <v>3.2587079485177091E-2</v>
      </c>
    </row>
    <row r="163" spans="2:7">
      <c r="B163" s="101">
        <f ca="1"/>
        <v>47983</v>
      </c>
      <c r="C163" s="102">
        <f ca="1"/>
        <v>2.6076116533562486E-2</v>
      </c>
      <c r="D163" s="102">
        <f ca="1"/>
        <v>2.9196906510269675E-2</v>
      </c>
      <c r="E163" s="102">
        <f ca="1"/>
        <v>3.0259890381044222E-2</v>
      </c>
      <c r="F163" s="102">
        <f ca="1"/>
        <v>3.1361732588507836E-2</v>
      </c>
      <c r="G163" s="103">
        <f ca="1"/>
        <v>3.2577476281784722E-2</v>
      </c>
    </row>
    <row r="164" spans="2:7">
      <c r="B164" s="101">
        <f ca="1"/>
        <v>48015</v>
      </c>
      <c r="C164" s="102">
        <f ca="1"/>
        <v>2.6052165134698248E-2</v>
      </c>
      <c r="D164" s="102">
        <f ca="1"/>
        <v>2.9181211452172354E-2</v>
      </c>
      <c r="E164" s="102">
        <f ca="1"/>
        <v>3.0245996914795324E-2</v>
      </c>
      <c r="F164" s="102">
        <f ca="1"/>
        <v>3.1345088283169585E-2</v>
      </c>
      <c r="G164" s="103">
        <f ca="1"/>
        <v>3.2562294219630257E-2</v>
      </c>
    </row>
    <row r="165" spans="2:7">
      <c r="B165" s="101">
        <f ca="1"/>
        <v>48044</v>
      </c>
      <c r="C165" s="102">
        <f ca="1"/>
        <v>2.603074720710678E-2</v>
      </c>
      <c r="D165" s="102">
        <f ca="1"/>
        <v>2.9169965149559166E-2</v>
      </c>
      <c r="E165" s="102">
        <f ca="1"/>
        <v>3.0233313824325384E-2</v>
      </c>
      <c r="F165" s="102">
        <f ca="1"/>
        <v>3.1334558551521327E-2</v>
      </c>
      <c r="G165" s="103">
        <f ca="1"/>
        <v>3.2551095226629828E-2</v>
      </c>
    </row>
    <row r="166" spans="2:7">
      <c r="B166" s="101">
        <f ca="1"/>
        <v>48075</v>
      </c>
      <c r="C166" s="102">
        <f ca="1"/>
        <v>2.600931439171765E-2</v>
      </c>
      <c r="D166" s="102">
        <f ca="1"/>
        <v>2.91571724833058E-2</v>
      </c>
      <c r="E166" s="102">
        <f ca="1"/>
        <v>3.0220022056176573E-2</v>
      </c>
      <c r="F166" s="102">
        <f ca="1"/>
        <v>3.1323495483366028E-2</v>
      </c>
      <c r="G166" s="103">
        <f ca="1"/>
        <v>3.254067692147971E-2</v>
      </c>
    </row>
    <row r="167" spans="2:7">
      <c r="B167" s="101">
        <f ca="1"/>
        <v>48106</v>
      </c>
      <c r="C167" s="102">
        <f ca="1"/>
        <v>2.5985886059270259E-2</v>
      </c>
      <c r="D167" s="102">
        <f ca="1"/>
        <v>2.9143674840737845E-2</v>
      </c>
      <c r="E167" s="102">
        <f ca="1"/>
        <v>3.0207282937097901E-2</v>
      </c>
      <c r="F167" s="102">
        <f ca="1"/>
        <v>3.130804141960053E-2</v>
      </c>
      <c r="G167" s="103">
        <f ca="1"/>
        <v>3.2527989858862127E-2</v>
      </c>
    </row>
    <row r="168" spans="2:7">
      <c r="B168" s="101">
        <f ca="1"/>
        <v>48136</v>
      </c>
      <c r="C168" s="102">
        <f ca="1"/>
        <v>2.5964630007151816E-2</v>
      </c>
      <c r="D168" s="102">
        <f ca="1"/>
        <v>2.9134768616228962E-2</v>
      </c>
      <c r="E168" s="102">
        <f ca="1"/>
        <v>3.0195280255877876E-2</v>
      </c>
      <c r="F168" s="102">
        <f ca="1"/>
        <v>3.12979003185146E-2</v>
      </c>
      <c r="G168" s="103">
        <f ca="1"/>
        <v>3.251722476912812E-2</v>
      </c>
    </row>
    <row r="169" spans="2:7">
      <c r="B169" s="101">
        <f ca="1"/>
        <v>48169</v>
      </c>
      <c r="C169" s="102">
        <f ca="1"/>
        <v>2.5941591271912253E-2</v>
      </c>
      <c r="D169" s="102">
        <f ca="1"/>
        <v>2.9119074797004499E-2</v>
      </c>
      <c r="E169" s="102">
        <f ca="1"/>
        <v>3.0182029606881825E-2</v>
      </c>
      <c r="F169" s="102">
        <f ca="1"/>
        <v>3.1284582643207347E-2</v>
      </c>
      <c r="G169" s="103">
        <f ca="1"/>
        <v>3.2505696954032617E-2</v>
      </c>
    </row>
    <row r="170" spans="2:7">
      <c r="B170" s="101">
        <f ca="1"/>
        <v>48197</v>
      </c>
      <c r="C170" s="102">
        <f ca="1"/>
        <v>2.5922323521014069E-2</v>
      </c>
      <c r="D170" s="102">
        <f ca="1"/>
        <v>2.9109495576605089E-2</v>
      </c>
      <c r="E170" s="102">
        <f ca="1"/>
        <v>3.0170540221092872E-2</v>
      </c>
      <c r="F170" s="102">
        <f ca="1"/>
        <v>3.1275698947279724E-2</v>
      </c>
      <c r="G170" s="103">
        <f ca="1"/>
        <v>3.2496173310746876E-2</v>
      </c>
    </row>
    <row r="171" spans="2:7">
      <c r="B171" s="101">
        <f ca="1"/>
        <v>48228</v>
      </c>
      <c r="C171" s="102">
        <f ca="1"/>
        <v>2.5901289374492934E-2</v>
      </c>
      <c r="D171" s="102">
        <f ca="1"/>
        <v>2.9099052517863148E-2</v>
      </c>
      <c r="E171" s="102">
        <f ca="1"/>
        <v>3.0157968101099421E-2</v>
      </c>
      <c r="F171" s="102">
        <f ca="1"/>
        <v>3.1263642553503043E-2</v>
      </c>
      <c r="G171" s="103">
        <f ca="1"/>
        <v>3.2488496767740696E-2</v>
      </c>
    </row>
    <row r="172" spans="2:7">
      <c r="B172" s="101">
        <f ca="1"/>
        <v>48260</v>
      </c>
      <c r="C172" s="102">
        <f ca="1"/>
        <v>2.5879909124922169E-2</v>
      </c>
      <c r="D172" s="102">
        <f ca="1"/>
        <v>2.9084547666696443E-2</v>
      </c>
      <c r="E172" s="102">
        <f ca="1"/>
        <v>3.0145805775518442E-2</v>
      </c>
      <c r="F172" s="102">
        <f ca="1"/>
        <v>3.1252701486306524E-2</v>
      </c>
      <c r="G172" s="103">
        <f ca="1"/>
        <v>3.2475608271632789E-2</v>
      </c>
    </row>
    <row r="173" spans="2:7">
      <c r="B173" s="101">
        <f ca="1"/>
        <v>48288</v>
      </c>
      <c r="C173" s="102">
        <f ca="1"/>
        <v>2.5861477308608948E-2</v>
      </c>
      <c r="D173" s="102">
        <f ca="1"/>
        <v>2.9076704168997169E-2</v>
      </c>
      <c r="E173" s="102">
        <f ca="1"/>
        <v>3.0136243696570274E-2</v>
      </c>
      <c r="F173" s="102">
        <f ca="1"/>
        <v>3.1245745201350181E-2</v>
      </c>
      <c r="G173" s="103">
        <f ca="1"/>
        <v>3.2465548364904055E-2</v>
      </c>
    </row>
    <row r="174" spans="2:7">
      <c r="B174" s="101">
        <f ca="1"/>
        <v>48319</v>
      </c>
      <c r="C174" s="102">
        <f ca="1"/>
        <v>2.5841368710798614E-2</v>
      </c>
      <c r="D174" s="102">
        <f ca="1"/>
        <v>2.9067078085259039E-2</v>
      </c>
      <c r="E174" s="102">
        <f ca="1"/>
        <v>3.0126465371638565E-2</v>
      </c>
      <c r="F174" s="102">
        <f ca="1"/>
        <v>3.123448827365289E-2</v>
      </c>
      <c r="G174" s="103">
        <f ca="1"/>
        <v>3.2456123907411503E-2</v>
      </c>
    </row>
    <row r="175" spans="2:7">
      <c r="B175" s="101">
        <f ca="1"/>
        <v>48351</v>
      </c>
      <c r="C175" s="102">
        <f ca="1"/>
        <v>2.582094386624641E-2</v>
      </c>
      <c r="D175" s="102">
        <f ca="1"/>
        <v>2.9055389352598139E-2</v>
      </c>
      <c r="E175" s="102">
        <f ca="1"/>
        <v>3.0116583817585228E-2</v>
      </c>
      <c r="F175" s="102">
        <f ca="1"/>
        <v>3.122557926158169E-2</v>
      </c>
      <c r="G175" s="103">
        <f ca="1"/>
        <v>3.2446697553367654E-2</v>
      </c>
    </row>
    <row r="176" spans="2:7">
      <c r="B176" s="101">
        <f ca="1"/>
        <v>48380</v>
      </c>
      <c r="C176" s="102">
        <f ca="1"/>
        <v>2.5802724003987493E-2</v>
      </c>
      <c r="D176" s="102">
        <f ca="1"/>
        <v>2.9044948231021075E-2</v>
      </c>
      <c r="E176" s="102">
        <f ca="1"/>
        <v>3.0107361166951101E-2</v>
      </c>
      <c r="F176" s="102">
        <f ca="1"/>
        <v>3.1215478919035269E-2</v>
      </c>
      <c r="G176" s="103">
        <f ca="1"/>
        <v>3.2438419635662269E-2</v>
      </c>
    </row>
    <row r="177" spans="2:7">
      <c r="B177" s="101">
        <f ca="1"/>
        <v>48410</v>
      </c>
      <c r="C177" s="102">
        <f ca="1"/>
        <v>2.5784164397176089E-2</v>
      </c>
      <c r="D177" s="102">
        <f ca="1"/>
        <v>2.9037471425544602E-2</v>
      </c>
      <c r="E177" s="102">
        <f ca="1"/>
        <v>3.0097756251257369E-2</v>
      </c>
      <c r="F177" s="102">
        <f ca="1"/>
        <v>3.121012918766003E-2</v>
      </c>
      <c r="G177" s="103">
        <f ca="1"/>
        <v>3.243012073640527E-2</v>
      </c>
    </row>
    <row r="178" spans="2:7">
      <c r="B178" s="101">
        <f ca="1"/>
        <v>48442</v>
      </c>
      <c r="C178" s="102">
        <f ca="1"/>
        <v>2.5764694675917368E-2</v>
      </c>
      <c r="D178" s="102">
        <f ca="1"/>
        <v>2.9026604619905246E-2</v>
      </c>
      <c r="E178" s="102">
        <f ca="1"/>
        <v>3.0087869648404424E-2</v>
      </c>
      <c r="F178" s="102">
        <f ca="1"/>
        <v>3.1198455497516046E-2</v>
      </c>
      <c r="G178" s="103">
        <f ca="1"/>
        <v>3.2421564545089536E-2</v>
      </c>
    </row>
    <row r="179" spans="2:7">
      <c r="B179" s="101">
        <f ca="1"/>
        <v>48472</v>
      </c>
      <c r="C179" s="102">
        <f ca="1"/>
        <v>2.574674713268929E-2</v>
      </c>
      <c r="D179" s="102">
        <f ca="1"/>
        <v>2.9016612252259728E-2</v>
      </c>
      <c r="E179" s="102">
        <f ca="1"/>
        <v>3.0079212447434112E-2</v>
      </c>
      <c r="F179" s="102">
        <f ca="1"/>
        <v>3.1186403214244252E-2</v>
      </c>
      <c r="G179" s="103">
        <f ca="1"/>
        <v>3.241381431307256E-2</v>
      </c>
    </row>
    <row r="180" spans="2:7">
      <c r="B180" s="101">
        <f ca="1"/>
        <v>48502</v>
      </c>
      <c r="C180" s="102">
        <f ca="1"/>
        <v>2.5730348517349143E-2</v>
      </c>
      <c r="D180" s="102">
        <f ca="1"/>
        <v>2.9008920812854291E-2</v>
      </c>
      <c r="E180" s="102">
        <f ca="1"/>
        <v>3.007081723908233E-2</v>
      </c>
      <c r="F180" s="102">
        <f ca="1"/>
        <v>3.1179441034785909E-2</v>
      </c>
      <c r="G180" s="103">
        <f ca="1"/>
        <v>3.2408951443647485E-2</v>
      </c>
    </row>
    <row r="181" spans="2:7">
      <c r="B181" s="101">
        <f ca="1"/>
        <v>48533</v>
      </c>
      <c r="C181" s="102">
        <f ca="1"/>
        <v>2.5711162124309329E-2</v>
      </c>
      <c r="D181" s="102">
        <f ca="1"/>
        <v>2.8999158317578173E-2</v>
      </c>
      <c r="E181" s="102">
        <f ca="1"/>
        <v>3.0061890143455769E-2</v>
      </c>
      <c r="F181" s="102">
        <f ca="1"/>
        <v>3.1171266841862492E-2</v>
      </c>
      <c r="G181" s="103">
        <f ca="1"/>
        <v>3.2398733608027044E-2</v>
      </c>
    </row>
    <row r="182" spans="2:7">
      <c r="B182" s="101">
        <f ca="1"/>
        <v>48563</v>
      </c>
      <c r="C182" s="102">
        <f ca="1"/>
        <v>2.569411021354593E-2</v>
      </c>
      <c r="D182" s="102">
        <f ca="1"/>
        <v>2.8994063311972559E-2</v>
      </c>
      <c r="E182" s="102">
        <f ca="1"/>
        <v>3.0052685076709568E-2</v>
      </c>
      <c r="F182" s="102">
        <f ca="1"/>
        <v>3.1163617513763207E-2</v>
      </c>
      <c r="G182" s="103">
        <f ca="1"/>
        <v>3.2391576263617626E-2</v>
      </c>
    </row>
    <row r="183" spans="2:7">
      <c r="B183" s="101">
        <f ca="1"/>
        <v>48596</v>
      </c>
      <c r="C183" s="102">
        <f ca="1"/>
        <v>2.5675691934324157E-2</v>
      </c>
      <c r="D183" s="102">
        <f ca="1"/>
        <v>2.8983285531104019E-2</v>
      </c>
      <c r="E183" s="102">
        <f ca="1"/>
        <v>3.0042655064693131E-2</v>
      </c>
      <c r="F183" s="102">
        <f ca="1"/>
        <v>3.115549957096303E-2</v>
      </c>
      <c r="G183" s="103">
        <f ca="1"/>
        <v>3.2383842090134708E-2</v>
      </c>
    </row>
    <row r="184" spans="2:7">
      <c r="B184" s="101">
        <f ca="1"/>
        <v>48625</v>
      </c>
      <c r="C184" s="102">
        <f ca="1"/>
        <v>2.5659802565783249E-2</v>
      </c>
      <c r="D184" s="102">
        <f ca="1"/>
        <v>2.8972766123804623E-2</v>
      </c>
      <c r="E184" s="102">
        <f ca="1"/>
        <v>3.0034835096229492E-2</v>
      </c>
      <c r="F184" s="102">
        <f ca="1"/>
        <v>3.1147393295955457E-2</v>
      </c>
      <c r="G184" s="103">
        <f ca="1"/>
        <v>3.2377127379947385E-2</v>
      </c>
    </row>
    <row r="185" spans="2:7">
      <c r="B185" s="101">
        <f ca="1"/>
        <v>48653</v>
      </c>
      <c r="C185" s="102">
        <f ca="1"/>
        <v>2.5644723318092744E-2</v>
      </c>
      <c r="D185" s="102">
        <f ca="1"/>
        <v>2.8968971103919196E-2</v>
      </c>
      <c r="E185" s="102">
        <f ca="1"/>
        <v>3.0028760242196178E-2</v>
      </c>
      <c r="F185" s="102">
        <f ca="1"/>
        <v>3.1144660757298447E-2</v>
      </c>
      <c r="G185" s="103">
        <f ca="1"/>
        <v>3.2370683509635956E-2</v>
      </c>
    </row>
    <row r="186" spans="2:7">
      <c r="B186" s="101">
        <f ca="1"/>
        <v>48684</v>
      </c>
      <c r="C186" s="102">
        <f ca="1"/>
        <v>2.5629627507789757E-2</v>
      </c>
      <c r="D186" s="102">
        <f ca="1"/>
        <v>2.8961576019720596E-2</v>
      </c>
      <c r="E186" s="102">
        <f ca="1"/>
        <v>3.0023164476312016E-2</v>
      </c>
      <c r="F186" s="102">
        <f ca="1"/>
        <v>3.1138975121221327E-2</v>
      </c>
      <c r="G186" s="103">
        <f ca="1"/>
        <v>3.2366199893565858E-2</v>
      </c>
    </row>
    <row r="187" spans="2:7">
      <c r="B187" s="101">
        <f ca="1"/>
        <v>48715</v>
      </c>
      <c r="C187" s="102">
        <f ca="1"/>
        <v>2.561224675457429E-2</v>
      </c>
      <c r="D187" s="102">
        <f ca="1"/>
        <v>2.8954455693353372E-2</v>
      </c>
      <c r="E187" s="102">
        <f ca="1"/>
        <v>3.0017753040884766E-2</v>
      </c>
      <c r="F187" s="102">
        <f ca="1"/>
        <v>3.1130947493887541E-2</v>
      </c>
      <c r="G187" s="103">
        <f ca="1"/>
        <v>3.2356395466212703E-2</v>
      </c>
    </row>
    <row r="188" spans="2:7">
      <c r="B188" s="101">
        <f ca="1"/>
        <v>48745</v>
      </c>
      <c r="C188" s="102">
        <f ca="1"/>
        <v>2.5596985757484637E-2</v>
      </c>
      <c r="D188" s="102">
        <f ca="1"/>
        <v>2.8946771429657816E-2</v>
      </c>
      <c r="E188" s="102">
        <f ca="1"/>
        <v>3.00119153499512E-2</v>
      </c>
      <c r="F188" s="102">
        <f ca="1"/>
        <v>3.112318325492584E-2</v>
      </c>
      <c r="G188" s="103">
        <f ca="1"/>
        <v>3.2349392984927471E-2</v>
      </c>
    </row>
    <row r="189" spans="2:7">
      <c r="B189" s="101">
        <f ca="1"/>
        <v>48775</v>
      </c>
      <c r="C189" s="102">
        <f ca="1"/>
        <v>2.5583342098732139E-2</v>
      </c>
      <c r="D189" s="102">
        <f ca="1"/>
        <v>2.8941454907885245E-2</v>
      </c>
      <c r="E189" s="102">
        <f ca="1"/>
        <v>3.0005624626612767E-2</v>
      </c>
      <c r="F189" s="102">
        <f ca="1"/>
        <v>3.1119067088658647E-2</v>
      </c>
      <c r="G189" s="103">
        <f ca="1"/>
        <v>3.2344901806955942E-2</v>
      </c>
    </row>
    <row r="190" spans="2:7">
      <c r="B190" s="101">
        <f ca="1"/>
        <v>48806</v>
      </c>
      <c r="C190" s="102">
        <f ca="1"/>
        <v>2.556686270663092E-2</v>
      </c>
      <c r="D190" s="102">
        <f ca="1"/>
        <v>2.8935076525436532E-2</v>
      </c>
      <c r="E190" s="102">
        <f ca="1"/>
        <v>2.9999061967547321E-2</v>
      </c>
      <c r="F190" s="102">
        <f ca="1"/>
        <v>3.1110940115212E-2</v>
      </c>
      <c r="G190" s="103">
        <f ca="1"/>
        <v>3.2334769228534024E-2</v>
      </c>
    </row>
    <row r="191" spans="2:7">
      <c r="B191" s="101">
        <f ca="1"/>
        <v>48837</v>
      </c>
      <c r="C191" s="102">
        <f ca="1"/>
        <v>2.5551925296425807E-2</v>
      </c>
      <c r="D191" s="102">
        <f ca="1"/>
        <v>2.8929649422836483E-2</v>
      </c>
      <c r="E191" s="102">
        <f ca="1"/>
        <v>2.9992721076036399E-2</v>
      </c>
      <c r="F191" s="102">
        <f ca="1"/>
        <v>3.1100200730022561E-2</v>
      </c>
      <c r="G191" s="103">
        <f ca="1"/>
        <v>3.23270596416073E-2</v>
      </c>
    </row>
    <row r="192" spans="2:7">
      <c r="B192" s="101">
        <f ca="1"/>
        <v>48869</v>
      </c>
      <c r="C192" s="102">
        <f ca="1"/>
        <v>2.5536607689403027E-2</v>
      </c>
      <c r="D192" s="102">
        <f ca="1"/>
        <v>2.8921695777202636E-2</v>
      </c>
      <c r="E192" s="102">
        <f ca="1"/>
        <v>2.9985991834826461E-2</v>
      </c>
      <c r="F192" s="102">
        <f ca="1"/>
        <v>3.1093899439474579E-2</v>
      </c>
      <c r="G192" s="103">
        <f ca="1"/>
        <v>3.2318882886865401E-2</v>
      </c>
    </row>
    <row r="193" spans="2:7">
      <c r="B193" s="101">
        <f ca="1"/>
        <v>48898</v>
      </c>
      <c r="C193" s="102">
        <f ca="1"/>
        <v>2.552281653270639E-2</v>
      </c>
      <c r="D193" s="102">
        <f ca="1"/>
        <v>2.8914213600475209E-2</v>
      </c>
      <c r="E193" s="102">
        <f ca="1"/>
        <v>2.9979188796211014E-2</v>
      </c>
      <c r="F193" s="102">
        <f ca="1"/>
        <v>3.1085690598473225E-2</v>
      </c>
      <c r="G193" s="103">
        <f ca="1"/>
        <v>3.2311281259850208E-2</v>
      </c>
    </row>
    <row r="194" spans="2:7">
      <c r="B194" s="101">
        <f ca="1"/>
        <v>48928</v>
      </c>
      <c r="C194" s="102">
        <f ca="1"/>
        <v>2.5508639891085771E-2</v>
      </c>
      <c r="D194" s="102">
        <f ca="1"/>
        <v>2.8909465042956488E-2</v>
      </c>
      <c r="E194" s="102">
        <f ca="1"/>
        <v>2.9971106133297828E-2</v>
      </c>
      <c r="F194" s="102">
        <f ca="1"/>
        <v>3.107947532690912E-2</v>
      </c>
      <c r="G194" s="103">
        <f ca="1"/>
        <v>3.230322622866913E-2</v>
      </c>
    </row>
    <row r="195" spans="2:7">
      <c r="B195" s="101">
        <f ca="1"/>
        <v>48960</v>
      </c>
      <c r="C195" s="102">
        <f ca="1"/>
        <v>2.5493618264343276E-2</v>
      </c>
      <c r="D195" s="102">
        <f ca="1"/>
        <v>2.8900921066219481E-2</v>
      </c>
      <c r="E195" s="102">
        <f ca="1"/>
        <v>2.9962026464514836E-2</v>
      </c>
      <c r="F195" s="102">
        <f ca="1"/>
        <v>3.1071348279088033E-2</v>
      </c>
      <c r="G195" s="103">
        <f ca="1"/>
        <v>3.2294420108333839E-2</v>
      </c>
    </row>
    <row r="196" spans="2:7">
      <c r="B196" s="101">
        <f ca="1"/>
        <v>48990</v>
      </c>
      <c r="C196" s="102">
        <f ca="1"/>
        <v>2.5479630886623514E-2</v>
      </c>
      <c r="D196" s="102">
        <f ca="1"/>
        <v>2.8890589118147212E-2</v>
      </c>
      <c r="E196" s="102">
        <f ca="1"/>
        <v>2.9954055523574719E-2</v>
      </c>
      <c r="F196" s="102">
        <f ca="1"/>
        <v>3.1062337236017888E-2</v>
      </c>
      <c r="G196" s="103">
        <f ca="1"/>
        <v>3.2285963978269668E-2</v>
      </c>
    </row>
    <row r="197" spans="2:7">
      <c r="B197" s="101">
        <f ca="1"/>
        <v>49018</v>
      </c>
      <c r="C197" s="102">
        <f ca="1"/>
        <v>2.5466658872824083E-2</v>
      </c>
      <c r="D197" s="102">
        <f ca="1"/>
        <v>2.8888852929702027E-2</v>
      </c>
      <c r="E197" s="102">
        <f ca="1"/>
        <v>2.9947706435091252E-2</v>
      </c>
      <c r="F197" s="102">
        <f ca="1"/>
        <v>3.105846438587068E-2</v>
      </c>
      <c r="G197" s="103">
        <f ca="1"/>
        <v>3.2277896903361691E-2</v>
      </c>
    </row>
    <row r="198" spans="2:7">
      <c r="B198" s="101">
        <f ca="1"/>
        <v>49051</v>
      </c>
      <c r="C198" s="102">
        <f ca="1"/>
        <v>2.5451471963174228E-2</v>
      </c>
      <c r="D198" s="102">
        <f ca="1"/>
        <v>2.8877407718112612E-2</v>
      </c>
      <c r="E198" s="102">
        <f ca="1"/>
        <v>2.9940867235225346E-2</v>
      </c>
      <c r="F198" s="102">
        <f ca="1"/>
        <v>3.1048263349457612E-2</v>
      </c>
      <c r="G198" s="103">
        <f ca="1"/>
        <v>3.226817311342018E-2</v>
      </c>
    </row>
    <row r="199" spans="2:7">
      <c r="B199" s="101">
        <f ca="1"/>
        <v>49079</v>
      </c>
      <c r="C199" s="102">
        <f ca="1"/>
        <v>2.5438673596407856E-2</v>
      </c>
      <c r="D199" s="102">
        <f ca="1"/>
        <v>2.8871173848984889E-2</v>
      </c>
      <c r="E199" s="102">
        <f ca="1"/>
        <v>2.9934644971520458E-2</v>
      </c>
      <c r="F199" s="102">
        <f ca="1"/>
        <v>3.1041631013386927E-2</v>
      </c>
      <c r="G199" s="103">
        <f ca="1"/>
        <v>3.2259739524838439E-2</v>
      </c>
    </row>
    <row r="200" spans="2:7">
      <c r="B200" s="101">
        <f ca="1"/>
        <v>49110</v>
      </c>
      <c r="C200" s="102">
        <f ca="1"/>
        <v>2.5424597095579166E-2</v>
      </c>
      <c r="D200" s="102">
        <f ca="1"/>
        <v>2.8863965657125006E-2</v>
      </c>
      <c r="E200" s="102">
        <f ca="1"/>
        <v>2.9926526957047946E-2</v>
      </c>
      <c r="F200" s="102">
        <f ca="1"/>
        <v>3.1031596749236265E-2</v>
      </c>
      <c r="G200" s="103">
        <f ca="1"/>
        <v>3.2250206625604606E-2</v>
      </c>
    </row>
    <row r="201" spans="2:7">
      <c r="B201" s="101">
        <f ca="1"/>
        <v>49142</v>
      </c>
      <c r="C201" s="102">
        <f ca="1"/>
        <v>2.5410168257694665E-2</v>
      </c>
      <c r="D201" s="102">
        <f ca="1"/>
        <v>2.8854241435097013E-2</v>
      </c>
      <c r="E201" s="102">
        <f ca="1"/>
        <v>2.9917409097023034E-2</v>
      </c>
      <c r="F201" s="102">
        <f ca="1"/>
        <v>3.1023433128837229E-2</v>
      </c>
      <c r="G201" s="103">
        <f ca="1"/>
        <v>3.224015089833851E-2</v>
      </c>
    </row>
    <row r="202" spans="2:7">
      <c r="B202" s="101">
        <f ca="1"/>
        <v>49171</v>
      </c>
      <c r="C202" s="102">
        <f ca="1"/>
        <v>2.5397182829841661E-2</v>
      </c>
      <c r="D202" s="102">
        <f ca="1"/>
        <v>2.8846171672736735E-2</v>
      </c>
      <c r="E202" s="102">
        <f ca="1"/>
        <v>2.9909391286093684E-2</v>
      </c>
      <c r="F202" s="102">
        <f ca="1"/>
        <v>3.1014778620034576E-2</v>
      </c>
      <c r="G202" s="103">
        <f ca="1"/>
        <v>3.2230849334039878E-2</v>
      </c>
    </row>
    <row r="203" spans="2:7">
      <c r="B203" s="101">
        <f ca="1"/>
        <v>49202</v>
      </c>
      <c r="C203" s="102">
        <f ca="1"/>
        <v>2.5384743306168859E-2</v>
      </c>
      <c r="D203" s="102">
        <f ca="1"/>
        <v>2.8837353329307168E-2</v>
      </c>
      <c r="E203" s="102">
        <f ca="1"/>
        <v>2.9901709999558355E-2</v>
      </c>
      <c r="F203" s="102">
        <f ca="1"/>
        <v>3.1001820362395426E-2</v>
      </c>
      <c r="G203" s="103">
        <f ca="1"/>
        <v>3.2223217804951063E-2</v>
      </c>
    </row>
    <row r="204" spans="2:7">
      <c r="B204" s="101">
        <f ca="1"/>
        <v>49233</v>
      </c>
      <c r="C204" s="102">
        <f ca="1"/>
        <v>2.5369707432411976E-2</v>
      </c>
      <c r="D204" s="102">
        <f ca="1"/>
        <v>2.8828336535569703E-2</v>
      </c>
      <c r="E204" s="102">
        <f ca="1"/>
        <v>2.9894118471335284E-2</v>
      </c>
      <c r="F204" s="102">
        <f ca="1"/>
        <v>3.0993354200577694E-2</v>
      </c>
      <c r="G204" s="103">
        <f ca="1"/>
        <v>3.2210362809633124E-2</v>
      </c>
    </row>
    <row r="205" spans="2:7">
      <c r="B205" s="101">
        <f ca="1"/>
        <v>49263</v>
      </c>
      <c r="C205" s="102">
        <f ca="1"/>
        <v>2.5356553634840823E-2</v>
      </c>
      <c r="D205" s="102">
        <f ca="1"/>
        <v>2.8818419703814227E-2</v>
      </c>
      <c r="E205" s="102">
        <f ca="1"/>
        <v>2.9885660340489537E-2</v>
      </c>
      <c r="F205" s="102">
        <f ca="1"/>
        <v>3.098267411725892E-2</v>
      </c>
      <c r="G205" s="103">
        <f ca="1"/>
        <v>3.220015611567166E-2</v>
      </c>
    </row>
    <row r="206" spans="2:7">
      <c r="B206" s="101">
        <f ca="1"/>
        <v>49293</v>
      </c>
      <c r="C206" s="102">
        <f ca="1"/>
        <v>2.5344841856888341E-2</v>
      </c>
      <c r="D206" s="102">
        <f ca="1"/>
        <v>2.8810320928442303E-2</v>
      </c>
      <c r="E206" s="102">
        <f ca="1"/>
        <v>2.9875271770744991E-2</v>
      </c>
      <c r="F206" s="102">
        <f ca="1"/>
        <v>3.0974132746402119E-2</v>
      </c>
      <c r="G206" s="103">
        <f ca="1"/>
        <v>3.2192242212490903E-2</v>
      </c>
    </row>
    <row r="207" spans="2:7">
      <c r="B207" s="101">
        <f ca="1"/>
        <v>49324</v>
      </c>
      <c r="C207" s="102">
        <f ca="1"/>
        <v>2.5330089331884215E-2</v>
      </c>
      <c r="D207" s="102">
        <f ca="1"/>
        <v>2.8800721593611953E-2</v>
      </c>
      <c r="E207" s="102">
        <f ca="1"/>
        <v>2.9863339166541245E-2</v>
      </c>
      <c r="F207" s="102">
        <f ca="1"/>
        <v>3.0963907893950579E-2</v>
      </c>
      <c r="G207" s="103">
        <f ca="1"/>
        <v>3.2178810935978748E-2</v>
      </c>
    </row>
    <row r="208" spans="2:7">
      <c r="B208" s="101">
        <f ca="1"/>
        <v>49355</v>
      </c>
      <c r="C208" s="102">
        <f ca="1"/>
        <v>2.531678548039135E-2</v>
      </c>
      <c r="D208" s="102">
        <f ca="1"/>
        <v>2.8787953183261248E-2</v>
      </c>
      <c r="E208" s="102">
        <f ca="1"/>
        <v>2.9851569502174033E-2</v>
      </c>
      <c r="F208" s="102">
        <f ca="1"/>
        <v>3.0952332030106725E-2</v>
      </c>
      <c r="G208" s="103">
        <f ca="1"/>
        <v>3.21676592488402E-2</v>
      </c>
    </row>
    <row r="209" spans="2:7">
      <c r="B209" s="101">
        <f ca="1"/>
        <v>49383</v>
      </c>
      <c r="C209" s="102">
        <f ca="1"/>
        <v>2.5304853641786598E-2</v>
      </c>
      <c r="D209" s="102">
        <f ca="1"/>
        <v>2.8782890171454956E-2</v>
      </c>
      <c r="E209" s="102">
        <f ca="1"/>
        <v>2.9842086982075803E-2</v>
      </c>
      <c r="F209" s="102">
        <f ca="1"/>
        <v>3.0948483498920203E-2</v>
      </c>
      <c r="G209" s="103">
        <f ca="1"/>
        <v>3.2161100078342712E-2</v>
      </c>
    </row>
    <row r="210" spans="2:7">
      <c r="B210" s="101">
        <f ca="1"/>
        <v>49415</v>
      </c>
      <c r="C210" s="102">
        <f ca="1"/>
        <v>2.5291314081513645E-2</v>
      </c>
      <c r="D210" s="102">
        <f ca="1"/>
        <v>2.8770414201474158E-2</v>
      </c>
      <c r="E210" s="102">
        <f ca="1"/>
        <v>2.9832365518782555E-2</v>
      </c>
      <c r="F210" s="102">
        <f ca="1"/>
        <v>3.0933880384555579E-2</v>
      </c>
      <c r="G210" s="103">
        <f ca="1"/>
        <v>3.214671809932397E-2</v>
      </c>
    </row>
    <row r="211" spans="2:7">
      <c r="B211" s="101">
        <f ca="1"/>
        <v>49444</v>
      </c>
      <c r="C211" s="102">
        <f ca="1"/>
        <v>2.527913436419893E-2</v>
      </c>
      <c r="D211" s="102">
        <f ca="1"/>
        <v>2.8761691996474634E-2</v>
      </c>
      <c r="E211" s="102">
        <f ca="1"/>
        <v>2.9823839052335998E-2</v>
      </c>
      <c r="F211" s="102">
        <f ca="1"/>
        <v>3.0924719906207751E-2</v>
      </c>
      <c r="G211" s="103">
        <f ca="1"/>
        <v>3.2135724626988667E-2</v>
      </c>
    </row>
    <row r="212" spans="2:7">
      <c r="B212" s="101">
        <f ca="1"/>
        <v>49475</v>
      </c>
      <c r="C212" s="102">
        <f ca="1"/>
        <v>2.5267567325687794E-2</v>
      </c>
      <c r="D212" s="102">
        <f ca="1"/>
        <v>2.8751126041234761E-2</v>
      </c>
      <c r="E212" s="102">
        <f ca="1"/>
        <v>2.9814317009861053E-2</v>
      </c>
      <c r="F212" s="102">
        <f ca="1"/>
        <v>3.0914647154635738E-2</v>
      </c>
      <c r="G212" s="103">
        <f ca="1"/>
        <v>3.2124991276979917E-2</v>
      </c>
    </row>
    <row r="213" spans="2:7">
      <c r="B213" s="101">
        <f ca="1"/>
        <v>49506</v>
      </c>
      <c r="C213" s="102">
        <f ca="1"/>
        <v>2.5253381396967863E-2</v>
      </c>
      <c r="D213" s="102">
        <f ca="1"/>
        <v>2.8740361640097956E-2</v>
      </c>
      <c r="E213" s="102">
        <f ca="1"/>
        <v>2.9804156944521373E-2</v>
      </c>
      <c r="F213" s="102">
        <f ca="1"/>
        <v>3.090210478701369E-2</v>
      </c>
      <c r="G213" s="103">
        <f ca="1"/>
        <v>3.2111618578496127E-2</v>
      </c>
    </row>
    <row r="214" spans="2:7">
      <c r="B214" s="101">
        <f ca="1"/>
        <v>49536</v>
      </c>
      <c r="C214" s="102">
        <f ca="1"/>
        <v>2.5241061073119058E-2</v>
      </c>
      <c r="D214" s="102">
        <f ca="1"/>
        <v>2.8731688645344925E-2</v>
      </c>
      <c r="E214" s="102">
        <f ca="1"/>
        <v>2.9793644687020091E-2</v>
      </c>
      <c r="F214" s="102">
        <f ca="1"/>
        <v>3.0890874667298878E-2</v>
      </c>
      <c r="G214" s="103">
        <f ca="1"/>
        <v>3.2099659399300443E-2</v>
      </c>
    </row>
    <row r="215" spans="2:7">
      <c r="B215" s="101">
        <f ca="1"/>
        <v>49569</v>
      </c>
      <c r="C215" s="102">
        <f ca="1"/>
        <v>2.5227614601822632E-2</v>
      </c>
      <c r="D215" s="102">
        <f ca="1"/>
        <v>2.8716911905797692E-2</v>
      </c>
      <c r="E215" s="102">
        <f ca="1"/>
        <v>2.9781266061203928E-2</v>
      </c>
      <c r="F215" s="102">
        <f ca="1"/>
        <v>3.0876061091095936E-2</v>
      </c>
      <c r="G215" s="103">
        <f ca="1"/>
        <v>3.2086282045878073E-2</v>
      </c>
    </row>
    <row r="216" spans="2:7">
      <c r="B216" s="101">
        <f ca="1"/>
        <v>49597</v>
      </c>
      <c r="C216" s="102">
        <f ca="1"/>
        <v>2.5216291640534044E-2</v>
      </c>
      <c r="D216" s="102">
        <f ca="1"/>
        <v>2.8707616651239377E-2</v>
      </c>
      <c r="E216" s="102">
        <f ca="1"/>
        <v>2.9770201204229099E-2</v>
      </c>
      <c r="F216" s="102">
        <f ca="1"/>
        <v>3.0866344080169261E-2</v>
      </c>
      <c r="G216" s="103">
        <f ca="1"/>
        <v>3.2074748934464423E-2</v>
      </c>
    </row>
    <row r="217" spans="2:7">
      <c r="B217" s="101">
        <f ca="1"/>
        <v>49628</v>
      </c>
      <c r="C217" s="102">
        <f ca="1"/>
        <v>2.5203849184236498E-2</v>
      </c>
      <c r="D217" s="102">
        <f ca="1"/>
        <v>2.8697025675386668E-2</v>
      </c>
      <c r="E217" s="102">
        <f ca="1"/>
        <v>2.9757510541771528E-2</v>
      </c>
      <c r="F217" s="102">
        <f ca="1"/>
        <v>3.0853039386966957E-2</v>
      </c>
      <c r="G217" s="103">
        <f ca="1"/>
        <v>3.2064174763080391E-2</v>
      </c>
    </row>
    <row r="218" spans="2:7">
      <c r="B218" s="101">
        <f ca="1"/>
        <v>49660</v>
      </c>
      <c r="C218" s="102">
        <f ca="1"/>
        <v>2.5191108258961696E-2</v>
      </c>
      <c r="D218" s="102">
        <f ca="1"/>
        <v>2.8683945335773002E-2</v>
      </c>
      <c r="E218" s="102">
        <f ca="1"/>
        <v>2.9744119962240717E-2</v>
      </c>
      <c r="F218" s="102">
        <f ca="1"/>
        <v>3.0841359439472603E-2</v>
      </c>
      <c r="G218" s="103">
        <f ca="1"/>
        <v>3.2048186386651863E-2</v>
      </c>
    </row>
    <row r="219" spans="2:7">
      <c r="B219" s="101">
        <f ca="1"/>
        <v>49689</v>
      </c>
      <c r="C219" s="102">
        <f ca="1"/>
        <v>2.5179650996462966E-2</v>
      </c>
      <c r="D219" s="102">
        <f ca="1"/>
        <v>2.8672773550892584E-2</v>
      </c>
      <c r="E219" s="102">
        <f ca="1"/>
        <v>2.9731992631205705E-2</v>
      </c>
      <c r="F219" s="102">
        <f ca="1"/>
        <v>3.0828475333399483E-2</v>
      </c>
      <c r="G219" s="103">
        <f ca="1"/>
        <v>3.2035673888573771E-2</v>
      </c>
    </row>
    <row r="220" spans="2:7">
      <c r="B220" s="101">
        <f ca="1"/>
        <v>49720</v>
      </c>
      <c r="C220" s="102">
        <f ca="1"/>
        <v>2.5168867885173904E-2</v>
      </c>
      <c r="D220" s="102">
        <f ca="1"/>
        <v>2.8660639262621631E-2</v>
      </c>
      <c r="E220" s="102">
        <f ca="1"/>
        <v>2.9719348506730841E-2</v>
      </c>
      <c r="F220" s="102">
        <f ca="1"/>
        <v>3.0815695127243265E-2</v>
      </c>
      <c r="G220" s="103">
        <f ca="1"/>
        <v>3.2023281422689495E-2</v>
      </c>
    </row>
    <row r="221" spans="2:7">
      <c r="B221" s="101">
        <f ca="1"/>
        <v>49751</v>
      </c>
      <c r="C221" s="102">
        <f ca="1"/>
        <v>2.5155444647889599E-2</v>
      </c>
      <c r="D221" s="102">
        <f ca="1"/>
        <v>2.8648306531377652E-2</v>
      </c>
      <c r="E221" s="102">
        <f ca="1"/>
        <v>2.9707257763248167E-2</v>
      </c>
      <c r="F221" s="102">
        <f ca="1"/>
        <v>3.0804908584616469E-2</v>
      </c>
      <c r="G221" s="103">
        <f ca="1"/>
        <v>3.2007142441879181E-2</v>
      </c>
    </row>
    <row r="222" spans="2:7">
      <c r="B222" s="101">
        <f ca="1"/>
        <v>49780</v>
      </c>
      <c r="C222" s="102">
        <f ca="1"/>
        <v>2.514425599436592E-2</v>
      </c>
      <c r="D222" s="102">
        <f ca="1"/>
        <v>2.8635655805474742E-2</v>
      </c>
      <c r="E222" s="102">
        <f ca="1"/>
        <v>2.9696157995725211E-2</v>
      </c>
      <c r="F222" s="102">
        <f ca="1"/>
        <v>3.0791483873382552E-2</v>
      </c>
      <c r="G222" s="103">
        <f ca="1"/>
        <v>3.1994069921148401E-2</v>
      </c>
    </row>
    <row r="223" spans="2:7">
      <c r="B223" s="101">
        <f ca="1"/>
        <v>49810</v>
      </c>
      <c r="C223" s="102">
        <f ca="1"/>
        <v>2.5132772104814443E-2</v>
      </c>
      <c r="D223" s="102">
        <f ca="1"/>
        <v>2.8625216216499983E-2</v>
      </c>
      <c r="E223" s="102">
        <f ca="1"/>
        <v>2.9684410771942511E-2</v>
      </c>
      <c r="F223" s="102">
        <f ca="1"/>
        <v>3.0781812194250632E-2</v>
      </c>
      <c r="G223" s="103">
        <f ca="1"/>
        <v>3.1980357490391284E-2</v>
      </c>
    </row>
    <row r="224" spans="2:7">
      <c r="B224" s="101">
        <f ca="1"/>
        <v>49842</v>
      </c>
      <c r="C224" s="102">
        <f ca="1"/>
        <v>2.5120623837222571E-2</v>
      </c>
      <c r="D224" s="102">
        <f ca="1"/>
        <v>2.8610032194792266E-2</v>
      </c>
      <c r="E224" s="102">
        <f ca="1"/>
        <v>2.9671148208511539E-2</v>
      </c>
      <c r="F224" s="102">
        <f ca="1"/>
        <v>3.0764540518162197E-2</v>
      </c>
      <c r="G224" s="103">
        <f ca="1"/>
        <v>3.1965518957188237E-2</v>
      </c>
    </row>
    <row r="225" spans="2:7">
      <c r="B225" s="101">
        <f ca="1"/>
        <v>49871</v>
      </c>
      <c r="C225" s="102">
        <f ca="1"/>
        <v>2.5109703730004096E-2</v>
      </c>
      <c r="D225" s="102">
        <f ca="1"/>
        <v>2.8598696117030739E-2</v>
      </c>
      <c r="E225" s="102">
        <f ca="1"/>
        <v>2.9658600697957296E-2</v>
      </c>
      <c r="F225" s="102">
        <f ca="1"/>
        <v>3.0752743245761185E-2</v>
      </c>
      <c r="G225" s="103">
        <f ca="1"/>
        <v>3.1951882626134971E-2</v>
      </c>
    </row>
    <row r="226" spans="2:7">
      <c r="B226" s="101">
        <f ca="1"/>
        <v>49902</v>
      </c>
      <c r="C226" s="102">
        <f ca="1"/>
        <v>2.5099503697846619E-2</v>
      </c>
      <c r="D226" s="102">
        <f ca="1"/>
        <v>2.8585396803929627E-2</v>
      </c>
      <c r="E226" s="102">
        <f ca="1"/>
        <v>2.9644959070543205E-2</v>
      </c>
      <c r="F226" s="102">
        <f ca="1"/>
        <v>3.073985545103845E-2</v>
      </c>
      <c r="G226" s="103">
        <f ca="1"/>
        <v>3.1939417497891281E-2</v>
      </c>
    </row>
    <row r="227" spans="2:7">
      <c r="B227" s="101">
        <f ca="1"/>
        <v>49933</v>
      </c>
      <c r="C227" s="102">
        <f ca="1"/>
        <v>2.508664577161359E-2</v>
      </c>
      <c r="D227" s="102">
        <f ca="1"/>
        <v>2.8570985976135128E-2</v>
      </c>
      <c r="E227" s="102">
        <f ca="1"/>
        <v>2.9631331261726013E-2</v>
      </c>
      <c r="F227" s="102">
        <f ca="1"/>
        <v>3.0722474521252954E-2</v>
      </c>
      <c r="G227" s="103">
        <f ca="1"/>
        <v>3.1922126674089939E-2</v>
      </c>
    </row>
    <row r="228" spans="2:7">
      <c r="B228" s="101">
        <f ca="1"/>
        <v>49963</v>
      </c>
      <c r="C228" s="102">
        <f ca="1"/>
        <v>2.5075628491405447E-2</v>
      </c>
      <c r="D228" s="102">
        <f ca="1"/>
        <v>2.8560465507400518E-2</v>
      </c>
      <c r="E228" s="102">
        <f ca="1"/>
        <v>2.9617976446654423E-2</v>
      </c>
      <c r="F228" s="102">
        <f ca="1"/>
        <v>3.0708586262241336E-2</v>
      </c>
      <c r="G228" s="103">
        <f ca="1"/>
        <v>3.190743359167135E-2</v>
      </c>
    </row>
    <row r="229" spans="2:7">
      <c r="B229" s="101">
        <f ca="1"/>
        <v>49996</v>
      </c>
      <c r="C229" s="102">
        <f ca="1"/>
        <v>2.5063615982865477E-2</v>
      </c>
      <c r="D229" s="102">
        <f ca="1"/>
        <v>2.8542952380363827E-2</v>
      </c>
      <c r="E229" s="102">
        <f ca="1"/>
        <v>2.9602722374393903E-2</v>
      </c>
      <c r="F229" s="102">
        <f ca="1"/>
        <v>3.069309283540227E-2</v>
      </c>
      <c r="G229" s="103">
        <f ca="1"/>
        <v>3.1891048990974662E-2</v>
      </c>
    </row>
    <row r="230" spans="2:7">
      <c r="B230" s="101">
        <f ca="1"/>
        <v>50024</v>
      </c>
      <c r="C230" s="102">
        <f ca="1"/>
        <v>2.5053510505402724E-2</v>
      </c>
      <c r="D230" s="102">
        <f ca="1"/>
        <v>2.853113041298232E-2</v>
      </c>
      <c r="E230" s="102">
        <f ca="1"/>
        <v>2.9589130375243067E-2</v>
      </c>
      <c r="F230" s="102">
        <f ca="1"/>
        <v>3.0679769169593828E-2</v>
      </c>
      <c r="G230" s="103">
        <f ca="1"/>
        <v>3.1876964450107806E-2</v>
      </c>
    </row>
    <row r="231" spans="2:7">
      <c r="B231" s="101">
        <f ca="1"/>
        <v>50055</v>
      </c>
      <c r="C231" s="102">
        <f ca="1"/>
        <v>2.5042414631103349E-2</v>
      </c>
      <c r="D231" s="102">
        <f ca="1"/>
        <v>2.8517747810323336E-2</v>
      </c>
      <c r="E231" s="102">
        <f ca="1"/>
        <v>2.9573756040869929E-2</v>
      </c>
      <c r="F231" s="102">
        <f ca="1"/>
        <v>3.0663774082660133E-2</v>
      </c>
      <c r="G231" s="103">
        <f ca="1"/>
        <v>3.1861175589748394E-2</v>
      </c>
    </row>
    <row r="232" spans="2:7">
      <c r="B232" s="101">
        <f ca="1"/>
        <v>50087</v>
      </c>
      <c r="C232" s="102">
        <f ca="1"/>
        <v>2.5031064071970748E-2</v>
      </c>
      <c r="D232" s="102">
        <f ca="1"/>
        <v>2.8499229252764435E-2</v>
      </c>
      <c r="E232" s="102">
        <f ca="1"/>
        <v>2.9558110332510872E-2</v>
      </c>
      <c r="F232" s="102">
        <f ca="1"/>
        <v>3.0649194448196519E-2</v>
      </c>
      <c r="G232" s="103">
        <f ca="1"/>
        <v>3.184466232780063E-2</v>
      </c>
    </row>
    <row r="233" spans="2:7">
      <c r="B233" s="101">
        <f ca="1"/>
        <v>50115</v>
      </c>
      <c r="C233" s="102">
        <f ca="1"/>
        <v>2.5021217949941017E-2</v>
      </c>
      <c r="D233" s="102">
        <f ca="1"/>
        <v>2.8488651865054129E-2</v>
      </c>
      <c r="E233" s="102">
        <f ca="1"/>
        <v>2.9544966371664313E-2</v>
      </c>
      <c r="F233" s="102">
        <f ca="1"/>
        <v>3.0637430194215051E-2</v>
      </c>
      <c r="G233" s="103">
        <f ca="1"/>
        <v>3.1830034114873632E-2</v>
      </c>
    </row>
    <row r="234" spans="2:7">
      <c r="B234" s="101">
        <f ca="1"/>
        <v>50145</v>
      </c>
      <c r="C234" s="102">
        <f ca="1"/>
        <v>2.5010756365334435E-2</v>
      </c>
      <c r="D234" s="102">
        <f ca="1"/>
        <v>2.8473389711864933E-2</v>
      </c>
      <c r="E234" s="102">
        <f ca="1"/>
        <v>2.9531142586577429E-2</v>
      </c>
      <c r="F234" s="102">
        <f ca="1"/>
        <v>3.0621356668432853E-2</v>
      </c>
      <c r="G234" s="103">
        <f ca="1"/>
        <v>3.1814175664544052E-2</v>
      </c>
    </row>
    <row r="235" spans="2:7">
      <c r="B235" s="101">
        <f ca="1"/>
        <v>50175</v>
      </c>
      <c r="C235" s="102">
        <f ca="1"/>
        <v>2.5001779046115759E-2</v>
      </c>
      <c r="D235" s="102">
        <f ca="1"/>
        <v>2.8459708658234512E-2</v>
      </c>
      <c r="E235" s="102">
        <f ca="1"/>
        <v>2.9517062970031989E-2</v>
      </c>
      <c r="F235" s="102">
        <f ca="1"/>
        <v>3.0608212498524644E-2</v>
      </c>
      <c r="G235" s="103">
        <f ca="1"/>
        <v>3.1800353403699175E-2</v>
      </c>
    </row>
    <row r="236" spans="2:7">
      <c r="B236" s="101">
        <f ca="1"/>
        <v>50206</v>
      </c>
      <c r="C236" s="102">
        <f ca="1"/>
        <v>2.4989768196931189E-2</v>
      </c>
      <c r="D236" s="102">
        <f ca="1"/>
        <v>2.8443588608378662E-2</v>
      </c>
      <c r="E236" s="102">
        <f ca="1"/>
        <v>2.9501795087477599E-2</v>
      </c>
      <c r="F236" s="102">
        <f ca="1"/>
        <v>3.059022052642545E-2</v>
      </c>
      <c r="G236" s="103">
        <f ca="1"/>
        <v>3.1781339436057765E-2</v>
      </c>
    </row>
    <row r="237" spans="2:7">
      <c r="B237" s="101">
        <f ca="1"/>
        <v>50236</v>
      </c>
      <c r="C237" s="102">
        <f ca="1"/>
        <v>2.4979584417431502E-2</v>
      </c>
      <c r="D237" s="102">
        <f ca="1"/>
        <v>2.8431261974358461E-2</v>
      </c>
      <c r="E237" s="102">
        <f ca="1"/>
        <v>2.9486480815614228E-2</v>
      </c>
      <c r="F237" s="102">
        <f ca="1"/>
        <v>3.0575650476079446E-2</v>
      </c>
      <c r="G237" s="103">
        <f ca="1"/>
        <v>3.1764900304886032E-2</v>
      </c>
    </row>
    <row r="238" spans="2:7">
      <c r="B238" s="101">
        <f ca="1"/>
        <v>50269</v>
      </c>
      <c r="C238" s="102">
        <f ca="1"/>
        <v>2.496848874313214E-2</v>
      </c>
      <c r="D238" s="102">
        <f ca="1"/>
        <v>2.8412869784823592E-2</v>
      </c>
      <c r="E238" s="102">
        <f ca="1"/>
        <v>2.9469434641545691E-2</v>
      </c>
      <c r="F238" s="102">
        <f ca="1"/>
        <v>3.0558272413499402E-2</v>
      </c>
      <c r="G238" s="103">
        <f ca="1"/>
        <v>3.1746596580652771E-2</v>
      </c>
    </row>
    <row r="239" spans="2:7">
      <c r="B239" s="101">
        <f ca="1"/>
        <v>50298</v>
      </c>
      <c r="C239" s="102">
        <f ca="1"/>
        <v>2.4958829527193093E-2</v>
      </c>
      <c r="D239" s="102">
        <f ca="1"/>
        <v>2.8397189576741946E-2</v>
      </c>
      <c r="E239" s="102">
        <f ca="1"/>
        <v>2.945451706774839E-2</v>
      </c>
      <c r="F239" s="102">
        <f ca="1"/>
        <v>3.0539760251447331E-2</v>
      </c>
      <c r="G239" s="103">
        <f ca="1"/>
        <v>3.173032345803687E-2</v>
      </c>
    </row>
    <row r="240" spans="2:7">
      <c r="B240" s="101">
        <f ca="1"/>
        <v>50328</v>
      </c>
      <c r="C240" s="102">
        <f ca="1"/>
        <v>2.4948926644471188E-2</v>
      </c>
      <c r="D240" s="102">
        <f ca="1"/>
        <v>2.8383396260173267E-2</v>
      </c>
      <c r="E240" s="102">
        <f ca="1"/>
        <v>2.9438879948536084E-2</v>
      </c>
      <c r="F240" s="102">
        <f ca="1"/>
        <v>3.0524610927007909E-2</v>
      </c>
      <c r="G240" s="103">
        <f ca="1"/>
        <v>3.1713317470352075E-2</v>
      </c>
    </row>
    <row r="241" spans="2:7">
      <c r="B241" s="101">
        <f ca="1"/>
        <v>50360</v>
      </c>
      <c r="C241" s="102">
        <f ca="1"/>
        <v>2.4938465201479302E-2</v>
      </c>
      <c r="D241" s="102">
        <f ca="1"/>
        <v>2.8364935008159134E-2</v>
      </c>
      <c r="E241" s="102">
        <f ca="1"/>
        <v>2.9421515312760251E-2</v>
      </c>
      <c r="F241" s="102">
        <f ca="1"/>
        <v>3.0507159658599972E-2</v>
      </c>
      <c r="G241" s="103">
        <f ca="1"/>
        <v>3.1695003314585357E-2</v>
      </c>
    </row>
    <row r="242" spans="2:7">
      <c r="B242" s="101">
        <f ca="1"/>
        <v>50389</v>
      </c>
      <c r="C242" s="102">
        <f ca="1"/>
        <v>2.4929074617169145E-2</v>
      </c>
      <c r="D242" s="102">
        <f ca="1"/>
        <v>2.8350424282004745E-2</v>
      </c>
      <c r="E242" s="102">
        <f ca="1"/>
        <v>2.9404915458059937E-2</v>
      </c>
      <c r="F242" s="102">
        <f ca="1"/>
        <v>3.0491160627693279E-2</v>
      </c>
      <c r="G242" s="103">
        <f ca="1"/>
        <v>3.1678266845159446E-2</v>
      </c>
    </row>
    <row r="243" spans="2:7">
      <c r="B243" s="101">
        <f ca="1"/>
        <v>50420</v>
      </c>
      <c r="C243" s="102">
        <f ca="1"/>
        <v>2.4920536030813872E-2</v>
      </c>
      <c r="D243" s="102">
        <f ca="1"/>
        <v>2.8333809269071395E-2</v>
      </c>
      <c r="E243" s="102">
        <f ca="1"/>
        <v>2.9386788580783332E-2</v>
      </c>
      <c r="F243" s="102">
        <f ca="1"/>
        <v>3.0472865558963873E-2</v>
      </c>
      <c r="G243" s="103">
        <f ca="1"/>
        <v>3.1662411090326907E-2</v>
      </c>
    </row>
    <row r="244" spans="2:7">
      <c r="B244" s="101">
        <f ca="1"/>
        <v>50451</v>
      </c>
      <c r="C244" s="102">
        <f ca="1"/>
        <v>2.4909284238121714E-2</v>
      </c>
      <c r="D244" s="102">
        <f ca="1"/>
        <v>2.8314477206395836E-2</v>
      </c>
      <c r="E244" s="102">
        <f ca="1"/>
        <v>2.9369048314575659E-2</v>
      </c>
      <c r="F244" s="102">
        <f ca="1"/>
        <v>3.0456370191094869E-2</v>
      </c>
      <c r="G244" s="103">
        <f ca="1"/>
        <v>3.1642112341373908E-2</v>
      </c>
    </row>
    <row r="245" spans="2:7">
      <c r="B245" s="101">
        <f ca="1"/>
        <v>50479</v>
      </c>
      <c r="C245" s="102">
        <f ca="1"/>
        <v>2.4900475351733273E-2</v>
      </c>
      <c r="D245" s="102">
        <f ca="1"/>
        <v>2.8301638951514552E-2</v>
      </c>
      <c r="E245" s="102">
        <f ca="1"/>
        <v>2.935386058497489E-2</v>
      </c>
      <c r="F245" s="102">
        <f ca="1"/>
        <v>3.0442382982251909E-2</v>
      </c>
      <c r="G245" s="103">
        <f ca="1"/>
        <v>3.1625648990733883E-2</v>
      </c>
    </row>
    <row r="246" spans="2:7">
      <c r="B246" s="101">
        <f ca="1"/>
        <v>50510</v>
      </c>
      <c r="C246" s="102">
        <f ca="1"/>
        <v>2.4890815182668592E-2</v>
      </c>
      <c r="D246" s="102">
        <f ca="1"/>
        <v>2.8285278662431679E-2</v>
      </c>
      <c r="E246" s="102">
        <f ca="1"/>
        <v>2.9337527890455233E-2</v>
      </c>
      <c r="F246" s="102">
        <f ca="1"/>
        <v>3.0423549691266781E-2</v>
      </c>
      <c r="G246" s="103">
        <f ca="1"/>
        <v>3.1607346633724984E-2</v>
      </c>
    </row>
    <row r="247" spans="2:7">
      <c r="B247" s="101">
        <f ca="1"/>
        <v>50542</v>
      </c>
      <c r="C247" s="102">
        <f ca="1"/>
        <v>2.4880946787127853E-2</v>
      </c>
      <c r="D247" s="102">
        <f ca="1"/>
        <v>2.8266494119861787E-2</v>
      </c>
      <c r="E247" s="102">
        <f ca="1"/>
        <v>2.9320339812156215E-2</v>
      </c>
      <c r="F247" s="102">
        <f ca="1"/>
        <v>3.0405979573027455E-2</v>
      </c>
      <c r="G247" s="103">
        <f ca="1"/>
        <v>3.1588390679866442E-2</v>
      </c>
    </row>
    <row r="248" spans="2:7">
      <c r="B248" s="101">
        <f ca="1"/>
        <v>50571</v>
      </c>
      <c r="C248" s="102">
        <f ca="1"/>
        <v>2.4872093354580765E-2</v>
      </c>
      <c r="D248" s="102">
        <f ca="1"/>
        <v>2.8249219058129119E-2</v>
      </c>
      <c r="E248" s="102">
        <f ca="1"/>
        <v>2.9303902289929806E-2</v>
      </c>
      <c r="F248" s="102">
        <f ca="1"/>
        <v>3.0388091218737902E-2</v>
      </c>
      <c r="G248" s="103">
        <f ca="1"/>
        <v>3.1571173918762983E-2</v>
      </c>
    </row>
    <row r="249" spans="2:7">
      <c r="B249" s="101">
        <f ca="1"/>
        <v>50601</v>
      </c>
      <c r="C249" s="102">
        <f ca="1"/>
        <v>2.4863023453110891E-2</v>
      </c>
      <c r="D249" s="102">
        <f ca="1"/>
        <v>2.8233654959424304E-2</v>
      </c>
      <c r="E249" s="102">
        <f ca="1"/>
        <v>2.9286307745129969E-2</v>
      </c>
      <c r="F249" s="102">
        <f ca="1"/>
        <v>3.0373496019051361E-2</v>
      </c>
      <c r="G249" s="103">
        <f ca="1"/>
        <v>3.1553343056315492E-2</v>
      </c>
    </row>
    <row r="250" spans="2:7">
      <c r="B250" s="101">
        <f ca="1"/>
        <v>50633</v>
      </c>
      <c r="C250" s="102">
        <f ca="1"/>
        <v>2.4853449822422675E-2</v>
      </c>
      <c r="D250" s="102">
        <f ca="1"/>
        <v>2.8214314888643524E-2</v>
      </c>
      <c r="E250" s="102">
        <f ca="1"/>
        <v>2.9267442766319481E-2</v>
      </c>
      <c r="F250" s="102">
        <f ca="1"/>
        <v>3.0352796695444113E-2</v>
      </c>
      <c r="G250" s="103">
        <f ca="1"/>
        <v>3.1534320437455438E-2</v>
      </c>
    </row>
    <row r="251" spans="2:7">
      <c r="B251" s="101">
        <f ca="1"/>
        <v>50663</v>
      </c>
      <c r="C251" s="102">
        <f ca="1"/>
        <v>2.4844348486465984E-2</v>
      </c>
      <c r="D251" s="102">
        <f ca="1"/>
        <v>2.8196110648748361E-2</v>
      </c>
      <c r="E251" s="102">
        <f ca="1"/>
        <v>2.9250059928753659E-2</v>
      </c>
      <c r="F251" s="102">
        <f ca="1"/>
        <v>3.0332302418727346E-2</v>
      </c>
      <c r="G251" s="103">
        <f ca="1"/>
        <v>3.1516500154584619E-2</v>
      </c>
    </row>
    <row r="252" spans="2:7">
      <c r="B252" s="101">
        <f ca="1"/>
        <v>50693</v>
      </c>
      <c r="C252" s="102">
        <f ca="1"/>
        <v>2.4836270870018131E-2</v>
      </c>
      <c r="D252" s="102">
        <f ca="1"/>
        <v>2.8179548028541588E-2</v>
      </c>
      <c r="E252" s="102">
        <f ca="1"/>
        <v>2.9232723222240617E-2</v>
      </c>
      <c r="F252" s="102">
        <f ca="1"/>
        <v>3.0315742197707291E-2</v>
      </c>
      <c r="G252" s="103">
        <f ca="1"/>
        <v>3.1500831634399117E-2</v>
      </c>
    </row>
    <row r="253" spans="2:7">
      <c r="B253" s="101">
        <f ca="1"/>
        <v>50724</v>
      </c>
      <c r="C253" s="102">
        <f ca="1"/>
        <v>2.4824706574449136E-2</v>
      </c>
      <c r="D253" s="102">
        <f ca="1"/>
        <v>2.8160796121054241E-2</v>
      </c>
      <c r="E253" s="102">
        <f ca="1"/>
        <v>2.9214405495370004E-2</v>
      </c>
      <c r="F253" s="102">
        <f ca="1"/>
        <v>3.029763326683663E-2</v>
      </c>
      <c r="G253" s="103">
        <f ca="1"/>
        <v>3.148031642070194E-2</v>
      </c>
    </row>
    <row r="254" spans="2:7">
      <c r="B254" s="101">
        <f ca="1"/>
        <v>50754</v>
      </c>
      <c r="C254" s="102">
        <f ca="1"/>
        <v>2.4814486576512973E-2</v>
      </c>
      <c r="D254" s="102">
        <f ca="1"/>
        <v>2.8145880857597297E-2</v>
      </c>
      <c r="E254" s="102">
        <f ca="1"/>
        <v>2.9196005008005184E-2</v>
      </c>
      <c r="F254" s="102">
        <f ca="1"/>
        <v>3.028012304900533E-2</v>
      </c>
      <c r="G254" s="103">
        <f ca="1"/>
        <v>3.1462545897498854E-2</v>
      </c>
    </row>
    <row r="255" spans="2:7">
      <c r="B255" s="101">
        <f ca="1"/>
        <v>50787</v>
      </c>
      <c r="C255" s="102">
        <f ca="1"/>
        <v>2.4802821044900527E-2</v>
      </c>
      <c r="D255" s="102">
        <f ca="1"/>
        <v>2.8125194727947188E-2</v>
      </c>
      <c r="E255" s="102">
        <f ca="1"/>
        <v>2.9175576745615626E-2</v>
      </c>
      <c r="F255" s="102">
        <f ca="1"/>
        <v>3.0260878177282732E-2</v>
      </c>
      <c r="G255" s="103">
        <f ca="1"/>
        <v>3.1443016972262025E-2</v>
      </c>
    </row>
    <row r="256" spans="2:7">
      <c r="B256" s="101">
        <f ca="1"/>
        <v>50816</v>
      </c>
      <c r="C256" s="102">
        <f ca="1"/>
        <v>2.4792200662167283E-2</v>
      </c>
      <c r="D256" s="102">
        <f ca="1"/>
        <v>2.8106030557459954E-2</v>
      </c>
      <c r="E256" s="102">
        <f ca="1"/>
        <v>2.9158184818587785E-2</v>
      </c>
      <c r="F256" s="102">
        <f ca="1"/>
        <v>3.0243007058822356E-2</v>
      </c>
      <c r="G256" s="103">
        <f ca="1"/>
        <v>3.1425871183816893E-2</v>
      </c>
    </row>
    <row r="257" spans="2:7">
      <c r="B257" s="101">
        <f ca="1"/>
        <v>50844</v>
      </c>
      <c r="C257" s="102">
        <f ca="1"/>
        <v>2.4781619700572115E-2</v>
      </c>
      <c r="D257" s="102">
        <f ca="1"/>
        <v>2.8092304057464396E-2</v>
      </c>
      <c r="E257" s="102">
        <f ca="1"/>
        <v>2.9142361363178729E-2</v>
      </c>
      <c r="F257" s="102">
        <f ca="1"/>
        <v>3.0229620642736273E-2</v>
      </c>
      <c r="G257" s="103">
        <f ca="1"/>
        <v>3.1410391862549056E-2</v>
      </c>
    </row>
    <row r="258" spans="2:7">
      <c r="B258" s="101">
        <f ca="1"/>
        <v>50875</v>
      </c>
      <c r="C258" s="102">
        <f ca="1"/>
        <v>2.4770839857292955E-2</v>
      </c>
      <c r="D258" s="102">
        <f ca="1"/>
        <v>2.8074437777193813E-2</v>
      </c>
      <c r="E258" s="102">
        <f ca="1"/>
        <v>2.9125519846411121E-2</v>
      </c>
      <c r="F258" s="102">
        <f ca="1"/>
        <v>3.0212552942441115E-2</v>
      </c>
      <c r="G258" s="103">
        <f ca="1"/>
        <v>3.1393153710953532E-2</v>
      </c>
    </row>
    <row r="259" spans="2:7">
      <c r="B259" s="101">
        <f ca="1"/>
        <v>50906</v>
      </c>
      <c r="C259" s="102">
        <f ca="1"/>
        <v>2.4757050324406841E-2</v>
      </c>
      <c r="D259" s="102">
        <f ca="1"/>
        <v>2.8056586738244856E-2</v>
      </c>
      <c r="E259" s="102">
        <f ca="1"/>
        <v>2.9108610842267568E-2</v>
      </c>
      <c r="F259" s="102">
        <f ca="1"/>
        <v>3.0193558760227647E-2</v>
      </c>
      <c r="G259" s="103">
        <f ca="1"/>
        <v>3.1373812499308339E-2</v>
      </c>
    </row>
    <row r="260" spans="2:7">
      <c r="B260" s="101">
        <f ca="1"/>
        <v>50936</v>
      </c>
      <c r="C260" s="102">
        <f ca="1"/>
        <v>2.4744596534758988E-2</v>
      </c>
      <c r="D260" s="102">
        <f ca="1"/>
        <v>2.8038522503840157E-2</v>
      </c>
      <c r="E260" s="102">
        <f ca="1"/>
        <v>2.9091593734153036E-2</v>
      </c>
      <c r="F260" s="102">
        <f ca="1"/>
        <v>3.0175162673550478E-2</v>
      </c>
      <c r="G260" s="103">
        <f ca="1"/>
        <v>3.1356136578003561E-2</v>
      </c>
    </row>
    <row r="261" spans="2:7">
      <c r="B261" s="101">
        <f ca="1"/>
        <v>50966</v>
      </c>
      <c r="C261" s="102">
        <f ca="1"/>
        <v>2.4733040993024941E-2</v>
      </c>
      <c r="D261" s="102">
        <f ca="1"/>
        <v>2.8022079630521359E-2</v>
      </c>
      <c r="E261" s="102">
        <f ca="1"/>
        <v>2.907411585451888E-2</v>
      </c>
      <c r="F261" s="102">
        <f ca="1"/>
        <v>3.0159683773944162E-2</v>
      </c>
      <c r="G261" s="103">
        <f ca="1"/>
        <v>3.1339531983096566E-2</v>
      </c>
    </row>
    <row r="262" spans="2:7">
      <c r="B262" s="101">
        <f ca="1"/>
        <v>50997</v>
      </c>
      <c r="C262" s="102">
        <f ca="1"/>
        <v>2.4718139606031149E-2</v>
      </c>
      <c r="D262" s="102">
        <f ca="1"/>
        <v>2.8004273326375225E-2</v>
      </c>
      <c r="E262" s="102">
        <f ca="1"/>
        <v>2.9055989895791369E-2</v>
      </c>
      <c r="F262" s="102">
        <f ca="1"/>
        <v>3.014073713136697E-2</v>
      </c>
      <c r="G262" s="103">
        <f ca="1"/>
        <v>3.1320242562956561E-2</v>
      </c>
    </row>
    <row r="263" spans="2:7">
      <c r="B263" s="101">
        <f ca="1"/>
        <v>51028</v>
      </c>
      <c r="C263" s="102">
        <f ca="1"/>
        <v>2.4704109893088123E-2</v>
      </c>
      <c r="D263" s="102">
        <f ca="1"/>
        <v>2.7987282443126083E-2</v>
      </c>
      <c r="E263" s="102">
        <f ca="1"/>
        <v>2.9038124041296447E-2</v>
      </c>
      <c r="F263" s="102">
        <f ca="1"/>
        <v>3.0120843598665452E-2</v>
      </c>
      <c r="G263" s="103">
        <f ca="1"/>
        <v>3.1304132226401271E-2</v>
      </c>
    </row>
    <row r="264" spans="2:7">
      <c r="B264" s="101">
        <f ca="1"/>
        <v>51060</v>
      </c>
      <c r="C264" s="102">
        <f ca="1"/>
        <v>2.4689216588658417E-2</v>
      </c>
      <c r="D264" s="102">
        <f ca="1"/>
        <v>2.7968133272428464E-2</v>
      </c>
      <c r="E264" s="102">
        <f ca="1"/>
        <v>2.9019771530095325E-2</v>
      </c>
      <c r="F264" s="102">
        <f ca="1"/>
        <v>3.0103280878749882E-2</v>
      </c>
      <c r="G264" s="103">
        <f ca="1"/>
        <v>3.1283236998797904E-2</v>
      </c>
    </row>
    <row r="265" spans="2:7">
      <c r="B265" s="101">
        <f ca="1"/>
        <v>51089</v>
      </c>
      <c r="C265" s="102">
        <f ca="1"/>
        <v>2.4675356454977662E-2</v>
      </c>
      <c r="D265" s="102">
        <f ca="1"/>
        <v>2.7950720591527572E-2</v>
      </c>
      <c r="E265" s="102">
        <f ca="1"/>
        <v>2.9002923725764056E-2</v>
      </c>
      <c r="F265" s="102">
        <f ca="1"/>
        <v>3.0085542561257495E-2</v>
      </c>
      <c r="G265" s="103">
        <f ca="1"/>
        <v>3.1266224996594455E-2</v>
      </c>
    </row>
    <row r="266" spans="2:7">
      <c r="B266" s="101">
        <f ca="1"/>
        <v>51119</v>
      </c>
      <c r="C266" s="102">
        <f ca="1"/>
        <v>2.4660656026454765E-2</v>
      </c>
      <c r="D266" s="102">
        <f ca="1"/>
        <v>2.7935141757077332E-2</v>
      </c>
      <c r="E266" s="102">
        <f ca="1"/>
        <v>2.8985083466293027E-2</v>
      </c>
      <c r="F266" s="102">
        <f ca="1"/>
        <v>3.0069163488664348E-2</v>
      </c>
      <c r="G266" s="103">
        <f ca="1"/>
        <v>3.1250740674419297E-2</v>
      </c>
    </row>
    <row r="267" spans="2:7">
      <c r="B267" s="101">
        <f ca="1"/>
        <v>51151</v>
      </c>
      <c r="C267" s="102">
        <f ca="1"/>
        <v>2.4644571127042353E-2</v>
      </c>
      <c r="D267" s="102">
        <f ca="1"/>
        <v>2.791604208560752E-2</v>
      </c>
      <c r="E267" s="102">
        <f ca="1"/>
        <v>2.8965904302591265E-2</v>
      </c>
      <c r="F267" s="102">
        <f ca="1"/>
        <v>3.0049722458232887E-2</v>
      </c>
      <c r="G267" s="103">
        <f ca="1"/>
        <v>3.1229901900043253E-2</v>
      </c>
    </row>
    <row r="268" spans="2:7">
      <c r="B268" s="101">
        <f ca="1"/>
        <v>51181</v>
      </c>
      <c r="C268" s="102">
        <f ca="1"/>
        <v>2.4629109872205922E-2</v>
      </c>
      <c r="D268" s="102">
        <f ca="1"/>
        <v>2.7897308783938386E-2</v>
      </c>
      <c r="E268" s="102">
        <f ca="1"/>
        <v>2.8948222058206529E-2</v>
      </c>
      <c r="F268" s="102">
        <f ca="1"/>
        <v>3.0032411688344373E-2</v>
      </c>
      <c r="G268" s="103">
        <f ca="1"/>
        <v>3.1212349469445969E-2</v>
      </c>
    </row>
    <row r="269" spans="2:7">
      <c r="B269" s="101">
        <f ca="1"/>
        <v>51210</v>
      </c>
      <c r="C269" s="102">
        <f ca="1"/>
        <v>2.4613813620740457E-2</v>
      </c>
      <c r="D269" s="102">
        <f ca="1"/>
        <v>2.7883132402311928E-2</v>
      </c>
      <c r="E269" s="102">
        <f ca="1"/>
        <v>2.8931719972600203E-2</v>
      </c>
      <c r="F269" s="102">
        <f ca="1"/>
        <v>3.0019519886598039E-2</v>
      </c>
      <c r="G269" s="103">
        <f ca="1"/>
        <v>3.1194350748594099E-2</v>
      </c>
    </row>
    <row r="270" spans="2:7">
      <c r="B270" s="101">
        <f ca="1"/>
        <v>51242</v>
      </c>
      <c r="C270" s="102">
        <f ca="1"/>
        <v>2.4596537013475642E-2</v>
      </c>
      <c r="D270" s="102">
        <f ca="1"/>
        <v>2.7863289830609657E-2</v>
      </c>
      <c r="E270" s="102">
        <f ca="1"/>
        <v>2.8914046447444657E-2</v>
      </c>
      <c r="F270" s="102">
        <f ca="1"/>
        <v>2.9998212180969257E-2</v>
      </c>
      <c r="G270" s="103">
        <f ca="1"/>
        <v>3.1175661997803455E-2</v>
      </c>
    </row>
    <row r="271" spans="2:7">
      <c r="B271" s="101">
        <f ca="1"/>
        <v>51271</v>
      </c>
      <c r="C271" s="102">
        <f ca="1"/>
        <v>2.4580517130295628E-2</v>
      </c>
      <c r="D271" s="102">
        <f ca="1"/>
        <v>2.7847551162680954E-2</v>
      </c>
      <c r="E271" s="102">
        <f ca="1"/>
        <v>2.8898255639434701E-2</v>
      </c>
      <c r="F271" s="102">
        <f ca="1"/>
        <v>2.9982472820400646E-2</v>
      </c>
      <c r="G271" s="103">
        <f ca="1"/>
        <v>3.115874032379579E-2</v>
      </c>
    </row>
    <row r="272" spans="2:7">
      <c r="B272" s="101">
        <f ca="1"/>
        <v>51302</v>
      </c>
      <c r="C272" s="102">
        <f ca="1"/>
        <v>2.4564116279794108E-2</v>
      </c>
      <c r="D272" s="102">
        <f ca="1"/>
        <v>2.7829894785954969E-2</v>
      </c>
      <c r="E272" s="102">
        <f ca="1"/>
        <v>2.8881353914483463E-2</v>
      </c>
      <c r="F272" s="102">
        <f ca="1"/>
        <v>2.9965594137518706E-2</v>
      </c>
      <c r="G272" s="103">
        <f ca="1"/>
        <v>3.1142751492992518E-2</v>
      </c>
    </row>
    <row r="273" spans="2:7">
      <c r="B273" s="101">
        <f ca="1"/>
        <v>51333</v>
      </c>
      <c r="C273" s="102">
        <f ca="1"/>
        <v>2.4545114353633941E-2</v>
      </c>
      <c r="D273" s="102">
        <f ca="1"/>
        <v>2.7812253649363582E-2</v>
      </c>
      <c r="E273" s="102">
        <f ca="1"/>
        <v>2.8864259319517353E-2</v>
      </c>
      <c r="F273" s="102">
        <f ca="1"/>
        <v>2.9946823426950792E-2</v>
      </c>
      <c r="G273" s="103">
        <f ca="1"/>
        <v>3.1122610909019695E-2</v>
      </c>
    </row>
    <row r="274" spans="2:7">
      <c r="B274" s="101">
        <f ca="1"/>
        <v>51363</v>
      </c>
      <c r="C274" s="102">
        <f ca="1"/>
        <v>2.4527418781697591E-2</v>
      </c>
      <c r="D274" s="102">
        <f ca="1"/>
        <v>2.7796772183339726E-2</v>
      </c>
      <c r="E274" s="102">
        <f ca="1"/>
        <v>2.8847394274895344E-2</v>
      </c>
      <c r="F274" s="102">
        <f ca="1"/>
        <v>2.9929595162926478E-2</v>
      </c>
      <c r="G274" s="103">
        <f ca="1"/>
        <v>3.1105152433908736E-2</v>
      </c>
    </row>
    <row r="275" spans="2:7">
      <c r="B275" s="101">
        <f ca="1"/>
        <v>51396</v>
      </c>
      <c r="C275" s="102">
        <f ca="1"/>
        <v>2.4507528140851813E-2</v>
      </c>
      <c r="D275" s="102">
        <f ca="1"/>
        <v>2.7775662419721056E-2</v>
      </c>
      <c r="E275" s="102">
        <f ca="1"/>
        <v>2.8828357489256263E-2</v>
      </c>
      <c r="F275" s="102">
        <f ca="1"/>
        <v>2.9908760777394464E-2</v>
      </c>
      <c r="G275" s="103">
        <f ca="1"/>
        <v>3.1085965884126803E-2</v>
      </c>
    </row>
    <row r="276" spans="2:7">
      <c r="B276" s="101">
        <f ca="1"/>
        <v>51424</v>
      </c>
      <c r="C276" s="102">
        <f ca="1"/>
        <v>2.4490302990696943E-2</v>
      </c>
      <c r="D276" s="102">
        <f ca="1"/>
        <v>2.7760556397635059E-2</v>
      </c>
      <c r="E276" s="102">
        <f ca="1"/>
        <v>2.881185163080487E-2</v>
      </c>
      <c r="F276" s="102">
        <f ca="1"/>
        <v>2.9892710359463028E-2</v>
      </c>
      <c r="G276" s="103">
        <f ca="1"/>
        <v>3.106970104357756E-2</v>
      </c>
    </row>
    <row r="277" spans="2:7">
      <c r="B277" s="101">
        <f ca="1"/>
        <v>51455</v>
      </c>
      <c r="C277" s="102">
        <f ca="1"/>
        <v>2.4470857045203076E-2</v>
      </c>
      <c r="D277" s="102">
        <f ca="1"/>
        <v>2.7743759972162593E-2</v>
      </c>
      <c r="E277" s="102">
        <f ca="1"/>
        <v>2.8793291753514583E-2</v>
      </c>
      <c r="F277" s="102">
        <f ca="1"/>
        <v>2.9874007196976329E-2</v>
      </c>
      <c r="G277" s="103">
        <f ca="1"/>
        <v>3.1051709236119218E-2</v>
      </c>
    </row>
    <row r="278" spans="2:7">
      <c r="B278" s="101">
        <f ca="1"/>
        <v>51487</v>
      </c>
      <c r="C278" s="102">
        <f ca="1"/>
        <v>2.4450370811373735E-2</v>
      </c>
      <c r="D278" s="102">
        <f ca="1"/>
        <v>2.7724842910400296E-2</v>
      </c>
      <c r="E278" s="102">
        <f ca="1"/>
        <v>2.8773971945032398E-2</v>
      </c>
      <c r="F278" s="102">
        <f ca="1"/>
        <v>2.9856641764127296E-2</v>
      </c>
      <c r="G278" s="103">
        <f ca="1"/>
        <v>3.1033154343417135E-2</v>
      </c>
    </row>
    <row r="279" spans="2:7">
      <c r="B279" s="101">
        <f ca="1"/>
        <v>51516</v>
      </c>
      <c r="C279" s="102">
        <f ca="1"/>
        <v>2.4431444596618314E-2</v>
      </c>
      <c r="D279" s="102">
        <f ca="1"/>
        <v>2.7708424522989383E-2</v>
      </c>
      <c r="E279" s="102">
        <f ca="1"/>
        <v>2.8756706653641408E-2</v>
      </c>
      <c r="F279" s="102">
        <f ca="1"/>
        <v>2.9839114644469773E-2</v>
      </c>
      <c r="G279" s="103">
        <f ca="1"/>
        <v>3.1016354142590137E-2</v>
      </c>
    </row>
    <row r="280" spans="2:7">
      <c r="B280" s="101">
        <f ca="1"/>
        <v>51547</v>
      </c>
      <c r="C280" s="102">
        <f ca="1"/>
        <v>2.4411815260451386E-2</v>
      </c>
      <c r="D280" s="102">
        <f ca="1"/>
        <v>2.7688544268925901E-2</v>
      </c>
      <c r="E280" s="102">
        <f ca="1"/>
        <v>2.8739007458000492E-2</v>
      </c>
      <c r="F280" s="102">
        <f ca="1"/>
        <v>2.9821404594624366E-2</v>
      </c>
      <c r="G280" s="103">
        <f ca="1"/>
        <v>3.1000475440859265E-2</v>
      </c>
    </row>
    <row r="281" spans="2:7">
      <c r="B281" s="101">
        <f ca="1"/>
        <v>51575</v>
      </c>
      <c r="C281" s="102">
        <f ca="1"/>
        <v>2.439284462173813E-2</v>
      </c>
      <c r="D281" s="102">
        <f ca="1"/>
        <v>2.7675062755644703E-2</v>
      </c>
      <c r="E281" s="102">
        <f ca="1"/>
        <v>2.8724001243577248E-2</v>
      </c>
      <c r="F281" s="102">
        <f ca="1"/>
        <v>2.9809192094825313E-2</v>
      </c>
      <c r="G281" s="103">
        <f ca="1"/>
        <v>3.0984280794689567E-2</v>
      </c>
    </row>
    <row r="282" spans="2:7">
      <c r="B282" s="101">
        <f ca="1"/>
        <v>51606</v>
      </c>
      <c r="C282" s="102">
        <f ca="1"/>
        <v>2.4370514366796721E-2</v>
      </c>
      <c r="D282" s="102">
        <f ca="1"/>
        <v>2.7656776451111257E-2</v>
      </c>
      <c r="E282" s="102">
        <f ca="1"/>
        <v>2.8707915609564049E-2</v>
      </c>
      <c r="F282" s="102">
        <f ca="1"/>
        <v>2.9789622597616031E-2</v>
      </c>
      <c r="G282" s="103">
        <f ca="1"/>
        <v>3.0964307335347375E-2</v>
      </c>
    </row>
    <row r="283" spans="2:7">
      <c r="B283" s="101">
        <f ca="1"/>
        <v>51636</v>
      </c>
      <c r="C283" s="102">
        <f ca="1"/>
        <v>2.4349467428524504E-2</v>
      </c>
      <c r="D283" s="102">
        <f ca="1"/>
        <v>2.7642184764006459E-2</v>
      </c>
      <c r="E283" s="102">
        <f ca="1"/>
        <v>2.8691967574496505E-2</v>
      </c>
      <c r="F283" s="102">
        <f ca="1"/>
        <v>2.9773463563977785E-2</v>
      </c>
      <c r="G283" s="103">
        <f ca="1"/>
        <v>3.0946989191688958E-2</v>
      </c>
    </row>
    <row r="284" spans="2:7">
      <c r="B284" s="101">
        <f ca="1"/>
        <v>51669</v>
      </c>
      <c r="C284" s="102">
        <f ca="1"/>
        <v>2.4325890391930297E-2</v>
      </c>
      <c r="D284" s="102">
        <f ca="1"/>
        <v>2.7621246998042463E-2</v>
      </c>
      <c r="E284" s="102">
        <f ca="1"/>
        <v>2.8673191604351011E-2</v>
      </c>
      <c r="F284" s="102">
        <f ca="1"/>
        <v>2.9753730109252089E-2</v>
      </c>
      <c r="G284" s="103">
        <f ca="1"/>
        <v>3.0927956979611503E-2</v>
      </c>
    </row>
    <row r="285" spans="2:7">
      <c r="B285" s="101">
        <f ca="1"/>
        <v>51697</v>
      </c>
      <c r="C285" s="102">
        <f ca="1"/>
        <v>2.4305537299789768E-2</v>
      </c>
      <c r="D285" s="102">
        <f ca="1"/>
        <v>2.7606252477671078E-2</v>
      </c>
      <c r="E285" s="102">
        <f ca="1"/>
        <v>2.8656614492140579E-2</v>
      </c>
      <c r="F285" s="102">
        <f ca="1"/>
        <v>2.9738735662811072E-2</v>
      </c>
      <c r="G285" s="103">
        <f ca="1"/>
        <v>3.0911822993191982E-2</v>
      </c>
    </row>
    <row r="286" spans="2:7">
      <c r="B286" s="101">
        <f ca="1"/>
        <v>51728</v>
      </c>
      <c r="C286" s="102">
        <f ca="1"/>
        <v>2.4282628308126074E-2</v>
      </c>
      <c r="D286" s="102">
        <f ca="1"/>
        <v>2.7589580573496961E-2</v>
      </c>
      <c r="E286" s="102">
        <f ca="1"/>
        <v>2.8638281545397791E-2</v>
      </c>
      <c r="F286" s="102">
        <f ca="1"/>
        <v>2.9722982864047533E-2</v>
      </c>
      <c r="G286" s="103">
        <f ca="1"/>
        <v>3.0893975926895932E-2</v>
      </c>
    </row>
    <row r="287" spans="2:7">
      <c r="B287" s="101">
        <f ca="1"/>
        <v>51760</v>
      </c>
      <c r="C287" s="102">
        <f ca="1"/>
        <v>2.4258567295903428E-2</v>
      </c>
      <c r="D287" s="102">
        <f ca="1"/>
        <v>2.7570037764283521E-2</v>
      </c>
      <c r="E287" s="102">
        <f ca="1"/>
        <v>2.8619997612350616E-2</v>
      </c>
      <c r="F287" s="102">
        <f ca="1"/>
        <v>2.9701059022068672E-2</v>
      </c>
      <c r="G287" s="103">
        <f ca="1"/>
        <v>3.087557025336336E-2</v>
      </c>
    </row>
    <row r="288" spans="2:7">
      <c r="B288" s="101">
        <f ca="1"/>
        <v>51789</v>
      </c>
      <c r="C288" s="102">
        <f ca="1"/>
        <v>2.4236401288074191E-2</v>
      </c>
      <c r="D288" s="102">
        <f ca="1"/>
        <v>2.7554518843848935E-2</v>
      </c>
      <c r="E288" s="102">
        <f ca="1"/>
        <v>2.8603783455228685E-2</v>
      </c>
      <c r="F288" s="102">
        <f ca="1"/>
        <v>2.9684600088851019E-2</v>
      </c>
      <c r="G288" s="103">
        <f ca="1"/>
        <v>3.0858905101199242E-2</v>
      </c>
    </row>
    <row r="289" spans="2:7">
      <c r="B289" s="101">
        <f ca="1"/>
        <v>51820</v>
      </c>
      <c r="C289" s="102">
        <f ca="1"/>
        <v>2.4213170155169484E-2</v>
      </c>
      <c r="D289" s="102">
        <f ca="1"/>
        <v>2.7537117086401164E-2</v>
      </c>
      <c r="E289" s="102">
        <f ca="1"/>
        <v>2.8586315354769631E-2</v>
      </c>
      <c r="F289" s="102">
        <f ca="1"/>
        <v>2.9666087417616074E-2</v>
      </c>
      <c r="G289" s="103">
        <f ca="1"/>
        <v>3.0843148736193246E-2</v>
      </c>
    </row>
    <row r="290" spans="2:7">
      <c r="B290" s="101">
        <f ca="1"/>
        <v>51851</v>
      </c>
      <c r="C290" s="102">
        <f ca="1"/>
        <v>2.4187855475873057E-2</v>
      </c>
      <c r="D290" s="102">
        <f ca="1"/>
        <v>2.7519730567879489E-2</v>
      </c>
      <c r="E290" s="102">
        <f ca="1"/>
        <v>2.8568319472031346E-2</v>
      </c>
      <c r="F290" s="102">
        <f ca="1"/>
        <v>2.9649456018603651E-2</v>
      </c>
      <c r="G290" s="103">
        <f ca="1"/>
        <v>3.0823324043291443E-2</v>
      </c>
    </row>
    <row r="291" spans="2:7">
      <c r="B291" s="101">
        <f ca="1"/>
        <v>51881</v>
      </c>
      <c r="C291" s="102">
        <f ca="1"/>
        <v>2.4163801933386204E-2</v>
      </c>
      <c r="D291" s="102">
        <f ca="1"/>
        <v>2.7504458875751241E-2</v>
      </c>
      <c r="E291" s="102">
        <f ca="1"/>
        <v>2.8550698601805192E-2</v>
      </c>
      <c r="F291" s="102">
        <f ca="1"/>
        <v>2.9631541560585596E-2</v>
      </c>
      <c r="G291" s="103">
        <f ca="1"/>
        <v>3.0806130861831094E-2</v>
      </c>
    </row>
    <row r="292" spans="2:7">
      <c r="B292" s="101">
        <f ca="1"/>
        <v>51914</v>
      </c>
      <c r="C292" s="102">
        <f ca="1"/>
        <v>2.4136916621729235E-2</v>
      </c>
      <c r="D292" s="102">
        <f ca="1"/>
        <v>2.7482137990091464E-2</v>
      </c>
      <c r="E292" s="102">
        <f ca="1"/>
        <v>2.8531691105661269E-2</v>
      </c>
      <c r="F292" s="102">
        <f ca="1"/>
        <v>2.9613806495023907E-2</v>
      </c>
      <c r="G292" s="103">
        <f ca="1"/>
        <v>3.0787236054082762E-2</v>
      </c>
    </row>
    <row r="293" spans="2:7">
      <c r="B293" s="101">
        <f ca="1"/>
        <v>51942</v>
      </c>
      <c r="C293" s="102">
        <f ca="1"/>
        <v>2.4113755145552244E-2</v>
      </c>
      <c r="D293" s="102">
        <f ca="1"/>
        <v>2.746878073563325E-2</v>
      </c>
      <c r="E293" s="102">
        <f ca="1"/>
        <v>2.851623715017312E-2</v>
      </c>
      <c r="F293" s="102">
        <f ca="1"/>
        <v>2.9599839101246812E-2</v>
      </c>
      <c r="G293" s="103">
        <f ca="1"/>
        <v>3.077121864009659E-2</v>
      </c>
    </row>
    <row r="294" spans="2:7">
      <c r="B294" s="101">
        <f ca="1"/>
        <v>51971</v>
      </c>
      <c r="C294" s="102">
        <f ca="1"/>
        <v>2.4089429332908013E-2</v>
      </c>
      <c r="D294" s="102">
        <f ca="1"/>
        <v>2.7451804982105477E-2</v>
      </c>
      <c r="E294" s="102">
        <f ca="1"/>
        <v>2.8500640894301269E-2</v>
      </c>
      <c r="F294" s="102">
        <f ca="1"/>
        <v>2.9582532785420782E-2</v>
      </c>
      <c r="G294" s="103">
        <f ca="1"/>
        <v>3.0754643258034838E-2</v>
      </c>
    </row>
    <row r="295" spans="2:7">
      <c r="B295" s="101">
        <f ca="1"/>
        <v>52001</v>
      </c>
      <c r="C295" s="102">
        <f ca="1"/>
        <v>2.406390180065995E-2</v>
      </c>
      <c r="D295" s="102">
        <f ca="1"/>
        <v>2.7436583047850779E-2</v>
      </c>
      <c r="E295" s="102">
        <f ca="1"/>
        <v>2.84844922290747E-2</v>
      </c>
      <c r="F295" s="102">
        <f ca="1"/>
        <v>2.9568382803988737E-2</v>
      </c>
      <c r="G295" s="103">
        <f ca="1"/>
        <v>3.073751139473184E-2</v>
      </c>
    </row>
    <row r="296" spans="2:7">
      <c r="B296" s="101">
        <f ca="1"/>
        <v>52033</v>
      </c>
      <c r="C296" s="102">
        <f ca="1"/>
        <v>2.4036266122993654E-2</v>
      </c>
      <c r="D296" s="102">
        <f ca="1"/>
        <v>2.7417197760936707E-2</v>
      </c>
      <c r="E296" s="102">
        <f ca="1"/>
        <v>2.8466821455804637E-2</v>
      </c>
      <c r="F296" s="102">
        <f ca="1"/>
        <v>2.9547562063192378E-2</v>
      </c>
      <c r="G296" s="103">
        <f ca="1"/>
        <v>3.0719254316937502E-2</v>
      </c>
    </row>
    <row r="297" spans="2:7">
      <c r="B297" s="101">
        <f ca="1"/>
        <v>52062</v>
      </c>
      <c r="C297" s="102">
        <f ca="1"/>
        <v>2.4010860474528661E-2</v>
      </c>
      <c r="D297" s="102">
        <f ca="1"/>
        <v>2.7401794872099944E-2</v>
      </c>
      <c r="E297" s="102">
        <f ca="1"/>
        <v>2.845051269266808E-2</v>
      </c>
      <c r="F297" s="102">
        <f ca="1"/>
        <v>2.9532149240100565E-2</v>
      </c>
      <c r="G297" s="103">
        <f ca="1"/>
        <v>3.0702723917009057E-2</v>
      </c>
    </row>
    <row r="298" spans="2:7">
      <c r="B298" s="101">
        <f ca="1"/>
        <v>52093</v>
      </c>
      <c r="C298" s="102">
        <f ca="1"/>
        <v>2.3984023925322204E-2</v>
      </c>
      <c r="D298" s="102">
        <f ca="1"/>
        <v>2.7384527298508144E-2</v>
      </c>
      <c r="E298" s="102">
        <f ca="1"/>
        <v>2.8433062395983987E-2</v>
      </c>
      <c r="F298" s="102">
        <f ca="1"/>
        <v>2.9515621921091726E-2</v>
      </c>
      <c r="G298" s="103">
        <f ca="1"/>
        <v>3.0687089943044366E-2</v>
      </c>
    </row>
    <row r="299" spans="2:7">
      <c r="B299" s="101">
        <f ca="1"/>
        <v>52124</v>
      </c>
      <c r="C299" s="102">
        <f ca="1"/>
        <v>2.3955388564232769E-2</v>
      </c>
      <c r="D299" s="102">
        <f ca="1"/>
        <v>2.7366513653397928E-2</v>
      </c>
      <c r="E299" s="102">
        <f ca="1"/>
        <v>2.8415820324371632E-2</v>
      </c>
      <c r="F299" s="102">
        <f ca="1"/>
        <v>2.9495420650936931E-2</v>
      </c>
      <c r="G299" s="103">
        <f ca="1"/>
        <v>3.0667441170819817E-2</v>
      </c>
    </row>
    <row r="300" spans="2:7">
      <c r="B300" s="101">
        <f ca="1"/>
        <v>52154</v>
      </c>
      <c r="C300" s="102">
        <f ca="1"/>
        <v>2.3927983516832022E-2</v>
      </c>
      <c r="D300" s="102">
        <f ca="1"/>
        <v>2.7352114269475671E-2</v>
      </c>
      <c r="E300" s="102">
        <f ca="1"/>
        <v>2.8399178529899285E-2</v>
      </c>
      <c r="F300" s="102">
        <f ca="1"/>
        <v>2.9478563739578932E-2</v>
      </c>
      <c r="G300" s="103">
        <f ca="1"/>
        <v>3.0650450383577787E-2</v>
      </c>
    </row>
    <row r="301" spans="2:7">
      <c r="B301" s="101">
        <f ca="1"/>
        <v>52187</v>
      </c>
      <c r="C301" s="102">
        <f ca="1"/>
        <v>2.3897411535085844E-2</v>
      </c>
      <c r="D301" s="102">
        <f ca="1"/>
        <v>2.7331501558279958E-2</v>
      </c>
      <c r="E301" s="102">
        <f ca="1"/>
        <v>2.8380597290503653E-2</v>
      </c>
      <c r="F301" s="102">
        <f ca="1"/>
        <v>2.9460037290508046E-2</v>
      </c>
      <c r="G301" s="103">
        <f ca="1"/>
        <v>3.0631897324711249E-2</v>
      </c>
    </row>
    <row r="302" spans="2:7">
      <c r="B302" s="101">
        <f ca="1"/>
        <v>52215</v>
      </c>
      <c r="C302" s="102">
        <f ca="1"/>
        <v>2.3871122188706004E-2</v>
      </c>
      <c r="D302" s="102">
        <f ca="1"/>
        <v>2.7316719020790185E-2</v>
      </c>
      <c r="E302" s="102">
        <f ca="1"/>
        <v>2.8364442969244022E-2</v>
      </c>
      <c r="F302" s="102">
        <f ca="1"/>
        <v>2.9444331546236102E-2</v>
      </c>
      <c r="G302" s="103">
        <f ca="1"/>
        <v>3.0616314886304032E-2</v>
      </c>
    </row>
    <row r="303" spans="2:7">
      <c r="B303" s="101">
        <f ca="1"/>
        <v>52246</v>
      </c>
      <c r="C303" s="102">
        <f ca="1"/>
        <v>2.3841643105021359E-2</v>
      </c>
      <c r="D303" s="102">
        <f ca="1"/>
        <v>2.7300283798184041E-2</v>
      </c>
      <c r="E303" s="102">
        <f ca="1"/>
        <v>2.8346458195478555E-2</v>
      </c>
      <c r="F303" s="102">
        <f ca="1"/>
        <v>2.942604117898549E-2</v>
      </c>
      <c r="G303" s="103">
        <f ca="1"/>
        <v>3.0599285317423057E-2</v>
      </c>
    </row>
    <row r="304" spans="2:7">
      <c r="B304" s="101">
        <f ca="1"/>
        <v>52278</v>
      </c>
      <c r="C304" s="102">
        <f ca="1"/>
        <v>2.3810799818376673E-2</v>
      </c>
      <c r="D304" s="102">
        <f ca="1"/>
        <v>2.727952755831085E-2</v>
      </c>
      <c r="E304" s="102">
        <f ca="1"/>
        <v>2.8328284892996054E-2</v>
      </c>
      <c r="F304" s="102">
        <f ca="1"/>
        <v>2.9409041317524733E-2</v>
      </c>
      <c r="G304" s="103">
        <f ca="1"/>
        <v>3.0582008348572425E-2</v>
      </c>
    </row>
    <row r="305" spans="2:7">
      <c r="B305" s="101">
        <f ca="1"/>
        <v>52306</v>
      </c>
      <c r="C305" s="102">
        <f ca="1"/>
        <v>2.3783467876097697E-2</v>
      </c>
      <c r="D305" s="102">
        <f ca="1"/>
        <v>2.7266294367801765E-2</v>
      </c>
      <c r="E305" s="102">
        <f ca="1"/>
        <v>2.8313018439383469E-2</v>
      </c>
      <c r="F305" s="102">
        <f ca="1"/>
        <v>2.9395224809986211E-2</v>
      </c>
      <c r="G305" s="103">
        <f ca="1"/>
        <v>3.0568226457575124E-2</v>
      </c>
    </row>
    <row r="306" spans="2:7">
      <c r="B306" s="101">
        <f ca="1"/>
        <v>52336</v>
      </c>
      <c r="C306" s="102">
        <f ca="1"/>
        <v>2.3753828148754787E-2</v>
      </c>
      <c r="D306" s="102">
        <f ca="1"/>
        <v>2.7248945550888529E-2</v>
      </c>
      <c r="E306" s="102">
        <f ca="1"/>
        <v>2.8297060313095434E-2</v>
      </c>
      <c r="F306" s="102">
        <f ca="1"/>
        <v>2.93776515545567E-2</v>
      </c>
      <c r="G306" s="103">
        <f ca="1"/>
        <v>3.055271727677026E-2</v>
      </c>
    </row>
    <row r="307" spans="2:7">
      <c r="B307" s="101">
        <f ca="1"/>
        <v>52366</v>
      </c>
      <c r="C307" s="102">
        <f ca="1"/>
        <v>2.3724375339809995E-2</v>
      </c>
      <c r="D307" s="102">
        <f ca="1"/>
        <v>2.723311916569229E-2</v>
      </c>
      <c r="E307" s="102">
        <f ca="1"/>
        <v>2.8281070197303651E-2</v>
      </c>
      <c r="F307" s="102">
        <f ca="1"/>
        <v>2.936305426532675E-2</v>
      </c>
      <c r="G307" s="103">
        <f ca="1"/>
        <v>3.0538683490021513E-2</v>
      </c>
    </row>
    <row r="308" spans="2:7">
      <c r="B308" s="101">
        <f ca="1"/>
        <v>52397</v>
      </c>
      <c r="C308" s="102">
        <f ca="1"/>
        <v>2.3692422691076208E-2</v>
      </c>
      <c r="D308" s="102">
        <f ca="1"/>
        <v>2.7215248989395428E-2</v>
      </c>
      <c r="E308" s="102">
        <f ca="1"/>
        <v>2.8264156348908328E-2</v>
      </c>
      <c r="F308" s="102">
        <f ca="1"/>
        <v>2.9344534973410275E-2</v>
      </c>
      <c r="G308" s="103">
        <f ca="1"/>
        <v>3.0522541720350325E-2</v>
      </c>
    </row>
    <row r="309" spans="2:7">
      <c r="B309" s="101">
        <f ca="1"/>
        <v>52427</v>
      </c>
      <c r="C309" s="102">
        <f ca="1"/>
        <v>2.3661667824373175E-2</v>
      </c>
      <c r="D309" s="102">
        <f ca="1"/>
        <v>2.72009516140258E-2</v>
      </c>
      <c r="E309" s="102">
        <f ca="1"/>
        <v>2.8247691520302178E-2</v>
      </c>
      <c r="F309" s="102">
        <f ca="1"/>
        <v>2.9329763052798892E-2</v>
      </c>
      <c r="G309" s="103">
        <f ca="1"/>
        <v>3.0508476548850812E-2</v>
      </c>
    </row>
    <row r="310" spans="2:7">
      <c r="B310" s="101">
        <f ca="1"/>
        <v>52460</v>
      </c>
      <c r="C310" s="102">
        <f ca="1"/>
        <v>2.3627413662995547E-2</v>
      </c>
      <c r="D310" s="102">
        <f ca="1"/>
        <v>2.7181366896756372E-2</v>
      </c>
      <c r="E310" s="102">
        <f ca="1"/>
        <v>2.8230041856702845E-2</v>
      </c>
      <c r="F310" s="102">
        <f ca="1"/>
        <v>2.9313087796614554E-2</v>
      </c>
      <c r="G310" s="103">
        <f ca="1"/>
        <v>3.0493679407028042E-2</v>
      </c>
    </row>
    <row r="311" spans="2:7">
      <c r="B311" s="101">
        <f ca="1"/>
        <v>52489</v>
      </c>
      <c r="C311" s="102">
        <f ca="1"/>
        <v>2.3597663039111132E-2</v>
      </c>
      <c r="D311" s="102">
        <f ca="1"/>
        <v>2.7165214080411396E-2</v>
      </c>
      <c r="E311" s="102">
        <f ca="1"/>
        <v>2.8215300694691359E-2</v>
      </c>
      <c r="F311" s="102">
        <f ca="1"/>
        <v>2.9297121361509311E-2</v>
      </c>
      <c r="G311" s="103">
        <f ca="1"/>
        <v>3.0481302974523731E-2</v>
      </c>
    </row>
    <row r="312" spans="2:7">
      <c r="B312" s="101">
        <f ca="1"/>
        <v>52519</v>
      </c>
      <c r="C312" s="102">
        <f ca="1"/>
        <v>2.3567995103672974E-2</v>
      </c>
      <c r="D312" s="102">
        <f ca="1"/>
        <v>2.7151444415045675E-2</v>
      </c>
      <c r="E312" s="102">
        <f ca="1"/>
        <v>2.8200669431161372E-2</v>
      </c>
      <c r="F312" s="102">
        <f ca="1"/>
        <v>2.9284157284204144E-2</v>
      </c>
      <c r="G312" s="103">
        <f ca="1"/>
        <v>3.0471325505702064E-2</v>
      </c>
    </row>
    <row r="313" spans="2:7">
      <c r="B313" s="101">
        <f ca="1"/>
        <v>52551</v>
      </c>
      <c r="C313" s="102">
        <f ca="1"/>
        <v>2.353760303880819E-2</v>
      </c>
      <c r="D313" s="102">
        <f ca="1"/>
        <v>2.7134235539282899E-2</v>
      </c>
      <c r="E313" s="102">
        <f ca="1"/>
        <v>2.8185440693513211E-2</v>
      </c>
      <c r="F313" s="102">
        <f ca="1"/>
        <v>2.9269017803149926E-2</v>
      </c>
      <c r="G313" s="103">
        <f ca="1"/>
        <v>3.0456833464737015E-2</v>
      </c>
    </row>
    <row r="314" spans="2:7">
      <c r="B314" s="101">
        <f ca="1"/>
        <v>52580</v>
      </c>
      <c r="C314" s="102">
        <f ca="1"/>
        <v>2.3511173176829193E-2</v>
      </c>
      <c r="D314" s="102">
        <f ca="1"/>
        <v>2.7121445129707281E-2</v>
      </c>
      <c r="E314" s="102">
        <f ca="1"/>
        <v>2.8171799170350269E-2</v>
      </c>
      <c r="F314" s="102">
        <f ca="1"/>
        <v>2.9257779621092904E-2</v>
      </c>
      <c r="G314" s="103">
        <f ca="1"/>
        <v>3.0446319255225455E-2</v>
      </c>
    </row>
    <row r="315" spans="2:7">
      <c r="B315" s="101">
        <f ca="1"/>
        <v>52611</v>
      </c>
      <c r="C315" s="102">
        <f ca="1"/>
        <v>2.3484761303570693E-2</v>
      </c>
      <c r="D315" s="102">
        <f ca="1"/>
        <v>2.7107572716642724E-2</v>
      </c>
      <c r="E315" s="102">
        <f ca="1"/>
        <v>2.8157730821312139E-2</v>
      </c>
      <c r="F315" s="102">
        <f ca="1"/>
        <v>2.9244369686461824E-2</v>
      </c>
      <c r="G315" s="103">
        <f ca="1"/>
        <v>3.043686642211807E-2</v>
      </c>
    </row>
    <row r="316" spans="2:7">
      <c r="B316" s="101">
        <f ca="1"/>
        <v>52642</v>
      </c>
      <c r="C316" s="102">
        <f ca="1"/>
        <v>2.3458203915212261E-2</v>
      </c>
      <c r="D316" s="102">
        <f ca="1"/>
        <v>2.7092735219462556E-2</v>
      </c>
      <c r="E316" s="102">
        <f ca="1"/>
        <v>2.8144712327104918E-2</v>
      </c>
      <c r="F316" s="102">
        <f ca="1"/>
        <v>2.9232615964528943E-2</v>
      </c>
      <c r="G316" s="103">
        <f ca="1"/>
        <v>3.0425831746009116E-2</v>
      </c>
    </row>
    <row r="317" spans="2:7">
      <c r="B317" s="101">
        <f ca="1"/>
        <v>52671</v>
      </c>
      <c r="C317" s="102">
        <f ca="1"/>
        <v>2.3435088947672211E-2</v>
      </c>
      <c r="D317" s="102">
        <f ca="1"/>
        <v>2.7082597795216296E-2</v>
      </c>
      <c r="E317" s="102">
        <f ca="1"/>
        <v>2.8133834237866383E-2</v>
      </c>
      <c r="F317" s="102">
        <f ca="1"/>
        <v>2.9224259138080338E-2</v>
      </c>
      <c r="G317" s="103">
        <f ca="1"/>
        <v>3.0416031048616874E-2</v>
      </c>
    </row>
    <row r="318" spans="2:7">
      <c r="B318" s="101">
        <f ca="1"/>
        <v>52702</v>
      </c>
      <c r="C318" s="102">
        <f ca="1"/>
        <v>2.3412326387718618E-2</v>
      </c>
      <c r="D318" s="102">
        <f ca="1"/>
        <v>2.7070662744808793E-2</v>
      </c>
      <c r="E318" s="102">
        <f ca="1"/>
        <v>2.8123288058332873E-2</v>
      </c>
      <c r="F318" s="102">
        <f ca="1"/>
        <v>2.9214845199199077E-2</v>
      </c>
      <c r="G318" s="103">
        <f ca="1"/>
        <v>3.0409748087375708E-2</v>
      </c>
    </row>
    <row r="319" spans="2:7">
      <c r="B319" s="101">
        <f ca="1"/>
        <v>52733</v>
      </c>
      <c r="C319" s="102">
        <f ca="1"/>
        <v>2.3389209210273026E-2</v>
      </c>
      <c r="D319" s="102">
        <f ca="1"/>
        <v>2.7059387692331495E-2</v>
      </c>
      <c r="E319" s="102">
        <f ca="1"/>
        <v>2.8113316349767273E-2</v>
      </c>
      <c r="F319" s="102">
        <f ca="1"/>
        <v>2.9204044600165267E-2</v>
      </c>
      <c r="G319" s="103">
        <f ca="1"/>
        <v>3.0399505435576464E-2</v>
      </c>
    </row>
    <row r="320" spans="2:7">
      <c r="B320" s="101">
        <f ca="1"/>
        <v>52763</v>
      </c>
      <c r="C320" s="102">
        <f ca="1"/>
        <v>2.3368746063046252E-2</v>
      </c>
      <c r="D320" s="102">
        <f ca="1"/>
        <v>2.7048253919546846E-2</v>
      </c>
      <c r="E320" s="102">
        <f ca="1"/>
        <v>2.8103815783423258E-2</v>
      </c>
      <c r="F320" s="102">
        <f ca="1"/>
        <v>2.9194176058758164E-2</v>
      </c>
      <c r="G320" s="103">
        <f ca="1"/>
        <v>3.039248285082757E-2</v>
      </c>
    </row>
    <row r="321" spans="2:7">
      <c r="B321" s="101">
        <f ca="1"/>
        <v>52793</v>
      </c>
      <c r="C321" s="102">
        <f ca="1"/>
        <v>2.3350298267611699E-2</v>
      </c>
      <c r="D321" s="102">
        <f ca="1"/>
        <v>2.7039439848005466E-2</v>
      </c>
      <c r="E321" s="102">
        <f ca="1"/>
        <v>2.8094637753028517E-2</v>
      </c>
      <c r="F321" s="102">
        <f ca="1"/>
        <v>2.9188083302359513E-2</v>
      </c>
      <c r="G321" s="103">
        <f ca="1"/>
        <v>3.0388474664128536E-2</v>
      </c>
    </row>
    <row r="322" spans="2:7">
      <c r="B322" s="101">
        <f ca="1"/>
        <v>52824</v>
      </c>
      <c r="C322" s="102">
        <f ca="1"/>
        <v>2.3330619093464736E-2</v>
      </c>
      <c r="D322" s="102">
        <f ca="1"/>
        <v>2.7030102136697889E-2</v>
      </c>
      <c r="E322" s="102">
        <f ca="1"/>
        <v>2.8085846199294093E-2</v>
      </c>
      <c r="F322" s="102">
        <f ca="1"/>
        <v>2.9179214865524508E-2</v>
      </c>
      <c r="G322" s="103">
        <f ca="1"/>
        <v>3.038016117815865E-2</v>
      </c>
    </row>
    <row r="323" spans="2:7">
      <c r="B323" s="101">
        <f ca="1"/>
        <v>52855</v>
      </c>
      <c r="C323" s="102">
        <f ca="1"/>
        <v>2.331303818838314E-2</v>
      </c>
      <c r="D323" s="102">
        <f ca="1"/>
        <v>2.7022304965405711E-2</v>
      </c>
      <c r="E323" s="102">
        <f ca="1"/>
        <v>2.807800368210837E-2</v>
      </c>
      <c r="F323" s="102">
        <f ca="1"/>
        <v>2.9168841656512293E-2</v>
      </c>
      <c r="G323" s="103">
        <f ca="1"/>
        <v>3.0374904785523085E-2</v>
      </c>
    </row>
    <row r="324" spans="2:7">
      <c r="B324" s="101">
        <f ca="1"/>
        <v>52887</v>
      </c>
      <c r="C324" s="102">
        <f ca="1"/>
        <v>2.3296151081819857E-2</v>
      </c>
      <c r="D324" s="102">
        <f ca="1"/>
        <v>2.7013158959116945E-2</v>
      </c>
      <c r="E324" s="102">
        <f ca="1"/>
        <v>2.8070558110312463E-2</v>
      </c>
      <c r="F324" s="102">
        <f ca="1"/>
        <v>2.9163224192532519E-2</v>
      </c>
      <c r="G324" s="103">
        <f ca="1"/>
        <v>3.0370189583925691E-2</v>
      </c>
    </row>
    <row r="325" spans="2:7">
      <c r="B325" s="101">
        <f ca="1"/>
        <v>52916</v>
      </c>
      <c r="C325" s="102">
        <f ca="1"/>
        <v>2.3281962961061588E-2</v>
      </c>
      <c r="D325" s="102">
        <f ca="1"/>
        <v>2.7005375718202659E-2</v>
      </c>
      <c r="E325" s="102">
        <f ca="1"/>
        <v>2.8063927576598067E-2</v>
      </c>
      <c r="F325" s="102">
        <f ca="1"/>
        <v>2.9156676755288685E-2</v>
      </c>
      <c r="G325" s="103">
        <f ca="1"/>
        <v>3.0366540226107453E-2</v>
      </c>
    </row>
    <row r="326" spans="2:7">
      <c r="B326" s="101">
        <f ca="1"/>
        <v>52946</v>
      </c>
      <c r="C326" s="102">
        <f ca="1"/>
        <v>2.3268398414615504E-2</v>
      </c>
      <c r="D326" s="102">
        <f ca="1"/>
        <v>2.7000673365158254E-2</v>
      </c>
      <c r="E326" s="102">
        <f ca="1"/>
        <v>2.8056910880788651E-2</v>
      </c>
      <c r="F326" s="102">
        <f ca="1"/>
        <v>2.9152750066197705E-2</v>
      </c>
      <c r="G326" s="103">
        <f ca="1"/>
        <v>3.0363389272211952E-2</v>
      </c>
    </row>
    <row r="327" spans="2:7">
      <c r="B327" s="101">
        <f ca="1"/>
        <v>52978</v>
      </c>
      <c r="C327" s="102">
        <f ca="1"/>
        <v>2.3255170173073349E-2</v>
      </c>
      <c r="D327" s="102">
        <f ca="1"/>
        <v>2.6993497546648679E-2</v>
      </c>
      <c r="E327" s="102">
        <f ca="1"/>
        <v>2.8049904683138119E-2</v>
      </c>
      <c r="F327" s="102">
        <f ca="1"/>
        <v>2.9148082045560419E-2</v>
      </c>
      <c r="G327" s="103">
        <f ca="1"/>
        <v>3.0360728054600744E-2</v>
      </c>
    </row>
    <row r="328" spans="2:7">
      <c r="B328" s="101">
        <f ca="1"/>
        <v>53008</v>
      </c>
      <c r="C328" s="102">
        <f ca="1"/>
        <v>2.3243941500811591E-2</v>
      </c>
      <c r="D328" s="102">
        <f ca="1"/>
        <v>2.6985471892239689E-2</v>
      </c>
      <c r="E328" s="102">
        <f ca="1"/>
        <v>2.8044664738749215E-2</v>
      </c>
      <c r="F328" s="102">
        <f ca="1"/>
        <v>2.9143225235403331E-2</v>
      </c>
      <c r="G328" s="103">
        <f ca="1"/>
        <v>3.0358889278682587E-2</v>
      </c>
    </row>
    <row r="329" spans="2:7">
      <c r="B329" s="101">
        <f ca="1"/>
        <v>53036</v>
      </c>
      <c r="C329" s="102">
        <f ca="1"/>
        <v>2.3234482979595086E-2</v>
      </c>
      <c r="D329" s="102">
        <f ca="1"/>
        <v>2.6985813664766736E-2</v>
      </c>
      <c r="E329" s="102">
        <f ca="1"/>
        <v>2.8041491718217727E-2</v>
      </c>
      <c r="F329" s="102">
        <f ca="1"/>
        <v>2.9143711352972886E-2</v>
      </c>
      <c r="G329" s="103">
        <f ca="1"/>
        <v>3.035774597874611E-2</v>
      </c>
    </row>
    <row r="330" spans="2:7">
      <c r="B330" s="101">
        <f ca="1"/>
        <v>53069</v>
      </c>
      <c r="C330" s="102">
        <f ca="1"/>
        <v>2.3224594566676863E-2</v>
      </c>
      <c r="D330" s="102">
        <f ca="1"/>
        <v>2.6978572426836444E-2</v>
      </c>
      <c r="E330" s="102">
        <f ca="1"/>
        <v>2.8039220153774965E-2</v>
      </c>
      <c r="F330" s="102">
        <f ca="1"/>
        <v>2.9139847893458342E-2</v>
      </c>
      <c r="G330" s="103">
        <f ca="1"/>
        <v>3.0357108638444149E-2</v>
      </c>
    </row>
    <row r="331" spans="2:7">
      <c r="B331" s="101">
        <f ca="1"/>
        <v>53097</v>
      </c>
      <c r="C331" s="102">
        <f ca="1"/>
        <v>2.3217281294718565E-2</v>
      </c>
      <c r="D331" s="102">
        <f ca="1"/>
        <v>2.6976367381014311E-2</v>
      </c>
      <c r="E331" s="102">
        <f ca="1"/>
        <v>2.8037643210185613E-2</v>
      </c>
      <c r="F331" s="102">
        <f ca="1"/>
        <v>2.9139287019580629E-2</v>
      </c>
      <c r="G331" s="103">
        <f ca="1"/>
        <v>3.0357170372802049E-2</v>
      </c>
    </row>
    <row r="332" spans="2:7">
      <c r="B332" s="101">
        <f ca="1"/>
        <v>53128</v>
      </c>
      <c r="C332" s="102">
        <f ca="1"/>
        <v>2.3210333911969472E-2</v>
      </c>
      <c r="D332" s="102">
        <f ca="1"/>
        <v>2.6974472310085193E-2</v>
      </c>
      <c r="E332" s="102">
        <f ca="1"/>
        <v>2.80355560093993E-2</v>
      </c>
      <c r="F332" s="102">
        <f ca="1"/>
        <v>2.9136860942905216E-2</v>
      </c>
      <c r="G332" s="103">
        <f ca="1"/>
        <v>3.0357883868835919E-2</v>
      </c>
    </row>
    <row r="333" spans="2:7">
      <c r="B333" s="101">
        <f ca="1"/>
        <v>53160</v>
      </c>
      <c r="C333" s="102">
        <f ca="1"/>
        <v>2.3204423605804991E-2</v>
      </c>
      <c r="D333" s="102">
        <f ca="1"/>
        <v>2.6971235566418925E-2</v>
      </c>
      <c r="E333" s="102">
        <f ca="1"/>
        <v>2.80336387558381E-2</v>
      </c>
      <c r="F333" s="102">
        <f ca="1"/>
        <v>2.9137432967997496E-2</v>
      </c>
      <c r="G333" s="103">
        <f ca="1"/>
        <v>3.0359331414215814E-2</v>
      </c>
    </row>
    <row r="334" spans="2:7">
      <c r="B334" s="101">
        <f ca="1"/>
        <v>53189</v>
      </c>
      <c r="C334" s="102">
        <f ca="1"/>
        <v>2.320018311208882E-2</v>
      </c>
      <c r="D334" s="102">
        <f ca="1"/>
        <v>2.6969789424882082E-2</v>
      </c>
      <c r="E334" s="102">
        <f ca="1"/>
        <v>2.803298224480661E-2</v>
      </c>
      <c r="F334" s="102">
        <f ca="1"/>
        <v>2.9137506816837151E-2</v>
      </c>
      <c r="G334" s="103">
        <f ca="1"/>
        <v>3.0361267080689824E-2</v>
      </c>
    </row>
    <row r="335" spans="2:7">
      <c r="B335" s="101">
        <f ca="1"/>
        <v>53220</v>
      </c>
      <c r="C335" s="102">
        <f ca="1"/>
        <v>2.319822614210619E-2</v>
      </c>
      <c r="D335" s="102">
        <f ca="1"/>
        <v>2.6968882210809363E-2</v>
      </c>
      <c r="E335" s="102">
        <f ca="1"/>
        <v>2.8034025728119392E-2</v>
      </c>
      <c r="F335" s="102">
        <f ca="1"/>
        <v>2.9134630096290623E-2</v>
      </c>
      <c r="G335" s="103">
        <f ca="1"/>
        <v>3.0366669934105233E-2</v>
      </c>
    </row>
    <row r="336" spans="2:7">
      <c r="B336" s="101">
        <f ca="1"/>
        <v>53251</v>
      </c>
      <c r="C336" s="102">
        <f ca="1"/>
        <v>2.3194658372942649E-2</v>
      </c>
      <c r="D336" s="102">
        <f ca="1"/>
        <v>2.6968634965746231E-2</v>
      </c>
      <c r="E336" s="102">
        <f ca="1"/>
        <v>2.8036010703552026E-2</v>
      </c>
      <c r="F336" s="102">
        <f ca="1"/>
        <v>2.9137203054672059E-2</v>
      </c>
      <c r="G336" s="103">
        <f ca="1"/>
        <v>3.0367394829777586E-2</v>
      </c>
    </row>
    <row r="337" spans="2:7">
      <c r="B337" s="101">
        <f ca="1"/>
        <v>53281</v>
      </c>
      <c r="C337" s="102">
        <f ca="1"/>
        <v>2.3193721049653976E-2</v>
      </c>
      <c r="D337" s="102">
        <f ca="1"/>
        <v>2.6968001399199203E-2</v>
      </c>
      <c r="E337" s="102">
        <f ca="1"/>
        <v>2.8037597285319179E-2</v>
      </c>
      <c r="F337" s="102">
        <f ca="1"/>
        <v>2.9137945989116353E-2</v>
      </c>
      <c r="G337" s="103">
        <f ca="1"/>
        <v>3.0371333210457142E-2</v>
      </c>
    </row>
    <row r="338" spans="2:7">
      <c r="B338" s="101">
        <f ca="1"/>
        <v>53311</v>
      </c>
      <c r="C338" s="102">
        <f ca="1"/>
        <v>2.3195435891222513E-2</v>
      </c>
      <c r="D338" s="102">
        <f ca="1"/>
        <v>2.6970031229040715E-2</v>
      </c>
      <c r="E338" s="102">
        <f ca="1"/>
        <v>2.8037996545124004E-2</v>
      </c>
      <c r="F338" s="102">
        <f ca="1"/>
        <v>2.9141758914547553E-2</v>
      </c>
      <c r="G338" s="103">
        <f ca="1"/>
        <v>3.0378650588169805E-2</v>
      </c>
    </row>
    <row r="339" spans="2:7">
      <c r="B339" s="101">
        <f ca="1"/>
        <v>53342</v>
      </c>
      <c r="C339" s="102">
        <f ca="1"/>
        <v>2.3195298078481502E-2</v>
      </c>
      <c r="D339" s="102">
        <f ca="1"/>
        <v>2.6971721291524402E-2</v>
      </c>
      <c r="E339" s="102">
        <f ca="1"/>
        <v>2.8038030522270867E-2</v>
      </c>
      <c r="F339" s="102">
        <f ca="1"/>
        <v>2.9145093985829783E-2</v>
      </c>
      <c r="G339" s="103">
        <f ca="1"/>
        <v>3.0381299166361828E-2</v>
      </c>
    </row>
    <row r="340" spans="2:7">
      <c r="B340" s="101">
        <f ca="1"/>
        <v>53373</v>
      </c>
      <c r="C340" s="102">
        <f ca="1"/>
        <v>2.319789190507501E-2</v>
      </c>
      <c r="D340" s="102">
        <f ca="1"/>
        <v>2.6970908255303273E-2</v>
      </c>
      <c r="E340" s="102">
        <f ca="1"/>
        <v>2.8039118309341991E-2</v>
      </c>
      <c r="F340" s="102">
        <f ca="1"/>
        <v>2.9147842742147146E-2</v>
      </c>
      <c r="G340" s="103">
        <f ca="1"/>
        <v>3.0387369831201907E-2</v>
      </c>
    </row>
    <row r="341" spans="2:7">
      <c r="B341" s="101">
        <f ca="1"/>
        <v>53401</v>
      </c>
      <c r="C341" s="102">
        <f ca="1"/>
        <v>2.3201275635520543E-2</v>
      </c>
      <c r="D341" s="102">
        <f ca="1"/>
        <v>2.697782587527324E-2</v>
      </c>
      <c r="E341" s="102">
        <f ca="1"/>
        <v>2.8042057829222724E-2</v>
      </c>
      <c r="F341" s="102">
        <f ca="1"/>
        <v>2.9158350054615909E-2</v>
      </c>
      <c r="G341" s="103">
        <f ca="1"/>
        <v>3.0393435733207914E-2</v>
      </c>
    </row>
    <row r="342" spans="2:7">
      <c r="B342" s="101">
        <f ca="1"/>
        <v>53433</v>
      </c>
      <c r="C342" s="102">
        <f ca="1"/>
        <v>2.320634346855377E-2</v>
      </c>
      <c r="D342" s="102">
        <f ca="1"/>
        <v>2.6979418811543917E-2</v>
      </c>
      <c r="E342" s="102">
        <f ca="1"/>
        <v>2.8047469739200005E-2</v>
      </c>
      <c r="F342" s="102">
        <f ca="1"/>
        <v>2.9160020585291373E-2</v>
      </c>
      <c r="G342" s="103">
        <f ca="1"/>
        <v>3.0401045423594557E-2</v>
      </c>
    </row>
    <row r="343" spans="2:7">
      <c r="B343" s="101">
        <f ca="1"/>
        <v>53462</v>
      </c>
      <c r="C343" s="102">
        <f ca="1"/>
        <v>2.3212050713470437E-2</v>
      </c>
      <c r="D343" s="102">
        <f ca="1"/>
        <v>2.6984485332730141E-2</v>
      </c>
      <c r="E343" s="102">
        <f ca="1"/>
        <v>2.8053496920548038E-2</v>
      </c>
      <c r="F343" s="102">
        <f ca="1"/>
        <v>2.916687810213018E-2</v>
      </c>
      <c r="G343" s="103">
        <f ca="1"/>
        <v>3.0408565635441556E-2</v>
      </c>
    </row>
    <row r="344" spans="2:7">
      <c r="B344" s="101">
        <f ca="1"/>
        <v>53493</v>
      </c>
      <c r="C344" s="102">
        <f ca="1"/>
        <v>2.3221072937085498E-2</v>
      </c>
      <c r="D344" s="102">
        <f ca="1"/>
        <v>2.698939003125506E-2</v>
      </c>
      <c r="E344" s="102">
        <f ca="1"/>
        <v>2.8060389425157397E-2</v>
      </c>
      <c r="F344" s="102">
        <f ca="1"/>
        <v>2.9174789190666947E-2</v>
      </c>
      <c r="G344" s="103">
        <f ca="1"/>
        <v>3.0420138922160684E-2</v>
      </c>
    </row>
    <row r="345" spans="2:7">
      <c r="B345" s="101">
        <f ca="1"/>
        <v>53524</v>
      </c>
      <c r="C345" s="102">
        <f ca="1"/>
        <v>2.3227792753032606E-2</v>
      </c>
      <c r="D345" s="102">
        <f ca="1"/>
        <v>2.699495470252335E-2</v>
      </c>
      <c r="E345" s="102">
        <f ca="1"/>
        <v>2.8067510020605549E-2</v>
      </c>
      <c r="F345" s="102">
        <f ca="1"/>
        <v>2.9180770474183149E-2</v>
      </c>
      <c r="G345" s="103">
        <f ca="1"/>
        <v>3.0426632997822323E-2</v>
      </c>
    </row>
    <row r="346" spans="2:7">
      <c r="B346" s="101">
        <f ca="1"/>
        <v>53554</v>
      </c>
      <c r="C346" s="102">
        <f ca="1"/>
        <v>2.3237146044403759E-2</v>
      </c>
      <c r="D346" s="102">
        <f ca="1"/>
        <v>2.700320670858164E-2</v>
      </c>
      <c r="E346" s="102">
        <f ca="1"/>
        <v>2.8074528304982325E-2</v>
      </c>
      <c r="F346" s="102">
        <f ca="1"/>
        <v>2.9188452358418597E-2</v>
      </c>
      <c r="G346" s="103">
        <f ca="1"/>
        <v>3.0436348409535914E-2</v>
      </c>
    </row>
    <row r="347" spans="2:7">
      <c r="B347" s="101">
        <f ca="1"/>
        <v>53587</v>
      </c>
      <c r="C347" s="102">
        <f ca="1"/>
        <v>2.3248741410511052E-2</v>
      </c>
      <c r="D347" s="102">
        <f ca="1"/>
        <v>2.700716633505745E-2</v>
      </c>
      <c r="E347" s="102">
        <f ca="1"/>
        <v>2.8082318506683211E-2</v>
      </c>
      <c r="F347" s="102">
        <f ca="1"/>
        <v>2.9194958814944855E-2</v>
      </c>
      <c r="G347" s="103">
        <f ca="1"/>
        <v>3.0447768467501392E-2</v>
      </c>
    </row>
    <row r="348" spans="2:7">
      <c r="B348" s="101">
        <f ca="1"/>
        <v>53615</v>
      </c>
      <c r="C348" s="102">
        <f ca="1"/>
        <v>2.3259648235873922E-2</v>
      </c>
      <c r="D348" s="102">
        <f ca="1"/>
        <v>2.7015101843945451E-2</v>
      </c>
      <c r="E348" s="102">
        <f ca="1"/>
        <v>2.8089027930197678E-2</v>
      </c>
      <c r="F348" s="102">
        <f ca="1"/>
        <v>2.9203315188006708E-2</v>
      </c>
      <c r="G348" s="103">
        <f ca="1"/>
        <v>3.0458060782009234E-2</v>
      </c>
    </row>
    <row r="349" spans="2:7">
      <c r="B349" s="101">
        <f ca="1"/>
        <v>53646</v>
      </c>
      <c r="C349" s="102">
        <f ca="1"/>
        <v>2.3272876671870744E-2</v>
      </c>
      <c r="D349" s="102">
        <f ca="1"/>
        <v>2.7024416136377336E-2</v>
      </c>
      <c r="E349" s="102">
        <f ca="1"/>
        <v>2.8096640044435579E-2</v>
      </c>
      <c r="F349" s="102">
        <f ca="1"/>
        <v>2.9211848232485228E-2</v>
      </c>
      <c r="G349" s="103">
        <f ca="1"/>
        <v>3.0470101198770277E-2</v>
      </c>
    </row>
    <row r="350" spans="2:7">
      <c r="B350" s="101">
        <f ca="1"/>
        <v>53678</v>
      </c>
      <c r="C350" s="102">
        <f ca="1"/>
        <v>2.328780036383294E-2</v>
      </c>
      <c r="D350" s="102">
        <f ca="1"/>
        <v>2.7032381281499981E-2</v>
      </c>
      <c r="E350" s="102">
        <f ca="1"/>
        <v>2.8104874988528986E-2</v>
      </c>
      <c r="F350" s="102">
        <f ca="1"/>
        <v>2.9224110935675444E-2</v>
      </c>
      <c r="G350" s="103">
        <f ca="1"/>
        <v>3.0483241438662625E-2</v>
      </c>
    </row>
    <row r="351" spans="2:7">
      <c r="B351" s="101">
        <f ca="1"/>
        <v>53707</v>
      </c>
      <c r="C351" s="102">
        <f ca="1"/>
        <v>2.3302430983428764E-2</v>
      </c>
      <c r="D351" s="102">
        <f ca="1"/>
        <v>2.7041251447531341E-2</v>
      </c>
      <c r="E351" s="102">
        <f ca="1"/>
        <v>2.8113255014325749E-2</v>
      </c>
      <c r="F351" s="102">
        <f ca="1"/>
        <v>2.9233233850894186E-2</v>
      </c>
      <c r="G351" s="103">
        <f ca="1"/>
        <v>3.0495774100980311E-2</v>
      </c>
    </row>
    <row r="352" spans="2:7">
      <c r="B352" s="101">
        <f ca="1"/>
        <v>53738</v>
      </c>
      <c r="C352" s="102">
        <f ca="1"/>
        <v>2.3321316119810025E-2</v>
      </c>
      <c r="D352" s="102">
        <f ca="1"/>
        <v>2.7047815686295489E-2</v>
      </c>
      <c r="E352" s="102">
        <f ca="1"/>
        <v>2.8123960740369627E-2</v>
      </c>
      <c r="F352" s="102">
        <f ca="1"/>
        <v>2.9245093652590686E-2</v>
      </c>
      <c r="G352" s="103">
        <f ca="1"/>
        <v>3.0512894935611001E-2</v>
      </c>
    </row>
    <row r="353" spans="2:7">
      <c r="B353" s="101">
        <f ca="1"/>
        <v>53766</v>
      </c>
      <c r="C353" s="102">
        <f ca="1"/>
        <v>2.3337577954222415E-2</v>
      </c>
      <c r="D353" s="102">
        <f ca="1"/>
        <v>2.7061080445624986E-2</v>
      </c>
      <c r="E353" s="102">
        <f ca="1"/>
        <v>2.8135667404078309E-2</v>
      </c>
      <c r="F353" s="102">
        <f ca="1"/>
        <v>2.9261982583463922E-2</v>
      </c>
      <c r="G353" s="103">
        <f ca="1"/>
        <v>3.052619327460851E-2</v>
      </c>
    </row>
    <row r="354" spans="2:7">
      <c r="B354" s="101">
        <f ca="1"/>
        <v>53797</v>
      </c>
      <c r="C354" s="102">
        <f ca="1"/>
        <v>2.3354574487423351E-2</v>
      </c>
      <c r="D354" s="102">
        <f ca="1"/>
        <v>2.7071249515239988E-2</v>
      </c>
      <c r="E354" s="102">
        <f ca="1"/>
        <v>2.8150039421145176E-2</v>
      </c>
      <c r="F354" s="102">
        <f ca="1"/>
        <v>2.927233593552344E-2</v>
      </c>
      <c r="G354" s="103">
        <f ca="1"/>
        <v>3.0540005273254643E-2</v>
      </c>
    </row>
    <row r="355" spans="2:7">
      <c r="B355" s="101">
        <f ca="1"/>
        <v>53827</v>
      </c>
      <c r="C355" s="102">
        <f ca="1"/>
        <v>2.3374218586840381E-2</v>
      </c>
      <c r="D355" s="102">
        <f ca="1"/>
        <v>2.708653361673816E-2</v>
      </c>
      <c r="E355" s="102">
        <f ca="1"/>
        <v>2.8163972077359961E-2</v>
      </c>
      <c r="F355" s="102">
        <f ca="1"/>
        <v>2.9287127221821845E-2</v>
      </c>
      <c r="G355" s="103">
        <f ca="1"/>
        <v>3.0555512668500703E-2</v>
      </c>
    </row>
    <row r="356" spans="2:7">
      <c r="B356" s="101">
        <f ca="1"/>
        <v>53860</v>
      </c>
      <c r="C356" s="102">
        <f ca="1"/>
        <v>2.3397133344182062E-2</v>
      </c>
      <c r="D356" s="102">
        <f ca="1"/>
        <v>2.7096379802439004E-2</v>
      </c>
      <c r="E356" s="102">
        <f ca="1"/>
        <v>2.8178107159485172E-2</v>
      </c>
      <c r="F356" s="102">
        <f ca="1"/>
        <v>2.9301129984509459E-2</v>
      </c>
      <c r="G356" s="103">
        <f ca="1"/>
        <v>3.0573304729607082E-2</v>
      </c>
    </row>
    <row r="357" spans="2:7">
      <c r="B357" s="101">
        <f ca="1"/>
        <v>53888</v>
      </c>
      <c r="C357" s="102">
        <f ca="1"/>
        <v>2.3417644682839567E-2</v>
      </c>
      <c r="D357" s="102">
        <f ca="1"/>
        <v>2.7109665327007544E-2</v>
      </c>
      <c r="E357" s="102">
        <f ca="1"/>
        <v>2.8189688114139855E-2</v>
      </c>
      <c r="F357" s="102">
        <f ca="1"/>
        <v>2.9316261040982897E-2</v>
      </c>
      <c r="G357" s="103">
        <f ca="1"/>
        <v>3.0589003967427426E-2</v>
      </c>
    </row>
    <row r="358" spans="2:7">
      <c r="B358" s="101">
        <f ca="1"/>
        <v>53919</v>
      </c>
      <c r="C358" s="102">
        <f ca="1"/>
        <v>2.344150679141865E-2</v>
      </c>
      <c r="D358" s="102">
        <f ca="1"/>
        <v>2.7124892958428747E-2</v>
      </c>
      <c r="E358" s="102">
        <f ca="1"/>
        <v>2.8203162159469913E-2</v>
      </c>
      <c r="F358" s="102">
        <f ca="1"/>
        <v>2.9334979258533685E-2</v>
      </c>
      <c r="G358" s="103">
        <f ca="1"/>
        <v>3.0610242681044172E-2</v>
      </c>
    </row>
    <row r="359" spans="2:7">
      <c r="B359" s="101">
        <f ca="1"/>
        <v>53951</v>
      </c>
      <c r="C359" s="102">
        <f ca="1"/>
        <v>2.3467407397348664E-2</v>
      </c>
      <c r="D359" s="102">
        <f ca="1"/>
        <v>2.7137490911193603E-2</v>
      </c>
      <c r="E359" s="102">
        <f ca="1"/>
        <v>2.8218735411901417E-2</v>
      </c>
      <c r="F359" s="102">
        <f ca="1"/>
        <v>2.9346123222914553E-2</v>
      </c>
      <c r="G359" s="103">
        <f ca="1"/>
        <v>3.0626335442601967E-2</v>
      </c>
    </row>
    <row r="360" spans="2:7">
      <c r="B360" s="101">
        <f ca="1"/>
        <v>53980</v>
      </c>
      <c r="C360" s="102">
        <f ca="1"/>
        <v>2.3491986219016561E-2</v>
      </c>
      <c r="D360" s="102">
        <f ca="1"/>
        <v>2.71530636351381E-2</v>
      </c>
      <c r="E360" s="102">
        <f ca="1"/>
        <v>2.8233970121481301E-2</v>
      </c>
      <c r="F360" s="102">
        <f ca="1"/>
        <v>2.9363613115595447E-2</v>
      </c>
      <c r="G360" s="103">
        <f ca="1"/>
        <v>3.0644381695823248E-2</v>
      </c>
    </row>
    <row r="361" spans="2:7">
      <c r="B361" s="101">
        <f ca="1"/>
        <v>54011</v>
      </c>
      <c r="C361" s="102">
        <f ca="1"/>
        <v>2.3521875122788586E-2</v>
      </c>
      <c r="D361" s="102">
        <f ca="1"/>
        <v>2.7168996306957394E-2</v>
      </c>
      <c r="E361" s="102">
        <f ca="1"/>
        <v>2.8250620918825492E-2</v>
      </c>
      <c r="F361" s="102">
        <f ca="1"/>
        <v>2.937988725058216E-2</v>
      </c>
      <c r="G361" s="103">
        <f ca="1"/>
        <v>3.0665813778766027E-2</v>
      </c>
    </row>
    <row r="362" spans="2:7">
      <c r="B362" s="101">
        <f ca="1"/>
        <v>54042</v>
      </c>
      <c r="C362" s="102">
        <f ca="1"/>
        <v>2.3548087237597323E-2</v>
      </c>
      <c r="D362" s="102">
        <f ca="1"/>
        <v>2.7185588981531072E-2</v>
      </c>
      <c r="E362" s="102">
        <f ca="1"/>
        <v>2.8267035345050533E-2</v>
      </c>
      <c r="F362" s="102">
        <f ca="1"/>
        <v>2.939982097970327E-2</v>
      </c>
      <c r="G362" s="103">
        <f ca="1"/>
        <v>3.0684430906196093E-2</v>
      </c>
    </row>
    <row r="363" spans="2:7">
      <c r="B363" s="101">
        <f ca="1"/>
        <v>54072</v>
      </c>
      <c r="C363" s="102">
        <f ca="1"/>
        <v>2.357696223228245E-2</v>
      </c>
      <c r="D363" s="102">
        <f ca="1"/>
        <v>2.7204899355385222E-2</v>
      </c>
      <c r="E363" s="102">
        <f ca="1"/>
        <v>2.8283197630218457E-2</v>
      </c>
      <c r="F363" s="102">
        <f ca="1"/>
        <v>2.9416781422442168E-2</v>
      </c>
      <c r="G363" s="103">
        <f ca="1"/>
        <v>3.0704385449709826E-2</v>
      </c>
    </row>
    <row r="364" spans="2:7">
      <c r="B364" s="101">
        <f ca="1"/>
        <v>54105</v>
      </c>
      <c r="C364" s="102">
        <f ca="1"/>
        <v>2.3610035174857241E-2</v>
      </c>
      <c r="D364" s="102">
        <f ca="1"/>
        <v>2.7218694346943913E-2</v>
      </c>
      <c r="E364" s="102">
        <f ca="1"/>
        <v>2.8302305475626198E-2</v>
      </c>
      <c r="F364" s="102">
        <f ca="1"/>
        <v>2.9437819553729989E-2</v>
      </c>
      <c r="G364" s="103">
        <f ca="1"/>
        <v>3.0726657261459869E-2</v>
      </c>
    </row>
    <row r="365" spans="2:7">
      <c r="B365" s="101">
        <f ca="1"/>
        <v>54133</v>
      </c>
      <c r="C365" s="102">
        <f ca="1"/>
        <v>2.3639171241666208E-2</v>
      </c>
      <c r="D365" s="102">
        <f ca="1"/>
        <v>2.7238108837221314E-2</v>
      </c>
      <c r="E365" s="102">
        <f ca="1"/>
        <v>2.832021614806433E-2</v>
      </c>
      <c r="F365" s="102">
        <f ca="1"/>
        <v>2.9459328160717717E-2</v>
      </c>
      <c r="G365" s="103">
        <f ca="1"/>
        <v>3.0744106059723025E-2</v>
      </c>
    </row>
    <row r="366" spans="2:7">
      <c r="B366" s="101">
        <f ca="1"/>
        <v>54163</v>
      </c>
      <c r="C366" s="102">
        <f ca="1"/>
        <v>2.3671477417670842E-2</v>
      </c>
      <c r="D366" s="102">
        <f ca="1"/>
        <v>2.7255322455992326E-2</v>
      </c>
      <c r="E366" s="102">
        <f ca="1"/>
        <v>2.8340687614594167E-2</v>
      </c>
      <c r="F366" s="102">
        <f ca="1"/>
        <v>2.9478006031178512E-2</v>
      </c>
      <c r="G366" s="103">
        <f ca="1"/>
        <v>3.0764694125151835E-2</v>
      </c>
    </row>
    <row r="367" spans="2:7">
      <c r="B367" s="101">
        <f ca="1"/>
        <v>54193</v>
      </c>
      <c r="C367" s="102">
        <f ca="1"/>
        <v>2.370761436938508E-2</v>
      </c>
      <c r="D367" s="102">
        <f ca="1"/>
        <v>2.7275848469203397E-2</v>
      </c>
      <c r="E367" s="102">
        <f ca="1"/>
        <v>2.8361689155725667E-2</v>
      </c>
      <c r="F367" s="102">
        <f ca="1"/>
        <v>2.9501680194326901E-2</v>
      </c>
      <c r="G367" s="103">
        <f ca="1"/>
        <v>3.0788635613812856E-2</v>
      </c>
    </row>
    <row r="368" spans="2:7">
      <c r="B368" s="101">
        <f ca="1"/>
        <v>54224</v>
      </c>
      <c r="C368" s="102">
        <f ca="1"/>
        <v>2.3740662994378527E-2</v>
      </c>
      <c r="D368" s="102">
        <f ca="1"/>
        <v>2.7294944916222474E-2</v>
      </c>
      <c r="E368" s="102">
        <f ca="1"/>
        <v>2.8383225996732476E-2</v>
      </c>
      <c r="F368" s="102">
        <f ca="1"/>
        <v>2.9520055623968557E-2</v>
      </c>
      <c r="G368" s="103">
        <f ca="1"/>
        <v>3.0806679585142816E-2</v>
      </c>
    </row>
    <row r="369" spans="2:7">
      <c r="B369" s="101">
        <f ca="1"/>
        <v>54254</v>
      </c>
      <c r="C369" s="102">
        <f ca="1"/>
        <v>2.377639722035679E-2</v>
      </c>
      <c r="D369" s="102">
        <f ca="1"/>
        <v>2.7319518600194385E-2</v>
      </c>
      <c r="E369" s="102">
        <f ca="1"/>
        <v>2.8403921541126184E-2</v>
      </c>
      <c r="F369" s="102">
        <f ca="1"/>
        <v>2.9542460593606389E-2</v>
      </c>
      <c r="G369" s="103">
        <f ca="1"/>
        <v>3.0827238827771154E-2</v>
      </c>
    </row>
    <row r="370" spans="2:7">
      <c r="B370" s="101">
        <f ca="1"/>
        <v>54287</v>
      </c>
      <c r="C370" s="102">
        <f ca="1"/>
        <v>2.3817013137675733E-2</v>
      </c>
      <c r="D370" s="102">
        <f ca="1"/>
        <v>2.7339794515540188E-2</v>
      </c>
      <c r="E370" s="102">
        <f ca="1"/>
        <v>2.8426808551606585E-2</v>
      </c>
      <c r="F370" s="102">
        <f ca="1"/>
        <v>2.9565304803071568E-2</v>
      </c>
      <c r="G370" s="103">
        <f ca="1"/>
        <v>3.0849667465168228E-2</v>
      </c>
    </row>
    <row r="371" spans="2:7">
      <c r="B371" s="101" t="e">
        <f ca="1"/>
        <v>#N/A</v>
      </c>
      <c r="C371" s="102" t="e">
        <f ca="1"/>
        <v>#N/A</v>
      </c>
      <c r="D371" s="102" t="e">
        <f ca="1"/>
        <v>#N/A</v>
      </c>
      <c r="E371" s="102" t="e">
        <f ca="1"/>
        <v>#N/A</v>
      </c>
      <c r="F371" s="102" t="e">
        <f ca="1"/>
        <v>#N/A</v>
      </c>
      <c r="G371" s="103" t="e">
        <f ca="1"/>
        <v>#N/A</v>
      </c>
    </row>
    <row r="372" spans="2:7">
      <c r="B372" s="101" t="e">
        <f ca="1"/>
        <v>#N/A</v>
      </c>
      <c r="C372" s="102" t="e">
        <f ca="1"/>
        <v>#N/A</v>
      </c>
      <c r="D372" s="102" t="e">
        <f ca="1"/>
        <v>#N/A</v>
      </c>
      <c r="E372" s="102" t="e">
        <f ca="1"/>
        <v>#N/A</v>
      </c>
      <c r="F372" s="102" t="e">
        <f ca="1"/>
        <v>#N/A</v>
      </c>
      <c r="G372" s="103" t="e">
        <f ca="1"/>
        <v>#N/A</v>
      </c>
    </row>
    <row r="373" spans="2:7">
      <c r="B373" s="101" t="e">
        <f ca="1"/>
        <v>#N/A</v>
      </c>
      <c r="C373" s="102" t="e">
        <f ca="1"/>
        <v>#N/A</v>
      </c>
      <c r="D373" s="102" t="e">
        <f ca="1"/>
        <v>#N/A</v>
      </c>
      <c r="E373" s="102" t="e">
        <f ca="1"/>
        <v>#N/A</v>
      </c>
      <c r="F373" s="102" t="e">
        <f ca="1"/>
        <v>#N/A</v>
      </c>
      <c r="G373" s="103" t="e">
        <f ca="1"/>
        <v>#N/A</v>
      </c>
    </row>
    <row r="374" spans="2:7">
      <c r="B374" s="101" t="e">
        <f ca="1"/>
        <v>#N/A</v>
      </c>
      <c r="C374" s="102" t="e">
        <f ca="1"/>
        <v>#N/A</v>
      </c>
      <c r="D374" s="102" t="e">
        <f ca="1"/>
        <v>#N/A</v>
      </c>
      <c r="E374" s="102" t="e">
        <f ca="1"/>
        <v>#N/A</v>
      </c>
      <c r="F374" s="102" t="e">
        <f ca="1"/>
        <v>#N/A</v>
      </c>
      <c r="G374" s="103" t="e">
        <f ca="1"/>
        <v>#N/A</v>
      </c>
    </row>
    <row r="375" spans="2:7">
      <c r="B375" s="101" t="e">
        <f ca="1"/>
        <v>#N/A</v>
      </c>
      <c r="C375" s="102" t="e">
        <f ca="1"/>
        <v>#N/A</v>
      </c>
      <c r="D375" s="102" t="e">
        <f ca="1"/>
        <v>#N/A</v>
      </c>
      <c r="E375" s="102" t="e">
        <f ca="1"/>
        <v>#N/A</v>
      </c>
      <c r="F375" s="102" t="e">
        <f ca="1"/>
        <v>#N/A</v>
      </c>
      <c r="G375" s="103" t="e">
        <f ca="1"/>
        <v>#N/A</v>
      </c>
    </row>
    <row r="376" spans="2:7">
      <c r="B376" s="101" t="e">
        <f ca="1"/>
        <v>#N/A</v>
      </c>
      <c r="C376" s="102" t="e">
        <f ca="1"/>
        <v>#N/A</v>
      </c>
      <c r="D376" s="102" t="e">
        <f ca="1"/>
        <v>#N/A</v>
      </c>
      <c r="E376" s="102" t="e">
        <f ca="1"/>
        <v>#N/A</v>
      </c>
      <c r="F376" s="102" t="e">
        <f ca="1"/>
        <v>#N/A</v>
      </c>
      <c r="G376" s="103" t="e">
        <f ca="1"/>
        <v>#N/A</v>
      </c>
    </row>
    <row r="377" spans="2:7">
      <c r="B377" s="101" t="e">
        <f ca="1"/>
        <v>#N/A</v>
      </c>
      <c r="C377" s="102" t="e">
        <f ca="1"/>
        <v>#N/A</v>
      </c>
      <c r="D377" s="102" t="e">
        <f ca="1"/>
        <v>#N/A</v>
      </c>
      <c r="E377" s="102" t="e">
        <f ca="1"/>
        <v>#N/A</v>
      </c>
      <c r="F377" s="102" t="e">
        <f ca="1"/>
        <v>#N/A</v>
      </c>
      <c r="G377" s="103" t="e">
        <f ca="1"/>
        <v>#N/A</v>
      </c>
    </row>
    <row r="378" spans="2:7">
      <c r="B378" s="101" t="e">
        <f ca="1"/>
        <v>#N/A</v>
      </c>
      <c r="C378" s="102" t="e">
        <f ca="1"/>
        <v>#N/A</v>
      </c>
      <c r="D378" s="102" t="e">
        <f ca="1"/>
        <v>#N/A</v>
      </c>
      <c r="E378" s="102" t="e">
        <f ca="1"/>
        <v>#N/A</v>
      </c>
      <c r="F378" s="102" t="e">
        <f ca="1"/>
        <v>#N/A</v>
      </c>
      <c r="G378" s="103" t="e">
        <f ca="1"/>
        <v>#N/A</v>
      </c>
    </row>
    <row r="379" spans="2:7">
      <c r="B379" s="101" t="e">
        <f ca="1"/>
        <v>#N/A</v>
      </c>
      <c r="C379" s="102" t="e">
        <f ca="1"/>
        <v>#N/A</v>
      </c>
      <c r="D379" s="102" t="e">
        <f ca="1"/>
        <v>#N/A</v>
      </c>
      <c r="E379" s="102" t="e">
        <f ca="1"/>
        <v>#N/A</v>
      </c>
      <c r="F379" s="102" t="e">
        <f ca="1"/>
        <v>#N/A</v>
      </c>
      <c r="G379" s="103" t="e">
        <f ca="1"/>
        <v>#N/A</v>
      </c>
    </row>
    <row r="380" spans="2:7">
      <c r="B380" s="101" t="e">
        <f ca="1"/>
        <v>#N/A</v>
      </c>
      <c r="C380" s="102" t="e">
        <f ca="1"/>
        <v>#N/A</v>
      </c>
      <c r="D380" s="102" t="e">
        <f ca="1"/>
        <v>#N/A</v>
      </c>
      <c r="E380" s="102" t="e">
        <f ca="1"/>
        <v>#N/A</v>
      </c>
      <c r="F380" s="102" t="e">
        <f ca="1"/>
        <v>#N/A</v>
      </c>
      <c r="G380" s="103" t="e">
        <f ca="1"/>
        <v>#N/A</v>
      </c>
    </row>
    <row r="381" spans="2:7">
      <c r="B381" s="101" t="e">
        <f ca="1"/>
        <v>#N/A</v>
      </c>
      <c r="C381" s="102" t="e">
        <f ca="1"/>
        <v>#N/A</v>
      </c>
      <c r="D381" s="102" t="e">
        <f ca="1"/>
        <v>#N/A</v>
      </c>
      <c r="E381" s="102" t="e">
        <f ca="1"/>
        <v>#N/A</v>
      </c>
      <c r="F381" s="102" t="e">
        <f ca="1"/>
        <v>#N/A</v>
      </c>
      <c r="G381" s="103" t="e">
        <f ca="1"/>
        <v>#N/A</v>
      </c>
    </row>
    <row r="382" spans="2:7">
      <c r="B382" s="101" t="e">
        <f ca="1"/>
        <v>#N/A</v>
      </c>
      <c r="C382" s="102" t="e">
        <f ca="1"/>
        <v>#N/A</v>
      </c>
      <c r="D382" s="102" t="e">
        <f ca="1"/>
        <v>#N/A</v>
      </c>
      <c r="E382" s="102" t="e">
        <f ca="1"/>
        <v>#N/A</v>
      </c>
      <c r="F382" s="102" t="e">
        <f ca="1"/>
        <v>#N/A</v>
      </c>
      <c r="G382" s="103" t="e">
        <f ca="1"/>
        <v>#N/A</v>
      </c>
    </row>
    <row r="383" spans="2:7">
      <c r="B383" s="101" t="e">
        <f ca="1"/>
        <v>#N/A</v>
      </c>
      <c r="C383" s="102" t="e">
        <f ca="1"/>
        <v>#N/A</v>
      </c>
      <c r="D383" s="102" t="e">
        <f ca="1"/>
        <v>#N/A</v>
      </c>
      <c r="E383" s="102" t="e">
        <f ca="1"/>
        <v>#N/A</v>
      </c>
      <c r="F383" s="102" t="e">
        <f ca="1"/>
        <v>#N/A</v>
      </c>
      <c r="G383" s="103" t="e">
        <f ca="1"/>
        <v>#N/A</v>
      </c>
    </row>
    <row r="384" spans="2:7">
      <c r="B384" s="101" t="e">
        <f ca="1"/>
        <v>#N/A</v>
      </c>
      <c r="C384" s="102" t="e">
        <f ca="1"/>
        <v>#N/A</v>
      </c>
      <c r="D384" s="102" t="e">
        <f ca="1"/>
        <v>#N/A</v>
      </c>
      <c r="E384" s="102" t="e">
        <f ca="1"/>
        <v>#N/A</v>
      </c>
      <c r="F384" s="102" t="e">
        <f ca="1"/>
        <v>#N/A</v>
      </c>
      <c r="G384" s="103" t="e">
        <f ca="1"/>
        <v>#N/A</v>
      </c>
    </row>
    <row r="385" spans="2:7">
      <c r="B385" s="101" t="e">
        <f ca="1"/>
        <v>#N/A</v>
      </c>
      <c r="C385" s="102" t="e">
        <f ca="1"/>
        <v>#N/A</v>
      </c>
      <c r="D385" s="102" t="e">
        <f ca="1"/>
        <v>#N/A</v>
      </c>
      <c r="E385" s="102" t="e">
        <f ca="1"/>
        <v>#N/A</v>
      </c>
      <c r="F385" s="102" t="e">
        <f ca="1"/>
        <v>#N/A</v>
      </c>
      <c r="G385" s="103" t="e">
        <f ca="1"/>
        <v>#N/A</v>
      </c>
    </row>
    <row r="386" spans="2:7">
      <c r="B386" s="101" t="e">
        <f ca="1"/>
        <v>#N/A</v>
      </c>
      <c r="C386" s="102" t="e">
        <f ca="1"/>
        <v>#N/A</v>
      </c>
      <c r="D386" s="102" t="e">
        <f ca="1"/>
        <v>#N/A</v>
      </c>
      <c r="E386" s="102" t="e">
        <f ca="1"/>
        <v>#N/A</v>
      </c>
      <c r="F386" s="102" t="e">
        <f ca="1"/>
        <v>#N/A</v>
      </c>
      <c r="G386" s="103" t="e">
        <f ca="1"/>
        <v>#N/A</v>
      </c>
    </row>
    <row r="387" spans="2:7">
      <c r="B387" s="101" t="e">
        <f ca="1"/>
        <v>#N/A</v>
      </c>
      <c r="C387" s="102" t="e">
        <f ca="1"/>
        <v>#N/A</v>
      </c>
      <c r="D387" s="102" t="e">
        <f ca="1"/>
        <v>#N/A</v>
      </c>
      <c r="E387" s="102" t="e">
        <f ca="1"/>
        <v>#N/A</v>
      </c>
      <c r="F387" s="102" t="e">
        <f ca="1"/>
        <v>#N/A</v>
      </c>
      <c r="G387" s="103" t="e">
        <f ca="1"/>
        <v>#N/A</v>
      </c>
    </row>
    <row r="388" spans="2:7">
      <c r="B388" s="101" t="e">
        <f ca="1"/>
        <v>#N/A</v>
      </c>
      <c r="C388" s="102" t="e">
        <f ca="1"/>
        <v>#N/A</v>
      </c>
      <c r="D388" s="102" t="e">
        <f ca="1"/>
        <v>#N/A</v>
      </c>
      <c r="E388" s="102" t="e">
        <f ca="1"/>
        <v>#N/A</v>
      </c>
      <c r="F388" s="102" t="e">
        <f ca="1"/>
        <v>#N/A</v>
      </c>
      <c r="G388" s="103" t="e">
        <f ca="1"/>
        <v>#N/A</v>
      </c>
    </row>
    <row r="389" spans="2:7">
      <c r="B389" s="101" t="e">
        <f ca="1"/>
        <v>#N/A</v>
      </c>
      <c r="C389" s="102" t="e">
        <f ca="1"/>
        <v>#N/A</v>
      </c>
      <c r="D389" s="102" t="e">
        <f ca="1"/>
        <v>#N/A</v>
      </c>
      <c r="E389" s="102" t="e">
        <f ca="1"/>
        <v>#N/A</v>
      </c>
      <c r="F389" s="102" t="e">
        <f ca="1"/>
        <v>#N/A</v>
      </c>
      <c r="G389" s="103" t="e">
        <f ca="1"/>
        <v>#N/A</v>
      </c>
    </row>
    <row r="390" spans="2:7">
      <c r="B390" s="101" t="e">
        <f ca="1"/>
        <v>#N/A</v>
      </c>
      <c r="C390" s="102" t="e">
        <f ca="1"/>
        <v>#N/A</v>
      </c>
      <c r="D390" s="102" t="e">
        <f ca="1"/>
        <v>#N/A</v>
      </c>
      <c r="E390" s="102" t="e">
        <f ca="1"/>
        <v>#N/A</v>
      </c>
      <c r="F390" s="102" t="e">
        <f ca="1"/>
        <v>#N/A</v>
      </c>
      <c r="G390" s="103" t="e">
        <f ca="1"/>
        <v>#N/A</v>
      </c>
    </row>
    <row r="391" spans="2:7">
      <c r="B391" s="101" t="e">
        <f ca="1"/>
        <v>#N/A</v>
      </c>
      <c r="C391" s="102" t="e">
        <f ca="1"/>
        <v>#N/A</v>
      </c>
      <c r="D391" s="102" t="e">
        <f ca="1"/>
        <v>#N/A</v>
      </c>
      <c r="E391" s="102" t="e">
        <f ca="1"/>
        <v>#N/A</v>
      </c>
      <c r="F391" s="102" t="e">
        <f ca="1"/>
        <v>#N/A</v>
      </c>
      <c r="G391" s="103" t="e">
        <f ca="1"/>
        <v>#N/A</v>
      </c>
    </row>
    <row r="392" spans="2:7">
      <c r="B392" s="101" t="e">
        <f ca="1"/>
        <v>#N/A</v>
      </c>
      <c r="C392" s="102" t="e">
        <f ca="1"/>
        <v>#N/A</v>
      </c>
      <c r="D392" s="102" t="e">
        <f ca="1"/>
        <v>#N/A</v>
      </c>
      <c r="E392" s="102" t="e">
        <f ca="1"/>
        <v>#N/A</v>
      </c>
      <c r="F392" s="102" t="e">
        <f ca="1"/>
        <v>#N/A</v>
      </c>
      <c r="G392" s="103" t="e">
        <f ca="1"/>
        <v>#N/A</v>
      </c>
    </row>
    <row r="393" spans="2:7">
      <c r="B393" s="101" t="e">
        <f ca="1"/>
        <v>#N/A</v>
      </c>
      <c r="C393" s="102" t="e">
        <f ca="1"/>
        <v>#N/A</v>
      </c>
      <c r="D393" s="102" t="e">
        <f ca="1"/>
        <v>#N/A</v>
      </c>
      <c r="E393" s="102" t="e">
        <f ca="1"/>
        <v>#N/A</v>
      </c>
      <c r="F393" s="102" t="e">
        <f ca="1"/>
        <v>#N/A</v>
      </c>
      <c r="G393" s="103" t="e">
        <f ca="1"/>
        <v>#N/A</v>
      </c>
    </row>
    <row r="394" spans="2:7">
      <c r="B394" s="101" t="e">
        <f ca="1"/>
        <v>#N/A</v>
      </c>
      <c r="C394" s="102" t="e">
        <f ca="1"/>
        <v>#N/A</v>
      </c>
      <c r="D394" s="102" t="e">
        <f ca="1"/>
        <v>#N/A</v>
      </c>
      <c r="E394" s="102" t="e">
        <f ca="1"/>
        <v>#N/A</v>
      </c>
      <c r="F394" s="102" t="e">
        <f ca="1"/>
        <v>#N/A</v>
      </c>
      <c r="G394" s="103" t="e">
        <f ca="1"/>
        <v>#N/A</v>
      </c>
    </row>
    <row r="395" spans="2:7">
      <c r="B395" s="101" t="e">
        <f ca="1"/>
        <v>#N/A</v>
      </c>
      <c r="C395" s="102" t="e">
        <f ca="1"/>
        <v>#N/A</v>
      </c>
      <c r="D395" s="102" t="e">
        <f ca="1"/>
        <v>#N/A</v>
      </c>
      <c r="E395" s="102" t="e">
        <f ca="1"/>
        <v>#N/A</v>
      </c>
      <c r="F395" s="102" t="e">
        <f ca="1"/>
        <v>#N/A</v>
      </c>
      <c r="G395" s="103" t="e">
        <f ca="1"/>
        <v>#N/A</v>
      </c>
    </row>
    <row r="396" spans="2:7">
      <c r="B396" s="101" t="e">
        <f ca="1"/>
        <v>#N/A</v>
      </c>
      <c r="C396" s="102" t="e">
        <f ca="1"/>
        <v>#N/A</v>
      </c>
      <c r="D396" s="102" t="e">
        <f ca="1"/>
        <v>#N/A</v>
      </c>
      <c r="E396" s="102" t="e">
        <f ca="1"/>
        <v>#N/A</v>
      </c>
      <c r="F396" s="102" t="e">
        <f ca="1"/>
        <v>#N/A</v>
      </c>
      <c r="G396" s="103" t="e">
        <f ca="1"/>
        <v>#N/A</v>
      </c>
    </row>
    <row r="397" spans="2:7">
      <c r="B397" s="101" t="e">
        <f ca="1"/>
        <v>#N/A</v>
      </c>
      <c r="C397" s="102" t="e">
        <f ca="1"/>
        <v>#N/A</v>
      </c>
      <c r="D397" s="102" t="e">
        <f ca="1"/>
        <v>#N/A</v>
      </c>
      <c r="E397" s="102" t="e">
        <f ca="1"/>
        <v>#N/A</v>
      </c>
      <c r="F397" s="102" t="e">
        <f ca="1"/>
        <v>#N/A</v>
      </c>
      <c r="G397" s="103" t="e">
        <f ca="1"/>
        <v>#N/A</v>
      </c>
    </row>
    <row r="398" spans="2:7">
      <c r="B398" s="101" t="e">
        <f ca="1"/>
        <v>#N/A</v>
      </c>
      <c r="C398" s="102" t="e">
        <f ca="1"/>
        <v>#N/A</v>
      </c>
      <c r="D398" s="102" t="e">
        <f ca="1"/>
        <v>#N/A</v>
      </c>
      <c r="E398" s="102" t="e">
        <f ca="1"/>
        <v>#N/A</v>
      </c>
      <c r="F398" s="102" t="e">
        <f ca="1"/>
        <v>#N/A</v>
      </c>
      <c r="G398" s="103" t="e">
        <f ca="1"/>
        <v>#N/A</v>
      </c>
    </row>
    <row r="399" spans="2:7">
      <c r="B399" s="101" t="e">
        <f ca="1"/>
        <v>#N/A</v>
      </c>
      <c r="C399" s="102" t="e">
        <f ca="1"/>
        <v>#N/A</v>
      </c>
      <c r="D399" s="102" t="e">
        <f ca="1"/>
        <v>#N/A</v>
      </c>
      <c r="E399" s="102" t="e">
        <f ca="1"/>
        <v>#N/A</v>
      </c>
      <c r="F399" s="102" t="e">
        <f ca="1"/>
        <v>#N/A</v>
      </c>
      <c r="G399" s="103" t="e">
        <f ca="1"/>
        <v>#N/A</v>
      </c>
    </row>
    <row r="400" spans="2:7">
      <c r="B400" s="101" t="e">
        <f ca="1"/>
        <v>#N/A</v>
      </c>
      <c r="C400" s="102" t="e">
        <f ca="1"/>
        <v>#N/A</v>
      </c>
      <c r="D400" s="102" t="e">
        <f ca="1"/>
        <v>#N/A</v>
      </c>
      <c r="E400" s="102" t="e">
        <f ca="1"/>
        <v>#N/A</v>
      </c>
      <c r="F400" s="102" t="e">
        <f ca="1"/>
        <v>#N/A</v>
      </c>
      <c r="G400" s="103" t="e">
        <f ca="1"/>
        <v>#N/A</v>
      </c>
    </row>
    <row r="401" spans="2:7">
      <c r="B401" s="101" t="e">
        <f ca="1"/>
        <v>#N/A</v>
      </c>
      <c r="C401" s="102" t="e">
        <f ca="1"/>
        <v>#N/A</v>
      </c>
      <c r="D401" s="102" t="e">
        <f ca="1"/>
        <v>#N/A</v>
      </c>
      <c r="E401" s="102" t="e">
        <f ca="1"/>
        <v>#N/A</v>
      </c>
      <c r="F401" s="102" t="e">
        <f ca="1"/>
        <v>#N/A</v>
      </c>
      <c r="G401" s="103" t="e">
        <f ca="1"/>
        <v>#N/A</v>
      </c>
    </row>
    <row r="402" spans="2:7">
      <c r="B402" s="101" t="e">
        <f ca="1"/>
        <v>#N/A</v>
      </c>
      <c r="C402" s="102" t="e">
        <f ca="1"/>
        <v>#N/A</v>
      </c>
      <c r="D402" s="102" t="e">
        <f ca="1"/>
        <v>#N/A</v>
      </c>
      <c r="E402" s="102" t="e">
        <f ca="1"/>
        <v>#N/A</v>
      </c>
      <c r="F402" s="102" t="e">
        <f ca="1"/>
        <v>#N/A</v>
      </c>
      <c r="G402" s="103" t="e">
        <f ca="1"/>
        <v>#N/A</v>
      </c>
    </row>
    <row r="403" spans="2:7">
      <c r="B403" s="101" t="e">
        <f ca="1"/>
        <v>#N/A</v>
      </c>
      <c r="C403" s="102" t="e">
        <f ca="1"/>
        <v>#N/A</v>
      </c>
      <c r="D403" s="102" t="e">
        <f ca="1"/>
        <v>#N/A</v>
      </c>
      <c r="E403" s="102" t="e">
        <f ca="1"/>
        <v>#N/A</v>
      </c>
      <c r="F403" s="102" t="e">
        <f ca="1"/>
        <v>#N/A</v>
      </c>
      <c r="G403" s="103" t="e">
        <f ca="1"/>
        <v>#N/A</v>
      </c>
    </row>
    <row r="404" spans="2:7">
      <c r="B404" s="101" t="e">
        <f ca="1"/>
        <v>#N/A</v>
      </c>
      <c r="C404" s="102" t="e">
        <f ca="1"/>
        <v>#N/A</v>
      </c>
      <c r="D404" s="102" t="e">
        <f ca="1"/>
        <v>#N/A</v>
      </c>
      <c r="E404" s="102" t="e">
        <f ca="1"/>
        <v>#N/A</v>
      </c>
      <c r="F404" s="102" t="e">
        <f ca="1"/>
        <v>#N/A</v>
      </c>
      <c r="G404" s="103" t="e">
        <f ca="1"/>
        <v>#N/A</v>
      </c>
    </row>
    <row r="405" spans="2:7">
      <c r="B405" s="101" t="e">
        <f ca="1"/>
        <v>#N/A</v>
      </c>
      <c r="C405" s="102" t="e">
        <f ca="1"/>
        <v>#N/A</v>
      </c>
      <c r="D405" s="102" t="e">
        <f ca="1"/>
        <v>#N/A</v>
      </c>
      <c r="E405" s="102" t="e">
        <f ca="1"/>
        <v>#N/A</v>
      </c>
      <c r="F405" s="102" t="e">
        <f ca="1"/>
        <v>#N/A</v>
      </c>
      <c r="G405" s="103" t="e">
        <f ca="1"/>
        <v>#N/A</v>
      </c>
    </row>
    <row r="406" spans="2:7">
      <c r="B406" s="101" t="e">
        <f ca="1"/>
        <v>#N/A</v>
      </c>
      <c r="C406" s="102" t="e">
        <f ca="1"/>
        <v>#N/A</v>
      </c>
      <c r="D406" s="102" t="e">
        <f ca="1"/>
        <v>#N/A</v>
      </c>
      <c r="E406" s="102" t="e">
        <f ca="1"/>
        <v>#N/A</v>
      </c>
      <c r="F406" s="102" t="e">
        <f ca="1"/>
        <v>#N/A</v>
      </c>
      <c r="G406" s="103" t="e">
        <f ca="1"/>
        <v>#N/A</v>
      </c>
    </row>
    <row r="407" spans="2:7">
      <c r="B407" s="101" t="e">
        <f ca="1"/>
        <v>#N/A</v>
      </c>
      <c r="C407" s="102" t="e">
        <f ca="1"/>
        <v>#N/A</v>
      </c>
      <c r="D407" s="102" t="e">
        <f ca="1"/>
        <v>#N/A</v>
      </c>
      <c r="E407" s="102" t="e">
        <f ca="1"/>
        <v>#N/A</v>
      </c>
      <c r="F407" s="102" t="e">
        <f ca="1"/>
        <v>#N/A</v>
      </c>
      <c r="G407" s="103" t="e">
        <f ca="1"/>
        <v>#N/A</v>
      </c>
    </row>
    <row r="408" spans="2:7">
      <c r="B408" s="101" t="e">
        <f ca="1"/>
        <v>#N/A</v>
      </c>
      <c r="C408" s="102" t="e">
        <f ca="1"/>
        <v>#N/A</v>
      </c>
      <c r="D408" s="102" t="e">
        <f ca="1"/>
        <v>#N/A</v>
      </c>
      <c r="E408" s="102" t="e">
        <f ca="1"/>
        <v>#N/A</v>
      </c>
      <c r="F408" s="102" t="e">
        <f ca="1"/>
        <v>#N/A</v>
      </c>
      <c r="G408" s="103" t="e">
        <f ca="1"/>
        <v>#N/A</v>
      </c>
    </row>
    <row r="409" spans="2:7">
      <c r="B409" s="101" t="e">
        <f ca="1"/>
        <v>#N/A</v>
      </c>
      <c r="C409" s="102" t="e">
        <f ca="1"/>
        <v>#N/A</v>
      </c>
      <c r="D409" s="102" t="e">
        <f ca="1"/>
        <v>#N/A</v>
      </c>
      <c r="E409" s="102" t="e">
        <f ca="1"/>
        <v>#N/A</v>
      </c>
      <c r="F409" s="102" t="e">
        <f ca="1"/>
        <v>#N/A</v>
      </c>
      <c r="G409" s="103" t="e">
        <f ca="1"/>
        <v>#N/A</v>
      </c>
    </row>
    <row r="410" spans="2:7">
      <c r="B410" s="101" t="e">
        <f ca="1"/>
        <v>#N/A</v>
      </c>
      <c r="C410" s="102" t="e">
        <f ca="1"/>
        <v>#N/A</v>
      </c>
      <c r="D410" s="102" t="e">
        <f ca="1"/>
        <v>#N/A</v>
      </c>
      <c r="E410" s="102" t="e">
        <f ca="1"/>
        <v>#N/A</v>
      </c>
      <c r="F410" s="102" t="e">
        <f ca="1"/>
        <v>#N/A</v>
      </c>
      <c r="G410" s="103" t="e">
        <f ca="1"/>
        <v>#N/A</v>
      </c>
    </row>
    <row r="411" spans="2:7">
      <c r="B411" s="101" t="e">
        <f ca="1"/>
        <v>#N/A</v>
      </c>
      <c r="C411" s="102" t="e">
        <f ca="1"/>
        <v>#N/A</v>
      </c>
      <c r="D411" s="102" t="e">
        <f ca="1"/>
        <v>#N/A</v>
      </c>
      <c r="E411" s="102" t="e">
        <f ca="1"/>
        <v>#N/A</v>
      </c>
      <c r="F411" s="102" t="e">
        <f ca="1"/>
        <v>#N/A</v>
      </c>
      <c r="G411" s="103" t="e">
        <f ca="1"/>
        <v>#N/A</v>
      </c>
    </row>
    <row r="412" spans="2:7">
      <c r="B412" s="101" t="e">
        <f ca="1"/>
        <v>#N/A</v>
      </c>
      <c r="C412" s="102" t="e">
        <f ca="1"/>
        <v>#N/A</v>
      </c>
      <c r="D412" s="102" t="e">
        <f ca="1"/>
        <v>#N/A</v>
      </c>
      <c r="E412" s="102" t="e">
        <f ca="1"/>
        <v>#N/A</v>
      </c>
      <c r="F412" s="102" t="e">
        <f ca="1"/>
        <v>#N/A</v>
      </c>
      <c r="G412" s="103" t="e">
        <f ca="1"/>
        <v>#N/A</v>
      </c>
    </row>
    <row r="413" spans="2:7">
      <c r="B413" s="101" t="e">
        <f ca="1"/>
        <v>#N/A</v>
      </c>
      <c r="C413" s="102" t="e">
        <f ca="1"/>
        <v>#N/A</v>
      </c>
      <c r="D413" s="102" t="e">
        <f ca="1"/>
        <v>#N/A</v>
      </c>
      <c r="E413" s="102" t="e">
        <f ca="1"/>
        <v>#N/A</v>
      </c>
      <c r="F413" s="102" t="e">
        <f ca="1"/>
        <v>#N/A</v>
      </c>
      <c r="G413" s="103" t="e">
        <f ca="1"/>
        <v>#N/A</v>
      </c>
    </row>
    <row r="414" spans="2:7">
      <c r="B414" s="101" t="e">
        <f ca="1"/>
        <v>#N/A</v>
      </c>
      <c r="C414" s="102" t="e">
        <f ca="1"/>
        <v>#N/A</v>
      </c>
      <c r="D414" s="102" t="e">
        <f ca="1"/>
        <v>#N/A</v>
      </c>
      <c r="E414" s="102" t="e">
        <f ca="1"/>
        <v>#N/A</v>
      </c>
      <c r="F414" s="102" t="e">
        <f ca="1"/>
        <v>#N/A</v>
      </c>
      <c r="G414" s="103" t="e">
        <f ca="1"/>
        <v>#N/A</v>
      </c>
    </row>
    <row r="415" spans="2:7">
      <c r="B415" s="101" t="e">
        <f ca="1"/>
        <v>#N/A</v>
      </c>
      <c r="C415" s="102" t="e">
        <f ca="1"/>
        <v>#N/A</v>
      </c>
      <c r="D415" s="102" t="e">
        <f ca="1"/>
        <v>#N/A</v>
      </c>
      <c r="E415" s="102" t="e">
        <f ca="1"/>
        <v>#N/A</v>
      </c>
      <c r="F415" s="102" t="e">
        <f ca="1"/>
        <v>#N/A</v>
      </c>
      <c r="G415" s="103" t="e">
        <f ca="1"/>
        <v>#N/A</v>
      </c>
    </row>
    <row r="416" spans="2:7">
      <c r="B416" s="101" t="e">
        <f ca="1"/>
        <v>#N/A</v>
      </c>
      <c r="C416" s="102" t="e">
        <f ca="1"/>
        <v>#N/A</v>
      </c>
      <c r="D416" s="102" t="e">
        <f ca="1"/>
        <v>#N/A</v>
      </c>
      <c r="E416" s="102" t="e">
        <f ca="1"/>
        <v>#N/A</v>
      </c>
      <c r="F416" s="102" t="e">
        <f ca="1"/>
        <v>#N/A</v>
      </c>
      <c r="G416" s="103" t="e">
        <f ca="1"/>
        <v>#N/A</v>
      </c>
    </row>
    <row r="417" spans="2:7">
      <c r="B417" s="101" t="e">
        <f ca="1"/>
        <v>#N/A</v>
      </c>
      <c r="C417" s="102" t="e">
        <f ca="1"/>
        <v>#N/A</v>
      </c>
      <c r="D417" s="102" t="e">
        <f ca="1"/>
        <v>#N/A</v>
      </c>
      <c r="E417" s="102" t="e">
        <f ca="1"/>
        <v>#N/A</v>
      </c>
      <c r="F417" s="102" t="e">
        <f ca="1"/>
        <v>#N/A</v>
      </c>
      <c r="G417" s="103" t="e">
        <f ca="1"/>
        <v>#N/A</v>
      </c>
    </row>
    <row r="418" spans="2:7">
      <c r="B418" s="101" t="e">
        <f ca="1"/>
        <v>#N/A</v>
      </c>
      <c r="C418" s="102" t="e">
        <f ca="1"/>
        <v>#N/A</v>
      </c>
      <c r="D418" s="102" t="e">
        <f ca="1"/>
        <v>#N/A</v>
      </c>
      <c r="E418" s="102" t="e">
        <f ca="1"/>
        <v>#N/A</v>
      </c>
      <c r="F418" s="102" t="e">
        <f ca="1"/>
        <v>#N/A</v>
      </c>
      <c r="G418" s="103" t="e">
        <f ca="1"/>
        <v>#N/A</v>
      </c>
    </row>
    <row r="419" spans="2:7">
      <c r="B419" s="101" t="e">
        <f ca="1"/>
        <v>#N/A</v>
      </c>
      <c r="C419" s="102" t="e">
        <f ca="1"/>
        <v>#N/A</v>
      </c>
      <c r="D419" s="102" t="e">
        <f ca="1"/>
        <v>#N/A</v>
      </c>
      <c r="E419" s="102" t="e">
        <f ca="1"/>
        <v>#N/A</v>
      </c>
      <c r="F419" s="102" t="e">
        <f ca="1"/>
        <v>#N/A</v>
      </c>
      <c r="G419" s="103" t="e">
        <f ca="1"/>
        <v>#N/A</v>
      </c>
    </row>
    <row r="420" spans="2:7">
      <c r="B420" s="101" t="e">
        <f ca="1"/>
        <v>#N/A</v>
      </c>
      <c r="C420" s="102" t="e">
        <f ca="1"/>
        <v>#N/A</v>
      </c>
      <c r="D420" s="102" t="e">
        <f ca="1"/>
        <v>#N/A</v>
      </c>
      <c r="E420" s="102" t="e">
        <f ca="1"/>
        <v>#N/A</v>
      </c>
      <c r="F420" s="102" t="e">
        <f ca="1"/>
        <v>#N/A</v>
      </c>
      <c r="G420" s="103" t="e">
        <f ca="1"/>
        <v>#N/A</v>
      </c>
    </row>
    <row r="421" spans="2:7">
      <c r="B421" s="101" t="e">
        <f ca="1"/>
        <v>#N/A</v>
      </c>
      <c r="C421" s="102" t="e">
        <f ca="1"/>
        <v>#N/A</v>
      </c>
      <c r="D421" s="102" t="e">
        <f ca="1"/>
        <v>#N/A</v>
      </c>
      <c r="E421" s="102" t="e">
        <f ca="1"/>
        <v>#N/A</v>
      </c>
      <c r="F421" s="102" t="e">
        <f ca="1"/>
        <v>#N/A</v>
      </c>
      <c r="G421" s="103" t="e">
        <f ca="1"/>
        <v>#N/A</v>
      </c>
    </row>
    <row r="422" spans="2:7">
      <c r="B422" s="101" t="e">
        <f ca="1"/>
        <v>#N/A</v>
      </c>
      <c r="C422" s="102" t="e">
        <f ca="1"/>
        <v>#N/A</v>
      </c>
      <c r="D422" s="102" t="e">
        <f ca="1"/>
        <v>#N/A</v>
      </c>
      <c r="E422" s="102" t="e">
        <f ca="1"/>
        <v>#N/A</v>
      </c>
      <c r="F422" s="102" t="e">
        <f ca="1"/>
        <v>#N/A</v>
      </c>
      <c r="G422" s="103" t="e">
        <f ca="1"/>
        <v>#N/A</v>
      </c>
    </row>
    <row r="423" spans="2:7">
      <c r="B423" s="101" t="e">
        <f ca="1"/>
        <v>#N/A</v>
      </c>
      <c r="C423" s="102" t="e">
        <f ca="1"/>
        <v>#N/A</v>
      </c>
      <c r="D423" s="102" t="e">
        <f ca="1"/>
        <v>#N/A</v>
      </c>
      <c r="E423" s="102" t="e">
        <f ca="1"/>
        <v>#N/A</v>
      </c>
      <c r="F423" s="102" t="e">
        <f ca="1"/>
        <v>#N/A</v>
      </c>
      <c r="G423" s="103" t="e">
        <f ca="1"/>
        <v>#N/A</v>
      </c>
    </row>
    <row r="424" spans="2:7">
      <c r="B424" s="101" t="e">
        <f ca="1"/>
        <v>#N/A</v>
      </c>
      <c r="C424" s="102" t="e">
        <f ca="1"/>
        <v>#N/A</v>
      </c>
      <c r="D424" s="102" t="e">
        <f ca="1"/>
        <v>#N/A</v>
      </c>
      <c r="E424" s="102" t="e">
        <f ca="1"/>
        <v>#N/A</v>
      </c>
      <c r="F424" s="102" t="e">
        <f ca="1"/>
        <v>#N/A</v>
      </c>
      <c r="G424" s="103" t="e">
        <f ca="1"/>
        <v>#N/A</v>
      </c>
    </row>
    <row r="425" spans="2:7">
      <c r="B425" s="101" t="e">
        <f ca="1"/>
        <v>#N/A</v>
      </c>
      <c r="C425" s="102" t="e">
        <f ca="1"/>
        <v>#N/A</v>
      </c>
      <c r="D425" s="102" t="e">
        <f ca="1"/>
        <v>#N/A</v>
      </c>
      <c r="E425" s="102" t="e">
        <f ca="1"/>
        <v>#N/A</v>
      </c>
      <c r="F425" s="102" t="e">
        <f ca="1"/>
        <v>#N/A</v>
      </c>
      <c r="G425" s="103" t="e">
        <f ca="1"/>
        <v>#N/A</v>
      </c>
    </row>
    <row r="426" spans="2:7">
      <c r="B426" s="101" t="e">
        <f ca="1"/>
        <v>#N/A</v>
      </c>
      <c r="C426" s="102" t="e">
        <f ca="1"/>
        <v>#N/A</v>
      </c>
      <c r="D426" s="102" t="e">
        <f ca="1"/>
        <v>#N/A</v>
      </c>
      <c r="E426" s="102" t="e">
        <f ca="1"/>
        <v>#N/A</v>
      </c>
      <c r="F426" s="102" t="e">
        <f ca="1"/>
        <v>#N/A</v>
      </c>
      <c r="G426" s="103" t="e">
        <f ca="1"/>
        <v>#N/A</v>
      </c>
    </row>
    <row r="427" spans="2:7">
      <c r="B427" s="101" t="e">
        <f ca="1"/>
        <v>#N/A</v>
      </c>
      <c r="C427" s="102" t="e">
        <f ca="1"/>
        <v>#N/A</v>
      </c>
      <c r="D427" s="102" t="e">
        <f ca="1"/>
        <v>#N/A</v>
      </c>
      <c r="E427" s="102" t="e">
        <f ca="1"/>
        <v>#N/A</v>
      </c>
      <c r="F427" s="102" t="e">
        <f ca="1"/>
        <v>#N/A</v>
      </c>
      <c r="G427" s="103" t="e">
        <f ca="1"/>
        <v>#N/A</v>
      </c>
    </row>
    <row r="428" spans="2:7">
      <c r="B428" s="101" t="e">
        <f ca="1"/>
        <v>#N/A</v>
      </c>
      <c r="C428" s="102" t="e">
        <f ca="1"/>
        <v>#N/A</v>
      </c>
      <c r="D428" s="102" t="e">
        <f ca="1"/>
        <v>#N/A</v>
      </c>
      <c r="E428" s="102" t="e">
        <f ca="1"/>
        <v>#N/A</v>
      </c>
      <c r="F428" s="102" t="e">
        <f ca="1"/>
        <v>#N/A</v>
      </c>
      <c r="G428" s="103" t="e">
        <f ca="1"/>
        <v>#N/A</v>
      </c>
    </row>
    <row r="429" spans="2:7">
      <c r="B429" s="101" t="e">
        <f ca="1"/>
        <v>#N/A</v>
      </c>
      <c r="C429" s="102" t="e">
        <f ca="1"/>
        <v>#N/A</v>
      </c>
      <c r="D429" s="102" t="e">
        <f ca="1"/>
        <v>#N/A</v>
      </c>
      <c r="E429" s="102" t="e">
        <f ca="1"/>
        <v>#N/A</v>
      </c>
      <c r="F429" s="102" t="e">
        <f ca="1"/>
        <v>#N/A</v>
      </c>
      <c r="G429" s="103" t="e">
        <f ca="1"/>
        <v>#N/A</v>
      </c>
    </row>
    <row r="430" spans="2:7">
      <c r="B430" s="101" t="e">
        <f ca="1"/>
        <v>#N/A</v>
      </c>
      <c r="C430" s="102" t="e">
        <f ca="1"/>
        <v>#N/A</v>
      </c>
      <c r="D430" s="102" t="e">
        <f ca="1"/>
        <v>#N/A</v>
      </c>
      <c r="E430" s="102" t="e">
        <f ca="1"/>
        <v>#N/A</v>
      </c>
      <c r="F430" s="102" t="e">
        <f ca="1"/>
        <v>#N/A</v>
      </c>
      <c r="G430" s="103" t="e">
        <f ca="1"/>
        <v>#N/A</v>
      </c>
    </row>
    <row r="431" spans="2:7">
      <c r="B431" s="101" t="e">
        <f ca="1"/>
        <v>#N/A</v>
      </c>
      <c r="C431" s="102" t="e">
        <f ca="1"/>
        <v>#N/A</v>
      </c>
      <c r="D431" s="102" t="e">
        <f ca="1"/>
        <v>#N/A</v>
      </c>
      <c r="E431" s="102" t="e">
        <f ca="1"/>
        <v>#N/A</v>
      </c>
      <c r="F431" s="102" t="e">
        <f ca="1"/>
        <v>#N/A</v>
      </c>
      <c r="G431" s="103" t="e">
        <f ca="1"/>
        <v>#N/A</v>
      </c>
    </row>
    <row r="432" spans="2:7">
      <c r="B432" s="101" t="e">
        <f ca="1"/>
        <v>#N/A</v>
      </c>
      <c r="C432" s="102" t="e">
        <f ca="1"/>
        <v>#N/A</v>
      </c>
      <c r="D432" s="102" t="e">
        <f ca="1"/>
        <v>#N/A</v>
      </c>
      <c r="E432" s="102" t="e">
        <f ca="1"/>
        <v>#N/A</v>
      </c>
      <c r="F432" s="102" t="e">
        <f ca="1"/>
        <v>#N/A</v>
      </c>
      <c r="G432" s="103" t="e">
        <f ca="1"/>
        <v>#N/A</v>
      </c>
    </row>
    <row r="433" spans="2:7">
      <c r="B433" s="101" t="e">
        <f ca="1"/>
        <v>#N/A</v>
      </c>
      <c r="C433" s="102" t="e">
        <f ca="1"/>
        <v>#N/A</v>
      </c>
      <c r="D433" s="102" t="e">
        <f ca="1"/>
        <v>#N/A</v>
      </c>
      <c r="E433" s="102" t="e">
        <f ca="1"/>
        <v>#N/A</v>
      </c>
      <c r="F433" s="102" t="e">
        <f ca="1"/>
        <v>#N/A</v>
      </c>
      <c r="G433" s="103" t="e">
        <f ca="1"/>
        <v>#N/A</v>
      </c>
    </row>
    <row r="434" spans="2:7">
      <c r="B434" s="101" t="e">
        <f ca="1"/>
        <v>#N/A</v>
      </c>
      <c r="C434" s="102" t="e">
        <f ca="1"/>
        <v>#N/A</v>
      </c>
      <c r="D434" s="102" t="e">
        <f ca="1"/>
        <v>#N/A</v>
      </c>
      <c r="E434" s="102" t="e">
        <f ca="1"/>
        <v>#N/A</v>
      </c>
      <c r="F434" s="102" t="e">
        <f ca="1"/>
        <v>#N/A</v>
      </c>
      <c r="G434" s="103" t="e">
        <f ca="1"/>
        <v>#N/A</v>
      </c>
    </row>
    <row r="435" spans="2:7">
      <c r="B435" s="101" t="e">
        <f ca="1"/>
        <v>#N/A</v>
      </c>
      <c r="C435" s="102" t="e">
        <f ca="1"/>
        <v>#N/A</v>
      </c>
      <c r="D435" s="102" t="e">
        <f ca="1"/>
        <v>#N/A</v>
      </c>
      <c r="E435" s="102" t="e">
        <f ca="1"/>
        <v>#N/A</v>
      </c>
      <c r="F435" s="102" t="e">
        <f ca="1"/>
        <v>#N/A</v>
      </c>
      <c r="G435" s="103" t="e">
        <f ca="1"/>
        <v>#N/A</v>
      </c>
    </row>
    <row r="436" spans="2:7">
      <c r="B436" s="101" t="e">
        <f ca="1"/>
        <v>#N/A</v>
      </c>
      <c r="C436" s="102" t="e">
        <f ca="1"/>
        <v>#N/A</v>
      </c>
      <c r="D436" s="102" t="e">
        <f ca="1"/>
        <v>#N/A</v>
      </c>
      <c r="E436" s="102" t="e">
        <f ca="1"/>
        <v>#N/A</v>
      </c>
      <c r="F436" s="102" t="e">
        <f ca="1"/>
        <v>#N/A</v>
      </c>
      <c r="G436" s="103" t="e">
        <f ca="1"/>
        <v>#N/A</v>
      </c>
    </row>
    <row r="437" spans="2:7">
      <c r="B437" s="101" t="e">
        <f ca="1"/>
        <v>#N/A</v>
      </c>
      <c r="C437" s="102" t="e">
        <f ca="1"/>
        <v>#N/A</v>
      </c>
      <c r="D437" s="102" t="e">
        <f ca="1"/>
        <v>#N/A</v>
      </c>
      <c r="E437" s="102" t="e">
        <f ca="1"/>
        <v>#N/A</v>
      </c>
      <c r="F437" s="102" t="e">
        <f ca="1"/>
        <v>#N/A</v>
      </c>
      <c r="G437" s="103" t="e">
        <f ca="1"/>
        <v>#N/A</v>
      </c>
    </row>
    <row r="438" spans="2:7">
      <c r="B438" s="101" t="e">
        <f ca="1"/>
        <v>#N/A</v>
      </c>
      <c r="C438" s="102" t="e">
        <f ca="1"/>
        <v>#N/A</v>
      </c>
      <c r="D438" s="102" t="e">
        <f ca="1"/>
        <v>#N/A</v>
      </c>
      <c r="E438" s="102" t="e">
        <f ca="1"/>
        <v>#N/A</v>
      </c>
      <c r="F438" s="102" t="e">
        <f ca="1"/>
        <v>#N/A</v>
      </c>
      <c r="G438" s="103" t="e">
        <f ca="1"/>
        <v>#N/A</v>
      </c>
    </row>
    <row r="439" spans="2:7">
      <c r="B439" s="101" t="e">
        <f ca="1"/>
        <v>#N/A</v>
      </c>
      <c r="C439" s="102" t="e">
        <f ca="1"/>
        <v>#N/A</v>
      </c>
      <c r="D439" s="102" t="e">
        <f ca="1"/>
        <v>#N/A</v>
      </c>
      <c r="E439" s="102" t="e">
        <f ca="1"/>
        <v>#N/A</v>
      </c>
      <c r="F439" s="102" t="e">
        <f ca="1"/>
        <v>#N/A</v>
      </c>
      <c r="G439" s="103" t="e">
        <f ca="1"/>
        <v>#N/A</v>
      </c>
    </row>
    <row r="440" spans="2:7">
      <c r="B440" s="101" t="e">
        <f ca="1"/>
        <v>#N/A</v>
      </c>
      <c r="C440" s="102" t="e">
        <f ca="1"/>
        <v>#N/A</v>
      </c>
      <c r="D440" s="102" t="e">
        <f ca="1"/>
        <v>#N/A</v>
      </c>
      <c r="E440" s="102" t="e">
        <f ca="1"/>
        <v>#N/A</v>
      </c>
      <c r="F440" s="102" t="e">
        <f ca="1"/>
        <v>#N/A</v>
      </c>
      <c r="G440" s="103" t="e">
        <f ca="1"/>
        <v>#N/A</v>
      </c>
    </row>
    <row r="441" spans="2:7">
      <c r="B441" s="101" t="e">
        <f ca="1"/>
        <v>#N/A</v>
      </c>
      <c r="C441" s="102" t="e">
        <f ca="1"/>
        <v>#N/A</v>
      </c>
      <c r="D441" s="102" t="e">
        <f ca="1"/>
        <v>#N/A</v>
      </c>
      <c r="E441" s="102" t="e">
        <f ca="1"/>
        <v>#N/A</v>
      </c>
      <c r="F441" s="102" t="e">
        <f ca="1"/>
        <v>#N/A</v>
      </c>
      <c r="G441" s="103" t="e">
        <f ca="1"/>
        <v>#N/A</v>
      </c>
    </row>
    <row r="442" spans="2:7">
      <c r="B442" s="101" t="e">
        <f ca="1"/>
        <v>#N/A</v>
      </c>
      <c r="C442" s="102" t="e">
        <f ca="1"/>
        <v>#N/A</v>
      </c>
      <c r="D442" s="102" t="e">
        <f ca="1"/>
        <v>#N/A</v>
      </c>
      <c r="E442" s="102" t="e">
        <f ca="1"/>
        <v>#N/A</v>
      </c>
      <c r="F442" s="102" t="e">
        <f ca="1"/>
        <v>#N/A</v>
      </c>
      <c r="G442" s="103" t="e">
        <f ca="1"/>
        <v>#N/A</v>
      </c>
    </row>
    <row r="443" spans="2:7">
      <c r="B443" s="101" t="e">
        <f ca="1"/>
        <v>#N/A</v>
      </c>
      <c r="C443" s="102" t="e">
        <f ca="1"/>
        <v>#N/A</v>
      </c>
      <c r="D443" s="102" t="e">
        <f ca="1"/>
        <v>#N/A</v>
      </c>
      <c r="E443" s="102" t="e">
        <f ca="1"/>
        <v>#N/A</v>
      </c>
      <c r="F443" s="102" t="e">
        <f ca="1"/>
        <v>#N/A</v>
      </c>
      <c r="G443" s="103" t="e">
        <f ca="1"/>
        <v>#N/A</v>
      </c>
    </row>
    <row r="444" spans="2:7">
      <c r="B444" s="101" t="e">
        <f ca="1"/>
        <v>#N/A</v>
      </c>
      <c r="C444" s="102" t="e">
        <f ca="1"/>
        <v>#N/A</v>
      </c>
      <c r="D444" s="102" t="e">
        <f ca="1"/>
        <v>#N/A</v>
      </c>
      <c r="E444" s="102" t="e">
        <f ca="1"/>
        <v>#N/A</v>
      </c>
      <c r="F444" s="102" t="e">
        <f ca="1"/>
        <v>#N/A</v>
      </c>
      <c r="G444" s="103" t="e">
        <f ca="1"/>
        <v>#N/A</v>
      </c>
    </row>
    <row r="445" spans="2:7">
      <c r="B445" s="101" t="e">
        <f ca="1"/>
        <v>#N/A</v>
      </c>
      <c r="C445" s="102" t="e">
        <f ca="1"/>
        <v>#N/A</v>
      </c>
      <c r="D445" s="102" t="e">
        <f ca="1"/>
        <v>#N/A</v>
      </c>
      <c r="E445" s="102" t="e">
        <f ca="1"/>
        <v>#N/A</v>
      </c>
      <c r="F445" s="102" t="e">
        <f ca="1"/>
        <v>#N/A</v>
      </c>
      <c r="G445" s="103" t="e">
        <f ca="1"/>
        <v>#N/A</v>
      </c>
    </row>
    <row r="446" spans="2:7">
      <c r="B446" s="101" t="e">
        <f ca="1"/>
        <v>#N/A</v>
      </c>
      <c r="C446" s="102" t="e">
        <f ca="1"/>
        <v>#N/A</v>
      </c>
      <c r="D446" s="102" t="e">
        <f ca="1"/>
        <v>#N/A</v>
      </c>
      <c r="E446" s="102" t="e">
        <f ca="1"/>
        <v>#N/A</v>
      </c>
      <c r="F446" s="102" t="e">
        <f ca="1"/>
        <v>#N/A</v>
      </c>
      <c r="G446" s="103" t="e">
        <f ca="1"/>
        <v>#N/A</v>
      </c>
    </row>
    <row r="447" spans="2:7">
      <c r="B447" s="101" t="e">
        <f ca="1"/>
        <v>#N/A</v>
      </c>
      <c r="C447" s="102" t="e">
        <f ca="1"/>
        <v>#N/A</v>
      </c>
      <c r="D447" s="102" t="e">
        <f ca="1"/>
        <v>#N/A</v>
      </c>
      <c r="E447" s="102" t="e">
        <f ca="1"/>
        <v>#N/A</v>
      </c>
      <c r="F447" s="102" t="e">
        <f ca="1"/>
        <v>#N/A</v>
      </c>
      <c r="G447" s="103" t="e">
        <f ca="1"/>
        <v>#N/A</v>
      </c>
    </row>
    <row r="448" spans="2:7">
      <c r="B448" s="101" t="e">
        <f ca="1"/>
        <v>#N/A</v>
      </c>
      <c r="C448" s="102" t="e">
        <f ca="1"/>
        <v>#N/A</v>
      </c>
      <c r="D448" s="102" t="e">
        <f ca="1"/>
        <v>#N/A</v>
      </c>
      <c r="E448" s="102" t="e">
        <f ca="1"/>
        <v>#N/A</v>
      </c>
      <c r="F448" s="102" t="e">
        <f ca="1"/>
        <v>#N/A</v>
      </c>
      <c r="G448" s="103" t="e">
        <f ca="1"/>
        <v>#N/A</v>
      </c>
    </row>
    <row r="449" spans="2:7">
      <c r="B449" s="101" t="e">
        <f ca="1"/>
        <v>#N/A</v>
      </c>
      <c r="C449" s="102" t="e">
        <f ca="1"/>
        <v>#N/A</v>
      </c>
      <c r="D449" s="102" t="e">
        <f ca="1"/>
        <v>#N/A</v>
      </c>
      <c r="E449" s="102" t="e">
        <f ca="1"/>
        <v>#N/A</v>
      </c>
      <c r="F449" s="102" t="e">
        <f ca="1"/>
        <v>#N/A</v>
      </c>
      <c r="G449" s="103" t="e">
        <f ca="1"/>
        <v>#N/A</v>
      </c>
    </row>
    <row r="450" spans="2:7">
      <c r="B450" s="101" t="e">
        <f ca="1"/>
        <v>#N/A</v>
      </c>
      <c r="C450" s="102" t="e">
        <f ca="1"/>
        <v>#N/A</v>
      </c>
      <c r="D450" s="102" t="e">
        <f ca="1"/>
        <v>#N/A</v>
      </c>
      <c r="E450" s="102" t="e">
        <f ca="1"/>
        <v>#N/A</v>
      </c>
      <c r="F450" s="102" t="e">
        <f ca="1"/>
        <v>#N/A</v>
      </c>
      <c r="G450" s="103" t="e">
        <f ca="1"/>
        <v>#N/A</v>
      </c>
    </row>
    <row r="451" spans="2:7">
      <c r="B451" s="101" t="e">
        <f ca="1"/>
        <v>#N/A</v>
      </c>
      <c r="C451" s="102" t="e">
        <f ca="1"/>
        <v>#N/A</v>
      </c>
      <c r="D451" s="102" t="e">
        <f ca="1"/>
        <v>#N/A</v>
      </c>
      <c r="E451" s="102" t="e">
        <f ca="1"/>
        <v>#N/A</v>
      </c>
      <c r="F451" s="102" t="e">
        <f ca="1"/>
        <v>#N/A</v>
      </c>
      <c r="G451" s="103" t="e">
        <f ca="1"/>
        <v>#N/A</v>
      </c>
    </row>
    <row r="452" spans="2:7">
      <c r="B452" s="101" t="e">
        <f ca="1"/>
        <v>#N/A</v>
      </c>
      <c r="C452" s="102" t="e">
        <f ca="1"/>
        <v>#N/A</v>
      </c>
      <c r="D452" s="102" t="e">
        <f ca="1"/>
        <v>#N/A</v>
      </c>
      <c r="E452" s="102" t="e">
        <f ca="1"/>
        <v>#N/A</v>
      </c>
      <c r="F452" s="102" t="e">
        <f ca="1"/>
        <v>#N/A</v>
      </c>
      <c r="G452" s="103" t="e">
        <f ca="1"/>
        <v>#N/A</v>
      </c>
    </row>
    <row r="453" spans="2:7">
      <c r="B453" s="101" t="e">
        <f ca="1"/>
        <v>#N/A</v>
      </c>
      <c r="C453" s="102" t="e">
        <f ca="1"/>
        <v>#N/A</v>
      </c>
      <c r="D453" s="102" t="e">
        <f ca="1"/>
        <v>#N/A</v>
      </c>
      <c r="E453" s="102" t="e">
        <f ca="1"/>
        <v>#N/A</v>
      </c>
      <c r="F453" s="102" t="e">
        <f ca="1"/>
        <v>#N/A</v>
      </c>
      <c r="G453" s="103" t="e">
        <f ca="1"/>
        <v>#N/A</v>
      </c>
    </row>
    <row r="454" spans="2:7">
      <c r="B454" s="101" t="e">
        <f ca="1"/>
        <v>#N/A</v>
      </c>
      <c r="C454" s="102" t="e">
        <f ca="1"/>
        <v>#N/A</v>
      </c>
      <c r="D454" s="102" t="e">
        <f ca="1"/>
        <v>#N/A</v>
      </c>
      <c r="E454" s="102" t="e">
        <f ca="1"/>
        <v>#N/A</v>
      </c>
      <c r="F454" s="102" t="e">
        <f ca="1"/>
        <v>#N/A</v>
      </c>
      <c r="G454" s="103" t="e">
        <f ca="1"/>
        <v>#N/A</v>
      </c>
    </row>
    <row r="455" spans="2:7">
      <c r="B455" s="101" t="e">
        <f ca="1"/>
        <v>#N/A</v>
      </c>
      <c r="C455" s="102" t="e">
        <f ca="1"/>
        <v>#N/A</v>
      </c>
      <c r="D455" s="102" t="e">
        <f ca="1"/>
        <v>#N/A</v>
      </c>
      <c r="E455" s="102" t="e">
        <f ca="1"/>
        <v>#N/A</v>
      </c>
      <c r="F455" s="102" t="e">
        <f ca="1"/>
        <v>#N/A</v>
      </c>
      <c r="G455" s="103" t="e">
        <f ca="1"/>
        <v>#N/A</v>
      </c>
    </row>
    <row r="456" spans="2:7">
      <c r="B456" s="101" t="e">
        <f ca="1"/>
        <v>#N/A</v>
      </c>
      <c r="C456" s="102" t="e">
        <f ca="1"/>
        <v>#N/A</v>
      </c>
      <c r="D456" s="102" t="e">
        <f ca="1"/>
        <v>#N/A</v>
      </c>
      <c r="E456" s="102" t="e">
        <f ca="1"/>
        <v>#N/A</v>
      </c>
      <c r="F456" s="102" t="e">
        <f ca="1"/>
        <v>#N/A</v>
      </c>
      <c r="G456" s="103" t="e">
        <f ca="1"/>
        <v>#N/A</v>
      </c>
    </row>
    <row r="457" spans="2:7">
      <c r="B457" s="101" t="e">
        <f ca="1"/>
        <v>#N/A</v>
      </c>
      <c r="C457" s="102" t="e">
        <f ca="1"/>
        <v>#N/A</v>
      </c>
      <c r="D457" s="102" t="e">
        <f ca="1"/>
        <v>#N/A</v>
      </c>
      <c r="E457" s="102" t="e">
        <f ca="1"/>
        <v>#N/A</v>
      </c>
      <c r="F457" s="102" t="e">
        <f ca="1"/>
        <v>#N/A</v>
      </c>
      <c r="G457" s="103" t="e">
        <f ca="1"/>
        <v>#N/A</v>
      </c>
    </row>
    <row r="458" spans="2:7">
      <c r="B458" s="101" t="e">
        <f ca="1"/>
        <v>#N/A</v>
      </c>
      <c r="C458" s="102" t="e">
        <f ca="1"/>
        <v>#N/A</v>
      </c>
      <c r="D458" s="102" t="e">
        <f ca="1"/>
        <v>#N/A</v>
      </c>
      <c r="E458" s="102" t="e">
        <f ca="1"/>
        <v>#N/A</v>
      </c>
      <c r="F458" s="102" t="e">
        <f ca="1"/>
        <v>#N/A</v>
      </c>
      <c r="G458" s="103" t="e">
        <f ca="1"/>
        <v>#N/A</v>
      </c>
    </row>
    <row r="459" spans="2:7">
      <c r="B459" s="101" t="e">
        <f ca="1"/>
        <v>#N/A</v>
      </c>
      <c r="C459" s="102" t="e">
        <f ca="1"/>
        <v>#N/A</v>
      </c>
      <c r="D459" s="102" t="e">
        <f ca="1"/>
        <v>#N/A</v>
      </c>
      <c r="E459" s="102" t="e">
        <f ca="1"/>
        <v>#N/A</v>
      </c>
      <c r="F459" s="102" t="e">
        <f ca="1"/>
        <v>#N/A</v>
      </c>
      <c r="G459" s="103" t="e">
        <f ca="1"/>
        <v>#N/A</v>
      </c>
    </row>
    <row r="460" spans="2:7">
      <c r="B460" s="101" t="e">
        <f ca="1"/>
        <v>#N/A</v>
      </c>
      <c r="C460" s="102" t="e">
        <f ca="1"/>
        <v>#N/A</v>
      </c>
      <c r="D460" s="102" t="e">
        <f ca="1"/>
        <v>#N/A</v>
      </c>
      <c r="E460" s="102" t="e">
        <f ca="1"/>
        <v>#N/A</v>
      </c>
      <c r="F460" s="102" t="e">
        <f ca="1"/>
        <v>#N/A</v>
      </c>
      <c r="G460" s="103" t="e">
        <f ca="1"/>
        <v>#N/A</v>
      </c>
    </row>
    <row r="461" spans="2:7">
      <c r="B461" s="101" t="e">
        <f ca="1"/>
        <v>#N/A</v>
      </c>
      <c r="C461" s="102" t="e">
        <f ca="1"/>
        <v>#N/A</v>
      </c>
      <c r="D461" s="102" t="e">
        <f ca="1"/>
        <v>#N/A</v>
      </c>
      <c r="E461" s="102" t="e">
        <f ca="1"/>
        <v>#N/A</v>
      </c>
      <c r="F461" s="102" t="e">
        <f ca="1"/>
        <v>#N/A</v>
      </c>
      <c r="G461" s="103" t="e">
        <f ca="1"/>
        <v>#N/A</v>
      </c>
    </row>
    <row r="462" spans="2:7">
      <c r="B462" s="101" t="e">
        <f ca="1"/>
        <v>#N/A</v>
      </c>
      <c r="C462" s="102" t="e">
        <f ca="1"/>
        <v>#N/A</v>
      </c>
      <c r="D462" s="102" t="e">
        <f ca="1"/>
        <v>#N/A</v>
      </c>
      <c r="E462" s="102" t="e">
        <f ca="1"/>
        <v>#N/A</v>
      </c>
      <c r="F462" s="102" t="e">
        <f ca="1"/>
        <v>#N/A</v>
      </c>
      <c r="G462" s="103" t="e">
        <f ca="1"/>
        <v>#N/A</v>
      </c>
    </row>
    <row r="463" spans="2:7">
      <c r="B463" s="101" t="e">
        <f ca="1"/>
        <v>#N/A</v>
      </c>
      <c r="C463" s="102" t="e">
        <f ca="1"/>
        <v>#N/A</v>
      </c>
      <c r="D463" s="102" t="e">
        <f ca="1"/>
        <v>#N/A</v>
      </c>
      <c r="E463" s="102" t="e">
        <f ca="1"/>
        <v>#N/A</v>
      </c>
      <c r="F463" s="102" t="e">
        <f ca="1"/>
        <v>#N/A</v>
      </c>
      <c r="G463" s="103" t="e">
        <f ca="1"/>
        <v>#N/A</v>
      </c>
    </row>
    <row r="464" spans="2:7">
      <c r="B464" s="101" t="e">
        <f ca="1"/>
        <v>#N/A</v>
      </c>
      <c r="C464" s="102" t="e">
        <f ca="1"/>
        <v>#N/A</v>
      </c>
      <c r="D464" s="102" t="e">
        <f ca="1"/>
        <v>#N/A</v>
      </c>
      <c r="E464" s="102" t="e">
        <f ca="1"/>
        <v>#N/A</v>
      </c>
      <c r="F464" s="102" t="e">
        <f ca="1"/>
        <v>#N/A</v>
      </c>
      <c r="G464" s="103" t="e">
        <f ca="1"/>
        <v>#N/A</v>
      </c>
    </row>
    <row r="465" spans="2:7">
      <c r="B465" s="101" t="e">
        <f ca="1"/>
        <v>#N/A</v>
      </c>
      <c r="C465" s="102" t="e">
        <f ca="1"/>
        <v>#N/A</v>
      </c>
      <c r="D465" s="102" t="e">
        <f ca="1"/>
        <v>#N/A</v>
      </c>
      <c r="E465" s="102" t="e">
        <f ca="1"/>
        <v>#N/A</v>
      </c>
      <c r="F465" s="102" t="e">
        <f ca="1"/>
        <v>#N/A</v>
      </c>
      <c r="G465" s="103" t="e">
        <f ca="1"/>
        <v>#N/A</v>
      </c>
    </row>
    <row r="466" spans="2:7">
      <c r="B466" s="101" t="e">
        <f ca="1"/>
        <v>#N/A</v>
      </c>
      <c r="C466" s="102" t="e">
        <f ca="1"/>
        <v>#N/A</v>
      </c>
      <c r="D466" s="102" t="e">
        <f ca="1"/>
        <v>#N/A</v>
      </c>
      <c r="E466" s="102" t="e">
        <f ca="1"/>
        <v>#N/A</v>
      </c>
      <c r="F466" s="102" t="e">
        <f ca="1"/>
        <v>#N/A</v>
      </c>
      <c r="G466" s="103" t="e">
        <f ca="1"/>
        <v>#N/A</v>
      </c>
    </row>
    <row r="467" spans="2:7">
      <c r="B467" s="101" t="e">
        <f ca="1"/>
        <v>#N/A</v>
      </c>
      <c r="C467" s="102" t="e">
        <f ca="1"/>
        <v>#N/A</v>
      </c>
      <c r="D467" s="102" t="e">
        <f ca="1"/>
        <v>#N/A</v>
      </c>
      <c r="E467" s="102" t="e">
        <f ca="1"/>
        <v>#N/A</v>
      </c>
      <c r="F467" s="102" t="e">
        <f ca="1"/>
        <v>#N/A</v>
      </c>
      <c r="G467" s="103" t="e">
        <f ca="1"/>
        <v>#N/A</v>
      </c>
    </row>
    <row r="468" spans="2:7">
      <c r="B468" s="101" t="e">
        <f ca="1"/>
        <v>#N/A</v>
      </c>
      <c r="C468" s="102" t="e">
        <f ca="1"/>
        <v>#N/A</v>
      </c>
      <c r="D468" s="102" t="e">
        <f ca="1"/>
        <v>#N/A</v>
      </c>
      <c r="E468" s="102" t="e">
        <f ca="1"/>
        <v>#N/A</v>
      </c>
      <c r="F468" s="102" t="e">
        <f ca="1"/>
        <v>#N/A</v>
      </c>
      <c r="G468" s="103" t="e">
        <f ca="1"/>
        <v>#N/A</v>
      </c>
    </row>
    <row r="469" spans="2:7">
      <c r="B469" s="101" t="e">
        <f ca="1"/>
        <v>#N/A</v>
      </c>
      <c r="C469" s="102" t="e">
        <f ca="1"/>
        <v>#N/A</v>
      </c>
      <c r="D469" s="102" t="e">
        <f ca="1"/>
        <v>#N/A</v>
      </c>
      <c r="E469" s="102" t="e">
        <f ca="1"/>
        <v>#N/A</v>
      </c>
      <c r="F469" s="102" t="e">
        <f ca="1"/>
        <v>#N/A</v>
      </c>
      <c r="G469" s="103" t="e">
        <f ca="1"/>
        <v>#N/A</v>
      </c>
    </row>
    <row r="470" spans="2:7">
      <c r="B470" s="101" t="e">
        <f ca="1"/>
        <v>#N/A</v>
      </c>
      <c r="C470" s="102" t="e">
        <f ca="1"/>
        <v>#N/A</v>
      </c>
      <c r="D470" s="102" t="e">
        <f ca="1"/>
        <v>#N/A</v>
      </c>
      <c r="E470" s="102" t="e">
        <f ca="1"/>
        <v>#N/A</v>
      </c>
      <c r="F470" s="102" t="e">
        <f ca="1"/>
        <v>#N/A</v>
      </c>
      <c r="G470" s="103" t="e">
        <f ca="1"/>
        <v>#N/A</v>
      </c>
    </row>
    <row r="471" spans="2:7">
      <c r="B471" s="101" t="e">
        <f ca="1"/>
        <v>#N/A</v>
      </c>
      <c r="C471" s="102" t="e">
        <f ca="1"/>
        <v>#N/A</v>
      </c>
      <c r="D471" s="102" t="e">
        <f ca="1"/>
        <v>#N/A</v>
      </c>
      <c r="E471" s="102" t="e">
        <f ca="1"/>
        <v>#N/A</v>
      </c>
      <c r="F471" s="102" t="e">
        <f ca="1"/>
        <v>#N/A</v>
      </c>
      <c r="G471" s="103" t="e">
        <f ca="1"/>
        <v>#N/A</v>
      </c>
    </row>
    <row r="472" spans="2:7">
      <c r="B472" s="101" t="e">
        <f ca="1"/>
        <v>#N/A</v>
      </c>
      <c r="C472" s="102" t="e">
        <f ca="1"/>
        <v>#N/A</v>
      </c>
      <c r="D472" s="102" t="e">
        <f ca="1"/>
        <v>#N/A</v>
      </c>
      <c r="E472" s="102" t="e">
        <f ca="1"/>
        <v>#N/A</v>
      </c>
      <c r="F472" s="102" t="e">
        <f ca="1"/>
        <v>#N/A</v>
      </c>
      <c r="G472" s="103" t="e">
        <f ca="1"/>
        <v>#N/A</v>
      </c>
    </row>
    <row r="473" spans="2:7">
      <c r="B473" s="101" t="e">
        <f ca="1"/>
        <v>#N/A</v>
      </c>
      <c r="C473" s="102" t="e">
        <f ca="1"/>
        <v>#N/A</v>
      </c>
      <c r="D473" s="102" t="e">
        <f ca="1"/>
        <v>#N/A</v>
      </c>
      <c r="E473" s="102" t="e">
        <f ca="1"/>
        <v>#N/A</v>
      </c>
      <c r="F473" s="102" t="e">
        <f ca="1"/>
        <v>#N/A</v>
      </c>
      <c r="G473" s="103" t="e">
        <f ca="1"/>
        <v>#N/A</v>
      </c>
    </row>
    <row r="474" spans="2:7">
      <c r="B474" s="101" t="e">
        <f ca="1"/>
        <v>#N/A</v>
      </c>
      <c r="C474" s="102" t="e">
        <f ca="1"/>
        <v>#N/A</v>
      </c>
      <c r="D474" s="102" t="e">
        <f ca="1"/>
        <v>#N/A</v>
      </c>
      <c r="E474" s="102" t="e">
        <f ca="1"/>
        <v>#N/A</v>
      </c>
      <c r="F474" s="102" t="e">
        <f ca="1"/>
        <v>#N/A</v>
      </c>
      <c r="G474" s="103" t="e">
        <f ca="1"/>
        <v>#N/A</v>
      </c>
    </row>
    <row r="475" spans="2:7">
      <c r="B475" s="101" t="e">
        <f ca="1"/>
        <v>#N/A</v>
      </c>
      <c r="C475" s="102" t="e">
        <f ca="1"/>
        <v>#N/A</v>
      </c>
      <c r="D475" s="102" t="e">
        <f ca="1"/>
        <v>#N/A</v>
      </c>
      <c r="E475" s="102" t="e">
        <f ca="1"/>
        <v>#N/A</v>
      </c>
      <c r="F475" s="102" t="e">
        <f ca="1"/>
        <v>#N/A</v>
      </c>
      <c r="G475" s="103" t="e">
        <f ca="1"/>
        <v>#N/A</v>
      </c>
    </row>
    <row r="476" spans="2:7">
      <c r="B476" s="101" t="e">
        <f ca="1"/>
        <v>#N/A</v>
      </c>
      <c r="C476" s="102" t="e">
        <f ca="1"/>
        <v>#N/A</v>
      </c>
      <c r="D476" s="102" t="e">
        <f ca="1"/>
        <v>#N/A</v>
      </c>
      <c r="E476" s="102" t="e">
        <f ca="1"/>
        <v>#N/A</v>
      </c>
      <c r="F476" s="102" t="e">
        <f ca="1"/>
        <v>#N/A</v>
      </c>
      <c r="G476" s="103" t="e">
        <f ca="1"/>
        <v>#N/A</v>
      </c>
    </row>
    <row r="477" spans="2:7">
      <c r="B477" s="101" t="e">
        <f ca="1"/>
        <v>#N/A</v>
      </c>
      <c r="C477" s="102" t="e">
        <f ca="1"/>
        <v>#N/A</v>
      </c>
      <c r="D477" s="102" t="e">
        <f ca="1"/>
        <v>#N/A</v>
      </c>
      <c r="E477" s="102" t="e">
        <f ca="1"/>
        <v>#N/A</v>
      </c>
      <c r="F477" s="102" t="e">
        <f ca="1"/>
        <v>#N/A</v>
      </c>
      <c r="G477" s="103" t="e">
        <f ca="1"/>
        <v>#N/A</v>
      </c>
    </row>
    <row r="478" spans="2:7">
      <c r="B478" s="101" t="e">
        <f ca="1"/>
        <v>#N/A</v>
      </c>
      <c r="C478" s="102" t="e">
        <f ca="1"/>
        <v>#N/A</v>
      </c>
      <c r="D478" s="102" t="e">
        <f ca="1"/>
        <v>#N/A</v>
      </c>
      <c r="E478" s="102" t="e">
        <f ca="1"/>
        <v>#N/A</v>
      </c>
      <c r="F478" s="102" t="e">
        <f ca="1"/>
        <v>#N/A</v>
      </c>
      <c r="G478" s="103" t="e">
        <f ca="1"/>
        <v>#N/A</v>
      </c>
    </row>
    <row r="479" spans="2:7">
      <c r="B479" s="101" t="e">
        <f ca="1"/>
        <v>#N/A</v>
      </c>
      <c r="C479" s="102" t="e">
        <f ca="1"/>
        <v>#N/A</v>
      </c>
      <c r="D479" s="102" t="e">
        <f ca="1"/>
        <v>#N/A</v>
      </c>
      <c r="E479" s="102" t="e">
        <f ca="1"/>
        <v>#N/A</v>
      </c>
      <c r="F479" s="102" t="e">
        <f ca="1"/>
        <v>#N/A</v>
      </c>
      <c r="G479" s="103" t="e">
        <f ca="1"/>
        <v>#N/A</v>
      </c>
    </row>
    <row r="480" spans="2:7">
      <c r="B480" s="101" t="e">
        <f ca="1"/>
        <v>#N/A</v>
      </c>
      <c r="C480" s="102" t="e">
        <f ca="1"/>
        <v>#N/A</v>
      </c>
      <c r="D480" s="102" t="e">
        <f ca="1"/>
        <v>#N/A</v>
      </c>
      <c r="E480" s="102" t="e">
        <f ca="1"/>
        <v>#N/A</v>
      </c>
      <c r="F480" s="102" t="e">
        <f ca="1"/>
        <v>#N/A</v>
      </c>
      <c r="G480" s="103" t="e">
        <f ca="1"/>
        <v>#N/A</v>
      </c>
    </row>
    <row r="481" spans="2:7">
      <c r="B481" s="101" t="e">
        <f ca="1"/>
        <v>#N/A</v>
      </c>
      <c r="C481" s="102" t="e">
        <f ca="1"/>
        <v>#N/A</v>
      </c>
      <c r="D481" s="102" t="e">
        <f ca="1"/>
        <v>#N/A</v>
      </c>
      <c r="E481" s="102" t="e">
        <f ca="1"/>
        <v>#N/A</v>
      </c>
      <c r="F481" s="102" t="e">
        <f ca="1"/>
        <v>#N/A</v>
      </c>
      <c r="G481" s="103" t="e">
        <f ca="1"/>
        <v>#N/A</v>
      </c>
    </row>
    <row r="482" spans="2:7">
      <c r="B482" s="101" t="e">
        <f ca="1"/>
        <v>#N/A</v>
      </c>
      <c r="C482" s="102" t="e">
        <f ca="1"/>
        <v>#N/A</v>
      </c>
      <c r="D482" s="102" t="e">
        <f ca="1"/>
        <v>#N/A</v>
      </c>
      <c r="E482" s="102" t="e">
        <f ca="1"/>
        <v>#N/A</v>
      </c>
      <c r="F482" s="102" t="e">
        <f ca="1"/>
        <v>#N/A</v>
      </c>
      <c r="G482" s="103" t="e">
        <f ca="1"/>
        <v>#N/A</v>
      </c>
    </row>
    <row r="483" spans="2:7">
      <c r="B483" s="101" t="e">
        <f ca="1"/>
        <v>#N/A</v>
      </c>
      <c r="C483" s="102" t="e">
        <f ca="1"/>
        <v>#N/A</v>
      </c>
      <c r="D483" s="102" t="e">
        <f ca="1"/>
        <v>#N/A</v>
      </c>
      <c r="E483" s="102" t="e">
        <f ca="1"/>
        <v>#N/A</v>
      </c>
      <c r="F483" s="102" t="e">
        <f ca="1"/>
        <v>#N/A</v>
      </c>
      <c r="G483" s="103" t="e">
        <f ca="1"/>
        <v>#N/A</v>
      </c>
    </row>
    <row r="484" spans="2:7">
      <c r="B484" s="101" t="e">
        <f ca="1"/>
        <v>#N/A</v>
      </c>
      <c r="C484" s="102" t="e">
        <f ca="1"/>
        <v>#N/A</v>
      </c>
      <c r="D484" s="102" t="e">
        <f ca="1"/>
        <v>#N/A</v>
      </c>
      <c r="E484" s="102" t="e">
        <f ca="1"/>
        <v>#N/A</v>
      </c>
      <c r="F484" s="102" t="e">
        <f ca="1"/>
        <v>#N/A</v>
      </c>
      <c r="G484" s="103" t="e">
        <f ca="1"/>
        <v>#N/A</v>
      </c>
    </row>
    <row r="485" spans="2:7">
      <c r="B485" s="101" t="e">
        <f ca="1"/>
        <v>#N/A</v>
      </c>
      <c r="C485" s="102" t="e">
        <f ca="1"/>
        <v>#N/A</v>
      </c>
      <c r="D485" s="102" t="e">
        <f ca="1"/>
        <v>#N/A</v>
      </c>
      <c r="E485" s="102" t="e">
        <f ca="1"/>
        <v>#N/A</v>
      </c>
      <c r="F485" s="102" t="e">
        <f ca="1"/>
        <v>#N/A</v>
      </c>
      <c r="G485" s="103" t="e">
        <f ca="1"/>
        <v>#N/A</v>
      </c>
    </row>
    <row r="486" spans="2:7">
      <c r="B486" s="101" t="e">
        <f ca="1"/>
        <v>#N/A</v>
      </c>
      <c r="C486" s="102" t="e">
        <f ca="1"/>
        <v>#N/A</v>
      </c>
      <c r="D486" s="102" t="e">
        <f ca="1"/>
        <v>#N/A</v>
      </c>
      <c r="E486" s="102" t="e">
        <f ca="1"/>
        <v>#N/A</v>
      </c>
      <c r="F486" s="102" t="e">
        <f ca="1"/>
        <v>#N/A</v>
      </c>
      <c r="G486" s="103" t="e">
        <f ca="1"/>
        <v>#N/A</v>
      </c>
    </row>
    <row r="487" spans="2:7">
      <c r="B487" s="101" t="e">
        <f ca="1"/>
        <v>#N/A</v>
      </c>
      <c r="C487" s="102" t="e">
        <f ca="1"/>
        <v>#N/A</v>
      </c>
      <c r="D487" s="102" t="e">
        <f ca="1"/>
        <v>#N/A</v>
      </c>
      <c r="E487" s="102" t="e">
        <f ca="1"/>
        <v>#N/A</v>
      </c>
      <c r="F487" s="102" t="e">
        <f ca="1"/>
        <v>#N/A</v>
      </c>
      <c r="G487" s="103" t="e">
        <f ca="1"/>
        <v>#N/A</v>
      </c>
    </row>
    <row r="488" spans="2:7">
      <c r="B488" s="101" t="e">
        <f ca="1"/>
        <v>#N/A</v>
      </c>
      <c r="C488" s="102" t="e">
        <f ca="1"/>
        <v>#N/A</v>
      </c>
      <c r="D488" s="102" t="e">
        <f ca="1"/>
        <v>#N/A</v>
      </c>
      <c r="E488" s="102" t="e">
        <f ca="1"/>
        <v>#N/A</v>
      </c>
      <c r="F488" s="102" t="e">
        <f ca="1"/>
        <v>#N/A</v>
      </c>
      <c r="G488" s="103" t="e">
        <f ca="1"/>
        <v>#N/A</v>
      </c>
    </row>
    <row r="489" spans="2:7">
      <c r="B489" s="101" t="e">
        <f ca="1"/>
        <v>#N/A</v>
      </c>
      <c r="C489" s="102" t="e">
        <f ca="1"/>
        <v>#N/A</v>
      </c>
      <c r="D489" s="102" t="e">
        <f ca="1"/>
        <v>#N/A</v>
      </c>
      <c r="E489" s="102" t="e">
        <f ca="1"/>
        <v>#N/A</v>
      </c>
      <c r="F489" s="102" t="e">
        <f ca="1"/>
        <v>#N/A</v>
      </c>
      <c r="G489" s="103" t="e">
        <f ca="1"/>
        <v>#N/A</v>
      </c>
    </row>
    <row r="490" spans="2:7">
      <c r="B490" s="101" t="e">
        <f ca="1"/>
        <v>#N/A</v>
      </c>
      <c r="C490" s="102" t="e">
        <f ca="1"/>
        <v>#N/A</v>
      </c>
      <c r="D490" s="102" t="e">
        <f ca="1"/>
        <v>#N/A</v>
      </c>
      <c r="E490" s="102" t="e">
        <f ca="1"/>
        <v>#N/A</v>
      </c>
      <c r="F490" s="102" t="e">
        <f ca="1"/>
        <v>#N/A</v>
      </c>
      <c r="G490" s="103" t="e">
        <f ca="1"/>
        <v>#N/A</v>
      </c>
    </row>
    <row r="491" spans="2:7">
      <c r="B491" s="101" t="e">
        <f ca="1"/>
        <v>#N/A</v>
      </c>
      <c r="C491" s="102" t="e">
        <f ca="1"/>
        <v>#N/A</v>
      </c>
      <c r="D491" s="102" t="e">
        <f ca="1"/>
        <v>#N/A</v>
      </c>
      <c r="E491" s="102" t="e">
        <f ca="1"/>
        <v>#N/A</v>
      </c>
      <c r="F491" s="102" t="e">
        <f ca="1"/>
        <v>#N/A</v>
      </c>
      <c r="G491" s="103" t="e">
        <f ca="1"/>
        <v>#N/A</v>
      </c>
    </row>
    <row r="492" spans="2:7">
      <c r="B492" s="101" t="e">
        <f ca="1"/>
        <v>#N/A</v>
      </c>
      <c r="C492" s="102" t="e">
        <f ca="1"/>
        <v>#N/A</v>
      </c>
      <c r="D492" s="102" t="e">
        <f ca="1"/>
        <v>#N/A</v>
      </c>
      <c r="E492" s="102" t="e">
        <f ca="1"/>
        <v>#N/A</v>
      </c>
      <c r="F492" s="102" t="e">
        <f ca="1"/>
        <v>#N/A</v>
      </c>
      <c r="G492" s="103" t="e">
        <f ca="1"/>
        <v>#N/A</v>
      </c>
    </row>
    <row r="493" spans="2:7">
      <c r="B493" s="101" t="e">
        <f ca="1"/>
        <v>#N/A</v>
      </c>
      <c r="C493" s="102" t="e">
        <f ca="1"/>
        <v>#N/A</v>
      </c>
      <c r="D493" s="102" t="e">
        <f ca="1"/>
        <v>#N/A</v>
      </c>
      <c r="E493" s="102" t="e">
        <f ca="1"/>
        <v>#N/A</v>
      </c>
      <c r="F493" s="102" t="e">
        <f ca="1"/>
        <v>#N/A</v>
      </c>
      <c r="G493" s="103" t="e">
        <f ca="1"/>
        <v>#N/A</v>
      </c>
    </row>
    <row r="494" spans="2:7">
      <c r="B494" s="101" t="e">
        <f ca="1"/>
        <v>#N/A</v>
      </c>
      <c r="C494" s="102" t="e">
        <f ca="1"/>
        <v>#N/A</v>
      </c>
      <c r="D494" s="102" t="e">
        <f ca="1"/>
        <v>#N/A</v>
      </c>
      <c r="E494" s="102" t="e">
        <f ca="1"/>
        <v>#N/A</v>
      </c>
      <c r="F494" s="102" t="e">
        <f ca="1"/>
        <v>#N/A</v>
      </c>
      <c r="G494" s="103" t="e">
        <f ca="1"/>
        <v>#N/A</v>
      </c>
    </row>
    <row r="495" spans="2:7">
      <c r="B495" s="101" t="e">
        <f ca="1"/>
        <v>#N/A</v>
      </c>
      <c r="C495" s="102" t="e">
        <f ca="1"/>
        <v>#N/A</v>
      </c>
      <c r="D495" s="102" t="e">
        <f ca="1"/>
        <v>#N/A</v>
      </c>
      <c r="E495" s="102" t="e">
        <f ca="1"/>
        <v>#N/A</v>
      </c>
      <c r="F495" s="102" t="e">
        <f ca="1"/>
        <v>#N/A</v>
      </c>
      <c r="G495" s="103" t="e">
        <f ca="1"/>
        <v>#N/A</v>
      </c>
    </row>
    <row r="496" spans="2:7">
      <c r="B496" s="101" t="e">
        <f ca="1"/>
        <v>#N/A</v>
      </c>
      <c r="C496" s="102" t="e">
        <f ca="1"/>
        <v>#N/A</v>
      </c>
      <c r="D496" s="102" t="e">
        <f ca="1"/>
        <v>#N/A</v>
      </c>
      <c r="E496" s="102" t="e">
        <f ca="1"/>
        <v>#N/A</v>
      </c>
      <c r="F496" s="102" t="e">
        <f ca="1"/>
        <v>#N/A</v>
      </c>
      <c r="G496" s="103" t="e">
        <f ca="1"/>
        <v>#N/A</v>
      </c>
    </row>
    <row r="497" spans="2:7">
      <c r="B497" s="101" t="e">
        <f ca="1"/>
        <v>#N/A</v>
      </c>
      <c r="C497" s="102" t="e">
        <f ca="1"/>
        <v>#N/A</v>
      </c>
      <c r="D497" s="102" t="e">
        <f ca="1"/>
        <v>#N/A</v>
      </c>
      <c r="E497" s="102" t="e">
        <f ca="1"/>
        <v>#N/A</v>
      </c>
      <c r="F497" s="102" t="e">
        <f ca="1"/>
        <v>#N/A</v>
      </c>
      <c r="G497" s="103" t="e">
        <f ca="1"/>
        <v>#N/A</v>
      </c>
    </row>
    <row r="498" spans="2:7">
      <c r="B498" s="101" t="e">
        <f ca="1"/>
        <v>#N/A</v>
      </c>
      <c r="C498" s="102" t="e">
        <f ca="1"/>
        <v>#N/A</v>
      </c>
      <c r="D498" s="102" t="e">
        <f ca="1"/>
        <v>#N/A</v>
      </c>
      <c r="E498" s="102" t="e">
        <f ca="1"/>
        <v>#N/A</v>
      </c>
      <c r="F498" s="102" t="e">
        <f ca="1"/>
        <v>#N/A</v>
      </c>
      <c r="G498" s="103" t="e">
        <f ca="1"/>
        <v>#N/A</v>
      </c>
    </row>
    <row r="499" spans="2:7">
      <c r="B499" s="101" t="e">
        <f ca="1"/>
        <v>#N/A</v>
      </c>
      <c r="C499" s="102" t="e">
        <f ca="1"/>
        <v>#N/A</v>
      </c>
      <c r="D499" s="102" t="e">
        <f ca="1"/>
        <v>#N/A</v>
      </c>
      <c r="E499" s="102" t="e">
        <f ca="1"/>
        <v>#N/A</v>
      </c>
      <c r="F499" s="102" t="e">
        <f ca="1"/>
        <v>#N/A</v>
      </c>
      <c r="G499" s="103" t="e">
        <f ca="1"/>
        <v>#N/A</v>
      </c>
    </row>
    <row r="500" spans="2:7">
      <c r="B500" s="101" t="e">
        <f ca="1"/>
        <v>#N/A</v>
      </c>
      <c r="C500" s="102" t="e">
        <f ca="1"/>
        <v>#N/A</v>
      </c>
      <c r="D500" s="102" t="e">
        <f ca="1"/>
        <v>#N/A</v>
      </c>
      <c r="E500" s="102" t="e">
        <f ca="1"/>
        <v>#N/A</v>
      </c>
      <c r="F500" s="102" t="e">
        <f ca="1"/>
        <v>#N/A</v>
      </c>
      <c r="G500" s="103" t="e">
        <f ca="1"/>
        <v>#N/A</v>
      </c>
    </row>
    <row r="501" spans="2:7">
      <c r="B501" s="104" t="e">
        <f ca="1"/>
        <v>#N/A</v>
      </c>
      <c r="C501" s="105" t="e">
        <f ca="1"/>
        <v>#N/A</v>
      </c>
      <c r="D501" s="105" t="e">
        <f ca="1"/>
        <v>#N/A</v>
      </c>
      <c r="E501" s="105" t="e">
        <f ca="1"/>
        <v>#N/A</v>
      </c>
      <c r="F501" s="105" t="e">
        <f ca="1"/>
        <v>#N/A</v>
      </c>
      <c r="G501" s="106" t="e">
        <f ca="1"/>
        <v>#N/A</v>
      </c>
    </row>
  </sheetData>
  <dataValidations count="1">
    <dataValidation type="list" allowBlank="1" showInputMessage="1" showErrorMessage="1" sqref="C6">
      <formula1>"SEMI-ANNUAL,QUARTERLY,MONTHLY,WEEKLY,BUSINESS_DAYS"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U20"/>
  <sheetViews>
    <sheetView showGridLines="0" workbookViewId="0"/>
  </sheetViews>
  <sheetFormatPr defaultRowHeight="15"/>
  <cols>
    <col min="1" max="1" width="4.7109375" customWidth="1"/>
    <col min="2" max="2" width="14.28515625" bestFit="1" customWidth="1"/>
    <col min="3" max="3" width="14.28515625" customWidth="1"/>
    <col min="4" max="4" width="17" bestFit="1" customWidth="1"/>
    <col min="5" max="5" width="4.7109375" customWidth="1"/>
    <col min="6" max="12" width="12.7109375" customWidth="1"/>
    <col min="13" max="13" width="4.7109375" customWidth="1"/>
    <col min="14" max="14" width="22.42578125" bestFit="1" customWidth="1"/>
    <col min="15" max="15" width="15.28515625" bestFit="1" customWidth="1"/>
    <col min="16" max="16" width="15.28515625" customWidth="1"/>
    <col min="17" max="17" width="13.28515625" customWidth="1"/>
    <col min="20" max="20" width="11.140625" bestFit="1" customWidth="1"/>
  </cols>
  <sheetData>
    <row r="2" spans="1:21">
      <c r="B2" s="68" t="s">
        <v>95</v>
      </c>
      <c r="C2" s="68"/>
      <c r="F2" s="107" t="s">
        <v>96</v>
      </c>
      <c r="M2" s="108"/>
      <c r="N2" s="68" t="s">
        <v>97</v>
      </c>
      <c r="S2" s="2" t="s">
        <v>120</v>
      </c>
    </row>
    <row r="3" spans="1:21">
      <c r="D3" s="109" t="s">
        <v>98</v>
      </c>
      <c r="H3" s="109" t="s">
        <v>99</v>
      </c>
      <c r="M3" s="108"/>
    </row>
    <row r="4" spans="1:21">
      <c r="B4" s="1" t="s">
        <v>67</v>
      </c>
      <c r="C4" s="1" t="s">
        <v>117</v>
      </c>
      <c r="D4" s="4" t="s">
        <v>100</v>
      </c>
      <c r="E4" s="4"/>
      <c r="F4" s="4" t="s">
        <v>107</v>
      </c>
      <c r="G4" s="1" t="s">
        <v>101</v>
      </c>
      <c r="H4" s="1" t="s">
        <v>102</v>
      </c>
      <c r="I4" s="1" t="s">
        <v>103</v>
      </c>
      <c r="J4" s="1" t="s">
        <v>0</v>
      </c>
      <c r="K4" s="1" t="s">
        <v>104</v>
      </c>
      <c r="L4" s="1" t="s">
        <v>105</v>
      </c>
      <c r="M4" s="108"/>
      <c r="N4" s="1" t="s">
        <v>3</v>
      </c>
      <c r="O4" s="1" t="s">
        <v>10</v>
      </c>
      <c r="P4" s="1" t="s">
        <v>8</v>
      </c>
      <c r="Q4" s="1" t="s">
        <v>69</v>
      </c>
    </row>
    <row r="5" spans="1:21">
      <c r="B5" s="110">
        <f ca="1">_xll.meDateFromTenor('USD GLOBAL CURVE'!$I$9,F5,"MOD_FOLLOWING",C5)</f>
        <v>43329</v>
      </c>
      <c r="C5" s="159" t="str">
        <f ca="1">VLOOKUP("PAYMENTCALENDAR",_xll.meLWOSwapGeneratorDisplay($H5),2,FALSE)</f>
        <v>NYB:LNB</v>
      </c>
      <c r="D5" s="111">
        <f ca="1">_xll.meDateFromTenor(B5,G5,)</f>
        <v>43694</v>
      </c>
      <c r="E5" s="162" t="s">
        <v>12</v>
      </c>
      <c r="F5" s="112" t="s">
        <v>68</v>
      </c>
      <c r="G5" s="113" t="s">
        <v>5</v>
      </c>
      <c r="H5" s="114" t="s">
        <v>2</v>
      </c>
      <c r="I5" s="115" t="s">
        <v>106</v>
      </c>
      <c r="J5" s="116">
        <v>1000000</v>
      </c>
      <c r="K5" s="117">
        <v>0.01</v>
      </c>
      <c r="L5" s="118">
        <v>0</v>
      </c>
      <c r="M5" s="163">
        <v>1</v>
      </c>
      <c r="N5" s="119" t="str">
        <f ca="1">_xll.meLWOSwapCreateFromGenerator("USDSWAP"&amp;M5&amp;"_"&amp;G5,$H5,$I5,$J5,$B$8,$G5,$K5,$L5)</f>
        <v>USDSWAP1_1Y@12:0</v>
      </c>
      <c r="O5" s="120" t="s">
        <v>4</v>
      </c>
      <c r="P5" s="143">
        <f ca="1">_xll.meLWOSwapPV(N5,O5)</f>
        <v>16097.643347834779</v>
      </c>
      <c r="Q5" s="100">
        <f ca="1">_xll.meLWOSwapParRate(N5,O5)</f>
        <v>2.6289384265945639E-2</v>
      </c>
      <c r="S5" s="174" t="s">
        <v>121</v>
      </c>
      <c r="T5" s="172"/>
      <c r="U5" s="173"/>
    </row>
    <row r="6" spans="1:21">
      <c r="B6" s="121">
        <f ca="1">_xll.meDateFromTenor('USD GLOBAL CURVE'!$I$9,F6,"MOD_FOLLOWING",C6)</f>
        <v>43329</v>
      </c>
      <c r="C6" s="160" t="str">
        <f ca="1">VLOOKUP("PAYMENTCALENDAR",_xll.meLWOSwapGeneratorDisplay($H6),2,FALSE)</f>
        <v>NYB:LNB</v>
      </c>
      <c r="D6" s="122">
        <f ca="1">_xll.meDateFromTenor(B6,G6,)</f>
        <v>44060</v>
      </c>
      <c r="E6" s="162" t="s">
        <v>12</v>
      </c>
      <c r="F6" s="123" t="s">
        <v>68</v>
      </c>
      <c r="G6" s="124" t="s">
        <v>39</v>
      </c>
      <c r="H6" s="125" t="s">
        <v>2</v>
      </c>
      <c r="I6" s="126" t="s">
        <v>106</v>
      </c>
      <c r="J6" s="127">
        <v>1000000</v>
      </c>
      <c r="K6" s="128">
        <v>0.01</v>
      </c>
      <c r="L6" s="129">
        <v>0</v>
      </c>
      <c r="M6" s="163">
        <v>2</v>
      </c>
      <c r="N6" s="130" t="str">
        <f ca="1">_xll.meLWOSwapCreateFromGenerator("USDSWAP"&amp;M6&amp;"_"&amp;G6,$H6,$I6,$J6,$B$8,$G6,$K6,$L6)</f>
        <v>USDSWAP2_2Y@13:0</v>
      </c>
      <c r="O6" s="131" t="s">
        <v>4</v>
      </c>
      <c r="P6" s="144">
        <f ca="1">_xll.meLWOSwapPV(N6,O6)</f>
        <v>34966.035256474628</v>
      </c>
      <c r="Q6" s="103">
        <f ca="1">_xll.meLWOSwapParRate(N6,O6)</f>
        <v>2.8018949380397097E-2</v>
      </c>
      <c r="S6" s="172"/>
      <c r="T6" s="172"/>
      <c r="U6" s="173"/>
    </row>
    <row r="7" spans="1:21">
      <c r="B7" s="121">
        <f ca="1">_xll.meDateFromTenor('USD GLOBAL CURVE'!$I$9,F7,"MOD_FOLLOWING",C7)</f>
        <v>43329</v>
      </c>
      <c r="C7" s="160" t="str">
        <f ca="1">VLOOKUP("PAYMENTCALENDAR",_xll.meLWOSwapGeneratorDisplay($H7),2,FALSE)</f>
        <v>NYB:LNB</v>
      </c>
      <c r="D7" s="122">
        <f ca="1">_xll.meDateFromTenor(B7,G7,)</f>
        <v>44425</v>
      </c>
      <c r="E7" s="162" t="s">
        <v>12</v>
      </c>
      <c r="F7" s="123" t="s">
        <v>68</v>
      </c>
      <c r="G7" s="124" t="s">
        <v>31</v>
      </c>
      <c r="H7" s="125" t="s">
        <v>2</v>
      </c>
      <c r="I7" s="126" t="s">
        <v>106</v>
      </c>
      <c r="J7" s="127">
        <v>1000000</v>
      </c>
      <c r="K7" s="128">
        <v>0.01</v>
      </c>
      <c r="L7" s="129">
        <v>0</v>
      </c>
      <c r="M7" s="163">
        <v>3</v>
      </c>
      <c r="N7" s="130" t="str">
        <f ca="1">_xll.meLWOSwapCreateFromGenerator("USDSWAP"&amp;M7&amp;"_"&amp;G7,$H7,$I7,$J7,$B$8,$G7,$K7,$L7)</f>
        <v>USDSWAP3_3Y@7:0</v>
      </c>
      <c r="O7" s="131" t="s">
        <v>4</v>
      </c>
      <c r="P7" s="144">
        <f ca="1">_xll.meLWOSwapPV(N7,O7)</f>
        <v>53336.64575367712</v>
      </c>
      <c r="Q7" s="103">
        <f ca="1">_xll.meLWOSwapParRate(N7,O7)</f>
        <v>2.8564488045768003E-2</v>
      </c>
      <c r="S7" s="172" t="s">
        <v>112</v>
      </c>
      <c r="T7" s="172" t="s">
        <v>69</v>
      </c>
      <c r="U7" s="173" t="s">
        <v>119</v>
      </c>
    </row>
    <row r="8" spans="1:21">
      <c r="A8" s="4" t="s">
        <v>12</v>
      </c>
      <c r="B8" s="121">
        <f ca="1">_xll.meDateFromTenor('USD GLOBAL CURVE'!$I$9,F8,"MOD_FOLLOWING",C8)</f>
        <v>43329</v>
      </c>
      <c r="C8" s="160" t="str">
        <f ca="1">VLOOKUP("PAYMENTCALENDAR",_xll.meLWOSwapGeneratorDisplay($H8),2,FALSE)</f>
        <v>NYB:LNB</v>
      </c>
      <c r="D8" s="122">
        <f ca="1">_xll.meDateFromTenor(B8,G8,)</f>
        <v>44790</v>
      </c>
      <c r="E8" s="162" t="s">
        <v>12</v>
      </c>
      <c r="F8" s="123" t="s">
        <v>68</v>
      </c>
      <c r="G8" s="124" t="s">
        <v>42</v>
      </c>
      <c r="H8" s="125" t="s">
        <v>2</v>
      </c>
      <c r="I8" s="126" t="s">
        <v>106</v>
      </c>
      <c r="J8" s="127">
        <v>1000000</v>
      </c>
      <c r="K8" s="128">
        <v>0.01</v>
      </c>
      <c r="L8" s="129">
        <v>0</v>
      </c>
      <c r="M8" s="163">
        <v>4</v>
      </c>
      <c r="N8" s="130" t="str">
        <f ca="1">_xll.meLWOSwapCreateFromGenerator("USDSWAP"&amp;M8&amp;"_"&amp;G8,$H8,$I8,$J8,$B$8,$G8,$K8,$L8)</f>
        <v>USDSWAP4_4Y@17:0</v>
      </c>
      <c r="O8" s="131" t="s">
        <v>4</v>
      </c>
      <c r="P8" s="144">
        <f ca="1">_xll.meLWOSwapPV(N8,O8)</f>
        <v>70647.31329332634</v>
      </c>
      <c r="Q8" s="103">
        <f ca="1">_xll.meLWOSwapParRate(N8,O8)</f>
        <v>2.8680000000014999E-2</v>
      </c>
      <c r="R8" s="4" t="s">
        <v>12</v>
      </c>
      <c r="S8" s="164" t="str">
        <f ca="1">'USD GLOBAL CURVE'!T27</f>
        <v>4Y</v>
      </c>
      <c r="T8" s="165">
        <f ca="1">'USD GLOBAL CURVE'!U27</f>
        <v>2.8679999999999997E-2</v>
      </c>
      <c r="U8" s="166">
        <f t="shared" ref="U8:U20" ca="1" si="0">ABS(Q8-T8)*10000</f>
        <v>1.5001888620247428E-10</v>
      </c>
    </row>
    <row r="9" spans="1:21">
      <c r="A9" t="s">
        <v>12</v>
      </c>
      <c r="B9" s="121">
        <f ca="1">_xll.meDateFromTenor('USD GLOBAL CURVE'!$I$9,F9,"MOD_FOLLOWING",C9)</f>
        <v>43329</v>
      </c>
      <c r="C9" s="160" t="str">
        <f ca="1">C8</f>
        <v>NYB:LNB</v>
      </c>
      <c r="D9" s="122">
        <f ca="1">_xll.meDateFromTenor(B9,G9,)</f>
        <v>45155</v>
      </c>
      <c r="E9" t="s">
        <v>12</v>
      </c>
      <c r="F9" s="123" t="s">
        <v>68</v>
      </c>
      <c r="G9" s="124" t="s">
        <v>6</v>
      </c>
      <c r="H9" s="125" t="s">
        <v>2</v>
      </c>
      <c r="I9" s="126" t="s">
        <v>106</v>
      </c>
      <c r="J9" s="127">
        <v>1000000</v>
      </c>
      <c r="K9" s="128">
        <v>0.01</v>
      </c>
      <c r="L9" s="129">
        <v>0</v>
      </c>
      <c r="M9" s="108">
        <v>5</v>
      </c>
      <c r="N9" s="130" t="str">
        <f ca="1">_xll.meLWOSwapCreateFromGenerator("USDSWAP"&amp;M9&amp;"_"&amp;G9,$H9,$I9,$J9,$B$8,$G9,$K9,$L9)</f>
        <v>USDSWAP5_5Y@19:0</v>
      </c>
      <c r="O9" s="131" t="s">
        <v>4</v>
      </c>
      <c r="P9" s="144">
        <f ca="1">_xll.meLWOSwapPV(N9,O9)</f>
        <v>87430.423076633626</v>
      </c>
      <c r="Q9" s="103">
        <f ca="1">_xll.meLWOSwapParRate(N9,O9)</f>
        <v>2.8729000000007488E-2</v>
      </c>
      <c r="R9" t="s">
        <v>12</v>
      </c>
      <c r="S9" s="167" t="str">
        <f ca="1">'USD GLOBAL CURVE'!T28</f>
        <v>5Y</v>
      </c>
      <c r="T9" s="102">
        <f ca="1">'USD GLOBAL CURVE'!U28</f>
        <v>2.8729000000000001E-2</v>
      </c>
      <c r="U9" s="168">
        <f t="shared" ca="1" si="0"/>
        <v>7.4870665223158994E-11</v>
      </c>
    </row>
    <row r="10" spans="1:21">
      <c r="A10" t="s">
        <v>12</v>
      </c>
      <c r="B10" s="121">
        <f ca="1">_xll.meDateFromTenor('USD GLOBAL CURVE'!$I$9,F10,"MOD_FOLLOWING",C10)</f>
        <v>43329</v>
      </c>
      <c r="C10" s="160" t="str">
        <f t="shared" ref="C10:C15" ca="1" si="1">C9</f>
        <v>NYB:LNB</v>
      </c>
      <c r="D10" s="122">
        <f ca="1">_xll.meDateFromTenor(B10,G10,)</f>
        <v>45886</v>
      </c>
      <c r="E10" t="s">
        <v>12</v>
      </c>
      <c r="F10" s="123" t="s">
        <v>68</v>
      </c>
      <c r="G10" s="124" t="s">
        <v>45</v>
      </c>
      <c r="H10" s="125" t="s">
        <v>2</v>
      </c>
      <c r="I10" s="126" t="s">
        <v>106</v>
      </c>
      <c r="J10" s="127">
        <v>1000000</v>
      </c>
      <c r="K10" s="128">
        <v>0.01</v>
      </c>
      <c r="L10" s="129">
        <v>0</v>
      </c>
      <c r="M10" s="108">
        <v>6</v>
      </c>
      <c r="N10" s="130" t="str">
        <f ca="1">_xll.meLWOSwapCreateFromGenerator("USDSWAP"&amp;M10&amp;"_"&amp;G10,$H10,$I10,$J10,$B$8,$G10,$K10,$L10)</f>
        <v>USDSWAP6_7Y@22:0</v>
      </c>
      <c r="O10" s="131" t="s">
        <v>4</v>
      </c>
      <c r="P10" s="144">
        <f ca="1">_xll.meLWOSwapPV(N10,O10)</f>
        <v>120569.38822652912</v>
      </c>
      <c r="Q10" s="103">
        <f ca="1">_xll.meLWOSwapParRate(N10,O10)</f>
        <v>2.8909999999696647E-2</v>
      </c>
      <c r="R10" t="s">
        <v>12</v>
      </c>
      <c r="S10" s="167" t="str">
        <f ca="1">'USD GLOBAL CURVE'!T29</f>
        <v>7Y</v>
      </c>
      <c r="T10" s="102">
        <f ca="1">'USD GLOBAL CURVE'!U29</f>
        <v>2.8910000000000002E-2</v>
      </c>
      <c r="U10" s="168">
        <f t="shared" ca="1" si="0"/>
        <v>3.0335456369101621E-9</v>
      </c>
    </row>
    <row r="11" spans="1:21">
      <c r="A11" t="s">
        <v>12</v>
      </c>
      <c r="B11" s="121">
        <f ca="1">_xll.meDateFromTenor('USD GLOBAL CURVE'!$I$9,F11,"MOD_FOLLOWING",C11)</f>
        <v>43329</v>
      </c>
      <c r="C11" s="160" t="str">
        <f t="shared" ca="1" si="1"/>
        <v>NYB:LNB</v>
      </c>
      <c r="D11" s="122">
        <f ca="1">_xll.meDateFromTenor(B11,G11,)</f>
        <v>46251</v>
      </c>
      <c r="E11" t="s">
        <v>12</v>
      </c>
      <c r="F11" s="123" t="s">
        <v>68</v>
      </c>
      <c r="G11" s="124" t="s">
        <v>62</v>
      </c>
      <c r="H11" s="125" t="s">
        <v>2</v>
      </c>
      <c r="I11" s="126" t="s">
        <v>106</v>
      </c>
      <c r="J11" s="127">
        <v>1000000</v>
      </c>
      <c r="K11" s="128">
        <v>0.01</v>
      </c>
      <c r="L11" s="129">
        <v>0</v>
      </c>
      <c r="M11" s="108">
        <v>7</v>
      </c>
      <c r="N11" s="130" t="str">
        <f ca="1">_xll.meLWOSwapCreateFromGenerator("USDSWAP"&amp;M11&amp;"_"&amp;G11,$H11,$I11,$J11,$B$8,$G11,$K11,$L11)</f>
        <v>USDSWAP7_8Y@21:0</v>
      </c>
      <c r="O11" s="131" t="s">
        <v>4</v>
      </c>
      <c r="P11" s="144">
        <f ca="1">_xll.meLWOSwapPV(N11,O11)</f>
        <v>136782.98835502361</v>
      </c>
      <c r="Q11" s="103">
        <f ca="1">_xll.meLWOSwapParRate(N11,O11)</f>
        <v>2.9013999999917356E-2</v>
      </c>
      <c r="R11" t="s">
        <v>12</v>
      </c>
      <c r="S11" s="167" t="str">
        <f ca="1">'USD GLOBAL CURVE'!T30</f>
        <v>8Y</v>
      </c>
      <c r="T11" s="102">
        <f ca="1">'USD GLOBAL CURVE'!U30</f>
        <v>2.9014000000000002E-2</v>
      </c>
      <c r="U11" s="168">
        <f t="shared" ca="1" si="0"/>
        <v>8.2645695842487044E-10</v>
      </c>
    </row>
    <row r="12" spans="1:21">
      <c r="A12" t="s">
        <v>12</v>
      </c>
      <c r="B12" s="121">
        <f ca="1">_xll.meDateFromTenor('USD GLOBAL CURVE'!$I$9,F12,"MOD_FOLLOWING",C12)</f>
        <v>43329</v>
      </c>
      <c r="C12" s="160" t="str">
        <f t="shared" ca="1" si="1"/>
        <v>NYB:LNB</v>
      </c>
      <c r="D12" s="122">
        <f ca="1">_xll.meDateFromTenor(B12,G12,)</f>
        <v>46616</v>
      </c>
      <c r="E12" t="s">
        <v>12</v>
      </c>
      <c r="F12" s="123" t="s">
        <v>68</v>
      </c>
      <c r="G12" s="124" t="s">
        <v>64</v>
      </c>
      <c r="H12" s="125" t="s">
        <v>2</v>
      </c>
      <c r="I12" s="126" t="s">
        <v>106</v>
      </c>
      <c r="J12" s="127">
        <v>1000000</v>
      </c>
      <c r="K12" s="128">
        <v>0.01</v>
      </c>
      <c r="L12" s="129">
        <v>0</v>
      </c>
      <c r="M12" s="108">
        <v>8</v>
      </c>
      <c r="N12" s="130" t="str">
        <f ca="1">_xll.meLWOSwapCreateFromGenerator("USDSWAP"&amp;M12&amp;"_"&amp;G12,$H12,$I12,$J12,$B$8,$G12,$K12,$L12)</f>
        <v>USDSWAP8_9Y@15:0</v>
      </c>
      <c r="O12" s="131" t="s">
        <v>4</v>
      </c>
      <c r="P12" s="144">
        <f ca="1">_xll.meLWOSwapPV(N12,O12)</f>
        <v>153023.66446971201</v>
      </c>
      <c r="Q12" s="103">
        <f ca="1">_xll.meLWOSwapParRate(N12,O12)</f>
        <v>2.9144999999495269E-2</v>
      </c>
      <c r="R12" t="s">
        <v>12</v>
      </c>
      <c r="S12" s="167" t="str">
        <f ca="1">'USD GLOBAL CURVE'!T31</f>
        <v>9Y</v>
      </c>
      <c r="T12" s="102">
        <f ca="1">'USD GLOBAL CURVE'!U31</f>
        <v>2.9144999999999997E-2</v>
      </c>
      <c r="U12" s="168">
        <f t="shared" ca="1" si="0"/>
        <v>5.0472820367630788E-9</v>
      </c>
    </row>
    <row r="13" spans="1:21">
      <c r="A13" t="s">
        <v>12</v>
      </c>
      <c r="B13" s="121">
        <f ca="1">_xll.meDateFromTenor('USD GLOBAL CURVE'!$I$9,F13,"MOD_FOLLOWING",C13)</f>
        <v>43329</v>
      </c>
      <c r="C13" s="160" t="str">
        <f t="shared" ca="1" si="1"/>
        <v>NYB:LNB</v>
      </c>
      <c r="D13" s="122">
        <f ca="1">_xll.meDateFromTenor(B13,G13,)</f>
        <v>46982</v>
      </c>
      <c r="E13" t="s">
        <v>12</v>
      </c>
      <c r="F13" s="123" t="s">
        <v>68</v>
      </c>
      <c r="G13" s="124" t="s">
        <v>47</v>
      </c>
      <c r="H13" s="125" t="s">
        <v>2</v>
      </c>
      <c r="I13" s="126" t="s">
        <v>106</v>
      </c>
      <c r="J13" s="127">
        <v>1000000</v>
      </c>
      <c r="K13" s="128">
        <v>0.01</v>
      </c>
      <c r="L13" s="129">
        <v>0</v>
      </c>
      <c r="M13" s="108">
        <v>9</v>
      </c>
      <c r="N13" s="130" t="str">
        <f ca="1">_xll.meLWOSwapCreateFromGenerator("USDSWAP"&amp;M13&amp;"_"&amp;G13,$H13,$I13,$J13,$B$8,$G13,$K13,$L13)</f>
        <v>USDSWAP9_10Y@20:0</v>
      </c>
      <c r="O13" s="131" t="s">
        <v>4</v>
      </c>
      <c r="P13" s="144">
        <f ca="1">_xll.meLWOSwapPV(N13,O13)</f>
        <v>169109.12945736852</v>
      </c>
      <c r="Q13" s="103">
        <f ca="1">_xll.meLWOSwapParRate(N13,O13)</f>
        <v>2.9279999999759738E-2</v>
      </c>
      <c r="R13" t="s">
        <v>12</v>
      </c>
      <c r="S13" s="167" t="str">
        <f ca="1">'USD GLOBAL CURVE'!T32</f>
        <v>10Y</v>
      </c>
      <c r="T13" s="102">
        <f ca="1">'USD GLOBAL CURVE'!U32</f>
        <v>2.928E-2</v>
      </c>
      <c r="U13" s="168">
        <f t="shared" ca="1" si="0"/>
        <v>2.4026267086973974E-9</v>
      </c>
    </row>
    <row r="14" spans="1:21">
      <c r="A14" t="s">
        <v>12</v>
      </c>
      <c r="B14" s="121">
        <f ca="1">_xll.meDateFromTenor('USD GLOBAL CURVE'!$I$9,F14,"MOD_FOLLOWING",C14)</f>
        <v>43329</v>
      </c>
      <c r="C14" s="160" t="str">
        <f t="shared" ca="1" si="1"/>
        <v>NYB:LNB</v>
      </c>
      <c r="D14" s="122">
        <f ca="1">_xll.meDateFromTenor(B14,G14,)</f>
        <v>47712</v>
      </c>
      <c r="E14" t="s">
        <v>12</v>
      </c>
      <c r="F14" s="123" t="s">
        <v>68</v>
      </c>
      <c r="G14" s="124" t="s">
        <v>49</v>
      </c>
      <c r="H14" s="125" t="s">
        <v>2</v>
      </c>
      <c r="I14" s="126" t="s">
        <v>106</v>
      </c>
      <c r="J14" s="127">
        <v>1000000</v>
      </c>
      <c r="K14" s="128">
        <v>0.01</v>
      </c>
      <c r="L14" s="129">
        <v>0</v>
      </c>
      <c r="M14" s="108">
        <v>10</v>
      </c>
      <c r="N14" s="130" t="str">
        <f ca="1">_xll.meLWOSwapCreateFromGenerator("USDSWAP"&amp;M14&amp;"_"&amp;G14,$H14,$I14,$J14,$B$8,$G14,$K14,$L14)</f>
        <v>USDSWAP10_12Y@18:0</v>
      </c>
      <c r="O14" s="131" t="s">
        <v>4</v>
      </c>
      <c r="P14" s="144">
        <f ca="1">_xll.meLWOSwapPV(N14,O14)</f>
        <v>200520.51069792215</v>
      </c>
      <c r="Q14" s="103">
        <f ca="1">_xll.meLWOSwapParRate(N14,O14)</f>
        <v>2.9523000000424897E-2</v>
      </c>
      <c r="R14" t="s">
        <v>12</v>
      </c>
      <c r="S14" s="167" t="str">
        <f ca="1">'USD GLOBAL CURVE'!T33</f>
        <v>12Y</v>
      </c>
      <c r="T14" s="102">
        <f ca="1">'USD GLOBAL CURVE'!U33</f>
        <v>2.9523000000000001E-2</v>
      </c>
      <c r="U14" s="168">
        <f t="shared" ca="1" si="0"/>
        <v>4.2489622931185522E-9</v>
      </c>
    </row>
    <row r="15" spans="1:21">
      <c r="A15" t="s">
        <v>12</v>
      </c>
      <c r="B15" s="121">
        <f ca="1">_xll.meDateFromTenor('USD GLOBAL CURVE'!$I$9,F15,"MOD_FOLLOWING",C15)</f>
        <v>43329</v>
      </c>
      <c r="C15" s="160" t="str">
        <f t="shared" ca="1" si="1"/>
        <v>NYB:LNB</v>
      </c>
      <c r="D15" s="122">
        <f ca="1">_xll.meDateFromTenor(B15,G15,)</f>
        <v>48808</v>
      </c>
      <c r="E15" t="s">
        <v>12</v>
      </c>
      <c r="F15" s="123" t="s">
        <v>68</v>
      </c>
      <c r="G15" s="124" t="s">
        <v>51</v>
      </c>
      <c r="H15" s="125" t="s">
        <v>2</v>
      </c>
      <c r="I15" s="126" t="s">
        <v>106</v>
      </c>
      <c r="J15" s="127">
        <v>1000000</v>
      </c>
      <c r="K15" s="128">
        <v>0.01</v>
      </c>
      <c r="L15" s="129">
        <v>0</v>
      </c>
      <c r="M15" s="108">
        <v>11</v>
      </c>
      <c r="N15" s="130" t="str">
        <f ca="1">_xll.meLWOSwapCreateFromGenerator("USDSWAP"&amp;M15&amp;"_"&amp;G15,$H15,$I15,$J15,$B$8,$G15,$K15,$L15)</f>
        <v>USDSWAP11_15Y@16:0</v>
      </c>
      <c r="O15" s="131" t="s">
        <v>4</v>
      </c>
      <c r="P15" s="144">
        <f ca="1">_xll.meLWOSwapPV(N15,O15)</f>
        <v>243978.76566446849</v>
      </c>
      <c r="Q15" s="103">
        <f ca="1">_xll.meLWOSwapParRate(N15,O15)</f>
        <v>2.9727999999846776E-2</v>
      </c>
      <c r="R15" t="s">
        <v>12</v>
      </c>
      <c r="S15" s="167" t="str">
        <f ca="1">'USD GLOBAL CURVE'!T34</f>
        <v>15Y</v>
      </c>
      <c r="T15" s="102">
        <f ca="1">'USD GLOBAL CURVE'!U34</f>
        <v>2.9727999999999997E-2</v>
      </c>
      <c r="U15" s="168">
        <f t="shared" ca="1" si="0"/>
        <v>1.5322118573912746E-9</v>
      </c>
    </row>
    <row r="16" spans="1:21">
      <c r="A16" t="s">
        <v>12</v>
      </c>
      <c r="B16" s="121">
        <f ca="1">_xll.meDateFromTenor('USD GLOBAL CURVE'!$I$9,F16,"MOD_FOLLOWING",C16)</f>
        <v>43329</v>
      </c>
      <c r="C16" s="160" t="str">
        <f t="shared" ref="C16:C19" ca="1" si="2">C15</f>
        <v>NYB:LNB</v>
      </c>
      <c r="D16" s="122">
        <f ca="1">_xll.meDateFromTenor(B16,G16,)</f>
        <v>50634</v>
      </c>
      <c r="E16" t="s">
        <v>12</v>
      </c>
      <c r="F16" s="123" t="s">
        <v>68</v>
      </c>
      <c r="G16" s="124" t="s">
        <v>53</v>
      </c>
      <c r="H16" s="125" t="s">
        <v>2</v>
      </c>
      <c r="I16" s="126" t="s">
        <v>106</v>
      </c>
      <c r="J16" s="127">
        <v>1000000</v>
      </c>
      <c r="K16" s="128">
        <v>0.01</v>
      </c>
      <c r="L16" s="129">
        <v>0</v>
      </c>
      <c r="M16" s="108">
        <v>12</v>
      </c>
      <c r="N16" s="130" t="str">
        <f ca="1">_xll.meLWOSwapCreateFromGenerator("USDSWAP"&amp;M16&amp;"_"&amp;G16,$H16,$I16,$J16,$B$8,$G16,$K16,$L16)</f>
        <v>USDSWAP12_20Y@9:0</v>
      </c>
      <c r="O16" s="131" t="s">
        <v>4</v>
      </c>
      <c r="P16" s="144">
        <f ca="1">_xll.meLWOSwapPV(N16,O16)</f>
        <v>307916.46638211654</v>
      </c>
      <c r="Q16" s="103">
        <f ca="1">_xll.meLWOSwapParRate(N16,O16)</f>
        <v>2.9833000000588108E-2</v>
      </c>
      <c r="R16" t="s">
        <v>12</v>
      </c>
      <c r="S16" s="167" t="str">
        <f ca="1">'USD GLOBAL CURVE'!T35</f>
        <v>20Y</v>
      </c>
      <c r="T16" s="102">
        <f ca="1">'USD GLOBAL CURVE'!U35</f>
        <v>2.9832999999999998E-2</v>
      </c>
      <c r="U16" s="168">
        <f t="shared" ca="1" si="0"/>
        <v>5.8810942227260909E-9</v>
      </c>
    </row>
    <row r="17" spans="2:21">
      <c r="B17" s="121">
        <f ca="1">_xll.meDateFromTenor('USD GLOBAL CURVE'!$I$9,F17,"MOD_FOLLOWING",C17)</f>
        <v>43329</v>
      </c>
      <c r="C17" s="160" t="str">
        <f t="shared" ca="1" si="2"/>
        <v>NYB:LNB</v>
      </c>
      <c r="D17" s="122">
        <f ca="1">_xll.meDateFromTenor(B17,G17,)</f>
        <v>52460</v>
      </c>
      <c r="E17" t="s">
        <v>12</v>
      </c>
      <c r="F17" s="123" t="s">
        <v>68</v>
      </c>
      <c r="G17" s="124" t="s">
        <v>55</v>
      </c>
      <c r="H17" s="125" t="s">
        <v>2</v>
      </c>
      <c r="I17" s="126" t="s">
        <v>106</v>
      </c>
      <c r="J17" s="127">
        <v>1000000</v>
      </c>
      <c r="K17" s="128">
        <v>0.01</v>
      </c>
      <c r="L17" s="129">
        <v>0</v>
      </c>
      <c r="M17" s="108">
        <v>13</v>
      </c>
      <c r="N17" s="130" t="str">
        <f ca="1">_xll.meLWOSwapCreateFromGenerator("USDSWAP"&amp;M17&amp;"_"&amp;G17,$H17,$I17,$J17,$B$8,$G17,$K17,$L17)</f>
        <v>USDSWAP13_25Y@10:0</v>
      </c>
      <c r="O17" s="131" t="s">
        <v>4</v>
      </c>
      <c r="P17" s="144">
        <f ca="1">_xll.meLWOSwapPV(N17,O17)</f>
        <v>361637.76257636771</v>
      </c>
      <c r="Q17" s="103">
        <f ca="1">_xll.meLWOSwapParRate(N17,O17)</f>
        <v>2.9750000000131924E-2</v>
      </c>
      <c r="S17" s="167" t="str">
        <f ca="1">'USD GLOBAL CURVE'!T36</f>
        <v>25Y</v>
      </c>
      <c r="T17" s="102">
        <f ca="1">'USD GLOBAL CURVE'!U36</f>
        <v>2.9750000000000002E-2</v>
      </c>
      <c r="U17" s="168">
        <f t="shared" ca="1" si="0"/>
        <v>1.3192225090108423E-9</v>
      </c>
    </row>
    <row r="18" spans="2:21">
      <c r="B18" s="121">
        <f ca="1">_xll.meDateFromTenor('USD GLOBAL CURVE'!$I$9,F18,"MOD_FOLLOWING",C18)</f>
        <v>43329</v>
      </c>
      <c r="C18" s="160" t="str">
        <f t="shared" ca="1" si="2"/>
        <v>NYB:LNB</v>
      </c>
      <c r="D18" s="122">
        <f ca="1">_xll.meDateFromTenor(B18,G18,)</f>
        <v>54287</v>
      </c>
      <c r="E18" t="s">
        <v>12</v>
      </c>
      <c r="F18" s="123" t="s">
        <v>68</v>
      </c>
      <c r="G18" s="124" t="s">
        <v>56</v>
      </c>
      <c r="H18" s="125" t="s">
        <v>2</v>
      </c>
      <c r="I18" s="126" t="s">
        <v>106</v>
      </c>
      <c r="J18" s="127">
        <v>1000000</v>
      </c>
      <c r="K18" s="128">
        <v>0.01</v>
      </c>
      <c r="L18" s="129">
        <v>0</v>
      </c>
      <c r="M18" s="108">
        <v>14</v>
      </c>
      <c r="N18" s="130" t="str">
        <f ca="1">_xll.meLWOSwapCreateFromGenerator("USDSWAP"&amp;M18&amp;"_"&amp;G18,$H18,$I18,$J18,$B$8,$G18,$K18,$L18)</f>
        <v>USDSWAP14_30Y@8:0</v>
      </c>
      <c r="O18" s="131" t="s">
        <v>4</v>
      </c>
      <c r="P18" s="144">
        <f ca="1">_xll.meLWOSwapPV(N18,O18)</f>
        <v>407671.26689945417</v>
      </c>
      <c r="Q18" s="103">
        <f ca="1">_xll.meLWOSwapParRate(N18,O18)</f>
        <v>2.9618000000365165E-2</v>
      </c>
      <c r="S18" s="167" t="str">
        <f ca="1">'USD GLOBAL CURVE'!T37</f>
        <v>30Y</v>
      </c>
      <c r="T18" s="102">
        <f ca="1">'USD GLOBAL CURVE'!U37</f>
        <v>2.9618000000000002E-2</v>
      </c>
      <c r="U18" s="168">
        <f t="shared" ca="1" si="0"/>
        <v>3.6516276114006985E-9</v>
      </c>
    </row>
    <row r="19" spans="2:21">
      <c r="B19" s="121">
        <f ca="1">_xll.meDateFromTenor('USD GLOBAL CURVE'!$I$9,F19,"MOD_FOLLOWING",C19)</f>
        <v>43329</v>
      </c>
      <c r="C19" s="160" t="str">
        <f t="shared" ca="1" si="2"/>
        <v>NYB:LNB</v>
      </c>
      <c r="D19" s="122">
        <f ca="1">_xll.meDateFromTenor(B19,G19,)</f>
        <v>57939</v>
      </c>
      <c r="E19" t="s">
        <v>12</v>
      </c>
      <c r="F19" s="123" t="s">
        <v>68</v>
      </c>
      <c r="G19" s="124" t="s">
        <v>28</v>
      </c>
      <c r="H19" s="125" t="s">
        <v>2</v>
      </c>
      <c r="I19" s="126" t="s">
        <v>106</v>
      </c>
      <c r="J19" s="127">
        <v>1000000</v>
      </c>
      <c r="K19" s="128">
        <v>0.01</v>
      </c>
      <c r="L19" s="129">
        <v>0</v>
      </c>
      <c r="M19" s="108">
        <v>15</v>
      </c>
      <c r="N19" s="130" t="str">
        <f ca="1">_xll.meLWOSwapCreateFromGenerator("USDSWAP"&amp;M19&amp;"_"&amp;G19,$H19,$I19,$J19,$B$8,$G19,$K19,$L19)</f>
        <v>USDSWAP15_40Y@14:0</v>
      </c>
      <c r="O19" s="131" t="s">
        <v>4</v>
      </c>
      <c r="P19" s="144">
        <f ca="1">_xll.meLWOSwapPV(N19,O19)</f>
        <v>488351.5811998134</v>
      </c>
      <c r="Q19" s="103">
        <f ca="1">_xll.meLWOSwapParRate(N19,O19)</f>
        <v>2.961800000039511E-2</v>
      </c>
      <c r="S19" s="167" t="str">
        <f ca="1">'USD GLOBAL CURVE'!T38</f>
        <v>40Y</v>
      </c>
      <c r="T19" s="102">
        <f ca="1">'USD GLOBAL CURVE'!U38</f>
        <v>2.9618000000000002E-2</v>
      </c>
      <c r="U19" s="168">
        <f t="shared" ca="1" si="0"/>
        <v>3.9510755778238149E-9</v>
      </c>
    </row>
    <row r="20" spans="2:21">
      <c r="B20" s="132">
        <f ca="1">_xll.meDateFromTenor('USD GLOBAL CURVE'!$I$9,F20,"MOD_FOLLOWING",C20)</f>
        <v>43329</v>
      </c>
      <c r="C20" s="161" t="str">
        <f t="shared" ref="C20" ca="1" si="3">C19</f>
        <v>NYB:LNB</v>
      </c>
      <c r="D20" s="133">
        <f ca="1">_xll.meDateFromTenor(B20,G20,)</f>
        <v>61592</v>
      </c>
      <c r="E20" t="s">
        <v>12</v>
      </c>
      <c r="F20" s="134" t="s">
        <v>68</v>
      </c>
      <c r="G20" s="135" t="s">
        <v>29</v>
      </c>
      <c r="H20" s="136" t="s">
        <v>2</v>
      </c>
      <c r="I20" s="137" t="s">
        <v>106</v>
      </c>
      <c r="J20" s="138">
        <v>1000000</v>
      </c>
      <c r="K20" s="139">
        <v>0.01</v>
      </c>
      <c r="L20" s="140">
        <v>0</v>
      </c>
      <c r="M20" s="108">
        <v>16</v>
      </c>
      <c r="N20" s="141" t="str">
        <f ca="1">_xll.meLWOSwapCreateFromGenerator("USDSWAP"&amp;M20&amp;"_"&amp;G20,$H20,$I20,$J20,$B$8,$G20,$K20,$L20)</f>
        <v>USDSWAP16_50Y@11:0</v>
      </c>
      <c r="O20" s="142" t="s">
        <v>4</v>
      </c>
      <c r="P20" s="145">
        <f ca="1">_xll.meLWOSwapPV(N20,O20)</f>
        <v>550732.23770967859</v>
      </c>
      <c r="Q20" s="106">
        <f ca="1">_xll.meLWOSwapParRate(N20,O20)</f>
        <v>2.9617999998925372E-2</v>
      </c>
      <c r="S20" s="169" t="str">
        <f ca="1">'USD GLOBAL CURVE'!T39</f>
        <v>50Y</v>
      </c>
      <c r="T20" s="170">
        <f ca="1">'USD GLOBAL CURVE'!U39</f>
        <v>2.9618000000000002E-2</v>
      </c>
      <c r="U20" s="171">
        <f t="shared" ca="1" si="0"/>
        <v>1.0746299683450644E-8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L45"/>
  <sheetViews>
    <sheetView showGridLines="0" workbookViewId="0"/>
  </sheetViews>
  <sheetFormatPr defaultRowHeight="15"/>
  <cols>
    <col min="2" max="2" width="22.42578125" customWidth="1"/>
    <col min="7" max="7" width="32.28515625" bestFit="1" customWidth="1"/>
    <col min="8" max="8" width="12.7109375" bestFit="1" customWidth="1"/>
    <col min="9" max="9" width="49.140625" bestFit="1" customWidth="1"/>
    <col min="10" max="10" width="12.7109375" bestFit="1" customWidth="1"/>
  </cols>
  <sheetData>
    <row r="2" spans="1:12">
      <c r="B2" s="82" t="s">
        <v>108</v>
      </c>
      <c r="C2" s="82" t="s">
        <v>109</v>
      </c>
      <c r="D2" s="1" t="s">
        <v>112</v>
      </c>
      <c r="E2" s="1" t="s">
        <v>111</v>
      </c>
      <c r="F2" s="1"/>
      <c r="G2" s="146" t="s">
        <v>110</v>
      </c>
      <c r="H2" s="146"/>
      <c r="I2" s="146"/>
      <c r="J2" s="146"/>
      <c r="K2" s="146"/>
      <c r="L2" s="146"/>
    </row>
    <row r="3" spans="1:12">
      <c r="A3" s="156">
        <v>1</v>
      </c>
      <c r="B3" s="175" t="str">
        <f ca="1">IF($E3,PRICING!$N5,"")</f>
        <v/>
      </c>
      <c r="C3" s="178" t="str">
        <f t="shared" ref="C3:C18" ca="1" si="0">IF($E3,"USDYC","")</f>
        <v/>
      </c>
      <c r="D3" s="157" t="str">
        <f ca="1">PRICING!$G5</f>
        <v>1Y</v>
      </c>
      <c r="E3" s="158" t="b">
        <v>0</v>
      </c>
      <c r="F3" s="1"/>
      <c r="G3" s="147" t="str">
        <f t="array" aca="1" ref="G3:L38" ca="1">_xll.meUtilityResize(_xll.meLWOSwapDeltaLadder(_xll.meUtilityClean(B3:B18),_xll.meUtilityClean(C3:C18)),100,10)</f>
        <v>USD : Pillars</v>
      </c>
      <c r="H3" s="120" t="str">
        <f ca="1"/>
        <v>USD : Total</v>
      </c>
      <c r="I3" s="148" t="str">
        <f ca="1"/>
        <v>USD : Pillars</v>
      </c>
      <c r="J3" s="120" t="str">
        <f ca="1"/>
        <v>USD : Total</v>
      </c>
      <c r="K3" s="148" t="str">
        <f ca="1"/>
        <v/>
      </c>
      <c r="L3" s="153" t="str">
        <f ca="1"/>
        <v/>
      </c>
    </row>
    <row r="4" spans="1:12">
      <c r="A4" s="156">
        <f t="shared" ref="A4:A18" ca="1" si="1">A3+1</f>
        <v>2</v>
      </c>
      <c r="B4" s="176" t="str">
        <f ca="1">IF($E4,PRICING!$N6,"")</f>
        <v/>
      </c>
      <c r="C4" s="179" t="str">
        <f t="shared" ca="1" si="0"/>
        <v/>
      </c>
      <c r="D4" s="157" t="str">
        <f ca="1">PRICING!$G6</f>
        <v>2Y</v>
      </c>
      <c r="E4" s="158" t="b">
        <v>0</v>
      </c>
      <c r="F4" s="1"/>
      <c r="G4" s="149" t="str">
        <f ca="1"/>
        <v>USDYC.OIS.OUTRIGHTOISSWAP.ON</v>
      </c>
      <c r="H4" s="144">
        <f ca="1"/>
        <v>8.5654977709054894</v>
      </c>
      <c r="I4" s="150" t="str">
        <f ca="1"/>
        <v>USDYC.STD.O_N</v>
      </c>
      <c r="J4" s="144">
        <f ca="1"/>
        <v>8.6414390767458809</v>
      </c>
      <c r="K4" s="150" t="str">
        <f ca="1"/>
        <v/>
      </c>
      <c r="L4" s="154" t="str">
        <f ca="1"/>
        <v/>
      </c>
    </row>
    <row r="5" spans="1:12">
      <c r="A5" s="156">
        <f t="shared" ca="1" si="1"/>
        <v>3</v>
      </c>
      <c r="B5" s="176" t="str">
        <f ca="1">IF($E5,PRICING!$N7,"")</f>
        <v/>
      </c>
      <c r="C5" s="179" t="str">
        <f t="shared" ca="1" si="0"/>
        <v/>
      </c>
      <c r="D5" s="157" t="str">
        <f ca="1">PRICING!$G7</f>
        <v>3Y</v>
      </c>
      <c r="E5" s="158" t="b">
        <v>0</v>
      </c>
      <c r="F5" s="1"/>
      <c r="G5" s="149" t="str">
        <f ca="1"/>
        <v>USDYC.OIS.OUTRIGHTOISSWAP.1W</v>
      </c>
      <c r="H5" s="144">
        <f ca="1"/>
        <v>8.6414307064842397</v>
      </c>
      <c r="I5" s="150" t="str">
        <f ca="1"/>
        <v>USDYC.STD.T_N</v>
      </c>
      <c r="J5" s="144">
        <f ca="1"/>
        <v>8.6414389545097894</v>
      </c>
      <c r="K5" s="150" t="str">
        <f ca="1"/>
        <v/>
      </c>
      <c r="L5" s="154" t="str">
        <f ca="1"/>
        <v/>
      </c>
    </row>
    <row r="6" spans="1:12">
      <c r="A6" s="156">
        <f t="shared" ca="1" si="1"/>
        <v>4</v>
      </c>
      <c r="B6" s="176" t="str">
        <f ca="1">IF($E6,PRICING!$N8,"")</f>
        <v/>
      </c>
      <c r="C6" s="179" t="str">
        <f t="shared" ca="1" si="0"/>
        <v/>
      </c>
      <c r="D6" s="157" t="str">
        <f ca="1">PRICING!$G8</f>
        <v>4Y</v>
      </c>
      <c r="E6" s="158" t="b">
        <v>0</v>
      </c>
      <c r="F6" s="1"/>
      <c r="G6" s="149" t="str">
        <f ca="1"/>
        <v>USDYC.OIS.OUTRIGHTOISSWAP.2W</v>
      </c>
      <c r="H6" s="144">
        <f ca="1"/>
        <v>8.6414968769531608</v>
      </c>
      <c r="I6" s="150" t="str">
        <f ca="1"/>
        <v>USDYC.STD.LIBOR.3M</v>
      </c>
      <c r="J6" s="144">
        <f ca="1"/>
        <v>7.4073761643376201</v>
      </c>
      <c r="K6" s="150" t="str">
        <f ca="1"/>
        <v/>
      </c>
      <c r="L6" s="154" t="str">
        <f ca="1"/>
        <v/>
      </c>
    </row>
    <row r="7" spans="1:12">
      <c r="A7" s="156">
        <f t="shared" ca="1" si="1"/>
        <v>5</v>
      </c>
      <c r="B7" s="176" t="str">
        <f ca="1">IF($E7,PRICING!$N9,"")</f>
        <v/>
      </c>
      <c r="C7" s="179" t="str">
        <f t="shared" ca="1" si="0"/>
        <v/>
      </c>
      <c r="D7" s="157" t="str">
        <f ca="1">PRICING!$G9</f>
        <v>5Y</v>
      </c>
      <c r="E7" s="158" t="b">
        <v>0</v>
      </c>
      <c r="F7" s="1"/>
      <c r="G7" s="149" t="str">
        <f ca="1"/>
        <v>USDYC.OIS.OUTRIGHTOISSWAP.3W</v>
      </c>
      <c r="H7" s="144">
        <f ca="1"/>
        <v>8.6411840078653803</v>
      </c>
      <c r="I7" s="150" t="str">
        <f ca="1"/>
        <v>USDYC.STD.FUTURE.ED1 COMDTY.20180919.20181219</v>
      </c>
      <c r="J7" s="144">
        <f ca="1"/>
        <v>8.2495224021840805</v>
      </c>
      <c r="K7" s="150" t="str">
        <f ca="1"/>
        <v/>
      </c>
      <c r="L7" s="154" t="str">
        <f ca="1"/>
        <v/>
      </c>
    </row>
    <row r="8" spans="1:12">
      <c r="A8" s="156">
        <f t="shared" ca="1" si="1"/>
        <v>6</v>
      </c>
      <c r="B8" s="176" t="str">
        <f ca="1">IF($E8,PRICING!$N10,"")</f>
        <v/>
      </c>
      <c r="C8" s="179" t="str">
        <f t="shared" ca="1" si="0"/>
        <v/>
      </c>
      <c r="D8" s="157" t="str">
        <f ca="1">PRICING!$G10</f>
        <v>7Y</v>
      </c>
      <c r="E8" s="158" t="b">
        <v>0</v>
      </c>
      <c r="F8" s="1"/>
      <c r="G8" s="149" t="str">
        <f ca="1"/>
        <v>USDYC.OIS.OUTRIGHTOISSWAP.1M</v>
      </c>
      <c r="H8" s="144">
        <f ca="1"/>
        <v>8.6419509374536503</v>
      </c>
      <c r="I8" s="150" t="str">
        <f ca="1"/>
        <v>USDYC.STD.FUTURE.ED2 COMDTY.20181219.20190320</v>
      </c>
      <c r="J8" s="144">
        <f ca="1"/>
        <v>7.4684437480755097</v>
      </c>
      <c r="K8" s="150" t="str">
        <f ca="1"/>
        <v/>
      </c>
      <c r="L8" s="154" t="str">
        <f ca="1"/>
        <v/>
      </c>
    </row>
    <row r="9" spans="1:12">
      <c r="A9" s="156">
        <f t="shared" ca="1" si="1"/>
        <v>7</v>
      </c>
      <c r="B9" s="176" t="str">
        <f ca="1">IF($E9,PRICING!$N11,"")</f>
        <v>USDSWAP7_8Y@21:0</v>
      </c>
      <c r="C9" s="179" t="str">
        <f t="shared" ca="1" si="0"/>
        <v>USDYC</v>
      </c>
      <c r="D9" s="157" t="str">
        <f ca="1">PRICING!$G11</f>
        <v>8Y</v>
      </c>
      <c r="E9" s="158" t="b">
        <v>1</v>
      </c>
      <c r="F9" s="1"/>
      <c r="G9" s="149" t="str">
        <f ca="1"/>
        <v>USDYC.OIS.OUTRIGHTOISSWAP.2M</v>
      </c>
      <c r="H9" s="144">
        <f ca="1"/>
        <v>8.6395742197055299</v>
      </c>
      <c r="I9" s="150" t="str">
        <f ca="1"/>
        <v>USDYC.STD.FUTURE.ED3 COMDTY.20190320.20190619</v>
      </c>
      <c r="J9" s="144">
        <f ca="1"/>
        <v>7.4507408629869998</v>
      </c>
      <c r="K9" s="150" t="str">
        <f ca="1"/>
        <v/>
      </c>
      <c r="L9" s="154" t="str">
        <f ca="1"/>
        <v/>
      </c>
    </row>
    <row r="10" spans="1:12">
      <c r="A10" s="156">
        <f t="shared" ca="1" si="1"/>
        <v>8</v>
      </c>
      <c r="B10" s="176" t="str">
        <f ca="1">IF($E10,PRICING!$N12,"")</f>
        <v/>
      </c>
      <c r="C10" s="179" t="str">
        <f t="shared" ca="1" si="0"/>
        <v/>
      </c>
      <c r="D10" s="157" t="str">
        <f ca="1">PRICING!$G12</f>
        <v>9Y</v>
      </c>
      <c r="E10" s="158" t="b">
        <v>0</v>
      </c>
      <c r="F10" s="1"/>
      <c r="G10" s="149" t="str">
        <f ca="1"/>
        <v>USDYC.OIS.OUTRIGHTOISSWAP.3M</v>
      </c>
      <c r="H10" s="144">
        <f ca="1"/>
        <v>8.6580370727460796</v>
      </c>
      <c r="I10" s="150" t="str">
        <f ca="1"/>
        <v>USDYC.STD.FUTURE.ED4 COMDTY.20190619.20190918</v>
      </c>
      <c r="J10" s="144">
        <f ca="1"/>
        <v>7.5857695133890903</v>
      </c>
      <c r="K10" s="150" t="str">
        <f ca="1"/>
        <v/>
      </c>
      <c r="L10" s="154" t="str">
        <f ca="1"/>
        <v/>
      </c>
    </row>
    <row r="11" spans="1:12">
      <c r="A11" s="156">
        <f t="shared" ca="1" si="1"/>
        <v>9</v>
      </c>
      <c r="B11" s="176" t="str">
        <f ca="1">IF($E11,PRICING!$N13,"")</f>
        <v/>
      </c>
      <c r="C11" s="179" t="str">
        <f t="shared" ca="1" si="0"/>
        <v/>
      </c>
      <c r="D11" s="157" t="str">
        <f ca="1">PRICING!$G13</f>
        <v>10Y</v>
      </c>
      <c r="E11" s="158" t="b">
        <v>0</v>
      </c>
      <c r="F11" s="1"/>
      <c r="G11" s="149" t="str">
        <f ca="1"/>
        <v>USDYC.OIS.OUTRIGHTOISSWAP.4M</v>
      </c>
      <c r="H11" s="144">
        <f ca="1"/>
        <v>8.58686550054699</v>
      </c>
      <c r="I11" s="150" t="str">
        <f ca="1"/>
        <v>USDYC.STD.FUTURE.ED5 COMDTY.20190918.20191218</v>
      </c>
      <c r="J11" s="144">
        <f ca="1"/>
        <v>7.8154726128559497</v>
      </c>
      <c r="K11" s="150" t="str">
        <f ca="1"/>
        <v/>
      </c>
      <c r="L11" s="154" t="str">
        <f ca="1"/>
        <v/>
      </c>
    </row>
    <row r="12" spans="1:12">
      <c r="A12" s="156">
        <f t="shared" ca="1" si="1"/>
        <v>10</v>
      </c>
      <c r="B12" s="176" t="str">
        <f ca="1">IF($E12,PRICING!$N14,"")</f>
        <v/>
      </c>
      <c r="C12" s="179" t="str">
        <f t="shared" ca="1" si="0"/>
        <v/>
      </c>
      <c r="D12" s="157" t="str">
        <f ca="1">PRICING!$G14</f>
        <v>12Y</v>
      </c>
      <c r="E12" s="158" t="b">
        <v>0</v>
      </c>
      <c r="F12" s="1"/>
      <c r="G12" s="149" t="str">
        <f ca="1"/>
        <v>USDYC.OIS.OUTRIGHTOISSWAP.5M</v>
      </c>
      <c r="H12" s="144">
        <f ca="1"/>
        <v>8.8721585256280395</v>
      </c>
      <c r="I12" s="150" t="str">
        <f ca="1"/>
        <v>USDYC.STD.FUTURE.ED6 COMDTY.20191218.20200318</v>
      </c>
      <c r="J12" s="144">
        <f ca="1"/>
        <v>7.8238507849164298</v>
      </c>
      <c r="K12" s="150" t="str">
        <f ca="1"/>
        <v/>
      </c>
      <c r="L12" s="154" t="str">
        <f ca="1"/>
        <v/>
      </c>
    </row>
    <row r="13" spans="1:12">
      <c r="A13" s="156">
        <f t="shared" ca="1" si="1"/>
        <v>11</v>
      </c>
      <c r="B13" s="176" t="str">
        <f ca="1">IF($E13,PRICING!$N15,"")</f>
        <v/>
      </c>
      <c r="C13" s="179" t="str">
        <f t="shared" ca="1" si="0"/>
        <v/>
      </c>
      <c r="D13" s="157" t="str">
        <f ca="1">PRICING!$G15</f>
        <v>15Y</v>
      </c>
      <c r="E13" s="158" t="b">
        <v>0</v>
      </c>
      <c r="F13" s="1"/>
      <c r="G13" s="149" t="str">
        <f ca="1"/>
        <v>USDYC.OIS.OUTRIGHTOISSWAP.6M</v>
      </c>
      <c r="H13" s="144">
        <f ca="1"/>
        <v>7.9935299814678702</v>
      </c>
      <c r="I13" s="150" t="str">
        <f ca="1"/>
        <v>USDYC.STD.FUTURE.ED7 COMDTY.20200318.20200617</v>
      </c>
      <c r="J13" s="144">
        <f ca="1"/>
        <v>7.83089768956415</v>
      </c>
      <c r="K13" s="150" t="str">
        <f ca="1"/>
        <v/>
      </c>
      <c r="L13" s="154" t="str">
        <f ca="1"/>
        <v/>
      </c>
    </row>
    <row r="14" spans="1:12">
      <c r="A14" s="156">
        <f t="shared" ca="1" si="1"/>
        <v>12</v>
      </c>
      <c r="B14" s="176" t="str">
        <f ca="1">IF($E14,PRICING!$N16,"")</f>
        <v/>
      </c>
      <c r="C14" s="179" t="str">
        <f t="shared" ca="1" si="0"/>
        <v/>
      </c>
      <c r="D14" s="157" t="str">
        <f ca="1">PRICING!$G16</f>
        <v>20Y</v>
      </c>
      <c r="E14" s="158" t="b">
        <v>0</v>
      </c>
      <c r="F14" s="1"/>
      <c r="G14" s="149" t="str">
        <f ca="1"/>
        <v>USDYC.OIS.OUTRIGHTOISSWAP.9M</v>
      </c>
      <c r="H14" s="144">
        <f ca="1"/>
        <v>8.8389570912113395</v>
      </c>
      <c r="I14" s="150" t="str">
        <f ca="1"/>
        <v>USDYC.STD.FUTURE.ED8 COMDTY.20200617.20200916</v>
      </c>
      <c r="J14" s="144">
        <f ca="1"/>
        <v>7.9596946306992296</v>
      </c>
      <c r="K14" s="150" t="str">
        <f ca="1"/>
        <v/>
      </c>
      <c r="L14" s="154" t="str">
        <f ca="1"/>
        <v/>
      </c>
    </row>
    <row r="15" spans="1:12">
      <c r="A15" s="156">
        <f t="shared" ca="1" si="1"/>
        <v>13</v>
      </c>
      <c r="B15" s="176" t="str">
        <f ca="1">IF($E15,PRICING!$N17,"")</f>
        <v/>
      </c>
      <c r="C15" s="179" t="str">
        <f t="shared" ca="1" si="0"/>
        <v/>
      </c>
      <c r="D15" s="157" t="str">
        <f ca="1">PRICING!$G17</f>
        <v>25Y</v>
      </c>
      <c r="E15" s="158" t="b">
        <v>0</v>
      </c>
      <c r="F15" s="1"/>
      <c r="G15" s="149" t="str">
        <f ca="1"/>
        <v>USDYC.OIS.BASISRATE.1Y</v>
      </c>
      <c r="H15" s="144">
        <f ca="1"/>
        <v>10.038927817367901</v>
      </c>
      <c r="I15" s="150" t="str">
        <f ca="1"/>
        <v>USDYC.STD.FUTURE.ED9 COMDTY.20200916.20201216</v>
      </c>
      <c r="J15" s="144">
        <f ca="1"/>
        <v>8.2227784674614597</v>
      </c>
      <c r="K15" s="150" t="str">
        <f ca="1"/>
        <v/>
      </c>
      <c r="L15" s="154" t="str">
        <f ca="1"/>
        <v/>
      </c>
    </row>
    <row r="16" spans="1:12">
      <c r="A16" s="156">
        <f t="shared" ca="1" si="1"/>
        <v>14</v>
      </c>
      <c r="B16" s="176" t="str">
        <f ca="1">IF($E16,PRICING!$N18,"")</f>
        <v/>
      </c>
      <c r="C16" s="179" t="str">
        <f t="shared" ca="1" si="0"/>
        <v/>
      </c>
      <c r="D16" s="157" t="str">
        <f ca="1">PRICING!$G18</f>
        <v>30Y</v>
      </c>
      <c r="E16" s="158" t="b">
        <v>0</v>
      </c>
      <c r="F16" s="1"/>
      <c r="G16" s="149" t="str">
        <f ca="1"/>
        <v>USDYC.OIS.BASISRATE.2Y</v>
      </c>
      <c r="H16" s="144">
        <f ca="1"/>
        <v>11.8151870614383</v>
      </c>
      <c r="I16" s="150" t="str">
        <f ca="1"/>
        <v>USDYC.STD.FUTURE.ED10 COMDTY.20201216.20210317</v>
      </c>
      <c r="J16" s="144">
        <f ca="1"/>
        <v>8.2255161192733706</v>
      </c>
      <c r="K16" s="150" t="str">
        <f ca="1"/>
        <v/>
      </c>
      <c r="L16" s="154" t="str">
        <f ca="1"/>
        <v/>
      </c>
    </row>
    <row r="17" spans="1:12">
      <c r="A17" s="156">
        <f t="shared" ca="1" si="1"/>
        <v>15</v>
      </c>
      <c r="B17" s="176" t="str">
        <f ca="1">IF($E17,PRICING!$N19,"")</f>
        <v/>
      </c>
      <c r="C17" s="179" t="str">
        <f t="shared" ca="1" si="0"/>
        <v/>
      </c>
      <c r="D17" s="157" t="str">
        <f ca="1">PRICING!$G19</f>
        <v>40Y</v>
      </c>
      <c r="E17" s="158" t="b">
        <v>0</v>
      </c>
      <c r="F17" s="1"/>
      <c r="G17" s="149" t="str">
        <f ca="1"/>
        <v>USDYC.OIS.BASISRATE.3Y</v>
      </c>
      <c r="H17" s="144">
        <f ca="1"/>
        <v>13.7777918833307</v>
      </c>
      <c r="I17" s="150" t="str">
        <f ca="1"/>
        <v>USDYC.STD.FUTURE.ED11 COMDTY.20210317.20210616</v>
      </c>
      <c r="J17" s="144">
        <f ca="1"/>
        <v>8.2276277593336893</v>
      </c>
      <c r="K17" s="150" t="str">
        <f ca="1"/>
        <v/>
      </c>
      <c r="L17" s="154" t="str">
        <f ca="1"/>
        <v/>
      </c>
    </row>
    <row r="18" spans="1:12">
      <c r="A18" s="156">
        <f t="shared" ca="1" si="1"/>
        <v>16</v>
      </c>
      <c r="B18" s="177" t="str">
        <f ca="1">IF($E18,PRICING!$N20,"")</f>
        <v/>
      </c>
      <c r="C18" s="180" t="str">
        <f t="shared" ca="1" si="0"/>
        <v/>
      </c>
      <c r="D18" s="157" t="str">
        <f ca="1">PRICING!$G20</f>
        <v>50Y</v>
      </c>
      <c r="E18" s="158" t="b">
        <v>0</v>
      </c>
      <c r="F18" s="1"/>
      <c r="G18" s="149" t="str">
        <f ca="1"/>
        <v>USDYC.OIS.BASISRATE.4Y</v>
      </c>
      <c r="H18" s="144">
        <f ca="1"/>
        <v>13.620411124429699</v>
      </c>
      <c r="I18" s="150" t="str">
        <f ca="1"/>
        <v>USDYC.STD.FUTURE.ED12 COMDTY.20210616.20210915</v>
      </c>
      <c r="J18" s="144">
        <f ca="1"/>
        <v>8.3612117567099595</v>
      </c>
      <c r="K18" s="150" t="str">
        <f ca="1"/>
        <v/>
      </c>
      <c r="L18" s="154" t="str">
        <f ca="1"/>
        <v/>
      </c>
    </row>
    <row r="19" spans="1:12">
      <c r="F19" s="1"/>
      <c r="G19" s="149" t="str">
        <f ca="1"/>
        <v>USDYC.OIS.BASISRATE.5Y</v>
      </c>
      <c r="H19" s="144">
        <f ca="1"/>
        <v>21.7952993698418</v>
      </c>
      <c r="I19" s="150" t="str">
        <f ca="1"/>
        <v>USDYC.STD.3MLIBORSWAP.4Y</v>
      </c>
      <c r="J19" s="144">
        <f ca="1"/>
        <v>3.74681928078643</v>
      </c>
      <c r="K19" s="150" t="str">
        <f ca="1"/>
        <v/>
      </c>
      <c r="L19" s="154" t="str">
        <f ca="1"/>
        <v/>
      </c>
    </row>
    <row r="20" spans="1:12">
      <c r="F20" s="1"/>
      <c r="G20" s="149" t="str">
        <f ca="1"/>
        <v>USDYC.OIS.BASISRATE.7Y</v>
      </c>
      <c r="H20" s="144">
        <f ca="1"/>
        <v>34.789568412816102</v>
      </c>
      <c r="I20" s="150" t="str">
        <f ca="1"/>
        <v>USDYC.STD.3MLIBORSWAP.5Y</v>
      </c>
      <c r="J20" s="144">
        <f ca="1"/>
        <v>-4.2750484833959401</v>
      </c>
      <c r="K20" s="150" t="str">
        <f ca="1"/>
        <v/>
      </c>
      <c r="L20" s="154" t="str">
        <f ca="1"/>
        <v/>
      </c>
    </row>
    <row r="21" spans="1:12">
      <c r="F21" s="1"/>
      <c r="G21" s="149" t="str">
        <f ca="1"/>
        <v>USDYC.OIS.BASISRATE.10Y</v>
      </c>
      <c r="H21" s="144">
        <f ca="1"/>
        <v>12.1251086180564</v>
      </c>
      <c r="I21" s="150" t="str">
        <f ca="1"/>
        <v>USDYC.STD.3MLIBORSWAP.7Y</v>
      </c>
      <c r="J21" s="144">
        <f ca="1"/>
        <v>-17.061727654072499</v>
      </c>
      <c r="K21" s="150" t="str">
        <f ca="1"/>
        <v/>
      </c>
      <c r="L21" s="154" t="str">
        <f ca="1"/>
        <v/>
      </c>
    </row>
    <row r="22" spans="1:12">
      <c r="F22" s="1"/>
      <c r="G22" s="149" t="str">
        <f ca="1"/>
        <v>USDYC.OIS.BASISRATE.12Y</v>
      </c>
      <c r="H22" s="144">
        <f ca="1"/>
        <v>7.3263631202280504</v>
      </c>
      <c r="I22" s="150" t="str">
        <f ca="1"/>
        <v>USDYC.STD.3MLIBORSWAP.8Y</v>
      </c>
      <c r="J22" s="144">
        <f ca="1"/>
        <v>728.03589987452096</v>
      </c>
      <c r="K22" s="150" t="str">
        <f ca="1"/>
        <v/>
      </c>
      <c r="L22" s="154" t="str">
        <f ca="1"/>
        <v/>
      </c>
    </row>
    <row r="23" spans="1:12">
      <c r="F23" s="1"/>
      <c r="G23" s="149" t="str">
        <f ca="1"/>
        <v>USDYC.OIS.BASISRATE.15Y</v>
      </c>
      <c r="H23" s="144">
        <f ca="1"/>
        <v>8.8778225413989205</v>
      </c>
      <c r="I23" s="150" t="str">
        <f ca="1"/>
        <v>USDYC.STD.3MLIBORSWAP.9Y</v>
      </c>
      <c r="J23" s="144">
        <f ca="1"/>
        <v>8.6335252737626398</v>
      </c>
      <c r="K23" s="150" t="str">
        <f ca="1"/>
        <v/>
      </c>
      <c r="L23" s="154" t="str">
        <f ca="1"/>
        <v/>
      </c>
    </row>
    <row r="24" spans="1:12">
      <c r="F24" s="1"/>
      <c r="G24" s="149" t="str">
        <f ca="1"/>
        <v>USDYC.OIS.BASISRATE.20Y</v>
      </c>
      <c r="H24" s="144">
        <f ca="1"/>
        <v>8.5928540007444099</v>
      </c>
      <c r="I24" s="150" t="str">
        <f ca="1"/>
        <v>USDYC.STD.3MLIBORSWAP.10Y</v>
      </c>
      <c r="J24" s="144">
        <f ca="1"/>
        <v>5.2225089748390001</v>
      </c>
      <c r="K24" s="150" t="str">
        <f ca="1"/>
        <v/>
      </c>
      <c r="L24" s="154" t="str">
        <f ca="1"/>
        <v/>
      </c>
    </row>
    <row r="25" spans="1:12">
      <c r="F25" s="1"/>
      <c r="G25" s="149" t="str">
        <f ca="1"/>
        <v>USDYC.OIS.BASISRATE.25Y</v>
      </c>
      <c r="H25" s="144">
        <f ca="1"/>
        <v>8.6632472055498493</v>
      </c>
      <c r="I25" s="150" t="str">
        <f ca="1"/>
        <v>USDYC.STD.3MLIBORSWAP.12Y</v>
      </c>
      <c r="J25" s="144">
        <f ca="1"/>
        <v>9.9310650897677899</v>
      </c>
      <c r="K25" s="150" t="str">
        <f ca="1"/>
        <v/>
      </c>
      <c r="L25" s="154" t="str">
        <f ca="1"/>
        <v/>
      </c>
    </row>
    <row r="26" spans="1:12">
      <c r="F26" s="1"/>
      <c r="G26" s="149" t="str">
        <f ca="1"/>
        <v>USDYC.OIS.BASISRATE.30Y</v>
      </c>
      <c r="H26" s="144">
        <f ca="1"/>
        <v>8.6359063046984303</v>
      </c>
      <c r="I26" s="150" t="str">
        <f ca="1"/>
        <v>USDYC.STD.3MLIBORSWAP.15Y</v>
      </c>
      <c r="J26" s="144">
        <f ca="1"/>
        <v>8.4075480815954506</v>
      </c>
      <c r="K26" s="150" t="str">
        <f ca="1"/>
        <v/>
      </c>
      <c r="L26" s="154" t="str">
        <f ca="1"/>
        <v/>
      </c>
    </row>
    <row r="27" spans="1:12">
      <c r="F27" s="1"/>
      <c r="G27" s="149" t="str">
        <f ca="1"/>
        <v>USDYC.OIS.BASISRATE.40Y</v>
      </c>
      <c r="H27" s="144">
        <f ca="1"/>
        <v>8.6386844399385101</v>
      </c>
      <c r="I27" s="150" t="str">
        <f ca="1"/>
        <v>USDYC.STD.3MLIBORSWAP.20Y</v>
      </c>
      <c r="J27" s="144">
        <f ca="1"/>
        <v>8.6922541348030808</v>
      </c>
      <c r="K27" s="150" t="str">
        <f ca="1"/>
        <v/>
      </c>
      <c r="L27" s="154" t="str">
        <f ca="1"/>
        <v/>
      </c>
    </row>
    <row r="28" spans="1:12">
      <c r="F28" s="1"/>
      <c r="G28" s="149" t="str">
        <f ca="1"/>
        <v>USDYC.OIS.BASISRATE.50Y</v>
      </c>
      <c r="H28" s="144">
        <f ca="1"/>
        <v>8.6404322937596501</v>
      </c>
      <c r="I28" s="150" t="str">
        <f ca="1"/>
        <v>USDYC.STD.3MLIBORSWAP.25Y</v>
      </c>
      <c r="J28" s="144">
        <f ca="1"/>
        <v>8.6264402692904696</v>
      </c>
      <c r="K28" s="150" t="str">
        <f ca="1"/>
        <v/>
      </c>
      <c r="L28" s="154" t="str">
        <f ca="1"/>
        <v/>
      </c>
    </row>
    <row r="29" spans="1:12">
      <c r="F29" s="1"/>
      <c r="G29" s="149" t="str">
        <f ca="1"/>
        <v>USDYC.OIS.BASISRATE.51Y</v>
      </c>
      <c r="H29" s="144">
        <f ca="1"/>
        <v>8.6422231281176192</v>
      </c>
      <c r="I29" s="150" t="str">
        <f ca="1"/>
        <v>USDYC.STD.3MLIBORSWAP.30Y</v>
      </c>
      <c r="J29" s="144">
        <f ca="1"/>
        <v>8.6611153732519508</v>
      </c>
      <c r="K29" s="150" t="str">
        <f ca="1"/>
        <v/>
      </c>
      <c r="L29" s="154" t="str">
        <f ca="1"/>
        <v/>
      </c>
    </row>
    <row r="30" spans="1:12">
      <c r="F30" s="1"/>
      <c r="G30" s="149" t="str">
        <f ca="1"/>
        <v/>
      </c>
      <c r="H30" s="144" t="str">
        <f ca="1"/>
        <v/>
      </c>
      <c r="I30" s="150" t="str">
        <f ca="1"/>
        <v>USDYC.STD.3MLIBORSWAP.40Y</v>
      </c>
      <c r="J30" s="144">
        <f ca="1"/>
        <v>8.6150658549740893</v>
      </c>
      <c r="K30" s="150" t="str">
        <f ca="1"/>
        <v/>
      </c>
      <c r="L30" s="154" t="str">
        <f ca="1"/>
        <v/>
      </c>
    </row>
    <row r="31" spans="1:12">
      <c r="F31" s="1"/>
      <c r="G31" s="149" t="str">
        <f ca="1"/>
        <v/>
      </c>
      <c r="H31" s="144" t="str">
        <f ca="1"/>
        <v/>
      </c>
      <c r="I31" s="150" t="str">
        <f ca="1"/>
        <v>USDYC.STD.3MLIBORSWAP.50Y</v>
      </c>
      <c r="J31" s="144">
        <f ca="1"/>
        <v>8.6424298526253498</v>
      </c>
      <c r="K31" s="150" t="str">
        <f ca="1"/>
        <v/>
      </c>
      <c r="L31" s="154" t="str">
        <f ca="1"/>
        <v/>
      </c>
    </row>
    <row r="32" spans="1:12">
      <c r="F32" s="1"/>
      <c r="G32" s="149" t="str">
        <f ca="1"/>
        <v/>
      </c>
      <c r="H32" s="144" t="str">
        <f ca="1"/>
        <v/>
      </c>
      <c r="I32" s="150" t="str">
        <f ca="1"/>
        <v>USDYC.STD.3MLIBORSWAP.51Y</v>
      </c>
      <c r="J32" s="144">
        <f ca="1"/>
        <v>8.6406689544673991</v>
      </c>
      <c r="K32" s="150" t="str">
        <f ca="1"/>
        <v/>
      </c>
      <c r="L32" s="154" t="str">
        <f ca="1"/>
        <v/>
      </c>
    </row>
    <row r="33" spans="6:12">
      <c r="F33" s="1"/>
      <c r="G33" s="149" t="str">
        <f ca="1"/>
        <v/>
      </c>
      <c r="H33" s="144" t="str">
        <f ca="1"/>
        <v/>
      </c>
      <c r="I33" s="150" t="str">
        <f ca="1"/>
        <v/>
      </c>
      <c r="J33" s="144" t="str">
        <f ca="1"/>
        <v/>
      </c>
      <c r="K33" s="150" t="str">
        <f ca="1"/>
        <v/>
      </c>
      <c r="L33" s="154" t="str">
        <f ca="1"/>
        <v/>
      </c>
    </row>
    <row r="34" spans="6:12">
      <c r="F34" s="1"/>
      <c r="G34" s="149" t="str">
        <f ca="1"/>
        <v/>
      </c>
      <c r="H34" s="144" t="str">
        <f ca="1"/>
        <v/>
      </c>
      <c r="I34" s="150" t="str">
        <f ca="1"/>
        <v/>
      </c>
      <c r="J34" s="144" t="str">
        <f ca="1"/>
        <v/>
      </c>
      <c r="K34" s="150" t="str">
        <f ca="1"/>
        <v/>
      </c>
      <c r="L34" s="154" t="str">
        <f ca="1"/>
        <v/>
      </c>
    </row>
    <row r="35" spans="6:12">
      <c r="F35" s="1"/>
      <c r="G35" s="149" t="str">
        <f ca="1"/>
        <v/>
      </c>
      <c r="H35" s="144" t="str">
        <f ca="1"/>
        <v/>
      </c>
      <c r="I35" s="150" t="str">
        <f ca="1"/>
        <v/>
      </c>
      <c r="J35" s="144" t="str">
        <f ca="1"/>
        <v/>
      </c>
      <c r="K35" s="150" t="str">
        <f ca="1"/>
        <v/>
      </c>
      <c r="L35" s="154" t="str">
        <f ca="1"/>
        <v/>
      </c>
    </row>
    <row r="36" spans="6:12">
      <c r="F36" s="1"/>
      <c r="G36" s="149" t="str">
        <f ca="1"/>
        <v/>
      </c>
      <c r="H36" s="144" t="str">
        <f ca="1"/>
        <v/>
      </c>
      <c r="I36" s="150" t="str">
        <f ca="1"/>
        <v/>
      </c>
      <c r="J36" s="144" t="str">
        <f ca="1"/>
        <v/>
      </c>
      <c r="K36" s="150" t="str">
        <f ca="1"/>
        <v/>
      </c>
      <c r="L36" s="154" t="str">
        <f ca="1"/>
        <v/>
      </c>
    </row>
    <row r="37" spans="6:12">
      <c r="F37" s="1"/>
      <c r="G37" s="149" t="str">
        <f ca="1"/>
        <v/>
      </c>
      <c r="H37" s="144" t="str">
        <f ca="1"/>
        <v/>
      </c>
      <c r="I37" s="150" t="str">
        <f ca="1"/>
        <v/>
      </c>
      <c r="J37" s="144" t="str">
        <f ca="1"/>
        <v/>
      </c>
      <c r="K37" s="150" t="str">
        <f ca="1"/>
        <v/>
      </c>
      <c r="L37" s="154" t="str">
        <f ca="1"/>
        <v/>
      </c>
    </row>
    <row r="38" spans="6:12">
      <c r="F38" s="1"/>
      <c r="G38" s="151" t="str">
        <f ca="1"/>
        <v/>
      </c>
      <c r="H38" s="145" t="str">
        <f ca="1"/>
        <v/>
      </c>
      <c r="I38" s="152" t="str">
        <f ca="1"/>
        <v/>
      </c>
      <c r="J38" s="145" t="str">
        <f ca="1"/>
        <v/>
      </c>
      <c r="K38" s="152" t="str">
        <f ca="1"/>
        <v/>
      </c>
      <c r="L38" s="155" t="str">
        <f ca="1"/>
        <v/>
      </c>
    </row>
    <row r="39" spans="6:12">
      <c r="F39" s="1"/>
    </row>
    <row r="40" spans="6:12">
      <c r="F40" s="1"/>
    </row>
    <row r="41" spans="6:12">
      <c r="F41" s="1"/>
    </row>
    <row r="42" spans="6:12">
      <c r="F42" s="1"/>
    </row>
    <row r="43" spans="6:12">
      <c r="F43" s="1"/>
    </row>
    <row r="44" spans="6:12">
      <c r="F44" s="1"/>
    </row>
    <row r="45" spans="6:12"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USD GLOBAL CURVE</vt:lpstr>
      <vt:lpstr>DISPLAY_CURVE</vt:lpstr>
      <vt:lpstr>PRICING</vt:lpstr>
      <vt:lpstr>RISK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2017-08-10T11:56:55Z</dcterms:created>
  <dcterms:modified xsi:type="dcterms:W3CDTF">2020-01-24T15:52:03Z</dcterms:modified>
</cp:coreProperties>
</file>