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90" windowWidth="20700" windowHeight="11760" tabRatio="703" activeTab="7"/>
  </bookViews>
  <sheets>
    <sheet name="Settings" sheetId="27" r:id="rId1"/>
    <sheet name="EUR OIS CONFIG" sheetId="2" state="hidden" r:id="rId2"/>
    <sheet name="EUR SWAP 6ML CONFIG" sheetId="3" state="hidden" r:id="rId3"/>
    <sheet name="EUR BASIS 3ML CONFIG" sheetId="4" state="hidden" r:id="rId4"/>
    <sheet name="EUR OIS CURVE" sheetId="24" r:id="rId5"/>
    <sheet name="EUR SWAP 6ML CURVE" sheetId="25" r:id="rId6"/>
    <sheet name="EUR BASIS 3ML CURVE" sheetId="26" r:id="rId7"/>
    <sheet name="Forwards &amp; DiscountFactors" sheetId="23" r:id="rId8"/>
    <sheet name="Swap Pricing" sheetId="21" r:id="rId9"/>
  </sheets>
  <functionGroups builtInGroupCount="17"/>
  <definedNames>
    <definedName name="COB">Settings!$C$3</definedName>
    <definedName name="Curve.BuildProperties">'EUR OIS CONFIG'!$C$11:$D$13</definedName>
    <definedName name="Curve.CollectionName" localSheetId="4">'EUR OIS CURVE'!$D$5</definedName>
    <definedName name="CurveCollection" localSheetId="7">'Forwards &amp; DiscountFactors'!$C$3</definedName>
    <definedName name="FRA.Conventions">'EUR SWAP 6ML CONFIG'!$C$37:$D$43</definedName>
    <definedName name="FRA.MarketDataX6" localSheetId="5">'EUR SWAP 6ML CURVE'!$C$26:$D$36</definedName>
    <definedName name="Futures.Conventions">'EUR SWAP 6ML CONFIG'!$C$47:$D$53</definedName>
    <definedName name="Futures.MarketData" localSheetId="5">'EUR SWAP 6ML CURVE'!$C$45:$G$51</definedName>
    <definedName name="Interpolation">Settings!$C$4</definedName>
    <definedName name="isEUR3MLLoaded">'EUR BASIS 3ML CURVE'!$E$6</definedName>
    <definedName name="isEUR6MLLoaded">'EUR SWAP 6ML CURVE'!$D$6</definedName>
    <definedName name="isEUROISLoaded">'EUR OIS CURVE'!$D$6</definedName>
    <definedName name="Libor.Conventions">'EUR SWAP 6ML CONFIG'!$C$29:$D$33</definedName>
    <definedName name="Libor.MarketData" localSheetId="5">'EUR SWAP 6ML CURVE'!$C$14:$D$17</definedName>
    <definedName name="LiborOISBasis.Conventions">'EUR OIS CONFIG'!$C$35:$D$38</definedName>
    <definedName name="LiborOISBasis.MarketData" localSheetId="4">'EUR OIS CURVE'!$C$46:$D$62</definedName>
    <definedName name="LiborSwap.Conventions">'EUR OIS CONFIG'!$C$42:$D$45</definedName>
    <definedName name="LiborSwap.MarketData" localSheetId="4">'EUR OIS CURVE'!$F$46:$G$62</definedName>
    <definedName name="MoneyMarket.Conventions">'EUR SWAP 6ML CONFIG'!$C$21:$D$25</definedName>
    <definedName name="OIS.Conventions">'EUR OIS CONFIG'!$C$17:$D$31</definedName>
    <definedName name="OIS.MarketData" localSheetId="4">'EUR OIS CURVE'!$C$14:$G$38</definedName>
    <definedName name="Periodicity" localSheetId="7">'Forwards &amp; DiscountFactors'!$K$3</definedName>
    <definedName name="STDCurve.Buildproperties">'EUR SWAP 6ML CONFIG'!$C$10:$D$17</definedName>
    <definedName name="STDCurve.CollectionName">'EUR SWAP 6ML CURVE'!$D$5</definedName>
    <definedName name="STDCurve.IndexName">'EUR SWAP 6ML CONFIG'!$D$6</definedName>
    <definedName name="STDCurve.StaticDataTable">'EUR SWAP 6ML CONFIG'!$D$5</definedName>
    <definedName name="Swap.Conventions">'EUR SWAP 6ML CONFIG'!$C$57:$D$70</definedName>
    <definedName name="Swap.MarketData" localSheetId="5">'EUR SWAP 6ML CURVE'!$C$60:$E$77</definedName>
    <definedName name="TenorBasisCurve3M6M.BuildProperties">'EUR BASIS 3ML CONFIG'!$D$14:$E$18</definedName>
    <definedName name="TenorBasisCurve3M6M.CollectionName" localSheetId="6">'EUR BASIS 3ML CURVE'!$E$5</definedName>
    <definedName name="TenorBasisCurve3M6M.IndexName">'EUR BASIS 3ML CONFIG'!$E$7</definedName>
    <definedName name="TenorBasisCurve3M6M.StaticDataTable">'EUR BASIS 3ML CONFIG'!$E$6</definedName>
    <definedName name="TenorBasisSwap3M6M.Conventions">'EUR BASIS 3ML CONFIG'!$D$25:$E$67</definedName>
    <definedName name="TenorBasisSwap3M6M.MarketData" localSheetId="6">'EUR BASIS 3ML CURVE'!$D$15:$E$31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D62" i="3" l="1"/>
  <c r="E57" i="4"/>
  <c r="G7" i="23" l="1"/>
  <c r="B7" i="23"/>
  <c r="E16" i="4"/>
  <c r="D13" i="3"/>
  <c r="D12" i="3"/>
  <c r="D13" i="2"/>
  <c r="E14" i="4"/>
  <c r="D10" i="3"/>
  <c r="D11" i="2"/>
  <c r="B8" i="23"/>
  <c r="G8" i="23"/>
  <c r="B9" i="23"/>
  <c r="D4" i="25"/>
  <c r="AS5" i="21" a="1"/>
  <c r="E4" i="26"/>
  <c r="D4" i="24"/>
  <c r="G9" i="23"/>
  <c r="B10" i="23"/>
  <c r="G10" i="23"/>
  <c r="B11" i="23"/>
  <c r="G11" i="23"/>
  <c r="B12" i="23"/>
  <c r="G12" i="23"/>
  <c r="B13" i="23"/>
  <c r="G13" i="23"/>
  <c r="B14" i="23"/>
  <c r="G14" i="23"/>
  <c r="B15" i="23"/>
  <c r="G15" i="23"/>
  <c r="B16" i="23"/>
  <c r="G16" i="23"/>
  <c r="B17" i="23"/>
  <c r="G17" i="23"/>
  <c r="B18" i="23"/>
  <c r="G18" i="23"/>
  <c r="B19" i="23"/>
  <c r="G19" i="23"/>
  <c r="B20" i="23"/>
  <c r="G20" i="23"/>
  <c r="B21" i="23"/>
  <c r="G21" i="23"/>
  <c r="B22" i="23"/>
  <c r="G22" i="23"/>
  <c r="B23" i="23"/>
  <c r="G23" i="23"/>
  <c r="B24" i="23"/>
  <c r="G24" i="23"/>
  <c r="B25" i="23"/>
  <c r="G25" i="23"/>
  <c r="B26" i="23"/>
  <c r="G26" i="23"/>
  <c r="B27" i="23"/>
  <c r="G27" i="23"/>
  <c r="B28" i="23"/>
  <c r="G28" i="23"/>
  <c r="B29" i="23"/>
  <c r="G29" i="23"/>
  <c r="B30" i="23"/>
  <c r="G30" i="23"/>
  <c r="B31" i="23"/>
  <c r="G31" i="23"/>
  <c r="B32" i="23"/>
  <c r="G32" i="23"/>
  <c r="B33" i="23"/>
  <c r="G33" i="23"/>
  <c r="B34" i="23"/>
  <c r="G34" i="23"/>
  <c r="B35" i="23"/>
  <c r="G35" i="23"/>
  <c r="B36" i="23"/>
  <c r="G36" i="23"/>
  <c r="B37" i="23"/>
  <c r="G37" i="23"/>
  <c r="B38" i="23"/>
  <c r="G38" i="23"/>
  <c r="B39" i="23"/>
  <c r="G39" i="23"/>
  <c r="B40" i="23"/>
  <c r="G40" i="23"/>
  <c r="B41" i="23"/>
  <c r="G41" i="23"/>
  <c r="B42" i="23"/>
  <c r="G42" i="23"/>
  <c r="B43" i="23"/>
  <c r="G43" i="23"/>
  <c r="B44" i="23"/>
  <c r="G44" i="23"/>
  <c r="B45" i="23"/>
  <c r="G45" i="23"/>
  <c r="B46" i="23"/>
  <c r="G46" i="23"/>
  <c r="B47" i="23"/>
  <c r="G47" i="23"/>
  <c r="B48" i="23"/>
  <c r="G48" i="23"/>
  <c r="B49" i="23"/>
  <c r="G49" i="23"/>
  <c r="B50" i="23"/>
  <c r="G50" i="23"/>
  <c r="B51" i="23"/>
  <c r="G51" i="23"/>
  <c r="B52" i="23"/>
  <c r="G52" i="23"/>
  <c r="B53" i="23"/>
  <c r="G53" i="23"/>
  <c r="B54" i="23"/>
  <c r="G54" i="23"/>
  <c r="B55" i="23"/>
  <c r="G55" i="23"/>
  <c r="B56" i="23"/>
  <c r="G56" i="23"/>
  <c r="B57" i="23"/>
  <c r="G57" i="23"/>
  <c r="B58" i="23"/>
  <c r="G58" i="23"/>
  <c r="B59" i="23"/>
  <c r="G59" i="23"/>
  <c r="B60" i="23"/>
  <c r="G60" i="23"/>
  <c r="B61" i="23"/>
  <c r="G61" i="23"/>
  <c r="B62" i="23"/>
  <c r="G62" i="23"/>
  <c r="B63" i="23"/>
  <c r="G63" i="23"/>
  <c r="B64" i="23"/>
  <c r="G64" i="23"/>
  <c r="B65" i="23"/>
  <c r="G65" i="23"/>
  <c r="B66" i="23"/>
  <c r="G66" i="23"/>
  <c r="B67" i="23"/>
  <c r="G67" i="23"/>
  <c r="B68" i="23"/>
  <c r="G68" i="23"/>
  <c r="B69" i="23"/>
  <c r="G69" i="23"/>
  <c r="B70" i="23"/>
  <c r="G70" i="23"/>
  <c r="B71" i="23"/>
  <c r="G71" i="23"/>
  <c r="B72" i="23"/>
  <c r="G72" i="23"/>
  <c r="B73" i="23"/>
  <c r="G73" i="23"/>
  <c r="B74" i="23"/>
  <c r="G74" i="23"/>
  <c r="B75" i="23"/>
  <c r="G75" i="23"/>
  <c r="B76" i="23"/>
  <c r="G76" i="23"/>
  <c r="B77" i="23"/>
  <c r="G77" i="23"/>
  <c r="B78" i="23"/>
  <c r="G78" i="23"/>
  <c r="B79" i="23"/>
  <c r="G79" i="23"/>
  <c r="B80" i="23"/>
  <c r="G80" i="23"/>
  <c r="B81" i="23"/>
  <c r="G81" i="23"/>
  <c r="B82" i="23"/>
  <c r="G82" i="23"/>
  <c r="B83" i="23"/>
  <c r="G83" i="23"/>
  <c r="B84" i="23"/>
  <c r="G84" i="23"/>
  <c r="B85" i="23"/>
  <c r="G85" i="23"/>
  <c r="B86" i="23"/>
  <c r="G86" i="23"/>
  <c r="B87" i="23"/>
  <c r="G87" i="23"/>
  <c r="B88" i="23"/>
  <c r="G88" i="23"/>
  <c r="B89" i="23"/>
  <c r="G89" i="23"/>
  <c r="B90" i="23"/>
  <c r="G90" i="23"/>
  <c r="B91" i="23"/>
  <c r="G91" i="23"/>
  <c r="B92" i="23"/>
  <c r="G92" i="23"/>
  <c r="B93" i="23"/>
  <c r="G93" i="23"/>
  <c r="B94" i="23"/>
  <c r="G94" i="23"/>
  <c r="B95" i="23"/>
  <c r="G95" i="23"/>
  <c r="B96" i="23"/>
  <c r="G96" i="23"/>
  <c r="B97" i="23"/>
  <c r="G97" i="23"/>
  <c r="B98" i="23"/>
  <c r="G98" i="23"/>
  <c r="B99" i="23"/>
  <c r="G99" i="23"/>
  <c r="B100" i="23"/>
  <c r="G100" i="23"/>
  <c r="B101" i="23"/>
  <c r="G101" i="23"/>
  <c r="D6" i="24" l="1"/>
  <c r="AT5" i="21"/>
  <c r="AT9" i="21"/>
  <c r="AT13" i="21"/>
  <c r="AT17" i="21"/>
  <c r="AT21" i="21"/>
  <c r="AT25" i="21"/>
  <c r="AS6" i="21"/>
  <c r="AS10" i="21"/>
  <c r="AS14" i="21"/>
  <c r="AS18" i="21"/>
  <c r="AS22" i="21"/>
  <c r="AT6" i="21"/>
  <c r="AT10" i="21"/>
  <c r="AT14" i="21"/>
  <c r="AT18" i="21"/>
  <c r="AT22" i="21"/>
  <c r="AS7" i="21"/>
  <c r="AS11" i="21"/>
  <c r="AS15" i="21"/>
  <c r="AS19" i="21"/>
  <c r="AS23" i="21"/>
  <c r="AT8" i="21"/>
  <c r="AT12" i="21"/>
  <c r="AT16" i="21"/>
  <c r="AT20" i="21"/>
  <c r="AT24" i="21"/>
  <c r="AS5" i="21"/>
  <c r="AS9" i="21"/>
  <c r="AS13" i="21"/>
  <c r="AS17" i="21"/>
  <c r="AS21" i="21"/>
  <c r="AS25" i="21"/>
  <c r="AT7" i="21"/>
  <c r="AT11" i="21"/>
  <c r="AT15" i="21"/>
  <c r="AT19" i="21"/>
  <c r="AT23" i="21"/>
  <c r="AS8" i="21"/>
  <c r="AS12" i="21"/>
  <c r="AS16" i="21"/>
  <c r="AS20" i="21"/>
  <c r="AS24" i="21"/>
  <c r="E6" i="26"/>
  <c r="D6" i="25"/>
  <c r="X8" i="21" l="1"/>
  <c r="M6" i="21" l="1"/>
  <c r="M7" i="21"/>
  <c r="M8" i="21"/>
  <c r="M9" i="21"/>
  <c r="M10" i="21"/>
  <c r="M11" i="21"/>
  <c r="M12" i="21"/>
  <c r="M13" i="21"/>
  <c r="M14" i="21"/>
  <c r="M15" i="21"/>
  <c r="M16" i="21"/>
  <c r="M17" i="21"/>
  <c r="M18" i="21"/>
  <c r="M19" i="21"/>
  <c r="M20" i="21"/>
  <c r="M21" i="21"/>
  <c r="M22" i="21"/>
  <c r="M23" i="21"/>
  <c r="M24" i="21"/>
  <c r="M25" i="21"/>
  <c r="B6" i="21"/>
  <c r="B9" i="21"/>
  <c r="B7" i="21"/>
  <c r="B17" i="21"/>
  <c r="B12" i="21"/>
  <c r="B20" i="21"/>
  <c r="B24" i="21"/>
  <c r="B14" i="21"/>
  <c r="B23" i="21"/>
  <c r="B21" i="21"/>
  <c r="B19" i="21"/>
  <c r="B13" i="21"/>
  <c r="B15" i="21"/>
  <c r="B22" i="21"/>
  <c r="B11" i="21"/>
  <c r="B10" i="21"/>
  <c r="B16" i="21"/>
  <c r="B18" i="21"/>
  <c r="B8" i="21"/>
  <c r="B25" i="21"/>
  <c r="L13" i="21" l="1"/>
  <c r="L14" i="21"/>
  <c r="L12" i="21"/>
  <c r="L11" i="21"/>
  <c r="L18" i="21"/>
  <c r="L25" i="21"/>
  <c r="L9" i="21"/>
  <c r="L24" i="21"/>
  <c r="L16" i="21"/>
  <c r="L8" i="21"/>
  <c r="L22" i="21"/>
  <c r="L6" i="21"/>
  <c r="L21" i="21"/>
  <c r="L20" i="21"/>
  <c r="L19" i="21"/>
  <c r="L10" i="21"/>
  <c r="L17" i="21"/>
  <c r="L23" i="21"/>
  <c r="L15" i="21"/>
  <c r="L7" i="21"/>
  <c r="AU23" i="21"/>
  <c r="AU24" i="21"/>
  <c r="AU25" i="21"/>
  <c r="AM7" i="21" l="1"/>
  <c r="AM8" i="21"/>
  <c r="AM9" i="21"/>
  <c r="AM10" i="21"/>
  <c r="AM11" i="21"/>
  <c r="AM12" i="21"/>
  <c r="AM13" i="21"/>
  <c r="AM14" i="21"/>
  <c r="AM15" i="21"/>
  <c r="AM16" i="21"/>
  <c r="AM17" i="21"/>
  <c r="AM18" i="21"/>
  <c r="AM19" i="21"/>
  <c r="AM20" i="21"/>
  <c r="AM21" i="21"/>
  <c r="AM22" i="21"/>
  <c r="AM23" i="21"/>
  <c r="AM24" i="21"/>
  <c r="AM25" i="21"/>
  <c r="AM6" i="21"/>
  <c r="AN6" i="21"/>
  <c r="W6" i="21" l="1"/>
  <c r="AJ25" i="21" l="1"/>
  <c r="AK25" i="21" s="1"/>
  <c r="X25" i="21"/>
  <c r="W25" i="21"/>
  <c r="AN25" i="21"/>
  <c r="AJ24" i="21"/>
  <c r="AK24" i="21" s="1"/>
  <c r="X24" i="21"/>
  <c r="W24" i="21"/>
  <c r="AN24" i="21"/>
  <c r="AJ23" i="21"/>
  <c r="AK23" i="21" s="1"/>
  <c r="X23" i="21"/>
  <c r="W23" i="21"/>
  <c r="AN23" i="21"/>
  <c r="AJ22" i="21"/>
  <c r="AK22" i="21" s="1"/>
  <c r="X22" i="21"/>
  <c r="W22" i="21"/>
  <c r="AN22" i="21"/>
  <c r="AJ21" i="21"/>
  <c r="AK21" i="21" s="1"/>
  <c r="X21" i="21"/>
  <c r="W21" i="21"/>
  <c r="AN21" i="21"/>
  <c r="AJ20" i="21"/>
  <c r="AK20" i="21" s="1"/>
  <c r="X20" i="21"/>
  <c r="W20" i="21"/>
  <c r="AN20" i="21"/>
  <c r="AJ19" i="21"/>
  <c r="AK19" i="21" s="1"/>
  <c r="X19" i="21"/>
  <c r="W19" i="21"/>
  <c r="AN19" i="21"/>
  <c r="AJ18" i="21"/>
  <c r="AK18" i="21" s="1"/>
  <c r="X18" i="21"/>
  <c r="W18" i="21"/>
  <c r="AN18" i="21"/>
  <c r="AJ17" i="21"/>
  <c r="AK17" i="21" s="1"/>
  <c r="X17" i="21"/>
  <c r="W17" i="21"/>
  <c r="AN17" i="21"/>
  <c r="AJ16" i="21"/>
  <c r="AK16" i="21" s="1"/>
  <c r="X16" i="21"/>
  <c r="W16" i="21"/>
  <c r="AN16" i="21"/>
  <c r="AJ15" i="21"/>
  <c r="AK15" i="21" s="1"/>
  <c r="X15" i="21"/>
  <c r="W15" i="21"/>
  <c r="AN15" i="21"/>
  <c r="AJ14" i="21"/>
  <c r="AK14" i="21" s="1"/>
  <c r="X14" i="21"/>
  <c r="W14" i="21"/>
  <c r="AN14" i="21"/>
  <c r="AJ13" i="21"/>
  <c r="AK13" i="21" s="1"/>
  <c r="X13" i="21"/>
  <c r="W13" i="21"/>
  <c r="AN13" i="21"/>
  <c r="AJ12" i="21"/>
  <c r="AK12" i="21" s="1"/>
  <c r="X12" i="21"/>
  <c r="W12" i="21"/>
  <c r="AN12" i="21"/>
  <c r="AJ11" i="21"/>
  <c r="AK11" i="21" s="1"/>
  <c r="X11" i="21"/>
  <c r="W11" i="21"/>
  <c r="AN11" i="21"/>
  <c r="AJ10" i="21"/>
  <c r="AK10" i="21" s="1"/>
  <c r="X10" i="21"/>
  <c r="W10" i="21"/>
  <c r="AN10" i="21"/>
  <c r="AJ9" i="21"/>
  <c r="AK9" i="21" s="1"/>
  <c r="X9" i="21"/>
  <c r="W9" i="21"/>
  <c r="AN9" i="21"/>
  <c r="AJ8" i="21"/>
  <c r="AK8" i="21" s="1"/>
  <c r="W8" i="21"/>
  <c r="AN8" i="21"/>
  <c r="AJ7" i="21"/>
  <c r="AK7" i="21" s="1"/>
  <c r="X7" i="21"/>
  <c r="W7" i="21"/>
  <c r="AN7" i="21"/>
  <c r="AJ6" i="21"/>
  <c r="AK6" i="21" s="1"/>
  <c r="X6" i="21"/>
  <c r="AU20" i="21" l="1"/>
  <c r="AU19" i="21"/>
  <c r="AU22" i="21"/>
  <c r="AU21" i="21"/>
  <c r="T6" i="21"/>
  <c r="AD6" i="21"/>
  <c r="T8" i="21"/>
  <c r="AD8" i="21"/>
  <c r="AD7" i="21"/>
  <c r="AD16" i="21"/>
  <c r="T16" i="21"/>
  <c r="T15" i="21"/>
  <c r="AD15" i="21"/>
  <c r="T14" i="21"/>
  <c r="AD14" i="21"/>
  <c r="T25" i="21"/>
  <c r="AD25" i="21"/>
  <c r="T18" i="21"/>
  <c r="AD18" i="21"/>
  <c r="T17" i="21"/>
  <c r="AD17" i="21"/>
  <c r="AD13" i="21"/>
  <c r="AD24" i="21"/>
  <c r="T12" i="21"/>
  <c r="AD12" i="21"/>
  <c r="T23" i="21"/>
  <c r="AD23" i="21"/>
  <c r="T21" i="21"/>
  <c r="AD21" i="21"/>
  <c r="T22" i="21"/>
  <c r="AD22" i="21"/>
  <c r="AD11" i="21"/>
  <c r="T20" i="21"/>
  <c r="AD20" i="21"/>
  <c r="T9" i="21"/>
  <c r="AD9" i="21"/>
  <c r="T10" i="21"/>
  <c r="AD10" i="21"/>
  <c r="AD19" i="21"/>
  <c r="T7" i="21"/>
  <c r="T24" i="21"/>
  <c r="T13" i="21"/>
  <c r="T11" i="21"/>
  <c r="T19" i="21"/>
  <c r="AQ6" i="21"/>
  <c r="AP13" i="21"/>
  <c r="AQ20" i="21"/>
  <c r="AO15" i="21"/>
  <c r="AQ8" i="21"/>
  <c r="AO9" i="21"/>
  <c r="AQ22" i="21"/>
  <c r="AP24" i="21"/>
  <c r="AQ7" i="21"/>
  <c r="AP17" i="21"/>
  <c r="AQ19" i="21"/>
  <c r="AQ18" i="21"/>
  <c r="AP19" i="21"/>
  <c r="AO19" i="21"/>
  <c r="AQ12" i="21"/>
  <c r="AP23" i="21"/>
  <c r="AP12" i="21"/>
  <c r="AQ10" i="21"/>
  <c r="AP15" i="21"/>
  <c r="AQ14" i="21"/>
  <c r="AO17" i="21"/>
  <c r="AQ11" i="21"/>
  <c r="AO12" i="21"/>
  <c r="AP7" i="21"/>
  <c r="AP10" i="21"/>
  <c r="AO24" i="21"/>
  <c r="AP22" i="21"/>
  <c r="AQ21" i="21"/>
  <c r="AQ25" i="21"/>
  <c r="AO20" i="21"/>
  <c r="AO21" i="21"/>
  <c r="AP9" i="21"/>
  <c r="AP11" i="21"/>
  <c r="AO22" i="21"/>
  <c r="AQ15" i="21"/>
  <c r="AP6" i="21"/>
  <c r="AO10" i="21"/>
  <c r="AO7" i="21"/>
  <c r="AO13" i="21"/>
  <c r="AQ9" i="21"/>
  <c r="AP20" i="21"/>
  <c r="AO8" i="21"/>
  <c r="AP14" i="21"/>
  <c r="AO14" i="21"/>
  <c r="AP25" i="21"/>
  <c r="AQ16" i="21"/>
  <c r="AO11" i="21"/>
  <c r="AQ24" i="21"/>
  <c r="AO6" i="21"/>
  <c r="AP18" i="21"/>
  <c r="AP21" i="21"/>
  <c r="AO23" i="21"/>
  <c r="AQ13" i="21"/>
  <c r="AP16" i="21"/>
  <c r="AO25" i="21"/>
  <c r="AP8" i="21"/>
  <c r="AQ23" i="21"/>
  <c r="AO18" i="21"/>
  <c r="AQ17" i="21"/>
  <c r="AO16" i="21"/>
  <c r="AU7" i="21" l="1"/>
  <c r="AU6" i="21"/>
  <c r="C55" i="4"/>
  <c r="AU13" i="21" l="1"/>
  <c r="AU18" i="21"/>
  <c r="AU15" i="21"/>
  <c r="AU16" i="21"/>
  <c r="AU9" i="21"/>
  <c r="AU8" i="21"/>
  <c r="AU12" i="21"/>
  <c r="AU10" i="21"/>
  <c r="AU14" i="21"/>
  <c r="AU17" i="21"/>
  <c r="AU11" i="21"/>
  <c r="AP2" i="21"/>
  <c r="C7" i="23" l="1" a="1"/>
  <c r="C81" i="23"/>
  <c r="C49" i="23"/>
  <c r="C17" i="23"/>
  <c r="C74" i="23"/>
  <c r="C42" i="23"/>
  <c r="C10" i="23"/>
  <c r="C73" i="23"/>
  <c r="C41" i="23"/>
  <c r="C9" i="23"/>
  <c r="C98" i="23"/>
  <c r="C66" i="23"/>
  <c r="C34" i="23"/>
  <c r="C97" i="23"/>
  <c r="C65" i="23"/>
  <c r="C33" i="23"/>
  <c r="C90" i="23"/>
  <c r="C58" i="23"/>
  <c r="C26" i="23"/>
  <c r="C89" i="23"/>
  <c r="C57" i="23"/>
  <c r="C25" i="23"/>
  <c r="C82" i="23"/>
  <c r="C50" i="23"/>
  <c r="C18" i="23"/>
  <c r="C88" i="23"/>
  <c r="C64" i="23"/>
  <c r="C40" i="23"/>
  <c r="C16" i="23"/>
  <c r="C87" i="23"/>
  <c r="C63" i="23"/>
  <c r="C39" i="23"/>
  <c r="C15" i="23"/>
  <c r="C94" i="23"/>
  <c r="C93" i="23"/>
  <c r="C77" i="23"/>
  <c r="C61" i="23"/>
  <c r="C45" i="23"/>
  <c r="C29" i="23"/>
  <c r="C13" i="23"/>
  <c r="C100" i="23"/>
  <c r="C92" i="23"/>
  <c r="C84" i="23"/>
  <c r="C76" i="23"/>
  <c r="C68" i="23"/>
  <c r="C60" i="23"/>
  <c r="C52" i="23"/>
  <c r="C44" i="23"/>
  <c r="C36" i="23"/>
  <c r="C28" i="23"/>
  <c r="C20" i="23"/>
  <c r="C12" i="23"/>
  <c r="C96" i="23"/>
  <c r="C72" i="23"/>
  <c r="C48" i="23"/>
  <c r="C32" i="23"/>
  <c r="C8" i="23"/>
  <c r="C79" i="23"/>
  <c r="C55" i="23"/>
  <c r="C31" i="23"/>
  <c r="C7" i="23"/>
  <c r="C101" i="23"/>
  <c r="C85" i="23"/>
  <c r="C69" i="23"/>
  <c r="C53" i="23"/>
  <c r="C37" i="23"/>
  <c r="C21" i="23"/>
  <c r="C99" i="23"/>
  <c r="C91" i="23"/>
  <c r="C83" i="23"/>
  <c r="C75" i="23"/>
  <c r="C67" i="23"/>
  <c r="C59" i="23"/>
  <c r="C51" i="23"/>
  <c r="C43" i="23"/>
  <c r="C35" i="23"/>
  <c r="C27" i="23"/>
  <c r="C19" i="23"/>
  <c r="C11" i="23"/>
  <c r="C80" i="23"/>
  <c r="C56" i="23"/>
  <c r="C24" i="23"/>
  <c r="C95" i="23"/>
  <c r="C71" i="23"/>
  <c r="C47" i="23"/>
  <c r="C23" i="23"/>
  <c r="C86" i="23"/>
  <c r="C78" i="23"/>
  <c r="C70" i="23"/>
  <c r="C62" i="23"/>
  <c r="C54" i="23"/>
  <c r="C46" i="23"/>
  <c r="C38" i="23"/>
  <c r="C30" i="23"/>
  <c r="C22" i="23"/>
  <c r="C14" i="23"/>
  <c r="D7" i="23" a="1"/>
  <c r="D26" i="23"/>
  <c r="D58" i="23"/>
  <c r="D90" i="23"/>
  <c r="D33" i="23"/>
  <c r="D65" i="23"/>
  <c r="D97" i="23"/>
  <c r="D34" i="23"/>
  <c r="D66" i="23"/>
  <c r="D98" i="23"/>
  <c r="D9" i="23"/>
  <c r="D41" i="23"/>
  <c r="D73" i="23"/>
  <c r="D10" i="23"/>
  <c r="D42" i="23"/>
  <c r="D74" i="23"/>
  <c r="D17" i="23"/>
  <c r="D49" i="23"/>
  <c r="D81" i="23"/>
  <c r="D18" i="23"/>
  <c r="D50" i="23"/>
  <c r="D82" i="23"/>
  <c r="D25" i="23"/>
  <c r="D57" i="23"/>
  <c r="D89" i="23"/>
  <c r="D11" i="23"/>
  <c r="D35" i="23"/>
  <c r="D67" i="23"/>
  <c r="D91" i="23"/>
  <c r="D20" i="23"/>
  <c r="D44" i="23"/>
  <c r="D68" i="23"/>
  <c r="D92" i="23"/>
  <c r="D7" i="23"/>
  <c r="D15" i="23"/>
  <c r="D23" i="23"/>
  <c r="D31" i="23"/>
  <c r="D39" i="23"/>
  <c r="D47" i="23"/>
  <c r="D55" i="23"/>
  <c r="D63" i="23"/>
  <c r="D71" i="23"/>
  <c r="D79" i="23"/>
  <c r="D87" i="23"/>
  <c r="D95" i="23"/>
  <c r="D27" i="23"/>
  <c r="D51" i="23"/>
  <c r="D83" i="23"/>
  <c r="D28" i="23"/>
  <c r="D52" i="23"/>
  <c r="D60" i="23"/>
  <c r="D84" i="23"/>
  <c r="D100" i="23"/>
  <c r="D14" i="23"/>
  <c r="D22" i="23"/>
  <c r="D30" i="23"/>
  <c r="D38" i="23"/>
  <c r="D46" i="23"/>
  <c r="D54" i="23"/>
  <c r="D62" i="23"/>
  <c r="D70" i="23"/>
  <c r="D78" i="23"/>
  <c r="D86" i="23"/>
  <c r="D94" i="23"/>
  <c r="D8" i="23"/>
  <c r="D16" i="23"/>
  <c r="D24" i="23"/>
  <c r="D32" i="23"/>
  <c r="D40" i="23"/>
  <c r="D48" i="23"/>
  <c r="D56" i="23"/>
  <c r="D64" i="23"/>
  <c r="D72" i="23"/>
  <c r="D80" i="23"/>
  <c r="D88" i="23"/>
  <c r="D96" i="23"/>
  <c r="D59" i="23"/>
  <c r="D19" i="23"/>
  <c r="D43" i="23"/>
  <c r="D75" i="23"/>
  <c r="D99" i="23"/>
  <c r="D12" i="23"/>
  <c r="D36" i="23"/>
  <c r="D76" i="23"/>
  <c r="D13" i="23"/>
  <c r="D21" i="23"/>
  <c r="D29" i="23"/>
  <c r="D37" i="23"/>
  <c r="D45" i="23"/>
  <c r="D53" i="23"/>
  <c r="D61" i="23"/>
  <c r="D69" i="23"/>
  <c r="D77" i="23"/>
  <c r="D85" i="23"/>
  <c r="D93" i="23"/>
  <c r="D101" i="23"/>
  <c r="E7" i="23" a="1"/>
  <c r="E41" i="23"/>
  <c r="E49" i="23"/>
  <c r="E57" i="23"/>
  <c r="E9" i="23"/>
  <c r="E65" i="23"/>
  <c r="E10" i="23"/>
  <c r="E73" i="23"/>
  <c r="E17" i="23"/>
  <c r="E81" i="23"/>
  <c r="E25" i="23"/>
  <c r="E89" i="23"/>
  <c r="E33" i="23"/>
  <c r="E97" i="23"/>
  <c r="E18" i="23"/>
  <c r="E42" i="23"/>
  <c r="E66" i="23"/>
  <c r="E90" i="23"/>
  <c r="E19" i="23"/>
  <c r="E51" i="23"/>
  <c r="E12" i="23"/>
  <c r="E36" i="23"/>
  <c r="E52" i="23"/>
  <c r="E68" i="23"/>
  <c r="E92" i="23"/>
  <c r="E22" i="23"/>
  <c r="E38" i="23"/>
  <c r="E54" i="23"/>
  <c r="E62" i="23"/>
  <c r="E70" i="23"/>
  <c r="E78" i="23"/>
  <c r="E94" i="23"/>
  <c r="E7" i="23"/>
  <c r="E15" i="23"/>
  <c r="E23" i="23"/>
  <c r="E31" i="23"/>
  <c r="E39" i="23"/>
  <c r="E47" i="23"/>
  <c r="E55" i="23"/>
  <c r="E63" i="23"/>
  <c r="E71" i="23"/>
  <c r="E79" i="23"/>
  <c r="E87" i="23"/>
  <c r="E95" i="23"/>
  <c r="E34" i="23"/>
  <c r="E58" i="23"/>
  <c r="E82" i="23"/>
  <c r="E11" i="23"/>
  <c r="E43" i="23"/>
  <c r="E28" i="23"/>
  <c r="E44" i="23"/>
  <c r="E60" i="23"/>
  <c r="E76" i="23"/>
  <c r="E100" i="23"/>
  <c r="E14" i="23"/>
  <c r="E30" i="23"/>
  <c r="E46" i="23"/>
  <c r="E86" i="23"/>
  <c r="E8" i="23"/>
  <c r="E16" i="23"/>
  <c r="E24" i="23"/>
  <c r="E32" i="23"/>
  <c r="E40" i="23"/>
  <c r="E48" i="23"/>
  <c r="E56" i="23"/>
  <c r="E64" i="23"/>
  <c r="E72" i="23"/>
  <c r="E80" i="23"/>
  <c r="E88" i="23"/>
  <c r="E96" i="23"/>
  <c r="E27" i="23"/>
  <c r="E59" i="23"/>
  <c r="E67" i="23"/>
  <c r="E75" i="23"/>
  <c r="E83" i="23"/>
  <c r="E91" i="23"/>
  <c r="E99" i="23"/>
  <c r="E26" i="23"/>
  <c r="E50" i="23"/>
  <c r="E74" i="23"/>
  <c r="E98" i="23"/>
  <c r="E35" i="23"/>
  <c r="E20" i="23"/>
  <c r="E84" i="23"/>
  <c r="E13" i="23"/>
  <c r="E21" i="23"/>
  <c r="E29" i="23"/>
  <c r="E37" i="23"/>
  <c r="E45" i="23"/>
  <c r="E53" i="23"/>
  <c r="E61" i="23"/>
  <c r="E69" i="23"/>
  <c r="E77" i="23"/>
  <c r="E85" i="23"/>
  <c r="E93" i="23"/>
  <c r="E101" i="23"/>
  <c r="H7" i="23" a="1"/>
  <c r="H78" i="23"/>
  <c r="H62" i="23"/>
  <c r="H38" i="23"/>
  <c r="H30" i="23"/>
  <c r="H101" i="23"/>
  <c r="H77" i="23"/>
  <c r="H61" i="23"/>
  <c r="H37" i="23"/>
  <c r="H13" i="23"/>
  <c r="H84" i="23"/>
  <c r="H68" i="23"/>
  <c r="H44" i="23"/>
  <c r="H20" i="23"/>
  <c r="H91" i="23"/>
  <c r="H75" i="23"/>
  <c r="H59" i="23"/>
  <c r="H43" i="23"/>
  <c r="H35" i="23"/>
  <c r="H27" i="23"/>
  <c r="H19" i="23"/>
  <c r="H11" i="23"/>
  <c r="H98" i="23"/>
  <c r="H90" i="23"/>
  <c r="H82" i="23"/>
  <c r="H74" i="23"/>
  <c r="H66" i="23"/>
  <c r="H58" i="23"/>
  <c r="H50" i="23"/>
  <c r="H42" i="23"/>
  <c r="H34" i="23"/>
  <c r="H26" i="23"/>
  <c r="H18" i="23"/>
  <c r="H10" i="23"/>
  <c r="H94" i="23"/>
  <c r="H70" i="23"/>
  <c r="H46" i="23"/>
  <c r="H14" i="23"/>
  <c r="H93" i="23"/>
  <c r="H69" i="23"/>
  <c r="H45" i="23"/>
  <c r="H21" i="23"/>
  <c r="H92" i="23"/>
  <c r="H52" i="23"/>
  <c r="H12" i="23"/>
  <c r="H83" i="23"/>
  <c r="H51" i="23"/>
  <c r="H89" i="23"/>
  <c r="H73" i="23"/>
  <c r="H57" i="23"/>
  <c r="H41" i="23"/>
  <c r="H25" i="23"/>
  <c r="H9" i="23"/>
  <c r="H96" i="23"/>
  <c r="H88" i="23"/>
  <c r="H80" i="23"/>
  <c r="H72" i="23"/>
  <c r="H64" i="23"/>
  <c r="H56" i="23"/>
  <c r="H48" i="23"/>
  <c r="H40" i="23"/>
  <c r="H32" i="23"/>
  <c r="H24" i="23"/>
  <c r="H16" i="23"/>
  <c r="H8" i="23"/>
  <c r="H86" i="23"/>
  <c r="H54" i="23"/>
  <c r="H22" i="23"/>
  <c r="H85" i="23"/>
  <c r="H53" i="23"/>
  <c r="H29" i="23"/>
  <c r="H100" i="23"/>
  <c r="H76" i="23"/>
  <c r="H60" i="23"/>
  <c r="H36" i="23"/>
  <c r="H28" i="23"/>
  <c r="H99" i="23"/>
  <c r="H67" i="23"/>
  <c r="H97" i="23"/>
  <c r="H81" i="23"/>
  <c r="H65" i="23"/>
  <c r="H49" i="23"/>
  <c r="H33" i="23"/>
  <c r="H17" i="23"/>
  <c r="H95" i="23"/>
  <c r="H87" i="23"/>
  <c r="H79" i="23"/>
  <c r="H71" i="23"/>
  <c r="H63" i="23"/>
  <c r="H55" i="23"/>
  <c r="H47" i="23"/>
  <c r="H39" i="23"/>
  <c r="H31" i="23"/>
  <c r="H23" i="23"/>
  <c r="H15" i="23"/>
  <c r="H7" i="23"/>
</calcChain>
</file>

<file path=xl/comments1.xml><?xml version="1.0" encoding="utf-8"?>
<comments xmlns="http://schemas.openxmlformats.org/spreadsheetml/2006/main">
  <authors>
    <author>Nicholas Burgess</author>
  </authors>
  <commentList>
    <comment ref="D28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30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31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2.xml><?xml version="1.0" encoding="utf-8"?>
<comments xmlns="http://schemas.openxmlformats.org/spreadsheetml/2006/main">
  <authors>
    <author>Nicholas Burgess</author>
  </authors>
  <commentList>
    <comment ref="D12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13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69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70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3.xml><?xml version="1.0" encoding="utf-8"?>
<comments xmlns="http://schemas.openxmlformats.org/spreadsheetml/2006/main">
  <authors>
    <author>Nicholas Burgess</author>
  </authors>
  <commentList>
    <comment ref="E16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62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E63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sharedStrings.xml><?xml version="1.0" encoding="utf-8"?>
<sst xmlns="http://schemas.openxmlformats.org/spreadsheetml/2006/main" count="901" uniqueCount="261">
  <si>
    <t>Curve Names</t>
  </si>
  <si>
    <t>Calendar</t>
  </si>
  <si>
    <t>TGT</t>
  </si>
  <si>
    <t>calendar</t>
  </si>
  <si>
    <t xml:space="preserve"> </t>
  </si>
  <si>
    <t>ACT/360</t>
  </si>
  <si>
    <t>daycount</t>
  </si>
  <si>
    <t>Use</t>
  </si>
  <si>
    <t>OIS</t>
  </si>
  <si>
    <t>AsOfDate</t>
  </si>
  <si>
    <t>Term</t>
  </si>
  <si>
    <t>Rate</t>
  </si>
  <si>
    <t>StartDate</t>
  </si>
  <si>
    <t>EndDate</t>
  </si>
  <si>
    <t>resetlag</t>
  </si>
  <si>
    <t>Currency</t>
  </si>
  <si>
    <t>EUR</t>
  </si>
  <si>
    <t>Daycount</t>
  </si>
  <si>
    <t>daycountfix</t>
  </si>
  <si>
    <t>30/360</t>
  </si>
  <si>
    <t>SlidingRule</t>
  </si>
  <si>
    <t>MOD_FOLLOWING</t>
  </si>
  <si>
    <t>slidingrule</t>
  </si>
  <si>
    <t>yieldgen.interpolation</t>
  </si>
  <si>
    <t>frequency</t>
  </si>
  <si>
    <t>Annual</t>
  </si>
  <si>
    <t>Frequency</t>
  </si>
  <si>
    <t>Quarterly</t>
  </si>
  <si>
    <t>frequencyfix</t>
  </si>
  <si>
    <t>2d</t>
  </si>
  <si>
    <t>iseomroll</t>
    <phoneticPr fontId="0"/>
  </si>
  <si>
    <t>eomday</t>
    <phoneticPr fontId="0"/>
  </si>
  <si>
    <t>generatemethod</t>
  </si>
  <si>
    <t>dailycompounding</t>
  </si>
  <si>
    <t>firstrate</t>
  </si>
  <si>
    <t>ShortMarket</t>
  </si>
  <si>
    <t/>
  </si>
  <si>
    <t>shorttermconvention</t>
  </si>
  <si>
    <t>arithmeticaverage</t>
  </si>
  <si>
    <t>longtermconvention</t>
  </si>
  <si>
    <t>LOBASIS</t>
  </si>
  <si>
    <t>longterm</t>
  </si>
  <si>
    <t>3Y</t>
  </si>
  <si>
    <t>longterm.generatemethod</t>
  </si>
  <si>
    <t>dailyaveraging</t>
  </si>
  <si>
    <t>ON</t>
  </si>
  <si>
    <t>2Y</t>
  </si>
  <si>
    <t>EUSF1A</t>
  </si>
  <si>
    <t>EUSF2A</t>
  </si>
  <si>
    <t>4Y</t>
  </si>
  <si>
    <t>EUSF3A</t>
  </si>
  <si>
    <t>5Y</t>
  </si>
  <si>
    <t>EUSF4A</t>
  </si>
  <si>
    <t>6Y</t>
  </si>
  <si>
    <t>EUSF5A</t>
  </si>
  <si>
    <t>7Y</t>
  </si>
  <si>
    <t>12M</t>
  </si>
  <si>
    <t>8Y</t>
  </si>
  <si>
    <t>18M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</si>
  <si>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</si>
  <si>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</si>
  <si>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</si>
  <si>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</si>
  <si>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</si>
  <si>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</si>
  <si>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</si>
  <si>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</si>
  <si>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</si>
  <si>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</si>
  <si>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Curve Build Properties</t>
  </si>
  <si>
    <t>Libor-OIS Tenor Basis Conventions</t>
  </si>
  <si>
    <t>OIS Par Rates</t>
  </si>
  <si>
    <t>Libor-OIS  Spreads</t>
  </si>
  <si>
    <t>Libor Swap Conventions</t>
  </si>
  <si>
    <t>Libor Swap  Rates</t>
  </si>
  <si>
    <t>Libor-OIS Basis Swaps</t>
  </si>
  <si>
    <t>Overnight Indexed Swaps</t>
  </si>
  <si>
    <t>EURYC</t>
  </si>
  <si>
    <t>fn_MonotoneConvexInterpolation</t>
  </si>
  <si>
    <t>StaticDataTable</t>
  </si>
  <si>
    <t>CurveCollection</t>
  </si>
  <si>
    <t>IndexName(s)</t>
  </si>
  <si>
    <t>STD</t>
  </si>
  <si>
    <t>STD:EUR6ML</t>
  </si>
  <si>
    <t>interpolation</t>
  </si>
  <si>
    <t>isfutureuse</t>
  </si>
  <si>
    <t>isfrause</t>
  </si>
  <si>
    <t>dfcurvename</t>
  </si>
  <si>
    <t>Cash Instruments</t>
  </si>
  <si>
    <t>DayCount</t>
  </si>
  <si>
    <t>Slidingrule</t>
  </si>
  <si>
    <t>FOLLOWING</t>
  </si>
  <si>
    <t>Simple</t>
  </si>
  <si>
    <t>Resetlag</t>
  </si>
  <si>
    <t>IsEomRoll</t>
  </si>
  <si>
    <t>6M</t>
  </si>
  <si>
    <t>FRA Instruments</t>
  </si>
  <si>
    <t>FRA Conventions</t>
  </si>
  <si>
    <t>ResetLag</t>
  </si>
  <si>
    <t>ApplyTension</t>
  </si>
  <si>
    <t>TensionGap</t>
  </si>
  <si>
    <t>2X8</t>
  </si>
  <si>
    <t>3X9</t>
  </si>
  <si>
    <t>4X10</t>
  </si>
  <si>
    <t>5X11</t>
  </si>
  <si>
    <t>6X12</t>
  </si>
  <si>
    <t>7X13</t>
  </si>
  <si>
    <t>8X14</t>
  </si>
  <si>
    <t>9X15</t>
  </si>
  <si>
    <t>10X16</t>
  </si>
  <si>
    <t>11X17</t>
  </si>
  <si>
    <t>12X18</t>
  </si>
  <si>
    <t>Futures Instruments</t>
  </si>
  <si>
    <t>Futures Conventions</t>
  </si>
  <si>
    <t>2</t>
  </si>
  <si>
    <t>Volatility</t>
  </si>
  <si>
    <t>Futures Data</t>
  </si>
  <si>
    <t>Swap Instruments</t>
  </si>
  <si>
    <t>Swap Conventions</t>
  </si>
  <si>
    <t>Swap Data</t>
  </si>
  <si>
    <t>DayCountFloat</t>
  </si>
  <si>
    <t>Semi-Annual</t>
  </si>
  <si>
    <t>FrequencyFloat</t>
  </si>
  <si>
    <t>Interpolation</t>
  </si>
  <si>
    <t>IsNewtonraphson</t>
  </si>
  <si>
    <t>issimultaneouseq</t>
  </si>
  <si>
    <t>Epsilon</t>
  </si>
  <si>
    <t>MaxLoop</t>
  </si>
  <si>
    <t>FRA Market Data x6</t>
  </si>
  <si>
    <t>Term / Ticker</t>
  </si>
  <si>
    <t>3M6MBasis</t>
  </si>
  <si>
    <t>3M6MBasis:EUR3ML</t>
  </si>
  <si>
    <t>Tenor Basis Swaps</t>
  </si>
  <si>
    <t>MarketName</t>
  </si>
  <si>
    <t>EUR3M6MBASIS</t>
  </si>
  <si>
    <t>IsLeg1Spread</t>
  </si>
  <si>
    <t>Leg1cashlet.calendar</t>
  </si>
  <si>
    <t>Leg1cashlet.daycount</t>
  </si>
  <si>
    <t>Act/360</t>
  </si>
  <si>
    <t>Leg1cashlet.frequency</t>
  </si>
  <si>
    <t>Leg1cashlet.slidingrule</t>
  </si>
  <si>
    <t>Leg1cashlet.spotlag</t>
  </si>
  <si>
    <t>Leg1discount</t>
  </si>
  <si>
    <t>Leg1forecast</t>
  </si>
  <si>
    <t>Leg1index.accessary</t>
  </si>
  <si>
    <t>Leg1index.daycount</t>
  </si>
  <si>
    <t>Leg1index.fixing.calendar</t>
  </si>
  <si>
    <t>Leg1index.frequency</t>
  </si>
  <si>
    <t>Leg1index.payment.calendar</t>
  </si>
  <si>
    <t>Leg1index.resetlag</t>
  </si>
  <si>
    <t>Leg1index.slidingrule</t>
  </si>
  <si>
    <t>Leg2cashlet.calendar</t>
  </si>
  <si>
    <t>Leg2cashlet.daycount</t>
  </si>
  <si>
    <t>Leg2cashlet.frequency</t>
  </si>
  <si>
    <t>Leg2cashlet.slidingrule</t>
  </si>
  <si>
    <t>Leg2cashlet.spotlag</t>
  </si>
  <si>
    <t>Leg2discount</t>
  </si>
  <si>
    <t>Leg2forecast</t>
  </si>
  <si>
    <t>Leg2index.accessary</t>
  </si>
  <si>
    <t>3M</t>
  </si>
  <si>
    <t>Leg2index.daycount</t>
  </si>
  <si>
    <t>Leg2index.fixing.calendar</t>
  </si>
  <si>
    <t>Leg2index.frequency</t>
  </si>
  <si>
    <t>Leg2index.payment.calendar</t>
  </si>
  <si>
    <t>Leg2index.resetlag</t>
  </si>
  <si>
    <t>Leg2index.slidingrule</t>
  </si>
  <si>
    <t>Target</t>
  </si>
  <si>
    <t>Leg2Forecast</t>
  </si>
  <si>
    <t>fwdinterpolation</t>
  </si>
  <si>
    <t>isfwdinter</t>
  </si>
  <si>
    <t>issamegridindex</t>
  </si>
  <si>
    <t>spotrateterm</t>
  </si>
  <si>
    <t>isyieldspreadcalc</t>
  </si>
  <si>
    <t>1Y</t>
  </si>
  <si>
    <t>Tenor Basis Conventions ( 3 X 6 )</t>
  </si>
  <si>
    <t>1M</t>
  </si>
  <si>
    <r>
      <t>* These fixings are used in the tenor basis curves see '</t>
    </r>
    <r>
      <rPr>
        <sz val="11"/>
        <color rgb="FF0000FF"/>
        <rFont val="Calibri"/>
        <family val="2"/>
        <scheme val="minor"/>
      </rPr>
      <t>SpotRateTerm</t>
    </r>
    <r>
      <rPr>
        <sz val="11"/>
        <rFont val="Calibri"/>
        <family val="2"/>
        <scheme val="minor"/>
      </rPr>
      <t>'</t>
    </r>
  </si>
  <si>
    <t>Tenor Basis Spreads ( 3 X 6 )</t>
  </si>
  <si>
    <t>EUR6ML</t>
  </si>
  <si>
    <t>OIS:EUROIS:EURDF:EURDF_NOCSA</t>
  </si>
  <si>
    <t>Known Leg</t>
  </si>
  <si>
    <t>Leg2Forecast Unknown : 
STD is the initial guess</t>
  </si>
  <si>
    <t>Curve Loaded</t>
  </si>
  <si>
    <t>MonotoneConvex</t>
  </si>
  <si>
    <t>Notional</t>
  </si>
  <si>
    <t>PAYER</t>
  </si>
  <si>
    <t>0D</t>
  </si>
  <si>
    <t>ShortStart</t>
  </si>
  <si>
    <t>EUR Swaps</t>
  </si>
  <si>
    <t>PV</t>
  </si>
  <si>
    <t>CSA</t>
  </si>
  <si>
    <t>Par Rate</t>
  </si>
  <si>
    <t>Present Value</t>
  </si>
  <si>
    <t>PV01</t>
  </si>
  <si>
    <t>2D</t>
  </si>
  <si>
    <t>6ML</t>
  </si>
  <si>
    <t>NOCSA</t>
  </si>
  <si>
    <t>13Y</t>
  </si>
  <si>
    <t>14Y</t>
  </si>
  <si>
    <t>16Y</t>
  </si>
  <si>
    <t>17Y</t>
  </si>
  <si>
    <t>18Y</t>
  </si>
  <si>
    <t>19Y</t>
  </si>
  <si>
    <t>EUR Calibration Instruments</t>
  </si>
  <si>
    <t>+/- Bps</t>
  </si>
  <si>
    <t>meCurveCalibrateOIS</t>
  </si>
  <si>
    <t>meCurveCalibrateSwap</t>
  </si>
  <si>
    <t>meCurveCalibrateBasis</t>
  </si>
  <si>
    <t>PayerReceiver</t>
  </si>
  <si>
    <t>MaturityDate</t>
  </si>
  <si>
    <t>EffectiveDate</t>
  </si>
  <si>
    <t>EffectiveLag</t>
  </si>
  <si>
    <t>FixedRate</t>
  </si>
  <si>
    <t>ForecastCurve</t>
  </si>
  <si>
    <t>FloatFirstFixing</t>
  </si>
  <si>
    <t>FixedFrequency</t>
  </si>
  <si>
    <t>FixedDaycount</t>
  </si>
  <si>
    <t>FixedBusinessDayAdjustment</t>
  </si>
  <si>
    <t>FixedCalendar</t>
  </si>
  <si>
    <t>FixedFirstStubDate</t>
  </si>
  <si>
    <t>FixedLastStubDate</t>
  </si>
  <si>
    <t>FixedRollDay</t>
  </si>
  <si>
    <t>FixedPaymentLag</t>
  </si>
  <si>
    <t>FixedStubType</t>
  </si>
  <si>
    <t>Index</t>
  </si>
  <si>
    <t>FloatFrequency</t>
  </si>
  <si>
    <t>FloatDaycount</t>
  </si>
  <si>
    <t>FloatBusinessDayAdjustment</t>
  </si>
  <si>
    <t>FloatCalendar</t>
  </si>
  <si>
    <t>FloatFirstStubDate</t>
  </si>
  <si>
    <t>FloatLastStubDate</t>
  </si>
  <si>
    <t>FloatRollDay</t>
  </si>
  <si>
    <t>FloatFixingLag</t>
  </si>
  <si>
    <t>FloatLastFixing</t>
  </si>
  <si>
    <t>FloatPaymentLag</t>
  </si>
  <si>
    <t>FloatStubType</t>
  </si>
  <si>
    <t>DiscountCurve</t>
  </si>
  <si>
    <t>FloatSpread</t>
  </si>
  <si>
    <t>Maturity</t>
  </si>
  <si>
    <t>Libor Fixing Table</t>
  </si>
  <si>
    <t>Money Market O/N and T/N Conventions</t>
  </si>
  <si>
    <t>EomDay</t>
  </si>
  <si>
    <t>basis.interpolation</t>
  </si>
  <si>
    <t>isFwdBasis</t>
  </si>
  <si>
    <t>dfCurveName</t>
  </si>
  <si>
    <t>PaymentDate</t>
  </si>
  <si>
    <t>FixingDate</t>
  </si>
  <si>
    <t>Curve Static Data Defaults</t>
  </si>
  <si>
    <t>EUR OIS Configuration</t>
  </si>
  <si>
    <t>CurveLoaded?</t>
  </si>
  <si>
    <t>Libor Fixing Conventions</t>
  </si>
  <si>
    <t>EUR 6ML Configuration</t>
  </si>
  <si>
    <t>COB</t>
  </si>
  <si>
    <t>Periodicity</t>
  </si>
  <si>
    <t>EUR3ML</t>
  </si>
  <si>
    <t>Curve Settings</t>
  </si>
  <si>
    <t>Chart Settings</t>
  </si>
  <si>
    <t>2M</t>
  </si>
  <si>
    <t>EUROIS</t>
  </si>
  <si>
    <t>Forward Rates</t>
  </si>
  <si>
    <t>Discount Factors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</si>
</sst>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_-* #,##0_-;\-* #,##0_-;_-* &quot;-&quot;_-;_-@_-"/>
    <numFmt numFmtId="165" formatCode="0.000%"/>
    <numFmt numFmtId="166" formatCode="0.00000%"/>
    <numFmt numFmtId="167" formatCode="#,##0.0000"/>
    <numFmt numFmtId="168" formatCode="ddd\ d\-mmm\-yy"/>
    <numFmt numFmtId="169" formatCode="#,##0_ ;[Red]\-#,##0\ "/>
    <numFmt numFmtId="170" formatCode="0.00000%;[Red]\-0.00000%"/>
    <numFmt numFmtId="171" formatCode="#,##0.000"/>
    <numFmt numFmtId="174" formatCode="#,##0.000000"/>
    <numFmt numFmtId="176" formatCode="ddd\,\ d\-mmm\-yy"/>
    <numFmt numFmtId="178" formatCode="0.0000%"/>
  </numFmts>
  <fonts count="2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Times New Roman"/>
      <family val="1"/>
    </font>
    <font>
      <b/>
      <sz val="11"/>
      <color rgb="FF006600"/>
      <name val="Calibri"/>
      <family val="2"/>
      <scheme val="minor"/>
    </font>
    <font>
      <i/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  <font>
      <i/>
      <u/>
      <sz val="12"/>
      <color indexed="12"/>
      <name val="Tahoma"/>
      <family val="2"/>
    </font>
    <font>
      <sz val="11"/>
      <color theme="1"/>
      <name val="Calibri"/>
      <family val="2"/>
      <scheme val="minor"/>
    </font>
    <font>
      <u/>
      <sz val="12"/>
      <color indexed="12"/>
      <name val="Tahoma"/>
      <family val="2"/>
    </font>
    <font>
      <u/>
      <sz val="12"/>
      <color indexed="39"/>
      <name val="Tahoma"/>
      <family val="2"/>
    </font>
    <font>
      <sz val="20"/>
      <color rgb="FF0000FF"/>
      <name val="Calibri"/>
      <family val="2"/>
      <scheme val="minor"/>
    </font>
    <font>
      <sz val="20"/>
      <name val="Calibri"/>
      <family val="2"/>
      <scheme val="minor"/>
    </font>
    <font>
      <sz val="18"/>
      <name val="Calibri"/>
      <family val="2"/>
      <scheme val="minor"/>
    </font>
    <font>
      <sz val="18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</fills>
  <borders count="33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dotted">
        <color theme="0" tint="-0.24994659260841701"/>
      </bottom>
      <diagonal/>
    </border>
    <border>
      <left/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tted">
        <color theme="0" tint="-0.2499465926084170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8764000366222"/>
      </top>
      <bottom/>
      <diagonal/>
    </border>
  </borders>
  <cellStyleXfs count="3">
    <xf numFmtId="0" fontId="0" fillId="0" borderId="0"/>
    <xf numFmtId="0" fontId="10" fillId="0" borderId="0">
      <alignment vertical="center"/>
    </xf>
    <xf numFmtId="164" fontId="17" fillId="0" borderId="0" applyFont="0" applyFill="0" applyBorder="0" applyAlignment="0" applyProtection="0"/>
  </cellStyleXfs>
  <cellXfs count="230">
    <xf numFmtId="0" fontId="0" fillId="0" borderId="0" xfId="0"/>
    <xf numFmtId="0" fontId="0" fillId="2" borderId="5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9" xfId="0" applyFill="1" applyBorder="1"/>
    <xf numFmtId="0" fontId="4" fillId="2" borderId="0" xfId="0" applyFont="1" applyFill="1" applyBorder="1"/>
    <xf numFmtId="0" fontId="0" fillId="2" borderId="0" xfId="0" applyFill="1" applyBorder="1"/>
    <xf numFmtId="0" fontId="0" fillId="2" borderId="10" xfId="0" applyFill="1" applyBorder="1"/>
    <xf numFmtId="0" fontId="8" fillId="2" borderId="0" xfId="0" applyFont="1" applyFill="1" applyBorder="1"/>
    <xf numFmtId="0" fontId="6" fillId="2" borderId="0" xfId="0" applyFont="1" applyFill="1" applyBorder="1"/>
    <xf numFmtId="0" fontId="0" fillId="2" borderId="14" xfId="0" applyFill="1" applyBorder="1"/>
    <xf numFmtId="0" fontId="0" fillId="2" borderId="12" xfId="0" applyFill="1" applyBorder="1"/>
    <xf numFmtId="0" fontId="0" fillId="2" borderId="13" xfId="0" applyFill="1" applyBorder="1"/>
    <xf numFmtId="165" fontId="9" fillId="0" borderId="0" xfId="0" applyNumberFormat="1" applyFont="1" applyFill="1" applyBorder="1" applyAlignment="1">
      <alignment horizontal="center" vertical="center"/>
    </xf>
    <xf numFmtId="15" fontId="9" fillId="0" borderId="0" xfId="0" applyNumberFormat="1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 vertical="center"/>
    </xf>
    <xf numFmtId="0" fontId="9" fillId="0" borderId="14" xfId="0" applyFont="1" applyFill="1" applyBorder="1" applyAlignment="1">
      <alignment horizontal="center" vertical="center"/>
    </xf>
    <xf numFmtId="165" fontId="9" fillId="0" borderId="12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6" fillId="0" borderId="4" xfId="0" applyFont="1" applyFill="1" applyBorder="1" applyAlignment="1">
      <alignment vertical="center"/>
    </xf>
    <xf numFmtId="0" fontId="6" fillId="0" borderId="4" xfId="0" applyFont="1" applyFill="1" applyBorder="1"/>
    <xf numFmtId="0" fontId="6" fillId="0" borderId="4" xfId="0" applyFont="1" applyFill="1" applyBorder="1" applyAlignment="1"/>
    <xf numFmtId="0" fontId="0" fillId="0" borderId="11" xfId="0" applyFont="1" applyFill="1" applyBorder="1"/>
    <xf numFmtId="0" fontId="9" fillId="0" borderId="3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11" fontId="9" fillId="0" borderId="10" xfId="0" applyNumberFormat="1" applyFont="1" applyFill="1" applyBorder="1" applyAlignment="1">
      <alignment horizontal="center" vertical="center"/>
    </xf>
    <xf numFmtId="0" fontId="9" fillId="0" borderId="13" xfId="0" applyFont="1" applyFill="1" applyBorder="1"/>
    <xf numFmtId="15" fontId="9" fillId="0" borderId="10" xfId="0" applyNumberFormat="1" applyFont="1" applyFill="1" applyBorder="1" applyAlignment="1">
      <alignment horizontal="center" vertical="center"/>
    </xf>
    <xf numFmtId="15" fontId="9" fillId="0" borderId="12" xfId="0" applyNumberFormat="1" applyFont="1" applyFill="1" applyBorder="1" applyAlignment="1">
      <alignment horizontal="center" vertical="center"/>
    </xf>
    <xf numFmtId="15" fontId="9" fillId="0" borderId="13" xfId="0" applyNumberFormat="1" applyFont="1" applyFill="1" applyBorder="1" applyAlignment="1">
      <alignment horizontal="center" vertical="center"/>
    </xf>
    <xf numFmtId="0" fontId="6" fillId="0" borderId="11" xfId="0" applyFont="1" applyFill="1" applyBorder="1"/>
    <xf numFmtId="0" fontId="4" fillId="2" borderId="2" xfId="0" applyFont="1" applyFill="1" applyBorder="1"/>
    <xf numFmtId="0" fontId="5" fillId="2" borderId="2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7" fillId="2" borderId="12" xfId="0" applyFont="1" applyFill="1" applyBorder="1"/>
    <xf numFmtId="0" fontId="7" fillId="2" borderId="0" xfId="0" applyFont="1" applyFill="1" applyBorder="1"/>
    <xf numFmtId="165" fontId="9" fillId="0" borderId="10" xfId="0" applyNumberFormat="1" applyFont="1" applyFill="1" applyBorder="1" applyAlignment="1">
      <alignment horizontal="center" vertical="center"/>
    </xf>
    <xf numFmtId="165" fontId="9" fillId="0" borderId="13" xfId="0" applyNumberFormat="1" applyFont="1" applyFill="1" applyBorder="1" applyAlignment="1">
      <alignment horizontal="center" vertical="center"/>
    </xf>
    <xf numFmtId="0" fontId="6" fillId="2" borderId="10" xfId="0" applyFont="1" applyFill="1" applyBorder="1"/>
    <xf numFmtId="0" fontId="5" fillId="0" borderId="0" xfId="0" applyFont="1"/>
    <xf numFmtId="0" fontId="3" fillId="2" borderId="12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0" fillId="0" borderId="0" xfId="0" quotePrefix="1"/>
    <xf numFmtId="0" fontId="11" fillId="2" borderId="10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horizontal="center" vertical="center"/>
    </xf>
    <xf numFmtId="10" fontId="9" fillId="0" borderId="10" xfId="0" applyNumberFormat="1" applyFont="1" applyFill="1" applyBorder="1" applyAlignment="1">
      <alignment horizontal="center" vertical="center"/>
    </xf>
    <xf numFmtId="166" fontId="9" fillId="0" borderId="3" xfId="0" applyNumberFormat="1" applyFont="1" applyFill="1" applyBorder="1" applyAlignment="1">
      <alignment horizontal="center" vertical="center"/>
    </xf>
    <xf numFmtId="166" fontId="9" fillId="0" borderId="10" xfId="0" applyNumberFormat="1" applyFont="1" applyFill="1" applyBorder="1" applyAlignment="1">
      <alignment horizontal="center" vertical="center"/>
    </xf>
    <xf numFmtId="166" fontId="9" fillId="0" borderId="13" xfId="0" applyNumberFormat="1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4" fontId="9" fillId="0" borderId="9" xfId="1" quotePrefix="1" applyNumberFormat="1" applyFont="1" applyFill="1" applyBorder="1" applyAlignment="1">
      <alignment horizontal="center" vertical="center"/>
    </xf>
    <xf numFmtId="15" fontId="9" fillId="0" borderId="0" xfId="1" quotePrefix="1" applyNumberFormat="1" applyFont="1" applyFill="1" applyBorder="1" applyAlignment="1">
      <alignment horizontal="center" vertical="center"/>
    </xf>
    <xf numFmtId="167" fontId="9" fillId="0" borderId="0" xfId="2" quotePrefix="1" applyNumberFormat="1" applyFont="1" applyFill="1" applyBorder="1" applyAlignment="1">
      <alignment horizontal="center" vertical="center"/>
    </xf>
    <xf numFmtId="165" fontId="9" fillId="0" borderId="10" xfId="2" quotePrefix="1" applyNumberFormat="1" applyFont="1" applyFill="1" applyBorder="1" applyAlignment="1">
      <alignment horizontal="center" vertical="center"/>
    </xf>
    <xf numFmtId="166" fontId="9" fillId="0" borderId="9" xfId="1" quotePrefix="1" applyNumberFormat="1" applyFont="1" applyFill="1" applyBorder="1" applyAlignment="1">
      <alignment horizontal="center" vertical="center"/>
    </xf>
    <xf numFmtId="166" fontId="9" fillId="0" borderId="9" xfId="1" applyNumberFormat="1" applyFont="1" applyFill="1" applyBorder="1" applyAlignment="1">
      <alignment horizontal="center" vertical="center"/>
    </xf>
    <xf numFmtId="15" fontId="9" fillId="0" borderId="0" xfId="1" applyNumberFormat="1" applyFont="1" applyFill="1" applyBorder="1" applyAlignment="1">
      <alignment horizontal="center" vertical="center"/>
    </xf>
    <xf numFmtId="167" fontId="9" fillId="0" borderId="0" xfId="2" applyNumberFormat="1" applyFont="1" applyFill="1" applyBorder="1" applyAlignment="1">
      <alignment horizontal="center" vertical="center"/>
    </xf>
    <xf numFmtId="165" fontId="9" fillId="0" borderId="10" xfId="2" applyNumberFormat="1" applyFont="1" applyFill="1" applyBorder="1" applyAlignment="1">
      <alignment horizontal="center" vertical="center"/>
    </xf>
    <xf numFmtId="0" fontId="9" fillId="0" borderId="9" xfId="1" applyFont="1" applyFill="1" applyBorder="1" applyAlignment="1">
      <alignment horizontal="center" vertical="center"/>
    </xf>
    <xf numFmtId="167" fontId="9" fillId="0" borderId="0" xfId="1" applyNumberFormat="1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/>
    </xf>
    <xf numFmtId="15" fontId="9" fillId="0" borderId="0" xfId="0" applyNumberFormat="1" applyFont="1" applyFill="1" applyBorder="1" applyAlignment="1">
      <alignment horizontal="center"/>
    </xf>
    <xf numFmtId="165" fontId="9" fillId="0" borderId="10" xfId="0" applyNumberFormat="1" applyFont="1" applyFill="1" applyBorder="1" applyAlignment="1">
      <alignment horizontal="center"/>
    </xf>
    <xf numFmtId="0" fontId="9" fillId="0" borderId="14" xfId="0" applyFont="1" applyFill="1" applyBorder="1" applyAlignment="1">
      <alignment horizontal="center"/>
    </xf>
    <xf numFmtId="15" fontId="9" fillId="0" borderId="12" xfId="0" applyNumberFormat="1" applyFont="1" applyFill="1" applyBorder="1" applyAlignment="1">
      <alignment horizontal="center"/>
    </xf>
    <xf numFmtId="167" fontId="9" fillId="0" borderId="12" xfId="1" applyNumberFormat="1" applyFont="1" applyFill="1" applyBorder="1" applyAlignment="1">
      <alignment horizontal="center" vertical="center"/>
    </xf>
    <xf numFmtId="165" fontId="9" fillId="0" borderId="13" xfId="0" applyNumberFormat="1" applyFont="1" applyFill="1" applyBorder="1" applyAlignment="1">
      <alignment horizontal="center"/>
    </xf>
    <xf numFmtId="0" fontId="0" fillId="2" borderId="12" xfId="0" applyFont="1" applyFill="1" applyBorder="1" applyAlignment="1">
      <alignment horizontal="center" vertical="center"/>
    </xf>
    <xf numFmtId="166" fontId="9" fillId="0" borderId="2" xfId="0" applyNumberFormat="1" applyFont="1" applyFill="1" applyBorder="1" applyAlignment="1">
      <alignment horizontal="center" vertical="center"/>
    </xf>
    <xf numFmtId="166" fontId="9" fillId="0" borderId="0" xfId="0" applyNumberFormat="1" applyFont="1" applyFill="1" applyBorder="1" applyAlignment="1">
      <alignment horizontal="center" vertical="center"/>
    </xf>
    <xf numFmtId="166" fontId="9" fillId="0" borderId="12" xfId="0" applyNumberFormat="1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center"/>
    </xf>
    <xf numFmtId="0" fontId="9" fillId="0" borderId="4" xfId="0" applyFont="1" applyFill="1" applyBorder="1" applyAlignment="1">
      <alignment vertical="center"/>
    </xf>
    <xf numFmtId="0" fontId="11" fillId="0" borderId="10" xfId="0" applyFont="1" applyFill="1" applyBorder="1" applyAlignment="1">
      <alignment horizontal="center" vertical="center"/>
    </xf>
    <xf numFmtId="3" fontId="9" fillId="0" borderId="10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9" fillId="0" borderId="11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6" fillId="0" borderId="16" xfId="0" applyFont="1" applyFill="1" applyBorder="1" applyAlignment="1">
      <alignment vertical="center"/>
    </xf>
    <xf numFmtId="0" fontId="9" fillId="0" borderId="18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vertical="center"/>
    </xf>
    <xf numFmtId="0" fontId="5" fillId="0" borderId="19" xfId="0" applyFont="1" applyFill="1" applyBorder="1" applyAlignment="1">
      <alignment horizontal="center" vertical="center"/>
    </xf>
    <xf numFmtId="0" fontId="11" fillId="2" borderId="16" xfId="0" applyFont="1" applyFill="1" applyBorder="1" applyAlignment="1">
      <alignment horizontal="center" vertical="center"/>
    </xf>
    <xf numFmtId="0" fontId="7" fillId="0" borderId="4" xfId="0" applyFont="1" applyFill="1" applyBorder="1" applyAlignment="1">
      <alignment vertical="center"/>
    </xf>
    <xf numFmtId="0" fontId="0" fillId="2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2" fillId="0" borderId="0" xfId="0" applyFont="1"/>
    <xf numFmtId="0" fontId="23" fillId="0" borderId="0" xfId="0" applyFont="1" applyAlignment="1">
      <alignment horizontal="center" vertical="center"/>
    </xf>
    <xf numFmtId="3" fontId="0" fillId="0" borderId="0" xfId="0" applyNumberFormat="1"/>
    <xf numFmtId="0" fontId="0" fillId="3" borderId="20" xfId="0" applyNumberFormat="1" applyFill="1" applyBorder="1" applyAlignment="1">
      <alignment horizontal="center" vertical="top" wrapText="1"/>
    </xf>
    <xf numFmtId="0" fontId="0" fillId="3" borderId="21" xfId="0" applyNumberFormat="1" applyFill="1" applyBorder="1" applyAlignment="1">
      <alignment horizontal="center" vertical="top" wrapText="1"/>
    </xf>
    <xf numFmtId="0" fontId="0" fillId="3" borderId="21" xfId="0" applyNumberFormat="1" applyFill="1" applyBorder="1" applyAlignment="1">
      <alignment horizontal="center" vertical="center" wrapText="1"/>
    </xf>
    <xf numFmtId="0" fontId="0" fillId="3" borderId="22" xfId="0" applyNumberFormat="1" applyFill="1" applyBorder="1" applyAlignment="1">
      <alignment horizontal="center" vertical="center" wrapText="1"/>
    </xf>
    <xf numFmtId="0" fontId="8" fillId="0" borderId="0" xfId="0" applyFont="1"/>
    <xf numFmtId="0" fontId="0" fillId="0" borderId="0" xfId="0" quotePrefix="1" applyFont="1" applyFill="1" applyBorder="1" applyAlignment="1">
      <alignment horizontal="center" vertical="center"/>
    </xf>
    <xf numFmtId="3" fontId="0" fillId="0" borderId="0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166" fontId="6" fillId="0" borderId="0" xfId="0" applyNumberFormat="1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9" fillId="2" borderId="0" xfId="0" applyFont="1" applyFill="1" applyBorder="1" applyAlignment="1">
      <alignment horizontal="center"/>
    </xf>
    <xf numFmtId="166" fontId="9" fillId="2" borderId="0" xfId="0" applyNumberFormat="1" applyFont="1" applyFill="1" applyBorder="1" applyAlignment="1">
      <alignment horizontal="center"/>
    </xf>
    <xf numFmtId="166" fontId="0" fillId="2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3" fontId="0" fillId="0" borderId="26" xfId="0" applyNumberFormat="1" applyFill="1" applyBorder="1" applyAlignment="1">
      <alignment horizontal="center" vertical="center"/>
    </xf>
    <xf numFmtId="0" fontId="0" fillId="0" borderId="26" xfId="0" applyFill="1" applyBorder="1" applyAlignment="1">
      <alignment horizontal="center"/>
    </xf>
    <xf numFmtId="166" fontId="6" fillId="0" borderId="26" xfId="0" applyNumberFormat="1" applyFont="1" applyFill="1" applyBorder="1" applyAlignment="1">
      <alignment horizontal="center" vertical="center"/>
    </xf>
    <xf numFmtId="0" fontId="0" fillId="2" borderId="26" xfId="0" applyFill="1" applyBorder="1" applyAlignment="1">
      <alignment horizontal="center"/>
    </xf>
    <xf numFmtId="0" fontId="9" fillId="2" borderId="26" xfId="0" applyFont="1" applyFill="1" applyBorder="1" applyAlignment="1">
      <alignment horizontal="center"/>
    </xf>
    <xf numFmtId="166" fontId="9" fillId="2" borderId="26" xfId="0" applyNumberFormat="1" applyFont="1" applyFill="1" applyBorder="1" applyAlignment="1">
      <alignment horizontal="center"/>
    </xf>
    <xf numFmtId="166" fontId="0" fillId="2" borderId="26" xfId="0" applyNumberFormat="1" applyFill="1" applyBorder="1" applyAlignment="1">
      <alignment horizontal="center"/>
    </xf>
    <xf numFmtId="0" fontId="0" fillId="0" borderId="4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170" fontId="9" fillId="0" borderId="4" xfId="0" applyNumberFormat="1" applyFont="1" applyFill="1" applyBorder="1" applyAlignment="1">
      <alignment horizontal="center" vertical="center"/>
    </xf>
    <xf numFmtId="170" fontId="9" fillId="0" borderId="11" xfId="0" applyNumberFormat="1" applyFont="1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8" xfId="0" quotePrefix="1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71" fontId="9" fillId="0" borderId="4" xfId="0" applyNumberFormat="1" applyFont="1" applyFill="1" applyBorder="1" applyAlignment="1">
      <alignment horizontal="center" vertical="center"/>
    </xf>
    <xf numFmtId="0" fontId="12" fillId="0" borderId="0" xfId="0" applyFont="1"/>
    <xf numFmtId="0" fontId="5" fillId="0" borderId="0" xfId="0" applyFont="1"/>
    <xf numFmtId="0" fontId="5" fillId="0" borderId="0" xfId="0" applyFont="1"/>
    <xf numFmtId="170" fontId="0" fillId="0" borderId="0" xfId="0" applyNumberFormat="1"/>
    <xf numFmtId="3" fontId="0" fillId="0" borderId="0" xfId="0" applyNumberFormat="1" applyFill="1" applyBorder="1" applyAlignment="1">
      <alignment horizontal="center"/>
    </xf>
    <xf numFmtId="168" fontId="6" fillId="0" borderId="0" xfId="0" applyNumberFormat="1" applyFont="1" applyFill="1" applyBorder="1" applyAlignment="1">
      <alignment horizontal="center" vertical="center"/>
    </xf>
    <xf numFmtId="0" fontId="0" fillId="2" borderId="0" xfId="0" quotePrefix="1" applyFill="1" applyBorder="1" applyAlignment="1">
      <alignment horizontal="center" vertical="center"/>
    </xf>
    <xf numFmtId="168" fontId="9" fillId="2" borderId="0" xfId="0" applyNumberFormat="1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  <xf numFmtId="0" fontId="6" fillId="2" borderId="0" xfId="0" quotePrefix="1" applyFont="1" applyFill="1" applyBorder="1" applyAlignment="1">
      <alignment horizontal="center" vertical="center"/>
    </xf>
    <xf numFmtId="166" fontId="9" fillId="2" borderId="0" xfId="0" applyNumberFormat="1" applyFont="1" applyFill="1" applyBorder="1" applyAlignment="1">
      <alignment horizontal="center" vertical="center"/>
    </xf>
    <xf numFmtId="166" fontId="6" fillId="2" borderId="0" xfId="0" applyNumberFormat="1" applyFont="1" applyFill="1" applyBorder="1" applyAlignment="1">
      <alignment horizontal="center" vertical="center"/>
    </xf>
    <xf numFmtId="4" fontId="9" fillId="2" borderId="0" xfId="0" applyNumberFormat="1" applyFont="1" applyFill="1" applyBorder="1" applyAlignment="1">
      <alignment horizontal="center" vertical="center"/>
    </xf>
    <xf numFmtId="169" fontId="9" fillId="3" borderId="0" xfId="0" applyNumberFormat="1" applyFont="1" applyFill="1" applyBorder="1" applyAlignment="1">
      <alignment horizontal="center" vertical="center"/>
    </xf>
    <xf numFmtId="3" fontId="9" fillId="3" borderId="23" xfId="0" applyNumberFormat="1" applyFont="1" applyFill="1" applyBorder="1" applyAlignment="1">
      <alignment horizontal="center" vertical="center"/>
    </xf>
    <xf numFmtId="168" fontId="6" fillId="0" borderId="26" xfId="0" applyNumberFormat="1" applyFont="1" applyFill="1" applyBorder="1" applyAlignment="1">
      <alignment horizontal="center" vertical="center"/>
    </xf>
    <xf numFmtId="4" fontId="9" fillId="2" borderId="26" xfId="0" applyNumberFormat="1" applyFont="1" applyFill="1" applyBorder="1" applyAlignment="1">
      <alignment horizontal="center" vertical="center"/>
    </xf>
    <xf numFmtId="168" fontId="9" fillId="3" borderId="24" xfId="0" applyNumberFormat="1" applyFont="1" applyFill="1" applyBorder="1" applyAlignment="1">
      <alignment horizontal="center" vertical="center"/>
    </xf>
    <xf numFmtId="170" fontId="9" fillId="2" borderId="23" xfId="0" applyNumberFormat="1" applyFont="1" applyFill="1" applyBorder="1" applyAlignment="1">
      <alignment horizontal="center" vertical="center"/>
    </xf>
    <xf numFmtId="170" fontId="9" fillId="2" borderId="23" xfId="0" applyNumberFormat="1" applyFont="1" applyFill="1" applyBorder="1" applyAlignment="1">
      <alignment horizontal="center"/>
    </xf>
    <xf numFmtId="168" fontId="9" fillId="3" borderId="25" xfId="0" applyNumberFormat="1" applyFont="1" applyFill="1" applyBorder="1" applyAlignment="1">
      <alignment horizontal="center" vertical="center"/>
    </xf>
    <xf numFmtId="170" fontId="9" fillId="2" borderId="27" xfId="0" applyNumberFormat="1" applyFont="1" applyFill="1" applyBorder="1" applyAlignment="1">
      <alignment horizontal="center"/>
    </xf>
    <xf numFmtId="0" fontId="0" fillId="3" borderId="22" xfId="0" applyNumberFormat="1" applyFill="1" applyBorder="1" applyAlignment="1">
      <alignment horizontal="center" vertical="top" wrapText="1"/>
    </xf>
    <xf numFmtId="0" fontId="0" fillId="3" borderId="20" xfId="0" applyNumberFormat="1" applyFill="1" applyBorder="1" applyAlignment="1">
      <alignment horizontal="center" vertical="center" wrapText="1"/>
    </xf>
    <xf numFmtId="170" fontId="9" fillId="3" borderId="24" xfId="0" applyNumberFormat="1" applyFont="1" applyFill="1" applyBorder="1" applyAlignment="1">
      <alignment horizontal="center" vertical="center"/>
    </xf>
    <xf numFmtId="171" fontId="9" fillId="0" borderId="11" xfId="0" applyNumberFormat="1" applyFont="1" applyFill="1" applyBorder="1" applyAlignment="1">
      <alignment horizontal="center" vertical="center"/>
    </xf>
    <xf numFmtId="168" fontId="0" fillId="0" borderId="0" xfId="0" quotePrefix="1" applyNumberFormat="1" applyFont="1" applyFill="1" applyBorder="1" applyAlignment="1">
      <alignment horizontal="center" vertical="center"/>
    </xf>
    <xf numFmtId="0" fontId="0" fillId="0" borderId="26" xfId="0" applyFill="1" applyBorder="1" applyAlignment="1">
      <alignment horizontal="center" vertical="center"/>
    </xf>
    <xf numFmtId="0" fontId="9" fillId="2" borderId="26" xfId="0" applyFont="1" applyFill="1" applyBorder="1" applyAlignment="1">
      <alignment horizontal="center" vertical="center"/>
    </xf>
    <xf numFmtId="0" fontId="6" fillId="0" borderId="4" xfId="0" applyFont="1" applyFill="1" applyBorder="1" applyAlignment="1">
      <alignment horizontal="left" vertical="center"/>
    </xf>
    <xf numFmtId="0" fontId="9" fillId="0" borderId="0" xfId="0" applyFont="1"/>
    <xf numFmtId="0" fontId="0" fillId="0" borderId="0" xfId="0" applyAlignment="1"/>
    <xf numFmtId="174" fontId="9" fillId="2" borderId="10" xfId="0" applyNumberFormat="1" applyFont="1" applyFill="1" applyBorder="1" applyAlignment="1">
      <alignment horizontal="center" vertical="center"/>
    </xf>
    <xf numFmtId="174" fontId="9" fillId="2" borderId="13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1" fillId="0" borderId="16" xfId="0" applyFont="1" applyFill="1" applyBorder="1" applyAlignment="1">
      <alignment horizontal="center" vertical="center" textRotation="90"/>
    </xf>
    <xf numFmtId="0" fontId="21" fillId="0" borderId="4" xfId="0" applyFont="1" applyBorder="1" applyAlignment="1">
      <alignment horizontal="center" vertical="center" textRotation="90"/>
    </xf>
    <xf numFmtId="0" fontId="21" fillId="0" borderId="17" xfId="0" applyFont="1" applyBorder="1" applyAlignment="1">
      <alignment horizontal="center" vertical="center" textRotation="90"/>
    </xf>
    <xf numFmtId="0" fontId="20" fillId="0" borderId="16" xfId="0" applyFont="1" applyFill="1" applyBorder="1" applyAlignment="1">
      <alignment horizontal="center" vertical="center" textRotation="90" wrapText="1"/>
    </xf>
    <xf numFmtId="0" fontId="20" fillId="0" borderId="4" xfId="0" applyFont="1" applyBorder="1" applyAlignment="1">
      <alignment horizontal="center" vertical="center" textRotation="90"/>
    </xf>
    <xf numFmtId="0" fontId="20" fillId="0" borderId="17" xfId="0" applyFont="1" applyBorder="1" applyAlignment="1">
      <alignment horizontal="center" vertical="center" textRotation="90"/>
    </xf>
    <xf numFmtId="0" fontId="21" fillId="0" borderId="16" xfId="0" applyFont="1" applyFill="1" applyBorder="1" applyAlignment="1">
      <alignment horizontal="center" vertical="center" textRotation="90" wrapText="1"/>
    </xf>
    <xf numFmtId="0" fontId="21" fillId="0" borderId="4" xfId="0" applyFont="1" applyBorder="1" applyAlignment="1">
      <alignment horizontal="center" vertical="center" textRotation="90" wrapText="1"/>
    </xf>
    <xf numFmtId="0" fontId="21" fillId="0" borderId="11" xfId="0" applyFont="1" applyBorder="1" applyAlignment="1">
      <alignment horizontal="center" vertical="center" textRotation="90" wrapText="1"/>
    </xf>
    <xf numFmtId="169" fontId="2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0" fontId="6" fillId="0" borderId="9" xfId="0" applyFont="1" applyFill="1" applyBorder="1" applyAlignment="1">
      <alignment vertical="center"/>
    </xf>
    <xf numFmtId="0" fontId="0" fillId="0" borderId="0" xfId="0" applyBorder="1"/>
    <xf numFmtId="0" fontId="5" fillId="2" borderId="0" xfId="0" applyFont="1" applyFill="1" applyBorder="1"/>
    <xf numFmtId="0" fontId="6" fillId="0" borderId="28" xfId="0" applyFont="1" applyFill="1" applyBorder="1" applyAlignment="1">
      <alignment vertical="center"/>
    </xf>
    <xf numFmtId="0" fontId="6" fillId="0" borderId="29" xfId="0" applyFont="1" applyFill="1" applyBorder="1" applyAlignment="1">
      <alignment vertical="center"/>
    </xf>
    <xf numFmtId="0" fontId="9" fillId="0" borderId="29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/>
    </xf>
    <xf numFmtId="0" fontId="9" fillId="0" borderId="4" xfId="0" applyNumberFormat="1" applyFont="1" applyFill="1" applyBorder="1" applyAlignment="1">
      <alignment horizontal="center" vertical="center"/>
    </xf>
    <xf numFmtId="11" fontId="9" fillId="0" borderId="4" xfId="0" applyNumberFormat="1" applyFont="1" applyFill="1" applyBorder="1" applyAlignment="1">
      <alignment horizontal="center" vertical="center"/>
    </xf>
    <xf numFmtId="0" fontId="5" fillId="2" borderId="5" xfId="0" applyFont="1" applyFill="1" applyBorder="1"/>
    <xf numFmtId="0" fontId="5" fillId="2" borderId="2" xfId="0" applyFont="1" applyFill="1" applyBorder="1"/>
    <xf numFmtId="0" fontId="5" fillId="2" borderId="9" xfId="0" applyFont="1" applyFill="1" applyBorder="1"/>
    <xf numFmtId="0" fontId="13" fillId="0" borderId="1" xfId="0" applyFont="1" applyFill="1" applyBorder="1"/>
    <xf numFmtId="3" fontId="9" fillId="0" borderId="11" xfId="0" applyNumberFormat="1" applyFont="1" applyFill="1" applyBorder="1" applyAlignment="1">
      <alignment horizontal="center" vertical="center"/>
    </xf>
    <xf numFmtId="0" fontId="6" fillId="0" borderId="30" xfId="0" applyFont="1" applyFill="1" applyBorder="1" applyAlignment="1">
      <alignment vertical="center"/>
    </xf>
    <xf numFmtId="0" fontId="11" fillId="2" borderId="30" xfId="0" applyFont="1" applyFill="1" applyBorder="1" applyAlignment="1">
      <alignment horizontal="center" vertical="center"/>
    </xf>
    <xf numFmtId="0" fontId="6" fillId="0" borderId="31" xfId="0" applyFont="1" applyFill="1" applyBorder="1" applyAlignment="1">
      <alignment vertical="center"/>
    </xf>
    <xf numFmtId="0" fontId="9" fillId="0" borderId="31" xfId="0" applyFont="1" applyFill="1" applyBorder="1" applyAlignment="1">
      <alignment horizontal="center" vertical="center"/>
    </xf>
    <xf numFmtId="0" fontId="6" fillId="0" borderId="32" xfId="0" applyFont="1" applyFill="1" applyBorder="1" applyAlignment="1">
      <alignment vertical="center"/>
    </xf>
    <xf numFmtId="15" fontId="9" fillId="0" borderId="32" xfId="0" applyNumberFormat="1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left" vertical="center"/>
    </xf>
    <xf numFmtId="0" fontId="11" fillId="5" borderId="5" xfId="0" applyFont="1" applyFill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15" fontId="9" fillId="0" borderId="14" xfId="0" applyNumberFormat="1" applyFont="1" applyFill="1" applyBorder="1" applyAlignment="1">
      <alignment horizontal="left" vertical="center"/>
    </xf>
    <xf numFmtId="0" fontId="9" fillId="0" borderId="13" xfId="0" applyFont="1" applyFill="1" applyBorder="1" applyAlignment="1">
      <alignment horizontal="center" vertical="center"/>
    </xf>
    <xf numFmtId="0" fontId="9" fillId="0" borderId="11" xfId="0" applyFont="1" applyFill="1" applyBorder="1" applyAlignment="1">
      <alignment vertical="center"/>
    </xf>
    <xf numFmtId="3" fontId="9" fillId="0" borderId="13" xfId="0" applyNumberFormat="1" applyFont="1" applyFill="1" applyBorder="1" applyAlignment="1">
      <alignment horizontal="center" vertical="center"/>
    </xf>
    <xf numFmtId="15" fontId="9" fillId="0" borderId="9" xfId="0" applyNumberFormat="1" applyFont="1" applyFill="1" applyBorder="1" applyAlignment="1">
      <alignment horizontal="left" vertical="center"/>
    </xf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6" fillId="2" borderId="3" xfId="0" applyFont="1" applyFill="1" applyBorder="1"/>
    <xf numFmtId="0" fontId="6" fillId="0" borderId="11" xfId="0" applyFont="1" applyFill="1" applyBorder="1" applyAlignment="1">
      <alignment horizontal="left" vertical="center"/>
    </xf>
    <xf numFmtId="15" fontId="9" fillId="0" borderId="11" xfId="0" applyNumberFormat="1" applyFont="1" applyFill="1" applyBorder="1" applyAlignment="1">
      <alignment horizontal="left" vertical="center"/>
    </xf>
    <xf numFmtId="15" fontId="9" fillId="0" borderId="4" xfId="0" applyNumberFormat="1" applyFont="1" applyFill="1" applyBorder="1" applyAlignment="1">
      <alignment horizontal="left" vertical="center"/>
    </xf>
    <xf numFmtId="176" fontId="0" fillId="5" borderId="1" xfId="0" applyNumberForma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0" fillId="2" borderId="1" xfId="0" applyFill="1" applyBorder="1"/>
    <xf numFmtId="0" fontId="0" fillId="2" borderId="11" xfId="0" applyFill="1" applyBorder="1"/>
    <xf numFmtId="176" fontId="9" fillId="0" borderId="28" xfId="0" applyNumberFormat="1" applyFont="1" applyFill="1" applyBorder="1" applyAlignment="1">
      <alignment horizontal="center" vertical="center"/>
    </xf>
    <xf numFmtId="0" fontId="2" fillId="0" borderId="0" xfId="0" applyFont="1" applyAlignment="1"/>
    <xf numFmtId="0" fontId="0" fillId="2" borderId="6" xfId="0" applyFill="1" applyBorder="1" applyAlignment="1"/>
    <xf numFmtId="0" fontId="0" fillId="4" borderId="8" xfId="0" applyFill="1" applyBorder="1" applyAlignment="1">
      <alignment horizontal="center" vertical="center"/>
    </xf>
    <xf numFmtId="0" fontId="2" fillId="5" borderId="0" xfId="0" applyFont="1" applyFill="1" applyBorder="1" applyAlignment="1"/>
    <xf numFmtId="0" fontId="0" fillId="2" borderId="15" xfId="0" applyFill="1" applyBorder="1" applyAlignment="1"/>
    <xf numFmtId="176" fontId="9" fillId="2" borderId="5" xfId="0" applyNumberFormat="1" applyFont="1" applyFill="1" applyBorder="1" applyAlignment="1">
      <alignment horizontal="center" vertical="center"/>
    </xf>
    <xf numFmtId="178" fontId="9" fillId="2" borderId="2" xfId="0" applyNumberFormat="1" applyFont="1" applyFill="1" applyBorder="1" applyAlignment="1">
      <alignment horizontal="center" vertical="center"/>
    </xf>
    <xf numFmtId="178" fontId="9" fillId="2" borderId="3" xfId="0" applyNumberFormat="1" applyFont="1" applyFill="1" applyBorder="1" applyAlignment="1">
      <alignment horizontal="center" vertical="center"/>
    </xf>
    <xf numFmtId="176" fontId="9" fillId="2" borderId="9" xfId="0" applyNumberFormat="1" applyFont="1" applyFill="1" applyBorder="1" applyAlignment="1">
      <alignment horizontal="center" vertical="center"/>
    </xf>
    <xf numFmtId="178" fontId="9" fillId="2" borderId="0" xfId="0" applyNumberFormat="1" applyFont="1" applyFill="1" applyBorder="1" applyAlignment="1">
      <alignment horizontal="center" vertical="center"/>
    </xf>
    <xf numFmtId="178" fontId="9" fillId="2" borderId="10" xfId="0" applyNumberFormat="1" applyFont="1" applyFill="1" applyBorder="1" applyAlignment="1">
      <alignment horizontal="center" vertical="center"/>
    </xf>
    <xf numFmtId="176" fontId="9" fillId="2" borderId="14" xfId="0" applyNumberFormat="1" applyFont="1" applyFill="1" applyBorder="1" applyAlignment="1">
      <alignment horizontal="center" vertical="center"/>
    </xf>
    <xf numFmtId="178" fontId="9" fillId="2" borderId="12" xfId="0" applyNumberFormat="1" applyFont="1" applyFill="1" applyBorder="1" applyAlignment="1">
      <alignment horizontal="center" vertical="center"/>
    </xf>
    <xf numFmtId="178" fontId="9" fillId="2" borderId="13" xfId="0" applyNumberFormat="1" applyFont="1" applyFill="1" applyBorder="1" applyAlignment="1">
      <alignment horizontal="center" vertical="center"/>
    </xf>
    <xf numFmtId="174" fontId="9" fillId="2" borderId="3" xfId="0" applyNumberFormat="1" applyFont="1" applyFill="1" applyBorder="1" applyAlignment="1">
      <alignment horizontal="center" vertical="center"/>
    </xf>
  </cellXfs>
  <cellStyles count="3">
    <cellStyle name="Comma [0]" xfId="2" builtinId="6"/>
    <cellStyle name="Normal" xfId="0" builtinId="0"/>
    <cellStyle name="標準_Input_OutPut20060417" xfId="1"/>
  </cellStyles>
  <dxfs count="0"/>
  <tableStyles count="0" defaultTableStyle="TableStyleMedium2" defaultPivotStyle="PivotStyleLight16"/>
  <colors>
    <mruColors>
      <color rgb="FF006600"/>
      <color rgb="FFFF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Forward Rates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'Forwards &amp; DiscountFactors'!$C$6</c:f>
              <c:strCache>
                <c:ptCount val="1"/>
                <c:pt idx="0">
                  <c:v>EUR6ML</c:v>
                </c:pt>
              </c:strCache>
            </c:strRef>
          </c:tx>
          <c:marker>
            <c:symbol val="none"/>
          </c:marker>
          <c:cat>
            <c:numRef>
              <c:f>'Forwards &amp; DiscountFactors'!$B$7:$B$101</c:f>
              <c:numCache>
                <c:formatCode>ddd\,\ d\-mmm\-yy</c:formatCode>
                <c:ptCount val="95"/>
                <c:pt idx="0">
                  <c:v>42419</c:v>
                </c:pt>
                <c:pt idx="1">
                  <c:v>42479</c:v>
                </c:pt>
                <c:pt idx="2">
                  <c:v>42540</c:v>
                </c:pt>
                <c:pt idx="3">
                  <c:v>42601</c:v>
                </c:pt>
                <c:pt idx="4">
                  <c:v>42662</c:v>
                </c:pt>
                <c:pt idx="5">
                  <c:v>42723</c:v>
                </c:pt>
                <c:pt idx="6">
                  <c:v>42785</c:v>
                </c:pt>
                <c:pt idx="7">
                  <c:v>42844</c:v>
                </c:pt>
                <c:pt idx="8">
                  <c:v>42905</c:v>
                </c:pt>
                <c:pt idx="9">
                  <c:v>42966</c:v>
                </c:pt>
                <c:pt idx="10">
                  <c:v>43027</c:v>
                </c:pt>
                <c:pt idx="11">
                  <c:v>43088</c:v>
                </c:pt>
                <c:pt idx="12">
                  <c:v>43150</c:v>
                </c:pt>
                <c:pt idx="13">
                  <c:v>43209</c:v>
                </c:pt>
                <c:pt idx="14">
                  <c:v>43270</c:v>
                </c:pt>
                <c:pt idx="15">
                  <c:v>43331</c:v>
                </c:pt>
                <c:pt idx="16">
                  <c:v>43392</c:v>
                </c:pt>
                <c:pt idx="17">
                  <c:v>43453</c:v>
                </c:pt>
                <c:pt idx="18">
                  <c:v>43515</c:v>
                </c:pt>
                <c:pt idx="19">
                  <c:v>43574</c:v>
                </c:pt>
                <c:pt idx="20">
                  <c:v>43635</c:v>
                </c:pt>
                <c:pt idx="21">
                  <c:v>43696</c:v>
                </c:pt>
                <c:pt idx="22">
                  <c:v>43757</c:v>
                </c:pt>
                <c:pt idx="23">
                  <c:v>43818</c:v>
                </c:pt>
                <c:pt idx="24">
                  <c:v>43880</c:v>
                </c:pt>
                <c:pt idx="25">
                  <c:v>43940</c:v>
                </c:pt>
                <c:pt idx="26">
                  <c:v>44001</c:v>
                </c:pt>
                <c:pt idx="27">
                  <c:v>44062</c:v>
                </c:pt>
                <c:pt idx="28">
                  <c:v>44123</c:v>
                </c:pt>
                <c:pt idx="29">
                  <c:v>44184</c:v>
                </c:pt>
                <c:pt idx="30">
                  <c:v>44246</c:v>
                </c:pt>
                <c:pt idx="31">
                  <c:v>44305</c:v>
                </c:pt>
                <c:pt idx="32">
                  <c:v>44366</c:v>
                </c:pt>
                <c:pt idx="33">
                  <c:v>44427</c:v>
                </c:pt>
                <c:pt idx="34">
                  <c:v>44488</c:v>
                </c:pt>
                <c:pt idx="35">
                  <c:v>44549</c:v>
                </c:pt>
                <c:pt idx="36">
                  <c:v>44611</c:v>
                </c:pt>
                <c:pt idx="37">
                  <c:v>44670</c:v>
                </c:pt>
                <c:pt idx="38">
                  <c:v>44731</c:v>
                </c:pt>
                <c:pt idx="39">
                  <c:v>44792</c:v>
                </c:pt>
                <c:pt idx="40">
                  <c:v>44853</c:v>
                </c:pt>
                <c:pt idx="41">
                  <c:v>44914</c:v>
                </c:pt>
                <c:pt idx="42">
                  <c:v>44976</c:v>
                </c:pt>
                <c:pt idx="43">
                  <c:v>45035</c:v>
                </c:pt>
                <c:pt idx="44">
                  <c:v>45096</c:v>
                </c:pt>
                <c:pt idx="45">
                  <c:v>45157</c:v>
                </c:pt>
                <c:pt idx="46">
                  <c:v>45218</c:v>
                </c:pt>
                <c:pt idx="47">
                  <c:v>45279</c:v>
                </c:pt>
                <c:pt idx="48">
                  <c:v>45341</c:v>
                </c:pt>
                <c:pt idx="49">
                  <c:v>45401</c:v>
                </c:pt>
                <c:pt idx="50">
                  <c:v>45462</c:v>
                </c:pt>
                <c:pt idx="51">
                  <c:v>45523</c:v>
                </c:pt>
                <c:pt idx="52">
                  <c:v>45584</c:v>
                </c:pt>
                <c:pt idx="53">
                  <c:v>45645</c:v>
                </c:pt>
                <c:pt idx="54">
                  <c:v>45707</c:v>
                </c:pt>
                <c:pt idx="55">
                  <c:v>45766</c:v>
                </c:pt>
                <c:pt idx="56">
                  <c:v>45827</c:v>
                </c:pt>
                <c:pt idx="57">
                  <c:v>45888</c:v>
                </c:pt>
                <c:pt idx="58">
                  <c:v>45949</c:v>
                </c:pt>
                <c:pt idx="59">
                  <c:v>46010</c:v>
                </c:pt>
                <c:pt idx="60">
                  <c:v>46072</c:v>
                </c:pt>
                <c:pt idx="61">
                  <c:v>46131</c:v>
                </c:pt>
                <c:pt idx="62">
                  <c:v>46192</c:v>
                </c:pt>
                <c:pt idx="63">
                  <c:v>46253</c:v>
                </c:pt>
                <c:pt idx="64">
                  <c:v>46314</c:v>
                </c:pt>
                <c:pt idx="65">
                  <c:v>46375</c:v>
                </c:pt>
                <c:pt idx="66">
                  <c:v>46437</c:v>
                </c:pt>
                <c:pt idx="67">
                  <c:v>46496</c:v>
                </c:pt>
                <c:pt idx="68">
                  <c:v>46557</c:v>
                </c:pt>
                <c:pt idx="69">
                  <c:v>46618</c:v>
                </c:pt>
                <c:pt idx="70">
                  <c:v>46679</c:v>
                </c:pt>
                <c:pt idx="71">
                  <c:v>46740</c:v>
                </c:pt>
                <c:pt idx="72">
                  <c:v>46802</c:v>
                </c:pt>
                <c:pt idx="73">
                  <c:v>46862</c:v>
                </c:pt>
                <c:pt idx="74">
                  <c:v>46923</c:v>
                </c:pt>
                <c:pt idx="75">
                  <c:v>46984</c:v>
                </c:pt>
                <c:pt idx="76">
                  <c:v>47045</c:v>
                </c:pt>
                <c:pt idx="77">
                  <c:v>47106</c:v>
                </c:pt>
                <c:pt idx="78">
                  <c:v>47168</c:v>
                </c:pt>
                <c:pt idx="79">
                  <c:v>47227</c:v>
                </c:pt>
                <c:pt idx="80">
                  <c:v>47288</c:v>
                </c:pt>
                <c:pt idx="81">
                  <c:v>47349</c:v>
                </c:pt>
                <c:pt idx="82">
                  <c:v>47410</c:v>
                </c:pt>
                <c:pt idx="83">
                  <c:v>47471</c:v>
                </c:pt>
                <c:pt idx="84">
                  <c:v>47533</c:v>
                </c:pt>
                <c:pt idx="85">
                  <c:v>47592</c:v>
                </c:pt>
                <c:pt idx="86">
                  <c:v>47653</c:v>
                </c:pt>
                <c:pt idx="87">
                  <c:v>47714</c:v>
                </c:pt>
                <c:pt idx="88">
                  <c:v>47775</c:v>
                </c:pt>
                <c:pt idx="89">
                  <c:v>47836</c:v>
                </c:pt>
                <c:pt idx="90">
                  <c:v>47898</c:v>
                </c:pt>
                <c:pt idx="91">
                  <c:v>47957</c:v>
                </c:pt>
                <c:pt idx="92">
                  <c:v>48018</c:v>
                </c:pt>
                <c:pt idx="93">
                  <c:v>48079</c:v>
                </c:pt>
                <c:pt idx="94">
                  <c:v>48140</c:v>
                </c:pt>
              </c:numCache>
            </c:numRef>
          </c:cat>
          <c:val>
            <c:numRef>
              <c:f>'Forwards &amp; DiscountFactors'!$C$7:$C$101</c:f>
              <c:numCache>
                <c:formatCode>0.0000%</c:formatCode>
                <c:ptCount val="95"/>
                <c:pt idx="0">
                  <c:v>-1.3100000000000835E-3</c:v>
                </c:pt>
                <c:pt idx="1">
                  <c:v>-1.2919354838709679E-3</c:v>
                </c:pt>
                <c:pt idx="2">
                  <c:v>-1.3248387096774193E-3</c:v>
                </c:pt>
                <c:pt idx="3">
                  <c:v>-1.433103448275862E-3</c:v>
                </c:pt>
                <c:pt idx="4">
                  <c:v>-1.456774193548387E-3</c:v>
                </c:pt>
                <c:pt idx="5">
                  <c:v>-1.4613333333333334E-3</c:v>
                </c:pt>
                <c:pt idx="6">
                  <c:v>-1.4125806451612906E-3</c:v>
                </c:pt>
                <c:pt idx="7">
                  <c:v>-1.3520444712223881E-3</c:v>
                </c:pt>
                <c:pt idx="8">
                  <c:v>-1.2435086808886002E-3</c:v>
                </c:pt>
                <c:pt idx="9">
                  <c:v>-1.097927862139929E-3</c:v>
                </c:pt>
                <c:pt idx="10">
                  <c:v>-9.1830757327726435E-4</c:v>
                </c:pt>
                <c:pt idx="11">
                  <c:v>-7.0213243450516476E-4</c:v>
                </c:pt>
                <c:pt idx="12">
                  <c:v>-4.4914323975129455E-4</c:v>
                </c:pt>
                <c:pt idx="13">
                  <c:v>-1.7576087536644552E-4</c:v>
                </c:pt>
                <c:pt idx="14">
                  <c:v>1.3936920591017872E-4</c:v>
                </c:pt>
                <c:pt idx="15">
                  <c:v>4.761707731564277E-4</c:v>
                </c:pt>
                <c:pt idx="16">
                  <c:v>8.3229337724495176E-4</c:v>
                </c:pt>
                <c:pt idx="17">
                  <c:v>1.2098629725978722E-3</c:v>
                </c:pt>
                <c:pt idx="18">
                  <c:v>1.6068552386489302E-3</c:v>
                </c:pt>
                <c:pt idx="19">
                  <c:v>1.9919431329270976E-3</c:v>
                </c:pt>
                <c:pt idx="20">
                  <c:v>2.4015597528551295E-3</c:v>
                </c:pt>
                <c:pt idx="21">
                  <c:v>2.8272395113252491E-3</c:v>
                </c:pt>
                <c:pt idx="22">
                  <c:v>3.2826615301219399E-3</c:v>
                </c:pt>
                <c:pt idx="23">
                  <c:v>3.7525378389857362E-3</c:v>
                </c:pt>
                <c:pt idx="24">
                  <c:v>4.217673707067761E-3</c:v>
                </c:pt>
                <c:pt idx="25">
                  <c:v>4.6517072785149808E-3</c:v>
                </c:pt>
                <c:pt idx="26">
                  <c:v>5.0829718672259251E-3</c:v>
                </c:pt>
                <c:pt idx="27">
                  <c:v>5.5013775095803961E-3</c:v>
                </c:pt>
                <c:pt idx="28">
                  <c:v>5.8989888649003692E-3</c:v>
                </c:pt>
                <c:pt idx="29">
                  <c:v>6.2794488220442382E-3</c:v>
                </c:pt>
                <c:pt idx="30">
                  <c:v>6.6786118599399371E-3</c:v>
                </c:pt>
                <c:pt idx="31">
                  <c:v>7.0955686623962533E-3</c:v>
                </c:pt>
                <c:pt idx="32">
                  <c:v>7.5470720461564972E-3</c:v>
                </c:pt>
                <c:pt idx="33">
                  <c:v>8.0154571550656219E-3</c:v>
                </c:pt>
                <c:pt idx="34">
                  <c:v>8.5116350305969209E-3</c:v>
                </c:pt>
                <c:pt idx="35">
                  <c:v>9.0203312076539074E-3</c:v>
                </c:pt>
                <c:pt idx="36">
                  <c:v>9.5271065061351846E-3</c:v>
                </c:pt>
                <c:pt idx="37">
                  <c:v>9.9886857743896745E-3</c:v>
                </c:pt>
                <c:pt idx="38">
                  <c:v>1.0461949494947021E-2</c:v>
                </c:pt>
                <c:pt idx="39">
                  <c:v>1.0938300813924494E-2</c:v>
                </c:pt>
                <c:pt idx="40">
                  <c:v>1.1419415758474953E-2</c:v>
                </c:pt>
                <c:pt idx="41">
                  <c:v>1.1904007345966238E-2</c:v>
                </c:pt>
                <c:pt idx="42">
                  <c:v>1.2396755621924781E-2</c:v>
                </c:pt>
                <c:pt idx="43">
                  <c:v>1.2808842891849019E-2</c:v>
                </c:pt>
                <c:pt idx="44">
                  <c:v>1.3204753188205689E-2</c:v>
                </c:pt>
                <c:pt idx="45">
                  <c:v>1.3571240310810239E-2</c:v>
                </c:pt>
                <c:pt idx="46">
                  <c:v>1.389791739470134E-2</c:v>
                </c:pt>
                <c:pt idx="47">
                  <c:v>1.4196197024374838E-2</c:v>
                </c:pt>
                <c:pt idx="48">
                  <c:v>1.4496385660449463E-2</c:v>
                </c:pt>
                <c:pt idx="49">
                  <c:v>1.4786716446171355E-2</c:v>
                </c:pt>
                <c:pt idx="50">
                  <c:v>1.5077663254871157E-2</c:v>
                </c:pt>
                <c:pt idx="51">
                  <c:v>1.5350919745688607E-2</c:v>
                </c:pt>
                <c:pt idx="52">
                  <c:v>1.5596308255400048E-2</c:v>
                </c:pt>
                <c:pt idx="53">
                  <c:v>1.5821854325209078E-2</c:v>
                </c:pt>
                <c:pt idx="54">
                  <c:v>1.6043884072556861E-2</c:v>
                </c:pt>
                <c:pt idx="55">
                  <c:v>1.6251456411182717E-2</c:v>
                </c:pt>
                <c:pt idx="56">
                  <c:v>1.6458689851163801E-2</c:v>
                </c:pt>
                <c:pt idx="57">
                  <c:v>1.6660283197626358E-2</c:v>
                </c:pt>
                <c:pt idx="58">
                  <c:v>1.6859353297562121E-2</c:v>
                </c:pt>
                <c:pt idx="59">
                  <c:v>1.7055490206463932E-2</c:v>
                </c:pt>
                <c:pt idx="60">
                  <c:v>1.7238664154035934E-2</c:v>
                </c:pt>
                <c:pt idx="61">
                  <c:v>1.7387783746843528E-2</c:v>
                </c:pt>
                <c:pt idx="62">
                  <c:v>1.7523988776448601E-2</c:v>
                </c:pt>
                <c:pt idx="63">
                  <c:v>1.7654170726360965E-2</c:v>
                </c:pt>
                <c:pt idx="64">
                  <c:v>1.7784166959113206E-2</c:v>
                </c:pt>
                <c:pt idx="65">
                  <c:v>1.7914157808205874E-2</c:v>
                </c:pt>
                <c:pt idx="66">
                  <c:v>1.8023056717143483E-2</c:v>
                </c:pt>
                <c:pt idx="67">
                  <c:v>1.8031052643139756E-2</c:v>
                </c:pt>
                <c:pt idx="68">
                  <c:v>1.8022146872387033E-2</c:v>
                </c:pt>
                <c:pt idx="69">
                  <c:v>1.8013241101634315E-2</c:v>
                </c:pt>
                <c:pt idx="70">
                  <c:v>1.8001861404097222E-2</c:v>
                </c:pt>
                <c:pt idx="71">
                  <c:v>1.7986824215429395E-2</c:v>
                </c:pt>
                <c:pt idx="72">
                  <c:v>1.7973757701519596E-2</c:v>
                </c:pt>
                <c:pt idx="73">
                  <c:v>1.797384772711744E-2</c:v>
                </c:pt>
                <c:pt idx="74">
                  <c:v>1.7980222372912892E-2</c:v>
                </c:pt>
                <c:pt idx="75">
                  <c:v>1.79883319152217E-2</c:v>
                </c:pt>
                <c:pt idx="76">
                  <c:v>1.7998333898142586E-2</c:v>
                </c:pt>
                <c:pt idx="77">
                  <c:v>1.8010948166719765E-2</c:v>
                </c:pt>
                <c:pt idx="78">
                  <c:v>1.8022052360375691E-2</c:v>
                </c:pt>
                <c:pt idx="79">
                  <c:v>1.802490023858935E-2</c:v>
                </c:pt>
                <c:pt idx="80">
                  <c:v>1.8024850482361864E-2</c:v>
                </c:pt>
                <c:pt idx="81">
                  <c:v>1.8024725367585703E-2</c:v>
                </c:pt>
                <c:pt idx="82">
                  <c:v>1.8024600252809542E-2</c:v>
                </c:pt>
                <c:pt idx="83">
                  <c:v>1.8024475138033381E-2</c:v>
                </c:pt>
                <c:pt idx="84">
                  <c:v>1.8022619613592666E-2</c:v>
                </c:pt>
                <c:pt idx="85">
                  <c:v>1.8010814185053334E-2</c:v>
                </c:pt>
                <c:pt idx="86">
                  <c:v>1.7998436424561042E-2</c:v>
                </c:pt>
                <c:pt idx="87">
                  <c:v>1.7961665150548586E-2</c:v>
                </c:pt>
                <c:pt idx="88">
                  <c:v>1.7734775064787739E-2</c:v>
                </c:pt>
                <c:pt idx="89">
                  <c:v>1.7429006678375568E-2</c:v>
                </c:pt>
                <c:pt idx="90">
                  <c:v>1.7179112331970774E-2</c:v>
                </c:pt>
                <c:pt idx="91">
                  <c:v>1.7091424395903766E-2</c:v>
                </c:pt>
                <c:pt idx="92">
                  <c:v>1.7011736597615946E-2</c:v>
                </c:pt>
                <c:pt idx="93">
                  <c:v>1.692872613521661E-2</c:v>
                </c:pt>
                <c:pt idx="94">
                  <c:v>1.6840593656987715E-2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'Forwards &amp; DiscountFactors'!$D$6</c:f>
              <c:strCache>
                <c:ptCount val="1"/>
                <c:pt idx="0">
                  <c:v>EUR3ML</c:v>
                </c:pt>
              </c:strCache>
            </c:strRef>
          </c:tx>
          <c:marker>
            <c:symbol val="none"/>
          </c:marker>
          <c:cat>
            <c:numRef>
              <c:f>'Forwards &amp; DiscountFactors'!$B$7:$B$101</c:f>
              <c:numCache>
                <c:formatCode>ddd\,\ d\-mmm\-yy</c:formatCode>
                <c:ptCount val="95"/>
                <c:pt idx="0">
                  <c:v>42419</c:v>
                </c:pt>
                <c:pt idx="1">
                  <c:v>42479</c:v>
                </c:pt>
                <c:pt idx="2">
                  <c:v>42540</c:v>
                </c:pt>
                <c:pt idx="3">
                  <c:v>42601</c:v>
                </c:pt>
                <c:pt idx="4">
                  <c:v>42662</c:v>
                </c:pt>
                <c:pt idx="5">
                  <c:v>42723</c:v>
                </c:pt>
                <c:pt idx="6">
                  <c:v>42785</c:v>
                </c:pt>
                <c:pt idx="7">
                  <c:v>42844</c:v>
                </c:pt>
                <c:pt idx="8">
                  <c:v>42905</c:v>
                </c:pt>
                <c:pt idx="9">
                  <c:v>42966</c:v>
                </c:pt>
                <c:pt idx="10">
                  <c:v>43027</c:v>
                </c:pt>
                <c:pt idx="11">
                  <c:v>43088</c:v>
                </c:pt>
                <c:pt idx="12">
                  <c:v>43150</c:v>
                </c:pt>
                <c:pt idx="13">
                  <c:v>43209</c:v>
                </c:pt>
                <c:pt idx="14">
                  <c:v>43270</c:v>
                </c:pt>
                <c:pt idx="15">
                  <c:v>43331</c:v>
                </c:pt>
                <c:pt idx="16">
                  <c:v>43392</c:v>
                </c:pt>
                <c:pt idx="17">
                  <c:v>43453</c:v>
                </c:pt>
                <c:pt idx="18">
                  <c:v>43515</c:v>
                </c:pt>
                <c:pt idx="19">
                  <c:v>43574</c:v>
                </c:pt>
                <c:pt idx="20">
                  <c:v>43635</c:v>
                </c:pt>
                <c:pt idx="21">
                  <c:v>43696</c:v>
                </c:pt>
                <c:pt idx="22">
                  <c:v>43757</c:v>
                </c:pt>
                <c:pt idx="23">
                  <c:v>43818</c:v>
                </c:pt>
                <c:pt idx="24">
                  <c:v>43880</c:v>
                </c:pt>
                <c:pt idx="25">
                  <c:v>43940</c:v>
                </c:pt>
                <c:pt idx="26">
                  <c:v>44001</c:v>
                </c:pt>
                <c:pt idx="27">
                  <c:v>44062</c:v>
                </c:pt>
                <c:pt idx="28">
                  <c:v>44123</c:v>
                </c:pt>
                <c:pt idx="29">
                  <c:v>44184</c:v>
                </c:pt>
                <c:pt idx="30">
                  <c:v>44246</c:v>
                </c:pt>
                <c:pt idx="31">
                  <c:v>44305</c:v>
                </c:pt>
                <c:pt idx="32">
                  <c:v>44366</c:v>
                </c:pt>
                <c:pt idx="33">
                  <c:v>44427</c:v>
                </c:pt>
                <c:pt idx="34">
                  <c:v>44488</c:v>
                </c:pt>
                <c:pt idx="35">
                  <c:v>44549</c:v>
                </c:pt>
                <c:pt idx="36">
                  <c:v>44611</c:v>
                </c:pt>
                <c:pt idx="37">
                  <c:v>44670</c:v>
                </c:pt>
                <c:pt idx="38">
                  <c:v>44731</c:v>
                </c:pt>
                <c:pt idx="39">
                  <c:v>44792</c:v>
                </c:pt>
                <c:pt idx="40">
                  <c:v>44853</c:v>
                </c:pt>
                <c:pt idx="41">
                  <c:v>44914</c:v>
                </c:pt>
                <c:pt idx="42">
                  <c:v>44976</c:v>
                </c:pt>
                <c:pt idx="43">
                  <c:v>45035</c:v>
                </c:pt>
                <c:pt idx="44">
                  <c:v>45096</c:v>
                </c:pt>
                <c:pt idx="45">
                  <c:v>45157</c:v>
                </c:pt>
                <c:pt idx="46">
                  <c:v>45218</c:v>
                </c:pt>
                <c:pt idx="47">
                  <c:v>45279</c:v>
                </c:pt>
                <c:pt idx="48">
                  <c:v>45341</c:v>
                </c:pt>
                <c:pt idx="49">
                  <c:v>45401</c:v>
                </c:pt>
                <c:pt idx="50">
                  <c:v>45462</c:v>
                </c:pt>
                <c:pt idx="51">
                  <c:v>45523</c:v>
                </c:pt>
                <c:pt idx="52">
                  <c:v>45584</c:v>
                </c:pt>
                <c:pt idx="53">
                  <c:v>45645</c:v>
                </c:pt>
                <c:pt idx="54">
                  <c:v>45707</c:v>
                </c:pt>
                <c:pt idx="55">
                  <c:v>45766</c:v>
                </c:pt>
                <c:pt idx="56">
                  <c:v>45827</c:v>
                </c:pt>
                <c:pt idx="57">
                  <c:v>45888</c:v>
                </c:pt>
                <c:pt idx="58">
                  <c:v>45949</c:v>
                </c:pt>
                <c:pt idx="59">
                  <c:v>46010</c:v>
                </c:pt>
                <c:pt idx="60">
                  <c:v>46072</c:v>
                </c:pt>
                <c:pt idx="61">
                  <c:v>46131</c:v>
                </c:pt>
                <c:pt idx="62">
                  <c:v>46192</c:v>
                </c:pt>
                <c:pt idx="63">
                  <c:v>46253</c:v>
                </c:pt>
                <c:pt idx="64">
                  <c:v>46314</c:v>
                </c:pt>
                <c:pt idx="65">
                  <c:v>46375</c:v>
                </c:pt>
                <c:pt idx="66">
                  <c:v>46437</c:v>
                </c:pt>
                <c:pt idx="67">
                  <c:v>46496</c:v>
                </c:pt>
                <c:pt idx="68">
                  <c:v>46557</c:v>
                </c:pt>
                <c:pt idx="69">
                  <c:v>46618</c:v>
                </c:pt>
                <c:pt idx="70">
                  <c:v>46679</c:v>
                </c:pt>
                <c:pt idx="71">
                  <c:v>46740</c:v>
                </c:pt>
                <c:pt idx="72">
                  <c:v>46802</c:v>
                </c:pt>
                <c:pt idx="73">
                  <c:v>46862</c:v>
                </c:pt>
                <c:pt idx="74">
                  <c:v>46923</c:v>
                </c:pt>
                <c:pt idx="75">
                  <c:v>46984</c:v>
                </c:pt>
                <c:pt idx="76">
                  <c:v>47045</c:v>
                </c:pt>
                <c:pt idx="77">
                  <c:v>47106</c:v>
                </c:pt>
                <c:pt idx="78">
                  <c:v>47168</c:v>
                </c:pt>
                <c:pt idx="79">
                  <c:v>47227</c:v>
                </c:pt>
                <c:pt idx="80">
                  <c:v>47288</c:v>
                </c:pt>
                <c:pt idx="81">
                  <c:v>47349</c:v>
                </c:pt>
                <c:pt idx="82">
                  <c:v>47410</c:v>
                </c:pt>
                <c:pt idx="83">
                  <c:v>47471</c:v>
                </c:pt>
                <c:pt idx="84">
                  <c:v>47533</c:v>
                </c:pt>
                <c:pt idx="85">
                  <c:v>47592</c:v>
                </c:pt>
                <c:pt idx="86">
                  <c:v>47653</c:v>
                </c:pt>
                <c:pt idx="87">
                  <c:v>47714</c:v>
                </c:pt>
                <c:pt idx="88">
                  <c:v>47775</c:v>
                </c:pt>
                <c:pt idx="89">
                  <c:v>47836</c:v>
                </c:pt>
                <c:pt idx="90">
                  <c:v>47898</c:v>
                </c:pt>
                <c:pt idx="91">
                  <c:v>47957</c:v>
                </c:pt>
                <c:pt idx="92">
                  <c:v>48018</c:v>
                </c:pt>
                <c:pt idx="93">
                  <c:v>48079</c:v>
                </c:pt>
                <c:pt idx="94">
                  <c:v>48140</c:v>
                </c:pt>
              </c:numCache>
            </c:numRef>
          </c:cat>
          <c:val>
            <c:numRef>
              <c:f>'Forwards &amp; DiscountFactors'!$D$7:$D$101</c:f>
              <c:numCache>
                <c:formatCode>0.0000%</c:formatCode>
                <c:ptCount val="95"/>
                <c:pt idx="0">
                  <c:v>-2.1999999999088712E-3</c:v>
                </c:pt>
                <c:pt idx="1">
                  <c:v>-2.4640338165274681E-3</c:v>
                </c:pt>
                <c:pt idx="2">
                  <c:v>-2.6291303619828043E-3</c:v>
                </c:pt>
                <c:pt idx="3">
                  <c:v>-2.6282292941880174E-3</c:v>
                </c:pt>
                <c:pt idx="4">
                  <c:v>-2.6045304251165985E-3</c:v>
                </c:pt>
                <c:pt idx="5">
                  <c:v>-2.5821388566809596E-3</c:v>
                </c:pt>
                <c:pt idx="6">
                  <c:v>-2.5653509635564977E-3</c:v>
                </c:pt>
                <c:pt idx="7">
                  <c:v>-2.5647442691357782E-3</c:v>
                </c:pt>
                <c:pt idx="8">
                  <c:v>-2.5646751632071581E-3</c:v>
                </c:pt>
                <c:pt idx="9">
                  <c:v>-2.5645761420027371E-3</c:v>
                </c:pt>
                <c:pt idx="10">
                  <c:v>-2.4405380559293323E-3</c:v>
                </c:pt>
                <c:pt idx="11">
                  <c:v>-2.19444327814704E-3</c:v>
                </c:pt>
                <c:pt idx="12">
                  <c:v>-1.8573368867555423E-3</c:v>
                </c:pt>
                <c:pt idx="13">
                  <c:v>-1.6995991430234702E-3</c:v>
                </c:pt>
                <c:pt idx="14">
                  <c:v>-1.5001241579514781E-3</c:v>
                </c:pt>
                <c:pt idx="15">
                  <c:v>-1.2138802180808098E-3</c:v>
                </c:pt>
                <c:pt idx="16">
                  <c:v>-8.2527213393815771E-4</c:v>
                </c:pt>
                <c:pt idx="17">
                  <c:v>-4.4505017770565732E-4</c:v>
                </c:pt>
                <c:pt idx="18">
                  <c:v>-8.0589475185633487E-5</c:v>
                </c:pt>
                <c:pt idx="19">
                  <c:v>2.4492570253189589E-4</c:v>
                </c:pt>
                <c:pt idx="20">
                  <c:v>5.9931345160057917E-4</c:v>
                </c:pt>
                <c:pt idx="21">
                  <c:v>1.005624199750077E-3</c:v>
                </c:pt>
                <c:pt idx="22">
                  <c:v>1.4536207953959645E-3</c:v>
                </c:pt>
                <c:pt idx="23">
                  <c:v>1.9136633486175848E-3</c:v>
                </c:pt>
                <c:pt idx="24">
                  <c:v>2.3863948196347269E-3</c:v>
                </c:pt>
                <c:pt idx="25">
                  <c:v>2.8133249400600214E-3</c:v>
                </c:pt>
                <c:pt idx="26">
                  <c:v>3.2515232995984134E-3</c:v>
                </c:pt>
                <c:pt idx="27">
                  <c:v>3.7025290576637023E-3</c:v>
                </c:pt>
                <c:pt idx="28">
                  <c:v>4.1752561458833033E-3</c:v>
                </c:pt>
                <c:pt idx="29">
                  <c:v>4.6388301929947747E-3</c:v>
                </c:pt>
                <c:pt idx="30">
                  <c:v>5.1004745360409024E-3</c:v>
                </c:pt>
                <c:pt idx="31">
                  <c:v>5.5403319945040554E-3</c:v>
                </c:pt>
                <c:pt idx="32">
                  <c:v>6.003829461520567E-3</c:v>
                </c:pt>
                <c:pt idx="33">
                  <c:v>6.491979587544423E-3</c:v>
                </c:pt>
                <c:pt idx="34">
                  <c:v>7.0015884042239438E-3</c:v>
                </c:pt>
                <c:pt idx="35">
                  <c:v>7.5153718537406518E-3</c:v>
                </c:pt>
                <c:pt idx="36">
                  <c:v>8.0392126627497028E-3</c:v>
                </c:pt>
                <c:pt idx="37">
                  <c:v>8.5379834304331187E-3</c:v>
                </c:pt>
                <c:pt idx="38">
                  <c:v>9.0469294994238256E-3</c:v>
                </c:pt>
                <c:pt idx="39">
                  <c:v>9.5375505835424163E-3</c:v>
                </c:pt>
                <c:pt idx="40">
                  <c:v>1.0017148105251658E-2</c:v>
                </c:pt>
                <c:pt idx="41">
                  <c:v>1.0507234455918517E-2</c:v>
                </c:pt>
                <c:pt idx="42">
                  <c:v>1.1032253462088184E-2</c:v>
                </c:pt>
                <c:pt idx="43">
                  <c:v>1.1539197351556387E-2</c:v>
                </c:pt>
                <c:pt idx="44">
                  <c:v>1.2035779455380024E-2</c:v>
                </c:pt>
                <c:pt idx="45">
                  <c:v>1.2448704240601138E-2</c:v>
                </c:pt>
                <c:pt idx="46">
                  <c:v>1.2771178123428446E-2</c:v>
                </c:pt>
                <c:pt idx="47">
                  <c:v>1.309801809154792E-2</c:v>
                </c:pt>
                <c:pt idx="48">
                  <c:v>1.3447031277079909E-2</c:v>
                </c:pt>
                <c:pt idx="49">
                  <c:v>1.3833880228785707E-2</c:v>
                </c:pt>
                <c:pt idx="50">
                  <c:v>1.4202539036093404E-2</c:v>
                </c:pt>
                <c:pt idx="51">
                  <c:v>1.4509219229769872E-2</c:v>
                </c:pt>
                <c:pt idx="52">
                  <c:v>1.4758974134050508E-2</c:v>
                </c:pt>
                <c:pt idx="53">
                  <c:v>1.5008914840393258E-2</c:v>
                </c:pt>
                <c:pt idx="54">
                  <c:v>1.5268322789240642E-2</c:v>
                </c:pt>
                <c:pt idx="55">
                  <c:v>1.5549344243116235E-2</c:v>
                </c:pt>
                <c:pt idx="56">
                  <c:v>1.5819964039999294E-2</c:v>
                </c:pt>
                <c:pt idx="57">
                  <c:v>1.6037259315571921E-2</c:v>
                </c:pt>
                <c:pt idx="58">
                  <c:v>1.6215721880840198E-2</c:v>
                </c:pt>
                <c:pt idx="59">
                  <c:v>1.6403115500779178E-2</c:v>
                </c:pt>
                <c:pt idx="60">
                  <c:v>1.6616168553256004E-2</c:v>
                </c:pt>
                <c:pt idx="61">
                  <c:v>1.6828293012612745E-2</c:v>
                </c:pt>
                <c:pt idx="62">
                  <c:v>1.7028581310872464E-2</c:v>
                </c:pt>
                <c:pt idx="63">
                  <c:v>1.7165844635260274E-2</c:v>
                </c:pt>
                <c:pt idx="64">
                  <c:v>1.7237529872089919E-2</c:v>
                </c:pt>
                <c:pt idx="65">
                  <c:v>1.7340184903074967E-2</c:v>
                </c:pt>
                <c:pt idx="66">
                  <c:v>1.7500734728151716E-2</c:v>
                </c:pt>
                <c:pt idx="67">
                  <c:v>1.7581047946988625E-2</c:v>
                </c:pt>
                <c:pt idx="68">
                  <c:v>1.7614235343428548E-2</c:v>
                </c:pt>
                <c:pt idx="69">
                  <c:v>1.7607653096120567E-2</c:v>
                </c:pt>
                <c:pt idx="70">
                  <c:v>1.7588778039283777E-2</c:v>
                </c:pt>
                <c:pt idx="71">
                  <c:v>1.7573922457883535E-2</c:v>
                </c:pt>
                <c:pt idx="72">
                  <c:v>1.7569818466865825E-2</c:v>
                </c:pt>
                <c:pt idx="73">
                  <c:v>1.7585176003669687E-2</c:v>
                </c:pt>
                <c:pt idx="74">
                  <c:v>1.7600351897979018E-2</c:v>
                </c:pt>
                <c:pt idx="75">
                  <c:v>1.7613612819225417E-2</c:v>
                </c:pt>
                <c:pt idx="76">
                  <c:v>1.7644522340559295E-2</c:v>
                </c:pt>
                <c:pt idx="77">
                  <c:v>1.7673069564962975E-2</c:v>
                </c:pt>
                <c:pt idx="78">
                  <c:v>1.7695386074749637E-2</c:v>
                </c:pt>
                <c:pt idx="79">
                  <c:v>1.7706447497856229E-2</c:v>
                </c:pt>
                <c:pt idx="80">
                  <c:v>1.7715138703409669E-2</c:v>
                </c:pt>
                <c:pt idx="81">
                  <c:v>1.772245779176217E-2</c:v>
                </c:pt>
                <c:pt idx="82">
                  <c:v>1.7729575035635329E-2</c:v>
                </c:pt>
                <c:pt idx="83">
                  <c:v>1.7734135270104673E-2</c:v>
                </c:pt>
                <c:pt idx="84">
                  <c:v>1.7736176791391774E-2</c:v>
                </c:pt>
                <c:pt idx="85">
                  <c:v>1.7740447811095378E-2</c:v>
                </c:pt>
                <c:pt idx="86">
                  <c:v>1.7744095178608421E-2</c:v>
                </c:pt>
                <c:pt idx="87">
                  <c:v>1.7746802572953715E-2</c:v>
                </c:pt>
                <c:pt idx="88">
                  <c:v>1.7598800532568546E-2</c:v>
                </c:pt>
                <c:pt idx="89">
                  <c:v>1.7343546480504925E-2</c:v>
                </c:pt>
                <c:pt idx="90">
                  <c:v>1.7002186489942828E-2</c:v>
                </c:pt>
                <c:pt idx="91">
                  <c:v>1.6931382934165524E-2</c:v>
                </c:pt>
                <c:pt idx="92">
                  <c:v>1.6870555572074886E-2</c:v>
                </c:pt>
                <c:pt idx="93">
                  <c:v>1.6808995115461335E-2</c:v>
                </c:pt>
                <c:pt idx="94">
                  <c:v>1.6727475438609394E-2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'Forwards &amp; DiscountFactors'!$E$6</c:f>
              <c:strCache>
                <c:ptCount val="1"/>
                <c:pt idx="0">
                  <c:v>EUROIS</c:v>
                </c:pt>
              </c:strCache>
            </c:strRef>
          </c:tx>
          <c:marker>
            <c:symbol val="none"/>
          </c:marker>
          <c:cat>
            <c:numRef>
              <c:f>'Forwards &amp; DiscountFactors'!$B$7:$B$101</c:f>
              <c:numCache>
                <c:formatCode>ddd\,\ d\-mmm\-yy</c:formatCode>
                <c:ptCount val="95"/>
                <c:pt idx="0">
                  <c:v>42419</c:v>
                </c:pt>
                <c:pt idx="1">
                  <c:v>42479</c:v>
                </c:pt>
                <c:pt idx="2">
                  <c:v>42540</c:v>
                </c:pt>
                <c:pt idx="3">
                  <c:v>42601</c:v>
                </c:pt>
                <c:pt idx="4">
                  <c:v>42662</c:v>
                </c:pt>
                <c:pt idx="5">
                  <c:v>42723</c:v>
                </c:pt>
                <c:pt idx="6">
                  <c:v>42785</c:v>
                </c:pt>
                <c:pt idx="7">
                  <c:v>42844</c:v>
                </c:pt>
                <c:pt idx="8">
                  <c:v>42905</c:v>
                </c:pt>
                <c:pt idx="9">
                  <c:v>42966</c:v>
                </c:pt>
                <c:pt idx="10">
                  <c:v>43027</c:v>
                </c:pt>
                <c:pt idx="11">
                  <c:v>43088</c:v>
                </c:pt>
                <c:pt idx="12">
                  <c:v>43150</c:v>
                </c:pt>
                <c:pt idx="13">
                  <c:v>43209</c:v>
                </c:pt>
                <c:pt idx="14">
                  <c:v>43270</c:v>
                </c:pt>
                <c:pt idx="15">
                  <c:v>43331</c:v>
                </c:pt>
                <c:pt idx="16">
                  <c:v>43392</c:v>
                </c:pt>
                <c:pt idx="17">
                  <c:v>43453</c:v>
                </c:pt>
                <c:pt idx="18">
                  <c:v>43515</c:v>
                </c:pt>
                <c:pt idx="19">
                  <c:v>43574</c:v>
                </c:pt>
                <c:pt idx="20">
                  <c:v>43635</c:v>
                </c:pt>
                <c:pt idx="21">
                  <c:v>43696</c:v>
                </c:pt>
                <c:pt idx="22">
                  <c:v>43757</c:v>
                </c:pt>
                <c:pt idx="23">
                  <c:v>43818</c:v>
                </c:pt>
                <c:pt idx="24">
                  <c:v>43880</c:v>
                </c:pt>
                <c:pt idx="25">
                  <c:v>43940</c:v>
                </c:pt>
                <c:pt idx="26">
                  <c:v>44001</c:v>
                </c:pt>
                <c:pt idx="27">
                  <c:v>44062</c:v>
                </c:pt>
                <c:pt idx="28">
                  <c:v>44123</c:v>
                </c:pt>
                <c:pt idx="29">
                  <c:v>44184</c:v>
                </c:pt>
                <c:pt idx="30">
                  <c:v>44246</c:v>
                </c:pt>
                <c:pt idx="31">
                  <c:v>44305</c:v>
                </c:pt>
                <c:pt idx="32">
                  <c:v>44366</c:v>
                </c:pt>
                <c:pt idx="33">
                  <c:v>44427</c:v>
                </c:pt>
                <c:pt idx="34">
                  <c:v>44488</c:v>
                </c:pt>
                <c:pt idx="35">
                  <c:v>44549</c:v>
                </c:pt>
                <c:pt idx="36">
                  <c:v>44611</c:v>
                </c:pt>
                <c:pt idx="37">
                  <c:v>44670</c:v>
                </c:pt>
                <c:pt idx="38">
                  <c:v>44731</c:v>
                </c:pt>
                <c:pt idx="39">
                  <c:v>44792</c:v>
                </c:pt>
                <c:pt idx="40">
                  <c:v>44853</c:v>
                </c:pt>
                <c:pt idx="41">
                  <c:v>44914</c:v>
                </c:pt>
                <c:pt idx="42">
                  <c:v>44976</c:v>
                </c:pt>
                <c:pt idx="43">
                  <c:v>45035</c:v>
                </c:pt>
                <c:pt idx="44">
                  <c:v>45096</c:v>
                </c:pt>
                <c:pt idx="45">
                  <c:v>45157</c:v>
                </c:pt>
                <c:pt idx="46">
                  <c:v>45218</c:v>
                </c:pt>
                <c:pt idx="47">
                  <c:v>45279</c:v>
                </c:pt>
                <c:pt idx="48">
                  <c:v>45341</c:v>
                </c:pt>
                <c:pt idx="49">
                  <c:v>45401</c:v>
                </c:pt>
                <c:pt idx="50">
                  <c:v>45462</c:v>
                </c:pt>
                <c:pt idx="51">
                  <c:v>45523</c:v>
                </c:pt>
                <c:pt idx="52">
                  <c:v>45584</c:v>
                </c:pt>
                <c:pt idx="53">
                  <c:v>45645</c:v>
                </c:pt>
                <c:pt idx="54">
                  <c:v>45707</c:v>
                </c:pt>
                <c:pt idx="55">
                  <c:v>45766</c:v>
                </c:pt>
                <c:pt idx="56">
                  <c:v>45827</c:v>
                </c:pt>
                <c:pt idx="57">
                  <c:v>45888</c:v>
                </c:pt>
                <c:pt idx="58">
                  <c:v>45949</c:v>
                </c:pt>
                <c:pt idx="59">
                  <c:v>46010</c:v>
                </c:pt>
                <c:pt idx="60">
                  <c:v>46072</c:v>
                </c:pt>
                <c:pt idx="61">
                  <c:v>46131</c:v>
                </c:pt>
                <c:pt idx="62">
                  <c:v>46192</c:v>
                </c:pt>
                <c:pt idx="63">
                  <c:v>46253</c:v>
                </c:pt>
                <c:pt idx="64">
                  <c:v>46314</c:v>
                </c:pt>
                <c:pt idx="65">
                  <c:v>46375</c:v>
                </c:pt>
                <c:pt idx="66">
                  <c:v>46437</c:v>
                </c:pt>
                <c:pt idx="67">
                  <c:v>46496</c:v>
                </c:pt>
                <c:pt idx="68">
                  <c:v>46557</c:v>
                </c:pt>
                <c:pt idx="69">
                  <c:v>46618</c:v>
                </c:pt>
                <c:pt idx="70">
                  <c:v>46679</c:v>
                </c:pt>
                <c:pt idx="71">
                  <c:v>46740</c:v>
                </c:pt>
                <c:pt idx="72">
                  <c:v>46802</c:v>
                </c:pt>
                <c:pt idx="73">
                  <c:v>46862</c:v>
                </c:pt>
                <c:pt idx="74">
                  <c:v>46923</c:v>
                </c:pt>
                <c:pt idx="75">
                  <c:v>46984</c:v>
                </c:pt>
                <c:pt idx="76">
                  <c:v>47045</c:v>
                </c:pt>
                <c:pt idx="77">
                  <c:v>47106</c:v>
                </c:pt>
                <c:pt idx="78">
                  <c:v>47168</c:v>
                </c:pt>
                <c:pt idx="79">
                  <c:v>47227</c:v>
                </c:pt>
                <c:pt idx="80">
                  <c:v>47288</c:v>
                </c:pt>
                <c:pt idx="81">
                  <c:v>47349</c:v>
                </c:pt>
                <c:pt idx="82">
                  <c:v>47410</c:v>
                </c:pt>
                <c:pt idx="83">
                  <c:v>47471</c:v>
                </c:pt>
                <c:pt idx="84">
                  <c:v>47533</c:v>
                </c:pt>
                <c:pt idx="85">
                  <c:v>47592</c:v>
                </c:pt>
                <c:pt idx="86">
                  <c:v>47653</c:v>
                </c:pt>
                <c:pt idx="87">
                  <c:v>47714</c:v>
                </c:pt>
                <c:pt idx="88">
                  <c:v>47775</c:v>
                </c:pt>
                <c:pt idx="89">
                  <c:v>47836</c:v>
                </c:pt>
                <c:pt idx="90">
                  <c:v>47898</c:v>
                </c:pt>
                <c:pt idx="91">
                  <c:v>47957</c:v>
                </c:pt>
                <c:pt idx="92">
                  <c:v>48018</c:v>
                </c:pt>
                <c:pt idx="93">
                  <c:v>48079</c:v>
                </c:pt>
                <c:pt idx="94">
                  <c:v>48140</c:v>
                </c:pt>
              </c:numCache>
            </c:numRef>
          </c:cat>
          <c:val>
            <c:numRef>
              <c:f>'Forwards &amp; DiscountFactors'!$E$7:$E$101</c:f>
              <c:numCache>
                <c:formatCode>0.0000%</c:formatCode>
                <c:ptCount val="95"/>
                <c:pt idx="0">
                  <c:v>-1.2823148174824217E-3</c:v>
                </c:pt>
                <c:pt idx="1">
                  <c:v>-3.3842763448245217E-3</c:v>
                </c:pt>
                <c:pt idx="2">
                  <c:v>-3.5238198832867607E-3</c:v>
                </c:pt>
                <c:pt idx="3">
                  <c:v>-3.5636840137830417E-3</c:v>
                </c:pt>
                <c:pt idx="4">
                  <c:v>-3.77288456346625E-3</c:v>
                </c:pt>
                <c:pt idx="5">
                  <c:v>-4.0119670885919723E-3</c:v>
                </c:pt>
                <c:pt idx="6">
                  <c:v>-4.1421869727974459E-3</c:v>
                </c:pt>
                <c:pt idx="7">
                  <c:v>-4.0334751520610945E-3</c:v>
                </c:pt>
                <c:pt idx="8">
                  <c:v>-3.9460320737098042E-3</c:v>
                </c:pt>
                <c:pt idx="9">
                  <c:v>-3.8753966992591815E-3</c:v>
                </c:pt>
                <c:pt idx="10">
                  <c:v>-3.8147999713170622E-3</c:v>
                </c:pt>
                <c:pt idx="11">
                  <c:v>-3.6700862609682083E-3</c:v>
                </c:pt>
                <c:pt idx="12">
                  <c:v>-3.4581590237190429E-3</c:v>
                </c:pt>
                <c:pt idx="13">
                  <c:v>-3.2471777073340702E-3</c:v>
                </c:pt>
                <c:pt idx="14">
                  <c:v>-2.9562454398960325E-3</c:v>
                </c:pt>
                <c:pt idx="15">
                  <c:v>-2.6928883135348691E-3</c:v>
                </c:pt>
                <c:pt idx="16">
                  <c:v>-2.4294413163429285E-3</c:v>
                </c:pt>
                <c:pt idx="17">
                  <c:v>-2.2636704290158738E-3</c:v>
                </c:pt>
                <c:pt idx="18">
                  <c:v>-1.8800373572612772E-3</c:v>
                </c:pt>
                <c:pt idx="19">
                  <c:v>-1.4734390096320382E-3</c:v>
                </c:pt>
                <c:pt idx="20">
                  <c:v>-9.9764700713977916E-4</c:v>
                </c:pt>
                <c:pt idx="21">
                  <c:v>-5.7484378139160963E-4</c:v>
                </c:pt>
                <c:pt idx="22">
                  <c:v>-1.5310380266364554E-4</c:v>
                </c:pt>
                <c:pt idx="23">
                  <c:v>1.6185945733293572E-4</c:v>
                </c:pt>
                <c:pt idx="24">
                  <c:v>6.1258543353881478E-4</c:v>
                </c:pt>
                <c:pt idx="25">
                  <c:v>1.0727484452508484E-3</c:v>
                </c:pt>
                <c:pt idx="26">
                  <c:v>1.5730786681245057E-3</c:v>
                </c:pt>
                <c:pt idx="27">
                  <c:v>2.0284931225054148E-3</c:v>
                </c:pt>
                <c:pt idx="28">
                  <c:v>2.4796972972098708E-3</c:v>
                </c:pt>
                <c:pt idx="29">
                  <c:v>2.8361694537726301E-3</c:v>
                </c:pt>
                <c:pt idx="30">
                  <c:v>3.3635959984881225E-3</c:v>
                </c:pt>
                <c:pt idx="31">
                  <c:v>3.8802852568380342E-3</c:v>
                </c:pt>
                <c:pt idx="32">
                  <c:v>4.4401447801025729E-3</c:v>
                </c:pt>
                <c:pt idx="33">
                  <c:v>4.9503977449829595E-3</c:v>
                </c:pt>
                <c:pt idx="34">
                  <c:v>5.4580036423168554E-3</c:v>
                </c:pt>
                <c:pt idx="35">
                  <c:v>5.885321903007501E-3</c:v>
                </c:pt>
                <c:pt idx="36">
                  <c:v>6.3966522458271946E-3</c:v>
                </c:pt>
                <c:pt idx="37">
                  <c:v>6.8942140355945369E-3</c:v>
                </c:pt>
                <c:pt idx="38">
                  <c:v>7.4228367023947417E-3</c:v>
                </c:pt>
                <c:pt idx="39">
                  <c:v>7.9177755934798366E-3</c:v>
                </c:pt>
                <c:pt idx="40">
                  <c:v>8.412164630150043E-3</c:v>
                </c:pt>
                <c:pt idx="41">
                  <c:v>8.853284583702381E-3</c:v>
                </c:pt>
                <c:pt idx="42">
                  <c:v>9.3547167275449539E-3</c:v>
                </c:pt>
                <c:pt idx="43">
                  <c:v>9.8407033689107415E-3</c:v>
                </c:pt>
                <c:pt idx="44">
                  <c:v>1.0350412715739443E-2</c:v>
                </c:pt>
                <c:pt idx="45">
                  <c:v>1.0836640544079623E-2</c:v>
                </c:pt>
                <c:pt idx="46">
                  <c:v>1.1323565285664916E-2</c:v>
                </c:pt>
                <c:pt idx="47">
                  <c:v>1.1812670717941565E-2</c:v>
                </c:pt>
                <c:pt idx="48">
                  <c:v>1.2131964539861873E-2</c:v>
                </c:pt>
                <c:pt idx="49">
                  <c:v>1.245103528961522E-2</c:v>
                </c:pt>
                <c:pt idx="50">
                  <c:v>1.2769766652158898E-2</c:v>
                </c:pt>
                <c:pt idx="51">
                  <c:v>1.31183038256244E-2</c:v>
                </c:pt>
                <c:pt idx="52">
                  <c:v>1.3470873408683692E-2</c:v>
                </c:pt>
                <c:pt idx="53">
                  <c:v>1.3910961102513664E-2</c:v>
                </c:pt>
                <c:pt idx="54">
                  <c:v>1.4163550863698804E-2</c:v>
                </c:pt>
                <c:pt idx="55">
                  <c:v>1.4329059348363593E-2</c:v>
                </c:pt>
                <c:pt idx="56">
                  <c:v>1.4485721860480361E-2</c:v>
                </c:pt>
                <c:pt idx="57">
                  <c:v>1.4710861923616259E-2</c:v>
                </c:pt>
                <c:pt idx="58">
                  <c:v>1.4946145628748297E-2</c:v>
                </c:pt>
                <c:pt idx="59">
                  <c:v>1.5318326302936391E-2</c:v>
                </c:pt>
                <c:pt idx="60">
                  <c:v>1.5459781926403737E-2</c:v>
                </c:pt>
                <c:pt idx="61">
                  <c:v>1.5578512671302835E-2</c:v>
                </c:pt>
                <c:pt idx="62">
                  <c:v>1.5683106259015922E-2</c:v>
                </c:pt>
                <c:pt idx="63">
                  <c:v>1.5860937972379752E-2</c:v>
                </c:pt>
                <c:pt idx="64">
                  <c:v>1.6050050992946874E-2</c:v>
                </c:pt>
                <c:pt idx="65">
                  <c:v>1.6430554577278933E-2</c:v>
                </c:pt>
                <c:pt idx="66">
                  <c:v>1.6416777050800579E-2</c:v>
                </c:pt>
                <c:pt idx="67">
                  <c:v>1.6410197895779355E-2</c:v>
                </c:pt>
                <c:pt idx="68">
                  <c:v>1.6369914446188405E-2</c:v>
                </c:pt>
                <c:pt idx="69">
                  <c:v>1.6450159675000409E-2</c:v>
                </c:pt>
                <c:pt idx="70">
                  <c:v>1.6524628011374665E-2</c:v>
                </c:pt>
                <c:pt idx="71">
                  <c:v>1.6811551478706166E-2</c:v>
                </c:pt>
                <c:pt idx="72">
                  <c:v>1.676693207087343E-2</c:v>
                </c:pt>
                <c:pt idx="73">
                  <c:v>1.677623201934586E-2</c:v>
                </c:pt>
                <c:pt idx="74">
                  <c:v>1.6714841553209681E-2</c:v>
                </c:pt>
                <c:pt idx="75">
                  <c:v>1.6679499036361234E-2</c:v>
                </c:pt>
                <c:pt idx="76">
                  <c:v>1.6644795363259579E-2</c:v>
                </c:pt>
                <c:pt idx="77">
                  <c:v>1.6623335790664662E-2</c:v>
                </c:pt>
                <c:pt idx="78">
                  <c:v>1.6661829567461428E-2</c:v>
                </c:pt>
                <c:pt idx="79">
                  <c:v>1.6656338022780881E-2</c:v>
                </c:pt>
                <c:pt idx="80">
                  <c:v>1.6668133926506901E-2</c:v>
                </c:pt>
                <c:pt idx="81">
                  <c:v>1.6699712567815217E-2</c:v>
                </c:pt>
                <c:pt idx="82">
                  <c:v>1.673397680192612E-2</c:v>
                </c:pt>
                <c:pt idx="83">
                  <c:v>1.6791035149745559E-2</c:v>
                </c:pt>
                <c:pt idx="84">
                  <c:v>1.6867171419544524E-2</c:v>
                </c:pt>
                <c:pt idx="85">
                  <c:v>1.6947869303245877E-2</c:v>
                </c:pt>
                <c:pt idx="86">
                  <c:v>1.7056966296418175E-2</c:v>
                </c:pt>
                <c:pt idx="87">
                  <c:v>1.7193656328195139E-2</c:v>
                </c:pt>
                <c:pt idx="88">
                  <c:v>1.7333708515935742E-2</c:v>
                </c:pt>
                <c:pt idx="89">
                  <c:v>1.7569178880000313E-2</c:v>
                </c:pt>
                <c:pt idx="90">
                  <c:v>1.7525656200219508E-2</c:v>
                </c:pt>
                <c:pt idx="91">
                  <c:v>1.7393036918403437E-2</c:v>
                </c:pt>
                <c:pt idx="92">
                  <c:v>1.7196116354959212E-2</c:v>
                </c:pt>
                <c:pt idx="93">
                  <c:v>1.70176729807614E-2</c:v>
                </c:pt>
                <c:pt idx="94">
                  <c:v>1.6838172955153663E-2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0561664"/>
        <c:axId val="700977152"/>
      </c:lineChart>
      <c:dateAx>
        <c:axId val="700561664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crossAx val="700977152"/>
        <c:crosses val="autoZero"/>
        <c:auto val="1"/>
        <c:lblOffset val="100"/>
        <c:baseTimeUnit val="months"/>
      </c:dateAx>
      <c:valAx>
        <c:axId val="700977152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7005616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'Forwards &amp; DiscountFactors'!$H$6</c:f>
              <c:strCache>
                <c:ptCount val="1"/>
                <c:pt idx="0">
                  <c:v>EUROIS</c:v>
                </c:pt>
              </c:strCache>
            </c:strRef>
          </c:tx>
          <c:marker>
            <c:symbol val="none"/>
          </c:marker>
          <c:cat>
            <c:numRef>
              <c:f>'Forwards &amp; DiscountFactors'!$G$7:$G$101</c:f>
              <c:numCache>
                <c:formatCode>ddd\,\ d\-mmm\-yy</c:formatCode>
                <c:ptCount val="95"/>
                <c:pt idx="0">
                  <c:v>42419</c:v>
                </c:pt>
                <c:pt idx="1">
                  <c:v>42479</c:v>
                </c:pt>
                <c:pt idx="2">
                  <c:v>42540</c:v>
                </c:pt>
                <c:pt idx="3">
                  <c:v>42601</c:v>
                </c:pt>
                <c:pt idx="4">
                  <c:v>42662</c:v>
                </c:pt>
                <c:pt idx="5">
                  <c:v>42723</c:v>
                </c:pt>
                <c:pt idx="6">
                  <c:v>42785</c:v>
                </c:pt>
                <c:pt idx="7">
                  <c:v>42844</c:v>
                </c:pt>
                <c:pt idx="8">
                  <c:v>42905</c:v>
                </c:pt>
                <c:pt idx="9">
                  <c:v>42966</c:v>
                </c:pt>
                <c:pt idx="10">
                  <c:v>43027</c:v>
                </c:pt>
                <c:pt idx="11">
                  <c:v>43088</c:v>
                </c:pt>
                <c:pt idx="12">
                  <c:v>43150</c:v>
                </c:pt>
                <c:pt idx="13">
                  <c:v>43209</c:v>
                </c:pt>
                <c:pt idx="14">
                  <c:v>43270</c:v>
                </c:pt>
                <c:pt idx="15">
                  <c:v>43331</c:v>
                </c:pt>
                <c:pt idx="16">
                  <c:v>43392</c:v>
                </c:pt>
                <c:pt idx="17">
                  <c:v>43453</c:v>
                </c:pt>
                <c:pt idx="18">
                  <c:v>43515</c:v>
                </c:pt>
                <c:pt idx="19">
                  <c:v>43574</c:v>
                </c:pt>
                <c:pt idx="20">
                  <c:v>43635</c:v>
                </c:pt>
                <c:pt idx="21">
                  <c:v>43696</c:v>
                </c:pt>
                <c:pt idx="22">
                  <c:v>43757</c:v>
                </c:pt>
                <c:pt idx="23">
                  <c:v>43818</c:v>
                </c:pt>
                <c:pt idx="24">
                  <c:v>43880</c:v>
                </c:pt>
                <c:pt idx="25">
                  <c:v>43940</c:v>
                </c:pt>
                <c:pt idx="26">
                  <c:v>44001</c:v>
                </c:pt>
                <c:pt idx="27">
                  <c:v>44062</c:v>
                </c:pt>
                <c:pt idx="28">
                  <c:v>44123</c:v>
                </c:pt>
                <c:pt idx="29">
                  <c:v>44184</c:v>
                </c:pt>
                <c:pt idx="30">
                  <c:v>44246</c:v>
                </c:pt>
                <c:pt idx="31">
                  <c:v>44305</c:v>
                </c:pt>
                <c:pt idx="32">
                  <c:v>44366</c:v>
                </c:pt>
                <c:pt idx="33">
                  <c:v>44427</c:v>
                </c:pt>
                <c:pt idx="34">
                  <c:v>44488</c:v>
                </c:pt>
                <c:pt idx="35">
                  <c:v>44549</c:v>
                </c:pt>
                <c:pt idx="36">
                  <c:v>44611</c:v>
                </c:pt>
                <c:pt idx="37">
                  <c:v>44670</c:v>
                </c:pt>
                <c:pt idx="38">
                  <c:v>44731</c:v>
                </c:pt>
                <c:pt idx="39">
                  <c:v>44792</c:v>
                </c:pt>
                <c:pt idx="40">
                  <c:v>44853</c:v>
                </c:pt>
                <c:pt idx="41">
                  <c:v>44914</c:v>
                </c:pt>
                <c:pt idx="42">
                  <c:v>44976</c:v>
                </c:pt>
                <c:pt idx="43">
                  <c:v>45035</c:v>
                </c:pt>
                <c:pt idx="44">
                  <c:v>45096</c:v>
                </c:pt>
                <c:pt idx="45">
                  <c:v>45157</c:v>
                </c:pt>
                <c:pt idx="46">
                  <c:v>45218</c:v>
                </c:pt>
                <c:pt idx="47">
                  <c:v>45279</c:v>
                </c:pt>
                <c:pt idx="48">
                  <c:v>45341</c:v>
                </c:pt>
                <c:pt idx="49">
                  <c:v>45401</c:v>
                </c:pt>
                <c:pt idx="50">
                  <c:v>45462</c:v>
                </c:pt>
                <c:pt idx="51">
                  <c:v>45523</c:v>
                </c:pt>
                <c:pt idx="52">
                  <c:v>45584</c:v>
                </c:pt>
                <c:pt idx="53">
                  <c:v>45645</c:v>
                </c:pt>
                <c:pt idx="54">
                  <c:v>45707</c:v>
                </c:pt>
                <c:pt idx="55">
                  <c:v>45766</c:v>
                </c:pt>
                <c:pt idx="56">
                  <c:v>45827</c:v>
                </c:pt>
                <c:pt idx="57">
                  <c:v>45888</c:v>
                </c:pt>
                <c:pt idx="58">
                  <c:v>45949</c:v>
                </c:pt>
                <c:pt idx="59">
                  <c:v>46010</c:v>
                </c:pt>
                <c:pt idx="60">
                  <c:v>46072</c:v>
                </c:pt>
                <c:pt idx="61">
                  <c:v>46131</c:v>
                </c:pt>
                <c:pt idx="62">
                  <c:v>46192</c:v>
                </c:pt>
                <c:pt idx="63">
                  <c:v>46253</c:v>
                </c:pt>
                <c:pt idx="64">
                  <c:v>46314</c:v>
                </c:pt>
                <c:pt idx="65">
                  <c:v>46375</c:v>
                </c:pt>
                <c:pt idx="66">
                  <c:v>46437</c:v>
                </c:pt>
                <c:pt idx="67">
                  <c:v>46496</c:v>
                </c:pt>
                <c:pt idx="68">
                  <c:v>46557</c:v>
                </c:pt>
                <c:pt idx="69">
                  <c:v>46618</c:v>
                </c:pt>
                <c:pt idx="70">
                  <c:v>46679</c:v>
                </c:pt>
                <c:pt idx="71">
                  <c:v>46740</c:v>
                </c:pt>
                <c:pt idx="72">
                  <c:v>46802</c:v>
                </c:pt>
                <c:pt idx="73">
                  <c:v>46862</c:v>
                </c:pt>
                <c:pt idx="74">
                  <c:v>46923</c:v>
                </c:pt>
                <c:pt idx="75">
                  <c:v>46984</c:v>
                </c:pt>
                <c:pt idx="76">
                  <c:v>47045</c:v>
                </c:pt>
                <c:pt idx="77">
                  <c:v>47106</c:v>
                </c:pt>
                <c:pt idx="78">
                  <c:v>47168</c:v>
                </c:pt>
                <c:pt idx="79">
                  <c:v>47227</c:v>
                </c:pt>
                <c:pt idx="80">
                  <c:v>47288</c:v>
                </c:pt>
                <c:pt idx="81">
                  <c:v>47349</c:v>
                </c:pt>
                <c:pt idx="82">
                  <c:v>47410</c:v>
                </c:pt>
                <c:pt idx="83">
                  <c:v>47471</c:v>
                </c:pt>
                <c:pt idx="84">
                  <c:v>47533</c:v>
                </c:pt>
                <c:pt idx="85">
                  <c:v>47592</c:v>
                </c:pt>
                <c:pt idx="86">
                  <c:v>47653</c:v>
                </c:pt>
                <c:pt idx="87">
                  <c:v>47714</c:v>
                </c:pt>
                <c:pt idx="88">
                  <c:v>47775</c:v>
                </c:pt>
                <c:pt idx="89">
                  <c:v>47836</c:v>
                </c:pt>
                <c:pt idx="90">
                  <c:v>47898</c:v>
                </c:pt>
                <c:pt idx="91">
                  <c:v>47957</c:v>
                </c:pt>
                <c:pt idx="92">
                  <c:v>48018</c:v>
                </c:pt>
                <c:pt idx="93">
                  <c:v>48079</c:v>
                </c:pt>
                <c:pt idx="94">
                  <c:v>48140</c:v>
                </c:pt>
              </c:numCache>
            </c:numRef>
          </c:cat>
          <c:val>
            <c:numRef>
              <c:f>'Forwards &amp; DiscountFactors'!$H$7:$H$101</c:f>
              <c:numCache>
                <c:formatCode>#,##0.000000</c:formatCode>
                <c:ptCount val="95"/>
                <c:pt idx="0">
                  <c:v>1</c:v>
                </c:pt>
                <c:pt idx="1">
                  <c:v>1.0005571606375678</c:v>
                </c:pt>
                <c:pt idx="2">
                  <c:v>1.0011386862282385</c:v>
                </c:pt>
                <c:pt idx="3">
                  <c:v>1.0017409185401773</c:v>
                </c:pt>
                <c:pt idx="4">
                  <c:v>1.0023710508502188</c:v>
                </c:pt>
                <c:pt idx="5">
                  <c:v>1.0030291684219887</c:v>
                </c:pt>
                <c:pt idx="6">
                  <c:v>1.0037492013627767</c:v>
                </c:pt>
                <c:pt idx="7">
                  <c:v>1.0044218191074494</c:v>
                </c:pt>
                <c:pt idx="8">
                  <c:v>1.0051039822516703</c:v>
                </c:pt>
                <c:pt idx="9">
                  <c:v>1.0057707320009497</c:v>
                </c:pt>
                <c:pt idx="10">
                  <c:v>1.0064294993221334</c:v>
                </c:pt>
                <c:pt idx="11">
                  <c:v>1.007068282195007</c:v>
                </c:pt>
                <c:pt idx="12">
                  <c:v>1.0076902435460235</c:v>
                </c:pt>
                <c:pt idx="13">
                  <c:v>1.0082462460450086</c:v>
                </c:pt>
                <c:pt idx="14">
                  <c:v>1.0087773733677292</c:v>
                </c:pt>
                <c:pt idx="15">
                  <c:v>1.0092610086546538</c:v>
                </c:pt>
                <c:pt idx="16">
                  <c:v>1.0096991530426973</c:v>
                </c:pt>
                <c:pt idx="17">
                  <c:v>1.0100997240635452</c:v>
                </c:pt>
                <c:pt idx="18">
                  <c:v>1.0104665618702031</c:v>
                </c:pt>
                <c:pt idx="19">
                  <c:v>1.0107448757567465</c:v>
                </c:pt>
                <c:pt idx="20">
                  <c:v>1.0109574474071228</c:v>
                </c:pt>
                <c:pt idx="21">
                  <c:v>1.0110917459553632</c:v>
                </c:pt>
                <c:pt idx="22">
                  <c:v>1.0111534385796181</c:v>
                </c:pt>
                <c:pt idx="23">
                  <c:v>1.0111521780099033</c:v>
                </c:pt>
                <c:pt idx="24">
                  <c:v>1.0110886362748832</c:v>
                </c:pt>
                <c:pt idx="25">
                  <c:v>1.010947276924302</c:v>
                </c:pt>
                <c:pt idx="26">
                  <c:v>1.0107218456520839</c:v>
                </c:pt>
                <c:pt idx="27">
                  <c:v>1.010413362736885</c:v>
                </c:pt>
                <c:pt idx="28">
                  <c:v>1.0100276403928592</c:v>
                </c:pt>
                <c:pt idx="29">
                  <c:v>1.0095729765571746</c:v>
                </c:pt>
                <c:pt idx="30">
                  <c:v>1.0090390213841773</c:v>
                </c:pt>
                <c:pt idx="31">
                  <c:v>1.0084418798933517</c:v>
                </c:pt>
                <c:pt idx="32">
                  <c:v>1.0077338686722759</c:v>
                </c:pt>
                <c:pt idx="33">
                  <c:v>1.0069338578598024</c:v>
                </c:pt>
                <c:pt idx="34">
                  <c:v>1.0060482657249279</c:v>
                </c:pt>
                <c:pt idx="35">
                  <c:v>1.0050849321619448</c:v>
                </c:pt>
                <c:pt idx="36">
                  <c:v>1.0040280807476818</c:v>
                </c:pt>
                <c:pt idx="37">
                  <c:v>1.0029394073102569</c:v>
                </c:pt>
                <c:pt idx="38">
                  <c:v>1.001728942955417</c:v>
                </c:pt>
                <c:pt idx="39">
                  <c:v>1.000432683326163</c:v>
                </c:pt>
                <c:pt idx="40">
                  <c:v>0.9990551407216659</c:v>
                </c:pt>
                <c:pt idx="41">
                  <c:v>0.99760152813695246</c:v>
                </c:pt>
                <c:pt idx="42">
                  <c:v>0.99604745401321682</c:v>
                </c:pt>
                <c:pt idx="43">
                  <c:v>0.99448996911583043</c:v>
                </c:pt>
                <c:pt idx="44">
                  <c:v>0.99279966466458003</c:v>
                </c:pt>
                <c:pt idx="45">
                  <c:v>0.99102860051606978</c:v>
                </c:pt>
                <c:pt idx="46">
                  <c:v>0.98918013271813432</c:v>
                </c:pt>
                <c:pt idx="47">
                  <c:v>0.98725624955196578</c:v>
                </c:pt>
                <c:pt idx="48">
                  <c:v>0.98523311077431519</c:v>
                </c:pt>
                <c:pt idx="49">
                  <c:v>0.98322997227026077</c:v>
                </c:pt>
                <c:pt idx="50">
                  <c:v>0.9811446875450861</c:v>
                </c:pt>
                <c:pt idx="51">
                  <c:v>0.97901000078399325</c:v>
                </c:pt>
                <c:pt idx="52">
                  <c:v>0.97682255886748504</c:v>
                </c:pt>
                <c:pt idx="53">
                  <c:v>0.97457711358798804</c:v>
                </c:pt>
                <c:pt idx="54">
                  <c:v>0.97223264518501529</c:v>
                </c:pt>
                <c:pt idx="55">
                  <c:v>0.9699821336685106</c:v>
                </c:pt>
                <c:pt idx="56">
                  <c:v>0.96763364553137865</c:v>
                </c:pt>
                <c:pt idx="57">
                  <c:v>0.96526218598863844</c:v>
                </c:pt>
                <c:pt idx="58">
                  <c:v>0.96285896702727825</c:v>
                </c:pt>
                <c:pt idx="59">
                  <c:v>0.9604140325344479</c:v>
                </c:pt>
                <c:pt idx="60">
                  <c:v>0.95788697089201325</c:v>
                </c:pt>
                <c:pt idx="61">
                  <c:v>0.95547282562802427</c:v>
                </c:pt>
                <c:pt idx="62">
                  <c:v>0.9529646380698461</c:v>
                </c:pt>
                <c:pt idx="63">
                  <c:v>0.9504430570614002</c:v>
                </c:pt>
                <c:pt idx="64">
                  <c:v>0.94789860004526771</c:v>
                </c:pt>
                <c:pt idx="65">
                  <c:v>0.94531544220173036</c:v>
                </c:pt>
                <c:pt idx="66">
                  <c:v>0.94266579074740209</c:v>
                </c:pt>
                <c:pt idx="67">
                  <c:v>0.94015408377083121</c:v>
                </c:pt>
                <c:pt idx="68">
                  <c:v>0.9375668193665454</c:v>
                </c:pt>
                <c:pt idx="69">
                  <c:v>0.93498634632367883</c:v>
                </c:pt>
                <c:pt idx="70">
                  <c:v>0.93240015504811236</c:v>
                </c:pt>
                <c:pt idx="71">
                  <c:v>0.92979288204048438</c:v>
                </c:pt>
                <c:pt idx="72">
                  <c:v>0.92713176310708934</c:v>
                </c:pt>
                <c:pt idx="73">
                  <c:v>0.92456440279335561</c:v>
                </c:pt>
                <c:pt idx="74">
                  <c:v>0.92196643477472606</c:v>
                </c:pt>
                <c:pt idx="75">
                  <c:v>0.91938337443161955</c:v>
                </c:pt>
                <c:pt idx="76">
                  <c:v>0.91681285736550022</c:v>
                </c:pt>
                <c:pt idx="77">
                  <c:v>0.91425339182302456</c:v>
                </c:pt>
                <c:pt idx="78">
                  <c:v>0.91165643456524204</c:v>
                </c:pt>
                <c:pt idx="79">
                  <c:v>0.90919152296809147</c:v>
                </c:pt>
                <c:pt idx="80">
                  <c:v>0.90664906495265452</c:v>
                </c:pt>
                <c:pt idx="81">
                  <c:v>0.90411122392280074</c:v>
                </c:pt>
                <c:pt idx="82">
                  <c:v>0.90157566805781175</c:v>
                </c:pt>
                <c:pt idx="83">
                  <c:v>0.89903953633201628</c:v>
                </c:pt>
                <c:pt idx="84">
                  <c:v>0.89646016475508605</c:v>
                </c:pt>
                <c:pt idx="85">
                  <c:v>0.89400064685197822</c:v>
                </c:pt>
                <c:pt idx="86">
                  <c:v>0.89145017958468797</c:v>
                </c:pt>
                <c:pt idx="87">
                  <c:v>0.88888985499929229</c:v>
                </c:pt>
                <c:pt idx="88">
                  <c:v>0.88631626016229115</c:v>
                </c:pt>
                <c:pt idx="89">
                  <c:v>0.88372408926342083</c:v>
                </c:pt>
                <c:pt idx="90">
                  <c:v>0.8810718992932387</c:v>
                </c:pt>
                <c:pt idx="91">
                  <c:v>0.87857649625376133</c:v>
                </c:pt>
                <c:pt idx="92">
                  <c:v>0.8760275076384304</c:v>
                </c:pt>
                <c:pt idx="93">
                  <c:v>0.87351315671415086</c:v>
                </c:pt>
                <c:pt idx="94">
                  <c:v>0.87103196643982939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16288"/>
        <c:axId val="51786112"/>
      </c:lineChart>
      <c:dateAx>
        <c:axId val="51116288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crossAx val="51786112"/>
        <c:crosses val="autoZero"/>
        <c:auto val="1"/>
        <c:lblOffset val="100"/>
        <c:baseTimeUnit val="months"/>
      </c:dateAx>
      <c:valAx>
        <c:axId val="51786112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511162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590550</xdr:colOff>
          <xdr:row>5</xdr:row>
          <xdr:rowOff>190499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/ Hide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Curve Configuration Pages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5</xdr:row>
      <xdr:rowOff>57150</xdr:rowOff>
    </xdr:from>
    <xdr:to>
      <xdr:col>19</xdr:col>
      <xdr:colOff>590551</xdr:colOff>
      <xdr:row>26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27</xdr:row>
      <xdr:rowOff>0</xdr:rowOff>
    </xdr:from>
    <xdr:to>
      <xdr:col>19</xdr:col>
      <xdr:colOff>581026</xdr:colOff>
      <xdr:row>47</xdr:row>
      <xdr:rowOff>171450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1"/>
  </sheetPr>
  <dimension ref="B3:C4"/>
  <sheetViews>
    <sheetView showGridLines="0" workbookViewId="0"/>
  </sheetViews>
  <sheetFormatPr defaultRowHeight="15" x14ac:dyDescent="0.25"/>
  <cols>
    <col min="2" max="2" width="16.28515625" customWidth="1"/>
    <col min="3" max="3" width="32.28515625" bestFit="1" customWidth="1"/>
  </cols>
  <sheetData>
    <row r="3" spans="2:3" x14ac:dyDescent="0.25">
      <c r="B3" s="212" t="s">
        <v>252</v>
      </c>
      <c r="C3" s="210">
        <v>42419</v>
      </c>
    </row>
    <row r="4" spans="2:3" x14ac:dyDescent="0.25">
      <c r="B4" s="213" t="s">
        <v>123</v>
      </c>
      <c r="C4" s="211" t="s">
        <v>78</v>
      </c>
    </row>
  </sheetData>
  <dataValidations count="1">
    <dataValidation type="list" allowBlank="1" showInputMessage="1" showErrorMessage="1" sqref="C4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 macro="[0]!ShowHideCurveConfig">
                <anchor moveWithCells="1" sizeWithCells="1">
                  <from>
                    <xdr:col>0</xdr:col>
                    <xdr:colOff>590550</xdr:colOff>
                    <xdr:row>5</xdr:row>
                    <xdr:rowOff>190500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3"/>
  </sheetPr>
  <dimension ref="A2:E46"/>
  <sheetViews>
    <sheetView showGridLines="0" workbookViewId="0"/>
  </sheetViews>
  <sheetFormatPr defaultRowHeight="15" x14ac:dyDescent="0.25"/>
  <cols>
    <col min="1" max="1" width="9.140625" customWidth="1"/>
    <col min="2" max="2" width="10.7109375" customWidth="1"/>
    <col min="3" max="4" width="35.7109375" customWidth="1"/>
    <col min="5" max="5" width="10.7109375" customWidth="1"/>
  </cols>
  <sheetData>
    <row r="2" spans="1:5" x14ac:dyDescent="0.25">
      <c r="B2" s="129" t="s">
        <v>248</v>
      </c>
      <c r="C2" s="129"/>
    </row>
    <row r="3" spans="1:5" x14ac:dyDescent="0.25">
      <c r="B3" s="183"/>
      <c r="C3" s="184"/>
      <c r="D3" s="2"/>
      <c r="E3" s="3"/>
    </row>
    <row r="4" spans="1:5" x14ac:dyDescent="0.25">
      <c r="B4" s="185"/>
      <c r="C4" s="176"/>
      <c r="D4" s="6"/>
      <c r="E4" s="7"/>
    </row>
    <row r="5" spans="1:5" x14ac:dyDescent="0.25">
      <c r="B5" s="185"/>
      <c r="C5" s="35" t="s">
        <v>247</v>
      </c>
      <c r="D5" s="6"/>
      <c r="E5" s="7"/>
    </row>
    <row r="6" spans="1:5" x14ac:dyDescent="0.25">
      <c r="B6" s="185"/>
      <c r="C6" s="192" t="s">
        <v>79</v>
      </c>
      <c r="D6" s="193" t="s">
        <v>8</v>
      </c>
      <c r="E6" s="7"/>
    </row>
    <row r="7" spans="1:5" x14ac:dyDescent="0.25">
      <c r="B7" s="185"/>
      <c r="C7" s="190" t="s">
        <v>81</v>
      </c>
      <c r="D7" s="191" t="s">
        <v>179</v>
      </c>
      <c r="E7" s="7"/>
    </row>
    <row r="8" spans="1:5" x14ac:dyDescent="0.25">
      <c r="B8" s="185"/>
      <c r="C8" s="176"/>
      <c r="D8" s="6"/>
      <c r="E8" s="7"/>
    </row>
    <row r="9" spans="1:5" x14ac:dyDescent="0.25">
      <c r="B9" s="185"/>
      <c r="C9" s="176"/>
      <c r="D9" s="6"/>
      <c r="E9" s="7"/>
    </row>
    <row r="10" spans="1:5" x14ac:dyDescent="0.25">
      <c r="B10" s="4"/>
      <c r="C10" s="35" t="s">
        <v>69</v>
      </c>
      <c r="D10" s="43"/>
      <c r="E10" s="7"/>
    </row>
    <row r="11" spans="1:5" x14ac:dyDescent="0.25">
      <c r="B11" s="4"/>
      <c r="C11" s="177" t="s">
        <v>9</v>
      </c>
      <c r="D11" s="214">
        <f ca="1">COB</f>
        <v>42419</v>
      </c>
      <c r="E11" s="7"/>
    </row>
    <row r="12" spans="1:5" x14ac:dyDescent="0.25">
      <c r="A12" s="174"/>
      <c r="B12" s="4"/>
      <c r="C12" s="178" t="s">
        <v>15</v>
      </c>
      <c r="D12" s="179" t="s">
        <v>16</v>
      </c>
      <c r="E12" s="7"/>
    </row>
    <row r="13" spans="1:5" x14ac:dyDescent="0.25">
      <c r="B13" s="4"/>
      <c r="C13" s="188" t="s">
        <v>23</v>
      </c>
      <c r="D13" s="189" t="str">
        <f ca="1">Interpolation</f>
        <v>fn_MonotoneConvexInterpolation</v>
      </c>
      <c r="E13" s="7"/>
    </row>
    <row r="14" spans="1:5" x14ac:dyDescent="0.25">
      <c r="B14" s="4"/>
      <c r="C14" s="6"/>
      <c r="D14" s="6"/>
      <c r="E14" s="7"/>
    </row>
    <row r="15" spans="1:5" x14ac:dyDescent="0.25">
      <c r="B15" s="4"/>
      <c r="C15" s="6"/>
      <c r="D15" s="6"/>
      <c r="E15" s="7"/>
    </row>
    <row r="16" spans="1:5" x14ac:dyDescent="0.25">
      <c r="B16" s="4"/>
      <c r="C16" s="35" t="s">
        <v>76</v>
      </c>
      <c r="D16" s="9"/>
      <c r="E16" s="7"/>
    </row>
    <row r="17" spans="2:5" x14ac:dyDescent="0.25">
      <c r="B17" s="4"/>
      <c r="C17" s="18" t="s">
        <v>3</v>
      </c>
      <c r="D17" s="180" t="s">
        <v>2</v>
      </c>
      <c r="E17" s="7"/>
    </row>
    <row r="18" spans="2:5" x14ac:dyDescent="0.25">
      <c r="B18" s="4"/>
      <c r="C18" s="19" t="s">
        <v>6</v>
      </c>
      <c r="D18" s="83" t="s">
        <v>5</v>
      </c>
      <c r="E18" s="7"/>
    </row>
    <row r="19" spans="2:5" x14ac:dyDescent="0.25">
      <c r="B19" s="4"/>
      <c r="C19" s="19" t="s">
        <v>24</v>
      </c>
      <c r="D19" s="83" t="s">
        <v>25</v>
      </c>
      <c r="E19" s="7"/>
    </row>
    <row r="20" spans="2:5" x14ac:dyDescent="0.25">
      <c r="B20" s="4"/>
      <c r="C20" s="19" t="s">
        <v>14</v>
      </c>
      <c r="D20" s="83" t="s">
        <v>29</v>
      </c>
      <c r="E20" s="7"/>
    </row>
    <row r="21" spans="2:5" x14ac:dyDescent="0.25">
      <c r="B21" s="4"/>
      <c r="C21" s="19" t="s">
        <v>22</v>
      </c>
      <c r="D21" s="83" t="s">
        <v>21</v>
      </c>
      <c r="E21" s="7"/>
    </row>
    <row r="22" spans="2:5" x14ac:dyDescent="0.25">
      <c r="B22" s="4"/>
      <c r="C22" s="20" t="s">
        <v>30</v>
      </c>
      <c r="D22" s="83" t="b">
        <v>1</v>
      </c>
      <c r="E22" s="7"/>
    </row>
    <row r="23" spans="2:5" x14ac:dyDescent="0.25">
      <c r="B23" s="4"/>
      <c r="C23" s="21" t="s">
        <v>31</v>
      </c>
      <c r="D23" s="181">
        <v>31</v>
      </c>
      <c r="E23" s="7"/>
    </row>
    <row r="24" spans="2:5" x14ac:dyDescent="0.25">
      <c r="B24" s="4"/>
      <c r="C24" s="19" t="s">
        <v>32</v>
      </c>
      <c r="D24" s="83" t="s">
        <v>33</v>
      </c>
      <c r="E24" s="7"/>
    </row>
    <row r="25" spans="2:5" x14ac:dyDescent="0.25">
      <c r="B25" s="4"/>
      <c r="C25" s="19" t="s">
        <v>34</v>
      </c>
      <c r="D25" s="83" t="s">
        <v>35</v>
      </c>
      <c r="E25" s="7"/>
    </row>
    <row r="26" spans="2:5" x14ac:dyDescent="0.25">
      <c r="B26" s="4"/>
      <c r="C26" s="19" t="s">
        <v>37</v>
      </c>
      <c r="D26" s="83" t="s">
        <v>38</v>
      </c>
      <c r="E26" s="7"/>
    </row>
    <row r="27" spans="2:5" x14ac:dyDescent="0.25">
      <c r="B27" s="4"/>
      <c r="C27" s="19" t="s">
        <v>39</v>
      </c>
      <c r="D27" s="83" t="s">
        <v>40</v>
      </c>
      <c r="E27" s="7"/>
    </row>
    <row r="28" spans="2:5" x14ac:dyDescent="0.25">
      <c r="B28" s="4"/>
      <c r="C28" s="19" t="s">
        <v>41</v>
      </c>
      <c r="D28" s="83" t="s">
        <v>42</v>
      </c>
      <c r="E28" s="7"/>
    </row>
    <row r="29" spans="2:5" x14ac:dyDescent="0.25">
      <c r="B29" s="4"/>
      <c r="C29" s="20" t="s">
        <v>43</v>
      </c>
      <c r="D29" s="83" t="s">
        <v>44</v>
      </c>
      <c r="E29" s="7"/>
    </row>
    <row r="30" spans="2:5" x14ac:dyDescent="0.25">
      <c r="B30" s="4"/>
      <c r="C30" s="19" t="s">
        <v>126</v>
      </c>
      <c r="D30" s="182">
        <v>1E-10</v>
      </c>
      <c r="E30" s="7"/>
    </row>
    <row r="31" spans="2:5" x14ac:dyDescent="0.25">
      <c r="B31" s="4"/>
      <c r="C31" s="42" t="s">
        <v>127</v>
      </c>
      <c r="D31" s="187">
        <v>1000</v>
      </c>
      <c r="E31" s="7"/>
    </row>
    <row r="32" spans="2:5" x14ac:dyDescent="0.25">
      <c r="B32" s="4"/>
      <c r="C32" s="6"/>
      <c r="D32" s="6"/>
      <c r="E32" s="7"/>
    </row>
    <row r="33" spans="2:5" x14ac:dyDescent="0.25">
      <c r="B33" s="4"/>
      <c r="C33" s="6"/>
      <c r="D33" s="6"/>
      <c r="E33" s="7"/>
    </row>
    <row r="34" spans="2:5" x14ac:dyDescent="0.25">
      <c r="B34" s="4"/>
      <c r="C34" s="35" t="s">
        <v>70</v>
      </c>
      <c r="D34" s="9"/>
      <c r="E34" s="7"/>
    </row>
    <row r="35" spans="2:5" x14ac:dyDescent="0.25">
      <c r="B35" s="4"/>
      <c r="C35" s="18" t="s">
        <v>1</v>
      </c>
      <c r="D35" s="180" t="s">
        <v>2</v>
      </c>
      <c r="E35" s="7"/>
    </row>
    <row r="36" spans="2:5" x14ac:dyDescent="0.25">
      <c r="B36" s="4"/>
      <c r="C36" s="19" t="s">
        <v>17</v>
      </c>
      <c r="D36" s="83" t="s">
        <v>5</v>
      </c>
      <c r="E36" s="7"/>
    </row>
    <row r="37" spans="2:5" x14ac:dyDescent="0.25">
      <c r="B37" s="4"/>
      <c r="C37" s="19" t="s">
        <v>26</v>
      </c>
      <c r="D37" s="83" t="s">
        <v>27</v>
      </c>
      <c r="E37" s="7"/>
    </row>
    <row r="38" spans="2:5" x14ac:dyDescent="0.25">
      <c r="B38" s="4"/>
      <c r="C38" s="42" t="s">
        <v>20</v>
      </c>
      <c r="D38" s="84" t="s">
        <v>21</v>
      </c>
      <c r="E38" s="7"/>
    </row>
    <row r="39" spans="2:5" x14ac:dyDescent="0.25">
      <c r="B39" s="4"/>
      <c r="C39" s="6"/>
      <c r="D39" s="6"/>
      <c r="E39" s="7"/>
    </row>
    <row r="40" spans="2:5" x14ac:dyDescent="0.25">
      <c r="B40" s="4"/>
      <c r="C40" s="6"/>
      <c r="D40" s="6"/>
      <c r="E40" s="7"/>
    </row>
    <row r="41" spans="2:5" x14ac:dyDescent="0.25">
      <c r="B41" s="4"/>
      <c r="C41" s="35" t="s">
        <v>73</v>
      </c>
      <c r="D41" s="9"/>
      <c r="E41" s="7"/>
    </row>
    <row r="42" spans="2:5" x14ac:dyDescent="0.25">
      <c r="B42" s="4"/>
      <c r="C42" s="18" t="s">
        <v>3</v>
      </c>
      <c r="D42" s="180" t="s">
        <v>2</v>
      </c>
      <c r="E42" s="7"/>
    </row>
    <row r="43" spans="2:5" x14ac:dyDescent="0.25">
      <c r="B43" s="4"/>
      <c r="C43" s="19" t="s">
        <v>18</v>
      </c>
      <c r="D43" s="83" t="s">
        <v>19</v>
      </c>
      <c r="E43" s="7"/>
    </row>
    <row r="44" spans="2:5" x14ac:dyDescent="0.25">
      <c r="B44" s="4"/>
      <c r="C44" s="19" t="s">
        <v>28</v>
      </c>
      <c r="D44" s="83" t="s">
        <v>25</v>
      </c>
      <c r="E44" s="7"/>
    </row>
    <row r="45" spans="2:5" x14ac:dyDescent="0.25">
      <c r="B45" s="4"/>
      <c r="C45" s="42" t="s">
        <v>22</v>
      </c>
      <c r="D45" s="84" t="s">
        <v>21</v>
      </c>
      <c r="E45" s="7"/>
    </row>
    <row r="46" spans="2:5" x14ac:dyDescent="0.25">
      <c r="B46" s="10"/>
      <c r="C46" s="11"/>
      <c r="D46" s="11"/>
      <c r="E46" s="12"/>
    </row>
  </sheetData>
  <dataValidations count="1">
    <dataValidation type="list" allowBlank="1" showInputMessage="1" showErrorMessage="1" sqref="D13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3"/>
  </sheetPr>
  <dimension ref="B2:E72"/>
  <sheetViews>
    <sheetView showGridLines="0" workbookViewId="0"/>
  </sheetViews>
  <sheetFormatPr defaultRowHeight="15" x14ac:dyDescent="0.25"/>
  <cols>
    <col min="2" max="2" width="10.7109375" customWidth="1"/>
    <col min="3" max="4" width="35.7109375" customWidth="1"/>
    <col min="5" max="5" width="10.7109375" customWidth="1"/>
  </cols>
  <sheetData>
    <row r="2" spans="2:5" x14ac:dyDescent="0.25">
      <c r="B2" s="128" t="s">
        <v>251</v>
      </c>
    </row>
    <row r="3" spans="2:5" x14ac:dyDescent="0.25">
      <c r="B3" s="1"/>
      <c r="C3" s="31"/>
      <c r="D3" s="32"/>
      <c r="E3" s="3"/>
    </row>
    <row r="4" spans="2:5" x14ac:dyDescent="0.25">
      <c r="B4" s="4"/>
      <c r="C4" s="35" t="s">
        <v>247</v>
      </c>
      <c r="D4" s="43"/>
      <c r="E4" s="7"/>
    </row>
    <row r="5" spans="2:5" x14ac:dyDescent="0.25">
      <c r="B5" s="4"/>
      <c r="C5" s="18" t="s">
        <v>79</v>
      </c>
      <c r="D5" s="180" t="s">
        <v>82</v>
      </c>
      <c r="E5" s="7"/>
    </row>
    <row r="6" spans="2:5" x14ac:dyDescent="0.25">
      <c r="B6" s="4"/>
      <c r="C6" s="42" t="s">
        <v>81</v>
      </c>
      <c r="D6" s="84" t="s">
        <v>83</v>
      </c>
      <c r="E6" s="7"/>
    </row>
    <row r="7" spans="2:5" x14ac:dyDescent="0.25">
      <c r="B7" s="4"/>
      <c r="C7" s="5"/>
      <c r="D7" s="43"/>
      <c r="E7" s="7"/>
    </row>
    <row r="8" spans="2:5" x14ac:dyDescent="0.25">
      <c r="B8" s="4"/>
      <c r="C8" s="5"/>
      <c r="D8" s="43"/>
      <c r="E8" s="7"/>
    </row>
    <row r="9" spans="2:5" x14ac:dyDescent="0.25">
      <c r="B9" s="4"/>
      <c r="C9" s="34" t="s">
        <v>69</v>
      </c>
      <c r="D9" s="33"/>
      <c r="E9" s="7"/>
    </row>
    <row r="10" spans="2:5" x14ac:dyDescent="0.25">
      <c r="B10" s="4"/>
      <c r="C10" s="18" t="s">
        <v>9</v>
      </c>
      <c r="D10" s="214">
        <f ca="1">COB</f>
        <v>42419</v>
      </c>
      <c r="E10" s="7"/>
    </row>
    <row r="11" spans="2:5" x14ac:dyDescent="0.25">
      <c r="B11" s="4"/>
      <c r="C11" s="19" t="s">
        <v>15</v>
      </c>
      <c r="D11" s="83" t="s">
        <v>16</v>
      </c>
      <c r="E11" s="7"/>
    </row>
    <row r="12" spans="2:5" x14ac:dyDescent="0.25">
      <c r="B12" s="4"/>
      <c r="C12" s="20" t="s">
        <v>84</v>
      </c>
      <c r="D12" s="85" t="str">
        <f ca="1">Interpolation</f>
        <v>fn_MonotoneConvexInterpolation</v>
      </c>
      <c r="E12" s="7"/>
    </row>
    <row r="13" spans="2:5" x14ac:dyDescent="0.25">
      <c r="B13" s="4"/>
      <c r="C13" s="20" t="s">
        <v>23</v>
      </c>
      <c r="D13" s="85" t="str">
        <f ca="1">Interpolation</f>
        <v>fn_MonotoneConvexInterpolation</v>
      </c>
      <c r="E13" s="7"/>
    </row>
    <row r="14" spans="2:5" x14ac:dyDescent="0.25">
      <c r="B14" s="4"/>
      <c r="C14" s="20" t="s">
        <v>86</v>
      </c>
      <c r="D14" s="83" t="b">
        <v>1</v>
      </c>
      <c r="E14" s="7"/>
    </row>
    <row r="15" spans="2:5" x14ac:dyDescent="0.25">
      <c r="B15" s="4"/>
      <c r="C15" s="20" t="s">
        <v>85</v>
      </c>
      <c r="D15" s="83" t="b">
        <v>0</v>
      </c>
      <c r="E15" s="7"/>
    </row>
    <row r="16" spans="2:5" x14ac:dyDescent="0.25">
      <c r="B16" s="4"/>
      <c r="C16" s="20" t="s">
        <v>26</v>
      </c>
      <c r="D16" s="83" t="s">
        <v>121</v>
      </c>
      <c r="E16" s="7"/>
    </row>
    <row r="17" spans="2:5" x14ac:dyDescent="0.25">
      <c r="B17" s="4"/>
      <c r="C17" s="30" t="s">
        <v>87</v>
      </c>
      <c r="D17" s="84" t="s">
        <v>8</v>
      </c>
      <c r="E17" s="7"/>
    </row>
    <row r="18" spans="2:5" x14ac:dyDescent="0.25">
      <c r="B18" s="4"/>
      <c r="C18" s="35"/>
      <c r="D18" s="35"/>
      <c r="E18" s="7"/>
    </row>
    <row r="19" spans="2:5" x14ac:dyDescent="0.25">
      <c r="B19" s="4"/>
      <c r="C19" s="35"/>
      <c r="D19" s="35"/>
      <c r="E19" s="7"/>
    </row>
    <row r="20" spans="2:5" x14ac:dyDescent="0.25">
      <c r="B20" s="4"/>
      <c r="C20" s="35" t="s">
        <v>240</v>
      </c>
      <c r="D20" s="9"/>
      <c r="E20" s="7"/>
    </row>
    <row r="21" spans="2:5" x14ac:dyDescent="0.25">
      <c r="B21" s="4"/>
      <c r="C21" s="18" t="s">
        <v>1</v>
      </c>
      <c r="D21" s="23" t="s">
        <v>2</v>
      </c>
      <c r="E21" s="7"/>
    </row>
    <row r="22" spans="2:5" x14ac:dyDescent="0.25">
      <c r="B22" s="4"/>
      <c r="C22" s="19" t="s">
        <v>89</v>
      </c>
      <c r="D22" s="24" t="s">
        <v>5</v>
      </c>
      <c r="E22" s="7"/>
    </row>
    <row r="23" spans="2:5" x14ac:dyDescent="0.25">
      <c r="B23" s="4"/>
      <c r="C23" s="19" t="s">
        <v>90</v>
      </c>
      <c r="D23" s="24" t="s">
        <v>91</v>
      </c>
      <c r="E23" s="7"/>
    </row>
    <row r="24" spans="2:5" x14ac:dyDescent="0.25">
      <c r="B24" s="4"/>
      <c r="C24" s="19"/>
      <c r="D24" s="24"/>
      <c r="E24" s="7"/>
    </row>
    <row r="25" spans="2:5" x14ac:dyDescent="0.25">
      <c r="B25" s="4"/>
      <c r="C25" s="42"/>
      <c r="D25" s="199"/>
      <c r="E25" s="7"/>
    </row>
    <row r="26" spans="2:5" x14ac:dyDescent="0.25">
      <c r="B26" s="4"/>
      <c r="C26" s="8"/>
      <c r="D26" s="8"/>
      <c r="E26" s="7"/>
    </row>
    <row r="27" spans="2:5" x14ac:dyDescent="0.25">
      <c r="B27" s="4"/>
      <c r="C27" s="35"/>
      <c r="D27" s="35"/>
      <c r="E27" s="7"/>
    </row>
    <row r="28" spans="2:5" x14ac:dyDescent="0.25">
      <c r="B28" s="4"/>
      <c r="C28" s="35" t="s">
        <v>250</v>
      </c>
      <c r="D28" s="9"/>
      <c r="E28" s="7"/>
    </row>
    <row r="29" spans="2:5" x14ac:dyDescent="0.25">
      <c r="B29" s="4"/>
      <c r="C29" s="18" t="s">
        <v>1</v>
      </c>
      <c r="D29" s="23" t="s">
        <v>2</v>
      </c>
      <c r="E29" s="7"/>
    </row>
    <row r="30" spans="2:5" x14ac:dyDescent="0.25">
      <c r="B30" s="4"/>
      <c r="C30" s="21" t="s">
        <v>17</v>
      </c>
      <c r="D30" s="46" t="s">
        <v>5</v>
      </c>
      <c r="E30" s="7"/>
    </row>
    <row r="31" spans="2:5" x14ac:dyDescent="0.25">
      <c r="B31" s="4"/>
      <c r="C31" s="20" t="s">
        <v>26</v>
      </c>
      <c r="D31" s="24" t="s">
        <v>92</v>
      </c>
      <c r="E31" s="7"/>
    </row>
    <row r="32" spans="2:5" x14ac:dyDescent="0.25">
      <c r="B32" s="4"/>
      <c r="C32" s="20" t="s">
        <v>93</v>
      </c>
      <c r="D32" s="46">
        <v>2</v>
      </c>
      <c r="E32" s="7"/>
    </row>
    <row r="33" spans="2:5" x14ac:dyDescent="0.25">
      <c r="B33" s="4"/>
      <c r="C33" s="30" t="s">
        <v>20</v>
      </c>
      <c r="D33" s="47" t="s">
        <v>21</v>
      </c>
      <c r="E33" s="7"/>
    </row>
    <row r="34" spans="2:5" x14ac:dyDescent="0.25">
      <c r="B34" s="4"/>
      <c r="C34" s="35"/>
      <c r="D34" s="35"/>
      <c r="E34" s="7"/>
    </row>
    <row r="35" spans="2:5" x14ac:dyDescent="0.25">
      <c r="B35" s="4"/>
      <c r="C35" s="35"/>
      <c r="D35" s="35"/>
      <c r="E35" s="7"/>
    </row>
    <row r="36" spans="2:5" x14ac:dyDescent="0.25">
      <c r="B36" s="4"/>
      <c r="C36" s="35" t="s">
        <v>97</v>
      </c>
      <c r="D36" s="9"/>
      <c r="E36" s="7"/>
    </row>
    <row r="37" spans="2:5" x14ac:dyDescent="0.25">
      <c r="B37" s="4"/>
      <c r="C37" s="18" t="s">
        <v>1</v>
      </c>
      <c r="D37" s="23" t="s">
        <v>2</v>
      </c>
      <c r="E37" s="7"/>
    </row>
    <row r="38" spans="2:5" x14ac:dyDescent="0.25">
      <c r="B38" s="4"/>
      <c r="C38" s="19" t="s">
        <v>89</v>
      </c>
      <c r="D38" s="24" t="s">
        <v>5</v>
      </c>
      <c r="E38" s="7"/>
    </row>
    <row r="39" spans="2:5" x14ac:dyDescent="0.25">
      <c r="B39" s="4"/>
      <c r="C39" s="19" t="s">
        <v>98</v>
      </c>
      <c r="D39" s="24">
        <v>2</v>
      </c>
      <c r="E39" s="7"/>
    </row>
    <row r="40" spans="2:5" x14ac:dyDescent="0.25">
      <c r="B40" s="4"/>
      <c r="C40" s="19" t="s">
        <v>20</v>
      </c>
      <c r="D40" s="45" t="s">
        <v>21</v>
      </c>
      <c r="E40" s="7"/>
    </row>
    <row r="41" spans="2:5" x14ac:dyDescent="0.25">
      <c r="B41" s="4"/>
      <c r="C41" s="19" t="s">
        <v>94</v>
      </c>
      <c r="D41" s="24" t="b">
        <v>0</v>
      </c>
      <c r="E41" s="7"/>
    </row>
    <row r="42" spans="2:5" x14ac:dyDescent="0.25">
      <c r="B42" s="4"/>
      <c r="C42" s="19" t="s">
        <v>99</v>
      </c>
      <c r="D42" s="24" t="b">
        <v>1</v>
      </c>
      <c r="E42" s="7"/>
    </row>
    <row r="43" spans="2:5" x14ac:dyDescent="0.25">
      <c r="B43" s="4"/>
      <c r="C43" s="42" t="s">
        <v>100</v>
      </c>
      <c r="D43" s="199">
        <v>2</v>
      </c>
      <c r="E43" s="7"/>
    </row>
    <row r="44" spans="2:5" x14ac:dyDescent="0.25">
      <c r="B44" s="4"/>
      <c r="C44" s="8"/>
      <c r="D44" s="8"/>
      <c r="E44" s="7"/>
    </row>
    <row r="45" spans="2:5" x14ac:dyDescent="0.25">
      <c r="B45" s="4"/>
      <c r="C45" s="8"/>
      <c r="D45" s="8"/>
      <c r="E45" s="7"/>
    </row>
    <row r="46" spans="2:5" x14ac:dyDescent="0.25">
      <c r="B46" s="4"/>
      <c r="C46" s="35" t="s">
        <v>113</v>
      </c>
      <c r="D46" s="9"/>
      <c r="E46" s="7"/>
    </row>
    <row r="47" spans="2:5" x14ac:dyDescent="0.25">
      <c r="B47" s="4"/>
      <c r="C47" s="18"/>
      <c r="D47" s="23"/>
      <c r="E47" s="7"/>
    </row>
    <row r="48" spans="2:5" x14ac:dyDescent="0.25">
      <c r="B48" s="4"/>
      <c r="C48" s="19"/>
      <c r="D48" s="24"/>
      <c r="E48" s="7"/>
    </row>
    <row r="49" spans="2:5" x14ac:dyDescent="0.25">
      <c r="B49" s="4"/>
      <c r="C49" s="19"/>
      <c r="D49" s="24"/>
      <c r="E49" s="7"/>
    </row>
    <row r="50" spans="2:5" x14ac:dyDescent="0.25">
      <c r="B50" s="4"/>
      <c r="C50" s="19"/>
      <c r="D50" s="81"/>
      <c r="E50" s="7"/>
    </row>
    <row r="51" spans="2:5" x14ac:dyDescent="0.25">
      <c r="B51" s="4"/>
      <c r="C51" s="19"/>
      <c r="D51" s="51"/>
      <c r="E51" s="7"/>
    </row>
    <row r="52" spans="2:5" x14ac:dyDescent="0.25">
      <c r="B52" s="4"/>
      <c r="C52" s="19"/>
      <c r="D52" s="24"/>
      <c r="E52" s="7"/>
    </row>
    <row r="53" spans="2:5" x14ac:dyDescent="0.25">
      <c r="B53" s="4"/>
      <c r="C53" s="22"/>
      <c r="D53" s="26"/>
      <c r="E53" s="7"/>
    </row>
    <row r="54" spans="2:5" x14ac:dyDescent="0.25">
      <c r="B54" s="4"/>
      <c r="C54" s="9"/>
      <c r="D54" s="9"/>
      <c r="E54" s="7"/>
    </row>
    <row r="55" spans="2:5" x14ac:dyDescent="0.25">
      <c r="B55" s="4"/>
      <c r="C55" s="9"/>
      <c r="D55" s="9"/>
      <c r="E55" s="7"/>
    </row>
    <row r="56" spans="2:5" x14ac:dyDescent="0.25">
      <c r="B56" s="4"/>
      <c r="C56" s="35" t="s">
        <v>118</v>
      </c>
      <c r="D56" s="9"/>
      <c r="E56" s="7"/>
    </row>
    <row r="57" spans="2:5" x14ac:dyDescent="0.25">
      <c r="B57" s="4"/>
      <c r="C57" s="79" t="s">
        <v>1</v>
      </c>
      <c r="D57" s="23" t="s">
        <v>2</v>
      </c>
      <c r="E57" s="7"/>
    </row>
    <row r="58" spans="2:5" x14ac:dyDescent="0.25">
      <c r="B58" s="4"/>
      <c r="C58" s="80" t="s">
        <v>89</v>
      </c>
      <c r="D58" s="24" t="s">
        <v>19</v>
      </c>
      <c r="E58" s="7"/>
    </row>
    <row r="59" spans="2:5" x14ac:dyDescent="0.25">
      <c r="B59" s="4"/>
      <c r="C59" s="80" t="s">
        <v>120</v>
      </c>
      <c r="D59" s="24" t="s">
        <v>5</v>
      </c>
      <c r="E59" s="7"/>
    </row>
    <row r="60" spans="2:5" x14ac:dyDescent="0.25">
      <c r="B60" s="4"/>
      <c r="C60" s="80" t="s">
        <v>26</v>
      </c>
      <c r="D60" s="24" t="s">
        <v>25</v>
      </c>
      <c r="E60" s="7"/>
    </row>
    <row r="61" spans="2:5" x14ac:dyDescent="0.25">
      <c r="B61" s="4"/>
      <c r="C61" s="80" t="s">
        <v>122</v>
      </c>
      <c r="D61" s="24" t="s">
        <v>121</v>
      </c>
      <c r="E61" s="7"/>
    </row>
    <row r="62" spans="2:5" x14ac:dyDescent="0.25">
      <c r="B62" s="4"/>
      <c r="C62" s="80" t="s">
        <v>123</v>
      </c>
      <c r="D62" s="85" t="str">
        <f>Interpolation</f>
        <v>fn_MonotoneConvexInterpolation</v>
      </c>
      <c r="E62" s="7"/>
    </row>
    <row r="63" spans="2:5" x14ac:dyDescent="0.25">
      <c r="B63" s="4"/>
      <c r="C63" s="80" t="s">
        <v>94</v>
      </c>
      <c r="D63" s="24" t="b">
        <v>1</v>
      </c>
      <c r="E63" s="7"/>
    </row>
    <row r="64" spans="2:5" x14ac:dyDescent="0.25">
      <c r="B64" s="4"/>
      <c r="C64" s="80" t="s">
        <v>241</v>
      </c>
      <c r="D64" s="24">
        <v>31</v>
      </c>
      <c r="E64" s="7"/>
    </row>
    <row r="65" spans="2:5" x14ac:dyDescent="0.25">
      <c r="B65" s="4"/>
      <c r="C65" s="80" t="s">
        <v>93</v>
      </c>
      <c r="D65" s="24">
        <v>2</v>
      </c>
      <c r="E65" s="7"/>
    </row>
    <row r="66" spans="2:5" x14ac:dyDescent="0.25">
      <c r="B66" s="4"/>
      <c r="C66" s="80" t="s">
        <v>20</v>
      </c>
      <c r="D66" s="45" t="s">
        <v>21</v>
      </c>
      <c r="E66" s="7"/>
    </row>
    <row r="67" spans="2:5" x14ac:dyDescent="0.25">
      <c r="B67" s="4"/>
      <c r="C67" s="80" t="s">
        <v>124</v>
      </c>
      <c r="D67" s="24" t="b">
        <v>1</v>
      </c>
      <c r="E67" s="7"/>
    </row>
    <row r="68" spans="2:5" x14ac:dyDescent="0.25">
      <c r="B68" s="4"/>
      <c r="C68" s="80" t="s">
        <v>125</v>
      </c>
      <c r="D68" s="24" t="b">
        <v>1</v>
      </c>
      <c r="E68" s="7"/>
    </row>
    <row r="69" spans="2:5" x14ac:dyDescent="0.25">
      <c r="B69" s="4"/>
      <c r="C69" s="80" t="s">
        <v>126</v>
      </c>
      <c r="D69" s="25">
        <v>1.0000000000000001E-9</v>
      </c>
      <c r="E69" s="7"/>
    </row>
    <row r="70" spans="2:5" x14ac:dyDescent="0.25">
      <c r="B70" s="4"/>
      <c r="C70" s="200" t="s">
        <v>127</v>
      </c>
      <c r="D70" s="201">
        <v>1000</v>
      </c>
      <c r="E70" s="7"/>
    </row>
    <row r="71" spans="2:5" x14ac:dyDescent="0.25">
      <c r="B71" s="4"/>
      <c r="C71" s="8"/>
      <c r="D71" s="8"/>
      <c r="E71" s="7"/>
    </row>
    <row r="72" spans="2:5" x14ac:dyDescent="0.25">
      <c r="B72" s="10"/>
      <c r="C72" s="11"/>
      <c r="D72" s="11"/>
      <c r="E72" s="12"/>
    </row>
  </sheetData>
  <dataValidations count="2">
    <dataValidation type="list" allowBlank="1" showInputMessage="1" showErrorMessage="1" sqref="D62 D12:D13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D40 D66 D50">
      <formula1>"FOLLOWING,MOD_FOLLOWING,PRECEDING,MOD_PRECEEDING,NO_CHANGE"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3"/>
  </sheetPr>
  <dimension ref="B3:F69"/>
  <sheetViews>
    <sheetView showGridLines="0" workbookViewId="0"/>
  </sheetViews>
  <sheetFormatPr defaultRowHeight="15" x14ac:dyDescent="0.25"/>
  <cols>
    <col min="2" max="2" width="10.7109375" customWidth="1"/>
    <col min="3" max="3" width="13" customWidth="1"/>
    <col min="4" max="4" width="32" customWidth="1"/>
    <col min="5" max="5" width="32.42578125" customWidth="1"/>
    <col min="6" max="6" width="10.7109375" customWidth="1"/>
    <col min="7" max="11" width="20.7109375" customWidth="1"/>
    <col min="12" max="12" width="2.7109375" customWidth="1"/>
  </cols>
  <sheetData>
    <row r="3" spans="2:6" x14ac:dyDescent="0.25">
      <c r="B3" s="129" t="s">
        <v>207</v>
      </c>
      <c r="C3" s="39"/>
    </row>
    <row r="4" spans="2:6" x14ac:dyDescent="0.25">
      <c r="B4" s="1"/>
      <c r="C4" s="2"/>
      <c r="D4" s="31"/>
      <c r="E4" s="32"/>
      <c r="F4" s="3"/>
    </row>
    <row r="5" spans="2:6" x14ac:dyDescent="0.25">
      <c r="B5" s="4"/>
      <c r="C5" s="6"/>
      <c r="D5" s="34" t="s">
        <v>0</v>
      </c>
      <c r="E5" s="40"/>
      <c r="F5" s="7"/>
    </row>
    <row r="6" spans="2:6" x14ac:dyDescent="0.25">
      <c r="B6" s="4"/>
      <c r="C6" s="6"/>
      <c r="D6" s="19" t="s">
        <v>79</v>
      </c>
      <c r="E6" s="83" t="s">
        <v>130</v>
      </c>
      <c r="F6" s="7"/>
    </row>
    <row r="7" spans="2:6" x14ac:dyDescent="0.25">
      <c r="B7" s="4"/>
      <c r="C7" s="6"/>
      <c r="D7" s="42" t="s">
        <v>81</v>
      </c>
      <c r="E7" s="84" t="s">
        <v>131</v>
      </c>
      <c r="F7" s="7" t="s">
        <v>4</v>
      </c>
    </row>
    <row r="8" spans="2:6" x14ac:dyDescent="0.25">
      <c r="B8" s="10"/>
      <c r="C8" s="11"/>
      <c r="D8" s="11"/>
      <c r="E8" s="11"/>
      <c r="F8" s="12"/>
    </row>
    <row r="11" spans="2:6" x14ac:dyDescent="0.25">
      <c r="B11" s="39" t="s">
        <v>69</v>
      </c>
      <c r="C11" s="39"/>
    </row>
    <row r="12" spans="2:6" x14ac:dyDescent="0.25">
      <c r="B12" s="1"/>
      <c r="C12" s="2"/>
      <c r="D12" s="31"/>
      <c r="E12" s="32"/>
      <c r="F12" s="3"/>
    </row>
    <row r="13" spans="2:6" x14ac:dyDescent="0.25">
      <c r="B13" s="4"/>
      <c r="C13" s="6"/>
      <c r="D13" s="34" t="s">
        <v>69</v>
      </c>
      <c r="E13" s="33"/>
      <c r="F13" s="7"/>
    </row>
    <row r="14" spans="2:6" x14ac:dyDescent="0.25">
      <c r="B14" s="4"/>
      <c r="C14" s="6"/>
      <c r="D14" s="18" t="s">
        <v>9</v>
      </c>
      <c r="E14" s="214">
        <f ca="1">COB</f>
        <v>42419</v>
      </c>
      <c r="F14" s="7"/>
    </row>
    <row r="15" spans="2:6" x14ac:dyDescent="0.25">
      <c r="B15" s="4"/>
      <c r="C15" s="6"/>
      <c r="D15" s="19" t="s">
        <v>15</v>
      </c>
      <c r="E15" s="83" t="s">
        <v>16</v>
      </c>
      <c r="F15" s="7"/>
    </row>
    <row r="16" spans="2:6" x14ac:dyDescent="0.25">
      <c r="B16" s="4"/>
      <c r="C16" s="6"/>
      <c r="D16" s="19" t="s">
        <v>242</v>
      </c>
      <c r="E16" s="85" t="str">
        <f ca="1">Interpolation</f>
        <v>fn_MonotoneConvexInterpolation</v>
      </c>
      <c r="F16" s="7"/>
    </row>
    <row r="17" spans="2:6" x14ac:dyDescent="0.25">
      <c r="B17" s="4"/>
      <c r="C17" s="6"/>
      <c r="D17" s="156" t="s">
        <v>243</v>
      </c>
      <c r="E17" s="83" t="b">
        <v>0</v>
      </c>
      <c r="F17" s="7"/>
    </row>
    <row r="18" spans="2:6" x14ac:dyDescent="0.25">
      <c r="B18" s="4"/>
      <c r="C18" s="6"/>
      <c r="D18" s="207" t="s">
        <v>244</v>
      </c>
      <c r="E18" s="84" t="s">
        <v>8</v>
      </c>
      <c r="F18" s="7"/>
    </row>
    <row r="19" spans="2:6" x14ac:dyDescent="0.25">
      <c r="B19" s="10"/>
      <c r="C19" s="11"/>
      <c r="D19" s="11"/>
      <c r="E19" s="11"/>
      <c r="F19" s="12"/>
    </row>
    <row r="22" spans="2:6" x14ac:dyDescent="0.25">
      <c r="B22" s="39" t="s">
        <v>132</v>
      </c>
      <c r="C22" s="39"/>
    </row>
    <row r="23" spans="2:6" x14ac:dyDescent="0.25">
      <c r="B23" s="1"/>
      <c r="C23" s="2"/>
      <c r="D23" s="2"/>
      <c r="E23" s="2"/>
      <c r="F23" s="3"/>
    </row>
    <row r="24" spans="2:6" x14ac:dyDescent="0.25">
      <c r="B24" s="4"/>
      <c r="C24" s="6"/>
      <c r="D24" s="35" t="s">
        <v>174</v>
      </c>
      <c r="E24" s="9"/>
      <c r="F24" s="38"/>
    </row>
    <row r="25" spans="2:6" x14ac:dyDescent="0.25">
      <c r="B25" s="4"/>
      <c r="C25" s="89"/>
      <c r="D25" s="18" t="s">
        <v>133</v>
      </c>
      <c r="E25" s="23" t="s">
        <v>134</v>
      </c>
      <c r="F25" s="38"/>
    </row>
    <row r="26" spans="2:6" x14ac:dyDescent="0.25">
      <c r="B26" s="4"/>
      <c r="C26" s="162" t="s">
        <v>180</v>
      </c>
      <c r="D26" s="86" t="s">
        <v>135</v>
      </c>
      <c r="E26" s="87" t="b">
        <v>0</v>
      </c>
      <c r="F26" s="38"/>
    </row>
    <row r="27" spans="2:6" x14ac:dyDescent="0.25">
      <c r="B27" s="4"/>
      <c r="C27" s="163"/>
      <c r="D27" s="19" t="s">
        <v>136</v>
      </c>
      <c r="E27" s="24" t="s">
        <v>2</v>
      </c>
      <c r="F27" s="38"/>
    </row>
    <row r="28" spans="2:6" x14ac:dyDescent="0.25">
      <c r="B28" s="4"/>
      <c r="C28" s="163"/>
      <c r="D28" s="19" t="s">
        <v>137</v>
      </c>
      <c r="E28" s="24" t="s">
        <v>138</v>
      </c>
      <c r="F28" s="38"/>
    </row>
    <row r="29" spans="2:6" x14ac:dyDescent="0.25">
      <c r="B29" s="4"/>
      <c r="C29" s="163"/>
      <c r="D29" s="19" t="s">
        <v>139</v>
      </c>
      <c r="E29" s="45" t="s">
        <v>121</v>
      </c>
      <c r="F29" s="38"/>
    </row>
    <row r="30" spans="2:6" x14ac:dyDescent="0.25">
      <c r="B30" s="4"/>
      <c r="C30" s="163"/>
      <c r="D30" s="19" t="s">
        <v>140</v>
      </c>
      <c r="E30" s="45" t="s">
        <v>21</v>
      </c>
      <c r="F30" s="38"/>
    </row>
    <row r="31" spans="2:6" x14ac:dyDescent="0.25">
      <c r="B31" s="4"/>
      <c r="C31" s="163"/>
      <c r="D31" s="19" t="s">
        <v>141</v>
      </c>
      <c r="E31" s="24" t="s">
        <v>114</v>
      </c>
      <c r="F31" s="38"/>
    </row>
    <row r="32" spans="2:6" x14ac:dyDescent="0.25">
      <c r="B32" s="4"/>
      <c r="C32" s="163"/>
      <c r="D32" s="19" t="s">
        <v>142</v>
      </c>
      <c r="E32" s="24" t="s">
        <v>8</v>
      </c>
      <c r="F32" s="38"/>
    </row>
    <row r="33" spans="2:6" x14ac:dyDescent="0.25">
      <c r="B33" s="4"/>
      <c r="C33" s="163"/>
      <c r="D33" s="19" t="s">
        <v>143</v>
      </c>
      <c r="E33" s="24" t="s">
        <v>178</v>
      </c>
      <c r="F33" s="38"/>
    </row>
    <row r="34" spans="2:6" x14ac:dyDescent="0.25">
      <c r="B34" s="4"/>
      <c r="C34" s="163"/>
      <c r="D34" s="19" t="s">
        <v>144</v>
      </c>
      <c r="E34" s="24" t="s">
        <v>95</v>
      </c>
      <c r="F34" s="38"/>
    </row>
    <row r="35" spans="2:6" x14ac:dyDescent="0.25">
      <c r="B35" s="4"/>
      <c r="C35" s="163"/>
      <c r="D35" s="19" t="s">
        <v>145</v>
      </c>
      <c r="E35" s="24" t="s">
        <v>138</v>
      </c>
      <c r="F35" s="38"/>
    </row>
    <row r="36" spans="2:6" x14ac:dyDescent="0.25">
      <c r="B36" s="4"/>
      <c r="C36" s="163"/>
      <c r="D36" s="19" t="s">
        <v>146</v>
      </c>
      <c r="E36" s="24" t="s">
        <v>2</v>
      </c>
      <c r="F36" s="38"/>
    </row>
    <row r="37" spans="2:6" x14ac:dyDescent="0.25">
      <c r="B37" s="4"/>
      <c r="C37" s="163"/>
      <c r="D37" s="19" t="s">
        <v>147</v>
      </c>
      <c r="E37" s="24" t="s">
        <v>92</v>
      </c>
      <c r="F37" s="38"/>
    </row>
    <row r="38" spans="2:6" x14ac:dyDescent="0.25">
      <c r="B38" s="4"/>
      <c r="C38" s="163"/>
      <c r="D38" s="19" t="s">
        <v>148</v>
      </c>
      <c r="E38" s="24" t="s">
        <v>2</v>
      </c>
      <c r="F38" s="38"/>
    </row>
    <row r="39" spans="2:6" x14ac:dyDescent="0.25">
      <c r="B39" s="4"/>
      <c r="C39" s="163"/>
      <c r="D39" s="19" t="s">
        <v>149</v>
      </c>
      <c r="E39" s="24" t="s">
        <v>114</v>
      </c>
      <c r="F39" s="38"/>
    </row>
    <row r="40" spans="2:6" x14ac:dyDescent="0.25">
      <c r="B40" s="4"/>
      <c r="C40" s="164"/>
      <c r="D40" s="88" t="s">
        <v>150</v>
      </c>
      <c r="E40" s="45" t="s">
        <v>21</v>
      </c>
      <c r="F40" s="38"/>
    </row>
    <row r="41" spans="2:6" x14ac:dyDescent="0.25">
      <c r="B41" s="4"/>
      <c r="C41" s="165" t="s">
        <v>181</v>
      </c>
      <c r="D41" s="86" t="s">
        <v>151</v>
      </c>
      <c r="E41" s="87" t="s">
        <v>2</v>
      </c>
      <c r="F41" s="38"/>
    </row>
    <row r="42" spans="2:6" x14ac:dyDescent="0.25">
      <c r="B42" s="4"/>
      <c r="C42" s="166"/>
      <c r="D42" s="19" t="s">
        <v>152</v>
      </c>
      <c r="E42" s="24" t="s">
        <v>138</v>
      </c>
      <c r="F42" s="38"/>
    </row>
    <row r="43" spans="2:6" x14ac:dyDescent="0.25">
      <c r="B43" s="4"/>
      <c r="C43" s="166"/>
      <c r="D43" s="19" t="s">
        <v>153</v>
      </c>
      <c r="E43" s="45" t="s">
        <v>27</v>
      </c>
      <c r="F43" s="38"/>
    </row>
    <row r="44" spans="2:6" x14ac:dyDescent="0.25">
      <c r="B44" s="4"/>
      <c r="C44" s="166"/>
      <c r="D44" s="19" t="s">
        <v>154</v>
      </c>
      <c r="E44" s="45" t="s">
        <v>21</v>
      </c>
      <c r="F44" s="38"/>
    </row>
    <row r="45" spans="2:6" x14ac:dyDescent="0.25">
      <c r="B45" s="4"/>
      <c r="C45" s="166"/>
      <c r="D45" s="19" t="s">
        <v>155</v>
      </c>
      <c r="E45" s="24" t="s">
        <v>114</v>
      </c>
      <c r="F45" s="38"/>
    </row>
    <row r="46" spans="2:6" x14ac:dyDescent="0.25">
      <c r="B46" s="4"/>
      <c r="C46" s="166"/>
      <c r="D46" s="19" t="s">
        <v>156</v>
      </c>
      <c r="E46" s="24" t="s">
        <v>8</v>
      </c>
      <c r="F46" s="38"/>
    </row>
    <row r="47" spans="2:6" x14ac:dyDescent="0.25">
      <c r="B47" s="4"/>
      <c r="C47" s="166"/>
      <c r="D47" s="19" t="s">
        <v>157</v>
      </c>
      <c r="E47" s="24" t="s">
        <v>82</v>
      </c>
      <c r="F47" s="38"/>
    </row>
    <row r="48" spans="2:6" x14ac:dyDescent="0.25">
      <c r="B48" s="4"/>
      <c r="C48" s="166"/>
      <c r="D48" s="19" t="s">
        <v>158</v>
      </c>
      <c r="E48" s="24" t="s">
        <v>159</v>
      </c>
      <c r="F48" s="38"/>
    </row>
    <row r="49" spans="2:6" x14ac:dyDescent="0.25">
      <c r="B49" s="4"/>
      <c r="C49" s="166"/>
      <c r="D49" s="19" t="s">
        <v>160</v>
      </c>
      <c r="E49" s="24" t="s">
        <v>138</v>
      </c>
      <c r="F49" s="38"/>
    </row>
    <row r="50" spans="2:6" x14ac:dyDescent="0.25">
      <c r="B50" s="4"/>
      <c r="C50" s="166"/>
      <c r="D50" s="19" t="s">
        <v>161</v>
      </c>
      <c r="E50" s="24" t="s">
        <v>2</v>
      </c>
      <c r="F50" s="38"/>
    </row>
    <row r="51" spans="2:6" x14ac:dyDescent="0.25">
      <c r="B51" s="4"/>
      <c r="C51" s="166"/>
      <c r="D51" s="19" t="s">
        <v>162</v>
      </c>
      <c r="E51" s="24" t="s">
        <v>92</v>
      </c>
      <c r="F51" s="38"/>
    </row>
    <row r="52" spans="2:6" x14ac:dyDescent="0.25">
      <c r="B52" s="4"/>
      <c r="C52" s="166"/>
      <c r="D52" s="19" t="s">
        <v>163</v>
      </c>
      <c r="E52" s="24" t="s">
        <v>2</v>
      </c>
      <c r="F52" s="38"/>
    </row>
    <row r="53" spans="2:6" x14ac:dyDescent="0.25">
      <c r="B53" s="4"/>
      <c r="C53" s="166"/>
      <c r="D53" s="19" t="s">
        <v>164</v>
      </c>
      <c r="E53" s="24" t="s">
        <v>114</v>
      </c>
      <c r="F53" s="38"/>
    </row>
    <row r="54" spans="2:6" x14ac:dyDescent="0.25">
      <c r="B54" s="4"/>
      <c r="C54" s="167"/>
      <c r="D54" s="88" t="s">
        <v>165</v>
      </c>
      <c r="E54" s="45" t="s">
        <v>21</v>
      </c>
      <c r="F54" s="38"/>
    </row>
    <row r="55" spans="2:6" x14ac:dyDescent="0.25">
      <c r="B55" s="4"/>
      <c r="C55" s="168" t="str">
        <f ca="1">"Solving For :"&amp;CHAR(32)&amp;$E$55</f>
        <v>Solving For : Leg2Forecast</v>
      </c>
      <c r="D55" s="91" t="s">
        <v>166</v>
      </c>
      <c r="E55" s="90" t="s">
        <v>167</v>
      </c>
      <c r="F55" s="38"/>
    </row>
    <row r="56" spans="2:6" x14ac:dyDescent="0.25">
      <c r="B56" s="4"/>
      <c r="C56" s="169"/>
      <c r="D56" s="19" t="s">
        <v>125</v>
      </c>
      <c r="E56" s="24" t="b">
        <v>1</v>
      </c>
      <c r="F56" s="38"/>
    </row>
    <row r="57" spans="2:6" x14ac:dyDescent="0.25">
      <c r="B57" s="4"/>
      <c r="C57" s="169"/>
      <c r="D57" s="19" t="s">
        <v>168</v>
      </c>
      <c r="E57" s="85" t="str">
        <f>Interpolation</f>
        <v>fn_MonotoneConvexInterpolation</v>
      </c>
      <c r="F57" s="38"/>
    </row>
    <row r="58" spans="2:6" x14ac:dyDescent="0.25">
      <c r="B58" s="4"/>
      <c r="C58" s="169"/>
      <c r="D58" s="19" t="s">
        <v>169</v>
      </c>
      <c r="E58" s="24" t="b">
        <v>1</v>
      </c>
      <c r="F58" s="38"/>
    </row>
    <row r="59" spans="2:6" x14ac:dyDescent="0.25">
      <c r="B59" s="4"/>
      <c r="C59" s="169"/>
      <c r="D59" s="19" t="s">
        <v>170</v>
      </c>
      <c r="E59" s="24" t="b">
        <v>1</v>
      </c>
      <c r="F59" s="38"/>
    </row>
    <row r="60" spans="2:6" x14ac:dyDescent="0.25">
      <c r="B60" s="4"/>
      <c r="C60" s="169"/>
      <c r="D60" s="19" t="s">
        <v>171</v>
      </c>
      <c r="E60" s="24" t="s">
        <v>159</v>
      </c>
      <c r="F60" s="38"/>
    </row>
    <row r="61" spans="2:6" x14ac:dyDescent="0.25">
      <c r="B61" s="4"/>
      <c r="C61" s="169"/>
      <c r="D61" s="19" t="s">
        <v>172</v>
      </c>
      <c r="E61" s="24" t="b">
        <v>0</v>
      </c>
      <c r="F61" s="38"/>
    </row>
    <row r="62" spans="2:6" x14ac:dyDescent="0.25">
      <c r="B62" s="4"/>
      <c r="C62" s="169"/>
      <c r="D62" s="19" t="s">
        <v>126</v>
      </c>
      <c r="E62" s="25">
        <v>1.0000000000000001E-9</v>
      </c>
      <c r="F62" s="38"/>
    </row>
    <row r="63" spans="2:6" x14ac:dyDescent="0.25">
      <c r="B63" s="4"/>
      <c r="C63" s="169"/>
      <c r="D63" s="19" t="s">
        <v>127</v>
      </c>
      <c r="E63" s="82">
        <v>1000</v>
      </c>
      <c r="F63" s="38"/>
    </row>
    <row r="64" spans="2:6" x14ac:dyDescent="0.25">
      <c r="B64" s="4"/>
      <c r="C64" s="169"/>
      <c r="D64" s="19"/>
      <c r="E64" s="24"/>
      <c r="F64" s="38"/>
    </row>
    <row r="65" spans="2:6" x14ac:dyDescent="0.25">
      <c r="B65" s="4"/>
      <c r="C65" s="169"/>
      <c r="D65" s="19"/>
      <c r="E65" s="24"/>
      <c r="F65" s="38"/>
    </row>
    <row r="66" spans="2:6" x14ac:dyDescent="0.25">
      <c r="B66" s="4"/>
      <c r="C66" s="169"/>
      <c r="D66" s="19"/>
      <c r="E66" s="24"/>
      <c r="F66" s="38"/>
    </row>
    <row r="67" spans="2:6" x14ac:dyDescent="0.25">
      <c r="B67" s="4"/>
      <c r="C67" s="170"/>
      <c r="D67" s="22"/>
      <c r="E67" s="26"/>
      <c r="F67" s="38"/>
    </row>
    <row r="68" spans="2:6" x14ac:dyDescent="0.25">
      <c r="B68" s="4"/>
      <c r="C68" s="6"/>
      <c r="D68" s="8"/>
      <c r="E68" s="8"/>
      <c r="F68" s="38"/>
    </row>
    <row r="69" spans="2:6" x14ac:dyDescent="0.25">
      <c r="B69" s="10"/>
      <c r="C69" s="11"/>
      <c r="D69" s="11"/>
      <c r="E69" s="11"/>
      <c r="F69" s="12"/>
    </row>
  </sheetData>
  <mergeCells count="3">
    <mergeCell ref="C26:C40"/>
    <mergeCell ref="C41:C54"/>
    <mergeCell ref="C55:C67"/>
  </mergeCells>
  <dataValidations count="4">
    <dataValidation type="list" allowBlank="1" showInputMessage="1" showErrorMessage="1" sqref="E57 E16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E28 E54 E44 E40 E30">
      <formula1>"FOLLOWING,MOD_FOLLOWING,PRECEDING,MOD_PRECEEDING,NO_CHANGE"</formula1>
    </dataValidation>
    <dataValidation type="list" allowBlank="1" showInputMessage="1" showErrorMessage="1" sqref="E29 E43">
      <formula1>"Annual,Semi-Annual,Quarterly,Monthly"</formula1>
    </dataValidation>
    <dataValidation type="list" allowBlank="1" showInputMessage="1" showErrorMessage="1" sqref="E17">
      <formula1>"TRUE,FALSE"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39997558519241921"/>
  </sheetPr>
  <dimension ref="B1:H63"/>
  <sheetViews>
    <sheetView showGridLines="0" workbookViewId="0"/>
  </sheetViews>
  <sheetFormatPr defaultRowHeight="15" x14ac:dyDescent="0.25"/>
  <cols>
    <col min="1" max="1" width="10.7109375" customWidth="1"/>
    <col min="2" max="2" width="9.140625" customWidth="1"/>
    <col min="3" max="3" width="20.28515625" customWidth="1"/>
    <col min="4" max="7" width="15.7109375" customWidth="1"/>
  </cols>
  <sheetData>
    <row r="1" spans="2:8" x14ac:dyDescent="0.25">
      <c r="B1" s="127"/>
    </row>
    <row r="2" spans="2:8" x14ac:dyDescent="0.25">
      <c r="B2" s="127" t="s">
        <v>205</v>
      </c>
    </row>
    <row r="3" spans="2:8" x14ac:dyDescent="0.25">
      <c r="B3" s="1"/>
      <c r="C3" s="31"/>
      <c r="D3" s="32"/>
      <c r="E3" s="2"/>
      <c r="F3" s="2"/>
      <c r="G3" s="2"/>
      <c r="H3" s="3"/>
    </row>
    <row r="4" spans="2:8" x14ac:dyDescent="0.25">
      <c r="B4" s="4"/>
      <c r="C4" s="186" t="s">
        <v>205</v>
      </c>
      <c r="D4" s="195" t="str">
        <f ca="1">_xll.meCurveCalibrateOIS(Curve.CollectionName,'EUR OIS CONFIG'!D6,'EUR OIS CONFIG'!D7,Curve.BuildProperties,OIS.Conventions,'EUR OIS CURVE'!OIS.MarketData,,LiborOISBasis.Conventions,'EUR OIS CURVE'!LiborOISBasis.MarketData,LiborSwap.Conventions,'EUR OIS CURVE'!LiborSwap.MarketData)</f>
        <v>EURYC OIS Curve has been set (0.04600 sec)</v>
      </c>
      <c r="E4" s="196"/>
      <c r="F4" s="196"/>
      <c r="G4" s="197"/>
      <c r="H4" s="7"/>
    </row>
    <row r="5" spans="2:8" x14ac:dyDescent="0.25">
      <c r="B5" s="4"/>
      <c r="C5" s="19" t="s">
        <v>80</v>
      </c>
      <c r="D5" s="202" t="s">
        <v>77</v>
      </c>
      <c r="E5" s="14"/>
      <c r="F5" s="175"/>
      <c r="G5" s="203"/>
      <c r="H5" s="7"/>
    </row>
    <row r="6" spans="2:8" x14ac:dyDescent="0.25">
      <c r="B6" s="4"/>
      <c r="C6" s="42" t="s">
        <v>249</v>
      </c>
      <c r="D6" s="198" t="b">
        <f ca="1">LEFT(D4,3)=LEFT(D5,3)</f>
        <v>1</v>
      </c>
      <c r="E6" s="28"/>
      <c r="F6" s="204"/>
      <c r="G6" s="205"/>
      <c r="H6" s="7"/>
    </row>
    <row r="7" spans="2:8" x14ac:dyDescent="0.25">
      <c r="B7" s="10"/>
      <c r="C7" s="11"/>
      <c r="D7" s="11"/>
      <c r="E7" s="11"/>
      <c r="F7" s="11"/>
      <c r="G7" s="11"/>
      <c r="H7" s="12"/>
    </row>
    <row r="10" spans="2:8" x14ac:dyDescent="0.25">
      <c r="B10" s="129" t="s">
        <v>76</v>
      </c>
    </row>
    <row r="11" spans="2:8" x14ac:dyDescent="0.25">
      <c r="B11" s="1"/>
      <c r="C11" s="2"/>
      <c r="D11" s="2"/>
      <c r="E11" s="2"/>
      <c r="F11" s="2"/>
      <c r="G11" s="2"/>
      <c r="H11" s="3"/>
    </row>
    <row r="12" spans="2:8" x14ac:dyDescent="0.25">
      <c r="B12" s="4"/>
      <c r="C12" s="35" t="s">
        <v>71</v>
      </c>
      <c r="D12" s="9"/>
      <c r="E12" s="9"/>
      <c r="F12" s="9"/>
      <c r="G12" s="9"/>
      <c r="H12" s="7"/>
    </row>
    <row r="13" spans="2:8" x14ac:dyDescent="0.25">
      <c r="B13" s="4"/>
      <c r="C13" s="41" t="s">
        <v>10</v>
      </c>
      <c r="D13" s="41" t="s">
        <v>11</v>
      </c>
      <c r="E13" s="41" t="s">
        <v>12</v>
      </c>
      <c r="F13" s="41" t="s">
        <v>13</v>
      </c>
      <c r="G13" s="41" t="s">
        <v>7</v>
      </c>
      <c r="H13" s="7"/>
    </row>
    <row r="14" spans="2:8" x14ac:dyDescent="0.25">
      <c r="B14" s="4"/>
      <c r="C14" s="15" t="s">
        <v>45</v>
      </c>
      <c r="D14" s="13">
        <v>-2.4299999999999999E-3</v>
      </c>
      <c r="E14" s="14" t="s">
        <v>36</v>
      </c>
      <c r="F14" s="14" t="s">
        <v>36</v>
      </c>
      <c r="G14" s="27" t="b">
        <v>1</v>
      </c>
      <c r="H14" s="7"/>
    </row>
    <row r="15" spans="2:8" x14ac:dyDescent="0.25">
      <c r="B15" s="4"/>
      <c r="C15" s="15" t="s">
        <v>47</v>
      </c>
      <c r="D15" s="13">
        <v>-3.3900000000000002E-3</v>
      </c>
      <c r="E15" s="14">
        <v>42481</v>
      </c>
      <c r="F15" s="14">
        <v>42523</v>
      </c>
      <c r="G15" s="27" t="b">
        <v>1</v>
      </c>
      <c r="H15" s="7"/>
    </row>
    <row r="16" spans="2:8" x14ac:dyDescent="0.25">
      <c r="B16" s="4"/>
      <c r="C16" s="15" t="s">
        <v>48</v>
      </c>
      <c r="D16" s="13">
        <v>-3.5299999999999997E-3</v>
      </c>
      <c r="E16" s="14">
        <v>42523</v>
      </c>
      <c r="F16" s="14">
        <v>42572</v>
      </c>
      <c r="G16" s="27" t="b">
        <v>1</v>
      </c>
      <c r="H16" s="7"/>
    </row>
    <row r="17" spans="2:8" x14ac:dyDescent="0.25">
      <c r="B17" s="4"/>
      <c r="C17" s="15" t="s">
        <v>50</v>
      </c>
      <c r="D17" s="13">
        <v>-3.5699999999999998E-3</v>
      </c>
      <c r="E17" s="14">
        <v>42572</v>
      </c>
      <c r="F17" s="14">
        <v>42621</v>
      </c>
      <c r="G17" s="27" t="b">
        <v>1</v>
      </c>
      <c r="H17" s="7"/>
    </row>
    <row r="18" spans="2:8" x14ac:dyDescent="0.25">
      <c r="B18" s="4"/>
      <c r="C18" s="15" t="s">
        <v>52</v>
      </c>
      <c r="D18" s="13">
        <v>-3.7799999999999999E-3</v>
      </c>
      <c r="E18" s="14">
        <v>42621</v>
      </c>
      <c r="F18" s="14">
        <v>42663</v>
      </c>
      <c r="G18" s="27" t="b">
        <v>1</v>
      </c>
      <c r="H18" s="7"/>
    </row>
    <row r="19" spans="2:8" x14ac:dyDescent="0.25">
      <c r="B19" s="4"/>
      <c r="C19" s="15" t="s">
        <v>54</v>
      </c>
      <c r="D19" s="13">
        <v>-3.8600000000000001E-3</v>
      </c>
      <c r="E19" s="14">
        <v>42663</v>
      </c>
      <c r="F19" s="14">
        <v>42712</v>
      </c>
      <c r="G19" s="27" t="b">
        <v>1</v>
      </c>
      <c r="H19" s="7"/>
    </row>
    <row r="20" spans="2:8" x14ac:dyDescent="0.25">
      <c r="B20" s="4"/>
      <c r="C20" s="15" t="s">
        <v>56</v>
      </c>
      <c r="D20" s="13">
        <v>-3.6900000000000001E-3</v>
      </c>
      <c r="E20" s="14" t="s">
        <v>36</v>
      </c>
      <c r="F20" s="14" t="s">
        <v>36</v>
      </c>
      <c r="G20" s="27" t="b">
        <v>1</v>
      </c>
      <c r="H20" s="7"/>
    </row>
    <row r="21" spans="2:8" x14ac:dyDescent="0.25">
      <c r="B21" s="4"/>
      <c r="C21" s="15" t="s">
        <v>58</v>
      </c>
      <c r="D21" s="13">
        <v>-3.79E-3</v>
      </c>
      <c r="E21" s="14" t="s">
        <v>36</v>
      </c>
      <c r="F21" s="14" t="s">
        <v>36</v>
      </c>
      <c r="G21" s="27" t="b">
        <v>1</v>
      </c>
      <c r="H21" s="7"/>
    </row>
    <row r="22" spans="2:8" x14ac:dyDescent="0.25">
      <c r="B22" s="4"/>
      <c r="C22" s="15" t="s">
        <v>46</v>
      </c>
      <c r="D22" s="13">
        <v>-3.7699999999999999E-3</v>
      </c>
      <c r="E22" s="14" t="s">
        <v>36</v>
      </c>
      <c r="F22" s="14" t="s">
        <v>36</v>
      </c>
      <c r="G22" s="27" t="b">
        <v>1</v>
      </c>
      <c r="H22" s="7"/>
    </row>
    <row r="23" spans="2:8" x14ac:dyDescent="0.25">
      <c r="B23" s="4"/>
      <c r="C23" s="15" t="s">
        <v>42</v>
      </c>
      <c r="D23" s="13">
        <v>-3.4000000000000002E-3</v>
      </c>
      <c r="E23" s="14" t="s">
        <v>36</v>
      </c>
      <c r="F23" s="14" t="s">
        <v>36</v>
      </c>
      <c r="G23" s="27" t="b">
        <v>1</v>
      </c>
      <c r="H23" s="7"/>
    </row>
    <row r="24" spans="2:8" x14ac:dyDescent="0.25">
      <c r="B24" s="4"/>
      <c r="C24" s="15" t="s">
        <v>49</v>
      </c>
      <c r="D24" s="13">
        <v>-2.6900000000000001E-3</v>
      </c>
      <c r="E24" s="14" t="s">
        <v>36</v>
      </c>
      <c r="F24" s="14" t="s">
        <v>36</v>
      </c>
      <c r="G24" s="27" t="b">
        <v>1</v>
      </c>
      <c r="H24" s="7"/>
    </row>
    <row r="25" spans="2:8" x14ac:dyDescent="0.25">
      <c r="B25" s="4"/>
      <c r="C25" s="15" t="s">
        <v>51</v>
      </c>
      <c r="D25" s="13">
        <v>-1.7499999999999998E-3</v>
      </c>
      <c r="E25" s="14" t="s">
        <v>36</v>
      </c>
      <c r="F25" s="14" t="s">
        <v>36</v>
      </c>
      <c r="G25" s="27" t="b">
        <v>1</v>
      </c>
      <c r="H25" s="7"/>
    </row>
    <row r="26" spans="2:8" x14ac:dyDescent="0.25">
      <c r="B26" s="4"/>
      <c r="C26" s="15" t="s">
        <v>53</v>
      </c>
      <c r="D26" s="13">
        <v>-6.4000000000000005E-4</v>
      </c>
      <c r="E26" s="14" t="s">
        <v>36</v>
      </c>
      <c r="F26" s="14" t="s">
        <v>36</v>
      </c>
      <c r="G26" s="27" t="b">
        <v>1</v>
      </c>
      <c r="H26" s="7"/>
    </row>
    <row r="27" spans="2:8" x14ac:dyDescent="0.25">
      <c r="B27" s="4"/>
      <c r="C27" s="15" t="s">
        <v>55</v>
      </c>
      <c r="D27" s="13">
        <v>5.6999999999999998E-4</v>
      </c>
      <c r="E27" s="14" t="s">
        <v>36</v>
      </c>
      <c r="F27" s="14" t="s">
        <v>36</v>
      </c>
      <c r="G27" s="27" t="b">
        <v>1</v>
      </c>
      <c r="H27" s="7"/>
    </row>
    <row r="28" spans="2:8" x14ac:dyDescent="0.25">
      <c r="B28" s="4"/>
      <c r="C28" s="15" t="s">
        <v>57</v>
      </c>
      <c r="D28" s="13">
        <v>1.83E-3</v>
      </c>
      <c r="E28" s="14" t="s">
        <v>36</v>
      </c>
      <c r="F28" s="14" t="s">
        <v>36</v>
      </c>
      <c r="G28" s="27" t="b">
        <v>1</v>
      </c>
      <c r="H28" s="7"/>
    </row>
    <row r="29" spans="2:8" x14ac:dyDescent="0.25">
      <c r="B29" s="4"/>
      <c r="C29" s="15" t="s">
        <v>59</v>
      </c>
      <c r="D29" s="13">
        <v>3.0599999999999998E-3</v>
      </c>
      <c r="E29" s="14" t="s">
        <v>36</v>
      </c>
      <c r="F29" s="14" t="s">
        <v>36</v>
      </c>
      <c r="G29" s="27" t="b">
        <v>1</v>
      </c>
      <c r="H29" s="7"/>
    </row>
    <row r="30" spans="2:8" x14ac:dyDescent="0.25">
      <c r="B30" s="4"/>
      <c r="C30" s="15" t="s">
        <v>60</v>
      </c>
      <c r="D30" s="13">
        <v>4.1900000000000001E-3</v>
      </c>
      <c r="E30" s="14" t="s">
        <v>36</v>
      </c>
      <c r="F30" s="14" t="s">
        <v>36</v>
      </c>
      <c r="G30" s="27" t="b">
        <v>1</v>
      </c>
      <c r="H30" s="7"/>
    </row>
    <row r="31" spans="2:8" x14ac:dyDescent="0.25">
      <c r="B31" s="4"/>
      <c r="C31" s="15" t="s">
        <v>61</v>
      </c>
      <c r="D31" s="13">
        <v>5.2100000000000002E-3</v>
      </c>
      <c r="E31" s="14" t="s">
        <v>36</v>
      </c>
      <c r="F31" s="14" t="s">
        <v>36</v>
      </c>
      <c r="G31" s="27" t="b">
        <v>1</v>
      </c>
      <c r="H31" s="7"/>
    </row>
    <row r="32" spans="2:8" x14ac:dyDescent="0.25">
      <c r="B32" s="4"/>
      <c r="C32" s="15" t="s">
        <v>62</v>
      </c>
      <c r="D32" s="13">
        <v>6.0899999999999999E-3</v>
      </c>
      <c r="E32" s="14" t="s">
        <v>36</v>
      </c>
      <c r="F32" s="14" t="s">
        <v>36</v>
      </c>
      <c r="G32" s="27" t="b">
        <v>1</v>
      </c>
      <c r="H32" s="7"/>
    </row>
    <row r="33" spans="2:8" x14ac:dyDescent="0.25">
      <c r="B33" s="4"/>
      <c r="C33" s="15" t="s">
        <v>63</v>
      </c>
      <c r="D33" s="13">
        <v>8.1000000000000013E-3</v>
      </c>
      <c r="E33" s="14" t="s">
        <v>36</v>
      </c>
      <c r="F33" s="14" t="s">
        <v>36</v>
      </c>
      <c r="G33" s="27" t="b">
        <v>1</v>
      </c>
      <c r="H33" s="7"/>
    </row>
    <row r="34" spans="2:8" x14ac:dyDescent="0.25">
      <c r="B34" s="4"/>
      <c r="C34" s="15" t="s">
        <v>64</v>
      </c>
      <c r="D34" s="13">
        <v>9.75E-3</v>
      </c>
      <c r="E34" s="14" t="s">
        <v>36</v>
      </c>
      <c r="F34" s="14" t="s">
        <v>36</v>
      </c>
      <c r="G34" s="27" t="b">
        <v>1</v>
      </c>
      <c r="H34" s="7"/>
    </row>
    <row r="35" spans="2:8" x14ac:dyDescent="0.25">
      <c r="B35" s="4"/>
      <c r="C35" s="15" t="s">
        <v>65</v>
      </c>
      <c r="D35" s="13">
        <v>1.0329999999999999E-2</v>
      </c>
      <c r="E35" s="14" t="s">
        <v>36</v>
      </c>
      <c r="F35" s="14" t="s">
        <v>36</v>
      </c>
      <c r="G35" s="27" t="b">
        <v>1</v>
      </c>
      <c r="H35" s="7"/>
    </row>
    <row r="36" spans="2:8" x14ac:dyDescent="0.25">
      <c r="B36" s="4"/>
      <c r="C36" s="15" t="s">
        <v>66</v>
      </c>
      <c r="D36" s="13">
        <v>1.0529999999999999E-2</v>
      </c>
      <c r="E36" s="14" t="s">
        <v>36</v>
      </c>
      <c r="F36" s="14" t="s">
        <v>36</v>
      </c>
      <c r="G36" s="27" t="b">
        <v>1</v>
      </c>
      <c r="H36" s="7"/>
    </row>
    <row r="37" spans="2:8" x14ac:dyDescent="0.25">
      <c r="B37" s="4"/>
      <c r="C37" s="15" t="s">
        <v>67</v>
      </c>
      <c r="D37" s="13">
        <v>1.061E-2</v>
      </c>
      <c r="E37" s="14" t="s">
        <v>36</v>
      </c>
      <c r="F37" s="14" t="s">
        <v>36</v>
      </c>
      <c r="G37" s="27" t="b">
        <v>1</v>
      </c>
      <c r="H37" s="7"/>
    </row>
    <row r="38" spans="2:8" x14ac:dyDescent="0.25">
      <c r="B38" s="4"/>
      <c r="C38" s="16" t="s">
        <v>68</v>
      </c>
      <c r="D38" s="17">
        <v>1.01E-2</v>
      </c>
      <c r="E38" s="28" t="s">
        <v>36</v>
      </c>
      <c r="F38" s="28" t="s">
        <v>36</v>
      </c>
      <c r="G38" s="29" t="b">
        <v>1</v>
      </c>
      <c r="H38" s="7"/>
    </row>
    <row r="39" spans="2:8" x14ac:dyDescent="0.25">
      <c r="B39" s="10"/>
      <c r="C39" s="11"/>
      <c r="D39" s="11"/>
      <c r="E39" s="11"/>
      <c r="F39" s="11"/>
      <c r="G39" s="11"/>
      <c r="H39" s="12"/>
    </row>
    <row r="42" spans="2:8" x14ac:dyDescent="0.25">
      <c r="B42" s="129" t="s">
        <v>75</v>
      </c>
    </row>
    <row r="43" spans="2:8" x14ac:dyDescent="0.25">
      <c r="B43" s="1"/>
      <c r="C43" s="2"/>
      <c r="D43" s="2"/>
      <c r="E43" s="2"/>
      <c r="F43" s="2"/>
      <c r="G43" s="2"/>
      <c r="H43" s="3"/>
    </row>
    <row r="44" spans="2:8" x14ac:dyDescent="0.25">
      <c r="B44" s="4"/>
      <c r="C44" s="35" t="s">
        <v>72</v>
      </c>
      <c r="D44" s="9"/>
      <c r="E44" s="9"/>
      <c r="F44" s="35" t="s">
        <v>74</v>
      </c>
      <c r="G44" s="9"/>
      <c r="H44" s="7"/>
    </row>
    <row r="45" spans="2:8" x14ac:dyDescent="0.25">
      <c r="B45" s="4"/>
      <c r="C45" s="41" t="s">
        <v>10</v>
      </c>
      <c r="D45" s="41" t="s">
        <v>11</v>
      </c>
      <c r="E45" s="9"/>
      <c r="F45" s="41" t="s">
        <v>10</v>
      </c>
      <c r="G45" s="41" t="s">
        <v>11</v>
      </c>
      <c r="H45" s="7"/>
    </row>
    <row r="46" spans="2:8" x14ac:dyDescent="0.25">
      <c r="B46" s="4"/>
      <c r="C46" s="15" t="s">
        <v>46</v>
      </c>
      <c r="D46" s="36">
        <v>1.2600000000000001E-3</v>
      </c>
      <c r="E46" s="9"/>
      <c r="F46" s="15" t="s">
        <v>46</v>
      </c>
      <c r="G46" s="36">
        <v>-2.5400000000000002E-3</v>
      </c>
      <c r="H46" s="7"/>
    </row>
    <row r="47" spans="2:8" x14ac:dyDescent="0.25">
      <c r="B47" s="4"/>
      <c r="C47" s="15" t="s">
        <v>42</v>
      </c>
      <c r="D47" s="36">
        <v>1.2999999999999999E-3</v>
      </c>
      <c r="E47" s="9"/>
      <c r="F47" s="15" t="s">
        <v>42</v>
      </c>
      <c r="G47" s="36">
        <v>-2.14E-3</v>
      </c>
      <c r="H47" s="7"/>
    </row>
    <row r="48" spans="2:8" x14ac:dyDescent="0.25">
      <c r="B48" s="4"/>
      <c r="C48" s="15" t="s">
        <v>49</v>
      </c>
      <c r="D48" s="36">
        <v>1.32E-3</v>
      </c>
      <c r="E48" s="9"/>
      <c r="F48" s="15" t="s">
        <v>49</v>
      </c>
      <c r="G48" s="36">
        <v>-1.4000000000000002E-3</v>
      </c>
      <c r="H48" s="7"/>
    </row>
    <row r="49" spans="2:8" x14ac:dyDescent="0.25">
      <c r="B49" s="4"/>
      <c r="C49" s="15" t="s">
        <v>51</v>
      </c>
      <c r="D49" s="36">
        <v>1.34E-3</v>
      </c>
      <c r="E49" s="9"/>
      <c r="F49" s="15" t="s">
        <v>51</v>
      </c>
      <c r="G49" s="36">
        <v>-4.2000000000000002E-4</v>
      </c>
      <c r="H49" s="7"/>
    </row>
    <row r="50" spans="2:8" x14ac:dyDescent="0.25">
      <c r="B50" s="4"/>
      <c r="C50" s="15" t="s">
        <v>53</v>
      </c>
      <c r="D50" s="36">
        <v>1.33E-3</v>
      </c>
      <c r="E50" s="9"/>
      <c r="F50" s="15" t="s">
        <v>53</v>
      </c>
      <c r="G50" s="36">
        <v>7.000000000000001E-4</v>
      </c>
      <c r="H50" s="7"/>
    </row>
    <row r="51" spans="2:8" x14ac:dyDescent="0.25">
      <c r="B51" s="4"/>
      <c r="C51" s="15" t="s">
        <v>55</v>
      </c>
      <c r="D51" s="36">
        <v>1.32E-3</v>
      </c>
      <c r="E51" s="9"/>
      <c r="F51" s="15" t="s">
        <v>55</v>
      </c>
      <c r="G51" s="36">
        <v>1.92E-3</v>
      </c>
      <c r="H51" s="7"/>
    </row>
    <row r="52" spans="2:8" x14ac:dyDescent="0.25">
      <c r="B52" s="4"/>
      <c r="C52" s="15" t="s">
        <v>57</v>
      </c>
      <c r="D52" s="36">
        <v>1.31E-3</v>
      </c>
      <c r="E52" s="9"/>
      <c r="F52" s="15" t="s">
        <v>57</v>
      </c>
      <c r="G52" s="36">
        <v>3.1900000000000001E-3</v>
      </c>
      <c r="H52" s="7"/>
    </row>
    <row r="53" spans="2:8" x14ac:dyDescent="0.25">
      <c r="B53" s="4"/>
      <c r="C53" s="15" t="s">
        <v>59</v>
      </c>
      <c r="D53" s="36">
        <v>1.2999999999999999E-3</v>
      </c>
      <c r="E53" s="9"/>
      <c r="F53" s="15" t="s">
        <v>59</v>
      </c>
      <c r="G53" s="36">
        <v>4.4299999999999999E-3</v>
      </c>
      <c r="H53" s="7"/>
    </row>
    <row r="54" spans="2:8" x14ac:dyDescent="0.25">
      <c r="B54" s="4"/>
      <c r="C54" s="15" t="s">
        <v>60</v>
      </c>
      <c r="D54" s="36">
        <v>1.2800000000000001E-3</v>
      </c>
      <c r="E54" s="9"/>
      <c r="F54" s="15" t="s">
        <v>60</v>
      </c>
      <c r="G54" s="36">
        <v>5.5500000000000002E-3</v>
      </c>
      <c r="H54" s="7"/>
    </row>
    <row r="55" spans="2:8" x14ac:dyDescent="0.25">
      <c r="B55" s="4"/>
      <c r="C55" s="15" t="s">
        <v>61</v>
      </c>
      <c r="D55" s="36">
        <v>1.2699999999999999E-3</v>
      </c>
      <c r="E55" s="9"/>
      <c r="F55" s="15" t="s">
        <v>61</v>
      </c>
      <c r="G55" s="36">
        <v>6.5700000000000003E-3</v>
      </c>
      <c r="H55" s="7"/>
    </row>
    <row r="56" spans="2:8" x14ac:dyDescent="0.25">
      <c r="B56" s="4"/>
      <c r="C56" s="15" t="s">
        <v>62</v>
      </c>
      <c r="D56" s="36">
        <v>1.2600000000000001E-3</v>
      </c>
      <c r="E56" s="9"/>
      <c r="F56" s="15" t="s">
        <v>62</v>
      </c>
      <c r="G56" s="36">
        <v>7.4599999999999996E-3</v>
      </c>
      <c r="H56" s="7"/>
    </row>
    <row r="57" spans="2:8" x14ac:dyDescent="0.25">
      <c r="B57" s="4"/>
      <c r="C57" s="15" t="s">
        <v>63</v>
      </c>
      <c r="D57" s="36">
        <v>1.1900000000000001E-3</v>
      </c>
      <c r="E57" s="9"/>
      <c r="F57" s="15" t="s">
        <v>63</v>
      </c>
      <c r="G57" s="36">
        <v>9.4199999999999996E-3</v>
      </c>
      <c r="H57" s="7"/>
    </row>
    <row r="58" spans="2:8" x14ac:dyDescent="0.25">
      <c r="B58" s="4"/>
      <c r="C58" s="15" t="s">
        <v>64</v>
      </c>
      <c r="D58" s="36">
        <v>1.0400000000000001E-3</v>
      </c>
      <c r="E58" s="9"/>
      <c r="F58" s="15" t="s">
        <v>64</v>
      </c>
      <c r="G58" s="36">
        <v>1.095E-2</v>
      </c>
      <c r="H58" s="7"/>
    </row>
    <row r="59" spans="2:8" x14ac:dyDescent="0.25">
      <c r="B59" s="4"/>
      <c r="C59" s="15" t="s">
        <v>65</v>
      </c>
      <c r="D59" s="36">
        <v>9.1999999999999992E-4</v>
      </c>
      <c r="E59" s="9"/>
      <c r="F59" s="15" t="s">
        <v>65</v>
      </c>
      <c r="G59" s="36">
        <v>1.142E-2</v>
      </c>
      <c r="H59" s="7"/>
    </row>
    <row r="60" spans="2:8" x14ac:dyDescent="0.25">
      <c r="B60" s="4"/>
      <c r="C60" s="15" t="s">
        <v>66</v>
      </c>
      <c r="D60" s="36">
        <v>8.1999999999999998E-4</v>
      </c>
      <c r="E60" s="9"/>
      <c r="F60" s="15" t="s">
        <v>66</v>
      </c>
      <c r="G60" s="36">
        <v>1.1519999999999999E-2</v>
      </c>
      <c r="H60" s="7"/>
    </row>
    <row r="61" spans="2:8" x14ac:dyDescent="0.25">
      <c r="B61" s="4"/>
      <c r="C61" s="15" t="s">
        <v>67</v>
      </c>
      <c r="D61" s="36">
        <v>6.6E-4</v>
      </c>
      <c r="E61" s="9"/>
      <c r="F61" s="15" t="s">
        <v>67</v>
      </c>
      <c r="G61" s="36">
        <v>1.1439999999999999E-2</v>
      </c>
      <c r="H61" s="7"/>
    </row>
    <row r="62" spans="2:8" x14ac:dyDescent="0.25">
      <c r="B62" s="4"/>
      <c r="C62" s="16" t="s">
        <v>68</v>
      </c>
      <c r="D62" s="37">
        <v>5.6999999999999998E-4</v>
      </c>
      <c r="E62" s="9"/>
      <c r="F62" s="16" t="s">
        <v>68</v>
      </c>
      <c r="G62" s="37">
        <v>1.0829999999999999E-2</v>
      </c>
      <c r="H62" s="7"/>
    </row>
    <row r="63" spans="2:8" x14ac:dyDescent="0.25">
      <c r="B63" s="10"/>
      <c r="C63" s="11"/>
      <c r="D63" s="11"/>
      <c r="E63" s="11"/>
      <c r="F63" s="11"/>
      <c r="G63" s="11"/>
      <c r="H63" s="12"/>
    </row>
  </sheetData>
  <mergeCells count="1">
    <mergeCell ref="D4:G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7" tint="0.39997558519241921"/>
  </sheetPr>
  <dimension ref="B2:H79"/>
  <sheetViews>
    <sheetView showGridLines="0" workbookViewId="0"/>
  </sheetViews>
  <sheetFormatPr defaultRowHeight="15" x14ac:dyDescent="0.25"/>
  <cols>
    <col min="2" max="2" width="10.7109375" customWidth="1"/>
    <col min="3" max="3" width="24.28515625" customWidth="1"/>
    <col min="4" max="4" width="31.5703125" customWidth="1"/>
    <col min="6" max="7" width="18.7109375" customWidth="1"/>
    <col min="8" max="8" width="10.7109375" customWidth="1"/>
  </cols>
  <sheetData>
    <row r="2" spans="2:8" x14ac:dyDescent="0.25">
      <c r="B2" s="129" t="s">
        <v>206</v>
      </c>
    </row>
    <row r="3" spans="2:8" x14ac:dyDescent="0.25">
      <c r="B3" s="1"/>
      <c r="C3" s="31"/>
      <c r="D3" s="32"/>
      <c r="E3" s="2"/>
      <c r="F3" s="2"/>
      <c r="G3" s="2"/>
      <c r="H3" s="206"/>
    </row>
    <row r="4" spans="2:8" x14ac:dyDescent="0.25">
      <c r="B4" s="4"/>
      <c r="C4" s="186" t="s">
        <v>206</v>
      </c>
      <c r="D4" s="195" t="str">
        <f ca="1">IF(AND(isEUROISLoaded,NOW()),_xll.meCurveCalibrateSwap(STDCurve.CollectionName,STDCurve.StaticDataTable,STDCurve.IndexName,STDCurve.Buildproperties,MoneyMarket.Conventions,Libor.Conventions,Libor.MarketData,Swap.Conventions,Swap.MarketData,FRA.Conventions,FRA.MarketDataX3,FRA.MarketDataX6,Futures.Conventions,Futures.MarketData),"Error Building Swap Curve")</f>
        <v>EURYC STD Curve has been set (0.02100 sec)</v>
      </c>
      <c r="E4" s="196"/>
      <c r="F4" s="196"/>
      <c r="G4" s="197"/>
      <c r="H4" s="38"/>
    </row>
    <row r="5" spans="2:8" x14ac:dyDescent="0.25">
      <c r="B5" s="4"/>
      <c r="C5" s="19" t="s">
        <v>80</v>
      </c>
      <c r="D5" s="157" t="s">
        <v>77</v>
      </c>
      <c r="E5" s="14"/>
      <c r="F5" s="175"/>
      <c r="G5" s="203"/>
      <c r="H5" s="38"/>
    </row>
    <row r="6" spans="2:8" x14ac:dyDescent="0.25">
      <c r="B6" s="4"/>
      <c r="C6" s="42" t="s">
        <v>249</v>
      </c>
      <c r="D6" s="198" t="b">
        <f ca="1">LEFT(D4,3)=LEFT(D5,3)</f>
        <v>1</v>
      </c>
      <c r="E6" s="28"/>
      <c r="F6" s="204"/>
      <c r="G6" s="205"/>
      <c r="H6" s="38"/>
    </row>
    <row r="7" spans="2:8" x14ac:dyDescent="0.25">
      <c r="B7" s="10"/>
      <c r="C7" s="11"/>
      <c r="D7" s="11"/>
      <c r="E7" s="11"/>
      <c r="F7" s="11"/>
      <c r="G7" s="11"/>
      <c r="H7" s="12"/>
    </row>
    <row r="10" spans="2:8" x14ac:dyDescent="0.25">
      <c r="B10" s="129" t="s">
        <v>88</v>
      </c>
    </row>
    <row r="11" spans="2:8" x14ac:dyDescent="0.25">
      <c r="B11" s="1"/>
      <c r="C11" s="2"/>
      <c r="D11" s="2"/>
      <c r="E11" s="2"/>
      <c r="F11" s="2"/>
      <c r="G11" s="2"/>
      <c r="H11" s="206"/>
    </row>
    <row r="12" spans="2:8" x14ac:dyDescent="0.25">
      <c r="B12" s="4"/>
      <c r="C12" s="35" t="s">
        <v>239</v>
      </c>
      <c r="D12" s="9"/>
      <c r="E12" s="9"/>
      <c r="F12" s="9"/>
      <c r="G12" s="9"/>
      <c r="H12" s="38"/>
    </row>
    <row r="13" spans="2:8" x14ac:dyDescent="0.25">
      <c r="B13" s="4"/>
      <c r="C13" s="55" t="s">
        <v>10</v>
      </c>
      <c r="D13" s="55" t="s">
        <v>11</v>
      </c>
      <c r="E13" s="9"/>
      <c r="F13" s="9"/>
      <c r="G13" s="9"/>
      <c r="H13" s="38"/>
    </row>
    <row r="14" spans="2:8" x14ac:dyDescent="0.25">
      <c r="B14" s="4"/>
      <c r="C14" s="48" t="s">
        <v>175</v>
      </c>
      <c r="D14" s="52">
        <v>-2.8E-3</v>
      </c>
      <c r="E14" s="9"/>
      <c r="F14" s="9"/>
      <c r="G14" s="9"/>
      <c r="H14" s="38"/>
    </row>
    <row r="15" spans="2:8" x14ac:dyDescent="0.25">
      <c r="B15" s="4"/>
      <c r="C15" s="49" t="s">
        <v>159</v>
      </c>
      <c r="D15" s="53">
        <v>-2.2000000000000001E-3</v>
      </c>
      <c r="E15" s="9"/>
      <c r="F15" s="9"/>
      <c r="G15" s="9"/>
      <c r="H15" s="38"/>
    </row>
    <row r="16" spans="2:8" x14ac:dyDescent="0.25">
      <c r="B16" s="4"/>
      <c r="C16" s="49" t="s">
        <v>95</v>
      </c>
      <c r="D16" s="53">
        <v>-1.31E-3</v>
      </c>
      <c r="E16" s="9"/>
      <c r="F16" s="9"/>
      <c r="G16" s="9"/>
      <c r="H16" s="38"/>
    </row>
    <row r="17" spans="2:8" x14ac:dyDescent="0.25">
      <c r="B17" s="4"/>
      <c r="C17" s="50" t="s">
        <v>56</v>
      </c>
      <c r="D17" s="54">
        <v>-1E-4</v>
      </c>
      <c r="E17" s="9"/>
      <c r="F17" s="9"/>
      <c r="G17" s="9"/>
      <c r="H17" s="38"/>
    </row>
    <row r="18" spans="2:8" x14ac:dyDescent="0.25">
      <c r="B18" s="4"/>
      <c r="C18" s="9" t="s">
        <v>176</v>
      </c>
      <c r="D18" s="9"/>
      <c r="E18" s="9"/>
      <c r="F18" s="9"/>
      <c r="G18" s="9"/>
      <c r="H18" s="38"/>
    </row>
    <row r="19" spans="2:8" x14ac:dyDescent="0.25">
      <c r="B19" s="10"/>
      <c r="C19" s="11"/>
      <c r="D19" s="11"/>
      <c r="E19" s="11"/>
      <c r="F19" s="11"/>
      <c r="G19" s="11"/>
      <c r="H19" s="12"/>
    </row>
    <row r="22" spans="2:8" x14ac:dyDescent="0.25">
      <c r="B22" s="129" t="s">
        <v>96</v>
      </c>
    </row>
    <row r="23" spans="2:8" x14ac:dyDescent="0.25">
      <c r="B23" s="1"/>
      <c r="C23" s="2"/>
      <c r="D23" s="2"/>
      <c r="E23" s="2"/>
      <c r="F23" s="2"/>
      <c r="G23" s="2"/>
      <c r="H23" s="3"/>
    </row>
    <row r="24" spans="2:8" x14ac:dyDescent="0.25">
      <c r="B24" s="4"/>
      <c r="C24" s="35" t="s">
        <v>128</v>
      </c>
      <c r="D24" s="9"/>
      <c r="E24" s="9"/>
      <c r="F24" s="9"/>
      <c r="G24" s="9"/>
      <c r="H24" s="38"/>
    </row>
    <row r="25" spans="2:8" x14ac:dyDescent="0.25">
      <c r="B25" s="4"/>
      <c r="C25" s="55" t="s">
        <v>10</v>
      </c>
      <c r="D25" s="55" t="s">
        <v>11</v>
      </c>
      <c r="E25" s="9"/>
      <c r="F25" s="9"/>
      <c r="G25" s="9"/>
      <c r="H25" s="38"/>
    </row>
    <row r="26" spans="2:8" x14ac:dyDescent="0.25">
      <c r="B26" s="4"/>
      <c r="C26" s="48" t="s">
        <v>101</v>
      </c>
      <c r="D26" s="52">
        <v>-1.2900000000000001E-3</v>
      </c>
      <c r="E26" s="9"/>
      <c r="F26" s="9"/>
      <c r="G26" s="9"/>
      <c r="H26" s="38"/>
    </row>
    <row r="27" spans="2:8" x14ac:dyDescent="0.25">
      <c r="B27" s="4"/>
      <c r="C27" s="49" t="s">
        <v>102</v>
      </c>
      <c r="D27" s="53">
        <v>-1.2900000000000001E-3</v>
      </c>
      <c r="E27" s="9"/>
      <c r="F27" s="9"/>
      <c r="G27" s="9"/>
      <c r="H27" s="38"/>
    </row>
    <row r="28" spans="2:8" x14ac:dyDescent="0.25">
      <c r="B28" s="4"/>
      <c r="C28" s="49" t="s">
        <v>103</v>
      </c>
      <c r="D28" s="53">
        <v>-1.33E-3</v>
      </c>
      <c r="E28" s="9"/>
      <c r="F28" s="9"/>
      <c r="G28" s="9"/>
      <c r="H28" s="38"/>
    </row>
    <row r="29" spans="2:8" x14ac:dyDescent="0.25">
      <c r="B29" s="4"/>
      <c r="C29" s="49" t="s">
        <v>104</v>
      </c>
      <c r="D29" s="53">
        <v>-1.3900000000000002E-3</v>
      </c>
      <c r="E29" s="9"/>
      <c r="F29" s="9"/>
      <c r="G29" s="9"/>
      <c r="H29" s="38"/>
    </row>
    <row r="30" spans="2:8" x14ac:dyDescent="0.25">
      <c r="B30" s="4"/>
      <c r="C30" s="49" t="s">
        <v>105</v>
      </c>
      <c r="D30" s="53">
        <v>-1.4399999999999999E-3</v>
      </c>
      <c r="E30" s="9"/>
      <c r="F30" s="9"/>
      <c r="G30" s="9"/>
      <c r="H30" s="38"/>
    </row>
    <row r="31" spans="2:8" x14ac:dyDescent="0.25">
      <c r="B31" s="4"/>
      <c r="C31" s="49" t="s">
        <v>106</v>
      </c>
      <c r="D31" s="53">
        <v>-1.4399999999999999E-3</v>
      </c>
      <c r="E31" s="9"/>
      <c r="F31" s="9"/>
      <c r="G31" s="9"/>
      <c r="H31" s="38"/>
    </row>
    <row r="32" spans="2:8" x14ac:dyDescent="0.25">
      <c r="B32" s="4"/>
      <c r="C32" s="49" t="s">
        <v>107</v>
      </c>
      <c r="D32" s="53">
        <v>-1.4599999999999999E-3</v>
      </c>
      <c r="E32" s="9"/>
      <c r="F32" s="9"/>
      <c r="G32" s="9"/>
      <c r="H32" s="38"/>
    </row>
    <row r="33" spans="2:8" x14ac:dyDescent="0.25">
      <c r="B33" s="4"/>
      <c r="C33" s="49" t="s">
        <v>108</v>
      </c>
      <c r="D33" s="53">
        <v>-1.47E-3</v>
      </c>
      <c r="E33" s="9"/>
      <c r="F33" s="9"/>
      <c r="G33" s="9"/>
      <c r="H33" s="38"/>
    </row>
    <row r="34" spans="2:8" x14ac:dyDescent="0.25">
      <c r="B34" s="4"/>
      <c r="C34" s="49" t="s">
        <v>109</v>
      </c>
      <c r="D34" s="53">
        <v>-1.4599999999999999E-3</v>
      </c>
      <c r="E34" s="9"/>
      <c r="F34" s="9"/>
      <c r="G34" s="9"/>
      <c r="H34" s="38"/>
    </row>
    <row r="35" spans="2:8" x14ac:dyDescent="0.25">
      <c r="B35" s="4"/>
      <c r="C35" s="49" t="s">
        <v>110</v>
      </c>
      <c r="D35" s="53">
        <v>-1.4299999999999998E-3</v>
      </c>
      <c r="E35" s="9"/>
      <c r="F35" s="9"/>
      <c r="G35" s="9"/>
      <c r="H35" s="38"/>
    </row>
    <row r="36" spans="2:8" x14ac:dyDescent="0.25">
      <c r="B36" s="4"/>
      <c r="C36" s="50" t="s">
        <v>111</v>
      </c>
      <c r="D36" s="54">
        <v>-1.4099999999999998E-3</v>
      </c>
      <c r="E36" s="9"/>
      <c r="F36" s="9"/>
      <c r="G36" s="9"/>
      <c r="H36" s="38"/>
    </row>
    <row r="37" spans="2:8" x14ac:dyDescent="0.25">
      <c r="B37" s="4"/>
      <c r="C37" s="9"/>
      <c r="D37" s="9"/>
      <c r="E37" s="9"/>
      <c r="F37" s="9"/>
      <c r="G37" s="9"/>
      <c r="H37" s="38"/>
    </row>
    <row r="38" spans="2:8" x14ac:dyDescent="0.25">
      <c r="B38" s="10"/>
      <c r="C38" s="11"/>
      <c r="D38" s="11"/>
      <c r="E38" s="11"/>
      <c r="F38" s="11"/>
      <c r="G38" s="11"/>
      <c r="H38" s="12"/>
    </row>
    <row r="41" spans="2:8" x14ac:dyDescent="0.25">
      <c r="B41" s="129" t="s">
        <v>112</v>
      </c>
    </row>
    <row r="42" spans="2:8" x14ac:dyDescent="0.25">
      <c r="B42" s="1"/>
      <c r="C42" s="2"/>
      <c r="D42" s="2"/>
      <c r="E42" s="2"/>
      <c r="F42" s="2"/>
      <c r="G42" s="2"/>
      <c r="H42" s="3"/>
    </row>
    <row r="43" spans="2:8" x14ac:dyDescent="0.25">
      <c r="B43" s="4"/>
      <c r="C43" s="35" t="s">
        <v>116</v>
      </c>
      <c r="D43" s="9"/>
      <c r="E43" s="9"/>
      <c r="F43" s="9"/>
      <c r="G43" s="9"/>
      <c r="H43" s="38"/>
    </row>
    <row r="44" spans="2:8" x14ac:dyDescent="0.25">
      <c r="B44" s="4"/>
      <c r="C44" s="74" t="s">
        <v>129</v>
      </c>
      <c r="D44" s="74" t="s">
        <v>12</v>
      </c>
      <c r="E44" s="74" t="s">
        <v>13</v>
      </c>
      <c r="F44" s="74" t="s">
        <v>11</v>
      </c>
      <c r="G44" s="74" t="s">
        <v>115</v>
      </c>
      <c r="H44" s="38"/>
    </row>
    <row r="45" spans="2:8" x14ac:dyDescent="0.25">
      <c r="B45" s="4"/>
      <c r="C45" s="56"/>
      <c r="D45" s="57"/>
      <c r="E45" s="57"/>
      <c r="F45" s="58"/>
      <c r="G45" s="59"/>
      <c r="H45" s="38"/>
    </row>
    <row r="46" spans="2:8" x14ac:dyDescent="0.25">
      <c r="B46" s="4"/>
      <c r="C46" s="60"/>
      <c r="D46" s="57"/>
      <c r="E46" s="57"/>
      <c r="F46" s="58"/>
      <c r="G46" s="59"/>
      <c r="H46" s="38"/>
    </row>
    <row r="47" spans="2:8" x14ac:dyDescent="0.25">
      <c r="B47" s="4"/>
      <c r="C47" s="61"/>
      <c r="D47" s="62"/>
      <c r="E47" s="62"/>
      <c r="F47" s="63"/>
      <c r="G47" s="64"/>
      <c r="H47" s="38"/>
    </row>
    <row r="48" spans="2:8" x14ac:dyDescent="0.25">
      <c r="B48" s="4"/>
      <c r="C48" s="65"/>
      <c r="D48" s="62"/>
      <c r="E48" s="62"/>
      <c r="F48" s="66"/>
      <c r="G48" s="64"/>
      <c r="H48" s="38"/>
    </row>
    <row r="49" spans="2:8" x14ac:dyDescent="0.25">
      <c r="B49" s="4"/>
      <c r="C49" s="67"/>
      <c r="D49" s="68"/>
      <c r="E49" s="68"/>
      <c r="F49" s="66"/>
      <c r="G49" s="69"/>
      <c r="H49" s="38"/>
    </row>
    <row r="50" spans="2:8" x14ac:dyDescent="0.25">
      <c r="B50" s="4"/>
      <c r="C50" s="67"/>
      <c r="D50" s="68"/>
      <c r="E50" s="68"/>
      <c r="F50" s="66"/>
      <c r="G50" s="69"/>
      <c r="H50" s="38"/>
    </row>
    <row r="51" spans="2:8" x14ac:dyDescent="0.25">
      <c r="B51" s="4"/>
      <c r="C51" s="70"/>
      <c r="D51" s="71"/>
      <c r="E51" s="71"/>
      <c r="F51" s="72"/>
      <c r="G51" s="73"/>
      <c r="H51" s="38"/>
    </row>
    <row r="52" spans="2:8" x14ac:dyDescent="0.25">
      <c r="B52" s="4"/>
      <c r="C52" s="8"/>
      <c r="D52" s="8"/>
      <c r="E52" s="8"/>
      <c r="F52" s="9"/>
      <c r="G52" s="9"/>
      <c r="H52" s="38"/>
    </row>
    <row r="53" spans="2:8" x14ac:dyDescent="0.25">
      <c r="B53" s="10"/>
      <c r="C53" s="11"/>
      <c r="D53" s="11"/>
      <c r="E53" s="11"/>
      <c r="F53" s="11"/>
      <c r="G53" s="11"/>
      <c r="H53" s="12"/>
    </row>
    <row r="56" spans="2:8" x14ac:dyDescent="0.25">
      <c r="B56" s="129" t="s">
        <v>117</v>
      </c>
    </row>
    <row r="57" spans="2:8" x14ac:dyDescent="0.25">
      <c r="B57" s="1"/>
      <c r="C57" s="2"/>
      <c r="D57" s="2"/>
      <c r="E57" s="2"/>
      <c r="F57" s="2"/>
      <c r="G57" s="2"/>
      <c r="H57" s="3"/>
    </row>
    <row r="58" spans="2:8" x14ac:dyDescent="0.25">
      <c r="B58" s="4"/>
      <c r="C58" s="35" t="s">
        <v>119</v>
      </c>
      <c r="D58" s="9"/>
      <c r="E58" s="9"/>
      <c r="F58" s="9"/>
      <c r="G58" s="9"/>
      <c r="H58" s="38"/>
    </row>
    <row r="59" spans="2:8" x14ac:dyDescent="0.25">
      <c r="B59" s="4"/>
      <c r="C59" s="55" t="s">
        <v>10</v>
      </c>
      <c r="D59" s="55" t="s">
        <v>11</v>
      </c>
      <c r="E59" s="55" t="s">
        <v>7</v>
      </c>
      <c r="F59" s="9"/>
      <c r="G59" s="9"/>
      <c r="H59" s="38"/>
    </row>
    <row r="60" spans="2:8" x14ac:dyDescent="0.25">
      <c r="B60" s="4"/>
      <c r="C60" s="78" t="s">
        <v>46</v>
      </c>
      <c r="D60" s="75">
        <v>-1.33E-3</v>
      </c>
      <c r="E60" s="52" t="b">
        <v>1</v>
      </c>
      <c r="F60" s="9"/>
      <c r="G60" s="9"/>
      <c r="H60" s="38"/>
    </row>
    <row r="61" spans="2:8" x14ac:dyDescent="0.25">
      <c r="B61" s="4"/>
      <c r="C61" s="15" t="s">
        <v>42</v>
      </c>
      <c r="D61" s="76">
        <v>-8.699999999999999E-4</v>
      </c>
      <c r="E61" s="53" t="b">
        <v>1</v>
      </c>
      <c r="F61" s="9"/>
      <c r="G61" s="9"/>
      <c r="H61" s="38"/>
    </row>
    <row r="62" spans="2:8" x14ac:dyDescent="0.25">
      <c r="B62" s="4"/>
      <c r="C62" s="15" t="s">
        <v>49</v>
      </c>
      <c r="D62" s="76">
        <v>-8.0000000000000007E-5</v>
      </c>
      <c r="E62" s="53" t="b">
        <v>1</v>
      </c>
      <c r="F62" s="9"/>
      <c r="G62" s="9"/>
      <c r="H62" s="38"/>
    </row>
    <row r="63" spans="2:8" x14ac:dyDescent="0.25">
      <c r="B63" s="4"/>
      <c r="C63" s="15" t="s">
        <v>51</v>
      </c>
      <c r="D63" s="76">
        <v>9.2999999999999995E-4</v>
      </c>
      <c r="E63" s="53" t="b">
        <v>1</v>
      </c>
      <c r="F63" s="9"/>
      <c r="G63" s="9"/>
      <c r="H63" s="38"/>
    </row>
    <row r="64" spans="2:8" x14ac:dyDescent="0.25">
      <c r="B64" s="4"/>
      <c r="C64" s="15" t="s">
        <v>53</v>
      </c>
      <c r="D64" s="76">
        <v>2.0200000000000001E-3</v>
      </c>
      <c r="E64" s="53" t="b">
        <v>1</v>
      </c>
      <c r="F64" s="9"/>
      <c r="G64" s="9"/>
      <c r="H64" s="38"/>
    </row>
    <row r="65" spans="2:8" x14ac:dyDescent="0.25">
      <c r="B65" s="4"/>
      <c r="C65" s="15" t="s">
        <v>55</v>
      </c>
      <c r="D65" s="76">
        <v>3.2100000000000002E-3</v>
      </c>
      <c r="E65" s="53" t="b">
        <v>1</v>
      </c>
      <c r="F65" s="9"/>
      <c r="G65" s="9"/>
      <c r="H65" s="38"/>
    </row>
    <row r="66" spans="2:8" x14ac:dyDescent="0.25">
      <c r="B66" s="4"/>
      <c r="C66" s="15" t="s">
        <v>57</v>
      </c>
      <c r="D66" s="76">
        <v>4.4400000000000004E-3</v>
      </c>
      <c r="E66" s="53" t="b">
        <v>1</v>
      </c>
      <c r="F66" s="9"/>
      <c r="G66" s="9"/>
      <c r="H66" s="38"/>
    </row>
    <row r="67" spans="2:8" x14ac:dyDescent="0.25">
      <c r="B67" s="4"/>
      <c r="C67" s="15" t="s">
        <v>59</v>
      </c>
      <c r="D67" s="76">
        <v>5.6100000000000004E-3</v>
      </c>
      <c r="E67" s="53" t="b">
        <v>1</v>
      </c>
      <c r="F67" s="9"/>
      <c r="G67" s="9"/>
      <c r="H67" s="38"/>
    </row>
    <row r="68" spans="2:8" x14ac:dyDescent="0.25">
      <c r="B68" s="4"/>
      <c r="C68" s="15" t="s">
        <v>60</v>
      </c>
      <c r="D68" s="76">
        <v>6.6700000000000006E-3</v>
      </c>
      <c r="E68" s="53" t="b">
        <v>1</v>
      </c>
      <c r="F68" s="9"/>
      <c r="G68" s="9"/>
      <c r="H68" s="38"/>
    </row>
    <row r="69" spans="2:8" x14ac:dyDescent="0.25">
      <c r="B69" s="4"/>
      <c r="C69" s="15" t="s">
        <v>61</v>
      </c>
      <c r="D69" s="76">
        <v>7.6300000000000005E-3</v>
      </c>
      <c r="E69" s="53" t="b">
        <v>1</v>
      </c>
      <c r="F69" s="9"/>
      <c r="G69" s="9"/>
      <c r="H69" s="38"/>
    </row>
    <row r="70" spans="2:8" x14ac:dyDescent="0.25">
      <c r="B70" s="4"/>
      <c r="C70" s="15" t="s">
        <v>62</v>
      </c>
      <c r="D70" s="76">
        <v>8.4700000000000001E-3</v>
      </c>
      <c r="E70" s="53" t="b">
        <v>1</v>
      </c>
      <c r="F70" s="9"/>
      <c r="G70" s="9"/>
      <c r="H70" s="38"/>
    </row>
    <row r="71" spans="2:8" x14ac:dyDescent="0.25">
      <c r="B71" s="4"/>
      <c r="C71" s="15" t="s">
        <v>63</v>
      </c>
      <c r="D71" s="76">
        <v>1.03E-2</v>
      </c>
      <c r="E71" s="53" t="b">
        <v>1</v>
      </c>
      <c r="F71" s="9"/>
      <c r="G71" s="9"/>
      <c r="H71" s="38"/>
    </row>
    <row r="72" spans="2:8" x14ac:dyDescent="0.25">
      <c r="B72" s="4"/>
      <c r="C72" s="15" t="s">
        <v>64</v>
      </c>
      <c r="D72" s="76">
        <v>1.1659999999999998E-2</v>
      </c>
      <c r="E72" s="53" t="b">
        <v>1</v>
      </c>
      <c r="F72" s="9"/>
      <c r="G72" s="9"/>
      <c r="H72" s="38"/>
    </row>
    <row r="73" spans="2:8" x14ac:dyDescent="0.25">
      <c r="B73" s="4"/>
      <c r="C73" s="15" t="s">
        <v>65</v>
      </c>
      <c r="D73" s="76">
        <v>1.201E-2</v>
      </c>
      <c r="E73" s="53" t="b">
        <v>1</v>
      </c>
      <c r="F73" s="9"/>
      <c r="G73" s="9"/>
      <c r="H73" s="38"/>
    </row>
    <row r="74" spans="2:8" x14ac:dyDescent="0.25">
      <c r="B74" s="4"/>
      <c r="C74" s="15" t="s">
        <v>66</v>
      </c>
      <c r="D74" s="76">
        <v>1.204E-2</v>
      </c>
      <c r="E74" s="53" t="b">
        <v>1</v>
      </c>
      <c r="F74" s="9"/>
      <c r="G74" s="9"/>
      <c r="H74" s="38"/>
    </row>
    <row r="75" spans="2:8" x14ac:dyDescent="0.25">
      <c r="B75" s="4"/>
      <c r="C75" s="15" t="s">
        <v>67</v>
      </c>
      <c r="D75" s="76">
        <v>1.1859999999999999E-2</v>
      </c>
      <c r="E75" s="53" t="b">
        <v>1</v>
      </c>
      <c r="F75" s="9"/>
      <c r="G75" s="9"/>
      <c r="H75" s="38"/>
    </row>
    <row r="76" spans="2:8" x14ac:dyDescent="0.25">
      <c r="B76" s="4"/>
      <c r="C76" s="15" t="s">
        <v>68</v>
      </c>
      <c r="D76" s="76">
        <v>1.1200000000000002E-2</v>
      </c>
      <c r="E76" s="53" t="b">
        <v>1</v>
      </c>
      <c r="F76" s="9"/>
      <c r="G76" s="9"/>
      <c r="H76" s="38"/>
    </row>
    <row r="77" spans="2:8" x14ac:dyDescent="0.25">
      <c r="B77" s="4"/>
      <c r="C77" s="16"/>
      <c r="D77" s="77"/>
      <c r="E77" s="54"/>
      <c r="F77" s="9"/>
      <c r="G77" s="9"/>
      <c r="H77" s="38"/>
    </row>
    <row r="78" spans="2:8" x14ac:dyDescent="0.25">
      <c r="B78" s="4"/>
      <c r="C78" s="8"/>
      <c r="D78" s="8"/>
      <c r="E78" s="8"/>
      <c r="F78" s="9"/>
      <c r="G78" s="9"/>
      <c r="H78" s="38"/>
    </row>
    <row r="79" spans="2:8" x14ac:dyDescent="0.25">
      <c r="B79" s="10"/>
      <c r="C79" s="11"/>
      <c r="D79" s="11"/>
      <c r="E79" s="11"/>
      <c r="F79" s="11"/>
      <c r="G79" s="11"/>
      <c r="H79" s="12"/>
    </row>
  </sheetData>
  <mergeCells count="1">
    <mergeCell ref="D4:G4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39997558519241921"/>
  </sheetPr>
  <dimension ref="B2:F33"/>
  <sheetViews>
    <sheetView showGridLines="0" workbookViewId="0"/>
  </sheetViews>
  <sheetFormatPr defaultRowHeight="15" x14ac:dyDescent="0.25"/>
  <cols>
    <col min="2" max="2" width="2.7109375" customWidth="1"/>
    <col min="3" max="3" width="13" customWidth="1"/>
    <col min="4" max="4" width="22" customWidth="1"/>
    <col min="5" max="5" width="47.140625" customWidth="1"/>
    <col min="6" max="6" width="10.7109375" customWidth="1"/>
    <col min="7" max="11" width="20.7109375" customWidth="1"/>
    <col min="12" max="12" width="2.7109375" customWidth="1"/>
  </cols>
  <sheetData>
    <row r="2" spans="2:6" x14ac:dyDescent="0.25">
      <c r="B2" s="129" t="s">
        <v>207</v>
      </c>
      <c r="C2" s="129"/>
    </row>
    <row r="3" spans="2:6" x14ac:dyDescent="0.25">
      <c r="B3" s="1"/>
      <c r="C3" s="2"/>
      <c r="D3" s="31"/>
      <c r="E3" s="32"/>
      <c r="F3" s="3"/>
    </row>
    <row r="4" spans="2:6" x14ac:dyDescent="0.25">
      <c r="B4" s="4"/>
      <c r="C4" s="6"/>
      <c r="D4" s="186" t="s">
        <v>207</v>
      </c>
      <c r="E4" s="194" t="str">
        <f ca="1">IF(AND(isEUR6MLLoaded,NOW()),_xll.meCurveCalibrateBasis(TenorBasisCurve3M6M.CollectionName,TenorBasisCurve3M6M.StaticDataTable,TenorBasisCurve3M6M.IndexName,TenorBasisCurve3M6M.BuildProperties,TenorBasisSwap3M6M.Conventions,TenorBasisSwap3M6M.MarketData),"Error Building Tenor Basis Curve")</f>
        <v>EURYC 3M6MBasis Curve has been set (0.01500 sec)</v>
      </c>
      <c r="F4" s="7"/>
    </row>
    <row r="5" spans="2:6" x14ac:dyDescent="0.25">
      <c r="B5" s="4"/>
      <c r="C5" s="6"/>
      <c r="D5" s="19" t="s">
        <v>80</v>
      </c>
      <c r="E5" s="209" t="s">
        <v>77</v>
      </c>
      <c r="F5" s="7"/>
    </row>
    <row r="6" spans="2:6" x14ac:dyDescent="0.25">
      <c r="B6" s="4"/>
      <c r="C6" s="6"/>
      <c r="D6" s="42" t="s">
        <v>182</v>
      </c>
      <c r="E6" s="208" t="b">
        <f ca="1">LEFT(E4,3)=LEFT(E5,3)</f>
        <v>1</v>
      </c>
      <c r="F6" s="7"/>
    </row>
    <row r="7" spans="2:6" x14ac:dyDescent="0.25">
      <c r="B7" s="4"/>
      <c r="C7" s="6"/>
      <c r="D7" s="5" t="s">
        <v>4</v>
      </c>
      <c r="E7" s="43"/>
      <c r="F7" s="7"/>
    </row>
    <row r="8" spans="2:6" x14ac:dyDescent="0.25">
      <c r="B8" s="10"/>
      <c r="C8" s="11"/>
      <c r="D8" s="11"/>
      <c r="E8" s="11"/>
      <c r="F8" s="12"/>
    </row>
    <row r="11" spans="2:6" x14ac:dyDescent="0.25">
      <c r="B11" s="129" t="s">
        <v>132</v>
      </c>
      <c r="C11" s="129"/>
    </row>
    <row r="12" spans="2:6" x14ac:dyDescent="0.25">
      <c r="B12" s="1"/>
      <c r="C12" s="2"/>
      <c r="D12" s="2"/>
      <c r="E12" s="2"/>
      <c r="F12" s="3"/>
    </row>
    <row r="13" spans="2:6" x14ac:dyDescent="0.25">
      <c r="B13" s="4"/>
      <c r="C13" s="9"/>
      <c r="D13" s="35" t="s">
        <v>177</v>
      </c>
      <c r="E13" s="9"/>
      <c r="F13" s="38"/>
    </row>
    <row r="14" spans="2:6" x14ac:dyDescent="0.25">
      <c r="B14" s="4"/>
      <c r="C14" s="6"/>
      <c r="D14" s="55" t="s">
        <v>10</v>
      </c>
      <c r="E14" s="55" t="s">
        <v>11</v>
      </c>
      <c r="F14" s="38"/>
    </row>
    <row r="15" spans="2:6" ht="15" customHeight="1" x14ac:dyDescent="0.25">
      <c r="B15" s="4"/>
      <c r="C15" s="8"/>
      <c r="D15" s="48" t="s">
        <v>173</v>
      </c>
      <c r="E15" s="52">
        <v>1.1300000000000001E-3</v>
      </c>
      <c r="F15" s="38"/>
    </row>
    <row r="16" spans="2:6" x14ac:dyDescent="0.25">
      <c r="B16" s="4"/>
      <c r="C16" s="8"/>
      <c r="D16" s="49" t="s">
        <v>46</v>
      </c>
      <c r="E16" s="53">
        <v>1.1925E-3</v>
      </c>
      <c r="F16" s="38"/>
    </row>
    <row r="17" spans="2:6" x14ac:dyDescent="0.25">
      <c r="B17" s="4"/>
      <c r="C17" s="8"/>
      <c r="D17" s="49" t="s">
        <v>42</v>
      </c>
      <c r="E17" s="53">
        <v>1.2425000000000001E-3</v>
      </c>
      <c r="F17" s="38"/>
    </row>
    <row r="18" spans="2:6" x14ac:dyDescent="0.25">
      <c r="B18" s="4"/>
      <c r="C18" s="8"/>
      <c r="D18" s="49" t="s">
        <v>49</v>
      </c>
      <c r="E18" s="53">
        <v>1.2975E-3</v>
      </c>
      <c r="F18" s="38"/>
    </row>
    <row r="19" spans="2:6" x14ac:dyDescent="0.25">
      <c r="B19" s="4"/>
      <c r="C19" s="8"/>
      <c r="D19" s="49" t="s">
        <v>51</v>
      </c>
      <c r="E19" s="53">
        <v>1.3324999999999999E-3</v>
      </c>
      <c r="F19" s="38"/>
    </row>
    <row r="20" spans="2:6" x14ac:dyDescent="0.25">
      <c r="B20" s="4"/>
      <c r="C20" s="8"/>
      <c r="D20" s="49" t="s">
        <v>53</v>
      </c>
      <c r="E20" s="53">
        <v>1.3074999999999999E-3</v>
      </c>
      <c r="F20" s="38"/>
    </row>
    <row r="21" spans="2:6" x14ac:dyDescent="0.25">
      <c r="B21" s="4"/>
      <c r="C21" s="8"/>
      <c r="D21" s="49" t="s">
        <v>55</v>
      </c>
      <c r="E21" s="53">
        <v>1.2725E-3</v>
      </c>
      <c r="F21" s="38"/>
    </row>
    <row r="22" spans="2:6" x14ac:dyDescent="0.25">
      <c r="B22" s="4"/>
      <c r="C22" s="8"/>
      <c r="D22" s="49" t="s">
        <v>57</v>
      </c>
      <c r="E22" s="53">
        <v>1.2275000000000001E-3</v>
      </c>
      <c r="F22" s="38"/>
    </row>
    <row r="23" spans="2:6" x14ac:dyDescent="0.25">
      <c r="B23" s="4"/>
      <c r="C23" s="8"/>
      <c r="D23" s="49" t="s">
        <v>59</v>
      </c>
      <c r="E23" s="53">
        <v>1.1675000000000001E-3</v>
      </c>
      <c r="F23" s="38"/>
    </row>
    <row r="24" spans="2:6" x14ac:dyDescent="0.25">
      <c r="B24" s="4"/>
      <c r="C24" s="8"/>
      <c r="D24" s="49" t="s">
        <v>60</v>
      </c>
      <c r="E24" s="53">
        <v>1.1025E-3</v>
      </c>
      <c r="F24" s="38"/>
    </row>
    <row r="25" spans="2:6" x14ac:dyDescent="0.25">
      <c r="B25" s="4"/>
      <c r="C25" s="8"/>
      <c r="D25" s="49" t="s">
        <v>61</v>
      </c>
      <c r="E25" s="53">
        <v>1.0425E-3</v>
      </c>
      <c r="F25" s="38"/>
    </row>
    <row r="26" spans="2:6" x14ac:dyDescent="0.25">
      <c r="B26" s="4"/>
      <c r="C26" s="8"/>
      <c r="D26" s="49" t="s">
        <v>62</v>
      </c>
      <c r="E26" s="53">
        <v>9.9250000000000011E-4</v>
      </c>
      <c r="F26" s="38"/>
    </row>
    <row r="27" spans="2:6" x14ac:dyDescent="0.25">
      <c r="B27" s="4"/>
      <c r="C27" s="8"/>
      <c r="D27" s="49" t="s">
        <v>63</v>
      </c>
      <c r="E27" s="53">
        <v>8.6249999999999999E-4</v>
      </c>
      <c r="F27" s="38"/>
    </row>
    <row r="28" spans="2:6" x14ac:dyDescent="0.25">
      <c r="B28" s="4"/>
      <c r="C28" s="8"/>
      <c r="D28" s="49" t="s">
        <v>64</v>
      </c>
      <c r="E28" s="53">
        <v>6.8749999999999996E-4</v>
      </c>
      <c r="F28" s="38"/>
    </row>
    <row r="29" spans="2:6" x14ac:dyDescent="0.25">
      <c r="B29" s="4"/>
      <c r="C29" s="8"/>
      <c r="D29" s="49" t="s">
        <v>65</v>
      </c>
      <c r="E29" s="53">
        <v>5.8250000000000001E-4</v>
      </c>
      <c r="F29" s="38"/>
    </row>
    <row r="30" spans="2:6" ht="15" customHeight="1" x14ac:dyDescent="0.25">
      <c r="B30" s="4"/>
      <c r="C30" s="8"/>
      <c r="D30" s="49" t="s">
        <v>66</v>
      </c>
      <c r="E30" s="53">
        <v>5.1250000000000004E-4</v>
      </c>
      <c r="F30" s="38"/>
    </row>
    <row r="31" spans="2:6" x14ac:dyDescent="0.25">
      <c r="B31" s="4"/>
      <c r="C31" s="8"/>
      <c r="D31" s="50"/>
      <c r="E31" s="54"/>
      <c r="F31" s="38"/>
    </row>
    <row r="32" spans="2:6" x14ac:dyDescent="0.25">
      <c r="B32" s="4"/>
      <c r="C32" s="6"/>
      <c r="D32" s="8"/>
      <c r="E32" s="8"/>
      <c r="F32" s="38"/>
    </row>
    <row r="33" spans="2:6" x14ac:dyDescent="0.25">
      <c r="B33" s="10"/>
      <c r="C33" s="11"/>
      <c r="D33" s="11"/>
      <c r="E33" s="11"/>
      <c r="F33" s="12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006600"/>
  </sheetPr>
  <dimension ref="A1:K101"/>
  <sheetViews>
    <sheetView showGridLines="0" tabSelected="1" workbookViewId="0"/>
  </sheetViews>
  <sheetFormatPr defaultRowHeight="15" x14ac:dyDescent="0.25"/>
  <cols>
    <col min="2" max="5" width="15.7109375" customWidth="1"/>
    <col min="7" max="8" width="15.7109375" customWidth="1"/>
    <col min="10" max="10" width="13.42578125" bestFit="1" customWidth="1"/>
  </cols>
  <sheetData>
    <row r="1" spans="1:11" s="158" customFormat="1" x14ac:dyDescent="0.25">
      <c r="A1" s="94"/>
    </row>
    <row r="2" spans="1:11" s="158" customFormat="1" x14ac:dyDescent="0.25">
      <c r="A2" s="94"/>
      <c r="B2" s="215" t="s">
        <v>255</v>
      </c>
      <c r="J2" s="215" t="s">
        <v>256</v>
      </c>
    </row>
    <row r="3" spans="1:11" s="158" customFormat="1" x14ac:dyDescent="0.25">
      <c r="A3" s="94"/>
      <c r="B3" s="219" t="s">
        <v>80</v>
      </c>
      <c r="C3" s="217" t="s">
        <v>77</v>
      </c>
      <c r="J3" s="216" t="s">
        <v>253</v>
      </c>
      <c r="K3" s="217" t="s">
        <v>257</v>
      </c>
    </row>
    <row r="4" spans="1:11" s="158" customFormat="1" x14ac:dyDescent="0.25">
      <c r="A4" s="94"/>
    </row>
    <row r="5" spans="1:11" s="158" customFormat="1" x14ac:dyDescent="0.25">
      <c r="A5" s="94"/>
      <c r="B5" s="218" t="s">
        <v>259</v>
      </c>
      <c r="G5" s="215" t="s">
        <v>260</v>
      </c>
    </row>
    <row r="6" spans="1:11" s="158" customFormat="1" x14ac:dyDescent="0.25">
      <c r="B6" s="161" t="s">
        <v>246</v>
      </c>
      <c r="C6" s="161" t="s">
        <v>178</v>
      </c>
      <c r="D6" s="161" t="s">
        <v>254</v>
      </c>
      <c r="E6" s="161" t="s">
        <v>258</v>
      </c>
      <c r="G6" s="158" t="s">
        <v>245</v>
      </c>
      <c r="H6" s="161" t="s">
        <v>258</v>
      </c>
    </row>
    <row r="7" spans="1:11" s="158" customFormat="1" x14ac:dyDescent="0.25">
      <c r="B7" s="220">
        <f ca="1">COB</f>
        <v>42419</v>
      </c>
      <c r="C7" s="221">
        <f t="array" aca="1" ref="C7:C101" ca="1">_xll.meCurveForwardRates($B$7:$B$101,CurveCollection,C$6)</f>
        <v>-1.3100000000000835E-3</v>
      </c>
      <c r="D7" s="221">
        <f t="array" aca="1" ref="D7:D101" ca="1">_xll.meCurveForwardRates($B$7:$B$101,CurveCollection,D$6)</f>
        <v>-2.1999999999088712E-3</v>
      </c>
      <c r="E7" s="222">
        <f t="array" aca="1" ref="E7:E101" ca="1">_xll.meCurveForwardRates($B$7:$B$101,CurveCollection,E$6)</f>
        <v>-1.2823148174824217E-3</v>
      </c>
      <c r="G7" s="220">
        <f ca="1">COB</f>
        <v>42419</v>
      </c>
      <c r="H7" s="229">
        <f t="array" aca="1" ref="H7:H101" ca="1">_xll.meCurveDiscountFactors($G$7:$G$101,CurveCollection,$H$6)</f>
        <v>1</v>
      </c>
    </row>
    <row r="8" spans="1:11" s="158" customFormat="1" x14ac:dyDescent="0.25">
      <c r="B8" s="223">
        <f ca="1">_xll.meDateFromTenor(B7,$K$3)</f>
        <v>42479</v>
      </c>
      <c r="C8" s="224">
        <f ca="1"/>
        <v>-1.2919354838709679E-3</v>
      </c>
      <c r="D8" s="224">
        <f ca="1"/>
        <v>-2.4640338165274681E-3</v>
      </c>
      <c r="E8" s="225">
        <f ca="1"/>
        <v>-3.3842763448245217E-3</v>
      </c>
      <c r="G8" s="223">
        <f ca="1">_xll.meDateFromTenor(G7,$K$3)</f>
        <v>42479</v>
      </c>
      <c r="H8" s="159">
        <f ca="1"/>
        <v>1.0005571606375678</v>
      </c>
    </row>
    <row r="9" spans="1:11" x14ac:dyDescent="0.25">
      <c r="B9" s="223">
        <f ca="1">_xll.meDateFromTenor(B8,$K$3)</f>
        <v>42540</v>
      </c>
      <c r="C9" s="224">
        <f ca="1"/>
        <v>-1.3248387096774193E-3</v>
      </c>
      <c r="D9" s="224">
        <f ca="1"/>
        <v>-2.6291303619828043E-3</v>
      </c>
      <c r="E9" s="225">
        <f ca="1"/>
        <v>-3.5238198832867607E-3</v>
      </c>
      <c r="G9" s="223">
        <f ca="1">_xll.meDateFromTenor(G8,$K$3)</f>
        <v>42540</v>
      </c>
      <c r="H9" s="159">
        <f ca="1"/>
        <v>1.0011386862282385</v>
      </c>
    </row>
    <row r="10" spans="1:11" x14ac:dyDescent="0.25">
      <c r="B10" s="223">
        <f ca="1">_xll.meDateFromTenor(B9,$K$3)</f>
        <v>42601</v>
      </c>
      <c r="C10" s="224">
        <f ca="1"/>
        <v>-1.433103448275862E-3</v>
      </c>
      <c r="D10" s="224">
        <f ca="1"/>
        <v>-2.6282292941880174E-3</v>
      </c>
      <c r="E10" s="225">
        <f ca="1"/>
        <v>-3.5636840137830417E-3</v>
      </c>
      <c r="G10" s="223">
        <f ca="1">_xll.meDateFromTenor(G9,$K$3)</f>
        <v>42601</v>
      </c>
      <c r="H10" s="159">
        <f ca="1"/>
        <v>1.0017409185401773</v>
      </c>
    </row>
    <row r="11" spans="1:11" x14ac:dyDescent="0.25">
      <c r="B11" s="223">
        <f ca="1">_xll.meDateFromTenor(B10,$K$3)</f>
        <v>42662</v>
      </c>
      <c r="C11" s="224">
        <f ca="1"/>
        <v>-1.456774193548387E-3</v>
      </c>
      <c r="D11" s="224">
        <f ca="1"/>
        <v>-2.6045304251165985E-3</v>
      </c>
      <c r="E11" s="225">
        <f ca="1"/>
        <v>-3.77288456346625E-3</v>
      </c>
      <c r="G11" s="223">
        <f ca="1">_xll.meDateFromTenor(G10,$K$3)</f>
        <v>42662</v>
      </c>
      <c r="H11" s="159">
        <f ca="1"/>
        <v>1.0023710508502188</v>
      </c>
    </row>
    <row r="12" spans="1:11" x14ac:dyDescent="0.25">
      <c r="B12" s="223">
        <f ca="1">_xll.meDateFromTenor(B11,$K$3)</f>
        <v>42723</v>
      </c>
      <c r="C12" s="224">
        <f ca="1"/>
        <v>-1.4613333333333334E-3</v>
      </c>
      <c r="D12" s="224">
        <f ca="1"/>
        <v>-2.5821388566809596E-3</v>
      </c>
      <c r="E12" s="225">
        <f ca="1"/>
        <v>-4.0119670885919723E-3</v>
      </c>
      <c r="G12" s="223">
        <f ca="1">_xll.meDateFromTenor(G11,$K$3)</f>
        <v>42723</v>
      </c>
      <c r="H12" s="159">
        <f ca="1"/>
        <v>1.0030291684219887</v>
      </c>
    </row>
    <row r="13" spans="1:11" x14ac:dyDescent="0.25">
      <c r="B13" s="223">
        <f ca="1">_xll.meDateFromTenor(B12,$K$3)</f>
        <v>42785</v>
      </c>
      <c r="C13" s="224">
        <f ca="1"/>
        <v>-1.4125806451612906E-3</v>
      </c>
      <c r="D13" s="224">
        <f ca="1"/>
        <v>-2.5653509635564977E-3</v>
      </c>
      <c r="E13" s="225">
        <f ca="1"/>
        <v>-4.1421869727974459E-3</v>
      </c>
      <c r="G13" s="223">
        <f ca="1">_xll.meDateFromTenor(G12,$K$3)</f>
        <v>42785</v>
      </c>
      <c r="H13" s="159">
        <f ca="1"/>
        <v>1.0037492013627767</v>
      </c>
    </row>
    <row r="14" spans="1:11" x14ac:dyDescent="0.25">
      <c r="B14" s="223">
        <f ca="1">_xll.meDateFromTenor(B13,$K$3)</f>
        <v>42844</v>
      </c>
      <c r="C14" s="224">
        <f ca="1"/>
        <v>-1.3520444712223881E-3</v>
      </c>
      <c r="D14" s="224">
        <f ca="1"/>
        <v>-2.5647442691357782E-3</v>
      </c>
      <c r="E14" s="225">
        <f ca="1"/>
        <v>-4.0334751520610945E-3</v>
      </c>
      <c r="G14" s="223">
        <f ca="1">_xll.meDateFromTenor(G13,$K$3)</f>
        <v>42844</v>
      </c>
      <c r="H14" s="159">
        <f ca="1"/>
        <v>1.0044218191074494</v>
      </c>
    </row>
    <row r="15" spans="1:11" x14ac:dyDescent="0.25">
      <c r="B15" s="223">
        <f ca="1">_xll.meDateFromTenor(B14,$K$3)</f>
        <v>42905</v>
      </c>
      <c r="C15" s="224">
        <f ca="1"/>
        <v>-1.2435086808886002E-3</v>
      </c>
      <c r="D15" s="224">
        <f ca="1"/>
        <v>-2.5646751632071581E-3</v>
      </c>
      <c r="E15" s="225">
        <f ca="1"/>
        <v>-3.9460320737098042E-3</v>
      </c>
      <c r="G15" s="223">
        <f ca="1">_xll.meDateFromTenor(G14,$K$3)</f>
        <v>42905</v>
      </c>
      <c r="H15" s="159">
        <f ca="1"/>
        <v>1.0051039822516703</v>
      </c>
    </row>
    <row r="16" spans="1:11" x14ac:dyDescent="0.25">
      <c r="B16" s="223">
        <f ca="1">_xll.meDateFromTenor(B15,$K$3)</f>
        <v>42966</v>
      </c>
      <c r="C16" s="224">
        <f ca="1"/>
        <v>-1.097927862139929E-3</v>
      </c>
      <c r="D16" s="224">
        <f ca="1"/>
        <v>-2.5645761420027371E-3</v>
      </c>
      <c r="E16" s="225">
        <f ca="1"/>
        <v>-3.8753966992591815E-3</v>
      </c>
      <c r="G16" s="223">
        <f ca="1">_xll.meDateFromTenor(G15,$K$3)</f>
        <v>42966</v>
      </c>
      <c r="H16" s="159">
        <f ca="1"/>
        <v>1.0057707320009497</v>
      </c>
    </row>
    <row r="17" spans="2:8" x14ac:dyDescent="0.25">
      <c r="B17" s="223">
        <f ca="1">_xll.meDateFromTenor(B16,$K$3)</f>
        <v>43027</v>
      </c>
      <c r="C17" s="224">
        <f ca="1"/>
        <v>-9.1830757327726435E-4</v>
      </c>
      <c r="D17" s="224">
        <f ca="1"/>
        <v>-2.4405380559293323E-3</v>
      </c>
      <c r="E17" s="225">
        <f ca="1"/>
        <v>-3.8147999713170622E-3</v>
      </c>
      <c r="G17" s="223">
        <f ca="1">_xll.meDateFromTenor(G16,$K$3)</f>
        <v>43027</v>
      </c>
      <c r="H17" s="159">
        <f ca="1"/>
        <v>1.0064294993221334</v>
      </c>
    </row>
    <row r="18" spans="2:8" x14ac:dyDescent="0.25">
      <c r="B18" s="223">
        <f ca="1">_xll.meDateFromTenor(B17,$K$3)</f>
        <v>43088</v>
      </c>
      <c r="C18" s="224">
        <f ca="1"/>
        <v>-7.0213243450516476E-4</v>
      </c>
      <c r="D18" s="224">
        <f ca="1"/>
        <v>-2.19444327814704E-3</v>
      </c>
      <c r="E18" s="225">
        <f ca="1"/>
        <v>-3.6700862609682083E-3</v>
      </c>
      <c r="G18" s="223">
        <f ca="1">_xll.meDateFromTenor(G17,$K$3)</f>
        <v>43088</v>
      </c>
      <c r="H18" s="159">
        <f ca="1"/>
        <v>1.007068282195007</v>
      </c>
    </row>
    <row r="19" spans="2:8" x14ac:dyDescent="0.25">
      <c r="B19" s="223">
        <f ca="1">_xll.meDateFromTenor(B18,$K$3)</f>
        <v>43150</v>
      </c>
      <c r="C19" s="224">
        <f ca="1"/>
        <v>-4.4914323975129455E-4</v>
      </c>
      <c r="D19" s="224">
        <f ca="1"/>
        <v>-1.8573368867555423E-3</v>
      </c>
      <c r="E19" s="225">
        <f ca="1"/>
        <v>-3.4581590237190429E-3</v>
      </c>
      <c r="G19" s="223">
        <f ca="1">_xll.meDateFromTenor(G18,$K$3)</f>
        <v>43150</v>
      </c>
      <c r="H19" s="159">
        <f ca="1"/>
        <v>1.0076902435460235</v>
      </c>
    </row>
    <row r="20" spans="2:8" x14ac:dyDescent="0.25">
      <c r="B20" s="223">
        <f ca="1">_xll.meDateFromTenor(B19,$K$3)</f>
        <v>43209</v>
      </c>
      <c r="C20" s="224">
        <f ca="1"/>
        <v>-1.7576087536644552E-4</v>
      </c>
      <c r="D20" s="224">
        <f ca="1"/>
        <v>-1.6995991430234702E-3</v>
      </c>
      <c r="E20" s="225">
        <f ca="1"/>
        <v>-3.2471777073340702E-3</v>
      </c>
      <c r="G20" s="223">
        <f ca="1">_xll.meDateFromTenor(G19,$K$3)</f>
        <v>43209</v>
      </c>
      <c r="H20" s="159">
        <f ca="1"/>
        <v>1.0082462460450086</v>
      </c>
    </row>
    <row r="21" spans="2:8" x14ac:dyDescent="0.25">
      <c r="B21" s="223">
        <f ca="1">_xll.meDateFromTenor(B20,$K$3)</f>
        <v>43270</v>
      </c>
      <c r="C21" s="224">
        <f ca="1"/>
        <v>1.3936920591017872E-4</v>
      </c>
      <c r="D21" s="224">
        <f ca="1"/>
        <v>-1.5001241579514781E-3</v>
      </c>
      <c r="E21" s="225">
        <f ca="1"/>
        <v>-2.9562454398960325E-3</v>
      </c>
      <c r="G21" s="223">
        <f ca="1">_xll.meDateFromTenor(G20,$K$3)</f>
        <v>43270</v>
      </c>
      <c r="H21" s="159">
        <f ca="1"/>
        <v>1.0087773733677292</v>
      </c>
    </row>
    <row r="22" spans="2:8" x14ac:dyDescent="0.25">
      <c r="B22" s="223">
        <f ca="1">_xll.meDateFromTenor(B21,$K$3)</f>
        <v>43331</v>
      </c>
      <c r="C22" s="224">
        <f ca="1"/>
        <v>4.761707731564277E-4</v>
      </c>
      <c r="D22" s="224">
        <f ca="1"/>
        <v>-1.2138802180808098E-3</v>
      </c>
      <c r="E22" s="225">
        <f ca="1"/>
        <v>-2.6928883135348691E-3</v>
      </c>
      <c r="G22" s="223">
        <f ca="1">_xll.meDateFromTenor(G21,$K$3)</f>
        <v>43331</v>
      </c>
      <c r="H22" s="159">
        <f ca="1"/>
        <v>1.0092610086546538</v>
      </c>
    </row>
    <row r="23" spans="2:8" x14ac:dyDescent="0.25">
      <c r="B23" s="223">
        <f ca="1">_xll.meDateFromTenor(B22,$K$3)</f>
        <v>43392</v>
      </c>
      <c r="C23" s="224">
        <f ca="1"/>
        <v>8.3229337724495176E-4</v>
      </c>
      <c r="D23" s="224">
        <f ca="1"/>
        <v>-8.2527213393815771E-4</v>
      </c>
      <c r="E23" s="225">
        <f ca="1"/>
        <v>-2.4294413163429285E-3</v>
      </c>
      <c r="G23" s="223">
        <f ca="1">_xll.meDateFromTenor(G22,$K$3)</f>
        <v>43392</v>
      </c>
      <c r="H23" s="159">
        <f ca="1"/>
        <v>1.0096991530426973</v>
      </c>
    </row>
    <row r="24" spans="2:8" x14ac:dyDescent="0.25">
      <c r="B24" s="223">
        <f ca="1">_xll.meDateFromTenor(B23,$K$3)</f>
        <v>43453</v>
      </c>
      <c r="C24" s="224">
        <f ca="1"/>
        <v>1.2098629725978722E-3</v>
      </c>
      <c r="D24" s="224">
        <f ca="1"/>
        <v>-4.4505017770565732E-4</v>
      </c>
      <c r="E24" s="225">
        <f ca="1"/>
        <v>-2.2636704290158738E-3</v>
      </c>
      <c r="G24" s="223">
        <f ca="1">_xll.meDateFromTenor(G23,$K$3)</f>
        <v>43453</v>
      </c>
      <c r="H24" s="159">
        <f ca="1"/>
        <v>1.0100997240635452</v>
      </c>
    </row>
    <row r="25" spans="2:8" x14ac:dyDescent="0.25">
      <c r="B25" s="223">
        <f ca="1">_xll.meDateFromTenor(B24,$K$3)</f>
        <v>43515</v>
      </c>
      <c r="C25" s="224">
        <f ca="1"/>
        <v>1.6068552386489302E-3</v>
      </c>
      <c r="D25" s="224">
        <f ca="1"/>
        <v>-8.0589475185633487E-5</v>
      </c>
      <c r="E25" s="225">
        <f ca="1"/>
        <v>-1.8800373572612772E-3</v>
      </c>
      <c r="G25" s="223">
        <f ca="1">_xll.meDateFromTenor(G24,$K$3)</f>
        <v>43515</v>
      </c>
      <c r="H25" s="159">
        <f ca="1"/>
        <v>1.0104665618702031</v>
      </c>
    </row>
    <row r="26" spans="2:8" x14ac:dyDescent="0.25">
      <c r="B26" s="223">
        <f ca="1">_xll.meDateFromTenor(B25,$K$3)</f>
        <v>43574</v>
      </c>
      <c r="C26" s="224">
        <f ca="1"/>
        <v>1.9919431329270976E-3</v>
      </c>
      <c r="D26" s="224">
        <f ca="1"/>
        <v>2.4492570253189589E-4</v>
      </c>
      <c r="E26" s="225">
        <f ca="1"/>
        <v>-1.4734390096320382E-3</v>
      </c>
      <c r="G26" s="223">
        <f ca="1">_xll.meDateFromTenor(G25,$K$3)</f>
        <v>43574</v>
      </c>
      <c r="H26" s="159">
        <f ca="1"/>
        <v>1.0107448757567465</v>
      </c>
    </row>
    <row r="27" spans="2:8" x14ac:dyDescent="0.25">
      <c r="B27" s="223">
        <f ca="1">_xll.meDateFromTenor(B26,$K$3)</f>
        <v>43635</v>
      </c>
      <c r="C27" s="224">
        <f ca="1"/>
        <v>2.4015597528551295E-3</v>
      </c>
      <c r="D27" s="224">
        <f ca="1"/>
        <v>5.9931345160057917E-4</v>
      </c>
      <c r="E27" s="225">
        <f ca="1"/>
        <v>-9.9764700713977916E-4</v>
      </c>
      <c r="G27" s="223">
        <f ca="1">_xll.meDateFromTenor(G26,$K$3)</f>
        <v>43635</v>
      </c>
      <c r="H27" s="159">
        <f ca="1"/>
        <v>1.0109574474071228</v>
      </c>
    </row>
    <row r="28" spans="2:8" x14ac:dyDescent="0.25">
      <c r="B28" s="223">
        <f ca="1">_xll.meDateFromTenor(B27,$K$3)</f>
        <v>43696</v>
      </c>
      <c r="C28" s="224">
        <f ca="1"/>
        <v>2.8272395113252491E-3</v>
      </c>
      <c r="D28" s="224">
        <f ca="1"/>
        <v>1.005624199750077E-3</v>
      </c>
      <c r="E28" s="225">
        <f ca="1"/>
        <v>-5.7484378139160963E-4</v>
      </c>
      <c r="G28" s="223">
        <f ca="1">_xll.meDateFromTenor(G27,$K$3)</f>
        <v>43696</v>
      </c>
      <c r="H28" s="159">
        <f ca="1"/>
        <v>1.0110917459553632</v>
      </c>
    </row>
    <row r="29" spans="2:8" x14ac:dyDescent="0.25">
      <c r="B29" s="223">
        <f ca="1">_xll.meDateFromTenor(B28,$K$3)</f>
        <v>43757</v>
      </c>
      <c r="C29" s="224">
        <f ca="1"/>
        <v>3.2826615301219399E-3</v>
      </c>
      <c r="D29" s="224">
        <f ca="1"/>
        <v>1.4536207953959645E-3</v>
      </c>
      <c r="E29" s="225">
        <f ca="1"/>
        <v>-1.5310380266364554E-4</v>
      </c>
      <c r="G29" s="223">
        <f ca="1">_xll.meDateFromTenor(G28,$K$3)</f>
        <v>43757</v>
      </c>
      <c r="H29" s="159">
        <f ca="1"/>
        <v>1.0111534385796181</v>
      </c>
    </row>
    <row r="30" spans="2:8" x14ac:dyDescent="0.25">
      <c r="B30" s="223">
        <f ca="1">_xll.meDateFromTenor(B29,$K$3)</f>
        <v>43818</v>
      </c>
      <c r="C30" s="224">
        <f ca="1"/>
        <v>3.7525378389857362E-3</v>
      </c>
      <c r="D30" s="224">
        <f ca="1"/>
        <v>1.9136633486175848E-3</v>
      </c>
      <c r="E30" s="225">
        <f ca="1"/>
        <v>1.6185945733293572E-4</v>
      </c>
      <c r="G30" s="223">
        <f ca="1">_xll.meDateFromTenor(G29,$K$3)</f>
        <v>43818</v>
      </c>
      <c r="H30" s="159">
        <f ca="1"/>
        <v>1.0111521780099033</v>
      </c>
    </row>
    <row r="31" spans="2:8" x14ac:dyDescent="0.25">
      <c r="B31" s="223">
        <f ca="1">_xll.meDateFromTenor(B30,$K$3)</f>
        <v>43880</v>
      </c>
      <c r="C31" s="224">
        <f ca="1"/>
        <v>4.217673707067761E-3</v>
      </c>
      <c r="D31" s="224">
        <f ca="1"/>
        <v>2.3863948196347269E-3</v>
      </c>
      <c r="E31" s="225">
        <f ca="1"/>
        <v>6.1258543353881478E-4</v>
      </c>
      <c r="G31" s="223">
        <f ca="1">_xll.meDateFromTenor(G30,$K$3)</f>
        <v>43880</v>
      </c>
      <c r="H31" s="159">
        <f ca="1"/>
        <v>1.0110886362748832</v>
      </c>
    </row>
    <row r="32" spans="2:8" x14ac:dyDescent="0.25">
      <c r="B32" s="223">
        <f ca="1">_xll.meDateFromTenor(B31,$K$3)</f>
        <v>43940</v>
      </c>
      <c r="C32" s="224">
        <f ca="1"/>
        <v>4.6517072785149808E-3</v>
      </c>
      <c r="D32" s="224">
        <f ca="1"/>
        <v>2.8133249400600214E-3</v>
      </c>
      <c r="E32" s="225">
        <f ca="1"/>
        <v>1.0727484452508484E-3</v>
      </c>
      <c r="G32" s="223">
        <f ca="1">_xll.meDateFromTenor(G31,$K$3)</f>
        <v>43940</v>
      </c>
      <c r="H32" s="159">
        <f ca="1"/>
        <v>1.010947276924302</v>
      </c>
    </row>
    <row r="33" spans="2:8" x14ac:dyDescent="0.25">
      <c r="B33" s="223">
        <f ca="1">_xll.meDateFromTenor(B32,$K$3)</f>
        <v>44001</v>
      </c>
      <c r="C33" s="224">
        <f ca="1"/>
        <v>5.0829718672259251E-3</v>
      </c>
      <c r="D33" s="224">
        <f ca="1"/>
        <v>3.2515232995984134E-3</v>
      </c>
      <c r="E33" s="225">
        <f ca="1"/>
        <v>1.5730786681245057E-3</v>
      </c>
      <c r="G33" s="223">
        <f ca="1">_xll.meDateFromTenor(G32,$K$3)</f>
        <v>44001</v>
      </c>
      <c r="H33" s="159">
        <f ca="1"/>
        <v>1.0107218456520839</v>
      </c>
    </row>
    <row r="34" spans="2:8" x14ac:dyDescent="0.25">
      <c r="B34" s="223">
        <f ca="1">_xll.meDateFromTenor(B33,$K$3)</f>
        <v>44062</v>
      </c>
      <c r="C34" s="224">
        <f ca="1"/>
        <v>5.5013775095803961E-3</v>
      </c>
      <c r="D34" s="224">
        <f ca="1"/>
        <v>3.7025290576637023E-3</v>
      </c>
      <c r="E34" s="225">
        <f ca="1"/>
        <v>2.0284931225054148E-3</v>
      </c>
      <c r="G34" s="223">
        <f ca="1">_xll.meDateFromTenor(G33,$K$3)</f>
        <v>44062</v>
      </c>
      <c r="H34" s="159">
        <f ca="1"/>
        <v>1.010413362736885</v>
      </c>
    </row>
    <row r="35" spans="2:8" x14ac:dyDescent="0.25">
      <c r="B35" s="223">
        <f ca="1">_xll.meDateFromTenor(B34,$K$3)</f>
        <v>44123</v>
      </c>
      <c r="C35" s="224">
        <f ca="1"/>
        <v>5.8989888649003692E-3</v>
      </c>
      <c r="D35" s="224">
        <f ca="1"/>
        <v>4.1752561458833033E-3</v>
      </c>
      <c r="E35" s="225">
        <f ca="1"/>
        <v>2.4796972972098708E-3</v>
      </c>
      <c r="G35" s="223">
        <f ca="1">_xll.meDateFromTenor(G34,$K$3)</f>
        <v>44123</v>
      </c>
      <c r="H35" s="159">
        <f ca="1"/>
        <v>1.0100276403928592</v>
      </c>
    </row>
    <row r="36" spans="2:8" x14ac:dyDescent="0.25">
      <c r="B36" s="223">
        <f ca="1">_xll.meDateFromTenor(B35,$K$3)</f>
        <v>44184</v>
      </c>
      <c r="C36" s="224">
        <f ca="1"/>
        <v>6.2794488220442382E-3</v>
      </c>
      <c r="D36" s="224">
        <f ca="1"/>
        <v>4.6388301929947747E-3</v>
      </c>
      <c r="E36" s="225">
        <f ca="1"/>
        <v>2.8361694537726301E-3</v>
      </c>
      <c r="G36" s="223">
        <f ca="1">_xll.meDateFromTenor(G35,$K$3)</f>
        <v>44184</v>
      </c>
      <c r="H36" s="159">
        <f ca="1"/>
        <v>1.0095729765571746</v>
      </c>
    </row>
    <row r="37" spans="2:8" x14ac:dyDescent="0.25">
      <c r="B37" s="223">
        <f ca="1">_xll.meDateFromTenor(B36,$K$3)</f>
        <v>44246</v>
      </c>
      <c r="C37" s="224">
        <f ca="1"/>
        <v>6.6786118599399371E-3</v>
      </c>
      <c r="D37" s="224">
        <f ca="1"/>
        <v>5.1004745360409024E-3</v>
      </c>
      <c r="E37" s="225">
        <f ca="1"/>
        <v>3.3635959984881225E-3</v>
      </c>
      <c r="G37" s="223">
        <f ca="1">_xll.meDateFromTenor(G36,$K$3)</f>
        <v>44246</v>
      </c>
      <c r="H37" s="159">
        <f ca="1"/>
        <v>1.0090390213841773</v>
      </c>
    </row>
    <row r="38" spans="2:8" x14ac:dyDescent="0.25">
      <c r="B38" s="223">
        <f ca="1">_xll.meDateFromTenor(B37,$K$3)</f>
        <v>44305</v>
      </c>
      <c r="C38" s="224">
        <f ca="1"/>
        <v>7.0955686623962533E-3</v>
      </c>
      <c r="D38" s="224">
        <f ca="1"/>
        <v>5.5403319945040554E-3</v>
      </c>
      <c r="E38" s="225">
        <f ca="1"/>
        <v>3.8802852568380342E-3</v>
      </c>
      <c r="G38" s="223">
        <f ca="1">_xll.meDateFromTenor(G37,$K$3)</f>
        <v>44305</v>
      </c>
      <c r="H38" s="159">
        <f ca="1"/>
        <v>1.0084418798933517</v>
      </c>
    </row>
    <row r="39" spans="2:8" x14ac:dyDescent="0.25">
      <c r="B39" s="223">
        <f ca="1">_xll.meDateFromTenor(B38,$K$3)</f>
        <v>44366</v>
      </c>
      <c r="C39" s="224">
        <f ca="1"/>
        <v>7.5470720461564972E-3</v>
      </c>
      <c r="D39" s="224">
        <f ca="1"/>
        <v>6.003829461520567E-3</v>
      </c>
      <c r="E39" s="225">
        <f ca="1"/>
        <v>4.4401447801025729E-3</v>
      </c>
      <c r="G39" s="223">
        <f ca="1">_xll.meDateFromTenor(G38,$K$3)</f>
        <v>44366</v>
      </c>
      <c r="H39" s="159">
        <f ca="1"/>
        <v>1.0077338686722759</v>
      </c>
    </row>
    <row r="40" spans="2:8" x14ac:dyDescent="0.25">
      <c r="B40" s="223">
        <f ca="1">_xll.meDateFromTenor(B39,$K$3)</f>
        <v>44427</v>
      </c>
      <c r="C40" s="224">
        <f ca="1"/>
        <v>8.0154571550656219E-3</v>
      </c>
      <c r="D40" s="224">
        <f ca="1"/>
        <v>6.491979587544423E-3</v>
      </c>
      <c r="E40" s="225">
        <f ca="1"/>
        <v>4.9503977449829595E-3</v>
      </c>
      <c r="G40" s="223">
        <f ca="1">_xll.meDateFromTenor(G39,$K$3)</f>
        <v>44427</v>
      </c>
      <c r="H40" s="159">
        <f ca="1"/>
        <v>1.0069338578598024</v>
      </c>
    </row>
    <row r="41" spans="2:8" x14ac:dyDescent="0.25">
      <c r="B41" s="223">
        <f ca="1">_xll.meDateFromTenor(B40,$K$3)</f>
        <v>44488</v>
      </c>
      <c r="C41" s="224">
        <f ca="1"/>
        <v>8.5116350305969209E-3</v>
      </c>
      <c r="D41" s="224">
        <f ca="1"/>
        <v>7.0015884042239438E-3</v>
      </c>
      <c r="E41" s="225">
        <f ca="1"/>
        <v>5.4580036423168554E-3</v>
      </c>
      <c r="G41" s="223">
        <f ca="1">_xll.meDateFromTenor(G40,$K$3)</f>
        <v>44488</v>
      </c>
      <c r="H41" s="159">
        <f ca="1"/>
        <v>1.0060482657249279</v>
      </c>
    </row>
    <row r="42" spans="2:8" x14ac:dyDescent="0.25">
      <c r="B42" s="223">
        <f ca="1">_xll.meDateFromTenor(B41,$K$3)</f>
        <v>44549</v>
      </c>
      <c r="C42" s="224">
        <f ca="1"/>
        <v>9.0203312076539074E-3</v>
      </c>
      <c r="D42" s="224">
        <f ca="1"/>
        <v>7.5153718537406518E-3</v>
      </c>
      <c r="E42" s="225">
        <f ca="1"/>
        <v>5.885321903007501E-3</v>
      </c>
      <c r="G42" s="223">
        <f ca="1">_xll.meDateFromTenor(G41,$K$3)</f>
        <v>44549</v>
      </c>
      <c r="H42" s="159">
        <f ca="1"/>
        <v>1.0050849321619448</v>
      </c>
    </row>
    <row r="43" spans="2:8" x14ac:dyDescent="0.25">
      <c r="B43" s="223">
        <f ca="1">_xll.meDateFromTenor(B42,$K$3)</f>
        <v>44611</v>
      </c>
      <c r="C43" s="224">
        <f ca="1"/>
        <v>9.5271065061351846E-3</v>
      </c>
      <c r="D43" s="224">
        <f ca="1"/>
        <v>8.0392126627497028E-3</v>
      </c>
      <c r="E43" s="225">
        <f ca="1"/>
        <v>6.3966522458271946E-3</v>
      </c>
      <c r="G43" s="223">
        <f ca="1">_xll.meDateFromTenor(G42,$K$3)</f>
        <v>44611</v>
      </c>
      <c r="H43" s="159">
        <f ca="1"/>
        <v>1.0040280807476818</v>
      </c>
    </row>
    <row r="44" spans="2:8" x14ac:dyDescent="0.25">
      <c r="B44" s="223">
        <f ca="1">_xll.meDateFromTenor(B43,$K$3)</f>
        <v>44670</v>
      </c>
      <c r="C44" s="224">
        <f ca="1"/>
        <v>9.9886857743896745E-3</v>
      </c>
      <c r="D44" s="224">
        <f ca="1"/>
        <v>8.5379834304331187E-3</v>
      </c>
      <c r="E44" s="225">
        <f ca="1"/>
        <v>6.8942140355945369E-3</v>
      </c>
      <c r="G44" s="223">
        <f ca="1">_xll.meDateFromTenor(G43,$K$3)</f>
        <v>44670</v>
      </c>
      <c r="H44" s="159">
        <f ca="1"/>
        <v>1.0029394073102569</v>
      </c>
    </row>
    <row r="45" spans="2:8" x14ac:dyDescent="0.25">
      <c r="B45" s="223">
        <f ca="1">_xll.meDateFromTenor(B44,$K$3)</f>
        <v>44731</v>
      </c>
      <c r="C45" s="224">
        <f ca="1"/>
        <v>1.0461949494947021E-2</v>
      </c>
      <c r="D45" s="224">
        <f ca="1"/>
        <v>9.0469294994238256E-3</v>
      </c>
      <c r="E45" s="225">
        <f ca="1"/>
        <v>7.4228367023947417E-3</v>
      </c>
      <c r="G45" s="223">
        <f ca="1">_xll.meDateFromTenor(G44,$K$3)</f>
        <v>44731</v>
      </c>
      <c r="H45" s="159">
        <f ca="1"/>
        <v>1.001728942955417</v>
      </c>
    </row>
    <row r="46" spans="2:8" x14ac:dyDescent="0.25">
      <c r="B46" s="223">
        <f ca="1">_xll.meDateFromTenor(B45,$K$3)</f>
        <v>44792</v>
      </c>
      <c r="C46" s="224">
        <f ca="1"/>
        <v>1.0938300813924494E-2</v>
      </c>
      <c r="D46" s="224">
        <f ca="1"/>
        <v>9.5375505835424163E-3</v>
      </c>
      <c r="E46" s="225">
        <f ca="1"/>
        <v>7.9177755934798366E-3</v>
      </c>
      <c r="G46" s="223">
        <f ca="1">_xll.meDateFromTenor(G45,$K$3)</f>
        <v>44792</v>
      </c>
      <c r="H46" s="159">
        <f ca="1"/>
        <v>1.000432683326163</v>
      </c>
    </row>
    <row r="47" spans="2:8" x14ac:dyDescent="0.25">
      <c r="B47" s="223">
        <f ca="1">_xll.meDateFromTenor(B46,$K$3)</f>
        <v>44853</v>
      </c>
      <c r="C47" s="224">
        <f ca="1"/>
        <v>1.1419415758474953E-2</v>
      </c>
      <c r="D47" s="224">
        <f ca="1"/>
        <v>1.0017148105251658E-2</v>
      </c>
      <c r="E47" s="225">
        <f ca="1"/>
        <v>8.412164630150043E-3</v>
      </c>
      <c r="G47" s="223">
        <f ca="1">_xll.meDateFromTenor(G46,$K$3)</f>
        <v>44853</v>
      </c>
      <c r="H47" s="159">
        <f ca="1"/>
        <v>0.9990551407216659</v>
      </c>
    </row>
    <row r="48" spans="2:8" x14ac:dyDescent="0.25">
      <c r="B48" s="223">
        <f ca="1">_xll.meDateFromTenor(B47,$K$3)</f>
        <v>44914</v>
      </c>
      <c r="C48" s="224">
        <f ca="1"/>
        <v>1.1904007345966238E-2</v>
      </c>
      <c r="D48" s="224">
        <f ca="1"/>
        <v>1.0507234455918517E-2</v>
      </c>
      <c r="E48" s="225">
        <f ca="1"/>
        <v>8.853284583702381E-3</v>
      </c>
      <c r="G48" s="223">
        <f ca="1">_xll.meDateFromTenor(G47,$K$3)</f>
        <v>44914</v>
      </c>
      <c r="H48" s="159">
        <f ca="1"/>
        <v>0.99760152813695246</v>
      </c>
    </row>
    <row r="49" spans="2:8" x14ac:dyDescent="0.25">
      <c r="B49" s="223">
        <f ca="1">_xll.meDateFromTenor(B48,$K$3)</f>
        <v>44976</v>
      </c>
      <c r="C49" s="224">
        <f ca="1"/>
        <v>1.2396755621924781E-2</v>
      </c>
      <c r="D49" s="224">
        <f ca="1"/>
        <v>1.1032253462088184E-2</v>
      </c>
      <c r="E49" s="225">
        <f ca="1"/>
        <v>9.3547167275449539E-3</v>
      </c>
      <c r="G49" s="223">
        <f ca="1">_xll.meDateFromTenor(G48,$K$3)</f>
        <v>44976</v>
      </c>
      <c r="H49" s="159">
        <f ca="1"/>
        <v>0.99604745401321682</v>
      </c>
    </row>
    <row r="50" spans="2:8" x14ac:dyDescent="0.25">
      <c r="B50" s="223">
        <f ca="1">_xll.meDateFromTenor(B49,$K$3)</f>
        <v>45035</v>
      </c>
      <c r="C50" s="224">
        <f ca="1"/>
        <v>1.2808842891849019E-2</v>
      </c>
      <c r="D50" s="224">
        <f ca="1"/>
        <v>1.1539197351556387E-2</v>
      </c>
      <c r="E50" s="225">
        <f ca="1"/>
        <v>9.8407033689107415E-3</v>
      </c>
      <c r="G50" s="223">
        <f ca="1">_xll.meDateFromTenor(G49,$K$3)</f>
        <v>45035</v>
      </c>
      <c r="H50" s="159">
        <f ca="1"/>
        <v>0.99448996911583043</v>
      </c>
    </row>
    <row r="51" spans="2:8" x14ac:dyDescent="0.25">
      <c r="B51" s="223">
        <f ca="1">_xll.meDateFromTenor(B50,$K$3)</f>
        <v>45096</v>
      </c>
      <c r="C51" s="224">
        <f ca="1"/>
        <v>1.3204753188205689E-2</v>
      </c>
      <c r="D51" s="224">
        <f ca="1"/>
        <v>1.2035779455380024E-2</v>
      </c>
      <c r="E51" s="225">
        <f ca="1"/>
        <v>1.0350412715739443E-2</v>
      </c>
      <c r="G51" s="223">
        <f ca="1">_xll.meDateFromTenor(G50,$K$3)</f>
        <v>45096</v>
      </c>
      <c r="H51" s="159">
        <f ca="1"/>
        <v>0.99279966466458003</v>
      </c>
    </row>
    <row r="52" spans="2:8" x14ac:dyDescent="0.25">
      <c r="B52" s="223">
        <f ca="1">_xll.meDateFromTenor(B51,$K$3)</f>
        <v>45157</v>
      </c>
      <c r="C52" s="224">
        <f ca="1"/>
        <v>1.3571240310810239E-2</v>
      </c>
      <c r="D52" s="224">
        <f ca="1"/>
        <v>1.2448704240601138E-2</v>
      </c>
      <c r="E52" s="225">
        <f ca="1"/>
        <v>1.0836640544079623E-2</v>
      </c>
      <c r="G52" s="223">
        <f ca="1">_xll.meDateFromTenor(G51,$K$3)</f>
        <v>45157</v>
      </c>
      <c r="H52" s="159">
        <f ca="1"/>
        <v>0.99102860051606978</v>
      </c>
    </row>
    <row r="53" spans="2:8" x14ac:dyDescent="0.25">
      <c r="B53" s="223">
        <f ca="1">_xll.meDateFromTenor(B52,$K$3)</f>
        <v>45218</v>
      </c>
      <c r="C53" s="224">
        <f ca="1"/>
        <v>1.389791739470134E-2</v>
      </c>
      <c r="D53" s="224">
        <f ca="1"/>
        <v>1.2771178123428446E-2</v>
      </c>
      <c r="E53" s="225">
        <f ca="1"/>
        <v>1.1323565285664916E-2</v>
      </c>
      <c r="G53" s="223">
        <f ca="1">_xll.meDateFromTenor(G52,$K$3)</f>
        <v>45218</v>
      </c>
      <c r="H53" s="159">
        <f ca="1"/>
        <v>0.98918013271813432</v>
      </c>
    </row>
    <row r="54" spans="2:8" x14ac:dyDescent="0.25">
      <c r="B54" s="223">
        <f ca="1">_xll.meDateFromTenor(B53,$K$3)</f>
        <v>45279</v>
      </c>
      <c r="C54" s="224">
        <f ca="1"/>
        <v>1.4196197024374838E-2</v>
      </c>
      <c r="D54" s="224">
        <f ca="1"/>
        <v>1.309801809154792E-2</v>
      </c>
      <c r="E54" s="225">
        <f ca="1"/>
        <v>1.1812670717941565E-2</v>
      </c>
      <c r="G54" s="223">
        <f ca="1">_xll.meDateFromTenor(G53,$K$3)</f>
        <v>45279</v>
      </c>
      <c r="H54" s="159">
        <f ca="1"/>
        <v>0.98725624955196578</v>
      </c>
    </row>
    <row r="55" spans="2:8" x14ac:dyDescent="0.25">
      <c r="B55" s="223">
        <f ca="1">_xll.meDateFromTenor(B54,$K$3)</f>
        <v>45341</v>
      </c>
      <c r="C55" s="224">
        <f ca="1"/>
        <v>1.4496385660449463E-2</v>
      </c>
      <c r="D55" s="224">
        <f ca="1"/>
        <v>1.3447031277079909E-2</v>
      </c>
      <c r="E55" s="225">
        <f ca="1"/>
        <v>1.2131964539861873E-2</v>
      </c>
      <c r="G55" s="223">
        <f ca="1">_xll.meDateFromTenor(G54,$K$3)</f>
        <v>45341</v>
      </c>
      <c r="H55" s="159">
        <f ca="1"/>
        <v>0.98523311077431519</v>
      </c>
    </row>
    <row r="56" spans="2:8" x14ac:dyDescent="0.25">
      <c r="B56" s="223">
        <f ca="1">_xll.meDateFromTenor(B55,$K$3)</f>
        <v>45401</v>
      </c>
      <c r="C56" s="224">
        <f ca="1"/>
        <v>1.4786716446171355E-2</v>
      </c>
      <c r="D56" s="224">
        <f ca="1"/>
        <v>1.3833880228785707E-2</v>
      </c>
      <c r="E56" s="225">
        <f ca="1"/>
        <v>1.245103528961522E-2</v>
      </c>
      <c r="G56" s="223">
        <f ca="1">_xll.meDateFromTenor(G55,$K$3)</f>
        <v>45401</v>
      </c>
      <c r="H56" s="159">
        <f ca="1"/>
        <v>0.98322997227026077</v>
      </c>
    </row>
    <row r="57" spans="2:8" x14ac:dyDescent="0.25">
      <c r="B57" s="223">
        <f ca="1">_xll.meDateFromTenor(B56,$K$3)</f>
        <v>45462</v>
      </c>
      <c r="C57" s="224">
        <f ca="1"/>
        <v>1.5077663254871157E-2</v>
      </c>
      <c r="D57" s="224">
        <f ca="1"/>
        <v>1.4202539036093404E-2</v>
      </c>
      <c r="E57" s="225">
        <f ca="1"/>
        <v>1.2769766652158898E-2</v>
      </c>
      <c r="G57" s="223">
        <f ca="1">_xll.meDateFromTenor(G56,$K$3)</f>
        <v>45462</v>
      </c>
      <c r="H57" s="159">
        <f ca="1"/>
        <v>0.9811446875450861</v>
      </c>
    </row>
    <row r="58" spans="2:8" x14ac:dyDescent="0.25">
      <c r="B58" s="223">
        <f ca="1">_xll.meDateFromTenor(B57,$K$3)</f>
        <v>45523</v>
      </c>
      <c r="C58" s="224">
        <f ca="1"/>
        <v>1.5350919745688607E-2</v>
      </c>
      <c r="D58" s="224">
        <f ca="1"/>
        <v>1.4509219229769872E-2</v>
      </c>
      <c r="E58" s="225">
        <f ca="1"/>
        <v>1.31183038256244E-2</v>
      </c>
      <c r="G58" s="223">
        <f ca="1">_xll.meDateFromTenor(G57,$K$3)</f>
        <v>45523</v>
      </c>
      <c r="H58" s="159">
        <f ca="1"/>
        <v>0.97901000078399325</v>
      </c>
    </row>
    <row r="59" spans="2:8" x14ac:dyDescent="0.25">
      <c r="B59" s="223">
        <f ca="1">_xll.meDateFromTenor(B58,$K$3)</f>
        <v>45584</v>
      </c>
      <c r="C59" s="224">
        <f ca="1"/>
        <v>1.5596308255400048E-2</v>
      </c>
      <c r="D59" s="224">
        <f ca="1"/>
        <v>1.4758974134050508E-2</v>
      </c>
      <c r="E59" s="225">
        <f ca="1"/>
        <v>1.3470873408683692E-2</v>
      </c>
      <c r="G59" s="223">
        <f ca="1">_xll.meDateFromTenor(G58,$K$3)</f>
        <v>45584</v>
      </c>
      <c r="H59" s="159">
        <f ca="1"/>
        <v>0.97682255886748504</v>
      </c>
    </row>
    <row r="60" spans="2:8" x14ac:dyDescent="0.25">
      <c r="B60" s="223">
        <f ca="1">_xll.meDateFromTenor(B59,$K$3)</f>
        <v>45645</v>
      </c>
      <c r="C60" s="224">
        <f ca="1"/>
        <v>1.5821854325209078E-2</v>
      </c>
      <c r="D60" s="224">
        <f ca="1"/>
        <v>1.5008914840393258E-2</v>
      </c>
      <c r="E60" s="225">
        <f ca="1"/>
        <v>1.3910961102513664E-2</v>
      </c>
      <c r="G60" s="223">
        <f ca="1">_xll.meDateFromTenor(G59,$K$3)</f>
        <v>45645</v>
      </c>
      <c r="H60" s="159">
        <f ca="1"/>
        <v>0.97457711358798804</v>
      </c>
    </row>
    <row r="61" spans="2:8" x14ac:dyDescent="0.25">
      <c r="B61" s="223">
        <f ca="1">_xll.meDateFromTenor(B60,$K$3)</f>
        <v>45707</v>
      </c>
      <c r="C61" s="224">
        <f ca="1"/>
        <v>1.6043884072556861E-2</v>
      </c>
      <c r="D61" s="224">
        <f ca="1"/>
        <v>1.5268322789240642E-2</v>
      </c>
      <c r="E61" s="225">
        <f ca="1"/>
        <v>1.4163550863698804E-2</v>
      </c>
      <c r="G61" s="223">
        <f ca="1">_xll.meDateFromTenor(G60,$K$3)</f>
        <v>45707</v>
      </c>
      <c r="H61" s="159">
        <f ca="1"/>
        <v>0.97223264518501529</v>
      </c>
    </row>
    <row r="62" spans="2:8" x14ac:dyDescent="0.25">
      <c r="B62" s="223">
        <f ca="1">_xll.meDateFromTenor(B61,$K$3)</f>
        <v>45766</v>
      </c>
      <c r="C62" s="224">
        <f ca="1"/>
        <v>1.6251456411182717E-2</v>
      </c>
      <c r="D62" s="224">
        <f ca="1"/>
        <v>1.5549344243116235E-2</v>
      </c>
      <c r="E62" s="225">
        <f ca="1"/>
        <v>1.4329059348363593E-2</v>
      </c>
      <c r="G62" s="223">
        <f ca="1">_xll.meDateFromTenor(G61,$K$3)</f>
        <v>45766</v>
      </c>
      <c r="H62" s="159">
        <f ca="1"/>
        <v>0.9699821336685106</v>
      </c>
    </row>
    <row r="63" spans="2:8" x14ac:dyDescent="0.25">
      <c r="B63" s="223">
        <f ca="1">_xll.meDateFromTenor(B62,$K$3)</f>
        <v>45827</v>
      </c>
      <c r="C63" s="224">
        <f ca="1"/>
        <v>1.6458689851163801E-2</v>
      </c>
      <c r="D63" s="224">
        <f ca="1"/>
        <v>1.5819964039999294E-2</v>
      </c>
      <c r="E63" s="225">
        <f ca="1"/>
        <v>1.4485721860480361E-2</v>
      </c>
      <c r="G63" s="223">
        <f ca="1">_xll.meDateFromTenor(G62,$K$3)</f>
        <v>45827</v>
      </c>
      <c r="H63" s="159">
        <f ca="1"/>
        <v>0.96763364553137865</v>
      </c>
    </row>
    <row r="64" spans="2:8" x14ac:dyDescent="0.25">
      <c r="B64" s="223">
        <f ca="1">_xll.meDateFromTenor(B63,$K$3)</f>
        <v>45888</v>
      </c>
      <c r="C64" s="224">
        <f ca="1"/>
        <v>1.6660283197626358E-2</v>
      </c>
      <c r="D64" s="224">
        <f ca="1"/>
        <v>1.6037259315571921E-2</v>
      </c>
      <c r="E64" s="225">
        <f ca="1"/>
        <v>1.4710861923616259E-2</v>
      </c>
      <c r="G64" s="223">
        <f ca="1">_xll.meDateFromTenor(G63,$K$3)</f>
        <v>45888</v>
      </c>
      <c r="H64" s="159">
        <f ca="1"/>
        <v>0.96526218598863844</v>
      </c>
    </row>
    <row r="65" spans="2:8" x14ac:dyDescent="0.25">
      <c r="B65" s="223">
        <f ca="1">_xll.meDateFromTenor(B64,$K$3)</f>
        <v>45949</v>
      </c>
      <c r="C65" s="224">
        <f ca="1"/>
        <v>1.6859353297562121E-2</v>
      </c>
      <c r="D65" s="224">
        <f ca="1"/>
        <v>1.6215721880840198E-2</v>
      </c>
      <c r="E65" s="225">
        <f ca="1"/>
        <v>1.4946145628748297E-2</v>
      </c>
      <c r="G65" s="223">
        <f ca="1">_xll.meDateFromTenor(G64,$K$3)</f>
        <v>45949</v>
      </c>
      <c r="H65" s="159">
        <f ca="1"/>
        <v>0.96285896702727825</v>
      </c>
    </row>
    <row r="66" spans="2:8" x14ac:dyDescent="0.25">
      <c r="B66" s="223">
        <f ca="1">_xll.meDateFromTenor(B65,$K$3)</f>
        <v>46010</v>
      </c>
      <c r="C66" s="224">
        <f ca="1"/>
        <v>1.7055490206463932E-2</v>
      </c>
      <c r="D66" s="224">
        <f ca="1"/>
        <v>1.6403115500779178E-2</v>
      </c>
      <c r="E66" s="225">
        <f ca="1"/>
        <v>1.5318326302936391E-2</v>
      </c>
      <c r="G66" s="223">
        <f ca="1">_xll.meDateFromTenor(G65,$K$3)</f>
        <v>46010</v>
      </c>
      <c r="H66" s="159">
        <f ca="1"/>
        <v>0.9604140325344479</v>
      </c>
    </row>
    <row r="67" spans="2:8" x14ac:dyDescent="0.25">
      <c r="B67" s="223">
        <f ca="1">_xll.meDateFromTenor(B66,$K$3)</f>
        <v>46072</v>
      </c>
      <c r="C67" s="224">
        <f ca="1"/>
        <v>1.7238664154035934E-2</v>
      </c>
      <c r="D67" s="224">
        <f ca="1"/>
        <v>1.6616168553256004E-2</v>
      </c>
      <c r="E67" s="225">
        <f ca="1"/>
        <v>1.5459781926403737E-2</v>
      </c>
      <c r="G67" s="223">
        <f ca="1">_xll.meDateFromTenor(G66,$K$3)</f>
        <v>46072</v>
      </c>
      <c r="H67" s="159">
        <f ca="1"/>
        <v>0.95788697089201325</v>
      </c>
    </row>
    <row r="68" spans="2:8" x14ac:dyDescent="0.25">
      <c r="B68" s="223">
        <f ca="1">_xll.meDateFromTenor(B67,$K$3)</f>
        <v>46131</v>
      </c>
      <c r="C68" s="224">
        <f ca="1"/>
        <v>1.7387783746843528E-2</v>
      </c>
      <c r="D68" s="224">
        <f ca="1"/>
        <v>1.6828293012612745E-2</v>
      </c>
      <c r="E68" s="225">
        <f ca="1"/>
        <v>1.5578512671302835E-2</v>
      </c>
      <c r="G68" s="223">
        <f ca="1">_xll.meDateFromTenor(G67,$K$3)</f>
        <v>46131</v>
      </c>
      <c r="H68" s="159">
        <f ca="1"/>
        <v>0.95547282562802427</v>
      </c>
    </row>
    <row r="69" spans="2:8" x14ac:dyDescent="0.25">
      <c r="B69" s="223">
        <f ca="1">_xll.meDateFromTenor(B68,$K$3)</f>
        <v>46192</v>
      </c>
      <c r="C69" s="224">
        <f ca="1"/>
        <v>1.7523988776448601E-2</v>
      </c>
      <c r="D69" s="224">
        <f ca="1"/>
        <v>1.7028581310872464E-2</v>
      </c>
      <c r="E69" s="225">
        <f ca="1"/>
        <v>1.5683106259015922E-2</v>
      </c>
      <c r="G69" s="223">
        <f ca="1">_xll.meDateFromTenor(G68,$K$3)</f>
        <v>46192</v>
      </c>
      <c r="H69" s="159">
        <f ca="1"/>
        <v>0.9529646380698461</v>
      </c>
    </row>
    <row r="70" spans="2:8" x14ac:dyDescent="0.25">
      <c r="B70" s="223">
        <f ca="1">_xll.meDateFromTenor(B69,$K$3)</f>
        <v>46253</v>
      </c>
      <c r="C70" s="224">
        <f ca="1"/>
        <v>1.7654170726360965E-2</v>
      </c>
      <c r="D70" s="224">
        <f ca="1"/>
        <v>1.7165844635260274E-2</v>
      </c>
      <c r="E70" s="225">
        <f ca="1"/>
        <v>1.5860937972379752E-2</v>
      </c>
      <c r="G70" s="223">
        <f ca="1">_xll.meDateFromTenor(G69,$K$3)</f>
        <v>46253</v>
      </c>
      <c r="H70" s="159">
        <f ca="1"/>
        <v>0.9504430570614002</v>
      </c>
    </row>
    <row r="71" spans="2:8" x14ac:dyDescent="0.25">
      <c r="B71" s="223">
        <f ca="1">_xll.meDateFromTenor(B70,$K$3)</f>
        <v>46314</v>
      </c>
      <c r="C71" s="224">
        <f ca="1"/>
        <v>1.7784166959113206E-2</v>
      </c>
      <c r="D71" s="224">
        <f ca="1"/>
        <v>1.7237529872089919E-2</v>
      </c>
      <c r="E71" s="225">
        <f ca="1"/>
        <v>1.6050050992946874E-2</v>
      </c>
      <c r="G71" s="223">
        <f ca="1">_xll.meDateFromTenor(G70,$K$3)</f>
        <v>46314</v>
      </c>
      <c r="H71" s="159">
        <f ca="1"/>
        <v>0.94789860004526771</v>
      </c>
    </row>
    <row r="72" spans="2:8" x14ac:dyDescent="0.25">
      <c r="B72" s="223">
        <f ca="1">_xll.meDateFromTenor(B71,$K$3)</f>
        <v>46375</v>
      </c>
      <c r="C72" s="224">
        <f ca="1"/>
        <v>1.7914157808205874E-2</v>
      </c>
      <c r="D72" s="224">
        <f ca="1"/>
        <v>1.7340184903074967E-2</v>
      </c>
      <c r="E72" s="225">
        <f ca="1"/>
        <v>1.6430554577278933E-2</v>
      </c>
      <c r="G72" s="223">
        <f ca="1">_xll.meDateFromTenor(G71,$K$3)</f>
        <v>46375</v>
      </c>
      <c r="H72" s="159">
        <f ca="1"/>
        <v>0.94531544220173036</v>
      </c>
    </row>
    <row r="73" spans="2:8" x14ac:dyDescent="0.25">
      <c r="B73" s="223">
        <f ca="1">_xll.meDateFromTenor(B72,$K$3)</f>
        <v>46437</v>
      </c>
      <c r="C73" s="224">
        <f ca="1"/>
        <v>1.8023056717143483E-2</v>
      </c>
      <c r="D73" s="224">
        <f ca="1"/>
        <v>1.7500734728151716E-2</v>
      </c>
      <c r="E73" s="225">
        <f ca="1"/>
        <v>1.6416777050800579E-2</v>
      </c>
      <c r="G73" s="223">
        <f ca="1">_xll.meDateFromTenor(G72,$K$3)</f>
        <v>46437</v>
      </c>
      <c r="H73" s="159">
        <f ca="1"/>
        <v>0.94266579074740209</v>
      </c>
    </row>
    <row r="74" spans="2:8" x14ac:dyDescent="0.25">
      <c r="B74" s="223">
        <f ca="1">_xll.meDateFromTenor(B73,$K$3)</f>
        <v>46496</v>
      </c>
      <c r="C74" s="224">
        <f ca="1"/>
        <v>1.8031052643139756E-2</v>
      </c>
      <c r="D74" s="224">
        <f ca="1"/>
        <v>1.7581047946988625E-2</v>
      </c>
      <c r="E74" s="225">
        <f ca="1"/>
        <v>1.6410197895779355E-2</v>
      </c>
      <c r="G74" s="223">
        <f ca="1">_xll.meDateFromTenor(G73,$K$3)</f>
        <v>46496</v>
      </c>
      <c r="H74" s="159">
        <f ca="1"/>
        <v>0.94015408377083121</v>
      </c>
    </row>
    <row r="75" spans="2:8" x14ac:dyDescent="0.25">
      <c r="B75" s="223">
        <f ca="1">_xll.meDateFromTenor(B74,$K$3)</f>
        <v>46557</v>
      </c>
      <c r="C75" s="224">
        <f ca="1"/>
        <v>1.8022146872387033E-2</v>
      </c>
      <c r="D75" s="224">
        <f ca="1"/>
        <v>1.7614235343428548E-2</v>
      </c>
      <c r="E75" s="225">
        <f ca="1"/>
        <v>1.6369914446188405E-2</v>
      </c>
      <c r="G75" s="223">
        <f ca="1">_xll.meDateFromTenor(G74,$K$3)</f>
        <v>46557</v>
      </c>
      <c r="H75" s="159">
        <f ca="1"/>
        <v>0.9375668193665454</v>
      </c>
    </row>
    <row r="76" spans="2:8" x14ac:dyDescent="0.25">
      <c r="B76" s="223">
        <f ca="1">_xll.meDateFromTenor(B75,$K$3)</f>
        <v>46618</v>
      </c>
      <c r="C76" s="224">
        <f ca="1"/>
        <v>1.8013241101634315E-2</v>
      </c>
      <c r="D76" s="224">
        <f ca="1"/>
        <v>1.7607653096120567E-2</v>
      </c>
      <c r="E76" s="225">
        <f ca="1"/>
        <v>1.6450159675000409E-2</v>
      </c>
      <c r="G76" s="223">
        <f ca="1">_xll.meDateFromTenor(G75,$K$3)</f>
        <v>46618</v>
      </c>
      <c r="H76" s="159">
        <f ca="1"/>
        <v>0.93498634632367883</v>
      </c>
    </row>
    <row r="77" spans="2:8" x14ac:dyDescent="0.25">
      <c r="B77" s="223">
        <f ca="1">_xll.meDateFromTenor(B76,$K$3)</f>
        <v>46679</v>
      </c>
      <c r="C77" s="224">
        <f ca="1"/>
        <v>1.8001861404097222E-2</v>
      </c>
      <c r="D77" s="224">
        <f ca="1"/>
        <v>1.7588778039283777E-2</v>
      </c>
      <c r="E77" s="225">
        <f ca="1"/>
        <v>1.6524628011374665E-2</v>
      </c>
      <c r="G77" s="223">
        <f ca="1">_xll.meDateFromTenor(G76,$K$3)</f>
        <v>46679</v>
      </c>
      <c r="H77" s="159">
        <f ca="1"/>
        <v>0.93240015504811236</v>
      </c>
    </row>
    <row r="78" spans="2:8" x14ac:dyDescent="0.25">
      <c r="B78" s="223">
        <f ca="1">_xll.meDateFromTenor(B77,$K$3)</f>
        <v>46740</v>
      </c>
      <c r="C78" s="224">
        <f ca="1"/>
        <v>1.7986824215429395E-2</v>
      </c>
      <c r="D78" s="224">
        <f ca="1"/>
        <v>1.7573922457883535E-2</v>
      </c>
      <c r="E78" s="225">
        <f ca="1"/>
        <v>1.6811551478706166E-2</v>
      </c>
      <c r="G78" s="223">
        <f ca="1">_xll.meDateFromTenor(G77,$K$3)</f>
        <v>46740</v>
      </c>
      <c r="H78" s="159">
        <f ca="1"/>
        <v>0.92979288204048438</v>
      </c>
    </row>
    <row r="79" spans="2:8" x14ac:dyDescent="0.25">
      <c r="B79" s="223">
        <f ca="1">_xll.meDateFromTenor(B78,$K$3)</f>
        <v>46802</v>
      </c>
      <c r="C79" s="224">
        <f ca="1"/>
        <v>1.7973757701519596E-2</v>
      </c>
      <c r="D79" s="224">
        <f ca="1"/>
        <v>1.7569818466865825E-2</v>
      </c>
      <c r="E79" s="225">
        <f ca="1"/>
        <v>1.676693207087343E-2</v>
      </c>
      <c r="G79" s="223">
        <f ca="1">_xll.meDateFromTenor(G78,$K$3)</f>
        <v>46802</v>
      </c>
      <c r="H79" s="159">
        <f ca="1"/>
        <v>0.92713176310708934</v>
      </c>
    </row>
    <row r="80" spans="2:8" x14ac:dyDescent="0.25">
      <c r="B80" s="223">
        <f ca="1">_xll.meDateFromTenor(B79,$K$3)</f>
        <v>46862</v>
      </c>
      <c r="C80" s="224">
        <f ca="1"/>
        <v>1.797384772711744E-2</v>
      </c>
      <c r="D80" s="224">
        <f ca="1"/>
        <v>1.7585176003669687E-2</v>
      </c>
      <c r="E80" s="225">
        <f ca="1"/>
        <v>1.677623201934586E-2</v>
      </c>
      <c r="G80" s="223">
        <f ca="1">_xll.meDateFromTenor(G79,$K$3)</f>
        <v>46862</v>
      </c>
      <c r="H80" s="159">
        <f ca="1"/>
        <v>0.92456440279335561</v>
      </c>
    </row>
    <row r="81" spans="2:8" x14ac:dyDescent="0.25">
      <c r="B81" s="223">
        <f ca="1">_xll.meDateFromTenor(B80,$K$3)</f>
        <v>46923</v>
      </c>
      <c r="C81" s="224">
        <f ca="1"/>
        <v>1.7980222372912892E-2</v>
      </c>
      <c r="D81" s="224">
        <f ca="1"/>
        <v>1.7600351897979018E-2</v>
      </c>
      <c r="E81" s="225">
        <f ca="1"/>
        <v>1.6714841553209681E-2</v>
      </c>
      <c r="G81" s="223">
        <f ca="1">_xll.meDateFromTenor(G80,$K$3)</f>
        <v>46923</v>
      </c>
      <c r="H81" s="159">
        <f ca="1"/>
        <v>0.92196643477472606</v>
      </c>
    </row>
    <row r="82" spans="2:8" x14ac:dyDescent="0.25">
      <c r="B82" s="223">
        <f ca="1">_xll.meDateFromTenor(B81,$K$3)</f>
        <v>46984</v>
      </c>
      <c r="C82" s="224">
        <f ca="1"/>
        <v>1.79883319152217E-2</v>
      </c>
      <c r="D82" s="224">
        <f ca="1"/>
        <v>1.7613612819225417E-2</v>
      </c>
      <c r="E82" s="225">
        <f ca="1"/>
        <v>1.6679499036361234E-2</v>
      </c>
      <c r="G82" s="223">
        <f ca="1">_xll.meDateFromTenor(G81,$K$3)</f>
        <v>46984</v>
      </c>
      <c r="H82" s="159">
        <f ca="1"/>
        <v>0.91938337443161955</v>
      </c>
    </row>
    <row r="83" spans="2:8" x14ac:dyDescent="0.25">
      <c r="B83" s="223">
        <f ca="1">_xll.meDateFromTenor(B82,$K$3)</f>
        <v>47045</v>
      </c>
      <c r="C83" s="224">
        <f ca="1"/>
        <v>1.7998333898142586E-2</v>
      </c>
      <c r="D83" s="224">
        <f ca="1"/>
        <v>1.7644522340559295E-2</v>
      </c>
      <c r="E83" s="225">
        <f ca="1"/>
        <v>1.6644795363259579E-2</v>
      </c>
      <c r="G83" s="223">
        <f ca="1">_xll.meDateFromTenor(G82,$K$3)</f>
        <v>47045</v>
      </c>
      <c r="H83" s="159">
        <f ca="1"/>
        <v>0.91681285736550022</v>
      </c>
    </row>
    <row r="84" spans="2:8" x14ac:dyDescent="0.25">
      <c r="B84" s="223">
        <f ca="1">_xll.meDateFromTenor(B83,$K$3)</f>
        <v>47106</v>
      </c>
      <c r="C84" s="224">
        <f ca="1"/>
        <v>1.8010948166719765E-2</v>
      </c>
      <c r="D84" s="224">
        <f ca="1"/>
        <v>1.7673069564962975E-2</v>
      </c>
      <c r="E84" s="225">
        <f ca="1"/>
        <v>1.6623335790664662E-2</v>
      </c>
      <c r="G84" s="223">
        <f ca="1">_xll.meDateFromTenor(G83,$K$3)</f>
        <v>47106</v>
      </c>
      <c r="H84" s="159">
        <f ca="1"/>
        <v>0.91425339182302456</v>
      </c>
    </row>
    <row r="85" spans="2:8" x14ac:dyDescent="0.25">
      <c r="B85" s="223">
        <f ca="1">_xll.meDateFromTenor(B84,$K$3)</f>
        <v>47168</v>
      </c>
      <c r="C85" s="224">
        <f ca="1"/>
        <v>1.8022052360375691E-2</v>
      </c>
      <c r="D85" s="224">
        <f ca="1"/>
        <v>1.7695386074749637E-2</v>
      </c>
      <c r="E85" s="225">
        <f ca="1"/>
        <v>1.6661829567461428E-2</v>
      </c>
      <c r="G85" s="223">
        <f ca="1">_xll.meDateFromTenor(G84,$K$3)</f>
        <v>47168</v>
      </c>
      <c r="H85" s="159">
        <f ca="1"/>
        <v>0.91165643456524204</v>
      </c>
    </row>
    <row r="86" spans="2:8" x14ac:dyDescent="0.25">
      <c r="B86" s="223">
        <f ca="1">_xll.meDateFromTenor(B85,$K$3)</f>
        <v>47227</v>
      </c>
      <c r="C86" s="224">
        <f ca="1"/>
        <v>1.802490023858935E-2</v>
      </c>
      <c r="D86" s="224">
        <f ca="1"/>
        <v>1.7706447497856229E-2</v>
      </c>
      <c r="E86" s="225">
        <f ca="1"/>
        <v>1.6656338022780881E-2</v>
      </c>
      <c r="G86" s="223">
        <f ca="1">_xll.meDateFromTenor(G85,$K$3)</f>
        <v>47227</v>
      </c>
      <c r="H86" s="159">
        <f ca="1"/>
        <v>0.90919152296809147</v>
      </c>
    </row>
    <row r="87" spans="2:8" x14ac:dyDescent="0.25">
      <c r="B87" s="223">
        <f ca="1">_xll.meDateFromTenor(B86,$K$3)</f>
        <v>47288</v>
      </c>
      <c r="C87" s="224">
        <f ca="1"/>
        <v>1.8024850482361864E-2</v>
      </c>
      <c r="D87" s="224">
        <f ca="1"/>
        <v>1.7715138703409669E-2</v>
      </c>
      <c r="E87" s="225">
        <f ca="1"/>
        <v>1.6668133926506901E-2</v>
      </c>
      <c r="G87" s="223">
        <f ca="1">_xll.meDateFromTenor(G86,$K$3)</f>
        <v>47288</v>
      </c>
      <c r="H87" s="159">
        <f ca="1"/>
        <v>0.90664906495265452</v>
      </c>
    </row>
    <row r="88" spans="2:8" x14ac:dyDescent="0.25">
      <c r="B88" s="223">
        <f ca="1">_xll.meDateFromTenor(B87,$K$3)</f>
        <v>47349</v>
      </c>
      <c r="C88" s="224">
        <f ca="1"/>
        <v>1.8024725367585703E-2</v>
      </c>
      <c r="D88" s="224">
        <f ca="1"/>
        <v>1.772245779176217E-2</v>
      </c>
      <c r="E88" s="225">
        <f ca="1"/>
        <v>1.6699712567815217E-2</v>
      </c>
      <c r="G88" s="223">
        <f ca="1">_xll.meDateFromTenor(G87,$K$3)</f>
        <v>47349</v>
      </c>
      <c r="H88" s="159">
        <f ca="1"/>
        <v>0.90411122392280074</v>
      </c>
    </row>
    <row r="89" spans="2:8" x14ac:dyDescent="0.25">
      <c r="B89" s="223">
        <f ca="1">_xll.meDateFromTenor(B88,$K$3)</f>
        <v>47410</v>
      </c>
      <c r="C89" s="224">
        <f ca="1"/>
        <v>1.8024600252809542E-2</v>
      </c>
      <c r="D89" s="224">
        <f ca="1"/>
        <v>1.7729575035635329E-2</v>
      </c>
      <c r="E89" s="225">
        <f ca="1"/>
        <v>1.673397680192612E-2</v>
      </c>
      <c r="G89" s="223">
        <f ca="1">_xll.meDateFromTenor(G88,$K$3)</f>
        <v>47410</v>
      </c>
      <c r="H89" s="159">
        <f ca="1"/>
        <v>0.90157566805781175</v>
      </c>
    </row>
    <row r="90" spans="2:8" x14ac:dyDescent="0.25">
      <c r="B90" s="223">
        <f ca="1">_xll.meDateFromTenor(B89,$K$3)</f>
        <v>47471</v>
      </c>
      <c r="C90" s="224">
        <f ca="1"/>
        <v>1.8024475138033381E-2</v>
      </c>
      <c r="D90" s="224">
        <f ca="1"/>
        <v>1.7734135270104673E-2</v>
      </c>
      <c r="E90" s="225">
        <f ca="1"/>
        <v>1.6791035149745559E-2</v>
      </c>
      <c r="G90" s="223">
        <f ca="1">_xll.meDateFromTenor(G89,$K$3)</f>
        <v>47471</v>
      </c>
      <c r="H90" s="159">
        <f ca="1"/>
        <v>0.89903953633201628</v>
      </c>
    </row>
    <row r="91" spans="2:8" x14ac:dyDescent="0.25">
      <c r="B91" s="223">
        <f ca="1">_xll.meDateFromTenor(B90,$K$3)</f>
        <v>47533</v>
      </c>
      <c r="C91" s="224">
        <f ca="1"/>
        <v>1.8022619613592666E-2</v>
      </c>
      <c r="D91" s="224">
        <f ca="1"/>
        <v>1.7736176791391774E-2</v>
      </c>
      <c r="E91" s="225">
        <f ca="1"/>
        <v>1.6867171419544524E-2</v>
      </c>
      <c r="G91" s="223">
        <f ca="1">_xll.meDateFromTenor(G90,$K$3)</f>
        <v>47533</v>
      </c>
      <c r="H91" s="159">
        <f ca="1"/>
        <v>0.89646016475508605</v>
      </c>
    </row>
    <row r="92" spans="2:8" x14ac:dyDescent="0.25">
      <c r="B92" s="223">
        <f ca="1">_xll.meDateFromTenor(B91,$K$3)</f>
        <v>47592</v>
      </c>
      <c r="C92" s="224">
        <f ca="1"/>
        <v>1.8010814185053334E-2</v>
      </c>
      <c r="D92" s="224">
        <f ca="1"/>
        <v>1.7740447811095378E-2</v>
      </c>
      <c r="E92" s="225">
        <f ca="1"/>
        <v>1.6947869303245877E-2</v>
      </c>
      <c r="G92" s="223">
        <f ca="1">_xll.meDateFromTenor(G91,$K$3)</f>
        <v>47592</v>
      </c>
      <c r="H92" s="159">
        <f ca="1"/>
        <v>0.89400064685197822</v>
      </c>
    </row>
    <row r="93" spans="2:8" x14ac:dyDescent="0.25">
      <c r="B93" s="223">
        <f ca="1">_xll.meDateFromTenor(B92,$K$3)</f>
        <v>47653</v>
      </c>
      <c r="C93" s="224">
        <f ca="1"/>
        <v>1.7998436424561042E-2</v>
      </c>
      <c r="D93" s="224">
        <f ca="1"/>
        <v>1.7744095178608421E-2</v>
      </c>
      <c r="E93" s="225">
        <f ca="1"/>
        <v>1.7056966296418175E-2</v>
      </c>
      <c r="G93" s="223">
        <f ca="1">_xll.meDateFromTenor(G92,$K$3)</f>
        <v>47653</v>
      </c>
      <c r="H93" s="159">
        <f ca="1"/>
        <v>0.89145017958468797</v>
      </c>
    </row>
    <row r="94" spans="2:8" x14ac:dyDescent="0.25">
      <c r="B94" s="223">
        <f ca="1">_xll.meDateFromTenor(B93,$K$3)</f>
        <v>47714</v>
      </c>
      <c r="C94" s="224">
        <f ca="1"/>
        <v>1.7961665150548586E-2</v>
      </c>
      <c r="D94" s="224">
        <f ca="1"/>
        <v>1.7746802572953715E-2</v>
      </c>
      <c r="E94" s="225">
        <f ca="1"/>
        <v>1.7193656328195139E-2</v>
      </c>
      <c r="G94" s="223">
        <f ca="1">_xll.meDateFromTenor(G93,$K$3)</f>
        <v>47714</v>
      </c>
      <c r="H94" s="159">
        <f ca="1"/>
        <v>0.88888985499929229</v>
      </c>
    </row>
    <row r="95" spans="2:8" x14ac:dyDescent="0.25">
      <c r="B95" s="223">
        <f ca="1">_xll.meDateFromTenor(B94,$K$3)</f>
        <v>47775</v>
      </c>
      <c r="C95" s="224">
        <f ca="1"/>
        <v>1.7734775064787739E-2</v>
      </c>
      <c r="D95" s="224">
        <f ca="1"/>
        <v>1.7598800532568546E-2</v>
      </c>
      <c r="E95" s="225">
        <f ca="1"/>
        <v>1.7333708515935742E-2</v>
      </c>
      <c r="G95" s="223">
        <f ca="1">_xll.meDateFromTenor(G94,$K$3)</f>
        <v>47775</v>
      </c>
      <c r="H95" s="159">
        <f ca="1"/>
        <v>0.88631626016229115</v>
      </c>
    </row>
    <row r="96" spans="2:8" x14ac:dyDescent="0.25">
      <c r="B96" s="223">
        <f ca="1">_xll.meDateFromTenor(B95,$K$3)</f>
        <v>47836</v>
      </c>
      <c r="C96" s="224">
        <f ca="1"/>
        <v>1.7429006678375568E-2</v>
      </c>
      <c r="D96" s="224">
        <f ca="1"/>
        <v>1.7343546480504925E-2</v>
      </c>
      <c r="E96" s="225">
        <f ca="1"/>
        <v>1.7569178880000313E-2</v>
      </c>
      <c r="G96" s="223">
        <f ca="1">_xll.meDateFromTenor(G95,$K$3)</f>
        <v>47836</v>
      </c>
      <c r="H96" s="159">
        <f ca="1"/>
        <v>0.88372408926342083</v>
      </c>
    </row>
    <row r="97" spans="2:8" x14ac:dyDescent="0.25">
      <c r="B97" s="223">
        <f ca="1">_xll.meDateFromTenor(B96,$K$3)</f>
        <v>47898</v>
      </c>
      <c r="C97" s="224">
        <f ca="1"/>
        <v>1.7179112331970774E-2</v>
      </c>
      <c r="D97" s="224">
        <f ca="1"/>
        <v>1.7002186489942828E-2</v>
      </c>
      <c r="E97" s="225">
        <f ca="1"/>
        <v>1.7525656200219508E-2</v>
      </c>
      <c r="G97" s="223">
        <f ca="1">_xll.meDateFromTenor(G96,$K$3)</f>
        <v>47898</v>
      </c>
      <c r="H97" s="159">
        <f ca="1"/>
        <v>0.8810718992932387</v>
      </c>
    </row>
    <row r="98" spans="2:8" x14ac:dyDescent="0.25">
      <c r="B98" s="223">
        <f ca="1">_xll.meDateFromTenor(B97,$K$3)</f>
        <v>47957</v>
      </c>
      <c r="C98" s="224">
        <f ca="1"/>
        <v>1.7091424395903766E-2</v>
      </c>
      <c r="D98" s="224">
        <f ca="1"/>
        <v>1.6931382934165524E-2</v>
      </c>
      <c r="E98" s="225">
        <f ca="1"/>
        <v>1.7393036918403437E-2</v>
      </c>
      <c r="G98" s="223">
        <f ca="1">_xll.meDateFromTenor(G97,$K$3)</f>
        <v>47957</v>
      </c>
      <c r="H98" s="159">
        <f ca="1"/>
        <v>0.87857649625376133</v>
      </c>
    </row>
    <row r="99" spans="2:8" x14ac:dyDescent="0.25">
      <c r="B99" s="223">
        <f ca="1">_xll.meDateFromTenor(B98,$K$3)</f>
        <v>48018</v>
      </c>
      <c r="C99" s="224">
        <f ca="1"/>
        <v>1.7011736597615946E-2</v>
      </c>
      <c r="D99" s="224">
        <f ca="1"/>
        <v>1.6870555572074886E-2</v>
      </c>
      <c r="E99" s="225">
        <f ca="1"/>
        <v>1.7196116354959212E-2</v>
      </c>
      <c r="G99" s="223">
        <f ca="1">_xll.meDateFromTenor(G98,$K$3)</f>
        <v>48018</v>
      </c>
      <c r="H99" s="159">
        <f ca="1"/>
        <v>0.8760275076384304</v>
      </c>
    </row>
    <row r="100" spans="2:8" x14ac:dyDescent="0.25">
      <c r="B100" s="223">
        <f ca="1">_xll.meDateFromTenor(B99,$K$3)</f>
        <v>48079</v>
      </c>
      <c r="C100" s="224">
        <f ca="1"/>
        <v>1.692872613521661E-2</v>
      </c>
      <c r="D100" s="224">
        <f ca="1"/>
        <v>1.6808995115461335E-2</v>
      </c>
      <c r="E100" s="225">
        <f ca="1"/>
        <v>1.70176729807614E-2</v>
      </c>
      <c r="G100" s="223">
        <f ca="1">_xll.meDateFromTenor(G99,$K$3)</f>
        <v>48079</v>
      </c>
      <c r="H100" s="159">
        <f ca="1"/>
        <v>0.87351315671415086</v>
      </c>
    </row>
    <row r="101" spans="2:8" x14ac:dyDescent="0.25">
      <c r="B101" s="226">
        <f ca="1">_xll.meDateFromTenor(B100,$K$3)</f>
        <v>48140</v>
      </c>
      <c r="C101" s="227">
        <f ca="1"/>
        <v>1.6840593656987715E-2</v>
      </c>
      <c r="D101" s="227">
        <f ca="1"/>
        <v>1.6727475438609394E-2</v>
      </c>
      <c r="E101" s="228">
        <f ca="1"/>
        <v>1.6838172955153663E-2</v>
      </c>
      <c r="G101" s="226">
        <f ca="1">_xll.meDateFromTenor(G100,$K$3)</f>
        <v>48140</v>
      </c>
      <c r="H101" s="160">
        <f ca="1"/>
        <v>0.87103196643982939</v>
      </c>
    </row>
  </sheetData>
  <dataValidations count="1">
    <dataValidation type="list" allowBlank="1" showInputMessage="1" showErrorMessage="1" sqref="K3">
      <formula1>"1D,1W,1M,2M"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6600"/>
  </sheetPr>
  <dimension ref="A1:AU37"/>
  <sheetViews>
    <sheetView showGridLines="0" workbookViewId="0"/>
  </sheetViews>
  <sheetFormatPr defaultRowHeight="15" x14ac:dyDescent="0.25"/>
  <cols>
    <col min="2" max="2" width="15.7109375" customWidth="1"/>
    <col min="3" max="3" width="11.7109375" customWidth="1"/>
    <col min="5" max="5" width="8.5703125" customWidth="1"/>
    <col min="6" max="6" width="14.42578125" customWidth="1"/>
    <col min="7" max="7" width="10.5703125" customWidth="1"/>
    <col min="8" max="8" width="12.5703125" customWidth="1"/>
    <col min="9" max="9" width="11.42578125" customWidth="1"/>
    <col min="10" max="10" width="12.7109375" customWidth="1"/>
    <col min="11" max="11" width="9.7109375" customWidth="1"/>
    <col min="12" max="12" width="16" hidden="1" customWidth="1"/>
    <col min="13" max="13" width="14.5703125" hidden="1" customWidth="1"/>
    <col min="14" max="14" width="15.85546875" hidden="1" customWidth="1"/>
    <col min="15" max="15" width="9.140625" hidden="1" customWidth="1"/>
    <col min="16" max="16" width="17.42578125" hidden="1" customWidth="1"/>
    <col min="17" max="18" width="9.140625" hidden="1" customWidth="1"/>
    <col min="19" max="19" width="6.5703125" hidden="1" customWidth="1"/>
    <col min="20" max="21" width="9.140625" hidden="1" customWidth="1"/>
    <col min="22" max="23" width="10.7109375" hidden="1" customWidth="1"/>
    <col min="24" max="24" width="17.42578125" hidden="1" customWidth="1"/>
    <col min="25" max="25" width="8.5703125" hidden="1" customWidth="1"/>
    <col min="26" max="26" width="20.140625" hidden="1" customWidth="1"/>
    <col min="27" max="34" width="9.140625" hidden="1" customWidth="1"/>
    <col min="35" max="35" width="14.140625" hidden="1" customWidth="1"/>
    <col min="36" max="36" width="11.85546875" hidden="1" customWidth="1"/>
    <col min="37" max="37" width="16.140625" hidden="1" customWidth="1"/>
    <col min="38" max="38" width="17" hidden="1" customWidth="1"/>
    <col min="39" max="39" width="13" hidden="1" customWidth="1"/>
    <col min="40" max="40" width="10.5703125" hidden="1" customWidth="1"/>
    <col min="41" max="41" width="17.5703125" customWidth="1"/>
    <col min="42" max="42" width="17" customWidth="1"/>
    <col min="43" max="43" width="13.42578125" customWidth="1"/>
    <col min="45" max="47" width="15.7109375" customWidth="1"/>
  </cols>
  <sheetData>
    <row r="1" spans="1:47" x14ac:dyDescent="0.25">
      <c r="A1" s="94"/>
      <c r="B1" s="94"/>
    </row>
    <row r="2" spans="1:47" ht="23.25" x14ac:dyDescent="0.35">
      <c r="B2" s="95" t="s">
        <v>188</v>
      </c>
      <c r="C2" s="95"/>
      <c r="L2" s="95"/>
      <c r="AO2" s="96" t="s">
        <v>189</v>
      </c>
      <c r="AP2" s="171">
        <f ca="1">SUM($AP$6:$AP$25)</f>
        <v>-312917.34318188898</v>
      </c>
      <c r="AQ2" s="172"/>
      <c r="AS2" s="95" t="s">
        <v>203</v>
      </c>
    </row>
    <row r="3" spans="1:47" x14ac:dyDescent="0.25">
      <c r="AO3" s="93"/>
      <c r="AP3" s="173"/>
      <c r="AQ3" s="172"/>
    </row>
    <row r="4" spans="1:47" x14ac:dyDescent="0.25">
      <c r="AO4" s="130"/>
      <c r="AQ4" s="97"/>
      <c r="AR4" t="s">
        <v>4</v>
      </c>
    </row>
    <row r="5" spans="1:47" ht="33" customHeight="1" x14ac:dyDescent="0.25">
      <c r="B5" s="98" t="s">
        <v>210</v>
      </c>
      <c r="C5" s="99" t="s">
        <v>211</v>
      </c>
      <c r="D5" s="99" t="s">
        <v>15</v>
      </c>
      <c r="E5" s="99" t="s">
        <v>224</v>
      </c>
      <c r="F5" s="99" t="s">
        <v>238</v>
      </c>
      <c r="G5" s="99" t="s">
        <v>212</v>
      </c>
      <c r="H5" s="99" t="s">
        <v>237</v>
      </c>
      <c r="I5" s="99" t="s">
        <v>190</v>
      </c>
      <c r="J5" s="99" t="s">
        <v>184</v>
      </c>
      <c r="K5" s="99" t="s">
        <v>208</v>
      </c>
      <c r="L5" s="98" t="s">
        <v>210</v>
      </c>
      <c r="M5" s="99" t="s">
        <v>209</v>
      </c>
      <c r="N5" s="99" t="s">
        <v>215</v>
      </c>
      <c r="O5" s="99" t="s">
        <v>216</v>
      </c>
      <c r="P5" s="99" t="s">
        <v>217</v>
      </c>
      <c r="Q5" s="99" t="s">
        <v>218</v>
      </c>
      <c r="R5" s="99" t="s">
        <v>219</v>
      </c>
      <c r="S5" s="99" t="s">
        <v>220</v>
      </c>
      <c r="T5" s="99" t="s">
        <v>221</v>
      </c>
      <c r="U5" s="99" t="s">
        <v>222</v>
      </c>
      <c r="V5" s="99" t="s">
        <v>223</v>
      </c>
      <c r="W5" s="99" t="s">
        <v>213</v>
      </c>
      <c r="X5" s="99" t="s">
        <v>225</v>
      </c>
      <c r="Y5" s="99" t="s">
        <v>226</v>
      </c>
      <c r="Z5" s="99" t="s">
        <v>227</v>
      </c>
      <c r="AA5" s="99" t="s">
        <v>228</v>
      </c>
      <c r="AB5" s="99" t="s">
        <v>229</v>
      </c>
      <c r="AC5" s="99" t="s">
        <v>230</v>
      </c>
      <c r="AD5" s="99" t="s">
        <v>231</v>
      </c>
      <c r="AE5" s="99" t="s">
        <v>232</v>
      </c>
      <c r="AF5" s="99" t="s">
        <v>214</v>
      </c>
      <c r="AG5" s="99" t="s">
        <v>233</v>
      </c>
      <c r="AH5" s="99" t="s">
        <v>234</v>
      </c>
      <c r="AI5" s="99" t="s">
        <v>235</v>
      </c>
      <c r="AJ5" s="99" t="s">
        <v>80</v>
      </c>
      <c r="AK5" s="99" t="s">
        <v>236</v>
      </c>
      <c r="AL5" s="99" t="s">
        <v>123</v>
      </c>
      <c r="AM5" s="99" t="s">
        <v>237</v>
      </c>
      <c r="AN5" s="149" t="s">
        <v>212</v>
      </c>
      <c r="AO5" s="150" t="s">
        <v>191</v>
      </c>
      <c r="AP5" s="100" t="s">
        <v>192</v>
      </c>
      <c r="AQ5" s="101" t="s">
        <v>193</v>
      </c>
      <c r="AR5" t="s">
        <v>4</v>
      </c>
      <c r="AS5" s="123" t="str">
        <f t="array" aca="1" ref="AS5:AT25" ca="1">_xll.meUtilityResize('EUR SWAP 6ML CURVE'!C59:D77,50,10)</f>
        <v>Term</v>
      </c>
      <c r="AT5" s="125" t="str">
        <f ca="1"/>
        <v>Rate</v>
      </c>
      <c r="AU5" s="124" t="s">
        <v>204</v>
      </c>
    </row>
    <row r="6" spans="1:47" x14ac:dyDescent="0.25">
      <c r="A6" s="102">
        <v>1</v>
      </c>
      <c r="B6" s="144">
        <f ca="1">IF(NOW(),_xll.meDateFromTenor(COB,$C6,$P6,$Q6))</f>
        <v>42423</v>
      </c>
      <c r="C6" s="153" t="s">
        <v>194</v>
      </c>
      <c r="D6" s="131" t="s">
        <v>16</v>
      </c>
      <c r="E6" s="106" t="s">
        <v>195</v>
      </c>
      <c r="F6" s="106" t="s">
        <v>173</v>
      </c>
      <c r="G6" s="106">
        <v>0.01</v>
      </c>
      <c r="H6" s="106">
        <v>0</v>
      </c>
      <c r="I6" s="132" t="s">
        <v>196</v>
      </c>
      <c r="J6" s="131">
        <v>1000000</v>
      </c>
      <c r="K6" s="105" t="s">
        <v>185</v>
      </c>
      <c r="L6" s="144">
        <f ca="1">B6</f>
        <v>42423</v>
      </c>
      <c r="M6" s="137" t="str">
        <f ca="1">F6</f>
        <v>1Y</v>
      </c>
      <c r="N6" s="92" t="s">
        <v>25</v>
      </c>
      <c r="O6" s="133" t="s">
        <v>19</v>
      </c>
      <c r="P6" s="92" t="s">
        <v>21</v>
      </c>
      <c r="Q6" s="92" t="s">
        <v>2</v>
      </c>
      <c r="R6" s="134"/>
      <c r="S6" s="134"/>
      <c r="T6" s="135">
        <f t="shared" ref="T6:T25" ca="1" si="0">IF($L6="","",DAY($L6))</f>
        <v>23</v>
      </c>
      <c r="U6" s="136" t="s">
        <v>186</v>
      </c>
      <c r="V6" s="133" t="s">
        <v>187</v>
      </c>
      <c r="W6" s="108" t="str">
        <f t="shared" ref="W6:W25" ca="1" si="1">$D6&amp;$E6</f>
        <v>EUR6ML</v>
      </c>
      <c r="X6" s="135" t="str">
        <f t="shared" ref="X6:X25" ca="1" si="2">IF($E6="1ML","Monthly",IF($E6="3ML","Quarterly",IF($E6="6ML","Semi-Annual","Annual")))</f>
        <v>Semi-Annual</v>
      </c>
      <c r="Y6" s="133" t="s">
        <v>5</v>
      </c>
      <c r="Z6" s="92" t="s">
        <v>21</v>
      </c>
      <c r="AA6" s="92" t="s">
        <v>2</v>
      </c>
      <c r="AB6" s="134"/>
      <c r="AC6" s="134"/>
      <c r="AD6" s="135">
        <f t="shared" ref="AD6:AD25" ca="1" si="3">IF($L6="","",DAY($L6))</f>
        <v>23</v>
      </c>
      <c r="AE6" s="136" t="s">
        <v>186</v>
      </c>
      <c r="AF6" s="137" t="s">
        <v>36</v>
      </c>
      <c r="AG6" s="138"/>
      <c r="AH6" s="136" t="s">
        <v>186</v>
      </c>
      <c r="AI6" s="133" t="s">
        <v>187</v>
      </c>
      <c r="AJ6" s="134" t="str">
        <f t="shared" ref="AJ6:AJ25" ca="1" si="4">D6&amp;"YC"</f>
        <v>EURYC</v>
      </c>
      <c r="AK6" s="108" t="str">
        <f t="shared" ref="AK6:AK25" ca="1" si="5">LEFT(AJ6,3)&amp;"DF_"&amp;I6</f>
        <v>EURDF_NOCSA</v>
      </c>
      <c r="AL6" s="107" t="s">
        <v>183</v>
      </c>
      <c r="AM6" s="139">
        <f t="shared" ref="AM6:AM25" ca="1" si="6">H6</f>
        <v>0</v>
      </c>
      <c r="AN6" s="145">
        <f t="shared" ref="AN6:AN25" ca="1" si="7">G6</f>
        <v>0.01</v>
      </c>
      <c r="AO6" s="151">
        <f ca="1">IF(NOW(),_xll.meProductSwapParRate(_xll.meUtilityLVBFromKeysValues($L$5:$AM$5,$L6:$AM6),FALSE))</f>
        <v>-1.3969484986246625E-3</v>
      </c>
      <c r="AP6" s="140">
        <f ca="1">IF(NOW(),_xll.meProductSwapPV(_xll.meUtilityLVBFromKeysValues($J$5:$AN$5,$J6:$AN6),FALSE))</f>
        <v>-11440.204542792844</v>
      </c>
      <c r="AQ6" s="141">
        <f ca="1">IF(NOW(),_xll.meProductSwapPV01(_xll.meUtilityLVBFromKeysValues($J$5:$AL$5,$J6:$AL6),FALSE))</f>
        <v>100.3795405776678</v>
      </c>
      <c r="AR6" t="s">
        <v>4</v>
      </c>
      <c r="AS6" s="119" t="str">
        <f ca="1"/>
        <v>2Y</v>
      </c>
      <c r="AT6" s="121">
        <f ca="1"/>
        <v>-1.33E-3</v>
      </c>
      <c r="AU6" s="126">
        <f ca="1">IF(ISNA(VLOOKUP(AS6,$M$6:$AO$25,29,0)),"-",(VLOOKUP(AS6,$M$6:$AO$25,29,0)-AT6)*10000)</f>
        <v>2.056986308715536E-8</v>
      </c>
    </row>
    <row r="7" spans="1:47" x14ac:dyDescent="0.25">
      <c r="A7" s="102">
        <v>2</v>
      </c>
      <c r="B7" s="144">
        <f ca="1">IF(NOW(),_xll.meDateFromTenor(COB,$C7,$P7,$Q7))</f>
        <v>42423</v>
      </c>
      <c r="C7" s="103" t="s">
        <v>194</v>
      </c>
      <c r="D7" s="104" t="s">
        <v>16</v>
      </c>
      <c r="E7" s="106" t="s">
        <v>195</v>
      </c>
      <c r="F7" s="106" t="s">
        <v>46</v>
      </c>
      <c r="G7" s="106">
        <v>0.01</v>
      </c>
      <c r="H7" s="106">
        <v>0</v>
      </c>
      <c r="I7" s="132" t="s">
        <v>196</v>
      </c>
      <c r="J7" s="104">
        <v>1000000</v>
      </c>
      <c r="K7" s="105" t="s">
        <v>185</v>
      </c>
      <c r="L7" s="144">
        <f t="shared" ref="L7:L25" ca="1" si="8">B7</f>
        <v>42423</v>
      </c>
      <c r="M7" s="135" t="str">
        <f t="shared" ref="M7:M25" ca="1" si="9">F7</f>
        <v>2Y</v>
      </c>
      <c r="N7" s="92" t="s">
        <v>25</v>
      </c>
      <c r="O7" s="92" t="s">
        <v>19</v>
      </c>
      <c r="P7" s="92" t="s">
        <v>21</v>
      </c>
      <c r="Q7" s="92" t="s">
        <v>2</v>
      </c>
      <c r="R7" s="107"/>
      <c r="S7" s="107"/>
      <c r="T7" s="108">
        <f t="shared" ca="1" si="0"/>
        <v>23</v>
      </c>
      <c r="U7" s="107" t="s">
        <v>186</v>
      </c>
      <c r="V7" s="107" t="s">
        <v>187</v>
      </c>
      <c r="W7" s="108" t="str">
        <f t="shared" ca="1" si="1"/>
        <v>EUR6ML</v>
      </c>
      <c r="X7" s="108" t="str">
        <f t="shared" ca="1" si="2"/>
        <v>Semi-Annual</v>
      </c>
      <c r="Y7" s="107" t="s">
        <v>5</v>
      </c>
      <c r="Z7" s="107" t="s">
        <v>21</v>
      </c>
      <c r="AA7" s="107" t="s">
        <v>2</v>
      </c>
      <c r="AB7" s="107"/>
      <c r="AC7" s="107"/>
      <c r="AD7" s="108">
        <f t="shared" ca="1" si="3"/>
        <v>23</v>
      </c>
      <c r="AE7" s="107" t="s">
        <v>186</v>
      </c>
      <c r="AF7" s="109" t="s">
        <v>36</v>
      </c>
      <c r="AG7" s="110"/>
      <c r="AH7" s="107" t="s">
        <v>186</v>
      </c>
      <c r="AI7" s="107" t="s">
        <v>187</v>
      </c>
      <c r="AJ7" s="108" t="str">
        <f t="shared" ca="1" si="4"/>
        <v>EURYC</v>
      </c>
      <c r="AK7" s="108" t="str">
        <f t="shared" ca="1" si="5"/>
        <v>EURDF_NOCSA</v>
      </c>
      <c r="AL7" s="107" t="s">
        <v>183</v>
      </c>
      <c r="AM7" s="139">
        <f t="shared" ca="1" si="6"/>
        <v>0</v>
      </c>
      <c r="AN7" s="145">
        <f t="shared" ca="1" si="7"/>
        <v>0.01</v>
      </c>
      <c r="AO7" s="151">
        <f ca="1">IF(NOW(),_xll.meProductSwapParRate(_xll.meUtilityLVBFromKeysValues($L$5:$AM$5,$L7:$AM7),FALSE))</f>
        <v>-1.3299999979430137E-3</v>
      </c>
      <c r="AP7" s="140">
        <f ca="1">IF(NOW(),_xll.meProductSwapPV(_xll.meUtilityLVBFromKeysValues($J$5:$AN$5,$J7:$AN7),FALSE))</f>
        <v>-22790.570967240608</v>
      </c>
      <c r="AQ7" s="141">
        <f ca="1">IF(NOW(),_xll.meProductSwapPV01(_xll.meUtilityLVBFromKeysValues($J$5:$AL$5,$J7:$AL7),FALSE))</f>
        <v>201.15243575797254</v>
      </c>
      <c r="AR7" t="s">
        <v>4</v>
      </c>
      <c r="AS7" s="119" t="str">
        <f ca="1"/>
        <v>3Y</v>
      </c>
      <c r="AT7" s="121">
        <f ca="1"/>
        <v>-8.699999999999999E-4</v>
      </c>
      <c r="AU7" s="126">
        <f ca="1">IF(ISNA(VLOOKUP(AS7,$M$6:$AO$25,29,0)),"-",(VLOOKUP(AS7,$M$6:$AO$25,29,0)-AT7)*10000)</f>
        <v>5.1372236542848726E-8</v>
      </c>
    </row>
    <row r="8" spans="1:47" x14ac:dyDescent="0.25">
      <c r="A8" s="102">
        <v>3</v>
      </c>
      <c r="B8" s="144">
        <f ca="1">IF(NOW(),_xll.meDateFromTenor(COB,$C8,$P8,$Q8))</f>
        <v>42423</v>
      </c>
      <c r="C8" s="103" t="s">
        <v>194</v>
      </c>
      <c r="D8" s="104" t="s">
        <v>16</v>
      </c>
      <c r="E8" s="106" t="s">
        <v>195</v>
      </c>
      <c r="F8" s="106" t="s">
        <v>42</v>
      </c>
      <c r="G8" s="106">
        <v>0.01</v>
      </c>
      <c r="H8" s="106">
        <v>0</v>
      </c>
      <c r="I8" s="132" t="s">
        <v>196</v>
      </c>
      <c r="J8" s="104">
        <v>1000000</v>
      </c>
      <c r="K8" s="105" t="s">
        <v>185</v>
      </c>
      <c r="L8" s="144">
        <f t="shared" ca="1" si="8"/>
        <v>42423</v>
      </c>
      <c r="M8" s="135" t="str">
        <f t="shared" ca="1" si="9"/>
        <v>3Y</v>
      </c>
      <c r="N8" s="92" t="s">
        <v>25</v>
      </c>
      <c r="O8" s="92" t="s">
        <v>19</v>
      </c>
      <c r="P8" s="92" t="s">
        <v>21</v>
      </c>
      <c r="Q8" s="92" t="s">
        <v>2</v>
      </c>
      <c r="R8" s="107"/>
      <c r="S8" s="107"/>
      <c r="T8" s="108">
        <f t="shared" ca="1" si="0"/>
        <v>23</v>
      </c>
      <c r="U8" s="107" t="s">
        <v>186</v>
      </c>
      <c r="V8" s="107" t="s">
        <v>187</v>
      </c>
      <c r="W8" s="108" t="str">
        <f t="shared" ca="1" si="1"/>
        <v>EUR6ML</v>
      </c>
      <c r="X8" s="108" t="str">
        <f ca="1">IF($E8="1ML","Monthly",IF($E8="3ML","Quarterly",IF($E8="6ML","Semi-Annual","Annual")))</f>
        <v>Semi-Annual</v>
      </c>
      <c r="Y8" s="107" t="s">
        <v>5</v>
      </c>
      <c r="Z8" s="107" t="s">
        <v>21</v>
      </c>
      <c r="AA8" s="107" t="s">
        <v>2</v>
      </c>
      <c r="AB8" s="107"/>
      <c r="AC8" s="107"/>
      <c r="AD8" s="108">
        <f t="shared" ca="1" si="3"/>
        <v>23</v>
      </c>
      <c r="AE8" s="107" t="s">
        <v>186</v>
      </c>
      <c r="AF8" s="109" t="s">
        <v>36</v>
      </c>
      <c r="AG8" s="110"/>
      <c r="AH8" s="107" t="s">
        <v>186</v>
      </c>
      <c r="AI8" s="107" t="s">
        <v>187</v>
      </c>
      <c r="AJ8" s="108" t="str">
        <f t="shared" ca="1" si="4"/>
        <v>EURYC</v>
      </c>
      <c r="AK8" s="108" t="str">
        <f t="shared" ca="1" si="5"/>
        <v>EURDF_NOCSA</v>
      </c>
      <c r="AL8" s="107" t="s">
        <v>183</v>
      </c>
      <c r="AM8" s="139">
        <f t="shared" ca="1" si="6"/>
        <v>0</v>
      </c>
      <c r="AN8" s="145">
        <f t="shared" ca="1" si="7"/>
        <v>0.01</v>
      </c>
      <c r="AO8" s="151">
        <f ca="1">IF(NOW(),_xll.meProductSwapParRate(_xll.meUtilityLVBFromKeysValues($L$5:$AM$5,$L8:$AM8),FALSE))</f>
        <v>-8.6999999486277624E-4</v>
      </c>
      <c r="AP8" s="140">
        <f ca="1">IF(NOW(),_xll.meProductSwapPV(_xll.meUtilityLVBFromKeysValues($J$5:$AN$5,$J8:$AN8),FALSE))</f>
        <v>-32910.404313542167</v>
      </c>
      <c r="AQ8" s="141">
        <f ca="1">IF(NOW(),_xll.meProductSwapPV01(_xll.meUtilityLVBFromKeysValues($J$5:$AL$5,$J8:$AL8),FALSE))</f>
        <v>302.76360928331019</v>
      </c>
      <c r="AR8" t="s">
        <v>4</v>
      </c>
      <c r="AS8" s="119" t="str">
        <f ca="1"/>
        <v>4Y</v>
      </c>
      <c r="AT8" s="121">
        <f ca="1"/>
        <v>-8.0000000000000007E-5</v>
      </c>
      <c r="AU8" s="126">
        <f t="shared" ref="AU8:AU25" ca="1" si="10">IF(ISNA(VLOOKUP(AS8,$M$6:$AO$25,29,0)),"-",(VLOOKUP(AS8,$M$6:$AO$25,29,0)-AT8)*10000)</f>
        <v>-4.8060600367060696E-8</v>
      </c>
    </row>
    <row r="9" spans="1:47" x14ac:dyDescent="0.25">
      <c r="A9" s="102">
        <v>4</v>
      </c>
      <c r="B9" s="144">
        <f ca="1">IF(NOW(),_xll.meDateFromTenor(COB,$C9,$P9,$Q9))</f>
        <v>42423</v>
      </c>
      <c r="C9" s="111" t="s">
        <v>194</v>
      </c>
      <c r="D9" s="104" t="s">
        <v>16</v>
      </c>
      <c r="E9" s="106" t="s">
        <v>195</v>
      </c>
      <c r="F9" s="106" t="s">
        <v>49</v>
      </c>
      <c r="G9" s="106">
        <v>0.01</v>
      </c>
      <c r="H9" s="106">
        <v>0</v>
      </c>
      <c r="I9" s="132" t="s">
        <v>196</v>
      </c>
      <c r="J9" s="104">
        <v>1000000</v>
      </c>
      <c r="K9" s="105" t="s">
        <v>185</v>
      </c>
      <c r="L9" s="144">
        <f t="shared" ca="1" si="8"/>
        <v>42423</v>
      </c>
      <c r="M9" s="135" t="str">
        <f t="shared" ca="1" si="9"/>
        <v>4Y</v>
      </c>
      <c r="N9" s="107" t="s">
        <v>25</v>
      </c>
      <c r="O9" s="107" t="s">
        <v>19</v>
      </c>
      <c r="P9" s="107" t="s">
        <v>21</v>
      </c>
      <c r="Q9" s="107" t="s">
        <v>2</v>
      </c>
      <c r="R9" s="107"/>
      <c r="S9" s="107"/>
      <c r="T9" s="108">
        <f t="shared" ca="1" si="0"/>
        <v>23</v>
      </c>
      <c r="U9" s="107" t="s">
        <v>186</v>
      </c>
      <c r="V9" s="107" t="s">
        <v>187</v>
      </c>
      <c r="W9" s="108" t="str">
        <f t="shared" ca="1" si="1"/>
        <v>EUR6ML</v>
      </c>
      <c r="X9" s="108" t="str">
        <f t="shared" ca="1" si="2"/>
        <v>Semi-Annual</v>
      </c>
      <c r="Y9" s="107" t="s">
        <v>5</v>
      </c>
      <c r="Z9" s="107" t="s">
        <v>21</v>
      </c>
      <c r="AA9" s="107" t="s">
        <v>2</v>
      </c>
      <c r="AB9" s="107"/>
      <c r="AC9" s="107"/>
      <c r="AD9" s="108">
        <f t="shared" ca="1" si="3"/>
        <v>23</v>
      </c>
      <c r="AE9" s="107" t="s">
        <v>186</v>
      </c>
      <c r="AF9" s="109" t="s">
        <v>36</v>
      </c>
      <c r="AG9" s="110"/>
      <c r="AH9" s="107" t="s">
        <v>186</v>
      </c>
      <c r="AI9" s="107" t="s">
        <v>187</v>
      </c>
      <c r="AJ9" s="108" t="str">
        <f t="shared" ca="1" si="4"/>
        <v>EURYC</v>
      </c>
      <c r="AK9" s="108" t="str">
        <f t="shared" ca="1" si="5"/>
        <v>EURDF_NOCSA</v>
      </c>
      <c r="AL9" s="107" t="s">
        <v>183</v>
      </c>
      <c r="AM9" s="139">
        <f t="shared" ca="1" si="6"/>
        <v>0</v>
      </c>
      <c r="AN9" s="146">
        <f t="shared" ca="1" si="7"/>
        <v>0.01</v>
      </c>
      <c r="AO9" s="151">
        <f ca="1">IF(NOW(),_xll.meProductSwapParRate(_xll.meUtilityLVBFromKeysValues($L$5:$AM$5,$L9:$AM9),FALSE))</f>
        <v>-8.0000004806060043E-5</v>
      </c>
      <c r="AP9" s="140">
        <f ca="1">IF(NOW(),_xll.meProductSwapPV(_xll.meUtilityLVBFromKeysValues($J$5:$AN$5,$J9:$AN9),FALSE))</f>
        <v>-40681.945777649111</v>
      </c>
      <c r="AQ9" s="141">
        <f ca="1">IF(NOW(),_xll.meProductSwapPV01(_xll.meUtilityLVBFromKeysValues($J$5:$AL$5,$J9:$AL9),FALSE))</f>
        <v>403.59073172869336</v>
      </c>
      <c r="AR9" t="s">
        <v>4</v>
      </c>
      <c r="AS9" s="119" t="str">
        <f ca="1"/>
        <v>5Y</v>
      </c>
      <c r="AT9" s="121">
        <f ca="1"/>
        <v>9.2999999999999995E-4</v>
      </c>
      <c r="AU9" s="126">
        <f t="shared" ca="1" si="10"/>
        <v>-1.2266548454070714E-7</v>
      </c>
    </row>
    <row r="10" spans="1:47" x14ac:dyDescent="0.25">
      <c r="A10" s="102">
        <v>5</v>
      </c>
      <c r="B10" s="144">
        <f ca="1">IF(NOW(),_xll.meDateFromTenor(COB,$C10,$P10,$Q10))</f>
        <v>42423</v>
      </c>
      <c r="C10" s="111" t="s">
        <v>194</v>
      </c>
      <c r="D10" s="104" t="s">
        <v>16</v>
      </c>
      <c r="E10" s="106" t="s">
        <v>195</v>
      </c>
      <c r="F10" s="106" t="s">
        <v>51</v>
      </c>
      <c r="G10" s="106">
        <v>0.01</v>
      </c>
      <c r="H10" s="106">
        <v>0</v>
      </c>
      <c r="I10" s="132" t="s">
        <v>196</v>
      </c>
      <c r="J10" s="104">
        <v>1000000</v>
      </c>
      <c r="K10" s="105" t="s">
        <v>185</v>
      </c>
      <c r="L10" s="144">
        <f t="shared" ca="1" si="8"/>
        <v>42423</v>
      </c>
      <c r="M10" s="135" t="str">
        <f t="shared" ca="1" si="9"/>
        <v>5Y</v>
      </c>
      <c r="N10" s="107" t="s">
        <v>25</v>
      </c>
      <c r="O10" s="107" t="s">
        <v>19</v>
      </c>
      <c r="P10" s="107" t="s">
        <v>21</v>
      </c>
      <c r="Q10" s="107" t="s">
        <v>2</v>
      </c>
      <c r="R10" s="107"/>
      <c r="S10" s="107"/>
      <c r="T10" s="108">
        <f t="shared" ca="1" si="0"/>
        <v>23</v>
      </c>
      <c r="U10" s="107" t="s">
        <v>186</v>
      </c>
      <c r="V10" s="107" t="s">
        <v>187</v>
      </c>
      <c r="W10" s="108" t="str">
        <f t="shared" ca="1" si="1"/>
        <v>EUR6ML</v>
      </c>
      <c r="X10" s="108" t="str">
        <f t="shared" ca="1" si="2"/>
        <v>Semi-Annual</v>
      </c>
      <c r="Y10" s="107" t="s">
        <v>5</v>
      </c>
      <c r="Z10" s="107" t="s">
        <v>21</v>
      </c>
      <c r="AA10" s="107" t="s">
        <v>2</v>
      </c>
      <c r="AB10" s="107"/>
      <c r="AC10" s="107"/>
      <c r="AD10" s="108">
        <f t="shared" ca="1" si="3"/>
        <v>23</v>
      </c>
      <c r="AE10" s="107" t="s">
        <v>186</v>
      </c>
      <c r="AF10" s="109" t="s">
        <v>36</v>
      </c>
      <c r="AG10" s="110"/>
      <c r="AH10" s="107" t="s">
        <v>186</v>
      </c>
      <c r="AI10" s="107" t="s">
        <v>187</v>
      </c>
      <c r="AJ10" s="108" t="str">
        <f t="shared" ca="1" si="4"/>
        <v>EURYC</v>
      </c>
      <c r="AK10" s="108" t="str">
        <f t="shared" ca="1" si="5"/>
        <v>EURDF_NOCSA</v>
      </c>
      <c r="AL10" s="107" t="s">
        <v>183</v>
      </c>
      <c r="AM10" s="139">
        <f t="shared" ca="1" si="6"/>
        <v>0</v>
      </c>
      <c r="AN10" s="146">
        <f t="shared" ca="1" si="7"/>
        <v>0.01</v>
      </c>
      <c r="AO10" s="151">
        <f ca="1">IF(NOW(),_xll.meProductSwapParRate(_xll.meUtilityLVBFromKeysValues($L$5:$AM$5,$L10:$AM10),FALSE))</f>
        <v>9.2999998773345149E-4</v>
      </c>
      <c r="AP10" s="140">
        <f ca="1">IF(NOW(),_xll.meProductSwapPV(_xll.meUtilityLVBFromKeysValues($J$5:$AN$5,$J10:$AN10),FALSE))</f>
        <v>-45731.89906730425</v>
      </c>
      <c r="AQ10" s="141">
        <f ca="1">IF(NOW(),_xll.meProductSwapPV01(_xll.meUtilityLVBFromKeysValues($J$5:$AL$5,$J10:$AL10),FALSE))</f>
        <v>504.21057337877636</v>
      </c>
      <c r="AR10" t="s">
        <v>4</v>
      </c>
      <c r="AS10" s="119" t="str">
        <f ca="1"/>
        <v>6Y</v>
      </c>
      <c r="AT10" s="121">
        <f ca="1"/>
        <v>2.0200000000000001E-3</v>
      </c>
      <c r="AU10" s="126">
        <f t="shared" ca="1" si="10"/>
        <v>-2.2603425207934347E-7</v>
      </c>
    </row>
    <row r="11" spans="1:47" x14ac:dyDescent="0.25">
      <c r="A11" s="102">
        <v>6</v>
      </c>
      <c r="B11" s="144">
        <f ca="1">IF(NOW(),_xll.meDateFromTenor(COB,$C11,$P11,$Q11))</f>
        <v>42423</v>
      </c>
      <c r="C11" s="111" t="s">
        <v>194</v>
      </c>
      <c r="D11" s="104" t="s">
        <v>16</v>
      </c>
      <c r="E11" s="106" t="s">
        <v>195</v>
      </c>
      <c r="F11" s="106" t="s">
        <v>53</v>
      </c>
      <c r="G11" s="106">
        <v>0.01</v>
      </c>
      <c r="H11" s="106">
        <v>0</v>
      </c>
      <c r="I11" s="132" t="s">
        <v>196</v>
      </c>
      <c r="J11" s="104">
        <v>1000000</v>
      </c>
      <c r="K11" s="105" t="s">
        <v>185</v>
      </c>
      <c r="L11" s="144">
        <f t="shared" ca="1" si="8"/>
        <v>42423</v>
      </c>
      <c r="M11" s="135" t="str">
        <f t="shared" ca="1" si="9"/>
        <v>6Y</v>
      </c>
      <c r="N11" s="107" t="s">
        <v>25</v>
      </c>
      <c r="O11" s="107" t="s">
        <v>19</v>
      </c>
      <c r="P11" s="107" t="s">
        <v>21</v>
      </c>
      <c r="Q11" s="107" t="s">
        <v>2</v>
      </c>
      <c r="R11" s="107"/>
      <c r="S11" s="107"/>
      <c r="T11" s="108">
        <f t="shared" ca="1" si="0"/>
        <v>23</v>
      </c>
      <c r="U11" s="107" t="s">
        <v>186</v>
      </c>
      <c r="V11" s="107" t="s">
        <v>187</v>
      </c>
      <c r="W11" s="108" t="str">
        <f t="shared" ca="1" si="1"/>
        <v>EUR6ML</v>
      </c>
      <c r="X11" s="108" t="str">
        <f t="shared" ca="1" si="2"/>
        <v>Semi-Annual</v>
      </c>
      <c r="Y11" s="107" t="s">
        <v>5</v>
      </c>
      <c r="Z11" s="107" t="s">
        <v>21</v>
      </c>
      <c r="AA11" s="107" t="s">
        <v>2</v>
      </c>
      <c r="AB11" s="107"/>
      <c r="AC11" s="107"/>
      <c r="AD11" s="108">
        <f t="shared" ca="1" si="3"/>
        <v>23</v>
      </c>
      <c r="AE11" s="107" t="s">
        <v>186</v>
      </c>
      <c r="AF11" s="109" t="s">
        <v>36</v>
      </c>
      <c r="AG11" s="110"/>
      <c r="AH11" s="107" t="s">
        <v>186</v>
      </c>
      <c r="AI11" s="107" t="s">
        <v>187</v>
      </c>
      <c r="AJ11" s="108" t="str">
        <f t="shared" ca="1" si="4"/>
        <v>EURYC</v>
      </c>
      <c r="AK11" s="108" t="str">
        <f t="shared" ca="1" si="5"/>
        <v>EURDF_NOCSA</v>
      </c>
      <c r="AL11" s="107" t="s">
        <v>183</v>
      </c>
      <c r="AM11" s="139">
        <f t="shared" ca="1" si="6"/>
        <v>0</v>
      </c>
      <c r="AN11" s="146">
        <f t="shared" ca="1" si="7"/>
        <v>0.01</v>
      </c>
      <c r="AO11" s="151">
        <f ca="1">IF(NOW(),_xll.meProductSwapParRate(_xll.meUtilityLVBFromKeysValues($L$5:$AM$5,$L11:$AM11),FALSE))</f>
        <v>2.0199999773965749E-3</v>
      </c>
      <c r="AP11" s="140">
        <f ca="1">IF(NOW(),_xll.meProductSwapPV(_xll.meUtilityLVBFromKeysValues($J$5:$AN$5,$J11:$AN11),FALSE))</f>
        <v>-48247.579135806285</v>
      </c>
      <c r="AQ11" s="141">
        <f ca="1">IF(NOW(),_xll.meProductSwapPV01(_xll.meUtilityLVBFromKeysValues($J$5:$AL$5,$J11:$AL11),FALSE))</f>
        <v>604.60625312211232</v>
      </c>
      <c r="AR11" t="s">
        <v>4</v>
      </c>
      <c r="AS11" s="119" t="str">
        <f ca="1"/>
        <v>7Y</v>
      </c>
      <c r="AT11" s="121">
        <f ca="1"/>
        <v>3.2099999999999997E-3</v>
      </c>
      <c r="AU11" s="126">
        <f t="shared" ca="1" si="10"/>
        <v>9.2650765531887558E-8</v>
      </c>
    </row>
    <row r="12" spans="1:47" x14ac:dyDescent="0.25">
      <c r="A12" s="102">
        <v>7</v>
      </c>
      <c r="B12" s="144">
        <f ca="1">IF(NOW(),_xll.meDateFromTenor(COB,$C12,$P12,$Q12))</f>
        <v>42423</v>
      </c>
      <c r="C12" s="111" t="s">
        <v>194</v>
      </c>
      <c r="D12" s="104" t="s">
        <v>16</v>
      </c>
      <c r="E12" s="106" t="s">
        <v>195</v>
      </c>
      <c r="F12" s="106" t="s">
        <v>55</v>
      </c>
      <c r="G12" s="106">
        <v>0.01</v>
      </c>
      <c r="H12" s="106">
        <v>0</v>
      </c>
      <c r="I12" s="132" t="s">
        <v>196</v>
      </c>
      <c r="J12" s="104">
        <v>1000000</v>
      </c>
      <c r="K12" s="105" t="s">
        <v>185</v>
      </c>
      <c r="L12" s="144">
        <f t="shared" ca="1" si="8"/>
        <v>42423</v>
      </c>
      <c r="M12" s="135" t="str">
        <f t="shared" ca="1" si="9"/>
        <v>7Y</v>
      </c>
      <c r="N12" s="107" t="s">
        <v>25</v>
      </c>
      <c r="O12" s="107" t="s">
        <v>19</v>
      </c>
      <c r="P12" s="107" t="s">
        <v>21</v>
      </c>
      <c r="Q12" s="107" t="s">
        <v>2</v>
      </c>
      <c r="R12" s="107"/>
      <c r="S12" s="107"/>
      <c r="T12" s="108">
        <f t="shared" ca="1" si="0"/>
        <v>23</v>
      </c>
      <c r="U12" s="107" t="s">
        <v>186</v>
      </c>
      <c r="V12" s="107" t="s">
        <v>187</v>
      </c>
      <c r="W12" s="108" t="str">
        <f t="shared" ca="1" si="1"/>
        <v>EUR6ML</v>
      </c>
      <c r="X12" s="108" t="str">
        <f t="shared" ca="1" si="2"/>
        <v>Semi-Annual</v>
      </c>
      <c r="Y12" s="107" t="s">
        <v>5</v>
      </c>
      <c r="Z12" s="107" t="s">
        <v>21</v>
      </c>
      <c r="AA12" s="107" t="s">
        <v>2</v>
      </c>
      <c r="AB12" s="107"/>
      <c r="AC12" s="107"/>
      <c r="AD12" s="108">
        <f t="shared" ca="1" si="3"/>
        <v>23</v>
      </c>
      <c r="AE12" s="107" t="s">
        <v>186</v>
      </c>
      <c r="AF12" s="109" t="s">
        <v>36</v>
      </c>
      <c r="AG12" s="110"/>
      <c r="AH12" s="107" t="s">
        <v>186</v>
      </c>
      <c r="AI12" s="107" t="s">
        <v>187</v>
      </c>
      <c r="AJ12" s="108" t="str">
        <f t="shared" ca="1" si="4"/>
        <v>EURYC</v>
      </c>
      <c r="AK12" s="108" t="str">
        <f t="shared" ca="1" si="5"/>
        <v>EURDF_NOCSA</v>
      </c>
      <c r="AL12" s="107" t="s">
        <v>183</v>
      </c>
      <c r="AM12" s="139">
        <f t="shared" ca="1" si="6"/>
        <v>0</v>
      </c>
      <c r="AN12" s="146">
        <f t="shared" ca="1" si="7"/>
        <v>0.01</v>
      </c>
      <c r="AO12" s="151">
        <f ca="1">IF(NOW(),_xll.meProductSwapParRate(_xll.meUtilityLVBFromKeysValues($L$5:$AM$5,$L12:$AM12),FALSE))</f>
        <v>3.2100000092650763E-3</v>
      </c>
      <c r="AP12" s="140">
        <f ca="1">IF(NOW(),_xll.meProductSwapPV(_xll.meUtilityLVBFromKeysValues($J$5:$AN$5,$J12:$AN12),FALSE))</f>
        <v>-47815.226091034681</v>
      </c>
      <c r="AQ12" s="141">
        <f ca="1">IF(NOW(),_xll.meProductSwapPV01(_xll.meUtilityLVBFromKeysValues($J$5:$AL$5,$J12:$AL12),FALSE))</f>
        <v>704.20067976847452</v>
      </c>
      <c r="AR12" t="s">
        <v>4</v>
      </c>
      <c r="AS12" s="119" t="str">
        <f ca="1"/>
        <v>8Y</v>
      </c>
      <c r="AT12" s="121">
        <f ca="1"/>
        <v>4.4400000000000004E-3</v>
      </c>
      <c r="AU12" s="126">
        <f t="shared" ca="1" si="10"/>
        <v>1.0631796918542102E-6</v>
      </c>
    </row>
    <row r="13" spans="1:47" x14ac:dyDescent="0.25">
      <c r="A13" s="102">
        <v>8</v>
      </c>
      <c r="B13" s="144">
        <f ca="1">IF(NOW(),_xll.meDateFromTenor(COB,$C13,$P13,$Q13))</f>
        <v>42423</v>
      </c>
      <c r="C13" s="111" t="s">
        <v>194</v>
      </c>
      <c r="D13" s="104" t="s">
        <v>16</v>
      </c>
      <c r="E13" s="106" t="s">
        <v>195</v>
      </c>
      <c r="F13" s="106" t="s">
        <v>57</v>
      </c>
      <c r="G13" s="106">
        <v>0.01</v>
      </c>
      <c r="H13" s="106">
        <v>0</v>
      </c>
      <c r="I13" s="132" t="s">
        <v>196</v>
      </c>
      <c r="J13" s="104">
        <v>1000000</v>
      </c>
      <c r="K13" s="105" t="s">
        <v>185</v>
      </c>
      <c r="L13" s="144">
        <f t="shared" ca="1" si="8"/>
        <v>42423</v>
      </c>
      <c r="M13" s="135" t="str">
        <f t="shared" ca="1" si="9"/>
        <v>8Y</v>
      </c>
      <c r="N13" s="107" t="s">
        <v>25</v>
      </c>
      <c r="O13" s="107" t="s">
        <v>19</v>
      </c>
      <c r="P13" s="107" t="s">
        <v>21</v>
      </c>
      <c r="Q13" s="107" t="s">
        <v>2</v>
      </c>
      <c r="R13" s="107"/>
      <c r="S13" s="107"/>
      <c r="T13" s="108">
        <f t="shared" ca="1" si="0"/>
        <v>23</v>
      </c>
      <c r="U13" s="107" t="s">
        <v>186</v>
      </c>
      <c r="V13" s="107" t="s">
        <v>187</v>
      </c>
      <c r="W13" s="108" t="str">
        <f t="shared" ca="1" si="1"/>
        <v>EUR6ML</v>
      </c>
      <c r="X13" s="108" t="str">
        <f t="shared" ca="1" si="2"/>
        <v>Semi-Annual</v>
      </c>
      <c r="Y13" s="107" t="s">
        <v>5</v>
      </c>
      <c r="Z13" s="107" t="s">
        <v>21</v>
      </c>
      <c r="AA13" s="107" t="s">
        <v>2</v>
      </c>
      <c r="AB13" s="107"/>
      <c r="AC13" s="107"/>
      <c r="AD13" s="108">
        <f t="shared" ca="1" si="3"/>
        <v>23</v>
      </c>
      <c r="AE13" s="107" t="s">
        <v>186</v>
      </c>
      <c r="AF13" s="109" t="s">
        <v>36</v>
      </c>
      <c r="AG13" s="110"/>
      <c r="AH13" s="107" t="s">
        <v>186</v>
      </c>
      <c r="AI13" s="107" t="s">
        <v>187</v>
      </c>
      <c r="AJ13" s="108" t="str">
        <f t="shared" ca="1" si="4"/>
        <v>EURYC</v>
      </c>
      <c r="AK13" s="108" t="str">
        <f t="shared" ca="1" si="5"/>
        <v>EURDF_NOCSA</v>
      </c>
      <c r="AL13" s="107" t="s">
        <v>183</v>
      </c>
      <c r="AM13" s="139">
        <f t="shared" ca="1" si="6"/>
        <v>0</v>
      </c>
      <c r="AN13" s="146">
        <f t="shared" ca="1" si="7"/>
        <v>0.01</v>
      </c>
      <c r="AO13" s="151">
        <f ca="1">IF(NOW(),_xll.meProductSwapParRate(_xll.meUtilityLVBFromKeysValues($L$5:$AM$5,$L13:$AM13),FALSE))</f>
        <v>4.4400001063179696E-3</v>
      </c>
      <c r="AP13" s="140">
        <f ca="1">IF(NOW(),_xll.meProductSwapPV(_xll.meUtilityLVBFromKeysValues($J$5:$AN$5,$J13:$AN13),FALSE))</f>
        <v>-44630.718806232966</v>
      </c>
      <c r="AQ13" s="141">
        <f ca="1">IF(NOW(),_xll.meProductSwapPV01(_xll.meUtilityLVBFromKeysValues($J$5:$AL$5,$J13:$AL13),FALSE))</f>
        <v>802.71078524566133</v>
      </c>
      <c r="AR13" t="s">
        <v>4</v>
      </c>
      <c r="AS13" s="119" t="str">
        <f ca="1"/>
        <v>9Y</v>
      </c>
      <c r="AT13" s="121">
        <f ca="1"/>
        <v>5.6099999999999995E-3</v>
      </c>
      <c r="AU13" s="126">
        <f t="shared" ca="1" si="10"/>
        <v>1.935668925492906E-6</v>
      </c>
    </row>
    <row r="14" spans="1:47" x14ac:dyDescent="0.25">
      <c r="A14" s="102">
        <v>9</v>
      </c>
      <c r="B14" s="144">
        <f ca="1">IF(NOW(),_xll.meDateFromTenor(COB,$C14,$P14,$Q14))</f>
        <v>42423</v>
      </c>
      <c r="C14" s="111" t="s">
        <v>194</v>
      </c>
      <c r="D14" s="104" t="s">
        <v>16</v>
      </c>
      <c r="E14" s="106" t="s">
        <v>195</v>
      </c>
      <c r="F14" s="106" t="s">
        <v>59</v>
      </c>
      <c r="G14" s="106">
        <v>0.01</v>
      </c>
      <c r="H14" s="106">
        <v>0</v>
      </c>
      <c r="I14" s="132" t="s">
        <v>196</v>
      </c>
      <c r="J14" s="104">
        <v>1000000</v>
      </c>
      <c r="K14" s="105" t="s">
        <v>185</v>
      </c>
      <c r="L14" s="144">
        <f t="shared" ca="1" si="8"/>
        <v>42423</v>
      </c>
      <c r="M14" s="135" t="str">
        <f t="shared" ca="1" si="9"/>
        <v>9Y</v>
      </c>
      <c r="N14" s="107" t="s">
        <v>25</v>
      </c>
      <c r="O14" s="107" t="s">
        <v>19</v>
      </c>
      <c r="P14" s="107" t="s">
        <v>21</v>
      </c>
      <c r="Q14" s="107" t="s">
        <v>2</v>
      </c>
      <c r="R14" s="107"/>
      <c r="S14" s="107"/>
      <c r="T14" s="108">
        <f t="shared" ca="1" si="0"/>
        <v>23</v>
      </c>
      <c r="U14" s="107" t="s">
        <v>186</v>
      </c>
      <c r="V14" s="107" t="s">
        <v>187</v>
      </c>
      <c r="W14" s="108" t="str">
        <f t="shared" ca="1" si="1"/>
        <v>EUR6ML</v>
      </c>
      <c r="X14" s="108" t="str">
        <f t="shared" ca="1" si="2"/>
        <v>Semi-Annual</v>
      </c>
      <c r="Y14" s="107" t="s">
        <v>5</v>
      </c>
      <c r="Z14" s="107" t="s">
        <v>21</v>
      </c>
      <c r="AA14" s="107" t="s">
        <v>2</v>
      </c>
      <c r="AB14" s="107"/>
      <c r="AC14" s="107"/>
      <c r="AD14" s="108">
        <f t="shared" ca="1" si="3"/>
        <v>23</v>
      </c>
      <c r="AE14" s="107" t="s">
        <v>186</v>
      </c>
      <c r="AF14" s="109" t="s">
        <v>36</v>
      </c>
      <c r="AG14" s="110"/>
      <c r="AH14" s="107" t="s">
        <v>186</v>
      </c>
      <c r="AI14" s="107" t="s">
        <v>187</v>
      </c>
      <c r="AJ14" s="108" t="str">
        <f t="shared" ca="1" si="4"/>
        <v>EURYC</v>
      </c>
      <c r="AK14" s="108" t="str">
        <f t="shared" ca="1" si="5"/>
        <v>EURDF_NOCSA</v>
      </c>
      <c r="AL14" s="107" t="s">
        <v>183</v>
      </c>
      <c r="AM14" s="139">
        <f t="shared" ca="1" si="6"/>
        <v>0</v>
      </c>
      <c r="AN14" s="146">
        <f t="shared" ca="1" si="7"/>
        <v>0.01</v>
      </c>
      <c r="AO14" s="151">
        <f ca="1">IF(NOW(),_xll.meProductSwapParRate(_xll.meUtilityLVBFromKeysValues($L$5:$AM$5,$L14:$AM14),FALSE))</f>
        <v>5.6100001935668921E-3</v>
      </c>
      <c r="AP14" s="140">
        <f ca="1">IF(NOW(),_xll.meProductSwapPV(_xll.meUtilityLVBFromKeysValues($J$5:$AN$5,$J14:$AN14),FALSE))</f>
        <v>-39518.122866206388</v>
      </c>
      <c r="AQ14" s="141">
        <f ca="1">IF(NOW(),_xll.meProductSwapPV01(_xll.meUtilityLVBFromKeysValues($J$5:$AL$5,$J14:$AL14),FALSE))</f>
        <v>900.18507081245218</v>
      </c>
      <c r="AR14" t="s">
        <v>4</v>
      </c>
      <c r="AS14" s="119" t="str">
        <f ca="1"/>
        <v>10Y</v>
      </c>
      <c r="AT14" s="121">
        <f ca="1"/>
        <v>6.6699999999999997E-3</v>
      </c>
      <c r="AU14" s="126">
        <f t="shared" ca="1" si="10"/>
        <v>3.4304033919019261E-6</v>
      </c>
    </row>
    <row r="15" spans="1:47" x14ac:dyDescent="0.25">
      <c r="A15" s="102">
        <v>10</v>
      </c>
      <c r="B15" s="144">
        <f ca="1">IF(NOW(),_xll.meDateFromTenor(COB,$C15,$P15,$Q15))</f>
        <v>42423</v>
      </c>
      <c r="C15" s="111" t="s">
        <v>194</v>
      </c>
      <c r="D15" s="104" t="s">
        <v>16</v>
      </c>
      <c r="E15" s="106" t="s">
        <v>195</v>
      </c>
      <c r="F15" s="106" t="s">
        <v>60</v>
      </c>
      <c r="G15" s="106">
        <v>0.01</v>
      </c>
      <c r="H15" s="106">
        <v>0</v>
      </c>
      <c r="I15" s="132" t="s">
        <v>196</v>
      </c>
      <c r="J15" s="104">
        <v>1000000</v>
      </c>
      <c r="K15" s="105" t="s">
        <v>185</v>
      </c>
      <c r="L15" s="144">
        <f t="shared" ca="1" si="8"/>
        <v>42423</v>
      </c>
      <c r="M15" s="135" t="str">
        <f t="shared" ca="1" si="9"/>
        <v>10Y</v>
      </c>
      <c r="N15" s="107" t="s">
        <v>25</v>
      </c>
      <c r="O15" s="107" t="s">
        <v>19</v>
      </c>
      <c r="P15" s="107" t="s">
        <v>21</v>
      </c>
      <c r="Q15" s="107" t="s">
        <v>2</v>
      </c>
      <c r="R15" s="107"/>
      <c r="S15" s="107"/>
      <c r="T15" s="108">
        <f t="shared" ca="1" si="0"/>
        <v>23</v>
      </c>
      <c r="U15" s="107" t="s">
        <v>186</v>
      </c>
      <c r="V15" s="107" t="s">
        <v>187</v>
      </c>
      <c r="W15" s="108" t="str">
        <f t="shared" ca="1" si="1"/>
        <v>EUR6ML</v>
      </c>
      <c r="X15" s="108" t="str">
        <f t="shared" ca="1" si="2"/>
        <v>Semi-Annual</v>
      </c>
      <c r="Y15" s="107" t="s">
        <v>5</v>
      </c>
      <c r="Z15" s="107" t="s">
        <v>21</v>
      </c>
      <c r="AA15" s="107" t="s">
        <v>2</v>
      </c>
      <c r="AB15" s="107"/>
      <c r="AC15" s="107"/>
      <c r="AD15" s="108">
        <f t="shared" ca="1" si="3"/>
        <v>23</v>
      </c>
      <c r="AE15" s="107" t="s">
        <v>186</v>
      </c>
      <c r="AF15" s="109" t="s">
        <v>36</v>
      </c>
      <c r="AG15" s="110"/>
      <c r="AH15" s="107" t="s">
        <v>186</v>
      </c>
      <c r="AI15" s="107" t="s">
        <v>187</v>
      </c>
      <c r="AJ15" s="108" t="str">
        <f t="shared" ca="1" si="4"/>
        <v>EURYC</v>
      </c>
      <c r="AK15" s="108" t="str">
        <f t="shared" ca="1" si="5"/>
        <v>EURDF_NOCSA</v>
      </c>
      <c r="AL15" s="107" t="s">
        <v>183</v>
      </c>
      <c r="AM15" s="139">
        <f t="shared" ca="1" si="6"/>
        <v>0</v>
      </c>
      <c r="AN15" s="146">
        <f t="shared" ca="1" si="7"/>
        <v>0.01</v>
      </c>
      <c r="AO15" s="151">
        <f ca="1">IF(NOW(),_xll.meProductSwapParRate(_xll.meUtilityLVBFromKeysValues($L$5:$AM$5,$L15:$AM15),FALSE))</f>
        <v>6.6700003430403389E-3</v>
      </c>
      <c r="AP15" s="140">
        <f ca="1">IF(NOW(),_xll.meProductSwapPV(_xll.meUtilityLVBFromKeysValues($J$5:$AN$5,$J15:$AN15),FALSE))</f>
        <v>-33156.520392392071</v>
      </c>
      <c r="AQ15" s="141">
        <f ca="1">IF(NOW(),_xll.meProductSwapPV01(_xll.meUtilityLVBFromKeysValues($J$5:$AL$5,$J15:$AL15),FALSE))</f>
        <v>995.69140564610348</v>
      </c>
      <c r="AR15" t="s">
        <v>4</v>
      </c>
      <c r="AS15" s="119" t="str">
        <f ca="1"/>
        <v>11Y</v>
      </c>
      <c r="AT15" s="121">
        <f ca="1"/>
        <v>7.6300000000000005E-3</v>
      </c>
      <c r="AU15" s="126">
        <f t="shared" ca="1" si="10"/>
        <v>5.4717767296319497E-6</v>
      </c>
    </row>
    <row r="16" spans="1:47" x14ac:dyDescent="0.25">
      <c r="A16" s="102">
        <v>11</v>
      </c>
      <c r="B16" s="144">
        <f ca="1">IF(NOW(),_xll.meDateFromTenor(COB,$C16,$P16,$Q16))</f>
        <v>42423</v>
      </c>
      <c r="C16" s="111" t="s">
        <v>194</v>
      </c>
      <c r="D16" s="104" t="s">
        <v>16</v>
      </c>
      <c r="E16" s="106" t="s">
        <v>195</v>
      </c>
      <c r="F16" s="106" t="s">
        <v>61</v>
      </c>
      <c r="G16" s="106">
        <v>0.01</v>
      </c>
      <c r="H16" s="106">
        <v>0</v>
      </c>
      <c r="I16" s="132" t="s">
        <v>196</v>
      </c>
      <c r="J16" s="104">
        <v>1000000</v>
      </c>
      <c r="K16" s="105" t="s">
        <v>185</v>
      </c>
      <c r="L16" s="144">
        <f t="shared" ca="1" si="8"/>
        <v>42423</v>
      </c>
      <c r="M16" s="135" t="str">
        <f t="shared" ca="1" si="9"/>
        <v>11Y</v>
      </c>
      <c r="N16" s="107" t="s">
        <v>25</v>
      </c>
      <c r="O16" s="107" t="s">
        <v>19</v>
      </c>
      <c r="P16" s="107" t="s">
        <v>21</v>
      </c>
      <c r="Q16" s="107" t="s">
        <v>2</v>
      </c>
      <c r="R16" s="107"/>
      <c r="S16" s="107"/>
      <c r="T16" s="108">
        <f t="shared" ca="1" si="0"/>
        <v>23</v>
      </c>
      <c r="U16" s="107" t="s">
        <v>186</v>
      </c>
      <c r="V16" s="107" t="s">
        <v>187</v>
      </c>
      <c r="W16" s="108" t="str">
        <f t="shared" ca="1" si="1"/>
        <v>EUR6ML</v>
      </c>
      <c r="X16" s="108" t="str">
        <f t="shared" ca="1" si="2"/>
        <v>Semi-Annual</v>
      </c>
      <c r="Y16" s="107" t="s">
        <v>5</v>
      </c>
      <c r="Z16" s="107" t="s">
        <v>21</v>
      </c>
      <c r="AA16" s="107" t="s">
        <v>2</v>
      </c>
      <c r="AB16" s="107"/>
      <c r="AC16" s="107"/>
      <c r="AD16" s="108">
        <f t="shared" ca="1" si="3"/>
        <v>23</v>
      </c>
      <c r="AE16" s="107" t="s">
        <v>186</v>
      </c>
      <c r="AF16" s="109" t="s">
        <v>36</v>
      </c>
      <c r="AG16" s="110"/>
      <c r="AH16" s="107" t="s">
        <v>186</v>
      </c>
      <c r="AI16" s="107" t="s">
        <v>187</v>
      </c>
      <c r="AJ16" s="108" t="str">
        <f t="shared" ca="1" si="4"/>
        <v>EURYC</v>
      </c>
      <c r="AK16" s="108" t="str">
        <f t="shared" ca="1" si="5"/>
        <v>EURDF_NOCSA</v>
      </c>
      <c r="AL16" s="107" t="s">
        <v>183</v>
      </c>
      <c r="AM16" s="139">
        <f t="shared" ca="1" si="6"/>
        <v>0</v>
      </c>
      <c r="AN16" s="146">
        <f t="shared" ca="1" si="7"/>
        <v>0.01</v>
      </c>
      <c r="AO16" s="151">
        <f ca="1">IF(NOW(),_xll.meProductSwapParRate(_xll.meUtilityLVBFromKeysValues($L$5:$AM$5,$L16:$AM16),FALSE))</f>
        <v>7.6300005471776735E-3</v>
      </c>
      <c r="AP16" s="140">
        <f ca="1">IF(NOW(),_xll.meProductSwapPV(_xll.meUtilityLVBFromKeysValues($J$5:$AN$5,$J16:$AN16),FALSE))</f>
        <v>-25831.59413351613</v>
      </c>
      <c r="AQ16" s="141">
        <f ca="1">IF(NOW(),_xll.meProductSwapPV01(_xll.meUtilityLVBFromKeysValues($J$5:$AL$5,$J16:$AL16),FALSE))</f>
        <v>1089.9409323809944</v>
      </c>
      <c r="AR16" t="s">
        <v>4</v>
      </c>
      <c r="AS16" s="119" t="str">
        <f ca="1"/>
        <v>12Y</v>
      </c>
      <c r="AT16" s="121">
        <f ca="1"/>
        <v>8.4700000000000001E-3</v>
      </c>
      <c r="AU16" s="126">
        <f t="shared" ca="1" si="10"/>
        <v>7.7640117598920533E-6</v>
      </c>
    </row>
    <row r="17" spans="1:47" x14ac:dyDescent="0.25">
      <c r="A17" s="102">
        <v>12</v>
      </c>
      <c r="B17" s="144">
        <f ca="1">IF(NOW(),_xll.meDateFromTenor(COB,$C17,$P17,$Q17))</f>
        <v>42423</v>
      </c>
      <c r="C17" s="111" t="s">
        <v>194</v>
      </c>
      <c r="D17" s="104" t="s">
        <v>16</v>
      </c>
      <c r="E17" s="106" t="s">
        <v>195</v>
      </c>
      <c r="F17" s="106" t="s">
        <v>62</v>
      </c>
      <c r="G17" s="106">
        <v>0.01</v>
      </c>
      <c r="H17" s="106">
        <v>0</v>
      </c>
      <c r="I17" s="132" t="s">
        <v>196</v>
      </c>
      <c r="J17" s="104">
        <v>1000000</v>
      </c>
      <c r="K17" s="105" t="s">
        <v>185</v>
      </c>
      <c r="L17" s="144">
        <f t="shared" ca="1" si="8"/>
        <v>42423</v>
      </c>
      <c r="M17" s="135" t="str">
        <f t="shared" ca="1" si="9"/>
        <v>12Y</v>
      </c>
      <c r="N17" s="107" t="s">
        <v>25</v>
      </c>
      <c r="O17" s="107" t="s">
        <v>19</v>
      </c>
      <c r="P17" s="107" t="s">
        <v>21</v>
      </c>
      <c r="Q17" s="107" t="s">
        <v>2</v>
      </c>
      <c r="R17" s="107"/>
      <c r="S17" s="107"/>
      <c r="T17" s="108">
        <f t="shared" ca="1" si="0"/>
        <v>23</v>
      </c>
      <c r="U17" s="107" t="s">
        <v>186</v>
      </c>
      <c r="V17" s="107" t="s">
        <v>187</v>
      </c>
      <c r="W17" s="108" t="str">
        <f t="shared" ca="1" si="1"/>
        <v>EUR6ML</v>
      </c>
      <c r="X17" s="108" t="str">
        <f t="shared" ca="1" si="2"/>
        <v>Semi-Annual</v>
      </c>
      <c r="Y17" s="107" t="s">
        <v>5</v>
      </c>
      <c r="Z17" s="107" t="s">
        <v>21</v>
      </c>
      <c r="AA17" s="107" t="s">
        <v>2</v>
      </c>
      <c r="AB17" s="107"/>
      <c r="AC17" s="107"/>
      <c r="AD17" s="108">
        <f t="shared" ca="1" si="3"/>
        <v>23</v>
      </c>
      <c r="AE17" s="107" t="s">
        <v>186</v>
      </c>
      <c r="AF17" s="109" t="s">
        <v>36</v>
      </c>
      <c r="AG17" s="110"/>
      <c r="AH17" s="107" t="s">
        <v>186</v>
      </c>
      <c r="AI17" s="107" t="s">
        <v>187</v>
      </c>
      <c r="AJ17" s="108" t="str">
        <f t="shared" ca="1" si="4"/>
        <v>EURYC</v>
      </c>
      <c r="AK17" s="108" t="str">
        <f t="shared" ca="1" si="5"/>
        <v>EURDF_NOCSA</v>
      </c>
      <c r="AL17" s="107" t="s">
        <v>183</v>
      </c>
      <c r="AM17" s="139">
        <f t="shared" ca="1" si="6"/>
        <v>0</v>
      </c>
      <c r="AN17" s="146">
        <f t="shared" ca="1" si="7"/>
        <v>0.01</v>
      </c>
      <c r="AO17" s="151">
        <f ca="1">IF(NOW(),_xll.meProductSwapParRate(_xll.meUtilityLVBFromKeysValues($L$5:$AM$5,$L17:$AM17),FALSE))</f>
        <v>8.4700007764011761E-3</v>
      </c>
      <c r="AP17" s="140">
        <f ca="1">IF(NOW(),_xll.meProductSwapPV(_xll.meUtilityLVBFromKeysValues($J$5:$AN$5,$J17:$AN17),FALSE))</f>
        <v>-18094.33664296542</v>
      </c>
      <c r="AQ17" s="141">
        <f ca="1">IF(NOW(),_xll.meProductSwapPV01(_xll.meUtilityLVBFromKeysValues($J$5:$AL$5,$J17:$AL17),FALSE))</f>
        <v>1182.6369820243692</v>
      </c>
      <c r="AR17" t="s">
        <v>4</v>
      </c>
      <c r="AS17" s="119" t="str">
        <f ca="1"/>
        <v>15Y</v>
      </c>
      <c r="AT17" s="121">
        <f ca="1"/>
        <v>1.03E-2</v>
      </c>
      <c r="AU17" s="126">
        <f t="shared" ca="1" si="10"/>
        <v>8.2753381404343518E-6</v>
      </c>
    </row>
    <row r="18" spans="1:47" x14ac:dyDescent="0.25">
      <c r="A18" s="102">
        <v>13</v>
      </c>
      <c r="B18" s="144">
        <f ca="1">IF(NOW(),_xll.meDateFromTenor(COB,$C18,$P18,$Q18))</f>
        <v>42423</v>
      </c>
      <c r="C18" s="111" t="s">
        <v>194</v>
      </c>
      <c r="D18" s="104" t="s">
        <v>16</v>
      </c>
      <c r="E18" s="106" t="s">
        <v>195</v>
      </c>
      <c r="F18" s="106" t="s">
        <v>197</v>
      </c>
      <c r="G18" s="106">
        <v>0.01</v>
      </c>
      <c r="H18" s="106">
        <v>0</v>
      </c>
      <c r="I18" s="132" t="s">
        <v>196</v>
      </c>
      <c r="J18" s="104">
        <v>1000000</v>
      </c>
      <c r="K18" s="105" t="s">
        <v>185</v>
      </c>
      <c r="L18" s="144">
        <f t="shared" ca="1" si="8"/>
        <v>42423</v>
      </c>
      <c r="M18" s="135" t="str">
        <f t="shared" ca="1" si="9"/>
        <v>13Y</v>
      </c>
      <c r="N18" s="107" t="s">
        <v>25</v>
      </c>
      <c r="O18" s="107" t="s">
        <v>19</v>
      </c>
      <c r="P18" s="107" t="s">
        <v>21</v>
      </c>
      <c r="Q18" s="107" t="s">
        <v>2</v>
      </c>
      <c r="R18" s="107"/>
      <c r="S18" s="107"/>
      <c r="T18" s="108">
        <f t="shared" ca="1" si="0"/>
        <v>23</v>
      </c>
      <c r="U18" s="107" t="s">
        <v>186</v>
      </c>
      <c r="V18" s="107" t="s">
        <v>187</v>
      </c>
      <c r="W18" s="108" t="str">
        <f t="shared" ca="1" si="1"/>
        <v>EUR6ML</v>
      </c>
      <c r="X18" s="108" t="str">
        <f t="shared" ca="1" si="2"/>
        <v>Semi-Annual</v>
      </c>
      <c r="Y18" s="107" t="s">
        <v>5</v>
      </c>
      <c r="Z18" s="107" t="s">
        <v>21</v>
      </c>
      <c r="AA18" s="107" t="s">
        <v>2</v>
      </c>
      <c r="AB18" s="107"/>
      <c r="AC18" s="107"/>
      <c r="AD18" s="108">
        <f t="shared" ca="1" si="3"/>
        <v>23</v>
      </c>
      <c r="AE18" s="107" t="s">
        <v>186</v>
      </c>
      <c r="AF18" s="109" t="s">
        <v>36</v>
      </c>
      <c r="AG18" s="110"/>
      <c r="AH18" s="107" t="s">
        <v>186</v>
      </c>
      <c r="AI18" s="107" t="s">
        <v>187</v>
      </c>
      <c r="AJ18" s="108" t="str">
        <f t="shared" ca="1" si="4"/>
        <v>EURYC</v>
      </c>
      <c r="AK18" s="108" t="str">
        <f t="shared" ca="1" si="5"/>
        <v>EURDF_NOCSA</v>
      </c>
      <c r="AL18" s="107" t="s">
        <v>183</v>
      </c>
      <c r="AM18" s="139">
        <f t="shared" ca="1" si="6"/>
        <v>0</v>
      </c>
      <c r="AN18" s="146">
        <f t="shared" ca="1" si="7"/>
        <v>0.01</v>
      </c>
      <c r="AO18" s="151">
        <f ca="1">IF(NOW(),_xll.meProductSwapParRate(_xll.meUtilityLVBFromKeysValues($L$5:$AM$5,$L18:$AM18),FALSE))</f>
        <v>9.1775539730296739E-3</v>
      </c>
      <c r="AP18" s="140">
        <f ca="1">IF(NOW(),_xll.meProductSwapPV(_xll.meUtilityLVBFromKeysValues($J$5:$AN$5,$J18:$AN18),FALSE))</f>
        <v>-10476.201429786488</v>
      </c>
      <c r="AQ18" s="141">
        <f ca="1">IF(NOW(),_xll.meProductSwapPV01(_xll.meUtilityLVBFromKeysValues($J$5:$AL$5,$J18:$AL18),FALSE))</f>
        <v>1273.7858882215123</v>
      </c>
      <c r="AR18" t="s">
        <v>4</v>
      </c>
      <c r="AS18" s="119" t="str">
        <f ca="1"/>
        <v>20Y</v>
      </c>
      <c r="AT18" s="121">
        <f ca="1"/>
        <v>1.166E-2</v>
      </c>
      <c r="AU18" s="126">
        <f t="shared" ca="1" si="10"/>
        <v>7.9995662351228791E-6</v>
      </c>
    </row>
    <row r="19" spans="1:47" x14ac:dyDescent="0.25">
      <c r="A19" s="102">
        <v>14</v>
      </c>
      <c r="B19" s="144">
        <f ca="1">IF(NOW(),_xll.meDateFromTenor(COB,$C19,$P19,$Q19))</f>
        <v>42423</v>
      </c>
      <c r="C19" s="111" t="s">
        <v>194</v>
      </c>
      <c r="D19" s="104" t="s">
        <v>16</v>
      </c>
      <c r="E19" s="106" t="s">
        <v>195</v>
      </c>
      <c r="F19" s="106" t="s">
        <v>198</v>
      </c>
      <c r="G19" s="106">
        <v>0.01</v>
      </c>
      <c r="H19" s="106">
        <v>0</v>
      </c>
      <c r="I19" s="132" t="s">
        <v>196</v>
      </c>
      <c r="J19" s="104">
        <v>1000000</v>
      </c>
      <c r="K19" s="105" t="s">
        <v>185</v>
      </c>
      <c r="L19" s="144">
        <f t="shared" ca="1" si="8"/>
        <v>42423</v>
      </c>
      <c r="M19" s="135" t="str">
        <f t="shared" ca="1" si="9"/>
        <v>14Y</v>
      </c>
      <c r="N19" s="107" t="s">
        <v>25</v>
      </c>
      <c r="O19" s="107" t="s">
        <v>19</v>
      </c>
      <c r="P19" s="107" t="s">
        <v>21</v>
      </c>
      <c r="Q19" s="107" t="s">
        <v>2</v>
      </c>
      <c r="R19" s="107"/>
      <c r="S19" s="107"/>
      <c r="T19" s="108">
        <f t="shared" ca="1" si="0"/>
        <v>23</v>
      </c>
      <c r="U19" s="107" t="s">
        <v>186</v>
      </c>
      <c r="V19" s="107" t="s">
        <v>187</v>
      </c>
      <c r="W19" s="108" t="str">
        <f t="shared" ca="1" si="1"/>
        <v>EUR6ML</v>
      </c>
      <c r="X19" s="108" t="str">
        <f t="shared" ca="1" si="2"/>
        <v>Semi-Annual</v>
      </c>
      <c r="Y19" s="107" t="s">
        <v>5</v>
      </c>
      <c r="Z19" s="107" t="s">
        <v>21</v>
      </c>
      <c r="AA19" s="107" t="s">
        <v>2</v>
      </c>
      <c r="AB19" s="107"/>
      <c r="AC19" s="107"/>
      <c r="AD19" s="108">
        <f t="shared" ca="1" si="3"/>
        <v>23</v>
      </c>
      <c r="AE19" s="107" t="s">
        <v>186</v>
      </c>
      <c r="AF19" s="109" t="s">
        <v>36</v>
      </c>
      <c r="AG19" s="110"/>
      <c r="AH19" s="107" t="s">
        <v>186</v>
      </c>
      <c r="AI19" s="107" t="s">
        <v>187</v>
      </c>
      <c r="AJ19" s="108" t="str">
        <f t="shared" ca="1" si="4"/>
        <v>EURYC</v>
      </c>
      <c r="AK19" s="108" t="str">
        <f t="shared" ca="1" si="5"/>
        <v>EURDF_NOCSA</v>
      </c>
      <c r="AL19" s="107" t="s">
        <v>183</v>
      </c>
      <c r="AM19" s="139">
        <f t="shared" ca="1" si="6"/>
        <v>0</v>
      </c>
      <c r="AN19" s="146">
        <f t="shared" ca="1" si="7"/>
        <v>0.01</v>
      </c>
      <c r="AO19" s="151">
        <f ca="1">IF(NOW(),_xll.meProductSwapParRate(_xll.meUtilityLVBFromKeysValues($L$5:$AM$5,$L19:$AM19),FALSE))</f>
        <v>9.7836373454312352E-3</v>
      </c>
      <c r="AP19" s="140">
        <f ca="1">IF(NOW(),_xll.meProductSwapPV(_xll.meUtilityLVBFromKeysValues($J$5:$AN$5,$J19:$AN19),FALSE))</f>
        <v>-2950.9806417766517</v>
      </c>
      <c r="AQ19" s="141">
        <f ca="1">IF(NOW(),_xll.meProductSwapPV01(_xll.meUtilityLVBFromKeysValues($J$5:$AL$5,$J19:$AL19),FALSE))</f>
        <v>1363.9048049481034</v>
      </c>
      <c r="AR19" t="s">
        <v>4</v>
      </c>
      <c r="AS19" s="119" t="str">
        <f ca="1"/>
        <v>25Y</v>
      </c>
      <c r="AT19" s="121">
        <f ca="1"/>
        <v>1.201E-2</v>
      </c>
      <c r="AU19" s="126" t="str">
        <f t="shared" ca="1" si="10"/>
        <v>-</v>
      </c>
    </row>
    <row r="20" spans="1:47" x14ac:dyDescent="0.25">
      <c r="A20" s="102">
        <v>15</v>
      </c>
      <c r="B20" s="144">
        <f ca="1">IF(NOW(),_xll.meDateFromTenor(COB,$C20,$P20,$Q20))</f>
        <v>42423</v>
      </c>
      <c r="C20" s="111" t="s">
        <v>194</v>
      </c>
      <c r="D20" s="104" t="s">
        <v>16</v>
      </c>
      <c r="E20" s="106" t="s">
        <v>195</v>
      </c>
      <c r="F20" s="106" t="s">
        <v>63</v>
      </c>
      <c r="G20" s="106">
        <v>0.01</v>
      </c>
      <c r="H20" s="106">
        <v>0</v>
      </c>
      <c r="I20" s="132" t="s">
        <v>196</v>
      </c>
      <c r="J20" s="104">
        <v>1000000</v>
      </c>
      <c r="K20" s="105" t="s">
        <v>185</v>
      </c>
      <c r="L20" s="144">
        <f t="shared" ca="1" si="8"/>
        <v>42423</v>
      </c>
      <c r="M20" s="135" t="str">
        <f t="shared" ca="1" si="9"/>
        <v>15Y</v>
      </c>
      <c r="N20" s="107" t="s">
        <v>25</v>
      </c>
      <c r="O20" s="107" t="s">
        <v>19</v>
      </c>
      <c r="P20" s="107" t="s">
        <v>21</v>
      </c>
      <c r="Q20" s="107" t="s">
        <v>2</v>
      </c>
      <c r="R20" s="107"/>
      <c r="S20" s="107"/>
      <c r="T20" s="108">
        <f t="shared" ca="1" si="0"/>
        <v>23</v>
      </c>
      <c r="U20" s="107" t="s">
        <v>186</v>
      </c>
      <c r="V20" s="107" t="s">
        <v>187</v>
      </c>
      <c r="W20" s="108" t="str">
        <f t="shared" ca="1" si="1"/>
        <v>EUR6ML</v>
      </c>
      <c r="X20" s="108" t="str">
        <f t="shared" ca="1" si="2"/>
        <v>Semi-Annual</v>
      </c>
      <c r="Y20" s="107" t="s">
        <v>5</v>
      </c>
      <c r="Z20" s="107" t="s">
        <v>21</v>
      </c>
      <c r="AA20" s="107" t="s">
        <v>2</v>
      </c>
      <c r="AB20" s="107"/>
      <c r="AC20" s="107"/>
      <c r="AD20" s="108">
        <f t="shared" ca="1" si="3"/>
        <v>23</v>
      </c>
      <c r="AE20" s="107" t="s">
        <v>186</v>
      </c>
      <c r="AF20" s="109" t="s">
        <v>36</v>
      </c>
      <c r="AG20" s="110"/>
      <c r="AH20" s="107" t="s">
        <v>186</v>
      </c>
      <c r="AI20" s="107" t="s">
        <v>187</v>
      </c>
      <c r="AJ20" s="108" t="str">
        <f t="shared" ca="1" si="4"/>
        <v>EURYC</v>
      </c>
      <c r="AK20" s="108" t="str">
        <f t="shared" ca="1" si="5"/>
        <v>EURDF_NOCSA</v>
      </c>
      <c r="AL20" s="107" t="s">
        <v>183</v>
      </c>
      <c r="AM20" s="139">
        <f t="shared" ca="1" si="6"/>
        <v>0</v>
      </c>
      <c r="AN20" s="146">
        <f t="shared" ca="1" si="7"/>
        <v>0.01</v>
      </c>
      <c r="AO20" s="151">
        <f ca="1">IF(NOW(),_xll.meProductSwapParRate(_xll.meUtilityLVBFromKeysValues($L$5:$AM$5,$L20:$AM20),FALSE))</f>
        <v>1.0300000827533814E-2</v>
      </c>
      <c r="AP20" s="140">
        <f ca="1">IF(NOW(),_xll.meProductSwapPV(_xll.meUtilityLVBFromKeysValues($J$5:$AN$5,$J20:$AN20),FALSE))</f>
        <v>4355.2502290582497</v>
      </c>
      <c r="AQ20" s="141">
        <f ca="1">IF(NOW(),_xll.meProductSwapPV01(_xll.meUtilityLVBFromKeysValues($J$5:$AL$5,$J20:$AL20),FALSE))</f>
        <v>1451.7460717895378</v>
      </c>
      <c r="AR20" t="s">
        <v>4</v>
      </c>
      <c r="AS20" s="119" t="str">
        <f ca="1"/>
        <v>30Y</v>
      </c>
      <c r="AT20" s="121">
        <f ca="1"/>
        <v>1.204E-2</v>
      </c>
      <c r="AU20" s="126" t="str">
        <f t="shared" ca="1" si="10"/>
        <v>-</v>
      </c>
    </row>
    <row r="21" spans="1:47" x14ac:dyDescent="0.25">
      <c r="A21" s="102">
        <v>16</v>
      </c>
      <c r="B21" s="144">
        <f ca="1">IF(NOW(),_xll.meDateFromTenor(COB,$C21,$P21,$Q21))</f>
        <v>42423</v>
      </c>
      <c r="C21" s="111" t="s">
        <v>194</v>
      </c>
      <c r="D21" s="104" t="s">
        <v>16</v>
      </c>
      <c r="E21" s="106" t="s">
        <v>195</v>
      </c>
      <c r="F21" s="106" t="s">
        <v>199</v>
      </c>
      <c r="G21" s="106">
        <v>0.01</v>
      </c>
      <c r="H21" s="106">
        <v>0</v>
      </c>
      <c r="I21" s="132" t="s">
        <v>196</v>
      </c>
      <c r="J21" s="104">
        <v>1000000</v>
      </c>
      <c r="K21" s="105" t="s">
        <v>185</v>
      </c>
      <c r="L21" s="144">
        <f t="shared" ca="1" si="8"/>
        <v>42423</v>
      </c>
      <c r="M21" s="135" t="str">
        <f t="shared" ca="1" si="9"/>
        <v>16Y</v>
      </c>
      <c r="N21" s="107" t="s">
        <v>25</v>
      </c>
      <c r="O21" s="107" t="s">
        <v>19</v>
      </c>
      <c r="P21" s="107" t="s">
        <v>21</v>
      </c>
      <c r="Q21" s="107" t="s">
        <v>2</v>
      </c>
      <c r="R21" s="107"/>
      <c r="S21" s="107"/>
      <c r="T21" s="108">
        <f t="shared" ca="1" si="0"/>
        <v>23</v>
      </c>
      <c r="U21" s="107" t="s">
        <v>186</v>
      </c>
      <c r="V21" s="107" t="s">
        <v>187</v>
      </c>
      <c r="W21" s="108" t="str">
        <f t="shared" ca="1" si="1"/>
        <v>EUR6ML</v>
      </c>
      <c r="X21" s="108" t="str">
        <f t="shared" ca="1" si="2"/>
        <v>Semi-Annual</v>
      </c>
      <c r="Y21" s="107" t="s">
        <v>5</v>
      </c>
      <c r="Z21" s="107" t="s">
        <v>21</v>
      </c>
      <c r="AA21" s="107" t="s">
        <v>2</v>
      </c>
      <c r="AB21" s="107"/>
      <c r="AC21" s="107"/>
      <c r="AD21" s="108">
        <f t="shared" ca="1" si="3"/>
        <v>23</v>
      </c>
      <c r="AE21" s="107" t="s">
        <v>186</v>
      </c>
      <c r="AF21" s="109" t="s">
        <v>36</v>
      </c>
      <c r="AG21" s="110"/>
      <c r="AH21" s="107" t="s">
        <v>186</v>
      </c>
      <c r="AI21" s="107" t="s">
        <v>187</v>
      </c>
      <c r="AJ21" s="108" t="str">
        <f t="shared" ca="1" si="4"/>
        <v>EURYC</v>
      </c>
      <c r="AK21" s="108" t="str">
        <f t="shared" ca="1" si="5"/>
        <v>EURDF_NOCSA</v>
      </c>
      <c r="AL21" s="107" t="s">
        <v>183</v>
      </c>
      <c r="AM21" s="139">
        <f t="shared" ca="1" si="6"/>
        <v>0</v>
      </c>
      <c r="AN21" s="146">
        <f t="shared" ca="1" si="7"/>
        <v>0.01</v>
      </c>
      <c r="AO21" s="151">
        <f ca="1">IF(NOW(),_xll.meProductSwapParRate(_xll.meUtilityLVBFromKeysValues($L$5:$AM$5,$L21:$AM21),FALSE))</f>
        <v>1.0695998049129758E-2</v>
      </c>
      <c r="AP21" s="140">
        <f ca="1">IF(NOW(),_xll.meProductSwapPV(_xll.meUtilityLVBFromKeysValues($J$5:$AN$5,$J21:$AN21),FALSE))</f>
        <v>10705.16776777361</v>
      </c>
      <c r="AQ21" s="141">
        <f ca="1">IF(NOW(),_xll.meProductSwapPV01(_xll.meUtilityLVBFromKeysValues($J$5:$AL$5,$J21:$AL21),FALSE))</f>
        <v>1538.1031284726789</v>
      </c>
      <c r="AR21" t="s">
        <v>4</v>
      </c>
      <c r="AS21" s="119" t="str">
        <f ca="1"/>
        <v>40Y</v>
      </c>
      <c r="AT21" s="121">
        <f ca="1"/>
        <v>1.1860000000000001E-2</v>
      </c>
      <c r="AU21" s="126" t="str">
        <f t="shared" ca="1" si="10"/>
        <v>-</v>
      </c>
    </row>
    <row r="22" spans="1:47" x14ac:dyDescent="0.25">
      <c r="A22" s="102">
        <v>17</v>
      </c>
      <c r="B22" s="144">
        <f ca="1">IF(NOW(),_xll.meDateFromTenor(COB,$C22,$P22,$Q22))</f>
        <v>42423</v>
      </c>
      <c r="C22" s="111" t="s">
        <v>194</v>
      </c>
      <c r="D22" s="104" t="s">
        <v>16</v>
      </c>
      <c r="E22" s="106" t="s">
        <v>195</v>
      </c>
      <c r="F22" s="106" t="s">
        <v>200</v>
      </c>
      <c r="G22" s="106">
        <v>0.01</v>
      </c>
      <c r="H22" s="106">
        <v>0</v>
      </c>
      <c r="I22" s="132" t="s">
        <v>196</v>
      </c>
      <c r="J22" s="104">
        <v>1000000</v>
      </c>
      <c r="K22" s="105" t="s">
        <v>185</v>
      </c>
      <c r="L22" s="144">
        <f t="shared" ca="1" si="8"/>
        <v>42423</v>
      </c>
      <c r="M22" s="135" t="str">
        <f t="shared" ca="1" si="9"/>
        <v>17Y</v>
      </c>
      <c r="N22" s="107" t="s">
        <v>25</v>
      </c>
      <c r="O22" s="107" t="s">
        <v>19</v>
      </c>
      <c r="P22" s="107" t="s">
        <v>21</v>
      </c>
      <c r="Q22" s="107" t="s">
        <v>2</v>
      </c>
      <c r="R22" s="107"/>
      <c r="S22" s="107"/>
      <c r="T22" s="108">
        <f t="shared" ca="1" si="0"/>
        <v>23</v>
      </c>
      <c r="U22" s="107" t="s">
        <v>186</v>
      </c>
      <c r="V22" s="107" t="s">
        <v>187</v>
      </c>
      <c r="W22" s="108" t="str">
        <f t="shared" ca="1" si="1"/>
        <v>EUR6ML</v>
      </c>
      <c r="X22" s="108" t="str">
        <f t="shared" ca="1" si="2"/>
        <v>Semi-Annual</v>
      </c>
      <c r="Y22" s="107" t="s">
        <v>5</v>
      </c>
      <c r="Z22" s="107" t="s">
        <v>21</v>
      </c>
      <c r="AA22" s="107" t="s">
        <v>2</v>
      </c>
      <c r="AB22" s="107"/>
      <c r="AC22" s="107"/>
      <c r="AD22" s="108">
        <f t="shared" ca="1" si="3"/>
        <v>23</v>
      </c>
      <c r="AE22" s="107" t="s">
        <v>186</v>
      </c>
      <c r="AF22" s="109" t="s">
        <v>36</v>
      </c>
      <c r="AG22" s="110"/>
      <c r="AH22" s="107" t="s">
        <v>186</v>
      </c>
      <c r="AI22" s="107" t="s">
        <v>187</v>
      </c>
      <c r="AJ22" s="108" t="str">
        <f t="shared" ca="1" si="4"/>
        <v>EURYC</v>
      </c>
      <c r="AK22" s="108" t="str">
        <f t="shared" ca="1" si="5"/>
        <v>EURDF_NOCSA</v>
      </c>
      <c r="AL22" s="107" t="s">
        <v>183</v>
      </c>
      <c r="AM22" s="139">
        <f t="shared" ca="1" si="6"/>
        <v>0</v>
      </c>
      <c r="AN22" s="146">
        <f t="shared" ca="1" si="7"/>
        <v>0.01</v>
      </c>
      <c r="AO22" s="151">
        <f ca="1">IF(NOW(),_xll.meProductSwapParRate(_xll.meUtilityLVBFromKeysValues($L$5:$AM$5,$L22:$AM22),FALSE))</f>
        <v>1.1020698744596347E-2</v>
      </c>
      <c r="AP22" s="140">
        <f ca="1">IF(NOW(),_xll.meProductSwapPV(_xll.meUtilityLVBFromKeysValues($J$5:$AN$5,$J22:$AN22),FALSE))</f>
        <v>16569.190150147682</v>
      </c>
      <c r="AQ22" s="141">
        <f ca="1">IF(NOW(),_xll.meProductSwapPV01(_xll.meUtilityLVBFromKeysValues($J$5:$AL$5,$J22:$AL22),FALSE))</f>
        <v>1623.3183628241109</v>
      </c>
      <c r="AR22" t="s">
        <v>4</v>
      </c>
      <c r="AS22" s="119" t="str">
        <f ca="1"/>
        <v>50Y</v>
      </c>
      <c r="AT22" s="121">
        <f ca="1"/>
        <v>1.12E-2</v>
      </c>
      <c r="AU22" s="126" t="str">
        <f t="shared" ca="1" si="10"/>
        <v>-</v>
      </c>
    </row>
    <row r="23" spans="1:47" x14ac:dyDescent="0.25">
      <c r="A23" s="102">
        <v>18</v>
      </c>
      <c r="B23" s="144">
        <f ca="1">IF(NOW(),_xll.meDateFromTenor(COB,$C23,$P23,$Q23))</f>
        <v>42423</v>
      </c>
      <c r="C23" s="111" t="s">
        <v>194</v>
      </c>
      <c r="D23" s="104" t="s">
        <v>16</v>
      </c>
      <c r="E23" s="106" t="s">
        <v>195</v>
      </c>
      <c r="F23" s="106" t="s">
        <v>201</v>
      </c>
      <c r="G23" s="106">
        <v>0.01</v>
      </c>
      <c r="H23" s="106">
        <v>0</v>
      </c>
      <c r="I23" s="132" t="s">
        <v>196</v>
      </c>
      <c r="J23" s="104">
        <v>1000000</v>
      </c>
      <c r="K23" s="105" t="s">
        <v>185</v>
      </c>
      <c r="L23" s="144">
        <f t="shared" ca="1" si="8"/>
        <v>42423</v>
      </c>
      <c r="M23" s="135" t="str">
        <f t="shared" ca="1" si="9"/>
        <v>18Y</v>
      </c>
      <c r="N23" s="107" t="s">
        <v>25</v>
      </c>
      <c r="O23" s="107" t="s">
        <v>19</v>
      </c>
      <c r="P23" s="107" t="s">
        <v>21</v>
      </c>
      <c r="Q23" s="107" t="s">
        <v>2</v>
      </c>
      <c r="R23" s="107"/>
      <c r="S23" s="107"/>
      <c r="T23" s="108">
        <f t="shared" ca="1" si="0"/>
        <v>23</v>
      </c>
      <c r="U23" s="107" t="s">
        <v>186</v>
      </c>
      <c r="V23" s="107" t="s">
        <v>187</v>
      </c>
      <c r="W23" s="108" t="str">
        <f t="shared" ca="1" si="1"/>
        <v>EUR6ML</v>
      </c>
      <c r="X23" s="108" t="str">
        <f t="shared" ca="1" si="2"/>
        <v>Semi-Annual</v>
      </c>
      <c r="Y23" s="107" t="s">
        <v>5</v>
      </c>
      <c r="Z23" s="107" t="s">
        <v>21</v>
      </c>
      <c r="AA23" s="107" t="s">
        <v>2</v>
      </c>
      <c r="AB23" s="107"/>
      <c r="AC23" s="107"/>
      <c r="AD23" s="108">
        <f t="shared" ca="1" si="3"/>
        <v>23</v>
      </c>
      <c r="AE23" s="107" t="s">
        <v>186</v>
      </c>
      <c r="AF23" s="109" t="s">
        <v>36</v>
      </c>
      <c r="AG23" s="110"/>
      <c r="AH23" s="107" t="s">
        <v>186</v>
      </c>
      <c r="AI23" s="107" t="s">
        <v>187</v>
      </c>
      <c r="AJ23" s="108" t="str">
        <f t="shared" ca="1" si="4"/>
        <v>EURYC</v>
      </c>
      <c r="AK23" s="108" t="str">
        <f t="shared" ca="1" si="5"/>
        <v>EURDF_NOCSA</v>
      </c>
      <c r="AL23" s="107" t="s">
        <v>183</v>
      </c>
      <c r="AM23" s="139">
        <f t="shared" ca="1" si="6"/>
        <v>0</v>
      </c>
      <c r="AN23" s="146">
        <f t="shared" ca="1" si="7"/>
        <v>0.01</v>
      </c>
      <c r="AO23" s="151">
        <f ca="1">IF(NOW(),_xll.meProductSwapParRate(_xll.meUtilityLVBFromKeysValues($L$5:$AM$5,$L23:$AM23),FALSE))</f>
        <v>1.1283541206727076E-2</v>
      </c>
      <c r="AP23" s="140">
        <f ca="1">IF(NOW(),_xll.meProductSwapPV(_xll.meUtilityLVBFromKeysValues($J$5:$AN$5,$J23:$AN23),FALSE))</f>
        <v>21913.170225490387</v>
      </c>
      <c r="AQ23" s="141">
        <f ca="1">IF(NOW(),_xll.meProductSwapPV01(_xll.meUtilityLVBFromKeysValues($J$5:$AL$5,$J23:$AL23),FALSE))</f>
        <v>1707.2432198236293</v>
      </c>
      <c r="AR23" t="s">
        <v>4</v>
      </c>
      <c r="AS23" s="119" t="str">
        <f ca="1"/>
        <v/>
      </c>
      <c r="AT23" s="121" t="str">
        <f ca="1"/>
        <v/>
      </c>
      <c r="AU23" s="126" t="str">
        <f t="shared" ca="1" si="10"/>
        <v>-</v>
      </c>
    </row>
    <row r="24" spans="1:47" x14ac:dyDescent="0.25">
      <c r="A24" s="102">
        <v>19</v>
      </c>
      <c r="B24" s="144">
        <f ca="1">IF(NOW(),_xll.meDateFromTenor(COB,$C24,$P24,$Q24))</f>
        <v>42423</v>
      </c>
      <c r="C24" s="111" t="s">
        <v>194</v>
      </c>
      <c r="D24" s="104" t="s">
        <v>16</v>
      </c>
      <c r="E24" s="106" t="s">
        <v>195</v>
      </c>
      <c r="F24" s="106" t="s">
        <v>202</v>
      </c>
      <c r="G24" s="106">
        <v>0.01</v>
      </c>
      <c r="H24" s="106">
        <v>0</v>
      </c>
      <c r="I24" s="132" t="s">
        <v>196</v>
      </c>
      <c r="J24" s="104">
        <v>1000000</v>
      </c>
      <c r="K24" s="105" t="s">
        <v>185</v>
      </c>
      <c r="L24" s="144">
        <f t="shared" ca="1" si="8"/>
        <v>42423</v>
      </c>
      <c r="M24" s="135" t="str">
        <f t="shared" ca="1" si="9"/>
        <v>19Y</v>
      </c>
      <c r="N24" s="107" t="s">
        <v>25</v>
      </c>
      <c r="O24" s="107" t="s">
        <v>19</v>
      </c>
      <c r="P24" s="107" t="s">
        <v>21</v>
      </c>
      <c r="Q24" s="107" t="s">
        <v>2</v>
      </c>
      <c r="R24" s="107"/>
      <c r="S24" s="107"/>
      <c r="T24" s="108">
        <f t="shared" ca="1" si="0"/>
        <v>23</v>
      </c>
      <c r="U24" s="107" t="s">
        <v>186</v>
      </c>
      <c r="V24" s="107" t="s">
        <v>187</v>
      </c>
      <c r="W24" s="108" t="str">
        <f t="shared" ca="1" si="1"/>
        <v>EUR6ML</v>
      </c>
      <c r="X24" s="108" t="str">
        <f t="shared" ca="1" si="2"/>
        <v>Semi-Annual</v>
      </c>
      <c r="Y24" s="107" t="s">
        <v>5</v>
      </c>
      <c r="Z24" s="107" t="s">
        <v>21</v>
      </c>
      <c r="AA24" s="107" t="s">
        <v>2</v>
      </c>
      <c r="AB24" s="107"/>
      <c r="AC24" s="107"/>
      <c r="AD24" s="108">
        <f t="shared" ca="1" si="3"/>
        <v>23</v>
      </c>
      <c r="AE24" s="107" t="s">
        <v>186</v>
      </c>
      <c r="AF24" s="109" t="s">
        <v>36</v>
      </c>
      <c r="AG24" s="110"/>
      <c r="AH24" s="107" t="s">
        <v>186</v>
      </c>
      <c r="AI24" s="107" t="s">
        <v>187</v>
      </c>
      <c r="AJ24" s="108" t="str">
        <f t="shared" ca="1" si="4"/>
        <v>EURYC</v>
      </c>
      <c r="AK24" s="108" t="str">
        <f t="shared" ca="1" si="5"/>
        <v>EURDF_NOCSA</v>
      </c>
      <c r="AL24" s="107" t="s">
        <v>183</v>
      </c>
      <c r="AM24" s="139">
        <f t="shared" ca="1" si="6"/>
        <v>0</v>
      </c>
      <c r="AN24" s="146">
        <f t="shared" ca="1" si="7"/>
        <v>0.01</v>
      </c>
      <c r="AO24" s="151">
        <f ca="1">IF(NOW(),_xll.meProductSwapParRate(_xll.meUtilityLVBFromKeysValues($L$5:$AM$5,$L24:$AM24),FALSE))</f>
        <v>1.14940686569787E-2</v>
      </c>
      <c r="AP24" s="140">
        <f ca="1">IF(NOW(),_xll.meProductSwapPV(_xll.meUtilityLVBFromKeysValues($J$5:$AN$5,$J24:$AN24),FALSE))</f>
        <v>26742.936282900337</v>
      </c>
      <c r="AQ24" s="141">
        <f ca="1">IF(NOW(),_xll.meProductSwapPV01(_xll.meUtilityLVBFromKeysValues($J$5:$AL$5,$J24:$AL24),FALSE))</f>
        <v>1789.9402519412881</v>
      </c>
      <c r="AR24" t="s">
        <v>4</v>
      </c>
      <c r="AS24" s="119" t="str">
        <f ca="1"/>
        <v/>
      </c>
      <c r="AT24" s="121" t="str">
        <f ca="1"/>
        <v/>
      </c>
      <c r="AU24" s="126" t="str">
        <f t="shared" ca="1" si="10"/>
        <v>-</v>
      </c>
    </row>
    <row r="25" spans="1:47" x14ac:dyDescent="0.25">
      <c r="A25" s="102">
        <v>20</v>
      </c>
      <c r="B25" s="147">
        <f ca="1">IF(NOW(),_xll.meDateFromTenor(COB,$C25,$P25,$Q25))</f>
        <v>42423</v>
      </c>
      <c r="C25" s="154" t="s">
        <v>194</v>
      </c>
      <c r="D25" s="112" t="s">
        <v>16</v>
      </c>
      <c r="E25" s="114" t="s">
        <v>195</v>
      </c>
      <c r="F25" s="114" t="s">
        <v>64</v>
      </c>
      <c r="G25" s="114">
        <v>0.01</v>
      </c>
      <c r="H25" s="114">
        <v>0</v>
      </c>
      <c r="I25" s="142" t="s">
        <v>196</v>
      </c>
      <c r="J25" s="112">
        <v>1000000</v>
      </c>
      <c r="K25" s="113" t="s">
        <v>185</v>
      </c>
      <c r="L25" s="147">
        <f t="shared" ca="1" si="8"/>
        <v>42423</v>
      </c>
      <c r="M25" s="155" t="str">
        <f t="shared" ca="1" si="9"/>
        <v>20Y</v>
      </c>
      <c r="N25" s="115" t="s">
        <v>25</v>
      </c>
      <c r="O25" s="115" t="s">
        <v>19</v>
      </c>
      <c r="P25" s="115" t="s">
        <v>21</v>
      </c>
      <c r="Q25" s="115" t="s">
        <v>2</v>
      </c>
      <c r="R25" s="115"/>
      <c r="S25" s="115"/>
      <c r="T25" s="116">
        <f t="shared" ca="1" si="0"/>
        <v>23</v>
      </c>
      <c r="U25" s="115" t="s">
        <v>186</v>
      </c>
      <c r="V25" s="115" t="s">
        <v>187</v>
      </c>
      <c r="W25" s="116" t="str">
        <f t="shared" ca="1" si="1"/>
        <v>EUR6ML</v>
      </c>
      <c r="X25" s="116" t="str">
        <f t="shared" ca="1" si="2"/>
        <v>Semi-Annual</v>
      </c>
      <c r="Y25" s="115" t="s">
        <v>5</v>
      </c>
      <c r="Z25" s="115" t="s">
        <v>21</v>
      </c>
      <c r="AA25" s="115" t="s">
        <v>2</v>
      </c>
      <c r="AB25" s="115"/>
      <c r="AC25" s="115"/>
      <c r="AD25" s="116">
        <f t="shared" ca="1" si="3"/>
        <v>23</v>
      </c>
      <c r="AE25" s="115" t="s">
        <v>186</v>
      </c>
      <c r="AF25" s="117" t="s">
        <v>36</v>
      </c>
      <c r="AG25" s="118"/>
      <c r="AH25" s="115" t="s">
        <v>186</v>
      </c>
      <c r="AI25" s="115" t="s">
        <v>187</v>
      </c>
      <c r="AJ25" s="116" t="str">
        <f t="shared" ca="1" si="4"/>
        <v>EURYC</v>
      </c>
      <c r="AK25" s="116" t="str">
        <f t="shared" ca="1" si="5"/>
        <v>EURDF_NOCSA</v>
      </c>
      <c r="AL25" s="115" t="s">
        <v>183</v>
      </c>
      <c r="AM25" s="143">
        <f t="shared" ca="1" si="6"/>
        <v>0</v>
      </c>
      <c r="AN25" s="148">
        <f t="shared" ca="1" si="7"/>
        <v>0.01</v>
      </c>
      <c r="AO25" s="151">
        <f ca="1">IF(NOW(),_xll.meProductSwapParRate(_xll.meUtilityLVBFromKeysValues($L$5:$AM$5,$L25:$AM25),FALSE))</f>
        <v>1.1660000799956624E-2</v>
      </c>
      <c r="AP25" s="140">
        <f ca="1">IF(NOW(),_xll.meProductSwapPV(_xll.meUtilityLVBFromKeysValues($J$5:$AN$5,$J25:$AN25),FALSE))</f>
        <v>31073.246970986875</v>
      </c>
      <c r="AQ25" s="141">
        <f ca="1">IF(NOW(),_xll.meProductSwapPV01(_xll.meUtilityLVBFromKeysValues($J$5:$AL$5,$J25:$AL25),FALSE))</f>
        <v>1871.8814455871845</v>
      </c>
      <c r="AR25" t="s">
        <v>4</v>
      </c>
      <c r="AS25" s="120" t="str">
        <f ca="1"/>
        <v/>
      </c>
      <c r="AT25" s="122" t="str">
        <f ca="1"/>
        <v/>
      </c>
      <c r="AU25" s="152" t="str">
        <f t="shared" ca="1" si="10"/>
        <v>-</v>
      </c>
    </row>
    <row r="26" spans="1:47" x14ac:dyDescent="0.25">
      <c r="AO26" s="130"/>
    </row>
    <row r="27" spans="1:47" x14ac:dyDescent="0.25">
      <c r="AO27" s="130"/>
    </row>
    <row r="37" spans="7:7" x14ac:dyDescent="0.25">
      <c r="G37" s="44"/>
    </row>
  </sheetData>
  <mergeCells count="2">
    <mergeCell ref="AP2:AQ2"/>
    <mergeCell ref="AP3:AQ3"/>
  </mergeCells>
  <dataValidations count="8">
    <dataValidation type="list" allowBlank="1" showInputMessage="1" showErrorMessage="1" sqref="E6:F25">
      <formula1>"1ML,3ML,6ML,12ML"</formula1>
    </dataValidation>
    <dataValidation type="list" allowBlank="1" showInputMessage="1" showErrorMessage="1" sqref="AA6 Q6">
      <formula1>"TGT,NYB:LNB,LNB,TKB:LNB"</formula1>
    </dataValidation>
    <dataValidation type="list" allowBlank="1" showInputMessage="1" showErrorMessage="1" sqref="V6 AI6">
      <formula1>"None,ShortStart,ShortEnd,LongStart,LongEnd"</formula1>
    </dataValidation>
    <dataValidation type="list" allowBlank="1" showInputMessage="1" showErrorMessage="1" sqref="O6 Y6">
      <formula1>"30/360,ACT/360,ACT/365"</formula1>
    </dataValidation>
    <dataValidation type="list" allowBlank="1" showInputMessage="1" showErrorMessage="1" sqref="N6 X6">
      <formula1>"Annual,Semi-Annual,Quarterly,Monthly"</formula1>
    </dataValidation>
    <dataValidation type="list" allowBlank="1" showInputMessage="1" showErrorMessage="1" sqref="Z6 P6">
      <formula1>"MOD_FOLLOWING,FOLLOWING,MOD_PRECEDING,PRECEDING,NO_CHANGE"</formula1>
    </dataValidation>
    <dataValidation type="list" allowBlank="1" showInputMessage="1" showErrorMessage="1" sqref="K6:K25">
      <formula1>"PAYER,RECEIVER"</formula1>
    </dataValidation>
    <dataValidation type="list" allowBlank="1" showInputMessage="1" showErrorMessage="1" sqref="I6:I25">
      <formula1>"NOCSA,EURCSA,GBPCSA"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34</vt:i4>
      </vt:variant>
    </vt:vector>
  </HeadingPairs>
  <TitlesOfParts>
    <vt:vector size="43" baseType="lpstr">
      <vt:lpstr>Settings</vt:lpstr>
      <vt:lpstr>EUR OIS CONFIG</vt:lpstr>
      <vt:lpstr>EUR SWAP 6ML CONFIG</vt:lpstr>
      <vt:lpstr>EUR BASIS 3ML CONFIG</vt:lpstr>
      <vt:lpstr>EUR OIS CURVE</vt:lpstr>
      <vt:lpstr>EUR SWAP 6ML CURVE</vt:lpstr>
      <vt:lpstr>EUR BASIS 3ML CURVE</vt:lpstr>
      <vt:lpstr>Forwards &amp; DiscountFactors</vt:lpstr>
      <vt:lpstr>Swap Pricing</vt:lpstr>
      <vt:lpstr>COB</vt:lpstr>
      <vt:lpstr>Curve.BuildProperties</vt:lpstr>
      <vt:lpstr>'EUR OIS CURVE'!Curve.CollectionName</vt:lpstr>
      <vt:lpstr>'Forwards &amp; DiscountFactors'!CurveCollection</vt:lpstr>
      <vt:lpstr>FRA.Conventions</vt:lpstr>
      <vt:lpstr>'EUR SWAP 6ML CURVE'!FRA.MarketDataX6</vt:lpstr>
      <vt:lpstr>Futures.Conventions</vt:lpstr>
      <vt:lpstr>'EUR SWAP 6ML CURVE'!Futures.MarketData</vt:lpstr>
      <vt:lpstr>Interpolation</vt:lpstr>
      <vt:lpstr>isEUR3MLLoaded</vt:lpstr>
      <vt:lpstr>isEUR6MLLoaded</vt:lpstr>
      <vt:lpstr>isEUROISLoaded</vt:lpstr>
      <vt:lpstr>Libor.Conventions</vt:lpstr>
      <vt:lpstr>'EUR SWAP 6ML CURVE'!Libor.MarketData</vt:lpstr>
      <vt:lpstr>LiborOISBasis.Conventions</vt:lpstr>
      <vt:lpstr>'EUR OIS CURVE'!LiborOISBasis.MarketData</vt:lpstr>
      <vt:lpstr>LiborSwap.Conventions</vt:lpstr>
      <vt:lpstr>'EUR OIS CURVE'!LiborSwap.MarketData</vt:lpstr>
      <vt:lpstr>MoneyMarket.Conventions</vt:lpstr>
      <vt:lpstr>OIS.Conventions</vt:lpstr>
      <vt:lpstr>'EUR OIS CURVE'!OIS.MarketData</vt:lpstr>
      <vt:lpstr>'Forwards &amp; DiscountFactors'!Periodicity</vt:lpstr>
      <vt:lpstr>STDCurve.Buildproperties</vt:lpstr>
      <vt:lpstr>STDCurve.CollectionName</vt:lpstr>
      <vt:lpstr>STDCurve.IndexName</vt:lpstr>
      <vt:lpstr>STDCurve.StaticDataTable</vt:lpstr>
      <vt:lpstr>Swap.Conventions</vt:lpstr>
      <vt:lpstr>'EUR SWAP 6ML CURVE'!Swap.MarketData</vt:lpstr>
      <vt:lpstr>TenorBasisCurve3M6M.BuildProperties</vt:lpstr>
      <vt:lpstr>'EUR BASIS 3ML CURVE'!TenorBasisCurve3M6M.CollectionName</vt:lpstr>
      <vt:lpstr>TenorBasisCurve3M6M.IndexName</vt:lpstr>
      <vt:lpstr>TenorBasisCurve3M6M.StaticDataTable</vt:lpstr>
      <vt:lpstr>TenorBasisSwap3M6M.Conventions</vt:lpstr>
      <vt:lpstr>'EUR BASIS 3ML CURVE'!TenorBasisSwap3M6M.MarketData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2016-03-11T11:47:18Z</dcterms:created>
  <dcterms:modified xsi:type="dcterms:W3CDTF">2016-11-21T17:13:29Z</dcterms:modified>
</cp:coreProperties>
</file>