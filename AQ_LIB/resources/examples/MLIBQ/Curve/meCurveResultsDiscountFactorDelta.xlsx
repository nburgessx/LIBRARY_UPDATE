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LIB\MLIBQ_DEV1\resource\examples\MLIBQ\Curve\"/>
    </mc:Choice>
  </mc:AlternateContent>
  <bookViews>
    <workbookView xWindow="480" yWindow="90" windowWidth="20700" windowHeight="11760" activeTab="3"/>
  </bookViews>
  <sheets>
    <sheet name="Settings" sheetId="6" r:id="rId1"/>
    <sheet name=" Original Curve" sheetId="4" r:id="rId2"/>
    <sheet name=" Shifted Curve" sheetId="5" r:id="rId3"/>
    <sheet name="Discount Factor Delta" sheetId="8" r:id="rId4"/>
  </sheets>
  <externalReferences>
    <externalReference r:id="rId5"/>
  </externalReferences>
  <definedNames>
    <definedName name="BUMP_SIZE">[1]Settings!$B$6</definedName>
    <definedName name="CurveJacobian_DiscountFactors">[1]USD_CURVE_OIS_DF_JACOBIAN!$J$16:$P$24</definedName>
    <definedName name="CurveJacobian_FlatShift_DiscountFactors">[1]USD_CURVE_OIS_DF_JACOBIAN!$AF$4:$AG$11</definedName>
    <definedName name="Settings.COB">Settings!$C$2</definedName>
    <definedName name="Settings.GradientShiftSize">Settings!$C$6</definedName>
    <definedName name="Settings.MarketDataShiftSize">Settings!$C$5</definedName>
  </definedNames>
  <calcPr calcId="162913" calcMode="manual" calcCompleted="0" calcOnSave="0" concurrentCalc="0"/>
</workbook>
</file>

<file path=xl/calcChain.xml><?xml version="1.0" encoding="utf-8"?>
<calcChain xmlns="http://schemas.openxmlformats.org/spreadsheetml/2006/main">
  <c r="D14" i="4" l="1"/>
  <c r="D22" i="4"/>
  <c r="D9" i="4"/>
  <c r="D28" i="4" a="1"/>
  <c r="D28" i="4"/>
  <c r="M3" i="4" a="1"/>
  <c r="P9" i="4"/>
  <c r="M3" i="4"/>
  <c r="N3" i="4"/>
  <c r="O3" i="4"/>
  <c r="P3" i="4"/>
  <c r="Q3" i="4"/>
  <c r="R3" i="4"/>
  <c r="S3" i="4"/>
  <c r="T3" i="4"/>
  <c r="M4" i="4"/>
  <c r="N4" i="4"/>
  <c r="O4" i="4"/>
  <c r="P4" i="4"/>
  <c r="Q4" i="4"/>
  <c r="R4" i="4"/>
  <c r="S4" i="4"/>
  <c r="T4" i="4"/>
  <c r="M5" i="4"/>
  <c r="N5" i="4"/>
  <c r="O5" i="4"/>
  <c r="P5" i="4"/>
  <c r="Q5" i="4"/>
  <c r="R5" i="4"/>
  <c r="S5" i="4"/>
  <c r="T5" i="4"/>
  <c r="M6" i="4"/>
  <c r="N6" i="4"/>
  <c r="O6" i="4"/>
  <c r="P6" i="4"/>
  <c r="Q6" i="4"/>
  <c r="R6" i="4"/>
  <c r="S6" i="4"/>
  <c r="T6" i="4"/>
  <c r="M7" i="4"/>
  <c r="N7" i="4"/>
  <c r="O7" i="4"/>
  <c r="P7" i="4"/>
  <c r="Q7" i="4"/>
  <c r="R7" i="4"/>
  <c r="S7" i="4"/>
  <c r="T7" i="4"/>
  <c r="M8" i="4"/>
  <c r="N8" i="4"/>
  <c r="O8" i="4"/>
  <c r="P8" i="4"/>
  <c r="Q8" i="4"/>
  <c r="R8" i="4"/>
  <c r="S8" i="4"/>
  <c r="T8" i="4"/>
  <c r="M9" i="4"/>
  <c r="N9" i="4"/>
  <c r="O9" i="4"/>
  <c r="Q9" i="4"/>
  <c r="R9" i="4"/>
  <c r="S9" i="4"/>
  <c r="T9" i="4"/>
  <c r="M10" i="4"/>
  <c r="N10" i="4"/>
  <c r="O10" i="4"/>
  <c r="P10" i="4"/>
  <c r="Q10" i="4"/>
  <c r="R10" i="4"/>
  <c r="S10" i="4"/>
  <c r="T10" i="4"/>
  <c r="M11" i="4"/>
  <c r="N11" i="4"/>
  <c r="O11" i="4"/>
  <c r="P11" i="4"/>
  <c r="Q11" i="4"/>
  <c r="R11" i="4"/>
  <c r="S11" i="4"/>
  <c r="T11" i="4"/>
  <c r="M12" i="4"/>
  <c r="N12" i="4"/>
  <c r="O12" i="4"/>
  <c r="P12" i="4"/>
  <c r="Q12" i="4"/>
  <c r="R12" i="4"/>
  <c r="S12" i="4"/>
  <c r="T12" i="4"/>
  <c r="M13" i="4"/>
  <c r="N13" i="4"/>
  <c r="O13" i="4"/>
  <c r="P13" i="4"/>
  <c r="Q13" i="4"/>
  <c r="R13" i="4"/>
  <c r="S13" i="4"/>
  <c r="T13" i="4"/>
  <c r="M14" i="4"/>
  <c r="N14" i="4"/>
  <c r="O14" i="4"/>
  <c r="P14" i="4"/>
  <c r="Q14" i="4"/>
  <c r="R14" i="4"/>
  <c r="S14" i="4"/>
  <c r="T14" i="4"/>
  <c r="M15" i="4"/>
  <c r="N15" i="4"/>
  <c r="O15" i="4"/>
  <c r="P15" i="4"/>
  <c r="Q15" i="4"/>
  <c r="R15" i="4"/>
  <c r="S15" i="4"/>
  <c r="T15" i="4"/>
  <c r="M16" i="4"/>
  <c r="N16" i="4"/>
  <c r="O16" i="4"/>
  <c r="P16" i="4"/>
  <c r="Q16" i="4"/>
  <c r="R16" i="4"/>
  <c r="S16" i="4"/>
  <c r="T16" i="4"/>
  <c r="M17" i="4"/>
  <c r="N17" i="4"/>
  <c r="O17" i="4"/>
  <c r="P17" i="4"/>
  <c r="Q17" i="4"/>
  <c r="R17" i="4"/>
  <c r="S17" i="4"/>
  <c r="T17" i="4"/>
  <c r="M18" i="4"/>
  <c r="N18" i="4"/>
  <c r="O18" i="4"/>
  <c r="P18" i="4"/>
  <c r="Q18" i="4"/>
  <c r="R18" i="4"/>
  <c r="S18" i="4"/>
  <c r="T18" i="4"/>
  <c r="M19" i="4"/>
  <c r="N19" i="4"/>
  <c r="O19" i="4"/>
  <c r="P19" i="4"/>
  <c r="Q19" i="4"/>
  <c r="R19" i="4"/>
  <c r="S19" i="4"/>
  <c r="T19" i="4"/>
  <c r="M20" i="4"/>
  <c r="N20" i="4"/>
  <c r="O20" i="4"/>
  <c r="P20" i="4"/>
  <c r="Q20" i="4"/>
  <c r="R20" i="4"/>
  <c r="S20" i="4"/>
  <c r="T20" i="4"/>
  <c r="M21" i="4"/>
  <c r="N21" i="4"/>
  <c r="O21" i="4"/>
  <c r="P21" i="4"/>
  <c r="Q21" i="4"/>
  <c r="R21" i="4"/>
  <c r="S21" i="4"/>
  <c r="T21" i="4"/>
  <c r="M22" i="4"/>
  <c r="N22" i="4"/>
  <c r="O22" i="4"/>
  <c r="P22" i="4"/>
  <c r="Q22" i="4"/>
  <c r="R22" i="4"/>
  <c r="S22" i="4"/>
  <c r="T22" i="4"/>
  <c r="M23" i="4"/>
  <c r="N23" i="4"/>
  <c r="O23" i="4"/>
  <c r="P23" i="4"/>
  <c r="Q23" i="4"/>
  <c r="R23" i="4"/>
  <c r="S23" i="4"/>
  <c r="T23" i="4"/>
  <c r="M24" i="4"/>
  <c r="N24" i="4"/>
  <c r="O24" i="4"/>
  <c r="P24" i="4"/>
  <c r="Q24" i="4"/>
  <c r="R24" i="4"/>
  <c r="S24" i="4"/>
  <c r="T24" i="4"/>
  <c r="M25" i="4"/>
  <c r="N25" i="4"/>
  <c r="O25" i="4"/>
  <c r="P25" i="4"/>
  <c r="Q25" i="4"/>
  <c r="R25" i="4"/>
  <c r="S25" i="4"/>
  <c r="T25" i="4"/>
  <c r="M26" i="4"/>
  <c r="N26" i="4"/>
  <c r="O26" i="4"/>
  <c r="P26" i="4"/>
  <c r="Q26" i="4"/>
  <c r="R26" i="4"/>
  <c r="S26" i="4"/>
  <c r="T26" i="4"/>
  <c r="M27" i="4"/>
  <c r="N27" i="4"/>
  <c r="O27" i="4"/>
  <c r="P27" i="4"/>
  <c r="Q27" i="4"/>
  <c r="R27" i="4"/>
  <c r="S27" i="4"/>
  <c r="T27" i="4"/>
  <c r="M28" i="4"/>
  <c r="N28" i="4"/>
  <c r="O28" i="4"/>
  <c r="P28" i="4"/>
  <c r="Q28" i="4"/>
  <c r="R28" i="4"/>
  <c r="S28" i="4"/>
  <c r="T28" i="4"/>
  <c r="M29" i="4"/>
  <c r="N29" i="4"/>
  <c r="O29" i="4"/>
  <c r="P29" i="4"/>
  <c r="Q29" i="4"/>
  <c r="R29" i="4"/>
  <c r="S29" i="4"/>
  <c r="T29" i="4"/>
  <c r="M30" i="4"/>
  <c r="N30" i="4"/>
  <c r="O30" i="4"/>
  <c r="P30" i="4"/>
  <c r="Q30" i="4"/>
  <c r="R30" i="4"/>
  <c r="S30" i="4"/>
  <c r="T30" i="4"/>
  <c r="M31" i="4"/>
  <c r="N31" i="4"/>
  <c r="O31" i="4"/>
  <c r="P31" i="4"/>
  <c r="Q31" i="4"/>
  <c r="R31" i="4"/>
  <c r="S31" i="4"/>
  <c r="T31" i="4"/>
  <c r="M32" i="4"/>
  <c r="N32" i="4"/>
  <c r="O32" i="4"/>
  <c r="P32" i="4"/>
  <c r="Q32" i="4"/>
  <c r="R32" i="4"/>
  <c r="S32" i="4"/>
  <c r="T32" i="4"/>
  <c r="M33" i="4"/>
  <c r="N33" i="4"/>
  <c r="O33" i="4"/>
  <c r="P33" i="4"/>
  <c r="Q33" i="4"/>
  <c r="R33" i="4"/>
  <c r="S33" i="4"/>
  <c r="T33" i="4"/>
  <c r="M34" i="4"/>
  <c r="N34" i="4"/>
  <c r="O34" i="4"/>
  <c r="P34" i="4"/>
  <c r="Q34" i="4"/>
  <c r="R34" i="4"/>
  <c r="S34" i="4"/>
  <c r="T34" i="4"/>
  <c r="G5" i="6"/>
  <c r="D3" i="5"/>
  <c r="J3" i="8"/>
  <c r="D29" i="4"/>
  <c r="D30" i="4"/>
  <c r="D31" i="4"/>
  <c r="C2" i="8"/>
  <c r="H20" i="8" a="1"/>
  <c r="H20" i="8"/>
  <c r="I20" i="8"/>
  <c r="H21" i="8"/>
  <c r="I21" i="8"/>
  <c r="H22" i="8"/>
  <c r="I22" i="8"/>
  <c r="H23" i="8"/>
  <c r="I23" i="8"/>
  <c r="H24" i="8"/>
  <c r="I24" i="8"/>
  <c r="H25" i="8"/>
  <c r="I25" i="8"/>
  <c r="H26" i="8"/>
  <c r="I26" i="8"/>
  <c r="H27" i="8"/>
  <c r="I27" i="8"/>
  <c r="H8" i="8" a="1"/>
  <c r="H8" i="8"/>
  <c r="I8" i="8"/>
  <c r="H9" i="8"/>
  <c r="I9" i="8"/>
  <c r="H10" i="8"/>
  <c r="I10" i="8"/>
  <c r="H11" i="8"/>
  <c r="I11" i="8"/>
  <c r="H12" i="8"/>
  <c r="I12" i="8"/>
  <c r="H13" i="8"/>
  <c r="I13" i="8"/>
  <c r="H14" i="8"/>
  <c r="I14" i="8"/>
  <c r="H15" i="8"/>
  <c r="I15" i="8"/>
  <c r="J9" i="8"/>
  <c r="J8" i="8"/>
  <c r="J10" i="8"/>
  <c r="J11" i="8"/>
  <c r="J12" i="8"/>
  <c r="J13" i="8"/>
  <c r="J14" i="8"/>
  <c r="J15" i="8"/>
  <c r="B7" i="8" a="1"/>
  <c r="C12" i="8"/>
  <c r="K12" i="8"/>
  <c r="D25" i="5"/>
  <c r="D12" i="5"/>
  <c r="G9" i="5"/>
  <c r="G10" i="5"/>
  <c r="G11" i="5"/>
  <c r="G12" i="5"/>
  <c r="G13" i="5"/>
  <c r="G14" i="5"/>
  <c r="D17" i="5"/>
  <c r="D31" i="5" a="1"/>
  <c r="D32" i="5"/>
  <c r="F2" i="8"/>
  <c r="E7" i="8" a="1"/>
  <c r="F12" i="8"/>
  <c r="L12" i="8"/>
  <c r="C11" i="8"/>
  <c r="K11" i="8"/>
  <c r="F11" i="8"/>
  <c r="L11" i="8"/>
  <c r="C10" i="8"/>
  <c r="K10" i="8"/>
  <c r="F10" i="8"/>
  <c r="L10" i="8"/>
  <c r="C9" i="8"/>
  <c r="K9" i="8"/>
  <c r="F9" i="8"/>
  <c r="L9" i="8"/>
  <c r="C8" i="8"/>
  <c r="K8" i="8"/>
  <c r="F8" i="8"/>
  <c r="L8" i="8"/>
  <c r="C15" i="8"/>
  <c r="K15" i="8"/>
  <c r="F15" i="8"/>
  <c r="L15" i="8"/>
  <c r="C14" i="8"/>
  <c r="K14" i="8"/>
  <c r="F14" i="8"/>
  <c r="L14" i="8"/>
  <c r="C13" i="8"/>
  <c r="K13" i="8"/>
  <c r="F13" i="8"/>
  <c r="L13" i="8"/>
  <c r="E7" i="8"/>
  <c r="F7" i="8"/>
  <c r="E8" i="8"/>
  <c r="E9" i="8"/>
  <c r="E10" i="8"/>
  <c r="E11" i="8"/>
  <c r="E12" i="8"/>
  <c r="E13" i="8"/>
  <c r="E14" i="8"/>
  <c r="E15" i="8"/>
  <c r="B7" i="8"/>
  <c r="C7" i="8"/>
  <c r="B8" i="8"/>
  <c r="B9" i="8"/>
  <c r="B10" i="8"/>
  <c r="B11" i="8"/>
  <c r="B12" i="8"/>
  <c r="B13" i="8"/>
  <c r="B14" i="8"/>
  <c r="B15" i="8"/>
  <c r="F4" i="6"/>
  <c r="D32" i="4"/>
  <c r="D31" i="5"/>
  <c r="D35" i="5"/>
  <c r="D34" i="5"/>
  <c r="D33" i="5"/>
</calcChain>
</file>

<file path=xl/sharedStrings.xml><?xml version="1.0" encoding="utf-8"?>
<sst xmlns="http://schemas.openxmlformats.org/spreadsheetml/2006/main" count="217" uniqueCount="106">
  <si>
    <t>CurveCollection</t>
  </si>
  <si>
    <t>CurveIndex</t>
  </si>
  <si>
    <t>AsOfDate</t>
  </si>
  <si>
    <t>OIS</t>
  </si>
  <si>
    <t xml:space="preserve"> </t>
  </si>
  <si>
    <t>CurveType</t>
  </si>
  <si>
    <t>ACT/360</t>
  </si>
  <si>
    <t>MOD_FOLLOWING</t>
  </si>
  <si>
    <t>NYB</t>
  </si>
  <si>
    <t>ON</t>
  </si>
  <si>
    <t>1Y</t>
  </si>
  <si>
    <t>2Y</t>
  </si>
  <si>
    <t>3Y</t>
  </si>
  <si>
    <t>4Y</t>
  </si>
  <si>
    <t>5Y</t>
  </si>
  <si>
    <t>ShiftType</t>
  </si>
  <si>
    <t>DISCOUNT_FACTORS</t>
  </si>
  <si>
    <t>GradientShiftSize</t>
  </si>
  <si>
    <t>MarketDataShiftSize</t>
  </si>
  <si>
    <t>MARKETDATAPROPERTIES</t>
  </si>
  <si>
    <t>Term</t>
  </si>
  <si>
    <t>Rate</t>
  </si>
  <si>
    <t>StartDate</t>
  </si>
  <si>
    <t>EndDate</t>
  </si>
  <si>
    <t>Use</t>
  </si>
  <si>
    <t>Currency</t>
  </si>
  <si>
    <t>USD</t>
  </si>
  <si>
    <t>CurveIndexFrequency</t>
  </si>
  <si>
    <t>DAILY</t>
  </si>
  <si>
    <t>Create Market Data Handle</t>
  </si>
  <si>
    <t>Handle Name</t>
  </si>
  <si>
    <t>USD_OIS_CURVE</t>
  </si>
  <si>
    <t>Market Data Handle</t>
  </si>
  <si>
    <t>Curve Dictionary</t>
  </si>
  <si>
    <t>Curve Generator</t>
  </si>
  <si>
    <t>Domestic Curve Collection</t>
  </si>
  <si>
    <t>Foreign Curve Collection</t>
  </si>
  <si>
    <t>Curve Build</t>
  </si>
  <si>
    <t>Curve Collection</t>
  </si>
  <si>
    <t>Curve Index</t>
  </si>
  <si>
    <t>Calibration Time Taken</t>
  </si>
  <si>
    <t>Curve Loaded</t>
  </si>
  <si>
    <t>COB</t>
  </si>
  <si>
    <t>Parameters</t>
  </si>
  <si>
    <t>USDYC_SHIFTED</t>
  </si>
  <si>
    <t>USDYC_ORIGINAL</t>
  </si>
  <si>
    <t>Create Template</t>
  </si>
  <si>
    <t>Object Name</t>
  </si>
  <si>
    <t>CURVEPROPERTIES</t>
  </si>
  <si>
    <t>StaticDataTable</t>
  </si>
  <si>
    <t>IndexName</t>
  </si>
  <si>
    <t>OIS:USDOIS</t>
  </si>
  <si>
    <t>interpolation</t>
  </si>
  <si>
    <t>FN_SPLINEINTERPOLATION</t>
  </si>
  <si>
    <t>yieldgen.interpolation</t>
  </si>
  <si>
    <t>calendar</t>
  </si>
  <si>
    <t>daycount</t>
  </si>
  <si>
    <t>frequency</t>
  </si>
  <si>
    <t>ANNUAL</t>
  </si>
  <si>
    <t>generatemethod</t>
  </si>
  <si>
    <t>DAILYCOMPOUNDING</t>
  </si>
  <si>
    <t>resetlag</t>
  </si>
  <si>
    <t>2D</t>
  </si>
  <si>
    <t>firstrate</t>
  </si>
  <si>
    <t>SHORTMARKET</t>
  </si>
  <si>
    <t>slidingrule</t>
  </si>
  <si>
    <t>eomday</t>
  </si>
  <si>
    <t>iseomroll</t>
  </si>
  <si>
    <t>shorttermconvention</t>
  </si>
  <si>
    <t>ARITHMETICAVERAGE</t>
  </si>
  <si>
    <t>longtermconvention</t>
  </si>
  <si>
    <t>NONE</t>
  </si>
  <si>
    <t>longterm</t>
  </si>
  <si>
    <t>100Y</t>
  </si>
  <si>
    <t>longterm.generatemethod</t>
  </si>
  <si>
    <t>Epsilon</t>
  </si>
  <si>
    <t>MaxLoop</t>
  </si>
  <si>
    <t>CompoundingMethod</t>
  </si>
  <si>
    <t>ARITHMETIC</t>
  </si>
  <si>
    <t>SmoothShortEnd</t>
  </si>
  <si>
    <t>OIS CURVE TEMPLATE</t>
  </si>
  <si>
    <t>+/-</t>
  </si>
  <si>
    <t>USD_OIS_ORIGINAL</t>
  </si>
  <si>
    <t>USD_OIS_SHIFTED</t>
  </si>
  <si>
    <t>MKTDATA-SHIFT</t>
  </si>
  <si>
    <t>FLAT_SHIFT</t>
  </si>
  <si>
    <t>USDOIS</t>
  </si>
  <si>
    <t>Original Curve</t>
  </si>
  <si>
    <t>ImplyDiscountFactors</t>
  </si>
  <si>
    <t>Shifted Curve +1bps</t>
  </si>
  <si>
    <t>DiscountFactorDelta</t>
  </si>
  <si>
    <t>PaymentDates</t>
  </si>
  <si>
    <t>DiscountFactors</t>
  </si>
  <si>
    <t>JacobianBuildFrequency</t>
  </si>
  <si>
    <t>JacobianShiftType</t>
  </si>
  <si>
    <t>JacobianRiskType</t>
  </si>
  <si>
    <t>USD_OIS_CURVE_WITH_RISK</t>
  </si>
  <si>
    <t>ShiftSize</t>
  </si>
  <si>
    <t>DiscFactDelta01</t>
  </si>
  <si>
    <t>DiscFactDelta</t>
  </si>
  <si>
    <t>ShiftedDF</t>
  </si>
  <si>
    <t>Bump Market Data</t>
  </si>
  <si>
    <t>ALWAYS</t>
  </si>
  <si>
    <t>JacobianGradientShiftSize</t>
  </si>
  <si>
    <t>JacobianMarketDataShiftSize</t>
  </si>
  <si>
    <t>1=meLWOCurveMarketDataBumpAll(D14,0.01%)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</si>
</sst>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d\,\ d\-mmm\-yy"/>
    <numFmt numFmtId="165" formatCode="#,##0.000000"/>
    <numFmt numFmtId="166" formatCode="0.00000%"/>
    <numFmt numFmtId="167" formatCode="0.00000"/>
    <numFmt numFmtId="169" formatCode="0.00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6600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1" xfId="0" applyFill="1" applyBorder="1"/>
    <xf numFmtId="0" fontId="5" fillId="4" borderId="2" xfId="0" applyFont="1" applyFill="1" applyBorder="1"/>
    <xf numFmtId="0" fontId="6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5" fillId="4" borderId="0" xfId="0" applyFont="1" applyFill="1" applyBorder="1"/>
    <xf numFmtId="0" fontId="0" fillId="4" borderId="0" xfId="0" applyFont="1" applyFill="1" applyBorder="1" applyAlignment="1">
      <alignment horizontal="center" vertical="center"/>
    </xf>
    <xf numFmtId="0" fontId="0" fillId="4" borderId="0" xfId="0" applyFill="1" applyBorder="1"/>
    <xf numFmtId="0" fontId="3" fillId="4" borderId="0" xfId="0" applyFont="1" applyFill="1" applyBorder="1" applyAlignment="1">
      <alignment horizontal="center" vertical="center"/>
    </xf>
    <xf numFmtId="0" fontId="0" fillId="4" borderId="5" xfId="0" applyFill="1" applyBorder="1"/>
    <xf numFmtId="0" fontId="7" fillId="4" borderId="7" xfId="0" applyFont="1" applyFill="1" applyBorder="1" applyAlignment="1">
      <alignment horizontal="center" vertical="center"/>
    </xf>
    <xf numFmtId="0" fontId="0" fillId="5" borderId="9" xfId="0" applyFont="1" applyFill="1" applyBorder="1"/>
    <xf numFmtId="0" fontId="0" fillId="5" borderId="9" xfId="0" applyFont="1" applyFill="1" applyBorder="1" applyAlignment="1">
      <alignment horizontal="left" vertical="center"/>
    </xf>
    <xf numFmtId="166" fontId="3" fillId="0" borderId="2" xfId="0" applyNumberFormat="1" applyFont="1" applyFill="1" applyBorder="1" applyAlignment="1">
      <alignment horizontal="center" vertical="center"/>
    </xf>
    <xf numFmtId="15" fontId="2" fillId="0" borderId="2" xfId="0" applyNumberFormat="1" applyFont="1" applyFill="1" applyBorder="1" applyAlignment="1">
      <alignment horizontal="center" vertical="center"/>
    </xf>
    <xf numFmtId="15" fontId="2" fillId="0" borderId="0" xfId="0" applyNumberFormat="1" applyFont="1" applyFill="1" applyBorder="1" applyAlignment="1">
      <alignment horizontal="center" vertical="center"/>
    </xf>
    <xf numFmtId="15" fontId="2" fillId="0" borderId="5" xfId="0" applyNumberFormat="1" applyFont="1" applyFill="1" applyBorder="1" applyAlignment="1">
      <alignment horizontal="center" vertical="center"/>
    </xf>
    <xf numFmtId="0" fontId="0" fillId="5" borderId="10" xfId="0" applyFont="1" applyFill="1" applyBorder="1"/>
    <xf numFmtId="0" fontId="0" fillId="5" borderId="10" xfId="0" applyFont="1" applyFill="1" applyBorder="1" applyAlignment="1">
      <alignment horizontal="left" vertical="center"/>
    </xf>
    <xf numFmtId="166" fontId="3" fillId="0" borderId="0" xfId="0" applyNumberFormat="1" applyFont="1" applyFill="1" applyBorder="1" applyAlignment="1">
      <alignment horizontal="center" vertical="center"/>
    </xf>
    <xf numFmtId="0" fontId="0" fillId="5" borderId="11" xfId="0" applyFont="1" applyFill="1" applyBorder="1"/>
    <xf numFmtId="164" fontId="8" fillId="6" borderId="11" xfId="0" applyNumberFormat="1" applyFont="1" applyFill="1" applyBorder="1" applyAlignment="1">
      <alignment horizontal="left" vertical="center"/>
    </xf>
    <xf numFmtId="0" fontId="0" fillId="5" borderId="9" xfId="0" applyFill="1" applyBorder="1"/>
    <xf numFmtId="0" fontId="0" fillId="5" borderId="9" xfId="0" applyFill="1" applyBorder="1" applyAlignment="1">
      <alignment horizontal="left" vertical="center"/>
    </xf>
    <xf numFmtId="0" fontId="0" fillId="5" borderId="11" xfId="0" applyFill="1" applyBorder="1"/>
    <xf numFmtId="0" fontId="8" fillId="5" borderId="11" xfId="0" applyFont="1" applyFill="1" applyBorder="1" applyAlignment="1">
      <alignment horizontal="left" vertical="center"/>
    </xf>
    <xf numFmtId="0" fontId="0" fillId="4" borderId="0" xfId="0" applyFont="1" applyFill="1" applyBorder="1"/>
    <xf numFmtId="0" fontId="1" fillId="4" borderId="0" xfId="0" applyFont="1" applyFill="1" applyBorder="1"/>
    <xf numFmtId="0" fontId="0" fillId="0" borderId="9" xfId="0" applyFont="1" applyFill="1" applyBorder="1"/>
    <xf numFmtId="0" fontId="0" fillId="0" borderId="9" xfId="0" applyFont="1" applyFill="1" applyBorder="1" applyAlignment="1">
      <alignment horizontal="left" vertical="center"/>
    </xf>
    <xf numFmtId="0" fontId="0" fillId="0" borderId="10" xfId="0" applyFont="1" applyFill="1" applyBorder="1"/>
    <xf numFmtId="0" fontId="2" fillId="0" borderId="10" xfId="0" applyFont="1" applyFill="1" applyBorder="1" applyAlignment="1">
      <alignment horizontal="left" vertical="center"/>
    </xf>
    <xf numFmtId="0" fontId="0" fillId="0" borderId="10" xfId="0" applyFont="1" applyFill="1" applyBorder="1" applyAlignment="1">
      <alignment horizontal="left" vertical="center"/>
    </xf>
    <xf numFmtId="0" fontId="0" fillId="0" borderId="11" xfId="0" applyFont="1" applyFill="1" applyBorder="1"/>
    <xf numFmtId="0" fontId="0" fillId="0" borderId="11" xfId="0" applyFont="1" applyFill="1" applyBorder="1" applyAlignment="1">
      <alignment horizontal="left" vertical="center"/>
    </xf>
    <xf numFmtId="0" fontId="0" fillId="0" borderId="9" xfId="0" applyBorder="1"/>
    <xf numFmtId="0" fontId="8" fillId="0" borderId="9" xfId="0" applyFont="1" applyFill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6" fillId="4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center"/>
    </xf>
    <xf numFmtId="166" fontId="3" fillId="0" borderId="7" xfId="0" applyNumberFormat="1" applyFont="1" applyFill="1" applyBorder="1" applyAlignment="1">
      <alignment horizontal="center" vertical="center"/>
    </xf>
    <xf numFmtId="15" fontId="2" fillId="0" borderId="7" xfId="0" applyNumberFormat="1" applyFont="1" applyFill="1" applyBorder="1" applyAlignment="1">
      <alignment horizontal="center" vertical="center"/>
    </xf>
    <xf numFmtId="15" fontId="2" fillId="0" borderId="8" xfId="0" applyNumberFormat="1" applyFont="1" applyFill="1" applyBorder="1" applyAlignment="1">
      <alignment horizontal="center" vertical="center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1" fillId="0" borderId="0" xfId="0" applyFont="1" applyAlignment="1">
      <alignment horizontal="left"/>
    </xf>
    <xf numFmtId="0" fontId="9" fillId="4" borderId="0" xfId="0" applyFont="1" applyFill="1" applyBorder="1"/>
    <xf numFmtId="0" fontId="4" fillId="7" borderId="9" xfId="0" applyFont="1" applyFill="1" applyBorder="1" applyAlignment="1">
      <alignment horizontal="center" vertical="center"/>
    </xf>
    <xf numFmtId="0" fontId="0" fillId="5" borderId="10" xfId="0" applyFill="1" applyBorder="1"/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7" fillId="0" borderId="9" xfId="0" applyFont="1" applyFill="1" applyBorder="1"/>
    <xf numFmtId="15" fontId="7" fillId="0" borderId="9" xfId="0" applyNumberFormat="1" applyFont="1" applyFill="1" applyBorder="1" applyAlignment="1">
      <alignment horizontal="center" vertical="center"/>
    </xf>
    <xf numFmtId="0" fontId="7" fillId="0" borderId="10" xfId="0" applyFont="1" applyFill="1" applyBorder="1"/>
    <xf numFmtId="15" fontId="7" fillId="0" borderId="10" xfId="0" applyNumberFormat="1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left" vertical="center"/>
    </xf>
    <xf numFmtId="0" fontId="7" fillId="0" borderId="11" xfId="0" applyFont="1" applyFill="1" applyBorder="1"/>
    <xf numFmtId="0" fontId="7" fillId="0" borderId="9" xfId="0" applyFont="1" applyFill="1" applyBorder="1" applyAlignment="1">
      <alignment vertical="center"/>
    </xf>
    <xf numFmtId="0" fontId="0" fillId="0" borderId="9" xfId="0" applyFill="1" applyBorder="1" applyAlignment="1">
      <alignment horizontal="center" vertical="center"/>
    </xf>
    <xf numFmtId="0" fontId="7" fillId="0" borderId="10" xfId="0" applyFont="1" applyFill="1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11" fontId="0" fillId="0" borderId="10" xfId="0" applyNumberFormat="1" applyFill="1" applyBorder="1" applyAlignment="1">
      <alignment horizontal="center" vertical="center"/>
    </xf>
    <xf numFmtId="0" fontId="7" fillId="0" borderId="11" xfId="0" applyFont="1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left" vertical="center"/>
    </xf>
    <xf numFmtId="164" fontId="2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0" fontId="0" fillId="0" borderId="0" xfId="0" applyFont="1"/>
    <xf numFmtId="15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6" fontId="0" fillId="2" borderId="0" xfId="0" applyNumberFormat="1" applyFill="1" applyBorder="1" applyAlignment="1">
      <alignment horizontal="center" vertical="center"/>
    </xf>
    <xf numFmtId="10" fontId="0" fillId="0" borderId="0" xfId="0" applyNumberFormat="1"/>
    <xf numFmtId="167" fontId="0" fillId="0" borderId="0" xfId="0" applyNumberFormat="1"/>
    <xf numFmtId="169" fontId="2" fillId="4" borderId="0" xfId="0" applyNumberFormat="1" applyFont="1" applyFill="1" applyAlignment="1">
      <alignment horizontal="center" vertical="center"/>
    </xf>
    <xf numFmtId="11" fontId="7" fillId="0" borderId="11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Examples\Curve\USD_SWAP_CURVE_JACOBIAN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USD_OIS_CURVE"/>
      <sheetName val="USD_CURVE_DISPLAY"/>
      <sheetName val="USD_CURVE_OIS_DF_JACOBIAN"/>
      <sheetName val="USD_CURVE_OIS_FWD_JACOBIAN"/>
      <sheetName val="USD_OIS_JACOBIAN_IMPLIED_FWDS"/>
      <sheetName val="USD_OIS_SWAPS"/>
      <sheetName val="USD_5Y_OIS_RISK"/>
      <sheetName val="USD_OIS_JACOBIAN_RISK"/>
      <sheetName val="USD_SWAP_CURVE"/>
      <sheetName val="USD_CURVE_LIBOR_FWD_JACOBIAN"/>
      <sheetName val="USD_IRS_SWAPS"/>
      <sheetName val="USD_5Y_IRS_RISK"/>
      <sheetName val="USD_5Y_JACOBIAN_RISK"/>
    </sheetNames>
    <sheetDataSet>
      <sheetData sheetId="0" refreshError="1">
        <row r="6">
          <cell r="B6">
            <v>9.9999999999999995E-7</v>
          </cell>
        </row>
      </sheetData>
      <sheetData sheetId="1" refreshError="1"/>
      <sheetData sheetId="2" refreshError="1"/>
      <sheetData sheetId="3">
        <row r="4">
          <cell r="AF4">
            <v>0</v>
          </cell>
          <cell r="AG4">
            <v>0</v>
          </cell>
        </row>
        <row r="5">
          <cell r="AF5">
            <v>2.7397260273972603E-3</v>
          </cell>
          <cell r="AG5">
            <v>-2.7774097599575498E-7</v>
          </cell>
        </row>
        <row r="6">
          <cell r="AF6">
            <v>5.4794520547945206E-3</v>
          </cell>
          <cell r="AG6">
            <v>-5.5544515376038106E-7</v>
          </cell>
        </row>
        <row r="7">
          <cell r="AF7">
            <v>1.0136986301369864</v>
          </cell>
          <cell r="AG7">
            <v>-3.2788295987185023E-6</v>
          </cell>
        </row>
        <row r="8">
          <cell r="AF8">
            <v>2.0109589041095894</v>
          </cell>
          <cell r="AG8">
            <v>-2.4060670890468927E-4</v>
          </cell>
        </row>
        <row r="9">
          <cell r="AF9">
            <v>3.0082191780821921</v>
          </cell>
          <cell r="AG9">
            <v>-3.321800603190983E-4</v>
          </cell>
        </row>
        <row r="10">
          <cell r="AF10">
            <v>4.0082191780821921</v>
          </cell>
          <cell r="AG10">
            <v>-3.806318346275539E-4</v>
          </cell>
        </row>
        <row r="11">
          <cell r="AF11">
            <v>5.0109589041095894</v>
          </cell>
          <cell r="AG11">
            <v>-4.6807693609818291E-4</v>
          </cell>
        </row>
        <row r="16">
          <cell r="J16" t="str">
            <v>Term</v>
          </cell>
          <cell r="K16" t="str">
            <v>ON</v>
          </cell>
          <cell r="L16" t="str">
            <v>1Y</v>
          </cell>
          <cell r="M16" t="str">
            <v>2Y</v>
          </cell>
          <cell r="N16" t="str">
            <v>3Y</v>
          </cell>
          <cell r="O16" t="str">
            <v>4Y</v>
          </cell>
          <cell r="P16" t="str">
            <v>5Y</v>
          </cell>
        </row>
        <row r="17"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J18">
            <v>2.7397260273972603E-3</v>
          </cell>
          <cell r="K18">
            <v>-2.7774057498319854E-7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J19">
            <v>5.4794520547945206E-3</v>
          </cell>
          <cell r="K19">
            <v>-5.5544396859730227E-7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J20">
            <v>1.010958904109589</v>
          </cell>
          <cell r="K20">
            <v>-5.4555860939942136E-7</v>
          </cell>
          <cell r="L20">
            <v>-1.0010548630035032E-4</v>
          </cell>
          <cell r="M20">
            <v>4.0661918276896363E-10</v>
          </cell>
          <cell r="N20">
            <v>-4.92916818473077E-10</v>
          </cell>
          <cell r="O20">
            <v>5.3672621902478578E-10</v>
          </cell>
          <cell r="P20">
            <v>-4.1314729415375956E-10</v>
          </cell>
        </row>
        <row r="21">
          <cell r="J21">
            <v>2.0082191780821921</v>
          </cell>
          <cell r="K21">
            <v>-5.3780636610767374E-7</v>
          </cell>
          <cell r="L21">
            <v>1.2509385749481796E-6</v>
          </cell>
          <cell r="M21">
            <v>-1.9763924787863374E-4</v>
          </cell>
          <cell r="N21">
            <v>-1.7937873408868654E-9</v>
          </cell>
          <cell r="O21">
            <v>1.009181627154021E-9</v>
          </cell>
          <cell r="P21">
            <v>-4.188094315793478E-10</v>
          </cell>
        </row>
        <row r="22">
          <cell r="J22">
            <v>3.0082191780821921</v>
          </cell>
          <cell r="K22">
            <v>-5.2988262666531238E-7</v>
          </cell>
          <cell r="L22">
            <v>1.190339105061611E-6</v>
          </cell>
          <cell r="M22">
            <v>3.1732910077408864E-6</v>
          </cell>
          <cell r="N22">
            <v>-2.9443793713168637E-4</v>
          </cell>
          <cell r="O22">
            <v>2.2383428444072706E-9</v>
          </cell>
          <cell r="P22">
            <v>-9.0178975398202975E-10</v>
          </cell>
        </row>
        <row r="23">
          <cell r="J23">
            <v>4.0082191780821921</v>
          </cell>
          <cell r="K23">
            <v>-5.216694187737404E-7</v>
          </cell>
          <cell r="L23">
            <v>1.1700627577937439E-6</v>
          </cell>
          <cell r="M23">
            <v>3.1204466233170085E-6</v>
          </cell>
          <cell r="N23">
            <v>4.8087605009072831E-6</v>
          </cell>
          <cell r="O23">
            <v>-3.8986581593070119E-4</v>
          </cell>
          <cell r="P23">
            <v>-8.2883699903391072E-10</v>
          </cell>
        </row>
        <row r="24">
          <cell r="J24">
            <v>5.0109589041095894</v>
          </cell>
          <cell r="K24">
            <v>-5.1296457082017355E-7</v>
          </cell>
          <cell r="L24">
            <v>1.1731348559251842E-6</v>
          </cell>
          <cell r="M24">
            <v>3.1123096655427678E-6</v>
          </cell>
          <cell r="N24">
            <v>4.795562114079388E-6</v>
          </cell>
          <cell r="O24">
            <v>6.6170034451751292E-6</v>
          </cell>
          <cell r="P24">
            <v>-4.8418921747561683E-4</v>
          </cell>
        </row>
      </sheetData>
      <sheetData sheetId="4" refreshError="1"/>
      <sheetData sheetId="5" refreshError="1"/>
      <sheetData sheetId="6" refreshError="1"/>
      <sheetData sheetId="7">
        <row r="41">
          <cell r="C41">
            <v>4.0583333333333336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2"/>
  <sheetViews>
    <sheetView showGridLines="0" workbookViewId="0"/>
  </sheetViews>
  <sheetFormatPr defaultRowHeight="15" x14ac:dyDescent="0.25"/>
  <cols>
    <col min="2" max="2" width="19.42578125" bestFit="1" customWidth="1"/>
    <col min="3" max="3" width="14.42578125" customWidth="1"/>
    <col min="6" max="6" width="25.140625" bestFit="1" customWidth="1"/>
    <col min="7" max="7" width="30.7109375" customWidth="1"/>
  </cols>
  <sheetData>
    <row r="2" spans="2:8" x14ac:dyDescent="0.25">
      <c r="B2" s="1" t="s">
        <v>42</v>
      </c>
      <c r="C2" s="82">
        <v>43665</v>
      </c>
      <c r="E2" s="60" t="s">
        <v>80</v>
      </c>
    </row>
    <row r="3" spans="2:8" x14ac:dyDescent="0.25">
      <c r="E3" s="9"/>
      <c r="F3" s="12"/>
      <c r="G3" s="12"/>
      <c r="H3" s="13"/>
    </row>
    <row r="4" spans="2:8" x14ac:dyDescent="0.25">
      <c r="B4" s="1" t="s">
        <v>43</v>
      </c>
      <c r="E4" s="14"/>
      <c r="F4" s="61" t="str">
        <f ca="1">E2</f>
        <v>OIS CURVE TEMPLATE</v>
      </c>
      <c r="G4" s="17"/>
      <c r="H4" s="19"/>
    </row>
    <row r="5" spans="2:8" x14ac:dyDescent="0.25">
      <c r="B5" s="86" t="s">
        <v>18</v>
      </c>
      <c r="C5" s="85">
        <v>1E-4</v>
      </c>
      <c r="E5" s="14"/>
      <c r="F5" s="32" t="s">
        <v>46</v>
      </c>
      <c r="G5" s="62" t="str">
        <f ca="1">_xll.meLWOCurveGeneratorCreate(G6,F9,F10:G21,F23,F24:G41)</f>
        <v>USD_OIS_CURVE_WITH_RISK@3:1</v>
      </c>
      <c r="H5" s="19"/>
    </row>
    <row r="6" spans="2:8" x14ac:dyDescent="0.25">
      <c r="B6" t="s">
        <v>17</v>
      </c>
      <c r="C6" s="85">
        <v>1E-4</v>
      </c>
      <c r="E6" s="14"/>
      <c r="F6" s="63" t="s">
        <v>47</v>
      </c>
      <c r="G6" s="64" t="s">
        <v>96</v>
      </c>
      <c r="H6" s="19"/>
    </row>
    <row r="7" spans="2:8" x14ac:dyDescent="0.25">
      <c r="E7" s="14"/>
      <c r="F7" s="34"/>
      <c r="G7" s="65"/>
      <c r="H7" s="19" t="s">
        <v>4</v>
      </c>
    </row>
    <row r="8" spans="2:8" x14ac:dyDescent="0.25">
      <c r="E8" s="14"/>
      <c r="F8" s="17"/>
      <c r="G8" s="17"/>
      <c r="H8" s="19"/>
    </row>
    <row r="9" spans="2:8" x14ac:dyDescent="0.25">
      <c r="E9" s="14"/>
      <c r="F9" s="15" t="s">
        <v>48</v>
      </c>
      <c r="G9" s="17"/>
      <c r="H9" s="19"/>
    </row>
    <row r="10" spans="2:8" x14ac:dyDescent="0.25">
      <c r="E10" s="14"/>
      <c r="F10" s="66" t="s">
        <v>5</v>
      </c>
      <c r="G10" s="67" t="s">
        <v>3</v>
      </c>
      <c r="H10" s="19"/>
    </row>
    <row r="11" spans="2:8" x14ac:dyDescent="0.25">
      <c r="E11" s="14"/>
      <c r="F11" s="68" t="s">
        <v>27</v>
      </c>
      <c r="G11" s="69" t="s">
        <v>28</v>
      </c>
      <c r="H11" s="19"/>
    </row>
    <row r="12" spans="2:8" x14ac:dyDescent="0.25">
      <c r="E12" s="14"/>
      <c r="F12" s="68" t="s">
        <v>49</v>
      </c>
      <c r="G12" s="69" t="s">
        <v>3</v>
      </c>
      <c r="H12" s="19"/>
    </row>
    <row r="13" spans="2:8" x14ac:dyDescent="0.25">
      <c r="E13" s="14"/>
      <c r="F13" s="68" t="s">
        <v>50</v>
      </c>
      <c r="G13" s="69" t="s">
        <v>51</v>
      </c>
      <c r="H13" s="19" t="s">
        <v>4</v>
      </c>
    </row>
    <row r="14" spans="2:8" x14ac:dyDescent="0.25">
      <c r="E14" s="14"/>
      <c r="F14" s="68" t="s">
        <v>25</v>
      </c>
      <c r="G14" s="70" t="s">
        <v>26</v>
      </c>
      <c r="H14" s="19"/>
    </row>
    <row r="15" spans="2:8" x14ac:dyDescent="0.25">
      <c r="E15" s="14"/>
      <c r="F15" s="71" t="s">
        <v>52</v>
      </c>
      <c r="G15" s="70" t="s">
        <v>53</v>
      </c>
      <c r="H15" s="19"/>
    </row>
    <row r="16" spans="2:8" x14ac:dyDescent="0.25">
      <c r="E16" s="14"/>
      <c r="F16" s="68" t="s">
        <v>54</v>
      </c>
      <c r="G16" s="70" t="s">
        <v>53</v>
      </c>
      <c r="H16" s="19"/>
    </row>
    <row r="17" spans="5:8" x14ac:dyDescent="0.25">
      <c r="E17" s="14"/>
      <c r="F17" s="75" t="s">
        <v>93</v>
      </c>
      <c r="G17" s="76" t="s">
        <v>102</v>
      </c>
      <c r="H17" s="19"/>
    </row>
    <row r="18" spans="5:8" x14ac:dyDescent="0.25">
      <c r="E18" s="14"/>
      <c r="F18" s="75" t="s">
        <v>94</v>
      </c>
      <c r="G18" s="76" t="s">
        <v>85</v>
      </c>
      <c r="H18" s="19"/>
    </row>
    <row r="19" spans="5:8" x14ac:dyDescent="0.25">
      <c r="E19" s="14"/>
      <c r="F19" s="75" t="s">
        <v>95</v>
      </c>
      <c r="G19" s="76" t="s">
        <v>16</v>
      </c>
      <c r="H19" s="19"/>
    </row>
    <row r="20" spans="5:8" x14ac:dyDescent="0.25">
      <c r="E20" s="14"/>
      <c r="F20" s="75" t="s">
        <v>103</v>
      </c>
      <c r="G20" s="77">
        <v>1E-4</v>
      </c>
      <c r="H20" s="19"/>
    </row>
    <row r="21" spans="5:8" x14ac:dyDescent="0.25">
      <c r="E21" s="14"/>
      <c r="F21" s="72" t="s">
        <v>104</v>
      </c>
      <c r="G21" s="103">
        <v>1E-4</v>
      </c>
      <c r="H21" s="19"/>
    </row>
    <row r="22" spans="5:8" x14ac:dyDescent="0.25">
      <c r="E22" s="14"/>
      <c r="F22" s="17"/>
      <c r="G22" s="17"/>
      <c r="H22" s="19"/>
    </row>
    <row r="23" spans="5:8" x14ac:dyDescent="0.25">
      <c r="E23" s="14"/>
      <c r="F23" s="15" t="s">
        <v>3</v>
      </c>
      <c r="G23" s="17"/>
      <c r="H23" s="19"/>
    </row>
    <row r="24" spans="5:8" x14ac:dyDescent="0.25">
      <c r="E24" s="14"/>
      <c r="F24" s="73" t="s">
        <v>55</v>
      </c>
      <c r="G24" s="74" t="s">
        <v>8</v>
      </c>
      <c r="H24" s="19"/>
    </row>
    <row r="25" spans="5:8" x14ac:dyDescent="0.25">
      <c r="E25" s="14"/>
      <c r="F25" s="75" t="s">
        <v>56</v>
      </c>
      <c r="G25" s="76" t="s">
        <v>6</v>
      </c>
      <c r="H25" s="19"/>
    </row>
    <row r="26" spans="5:8" x14ac:dyDescent="0.25">
      <c r="E26" s="14"/>
      <c r="F26" s="75" t="s">
        <v>57</v>
      </c>
      <c r="G26" s="76" t="s">
        <v>58</v>
      </c>
      <c r="H26" s="19"/>
    </row>
    <row r="27" spans="5:8" x14ac:dyDescent="0.25">
      <c r="E27" s="14"/>
      <c r="F27" s="75" t="s">
        <v>59</v>
      </c>
      <c r="G27" s="76" t="s">
        <v>60</v>
      </c>
      <c r="H27" s="19"/>
    </row>
    <row r="28" spans="5:8" x14ac:dyDescent="0.25">
      <c r="E28" s="14"/>
      <c r="F28" s="75" t="s">
        <v>61</v>
      </c>
      <c r="G28" s="76" t="s">
        <v>62</v>
      </c>
      <c r="H28" s="19"/>
    </row>
    <row r="29" spans="5:8" x14ac:dyDescent="0.25">
      <c r="E29" s="14"/>
      <c r="F29" s="75" t="s">
        <v>63</v>
      </c>
      <c r="G29" s="76" t="s">
        <v>64</v>
      </c>
      <c r="H29" s="19"/>
    </row>
    <row r="30" spans="5:8" x14ac:dyDescent="0.25">
      <c r="E30" s="14"/>
      <c r="F30" s="75" t="s">
        <v>65</v>
      </c>
      <c r="G30" s="76" t="s">
        <v>7</v>
      </c>
      <c r="H30" s="19"/>
    </row>
    <row r="31" spans="5:8" x14ac:dyDescent="0.25">
      <c r="E31" s="14"/>
      <c r="F31" s="75" t="s">
        <v>66</v>
      </c>
      <c r="G31" s="70">
        <v>31</v>
      </c>
      <c r="H31" s="19"/>
    </row>
    <row r="32" spans="5:8" x14ac:dyDescent="0.25">
      <c r="E32" s="14"/>
      <c r="F32" s="75" t="s">
        <v>67</v>
      </c>
      <c r="G32" s="77" t="b">
        <v>1</v>
      </c>
      <c r="H32" s="19"/>
    </row>
    <row r="33" spans="5:8" x14ac:dyDescent="0.25">
      <c r="E33" s="14"/>
      <c r="F33" s="75" t="s">
        <v>68</v>
      </c>
      <c r="G33" s="76" t="s">
        <v>69</v>
      </c>
      <c r="H33" s="19"/>
    </row>
    <row r="34" spans="5:8" x14ac:dyDescent="0.25">
      <c r="E34" s="14"/>
      <c r="F34" s="75" t="s">
        <v>70</v>
      </c>
      <c r="G34" s="76" t="s">
        <v>71</v>
      </c>
      <c r="H34" s="19"/>
    </row>
    <row r="35" spans="5:8" x14ac:dyDescent="0.25">
      <c r="E35" s="14"/>
      <c r="F35" s="68" t="s">
        <v>72</v>
      </c>
      <c r="G35" s="76" t="s">
        <v>73</v>
      </c>
      <c r="H35" s="19"/>
    </row>
    <row r="36" spans="5:8" x14ac:dyDescent="0.25">
      <c r="E36" s="14"/>
      <c r="F36" s="75" t="s">
        <v>74</v>
      </c>
      <c r="G36" s="76" t="s">
        <v>71</v>
      </c>
      <c r="H36" s="19"/>
    </row>
    <row r="37" spans="5:8" x14ac:dyDescent="0.25">
      <c r="E37" s="14"/>
      <c r="F37" s="75" t="s">
        <v>75</v>
      </c>
      <c r="G37" s="76">
        <v>1E-10</v>
      </c>
      <c r="H37" s="19"/>
    </row>
    <row r="38" spans="5:8" x14ac:dyDescent="0.25">
      <c r="E38" s="14"/>
      <c r="F38" s="75" t="s">
        <v>76</v>
      </c>
      <c r="G38" s="76">
        <v>1000</v>
      </c>
      <c r="H38" s="19"/>
    </row>
    <row r="39" spans="5:8" x14ac:dyDescent="0.25">
      <c r="E39" s="14"/>
      <c r="F39" s="75" t="s">
        <v>77</v>
      </c>
      <c r="G39" s="76" t="s">
        <v>78</v>
      </c>
      <c r="H39" s="19"/>
    </row>
    <row r="40" spans="5:8" x14ac:dyDescent="0.25">
      <c r="E40" s="14"/>
      <c r="F40" s="75" t="s">
        <v>79</v>
      </c>
      <c r="G40" s="76" t="b">
        <v>1</v>
      </c>
      <c r="H40" s="19"/>
    </row>
    <row r="41" spans="5:8" x14ac:dyDescent="0.25">
      <c r="E41" s="14"/>
      <c r="F41" s="78"/>
      <c r="G41" s="79"/>
      <c r="H41" s="19"/>
    </row>
    <row r="42" spans="5:8" x14ac:dyDescent="0.25">
      <c r="E42" s="57"/>
      <c r="F42" s="58"/>
      <c r="G42" s="58"/>
      <c r="H42" s="5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38"/>
  <sheetViews>
    <sheetView showGridLines="0" workbookViewId="0"/>
  </sheetViews>
  <sheetFormatPr defaultRowHeight="15" x14ac:dyDescent="0.25"/>
  <cols>
    <col min="3" max="3" width="25.28515625" bestFit="1" customWidth="1"/>
    <col min="4" max="4" width="25.7109375" customWidth="1"/>
    <col min="13" max="14" width="25.140625" bestFit="1" customWidth="1"/>
  </cols>
  <sheetData>
    <row r="3" spans="2:20" x14ac:dyDescent="0.25">
      <c r="B3" s="9"/>
      <c r="C3" s="10"/>
      <c r="D3" s="11"/>
      <c r="E3" s="12"/>
      <c r="F3" s="12"/>
      <c r="G3" s="12"/>
      <c r="H3" s="12"/>
      <c r="I3" s="12"/>
      <c r="J3" s="12"/>
      <c r="K3" s="13"/>
      <c r="M3" s="97" t="str">
        <f t="array" aca="1" ref="M3:T34" ca="1">_xll.meLWOCurveDisplay(D28)</f>
        <v>CURVEPROPERTIES</v>
      </c>
      <c r="N3" s="90" t="str">
        <f ca="1"/>
        <v/>
      </c>
      <c r="O3" s="90" t="str">
        <f ca="1"/>
        <v/>
      </c>
      <c r="P3" s="96" t="str">
        <f ca="1"/>
        <v>MARKETDATAPROPERTIES</v>
      </c>
      <c r="Q3" s="90" t="str">
        <f ca="1"/>
        <v/>
      </c>
      <c r="R3" s="90" t="str">
        <f ca="1"/>
        <v/>
      </c>
      <c r="S3" s="90" t="str">
        <f ca="1"/>
        <v/>
      </c>
      <c r="T3" s="91" t="str">
        <f ca="1"/>
        <v/>
      </c>
    </row>
    <row r="4" spans="2:20" x14ac:dyDescent="0.25">
      <c r="B4" s="14"/>
      <c r="C4" s="15" t="s">
        <v>19</v>
      </c>
      <c r="D4" s="16"/>
      <c r="E4" s="17"/>
      <c r="F4" s="15" t="s">
        <v>3</v>
      </c>
      <c r="G4" s="18"/>
      <c r="H4" s="17"/>
      <c r="I4" s="17"/>
      <c r="J4" s="17"/>
      <c r="K4" s="19"/>
      <c r="M4" s="92" t="str">
        <f ca="1"/>
        <v>CurveType</v>
      </c>
      <c r="N4" s="93" t="str">
        <f ca="1"/>
        <v>OIS</v>
      </c>
      <c r="O4" s="93" t="str">
        <f ca="1"/>
        <v/>
      </c>
      <c r="P4" s="93" t="str">
        <f ca="1"/>
        <v>Currency</v>
      </c>
      <c r="Q4" s="89" t="str">
        <f ca="1"/>
        <v>USD</v>
      </c>
      <c r="R4" s="93" t="str">
        <f ca="1"/>
        <v/>
      </c>
      <c r="S4" s="93" t="str">
        <f ca="1"/>
        <v/>
      </c>
      <c r="T4" s="94" t="str">
        <f ca="1"/>
        <v/>
      </c>
    </row>
    <row r="5" spans="2:20" x14ac:dyDescent="0.25">
      <c r="B5" s="14" t="s">
        <v>4</v>
      </c>
      <c r="C5" s="16"/>
      <c r="D5" s="16"/>
      <c r="E5" s="17" t="s">
        <v>4</v>
      </c>
      <c r="F5" s="20" t="s">
        <v>20</v>
      </c>
      <c r="G5" s="20" t="s">
        <v>21</v>
      </c>
      <c r="H5" s="20" t="s">
        <v>22</v>
      </c>
      <c r="I5" s="20" t="s">
        <v>23</v>
      </c>
      <c r="J5" s="20" t="s">
        <v>24</v>
      </c>
      <c r="K5" s="19"/>
      <c r="M5" s="92" t="str">
        <f ca="1"/>
        <v>CurveIndexFrequency</v>
      </c>
      <c r="N5" s="89" t="str">
        <f ca="1"/>
        <v>DAILY</v>
      </c>
      <c r="O5" s="93" t="str">
        <f ca="1"/>
        <v/>
      </c>
      <c r="P5" s="93" t="str">
        <f ca="1"/>
        <v>CurveType</v>
      </c>
      <c r="Q5" s="89" t="str">
        <f ca="1"/>
        <v>OIS</v>
      </c>
      <c r="R5" s="93" t="str">
        <f ca="1"/>
        <v/>
      </c>
      <c r="S5" s="93" t="str">
        <f ca="1"/>
        <v/>
      </c>
      <c r="T5" s="94" t="str">
        <f ca="1"/>
        <v/>
      </c>
    </row>
    <row r="6" spans="2:20" x14ac:dyDescent="0.25">
      <c r="B6" s="14"/>
      <c r="C6" s="21" t="s">
        <v>25</v>
      </c>
      <c r="D6" s="22" t="s">
        <v>26</v>
      </c>
      <c r="E6" s="17" t="s">
        <v>4</v>
      </c>
      <c r="F6" s="4" t="s">
        <v>9</v>
      </c>
      <c r="G6" s="23">
        <v>2.4E-2</v>
      </c>
      <c r="H6" s="24"/>
      <c r="I6" s="25"/>
      <c r="J6" s="26" t="b">
        <v>1</v>
      </c>
      <c r="K6" s="19"/>
      <c r="M6" s="92" t="str">
        <f ca="1"/>
        <v>StaticDataTable</v>
      </c>
      <c r="N6" s="89" t="str">
        <f ca="1"/>
        <v>OIS</v>
      </c>
      <c r="O6" s="93" t="str">
        <f ca="1"/>
        <v/>
      </c>
      <c r="P6" s="93" t="str">
        <f ca="1"/>
        <v>CurveIndexFrequency</v>
      </c>
      <c r="Q6" s="89" t="str">
        <f ca="1"/>
        <v>DAILY</v>
      </c>
      <c r="R6" s="93" t="str">
        <f ca="1"/>
        <v/>
      </c>
      <c r="S6" s="93" t="str">
        <f ca="1"/>
        <v/>
      </c>
      <c r="T6" s="94" t="str">
        <f ca="1"/>
        <v/>
      </c>
    </row>
    <row r="7" spans="2:20" x14ac:dyDescent="0.25">
      <c r="B7" s="14"/>
      <c r="C7" s="27" t="s">
        <v>5</v>
      </c>
      <c r="D7" s="28" t="s">
        <v>3</v>
      </c>
      <c r="E7" s="17" t="s">
        <v>4</v>
      </c>
      <c r="F7" s="5" t="s">
        <v>10</v>
      </c>
      <c r="G7" s="29">
        <v>1.7485000000000001E-2</v>
      </c>
      <c r="H7" s="25"/>
      <c r="I7" s="25"/>
      <c r="J7" s="26" t="b">
        <v>1</v>
      </c>
      <c r="K7" s="19"/>
      <c r="M7" s="92" t="str">
        <f ca="1"/>
        <v>IndexName</v>
      </c>
      <c r="N7" s="89" t="str">
        <f ca="1"/>
        <v>OIS:USDOIS</v>
      </c>
      <c r="O7" s="93" t="str">
        <f ca="1"/>
        <v/>
      </c>
      <c r="P7" s="93" t="str">
        <f ca="1"/>
        <v>AsOfDate</v>
      </c>
      <c r="Q7" s="89">
        <f ca="1"/>
        <v>43665</v>
      </c>
      <c r="R7" s="93" t="str">
        <f ca="1"/>
        <v/>
      </c>
      <c r="S7" s="93" t="str">
        <f ca="1"/>
        <v/>
      </c>
      <c r="T7" s="94" t="str">
        <f ca="1"/>
        <v/>
      </c>
    </row>
    <row r="8" spans="2:20" x14ac:dyDescent="0.25">
      <c r="B8" s="14"/>
      <c r="C8" s="27" t="s">
        <v>27</v>
      </c>
      <c r="D8" s="28" t="s">
        <v>28</v>
      </c>
      <c r="E8" s="17" t="s">
        <v>4</v>
      </c>
      <c r="F8" s="5" t="s">
        <v>11</v>
      </c>
      <c r="G8" s="29">
        <v>1.5765000000000001E-2</v>
      </c>
      <c r="H8" s="25"/>
      <c r="I8" s="25"/>
      <c r="J8" s="26" t="b">
        <v>1</v>
      </c>
      <c r="K8" s="19"/>
      <c r="M8" s="92" t="str">
        <f ca="1"/>
        <v>Currency</v>
      </c>
      <c r="N8" s="89" t="str">
        <f ca="1"/>
        <v>USD</v>
      </c>
      <c r="O8" s="93" t="str">
        <f ca="1"/>
        <v/>
      </c>
      <c r="P8" s="93" t="str">
        <f ca="1"/>
        <v/>
      </c>
      <c r="Q8" s="93" t="str">
        <f ca="1"/>
        <v/>
      </c>
      <c r="R8" s="93" t="str">
        <f ca="1"/>
        <v/>
      </c>
      <c r="S8" s="93" t="str">
        <f ca="1"/>
        <v/>
      </c>
      <c r="T8" s="94" t="str">
        <f ca="1"/>
        <v/>
      </c>
    </row>
    <row r="9" spans="2:20" x14ac:dyDescent="0.25">
      <c r="B9" s="14"/>
      <c r="C9" s="30" t="s">
        <v>2</v>
      </c>
      <c r="D9" s="31">
        <f ca="1">Settings.COB</f>
        <v>43665</v>
      </c>
      <c r="E9" s="17" t="s">
        <v>4</v>
      </c>
      <c r="F9" s="5" t="s">
        <v>12</v>
      </c>
      <c r="G9" s="29">
        <v>1.532E-2</v>
      </c>
      <c r="H9" s="25"/>
      <c r="I9" s="25"/>
      <c r="J9" s="26" t="b">
        <v>1</v>
      </c>
      <c r="K9" s="19"/>
      <c r="M9" s="92" t="str">
        <f ca="1"/>
        <v>interpolation</v>
      </c>
      <c r="N9" s="89" t="str">
        <f ca="1"/>
        <v>FN_SPLINEINTERPOLATION</v>
      </c>
      <c r="O9" s="93" t="str">
        <f ca="1"/>
        <v/>
      </c>
      <c r="P9" s="95" t="str">
        <f ca="1"/>
        <v>OIS</v>
      </c>
      <c r="Q9" s="93" t="str">
        <f ca="1"/>
        <v/>
      </c>
      <c r="R9" s="93" t="str">
        <f ca="1"/>
        <v/>
      </c>
      <c r="S9" s="93" t="str">
        <f ca="1"/>
        <v/>
      </c>
      <c r="T9" s="94" t="str">
        <f ca="1"/>
        <v/>
      </c>
    </row>
    <row r="10" spans="2:20" x14ac:dyDescent="0.25">
      <c r="B10" s="14"/>
      <c r="C10" s="16"/>
      <c r="D10" s="16"/>
      <c r="E10" s="17" t="s">
        <v>4</v>
      </c>
      <c r="F10" s="5" t="s">
        <v>13</v>
      </c>
      <c r="G10" s="29">
        <v>1.516E-2</v>
      </c>
      <c r="H10" s="25"/>
      <c r="I10" s="25"/>
      <c r="J10" s="26" t="b">
        <v>1</v>
      </c>
      <c r="K10" s="19"/>
      <c r="M10" s="92" t="str">
        <f ca="1"/>
        <v>yieldgen.interpolation</v>
      </c>
      <c r="N10" s="89" t="str">
        <f ca="1"/>
        <v>FN_SPLINEINTERPOLATION</v>
      </c>
      <c r="O10" s="93" t="str">
        <f ca="1"/>
        <v/>
      </c>
      <c r="P10" s="93" t="str">
        <f ca="1"/>
        <v>ON</v>
      </c>
      <c r="Q10" s="99">
        <f ca="1"/>
        <v>2.4E-2</v>
      </c>
      <c r="R10" s="93" t="str">
        <f ca="1"/>
        <v/>
      </c>
      <c r="S10" s="93" t="str">
        <f ca="1"/>
        <v/>
      </c>
      <c r="T10" s="94" t="str">
        <f ca="1"/>
        <v>TRUE</v>
      </c>
    </row>
    <row r="11" spans="2:20" x14ac:dyDescent="0.25">
      <c r="B11" s="14"/>
      <c r="C11" s="17"/>
      <c r="D11" s="17"/>
      <c r="E11" s="17" t="s">
        <v>4</v>
      </c>
      <c r="F11" s="5" t="s">
        <v>14</v>
      </c>
      <c r="G11" s="29">
        <v>1.532E-2</v>
      </c>
      <c r="H11" s="25"/>
      <c r="I11" s="25"/>
      <c r="J11" s="26" t="b">
        <v>1</v>
      </c>
      <c r="K11" s="19"/>
      <c r="M11" s="92" t="str">
        <f ca="1"/>
        <v>JacobianBuildFrequency</v>
      </c>
      <c r="N11" s="89" t="str">
        <f ca="1"/>
        <v>ALWAYS</v>
      </c>
      <c r="O11" s="93" t="str">
        <f ca="1"/>
        <v/>
      </c>
      <c r="P11" s="93" t="str">
        <f ca="1"/>
        <v>1Y</v>
      </c>
      <c r="Q11" s="99">
        <f ca="1"/>
        <v>1.7485000000000001E-2</v>
      </c>
      <c r="R11" s="93" t="str">
        <f ca="1"/>
        <v/>
      </c>
      <c r="S11" s="93" t="str">
        <f ca="1"/>
        <v/>
      </c>
      <c r="T11" s="94" t="str">
        <f ca="1"/>
        <v>TRUE</v>
      </c>
    </row>
    <row r="12" spans="2:20" x14ac:dyDescent="0.25">
      <c r="B12" s="14"/>
      <c r="C12" s="37" t="s">
        <v>29</v>
      </c>
      <c r="D12" s="16"/>
      <c r="E12" s="17" t="s">
        <v>4</v>
      </c>
      <c r="F12" s="5"/>
      <c r="G12" s="29"/>
      <c r="H12" s="25"/>
      <c r="I12" s="25"/>
      <c r="J12" s="26"/>
      <c r="K12" s="19"/>
      <c r="M12" s="92" t="str">
        <f ca="1"/>
        <v>JacobianShiftType</v>
      </c>
      <c r="N12" s="89" t="str">
        <f ca="1"/>
        <v>FLAT_SHIFT</v>
      </c>
      <c r="O12" s="93" t="str">
        <f ca="1"/>
        <v/>
      </c>
      <c r="P12" s="93" t="str">
        <f ca="1"/>
        <v>2Y</v>
      </c>
      <c r="Q12" s="99">
        <f ca="1"/>
        <v>1.5765000000000001E-2</v>
      </c>
      <c r="R12" s="93" t="str">
        <f ca="1"/>
        <v/>
      </c>
      <c r="S12" s="93" t="str">
        <f ca="1"/>
        <v/>
      </c>
      <c r="T12" s="94" t="str">
        <f ca="1"/>
        <v>TRUE</v>
      </c>
    </row>
    <row r="13" spans="2:20" x14ac:dyDescent="0.25">
      <c r="B13" s="14"/>
      <c r="C13" s="32" t="s">
        <v>30</v>
      </c>
      <c r="D13" s="33" t="s">
        <v>31</v>
      </c>
      <c r="E13" s="17" t="s">
        <v>4</v>
      </c>
      <c r="F13" s="5"/>
      <c r="G13" s="29"/>
      <c r="H13" s="25"/>
      <c r="I13" s="25"/>
      <c r="J13" s="26"/>
      <c r="K13" s="19"/>
      <c r="M13" s="92" t="str">
        <f ca="1"/>
        <v>JacobianRiskType</v>
      </c>
      <c r="N13" s="89" t="str">
        <f ca="1"/>
        <v>DISCOUNT_FACTORS</v>
      </c>
      <c r="O13" s="93" t="str">
        <f ca="1"/>
        <v/>
      </c>
      <c r="P13" s="93" t="str">
        <f ca="1"/>
        <v>3Y</v>
      </c>
      <c r="Q13" s="99">
        <f ca="1"/>
        <v>1.532E-2</v>
      </c>
      <c r="R13" s="93" t="str">
        <f ca="1"/>
        <v/>
      </c>
      <c r="S13" s="93" t="str">
        <f ca="1"/>
        <v/>
      </c>
      <c r="T13" s="94" t="str">
        <f ca="1"/>
        <v>TRUE</v>
      </c>
    </row>
    <row r="14" spans="2:20" x14ac:dyDescent="0.25">
      <c r="B14" s="14"/>
      <c r="C14" s="34" t="s">
        <v>32</v>
      </c>
      <c r="D14" s="35" t="str">
        <f ca="1">_xll.meLWOCurveMarketDataCreate(D13,C4,C6:D9,F4,F6:J32)</f>
        <v>USD_OIS_CURVE:0</v>
      </c>
      <c r="E14" s="17" t="s">
        <v>4</v>
      </c>
      <c r="F14" s="5"/>
      <c r="G14" s="29"/>
      <c r="H14" s="25"/>
      <c r="I14" s="25"/>
      <c r="J14" s="26"/>
      <c r="K14" s="19"/>
      <c r="M14" s="92" t="str">
        <f ca="1"/>
        <v>JacobianGradientShiftSize</v>
      </c>
      <c r="N14" s="89">
        <f ca="1"/>
        <v>1E-4</v>
      </c>
      <c r="O14" s="93" t="str">
        <f ca="1"/>
        <v/>
      </c>
      <c r="P14" s="93" t="str">
        <f ca="1"/>
        <v>4Y</v>
      </c>
      <c r="Q14" s="99">
        <f ca="1"/>
        <v>1.516E-2</v>
      </c>
      <c r="R14" s="93" t="str">
        <f ca="1"/>
        <v/>
      </c>
      <c r="S14" s="93" t="str">
        <f ca="1"/>
        <v/>
      </c>
      <c r="T14" s="94" t="str">
        <f ca="1"/>
        <v>TRUE</v>
      </c>
    </row>
    <row r="15" spans="2:20" x14ac:dyDescent="0.25">
      <c r="B15" s="14"/>
      <c r="C15" s="36"/>
      <c r="D15" s="16"/>
      <c r="E15" s="17" t="s">
        <v>4</v>
      </c>
      <c r="F15" s="5"/>
      <c r="G15" s="29"/>
      <c r="H15" s="25"/>
      <c r="I15" s="25"/>
      <c r="J15" s="26"/>
      <c r="K15" s="19"/>
      <c r="M15" s="104" t="str">
        <f ca="1"/>
        <v>JacobianMarketDataShiftSize</v>
      </c>
      <c r="N15" s="89">
        <f ca="1"/>
        <v>1E-4</v>
      </c>
      <c r="O15" s="93" t="str">
        <f ca="1"/>
        <v/>
      </c>
      <c r="P15" s="93" t="str">
        <f ca="1"/>
        <v>5Y</v>
      </c>
      <c r="Q15" s="99">
        <f ca="1"/>
        <v>1.532E-2</v>
      </c>
      <c r="R15" s="93" t="str">
        <f ca="1"/>
        <v/>
      </c>
      <c r="S15" s="93" t="str">
        <f ca="1"/>
        <v/>
      </c>
      <c r="T15" s="94" t="str">
        <f ca="1"/>
        <v>TRUE</v>
      </c>
    </row>
    <row r="16" spans="2:20" x14ac:dyDescent="0.25">
      <c r="B16" s="14"/>
      <c r="C16" s="36"/>
      <c r="D16" s="16"/>
      <c r="E16" s="17" t="s">
        <v>4</v>
      </c>
      <c r="F16" s="5"/>
      <c r="G16" s="29"/>
      <c r="H16" s="25"/>
      <c r="I16" s="25"/>
      <c r="J16" s="26"/>
      <c r="K16" s="19"/>
      <c r="M16" s="92" t="str">
        <f ca="1"/>
        <v/>
      </c>
      <c r="N16" s="89" t="str">
        <f ca="1"/>
        <v/>
      </c>
      <c r="O16" s="93" t="str">
        <f ca="1"/>
        <v/>
      </c>
      <c r="P16" s="93" t="str">
        <f ca="1"/>
        <v/>
      </c>
      <c r="Q16" s="93" t="str">
        <f ca="1"/>
        <v/>
      </c>
      <c r="R16" s="93" t="str">
        <f ca="1"/>
        <v/>
      </c>
      <c r="S16" s="93" t="str">
        <f ca="1"/>
        <v/>
      </c>
      <c r="T16" s="94" t="str">
        <f ca="1"/>
        <v/>
      </c>
    </row>
    <row r="17" spans="2:20" x14ac:dyDescent="0.25">
      <c r="B17" s="14"/>
      <c r="C17" s="36"/>
      <c r="D17" s="16"/>
      <c r="E17" s="17" t="s">
        <v>4</v>
      </c>
      <c r="F17" s="5"/>
      <c r="G17" s="29"/>
      <c r="H17" s="25"/>
      <c r="I17" s="25"/>
      <c r="J17" s="26"/>
      <c r="K17" s="19"/>
      <c r="M17" s="98" t="str">
        <f ca="1"/>
        <v>OIS</v>
      </c>
      <c r="N17" s="89" t="str">
        <f ca="1"/>
        <v/>
      </c>
      <c r="O17" s="93" t="str">
        <f ca="1"/>
        <v/>
      </c>
      <c r="P17" s="93" t="str">
        <f ca="1"/>
        <v/>
      </c>
      <c r="Q17" s="93" t="str">
        <f ca="1"/>
        <v/>
      </c>
      <c r="R17" s="93" t="str">
        <f ca="1"/>
        <v/>
      </c>
      <c r="S17" s="93" t="str">
        <f ca="1"/>
        <v/>
      </c>
      <c r="T17" s="94" t="str">
        <f ca="1"/>
        <v/>
      </c>
    </row>
    <row r="18" spans="2:20" x14ac:dyDescent="0.25">
      <c r="B18" s="14"/>
      <c r="C18" s="36"/>
      <c r="D18" s="16"/>
      <c r="E18" s="17" t="s">
        <v>4</v>
      </c>
      <c r="F18" s="5"/>
      <c r="G18" s="29"/>
      <c r="H18" s="25"/>
      <c r="I18" s="25"/>
      <c r="J18" s="26"/>
      <c r="K18" s="19"/>
      <c r="M18" s="92" t="str">
        <f ca="1"/>
        <v>calendar</v>
      </c>
      <c r="N18" s="89" t="str">
        <f ca="1"/>
        <v>NYB</v>
      </c>
      <c r="O18" s="93" t="str">
        <f ca="1"/>
        <v/>
      </c>
      <c r="P18" s="93" t="str">
        <f ca="1"/>
        <v/>
      </c>
      <c r="Q18" s="93" t="str">
        <f ca="1"/>
        <v/>
      </c>
      <c r="R18" s="93" t="str">
        <f ca="1"/>
        <v/>
      </c>
      <c r="S18" s="93" t="str">
        <f ca="1"/>
        <v/>
      </c>
      <c r="T18" s="94" t="str">
        <f ca="1"/>
        <v/>
      </c>
    </row>
    <row r="19" spans="2:20" x14ac:dyDescent="0.25">
      <c r="B19" s="14"/>
      <c r="C19" s="36"/>
      <c r="D19" s="16"/>
      <c r="E19" s="17" t="s">
        <v>4</v>
      </c>
      <c r="F19" s="5"/>
      <c r="G19" s="29"/>
      <c r="H19" s="25"/>
      <c r="I19" s="25"/>
      <c r="J19" s="26"/>
      <c r="K19" s="19"/>
      <c r="M19" s="92" t="str">
        <f ca="1"/>
        <v>daycount</v>
      </c>
      <c r="N19" s="89" t="str">
        <f ca="1"/>
        <v>ACT/360</v>
      </c>
      <c r="O19" s="93" t="str">
        <f ca="1"/>
        <v/>
      </c>
      <c r="P19" s="93" t="str">
        <f ca="1"/>
        <v/>
      </c>
      <c r="Q19" s="93" t="str">
        <f ca="1"/>
        <v/>
      </c>
      <c r="R19" s="93" t="str">
        <f ca="1"/>
        <v/>
      </c>
      <c r="S19" s="93" t="str">
        <f ca="1"/>
        <v/>
      </c>
      <c r="T19" s="94" t="str">
        <f ca="1"/>
        <v/>
      </c>
    </row>
    <row r="20" spans="2:20" x14ac:dyDescent="0.25">
      <c r="B20" s="14"/>
      <c r="C20" s="37" t="s">
        <v>33</v>
      </c>
      <c r="D20" s="16"/>
      <c r="E20" s="17" t="s">
        <v>4</v>
      </c>
      <c r="F20" s="5"/>
      <c r="G20" s="29"/>
      <c r="H20" s="25"/>
      <c r="I20" s="25"/>
      <c r="J20" s="26"/>
      <c r="K20" s="19"/>
      <c r="M20" s="92" t="str">
        <f ca="1"/>
        <v>frequency</v>
      </c>
      <c r="N20" s="89" t="str">
        <f ca="1"/>
        <v>ANNUAL</v>
      </c>
      <c r="O20" s="93" t="str">
        <f ca="1"/>
        <v/>
      </c>
      <c r="P20" s="93" t="str">
        <f ca="1"/>
        <v/>
      </c>
      <c r="Q20" s="93" t="str">
        <f ca="1"/>
        <v/>
      </c>
      <c r="R20" s="93" t="str">
        <f ca="1"/>
        <v/>
      </c>
      <c r="S20" s="93" t="str">
        <f ca="1"/>
        <v/>
      </c>
      <c r="T20" s="94" t="str">
        <f ca="1"/>
        <v/>
      </c>
    </row>
    <row r="21" spans="2:20" x14ac:dyDescent="0.25">
      <c r="B21" s="14"/>
      <c r="C21" s="38" t="s">
        <v>30</v>
      </c>
      <c r="D21" s="39" t="s">
        <v>82</v>
      </c>
      <c r="E21" s="17" t="s">
        <v>4</v>
      </c>
      <c r="F21" s="5"/>
      <c r="G21" s="29"/>
      <c r="H21" s="25"/>
      <c r="I21" s="25"/>
      <c r="J21" s="26"/>
      <c r="K21" s="19"/>
      <c r="M21" s="92" t="str">
        <f ca="1"/>
        <v>generatemethod</v>
      </c>
      <c r="N21" s="89" t="str">
        <f ca="1"/>
        <v>DAILYCOMPOUNDING</v>
      </c>
      <c r="O21" s="93" t="str">
        <f ca="1"/>
        <v/>
      </c>
      <c r="P21" s="93" t="str">
        <f ca="1"/>
        <v/>
      </c>
      <c r="Q21" s="93" t="str">
        <f ca="1"/>
        <v/>
      </c>
      <c r="R21" s="93" t="str">
        <f ca="1"/>
        <v/>
      </c>
      <c r="S21" s="93" t="str">
        <f ca="1"/>
        <v/>
      </c>
      <c r="T21" s="94" t="str">
        <f ca="1"/>
        <v/>
      </c>
    </row>
    <row r="22" spans="2:20" x14ac:dyDescent="0.25">
      <c r="B22" s="14"/>
      <c r="C22" s="40" t="s">
        <v>34</v>
      </c>
      <c r="D22" s="41" t="str">
        <f ca="1">Settings!$G$5</f>
        <v>USD_OIS_CURVE_WITH_RISK@3:1</v>
      </c>
      <c r="E22" s="17" t="s">
        <v>4</v>
      </c>
      <c r="F22" s="5"/>
      <c r="G22" s="29"/>
      <c r="H22" s="25"/>
      <c r="I22" s="25"/>
      <c r="J22" s="26"/>
      <c r="K22" s="19"/>
      <c r="M22" s="92" t="str">
        <f ca="1"/>
        <v>resetlag</v>
      </c>
      <c r="N22" s="89" t="str">
        <f ca="1"/>
        <v>2D</v>
      </c>
      <c r="O22" s="93" t="str">
        <f ca="1"/>
        <v/>
      </c>
      <c r="P22" s="93" t="str">
        <f ca="1"/>
        <v/>
      </c>
      <c r="Q22" s="93" t="str">
        <f ca="1"/>
        <v/>
      </c>
      <c r="R22" s="93" t="str">
        <f ca="1"/>
        <v/>
      </c>
      <c r="S22" s="93" t="str">
        <f ca="1"/>
        <v/>
      </c>
      <c r="T22" s="94" t="str">
        <f ca="1"/>
        <v/>
      </c>
    </row>
    <row r="23" spans="2:20" x14ac:dyDescent="0.25">
      <c r="B23" s="14"/>
      <c r="C23" s="40" t="s">
        <v>35</v>
      </c>
      <c r="D23" s="42" t="s">
        <v>45</v>
      </c>
      <c r="E23" s="17" t="s">
        <v>4</v>
      </c>
      <c r="F23" s="5"/>
      <c r="G23" s="29"/>
      <c r="H23" s="25"/>
      <c r="I23" s="25"/>
      <c r="J23" s="26"/>
      <c r="K23" s="19"/>
      <c r="M23" s="92" t="str">
        <f ca="1"/>
        <v>firstrate</v>
      </c>
      <c r="N23" s="89" t="str">
        <f ca="1"/>
        <v>SHORTMARKET</v>
      </c>
      <c r="O23" s="93" t="str">
        <f ca="1"/>
        <v/>
      </c>
      <c r="P23" s="93" t="str">
        <f ca="1"/>
        <v/>
      </c>
      <c r="Q23" s="93" t="str">
        <f ca="1"/>
        <v/>
      </c>
      <c r="R23" s="93" t="str">
        <f ca="1"/>
        <v/>
      </c>
      <c r="S23" s="93" t="str">
        <f ca="1"/>
        <v/>
      </c>
      <c r="T23" s="94" t="str">
        <f ca="1"/>
        <v/>
      </c>
    </row>
    <row r="24" spans="2:20" x14ac:dyDescent="0.25">
      <c r="B24" s="14"/>
      <c r="C24" s="43" t="s">
        <v>36</v>
      </c>
      <c r="D24" s="44"/>
      <c r="E24" s="17" t="s">
        <v>4</v>
      </c>
      <c r="F24" s="5"/>
      <c r="G24" s="29"/>
      <c r="H24" s="25"/>
      <c r="I24" s="25"/>
      <c r="J24" s="26"/>
      <c r="K24" s="19"/>
      <c r="M24" s="92" t="str">
        <f ca="1"/>
        <v>slidingrule</v>
      </c>
      <c r="N24" s="89" t="str">
        <f ca="1"/>
        <v>MOD_FOLLOWING</v>
      </c>
      <c r="O24" s="93" t="str">
        <f ca="1"/>
        <v/>
      </c>
      <c r="P24" s="93" t="str">
        <f ca="1"/>
        <v/>
      </c>
      <c r="Q24" s="93" t="str">
        <f ca="1"/>
        <v/>
      </c>
      <c r="R24" s="93" t="str">
        <f ca="1"/>
        <v/>
      </c>
      <c r="S24" s="93" t="str">
        <f ca="1"/>
        <v/>
      </c>
      <c r="T24" s="94" t="str">
        <f ca="1"/>
        <v/>
      </c>
    </row>
    <row r="25" spans="2:20" x14ac:dyDescent="0.25">
      <c r="B25" s="14"/>
      <c r="C25" s="17"/>
      <c r="D25" s="17"/>
      <c r="E25" s="17" t="s">
        <v>4</v>
      </c>
      <c r="F25" s="5"/>
      <c r="G25" s="29"/>
      <c r="H25" s="25"/>
      <c r="I25" s="25"/>
      <c r="J25" s="26"/>
      <c r="K25" s="19"/>
      <c r="M25" s="92" t="str">
        <f ca="1"/>
        <v>eomday</v>
      </c>
      <c r="N25" s="89">
        <f ca="1"/>
        <v>31</v>
      </c>
      <c r="O25" s="93" t="str">
        <f ca="1"/>
        <v/>
      </c>
      <c r="P25" s="93" t="str">
        <f ca="1"/>
        <v/>
      </c>
      <c r="Q25" s="93" t="str">
        <f ca="1"/>
        <v/>
      </c>
      <c r="R25" s="93" t="str">
        <f ca="1"/>
        <v/>
      </c>
      <c r="S25" s="93" t="str">
        <f ca="1"/>
        <v/>
      </c>
      <c r="T25" s="94" t="str">
        <f ca="1"/>
        <v/>
      </c>
    </row>
    <row r="26" spans="2:20" x14ac:dyDescent="0.25">
      <c r="B26" s="14"/>
      <c r="C26" s="17"/>
      <c r="D26" s="17"/>
      <c r="E26" s="17" t="s">
        <v>4</v>
      </c>
      <c r="F26" s="5"/>
      <c r="G26" s="29"/>
      <c r="H26" s="25"/>
      <c r="I26" s="25"/>
      <c r="J26" s="26"/>
      <c r="K26" s="19"/>
      <c r="M26" s="92" t="str">
        <f ca="1"/>
        <v>iseomroll</v>
      </c>
      <c r="N26" s="89" t="str">
        <f ca="1"/>
        <v>TRUE</v>
      </c>
      <c r="O26" s="93" t="str">
        <f ca="1"/>
        <v/>
      </c>
      <c r="P26" s="93" t="str">
        <f ca="1"/>
        <v/>
      </c>
      <c r="Q26" s="93" t="str">
        <f ca="1"/>
        <v/>
      </c>
      <c r="R26" s="93" t="str">
        <f ca="1"/>
        <v/>
      </c>
      <c r="S26" s="93" t="str">
        <f ca="1"/>
        <v/>
      </c>
      <c r="T26" s="94" t="str">
        <f ca="1"/>
        <v/>
      </c>
    </row>
    <row r="27" spans="2:20" x14ac:dyDescent="0.25">
      <c r="B27" s="14"/>
      <c r="C27" s="37" t="s">
        <v>37</v>
      </c>
      <c r="D27" s="17"/>
      <c r="E27" s="17" t="s">
        <v>4</v>
      </c>
      <c r="F27" s="5"/>
      <c r="G27" s="29"/>
      <c r="H27" s="25"/>
      <c r="I27" s="25"/>
      <c r="J27" s="26"/>
      <c r="K27" s="19"/>
      <c r="M27" s="92" t="str">
        <f ca="1"/>
        <v>shorttermconvention</v>
      </c>
      <c r="N27" s="89" t="str">
        <f ca="1"/>
        <v>ARITHMETICAVERAGE</v>
      </c>
      <c r="O27" s="93" t="str">
        <f ca="1"/>
        <v/>
      </c>
      <c r="P27" s="93" t="str">
        <f ca="1"/>
        <v/>
      </c>
      <c r="Q27" s="93" t="str">
        <f ca="1"/>
        <v/>
      </c>
      <c r="R27" s="93" t="str">
        <f ca="1"/>
        <v/>
      </c>
      <c r="S27" s="93" t="str">
        <f ca="1"/>
        <v/>
      </c>
      <c r="T27" s="94" t="str">
        <f ca="1"/>
        <v/>
      </c>
    </row>
    <row r="28" spans="2:20" x14ac:dyDescent="0.25">
      <c r="B28" s="14"/>
      <c r="C28" s="45" t="s">
        <v>30</v>
      </c>
      <c r="D28" s="46" t="str">
        <f t="array" aca="1" ref="D28:D31" ca="1">_xll.meLWOCurveCalibrate(D21,D22,D14,D23,D24)</f>
        <v>USD_OIS_ORIGINAL@2:1</v>
      </c>
      <c r="E28" s="17" t="s">
        <v>4</v>
      </c>
      <c r="F28" s="5"/>
      <c r="G28" s="29"/>
      <c r="H28" s="25"/>
      <c r="I28" s="25"/>
      <c r="J28" s="26"/>
      <c r="K28" s="19"/>
      <c r="M28" s="92" t="str">
        <f ca="1"/>
        <v>longtermconvention</v>
      </c>
      <c r="N28" s="89" t="str">
        <f ca="1"/>
        <v>NONE</v>
      </c>
      <c r="O28" s="93" t="str">
        <f ca="1"/>
        <v/>
      </c>
      <c r="P28" s="93" t="str">
        <f ca="1"/>
        <v/>
      </c>
      <c r="Q28" s="93" t="str">
        <f ca="1"/>
        <v/>
      </c>
      <c r="R28" s="93" t="str">
        <f ca="1"/>
        <v/>
      </c>
      <c r="S28" s="93" t="str">
        <f ca="1"/>
        <v/>
      </c>
      <c r="T28" s="94" t="str">
        <f ca="1"/>
        <v/>
      </c>
    </row>
    <row r="29" spans="2:20" x14ac:dyDescent="0.25">
      <c r="B29" s="14"/>
      <c r="C29" s="49" t="s">
        <v>38</v>
      </c>
      <c r="D29" s="47" t="str">
        <f ca="1"/>
        <v>USDYC_ORIGINAL</v>
      </c>
      <c r="E29" s="17" t="s">
        <v>4</v>
      </c>
      <c r="F29" s="5"/>
      <c r="G29" s="29"/>
      <c r="H29" s="25"/>
      <c r="I29" s="25"/>
      <c r="J29" s="26"/>
      <c r="K29" s="19"/>
      <c r="M29" s="92" t="str">
        <f ca="1"/>
        <v>longterm</v>
      </c>
      <c r="N29" s="89" t="str">
        <f ca="1"/>
        <v>100Y</v>
      </c>
      <c r="O29" s="93" t="str">
        <f ca="1"/>
        <v/>
      </c>
      <c r="P29" s="93" t="str">
        <f ca="1"/>
        <v/>
      </c>
      <c r="Q29" s="93" t="str">
        <f ca="1"/>
        <v/>
      </c>
      <c r="R29" s="93" t="str">
        <f ca="1"/>
        <v/>
      </c>
      <c r="S29" s="93" t="str">
        <f ca="1"/>
        <v/>
      </c>
      <c r="T29" s="94" t="str">
        <f ca="1"/>
        <v/>
      </c>
    </row>
    <row r="30" spans="2:20" x14ac:dyDescent="0.25">
      <c r="B30" s="14"/>
      <c r="C30" s="49" t="s">
        <v>39</v>
      </c>
      <c r="D30" s="47" t="str">
        <f ca="1"/>
        <v>OIS:USDOIS</v>
      </c>
      <c r="E30" s="17" t="s">
        <v>4</v>
      </c>
      <c r="F30" s="5"/>
      <c r="G30" s="29"/>
      <c r="H30" s="25"/>
      <c r="I30" s="25"/>
      <c r="J30" s="26"/>
      <c r="K30" s="19"/>
      <c r="M30" s="92" t="str">
        <f ca="1"/>
        <v>longterm.generatemethod</v>
      </c>
      <c r="N30" s="89" t="str">
        <f ca="1"/>
        <v>NONE</v>
      </c>
      <c r="O30" s="93" t="str">
        <f ca="1"/>
        <v/>
      </c>
      <c r="P30" s="93" t="str">
        <f ca="1"/>
        <v/>
      </c>
      <c r="Q30" s="93" t="str">
        <f ca="1"/>
        <v/>
      </c>
      <c r="R30" s="93" t="str">
        <f ca="1"/>
        <v/>
      </c>
      <c r="S30" s="93" t="str">
        <f ca="1"/>
        <v/>
      </c>
      <c r="T30" s="94" t="str">
        <f ca="1"/>
        <v/>
      </c>
    </row>
    <row r="31" spans="2:20" x14ac:dyDescent="0.25">
      <c r="B31" s="14"/>
      <c r="C31" s="50" t="s">
        <v>40</v>
      </c>
      <c r="D31" s="48" t="str">
        <f ca="1"/>
        <v>0.00500 sec</v>
      </c>
      <c r="E31" s="17" t="s">
        <v>4</v>
      </c>
      <c r="F31" s="5"/>
      <c r="G31" s="29"/>
      <c r="H31" s="25"/>
      <c r="I31" s="25"/>
      <c r="J31" s="26"/>
      <c r="K31" s="19"/>
      <c r="M31" s="92" t="str">
        <f ca="1"/>
        <v>Epsilon</v>
      </c>
      <c r="N31" s="89">
        <f ca="1"/>
        <v>1E-10</v>
      </c>
      <c r="O31" s="93" t="str">
        <f ca="1"/>
        <v/>
      </c>
      <c r="P31" s="93" t="str">
        <f ca="1"/>
        <v/>
      </c>
      <c r="Q31" s="93" t="str">
        <f ca="1"/>
        <v/>
      </c>
      <c r="R31" s="93" t="str">
        <f ca="1"/>
        <v/>
      </c>
      <c r="S31" s="93" t="str">
        <f ca="1"/>
        <v/>
      </c>
      <c r="T31" s="94" t="str">
        <f ca="1"/>
        <v/>
      </c>
    </row>
    <row r="32" spans="2:20" x14ac:dyDescent="0.25">
      <c r="B32" s="14"/>
      <c r="C32" s="51" t="s">
        <v>41</v>
      </c>
      <c r="D32" s="52" t="b">
        <f ca="1">_xll.meLWOExists(D28,"CURVE")</f>
        <v>1</v>
      </c>
      <c r="E32" s="17"/>
      <c r="F32" s="53"/>
      <c r="G32" s="54"/>
      <c r="H32" s="55"/>
      <c r="I32" s="55"/>
      <c r="J32" s="56"/>
      <c r="K32" s="19"/>
      <c r="M32" s="105" t="str">
        <f ca="1"/>
        <v>MaxLoop</v>
      </c>
      <c r="N32" s="89">
        <f ca="1"/>
        <v>1000</v>
      </c>
      <c r="O32" s="93" t="str">
        <f ca="1"/>
        <v/>
      </c>
      <c r="P32" s="93" t="str">
        <f ca="1"/>
        <v/>
      </c>
      <c r="Q32" s="93" t="str">
        <f ca="1"/>
        <v/>
      </c>
      <c r="R32" s="93" t="str">
        <f ca="1"/>
        <v/>
      </c>
      <c r="S32" s="93" t="str">
        <f ca="1"/>
        <v/>
      </c>
      <c r="T32" s="106" t="str">
        <f ca="1"/>
        <v/>
      </c>
    </row>
    <row r="33" spans="2:20" x14ac:dyDescent="0.25">
      <c r="B33" s="14"/>
      <c r="C33" s="17"/>
      <c r="D33" s="17"/>
      <c r="E33" s="17"/>
      <c r="F33" s="17"/>
      <c r="G33" s="17"/>
      <c r="H33" s="17"/>
      <c r="I33" s="17"/>
      <c r="J33" s="17"/>
      <c r="K33" s="19"/>
      <c r="M33" s="107" t="str">
        <f ca="1"/>
        <v>CompoundingMethod</v>
      </c>
      <c r="N33" s="108" t="str">
        <f ca="1"/>
        <v>ARITHMETIC</v>
      </c>
      <c r="O33" s="108" t="str">
        <f ca="1"/>
        <v/>
      </c>
      <c r="P33" s="108" t="str">
        <f ca="1"/>
        <v/>
      </c>
      <c r="Q33" s="108" t="str">
        <f ca="1"/>
        <v/>
      </c>
      <c r="R33" s="108" t="str">
        <f ca="1"/>
        <v/>
      </c>
      <c r="S33" s="108" t="str">
        <f ca="1"/>
        <v/>
      </c>
      <c r="T33" s="109" t="str">
        <f ca="1"/>
        <v/>
      </c>
    </row>
    <row r="34" spans="2:20" x14ac:dyDescent="0.25">
      <c r="B34" s="57"/>
      <c r="C34" s="58"/>
      <c r="D34" s="58"/>
      <c r="E34" s="58"/>
      <c r="F34" s="58"/>
      <c r="G34" s="58"/>
      <c r="H34" s="58"/>
      <c r="I34" s="58"/>
      <c r="J34" s="58"/>
      <c r="K34" s="59"/>
      <c r="M34" s="110" t="str">
        <f ca="1"/>
        <v>SmoothShortEnd</v>
      </c>
      <c r="N34" s="111" t="str">
        <f ca="1"/>
        <v>TRUE</v>
      </c>
      <c r="O34" s="111" t="str">
        <f ca="1"/>
        <v/>
      </c>
      <c r="P34" s="111" t="str">
        <f ca="1"/>
        <v/>
      </c>
      <c r="Q34" s="111" t="str">
        <f ca="1"/>
        <v/>
      </c>
      <c r="R34" s="111" t="str">
        <f ca="1"/>
        <v/>
      </c>
      <c r="S34" s="111" t="str">
        <f ca="1"/>
        <v/>
      </c>
      <c r="T34" s="112" t="str">
        <f ca="1"/>
        <v/>
      </c>
    </row>
    <row r="37" spans="2:20" x14ac:dyDescent="0.25">
      <c r="M37" s="1" t="s">
        <v>101</v>
      </c>
    </row>
    <row r="38" spans="2:20" x14ac:dyDescent="0.25">
      <c r="M38" t="s">
        <v>105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6"/>
  <sheetViews>
    <sheetView showGridLines="0" workbookViewId="0"/>
  </sheetViews>
  <sheetFormatPr defaultRowHeight="15" x14ac:dyDescent="0.25"/>
  <cols>
    <col min="3" max="3" width="25.28515625" bestFit="1" customWidth="1"/>
    <col min="4" max="4" width="21.85546875" customWidth="1"/>
    <col min="6" max="6" width="11" customWidth="1"/>
    <col min="7" max="7" width="17.140625" customWidth="1"/>
  </cols>
  <sheetData>
    <row r="2" spans="2:11" x14ac:dyDescent="0.25">
      <c r="C2" t="s">
        <v>18</v>
      </c>
      <c r="D2" s="102">
        <v>1E-4</v>
      </c>
      <c r="F2" t="s">
        <v>15</v>
      </c>
      <c r="G2" s="6" t="s">
        <v>84</v>
      </c>
    </row>
    <row r="3" spans="2:11" x14ac:dyDescent="0.25">
      <c r="C3" s="81" t="s">
        <v>17</v>
      </c>
      <c r="D3" s="102">
        <f ca="1">Settings.GradientShiftSize</f>
        <v>1E-4</v>
      </c>
    </row>
    <row r="6" spans="2:11" x14ac:dyDescent="0.25">
      <c r="B6" s="9"/>
      <c r="C6" s="10"/>
      <c r="D6" s="11"/>
      <c r="E6" s="12"/>
      <c r="F6" s="12"/>
      <c r="G6" s="12"/>
      <c r="H6" s="12"/>
      <c r="I6" s="12"/>
      <c r="J6" s="12"/>
      <c r="K6" s="13"/>
    </row>
    <row r="7" spans="2:11" x14ac:dyDescent="0.25">
      <c r="B7" s="14"/>
      <c r="C7" s="15" t="s">
        <v>19</v>
      </c>
      <c r="D7" s="16"/>
      <c r="E7" s="17"/>
      <c r="F7" s="15" t="s">
        <v>3</v>
      </c>
      <c r="G7" s="18"/>
      <c r="H7" s="17"/>
      <c r="I7" s="17"/>
      <c r="J7" s="17"/>
      <c r="K7" s="19"/>
    </row>
    <row r="8" spans="2:11" x14ac:dyDescent="0.25">
      <c r="B8" s="14" t="s">
        <v>4</v>
      </c>
      <c r="C8" s="16"/>
      <c r="D8" s="16"/>
      <c r="E8" s="17" t="s">
        <v>4</v>
      </c>
      <c r="F8" s="20" t="s">
        <v>20</v>
      </c>
      <c r="G8" s="20" t="s">
        <v>21</v>
      </c>
      <c r="H8" s="20" t="s">
        <v>22</v>
      </c>
      <c r="I8" s="20" t="s">
        <v>23</v>
      </c>
      <c r="J8" s="20" t="s">
        <v>24</v>
      </c>
      <c r="K8" s="19"/>
    </row>
    <row r="9" spans="2:11" x14ac:dyDescent="0.25">
      <c r="B9" s="14"/>
      <c r="C9" s="21" t="s">
        <v>25</v>
      </c>
      <c r="D9" s="22" t="s">
        <v>26</v>
      </c>
      <c r="E9" s="17" t="s">
        <v>4</v>
      </c>
      <c r="F9" s="4" t="s">
        <v>9</v>
      </c>
      <c r="G9" s="23">
        <f ca="1">' Original Curve'!G6+IF($G$2="MKTDATA-SHIFT",$D$2,$D$3)</f>
        <v>2.41E-2</v>
      </c>
      <c r="H9" s="24"/>
      <c r="I9" s="25"/>
      <c r="J9" s="26" t="b">
        <v>1</v>
      </c>
      <c r="K9" s="19"/>
    </row>
    <row r="10" spans="2:11" x14ac:dyDescent="0.25">
      <c r="B10" s="14"/>
      <c r="C10" s="27" t="s">
        <v>5</v>
      </c>
      <c r="D10" s="28" t="s">
        <v>3</v>
      </c>
      <c r="E10" s="17" t="s">
        <v>4</v>
      </c>
      <c r="F10" s="5" t="s">
        <v>10</v>
      </c>
      <c r="G10" s="29">
        <f ca="1">' Original Curve'!G7+IF($G$2="MKTDATA-SHIFT",$D$2,$D$3)</f>
        <v>1.7585E-2</v>
      </c>
      <c r="H10" s="25"/>
      <c r="I10" s="25"/>
      <c r="J10" s="26" t="b">
        <v>1</v>
      </c>
      <c r="K10" s="19"/>
    </row>
    <row r="11" spans="2:11" x14ac:dyDescent="0.25">
      <c r="B11" s="14"/>
      <c r="C11" s="27" t="s">
        <v>27</v>
      </c>
      <c r="D11" s="28" t="s">
        <v>28</v>
      </c>
      <c r="E11" s="17" t="s">
        <v>4</v>
      </c>
      <c r="F11" s="5" t="s">
        <v>11</v>
      </c>
      <c r="G11" s="29">
        <f ca="1">' Original Curve'!G8+IF($G$2="MKTDATA-SHIFT",$D$2,$D$3)</f>
        <v>1.5865000000000001E-2</v>
      </c>
      <c r="H11" s="25"/>
      <c r="I11" s="25"/>
      <c r="J11" s="26" t="b">
        <v>1</v>
      </c>
      <c r="K11" s="19"/>
    </row>
    <row r="12" spans="2:11" x14ac:dyDescent="0.25">
      <c r="B12" s="14"/>
      <c r="C12" s="30" t="s">
        <v>2</v>
      </c>
      <c r="D12" s="31">
        <f ca="1">Settings.COB</f>
        <v>43665</v>
      </c>
      <c r="E12" s="17" t="s">
        <v>4</v>
      </c>
      <c r="F12" s="5" t="s">
        <v>12</v>
      </c>
      <c r="G12" s="29">
        <f ca="1">' Original Curve'!G9+IF($G$2="MKTDATA-SHIFT",$D$2,$D$3)</f>
        <v>1.542E-2</v>
      </c>
      <c r="H12" s="25"/>
      <c r="I12" s="25"/>
      <c r="J12" s="26" t="b">
        <v>1</v>
      </c>
      <c r="K12" s="19"/>
    </row>
    <row r="13" spans="2:11" x14ac:dyDescent="0.25">
      <c r="B13" s="14"/>
      <c r="C13" s="16"/>
      <c r="D13" s="16"/>
      <c r="E13" s="17" t="s">
        <v>4</v>
      </c>
      <c r="F13" s="5" t="s">
        <v>13</v>
      </c>
      <c r="G13" s="29">
        <f ca="1">' Original Curve'!G10+IF($G$2="MKTDATA-SHIFT",$D$2,$D$3)</f>
        <v>1.5259999999999999E-2</v>
      </c>
      <c r="H13" s="25"/>
      <c r="I13" s="25"/>
      <c r="J13" s="26" t="b">
        <v>1</v>
      </c>
      <c r="K13" s="19"/>
    </row>
    <row r="14" spans="2:11" x14ac:dyDescent="0.25">
      <c r="B14" s="14"/>
      <c r="C14" s="17"/>
      <c r="D14" s="17"/>
      <c r="E14" s="17" t="s">
        <v>4</v>
      </c>
      <c r="F14" s="5" t="s">
        <v>14</v>
      </c>
      <c r="G14" s="29">
        <f ca="1">' Original Curve'!G11+IF($G$2="MKTDATA-SHIFT",$D$2,$D$3)</f>
        <v>1.542E-2</v>
      </c>
      <c r="H14" s="25"/>
      <c r="I14" s="25"/>
      <c r="J14" s="26" t="b">
        <v>1</v>
      </c>
      <c r="K14" s="19"/>
    </row>
    <row r="15" spans="2:11" x14ac:dyDescent="0.25">
      <c r="B15" s="14"/>
      <c r="C15" s="37" t="s">
        <v>29</v>
      </c>
      <c r="D15" s="16"/>
      <c r="E15" s="17" t="s">
        <v>4</v>
      </c>
      <c r="F15" s="5"/>
      <c r="G15" s="29"/>
      <c r="H15" s="25"/>
      <c r="I15" s="25"/>
      <c r="J15" s="26"/>
      <c r="K15" s="19"/>
    </row>
    <row r="16" spans="2:11" x14ac:dyDescent="0.25">
      <c r="B16" s="14"/>
      <c r="C16" s="32" t="s">
        <v>30</v>
      </c>
      <c r="D16" s="33" t="s">
        <v>31</v>
      </c>
      <c r="E16" s="17" t="s">
        <v>4</v>
      </c>
      <c r="F16" s="5"/>
      <c r="G16" s="29"/>
      <c r="H16" s="25"/>
      <c r="I16" s="25"/>
      <c r="J16" s="26"/>
      <c r="K16" s="19"/>
    </row>
    <row r="17" spans="2:11" x14ac:dyDescent="0.25">
      <c r="B17" s="14"/>
      <c r="C17" s="34" t="s">
        <v>32</v>
      </c>
      <c r="D17" s="35" t="str">
        <f ca="1">_xll.meLWOCurveMarketDataCreate(D16,C7,C9:D12,F7,F9:J35)</f>
        <v>USD_OIS_CURVE@4:1</v>
      </c>
      <c r="E17" s="17" t="s">
        <v>4</v>
      </c>
      <c r="F17" s="5"/>
      <c r="G17" s="29"/>
      <c r="H17" s="25"/>
      <c r="I17" s="25"/>
      <c r="J17" s="26"/>
      <c r="K17" s="19"/>
    </row>
    <row r="18" spans="2:11" x14ac:dyDescent="0.25">
      <c r="B18" s="14"/>
      <c r="C18" s="36"/>
      <c r="D18" s="16"/>
      <c r="E18" s="17" t="s">
        <v>4</v>
      </c>
      <c r="F18" s="5"/>
      <c r="G18" s="29"/>
      <c r="H18" s="25"/>
      <c r="I18" s="25"/>
      <c r="J18" s="26"/>
      <c r="K18" s="19"/>
    </row>
    <row r="19" spans="2:11" x14ac:dyDescent="0.25">
      <c r="B19" s="14"/>
      <c r="C19" s="36"/>
      <c r="D19" s="16"/>
      <c r="E19" s="17" t="s">
        <v>4</v>
      </c>
      <c r="F19" s="5"/>
      <c r="G19" s="29"/>
      <c r="H19" s="25"/>
      <c r="I19" s="25"/>
      <c r="J19" s="26"/>
      <c r="K19" s="19"/>
    </row>
    <row r="20" spans="2:11" x14ac:dyDescent="0.25">
      <c r="B20" s="14"/>
      <c r="C20" s="36"/>
      <c r="D20" s="16"/>
      <c r="E20" s="17" t="s">
        <v>4</v>
      </c>
      <c r="F20" s="5"/>
      <c r="G20" s="29"/>
      <c r="H20" s="25"/>
      <c r="I20" s="25"/>
      <c r="J20" s="26"/>
      <c r="K20" s="19"/>
    </row>
    <row r="21" spans="2:11" x14ac:dyDescent="0.25">
      <c r="B21" s="14"/>
      <c r="C21" s="36"/>
      <c r="D21" s="16"/>
      <c r="E21" s="17" t="s">
        <v>4</v>
      </c>
      <c r="F21" s="5"/>
      <c r="G21" s="29"/>
      <c r="H21" s="25"/>
      <c r="I21" s="25"/>
      <c r="J21" s="26"/>
      <c r="K21" s="19"/>
    </row>
    <row r="22" spans="2:11" x14ac:dyDescent="0.25">
      <c r="B22" s="14"/>
      <c r="C22" s="36"/>
      <c r="D22" s="16"/>
      <c r="E22" s="17" t="s">
        <v>4</v>
      </c>
      <c r="F22" s="5"/>
      <c r="G22" s="29"/>
      <c r="H22" s="25"/>
      <c r="I22" s="25"/>
      <c r="J22" s="26"/>
      <c r="K22" s="19"/>
    </row>
    <row r="23" spans="2:11" x14ac:dyDescent="0.25">
      <c r="B23" s="14"/>
      <c r="C23" s="37" t="s">
        <v>33</v>
      </c>
      <c r="D23" s="16"/>
      <c r="E23" s="17" t="s">
        <v>4</v>
      </c>
      <c r="F23" s="5"/>
      <c r="G23" s="29"/>
      <c r="H23" s="25"/>
      <c r="I23" s="25"/>
      <c r="J23" s="26"/>
      <c r="K23" s="19"/>
    </row>
    <row r="24" spans="2:11" x14ac:dyDescent="0.25">
      <c r="B24" s="14"/>
      <c r="C24" s="38" t="s">
        <v>30</v>
      </c>
      <c r="D24" s="39" t="s">
        <v>83</v>
      </c>
      <c r="E24" s="17" t="s">
        <v>4</v>
      </c>
      <c r="F24" s="5"/>
      <c r="G24" s="29"/>
      <c r="H24" s="25"/>
      <c r="I24" s="25"/>
      <c r="J24" s="26"/>
      <c r="K24" s="19"/>
    </row>
    <row r="25" spans="2:11" x14ac:dyDescent="0.25">
      <c r="B25" s="14"/>
      <c r="C25" s="40" t="s">
        <v>34</v>
      </c>
      <c r="D25" s="41" t="str">
        <f ca="1">Settings!$G$5</f>
        <v>USD_OIS_CURVE_WITH_RISK@1:4</v>
      </c>
      <c r="E25" s="17" t="s">
        <v>4</v>
      </c>
      <c r="F25" s="5"/>
      <c r="G25" s="29"/>
      <c r="H25" s="25"/>
      <c r="I25" s="25"/>
      <c r="J25" s="26"/>
      <c r="K25" s="19"/>
    </row>
    <row r="26" spans="2:11" x14ac:dyDescent="0.25">
      <c r="B26" s="14"/>
      <c r="C26" s="40" t="s">
        <v>35</v>
      </c>
      <c r="D26" s="42" t="s">
        <v>44</v>
      </c>
      <c r="E26" s="17" t="s">
        <v>4</v>
      </c>
      <c r="F26" s="5"/>
      <c r="G26" s="29"/>
      <c r="H26" s="25"/>
      <c r="I26" s="25"/>
      <c r="J26" s="26"/>
      <c r="K26" s="19"/>
    </row>
    <row r="27" spans="2:11" x14ac:dyDescent="0.25">
      <c r="B27" s="14"/>
      <c r="C27" s="43" t="s">
        <v>36</v>
      </c>
      <c r="D27" s="44"/>
      <c r="E27" s="17" t="s">
        <v>4</v>
      </c>
      <c r="F27" s="5"/>
      <c r="G27" s="29"/>
      <c r="H27" s="25"/>
      <c r="I27" s="25"/>
      <c r="J27" s="26"/>
      <c r="K27" s="19"/>
    </row>
    <row r="28" spans="2:11" x14ac:dyDescent="0.25">
      <c r="B28" s="14"/>
      <c r="C28" s="17"/>
      <c r="D28" s="17"/>
      <c r="E28" s="17" t="s">
        <v>4</v>
      </c>
      <c r="F28" s="5"/>
      <c r="G28" s="29"/>
      <c r="H28" s="25"/>
      <c r="I28" s="25"/>
      <c r="J28" s="26"/>
      <c r="K28" s="19"/>
    </row>
    <row r="29" spans="2:11" x14ac:dyDescent="0.25">
      <c r="B29" s="14"/>
      <c r="C29" s="17"/>
      <c r="D29" s="17"/>
      <c r="E29" s="17" t="s">
        <v>4</v>
      </c>
      <c r="F29" s="5"/>
      <c r="G29" s="29"/>
      <c r="H29" s="25"/>
      <c r="I29" s="25"/>
      <c r="J29" s="26"/>
      <c r="K29" s="19"/>
    </row>
    <row r="30" spans="2:11" x14ac:dyDescent="0.25">
      <c r="B30" s="14"/>
      <c r="C30" s="37" t="s">
        <v>37</v>
      </c>
      <c r="D30" s="17"/>
      <c r="E30" s="17" t="s">
        <v>4</v>
      </c>
      <c r="F30" s="5"/>
      <c r="G30" s="29"/>
      <c r="H30" s="25"/>
      <c r="I30" s="25"/>
      <c r="J30" s="26"/>
      <c r="K30" s="19"/>
    </row>
    <row r="31" spans="2:11" x14ac:dyDescent="0.25">
      <c r="B31" s="14"/>
      <c r="C31" s="45" t="s">
        <v>30</v>
      </c>
      <c r="D31" s="46" t="str">
        <f t="array" aca="1" ref="D31:D34" ca="1">_xll.meLWOCurveCalibrate(D24,D25,D17,D26,D27)</f>
        <v>USD_OIS_SHIFTED@5:1</v>
      </c>
      <c r="E31" s="17" t="s">
        <v>4</v>
      </c>
      <c r="F31" s="5"/>
      <c r="G31" s="29"/>
      <c r="H31" s="25"/>
      <c r="I31" s="25"/>
      <c r="J31" s="26"/>
      <c r="K31" s="19"/>
    </row>
    <row r="32" spans="2:11" x14ac:dyDescent="0.25">
      <c r="B32" s="14"/>
      <c r="C32" s="49" t="s">
        <v>38</v>
      </c>
      <c r="D32" s="47" t="str">
        <f ca="1"/>
        <v>USDYC_SHIFTED</v>
      </c>
      <c r="E32" s="17" t="s">
        <v>4</v>
      </c>
      <c r="F32" s="5"/>
      <c r="G32" s="29"/>
      <c r="H32" s="25"/>
      <c r="I32" s="25"/>
      <c r="J32" s="26"/>
      <c r="K32" s="19"/>
    </row>
    <row r="33" spans="2:11" x14ac:dyDescent="0.25">
      <c r="B33" s="14"/>
      <c r="C33" s="49" t="s">
        <v>39</v>
      </c>
      <c r="D33" s="47" t="str">
        <f ca="1"/>
        <v>OIS:USDOIS</v>
      </c>
      <c r="E33" s="17" t="s">
        <v>4</v>
      </c>
      <c r="F33" s="5"/>
      <c r="G33" s="29"/>
      <c r="H33" s="25"/>
      <c r="I33" s="25"/>
      <c r="J33" s="26"/>
      <c r="K33" s="19"/>
    </row>
    <row r="34" spans="2:11" x14ac:dyDescent="0.25">
      <c r="B34" s="14"/>
      <c r="C34" s="50" t="s">
        <v>40</v>
      </c>
      <c r="D34" s="48" t="str">
        <f ca="1"/>
        <v>0.00500 sec</v>
      </c>
      <c r="E34" s="17" t="s">
        <v>4</v>
      </c>
      <c r="F34" s="5"/>
      <c r="G34" s="29"/>
      <c r="H34" s="25"/>
      <c r="I34" s="25"/>
      <c r="J34" s="26"/>
      <c r="K34" s="19"/>
    </row>
    <row r="35" spans="2:11" x14ac:dyDescent="0.25">
      <c r="B35" s="14"/>
      <c r="C35" s="51" t="s">
        <v>41</v>
      </c>
      <c r="D35" s="52" t="b">
        <f ca="1">_xll.meLWOExists(D31,"CURVE")</f>
        <v>1</v>
      </c>
      <c r="E35" s="17"/>
      <c r="F35" s="53"/>
      <c r="G35" s="54"/>
      <c r="H35" s="55"/>
      <c r="I35" s="55"/>
      <c r="J35" s="56"/>
      <c r="K35" s="19"/>
    </row>
    <row r="36" spans="2:11" x14ac:dyDescent="0.25">
      <c r="B36" s="57"/>
      <c r="C36" s="58"/>
      <c r="D36" s="58"/>
      <c r="E36" s="58"/>
      <c r="F36" s="58"/>
      <c r="G36" s="58"/>
      <c r="H36" s="58"/>
      <c r="I36" s="58"/>
      <c r="J36" s="58"/>
      <c r="K36" s="59"/>
    </row>
  </sheetData>
  <dataValidations count="1">
    <dataValidation type="list" allowBlank="1" showInputMessage="1" showErrorMessage="1" sqref="G2">
      <formula1>"GRADIENT-SHIFT,MKTDATA-SHIFT"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0"/>
  <sheetViews>
    <sheetView tabSelected="1" workbookViewId="0"/>
  </sheetViews>
  <sheetFormatPr defaultRowHeight="15" x14ac:dyDescent="0.25"/>
  <cols>
    <col min="2" max="3" width="15.7109375" customWidth="1"/>
    <col min="5" max="6" width="15.7109375" customWidth="1"/>
    <col min="8" max="15" width="15.7109375" customWidth="1"/>
  </cols>
  <sheetData>
    <row r="2" spans="2:12" x14ac:dyDescent="0.25">
      <c r="B2" t="s">
        <v>0</v>
      </c>
      <c r="C2" t="str">
        <f ca="1">' Original Curve'!D29</f>
        <v>USDYC_ORIGINAL</v>
      </c>
      <c r="E2" t="s">
        <v>0</v>
      </c>
      <c r="F2" t="str">
        <f ca="1">' Shifted Curve'!D32</f>
        <v>USDYC_SHIFTED</v>
      </c>
      <c r="J2" s="2" t="s">
        <v>97</v>
      </c>
    </row>
    <row r="3" spans="2:12" x14ac:dyDescent="0.25">
      <c r="B3" t="s">
        <v>1</v>
      </c>
      <c r="C3" t="s">
        <v>86</v>
      </c>
      <c r="E3" t="s">
        <v>1</v>
      </c>
      <c r="F3" t="s">
        <v>86</v>
      </c>
      <c r="J3" s="102">
        <f ca="1">' Shifted Curve'!$D$2</f>
        <v>1E-4</v>
      </c>
    </row>
    <row r="6" spans="2:12" x14ac:dyDescent="0.25">
      <c r="B6" s="1" t="s">
        <v>87</v>
      </c>
      <c r="E6" s="1" t="s">
        <v>89</v>
      </c>
      <c r="H6" s="1" t="s">
        <v>90</v>
      </c>
    </row>
    <row r="7" spans="2:12" x14ac:dyDescent="0.25">
      <c r="B7" s="83" t="str">
        <f t="array" aca="1" ref="B7:C15" ca="1">_xll.meCurveDiscountFactorsDisplay(C2,C3)</f>
        <v>PaymentDates</v>
      </c>
      <c r="C7" s="88" t="str">
        <f ca="1"/>
        <v>DiscountFactors</v>
      </c>
      <c r="D7" s="8"/>
      <c r="E7" s="83" t="str">
        <f t="array" aca="1" ref="E7:F15" ca="1">_xll.meCurveDiscountFactorsDisplay(F2,F3)</f>
        <v>PaymentDates</v>
      </c>
      <c r="F7" s="88" t="str">
        <f ca="1"/>
        <v>DiscountFactors</v>
      </c>
      <c r="H7" s="2" t="s">
        <v>91</v>
      </c>
      <c r="I7" s="2" t="s">
        <v>99</v>
      </c>
      <c r="J7" s="2" t="s">
        <v>98</v>
      </c>
      <c r="K7" s="2" t="s">
        <v>100</v>
      </c>
      <c r="L7" s="84" t="s">
        <v>81</v>
      </c>
    </row>
    <row r="8" spans="2:12" x14ac:dyDescent="0.25">
      <c r="B8" s="87">
        <f ca="1"/>
        <v>43665</v>
      </c>
      <c r="C8" s="3">
        <f ca="1"/>
        <v>1</v>
      </c>
      <c r="E8" s="87">
        <f ca="1"/>
        <v>43665</v>
      </c>
      <c r="F8" s="3">
        <f ca="1"/>
        <v>1</v>
      </c>
      <c r="H8" s="87">
        <f t="array" aca="1" ref="H8:I15" ca="1">_xll.meCurveResultsJacobianDiscountFactorDelta(C2,C3)</f>
        <v>43665</v>
      </c>
      <c r="I8" s="3">
        <f ca="1"/>
        <v>0</v>
      </c>
      <c r="J8" s="7">
        <f t="shared" ref="J8:J15" ca="1" si="0">I8*$J$3</f>
        <v>0</v>
      </c>
      <c r="K8" s="80">
        <f t="shared" ref="K8:K15" ca="1" si="1">C8+J8</f>
        <v>1</v>
      </c>
      <c r="L8" s="7">
        <f t="shared" ref="L8:L15" ca="1" si="2">K8-F8</f>
        <v>0</v>
      </c>
    </row>
    <row r="9" spans="2:12" x14ac:dyDescent="0.25">
      <c r="B9" s="87">
        <f ca="1"/>
        <v>43668</v>
      </c>
      <c r="C9" s="3">
        <f ca="1"/>
        <v>0.99980003999200162</v>
      </c>
      <c r="E9" s="87">
        <f ca="1"/>
        <v>43668</v>
      </c>
      <c r="F9" s="3">
        <f ca="1"/>
        <v>0.99979920699259561</v>
      </c>
      <c r="H9" s="87">
        <f ca="1"/>
        <v>43668</v>
      </c>
      <c r="I9" s="3">
        <f ca="1"/>
        <v>-8.3299940600856104E-3</v>
      </c>
      <c r="J9" s="7">
        <f t="shared" ca="1" si="0"/>
        <v>-8.3299940600856104E-7</v>
      </c>
      <c r="K9" s="80">
        <f t="shared" ca="1" si="1"/>
        <v>0.99979920699259561</v>
      </c>
      <c r="L9" s="7">
        <f t="shared" ca="1" si="2"/>
        <v>0</v>
      </c>
    </row>
    <row r="10" spans="2:12" x14ac:dyDescent="0.25">
      <c r="B10" s="87">
        <f ca="1"/>
        <v>43669</v>
      </c>
      <c r="C10" s="3">
        <f ca="1"/>
        <v>0.99973339109926163</v>
      </c>
      <c r="E10" s="87">
        <f ca="1"/>
        <v>43669</v>
      </c>
      <c r="F10" s="3">
        <f ca="1"/>
        <v>0.99973228047048623</v>
      </c>
      <c r="H10" s="87">
        <f ca="1"/>
        <v>43669</v>
      </c>
      <c r="I10" s="3">
        <f ca="1"/>
        <v>-1.1106287753914756E-2</v>
      </c>
      <c r="J10" s="7">
        <f t="shared" ca="1" si="0"/>
        <v>-1.1106287753914756E-6</v>
      </c>
      <c r="K10" s="80">
        <f t="shared" ca="1" si="1"/>
        <v>0.99973228047048623</v>
      </c>
      <c r="L10" s="7">
        <f t="shared" ca="1" si="2"/>
        <v>0</v>
      </c>
    </row>
    <row r="11" spans="2:12" x14ac:dyDescent="0.25">
      <c r="B11" s="87">
        <f ca="1"/>
        <v>44035</v>
      </c>
      <c r="C11" s="3">
        <f ca="1"/>
        <v>0.98211974036061234</v>
      </c>
      <c r="E11" s="87">
        <f ca="1"/>
        <v>44035</v>
      </c>
      <c r="F11" s="3">
        <f ca="1"/>
        <v>0.98201881714318306</v>
      </c>
      <c r="H11" s="87">
        <f ca="1"/>
        <v>44035</v>
      </c>
      <c r="I11" s="3">
        <f ca="1"/>
        <v>-1.0092321742927179</v>
      </c>
      <c r="J11" s="7">
        <f t="shared" ca="1" si="0"/>
        <v>-1.0092321742927179E-4</v>
      </c>
      <c r="K11" s="80">
        <f t="shared" ca="1" si="1"/>
        <v>0.98201881714318306</v>
      </c>
      <c r="L11" s="7">
        <f t="shared" ca="1" si="2"/>
        <v>0</v>
      </c>
    </row>
    <row r="12" spans="2:12" x14ac:dyDescent="0.25">
      <c r="B12" s="87">
        <f ca="1"/>
        <v>44400</v>
      </c>
      <c r="C12" s="3">
        <f ca="1"/>
        <v>0.96826286740871403</v>
      </c>
      <c r="E12" s="87">
        <f ca="1"/>
        <v>44400</v>
      </c>
      <c r="F12" s="3">
        <f ca="1"/>
        <v>0.96806539428754357</v>
      </c>
      <c r="H12" s="87">
        <f ca="1"/>
        <v>44400</v>
      </c>
      <c r="I12" s="3">
        <f ca="1"/>
        <v>-1.9747312117046611</v>
      </c>
      <c r="J12" s="7">
        <f t="shared" ca="1" si="0"/>
        <v>-1.9747312117046611E-4</v>
      </c>
      <c r="K12" s="80">
        <f t="shared" ca="1" si="1"/>
        <v>0.96806539428754357</v>
      </c>
      <c r="L12" s="7">
        <f t="shared" ca="1" si="2"/>
        <v>0</v>
      </c>
    </row>
    <row r="13" spans="2:12" x14ac:dyDescent="0.25">
      <c r="B13" s="87">
        <f ca="1"/>
        <v>44767</v>
      </c>
      <c r="C13" s="3">
        <f ca="1"/>
        <v>0.95413947608057914</v>
      </c>
      <c r="E13" s="87">
        <f ca="1"/>
        <v>44767</v>
      </c>
      <c r="F13" s="3">
        <f ca="1"/>
        <v>0.95384778143960436</v>
      </c>
      <c r="H13" s="87">
        <f ca="1"/>
        <v>44767</v>
      </c>
      <c r="I13" s="3">
        <f ca="1"/>
        <v>-2.9169464097478226</v>
      </c>
      <c r="J13" s="7">
        <f t="shared" ca="1" si="0"/>
        <v>-2.9169464097478226E-4</v>
      </c>
      <c r="K13" s="80">
        <f t="shared" ca="1" si="1"/>
        <v>0.95384778143960436</v>
      </c>
      <c r="L13" s="7">
        <f t="shared" ca="1" si="2"/>
        <v>0</v>
      </c>
    </row>
    <row r="14" spans="2:12" x14ac:dyDescent="0.25">
      <c r="B14" s="87">
        <f ca="1"/>
        <v>45131</v>
      </c>
      <c r="C14" s="3">
        <f ca="1"/>
        <v>0.94009843733134268</v>
      </c>
      <c r="E14" s="87">
        <f ca="1"/>
        <v>45131</v>
      </c>
      <c r="F14" s="3">
        <f ca="1"/>
        <v>0.93971611858393655</v>
      </c>
      <c r="H14" s="87">
        <f ca="1"/>
        <v>45131</v>
      </c>
      <c r="I14" s="3">
        <f ca="1"/>
        <v>-3.8231874740612959</v>
      </c>
      <c r="J14" s="7">
        <f t="shared" ca="1" si="0"/>
        <v>-3.8231874740612959E-4</v>
      </c>
      <c r="K14" s="80">
        <f t="shared" ca="1" si="1"/>
        <v>0.93971611858393655</v>
      </c>
      <c r="L14" s="7">
        <f t="shared" ca="1" si="2"/>
        <v>0</v>
      </c>
    </row>
    <row r="15" spans="2:12" x14ac:dyDescent="0.25">
      <c r="B15" s="87">
        <f ca="1"/>
        <v>45496</v>
      </c>
      <c r="C15" s="3">
        <f ca="1"/>
        <v>0.92498482062468212</v>
      </c>
      <c r="E15" s="87">
        <f ca="1"/>
        <v>45496</v>
      </c>
      <c r="F15" s="3">
        <f ca="1"/>
        <v>0.92451475676720185</v>
      </c>
      <c r="H15" s="87">
        <f ca="1"/>
        <v>45496</v>
      </c>
      <c r="I15" s="3">
        <f ca="1"/>
        <v>-4.7006385748027402</v>
      </c>
      <c r="J15" s="7">
        <f t="shared" ca="1" si="0"/>
        <v>-4.7006385748027402E-4</v>
      </c>
      <c r="K15" s="80">
        <f t="shared" ca="1" si="1"/>
        <v>0.92451475676720185</v>
      </c>
      <c r="L15" s="7">
        <f t="shared" ca="1" si="2"/>
        <v>0</v>
      </c>
    </row>
    <row r="18" spans="8:9" x14ac:dyDescent="0.25">
      <c r="H18" s="1" t="s">
        <v>88</v>
      </c>
    </row>
    <row r="19" spans="8:9" x14ac:dyDescent="0.25">
      <c r="H19" s="2" t="s">
        <v>91</v>
      </c>
      <c r="I19" s="8" t="s">
        <v>92</v>
      </c>
    </row>
    <row r="20" spans="8:9" x14ac:dyDescent="0.25">
      <c r="H20" s="87">
        <f t="array" aca="1" ref="H20:I27" ca="1">_xll.meCurveResultsJacobianImplyNewDiscountFactors(C2,C3)</f>
        <v>43665</v>
      </c>
      <c r="I20" s="3">
        <f ca="1"/>
        <v>1</v>
      </c>
    </row>
    <row r="21" spans="8:9" x14ac:dyDescent="0.25">
      <c r="H21" s="87">
        <f ca="1"/>
        <v>43668</v>
      </c>
      <c r="I21" s="3">
        <f ca="1"/>
        <v>0.99979920699259561</v>
      </c>
    </row>
    <row r="22" spans="8:9" x14ac:dyDescent="0.25">
      <c r="H22" s="87">
        <f ca="1"/>
        <v>43669</v>
      </c>
      <c r="I22" s="3">
        <f ca="1"/>
        <v>0.99973228047048623</v>
      </c>
    </row>
    <row r="23" spans="8:9" x14ac:dyDescent="0.25">
      <c r="H23" s="87">
        <f ca="1"/>
        <v>44035</v>
      </c>
      <c r="I23" s="3">
        <f ca="1"/>
        <v>0.98201881714318306</v>
      </c>
    </row>
    <row r="24" spans="8:9" x14ac:dyDescent="0.25">
      <c r="H24" s="87">
        <f ca="1"/>
        <v>44400</v>
      </c>
      <c r="I24" s="3">
        <f ca="1"/>
        <v>0.96806539428754357</v>
      </c>
    </row>
    <row r="25" spans="8:9" x14ac:dyDescent="0.25">
      <c r="H25" s="87">
        <f ca="1"/>
        <v>44767</v>
      </c>
      <c r="I25" s="3">
        <f ca="1"/>
        <v>0.95384778143960436</v>
      </c>
    </row>
    <row r="26" spans="8:9" x14ac:dyDescent="0.25">
      <c r="H26" s="87">
        <f ca="1"/>
        <v>45131</v>
      </c>
      <c r="I26" s="3">
        <f ca="1"/>
        <v>0.93971611858393655</v>
      </c>
    </row>
    <row r="27" spans="8:9" x14ac:dyDescent="0.25">
      <c r="H27" s="87">
        <f ca="1"/>
        <v>45496</v>
      </c>
      <c r="I27" s="3">
        <f ca="1"/>
        <v>0.92451475676720185</v>
      </c>
    </row>
    <row r="33" spans="5:7" x14ac:dyDescent="0.25">
      <c r="E33" s="100"/>
      <c r="G33" s="101"/>
    </row>
    <row r="34" spans="5:7" x14ac:dyDescent="0.25">
      <c r="E34" s="100"/>
      <c r="G34" s="101"/>
    </row>
    <row r="35" spans="5:7" x14ac:dyDescent="0.25">
      <c r="E35" s="100"/>
      <c r="G35" s="101"/>
    </row>
    <row r="36" spans="5:7" x14ac:dyDescent="0.25">
      <c r="E36" s="100"/>
      <c r="G36" s="101"/>
    </row>
    <row r="37" spans="5:7" x14ac:dyDescent="0.25">
      <c r="E37" s="100"/>
      <c r="G37" s="101"/>
    </row>
    <row r="38" spans="5:7" x14ac:dyDescent="0.25">
      <c r="E38" s="100"/>
      <c r="G38" s="101"/>
    </row>
    <row r="39" spans="5:7" x14ac:dyDescent="0.25">
      <c r="E39" s="100"/>
      <c r="G39" s="101"/>
    </row>
    <row r="40" spans="5:7" x14ac:dyDescent="0.25">
      <c r="E40" s="100"/>
      <c r="G40" s="10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Settings</vt:lpstr>
      <vt:lpstr> Original Curve</vt:lpstr>
      <vt:lpstr> Shifted Curve</vt:lpstr>
      <vt:lpstr>Discount Factor Delta</vt:lpstr>
      <vt:lpstr>Settings.COB</vt:lpstr>
      <vt:lpstr>Settings.GradientShiftSize</vt:lpstr>
      <vt:lpstr>Settings.MarketDataShiftSize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Burgess Nicholas</cp:lastModifiedBy>
  <dcterms:created xsi:type="dcterms:W3CDTF">2019-04-16T12:06:05Z</dcterms:created>
  <dcterms:modified xsi:type="dcterms:W3CDTF">2019-11-27T16:47:14Z</dcterms:modified>
</cp:coreProperties>
</file>