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bookViews>
    <workbookView xWindow="0" yWindow="0" windowWidth="20490" windowHeight="7095"/>
  </bookViews>
  <sheets>
    <sheet name="OIS" sheetId="2" r:id="rId1"/>
    <sheet name="SWAP" sheetId="3" r:id="rId2"/>
    <sheet name="BASIS" sheetId="6" r:id="rId3"/>
    <sheet name="XCCY" sheetId="5" r:id="rId4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6" l="1"/>
  <c r="C10" i="5"/>
  <c r="D13" i="3"/>
  <c r="M17" i="5"/>
  <c r="I17" i="5"/>
  <c r="B17" i="5"/>
  <c r="E17" i="5"/>
  <c r="E17" i="6"/>
  <c r="B17" i="6"/>
  <c r="I18" i="3"/>
  <c r="P18" i="3"/>
  <c r="C18" i="3"/>
  <c r="F18" i="3"/>
  <c r="D13" i="2"/>
  <c r="M19" i="2"/>
  <c r="R19" i="2"/>
  <c r="C19" i="2"/>
  <c r="F19" i="2"/>
</calcChain>
</file>

<file path=xl/sharedStrings.xml><?xml version="1.0" encoding="utf-8"?>
<sst xmlns="http://schemas.openxmlformats.org/spreadsheetml/2006/main" count="223" uniqueCount="72">
  <si>
    <t>MARKETDATAPROPERTIES</t>
  </si>
  <si>
    <t>OIS</t>
  </si>
  <si>
    <t>LIBOROISBASISSPREADS</t>
  </si>
  <si>
    <t>SWAPS</t>
  </si>
  <si>
    <t xml:space="preserve"> </t>
  </si>
  <si>
    <t>Term</t>
  </si>
  <si>
    <t>Rate</t>
  </si>
  <si>
    <t>StartDate</t>
  </si>
  <si>
    <t>EndDate</t>
  </si>
  <si>
    <t>Use</t>
  </si>
  <si>
    <t>Currency</t>
  </si>
  <si>
    <t>EUR</t>
  </si>
  <si>
    <t>CurveType</t>
  </si>
  <si>
    <t>CurveIndexFrequency</t>
  </si>
  <si>
    <t>DAILY</t>
  </si>
  <si>
    <t>AsOfDate</t>
  </si>
  <si>
    <t>Create Market Data Handle</t>
  </si>
  <si>
    <t>Handle Name</t>
  </si>
  <si>
    <t>Market Data Handle</t>
  </si>
  <si>
    <t>3Y</t>
  </si>
  <si>
    <t>QUARTERLY</t>
  </si>
  <si>
    <t>LIBORFIXINGS</t>
  </si>
  <si>
    <t>FUTURES</t>
  </si>
  <si>
    <t>Volatility</t>
  </si>
  <si>
    <t>SWAP</t>
  </si>
  <si>
    <t>FXSPOTS</t>
  </si>
  <si>
    <t>XCCYSWAPS</t>
  </si>
  <si>
    <t>Ccy1</t>
  </si>
  <si>
    <t>Ccy2</t>
  </si>
  <si>
    <t>XCCYBASIS</t>
  </si>
  <si>
    <t>USD</t>
  </si>
  <si>
    <t>FXFWDS</t>
  </si>
  <si>
    <t>CREATE MARKET DATA HANDLE</t>
  </si>
  <si>
    <t>3M</t>
  </si>
  <si>
    <t>1Y</t>
  </si>
  <si>
    <t>2Y</t>
  </si>
  <si>
    <t>4Y</t>
  </si>
  <si>
    <t>5Y</t>
  </si>
  <si>
    <t>ON</t>
  </si>
  <si>
    <t>ECB1</t>
  </si>
  <si>
    <t>ECB2</t>
  </si>
  <si>
    <t>ECB3</t>
  </si>
  <si>
    <t>ECB4</t>
  </si>
  <si>
    <t>6Y</t>
  </si>
  <si>
    <t>7Y</t>
  </si>
  <si>
    <t>8Y</t>
  </si>
  <si>
    <t>9Y</t>
  </si>
  <si>
    <t>10Y</t>
  </si>
  <si>
    <t>BASISSWAPS</t>
  </si>
  <si>
    <t>TENORBASIS</t>
  </si>
  <si>
    <t>MONTHLY</t>
  </si>
  <si>
    <t>1M</t>
  </si>
  <si>
    <t>ER1</t>
  </si>
  <si>
    <t>ER2</t>
  </si>
  <si>
    <t>6M</t>
  </si>
  <si>
    <t>ER3</t>
  </si>
  <si>
    <t>12M</t>
  </si>
  <si>
    <t>ER4</t>
  </si>
  <si>
    <t>Type</t>
  </si>
  <si>
    <t>LIBOR</t>
  </si>
  <si>
    <t>TN</t>
  </si>
  <si>
    <t>1W</t>
  </si>
  <si>
    <t>2W</t>
  </si>
  <si>
    <t>3W</t>
  </si>
  <si>
    <t>2M</t>
  </si>
  <si>
    <t>4M</t>
  </si>
  <si>
    <t>5M</t>
  </si>
  <si>
    <t>EUR_OIS_MKT</t>
  </si>
  <si>
    <t>EUR_SWAP_MKT</t>
  </si>
  <si>
    <t>EUR_TENOR_BASIS_MKT</t>
  </si>
  <si>
    <t>EUR_XCCY_MKT</t>
  </si>
  <si>
    <t>Convexity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</si>
</sst>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64" formatCode="0.00000%"/>
    <numFmt numFmtId="165" formatCode="0.0000%"/>
    <numFmt numFmtId="166" formatCode="ddd\,\ d\-mmm\-yy"/>
    <numFmt numFmtId="167" formatCode="0.000%"/>
    <numFmt numFmtId="168" formatCode="#,##0.000"/>
    <numFmt numFmtId="169" formatCode="#,##0.0000_ ;\-#,##0.00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Times New Roman"/>
      <family val="1"/>
    </font>
    <font>
      <sz val="11"/>
      <color rgb="FF3399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4">
    <xf numFmtId="0" fontId="0" fillId="0" borderId="0"/>
    <xf numFmtId="0" fontId="10" fillId="0" borderId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7">
    <xf numFmtId="0" fontId="0" fillId="0" borderId="0" xfId="0"/>
    <xf numFmtId="0" fontId="0" fillId="2" borderId="1" xfId="0" applyFill="1" applyBorder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/>
    <xf numFmtId="0" fontId="6" fillId="2" borderId="9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5" xfId="0" applyFont="1" applyFill="1" applyBorder="1"/>
    <xf numFmtId="0" fontId="0" fillId="3" borderId="5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center" vertical="center"/>
    </xf>
    <xf numFmtId="15" fontId="7" fillId="0" borderId="2" xfId="0" applyNumberFormat="1" applyFont="1" applyFill="1" applyBorder="1" applyAlignment="1">
      <alignment horizontal="center" vertical="center"/>
    </xf>
    <xf numFmtId="15" fontId="7" fillId="0" borderId="0" xfId="0" applyNumberFormat="1" applyFont="1" applyFill="1" applyBorder="1" applyAlignment="1">
      <alignment horizontal="center" vertical="center"/>
    </xf>
    <xf numFmtId="165" fontId="7" fillId="0" borderId="3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0" xfId="0" applyBorder="1"/>
    <xf numFmtId="0" fontId="0" fillId="3" borderId="11" xfId="0" applyFont="1" applyFill="1" applyBorder="1"/>
    <xf numFmtId="0" fontId="0" fillId="3" borderId="11" xfId="0" applyFont="1" applyFill="1" applyBorder="1" applyAlignment="1">
      <alignment horizontal="left" vertical="center"/>
    </xf>
    <xf numFmtId="164" fontId="7" fillId="0" borderId="0" xfId="0" applyNumberFormat="1" applyFont="1" applyFill="1" applyBorder="1" applyAlignment="1">
      <alignment horizontal="center" vertical="center"/>
    </xf>
    <xf numFmtId="165" fontId="7" fillId="0" borderId="6" xfId="0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ont="1" applyFill="1" applyBorder="1"/>
    <xf numFmtId="166" fontId="5" fillId="4" borderId="7" xfId="0" applyNumberFormat="1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2" fillId="2" borderId="0" xfId="0" applyFont="1" applyFill="1"/>
    <xf numFmtId="0" fontId="0" fillId="3" borderId="5" xfId="0" applyFill="1" applyBorder="1" applyAlignment="1">
      <alignment horizontal="left" vertical="center"/>
    </xf>
    <xf numFmtId="0" fontId="4" fillId="0" borderId="0" xfId="0" applyFont="1"/>
    <xf numFmtId="0" fontId="5" fillId="3" borderId="7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9" fillId="0" borderId="0" xfId="0" applyFont="1"/>
    <xf numFmtId="0" fontId="0" fillId="0" borderId="5" xfId="0" applyBorder="1"/>
    <xf numFmtId="0" fontId="0" fillId="0" borderId="11" xfId="0" applyBorder="1"/>
    <xf numFmtId="0" fontId="0" fillId="0" borderId="7" xfId="0" applyBorder="1"/>
    <xf numFmtId="0" fontId="7" fillId="0" borderId="8" xfId="0" applyFont="1" applyFill="1" applyBorder="1" applyAlignment="1">
      <alignment horizontal="center" vertical="center"/>
    </xf>
    <xf numFmtId="164" fontId="7" fillId="0" borderId="9" xfId="0" applyNumberFormat="1" applyFont="1" applyFill="1" applyBorder="1" applyAlignment="1">
      <alignment horizontal="center" vertical="center"/>
    </xf>
    <xf numFmtId="15" fontId="7" fillId="0" borderId="9" xfId="0" applyNumberFormat="1" applyFont="1" applyFill="1" applyBorder="1" applyAlignment="1">
      <alignment horizontal="center" vertical="center"/>
    </xf>
    <xf numFmtId="164" fontId="7" fillId="0" borderId="10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6" fillId="3" borderId="5" xfId="0" applyFont="1" applyFill="1" applyBorder="1"/>
    <xf numFmtId="15" fontId="6" fillId="3" borderId="5" xfId="0" applyNumberFormat="1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3" borderId="11" xfId="0" applyFont="1" applyFill="1" applyBorder="1"/>
    <xf numFmtId="15" fontId="6" fillId="3" borderId="11" xfId="0" applyNumberFormat="1" applyFont="1" applyFill="1" applyBorder="1" applyAlignment="1">
      <alignment horizontal="left" vertical="center"/>
    </xf>
    <xf numFmtId="15" fontId="7" fillId="3" borderId="1" xfId="0" applyNumberFormat="1" applyFont="1" applyFill="1" applyBorder="1" applyAlignment="1">
      <alignment horizontal="center" vertical="center"/>
    </xf>
    <xf numFmtId="15" fontId="7" fillId="3" borderId="2" xfId="1" quotePrefix="1" applyNumberFormat="1" applyFont="1" applyFill="1" applyBorder="1" applyAlignment="1">
      <alignment horizontal="center" vertical="center"/>
    </xf>
    <xf numFmtId="168" fontId="7" fillId="3" borderId="2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5" fontId="7" fillId="3" borderId="0" xfId="1" quotePrefix="1" applyNumberFormat="1" applyFont="1" applyFill="1" applyBorder="1" applyAlignment="1">
      <alignment horizontal="center" vertical="center"/>
    </xf>
    <xf numFmtId="168" fontId="7" fillId="3" borderId="0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166" fontId="5" fillId="3" borderId="11" xfId="0" applyNumberFormat="1" applyFont="1" applyFill="1" applyBorder="1" applyAlignment="1">
      <alignment horizontal="left" vertical="center"/>
    </xf>
    <xf numFmtId="15" fontId="7" fillId="3" borderId="0" xfId="1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center" vertical="center"/>
    </xf>
    <xf numFmtId="15" fontId="7" fillId="3" borderId="9" xfId="1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165" fontId="7" fillId="3" borderId="9" xfId="0" applyNumberFormat="1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8" fillId="0" borderId="0" xfId="0" applyFont="1"/>
    <xf numFmtId="0" fontId="0" fillId="0" borderId="0" xfId="0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166" fontId="5" fillId="0" borderId="7" xfId="0" applyNumberFormat="1" applyFont="1" applyBorder="1" applyAlignment="1">
      <alignment horizontal="left" vertical="center"/>
    </xf>
    <xf numFmtId="0" fontId="2" fillId="0" borderId="0" xfId="0" applyFont="1"/>
    <xf numFmtId="0" fontId="0" fillId="0" borderId="7" xfId="0" applyBorder="1" applyAlignment="1">
      <alignment horizontal="left" vertical="center"/>
    </xf>
    <xf numFmtId="0" fontId="0" fillId="0" borderId="0" xfId="0" applyFill="1" applyBorder="1"/>
    <xf numFmtId="0" fontId="6" fillId="2" borderId="8" xfId="0" applyFont="1" applyFill="1" applyBorder="1" applyAlignment="1">
      <alignment horizontal="center" vertical="center"/>
    </xf>
    <xf numFmtId="4" fontId="6" fillId="2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6" fillId="3" borderId="0" xfId="2" quotePrefix="1" applyNumberFormat="1" applyFont="1" applyFill="1" applyBorder="1" applyAlignment="1">
      <alignment horizontal="center" vertical="center"/>
    </xf>
    <xf numFmtId="167" fontId="6" fillId="3" borderId="0" xfId="2" applyNumberFormat="1" applyFont="1" applyFill="1" applyBorder="1" applyAlignment="1">
      <alignment horizontal="center" vertical="center"/>
    </xf>
    <xf numFmtId="167" fontId="6" fillId="3" borderId="2" xfId="2" quotePrefix="1" applyNumberFormat="1" applyFont="1" applyFill="1" applyBorder="1" applyAlignment="1">
      <alignment horizontal="center" vertical="center"/>
    </xf>
    <xf numFmtId="167" fontId="6" fillId="3" borderId="9" xfId="2" applyNumberFormat="1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/>
    </xf>
    <xf numFmtId="165" fontId="7" fillId="0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5" fontId="7" fillId="5" borderId="6" xfId="0" applyNumberFormat="1" applyFont="1" applyFill="1" applyBorder="1" applyAlignment="1">
      <alignment horizontal="center" vertical="center"/>
    </xf>
    <xf numFmtId="15" fontId="7" fillId="5" borderId="10" xfId="0" applyNumberFormat="1" applyFont="1" applyFill="1" applyBorder="1" applyAlignment="1">
      <alignment horizontal="center" vertical="center"/>
    </xf>
    <xf numFmtId="165" fontId="7" fillId="5" borderId="3" xfId="0" applyNumberFormat="1" applyFont="1" applyFill="1" applyBorder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/>
    </xf>
    <xf numFmtId="164" fontId="7" fillId="5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/>
    <xf numFmtId="0" fontId="4" fillId="0" borderId="0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5" fontId="7" fillId="2" borderId="9" xfId="0" applyNumberFormat="1" applyFont="1" applyFill="1" applyBorder="1" applyAlignment="1">
      <alignment horizontal="center" vertical="center"/>
    </xf>
    <xf numFmtId="169" fontId="7" fillId="2" borderId="10" xfId="3" applyNumberFormat="1" applyFont="1" applyFill="1" applyBorder="1" applyAlignment="1">
      <alignment horizontal="center" vertical="center"/>
    </xf>
    <xf numFmtId="166" fontId="7" fillId="0" borderId="7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4" fontId="7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0" fontId="11" fillId="0" borderId="11" xfId="0" applyFont="1" applyBorder="1"/>
    <xf numFmtId="0" fontId="0" fillId="2" borderId="15" xfId="0" applyFont="1" applyFill="1" applyBorder="1"/>
    <xf numFmtId="0" fontId="4" fillId="2" borderId="0" xfId="0" applyFont="1" applyFill="1"/>
    <xf numFmtId="0" fontId="0" fillId="2" borderId="0" xfId="0" applyFont="1" applyFill="1"/>
    <xf numFmtId="0" fontId="0" fillId="2" borderId="16" xfId="0" applyFont="1" applyFill="1" applyBorder="1"/>
    <xf numFmtId="0" fontId="0" fillId="2" borderId="4" xfId="0" applyFont="1" applyFill="1" applyBorder="1"/>
    <xf numFmtId="0" fontId="4" fillId="2" borderId="0" xfId="0" applyFont="1" applyFill="1" applyBorder="1"/>
    <xf numFmtId="0" fontId="4" fillId="2" borderId="0" xfId="0" applyFont="1" applyFill="1" applyAlignment="1">
      <alignment horizontal="center" vertical="center"/>
    </xf>
    <xf numFmtId="0" fontId="0" fillId="2" borderId="6" xfId="0" applyFont="1" applyFill="1" applyBorder="1"/>
    <xf numFmtId="4" fontId="7" fillId="5" borderId="6" xfId="0" applyNumberFormat="1" applyFont="1" applyFill="1" applyBorder="1" applyAlignment="1">
      <alignment horizontal="center" vertical="center"/>
    </xf>
    <xf numFmtId="4" fontId="6" fillId="5" borderId="10" xfId="0" applyNumberFormat="1" applyFont="1" applyFill="1" applyBorder="1" applyAlignment="1">
      <alignment horizontal="center" vertical="center"/>
    </xf>
  </cellXfs>
  <cellStyles count="4">
    <cellStyle name="Comma [0] 5" xfId="2"/>
    <cellStyle name="Comma 10 2" xfId="3"/>
    <cellStyle name="Normal" xfId="0" builtinId="0"/>
    <cellStyle name="標準_Input_OutPut20060417" xfId="1"/>
  </cellStyles>
  <dxfs count="0"/>
  <tableStyles count="0" defaultTableStyle="TableStyleMedium2" defaultPivotStyle="PivotStyleLight16"/>
  <colors>
    <mruColors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V19"/>
  <sheetViews>
    <sheetView showGridLines="0" tabSelected="1" workbookViewId="0"/>
  </sheetViews>
  <sheetFormatPr defaultRowHeight="15" x14ac:dyDescent="0.25"/>
  <cols>
    <col min="2" max="2" width="2.7109375" customWidth="1"/>
    <col min="3" max="3" width="20.7109375" customWidth="1"/>
    <col min="4" max="4" width="20.5703125" customWidth="1"/>
    <col min="5" max="5" width="2.7109375" customWidth="1"/>
    <col min="6" max="6" width="9.140625" customWidth="1"/>
    <col min="7" max="10" width="10.7109375" customWidth="1"/>
    <col min="11" max="11" width="9.140625" customWidth="1"/>
    <col min="12" max="12" width="2.7109375" customWidth="1"/>
    <col min="13" max="13" width="9.140625" customWidth="1"/>
    <col min="14" max="14" width="10.7109375" customWidth="1"/>
    <col min="15" max="15" width="10.7109375" style="90" customWidth="1"/>
    <col min="16" max="16" width="7.28515625" style="90" customWidth="1"/>
    <col min="17" max="17" width="2.7109375" customWidth="1"/>
    <col min="18" max="18" width="9.140625" customWidth="1"/>
    <col min="19" max="20" width="10.7109375" customWidth="1"/>
    <col min="21" max="21" width="2.7109375" customWidth="1"/>
  </cols>
  <sheetData>
    <row r="2" spans="2:22" x14ac:dyDescent="0.25">
      <c r="B2" s="1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97"/>
      <c r="P2" s="97"/>
      <c r="Q2" s="4"/>
      <c r="R2" s="4"/>
      <c r="S2" s="4"/>
      <c r="T2" s="4"/>
      <c r="U2" s="5"/>
    </row>
    <row r="3" spans="2:22" s="110" customFormat="1" x14ac:dyDescent="0.25">
      <c r="B3" s="131"/>
      <c r="C3" s="132" t="s">
        <v>0</v>
      </c>
      <c r="D3" s="10"/>
      <c r="E3" s="37"/>
      <c r="F3" s="128" t="s">
        <v>1</v>
      </c>
      <c r="G3" s="129"/>
      <c r="H3" s="129"/>
      <c r="I3" s="129"/>
      <c r="J3" s="129"/>
      <c r="K3" s="129"/>
      <c r="L3" s="129"/>
      <c r="M3" s="128" t="s">
        <v>2</v>
      </c>
      <c r="N3" s="128"/>
      <c r="O3" s="133"/>
      <c r="P3" s="133"/>
      <c r="Q3" s="129"/>
      <c r="R3" s="128" t="s">
        <v>3</v>
      </c>
      <c r="S3" s="129"/>
      <c r="T3" s="129"/>
      <c r="U3" s="134"/>
    </row>
    <row r="4" spans="2:22" x14ac:dyDescent="0.25">
      <c r="B4" s="6" t="s">
        <v>4</v>
      </c>
      <c r="C4" s="10"/>
      <c r="D4" s="10"/>
      <c r="E4" s="8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71</v>
      </c>
      <c r="K4" s="12" t="s">
        <v>9</v>
      </c>
      <c r="L4" s="8"/>
      <c r="M4" s="12" t="s">
        <v>5</v>
      </c>
      <c r="N4" s="55" t="s">
        <v>6</v>
      </c>
      <c r="O4" s="55" t="s">
        <v>58</v>
      </c>
      <c r="P4" s="55" t="s">
        <v>9</v>
      </c>
      <c r="Q4" s="8"/>
      <c r="R4" s="12" t="s">
        <v>5</v>
      </c>
      <c r="S4" s="12" t="s">
        <v>6</v>
      </c>
      <c r="T4" s="55" t="s">
        <v>9</v>
      </c>
      <c r="U4" s="9"/>
    </row>
    <row r="5" spans="2:22" x14ac:dyDescent="0.25">
      <c r="B5" s="6"/>
      <c r="C5" s="14" t="s">
        <v>10</v>
      </c>
      <c r="D5" s="15" t="s">
        <v>11</v>
      </c>
      <c r="E5" s="8" t="s">
        <v>4</v>
      </c>
      <c r="F5" s="16" t="s">
        <v>38</v>
      </c>
      <c r="G5" s="17">
        <v>-4.6700000000000005E-3</v>
      </c>
      <c r="H5" s="18"/>
      <c r="I5" s="19"/>
      <c r="J5" s="19"/>
      <c r="K5" s="99" t="b">
        <v>1</v>
      </c>
      <c r="L5" s="11"/>
      <c r="M5" s="16" t="s">
        <v>34</v>
      </c>
      <c r="N5" s="96">
        <v>1.3000000000000002E-4</v>
      </c>
      <c r="O5" s="96" t="s">
        <v>59</v>
      </c>
      <c r="P5" s="101" t="b">
        <v>1</v>
      </c>
      <c r="Q5" s="8"/>
      <c r="R5" s="21" t="s">
        <v>34</v>
      </c>
      <c r="S5" s="17">
        <v>-5.0499999999999998E-3</v>
      </c>
      <c r="T5" s="101" t="b">
        <v>1</v>
      </c>
      <c r="U5" s="9"/>
      <c r="V5" s="22"/>
    </row>
    <row r="6" spans="2:22" x14ac:dyDescent="0.25">
      <c r="B6" s="6"/>
      <c r="C6" s="23" t="s">
        <v>12</v>
      </c>
      <c r="D6" s="24" t="s">
        <v>1</v>
      </c>
      <c r="E6" s="8" t="s">
        <v>4</v>
      </c>
      <c r="F6" s="21" t="s">
        <v>39</v>
      </c>
      <c r="G6" s="25">
        <v>-4.7599999999999995E-3</v>
      </c>
      <c r="H6" s="19">
        <v>44090</v>
      </c>
      <c r="I6" s="19">
        <v>44138</v>
      </c>
      <c r="J6" s="95">
        <v>0</v>
      </c>
      <c r="K6" s="99" t="b">
        <v>1</v>
      </c>
      <c r="L6" s="11"/>
      <c r="M6" s="21" t="s">
        <v>35</v>
      </c>
      <c r="N6" s="95">
        <v>2.6000000000000003E-4</v>
      </c>
      <c r="O6" s="95" t="s">
        <v>59</v>
      </c>
      <c r="P6" s="102" t="b">
        <v>1</v>
      </c>
      <c r="Q6" s="8"/>
      <c r="R6" s="21" t="s">
        <v>35</v>
      </c>
      <c r="S6" s="25">
        <v>-5.1800000000000006E-3</v>
      </c>
      <c r="T6" s="102" t="b">
        <v>1</v>
      </c>
      <c r="U6" s="9"/>
      <c r="V6" s="22"/>
    </row>
    <row r="7" spans="2:22" x14ac:dyDescent="0.25">
      <c r="B7" s="6"/>
      <c r="C7" s="23" t="s">
        <v>13</v>
      </c>
      <c r="D7" s="24" t="s">
        <v>14</v>
      </c>
      <c r="E7" s="8" t="s">
        <v>4</v>
      </c>
      <c r="F7" s="21" t="s">
        <v>40</v>
      </c>
      <c r="G7" s="25">
        <v>-4.8300000000000001E-3</v>
      </c>
      <c r="H7" s="19">
        <v>44139</v>
      </c>
      <c r="I7" s="19">
        <v>44180</v>
      </c>
      <c r="J7" s="95">
        <v>0</v>
      </c>
      <c r="K7" s="99" t="b">
        <v>1</v>
      </c>
      <c r="L7" s="11"/>
      <c r="M7" s="21" t="s">
        <v>19</v>
      </c>
      <c r="N7" s="95">
        <v>3.6000000000000002E-4</v>
      </c>
      <c r="O7" s="95" t="s">
        <v>59</v>
      </c>
      <c r="P7" s="102" t="b">
        <v>1</v>
      </c>
      <c r="Q7" s="11"/>
      <c r="R7" s="21" t="s">
        <v>19</v>
      </c>
      <c r="S7" s="25">
        <v>-5.1400000000000005E-3</v>
      </c>
      <c r="T7" s="102" t="b">
        <v>1</v>
      </c>
      <c r="U7" s="9"/>
      <c r="V7" s="22"/>
    </row>
    <row r="8" spans="2:22" x14ac:dyDescent="0.25">
      <c r="B8" s="6"/>
      <c r="C8" s="28" t="s">
        <v>15</v>
      </c>
      <c r="D8" s="29">
        <v>44081</v>
      </c>
      <c r="E8" s="8" t="s">
        <v>4</v>
      </c>
      <c r="F8" s="21" t="s">
        <v>41</v>
      </c>
      <c r="G8" s="25">
        <v>-4.9800000000000001E-3</v>
      </c>
      <c r="H8" s="19">
        <v>44181</v>
      </c>
      <c r="I8" s="19">
        <v>44222</v>
      </c>
      <c r="J8" s="95">
        <v>0</v>
      </c>
      <c r="K8" s="99" t="b">
        <v>1</v>
      </c>
      <c r="L8" s="11"/>
      <c r="M8" s="21" t="s">
        <v>36</v>
      </c>
      <c r="N8" s="95">
        <v>4.4999999999999999E-4</v>
      </c>
      <c r="O8" s="95" t="s">
        <v>59</v>
      </c>
      <c r="P8" s="102" t="b">
        <v>1</v>
      </c>
      <c r="Q8" s="11"/>
      <c r="R8" s="21" t="s">
        <v>36</v>
      </c>
      <c r="S8" s="25">
        <v>-4.9399999999999999E-3</v>
      </c>
      <c r="T8" s="102" t="b">
        <v>1</v>
      </c>
      <c r="U8" s="9"/>
      <c r="V8" s="22"/>
    </row>
    <row r="9" spans="2:22" x14ac:dyDescent="0.25">
      <c r="B9" s="6"/>
      <c r="C9" s="10"/>
      <c r="D9" s="10"/>
      <c r="E9" s="8" t="s">
        <v>4</v>
      </c>
      <c r="F9" s="21" t="s">
        <v>42</v>
      </c>
      <c r="G9" s="25">
        <v>-5.0299999999999997E-3</v>
      </c>
      <c r="H9" s="19">
        <v>44223</v>
      </c>
      <c r="I9" s="19">
        <v>44271</v>
      </c>
      <c r="J9" s="95">
        <v>0</v>
      </c>
      <c r="K9" s="99" t="b">
        <v>1</v>
      </c>
      <c r="L9" s="11"/>
      <c r="M9" s="21" t="s">
        <v>37</v>
      </c>
      <c r="N9" s="95">
        <v>5.0999999999999993E-4</v>
      </c>
      <c r="O9" s="95" t="s">
        <v>59</v>
      </c>
      <c r="P9" s="102" t="b">
        <v>1</v>
      </c>
      <c r="Q9" s="11"/>
      <c r="R9" s="21" t="s">
        <v>37</v>
      </c>
      <c r="S9" s="25">
        <v>-4.6600000000000001E-3</v>
      </c>
      <c r="T9" s="102" t="b">
        <v>1</v>
      </c>
      <c r="U9" s="9"/>
      <c r="V9" s="22"/>
    </row>
    <row r="10" spans="2:22" x14ac:dyDescent="0.25">
      <c r="B10" s="6"/>
      <c r="C10" s="8"/>
      <c r="D10" s="8"/>
      <c r="E10" s="8" t="s">
        <v>4</v>
      </c>
      <c r="F10" s="21" t="s">
        <v>34</v>
      </c>
      <c r="G10" s="25">
        <v>-5.1799999999999997E-3</v>
      </c>
      <c r="H10" s="19"/>
      <c r="I10" s="19"/>
      <c r="J10" s="19"/>
      <c r="K10" s="99" t="b">
        <v>1</v>
      </c>
      <c r="L10" s="11"/>
      <c r="M10" s="21" t="s">
        <v>43</v>
      </c>
      <c r="N10" s="95">
        <v>5.5000000000000003E-4</v>
      </c>
      <c r="O10" s="95" t="s">
        <v>59</v>
      </c>
      <c r="P10" s="102" t="b">
        <v>1</v>
      </c>
      <c r="Q10" s="11"/>
      <c r="R10" s="21" t="s">
        <v>43</v>
      </c>
      <c r="S10" s="25">
        <v>-4.3E-3</v>
      </c>
      <c r="T10" s="102" t="b">
        <v>1</v>
      </c>
      <c r="U10" s="9"/>
      <c r="V10" s="22"/>
    </row>
    <row r="11" spans="2:22" x14ac:dyDescent="0.25">
      <c r="B11" s="6"/>
      <c r="C11" s="33" t="s">
        <v>16</v>
      </c>
      <c r="D11" s="10"/>
      <c r="E11" s="8" t="s">
        <v>4</v>
      </c>
      <c r="F11" s="21" t="s">
        <v>35</v>
      </c>
      <c r="G11" s="25">
        <v>-5.45E-3</v>
      </c>
      <c r="H11" s="19"/>
      <c r="I11" s="19"/>
      <c r="J11" s="19"/>
      <c r="K11" s="99" t="b">
        <v>1</v>
      </c>
      <c r="L11" s="11"/>
      <c r="M11" s="21" t="s">
        <v>44</v>
      </c>
      <c r="N11" s="95">
        <v>5.9000000000000003E-4</v>
      </c>
      <c r="O11" s="95" t="s">
        <v>59</v>
      </c>
      <c r="P11" s="102" t="b">
        <v>1</v>
      </c>
      <c r="Q11" s="11"/>
      <c r="R11" s="21" t="s">
        <v>44</v>
      </c>
      <c r="S11" s="25">
        <v>-3.8700000000000002E-3</v>
      </c>
      <c r="T11" s="102" t="b">
        <v>1</v>
      </c>
      <c r="U11" s="9"/>
      <c r="V11" s="22"/>
    </row>
    <row r="12" spans="2:22" x14ac:dyDescent="0.25">
      <c r="B12" s="6"/>
      <c r="C12" s="7" t="s">
        <v>17</v>
      </c>
      <c r="D12" s="34" t="s">
        <v>67</v>
      </c>
      <c r="E12" s="8" t="s">
        <v>4</v>
      </c>
      <c r="F12" s="21" t="s">
        <v>19</v>
      </c>
      <c r="G12" s="25">
        <v>-5.5199999999999997E-3</v>
      </c>
      <c r="H12" s="19"/>
      <c r="I12" s="19"/>
      <c r="J12" s="19"/>
      <c r="K12" s="99" t="b">
        <v>1</v>
      </c>
      <c r="L12" s="11"/>
      <c r="M12" s="21" t="s">
        <v>45</v>
      </c>
      <c r="N12" s="95">
        <v>6.2E-4</v>
      </c>
      <c r="O12" s="95" t="s">
        <v>59</v>
      </c>
      <c r="P12" s="102" t="b">
        <v>1</v>
      </c>
      <c r="Q12" s="11"/>
      <c r="R12" s="21" t="s">
        <v>45</v>
      </c>
      <c r="S12" s="25">
        <v>-3.4000000000000002E-3</v>
      </c>
      <c r="T12" s="102" t="b">
        <v>1</v>
      </c>
      <c r="U12" s="9"/>
      <c r="V12" s="22"/>
    </row>
    <row r="13" spans="2:22" x14ac:dyDescent="0.25">
      <c r="B13" s="6"/>
      <c r="C13" s="27" t="s">
        <v>18</v>
      </c>
      <c r="D13" s="36" t="str">
        <f>_xll.meLWOCurveMarketDataCreate(D12,C3,C5:D8,F3,F5:K14,M3,M5:P14,R3,R5:T14)</f>
        <v>EUR_OIS_MKT@7:3</v>
      </c>
      <c r="E13" s="8" t="s">
        <v>4</v>
      </c>
      <c r="F13" s="21" t="s">
        <v>36</v>
      </c>
      <c r="G13" s="25">
        <v>-5.4099999999999999E-3</v>
      </c>
      <c r="H13" s="19"/>
      <c r="I13" s="19"/>
      <c r="J13" s="19"/>
      <c r="K13" s="99" t="b">
        <v>1</v>
      </c>
      <c r="L13" s="11"/>
      <c r="M13" s="21" t="s">
        <v>46</v>
      </c>
      <c r="N13" s="95">
        <v>6.4000000000000005E-4</v>
      </c>
      <c r="O13" s="95" t="s">
        <v>59</v>
      </c>
      <c r="P13" s="102" t="b">
        <v>1</v>
      </c>
      <c r="Q13" s="11"/>
      <c r="R13" s="21" t="s">
        <v>46</v>
      </c>
      <c r="S13" s="25">
        <v>-2.9299999999999999E-3</v>
      </c>
      <c r="T13" s="102" t="b">
        <v>1</v>
      </c>
      <c r="U13" s="9"/>
      <c r="V13" s="22"/>
    </row>
    <row r="14" spans="2:22" x14ac:dyDescent="0.25">
      <c r="B14" s="6"/>
      <c r="C14" s="37"/>
      <c r="D14" s="10"/>
      <c r="E14" s="8" t="s">
        <v>4</v>
      </c>
      <c r="F14" s="21" t="s">
        <v>37</v>
      </c>
      <c r="G14" s="25">
        <v>-5.1800000000000006E-3</v>
      </c>
      <c r="H14" s="19"/>
      <c r="I14" s="19"/>
      <c r="J14" s="19"/>
      <c r="K14" s="99" t="b">
        <v>1</v>
      </c>
      <c r="L14" s="11"/>
      <c r="M14" s="21" t="s">
        <v>47</v>
      </c>
      <c r="N14" s="95">
        <v>6.6E-4</v>
      </c>
      <c r="O14" s="95" t="s">
        <v>59</v>
      </c>
      <c r="P14" s="102" t="b">
        <v>1</v>
      </c>
      <c r="Q14" s="11"/>
      <c r="R14" s="21" t="s">
        <v>47</v>
      </c>
      <c r="S14" s="25">
        <v>-2.4199999999999998E-3</v>
      </c>
      <c r="T14" s="102" t="b">
        <v>1</v>
      </c>
      <c r="U14" s="9"/>
      <c r="V14" s="22"/>
    </row>
    <row r="15" spans="2:22" x14ac:dyDescent="0.25">
      <c r="B15" s="6"/>
      <c r="C15" s="37"/>
      <c r="D15" s="10"/>
      <c r="E15" s="8" t="s">
        <v>4</v>
      </c>
      <c r="F15" s="42"/>
      <c r="G15" s="43"/>
      <c r="H15" s="44"/>
      <c r="I15" s="44"/>
      <c r="J15" s="44"/>
      <c r="K15" s="100"/>
      <c r="L15" s="11"/>
      <c r="M15" s="42"/>
      <c r="N15" s="43"/>
      <c r="O15" s="43"/>
      <c r="P15" s="103"/>
      <c r="Q15" s="11"/>
      <c r="R15" s="42"/>
      <c r="S15" s="43"/>
      <c r="T15" s="103"/>
      <c r="U15" s="9"/>
    </row>
    <row r="16" spans="2:22" x14ac:dyDescent="0.25"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98"/>
      <c r="P16" s="98"/>
      <c r="Q16" s="31"/>
      <c r="R16" s="31"/>
      <c r="S16" s="31"/>
      <c r="T16" s="31"/>
      <c r="U16" s="32"/>
    </row>
    <row r="18" spans="3:20" x14ac:dyDescent="0.25">
      <c r="C18" s="35" t="s">
        <v>0</v>
      </c>
      <c r="D18" s="35"/>
      <c r="E18" s="35"/>
      <c r="F18" s="35" t="s">
        <v>1</v>
      </c>
      <c r="G18" s="35"/>
      <c r="H18" s="35"/>
      <c r="I18" s="35"/>
      <c r="J18" s="35"/>
      <c r="K18" s="35"/>
      <c r="L18" s="35"/>
      <c r="M18" s="35" t="s">
        <v>2</v>
      </c>
      <c r="N18" s="35"/>
      <c r="O18" s="104"/>
      <c r="P18" s="104"/>
      <c r="Q18" s="35"/>
      <c r="R18" s="35" t="s">
        <v>3</v>
      </c>
      <c r="S18" s="35"/>
      <c r="T18" s="35"/>
    </row>
    <row r="19" spans="3:20" x14ac:dyDescent="0.25">
      <c r="C19" t="str">
        <f>_xll.meLWOCurveMarketDataDisplay($D$13,C18)</f>
        <v>Currency</v>
      </c>
      <c r="F19" t="str">
        <f>_xll.meLWOCurveMarketDataDisplay($D$13,F18)</f>
        <v>ON</v>
      </c>
      <c r="M19" t="str">
        <f>_xll.meLWOCurveMarketDataDisplay($D$13,M18)</f>
        <v>1Y</v>
      </c>
      <c r="R19" t="str">
        <f>_xll.meLWOCurveMarketDataDisplay($D$13,R18)</f>
        <v>1Y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B2:S18"/>
  <sheetViews>
    <sheetView showGridLines="0" workbookViewId="0"/>
  </sheetViews>
  <sheetFormatPr defaultRowHeight="15" x14ac:dyDescent="0.25"/>
  <cols>
    <col min="2" max="2" width="2.7109375" customWidth="1"/>
    <col min="3" max="3" width="30.7109375" customWidth="1"/>
    <col min="4" max="4" width="22.5703125" customWidth="1"/>
    <col min="5" max="5" width="2.7109375" customWidth="1"/>
    <col min="6" max="6" width="7.7109375" customWidth="1"/>
    <col min="7" max="7" width="10.7109375" customWidth="1"/>
    <col min="8" max="8" width="2.7109375" customWidth="1"/>
    <col min="9" max="9" width="9" bestFit="1" customWidth="1"/>
    <col min="10" max="11" width="12.7109375" customWidth="1"/>
    <col min="12" max="12" width="7.5703125" bestFit="1" customWidth="1"/>
    <col min="13" max="13" width="10" customWidth="1"/>
    <col min="14" max="14" width="6.5703125" customWidth="1"/>
    <col min="15" max="15" width="2.7109375" customWidth="1"/>
    <col min="16" max="16" width="7.42578125" bestFit="1" customWidth="1"/>
    <col min="17" max="17" width="12.7109375" customWidth="1"/>
    <col min="18" max="18" width="7.28515625" customWidth="1"/>
    <col min="19" max="19" width="2.7109375" customWidth="1"/>
  </cols>
  <sheetData>
    <row r="2" spans="2:19" x14ac:dyDescent="0.25"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</row>
    <row r="3" spans="2:19" s="110" customFormat="1" x14ac:dyDescent="0.25">
      <c r="B3" s="127"/>
      <c r="C3" s="128" t="s">
        <v>0</v>
      </c>
      <c r="D3" s="129"/>
      <c r="E3" s="37"/>
      <c r="F3" s="128" t="s">
        <v>21</v>
      </c>
      <c r="G3" s="129"/>
      <c r="H3" s="37"/>
      <c r="I3" s="128" t="s">
        <v>22</v>
      </c>
      <c r="J3" s="10"/>
      <c r="K3" s="129"/>
      <c r="L3" s="129"/>
      <c r="M3" s="129"/>
      <c r="N3" s="129"/>
      <c r="O3" s="37"/>
      <c r="P3" s="128" t="s">
        <v>3</v>
      </c>
      <c r="Q3" s="37"/>
      <c r="R3" s="37"/>
      <c r="S3" s="130"/>
    </row>
    <row r="4" spans="2:19" x14ac:dyDescent="0.25">
      <c r="B4" s="50"/>
      <c r="C4" s="52" t="s">
        <v>10</v>
      </c>
      <c r="D4" s="53" t="s">
        <v>11</v>
      </c>
      <c r="E4" s="8" t="s">
        <v>4</v>
      </c>
      <c r="F4" s="10" t="s">
        <v>5</v>
      </c>
      <c r="G4" s="10" t="s">
        <v>6</v>
      </c>
      <c r="H4" s="37"/>
      <c r="I4" s="54" t="s">
        <v>5</v>
      </c>
      <c r="J4" s="54" t="s">
        <v>7</v>
      </c>
      <c r="K4" s="54" t="s">
        <v>8</v>
      </c>
      <c r="L4" s="54" t="s">
        <v>6</v>
      </c>
      <c r="M4" s="54" t="s">
        <v>23</v>
      </c>
      <c r="N4" s="10" t="s">
        <v>9</v>
      </c>
      <c r="O4" s="37"/>
      <c r="P4" s="55" t="s">
        <v>5</v>
      </c>
      <c r="Q4" s="10" t="s">
        <v>6</v>
      </c>
      <c r="R4" s="10" t="s">
        <v>9</v>
      </c>
      <c r="S4" s="51"/>
    </row>
    <row r="5" spans="2:19" x14ac:dyDescent="0.25">
      <c r="B5" s="50"/>
      <c r="C5" s="56" t="s">
        <v>12</v>
      </c>
      <c r="D5" s="57" t="s">
        <v>24</v>
      </c>
      <c r="E5" s="8" t="s">
        <v>4</v>
      </c>
      <c r="F5" s="16" t="s">
        <v>51</v>
      </c>
      <c r="G5" s="20">
        <v>-5.4513999999999995E-3</v>
      </c>
      <c r="H5" s="8"/>
      <c r="I5" s="58" t="s">
        <v>52</v>
      </c>
      <c r="J5" s="59">
        <v>44090</v>
      </c>
      <c r="K5" s="59">
        <v>44181</v>
      </c>
      <c r="L5" s="60">
        <v>100.485</v>
      </c>
      <c r="M5" s="93">
        <v>5.0000000000000001E-3</v>
      </c>
      <c r="N5" s="105" t="b">
        <v>1</v>
      </c>
      <c r="O5" s="8"/>
      <c r="P5" s="61" t="s">
        <v>19</v>
      </c>
      <c r="Q5" s="62">
        <v>-5.1400000000000005E-3</v>
      </c>
      <c r="R5" s="105" t="b">
        <v>1</v>
      </c>
      <c r="S5" s="51"/>
    </row>
    <row r="6" spans="2:19" x14ac:dyDescent="0.25">
      <c r="B6" s="50"/>
      <c r="C6" s="56" t="s">
        <v>13</v>
      </c>
      <c r="D6" s="57" t="s">
        <v>20</v>
      </c>
      <c r="E6" s="8" t="s">
        <v>4</v>
      </c>
      <c r="F6" s="21" t="s">
        <v>33</v>
      </c>
      <c r="G6" s="26">
        <v>-5.0670999999999997E-3</v>
      </c>
      <c r="H6" s="8"/>
      <c r="I6" s="63" t="s">
        <v>53</v>
      </c>
      <c r="J6" s="64">
        <v>44181</v>
      </c>
      <c r="K6" s="64">
        <v>44272</v>
      </c>
      <c r="L6" s="65">
        <v>100.49</v>
      </c>
      <c r="M6" s="91">
        <v>5.0000000000000001E-3</v>
      </c>
      <c r="N6" s="106" t="b">
        <v>1</v>
      </c>
      <c r="O6" s="8"/>
      <c r="P6" s="63" t="s">
        <v>36</v>
      </c>
      <c r="Q6" s="66">
        <v>-4.9499999999999995E-3</v>
      </c>
      <c r="R6" s="106" t="b">
        <v>1</v>
      </c>
      <c r="S6" s="51"/>
    </row>
    <row r="7" spans="2:19" x14ac:dyDescent="0.25">
      <c r="B7" s="50"/>
      <c r="C7" s="56" t="s">
        <v>15</v>
      </c>
      <c r="D7" s="67">
        <v>44081</v>
      </c>
      <c r="E7" s="8" t="s">
        <v>4</v>
      </c>
      <c r="F7" s="21" t="s">
        <v>54</v>
      </c>
      <c r="G7" s="26">
        <v>-4.8529000000000003E-3</v>
      </c>
      <c r="H7" s="8"/>
      <c r="I7" s="63" t="s">
        <v>55</v>
      </c>
      <c r="J7" s="68">
        <v>44272</v>
      </c>
      <c r="K7" s="68">
        <v>44363</v>
      </c>
      <c r="L7" s="65">
        <v>100.505</v>
      </c>
      <c r="M7" s="92">
        <v>5.0000000000000001E-3</v>
      </c>
      <c r="N7" s="106" t="b">
        <v>1</v>
      </c>
      <c r="O7" s="8"/>
      <c r="P7" s="63" t="s">
        <v>37</v>
      </c>
      <c r="Q7" s="66">
        <v>-4.6700000000000005E-3</v>
      </c>
      <c r="R7" s="106" t="b">
        <v>1</v>
      </c>
      <c r="S7" s="51"/>
    </row>
    <row r="8" spans="2:19" x14ac:dyDescent="0.25">
      <c r="B8" s="50"/>
      <c r="C8" s="13"/>
      <c r="D8" s="69"/>
      <c r="E8" s="8" t="s">
        <v>4</v>
      </c>
      <c r="F8" s="21" t="s">
        <v>56</v>
      </c>
      <c r="G8" s="26">
        <v>-3.9785999999999997E-3</v>
      </c>
      <c r="H8" s="8"/>
      <c r="I8" s="63" t="s">
        <v>57</v>
      </c>
      <c r="J8" s="68">
        <v>44363</v>
      </c>
      <c r="K8" s="68">
        <v>44454</v>
      </c>
      <c r="L8" s="65">
        <v>100.52</v>
      </c>
      <c r="M8" s="92">
        <v>5.0000000000000001E-3</v>
      </c>
      <c r="N8" s="106" t="b">
        <v>1</v>
      </c>
      <c r="O8" s="8"/>
      <c r="P8" s="63" t="s">
        <v>43</v>
      </c>
      <c r="Q8" s="66">
        <v>-4.3099999999999996E-3</v>
      </c>
      <c r="R8" s="106" t="b">
        <v>1</v>
      </c>
      <c r="S8" s="51"/>
    </row>
    <row r="9" spans="2:19" x14ac:dyDescent="0.25">
      <c r="B9" s="50"/>
      <c r="C9" s="27"/>
      <c r="D9" s="70"/>
      <c r="E9" s="8" t="s">
        <v>4</v>
      </c>
      <c r="F9" s="46"/>
      <c r="G9" s="45"/>
      <c r="H9" s="8"/>
      <c r="I9" s="63"/>
      <c r="J9" s="68"/>
      <c r="K9" s="68"/>
      <c r="L9" s="65"/>
      <c r="M9" s="92"/>
      <c r="N9" s="106"/>
      <c r="O9" s="8"/>
      <c r="P9" s="63" t="s">
        <v>44</v>
      </c>
      <c r="Q9" s="66">
        <v>-3.8800000000000002E-3</v>
      </c>
      <c r="R9" s="106" t="b">
        <v>1</v>
      </c>
      <c r="S9" s="51"/>
    </row>
    <row r="10" spans="2:19" x14ac:dyDescent="0.25">
      <c r="B10" s="50"/>
      <c r="C10" s="8"/>
      <c r="D10" s="8"/>
      <c r="E10" s="8" t="s">
        <v>4</v>
      </c>
      <c r="F10" s="8"/>
      <c r="G10" s="8"/>
      <c r="H10" s="8"/>
      <c r="I10" s="63"/>
      <c r="J10" s="68"/>
      <c r="K10" s="68"/>
      <c r="L10" s="65"/>
      <c r="M10" s="92"/>
      <c r="N10" s="106"/>
      <c r="O10" s="8"/>
      <c r="P10" s="63" t="s">
        <v>45</v>
      </c>
      <c r="Q10" s="66">
        <v>-3.4100000000000003E-3</v>
      </c>
      <c r="R10" s="106" t="b">
        <v>1</v>
      </c>
      <c r="S10" s="51"/>
    </row>
    <row r="11" spans="2:19" x14ac:dyDescent="0.25">
      <c r="B11" s="50"/>
      <c r="C11" s="33" t="s">
        <v>16</v>
      </c>
      <c r="D11" s="10"/>
      <c r="E11" s="8" t="s">
        <v>4</v>
      </c>
      <c r="F11" s="8"/>
      <c r="G11" s="8"/>
      <c r="H11" s="8"/>
      <c r="I11" s="63"/>
      <c r="J11" s="68"/>
      <c r="K11" s="68"/>
      <c r="L11" s="65"/>
      <c r="M11" s="92"/>
      <c r="N11" s="106"/>
      <c r="O11" s="8"/>
      <c r="P11" s="63" t="s">
        <v>46</v>
      </c>
      <c r="Q11" s="66">
        <v>-2.9399999999999999E-3</v>
      </c>
      <c r="R11" s="106" t="b">
        <v>1</v>
      </c>
      <c r="S11" s="51"/>
    </row>
    <row r="12" spans="2:19" x14ac:dyDescent="0.25">
      <c r="B12" s="50"/>
      <c r="C12" s="7" t="s">
        <v>17</v>
      </c>
      <c r="D12" s="34" t="s">
        <v>68</v>
      </c>
      <c r="E12" s="8" t="s">
        <v>4</v>
      </c>
      <c r="F12" s="8"/>
      <c r="G12" s="8"/>
      <c r="H12" s="8"/>
      <c r="I12" s="63"/>
      <c r="J12" s="68"/>
      <c r="K12" s="68"/>
      <c r="L12" s="65"/>
      <c r="M12" s="92"/>
      <c r="N12" s="106"/>
      <c r="O12" s="8"/>
      <c r="P12" s="63" t="s">
        <v>47</v>
      </c>
      <c r="Q12" s="66">
        <v>-2.4299999999999999E-3</v>
      </c>
      <c r="R12" s="106" t="b">
        <v>1</v>
      </c>
      <c r="S12" s="51"/>
    </row>
    <row r="13" spans="2:19" x14ac:dyDescent="0.25">
      <c r="B13" s="50"/>
      <c r="C13" s="27" t="s">
        <v>18</v>
      </c>
      <c r="D13" s="36" t="str">
        <f>_xll.meLWOCurveMarketDataCreate(D12,C3,C4:D9,F3,F5:G9,I3,I5:N8,P3,P5:R12)</f>
        <v>EUR_SWAP_MKT:1</v>
      </c>
      <c r="E13" s="8" t="s">
        <v>4</v>
      </c>
      <c r="F13" s="8"/>
      <c r="G13" s="8"/>
      <c r="H13" s="8"/>
      <c r="I13" s="63"/>
      <c r="J13" s="68"/>
      <c r="K13" s="68"/>
      <c r="L13" s="65"/>
      <c r="M13" s="92"/>
      <c r="N13" s="106"/>
      <c r="O13" s="8"/>
      <c r="P13" s="63"/>
      <c r="Q13" s="66"/>
      <c r="R13" s="106"/>
      <c r="S13" s="51"/>
    </row>
    <row r="14" spans="2:19" x14ac:dyDescent="0.25">
      <c r="B14" s="50"/>
      <c r="C14" s="8"/>
      <c r="D14" s="8"/>
      <c r="E14" s="8" t="s">
        <v>4</v>
      </c>
      <c r="F14" s="8"/>
      <c r="G14" s="8"/>
      <c r="H14" s="8"/>
      <c r="I14" s="71"/>
      <c r="J14" s="72"/>
      <c r="K14" s="72"/>
      <c r="L14" s="73"/>
      <c r="M14" s="94"/>
      <c r="N14" s="107"/>
      <c r="O14" s="8"/>
      <c r="P14" s="71"/>
      <c r="Q14" s="74"/>
      <c r="R14" s="107"/>
      <c r="S14" s="51"/>
    </row>
    <row r="15" spans="2:19" x14ac:dyDescent="0.25">
      <c r="B15" s="75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7"/>
    </row>
    <row r="17" spans="3:18" x14ac:dyDescent="0.25">
      <c r="C17" s="35" t="s">
        <v>0</v>
      </c>
      <c r="D17" s="35"/>
      <c r="E17" s="35"/>
      <c r="F17" s="35" t="s">
        <v>21</v>
      </c>
      <c r="G17" s="35"/>
      <c r="H17" s="35"/>
      <c r="I17" s="35" t="s">
        <v>22</v>
      </c>
      <c r="J17" s="35"/>
      <c r="K17" s="35"/>
      <c r="L17" s="35"/>
      <c r="M17" s="35"/>
      <c r="N17" s="35"/>
      <c r="O17" s="35"/>
      <c r="P17" s="35" t="s">
        <v>3</v>
      </c>
      <c r="Q17" s="35"/>
      <c r="R17" s="35"/>
    </row>
    <row r="18" spans="3:18" x14ac:dyDescent="0.25">
      <c r="C18" t="str">
        <f>_xll.meLWOCurveMarketDataDisplay($D$13,C17)</f>
        <v>Currency</v>
      </c>
      <c r="F18" t="str">
        <f>_xll.meLWOCurveMarketDataDisplay($D$13,F17)</f>
        <v>1M</v>
      </c>
      <c r="I18" t="str">
        <f>_xll.meLWOCurveMarketDataDisplay($D$13,I17)</f>
        <v>ER1</v>
      </c>
      <c r="P18" t="str">
        <f>_xll.meLWOCurveMarketDataDisplay($D$13,P17)</f>
        <v>3Y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B2:G56"/>
  <sheetViews>
    <sheetView showGridLines="0" workbookViewId="0"/>
  </sheetViews>
  <sheetFormatPr defaultRowHeight="15" x14ac:dyDescent="0.25"/>
  <cols>
    <col min="2" max="2" width="28.85546875" bestFit="1" customWidth="1"/>
    <col min="3" max="3" width="32.7109375" customWidth="1"/>
    <col min="5" max="6" width="12.7109375" customWidth="1"/>
  </cols>
  <sheetData>
    <row r="2" spans="2:7" x14ac:dyDescent="0.25">
      <c r="B2" s="35" t="s">
        <v>0</v>
      </c>
      <c r="C2" s="109"/>
      <c r="D2" s="110"/>
      <c r="E2" s="111" t="s">
        <v>48</v>
      </c>
      <c r="F2" s="80"/>
    </row>
    <row r="3" spans="2:7" x14ac:dyDescent="0.25">
      <c r="B3" s="39" t="s">
        <v>10</v>
      </c>
      <c r="C3" s="81" t="s">
        <v>11</v>
      </c>
      <c r="E3" s="108" t="s">
        <v>5</v>
      </c>
      <c r="F3" s="80" t="s">
        <v>6</v>
      </c>
      <c r="G3" s="90" t="s">
        <v>9</v>
      </c>
    </row>
    <row r="4" spans="2:7" x14ac:dyDescent="0.25">
      <c r="B4" s="40" t="s">
        <v>12</v>
      </c>
      <c r="C4" s="82" t="s">
        <v>49</v>
      </c>
      <c r="E4" s="83" t="s">
        <v>34</v>
      </c>
      <c r="F4" s="112">
        <v>4.4999999999999999E-4</v>
      </c>
      <c r="G4" s="113" t="b">
        <v>1</v>
      </c>
    </row>
    <row r="5" spans="2:7" x14ac:dyDescent="0.25">
      <c r="B5" s="40" t="s">
        <v>13</v>
      </c>
      <c r="C5" s="82" t="s">
        <v>50</v>
      </c>
      <c r="E5" s="83" t="s">
        <v>35</v>
      </c>
      <c r="F5" s="114">
        <v>4.7000000000000004E-4</v>
      </c>
      <c r="G5" s="115" t="b">
        <v>1</v>
      </c>
    </row>
    <row r="6" spans="2:7" x14ac:dyDescent="0.25">
      <c r="B6" s="41" t="s">
        <v>15</v>
      </c>
      <c r="C6" s="84">
        <v>44081</v>
      </c>
      <c r="E6" s="83" t="s">
        <v>19</v>
      </c>
      <c r="F6" s="114">
        <v>4.7999999999999996E-4</v>
      </c>
      <c r="G6" s="115" t="b">
        <v>1</v>
      </c>
    </row>
    <row r="7" spans="2:7" x14ac:dyDescent="0.25">
      <c r="C7" s="79"/>
      <c r="E7" s="83" t="s">
        <v>36</v>
      </c>
      <c r="F7" s="114">
        <v>5.2000000000000006E-4</v>
      </c>
      <c r="G7" s="115" t="b">
        <v>1</v>
      </c>
    </row>
    <row r="8" spans="2:7" x14ac:dyDescent="0.25">
      <c r="B8" s="85" t="s">
        <v>32</v>
      </c>
      <c r="C8" s="79"/>
      <c r="E8" s="83" t="s">
        <v>37</v>
      </c>
      <c r="F8" s="114">
        <v>5.5000000000000003E-4</v>
      </c>
      <c r="G8" s="115" t="b">
        <v>1</v>
      </c>
    </row>
    <row r="9" spans="2:7" x14ac:dyDescent="0.25">
      <c r="B9" s="39" t="s">
        <v>17</v>
      </c>
      <c r="C9" s="81" t="s">
        <v>69</v>
      </c>
      <c r="E9" s="83" t="s">
        <v>43</v>
      </c>
      <c r="F9" s="114">
        <v>5.6999999999999998E-4</v>
      </c>
      <c r="G9" s="115" t="b">
        <v>1</v>
      </c>
    </row>
    <row r="10" spans="2:7" x14ac:dyDescent="0.25">
      <c r="B10" s="40" t="s">
        <v>18</v>
      </c>
      <c r="C10" s="126" t="str">
        <f>_xll.meLWOCurveMarketDataCreate(C9,B2,B3:C6,E2,E4:G13)</f>
        <v>EUR_TENOR_BASIS_MKT:2</v>
      </c>
      <c r="E10" s="83" t="s">
        <v>44</v>
      </c>
      <c r="F10" s="114">
        <v>5.8E-4</v>
      </c>
      <c r="G10" s="115" t="b">
        <v>1</v>
      </c>
    </row>
    <row r="11" spans="2:7" x14ac:dyDescent="0.25">
      <c r="B11" s="41"/>
      <c r="C11" s="86"/>
      <c r="E11" s="83" t="s">
        <v>45</v>
      </c>
      <c r="F11" s="114">
        <v>5.8E-4</v>
      </c>
      <c r="G11" s="115" t="b">
        <v>1</v>
      </c>
    </row>
    <row r="12" spans="2:7" x14ac:dyDescent="0.25">
      <c r="C12" s="79"/>
      <c r="E12" s="83" t="s">
        <v>46</v>
      </c>
      <c r="F12" s="114">
        <v>5.8500000000000002E-4</v>
      </c>
      <c r="G12" s="115" t="b">
        <v>1</v>
      </c>
    </row>
    <row r="13" spans="2:7" x14ac:dyDescent="0.25">
      <c r="E13" s="83" t="s">
        <v>47</v>
      </c>
      <c r="F13" s="114">
        <v>5.8E-4</v>
      </c>
      <c r="G13" s="115" t="b">
        <v>1</v>
      </c>
    </row>
    <row r="14" spans="2:7" x14ac:dyDescent="0.25">
      <c r="E14" s="88"/>
      <c r="F14" s="116"/>
      <c r="G14" s="117"/>
    </row>
    <row r="15" spans="2:7" x14ac:dyDescent="0.25">
      <c r="E15" s="90"/>
      <c r="F15" s="90"/>
    </row>
    <row r="16" spans="2:7" x14ac:dyDescent="0.25">
      <c r="B16" s="35" t="s">
        <v>0</v>
      </c>
      <c r="C16" s="109"/>
      <c r="D16" s="110"/>
      <c r="E16" s="111" t="s">
        <v>48</v>
      </c>
      <c r="F16" s="80"/>
    </row>
    <row r="17" spans="2:5" x14ac:dyDescent="0.25">
      <c r="B17" t="str">
        <f>_xll.meLWOCurveMarketDataDisplay($C$10,B16)</f>
        <v>Currency</v>
      </c>
      <c r="E17" t="str">
        <f>_xll.meLWOCurveMarketDataDisplay($C$10,E16)</f>
        <v>1Y</v>
      </c>
    </row>
    <row r="27" spans="2:5" ht="15" customHeight="1" x14ac:dyDescent="0.25"/>
    <row r="42" ht="15" customHeight="1" x14ac:dyDescent="0.25"/>
    <row r="56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O86"/>
  <sheetViews>
    <sheetView showGridLines="0" workbookViewId="0"/>
  </sheetViews>
  <sheetFormatPr defaultRowHeight="15" x14ac:dyDescent="0.25"/>
  <cols>
    <col min="1" max="1" width="4.7109375" customWidth="1"/>
    <col min="2" max="2" width="21.85546875" customWidth="1"/>
    <col min="3" max="3" width="22.5703125" customWidth="1"/>
    <col min="9" max="10" width="10.7109375" customWidth="1"/>
    <col min="14" max="14" width="9.85546875" bestFit="1" customWidth="1"/>
  </cols>
  <sheetData>
    <row r="1" spans="1:15" x14ac:dyDescent="0.25">
      <c r="A1" s="78"/>
    </row>
    <row r="2" spans="1:15" x14ac:dyDescent="0.25">
      <c r="B2" s="35" t="s">
        <v>0</v>
      </c>
      <c r="C2" s="109"/>
      <c r="D2" s="110"/>
      <c r="E2" s="122" t="s">
        <v>25</v>
      </c>
      <c r="I2" s="122" t="s">
        <v>31</v>
      </c>
      <c r="J2" s="110"/>
      <c r="K2" s="110"/>
      <c r="L2" s="110"/>
      <c r="M2" s="122" t="s">
        <v>26</v>
      </c>
      <c r="N2" s="80"/>
      <c r="O2" s="110"/>
    </row>
    <row r="3" spans="1:15" x14ac:dyDescent="0.25">
      <c r="B3" s="39" t="s">
        <v>10</v>
      </c>
      <c r="C3" s="81" t="s">
        <v>11</v>
      </c>
      <c r="E3" s="108" t="s">
        <v>27</v>
      </c>
      <c r="F3" s="108" t="s">
        <v>28</v>
      </c>
      <c r="G3" s="108" t="s">
        <v>6</v>
      </c>
      <c r="I3" s="108" t="s">
        <v>5</v>
      </c>
      <c r="J3" s="108" t="s">
        <v>6</v>
      </c>
      <c r="K3" s="108" t="s">
        <v>9</v>
      </c>
      <c r="L3" s="110"/>
      <c r="M3" s="108" t="s">
        <v>5</v>
      </c>
      <c r="N3" s="108" t="s">
        <v>6</v>
      </c>
      <c r="O3" s="108" t="s">
        <v>9</v>
      </c>
    </row>
    <row r="4" spans="1:15" x14ac:dyDescent="0.25">
      <c r="B4" s="40" t="s">
        <v>12</v>
      </c>
      <c r="C4" s="82" t="s">
        <v>29</v>
      </c>
      <c r="E4" s="118" t="s">
        <v>11</v>
      </c>
      <c r="F4" s="119" t="s">
        <v>30</v>
      </c>
      <c r="G4" s="120">
        <v>1.1797500000000001</v>
      </c>
      <c r="I4" s="123" t="s">
        <v>38</v>
      </c>
      <c r="J4" s="124">
        <v>0.24</v>
      </c>
      <c r="K4" s="135" t="b">
        <v>1</v>
      </c>
      <c r="L4" s="110"/>
      <c r="M4" s="123" t="s">
        <v>34</v>
      </c>
      <c r="N4" s="125">
        <v>-9.5E-4</v>
      </c>
      <c r="O4" s="135" t="b">
        <v>1</v>
      </c>
    </row>
    <row r="5" spans="1:15" x14ac:dyDescent="0.25">
      <c r="B5" s="40" t="s">
        <v>13</v>
      </c>
      <c r="C5" s="82" t="s">
        <v>20</v>
      </c>
      <c r="I5" s="123" t="s">
        <v>60</v>
      </c>
      <c r="J5" s="124">
        <v>0.245</v>
      </c>
      <c r="K5" s="135" t="b">
        <v>1</v>
      </c>
      <c r="L5" s="110"/>
      <c r="M5" s="123" t="s">
        <v>35</v>
      </c>
      <c r="N5" s="125">
        <v>-1.075E-3</v>
      </c>
      <c r="O5" s="135" t="b">
        <v>1</v>
      </c>
    </row>
    <row r="6" spans="1:15" x14ac:dyDescent="0.25">
      <c r="B6" s="41" t="s">
        <v>15</v>
      </c>
      <c r="C6" s="121">
        <v>44081</v>
      </c>
      <c r="I6" s="123" t="s">
        <v>61</v>
      </c>
      <c r="J6" s="124">
        <v>1.73</v>
      </c>
      <c r="K6" s="135" t="b">
        <v>1</v>
      </c>
      <c r="L6" s="110"/>
      <c r="M6" s="123" t="s">
        <v>19</v>
      </c>
      <c r="N6" s="125">
        <v>-1.1875E-3</v>
      </c>
      <c r="O6" s="135" t="b">
        <v>1</v>
      </c>
    </row>
    <row r="7" spans="1:15" x14ac:dyDescent="0.25">
      <c r="C7" s="79"/>
      <c r="I7" s="123" t="s">
        <v>62</v>
      </c>
      <c r="J7" s="124">
        <v>3.45</v>
      </c>
      <c r="K7" s="135" t="b">
        <v>1</v>
      </c>
      <c r="L7" s="110"/>
      <c r="M7" s="123" t="s">
        <v>36</v>
      </c>
      <c r="N7" s="125">
        <v>-1.3125000000000001E-3</v>
      </c>
      <c r="O7" s="135" t="b">
        <v>1</v>
      </c>
    </row>
    <row r="8" spans="1:15" x14ac:dyDescent="0.25">
      <c r="B8" s="85" t="s">
        <v>32</v>
      </c>
      <c r="C8" s="79"/>
      <c r="I8" s="123" t="s">
        <v>63</v>
      </c>
      <c r="J8" s="124">
        <v>5.22</v>
      </c>
      <c r="K8" s="135" t="b">
        <v>1</v>
      </c>
      <c r="L8" s="110"/>
      <c r="M8" s="123" t="s">
        <v>37</v>
      </c>
      <c r="N8" s="125">
        <v>-1.475E-3</v>
      </c>
      <c r="O8" s="135" t="b">
        <v>1</v>
      </c>
    </row>
    <row r="9" spans="1:15" x14ac:dyDescent="0.25">
      <c r="B9" s="39" t="s">
        <v>17</v>
      </c>
      <c r="C9" s="81" t="s">
        <v>70</v>
      </c>
      <c r="I9" s="123" t="s">
        <v>51</v>
      </c>
      <c r="J9" s="124">
        <v>8.23</v>
      </c>
      <c r="K9" s="135" t="b">
        <v>1</v>
      </c>
      <c r="L9" s="110"/>
      <c r="M9" s="123" t="s">
        <v>43</v>
      </c>
      <c r="N9" s="125">
        <v>-1.6125E-3</v>
      </c>
      <c r="O9" s="135" t="b">
        <v>1</v>
      </c>
    </row>
    <row r="10" spans="1:15" x14ac:dyDescent="0.25">
      <c r="B10" s="40" t="s">
        <v>18</v>
      </c>
      <c r="C10" s="126" t="str">
        <f>_xll.meLWOCurveMarketDataCreate(C9,B2,B3:C6,E2,E4:G4,I2,I4:K13,M2,M4:O13)</f>
        <v>EUR_XCCY_MKT:2</v>
      </c>
      <c r="I10" s="123" t="s">
        <v>64</v>
      </c>
      <c r="J10" s="124">
        <v>16.100000000000001</v>
      </c>
      <c r="K10" s="135" t="b">
        <v>1</v>
      </c>
      <c r="L10" s="110"/>
      <c r="M10" s="123" t="s">
        <v>44</v>
      </c>
      <c r="N10" s="125">
        <v>-1.6999999999999999E-3</v>
      </c>
      <c r="O10" s="135" t="b">
        <v>1</v>
      </c>
    </row>
    <row r="11" spans="1:15" x14ac:dyDescent="0.25">
      <c r="B11" s="41"/>
      <c r="C11" s="86"/>
      <c r="I11" s="123" t="s">
        <v>33</v>
      </c>
      <c r="J11" s="124">
        <v>23.7</v>
      </c>
      <c r="K11" s="135" t="b">
        <v>1</v>
      </c>
      <c r="L11" s="110"/>
      <c r="M11" s="123" t="s">
        <v>45</v>
      </c>
      <c r="N11" s="125">
        <v>-1.75E-3</v>
      </c>
      <c r="O11" s="135" t="b">
        <v>1</v>
      </c>
    </row>
    <row r="12" spans="1:15" x14ac:dyDescent="0.25">
      <c r="C12" s="79"/>
      <c r="I12" s="123" t="s">
        <v>65</v>
      </c>
      <c r="J12" s="124">
        <v>37.119999999999997</v>
      </c>
      <c r="K12" s="135" t="b">
        <v>1</v>
      </c>
      <c r="L12" s="110"/>
      <c r="M12" s="123" t="s">
        <v>46</v>
      </c>
      <c r="N12" s="125">
        <v>-1.7875E-3</v>
      </c>
      <c r="O12" s="135" t="b">
        <v>1</v>
      </c>
    </row>
    <row r="13" spans="1:15" x14ac:dyDescent="0.25">
      <c r="I13" s="123" t="s">
        <v>66</v>
      </c>
      <c r="J13" s="124">
        <v>44.38</v>
      </c>
      <c r="K13" s="135" t="b">
        <v>1</v>
      </c>
      <c r="L13" s="110"/>
      <c r="M13" s="123" t="s">
        <v>47</v>
      </c>
      <c r="N13" s="125">
        <v>-1.8125000000000001E-3</v>
      </c>
      <c r="O13" s="135" t="b">
        <v>1</v>
      </c>
    </row>
    <row r="14" spans="1:15" x14ac:dyDescent="0.25">
      <c r="I14" s="88"/>
      <c r="J14" s="89"/>
      <c r="K14" s="136"/>
      <c r="L14" s="110"/>
      <c r="M14" s="88"/>
      <c r="N14" s="116"/>
      <c r="O14" s="136"/>
    </row>
    <row r="15" spans="1:15" x14ac:dyDescent="0.25">
      <c r="K15" s="38"/>
    </row>
    <row r="16" spans="1:15" x14ac:dyDescent="0.25">
      <c r="B16" s="35" t="s">
        <v>0</v>
      </c>
      <c r="C16" s="109"/>
      <c r="D16" s="110"/>
      <c r="E16" s="122" t="s">
        <v>25</v>
      </c>
      <c r="F16" s="110"/>
      <c r="G16" s="110"/>
      <c r="H16" s="110"/>
      <c r="I16" s="122" t="s">
        <v>31</v>
      </c>
      <c r="J16" s="110"/>
      <c r="K16" s="110"/>
      <c r="L16" s="110"/>
      <c r="M16" s="122" t="s">
        <v>26</v>
      </c>
      <c r="N16" s="80"/>
      <c r="O16" s="110"/>
    </row>
    <row r="17" spans="2:13" x14ac:dyDescent="0.25">
      <c r="B17" t="str">
        <f>_xll.meLWOCurveMarketDataDisplay($C$10,B16)</f>
        <v>Currency</v>
      </c>
      <c r="D17" t="s">
        <v>4</v>
      </c>
      <c r="E17" t="str">
        <f>_xll.meLWOCurveMarketDataDisplay($C$10,E16)</f>
        <v>EUR</v>
      </c>
      <c r="I17" t="str">
        <f>_xll.meLWOCurveMarketDataDisplay($C$10,I16)</f>
        <v>ON</v>
      </c>
      <c r="K17" s="38"/>
      <c r="M17" t="str">
        <f>_xll.meLWOCurveMarketDataDisplay($C$10,M16)</f>
        <v>1Y</v>
      </c>
    </row>
    <row r="18" spans="2:13" x14ac:dyDescent="0.25">
      <c r="D18" t="s">
        <v>4</v>
      </c>
    </row>
    <row r="19" spans="2:13" x14ac:dyDescent="0.25">
      <c r="D19" s="87" t="s">
        <v>4</v>
      </c>
    </row>
    <row r="20" spans="2:13" x14ac:dyDescent="0.25">
      <c r="I20" s="90"/>
      <c r="J20" s="90"/>
    </row>
    <row r="29" spans="2:13" ht="15" customHeight="1" x14ac:dyDescent="0.25"/>
    <row r="45" ht="15" customHeight="1" x14ac:dyDescent="0.25"/>
    <row r="72" ht="15" customHeight="1" x14ac:dyDescent="0.25"/>
    <row r="86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OIS</vt:lpstr>
      <vt:lpstr>SWAP</vt:lpstr>
      <vt:lpstr>BASIS</vt:lpstr>
      <vt:lpstr>XCCY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2020-09-07T08:59:00Z</dcterms:created>
  <dcterms:modified xsi:type="dcterms:W3CDTF">2020-09-08T15:45:04Z</dcterms:modified>
</cp:coreProperties>
</file>