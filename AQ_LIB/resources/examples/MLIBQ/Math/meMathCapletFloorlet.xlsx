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50" windowWidth="20700" windowHeight="11640"/>
  </bookViews>
  <sheets>
    <sheet name="CapletFloorlet" sheetId="13" r:id="rId1"/>
  </sheets>
  <definedNames>
    <definedName name="AsOf">#REF!</definedName>
  </definedNames>
  <calcPr calcId="145621" calcMode="manual" calcOnSave="0"/>
  <fileRecoveryPr repairLoad="1"/>
</workbook>
</file>

<file path=xl/calcChain.xml><?xml version="1.0" encoding="utf-8"?>
<calcChain xmlns="http://schemas.openxmlformats.org/spreadsheetml/2006/main">
  <c r="T30" i="13" l="1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45" i="13"/>
  <c r="T46" i="13"/>
  <c r="T47" i="13"/>
  <c r="T48" i="13"/>
  <c r="V48" i="13" l="1"/>
  <c r="V40" i="13"/>
  <c r="V32" i="13"/>
  <c r="G31" i="13"/>
  <c r="V31" i="13" s="1"/>
  <c r="G32" i="13"/>
  <c r="G33" i="13"/>
  <c r="V33" i="13" s="1"/>
  <c r="G34" i="13"/>
  <c r="V34" i="13" s="1"/>
  <c r="G35" i="13"/>
  <c r="V35" i="13" s="1"/>
  <c r="G36" i="13"/>
  <c r="V36" i="13" s="1"/>
  <c r="G37" i="13"/>
  <c r="V37" i="13" s="1"/>
  <c r="G38" i="13"/>
  <c r="V38" i="13" s="1"/>
  <c r="G39" i="13"/>
  <c r="V39" i="13" s="1"/>
  <c r="G40" i="13"/>
  <c r="G41" i="13"/>
  <c r="V41" i="13" s="1"/>
  <c r="G42" i="13"/>
  <c r="V42" i="13" s="1"/>
  <c r="G43" i="13"/>
  <c r="V43" i="13" s="1"/>
  <c r="G44" i="13"/>
  <c r="V44" i="13" s="1"/>
  <c r="G45" i="13"/>
  <c r="V45" i="13" s="1"/>
  <c r="G46" i="13"/>
  <c r="V46" i="13" s="1"/>
  <c r="G47" i="13"/>
  <c r="V47" i="13" s="1"/>
  <c r="G48" i="13"/>
  <c r="G30" i="13"/>
  <c r="V30" i="13" s="1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30" i="13"/>
  <c r="D19" i="13" l="1"/>
  <c r="C1" i="13" l="1"/>
  <c r="C2" i="13"/>
  <c r="R33" i="13"/>
  <c r="R41" i="13"/>
  <c r="Q43" i="13"/>
  <c r="R37" i="13"/>
  <c r="R30" i="13"/>
  <c r="Q34" i="13"/>
  <c r="Q36" i="13"/>
  <c r="C11" i="13"/>
  <c r="Q44" i="13"/>
  <c r="R35" i="13"/>
  <c r="R47" i="13"/>
  <c r="Q40" i="13"/>
  <c r="R46" i="13"/>
  <c r="R42" i="13"/>
  <c r="Q48" i="13"/>
  <c r="Q35" i="13"/>
  <c r="Q41" i="13"/>
  <c r="Q33" i="13"/>
  <c r="R43" i="13"/>
  <c r="R40" i="13"/>
  <c r="Q46" i="13"/>
  <c r="Q37" i="13"/>
  <c r="R48" i="13"/>
  <c r="R31" i="13"/>
  <c r="R45" i="13"/>
  <c r="R39" i="13"/>
  <c r="R38" i="13"/>
  <c r="C12" i="13"/>
  <c r="Q39" i="13"/>
  <c r="R32" i="13"/>
  <c r="R34" i="13"/>
  <c r="Q45" i="13"/>
  <c r="R44" i="13"/>
  <c r="Q31" i="13"/>
  <c r="Q32" i="13"/>
  <c r="Q30" i="13"/>
  <c r="Q38" i="13"/>
  <c r="Q47" i="13"/>
  <c r="Q42" i="13"/>
  <c r="R36" i="13"/>
  <c r="S30" i="13" l="1"/>
  <c r="U30" i="13" s="1"/>
  <c r="S41" i="13"/>
  <c r="U41" i="13" s="1"/>
  <c r="S43" i="13"/>
  <c r="U43" i="13" s="1"/>
  <c r="S42" i="13"/>
  <c r="U42" i="13" s="1"/>
  <c r="S38" i="13"/>
  <c r="U38" i="13" s="1"/>
  <c r="S32" i="13"/>
  <c r="U32" i="13" s="1"/>
  <c r="S45" i="13"/>
  <c r="U45" i="13" s="1"/>
  <c r="S33" i="13"/>
  <c r="U33" i="13" s="1"/>
  <c r="S36" i="13"/>
  <c r="U36" i="13" s="1"/>
  <c r="S35" i="13"/>
  <c r="U35" i="13" s="1"/>
  <c r="S46" i="13"/>
  <c r="U46" i="13" s="1"/>
  <c r="S31" i="13"/>
  <c r="U31" i="13" s="1"/>
  <c r="S39" i="13"/>
  <c r="U39" i="13" s="1"/>
  <c r="S44" i="13"/>
  <c r="U44" i="13" s="1"/>
  <c r="S37" i="13"/>
  <c r="U37" i="13" s="1"/>
  <c r="S34" i="13"/>
  <c r="U34" i="13" s="1"/>
  <c r="S47" i="13"/>
  <c r="U47" i="13" s="1"/>
  <c r="S48" i="13"/>
  <c r="U48" i="13" s="1"/>
  <c r="S40" i="13"/>
  <c r="U40" i="13" s="1"/>
  <c r="W42" i="13"/>
  <c r="W37" i="13"/>
  <c r="W36" i="13"/>
  <c r="Y37" i="13"/>
  <c r="Y36" i="13"/>
  <c r="W31" i="13"/>
  <c r="Y31" i="13" s="1"/>
  <c r="W44" i="13"/>
  <c r="W47" i="13"/>
  <c r="W46" i="13"/>
  <c r="Y46" i="13" s="1"/>
  <c r="W34" i="13"/>
  <c r="W32" i="13"/>
  <c r="Y34" i="13"/>
  <c r="Y42" i="13"/>
  <c r="W38" i="13"/>
  <c r="Y38" i="13" s="1"/>
  <c r="W33" i="13"/>
  <c r="W43" i="13"/>
  <c r="Y43" i="13" s="1"/>
  <c r="Y33" i="13"/>
  <c r="W35" i="13"/>
  <c r="Y35" i="13" s="1"/>
  <c r="W45" i="13"/>
  <c r="Y45" i="13" s="1"/>
  <c r="Y44" i="13"/>
  <c r="W30" i="13"/>
  <c r="W41" i="13"/>
  <c r="Y41" i="13" s="1"/>
  <c r="Y47" i="13"/>
  <c r="W48" i="13"/>
  <c r="Y48" i="13" s="1"/>
  <c r="W40" i="13"/>
  <c r="Y40" i="13" s="1"/>
  <c r="W39" i="13"/>
  <c r="Y39" i="13" s="1"/>
  <c r="Y32" i="13"/>
  <c r="Y30" i="13"/>
  <c r="X30" i="13" l="1"/>
  <c r="C19" i="13"/>
  <c r="X47" i="13"/>
  <c r="X48" i="13"/>
  <c r="X46" i="13"/>
  <c r="X35" i="13"/>
  <c r="X37" i="13"/>
  <c r="X34" i="13"/>
  <c r="X38" i="13"/>
  <c r="X36" i="13"/>
  <c r="X41" i="13"/>
  <c r="X43" i="13"/>
  <c r="X39" i="13"/>
  <c r="X44" i="13"/>
  <c r="X33" i="13"/>
  <c r="X45" i="13"/>
  <c r="X40" i="13"/>
  <c r="X42" i="13"/>
  <c r="X32" i="13"/>
  <c r="X31" i="13"/>
  <c r="AB30" i="13" l="1" a="1"/>
  <c r="AB32" i="13"/>
  <c r="AB46" i="13"/>
  <c r="AB30" i="13"/>
  <c r="AB44" i="13"/>
  <c r="AB36" i="13"/>
  <c r="AB43" i="13"/>
  <c r="AB35" i="13"/>
  <c r="AB42" i="13"/>
  <c r="AB34" i="13"/>
  <c r="AB41" i="13"/>
  <c r="AB33" i="13"/>
  <c r="AB40" i="13"/>
  <c r="AB47" i="13"/>
  <c r="AB39" i="13"/>
  <c r="AB31" i="13"/>
  <c r="AB48" i="13"/>
  <c r="AB38" i="13"/>
  <c r="AB45" i="13"/>
  <c r="AB37" i="13"/>
  <c r="Z30" i="13" a="1"/>
  <c r="Z36" i="13"/>
  <c r="Z42" i="13"/>
  <c r="Z48" i="13"/>
  <c r="Z40" i="13"/>
  <c r="Z32" i="13"/>
  <c r="AA32" i="13" s="1"/>
  <c r="Z47" i="13"/>
  <c r="AA47" i="13" s="1"/>
  <c r="Z39" i="13"/>
  <c r="AA39" i="13" s="1"/>
  <c r="Z31" i="13"/>
  <c r="AA31" i="13" s="1"/>
  <c r="Z46" i="13"/>
  <c r="Z38" i="13"/>
  <c r="Z30" i="13"/>
  <c r="Z45" i="13"/>
  <c r="Z37" i="13"/>
  <c r="Z43" i="13"/>
  <c r="AA43" i="13" s="1"/>
  <c r="Z35" i="13"/>
  <c r="AA35" i="13" s="1"/>
  <c r="Z34" i="13"/>
  <c r="AA34" i="13" s="1"/>
  <c r="Z44" i="13"/>
  <c r="Z41" i="13"/>
  <c r="Z33" i="13"/>
  <c r="AA33" i="13" s="1"/>
  <c r="AA37" i="13"/>
  <c r="AC32" i="13"/>
  <c r="AC33" i="13"/>
  <c r="AA44" i="13"/>
  <c r="AA42" i="13"/>
  <c r="AC48" i="13"/>
  <c r="AC34" i="13"/>
  <c r="AC40" i="13"/>
  <c r="AA30" i="13"/>
  <c r="AA36" i="13"/>
  <c r="AC45" i="13"/>
  <c r="AC47" i="13"/>
  <c r="AC42" i="13"/>
  <c r="AC35" i="13"/>
  <c r="AC41" i="13"/>
  <c r="AC38" i="13"/>
  <c r="AC37" i="13"/>
  <c r="AC31" i="13"/>
  <c r="AA41" i="13"/>
  <c r="AA38" i="13"/>
  <c r="AC44" i="13"/>
  <c r="AA40" i="13"/>
  <c r="AC30" i="13"/>
  <c r="AC46" i="13"/>
  <c r="AA48" i="13"/>
  <c r="AC36" i="13"/>
  <c r="AA45" i="13"/>
  <c r="AC43" i="13"/>
  <c r="AA46" i="13"/>
  <c r="AC39" i="13"/>
  <c r="AE30" i="13" a="1"/>
  <c r="AE44" i="13"/>
  <c r="AE36" i="13"/>
  <c r="AE43" i="13"/>
  <c r="AE35" i="13"/>
  <c r="AE42" i="13"/>
  <c r="AE34" i="13"/>
  <c r="AE41" i="13"/>
  <c r="AE33" i="13"/>
  <c r="AE48" i="13"/>
  <c r="AE40" i="13"/>
  <c r="AE32" i="13"/>
  <c r="AE47" i="13"/>
  <c r="AE39" i="13"/>
  <c r="AE31" i="13"/>
  <c r="AE46" i="13"/>
  <c r="AE38" i="13"/>
  <c r="AE30" i="13"/>
  <c r="AE45" i="13"/>
  <c r="AE37" i="13"/>
  <c r="AD30" i="13" a="1"/>
  <c r="AD41" i="13"/>
  <c r="AD48" i="13"/>
  <c r="AD40" i="13"/>
  <c r="AD32" i="13"/>
  <c r="AD47" i="13"/>
  <c r="AD39" i="13"/>
  <c r="AD31" i="13"/>
  <c r="AD46" i="13"/>
  <c r="AD38" i="13"/>
  <c r="AD30" i="13"/>
  <c r="AD45" i="13"/>
  <c r="AD37" i="13"/>
  <c r="AD44" i="13"/>
  <c r="AD36" i="13"/>
  <c r="AD43" i="13"/>
  <c r="AD35" i="13"/>
  <c r="AD42" i="13"/>
  <c r="AD34" i="13"/>
  <c r="AD33" i="13"/>
</calcChain>
</file>

<file path=xl/sharedStrings.xml><?xml version="1.0" encoding="utf-8"?>
<sst xmlns="http://schemas.openxmlformats.org/spreadsheetml/2006/main" count="75" uniqueCount="55">
  <si>
    <t>Strike</t>
  </si>
  <si>
    <t>EffectiveDate</t>
  </si>
  <si>
    <t>MaturityDate</t>
  </si>
  <si>
    <t>Notional</t>
  </si>
  <si>
    <t>PV</t>
  </si>
  <si>
    <t>RESULTS</t>
  </si>
  <si>
    <t>Expiry</t>
  </si>
  <si>
    <t>CAP FLOOR</t>
  </si>
  <si>
    <t>OptionStyle</t>
  </si>
  <si>
    <t>CAP</t>
  </si>
  <si>
    <t>3M</t>
  </si>
  <si>
    <t>Tenor</t>
  </si>
  <si>
    <t>AsOfDate</t>
  </si>
  <si>
    <t>BusinessDayAdjustment</t>
  </si>
  <si>
    <t>MOD_FOLLOWING</t>
  </si>
  <si>
    <t>Calendar</t>
  </si>
  <si>
    <t>ValuationDate</t>
  </si>
  <si>
    <t>NYB:LNB</t>
  </si>
  <si>
    <t>3M from valDate</t>
  </si>
  <si>
    <t>5Y from valDate</t>
  </si>
  <si>
    <t>Pay Date</t>
  </si>
  <si>
    <t>Days</t>
  </si>
  <si>
    <t>Cap Strike</t>
  </si>
  <si>
    <t>Cap Vols</t>
  </si>
  <si>
    <t>Reset Rate</t>
  </si>
  <si>
    <t>Hedge Ratio</t>
  </si>
  <si>
    <t>Payment</t>
  </si>
  <si>
    <t>Discount</t>
  </si>
  <si>
    <t>Intrinsic PV</t>
  </si>
  <si>
    <t>Time PV</t>
  </si>
  <si>
    <t>BB Data</t>
  </si>
  <si>
    <t>Accrual Start</t>
  </si>
  <si>
    <t>Accrual End</t>
  </si>
  <si>
    <t>Flat Vol</t>
  </si>
  <si>
    <t>YF from PaymentDt</t>
  </si>
  <si>
    <t xml:space="preserve"> BB ZeroRate </t>
  </si>
  <si>
    <t>Time to Expiry</t>
  </si>
  <si>
    <t>Mlib CapFloor Price</t>
  </si>
  <si>
    <t>BB</t>
  </si>
  <si>
    <t>AccrualTime</t>
  </si>
  <si>
    <t>Time (Valuation to Payment)</t>
  </si>
  <si>
    <t>meMathCapletFloorletImpliedVol</t>
  </si>
  <si>
    <t>Mlib CapFloor Prices</t>
  </si>
  <si>
    <t>Mlib CapFloor Prices Optimized</t>
  </si>
  <si>
    <t>PV Price Diff Mlib vs BB</t>
  </si>
  <si>
    <t xml:space="preserve">PV Price Diff Mlib </t>
  </si>
  <si>
    <t>meMathCapletFloorletImpliedVols</t>
  </si>
  <si>
    <t>meMathCapletFloorletImpliedVols Optimized</t>
  </si>
  <si>
    <t>PV Price</t>
  </si>
  <si>
    <t>Mlib</t>
  </si>
  <si>
    <t>Expiry (Reset Date</t>
  </si>
  <si>
    <t>CapletOrFloorlet</t>
  </si>
  <si>
    <t>CAPLET</t>
  </si>
  <si>
    <t>AnnuityFactor</t>
  </si>
  <si>
    <t>5Y3M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</si>
</sst>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0"/>
    <numFmt numFmtId="165" formatCode="ddd\,\ d\-mmm\-yy"/>
    <numFmt numFmtId="166" formatCode="0.00000%"/>
    <numFmt numFmtId="167" formatCode="0.0000%"/>
    <numFmt numFmtId="168" formatCode="0.000000%"/>
    <numFmt numFmtId="169" formatCode="0.000000000"/>
    <numFmt numFmtId="170" formatCode="0.000%"/>
    <numFmt numFmtId="171" formatCode="#,##0.000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6600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6" fillId="6" borderId="0"/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8" applyNumberFormat="0" applyAlignment="0" applyProtection="0"/>
    <xf numFmtId="0" fontId="17" fillId="12" borderId="9" applyNumberFormat="0" applyAlignment="0" applyProtection="0"/>
    <xf numFmtId="0" fontId="18" fillId="12" borderId="8" applyNumberFormat="0" applyAlignment="0" applyProtection="0"/>
    <xf numFmtId="0" fontId="19" fillId="0" borderId="10" applyNumberFormat="0" applyFill="0" applyAlignment="0" applyProtection="0"/>
    <xf numFmtId="0" fontId="20" fillId="13" borderId="11" applyNumberFormat="0" applyAlignment="0" applyProtection="0"/>
    <xf numFmtId="0" fontId="21" fillId="0" borderId="0" applyNumberFormat="0" applyFill="0" applyBorder="0" applyAlignment="0" applyProtection="0"/>
    <xf numFmtId="0" fontId="8" fillId="14" borderId="12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4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4" fillId="38" borderId="0" applyNumberFormat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7" fontId="0" fillId="3" borderId="2" xfId="0" applyNumberFormat="1" applyFont="1" applyFill="1" applyBorder="1" applyAlignment="1">
      <alignment horizontal="center" vertical="center"/>
    </xf>
    <xf numFmtId="168" fontId="0" fillId="3" borderId="1" xfId="0" applyNumberFormat="1" applyFon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/>
    <xf numFmtId="10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0" fillId="0" borderId="0" xfId="0"/>
    <xf numFmtId="0" fontId="0" fillId="0" borderId="0" xfId="0" applyFill="1"/>
    <xf numFmtId="166" fontId="0" fillId="0" borderId="0" xfId="0" applyNumberFormat="1"/>
    <xf numFmtId="0" fontId="7" fillId="0" borderId="0" xfId="1" applyNumberFormat="1" applyFont="1" applyFill="1" applyBorder="1" applyAlignment="1" applyProtection="1"/>
    <xf numFmtId="0" fontId="7" fillId="0" borderId="0" xfId="1" applyNumberFormat="1" applyFont="1" applyFill="1" applyBorder="1" applyAlignment="1" applyProtection="1">
      <alignment horizontal="center" vertical="center"/>
    </xf>
    <xf numFmtId="0" fontId="7" fillId="7" borderId="0" xfId="1" applyNumberFormat="1" applyFont="1" applyFill="1" applyBorder="1" applyAlignment="1" applyProtection="1">
      <alignment horizontal="center" vertical="center"/>
    </xf>
    <xf numFmtId="11" fontId="0" fillId="0" borderId="0" xfId="0" applyNumberFormat="1" applyAlignment="1">
      <alignment horizontal="center" vertical="center"/>
    </xf>
    <xf numFmtId="170" fontId="0" fillId="5" borderId="0" xfId="43" applyNumberFormat="1" applyFont="1" applyFill="1" applyAlignment="1">
      <alignment horizontal="center" vertical="center"/>
    </xf>
    <xf numFmtId="0" fontId="7" fillId="7" borderId="0" xfId="1" applyNumberFormat="1" applyFont="1" applyFill="1" applyBorder="1" applyAlignment="1" applyProtection="1">
      <alignment horizontal="center"/>
    </xf>
    <xf numFmtId="0" fontId="7" fillId="0" borderId="0" xfId="1" applyNumberFormat="1" applyFont="1" applyFill="1" applyBorder="1" applyAlignment="1" applyProtection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Fill="1"/>
    <xf numFmtId="3" fontId="0" fillId="0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5" borderId="0" xfId="44" applyNumberFormat="1" applyFont="1" applyFill="1" applyAlignment="1">
      <alignment horizontal="center" vertical="center"/>
    </xf>
    <xf numFmtId="4" fontId="0" fillId="0" borderId="0" xfId="45" applyNumberFormat="1" applyFont="1" applyAlignment="1">
      <alignment horizontal="center"/>
    </xf>
    <xf numFmtId="1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6" fillId="6" borderId="0" xfId="1" applyNumberFormat="1" applyFont="1" applyFill="1" applyBorder="1" applyAlignment="1" applyProtection="1">
      <alignment horizontal="center" vertical="center"/>
    </xf>
    <xf numFmtId="17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5" borderId="0" xfId="0" applyNumberFormat="1" applyFill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blp_column_header" xfId="1"/>
    <cellStyle name="Calculation" xfId="12" builtinId="22" customBuiltin="1"/>
    <cellStyle name="Check Cell" xfId="14" builtinId="23" customBuiltin="1"/>
    <cellStyle name="Comma" xfId="44" builtinId="3"/>
    <cellStyle name="Currency" xfId="45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FF66"/>
      <color rgb="FFFFFF99"/>
      <color rgb="FFFFFFCC"/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819149</xdr:colOff>
      <xdr:row>0</xdr:row>
      <xdr:rowOff>9525</xdr:rowOff>
    </xdr:from>
    <xdr:to>
      <xdr:col>12</xdr:col>
      <xdr:colOff>465090</xdr:colOff>
      <xdr:row>16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74" y="9525"/>
          <a:ext cx="8027941" cy="3086100"/>
        </a:xfrm>
        <a:prstGeom prst="rect">
          <a:avLst/>
        </a:prstGeom>
      </xdr:spPr>
    </xdr:pic>
    <xdr:clientData/>
  </xdr:twoCellAnchor>
  <xdr:twoCellAnchor editAs="oneCell">
    <xdr:from>
      <xdr:col>4</xdr:col>
      <xdr:colOff>838199</xdr:colOff>
      <xdr:row>16</xdr:row>
      <xdr:rowOff>121736</xdr:rowOff>
    </xdr:from>
    <xdr:to>
      <xdr:col>12</xdr:col>
      <xdr:colOff>466724</xdr:colOff>
      <xdr:row>26</xdr:row>
      <xdr:rowOff>37717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5924" y="3169736"/>
          <a:ext cx="8010525" cy="1973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"/>
  <sheetViews>
    <sheetView showGridLines="0" tabSelected="1" workbookViewId="0"/>
  </sheetViews>
  <sheetFormatPr defaultRowHeight="15" x14ac:dyDescent="0.25"/>
  <cols>
    <col min="1" max="1" width="12" style="24" customWidth="1"/>
    <col min="2" max="2" width="24.7109375" customWidth="1"/>
    <col min="3" max="3" width="17.42578125" style="2" bestFit="1" customWidth="1"/>
    <col min="4" max="6" width="15.7109375" style="2" customWidth="1"/>
    <col min="7" max="15" width="15.7109375" customWidth="1"/>
    <col min="16" max="18" width="19.140625" customWidth="1"/>
    <col min="19" max="19" width="28.7109375" customWidth="1"/>
    <col min="20" max="20" width="17.28515625" customWidth="1"/>
    <col min="21" max="22" width="17.28515625" style="24" customWidth="1"/>
    <col min="23" max="23" width="19.85546875" style="1" customWidth="1"/>
    <col min="24" max="24" width="21.42578125" style="1" customWidth="1"/>
    <col min="25" max="25" width="36.42578125" style="2" customWidth="1"/>
    <col min="26" max="27" width="19.85546875" style="2" customWidth="1"/>
    <col min="28" max="28" width="29.42578125" style="2" bestFit="1" customWidth="1"/>
    <col min="29" max="29" width="19.140625" style="2" customWidth="1"/>
    <col min="30" max="30" width="31.85546875" style="2" bestFit="1" customWidth="1"/>
    <col min="31" max="31" width="59.42578125" style="2" customWidth="1"/>
  </cols>
  <sheetData>
    <row r="1" spans="1:22" x14ac:dyDescent="0.25">
      <c r="B1" s="5" t="s">
        <v>12</v>
      </c>
      <c r="C1" s="8">
        <f ca="1">TODAY()</f>
        <v>43139</v>
      </c>
    </row>
    <row r="2" spans="1:22" x14ac:dyDescent="0.25">
      <c r="B2" s="35" t="s">
        <v>16</v>
      </c>
      <c r="C2" s="8">
        <f ca="1">_xll.meDateFromTenor($C$1,"2D",$C$3,$C$4)</f>
        <v>43143</v>
      </c>
    </row>
    <row r="3" spans="1:22" x14ac:dyDescent="0.25">
      <c r="B3" s="35" t="s">
        <v>13</v>
      </c>
      <c r="C3" s="2" t="s">
        <v>14</v>
      </c>
    </row>
    <row r="4" spans="1:22" x14ac:dyDescent="0.25">
      <c r="B4" s="35" t="s">
        <v>15</v>
      </c>
      <c r="C4" s="2" t="s">
        <v>17</v>
      </c>
      <c r="G4" s="5"/>
    </row>
    <row r="5" spans="1:22" x14ac:dyDescent="0.25">
      <c r="B5" s="35"/>
      <c r="J5" s="3"/>
    </row>
    <row r="6" spans="1:22" x14ac:dyDescent="0.25">
      <c r="A6" s="2"/>
      <c r="B6" s="5" t="s">
        <v>7</v>
      </c>
      <c r="C6"/>
      <c r="D6"/>
    </row>
    <row r="7" spans="1:22" x14ac:dyDescent="0.25">
      <c r="A7" s="2"/>
      <c r="B7" s="18" t="s">
        <v>6</v>
      </c>
      <c r="C7" s="13" t="s">
        <v>10</v>
      </c>
      <c r="D7"/>
    </row>
    <row r="8" spans="1:22" x14ac:dyDescent="0.25">
      <c r="A8" s="2"/>
      <c r="B8" s="19" t="s">
        <v>11</v>
      </c>
      <c r="C8" s="14" t="s">
        <v>54</v>
      </c>
      <c r="D8"/>
    </row>
    <row r="9" spans="1:22" x14ac:dyDescent="0.25">
      <c r="A9" s="2"/>
      <c r="B9" s="19" t="s">
        <v>3</v>
      </c>
      <c r="C9" s="38">
        <v>10000000</v>
      </c>
      <c r="D9"/>
    </row>
    <row r="10" spans="1:22" x14ac:dyDescent="0.25">
      <c r="A10" s="2"/>
      <c r="B10" s="16" t="s">
        <v>8</v>
      </c>
      <c r="C10" s="7" t="s">
        <v>9</v>
      </c>
      <c r="D10"/>
    </row>
    <row r="11" spans="1:22" x14ac:dyDescent="0.25">
      <c r="A11" s="2"/>
      <c r="B11" s="16" t="s">
        <v>1</v>
      </c>
      <c r="C11" s="8">
        <f ca="1">_xll.meDateFromTenor($C$2,C7,$C$3,$C$4)</f>
        <v>43234</v>
      </c>
      <c r="D11" t="s">
        <v>18</v>
      </c>
    </row>
    <row r="12" spans="1:22" x14ac:dyDescent="0.25">
      <c r="A12" s="2"/>
      <c r="B12" s="16" t="s">
        <v>2</v>
      </c>
      <c r="C12" s="8">
        <f ca="1">_xll.meDateFromTenor($C$2,C8,"NO_CHANGE",$C$4)</f>
        <v>45058</v>
      </c>
      <c r="D12" t="s">
        <v>19</v>
      </c>
    </row>
    <row r="13" spans="1:22" x14ac:dyDescent="0.25">
      <c r="A13" s="2"/>
      <c r="B13" s="16" t="s">
        <v>0</v>
      </c>
      <c r="C13" s="12">
        <v>2.251032E-2</v>
      </c>
      <c r="D13"/>
    </row>
    <row r="14" spans="1:22" x14ac:dyDescent="0.25">
      <c r="A14" s="2"/>
      <c r="B14" s="16" t="s">
        <v>33</v>
      </c>
      <c r="C14" s="9">
        <v>0.25280000000000002</v>
      </c>
      <c r="D14"/>
    </row>
    <row r="15" spans="1:22" x14ac:dyDescent="0.25">
      <c r="A15" s="2"/>
      <c r="B15" s="16"/>
      <c r="C15" s="10"/>
      <c r="D15" s="4"/>
      <c r="T15" s="23"/>
      <c r="U15" s="23"/>
      <c r="V15" s="23"/>
    </row>
    <row r="16" spans="1:22" x14ac:dyDescent="0.25">
      <c r="A16" s="2"/>
      <c r="B16" s="17"/>
      <c r="C16" s="11"/>
      <c r="D16"/>
      <c r="T16" s="23"/>
      <c r="U16" s="23"/>
      <c r="V16" s="23"/>
    </row>
    <row r="17" spans="1:31" x14ac:dyDescent="0.25">
      <c r="A17" s="2"/>
      <c r="B17" s="6"/>
      <c r="C17"/>
      <c r="D17"/>
      <c r="K17" s="3"/>
      <c r="T17" s="23"/>
      <c r="U17" s="23"/>
      <c r="V17" s="23"/>
    </row>
    <row r="18" spans="1:31" x14ac:dyDescent="0.25">
      <c r="A18" s="2"/>
      <c r="B18" s="5" t="s">
        <v>5</v>
      </c>
      <c r="C18" s="1" t="s">
        <v>49</v>
      </c>
      <c r="D18" s="1" t="s">
        <v>38</v>
      </c>
      <c r="T18" s="22"/>
      <c r="U18" s="22"/>
      <c r="V18" s="22"/>
    </row>
    <row r="19" spans="1:31" ht="21" x14ac:dyDescent="0.25">
      <c r="A19" s="2"/>
      <c r="B19" s="6" t="s">
        <v>48</v>
      </c>
      <c r="C19" s="15">
        <f ca="1">SUM(W30:W48)</f>
        <v>173085.36864831205</v>
      </c>
      <c r="D19" s="15">
        <f>SUM(P30:P48)</f>
        <v>176332.30000000005</v>
      </c>
    </row>
    <row r="20" spans="1:31" ht="21" x14ac:dyDescent="0.25">
      <c r="A20" s="2"/>
      <c r="B20" s="6"/>
      <c r="C20" s="15"/>
      <c r="D20" s="15"/>
      <c r="O20" s="3"/>
      <c r="S20" s="24"/>
      <c r="T20" s="24"/>
      <c r="W20" s="24"/>
      <c r="X20" s="24"/>
      <c r="Y20" s="24"/>
    </row>
    <row r="21" spans="1:31" x14ac:dyDescent="0.25">
      <c r="A21" s="2"/>
      <c r="B21" s="6"/>
      <c r="D21"/>
      <c r="S21" s="24"/>
      <c r="T21" s="24"/>
      <c r="W21" s="24"/>
      <c r="X21" s="24"/>
      <c r="Y21" s="24"/>
    </row>
    <row r="22" spans="1:31" x14ac:dyDescent="0.25">
      <c r="A22" s="2"/>
      <c r="B22" s="6"/>
      <c r="D22"/>
      <c r="Q22" s="20"/>
      <c r="R22" s="20"/>
      <c r="S22" s="24"/>
      <c r="T22" s="24"/>
      <c r="W22" s="24"/>
      <c r="X22" s="24"/>
      <c r="Y22" s="24"/>
    </row>
    <row r="23" spans="1:31" x14ac:dyDescent="0.25">
      <c r="A23" s="2"/>
      <c r="B23" s="6"/>
      <c r="C23"/>
      <c r="D23"/>
      <c r="Q23" s="20"/>
      <c r="R23" s="21"/>
      <c r="S23" s="24"/>
      <c r="T23" s="24"/>
      <c r="W23" s="24"/>
      <c r="X23" s="24"/>
      <c r="Y23" s="24"/>
    </row>
    <row r="24" spans="1:31" x14ac:dyDescent="0.25">
      <c r="A24" s="2"/>
      <c r="Q24" s="20"/>
      <c r="R24" s="20"/>
      <c r="S24" s="24"/>
      <c r="T24" s="24"/>
      <c r="W24" s="24"/>
      <c r="X24" s="24"/>
      <c r="Y24" s="24"/>
    </row>
    <row r="25" spans="1:31" x14ac:dyDescent="0.25">
      <c r="A25" s="2"/>
      <c r="Q25" s="20"/>
      <c r="R25" s="20"/>
      <c r="S25" s="24"/>
      <c r="T25" s="24"/>
      <c r="W25" s="24"/>
      <c r="X25" s="24"/>
      <c r="Y25" s="24"/>
    </row>
    <row r="26" spans="1:31" x14ac:dyDescent="0.25">
      <c r="A26" s="2"/>
      <c r="Q26" s="20"/>
      <c r="R26" s="20"/>
      <c r="S26" s="24"/>
      <c r="T26" s="24"/>
      <c r="W26" s="24"/>
      <c r="X26" s="24"/>
      <c r="Y26" s="24"/>
    </row>
    <row r="27" spans="1:31" x14ac:dyDescent="0.25">
      <c r="S27" s="24"/>
      <c r="T27" s="24"/>
      <c r="W27" s="24"/>
      <c r="X27" s="24"/>
      <c r="Y27" s="24"/>
    </row>
    <row r="28" spans="1:31" x14ac:dyDescent="0.25">
      <c r="B28" t="s">
        <v>30</v>
      </c>
      <c r="J28" s="26"/>
      <c r="W28" s="46"/>
      <c r="X28" s="34"/>
    </row>
    <row r="29" spans="1:31" x14ac:dyDescent="0.25">
      <c r="A29" s="24" t="s">
        <v>51</v>
      </c>
      <c r="B29" s="44" t="s">
        <v>31</v>
      </c>
      <c r="C29" s="44" t="s">
        <v>32</v>
      </c>
      <c r="D29" s="44" t="s">
        <v>50</v>
      </c>
      <c r="E29" s="44" t="s">
        <v>20</v>
      </c>
      <c r="F29" s="44" t="s">
        <v>21</v>
      </c>
      <c r="G29" s="44" t="s">
        <v>3</v>
      </c>
      <c r="H29" s="44" t="s">
        <v>22</v>
      </c>
      <c r="I29" s="44" t="s">
        <v>23</v>
      </c>
      <c r="J29" s="44" t="s">
        <v>24</v>
      </c>
      <c r="K29" s="44" t="s">
        <v>25</v>
      </c>
      <c r="L29" s="44" t="s">
        <v>26</v>
      </c>
      <c r="M29" s="44" t="s">
        <v>27</v>
      </c>
      <c r="N29" s="44" t="s">
        <v>28</v>
      </c>
      <c r="O29" s="44" t="s">
        <v>29</v>
      </c>
      <c r="P29" s="44" t="s">
        <v>4</v>
      </c>
      <c r="Q29" s="28" t="s">
        <v>36</v>
      </c>
      <c r="R29" s="28" t="s">
        <v>34</v>
      </c>
      <c r="S29" s="28" t="s">
        <v>40</v>
      </c>
      <c r="T29" s="28" t="s">
        <v>39</v>
      </c>
      <c r="U29" s="27" t="s">
        <v>35</v>
      </c>
      <c r="V29" s="27" t="s">
        <v>53</v>
      </c>
      <c r="W29" s="32" t="s">
        <v>37</v>
      </c>
      <c r="X29" s="33" t="s">
        <v>44</v>
      </c>
      <c r="Y29" s="29" t="s">
        <v>41</v>
      </c>
      <c r="Z29" s="29" t="s">
        <v>42</v>
      </c>
      <c r="AA29" s="28" t="s">
        <v>45</v>
      </c>
      <c r="AB29" s="29" t="s">
        <v>43</v>
      </c>
      <c r="AC29" s="28" t="s">
        <v>45</v>
      </c>
      <c r="AD29" s="29" t="s">
        <v>46</v>
      </c>
      <c r="AE29" s="29" t="s">
        <v>47</v>
      </c>
    </row>
    <row r="30" spans="1:31" x14ac:dyDescent="0.25">
      <c r="A30" s="24" t="s">
        <v>52</v>
      </c>
      <c r="B30" s="41">
        <v>43200</v>
      </c>
      <c r="C30" s="41">
        <v>43291</v>
      </c>
      <c r="D30" s="41">
        <v>43196</v>
      </c>
      <c r="E30" s="41">
        <v>43291</v>
      </c>
      <c r="F30" s="2">
        <v>91</v>
      </c>
      <c r="G30" s="38">
        <f t="shared" ref="G30:G48" si="0">$C$9</f>
        <v>10000000</v>
      </c>
      <c r="H30" s="42">
        <f t="shared" ref="H30:H48" si="1">$C$13</f>
        <v>2.251032E-2</v>
      </c>
      <c r="I30" s="43">
        <f t="shared" ref="I30:I48" si="2">$C$14</f>
        <v>0.25280000000000002</v>
      </c>
      <c r="J30" s="43">
        <v>1.8734500000000001E-2</v>
      </c>
      <c r="K30" s="2">
        <v>0.08</v>
      </c>
      <c r="L30" s="2">
        <v>188.02</v>
      </c>
      <c r="M30" s="2">
        <v>0.99231800000000003</v>
      </c>
      <c r="N30" s="2">
        <v>0</v>
      </c>
      <c r="O30" s="38">
        <v>186.57</v>
      </c>
      <c r="P30" s="38">
        <v>186.57</v>
      </c>
      <c r="Q30" s="25">
        <f ca="1">_xll.meDateYearFraction($C$2,D30,"ACT/365")</f>
        <v>0.14520547945205478</v>
      </c>
      <c r="R30" s="25">
        <f ca="1">_xll.meDateYearFraction($C$2,E30,"ACT/365")</f>
        <v>0.40547945205479452</v>
      </c>
      <c r="S30" s="2">
        <f ca="1">Q30+T30</f>
        <v>0.39798325722983252</v>
      </c>
      <c r="T30" s="45">
        <f>F30/360</f>
        <v>0.25277777777777777</v>
      </c>
      <c r="U30" s="25">
        <f ca="1">-LN(M30)/S30</f>
        <v>1.9376841640622911E-2</v>
      </c>
      <c r="V30" s="37">
        <f>G30*T30*M30</f>
        <v>2508359.3888888885</v>
      </c>
      <c r="W30" s="39">
        <f ca="1">_xll.meMathCapletFloorletPrice(A30,V30,J30,H30,I30,Q30)</f>
        <v>53.956860793439461</v>
      </c>
      <c r="X30" s="40">
        <f t="shared" ref="X30:X48" ca="1" si="3">W30-P30</f>
        <v>-132.61313920656053</v>
      </c>
      <c r="Y30" s="31">
        <f ca="1">_xll.meMathCapletFloorletImpliedVol(W30,A30,V30,J30,$C$13,Q30)</f>
        <v>0.25280000000000002</v>
      </c>
      <c r="Z30" s="47">
        <f t="array" aca="1" ref="Z30:Z48" ca="1">_xll.meMathCapletFloorletPrices(A30:A48,V30:V48,J30:J48,H30:H48,I30:I48,Q30:Q48,,,FALSE)</f>
        <v>53.956860793440313</v>
      </c>
      <c r="AA30" s="30">
        <f ca="1">W30-Z30</f>
        <v>-8.5265128291212022E-13</v>
      </c>
      <c r="AB30" s="47">
        <f t="array" aca="1" ref="AB30:AB48" ca="1">_xll.meMathCapletFloorletPrices(A30:A48,V30:V48,J30:J48,H30:H48,I30:I48,Q30:Q48,,,TRUE)</f>
        <v>53.956860793440313</v>
      </c>
      <c r="AC30" s="30">
        <f ca="1">W30-AB30</f>
        <v>-8.5265128291212022E-13</v>
      </c>
      <c r="AD30" s="31">
        <f t="array" aca="1" ref="AD30:AD48" ca="1">_xll.meMathCapletFloorletImpliedVols(W30:W48,A30:A48,V30:V48,J30:J48,H30:H48,Q30:Q48,,,FALSE)</f>
        <v>0.25279999999999991</v>
      </c>
      <c r="AE30" s="31">
        <f t="array" aca="1" ref="AE30:AE48" ca="1">_xll.meMathCapletFloorletImpliedVols(W30:W48,A30:A48,V30:V48,J30:J48,H30:H48,Q30:Q48,,,TRUE)</f>
        <v>0.25279999999999991</v>
      </c>
    </row>
    <row r="31" spans="1:31" x14ac:dyDescent="0.25">
      <c r="A31" s="24" t="s">
        <v>52</v>
      </c>
      <c r="B31" s="41">
        <v>43291</v>
      </c>
      <c r="C31" s="41">
        <v>43383</v>
      </c>
      <c r="D31" s="41">
        <v>43287</v>
      </c>
      <c r="E31" s="41">
        <v>43383</v>
      </c>
      <c r="F31" s="2">
        <v>92</v>
      </c>
      <c r="G31" s="38">
        <f t="shared" si="0"/>
        <v>10000000</v>
      </c>
      <c r="H31" s="42">
        <f t="shared" si="1"/>
        <v>2.251032E-2</v>
      </c>
      <c r="I31" s="43">
        <f t="shared" si="2"/>
        <v>0.25280000000000002</v>
      </c>
      <c r="J31" s="43">
        <v>2.02016E-2</v>
      </c>
      <c r="K31" s="2">
        <v>0.3</v>
      </c>
      <c r="L31" s="2">
        <v>1576.55</v>
      </c>
      <c r="M31" s="2">
        <v>0.98778900000000003</v>
      </c>
      <c r="N31" s="2">
        <v>0</v>
      </c>
      <c r="O31" s="38">
        <v>1557.3</v>
      </c>
      <c r="P31" s="38">
        <v>1557.3</v>
      </c>
      <c r="Q31" s="25">
        <f ca="1">_xll.meDateYearFraction($C$2,D31,"ACT/365")</f>
        <v>0.39452054794520547</v>
      </c>
      <c r="R31" s="25">
        <f ca="1">_xll.meDateYearFraction($C$2,E31,"ACT/365")</f>
        <v>0.65753424657534243</v>
      </c>
      <c r="S31" s="2">
        <f t="shared" ref="S31:S48" ca="1" si="4">Q31+T31</f>
        <v>0.65007610350076095</v>
      </c>
      <c r="T31" s="45">
        <f t="shared" ref="T31:T48" si="5">F31/360</f>
        <v>0.25555555555555554</v>
      </c>
      <c r="U31" s="25">
        <f t="shared" ref="U31:U48" ca="1" si="6">-LN(M31)/S31</f>
        <v>1.8899582262622464E-2</v>
      </c>
      <c r="V31" s="37">
        <f t="shared" ref="V31:V48" si="7">G31*T31*M31</f>
        <v>2524349.6666666665</v>
      </c>
      <c r="W31" s="39">
        <f ca="1">_xll.meMathCapletFloorletPrice(A31,V31,J31,H31,I31,Q31)</f>
        <v>1257.7830287290194</v>
      </c>
      <c r="X31" s="40">
        <f t="shared" ca="1" si="3"/>
        <v>-299.51697127098055</v>
      </c>
      <c r="Y31" s="31">
        <f ca="1">_xll.meMathCapletFloorletImpliedVol(W31,A31,V31,J31,$C$13,Q31)</f>
        <v>0.25280000000000025</v>
      </c>
      <c r="Z31" s="47">
        <f ca="1"/>
        <v>1257.7830287290144</v>
      </c>
      <c r="AA31" s="30">
        <f t="shared" ref="AA31:AA48" ca="1" si="8">W31-Z31</f>
        <v>5.0022208597511053E-12</v>
      </c>
      <c r="AB31" s="47">
        <f ca="1"/>
        <v>1257.7830287290144</v>
      </c>
      <c r="AC31" s="30">
        <f t="shared" ref="AC31:AC48" ca="1" si="9">W31-AB31</f>
        <v>5.0022208597511053E-12</v>
      </c>
      <c r="AD31" s="31">
        <f ca="1"/>
        <v>0.25280000000000058</v>
      </c>
      <c r="AE31" s="31">
        <f ca="1"/>
        <v>0.25280000000000058</v>
      </c>
    </row>
    <row r="32" spans="1:31" x14ac:dyDescent="0.25">
      <c r="A32" s="24" t="s">
        <v>52</v>
      </c>
      <c r="B32" s="41">
        <v>43383</v>
      </c>
      <c r="C32" s="41">
        <v>43475</v>
      </c>
      <c r="D32" s="41">
        <v>43381</v>
      </c>
      <c r="E32" s="41">
        <v>43475</v>
      </c>
      <c r="F32" s="2">
        <v>92</v>
      </c>
      <c r="G32" s="38">
        <f t="shared" si="0"/>
        <v>10000000</v>
      </c>
      <c r="H32" s="42">
        <f t="shared" si="1"/>
        <v>2.251032E-2</v>
      </c>
      <c r="I32" s="43">
        <f t="shared" si="2"/>
        <v>0.25280000000000002</v>
      </c>
      <c r="J32" s="43">
        <v>2.1330399999999999E-2</v>
      </c>
      <c r="K32" s="2">
        <v>0.44</v>
      </c>
      <c r="L32" s="2">
        <v>3497.82</v>
      </c>
      <c r="M32" s="2">
        <v>0.983074</v>
      </c>
      <c r="N32" s="2">
        <v>0</v>
      </c>
      <c r="O32" s="38">
        <v>3438.61</v>
      </c>
      <c r="P32" s="38">
        <v>3438.61</v>
      </c>
      <c r="Q32" s="25">
        <f ca="1">_xll.meDateYearFraction($C$2,D32,"ACT/365")</f>
        <v>0.65205479452054793</v>
      </c>
      <c r="R32" s="25">
        <f ca="1">_xll.meDateYearFraction($C$2,E32,"ACT/365")</f>
        <v>0.90958904109589045</v>
      </c>
      <c r="S32" s="2">
        <f t="shared" ca="1" si="4"/>
        <v>0.90761035007610347</v>
      </c>
      <c r="T32" s="45">
        <f t="shared" si="5"/>
        <v>0.25555555555555554</v>
      </c>
      <c r="U32" s="25">
        <f t="shared" ca="1" si="6"/>
        <v>1.8808602073641271E-2</v>
      </c>
      <c r="V32" s="37">
        <f t="shared" si="7"/>
        <v>2512300.222222222</v>
      </c>
      <c r="W32" s="39">
        <f ca="1">_xll.meMathCapletFloorletPrice(A32,V32,J32,H32,I32,Q32)</f>
        <v>3149.1640953078172</v>
      </c>
      <c r="X32" s="40">
        <f t="shared" ca="1" si="3"/>
        <v>-289.44590469218292</v>
      </c>
      <c r="Y32" s="31">
        <f ca="1">_xll.meMathCapletFloorletImpliedVol(W32,A32,V32,J32,$C$13,Q32)</f>
        <v>0.2528000000000003</v>
      </c>
      <c r="Z32" s="47">
        <f ca="1"/>
        <v>3149.1640953078149</v>
      </c>
      <c r="AA32" s="30">
        <f t="shared" ca="1" si="8"/>
        <v>0</v>
      </c>
      <c r="AB32" s="47">
        <f ca="1"/>
        <v>3149.1640953078149</v>
      </c>
      <c r="AC32" s="30">
        <f t="shared" ca="1" si="9"/>
        <v>0</v>
      </c>
      <c r="AD32" s="31">
        <f ca="1"/>
        <v>0.25280000001074454</v>
      </c>
      <c r="AE32" s="31">
        <f ca="1"/>
        <v>0.25280000001074454</v>
      </c>
    </row>
    <row r="33" spans="1:31" x14ac:dyDescent="0.25">
      <c r="A33" s="24" t="s">
        <v>52</v>
      </c>
      <c r="B33" s="41">
        <v>43475</v>
      </c>
      <c r="C33" s="41">
        <v>43565</v>
      </c>
      <c r="D33" s="41">
        <v>43473</v>
      </c>
      <c r="E33" s="41">
        <v>43565</v>
      </c>
      <c r="F33" s="2">
        <v>90</v>
      </c>
      <c r="G33" s="38">
        <f t="shared" si="0"/>
        <v>10000000</v>
      </c>
      <c r="H33" s="42">
        <f t="shared" si="1"/>
        <v>2.251032E-2</v>
      </c>
      <c r="I33" s="43">
        <f t="shared" si="2"/>
        <v>0.25280000000000002</v>
      </c>
      <c r="J33" s="43">
        <v>2.22674E-2</v>
      </c>
      <c r="K33" s="2">
        <v>0.53</v>
      </c>
      <c r="L33" s="2">
        <v>5316.04</v>
      </c>
      <c r="M33" s="2">
        <v>0.97809599999999997</v>
      </c>
      <c r="N33" s="2">
        <v>0</v>
      </c>
      <c r="O33" s="38">
        <v>5199.6000000000004</v>
      </c>
      <c r="P33" s="38">
        <v>5199.6000000000004</v>
      </c>
      <c r="Q33" s="25">
        <f ca="1">_xll.meDateYearFraction($C$2,D33,"ACT/365")</f>
        <v>0.90410958904109584</v>
      </c>
      <c r="R33" s="25">
        <f ca="1">_xll.meDateYearFraction($C$2,E33,"ACT/365")</f>
        <v>1.1561643835616437</v>
      </c>
      <c r="S33" s="2">
        <f t="shared" ca="1" si="4"/>
        <v>1.154109589041096</v>
      </c>
      <c r="T33" s="45">
        <f t="shared" si="5"/>
        <v>0.25</v>
      </c>
      <c r="U33" s="25">
        <f t="shared" ca="1" si="6"/>
        <v>1.9190079058131842E-2</v>
      </c>
      <c r="V33" s="37">
        <f t="shared" si="7"/>
        <v>2445240</v>
      </c>
      <c r="W33" s="39">
        <f ca="1">_xll.meMathCapletFloorletPrice(A33,V33,J33,H33,I33,Q33)</f>
        <v>4945.599659674268</v>
      </c>
      <c r="X33" s="40">
        <f t="shared" ca="1" si="3"/>
        <v>-254.0003403257324</v>
      </c>
      <c r="Y33" s="31">
        <f ca="1">_xll.meMathCapletFloorletImpliedVol(W33,A33,V33,J33,$C$13,Q33)</f>
        <v>0.25280000000000091</v>
      </c>
      <c r="Z33" s="47">
        <f ca="1"/>
        <v>4945.599659674268</v>
      </c>
      <c r="AA33" s="30">
        <f t="shared" ca="1" si="8"/>
        <v>0</v>
      </c>
      <c r="AB33" s="47">
        <f ca="1"/>
        <v>4945.599659674268</v>
      </c>
      <c r="AC33" s="30">
        <f t="shared" ca="1" si="9"/>
        <v>0</v>
      </c>
      <c r="AD33" s="31">
        <f ca="1"/>
        <v>0.25280000000000108</v>
      </c>
      <c r="AE33" s="31">
        <f ca="1"/>
        <v>0.25280000000000108</v>
      </c>
    </row>
    <row r="34" spans="1:31" x14ac:dyDescent="0.25">
      <c r="A34" s="24" t="s">
        <v>52</v>
      </c>
      <c r="B34" s="41">
        <v>43565</v>
      </c>
      <c r="C34" s="41">
        <v>43656</v>
      </c>
      <c r="D34" s="41">
        <v>43563</v>
      </c>
      <c r="E34" s="41">
        <v>43656</v>
      </c>
      <c r="F34" s="2">
        <v>91</v>
      </c>
      <c r="G34" s="38">
        <f t="shared" si="0"/>
        <v>10000000</v>
      </c>
      <c r="H34" s="42">
        <f t="shared" si="1"/>
        <v>2.251032E-2</v>
      </c>
      <c r="I34" s="43">
        <f t="shared" si="2"/>
        <v>0.25280000000000002</v>
      </c>
      <c r="J34" s="43">
        <v>2.28784E-2</v>
      </c>
      <c r="K34" s="2">
        <v>0.56999999999999995</v>
      </c>
      <c r="L34" s="2">
        <v>6899.96</v>
      </c>
      <c r="M34" s="2">
        <v>0.97306999999999999</v>
      </c>
      <c r="N34" s="2">
        <v>905.46</v>
      </c>
      <c r="O34" s="38">
        <v>5808.69</v>
      </c>
      <c r="P34" s="38">
        <v>6714.15</v>
      </c>
      <c r="Q34" s="25">
        <f ca="1">_xll.meDateYearFraction($C$2,D34,"ACT/365")</f>
        <v>1.1506849315068493</v>
      </c>
      <c r="R34" s="25">
        <f ca="1">_xll.meDateYearFraction($C$2,E34,"ACT/365")</f>
        <v>1.4054794520547946</v>
      </c>
      <c r="S34" s="2">
        <f t="shared" ca="1" si="4"/>
        <v>1.403462709284627</v>
      </c>
      <c r="T34" s="45">
        <f t="shared" si="5"/>
        <v>0.25277777777777777</v>
      </c>
      <c r="U34" s="25">
        <f t="shared" ca="1" si="6"/>
        <v>1.9451358954693902E-2</v>
      </c>
      <c r="V34" s="37">
        <f t="shared" si="7"/>
        <v>2459704.722222222</v>
      </c>
      <c r="W34" s="39">
        <f ca="1">_xll.meMathCapletFloorletPrice(A34,V34,J34,H34,I34,Q34)</f>
        <v>6483.9475369003194</v>
      </c>
      <c r="X34" s="40">
        <f t="shared" ca="1" si="3"/>
        <v>-230.20246309968024</v>
      </c>
      <c r="Y34" s="31">
        <f ca="1">_xll.meMathCapletFloorletImpliedVol(W34,A34,V34,J34,$C$13,Q34)</f>
        <v>0.25279999999999986</v>
      </c>
      <c r="Z34" s="47">
        <f ca="1"/>
        <v>6483.9475369003139</v>
      </c>
      <c r="AA34" s="30">
        <f t="shared" ca="1" si="8"/>
        <v>0</v>
      </c>
      <c r="AB34" s="47">
        <f ca="1"/>
        <v>6483.9475369003139</v>
      </c>
      <c r="AC34" s="30">
        <f t="shared" ca="1" si="9"/>
        <v>0</v>
      </c>
      <c r="AD34" s="31">
        <f ca="1"/>
        <v>0.25279999999999991</v>
      </c>
      <c r="AE34" s="31">
        <f ca="1"/>
        <v>0.25279999999999991</v>
      </c>
    </row>
    <row r="35" spans="1:31" x14ac:dyDescent="0.25">
      <c r="A35" s="24" t="s">
        <v>52</v>
      </c>
      <c r="B35" s="41">
        <v>43656</v>
      </c>
      <c r="C35" s="41">
        <v>43748</v>
      </c>
      <c r="D35" s="41">
        <v>43654</v>
      </c>
      <c r="E35" s="41">
        <v>43748</v>
      </c>
      <c r="F35" s="2">
        <v>92</v>
      </c>
      <c r="G35" s="38">
        <f t="shared" si="0"/>
        <v>10000000</v>
      </c>
      <c r="H35" s="42">
        <f t="shared" si="1"/>
        <v>2.251032E-2</v>
      </c>
      <c r="I35" s="43">
        <f t="shared" si="2"/>
        <v>0.25280000000000002</v>
      </c>
      <c r="J35" s="43">
        <v>2.3274799999999998E-2</v>
      </c>
      <c r="K35" s="2">
        <v>0.6</v>
      </c>
      <c r="L35" s="2">
        <v>8193.0499999999993</v>
      </c>
      <c r="M35" s="2">
        <v>0.96792699999999998</v>
      </c>
      <c r="N35" s="2">
        <v>1890.95</v>
      </c>
      <c r="O35" s="38">
        <v>6039.32</v>
      </c>
      <c r="P35" s="38">
        <v>7930.27</v>
      </c>
      <c r="Q35" s="25">
        <f ca="1">_xll.meDateYearFraction($C$2,D35,"ACT/365")</f>
        <v>1.4</v>
      </c>
      <c r="R35" s="25">
        <f ca="1">_xll.meDateYearFraction($C$2,E35,"ACT/365")</f>
        <v>1.6575342465753424</v>
      </c>
      <c r="S35" s="2">
        <f t="shared" ca="1" si="4"/>
        <v>1.6555555555555554</v>
      </c>
      <c r="T35" s="45">
        <f t="shared" si="5"/>
        <v>0.25555555555555554</v>
      </c>
      <c r="U35" s="25">
        <f t="shared" ca="1" si="6"/>
        <v>1.9690434224952064E-2</v>
      </c>
      <c r="V35" s="37">
        <f t="shared" si="7"/>
        <v>2473591.222222222</v>
      </c>
      <c r="W35" s="39">
        <f ca="1">_xll.meMathCapletFloorletPrice(A35,V35,J35,H35,I35,Q35)</f>
        <v>7719.3059151687366</v>
      </c>
      <c r="X35" s="40">
        <f t="shared" ca="1" si="3"/>
        <v>-210.96408483126379</v>
      </c>
      <c r="Y35" s="31">
        <f ca="1">_xll.meMathCapletFloorletImpliedVol(W35,A35,V35,J35,$C$13,Q35)</f>
        <v>0.25280000000000002</v>
      </c>
      <c r="Z35" s="47">
        <f ca="1"/>
        <v>7719.3059151687303</v>
      </c>
      <c r="AA35" s="30">
        <f t="shared" ca="1" si="8"/>
        <v>0</v>
      </c>
      <c r="AB35" s="47">
        <f ca="1"/>
        <v>7719.3059151687303</v>
      </c>
      <c r="AC35" s="30">
        <f t="shared" ca="1" si="9"/>
        <v>0</v>
      </c>
      <c r="AD35" s="31">
        <f ca="1"/>
        <v>0.25280000000000052</v>
      </c>
      <c r="AE35" s="31">
        <f ca="1"/>
        <v>0.25280000000000052</v>
      </c>
    </row>
    <row r="36" spans="1:31" x14ac:dyDescent="0.25">
      <c r="A36" s="24" t="s">
        <v>52</v>
      </c>
      <c r="B36" s="41">
        <v>43748</v>
      </c>
      <c r="C36" s="41">
        <v>43840</v>
      </c>
      <c r="D36" s="41">
        <v>43746</v>
      </c>
      <c r="E36" s="41">
        <v>43840</v>
      </c>
      <c r="F36" s="2">
        <v>92</v>
      </c>
      <c r="G36" s="38">
        <f t="shared" si="0"/>
        <v>10000000</v>
      </c>
      <c r="H36" s="42">
        <f t="shared" si="1"/>
        <v>2.251032E-2</v>
      </c>
      <c r="I36" s="43">
        <f t="shared" si="2"/>
        <v>0.25280000000000002</v>
      </c>
      <c r="J36" s="43">
        <v>2.3228599999999999E-2</v>
      </c>
      <c r="K36" s="2">
        <v>0.6</v>
      </c>
      <c r="L36" s="2">
        <v>8696.31</v>
      </c>
      <c r="M36" s="2">
        <v>0.962808</v>
      </c>
      <c r="N36" s="2">
        <v>1767.24</v>
      </c>
      <c r="O36" s="38">
        <v>6605.64</v>
      </c>
      <c r="P36" s="38">
        <v>8372.8799999999992</v>
      </c>
      <c r="Q36" s="25">
        <f ca="1">_xll.meDateYearFraction($C$2,D36,"ACT/365")</f>
        <v>1.6520547945205479</v>
      </c>
      <c r="R36" s="25">
        <f ca="1">_xll.meDateYearFraction($C$2,E36,"ACT/365")</f>
        <v>1.9095890410958904</v>
      </c>
      <c r="S36" s="2">
        <f t="shared" ca="1" si="4"/>
        <v>1.9076103500761035</v>
      </c>
      <c r="T36" s="45">
        <f t="shared" si="5"/>
        <v>0.25555555555555554</v>
      </c>
      <c r="U36" s="25">
        <f t="shared" ca="1" si="6"/>
        <v>1.9868451650917947E-2</v>
      </c>
      <c r="V36" s="37">
        <f t="shared" si="7"/>
        <v>2460509.3333333335</v>
      </c>
      <c r="W36" s="39">
        <f ca="1">_xll.meMathCapletFloorletPrice(A36,V36,J36,H36,I36,Q36)</f>
        <v>8179.5546454130026</v>
      </c>
      <c r="X36" s="40">
        <f t="shared" ca="1" si="3"/>
        <v>-193.32535458699658</v>
      </c>
      <c r="Y36" s="31">
        <f ca="1">_xll.meMathCapletFloorletImpliedVol(W36,A36,V36,J36,$C$13,Q36)</f>
        <v>0.25279999999999997</v>
      </c>
      <c r="Z36" s="47">
        <f ca="1"/>
        <v>8179.5546454129963</v>
      </c>
      <c r="AA36" s="30">
        <f t="shared" ca="1" si="8"/>
        <v>0</v>
      </c>
      <c r="AB36" s="47">
        <f ca="1"/>
        <v>8179.5546454129963</v>
      </c>
      <c r="AC36" s="30">
        <f t="shared" ca="1" si="9"/>
        <v>0</v>
      </c>
      <c r="AD36" s="31">
        <f ca="1"/>
        <v>0.25280000000010239</v>
      </c>
      <c r="AE36" s="31">
        <f ca="1"/>
        <v>0.25280000000010239</v>
      </c>
    </row>
    <row r="37" spans="1:31" x14ac:dyDescent="0.25">
      <c r="A37" s="24" t="s">
        <v>52</v>
      </c>
      <c r="B37" s="41">
        <v>43840</v>
      </c>
      <c r="C37" s="41">
        <v>43935</v>
      </c>
      <c r="D37" s="41">
        <v>43838</v>
      </c>
      <c r="E37" s="41">
        <v>43935</v>
      </c>
      <c r="F37" s="2">
        <v>95</v>
      </c>
      <c r="G37" s="38">
        <f t="shared" si="0"/>
        <v>10000000</v>
      </c>
      <c r="H37" s="42">
        <f t="shared" si="1"/>
        <v>2.251032E-2</v>
      </c>
      <c r="I37" s="43">
        <f t="shared" si="2"/>
        <v>0.25280000000000002</v>
      </c>
      <c r="J37" s="43">
        <v>2.39148E-2</v>
      </c>
      <c r="K37" s="2">
        <v>0.63</v>
      </c>
      <c r="L37" s="2">
        <v>10654.68</v>
      </c>
      <c r="M37" s="2">
        <v>0.95740599999999998</v>
      </c>
      <c r="N37" s="2">
        <v>3548.28</v>
      </c>
      <c r="O37" s="38">
        <v>6652.57</v>
      </c>
      <c r="P37" s="38">
        <v>10200.86</v>
      </c>
      <c r="Q37" s="25">
        <f ca="1">_xll.meDateYearFraction($C$2,D37,"ACT/365")</f>
        <v>1.904109589041096</v>
      </c>
      <c r="R37" s="25">
        <f ca="1">_xll.meDateYearFraction($C$2,E37,"ACT/365")</f>
        <v>2.1698630136986301</v>
      </c>
      <c r="S37" s="2">
        <f t="shared" ca="1" si="4"/>
        <v>2.1679984779299848</v>
      </c>
      <c r="T37" s="45">
        <f t="shared" si="5"/>
        <v>0.2638888888888889</v>
      </c>
      <c r="U37" s="25">
        <f t="shared" ca="1" si="6"/>
        <v>2.0077382670431708E-2</v>
      </c>
      <c r="V37" s="37">
        <f t="shared" si="7"/>
        <v>2526488.0555555555</v>
      </c>
      <c r="W37" s="39">
        <f ca="1">_xll.meMathCapletFloorletPrice(A37,V37,J37,H37,I37,Q37)</f>
        <v>10015.210647240487</v>
      </c>
      <c r="X37" s="40">
        <f t="shared" ca="1" si="3"/>
        <v>-185.64935275951393</v>
      </c>
      <c r="Y37" s="31">
        <f ca="1">_xll.meMathCapletFloorletImpliedVol(W37,A37,V37,J37,$C$13,Q37)</f>
        <v>0.25279999999999997</v>
      </c>
      <c r="Z37" s="47">
        <f ca="1"/>
        <v>10015.210647240514</v>
      </c>
      <c r="AA37" s="30">
        <f t="shared" ca="1" si="8"/>
        <v>-2.7284841053187847E-11</v>
      </c>
      <c r="AB37" s="47">
        <f ca="1"/>
        <v>10015.210647240514</v>
      </c>
      <c r="AC37" s="30">
        <f t="shared" ca="1" si="9"/>
        <v>-2.7284841053187847E-11</v>
      </c>
      <c r="AD37" s="31">
        <f ca="1"/>
        <v>0.25279999999999947</v>
      </c>
      <c r="AE37" s="31">
        <f ca="1"/>
        <v>0.25279999999999947</v>
      </c>
    </row>
    <row r="38" spans="1:31" x14ac:dyDescent="0.25">
      <c r="A38" s="24" t="s">
        <v>52</v>
      </c>
      <c r="B38" s="41">
        <v>43935</v>
      </c>
      <c r="C38" s="41">
        <v>44022</v>
      </c>
      <c r="D38" s="41">
        <v>43929</v>
      </c>
      <c r="E38" s="41">
        <v>44022</v>
      </c>
      <c r="F38" s="2">
        <v>87</v>
      </c>
      <c r="G38" s="38">
        <f t="shared" si="0"/>
        <v>10000000</v>
      </c>
      <c r="H38" s="42">
        <f t="shared" si="1"/>
        <v>2.251032E-2</v>
      </c>
      <c r="I38" s="43">
        <f t="shared" si="2"/>
        <v>0.25280000000000002</v>
      </c>
      <c r="J38" s="43">
        <v>2.3911600000000002E-2</v>
      </c>
      <c r="K38" s="2">
        <v>0.63</v>
      </c>
      <c r="L38" s="2">
        <v>10222.48</v>
      </c>
      <c r="M38" s="2">
        <v>0.95247899999999996</v>
      </c>
      <c r="N38" s="2">
        <v>3225.46</v>
      </c>
      <c r="O38" s="38">
        <v>6511.24</v>
      </c>
      <c r="P38" s="38">
        <v>9736.7000000000007</v>
      </c>
      <c r="Q38" s="25">
        <f ca="1">_xll.meDateYearFraction($C$2,D38,"ACT/365")</f>
        <v>2.1534246575342464</v>
      </c>
      <c r="R38" s="25">
        <f ca="1">_xll.meDateYearFraction($C$2,E38,"ACT/365")</f>
        <v>2.408219178082192</v>
      </c>
      <c r="S38" s="2">
        <f t="shared" ca="1" si="4"/>
        <v>2.3950913242009131</v>
      </c>
      <c r="T38" s="45">
        <f t="shared" si="5"/>
        <v>0.24166666666666667</v>
      </c>
      <c r="U38" s="25">
        <f t="shared" ca="1" si="6"/>
        <v>2.032791776099117E-2</v>
      </c>
      <c r="V38" s="37">
        <f t="shared" si="7"/>
        <v>2301824.2499999995</v>
      </c>
      <c r="W38" s="39">
        <f ca="1">_xll.meMathCapletFloorletPrice(A38,V38,J38,H38,I38,Q38)</f>
        <v>9577.458340094603</v>
      </c>
      <c r="X38" s="40">
        <f t="shared" ca="1" si="3"/>
        <v>-159.24165990539768</v>
      </c>
      <c r="Y38" s="31">
        <f ca="1">_xll.meMathCapletFloorletImpliedVol(W38,A38,V38,J38,$C$13,Q38)</f>
        <v>0.25279999999999991</v>
      </c>
      <c r="Z38" s="47">
        <f ca="1"/>
        <v>9577.458340094614</v>
      </c>
      <c r="AA38" s="30">
        <f t="shared" ca="1" si="8"/>
        <v>0</v>
      </c>
      <c r="AB38" s="47">
        <f ca="1"/>
        <v>9577.458340094614</v>
      </c>
      <c r="AC38" s="30">
        <f t="shared" ca="1" si="9"/>
        <v>0</v>
      </c>
      <c r="AD38" s="31">
        <f ca="1"/>
        <v>0.25280000000002179</v>
      </c>
      <c r="AE38" s="31">
        <f ca="1"/>
        <v>0.25280000000002179</v>
      </c>
    </row>
    <row r="39" spans="1:31" x14ac:dyDescent="0.25">
      <c r="A39" s="24" t="s">
        <v>52</v>
      </c>
      <c r="B39" s="41">
        <v>44022</v>
      </c>
      <c r="C39" s="41">
        <v>44117</v>
      </c>
      <c r="D39" s="41">
        <v>44020</v>
      </c>
      <c r="E39" s="41">
        <v>44117</v>
      </c>
      <c r="F39" s="2">
        <v>95</v>
      </c>
      <c r="G39" s="38">
        <f t="shared" si="0"/>
        <v>10000000</v>
      </c>
      <c r="H39" s="42">
        <f t="shared" si="1"/>
        <v>2.251032E-2</v>
      </c>
      <c r="I39" s="43">
        <f t="shared" si="2"/>
        <v>0.25280000000000002</v>
      </c>
      <c r="J39" s="43">
        <v>2.39148E-2</v>
      </c>
      <c r="K39" s="2">
        <v>0.62</v>
      </c>
      <c r="L39" s="2">
        <v>11652.86</v>
      </c>
      <c r="M39" s="2">
        <v>0.94712799999999997</v>
      </c>
      <c r="N39" s="2">
        <v>3510.19</v>
      </c>
      <c r="O39" s="38">
        <v>7526.56</v>
      </c>
      <c r="P39" s="38">
        <v>11036.75</v>
      </c>
      <c r="Q39" s="25">
        <f ca="1">_xll.meDateYearFraction($C$2,D39,"ACT/365")</f>
        <v>2.4027397260273973</v>
      </c>
      <c r="R39" s="25">
        <f ca="1">_xll.meDateYearFraction($C$2,E39,"ACT/365")</f>
        <v>2.6684931506849314</v>
      </c>
      <c r="S39" s="2">
        <f t="shared" ca="1" si="4"/>
        <v>2.6666286149162861</v>
      </c>
      <c r="T39" s="45">
        <f t="shared" si="5"/>
        <v>0.2638888888888889</v>
      </c>
      <c r="U39" s="25">
        <f t="shared" ca="1" si="6"/>
        <v>2.0370677398130373E-2</v>
      </c>
      <c r="V39" s="37">
        <f t="shared" si="7"/>
        <v>2499365.5555555555</v>
      </c>
      <c r="W39" s="39">
        <f ca="1">_xll.meMathCapletFloorletPrice(A39,V39,J39,H39,I39,Q39)</f>
        <v>10873.040558489643</v>
      </c>
      <c r="X39" s="40">
        <f t="shared" ca="1" si="3"/>
        <v>-163.70944151035656</v>
      </c>
      <c r="Y39" s="31">
        <f ca="1">_xll.meMathCapletFloorletImpliedVol(W39,A39,V39,J39,$C$13,Q39)</f>
        <v>0.25280000000017488</v>
      </c>
      <c r="Z39" s="47">
        <f ca="1"/>
        <v>10873.040558489667</v>
      </c>
      <c r="AA39" s="30">
        <f t="shared" ca="1" si="8"/>
        <v>-2.3646862246096134E-11</v>
      </c>
      <c r="AB39" s="47">
        <f ca="1"/>
        <v>10873.040558489667</v>
      </c>
      <c r="AC39" s="30">
        <f t="shared" ca="1" si="9"/>
        <v>-2.3646862246096134E-11</v>
      </c>
      <c r="AD39" s="31">
        <f ca="1"/>
        <v>0.252800000000173</v>
      </c>
      <c r="AE39" s="31">
        <f ca="1"/>
        <v>0.252800000000173</v>
      </c>
    </row>
    <row r="40" spans="1:31" x14ac:dyDescent="0.25">
      <c r="A40" s="24" t="s">
        <v>52</v>
      </c>
      <c r="B40" s="41">
        <v>44117</v>
      </c>
      <c r="C40" s="41">
        <v>44207</v>
      </c>
      <c r="D40" s="41">
        <v>44113</v>
      </c>
      <c r="E40" s="41">
        <v>44207</v>
      </c>
      <c r="F40" s="2">
        <v>90</v>
      </c>
      <c r="G40" s="38">
        <f t="shared" si="0"/>
        <v>10000000</v>
      </c>
      <c r="H40" s="42">
        <f t="shared" si="1"/>
        <v>2.251032E-2</v>
      </c>
      <c r="I40" s="43">
        <f t="shared" si="2"/>
        <v>0.25280000000000002</v>
      </c>
      <c r="J40" s="43">
        <v>2.3916E-2</v>
      </c>
      <c r="K40" s="2">
        <v>0.62</v>
      </c>
      <c r="L40" s="2">
        <v>11487.58</v>
      </c>
      <c r="M40" s="2">
        <v>0.94208700000000001</v>
      </c>
      <c r="N40" s="2">
        <v>3310.64</v>
      </c>
      <c r="O40" s="38">
        <v>7511.66</v>
      </c>
      <c r="P40" s="38">
        <v>10822.3</v>
      </c>
      <c r="Q40" s="25">
        <f ca="1">_xll.meDateYearFraction($C$2,D40,"ACT/365")</f>
        <v>2.6575342465753424</v>
      </c>
      <c r="R40" s="25">
        <f ca="1">_xll.meDateYearFraction($C$2,E40,"ACT/365")</f>
        <v>2.9150684931506849</v>
      </c>
      <c r="S40" s="2">
        <f t="shared" ca="1" si="4"/>
        <v>2.9075342465753424</v>
      </c>
      <c r="T40" s="45">
        <f t="shared" si="5"/>
        <v>0.25</v>
      </c>
      <c r="U40" s="25">
        <f t="shared" ca="1" si="6"/>
        <v>2.0518297266063284E-2</v>
      </c>
      <c r="V40" s="37">
        <f t="shared" si="7"/>
        <v>2355217.5</v>
      </c>
      <c r="W40" s="39">
        <f ca="1">_xll.meMathCapletFloorletPrice(A40,V40,J40,H40,I40,Q40)</f>
        <v>10675.580578872583</v>
      </c>
      <c r="X40" s="40">
        <f t="shared" ca="1" si="3"/>
        <v>-146.71942112741635</v>
      </c>
      <c r="Y40" s="31">
        <f ca="1">_xll.meMathCapletFloorletImpliedVol(W40,A40,V40,J40,$C$13,Q40)</f>
        <v>0.25279999999999997</v>
      </c>
      <c r="Z40" s="47">
        <f ca="1"/>
        <v>10675.580578872583</v>
      </c>
      <c r="AA40" s="30">
        <f t="shared" ca="1" si="8"/>
        <v>0</v>
      </c>
      <c r="AB40" s="47">
        <f ca="1"/>
        <v>10675.580578872583</v>
      </c>
      <c r="AC40" s="30">
        <f t="shared" ca="1" si="9"/>
        <v>0</v>
      </c>
      <c r="AD40" s="31">
        <f ca="1"/>
        <v>0.25280000000000052</v>
      </c>
      <c r="AE40" s="31">
        <f ca="1"/>
        <v>0.25280000000000052</v>
      </c>
    </row>
    <row r="41" spans="1:31" x14ac:dyDescent="0.25">
      <c r="A41" s="24" t="s">
        <v>52</v>
      </c>
      <c r="B41" s="41">
        <v>44207</v>
      </c>
      <c r="C41" s="41">
        <v>44298</v>
      </c>
      <c r="D41" s="41">
        <v>44203</v>
      </c>
      <c r="E41" s="41">
        <v>44298</v>
      </c>
      <c r="F41" s="2">
        <v>91</v>
      </c>
      <c r="G41" s="38">
        <f t="shared" si="0"/>
        <v>10000000</v>
      </c>
      <c r="H41" s="42">
        <f t="shared" si="1"/>
        <v>2.251032E-2</v>
      </c>
      <c r="I41" s="43">
        <f t="shared" si="2"/>
        <v>0.25280000000000002</v>
      </c>
      <c r="J41" s="43">
        <v>2.4077500000000002E-2</v>
      </c>
      <c r="K41" s="2">
        <v>0.63</v>
      </c>
      <c r="L41" s="2">
        <v>12293.97</v>
      </c>
      <c r="M41" s="2">
        <v>0.93704299999999996</v>
      </c>
      <c r="N41" s="2">
        <v>3712</v>
      </c>
      <c r="O41" s="38">
        <v>7807.98</v>
      </c>
      <c r="P41" s="38">
        <v>11519.98</v>
      </c>
      <c r="Q41" s="25">
        <f ca="1">_xll.meDateYearFraction($C$2,D41,"ACT/365")</f>
        <v>2.904109589041096</v>
      </c>
      <c r="R41" s="25">
        <f ca="1">_xll.meDateYearFraction($C$2,E41,"ACT/365")</f>
        <v>3.1643835616438358</v>
      </c>
      <c r="S41" s="2">
        <f t="shared" ca="1" si="4"/>
        <v>3.1568873668188737</v>
      </c>
      <c r="T41" s="45">
        <f t="shared" si="5"/>
        <v>0.25277777777777777</v>
      </c>
      <c r="U41" s="25">
        <f t="shared" ca="1" si="6"/>
        <v>2.0598171267752312E-2</v>
      </c>
      <c r="V41" s="37">
        <f t="shared" si="7"/>
        <v>2368636.472222222</v>
      </c>
      <c r="W41" s="39">
        <f ca="1">_xll.meMathCapletFloorletPrice(A41,V41,J41,H41,I41,Q41)</f>
        <v>11378.755177591038</v>
      </c>
      <c r="X41" s="40">
        <f t="shared" ca="1" si="3"/>
        <v>-141.2248224089617</v>
      </c>
      <c r="Y41" s="31">
        <f ca="1">_xll.meMathCapletFloorletImpliedVol(W41,A41,V41,J41,$C$13,Q41)</f>
        <v>0.2527999999999998</v>
      </c>
      <c r="Z41" s="47">
        <f ca="1"/>
        <v>11378.755177591042</v>
      </c>
      <c r="AA41" s="30">
        <f t="shared" ca="1" si="8"/>
        <v>0</v>
      </c>
      <c r="AB41" s="47">
        <f ca="1"/>
        <v>11378.755177591042</v>
      </c>
      <c r="AC41" s="30">
        <f t="shared" ca="1" si="9"/>
        <v>0</v>
      </c>
      <c r="AD41" s="31">
        <f ca="1"/>
        <v>0.25279999999999891</v>
      </c>
      <c r="AE41" s="31">
        <f ca="1"/>
        <v>0.25279999999999891</v>
      </c>
    </row>
    <row r="42" spans="1:31" x14ac:dyDescent="0.25">
      <c r="A42" s="24" t="s">
        <v>52</v>
      </c>
      <c r="B42" s="41">
        <v>44298</v>
      </c>
      <c r="C42" s="41">
        <v>44389</v>
      </c>
      <c r="D42" s="41">
        <v>44294</v>
      </c>
      <c r="E42" s="41">
        <v>44389</v>
      </c>
      <c r="F42" s="2">
        <v>91</v>
      </c>
      <c r="G42" s="38">
        <f t="shared" si="0"/>
        <v>10000000</v>
      </c>
      <c r="H42" s="42">
        <f t="shared" si="1"/>
        <v>2.251032E-2</v>
      </c>
      <c r="I42" s="43">
        <f t="shared" si="2"/>
        <v>0.25280000000000002</v>
      </c>
      <c r="J42" s="43">
        <v>2.4077500000000002E-2</v>
      </c>
      <c r="K42" s="2">
        <v>0.63</v>
      </c>
      <c r="L42" s="2">
        <v>12698.04</v>
      </c>
      <c r="M42" s="2">
        <v>0.93202700000000005</v>
      </c>
      <c r="N42" s="2">
        <v>3692.13</v>
      </c>
      <c r="O42" s="38">
        <v>8142.78</v>
      </c>
      <c r="P42" s="38">
        <v>11834.91</v>
      </c>
      <c r="Q42" s="25">
        <f ca="1">_xll.meDateYearFraction($C$2,D42,"ACT/365")</f>
        <v>3.1534246575342464</v>
      </c>
      <c r="R42" s="25">
        <f ca="1">_xll.meDateYearFraction($C$2,E42,"ACT/365")</f>
        <v>3.4136986301369863</v>
      </c>
      <c r="S42" s="2">
        <f t="shared" ca="1" si="4"/>
        <v>3.4062024353120242</v>
      </c>
      <c r="T42" s="45">
        <f t="shared" si="5"/>
        <v>0.25277777777777777</v>
      </c>
      <c r="U42" s="25">
        <f t="shared" ca="1" si="6"/>
        <v>2.0666268695400364E-2</v>
      </c>
      <c r="V42" s="37">
        <f t="shared" si="7"/>
        <v>2355957.138888889</v>
      </c>
      <c r="W42" s="39">
        <f ca="1">_xll.meMathCapletFloorletPrice(A42,V42,J42,H42,I42,Q42)</f>
        <v>11700.174003005919</v>
      </c>
      <c r="X42" s="40">
        <f t="shared" ca="1" si="3"/>
        <v>-134.73599699408078</v>
      </c>
      <c r="Y42" s="31">
        <f ca="1">_xll.meMathCapletFloorletImpliedVol(W42,A42,V42,J42,$C$13,Q42)</f>
        <v>0.25280000000000019</v>
      </c>
      <c r="Z42" s="47">
        <f ca="1"/>
        <v>11700.174003005928</v>
      </c>
      <c r="AA42" s="30">
        <f t="shared" ca="1" si="8"/>
        <v>0</v>
      </c>
      <c r="AB42" s="47">
        <f ca="1"/>
        <v>11700.174003005928</v>
      </c>
      <c r="AC42" s="30">
        <f t="shared" ca="1" si="9"/>
        <v>0</v>
      </c>
      <c r="AD42" s="31">
        <f ca="1"/>
        <v>0.25279999999999936</v>
      </c>
      <c r="AE42" s="31">
        <f ca="1"/>
        <v>0.25279999999999936</v>
      </c>
    </row>
    <row r="43" spans="1:31" x14ac:dyDescent="0.25">
      <c r="A43" s="24" t="s">
        <v>52</v>
      </c>
      <c r="B43" s="41">
        <v>44389</v>
      </c>
      <c r="C43" s="41">
        <v>44481</v>
      </c>
      <c r="D43" s="41">
        <v>44385</v>
      </c>
      <c r="E43" s="41">
        <v>44481</v>
      </c>
      <c r="F43" s="2">
        <v>92</v>
      </c>
      <c r="G43" s="38">
        <f t="shared" si="0"/>
        <v>10000000</v>
      </c>
      <c r="H43" s="42">
        <f t="shared" si="1"/>
        <v>2.251032E-2</v>
      </c>
      <c r="I43" s="43">
        <f t="shared" si="2"/>
        <v>0.25280000000000002</v>
      </c>
      <c r="J43" s="43">
        <v>2.40783E-2</v>
      </c>
      <c r="K43" s="2">
        <v>0.63</v>
      </c>
      <c r="L43" s="2">
        <v>13231.54</v>
      </c>
      <c r="M43" s="2">
        <v>0.926983</v>
      </c>
      <c r="N43" s="2">
        <v>3714.4</v>
      </c>
      <c r="O43" s="38">
        <v>8551.01</v>
      </c>
      <c r="P43" s="38">
        <v>12265.41</v>
      </c>
      <c r="Q43" s="25">
        <f ca="1">_xll.meDateYearFraction($C$2,D43,"ACT/365")</f>
        <v>3.4027397260273973</v>
      </c>
      <c r="R43" s="25">
        <f ca="1">_xll.meDateYearFraction($C$2,E43,"ACT/365")</f>
        <v>3.6657534246575341</v>
      </c>
      <c r="S43" s="2">
        <f t="shared" ca="1" si="4"/>
        <v>3.6582952815829528</v>
      </c>
      <c r="T43" s="45">
        <f t="shared" si="5"/>
        <v>0.25555555555555554</v>
      </c>
      <c r="U43" s="25">
        <f t="shared" ca="1" si="6"/>
        <v>2.0725514611468838E-2</v>
      </c>
      <c r="V43" s="37">
        <f t="shared" si="7"/>
        <v>2368956.5555555555</v>
      </c>
      <c r="W43" s="39">
        <f ca="1">_xll.meMathCapletFloorletPrice(A43,V43,J43,H43,I43,Q43)</f>
        <v>12135.071064773019</v>
      </c>
      <c r="X43" s="40">
        <f t="shared" ca="1" si="3"/>
        <v>-130.33893522698054</v>
      </c>
      <c r="Y43" s="31">
        <f ca="1">_xll.meMathCapletFloorletImpliedVol(W43,A43,V43,J43,$C$13,Q43)</f>
        <v>0.25279999999999991</v>
      </c>
      <c r="Z43" s="47">
        <f ca="1"/>
        <v>12135.071064773048</v>
      </c>
      <c r="AA43" s="30">
        <f t="shared" ca="1" si="8"/>
        <v>-2.9103830456733704E-11</v>
      </c>
      <c r="AB43" s="47">
        <f ca="1"/>
        <v>12135.071064773048</v>
      </c>
      <c r="AC43" s="30">
        <f t="shared" ca="1" si="9"/>
        <v>-2.9103830456733704E-11</v>
      </c>
      <c r="AD43" s="31">
        <f ca="1"/>
        <v>0.25280000000169178</v>
      </c>
      <c r="AE43" s="31">
        <f ca="1"/>
        <v>0.25280000000169178</v>
      </c>
    </row>
    <row r="44" spans="1:31" x14ac:dyDescent="0.25">
      <c r="A44" s="24" t="s">
        <v>52</v>
      </c>
      <c r="B44" s="41">
        <v>44481</v>
      </c>
      <c r="C44" s="41">
        <v>44571</v>
      </c>
      <c r="D44" s="41">
        <v>44477</v>
      </c>
      <c r="E44" s="41">
        <v>44571</v>
      </c>
      <c r="F44" s="2">
        <v>90</v>
      </c>
      <c r="G44" s="38">
        <f t="shared" si="0"/>
        <v>10000000</v>
      </c>
      <c r="H44" s="42">
        <f t="shared" si="1"/>
        <v>2.251032E-2</v>
      </c>
      <c r="I44" s="43">
        <f t="shared" si="2"/>
        <v>0.25280000000000002</v>
      </c>
      <c r="J44" s="43">
        <v>2.4081499999999999E-2</v>
      </c>
      <c r="K44" s="2">
        <v>0.63</v>
      </c>
      <c r="L44" s="2">
        <v>13323.33</v>
      </c>
      <c r="M44" s="2">
        <v>0.92207499999999998</v>
      </c>
      <c r="N44" s="2">
        <v>3621.93</v>
      </c>
      <c r="O44" s="38">
        <v>8663.18</v>
      </c>
      <c r="P44" s="38">
        <v>12285.11</v>
      </c>
      <c r="Q44" s="25">
        <f ca="1">_xll.meDateYearFraction($C$2,D44,"ACT/365")</f>
        <v>3.6547945205479451</v>
      </c>
      <c r="R44" s="25">
        <f ca="1">_xll.meDateYearFraction($C$2,E44,"ACT/365")</f>
        <v>3.9123287671232876</v>
      </c>
      <c r="S44" s="2">
        <f t="shared" ca="1" si="4"/>
        <v>3.9047945205479451</v>
      </c>
      <c r="T44" s="45">
        <f t="shared" si="5"/>
        <v>0.25</v>
      </c>
      <c r="U44" s="25">
        <f t="shared" ca="1" si="6"/>
        <v>2.0776692193291084E-2</v>
      </c>
      <c r="V44" s="37">
        <f t="shared" si="7"/>
        <v>2305187.5</v>
      </c>
      <c r="W44" s="39">
        <f ca="1">_xll.meMathCapletFloorletPrice(A44,V44,J44,H44,I44,Q44)</f>
        <v>12162.746403036786</v>
      </c>
      <c r="X44" s="40">
        <f t="shared" ca="1" si="3"/>
        <v>-122.36359696321415</v>
      </c>
      <c r="Y44" s="31">
        <f ca="1">_xll.meMathCapletFloorletImpliedVol(W44,A44,V44,J44,$C$13,Q44)</f>
        <v>0.25280000000212222</v>
      </c>
      <c r="Z44" s="47">
        <f ca="1"/>
        <v>12162.74640303679</v>
      </c>
      <c r="AA44" s="30">
        <f t="shared" ca="1" si="8"/>
        <v>0</v>
      </c>
      <c r="AB44" s="47">
        <f ca="1"/>
        <v>12162.74640303679</v>
      </c>
      <c r="AC44" s="30">
        <f t="shared" ca="1" si="9"/>
        <v>0</v>
      </c>
      <c r="AD44" s="31">
        <f ca="1"/>
        <v>0.25280000000212244</v>
      </c>
      <c r="AE44" s="31">
        <f ca="1"/>
        <v>0.25280000000212244</v>
      </c>
    </row>
    <row r="45" spans="1:31" x14ac:dyDescent="0.25">
      <c r="A45" s="24" t="s">
        <v>52</v>
      </c>
      <c r="B45" s="41">
        <v>44571</v>
      </c>
      <c r="C45" s="41">
        <v>44662</v>
      </c>
      <c r="D45" s="41">
        <v>44567</v>
      </c>
      <c r="E45" s="41">
        <v>44662</v>
      </c>
      <c r="F45" s="2">
        <v>91</v>
      </c>
      <c r="G45" s="38">
        <f t="shared" si="0"/>
        <v>10000000</v>
      </c>
      <c r="H45" s="42">
        <f t="shared" si="1"/>
        <v>2.251032E-2</v>
      </c>
      <c r="I45" s="43">
        <f t="shared" si="2"/>
        <v>0.25280000000000002</v>
      </c>
      <c r="J45" s="43">
        <v>2.42273E-2</v>
      </c>
      <c r="K45" s="2">
        <v>0.63</v>
      </c>
      <c r="L45" s="2">
        <v>14069.34</v>
      </c>
      <c r="M45" s="2">
        <v>0.91716699999999995</v>
      </c>
      <c r="N45" s="2">
        <v>3980.72</v>
      </c>
      <c r="O45" s="38">
        <v>8923.2099999999991</v>
      </c>
      <c r="P45" s="38">
        <v>12903.93</v>
      </c>
      <c r="Q45" s="25">
        <f ca="1">_xll.meDateYearFraction($C$2,D45,"ACT/365")</f>
        <v>3.9013698630136986</v>
      </c>
      <c r="R45" s="25">
        <f ca="1">_xll.meDateYearFraction($C$2,E45,"ACT/365")</f>
        <v>4.161643835616438</v>
      </c>
      <c r="S45" s="2">
        <f t="shared" ca="1" si="4"/>
        <v>4.1541476407914768</v>
      </c>
      <c r="T45" s="45">
        <f t="shared" si="5"/>
        <v>0.25277777777777777</v>
      </c>
      <c r="U45" s="25">
        <f t="shared" ca="1" si="6"/>
        <v>2.0814307816922138E-2</v>
      </c>
      <c r="V45" s="37">
        <f t="shared" si="7"/>
        <v>2318394.3611111105</v>
      </c>
      <c r="W45" s="39">
        <f ca="1">_xll.meMathCapletFloorletPrice(A45,V45,J45,H45,I45,Q45)</f>
        <v>12784.763614758516</v>
      </c>
      <c r="X45" s="40">
        <f t="shared" ca="1" si="3"/>
        <v>-119.16638524148402</v>
      </c>
      <c r="Y45" s="31">
        <f ca="1">_xll.meMathCapletFloorletImpliedVol(W45,A45,V45,J45,$C$13,Q45)</f>
        <v>0.25280000000277891</v>
      </c>
      <c r="Z45" s="47">
        <f ca="1"/>
        <v>12784.763614758518</v>
      </c>
      <c r="AA45" s="30">
        <f t="shared" ca="1" si="8"/>
        <v>0</v>
      </c>
      <c r="AB45" s="47">
        <f ca="1"/>
        <v>12784.763614758518</v>
      </c>
      <c r="AC45" s="30">
        <f t="shared" ca="1" si="9"/>
        <v>0</v>
      </c>
      <c r="AD45" s="31">
        <f ca="1"/>
        <v>0.25280000000277847</v>
      </c>
      <c r="AE45" s="31">
        <f ca="1"/>
        <v>0.25280000000277847</v>
      </c>
    </row>
    <row r="46" spans="1:31" x14ac:dyDescent="0.25">
      <c r="A46" s="24" t="s">
        <v>52</v>
      </c>
      <c r="B46" s="41">
        <v>44662</v>
      </c>
      <c r="C46" s="41">
        <v>44753</v>
      </c>
      <c r="D46" s="41">
        <v>44658</v>
      </c>
      <c r="E46" s="41">
        <v>44753</v>
      </c>
      <c r="F46" s="2">
        <v>91</v>
      </c>
      <c r="G46" s="38">
        <f t="shared" si="0"/>
        <v>10000000</v>
      </c>
      <c r="H46" s="42">
        <f t="shared" si="1"/>
        <v>2.251032E-2</v>
      </c>
      <c r="I46" s="43">
        <f t="shared" si="2"/>
        <v>0.25280000000000002</v>
      </c>
      <c r="J46" s="43">
        <v>2.42273E-2</v>
      </c>
      <c r="K46" s="2">
        <v>0.63</v>
      </c>
      <c r="L46" s="2">
        <v>14419.72</v>
      </c>
      <c r="M46" s="2">
        <v>0.91228500000000001</v>
      </c>
      <c r="N46" s="2">
        <v>3959.53</v>
      </c>
      <c r="O46" s="38">
        <v>9195.36</v>
      </c>
      <c r="P46" s="38">
        <v>13154.89</v>
      </c>
      <c r="Q46" s="25">
        <f ca="1">_xll.meDateYearFraction($C$2,D46,"ACT/365")</f>
        <v>4.1506849315068495</v>
      </c>
      <c r="R46" s="25">
        <f ca="1">_xll.meDateYearFraction($C$2,E46,"ACT/365")</f>
        <v>4.4109589041095889</v>
      </c>
      <c r="S46" s="2">
        <f t="shared" ca="1" si="4"/>
        <v>4.4034627092846268</v>
      </c>
      <c r="T46" s="45">
        <f t="shared" si="5"/>
        <v>0.25277777777777777</v>
      </c>
      <c r="U46" s="25">
        <f t="shared" ca="1" si="6"/>
        <v>2.08478744539373E-2</v>
      </c>
      <c r="V46" s="37">
        <f t="shared" si="7"/>
        <v>2306053.75</v>
      </c>
      <c r="W46" s="39">
        <f ca="1">_xll.meMathCapletFloorletPrice(A46,V46,J46,H46,I46,Q46)</f>
        <v>13040.084936691059</v>
      </c>
      <c r="X46" s="40">
        <f t="shared" ca="1" si="3"/>
        <v>-114.80506330894059</v>
      </c>
      <c r="Y46" s="31">
        <f ca="1">_xll.meMathCapletFloorletImpliedVol(W46,A46,V46,J46,$C$13,Q46)</f>
        <v>0.25279999999999986</v>
      </c>
      <c r="Z46" s="47">
        <f ca="1"/>
        <v>13040.084936691062</v>
      </c>
      <c r="AA46" s="30">
        <f t="shared" ca="1" si="8"/>
        <v>0</v>
      </c>
      <c r="AB46" s="47">
        <f ca="1"/>
        <v>13040.084936691062</v>
      </c>
      <c r="AC46" s="30">
        <f t="shared" ca="1" si="9"/>
        <v>0</v>
      </c>
      <c r="AD46" s="31">
        <f ca="1"/>
        <v>0.25280000000000102</v>
      </c>
      <c r="AE46" s="31">
        <f ca="1"/>
        <v>0.25280000000000102</v>
      </c>
    </row>
    <row r="47" spans="1:31" x14ac:dyDescent="0.25">
      <c r="A47" s="24" t="s">
        <v>52</v>
      </c>
      <c r="B47" s="41">
        <v>44753</v>
      </c>
      <c r="C47" s="41">
        <v>44845</v>
      </c>
      <c r="D47" s="41">
        <v>44749</v>
      </c>
      <c r="E47" s="41">
        <v>44845</v>
      </c>
      <c r="F47" s="2">
        <v>92</v>
      </c>
      <c r="G47" s="38">
        <f t="shared" si="0"/>
        <v>10000000</v>
      </c>
      <c r="H47" s="42">
        <f t="shared" si="1"/>
        <v>2.251032E-2</v>
      </c>
      <c r="I47" s="43">
        <f t="shared" si="2"/>
        <v>0.25280000000000002</v>
      </c>
      <c r="J47" s="43">
        <v>2.4228199999999998E-2</v>
      </c>
      <c r="K47" s="2">
        <v>0.63</v>
      </c>
      <c r="L47" s="2">
        <v>14923.02</v>
      </c>
      <c r="M47" s="2">
        <v>0.90737599999999996</v>
      </c>
      <c r="N47" s="2">
        <v>3983.39</v>
      </c>
      <c r="O47" s="38">
        <v>9557.4</v>
      </c>
      <c r="P47" s="38">
        <v>13540.79</v>
      </c>
      <c r="Q47" s="25">
        <f ca="1">_xll.meDateYearFraction($C$2,D47,"ACT/365")</f>
        <v>4.4000000000000004</v>
      </c>
      <c r="R47" s="25">
        <f ca="1">_xll.meDateYearFraction($C$2,E47,"ACT/365")</f>
        <v>4.6630136986301371</v>
      </c>
      <c r="S47" s="2">
        <f t="shared" ca="1" si="4"/>
        <v>4.6555555555555559</v>
      </c>
      <c r="T47" s="45">
        <f t="shared" si="5"/>
        <v>0.25555555555555554</v>
      </c>
      <c r="U47" s="25">
        <f t="shared" ca="1" si="6"/>
        <v>2.0877929634321481E-2</v>
      </c>
      <c r="V47" s="37">
        <f t="shared" si="7"/>
        <v>2318849.7777777775</v>
      </c>
      <c r="W47" s="39">
        <f ca="1">_xll.meMathCapletFloorletPrice(A47,V47,J47,H47,I47,Q47)</f>
        <v>13428.919011900893</v>
      </c>
      <c r="X47" s="40">
        <f t="shared" ca="1" si="3"/>
        <v>-111.87098809910822</v>
      </c>
      <c r="Y47" s="31">
        <f ca="1">_xll.meMathCapletFloorletImpliedVol(W47,A47,V47,J47,$C$13,Q47)</f>
        <v>0.25279999999999997</v>
      </c>
      <c r="Z47" s="47">
        <f ca="1"/>
        <v>13428.919011900907</v>
      </c>
      <c r="AA47" s="30">
        <f t="shared" ca="1" si="8"/>
        <v>-1.4551915228366852E-11</v>
      </c>
      <c r="AB47" s="47">
        <f ca="1"/>
        <v>13428.919011900907</v>
      </c>
      <c r="AC47" s="30">
        <f t="shared" ca="1" si="9"/>
        <v>-1.4551915228366852E-11</v>
      </c>
      <c r="AD47" s="31">
        <f ca="1"/>
        <v>0.25280000000340308</v>
      </c>
      <c r="AE47" s="31">
        <f ca="1"/>
        <v>0.25280000000340308</v>
      </c>
    </row>
    <row r="48" spans="1:31" x14ac:dyDescent="0.25">
      <c r="A48" s="24" t="s">
        <v>52</v>
      </c>
      <c r="B48" s="41">
        <v>44845</v>
      </c>
      <c r="C48" s="41">
        <v>44936</v>
      </c>
      <c r="D48" s="41">
        <v>44841</v>
      </c>
      <c r="E48" s="41">
        <v>44936</v>
      </c>
      <c r="F48" s="2">
        <v>91</v>
      </c>
      <c r="G48" s="38">
        <f t="shared" si="0"/>
        <v>10000000</v>
      </c>
      <c r="H48" s="42">
        <f t="shared" si="1"/>
        <v>2.251032E-2</v>
      </c>
      <c r="I48" s="43">
        <f t="shared" si="2"/>
        <v>0.25280000000000002</v>
      </c>
      <c r="J48" s="43">
        <v>2.4233399999999999E-2</v>
      </c>
      <c r="K48" s="2">
        <v>0.63</v>
      </c>
      <c r="L48" s="2">
        <v>15103.13</v>
      </c>
      <c r="M48" s="2">
        <v>0.90254699999999999</v>
      </c>
      <c r="N48" s="2">
        <v>3931.17</v>
      </c>
      <c r="O48" s="38">
        <v>9700.1200000000008</v>
      </c>
      <c r="P48" s="38">
        <v>13631.29</v>
      </c>
      <c r="Q48" s="25">
        <f ca="1">_xll.meDateYearFraction($C$2,D48,"ACT/365")</f>
        <v>4.6520547945205477</v>
      </c>
      <c r="R48" s="25">
        <f ca="1">_xll.meDateYearFraction($C$2,E48,"ACT/365")</f>
        <v>4.912328767123288</v>
      </c>
      <c r="S48" s="2">
        <f t="shared" ca="1" si="4"/>
        <v>4.904832572298325</v>
      </c>
      <c r="T48" s="45">
        <f t="shared" si="5"/>
        <v>0.25277777777777777</v>
      </c>
      <c r="U48" s="25">
        <f t="shared" ca="1" si="6"/>
        <v>2.0904793600470928E-2</v>
      </c>
      <c r="V48" s="37">
        <f t="shared" si="7"/>
        <v>2281438.2499999995</v>
      </c>
      <c r="W48" s="39">
        <f ca="1">_xll.meMathCapletFloorletPrice(A48,V48,J48,H48,I48,Q48)</f>
        <v>13524.252569870907</v>
      </c>
      <c r="X48" s="40">
        <f t="shared" ca="1" si="3"/>
        <v>-107.03743012909399</v>
      </c>
      <c r="Y48" s="31">
        <f ca="1">_xll.meMathCapletFloorletImpliedVol(W48,A48,V48,J48,$C$13,Q48)</f>
        <v>0.25280000000000002</v>
      </c>
      <c r="Z48" s="47">
        <f ca="1"/>
        <v>13524.252569870911</v>
      </c>
      <c r="AA48" s="30">
        <f t="shared" ca="1" si="8"/>
        <v>0</v>
      </c>
      <c r="AB48" s="47">
        <f ca="1"/>
        <v>13524.252569870911</v>
      </c>
      <c r="AC48" s="30">
        <f t="shared" ca="1" si="9"/>
        <v>0</v>
      </c>
      <c r="AD48" s="31">
        <f ca="1"/>
        <v>0.25279999999999969</v>
      </c>
      <c r="AE48" s="31">
        <f ca="1"/>
        <v>0.25279999999999969</v>
      </c>
    </row>
    <row r="49" spans="12:27" x14ac:dyDescent="0.25">
      <c r="L49" s="36"/>
      <c r="M49" s="25"/>
      <c r="N49" s="25"/>
      <c r="O49" s="25"/>
      <c r="P49" s="36"/>
      <c r="T49" s="24"/>
      <c r="U49"/>
      <c r="Y49" s="1"/>
      <c r="Z49" s="1"/>
      <c r="AA49" s="1"/>
    </row>
    <row r="50" spans="12:27" x14ac:dyDescent="0.25">
      <c r="L50" s="25"/>
      <c r="M50" s="25"/>
      <c r="N50" s="25"/>
      <c r="O50" s="25"/>
      <c r="P50" s="2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CapletFloorlet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2018-02-08T15:46:40Z</dcterms:modified>
</cp:coreProperties>
</file>