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105" windowWidth="18720" windowHeight="7410"/>
  </bookViews>
  <sheets>
    <sheet name="Libor In-Arrears" sheetId="3" r:id="rId1"/>
  </sheets>
  <definedNames>
    <definedName name="Annuity_Fixed">'Libor In-Arrears'!#REF!</definedName>
    <definedName name="Annuity_Float">'Libor In-Arrears'!#REF!</definedName>
    <definedName name="Approximate">'Libor In-Arrears'!#REF!</definedName>
    <definedName name="AsOfDate">#REF!</definedName>
    <definedName name="BumpSize">#REF!</definedName>
    <definedName name="BumpSizeLiborRates">#REF!</definedName>
    <definedName name="ConvexityMethod">'Libor In-Arrears'!#REF!</definedName>
    <definedName name="Currency">'Libor In-Arrears'!#REF!</definedName>
    <definedName name="DiscountCurve">'Libor In-Arrears'!#REF!</definedName>
    <definedName name="EUR.Fixed.Period">#REF!</definedName>
    <definedName name="EUR.Float.Period">#REF!</definedName>
    <definedName name="EUR6ML">#REF!</definedName>
    <definedName name="EurDiscFact">#REF!</definedName>
    <definedName name="EurDiscFactBumped">#REF!</definedName>
    <definedName name="FixedLegFrequencySelected">'Libor In-Arrears'!#REF!</definedName>
    <definedName name="FixedLegMarketFrequency">'Libor In-Arrears'!#REF!</definedName>
    <definedName name="FixingInArrears">'Libor In-Arrears'!#REF!</definedName>
    <definedName name="FlatVol">'Libor In-Arrears'!#REF!</definedName>
    <definedName name="FloatLegFrequencySelected">'Libor In-Arrears'!#REF!</definedName>
    <definedName name="FloatLegMarketFrequency">'Libor In-Arrears'!#REF!</definedName>
    <definedName name="ForecastCurve">'Libor In-Arrears'!#REF!</definedName>
    <definedName name="GBP.Fixed.Period">#REF!</definedName>
    <definedName name="GBP.Float.Period">#REF!</definedName>
    <definedName name="GBP6ML">#REF!</definedName>
    <definedName name="GBPDiscFact">#REF!</definedName>
    <definedName name="GbpDiscFactBumped">#REF!</definedName>
    <definedName name="JPY.Fixed.Period">#REF!</definedName>
    <definedName name="JPY.Float.Period">#REF!</definedName>
    <definedName name="JPY6ML">#REF!</definedName>
    <definedName name="JPYDiscFact">#REF!</definedName>
    <definedName name="JpyDiscFactBumped">#REF!</definedName>
    <definedName name="N">'Libor In-Arrears'!#REF!</definedName>
    <definedName name="OverrideMarketFrequency">'Libor In-Arrears'!#REF!</definedName>
    <definedName name="p">'Libor In-Arrears'!#REF!</definedName>
    <definedName name="p_Unadjusted">'Libor In-Arrears'!#REF!</definedName>
    <definedName name="PAYREC">'Libor In-Arrears'!#REF!</definedName>
    <definedName name="Periodicity">#REF!</definedName>
    <definedName name="Phi">'Libor In-Arrears'!#REF!</definedName>
    <definedName name="PV_FixedLeg">'Libor In-Arrears'!#REF!</definedName>
    <definedName name="PV_FloatLeg">'Libor In-Arrears'!#REF!</definedName>
    <definedName name="PV_FloatLeg_Unadjusted">'Libor In-Arrears'!#REF!</definedName>
    <definedName name="PV_FloatSpread">'Libor In-Arrears'!#REF!</definedName>
    <definedName name="PV_Swap">'Libor In-Arrears'!#REF!</definedName>
    <definedName name="PV_Swap_Unadjusted">'Libor In-Arrears'!#REF!</definedName>
    <definedName name="PVlets_Fixed">'Libor In-Arrears'!#REF!</definedName>
    <definedName name="PVlets_Float">'Libor In-Arrears'!$Q$6:$Q$25</definedName>
    <definedName name="r_fixed">'Libor In-Arrears'!#REF!</definedName>
    <definedName name="s">'Libor In-Arrears'!#REF!</definedName>
    <definedName name="SetDiscFactToOne">'Libor In-Arrears'!#REF!</definedName>
    <definedName name="T">'Libor In-Arrears'!#REF!</definedName>
    <definedName name="t_i">'Libor In-Arrears'!#REF!</definedName>
    <definedName name="t_j">'Libor In-Arrears'!#REF!</definedName>
    <definedName name="USD.Fixed.Period">#REF!</definedName>
    <definedName name="USD.Float.Period">#REF!</definedName>
    <definedName name="USD3ML">#REF!</definedName>
    <definedName name="UsdDiscFact">#REF!</definedName>
    <definedName name="UsdDiscFactBumped">#REF!</definedName>
  </definedNames>
  <calcPr calcId="145621" calcMode="manual" calcOnSave="0" concurrentCalc="0"/>
</workbook>
</file>

<file path=xl/calcChain.xml><?xml version="1.0" encoding="utf-8"?>
<calcChain xmlns="http://schemas.openxmlformats.org/spreadsheetml/2006/main">
  <c r="U6" i="3" l="1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W6" i="3"/>
  <c r="X6" i="3"/>
  <c r="Z6" i="3"/>
  <c r="AA6" i="3"/>
  <c r="W7" i="3"/>
  <c r="X7" i="3"/>
  <c r="Z7" i="3"/>
  <c r="AA7" i="3"/>
  <c r="W8" i="3"/>
  <c r="X8" i="3"/>
  <c r="Z8" i="3"/>
  <c r="AA8" i="3"/>
  <c r="W9" i="3"/>
  <c r="X9" i="3"/>
  <c r="Z9" i="3"/>
  <c r="AA9" i="3"/>
  <c r="W10" i="3"/>
  <c r="X10" i="3"/>
  <c r="Z10" i="3"/>
  <c r="AA10" i="3"/>
  <c r="W11" i="3"/>
  <c r="X11" i="3"/>
  <c r="Z11" i="3"/>
  <c r="AA11" i="3"/>
  <c r="W12" i="3"/>
  <c r="X12" i="3"/>
  <c r="Z12" i="3"/>
  <c r="AA12" i="3"/>
  <c r="W13" i="3"/>
  <c r="X13" i="3"/>
  <c r="Z13" i="3"/>
  <c r="AA13" i="3"/>
  <c r="W14" i="3"/>
  <c r="X14" i="3"/>
  <c r="Z14" i="3"/>
  <c r="AA14" i="3"/>
  <c r="W15" i="3"/>
  <c r="X15" i="3"/>
  <c r="Z15" i="3"/>
  <c r="AA15" i="3"/>
  <c r="W16" i="3"/>
  <c r="X16" i="3"/>
  <c r="Z16" i="3"/>
  <c r="AA16" i="3"/>
  <c r="W17" i="3"/>
  <c r="X17" i="3"/>
  <c r="Z17" i="3"/>
  <c r="AA17" i="3"/>
  <c r="W18" i="3"/>
  <c r="X18" i="3"/>
  <c r="Z18" i="3"/>
  <c r="AA18" i="3"/>
  <c r="W19" i="3"/>
  <c r="X19" i="3"/>
  <c r="Z19" i="3"/>
  <c r="AA19" i="3"/>
  <c r="W20" i="3"/>
  <c r="X20" i="3"/>
  <c r="Z20" i="3"/>
  <c r="AA20" i="3"/>
  <c r="W21" i="3"/>
  <c r="X21" i="3"/>
  <c r="Z21" i="3"/>
  <c r="AA21" i="3"/>
  <c r="W22" i="3"/>
  <c r="X22" i="3"/>
  <c r="Z22" i="3"/>
  <c r="AA22" i="3"/>
  <c r="W23" i="3"/>
  <c r="X23" i="3"/>
  <c r="Z23" i="3"/>
  <c r="AA23" i="3"/>
  <c r="W24" i="3"/>
  <c r="X24" i="3"/>
  <c r="Z24" i="3"/>
  <c r="AA24" i="3"/>
  <c r="W25" i="3"/>
  <c r="X25" i="3"/>
  <c r="Z25" i="3"/>
  <c r="AA25" i="3"/>
  <c r="K7" i="3"/>
  <c r="P25" i="3"/>
  <c r="K25" i="3"/>
  <c r="M25" i="3"/>
  <c r="Q25" i="3"/>
  <c r="K10" i="3"/>
  <c r="M10" i="3"/>
  <c r="Q10" i="3"/>
  <c r="K9" i="3"/>
  <c r="M9" i="3"/>
  <c r="Q9" i="3"/>
  <c r="K8" i="3"/>
  <c r="M8" i="3"/>
  <c r="Q8" i="3"/>
  <c r="M7" i="3"/>
  <c r="Q7" i="3"/>
  <c r="K6" i="3"/>
  <c r="M6" i="3"/>
  <c r="Q6" i="3"/>
  <c r="K11" i="3"/>
  <c r="M11" i="3"/>
  <c r="Q11" i="3"/>
  <c r="K12" i="3"/>
  <c r="M12" i="3"/>
  <c r="Q12" i="3"/>
  <c r="K13" i="3"/>
  <c r="M13" i="3"/>
  <c r="Q13" i="3"/>
  <c r="K14" i="3"/>
  <c r="M14" i="3"/>
  <c r="Q14" i="3"/>
  <c r="K15" i="3"/>
  <c r="M15" i="3"/>
  <c r="Q15" i="3"/>
  <c r="K16" i="3"/>
  <c r="M16" i="3"/>
  <c r="Q16" i="3"/>
  <c r="K17" i="3"/>
  <c r="M17" i="3"/>
  <c r="Q17" i="3"/>
  <c r="K18" i="3"/>
  <c r="M18" i="3"/>
  <c r="Q18" i="3"/>
  <c r="K19" i="3"/>
  <c r="M19" i="3"/>
  <c r="Q19" i="3"/>
  <c r="K20" i="3"/>
  <c r="M20" i="3"/>
  <c r="Q20" i="3"/>
  <c r="K21" i="3"/>
  <c r="M21" i="3"/>
  <c r="Q21" i="3"/>
  <c r="K22" i="3"/>
  <c r="M22" i="3"/>
  <c r="Q22" i="3"/>
  <c r="K23" i="3"/>
  <c r="M23" i="3"/>
  <c r="Q23" i="3"/>
  <c r="K24" i="3"/>
  <c r="M24" i="3"/>
  <c r="Q24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</calcChain>
</file>

<file path=xl/sharedStrings.xml><?xml version="1.0" encoding="utf-8"?>
<sst xmlns="http://schemas.openxmlformats.org/spreadsheetml/2006/main" count="33" uniqueCount="31">
  <si>
    <t>Float Leg</t>
  </si>
  <si>
    <t>N</t>
  </si>
  <si>
    <t>Show</t>
  </si>
  <si>
    <t>Fixing Date</t>
  </si>
  <si>
    <r>
      <t>t</t>
    </r>
    <r>
      <rPr>
        <vertAlign val="subscript"/>
        <sz val="11"/>
        <color theme="1"/>
        <rFont val="Calibri"/>
        <family val="2"/>
        <scheme val="minor"/>
      </rPr>
      <t>j</t>
    </r>
  </si>
  <si>
    <r>
      <rPr>
        <sz val="11"/>
        <color theme="1"/>
        <rFont val="Symbol"/>
        <family val="1"/>
        <charset val="2"/>
      </rPr>
      <t>t</t>
    </r>
    <r>
      <rPr>
        <vertAlign val="subscript"/>
        <sz val="11"/>
        <color theme="1"/>
        <rFont val="Calibri"/>
        <family val="2"/>
        <scheme val="minor"/>
      </rPr>
      <t>j</t>
    </r>
  </si>
  <si>
    <r>
      <t>P( t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tj )</t>
    </r>
  </si>
  <si>
    <t>Accrual Start</t>
  </si>
  <si>
    <t>Accrual End</t>
  </si>
  <si>
    <t>s</t>
  </si>
  <si>
    <t>Pay Date</t>
  </si>
  <si>
    <r>
      <t>l</t>
    </r>
    <r>
      <rPr>
        <vertAlign val="subscript"/>
        <sz val="11"/>
        <color theme="1"/>
        <rFont val="Calibri"/>
        <family val="2"/>
        <scheme val="minor"/>
      </rPr>
      <t>j</t>
    </r>
  </si>
  <si>
    <r>
      <t>PV</t>
    </r>
    <r>
      <rPr>
        <vertAlign val="superscript"/>
        <sz val="11"/>
        <color theme="1"/>
        <rFont val="Calibri"/>
        <family val="2"/>
        <scheme val="minor"/>
      </rPr>
      <t>Float</t>
    </r>
    <r>
      <rPr>
        <sz val="11"/>
        <color theme="1"/>
        <rFont val="Calibri"/>
        <family val="2"/>
        <scheme val="minor"/>
      </rPr>
      <t>(Unadj)</t>
    </r>
  </si>
  <si>
    <t>Convexity, c</t>
  </si>
  <si>
    <r>
      <t>l</t>
    </r>
    <r>
      <rPr>
        <vertAlign val="sub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 + c</t>
    </r>
  </si>
  <si>
    <r>
      <t>l</t>
    </r>
    <r>
      <rPr>
        <vertAlign val="sub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 + c + s</t>
    </r>
  </si>
  <si>
    <r>
      <t>PV</t>
    </r>
    <r>
      <rPr>
        <vertAlign val="superscript"/>
        <sz val="11"/>
        <color theme="1"/>
        <rFont val="Calibri"/>
        <family val="2"/>
        <scheme val="minor"/>
      </rPr>
      <t>Float</t>
    </r>
    <r>
      <rPr>
        <sz val="11"/>
        <color theme="1"/>
        <rFont val="Calibri"/>
        <family val="2"/>
        <scheme val="minor"/>
      </rPr>
      <t>(Adj)</t>
    </r>
  </si>
  <si>
    <t>Type</t>
  </si>
  <si>
    <t>Vol</t>
  </si>
  <si>
    <t>ShiftSize</t>
  </si>
  <si>
    <t>NORMAL</t>
  </si>
  <si>
    <t>Shifted-Lognormal Vol</t>
  </si>
  <si>
    <t>Normal Vol</t>
  </si>
  <si>
    <t>RoundTrip Test</t>
  </si>
  <si>
    <t>+/-</t>
  </si>
  <si>
    <t>ConvexityCorrection</t>
  </si>
  <si>
    <t>ConvexityAdjustedRate</t>
  </si>
  <si>
    <t>EUR 3ML LIBOR IN-ARREARS</t>
  </si>
  <si>
    <t>ICAP EUR SHIFTED-LOGNORMAL VOLS</t>
  </si>
  <si>
    <t>EUR 3ML LIBOR IN-ARREARS CONVEXITY ADJUSTMENTS</t>
  </si>
  <si>
    <t>EUR LIBOR IN-ARREARS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</si>
</sst>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0000"/>
    <numFmt numFmtId="165" formatCode="0.0000%"/>
    <numFmt numFmtId="166" formatCode="0.00000%"/>
    <numFmt numFmtId="167" formatCode="0.000%"/>
  </numFmts>
  <fonts count="12" x14ac:knownFonts="1"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0033CC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dotted">
        <color theme="0" tint="-0.24994659260841701"/>
      </left>
      <right/>
      <top style="thin">
        <color theme="0" tint="-0.24994659260841701"/>
      </top>
      <bottom/>
      <diagonal/>
    </border>
    <border>
      <left style="dotted">
        <color theme="0" tint="-0.24994659260841701"/>
      </left>
      <right/>
      <top/>
      <bottom/>
      <diagonal/>
    </border>
    <border>
      <left style="dotted">
        <color theme="0" tint="-0.24994659260841701"/>
      </left>
      <right/>
      <top/>
      <bottom style="thin">
        <color theme="0" tint="-0.24994659260841701"/>
      </bottom>
      <diagonal/>
    </border>
  </borders>
  <cellStyleXfs count="2">
    <xf numFmtId="0" fontId="0" fillId="0" borderId="0"/>
    <xf numFmtId="0" fontId="8" fillId="5" borderId="0"/>
  </cellStyleXfs>
  <cellXfs count="56">
    <xf numFmtId="0" fontId="0" fillId="0" borderId="0" xfId="0"/>
    <xf numFmtId="0" fontId="5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5" fontId="7" fillId="3" borderId="1" xfId="0" applyNumberFormat="1" applyFont="1" applyFill="1" applyBorder="1" applyAlignment="1">
      <alignment horizontal="center" vertical="center"/>
    </xf>
    <xf numFmtId="15" fontId="7" fillId="3" borderId="11" xfId="0" applyNumberFormat="1" applyFont="1" applyFill="1" applyBorder="1" applyAlignment="1">
      <alignment horizontal="center" vertical="center"/>
    </xf>
    <xf numFmtId="4" fontId="7" fillId="3" borderId="11" xfId="0" applyNumberFormat="1" applyFont="1" applyFill="1" applyBorder="1" applyAlignment="1">
      <alignment horizontal="center" vertical="center"/>
    </xf>
    <xf numFmtId="3" fontId="7" fillId="3" borderId="11" xfId="0" applyNumberFormat="1" applyFont="1" applyFill="1" applyBorder="1" applyAlignment="1">
      <alignment horizontal="center" vertical="center"/>
    </xf>
    <xf numFmtId="165" fontId="7" fillId="3" borderId="11" xfId="0" applyNumberFormat="1" applyFont="1" applyFill="1" applyBorder="1" applyAlignment="1">
      <alignment horizontal="center" vertical="center"/>
    </xf>
    <xf numFmtId="164" fontId="7" fillId="3" borderId="11" xfId="0" applyNumberFormat="1" applyFont="1" applyFill="1" applyBorder="1" applyAlignment="1">
      <alignment horizontal="center" vertical="center"/>
    </xf>
    <xf numFmtId="15" fontId="7" fillId="3" borderId="5" xfId="0" applyNumberFormat="1" applyFont="1" applyFill="1" applyBorder="1" applyAlignment="1">
      <alignment horizontal="center" vertical="center"/>
    </xf>
    <xf numFmtId="15" fontId="7" fillId="3" borderId="0" xfId="0" applyNumberFormat="1" applyFont="1" applyFill="1" applyBorder="1" applyAlignment="1">
      <alignment horizontal="center" vertical="center"/>
    </xf>
    <xf numFmtId="4" fontId="7" fillId="3" borderId="0" xfId="0" applyNumberFormat="1" applyFont="1" applyFill="1" applyBorder="1" applyAlignment="1">
      <alignment horizontal="center" vertical="center"/>
    </xf>
    <xf numFmtId="3" fontId="7" fillId="3" borderId="0" xfId="0" applyNumberFormat="1" applyFont="1" applyFill="1" applyBorder="1" applyAlignment="1">
      <alignment horizontal="center" vertical="center"/>
    </xf>
    <xf numFmtId="165" fontId="7" fillId="3" borderId="0" xfId="0" applyNumberFormat="1" applyFont="1" applyFill="1" applyBorder="1" applyAlignment="1">
      <alignment horizontal="center" vertical="center"/>
    </xf>
    <xf numFmtId="164" fontId="7" fillId="3" borderId="0" xfId="0" applyNumberFormat="1" applyFont="1" applyFill="1" applyBorder="1" applyAlignment="1">
      <alignment horizontal="center" vertical="center"/>
    </xf>
    <xf numFmtId="15" fontId="7" fillId="3" borderId="3" xfId="0" applyNumberFormat="1" applyFont="1" applyFill="1" applyBorder="1" applyAlignment="1">
      <alignment horizontal="center" vertical="center"/>
    </xf>
    <xf numFmtId="15" fontId="7" fillId="3" borderId="12" xfId="0" applyNumberFormat="1" applyFont="1" applyFill="1" applyBorder="1" applyAlignment="1">
      <alignment horizontal="center" vertical="center"/>
    </xf>
    <xf numFmtId="4" fontId="7" fillId="3" borderId="12" xfId="0" applyNumberFormat="1" applyFont="1" applyFill="1" applyBorder="1" applyAlignment="1">
      <alignment horizontal="center" vertical="center"/>
    </xf>
    <xf numFmtId="3" fontId="7" fillId="3" borderId="12" xfId="0" applyNumberFormat="1" applyFont="1" applyFill="1" applyBorder="1" applyAlignment="1">
      <alignment horizontal="center" vertical="center"/>
    </xf>
    <xf numFmtId="165" fontId="7" fillId="3" borderId="12" xfId="0" applyNumberFormat="1" applyFont="1" applyFill="1" applyBorder="1" applyAlignment="1">
      <alignment horizontal="center" vertical="center"/>
    </xf>
    <xf numFmtId="164" fontId="7" fillId="3" borderId="12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0" fillId="0" borderId="5" xfId="0" applyFont="1" applyBorder="1" applyAlignment="1">
      <alignment horizontal="center" vertical="center"/>
    </xf>
    <xf numFmtId="3" fontId="7" fillId="3" borderId="2" xfId="0" applyNumberFormat="1" applyFont="1" applyFill="1" applyBorder="1" applyAlignment="1">
      <alignment horizontal="center" vertical="center"/>
    </xf>
    <xf numFmtId="3" fontId="7" fillId="3" borderId="4" xfId="0" applyNumberFormat="1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3" fontId="7" fillId="3" borderId="6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166" fontId="7" fillId="3" borderId="11" xfId="0" applyNumberFormat="1" applyFont="1" applyFill="1" applyBorder="1" applyAlignment="1">
      <alignment horizontal="center" vertical="center"/>
    </xf>
    <xf numFmtId="166" fontId="7" fillId="3" borderId="0" xfId="0" applyNumberFormat="1" applyFont="1" applyFill="1" applyBorder="1" applyAlignment="1">
      <alignment horizontal="center" vertical="center"/>
    </xf>
    <xf numFmtId="166" fontId="7" fillId="3" borderId="12" xfId="0" applyNumberFormat="1" applyFont="1" applyFill="1" applyBorder="1" applyAlignment="1">
      <alignment horizontal="center" vertical="center"/>
    </xf>
    <xf numFmtId="166" fontId="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5" fillId="4" borderId="0" xfId="0" applyNumberFormat="1" applyFont="1" applyFill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0" fillId="0" borderId="0" xfId="0" quotePrefix="1" applyNumberFormat="1" applyFont="1" applyAlignment="1">
      <alignment horizontal="center" vertical="center"/>
    </xf>
    <xf numFmtId="166" fontId="5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6" fontId="9" fillId="3" borderId="13" xfId="0" applyNumberFormat="1" applyFont="1" applyFill="1" applyBorder="1" applyAlignment="1">
      <alignment horizontal="center" vertical="center"/>
    </xf>
    <xf numFmtId="166" fontId="9" fillId="3" borderId="14" xfId="0" applyNumberFormat="1" applyFont="1" applyFill="1" applyBorder="1" applyAlignment="1">
      <alignment horizontal="center" vertical="center"/>
    </xf>
    <xf numFmtId="166" fontId="9" fillId="3" borderId="15" xfId="0" applyNumberFormat="1" applyFont="1" applyFill="1" applyBorder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0" fontId="5" fillId="4" borderId="0" xfId="0" applyNumberFormat="1" applyFont="1" applyFill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</cellXfs>
  <cellStyles count="2">
    <cellStyle name="blp_column_header" xfId="1"/>
    <cellStyle name="Normal" xfId="0" builtinId="0"/>
  </cellStyles>
  <dxfs count="0"/>
  <tableStyles count="0" defaultTableStyle="TableStyleMedium9" defaultPivotStyle="PivotStyleLight16"/>
  <colors>
    <mruColors>
      <color rgb="FF008000"/>
      <color rgb="FF0033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19050</xdr:colOff>
      <xdr:row>27</xdr:row>
      <xdr:rowOff>38100</xdr:rowOff>
    </xdr:from>
    <xdr:to>
      <xdr:col>24</xdr:col>
      <xdr:colOff>188168</xdr:colOff>
      <xdr:row>48</xdr:row>
      <xdr:rowOff>58070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25075" y="5029200"/>
          <a:ext cx="9417893" cy="402047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19051</xdr:colOff>
      <xdr:row>49</xdr:row>
      <xdr:rowOff>22058</xdr:rowOff>
    </xdr:from>
    <xdr:to>
      <xdr:col>24</xdr:col>
      <xdr:colOff>161925</xdr:colOff>
      <xdr:row>70</xdr:row>
      <xdr:rowOff>10110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25076" y="9204158"/>
          <a:ext cx="9391649" cy="3988552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27</xdr:row>
      <xdr:rowOff>38100</xdr:rowOff>
    </xdr:from>
    <xdr:to>
      <xdr:col>13</xdr:col>
      <xdr:colOff>629900</xdr:colOff>
      <xdr:row>48</xdr:row>
      <xdr:rowOff>47625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075" y="5029200"/>
          <a:ext cx="9354800" cy="4010025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590551</xdr:colOff>
      <xdr:row>49</xdr:row>
      <xdr:rowOff>9525</xdr:rowOff>
    </xdr:from>
    <xdr:to>
      <xdr:col>13</xdr:col>
      <xdr:colOff>607655</xdr:colOff>
      <xdr:row>68</xdr:row>
      <xdr:rowOff>123825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51" y="9191625"/>
          <a:ext cx="9342079" cy="37338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32</xdr:col>
      <xdr:colOff>361950</xdr:colOff>
      <xdr:row>48</xdr:row>
      <xdr:rowOff>138853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964400" y="4991100"/>
          <a:ext cx="5915025" cy="41393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C27"/>
  <sheetViews>
    <sheetView showGridLines="0" tabSelected="1" topLeftCell="B1" workbookViewId="0">
      <selection activeCell="B1" sqref="B1"/>
    </sheetView>
  </sheetViews>
  <sheetFormatPr defaultRowHeight="15" x14ac:dyDescent="0.25"/>
  <cols>
    <col min="1" max="1" width="10.7109375" style="2" hidden="1" customWidth="1"/>
    <col min="2" max="2" width="9.140625" style="2"/>
    <col min="3" max="7" width="11.7109375" style="2" customWidth="1"/>
    <col min="8" max="8" width="13.5703125" style="2" customWidth="1"/>
    <col min="9" max="15" width="11.7109375" style="2" customWidth="1"/>
    <col min="16" max="17" width="15.7109375" style="2" customWidth="1"/>
    <col min="18" max="18" width="10.7109375" style="2" hidden="1" customWidth="1"/>
    <col min="19" max="19" width="9.140625" style="2"/>
    <col min="20" max="20" width="22.28515625" style="2" bestFit="1" customWidth="1"/>
    <col min="21" max="21" width="19.42578125" style="2" bestFit="1" customWidth="1"/>
    <col min="22" max="22" width="9.140625" style="2"/>
    <col min="23" max="23" width="21.85546875" style="2" customWidth="1"/>
    <col min="24" max="24" width="13.7109375" style="2" bestFit="1" customWidth="1"/>
    <col min="25" max="25" width="9.140625" style="2" customWidth="1"/>
    <col min="26" max="26" width="22.5703125" style="2" bestFit="1" customWidth="1"/>
    <col min="27" max="27" width="15" style="2" customWidth="1"/>
    <col min="28" max="16384" width="9.140625" style="2"/>
  </cols>
  <sheetData>
    <row r="1" spans="1:29" x14ac:dyDescent="0.25">
      <c r="J1" s="43"/>
    </row>
    <row r="2" spans="1:29" x14ac:dyDescent="0.25">
      <c r="C2" s="1" t="s">
        <v>30</v>
      </c>
      <c r="T2" s="2" t="s">
        <v>17</v>
      </c>
      <c r="U2" s="2" t="s">
        <v>18</v>
      </c>
      <c r="W2" s="2" t="s">
        <v>19</v>
      </c>
    </row>
    <row r="3" spans="1:29" x14ac:dyDescent="0.25">
      <c r="H3" s="38"/>
      <c r="I3" s="35"/>
      <c r="K3" s="36"/>
      <c r="L3" s="37"/>
      <c r="O3" s="36"/>
      <c r="T3" s="44" t="s">
        <v>20</v>
      </c>
      <c r="U3" s="54">
        <v>2E-3</v>
      </c>
      <c r="V3" s="42"/>
      <c r="W3" s="44">
        <v>1.2500000000000001E-2</v>
      </c>
      <c r="X3" s="42"/>
      <c r="Y3" s="42"/>
      <c r="Z3" s="47" t="s">
        <v>23</v>
      </c>
      <c r="AA3" s="42"/>
      <c r="AB3" s="42"/>
    </row>
    <row r="4" spans="1:29" x14ac:dyDescent="0.25">
      <c r="C4" s="1" t="s">
        <v>0</v>
      </c>
      <c r="Q4" s="3"/>
      <c r="T4" s="42"/>
      <c r="U4" s="42"/>
      <c r="V4" s="42"/>
      <c r="W4" s="42"/>
      <c r="X4" s="42"/>
      <c r="Y4" s="42"/>
      <c r="Z4" s="45"/>
      <c r="AA4" s="42"/>
      <c r="AB4" s="42"/>
      <c r="AC4" s="42"/>
    </row>
    <row r="5" spans="1:29" ht="18" x14ac:dyDescent="0.25">
      <c r="A5" s="8" t="s">
        <v>2</v>
      </c>
      <c r="B5" s="28"/>
      <c r="C5" s="6" t="s">
        <v>3</v>
      </c>
      <c r="D5" s="9" t="s">
        <v>7</v>
      </c>
      <c r="E5" s="9" t="s">
        <v>8</v>
      </c>
      <c r="F5" s="9" t="s">
        <v>10</v>
      </c>
      <c r="G5" s="7" t="s">
        <v>4</v>
      </c>
      <c r="H5" s="7" t="s">
        <v>1</v>
      </c>
      <c r="I5" s="7" t="s">
        <v>11</v>
      </c>
      <c r="J5" s="7" t="s">
        <v>13</v>
      </c>
      <c r="K5" s="7" t="s">
        <v>14</v>
      </c>
      <c r="L5" s="9" t="s">
        <v>9</v>
      </c>
      <c r="M5" s="9" t="s">
        <v>15</v>
      </c>
      <c r="N5" s="7" t="s">
        <v>5</v>
      </c>
      <c r="O5" s="7" t="s">
        <v>6</v>
      </c>
      <c r="P5" s="7" t="s">
        <v>12</v>
      </c>
      <c r="Q5" s="32" t="s">
        <v>16</v>
      </c>
      <c r="R5" s="34" t="s">
        <v>2</v>
      </c>
      <c r="S5" s="29"/>
      <c r="T5" s="42" t="s">
        <v>26</v>
      </c>
      <c r="U5" s="42" t="s">
        <v>25</v>
      </c>
      <c r="V5" s="42"/>
      <c r="W5" s="42" t="s">
        <v>21</v>
      </c>
      <c r="X5" s="42" t="s">
        <v>22</v>
      </c>
      <c r="Y5" s="42"/>
      <c r="Z5" s="42" t="s">
        <v>21</v>
      </c>
      <c r="AA5" s="46" t="s">
        <v>24</v>
      </c>
      <c r="AB5" s="42"/>
      <c r="AC5" s="42"/>
    </row>
    <row r="6" spans="1:29" x14ac:dyDescent="0.25">
      <c r="A6" s="4" t="e">
        <f>IF(t_i&lt;=T,TRUE,FALSE)</f>
        <v>#REF!</v>
      </c>
      <c r="B6" s="28"/>
      <c r="C6" s="10">
        <v>43571.3125</v>
      </c>
      <c r="D6" s="11">
        <v>43480</v>
      </c>
      <c r="E6" s="11">
        <v>43571.3125</v>
      </c>
      <c r="F6" s="11">
        <v>43571.3125</v>
      </c>
      <c r="G6" s="12">
        <v>0.25</v>
      </c>
      <c r="H6" s="13">
        <v>-10000000</v>
      </c>
      <c r="I6" s="40">
        <v>-2.9524E-3</v>
      </c>
      <c r="J6" s="49">
        <f ca="1">_xll.meMathLiborConvexityAdjustmentInArrears(I6,$G$6,G6,$U$3,$T$3)</f>
        <v>2.5018466129822156E-7</v>
      </c>
      <c r="K6" s="39">
        <f t="shared" ref="K6:K25" ca="1" si="0">I6+J6</f>
        <v>-2.9521498153387018E-3</v>
      </c>
      <c r="L6" s="12">
        <v>0</v>
      </c>
      <c r="M6" s="14">
        <f t="shared" ref="M6:M25" ca="1" si="1">K6+L6</f>
        <v>-2.9521498153387018E-3</v>
      </c>
      <c r="N6" s="12">
        <v>0.25</v>
      </c>
      <c r="O6" s="15">
        <v>1.000893</v>
      </c>
      <c r="P6" s="13">
        <f t="shared" ref="P6:P24" si="2">H6*I6*N6*O6</f>
        <v>7387.5912330000001</v>
      </c>
      <c r="Q6" s="30">
        <f t="shared" ref="Q6:Q24" ca="1" si="3">H6*M6*N6*O6</f>
        <v>7386.9652128094976</v>
      </c>
      <c r="R6" s="4" t="e">
        <f>IF(t_j&lt;=T,TRUE,FALSE)</f>
        <v>#REF!</v>
      </c>
      <c r="S6" s="29"/>
      <c r="T6" s="52">
        <f ca="1">_xll.meMathLiborRateInArrears(I6,$G$6,G6,$U$3,$T$3)</f>
        <v>-2.9521498153387018E-3</v>
      </c>
      <c r="U6" s="52">
        <f ca="1">_xll.meMathLiborConvexityAdjustmentInArrears(I6,$G$6,G6,$U$3,$T$3)</f>
        <v>2.5018466129822156E-7</v>
      </c>
      <c r="V6" s="52"/>
      <c r="W6" s="55">
        <f ca="1">_xll.meMathVolatilityToShiftedLognormalFromNormal($U$3,I6,$W$3)</f>
        <v>0.20947672713561524</v>
      </c>
      <c r="X6" s="55">
        <f ca="1">_xll.meMathVolatilityToNormalFromShiftedLognormal(W6,I6,$W$3)</f>
        <v>2E-3</v>
      </c>
      <c r="Y6" s="55"/>
      <c r="Z6" s="55">
        <f ca="1">_xll.meMathVolatilityToShiftedLognormalFromNormal(X6,I6,$W$3)</f>
        <v>0.20947672713561524</v>
      </c>
      <c r="AA6" s="53">
        <f t="shared" ref="AA6:AA25" ca="1" si="4">Z6-W6</f>
        <v>0</v>
      </c>
      <c r="AB6" s="42"/>
      <c r="AC6" s="42"/>
    </row>
    <row r="7" spans="1:29" x14ac:dyDescent="0.25">
      <c r="A7" s="5" t="e">
        <f>IF(SUM(#REF!)+t_i&lt;=T,TRUE,FALSE)</f>
        <v>#REF!</v>
      </c>
      <c r="B7" s="28"/>
      <c r="C7" s="16">
        <v>43662.625</v>
      </c>
      <c r="D7" s="17">
        <v>43571.3125</v>
      </c>
      <c r="E7" s="17">
        <v>43662.625</v>
      </c>
      <c r="F7" s="17">
        <v>43662.625</v>
      </c>
      <c r="G7" s="18">
        <v>0.5</v>
      </c>
      <c r="H7" s="19">
        <v>-10000000</v>
      </c>
      <c r="I7" s="40">
        <v>-2.9061999999999998E-3</v>
      </c>
      <c r="J7" s="50">
        <f ca="1">_xll.meMathLiborConvexityAdjustmentInArrears(I7,$G$6,G7,$U$3,$T$3)</f>
        <v>5.0036353912942186E-7</v>
      </c>
      <c r="K7" s="40">
        <f ca="1">I7+J7</f>
        <v>-2.9056996364608704E-3</v>
      </c>
      <c r="L7" s="18">
        <v>0</v>
      </c>
      <c r="M7" s="20">
        <f t="shared" ca="1" si="1"/>
        <v>-2.9056996364608704E-3</v>
      </c>
      <c r="N7" s="18">
        <v>0.25</v>
      </c>
      <c r="O7" s="21">
        <v>1.001803</v>
      </c>
      <c r="P7" s="19">
        <f t="shared" si="2"/>
        <v>7278.5996965000004</v>
      </c>
      <c r="Q7" s="33">
        <f ca="1">H7*M7*N7*O7</f>
        <v>7277.3465322635238</v>
      </c>
      <c r="R7" s="5" t="e">
        <f>IF(SUM(N$6:N6)+t_j&lt;=T,TRUE,FALSE)</f>
        <v>#REF!</v>
      </c>
      <c r="S7" s="29"/>
      <c r="T7" s="52">
        <f ca="1">_xll.meMathLiborRateInArrears(I7,$G$6,G7,$U$3,$T$3)</f>
        <v>-2.9056996364608704E-3</v>
      </c>
      <c r="U7" s="52">
        <f ca="1">_xll.meMathLiborConvexityAdjustmentInArrears(I7,$G$6,G7,$U$3,$T$3)</f>
        <v>5.0036353912942186E-7</v>
      </c>
      <c r="V7" s="52"/>
      <c r="W7" s="55">
        <f ca="1">_xll.meMathVolatilityToShiftedLognormalFromNormal($U$3,I7,$W$3)</f>
        <v>0.20846796889657901</v>
      </c>
      <c r="X7" s="55">
        <f ca="1">_xll.meMathVolatilityToNormalFromShiftedLognormal(W7,I7,$W$3)</f>
        <v>2E-3</v>
      </c>
      <c r="Y7" s="55"/>
      <c r="Z7" s="55">
        <f ca="1">_xll.meMathVolatilityToShiftedLognormalFromNormal(X7,I7,$W$3)</f>
        <v>0.20846796889657901</v>
      </c>
      <c r="AA7" s="53">
        <f t="shared" ca="1" si="4"/>
        <v>0</v>
      </c>
      <c r="AB7" s="42"/>
      <c r="AC7" s="42"/>
    </row>
    <row r="8" spans="1:29" x14ac:dyDescent="0.25">
      <c r="A8" s="5" t="e">
        <f>IF(SUM(#REF!)+t_i&lt;=T,TRUE,FALSE)</f>
        <v>#REF!</v>
      </c>
      <c r="B8" s="28"/>
      <c r="C8" s="16">
        <v>43753.9375</v>
      </c>
      <c r="D8" s="17">
        <v>43662.625</v>
      </c>
      <c r="E8" s="17">
        <v>43753.9375</v>
      </c>
      <c r="F8" s="17">
        <v>43753.9375</v>
      </c>
      <c r="G8" s="18">
        <v>0.75</v>
      </c>
      <c r="H8" s="19">
        <v>-10000000</v>
      </c>
      <c r="I8" s="40">
        <v>-2.6462E-3</v>
      </c>
      <c r="J8" s="50">
        <f ca="1">_xll.meMathLiborConvexityAdjustmentInArrears(I8,$G$6,G8,$U$3,$T$3)</f>
        <v>7.5049649095370111E-7</v>
      </c>
      <c r="K8" s="40">
        <f t="shared" ca="1" si="0"/>
        <v>-2.6454495035090463E-3</v>
      </c>
      <c r="L8" s="18">
        <v>0</v>
      </c>
      <c r="M8" s="20">
        <f t="shared" ca="1" si="1"/>
        <v>-2.6454495035090463E-3</v>
      </c>
      <c r="N8" s="18">
        <v>0.25</v>
      </c>
      <c r="O8" s="21">
        <v>1.0027159999999999</v>
      </c>
      <c r="P8" s="19">
        <f t="shared" si="2"/>
        <v>6633.4676979999995</v>
      </c>
      <c r="Q8" s="33">
        <f ca="1">H8*M8*N8*O8</f>
        <v>6631.5863609014414</v>
      </c>
      <c r="R8" s="5" t="e">
        <f>IF(SUM(N$6:N7)+t_j&lt;=T,TRUE,FALSE)</f>
        <v>#REF!</v>
      </c>
      <c r="S8" s="29"/>
      <c r="T8" s="52">
        <f ca="1">_xll.meMathLiborRateInArrears(I8,$G$6,G8,$U$3,$T$3)</f>
        <v>-2.6454495035090463E-3</v>
      </c>
      <c r="U8" s="52">
        <f ca="1">_xll.meMathLiborConvexityAdjustmentInArrears(I8,$G$6,G8,$U$3,$T$3)</f>
        <v>7.5049649095370111E-7</v>
      </c>
      <c r="V8" s="52"/>
      <c r="W8" s="55">
        <f ca="1">_xll.meMathVolatilityToShiftedLognormalFromNormal($U$3,I8,$W$3)</f>
        <v>0.20296738314152915</v>
      </c>
      <c r="X8" s="55">
        <f ca="1">_xll.meMathVolatilityToNormalFromShiftedLognormal(W8,I8,$W$3)</f>
        <v>2E-3</v>
      </c>
      <c r="Y8" s="55"/>
      <c r="Z8" s="55">
        <f ca="1">_xll.meMathVolatilityToShiftedLognormalFromNormal(X8,I8,$W$3)</f>
        <v>0.20296738314152915</v>
      </c>
      <c r="AA8" s="53">
        <f t="shared" ca="1" si="4"/>
        <v>0</v>
      </c>
      <c r="AB8" s="42"/>
      <c r="AC8" s="42"/>
    </row>
    <row r="9" spans="1:29" x14ac:dyDescent="0.25">
      <c r="A9" s="5" t="e">
        <f>IF(SUM(#REF!)+t_i&lt;=T,TRUE,FALSE)</f>
        <v>#REF!</v>
      </c>
      <c r="B9" s="28"/>
      <c r="C9" s="16">
        <v>43845.25</v>
      </c>
      <c r="D9" s="17">
        <v>43753.9375</v>
      </c>
      <c r="E9" s="17">
        <v>43845.25</v>
      </c>
      <c r="F9" s="17">
        <v>43845.25</v>
      </c>
      <c r="G9" s="18">
        <v>1</v>
      </c>
      <c r="H9" s="19">
        <v>-10000000</v>
      </c>
      <c r="I9" s="40">
        <v>-2.3827000000000002E-3</v>
      </c>
      <c r="J9" s="50">
        <f ca="1">_xll.meMathLiborConvexityAdjustmentInArrears(I9,$G$6,G9,$U$3,$T$3)</f>
        <v>1.0005960300401261E-6</v>
      </c>
      <c r="K9" s="40">
        <f t="shared" ca="1" si="0"/>
        <v>-2.3816994039699601E-3</v>
      </c>
      <c r="L9" s="18">
        <v>0</v>
      </c>
      <c r="M9" s="20">
        <f t="shared" ca="1" si="1"/>
        <v>-2.3816994039699601E-3</v>
      </c>
      <c r="N9" s="18">
        <v>0.25</v>
      </c>
      <c r="O9" s="21">
        <v>1.003566</v>
      </c>
      <c r="P9" s="19">
        <f t="shared" si="2"/>
        <v>5977.9917705000007</v>
      </c>
      <c r="Q9" s="33">
        <f ca="1">H9*M9*N9*O9</f>
        <v>5975.4813601112919</v>
      </c>
      <c r="R9" s="5" t="e">
        <f>IF(SUM(N$6:N8)+t_j&lt;=T,TRUE,FALSE)</f>
        <v>#REF!</v>
      </c>
      <c r="S9" s="29"/>
      <c r="T9" s="52">
        <f ca="1">_xll.meMathLiborRateInArrears(I9,$G$6,G9,$U$3,$T$3)</f>
        <v>-2.3816994039699601E-3</v>
      </c>
      <c r="U9" s="52">
        <f ca="1">_xll.meMathLiborConvexityAdjustmentInArrears(I9,$G$6,G9,$U$3,$T$3)</f>
        <v>1.0005960300401261E-6</v>
      </c>
      <c r="V9" s="52"/>
      <c r="W9" s="55">
        <f ca="1">_xll.meMathVolatilityToShiftedLognormalFromNormal($U$3,I9,$W$3)</f>
        <v>0.19768119952951874</v>
      </c>
      <c r="X9" s="55">
        <f ca="1">_xll.meMathVolatilityToNormalFromShiftedLognormal(W9,I9,$W$3)</f>
        <v>2E-3</v>
      </c>
      <c r="Y9" s="55"/>
      <c r="Z9" s="55">
        <f ca="1">_xll.meMathVolatilityToShiftedLognormalFromNormal(X9,I9,$W$3)</f>
        <v>0.19768119952951874</v>
      </c>
      <c r="AA9" s="53">
        <f t="shared" ca="1" si="4"/>
        <v>0</v>
      </c>
      <c r="AB9" s="42"/>
      <c r="AC9" s="42"/>
    </row>
    <row r="10" spans="1:29" x14ac:dyDescent="0.25">
      <c r="A10" s="5" t="e">
        <f>IF(SUM(#REF!)+t_i&lt;=T,TRUE,FALSE)</f>
        <v>#REF!</v>
      </c>
      <c r="B10" s="28"/>
      <c r="C10" s="16">
        <v>43936.5625</v>
      </c>
      <c r="D10" s="17">
        <v>43845.25</v>
      </c>
      <c r="E10" s="17">
        <v>43936.5625</v>
      </c>
      <c r="F10" s="17">
        <v>43936.5625</v>
      </c>
      <c r="G10" s="18">
        <v>1.25</v>
      </c>
      <c r="H10" s="19">
        <v>-10000000</v>
      </c>
      <c r="I10" s="40">
        <v>-2.0566E-3</v>
      </c>
      <c r="J10" s="50">
        <f ca="1">_xll.meMathLiborConvexityAdjustmentInArrears(I10,$G$6,G10,$U$3,$T$3)</f>
        <v>1.2506430181078929E-6</v>
      </c>
      <c r="K10" s="40">
        <f t="shared" ca="1" si="0"/>
        <v>-2.0553493569818921E-3</v>
      </c>
      <c r="L10" s="18">
        <v>0</v>
      </c>
      <c r="M10" s="20">
        <f t="shared" ca="1" si="1"/>
        <v>-2.0553493569818921E-3</v>
      </c>
      <c r="N10" s="18">
        <v>0.25</v>
      </c>
      <c r="O10" s="21">
        <v>1.004318</v>
      </c>
      <c r="P10" s="19">
        <f t="shared" si="2"/>
        <v>5163.7009969999999</v>
      </c>
      <c r="Q10" s="33">
        <f ca="1">H10*M10*N10*O10</f>
        <v>5160.5608887633498</v>
      </c>
      <c r="R10" s="5" t="e">
        <f>IF(SUM(N$6:N9)+t_j&lt;=T,TRUE,FALSE)</f>
        <v>#REF!</v>
      </c>
      <c r="S10" s="29"/>
      <c r="T10" s="52">
        <f ca="1">_xll.meMathLiborRateInArrears(I10,$G$6,G10,$U$3,$T$3)</f>
        <v>-2.0553493569818921E-3</v>
      </c>
      <c r="U10" s="52">
        <f ca="1">_xll.meMathLiborConvexityAdjustmentInArrears(I10,$G$6,G10,$U$3,$T$3)</f>
        <v>1.2506430181078929E-6</v>
      </c>
      <c r="V10" s="52"/>
      <c r="W10" s="55">
        <f ca="1">_xll.meMathVolatilityToShiftedLognormalFromNormal($U$3,I10,$W$3)</f>
        <v>0.191508512553383</v>
      </c>
      <c r="X10" s="55">
        <f ca="1">_xll.meMathVolatilityToNormalFromShiftedLognormal(W10,I10,$W$3)</f>
        <v>2E-3</v>
      </c>
      <c r="Y10" s="55"/>
      <c r="Z10" s="55">
        <f ca="1">_xll.meMathVolatilityToShiftedLognormalFromNormal(X10,I10,$W$3)</f>
        <v>0.191508512553383</v>
      </c>
      <c r="AA10" s="53">
        <f t="shared" ca="1" si="4"/>
        <v>0</v>
      </c>
      <c r="AB10" s="42"/>
      <c r="AC10" s="42"/>
    </row>
    <row r="11" spans="1:29" x14ac:dyDescent="0.25">
      <c r="A11" s="5" t="e">
        <f>IF(SUM(#REF!)+t_i&lt;=T,TRUE,FALSE)</f>
        <v>#REF!</v>
      </c>
      <c r="B11" s="28"/>
      <c r="C11" s="16">
        <v>44027.875</v>
      </c>
      <c r="D11" s="17">
        <v>43936.5625</v>
      </c>
      <c r="E11" s="17">
        <v>44027.875</v>
      </c>
      <c r="F11" s="17">
        <v>44027.875</v>
      </c>
      <c r="G11" s="18">
        <v>1.5</v>
      </c>
      <c r="H11" s="19">
        <v>-10000000</v>
      </c>
      <c r="I11" s="40">
        <v>-1.6287999999999999E-3</v>
      </c>
      <c r="J11" s="50">
        <f ca="1">_xll.meMathLiborConvexityAdjustmentInArrears(I11,$G$6,G11,$U$3,$T$3)</f>
        <v>1.5006110488189478E-6</v>
      </c>
      <c r="K11" s="40">
        <f t="shared" ca="1" si="0"/>
        <v>-1.627299388951181E-3</v>
      </c>
      <c r="L11" s="18">
        <v>0</v>
      </c>
      <c r="M11" s="20">
        <f t="shared" ca="1" si="1"/>
        <v>-1.627299388951181E-3</v>
      </c>
      <c r="N11" s="18">
        <v>0.25</v>
      </c>
      <c r="O11" s="21">
        <v>1.005071</v>
      </c>
      <c r="P11" s="19">
        <f t="shared" si="2"/>
        <v>4092.6491120000001</v>
      </c>
      <c r="Q11" s="33">
        <f t="shared" ca="1" si="3"/>
        <v>4088.8785603813812</v>
      </c>
      <c r="R11" s="5" t="e">
        <f>IF(SUM(N$6:N10)+t_j&lt;=T,TRUE,FALSE)</f>
        <v>#REF!</v>
      </c>
      <c r="S11" s="29"/>
      <c r="T11" s="52">
        <f ca="1">_xll.meMathLiborRateInArrears(I11,$G$6,G11,$U$3,$T$3)</f>
        <v>-1.627299388951181E-3</v>
      </c>
      <c r="U11" s="52">
        <f ca="1">_xll.meMathLiborConvexityAdjustmentInArrears(I11,$G$6,G11,$U$3,$T$3)</f>
        <v>1.5006110488189478E-6</v>
      </c>
      <c r="V11" s="52"/>
      <c r="W11" s="55">
        <f ca="1">_xll.meMathVolatilityToShiftedLognormalFromNormal($U$3,I11,$W$3)</f>
        <v>0.18397233056148354</v>
      </c>
      <c r="X11" s="55">
        <f ca="1">_xll.meMathVolatilityToNormalFromShiftedLognormal(W11,I11,$W$3)</f>
        <v>2E-3</v>
      </c>
      <c r="Y11" s="55"/>
      <c r="Z11" s="55">
        <f ca="1">_xll.meMathVolatilityToShiftedLognormalFromNormal(X11,I11,$W$3)</f>
        <v>0.18397233056148354</v>
      </c>
      <c r="AA11" s="53">
        <f t="shared" ca="1" si="4"/>
        <v>0</v>
      </c>
      <c r="AB11" s="42"/>
      <c r="AC11" s="42"/>
    </row>
    <row r="12" spans="1:29" x14ac:dyDescent="0.25">
      <c r="A12" s="5" t="e">
        <f>IF(SUM(#REF!)+t_i&lt;=T,TRUE,FALSE)</f>
        <v>#REF!</v>
      </c>
      <c r="B12" s="28"/>
      <c r="C12" s="16">
        <v>44119.1875</v>
      </c>
      <c r="D12" s="17">
        <v>44027.875</v>
      </c>
      <c r="E12" s="17">
        <v>44119.1875</v>
      </c>
      <c r="F12" s="17">
        <v>44119.1875</v>
      </c>
      <c r="G12" s="18">
        <v>1.75</v>
      </c>
      <c r="H12" s="19">
        <v>-10000000</v>
      </c>
      <c r="I12" s="40">
        <v>-1.0828000000000001E-3</v>
      </c>
      <c r="J12" s="50">
        <f ca="1">_xll.meMathLiborConvexityAdjustmentInArrears(I12,$G$6,G12,$U$3,$T$3)</f>
        <v>1.7504738532721741E-6</v>
      </c>
      <c r="K12" s="40">
        <f t="shared" ca="1" si="0"/>
        <v>-1.0810495261467279E-3</v>
      </c>
      <c r="L12" s="18">
        <v>0</v>
      </c>
      <c r="M12" s="20">
        <f t="shared" ca="1" si="1"/>
        <v>-1.0810495261467279E-3</v>
      </c>
      <c r="N12" s="18">
        <v>0.25</v>
      </c>
      <c r="O12" s="21">
        <v>1.0056400000000001</v>
      </c>
      <c r="P12" s="19">
        <f t="shared" si="2"/>
        <v>2722.2674800000004</v>
      </c>
      <c r="Q12" s="33">
        <f t="shared" ca="1" si="3"/>
        <v>2717.8666136854886</v>
      </c>
      <c r="R12" s="5" t="e">
        <f>IF(SUM(N$6:N11)+t_j&lt;=T,TRUE,FALSE)</f>
        <v>#REF!</v>
      </c>
      <c r="S12" s="29"/>
      <c r="T12" s="52">
        <f ca="1">_xll.meMathLiborRateInArrears(I12,$G$6,G12,$U$3,$T$3)</f>
        <v>-1.0810495261467279E-3</v>
      </c>
      <c r="U12" s="52">
        <f ca="1">_xll.meMathLiborConvexityAdjustmentInArrears(I12,$G$6,G12,$U$3,$T$3)</f>
        <v>1.7504738532721741E-6</v>
      </c>
      <c r="V12" s="52"/>
      <c r="W12" s="55">
        <f ca="1">_xll.meMathVolatilityToShiftedLognormalFromNormal($U$3,I12,$W$3)</f>
        <v>0.1751742984269348</v>
      </c>
      <c r="X12" s="55">
        <f ca="1">_xll.meMathVolatilityToNormalFromShiftedLognormal(W12,I12,$W$3)</f>
        <v>2E-3</v>
      </c>
      <c r="Y12" s="55"/>
      <c r="Z12" s="55">
        <f ca="1">_xll.meMathVolatilityToShiftedLognormalFromNormal(X12,I12,$W$3)</f>
        <v>0.1751742984269348</v>
      </c>
      <c r="AA12" s="53">
        <f t="shared" ca="1" si="4"/>
        <v>0</v>
      </c>
      <c r="AB12" s="42"/>
      <c r="AC12" s="42"/>
    </row>
    <row r="13" spans="1:29" x14ac:dyDescent="0.25">
      <c r="A13" s="5" t="e">
        <f>IF(SUM(#REF!)+t_i&lt;=T,TRUE,FALSE)</f>
        <v>#REF!</v>
      </c>
      <c r="B13" s="28"/>
      <c r="C13" s="16">
        <v>44210.5</v>
      </c>
      <c r="D13" s="17">
        <v>44119.1875</v>
      </c>
      <c r="E13" s="17">
        <v>44210.5</v>
      </c>
      <c r="F13" s="17">
        <v>44210.5</v>
      </c>
      <c r="G13" s="18">
        <v>2</v>
      </c>
      <c r="H13" s="19">
        <v>-10000000</v>
      </c>
      <c r="I13" s="40">
        <v>-5.0969999999999998E-4</v>
      </c>
      <c r="J13" s="50">
        <f ca="1">_xll.meMathLiborConvexityAdjustmentInArrears(I13,$G$6,G13,$U$3,$T$3)</f>
        <v>2.0002548824783447E-6</v>
      </c>
      <c r="K13" s="40">
        <f t="shared" ca="1" si="0"/>
        <v>-5.0769974511752163E-4</v>
      </c>
      <c r="L13" s="18">
        <v>0</v>
      </c>
      <c r="M13" s="20">
        <f t="shared" ca="1" si="1"/>
        <v>-5.0769974511752163E-4</v>
      </c>
      <c r="N13" s="18">
        <v>0.25</v>
      </c>
      <c r="O13" s="21">
        <v>1.0061850000000001</v>
      </c>
      <c r="P13" s="19">
        <f t="shared" si="2"/>
        <v>1282.13123625</v>
      </c>
      <c r="Q13" s="33">
        <f t="shared" ca="1" si="3"/>
        <v>1277.0996701026838</v>
      </c>
      <c r="R13" s="5" t="e">
        <f>IF(SUM(N$6:N12)+t_j&lt;=T,TRUE,FALSE)</f>
        <v>#REF!</v>
      </c>
      <c r="S13" s="29"/>
      <c r="T13" s="52">
        <f ca="1">_xll.meMathLiborRateInArrears(I13,$G$6,G13,$U$3,$T$3)</f>
        <v>-5.0769974511752163E-4</v>
      </c>
      <c r="U13" s="52">
        <f ca="1">_xll.meMathLiborConvexityAdjustmentInArrears(I13,$G$6,G13,$U$3,$T$3)</f>
        <v>2.0002548824783447E-6</v>
      </c>
      <c r="V13" s="52"/>
      <c r="W13" s="55">
        <f ca="1">_xll.meMathVolatilityToShiftedLognormalFromNormal($U$3,I13,$W$3)</f>
        <v>0.16680149787745094</v>
      </c>
      <c r="X13" s="55">
        <f ca="1">_xll.meMathVolatilityToNormalFromShiftedLognormal(W13,I13,$W$3)</f>
        <v>2E-3</v>
      </c>
      <c r="Y13" s="55"/>
      <c r="Z13" s="55">
        <f ca="1">_xll.meMathVolatilityToShiftedLognormalFromNormal(X13,I13,$W$3)</f>
        <v>0.16680149787745094</v>
      </c>
      <c r="AA13" s="53">
        <f t="shared" ca="1" si="4"/>
        <v>0</v>
      </c>
      <c r="AB13" s="42"/>
      <c r="AC13" s="42"/>
    </row>
    <row r="14" spans="1:29" x14ac:dyDescent="0.25">
      <c r="A14" s="5" t="e">
        <f>IF(SUM(#REF!)+t_i&lt;=T,TRUE,FALSE)</f>
        <v>#REF!</v>
      </c>
      <c r="B14" s="28"/>
      <c r="C14" s="16">
        <v>44301.8125</v>
      </c>
      <c r="D14" s="17">
        <v>44210.5</v>
      </c>
      <c r="E14" s="17">
        <v>44301.8125</v>
      </c>
      <c r="F14" s="17">
        <v>44301.8125</v>
      </c>
      <c r="G14" s="18">
        <v>2.25</v>
      </c>
      <c r="H14" s="19">
        <v>-10000000</v>
      </c>
      <c r="I14" s="40">
        <v>3.43E-5</v>
      </c>
      <c r="J14" s="50">
        <f ca="1">_xll.meMathLiborConvexityAdjustmentInArrears(I14,$G$6,G14,$U$3,$T$3)</f>
        <v>2.2499807064154414E-6</v>
      </c>
      <c r="K14" s="40">
        <f t="shared" ca="1" si="0"/>
        <v>3.6549980706415442E-5</v>
      </c>
      <c r="L14" s="18">
        <v>0</v>
      </c>
      <c r="M14" s="20">
        <f t="shared" ca="1" si="1"/>
        <v>3.6549980706415442E-5</v>
      </c>
      <c r="N14" s="18">
        <v>0.25</v>
      </c>
      <c r="O14" s="21">
        <v>1.006446</v>
      </c>
      <c r="P14" s="19">
        <f t="shared" si="2"/>
        <v>-86.302744500000003</v>
      </c>
      <c r="Q14" s="33">
        <f t="shared" ca="1" si="3"/>
        <v>-91.963954705122489</v>
      </c>
      <c r="R14" s="5" t="e">
        <f>IF(SUM(N$6:N13)+t_j&lt;=T,TRUE,FALSE)</f>
        <v>#REF!</v>
      </c>
      <c r="S14" s="29"/>
      <c r="T14" s="52">
        <f ca="1">_xll.meMathLiborRateInArrears(I14,$G$6,G14,$U$3,$T$3)</f>
        <v>3.6549980706415442E-5</v>
      </c>
      <c r="U14" s="52">
        <f ca="1">_xll.meMathLiborConvexityAdjustmentInArrears(I14,$G$6,G14,$U$3,$T$3)</f>
        <v>2.2499807064154414E-6</v>
      </c>
      <c r="V14" s="52"/>
      <c r="W14" s="55">
        <f ca="1">_xll.meMathVolatilityToShiftedLognormalFromNormal($U$3,I14,$W$3)</f>
        <v>0.15956216142903873</v>
      </c>
      <c r="X14" s="55">
        <f ca="1">_xll.meMathVolatilityToNormalFromShiftedLognormal(W14,I14,$W$3)</f>
        <v>2E-3</v>
      </c>
      <c r="Y14" s="55"/>
      <c r="Z14" s="55">
        <f ca="1">_xll.meMathVolatilityToShiftedLognormalFromNormal(X14,I14,$W$3)</f>
        <v>0.15956216142903873</v>
      </c>
      <c r="AA14" s="53">
        <f t="shared" ca="1" si="4"/>
        <v>0</v>
      </c>
      <c r="AB14" s="42"/>
      <c r="AC14" s="42"/>
    </row>
    <row r="15" spans="1:29" x14ac:dyDescent="0.25">
      <c r="A15" s="5" t="e">
        <f>IF(SUM(#REF!)+t_i&lt;=T,TRUE,FALSE)</f>
        <v>#REF!</v>
      </c>
      <c r="B15" s="28"/>
      <c r="C15" s="16">
        <v>44393.125</v>
      </c>
      <c r="D15" s="17">
        <v>44301.8125</v>
      </c>
      <c r="E15" s="17">
        <v>44393.125</v>
      </c>
      <c r="F15" s="17">
        <v>44393.125</v>
      </c>
      <c r="G15" s="18">
        <v>2.5</v>
      </c>
      <c r="H15" s="19">
        <v>-10000000</v>
      </c>
      <c r="I15" s="40">
        <v>6.6540000000000002E-4</v>
      </c>
      <c r="J15" s="50">
        <f ca="1">_xll.meMathLiborConvexityAdjustmentInArrears(I15,$G$6,G15,$U$3,$T$3)</f>
        <v>2.4995841941693759E-6</v>
      </c>
      <c r="K15" s="40">
        <f t="shared" ca="1" si="0"/>
        <v>6.678995841941694E-4</v>
      </c>
      <c r="L15" s="18">
        <v>0</v>
      </c>
      <c r="M15" s="20">
        <f t="shared" ca="1" si="1"/>
        <v>6.678995841941694E-4</v>
      </c>
      <c r="N15" s="18">
        <v>0.25</v>
      </c>
      <c r="O15" s="21">
        <v>1.0067029999999999</v>
      </c>
      <c r="P15" s="19">
        <f t="shared" si="2"/>
        <v>-1674.6504404999998</v>
      </c>
      <c r="Q15" s="33">
        <f t="shared" ca="1" si="3"/>
        <v>-1680.9412877675572</v>
      </c>
      <c r="R15" s="5" t="e">
        <f>IF(SUM(N$6:N14)+t_j&lt;=T,TRUE,FALSE)</f>
        <v>#REF!</v>
      </c>
      <c r="S15" s="29"/>
      <c r="T15" s="52">
        <f ca="1">_xll.meMathLiborRateInArrears(I15,$G$6,G15,$U$3,$T$3)</f>
        <v>6.678995841941694E-4</v>
      </c>
      <c r="U15" s="52">
        <f ca="1">_xll.meMathLiborConvexityAdjustmentInArrears(I15,$G$6,G15,$U$3,$T$3)</f>
        <v>2.4995841941693759E-6</v>
      </c>
      <c r="V15" s="52"/>
      <c r="W15" s="55">
        <f ca="1">_xll.meMathVolatilityToShiftedLognormalFromNormal($U$3,I15,$W$3)</f>
        <v>0.15191334862594374</v>
      </c>
      <c r="X15" s="55">
        <f ca="1">_xll.meMathVolatilityToNormalFromShiftedLognormal(W15,I15,$W$3)</f>
        <v>2E-3</v>
      </c>
      <c r="Y15" s="55"/>
      <c r="Z15" s="55">
        <f ca="1">_xll.meMathVolatilityToShiftedLognormalFromNormal(X15,I15,$W$3)</f>
        <v>0.15191334862594374</v>
      </c>
      <c r="AA15" s="53">
        <f t="shared" ca="1" si="4"/>
        <v>0</v>
      </c>
      <c r="AB15" s="42"/>
      <c r="AC15" s="42"/>
    </row>
    <row r="16" spans="1:29" x14ac:dyDescent="0.25">
      <c r="A16" s="5" t="e">
        <f>IF(SUM(#REF!)+t_i&lt;=T,TRUE,FALSE)</f>
        <v>#REF!</v>
      </c>
      <c r="B16" s="28"/>
      <c r="C16" s="16">
        <v>44484.4375</v>
      </c>
      <c r="D16" s="17">
        <v>44393.125</v>
      </c>
      <c r="E16" s="17">
        <v>44484.4375</v>
      </c>
      <c r="F16" s="17">
        <v>44484.4375</v>
      </c>
      <c r="G16" s="18">
        <v>2.75</v>
      </c>
      <c r="H16" s="19">
        <v>-10000000</v>
      </c>
      <c r="I16" s="40">
        <v>1.3864999999999999E-3</v>
      </c>
      <c r="J16" s="50">
        <f ca="1">_xll.meMathLiborConvexityAdjustmentInArrears(I16,$G$6,G16,$U$3,$T$3)</f>
        <v>2.7490471115451578E-6</v>
      </c>
      <c r="K16" s="40">
        <f t="shared" ca="1" si="0"/>
        <v>1.3892490471115451E-3</v>
      </c>
      <c r="L16" s="18">
        <v>0</v>
      </c>
      <c r="M16" s="20">
        <f t="shared" ca="1" si="1"/>
        <v>1.3892490471115451E-3</v>
      </c>
      <c r="N16" s="18">
        <v>0.25</v>
      </c>
      <c r="O16" s="21">
        <v>1.00665</v>
      </c>
      <c r="P16" s="19">
        <f t="shared" si="2"/>
        <v>-3489.3005625000001</v>
      </c>
      <c r="Q16" s="33">
        <f t="shared" ca="1" si="3"/>
        <v>-3496.2188831870922</v>
      </c>
      <c r="R16" s="5" t="e">
        <f>IF(SUM(N$6:N15)+t_j&lt;=T,TRUE,FALSE)</f>
        <v>#REF!</v>
      </c>
      <c r="S16" s="29"/>
      <c r="T16" s="52">
        <f ca="1">_xll.meMathLiborRateInArrears(I16,$G$6,G16,$U$3,$T$3)</f>
        <v>1.3892490471115451E-3</v>
      </c>
      <c r="U16" s="52">
        <f ca="1">_xll.meMathLiborConvexityAdjustmentInArrears(I16,$G$6,G16,$U$3,$T$3)</f>
        <v>2.7490471115451578E-6</v>
      </c>
      <c r="V16" s="52"/>
      <c r="W16" s="55">
        <f ca="1">_xll.meMathVolatilityToShiftedLognormalFromNormal($U$3,I16,$W$3)</f>
        <v>0.14402477226082885</v>
      </c>
      <c r="X16" s="55">
        <f ca="1">_xll.meMathVolatilityToNormalFromShiftedLognormal(W16,I16,$W$3)</f>
        <v>2E-3</v>
      </c>
      <c r="Y16" s="55"/>
      <c r="Z16" s="55">
        <f ca="1">_xll.meMathVolatilityToShiftedLognormalFromNormal(X16,I16,$W$3)</f>
        <v>0.14402477226082885</v>
      </c>
      <c r="AA16" s="53">
        <f t="shared" ca="1" si="4"/>
        <v>0</v>
      </c>
      <c r="AB16" s="42"/>
      <c r="AC16" s="42"/>
    </row>
    <row r="17" spans="1:29" x14ac:dyDescent="0.25">
      <c r="A17" s="5" t="e">
        <f>IF(SUM(#REF!)+t_i&lt;=T,TRUE,FALSE)</f>
        <v>#REF!</v>
      </c>
      <c r="B17" s="28"/>
      <c r="C17" s="16">
        <v>44575.75</v>
      </c>
      <c r="D17" s="17">
        <v>44484.4375</v>
      </c>
      <c r="E17" s="17">
        <v>44575.75</v>
      </c>
      <c r="F17" s="17">
        <v>44575.75</v>
      </c>
      <c r="G17" s="18">
        <v>3</v>
      </c>
      <c r="H17" s="19">
        <v>-10000000</v>
      </c>
      <c r="I17" s="40">
        <v>2.1784999999999999E-3</v>
      </c>
      <c r="J17" s="50">
        <f ca="1">_xll.meMathLiborConvexityAdjustmentInArrears(I17,$G$6,G17,$U$3,$T$3)</f>
        <v>2.9983670143647959E-6</v>
      </c>
      <c r="K17" s="40">
        <f t="shared" ca="1" si="0"/>
        <v>2.1814983670143647E-3</v>
      </c>
      <c r="L17" s="18">
        <v>0</v>
      </c>
      <c r="M17" s="20">
        <f t="shared" ca="1" si="1"/>
        <v>2.1814983670143647E-3</v>
      </c>
      <c r="N17" s="18">
        <v>0.25</v>
      </c>
      <c r="O17" s="21">
        <v>1.0065930000000001</v>
      </c>
      <c r="P17" s="19">
        <f t="shared" si="2"/>
        <v>-5482.1571262500001</v>
      </c>
      <c r="Q17" s="33">
        <f t="shared" ca="1" si="3"/>
        <v>-5489.7024643702262</v>
      </c>
      <c r="R17" s="5" t="e">
        <f>IF(SUM(N$6:N16)+t_j&lt;=T,TRUE,FALSE)</f>
        <v>#REF!</v>
      </c>
      <c r="S17" s="29"/>
      <c r="T17" s="52">
        <f ca="1">_xll.meMathLiborRateInArrears(I17,$G$6,G17,$U$3,$T$3)</f>
        <v>2.1814983670143647E-3</v>
      </c>
      <c r="U17" s="52">
        <f ca="1">_xll.meMathLiborConvexityAdjustmentInArrears(I17,$G$6,G17,$U$3,$T$3)</f>
        <v>2.9983670143647959E-6</v>
      </c>
      <c r="V17" s="52"/>
      <c r="W17" s="55">
        <f ca="1">_xll.meMathVolatilityToShiftedLognormalFromNormal($U$3,I17,$W$3)</f>
        <v>0.1362537043975883</v>
      </c>
      <c r="X17" s="55">
        <f ca="1">_xll.meMathVolatilityToNormalFromShiftedLognormal(W17,I17,$W$3)</f>
        <v>2E-3</v>
      </c>
      <c r="Y17" s="55"/>
      <c r="Z17" s="55">
        <f ca="1">_xll.meMathVolatilityToShiftedLognormalFromNormal(X17,I17,$W$3)</f>
        <v>0.1362537043975883</v>
      </c>
      <c r="AA17" s="53">
        <f t="shared" ca="1" si="4"/>
        <v>0</v>
      </c>
      <c r="AB17" s="42"/>
      <c r="AC17" s="42"/>
    </row>
    <row r="18" spans="1:29" x14ac:dyDescent="0.25">
      <c r="A18" s="5" t="e">
        <f>IF(SUM(#REF!)+t_i&lt;=T,TRUE,FALSE)</f>
        <v>#REF!</v>
      </c>
      <c r="B18" s="28"/>
      <c r="C18" s="16">
        <v>44667.0625</v>
      </c>
      <c r="D18" s="17">
        <v>44575.75</v>
      </c>
      <c r="E18" s="17">
        <v>44667.0625</v>
      </c>
      <c r="F18" s="17">
        <v>44667.0625</v>
      </c>
      <c r="G18" s="18">
        <v>3.25</v>
      </c>
      <c r="H18" s="19">
        <v>-10000000</v>
      </c>
      <c r="I18" s="40">
        <v>2.9580000000000001E-3</v>
      </c>
      <c r="J18" s="50">
        <f ca="1">_xll.meMathLiborConvexityAdjustmentInArrears(I18,$G$6,G18,$U$3,$T$3)</f>
        <v>3.2475984009824703E-6</v>
      </c>
      <c r="K18" s="40">
        <f t="shared" ca="1" si="0"/>
        <v>2.9612475984009826E-3</v>
      </c>
      <c r="L18" s="18">
        <v>0</v>
      </c>
      <c r="M18" s="20">
        <f t="shared" ca="1" si="1"/>
        <v>2.9612475984009826E-3</v>
      </c>
      <c r="N18" s="18">
        <v>0.25</v>
      </c>
      <c r="O18" s="21">
        <v>1.006013</v>
      </c>
      <c r="P18" s="19">
        <f t="shared" si="2"/>
        <v>-7439.4661350000006</v>
      </c>
      <c r="Q18" s="33">
        <f t="shared" ca="1" si="3"/>
        <v>-7447.63395052542</v>
      </c>
      <c r="R18" s="5" t="e">
        <f>IF(SUM(N$6:N17)+t_j&lt;=T,TRUE,FALSE)</f>
        <v>#REF!</v>
      </c>
      <c r="S18" s="29"/>
      <c r="T18" s="52">
        <f ca="1">_xll.meMathLiborRateInArrears(I18,$G$6,G18,$U$3,$T$3)</f>
        <v>2.9612475984009826E-3</v>
      </c>
      <c r="U18" s="52">
        <f ca="1">_xll.meMathLiborConvexityAdjustmentInArrears(I18,$G$6,G18,$U$3,$T$3)</f>
        <v>3.2475984009824703E-6</v>
      </c>
      <c r="V18" s="52"/>
      <c r="W18" s="55">
        <f ca="1">_xll.meMathVolatilityToShiftedLognormalFromNormal($U$3,I18,$W$3)</f>
        <v>0.12938284383490747</v>
      </c>
      <c r="X18" s="55">
        <f ca="1">_xll.meMathVolatilityToNormalFromShiftedLognormal(W18,I18,$W$3)</f>
        <v>2E-3</v>
      </c>
      <c r="Y18" s="55"/>
      <c r="Z18" s="55">
        <f ca="1">_xll.meMathVolatilityToShiftedLognormalFromNormal(X18,I18,$W$3)</f>
        <v>0.12938284383490747</v>
      </c>
      <c r="AA18" s="53">
        <f t="shared" ca="1" si="4"/>
        <v>0</v>
      </c>
      <c r="AB18" s="42"/>
      <c r="AC18" s="42"/>
    </row>
    <row r="19" spans="1:29" x14ac:dyDescent="0.25">
      <c r="A19" s="5" t="e">
        <f>IF(SUM(#REF!)+t_i&lt;=T,TRUE,FALSE)</f>
        <v>#REF!</v>
      </c>
      <c r="B19" s="28"/>
      <c r="C19" s="16">
        <v>44758.375</v>
      </c>
      <c r="D19" s="17">
        <v>44667.0625</v>
      </c>
      <c r="E19" s="17">
        <v>44758.375</v>
      </c>
      <c r="F19" s="17">
        <v>44758.375</v>
      </c>
      <c r="G19" s="18">
        <v>3.5</v>
      </c>
      <c r="H19" s="19">
        <v>-10000000</v>
      </c>
      <c r="I19" s="40">
        <v>3.6908000000000002E-3</v>
      </c>
      <c r="J19" s="50">
        <f ca="1">_xll.meMathLiborConvexityAdjustmentInArrears(I19,$G$6,G19,$U$3,$T$3)</f>
        <v>3.4967735270670201E-6</v>
      </c>
      <c r="K19" s="40">
        <f t="shared" ca="1" si="0"/>
        <v>3.6942967735270672E-3</v>
      </c>
      <c r="L19" s="18">
        <v>0</v>
      </c>
      <c r="M19" s="20">
        <f t="shared" ca="1" si="1"/>
        <v>3.6942967735270672E-3</v>
      </c>
      <c r="N19" s="18">
        <v>0.25</v>
      </c>
      <c r="O19" s="21">
        <v>1.005441</v>
      </c>
      <c r="P19" s="19">
        <f t="shared" si="2"/>
        <v>-9277.2041069999996</v>
      </c>
      <c r="Q19" s="33">
        <f t="shared" ca="1" si="3"/>
        <v>-9285.9936056795705</v>
      </c>
      <c r="R19" s="5" t="e">
        <f>IF(SUM(N$6:N18)+t_j&lt;=T,TRUE,FALSE)</f>
        <v>#REF!</v>
      </c>
      <c r="S19" s="29"/>
      <c r="T19" s="52">
        <f ca="1">_xll.meMathLiborRateInArrears(I19,$G$6,G19,$U$3,$T$3)</f>
        <v>3.6942967735270672E-3</v>
      </c>
      <c r="U19" s="52">
        <f ca="1">_xll.meMathLiborConvexityAdjustmentInArrears(I19,$G$6,G19,$U$3,$T$3)</f>
        <v>3.4967735270670201E-6</v>
      </c>
      <c r="V19" s="52"/>
      <c r="W19" s="55">
        <f ca="1">_xll.meMathVolatilityToShiftedLognormalFromNormal($U$3,I19,$W$3)</f>
        <v>0.12352694122588136</v>
      </c>
      <c r="X19" s="55">
        <f ca="1">_xll.meMathVolatilityToNormalFromShiftedLognormal(W19,I19,$W$3)</f>
        <v>2E-3</v>
      </c>
      <c r="Y19" s="55"/>
      <c r="Z19" s="55">
        <f ca="1">_xll.meMathVolatilityToShiftedLognormalFromNormal(X19,I19,$W$3)</f>
        <v>0.12352694122588136</v>
      </c>
      <c r="AA19" s="53">
        <f t="shared" ca="1" si="4"/>
        <v>0</v>
      </c>
      <c r="AB19" s="42"/>
      <c r="AC19" s="42"/>
    </row>
    <row r="20" spans="1:29" x14ac:dyDescent="0.25">
      <c r="A20" s="5" t="e">
        <f>IF(SUM(#REF!)+t_i&lt;=T,TRUE,FALSE)</f>
        <v>#REF!</v>
      </c>
      <c r="B20" s="28"/>
      <c r="C20" s="16">
        <v>44849.6875</v>
      </c>
      <c r="D20" s="17">
        <v>44758.375</v>
      </c>
      <c r="E20" s="17">
        <v>44849.6875</v>
      </c>
      <c r="F20" s="17">
        <v>44849.6875</v>
      </c>
      <c r="G20" s="18">
        <v>3.75</v>
      </c>
      <c r="H20" s="19">
        <v>-10000000</v>
      </c>
      <c r="I20" s="40">
        <v>4.3893999999999999E-3</v>
      </c>
      <c r="J20" s="50">
        <f ca="1">_xll.meMathLiborConvexityAdjustmentInArrears(I20,$G$6,G20,$U$3,$T$3)</f>
        <v>3.745889448213309E-6</v>
      </c>
      <c r="K20" s="40">
        <f t="shared" ca="1" si="0"/>
        <v>4.3931458894482132E-3</v>
      </c>
      <c r="L20" s="18">
        <v>0</v>
      </c>
      <c r="M20" s="20">
        <f t="shared" ca="1" si="1"/>
        <v>4.3931458894482132E-3</v>
      </c>
      <c r="N20" s="18">
        <v>0.25</v>
      </c>
      <c r="O20" s="21">
        <v>1.0048630000000001</v>
      </c>
      <c r="P20" s="19">
        <f t="shared" si="2"/>
        <v>-11026.8641305</v>
      </c>
      <c r="Q20" s="33">
        <f t="shared" ca="1" si="3"/>
        <v>-11036.274394771499</v>
      </c>
      <c r="R20" s="5" t="e">
        <f>IF(SUM(N$6:N19)+t_j&lt;=T,TRUE,FALSE)</f>
        <v>#REF!</v>
      </c>
      <c r="S20" s="29"/>
      <c r="T20" s="52">
        <f ca="1">_xll.meMathLiborRateInArrears(I20,$G$6,G20,$U$3,$T$3)</f>
        <v>4.3931458894482132E-3</v>
      </c>
      <c r="U20" s="52">
        <f ca="1">_xll.meMathLiborConvexityAdjustmentInArrears(I20,$G$6,G20,$U$3,$T$3)</f>
        <v>3.745889448213309E-6</v>
      </c>
      <c r="V20" s="52"/>
      <c r="W20" s="55">
        <f ca="1">_xll.meMathVolatilityToShiftedLognormalFromNormal($U$3,I20,$W$3)</f>
        <v>0.11841746894501878</v>
      </c>
      <c r="X20" s="55">
        <f ca="1">_xll.meMathVolatilityToNormalFromShiftedLognormal(W20,I20,$W$3)</f>
        <v>2E-3</v>
      </c>
      <c r="Y20" s="55"/>
      <c r="Z20" s="55">
        <f ca="1">_xll.meMathVolatilityToShiftedLognormalFromNormal(X20,I20,$W$3)</f>
        <v>0.11841746894501878</v>
      </c>
      <c r="AA20" s="53">
        <f t="shared" ca="1" si="4"/>
        <v>0</v>
      </c>
      <c r="AB20" s="42"/>
      <c r="AC20" s="42"/>
    </row>
    <row r="21" spans="1:29" x14ac:dyDescent="0.25">
      <c r="A21" s="5" t="e">
        <f>IF(SUM(#REF!)+t_i&lt;=T,TRUE,FALSE)</f>
        <v>#REF!</v>
      </c>
      <c r="B21" s="28"/>
      <c r="C21" s="16">
        <v>44941</v>
      </c>
      <c r="D21" s="17">
        <v>44849.6875</v>
      </c>
      <c r="E21" s="17">
        <v>44941</v>
      </c>
      <c r="F21" s="17">
        <v>44941</v>
      </c>
      <c r="G21" s="18">
        <v>4</v>
      </c>
      <c r="H21" s="19">
        <v>-10000000</v>
      </c>
      <c r="I21" s="40">
        <v>5.0609000000000001E-3</v>
      </c>
      <c r="J21" s="50">
        <f ca="1">_xll.meMathLiborConvexityAdjustmentInArrears(I21,$G$6,G21,$U$3,$T$3)</f>
        <v>3.9949454950852226E-6</v>
      </c>
      <c r="K21" s="40">
        <f t="shared" ca="1" si="0"/>
        <v>5.0648949454950853E-3</v>
      </c>
      <c r="L21" s="18">
        <v>0</v>
      </c>
      <c r="M21" s="20">
        <f t="shared" ca="1" si="1"/>
        <v>5.0648949454950853E-3</v>
      </c>
      <c r="N21" s="18">
        <v>0.25</v>
      </c>
      <c r="O21" s="21">
        <v>1.0042789999999999</v>
      </c>
      <c r="P21" s="19">
        <f t="shared" si="2"/>
        <v>-12706.388977749999</v>
      </c>
      <c r="Q21" s="33">
        <f t="shared" ca="1" si="3"/>
        <v>-12716.419077417146</v>
      </c>
      <c r="R21" s="5" t="e">
        <f>IF(SUM(N$6:N20)+t_j&lt;=T,TRUE,FALSE)</f>
        <v>#REF!</v>
      </c>
      <c r="S21" s="29"/>
      <c r="T21" s="52">
        <f ca="1">_xll.meMathLiborRateInArrears(I21,$G$6,G21,$U$3,$T$3)</f>
        <v>5.0648949454950853E-3</v>
      </c>
      <c r="U21" s="52">
        <f ca="1">_xll.meMathLiborConvexityAdjustmentInArrears(I21,$G$6,G21,$U$3,$T$3)</f>
        <v>3.9949454950852226E-6</v>
      </c>
      <c r="V21" s="52"/>
      <c r="W21" s="55">
        <f ca="1">_xll.meMathVolatilityToShiftedLognormalFromNormal($U$3,I21,$W$3)</f>
        <v>0.11388937924593842</v>
      </c>
      <c r="X21" s="55">
        <f ca="1">_xll.meMathVolatilityToNormalFromShiftedLognormal(W21,I21,$W$3)</f>
        <v>2E-3</v>
      </c>
      <c r="Y21" s="55"/>
      <c r="Z21" s="55">
        <f ca="1">_xll.meMathVolatilityToShiftedLognormalFromNormal(X21,I21,$W$3)</f>
        <v>0.11388937924593842</v>
      </c>
      <c r="AA21" s="53">
        <f t="shared" ca="1" si="4"/>
        <v>0</v>
      </c>
      <c r="AB21" s="42"/>
      <c r="AC21" s="42"/>
    </row>
    <row r="22" spans="1:29" x14ac:dyDescent="0.25">
      <c r="A22" s="5" t="e">
        <f>IF(SUM(#REF!)+t_i&lt;=T,TRUE,FALSE)</f>
        <v>#REF!</v>
      </c>
      <c r="B22" s="28"/>
      <c r="C22" s="16">
        <v>45032.3125</v>
      </c>
      <c r="D22" s="17">
        <v>44941</v>
      </c>
      <c r="E22" s="17">
        <v>45032.3125</v>
      </c>
      <c r="F22" s="17">
        <v>45032.3125</v>
      </c>
      <c r="G22" s="18">
        <v>4.25</v>
      </c>
      <c r="H22" s="19">
        <v>-10000000</v>
      </c>
      <c r="I22" s="40">
        <v>5.7476000000000003E-3</v>
      </c>
      <c r="J22" s="50">
        <f ca="1">_xll.meMathLiborConvexityAdjustmentInArrears(I22,$G$6,G22,$U$3,$T$3)</f>
        <v>4.2439019373062201E-6</v>
      </c>
      <c r="K22" s="40">
        <f t="shared" ca="1" si="0"/>
        <v>5.7518439019373065E-3</v>
      </c>
      <c r="L22" s="18">
        <v>0</v>
      </c>
      <c r="M22" s="20">
        <f t="shared" ca="1" si="1"/>
        <v>5.7518439019373065E-3</v>
      </c>
      <c r="N22" s="18">
        <v>0.25</v>
      </c>
      <c r="O22" s="21">
        <v>1.0030140000000001</v>
      </c>
      <c r="P22" s="19">
        <f t="shared" si="2"/>
        <v>-14412.308166000001</v>
      </c>
      <c r="Q22" s="33">
        <f t="shared" ca="1" si="3"/>
        <v>-14422.949898644365</v>
      </c>
      <c r="R22" s="5" t="e">
        <f>IF(SUM(N$6:N21)+t_j&lt;=T,TRUE,FALSE)</f>
        <v>#REF!</v>
      </c>
      <c r="S22" s="29"/>
      <c r="T22" s="52">
        <f ca="1">_xll.meMathLiborRateInArrears(I22,$G$6,G22,$U$3,$T$3)</f>
        <v>5.7518439019373065E-3</v>
      </c>
      <c r="U22" s="52">
        <f ca="1">_xll.meMathLiborConvexityAdjustmentInArrears(I22,$G$6,G22,$U$3,$T$3)</f>
        <v>4.2439019373062201E-6</v>
      </c>
      <c r="V22" s="52"/>
      <c r="W22" s="55">
        <f ca="1">_xll.meMathVolatilityToShiftedLognormalFromNormal($U$3,I22,$W$3)</f>
        <v>0.10960345470089215</v>
      </c>
      <c r="X22" s="55">
        <f ca="1">_xll.meMathVolatilityToNormalFromShiftedLognormal(W22,I22,$W$3)</f>
        <v>2E-3</v>
      </c>
      <c r="Y22" s="55"/>
      <c r="Z22" s="55">
        <f ca="1">_xll.meMathVolatilityToShiftedLognormalFromNormal(X22,I22,$W$3)</f>
        <v>0.10960345470089215</v>
      </c>
      <c r="AA22" s="53">
        <f t="shared" ca="1" si="4"/>
        <v>0</v>
      </c>
      <c r="AB22" s="42"/>
      <c r="AC22" s="42"/>
    </row>
    <row r="23" spans="1:29" x14ac:dyDescent="0.25">
      <c r="A23" s="5" t="e">
        <f>IF(SUM(#REF!)+t_i&lt;=T,TRUE,FALSE)</f>
        <v>#REF!</v>
      </c>
      <c r="B23" s="28"/>
      <c r="C23" s="16">
        <v>45123.625</v>
      </c>
      <c r="D23" s="17">
        <v>45032.3125</v>
      </c>
      <c r="E23" s="17">
        <v>45123.625</v>
      </c>
      <c r="F23" s="17">
        <v>45123.625</v>
      </c>
      <c r="G23" s="18">
        <v>4.5</v>
      </c>
      <c r="H23" s="19">
        <v>-10000000</v>
      </c>
      <c r="I23" s="40">
        <v>6.4727000000000005E-3</v>
      </c>
      <c r="J23" s="50">
        <f ca="1">_xll.meMathLiborConvexityAdjustmentInArrears(I23,$G$6,G23,$U$3,$T$3)</f>
        <v>4.4927299766702941E-6</v>
      </c>
      <c r="K23" s="40">
        <f t="shared" ca="1" si="0"/>
        <v>6.4771927299766708E-3</v>
      </c>
      <c r="L23" s="18">
        <v>0</v>
      </c>
      <c r="M23" s="20">
        <f t="shared" ca="1" si="1"/>
        <v>6.4771927299766708E-3</v>
      </c>
      <c r="N23" s="18">
        <v>0.25</v>
      </c>
      <c r="O23" s="21">
        <v>1.0017290000000001</v>
      </c>
      <c r="P23" s="19">
        <f t="shared" si="2"/>
        <v>-16209.728245750004</v>
      </c>
      <c r="Q23" s="33">
        <f t="shared" ca="1" si="3"/>
        <v>-16220.979490517002</v>
      </c>
      <c r="R23" s="5" t="e">
        <f>IF(SUM(N$6:N22)+t_j&lt;=T,TRUE,FALSE)</f>
        <v>#REF!</v>
      </c>
      <c r="S23" s="29"/>
      <c r="T23" s="52">
        <f ca="1">_xll.meMathLiborRateInArrears(I23,$G$6,G23,$U$3,$T$3)</f>
        <v>6.4771927299766708E-3</v>
      </c>
      <c r="U23" s="52">
        <f ca="1">_xll.meMathLiborConvexityAdjustmentInArrears(I23,$G$6,G23,$U$3,$T$3)</f>
        <v>4.4927299766702941E-6</v>
      </c>
      <c r="V23" s="52"/>
      <c r="W23" s="55">
        <f ca="1">_xll.meMathVolatilityToShiftedLognormalFromNormal($U$3,I23,$W$3)</f>
        <v>0.10541462206222624</v>
      </c>
      <c r="X23" s="55">
        <f ca="1">_xll.meMathVolatilityToNormalFromShiftedLognormal(W23,I23,$W$3)</f>
        <v>2E-3</v>
      </c>
      <c r="Y23" s="55"/>
      <c r="Z23" s="55">
        <f ca="1">_xll.meMathVolatilityToShiftedLognormalFromNormal(X23,I23,$W$3)</f>
        <v>0.10541462206222624</v>
      </c>
      <c r="AA23" s="53">
        <f t="shared" ca="1" si="4"/>
        <v>0</v>
      </c>
      <c r="AB23" s="42"/>
      <c r="AC23" s="42"/>
    </row>
    <row r="24" spans="1:29" x14ac:dyDescent="0.25">
      <c r="A24" s="5" t="e">
        <f>IF(SUM(#REF!)+t_i&lt;=T,TRUE,FALSE)</f>
        <v>#REF!</v>
      </c>
      <c r="B24" s="28"/>
      <c r="C24" s="16">
        <v>45214.9375</v>
      </c>
      <c r="D24" s="17">
        <v>45123.625</v>
      </c>
      <c r="E24" s="17">
        <v>45214.9375</v>
      </c>
      <c r="F24" s="17">
        <v>45214.9375</v>
      </c>
      <c r="G24" s="18">
        <v>4.75</v>
      </c>
      <c r="H24" s="19">
        <v>-10000000</v>
      </c>
      <c r="I24" s="40">
        <v>7.2328999999999996E-3</v>
      </c>
      <c r="J24" s="50">
        <f ca="1">_xll.meMathLiborConvexityAdjustmentInArrears(I24,$G$6,G24,$U$3,$T$3)</f>
        <v>4.7414264341856527E-6</v>
      </c>
      <c r="K24" s="40">
        <f t="shared" ca="1" si="0"/>
        <v>7.2376414264341852E-3</v>
      </c>
      <c r="L24" s="18">
        <v>0</v>
      </c>
      <c r="M24" s="20">
        <f t="shared" ca="1" si="1"/>
        <v>7.2376414264341852E-3</v>
      </c>
      <c r="N24" s="18">
        <v>0.25</v>
      </c>
      <c r="O24" s="21">
        <v>1.000432</v>
      </c>
      <c r="P24" s="19">
        <f t="shared" si="2"/>
        <v>-18090.061532</v>
      </c>
      <c r="Q24" s="33">
        <f t="shared" ca="1" si="3"/>
        <v>-18101.92021882601</v>
      </c>
      <c r="R24" s="5" t="e">
        <f>IF(SUM(N$6:N23)+t_j&lt;=T,TRUE,FALSE)</f>
        <v>#REF!</v>
      </c>
      <c r="S24" s="29"/>
      <c r="T24" s="52">
        <f ca="1">_xll.meMathLiborRateInArrears(I24,$G$6,G24,$U$3,$T$3)</f>
        <v>7.2376414264341852E-3</v>
      </c>
      <c r="U24" s="52">
        <f ca="1">_xll.meMathLiborConvexityAdjustmentInArrears(I24,$G$6,G24,$U$3,$T$3)</f>
        <v>4.7414264341856527E-6</v>
      </c>
      <c r="V24" s="52"/>
      <c r="W24" s="55">
        <f ca="1">_xll.meMathVolatilityToShiftedLognormalFromNormal($U$3,I24,$W$3)</f>
        <v>0.10135357702111701</v>
      </c>
      <c r="X24" s="55">
        <f ca="1">_xll.meMathVolatilityToNormalFromShiftedLognormal(W24,I24,$W$3)</f>
        <v>2E-3</v>
      </c>
      <c r="Y24" s="55"/>
      <c r="Z24" s="55">
        <f ca="1">_xll.meMathVolatilityToShiftedLognormalFromNormal(X24,I24,$W$3)</f>
        <v>0.10135357702111701</v>
      </c>
      <c r="AA24" s="53">
        <f t="shared" ca="1" si="4"/>
        <v>0</v>
      </c>
      <c r="AB24" s="42"/>
      <c r="AC24" s="42"/>
    </row>
    <row r="25" spans="1:29" x14ac:dyDescent="0.25">
      <c r="A25" s="5" t="e">
        <f>IF(SUM(#REF!)+t_i&lt;=T,TRUE,FALSE)</f>
        <v>#REF!</v>
      </c>
      <c r="B25" s="28"/>
      <c r="C25" s="22">
        <v>45306.25</v>
      </c>
      <c r="D25" s="23">
        <v>45214.9375</v>
      </c>
      <c r="E25" s="23">
        <v>45306.25</v>
      </c>
      <c r="F25" s="23">
        <v>45306.25</v>
      </c>
      <c r="G25" s="24">
        <v>5</v>
      </c>
      <c r="H25" s="25">
        <v>-10000000</v>
      </c>
      <c r="I25" s="41">
        <v>8.0055999999999999E-3</v>
      </c>
      <c r="J25" s="51">
        <f ca="1">_xll.meMathLiborConvexityAdjustmentInArrears(I25,$G$6,G25,$U$3,$T$3)</f>
        <v>4.9900129880063593E-6</v>
      </c>
      <c r="K25" s="41">
        <f t="shared" ca="1" si="0"/>
        <v>8.0105900129880062E-3</v>
      </c>
      <c r="L25" s="24">
        <v>0</v>
      </c>
      <c r="M25" s="26">
        <f t="shared" ca="1" si="1"/>
        <v>8.0105900129880062E-3</v>
      </c>
      <c r="N25" s="24">
        <v>0.25</v>
      </c>
      <c r="O25" s="27">
        <v>0.99913600000000002</v>
      </c>
      <c r="P25" s="25">
        <f>H25*I25*N25*O25</f>
        <v>-19996.707903999999</v>
      </c>
      <c r="Q25" s="31">
        <f ca="1">H25*M25*N25*O25</f>
        <v>-20009.172158041962</v>
      </c>
      <c r="R25" s="5" t="e">
        <f>IF(SUM(N$6:N24)+t_j&lt;=T,TRUE,FALSE)</f>
        <v>#REF!</v>
      </c>
      <c r="S25" s="29"/>
      <c r="T25" s="52">
        <f ca="1">_xll.meMathLiborRateInArrears(I25,$G$6,G25,$U$3,$T$3)</f>
        <v>8.0105900129880062E-3</v>
      </c>
      <c r="U25" s="52">
        <f ca="1">_xll.meMathLiborConvexityAdjustmentInArrears(I25,$G$6,G25,$U$3,$T$3)</f>
        <v>4.9900129880063593E-6</v>
      </c>
      <c r="V25" s="52"/>
      <c r="W25" s="55">
        <f ca="1">_xll.meMathVolatilityToShiftedLognormalFromNormal($U$3,I25,$W$3)</f>
        <v>9.7534332084893885E-2</v>
      </c>
      <c r="X25" s="55">
        <f ca="1">_xll.meMathVolatilityToNormalFromShiftedLognormal(W25,I25,$W$3)</f>
        <v>2E-3</v>
      </c>
      <c r="Y25" s="55"/>
      <c r="Z25" s="55">
        <f ca="1">_xll.meMathVolatilityToShiftedLognormalFromNormal(X25,I25,$W$3)</f>
        <v>9.7534332084893885E-2</v>
      </c>
      <c r="AA25" s="53">
        <f t="shared" ca="1" si="4"/>
        <v>0</v>
      </c>
      <c r="AB25" s="42"/>
      <c r="AC25" s="42"/>
    </row>
    <row r="27" spans="1:29" x14ac:dyDescent="0.25">
      <c r="C27" s="48" t="s">
        <v>27</v>
      </c>
      <c r="O27" s="48" t="s">
        <v>28</v>
      </c>
      <c r="Z27" s="48" t="s">
        <v>29</v>
      </c>
    </row>
  </sheetData>
  <dataValidations count="1">
    <dataValidation type="list" allowBlank="1" showInputMessage="1" showErrorMessage="1" sqref="T3">
      <formula1>"NORMAL,LOGNORMAL, SHIFTED_LOGNORMAL"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Libor In-Arrears</vt:lpstr>
      <vt:lpstr>PVlets_Float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cp:lastPrinted>2015-09-16T19:16:50Z</cp:lastPrinted>
  <dcterms:created xsi:type="dcterms:W3CDTF">2015-09-16T19:07:26Z</dcterms:created>
  <dcterms:modified xsi:type="dcterms:W3CDTF">2019-03-06T16:17:00Z</dcterms:modified>
</cp:coreProperties>
</file>