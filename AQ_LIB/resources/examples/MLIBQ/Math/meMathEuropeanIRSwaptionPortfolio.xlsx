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0" windowWidth="20700" windowHeight="11760"/>
  </bookViews>
  <sheets>
    <sheet name="Single European Swaption" sheetId="10" r:id="rId1"/>
    <sheet name="Portfolio" sheetId="12" r:id="rId2"/>
  </sheets>
  <definedNames>
    <definedName name="AsOf">Portfolio!$B$3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G21" i="10" l="1"/>
  <c r="B3" i="12" l="1"/>
  <c r="N31" i="12"/>
  <c r="N16" i="12"/>
  <c r="N28" i="12"/>
  <c r="N27" i="12"/>
  <c r="N37" i="12"/>
  <c r="S37" i="12" s="1"/>
  <c r="U37" i="12" s="1"/>
  <c r="N10" i="12"/>
  <c r="O10" i="12" s="1"/>
  <c r="N25" i="12"/>
  <c r="N23" i="12"/>
  <c r="N22" i="12"/>
  <c r="O22" i="12"/>
  <c r="S22" i="12"/>
  <c r="T22" i="12" s="1"/>
  <c r="U22" i="12"/>
  <c r="N12" i="12"/>
  <c r="N14" i="12"/>
  <c r="O14" i="12" s="1"/>
  <c r="S10" i="12"/>
  <c r="T10" i="12" s="1"/>
  <c r="N29" i="12"/>
  <c r="O29" i="12" s="1"/>
  <c r="S14" i="12"/>
  <c r="T14" i="12"/>
  <c r="O16" i="12"/>
  <c r="S29" i="12"/>
  <c r="N24" i="12"/>
  <c r="N36" i="12"/>
  <c r="N35" i="12"/>
  <c r="O23" i="12"/>
  <c r="N21" i="12"/>
  <c r="N32" i="12"/>
  <c r="N13" i="12"/>
  <c r="S13" i="12" s="1"/>
  <c r="N8" i="12"/>
  <c r="S8" i="12" s="1"/>
  <c r="U8" i="12" s="1"/>
  <c r="N33" i="12"/>
  <c r="O33" i="12" s="1"/>
  <c r="N15" i="12"/>
  <c r="S12" i="12"/>
  <c r="T29" i="12"/>
  <c r="O25" i="12"/>
  <c r="O13" i="12"/>
  <c r="U14" i="12"/>
  <c r="S27" i="12"/>
  <c r="U27" i="12" s="1"/>
  <c r="S23" i="12"/>
  <c r="U23" i="12"/>
  <c r="T37" i="12"/>
  <c r="T23" i="12"/>
  <c r="O15" i="12"/>
  <c r="S36" i="12"/>
  <c r="U36" i="12" s="1"/>
  <c r="N17" i="12"/>
  <c r="O37" i="12"/>
  <c r="N11" i="12"/>
  <c r="N18" i="12"/>
  <c r="N19" i="12"/>
  <c r="N34" i="12"/>
  <c r="S33" i="12"/>
  <c r="O31" i="12"/>
  <c r="D12" i="10"/>
  <c r="U29" i="12"/>
  <c r="S11" i="12"/>
  <c r="O21" i="12"/>
  <c r="P23" i="12"/>
  <c r="U33" i="12"/>
  <c r="N20" i="12"/>
  <c r="O20" i="12" s="1"/>
  <c r="O8" i="12"/>
  <c r="N26" i="12"/>
  <c r="O26" i="12" s="1"/>
  <c r="N30" i="12"/>
  <c r="O30" i="12" s="1"/>
  <c r="O12" i="12"/>
  <c r="N9" i="12"/>
  <c r="O35" i="12"/>
  <c r="S21" i="12"/>
  <c r="S30" i="12"/>
  <c r="O36" i="12"/>
  <c r="T27" i="12"/>
  <c r="U21" i="12"/>
  <c r="T36" i="12"/>
  <c r="T21" i="12"/>
  <c r="S26" i="12"/>
  <c r="T26" i="12" s="1"/>
  <c r="U26" i="12"/>
  <c r="O32" i="12"/>
  <c r="S32" i="12"/>
  <c r="U12" i="12"/>
  <c r="T12" i="12"/>
  <c r="O18" i="12"/>
  <c r="S18" i="12"/>
  <c r="O19" i="12"/>
  <c r="S19" i="12"/>
  <c r="O34" i="12"/>
  <c r="S34" i="12"/>
  <c r="O9" i="12"/>
  <c r="S9" i="12"/>
  <c r="U30" i="12"/>
  <c r="T30" i="12"/>
  <c r="T32" i="12"/>
  <c r="U32" i="12"/>
  <c r="U18" i="12"/>
  <c r="T18" i="12"/>
  <c r="T19" i="12"/>
  <c r="U19" i="12"/>
  <c r="T34" i="12"/>
  <c r="U34" i="12"/>
  <c r="U9" i="12"/>
  <c r="T9" i="12"/>
  <c r="V37" i="12" l="1"/>
  <c r="V22" i="12"/>
  <c r="V29" i="12"/>
  <c r="V30" i="12"/>
  <c r="V21" i="12"/>
  <c r="V36" i="12"/>
  <c r="V19" i="12"/>
  <c r="V27" i="12"/>
  <c r="V12" i="12"/>
  <c r="V34" i="12"/>
  <c r="V26" i="12"/>
  <c r="V14" i="12"/>
  <c r="V32" i="12"/>
  <c r="V9" i="12"/>
  <c r="V23" i="12"/>
  <c r="V18" i="12"/>
  <c r="G4" i="10"/>
  <c r="G3" i="10"/>
  <c r="P26" i="12"/>
  <c r="S24" i="12"/>
  <c r="H23" i="12"/>
  <c r="O11" i="12"/>
  <c r="P19" i="12"/>
  <c r="P32" i="12"/>
  <c r="P22" i="12"/>
  <c r="P12" i="12"/>
  <c r="P10" i="12"/>
  <c r="R19" i="12"/>
  <c r="H10" i="12"/>
  <c r="P8" i="12"/>
  <c r="R8" i="12" s="1"/>
  <c r="R23" i="12"/>
  <c r="O27" i="12"/>
  <c r="P37" i="12"/>
  <c r="P9" i="12"/>
  <c r="R9" i="12"/>
  <c r="O28" i="12"/>
  <c r="P28" i="12" s="1"/>
  <c r="U10" i="12"/>
  <c r="H12" i="12"/>
  <c r="H8" i="12"/>
  <c r="O24" i="12"/>
  <c r="R12" i="12"/>
  <c r="S35" i="12"/>
  <c r="P16" i="12"/>
  <c r="U11" i="12"/>
  <c r="S28" i="12"/>
  <c r="P29" i="12"/>
  <c r="R29" i="12" s="1"/>
  <c r="P21" i="12"/>
  <c r="P31" i="12"/>
  <c r="H31" i="12" s="1"/>
  <c r="H37" i="12"/>
  <c r="U13" i="12"/>
  <c r="S20" i="12"/>
  <c r="R28" i="12"/>
  <c r="P18" i="12"/>
  <c r="H28" i="12"/>
  <c r="P14" i="12"/>
  <c r="R10" i="12"/>
  <c r="T33" i="12"/>
  <c r="S16" i="12"/>
  <c r="P36" i="12"/>
  <c r="R36" i="12" s="1"/>
  <c r="T11" i="12"/>
  <c r="D13" i="10"/>
  <c r="O17" i="12"/>
  <c r="H9" i="12"/>
  <c r="P13" i="12"/>
  <c r="P17" i="12"/>
  <c r="R32" i="12"/>
  <c r="P30" i="12"/>
  <c r="R30" i="12" s="1"/>
  <c r="P35" i="12"/>
  <c r="P27" i="12"/>
  <c r="P25" i="12"/>
  <c r="S17" i="12"/>
  <c r="S31" i="12"/>
  <c r="R37" i="12"/>
  <c r="P34" i="12"/>
  <c r="H26" i="12"/>
  <c r="S25" i="12"/>
  <c r="R21" i="12"/>
  <c r="H13" i="12"/>
  <c r="H30" i="12"/>
  <c r="H36" i="12"/>
  <c r="H22" i="12"/>
  <c r="H18" i="12"/>
  <c r="S15" i="12"/>
  <c r="H29" i="12"/>
  <c r="P20" i="12"/>
  <c r="H14" i="12"/>
  <c r="P33" i="12"/>
  <c r="P15" i="12"/>
  <c r="H32" i="12"/>
  <c r="H34" i="12"/>
  <c r="R31" i="12"/>
  <c r="R16" i="12"/>
  <c r="T13" i="12"/>
  <c r="H21" i="12"/>
  <c r="H16" i="12"/>
  <c r="T8" i="12"/>
  <c r="P11" i="12"/>
  <c r="T24" i="12"/>
  <c r="T35" i="12"/>
  <c r="U35" i="12"/>
  <c r="T28" i="12"/>
  <c r="U28" i="12"/>
  <c r="T16" i="12"/>
  <c r="U16" i="12"/>
  <c r="R17" i="12"/>
  <c r="H17" i="12"/>
  <c r="H35" i="12"/>
  <c r="R35" i="12"/>
  <c r="R27" i="12"/>
  <c r="R25" i="12"/>
  <c r="T17" i="12"/>
  <c r="T31" i="12"/>
  <c r="U31" i="12"/>
  <c r="U25" i="12"/>
  <c r="T25" i="12"/>
  <c r="T15" i="12"/>
  <c r="U15" i="12"/>
  <c r="R20" i="12"/>
  <c r="H20" i="12"/>
  <c r="H33" i="12"/>
  <c r="H15" i="12"/>
  <c r="R15" i="12"/>
  <c r="R11" i="12"/>
  <c r="H11" i="12"/>
  <c r="V15" i="12" l="1"/>
  <c r="V31" i="12"/>
  <c r="V16" i="12"/>
  <c r="V28" i="12"/>
  <c r="V35" i="12"/>
  <c r="V33" i="12"/>
  <c r="V25" i="12"/>
  <c r="I35" i="12"/>
  <c r="V10" i="12"/>
  <c r="V13" i="12"/>
  <c r="V11" i="12"/>
  <c r="V8" i="12"/>
  <c r="I22" i="12"/>
  <c r="I36" i="12"/>
  <c r="I10" i="12"/>
  <c r="I28" i="12"/>
  <c r="I21" i="12"/>
  <c r="I15" i="12"/>
  <c r="I30" i="12"/>
  <c r="I11" i="12"/>
  <c r="I14" i="12"/>
  <c r="I29" i="12"/>
  <c r="I31" i="12"/>
  <c r="I32" i="12"/>
  <c r="I9" i="12"/>
  <c r="I17" i="12"/>
  <c r="I8" i="12"/>
  <c r="I18" i="12"/>
  <c r="I37" i="12"/>
  <c r="I13" i="12"/>
  <c r="I12" i="12"/>
  <c r="I33" i="12"/>
  <c r="I20" i="12"/>
  <c r="I16" i="12"/>
  <c r="I34" i="12"/>
  <c r="I26" i="12"/>
  <c r="I23" i="12"/>
  <c r="K21" i="12"/>
  <c r="L21" i="12" s="1"/>
  <c r="K9" i="12"/>
  <c r="L9" i="12" s="1"/>
  <c r="K15" i="12"/>
  <c r="L15" i="12" s="1"/>
  <c r="K17" i="12"/>
  <c r="L17" i="12" s="1"/>
  <c r="K16" i="12"/>
  <c r="L16" i="12" s="1"/>
  <c r="K30" i="12"/>
  <c r="L30" i="12" s="1"/>
  <c r="K8" i="12"/>
  <c r="L8" i="12" s="1"/>
  <c r="K11" i="12"/>
  <c r="L11" i="12" s="1"/>
  <c r="K37" i="12"/>
  <c r="L37" i="12" s="1"/>
  <c r="K23" i="12"/>
  <c r="L23" i="12" s="1"/>
  <c r="K36" i="12"/>
  <c r="L36" i="12" s="1"/>
  <c r="K29" i="12"/>
  <c r="L29" i="12" s="1"/>
  <c r="K10" i="12"/>
  <c r="L10" i="12" s="1"/>
  <c r="K31" i="12"/>
  <c r="L31" i="12" s="1"/>
  <c r="K12" i="12"/>
  <c r="L12" i="12" s="1"/>
  <c r="K35" i="12"/>
  <c r="L35" i="12" s="1"/>
  <c r="K28" i="12"/>
  <c r="L28" i="12" s="1"/>
  <c r="K32" i="12"/>
  <c r="L32" i="12" s="1"/>
  <c r="H25" i="12"/>
  <c r="R22" i="12"/>
  <c r="K22" i="12" s="1"/>
  <c r="L22" i="12" s="1"/>
  <c r="R33" i="12"/>
  <c r="K33" i="12" s="1"/>
  <c r="L33" i="12" s="1"/>
  <c r="U20" i="12"/>
  <c r="U17" i="12"/>
  <c r="H27" i="12"/>
  <c r="H19" i="12"/>
  <c r="T20" i="12"/>
  <c r="K20" i="12" s="1"/>
  <c r="L20" i="12" s="1"/>
  <c r="D16" i="10"/>
  <c r="D20" i="10"/>
  <c r="G15" i="10"/>
  <c r="G17" i="10" s="1"/>
  <c r="D22" i="10"/>
  <c r="R34" i="12"/>
  <c r="R13" i="12"/>
  <c r="U24" i="12"/>
  <c r="R14" i="12"/>
  <c r="K14" i="12" s="1"/>
  <c r="L14" i="12" s="1"/>
  <c r="R18" i="12"/>
  <c r="K18" i="12" s="1"/>
  <c r="L18" i="12" s="1"/>
  <c r="P24" i="12"/>
  <c r="R26" i="12"/>
  <c r="G16" i="10"/>
  <c r="R24" i="12"/>
  <c r="K34" i="12"/>
  <c r="L34" i="12" s="1"/>
  <c r="K13" i="12"/>
  <c r="L13" i="12" s="1"/>
  <c r="K26" i="12"/>
  <c r="L26" i="12" s="1"/>
  <c r="V24" i="12" l="1"/>
  <c r="I19" i="12"/>
  <c r="I27" i="12"/>
  <c r="V17" i="12"/>
  <c r="I25" i="12"/>
  <c r="V20" i="12"/>
  <c r="G18" i="10"/>
  <c r="G12" i="10" s="1"/>
  <c r="G11" i="10"/>
  <c r="K19" i="12"/>
  <c r="L19" i="12" s="1"/>
  <c r="K27" i="12"/>
  <c r="L27" i="12" s="1"/>
  <c r="K25" i="12"/>
  <c r="L25" i="12" s="1"/>
  <c r="H24" i="12"/>
  <c r="D21" i="10"/>
  <c r="I24" i="12" l="1"/>
  <c r="G7" i="10"/>
  <c r="K24" i="12"/>
  <c r="L24" i="12" s="1"/>
  <c r="G22" i="10"/>
</calcChain>
</file>

<file path=xl/sharedStrings.xml><?xml version="1.0" encoding="utf-8"?>
<sst xmlns="http://schemas.openxmlformats.org/spreadsheetml/2006/main" count="252" uniqueCount="52">
  <si>
    <t>Strike</t>
  </si>
  <si>
    <t>Time</t>
  </si>
  <si>
    <t>Price</t>
  </si>
  <si>
    <t>ImpliedVol</t>
  </si>
  <si>
    <t>Annuity</t>
  </si>
  <si>
    <t>PayerReceiver</t>
  </si>
  <si>
    <t>SwapRate</t>
  </si>
  <si>
    <t>PAYER</t>
  </si>
  <si>
    <t>Black-76 Vol</t>
  </si>
  <si>
    <t>EffectiveDate</t>
  </si>
  <si>
    <t>MaturityDate</t>
  </si>
  <si>
    <t>Generator</t>
  </si>
  <si>
    <t>Notional</t>
  </si>
  <si>
    <t>FixedRate</t>
  </si>
  <si>
    <t>Spread</t>
  </si>
  <si>
    <t>2D</t>
  </si>
  <si>
    <t>EUR_6ML</t>
  </si>
  <si>
    <t>PAY</t>
  </si>
  <si>
    <t>SWAPTION</t>
  </si>
  <si>
    <t>SWAP</t>
  </si>
  <si>
    <t>Tradelag</t>
  </si>
  <si>
    <t>MaturityOrTenor</t>
  </si>
  <si>
    <t>Swap</t>
  </si>
  <si>
    <t>PayOrReceive</t>
  </si>
  <si>
    <t>Curve</t>
  </si>
  <si>
    <t>EURYC</t>
  </si>
  <si>
    <t>Create Swap</t>
  </si>
  <si>
    <t>PRICING</t>
  </si>
  <si>
    <t>PV</t>
  </si>
  <si>
    <t>RESULTS</t>
  </si>
  <si>
    <t>SWAP DATES</t>
  </si>
  <si>
    <t>1Y</t>
  </si>
  <si>
    <t>5Y</t>
  </si>
  <si>
    <t>SWAPTION DATES</t>
  </si>
  <si>
    <t>Expiry</t>
  </si>
  <si>
    <t>NotificationLag</t>
  </si>
  <si>
    <t>SwapTenor</t>
  </si>
  <si>
    <t>NotificationDate</t>
  </si>
  <si>
    <t>DiscountFactor</t>
  </si>
  <si>
    <t>ZeroRate</t>
  </si>
  <si>
    <t>YearFraction</t>
  </si>
  <si>
    <t>ACT/365</t>
  </si>
  <si>
    <t>Bloomberg Compare</t>
  </si>
  <si>
    <t>As can be seen even without synchronizing market data MLIB and Bloomberg prices are a good match.</t>
  </si>
  <si>
    <t>UnderlyingSwap</t>
  </si>
  <si>
    <t>ExpiryYearFraction</t>
  </si>
  <si>
    <t>CALCULATION DATA</t>
  </si>
  <si>
    <t xml:space="preserve"> … Calculation Data</t>
  </si>
  <si>
    <t>EUROPEAN SWAPTIONS</t>
  </si>
  <si>
    <t>AS-OF-DATE</t>
  </si>
  <si>
    <t>MaturityDate *</t>
  </si>
  <si>
    <t>* Maturity Date must be unadjusted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</si>
</sst>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00000"/>
    <numFmt numFmtId="165" formatCode="#,##0.0000"/>
    <numFmt numFmtId="166" formatCode="0.0000"/>
    <numFmt numFmtId="167" formatCode="ddd\,\ d\-mmm\-yy"/>
    <numFmt numFmtId="168" formatCode="0.00000%"/>
    <numFmt numFmtId="169" formatCode="0.0000%"/>
    <numFmt numFmtId="170" formatCode="0.000000%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66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/>
      <top/>
      <bottom style="double">
        <color theme="0" tint="-0.14996795556505021"/>
      </bottom>
      <diagonal/>
    </border>
    <border>
      <left style="hair">
        <color theme="0" tint="-0.14978484450819421"/>
      </left>
      <right/>
      <top style="double">
        <color theme="0" tint="-0.14978484450819421"/>
      </top>
      <bottom/>
      <diagonal/>
    </border>
    <border>
      <left/>
      <right/>
      <top style="double">
        <color theme="0" tint="-0.14978484450819421"/>
      </top>
      <bottom/>
      <diagonal/>
    </border>
    <border>
      <left/>
      <right style="hair">
        <color theme="0" tint="-0.14978484450819421"/>
      </right>
      <top style="double">
        <color theme="0" tint="-0.14978484450819421"/>
      </top>
      <bottom/>
      <diagonal/>
    </border>
    <border>
      <left style="hair">
        <color theme="0" tint="-0.14978484450819421"/>
      </left>
      <right/>
      <top/>
      <bottom/>
      <diagonal/>
    </border>
    <border>
      <left/>
      <right style="hair">
        <color theme="0" tint="-0.14978484450819421"/>
      </right>
      <top/>
      <bottom/>
      <diagonal/>
    </border>
    <border>
      <left style="hair">
        <color theme="0" tint="-0.14978484450819421"/>
      </left>
      <right/>
      <top/>
      <bottom style="hair">
        <color theme="0" tint="-0.14978484450819421"/>
      </bottom>
      <diagonal/>
    </border>
    <border>
      <left/>
      <right/>
      <top/>
      <bottom style="hair">
        <color theme="0" tint="-0.14978484450819421"/>
      </bottom>
      <diagonal/>
    </border>
    <border>
      <left/>
      <right style="hair">
        <color theme="0" tint="-0.14978484450819421"/>
      </right>
      <top/>
      <bottom style="hair">
        <color theme="0" tint="-0.1497848445081942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0" fontId="2" fillId="0" borderId="0" xfId="0" applyFont="1"/>
    <xf numFmtId="4" fontId="3" fillId="2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3" fillId="2" borderId="0" xfId="0" applyNumberFormat="1" applyFont="1" applyFill="1" applyBorder="1" applyAlignment="1">
      <alignment horizontal="center" vertical="center"/>
    </xf>
    <xf numFmtId="167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7" fontId="0" fillId="3" borderId="2" xfId="0" quotePrefix="1" applyNumberFormat="1" applyFill="1" applyBorder="1" applyAlignment="1">
      <alignment horizontal="center" vertical="center"/>
    </xf>
    <xf numFmtId="167" fontId="0" fillId="3" borderId="3" xfId="0" applyNumberForma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69" fontId="3" fillId="2" borderId="0" xfId="0" applyNumberFormat="1" applyFont="1" applyFill="1" applyAlignment="1">
      <alignment horizontal="center" vertical="center"/>
    </xf>
    <xf numFmtId="168" fontId="3" fillId="2" borderId="0" xfId="0" applyNumberFormat="1" applyFont="1" applyFill="1" applyAlignment="1">
      <alignment horizontal="center" vertical="center"/>
    </xf>
    <xf numFmtId="167" fontId="3" fillId="2" borderId="0" xfId="0" applyNumberFormat="1" applyFont="1" applyFill="1" applyAlignment="1">
      <alignment horizontal="center" vertical="center"/>
    </xf>
    <xf numFmtId="10" fontId="2" fillId="5" borderId="3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70" fontId="3" fillId="2" borderId="0" xfId="0" applyNumberFormat="1" applyFont="1" applyFill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69" fontId="0" fillId="3" borderId="4" xfId="0" applyNumberFormat="1" applyFont="1" applyFill="1" applyBorder="1" applyAlignment="1">
      <alignment horizontal="center" vertical="center"/>
    </xf>
    <xf numFmtId="170" fontId="0" fillId="3" borderId="3" xfId="0" applyNumberFormat="1" applyFont="1" applyFill="1" applyBorder="1" applyAlignment="1">
      <alignment horizontal="center" vertical="center"/>
    </xf>
    <xf numFmtId="167" fontId="0" fillId="3" borderId="5" xfId="0" applyNumberFormat="1" applyFill="1" applyBorder="1" applyAlignment="1">
      <alignment horizontal="center" vertical="center"/>
    </xf>
    <xf numFmtId="167" fontId="0" fillId="3" borderId="6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70" fontId="0" fillId="3" borderId="3" xfId="0" applyNumberForma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170" fontId="0" fillId="3" borderId="0" xfId="0" applyNumberFormat="1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0" fontId="3" fillId="2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10" fontId="0" fillId="4" borderId="0" xfId="0" applyNumberFormat="1" applyFont="1" applyFill="1" applyBorder="1" applyAlignment="1">
      <alignment horizontal="center" vertical="center"/>
    </xf>
    <xf numFmtId="0" fontId="10" fillId="0" borderId="0" xfId="0" applyFont="1"/>
    <xf numFmtId="0" fontId="5" fillId="0" borderId="7" xfId="0" applyFont="1" applyFill="1" applyBorder="1" applyAlignment="1">
      <alignment horizontal="center" vertical="center"/>
    </xf>
    <xf numFmtId="0" fontId="5" fillId="0" borderId="0" xfId="0" applyFont="1"/>
    <xf numFmtId="167" fontId="0" fillId="3" borderId="8" xfId="0" applyNumberFormat="1" applyFill="1" applyBorder="1" applyAlignment="1">
      <alignment horizontal="center" vertical="center"/>
    </xf>
    <xf numFmtId="167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3" fontId="0" fillId="3" borderId="9" xfId="0" applyNumberFormat="1" applyFill="1" applyBorder="1" applyAlignment="1">
      <alignment horizontal="center" vertical="center"/>
    </xf>
    <xf numFmtId="170" fontId="3" fillId="2" borderId="9" xfId="0" applyNumberFormat="1" applyFont="1" applyFill="1" applyBorder="1" applyAlignment="1">
      <alignment horizontal="center" vertical="center"/>
    </xf>
    <xf numFmtId="170" fontId="0" fillId="3" borderId="9" xfId="0" applyNumberFormat="1" applyFont="1" applyFill="1" applyBorder="1" applyAlignment="1">
      <alignment horizontal="center" vertical="center"/>
    </xf>
    <xf numFmtId="10" fontId="0" fillId="4" borderId="9" xfId="0" applyNumberFormat="1" applyFont="1" applyFill="1" applyBorder="1" applyAlignment="1">
      <alignment horizontal="center" vertical="center"/>
    </xf>
    <xf numFmtId="4" fontId="3" fillId="2" borderId="9" xfId="0" applyNumberFormat="1" applyFont="1" applyFill="1" applyBorder="1" applyAlignment="1">
      <alignment horizontal="center" vertical="center"/>
    </xf>
    <xf numFmtId="10" fontId="3" fillId="2" borderId="10" xfId="0" applyNumberFormat="1" applyFont="1" applyFill="1" applyBorder="1" applyAlignment="1">
      <alignment horizontal="center" vertical="center"/>
    </xf>
    <xf numFmtId="167" fontId="0" fillId="3" borderId="11" xfId="0" applyNumberFormat="1" applyFill="1" applyBorder="1" applyAlignment="1">
      <alignment horizontal="center" vertical="center"/>
    </xf>
    <xf numFmtId="10" fontId="3" fillId="2" borderId="12" xfId="0" applyNumberFormat="1" applyFont="1" applyFill="1" applyBorder="1" applyAlignment="1">
      <alignment horizontal="center" vertical="center"/>
    </xf>
    <xf numFmtId="167" fontId="0" fillId="3" borderId="13" xfId="0" applyNumberFormat="1" applyFill="1" applyBorder="1" applyAlignment="1">
      <alignment horizontal="center" vertical="center"/>
    </xf>
    <xf numFmtId="167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  <xf numFmtId="3" fontId="0" fillId="3" borderId="14" xfId="0" applyNumberFormat="1" applyFill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0" fontId="0" fillId="3" borderId="14" xfId="0" applyNumberFormat="1" applyFont="1" applyFill="1" applyBorder="1" applyAlignment="1">
      <alignment horizontal="center" vertical="center"/>
    </xf>
    <xf numFmtId="10" fontId="0" fillId="4" borderId="14" xfId="0" applyNumberFormat="1" applyFont="1" applyFill="1" applyBorder="1" applyAlignment="1">
      <alignment horizontal="center" vertical="center"/>
    </xf>
    <xf numFmtId="4" fontId="3" fillId="2" borderId="14" xfId="0" applyNumberFormat="1" applyFont="1" applyFill="1" applyBorder="1" applyAlignment="1">
      <alignment horizontal="center" vertical="center"/>
    </xf>
    <xf numFmtId="10" fontId="3" fillId="2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006600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29</xdr:row>
      <xdr:rowOff>38100</xdr:rowOff>
    </xdr:from>
    <xdr:to>
      <xdr:col>8</xdr:col>
      <xdr:colOff>289118</xdr:colOff>
      <xdr:row>53</xdr:row>
      <xdr:rowOff>152400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" y="5686425"/>
          <a:ext cx="6556569" cy="468630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29</xdr:row>
      <xdr:rowOff>9525</xdr:rowOff>
    </xdr:from>
    <xdr:to>
      <xdr:col>16</xdr:col>
      <xdr:colOff>410734</xdr:colOff>
      <xdr:row>53</xdr:row>
      <xdr:rowOff>153058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1400" y="5657850"/>
          <a:ext cx="8297434" cy="471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73"/>
  <sheetViews>
    <sheetView showGridLines="0" tabSelected="1" workbookViewId="0"/>
  </sheetViews>
  <sheetFormatPr defaultRowHeight="15" x14ac:dyDescent="0.25"/>
  <cols>
    <col min="2" max="2" width="9.140625" style="2" customWidth="1"/>
    <col min="3" max="5" width="15.7109375" style="2" customWidth="1"/>
    <col min="6" max="17" width="15.7109375" customWidth="1"/>
  </cols>
  <sheetData>
    <row r="2" spans="3:9" x14ac:dyDescent="0.25">
      <c r="C2" s="8" t="s">
        <v>19</v>
      </c>
      <c r="E2"/>
      <c r="F2" s="8" t="s">
        <v>18</v>
      </c>
      <c r="I2" s="5"/>
    </row>
    <row r="3" spans="3:9" x14ac:dyDescent="0.25">
      <c r="C3" s="46" t="s">
        <v>20</v>
      </c>
      <c r="D3" s="20" t="s">
        <v>31</v>
      </c>
      <c r="E3"/>
      <c r="F3" s="47" t="s">
        <v>34</v>
      </c>
      <c r="G3" s="39" t="str">
        <f>D3</f>
        <v>1Y</v>
      </c>
    </row>
    <row r="4" spans="3:9" x14ac:dyDescent="0.25">
      <c r="C4" s="44" t="s">
        <v>21</v>
      </c>
      <c r="D4" s="21" t="s">
        <v>32</v>
      </c>
      <c r="E4" s="1"/>
      <c r="F4" s="48" t="s">
        <v>36</v>
      </c>
      <c r="G4" s="40" t="str">
        <f>D4</f>
        <v>5Y</v>
      </c>
    </row>
    <row r="5" spans="3:9" x14ac:dyDescent="0.25">
      <c r="C5" s="44" t="s">
        <v>11</v>
      </c>
      <c r="D5" s="22" t="s">
        <v>16</v>
      </c>
      <c r="E5" s="1"/>
      <c r="F5" s="48" t="s">
        <v>35</v>
      </c>
      <c r="G5" s="41" t="s">
        <v>15</v>
      </c>
    </row>
    <row r="6" spans="3:9" x14ac:dyDescent="0.25">
      <c r="C6" s="44" t="s">
        <v>23</v>
      </c>
      <c r="D6" s="23" t="s">
        <v>17</v>
      </c>
      <c r="F6" s="44" t="s">
        <v>5</v>
      </c>
      <c r="G6" s="22" t="s">
        <v>7</v>
      </c>
    </row>
    <row r="7" spans="3:9" x14ac:dyDescent="0.25">
      <c r="C7" s="44" t="s">
        <v>12</v>
      </c>
      <c r="D7" s="24">
        <v>1000000</v>
      </c>
      <c r="F7" s="44" t="s">
        <v>4</v>
      </c>
      <c r="G7" s="35">
        <f ca="1">D21</f>
        <v>4974112.1344672814</v>
      </c>
    </row>
    <row r="8" spans="3:9" x14ac:dyDescent="0.25">
      <c r="C8" s="44" t="s">
        <v>13</v>
      </c>
      <c r="D8" s="42">
        <v>5.4459402290526369E-3</v>
      </c>
      <c r="F8" s="44" t="s">
        <v>6</v>
      </c>
      <c r="G8" s="38">
        <v>5.5160599999999997E-3</v>
      </c>
    </row>
    <row r="9" spans="3:9" x14ac:dyDescent="0.25">
      <c r="C9" s="45" t="s">
        <v>14</v>
      </c>
      <c r="D9" s="25">
        <v>0</v>
      </c>
      <c r="E9" s="13"/>
      <c r="F9" s="44" t="s">
        <v>0</v>
      </c>
      <c r="G9" s="38">
        <v>5.5160599999999997E-3</v>
      </c>
    </row>
    <row r="10" spans="3:9" x14ac:dyDescent="0.25">
      <c r="C10" s="9"/>
      <c r="D10" s="18"/>
      <c r="F10" s="44" t="s">
        <v>8</v>
      </c>
      <c r="G10" s="31">
        <v>0.79079999999999995</v>
      </c>
    </row>
    <row r="11" spans="3:9" x14ac:dyDescent="0.25">
      <c r="C11" s="8" t="s">
        <v>30</v>
      </c>
      <c r="D11" s="18"/>
      <c r="F11" s="44" t="s">
        <v>1</v>
      </c>
      <c r="G11" s="33">
        <f ca="1">G16</f>
        <v>0.9945205479452055</v>
      </c>
      <c r="H11" s="7"/>
    </row>
    <row r="12" spans="3:9" x14ac:dyDescent="0.25">
      <c r="C12" s="9" t="s">
        <v>9</v>
      </c>
      <c r="D12" s="14">
        <f ca="1">_xll.meDateFromTenor(TODAY(),D3,"MOD_FOLLOWING","TGT","")</f>
        <v>43479</v>
      </c>
      <c r="F12" s="45" t="s">
        <v>39</v>
      </c>
      <c r="G12" s="37">
        <f ca="1">G18</f>
        <v>-3.3639062514353108E-3</v>
      </c>
    </row>
    <row r="13" spans="3:9" x14ac:dyDescent="0.25">
      <c r="C13" s="9" t="s">
        <v>10</v>
      </c>
      <c r="D13" s="14">
        <f ca="1">_xll.meDateFromTenor(D12,D4,)</f>
        <v>45305</v>
      </c>
      <c r="F13" s="9"/>
    </row>
    <row r="14" spans="3:9" x14ac:dyDescent="0.25">
      <c r="C14" s="9"/>
      <c r="D14" s="19"/>
      <c r="F14" s="8" t="s">
        <v>33</v>
      </c>
    </row>
    <row r="15" spans="3:9" x14ac:dyDescent="0.25">
      <c r="C15" s="8" t="s">
        <v>27</v>
      </c>
      <c r="D15" s="19"/>
      <c r="F15" s="9" t="s">
        <v>37</v>
      </c>
      <c r="G15" s="30">
        <f ca="1">_xll.meDateFromTenor(D12,"-"&amp;G5,"MOD_FOLLOWING","TGT")</f>
        <v>43475</v>
      </c>
    </row>
    <row r="16" spans="3:9" x14ac:dyDescent="0.25">
      <c r="C16" s="9" t="s">
        <v>26</v>
      </c>
      <c r="D16" s="26" t="str">
        <f ca="1">_xll.meLWOSwapCreateFromGenerator(C2,D5,D6,D7,D12,D13,D8,D9)</f>
        <v>SWAP@47:1</v>
      </c>
      <c r="F16" s="9" t="s">
        <v>40</v>
      </c>
      <c r="G16" s="36">
        <f ca="1">_xll.meDateYearFraction(TODAY(),G15,H16)</f>
        <v>0.9945205479452055</v>
      </c>
      <c r="H16" s="8" t="s">
        <v>41</v>
      </c>
    </row>
    <row r="17" spans="2:18" x14ac:dyDescent="0.25">
      <c r="C17" s="9" t="s">
        <v>24</v>
      </c>
      <c r="D17" s="27" t="s">
        <v>25</v>
      </c>
      <c r="F17" s="9" t="s">
        <v>38</v>
      </c>
      <c r="G17" s="32">
        <f ca="1">_xll.meCurveDiscountFactors(G15,D17,"OIS")</f>
        <v>1.0033510762319386</v>
      </c>
    </row>
    <row r="18" spans="2:18" x14ac:dyDescent="0.25">
      <c r="C18" s="9"/>
      <c r="D18" s="19"/>
      <c r="F18" s="9" t="s">
        <v>39</v>
      </c>
      <c r="G18" s="28">
        <f ca="1">-LN(G17)/G16</f>
        <v>-3.3639062514353108E-3</v>
      </c>
    </row>
    <row r="19" spans="2:18" x14ac:dyDescent="0.25">
      <c r="C19" s="8" t="s">
        <v>29</v>
      </c>
      <c r="D19" s="19"/>
      <c r="F19" s="9"/>
    </row>
    <row r="20" spans="2:18" x14ac:dyDescent="0.25">
      <c r="C20" s="9" t="s">
        <v>28</v>
      </c>
      <c r="D20" s="4">
        <f ca="1">_xll.meLWOSwapPV(D16,D17)</f>
        <v>6397.1379656740392</v>
      </c>
      <c r="F20" s="8" t="s">
        <v>29</v>
      </c>
    </row>
    <row r="21" spans="2:18" ht="21" x14ac:dyDescent="0.25">
      <c r="C21" s="9" t="s">
        <v>4</v>
      </c>
      <c r="D21" s="11">
        <f ca="1">_xll.meLWOSwapAnnuity(D16,D17,"Leg1:Fixed")</f>
        <v>4974112.1344672814</v>
      </c>
      <c r="F21" s="9" t="s">
        <v>2</v>
      </c>
      <c r="G21" s="43">
        <f ca="1">_xll.meMathEuropeanIRSwaptionPrice(G6,G7,G8,G9,G10,G11)</f>
        <v>8413.7556444447819</v>
      </c>
    </row>
    <row r="22" spans="2:18" x14ac:dyDescent="0.25">
      <c r="C22" s="9" t="s">
        <v>6</v>
      </c>
      <c r="D22" s="34">
        <f ca="1">_xll.meLWOSwapParRate(D16,D17)</f>
        <v>6.7320266285421371E-3</v>
      </c>
      <c r="F22" s="9" t="s">
        <v>3</v>
      </c>
      <c r="G22" s="3">
        <f ca="1">_xll.meMathEuropeanIRSwaptionImpliedVol(G21,G6,G7,G8,G9,G11,G12)</f>
        <v>0.7907999999999975</v>
      </c>
    </row>
    <row r="25" spans="2:18" x14ac:dyDescent="0.25">
      <c r="B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 x14ac:dyDescent="0.25">
      <c r="B26" s="49"/>
      <c r="C26" s="50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2"/>
    </row>
    <row r="27" spans="2:18" ht="18.75" x14ac:dyDescent="0.25">
      <c r="B27" s="49"/>
      <c r="C27" s="52" t="s">
        <v>42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2"/>
    </row>
    <row r="28" spans="2:18" x14ac:dyDescent="0.25">
      <c r="B28" s="49"/>
      <c r="C28" s="51" t="s">
        <v>43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2"/>
    </row>
    <row r="29" spans="2:18" x14ac:dyDescent="0.25">
      <c r="B29" s="49"/>
      <c r="C29" s="50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2"/>
    </row>
    <row r="30" spans="2:18" x14ac:dyDescent="0.25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2"/>
    </row>
    <row r="31" spans="2:18" x14ac:dyDescent="0.25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"/>
    </row>
    <row r="32" spans="2:18" x14ac:dyDescent="0.25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"/>
    </row>
    <row r="33" spans="2:18" x14ac:dyDescent="0.25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2"/>
    </row>
    <row r="34" spans="2:18" x14ac:dyDescent="0.25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2"/>
    </row>
    <row r="35" spans="2:18" x14ac:dyDescent="0.25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2"/>
    </row>
    <row r="36" spans="2:18" x14ac:dyDescent="0.25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2"/>
    </row>
    <row r="37" spans="2:18" x14ac:dyDescent="0.25"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2"/>
    </row>
    <row r="38" spans="2:18" x14ac:dyDescent="0.25"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2"/>
    </row>
    <row r="39" spans="2:18" x14ac:dyDescent="0.25"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2"/>
    </row>
    <row r="40" spans="2:18" x14ac:dyDescent="0.25"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2"/>
    </row>
    <row r="41" spans="2:18" x14ac:dyDescent="0.25"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2"/>
    </row>
    <row r="42" spans="2:18" x14ac:dyDescent="0.25"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2"/>
    </row>
    <row r="43" spans="2:18" x14ac:dyDescent="0.25"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2"/>
    </row>
    <row r="44" spans="2:18" x14ac:dyDescent="0.25"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2"/>
    </row>
    <row r="45" spans="2:18" x14ac:dyDescent="0.25"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2"/>
    </row>
    <row r="46" spans="2:18" x14ac:dyDescent="0.25"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2"/>
    </row>
    <row r="47" spans="2:18" x14ac:dyDescent="0.25"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2"/>
    </row>
    <row r="48" spans="2:18" x14ac:dyDescent="0.25"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2"/>
    </row>
    <row r="49" spans="2:18" x14ac:dyDescent="0.25"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2"/>
    </row>
    <row r="50" spans="2:18" x14ac:dyDescent="0.25"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2"/>
    </row>
    <row r="51" spans="2:18" x14ac:dyDescent="0.25"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2"/>
    </row>
    <row r="52" spans="2:18" x14ac:dyDescent="0.25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2"/>
    </row>
    <row r="53" spans="2:18" x14ac:dyDescent="0.25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2"/>
    </row>
    <row r="54" spans="2:18" x14ac:dyDescent="0.25"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2"/>
    </row>
    <row r="55" spans="2:18" x14ac:dyDescent="0.25"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2"/>
    </row>
    <row r="56" spans="2:18" x14ac:dyDescent="0.25"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2"/>
    </row>
    <row r="57" spans="2:18" x14ac:dyDescent="0.25"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2:18" x14ac:dyDescent="0.25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2:18" x14ac:dyDescent="0.25"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2:18" x14ac:dyDescent="0.25"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2:18" x14ac:dyDescent="0.25"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2:18" x14ac:dyDescent="0.25"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2:18" x14ac:dyDescent="0.25"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2:18" x14ac:dyDescent="0.25"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6:18" x14ac:dyDescent="0.25"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6:18" x14ac:dyDescent="0.25"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6:18" x14ac:dyDescent="0.25"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6:18" x14ac:dyDescent="0.25"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6:18" x14ac:dyDescent="0.25"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6:18" x14ac:dyDescent="0.25"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6:18" x14ac:dyDescent="0.25"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6:18" x14ac:dyDescent="0.25"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6:18" x14ac:dyDescent="0.25"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</sheetData>
  <dataValidations disablePrompts="1" count="1">
    <dataValidation type="list" allowBlank="1" showInputMessage="1" showErrorMessage="1" sqref="G6">
      <formula1>"PAYER,RECEIVER"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showGridLines="0" workbookViewId="0"/>
  </sheetViews>
  <sheetFormatPr defaultRowHeight="15" outlineLevelCol="1" x14ac:dyDescent="0.25"/>
  <cols>
    <col min="2" max="12" width="15.7109375" customWidth="1"/>
    <col min="13" max="13" width="9.140625" hidden="1" customWidth="1" outlineLevel="1"/>
    <col min="14" max="19" width="15.7109375" hidden="1" customWidth="1" outlineLevel="1"/>
    <col min="20" max="20" width="17.7109375" hidden="1" customWidth="1" outlineLevel="1"/>
    <col min="21" max="22" width="15.7109375" hidden="1" customWidth="1" outlineLevel="1"/>
    <col min="23" max="23" width="15.7109375" customWidth="1" collapsed="1"/>
    <col min="24" max="24" width="15.7109375" customWidth="1"/>
  </cols>
  <sheetData>
    <row r="1" spans="1:23" x14ac:dyDescent="0.25">
      <c r="W1" s="5" t="s">
        <v>47</v>
      </c>
    </row>
    <row r="2" spans="1:23" x14ac:dyDescent="0.25">
      <c r="B2" s="7" t="s">
        <v>49</v>
      </c>
      <c r="N2" s="62" t="s">
        <v>51</v>
      </c>
    </row>
    <row r="3" spans="1:23" x14ac:dyDescent="0.25">
      <c r="B3" s="54">
        <f ca="1">TODAY()</f>
        <v>43112</v>
      </c>
    </row>
    <row r="5" spans="1:23" x14ac:dyDescent="0.25">
      <c r="L5" s="5"/>
      <c r="T5" s="5"/>
    </row>
    <row r="6" spans="1:23" x14ac:dyDescent="0.25">
      <c r="B6" s="5" t="s">
        <v>48</v>
      </c>
      <c r="N6" s="5" t="s">
        <v>46</v>
      </c>
      <c r="O6" s="13"/>
    </row>
    <row r="7" spans="1:23" ht="15.75" thickBot="1" x14ac:dyDescent="0.3">
      <c r="B7" s="18" t="s">
        <v>34</v>
      </c>
      <c r="C7" s="18" t="s">
        <v>36</v>
      </c>
      <c r="D7" s="18" t="s">
        <v>35</v>
      </c>
      <c r="E7" s="18" t="s">
        <v>5</v>
      </c>
      <c r="F7" s="18" t="s">
        <v>44</v>
      </c>
      <c r="G7" s="18" t="s">
        <v>12</v>
      </c>
      <c r="H7" s="18" t="s">
        <v>6</v>
      </c>
      <c r="I7" s="18" t="s">
        <v>0</v>
      </c>
      <c r="J7" s="18" t="s">
        <v>8</v>
      </c>
      <c r="K7" s="18" t="s">
        <v>2</v>
      </c>
      <c r="L7" s="18" t="s">
        <v>3</v>
      </c>
      <c r="N7" s="55" t="s">
        <v>9</v>
      </c>
      <c r="O7" s="61" t="s">
        <v>50</v>
      </c>
      <c r="P7" s="55" t="s">
        <v>22</v>
      </c>
      <c r="Q7" s="55" t="s">
        <v>24</v>
      </c>
      <c r="R7" s="55" t="s">
        <v>4</v>
      </c>
      <c r="S7" s="55" t="s">
        <v>37</v>
      </c>
      <c r="T7" s="55" t="s">
        <v>45</v>
      </c>
      <c r="U7" s="55" t="s">
        <v>38</v>
      </c>
      <c r="V7" s="55" t="s">
        <v>39</v>
      </c>
    </row>
    <row r="8" spans="1:23" ht="15.75" thickTop="1" x14ac:dyDescent="0.25">
      <c r="A8" s="60">
        <v>1</v>
      </c>
      <c r="B8" s="63" t="s">
        <v>31</v>
      </c>
      <c r="C8" s="64" t="s">
        <v>32</v>
      </c>
      <c r="D8" s="65" t="s">
        <v>15</v>
      </c>
      <c r="E8" s="66" t="s">
        <v>7</v>
      </c>
      <c r="F8" s="67" t="s">
        <v>16</v>
      </c>
      <c r="G8" s="68">
        <v>1000000</v>
      </c>
      <c r="H8" s="69">
        <f ca="1">_xll.meLWOSwapParRate(P8,Q8)</f>
        <v>6.7320266285421371E-3</v>
      </c>
      <c r="I8" s="70">
        <f ca="1">$H8</f>
        <v>6.7320266285421371E-3</v>
      </c>
      <c r="J8" s="71">
        <v>0.79079999999999995</v>
      </c>
      <c r="K8" s="72">
        <f ca="1">_xll.meMathEuropeanIRSwaptionPrice($E8,$R8,$H8,$I8,$J8,$T8)</f>
        <v>10268.493643007689</v>
      </c>
      <c r="L8" s="73">
        <f ca="1">_xll.meMathEuropeanIRSwaptionImpliedVol(K8,E8,R8,H8,I8,T8)</f>
        <v>0.79079999999999762</v>
      </c>
      <c r="M8" s="60">
        <v>1</v>
      </c>
      <c r="N8" s="30">
        <f ca="1">_xll.meDateFromTenor(AsOf,$B8,"MOD_FOLLOWING","TGT")</f>
        <v>43479</v>
      </c>
      <c r="O8" s="30">
        <f ca="1">_xll.meDateFromTenor($N8,$C8)</f>
        <v>45305</v>
      </c>
      <c r="P8" s="10" t="str">
        <f ca="1">_xll.meLWOSwapCreateFromGenerator("SWAP"&amp;$A8,$F8,IF($E8="PAYER","PAY","REC"),$G8,$N8,$O8,0,0)</f>
        <v>SWAP1@25:2</v>
      </c>
      <c r="Q8" s="10" t="s">
        <v>25</v>
      </c>
      <c r="R8" s="11">
        <f ca="1">_xll.meLWOSwapAnnuity($P8,$Q8,"Leg1:Fixed")</f>
        <v>4974112.1344672814</v>
      </c>
      <c r="S8" s="30">
        <f ca="1">_xll.meDateFromTenor($N8,"-"&amp;$D8,"MOD_FOLLOWING","TGT")</f>
        <v>43475</v>
      </c>
      <c r="T8" s="32">
        <f ca="1">_xll.meDateYearFraction(AsOf,$S8,"ACT/365")</f>
        <v>0.9945205479452055</v>
      </c>
      <c r="U8" s="32">
        <f ca="1">_xll.meCurveDiscountFactors($S8,$Q8,"OIS")</f>
        <v>1.0033510762319386</v>
      </c>
      <c r="V8" s="29">
        <f t="shared" ref="V8:V37" ca="1" si="0">-LN($U8)/$T8</f>
        <v>-3.3639062514353108E-3</v>
      </c>
      <c r="W8" s="60"/>
    </row>
    <row r="9" spans="1:23" x14ac:dyDescent="0.25">
      <c r="A9" s="60">
        <v>2</v>
      </c>
      <c r="B9" s="74" t="s">
        <v>31</v>
      </c>
      <c r="C9" s="15" t="s">
        <v>32</v>
      </c>
      <c r="D9" s="16" t="s">
        <v>15</v>
      </c>
      <c r="E9" s="57" t="s">
        <v>7</v>
      </c>
      <c r="F9" s="58" t="s">
        <v>16</v>
      </c>
      <c r="G9" s="17">
        <v>1000000</v>
      </c>
      <c r="H9" s="56">
        <f ca="1">_xll.meLWOSwapParRate(P9,Q9)</f>
        <v>6.7320266285421371E-3</v>
      </c>
      <c r="I9" s="53">
        <f t="shared" ref="I9:I37" ca="1" si="1">$H9</f>
        <v>6.7320266285421371E-3</v>
      </c>
      <c r="J9" s="59">
        <v>0.79079999999999995</v>
      </c>
      <c r="K9" s="6">
        <f ca="1">_xll.meMathEuropeanIRSwaptionPrice($E9,$R9,$H9,$I9,$J9,$T9)</f>
        <v>10268.493643007689</v>
      </c>
      <c r="L9" s="75">
        <f ca="1">_xll.meMathEuropeanIRSwaptionImpliedVol(K9,E9,R9,H9,I9,T9)</f>
        <v>0.79079999999999762</v>
      </c>
      <c r="M9" s="60">
        <v>2</v>
      </c>
      <c r="N9" s="30">
        <f ca="1">_xll.meDateFromTenor(AsOf,$B9,"MOD_FOLLOWING","TGT")</f>
        <v>43479</v>
      </c>
      <c r="O9" s="30">
        <f ca="1">_xll.meDateFromTenor($N9,$C9)</f>
        <v>45305</v>
      </c>
      <c r="P9" s="10" t="str">
        <f ca="1">_xll.meLWOSwapCreateFromGenerator("SWAP"&amp;$A9,$F9,IF($E9="PAYER","PAY","REC"),$G9,$N9,$O9,0,0)</f>
        <v>SWAP2@27:2</v>
      </c>
      <c r="Q9" s="10" t="s">
        <v>25</v>
      </c>
      <c r="R9" s="11">
        <f ca="1">_xll.meLWOSwapAnnuity($P9,$Q9,"Leg1:Fixed")</f>
        <v>4974112.1344672814</v>
      </c>
      <c r="S9" s="30">
        <f ca="1">_xll.meDateFromTenor($N9,"-"&amp;$D9,"MOD_FOLLOWING","TGT")</f>
        <v>43475</v>
      </c>
      <c r="T9" s="32">
        <f ca="1">_xll.meDateYearFraction(AsOf,$S9,"ACT/365")</f>
        <v>0.9945205479452055</v>
      </c>
      <c r="U9" s="32">
        <f ca="1">_xll.meCurveDiscountFactors($S9,$Q9,"OIS")</f>
        <v>1.0033510762319386</v>
      </c>
      <c r="V9" s="29">
        <f t="shared" ca="1" si="0"/>
        <v>-3.3639062514353108E-3</v>
      </c>
      <c r="W9" s="60"/>
    </row>
    <row r="10" spans="1:23" x14ac:dyDescent="0.25">
      <c r="A10" s="60">
        <v>3</v>
      </c>
      <c r="B10" s="74" t="s">
        <v>31</v>
      </c>
      <c r="C10" s="15" t="s">
        <v>32</v>
      </c>
      <c r="D10" s="16" t="s">
        <v>15</v>
      </c>
      <c r="E10" s="57" t="s">
        <v>7</v>
      </c>
      <c r="F10" s="58" t="s">
        <v>16</v>
      </c>
      <c r="G10" s="17">
        <v>1000000</v>
      </c>
      <c r="H10" s="56">
        <f ca="1">_xll.meLWOSwapParRate(P10,Q10)</f>
        <v>6.7320266285421371E-3</v>
      </c>
      <c r="I10" s="53">
        <f t="shared" ca="1" si="1"/>
        <v>6.7320266285421371E-3</v>
      </c>
      <c r="J10" s="59">
        <v>0.79079999999999995</v>
      </c>
      <c r="K10" s="6">
        <f ca="1">_xll.meMathEuropeanIRSwaptionPrice($E10,$R10,$H10,$I10,$J10,$T10)</f>
        <v>10268.493643007689</v>
      </c>
      <c r="L10" s="75">
        <f ca="1">_xll.meMathEuropeanIRSwaptionImpliedVol(K10,E10,R10,H10,I10,T10)</f>
        <v>0.79079999999999762</v>
      </c>
      <c r="M10" s="60">
        <v>3</v>
      </c>
      <c r="N10" s="30">
        <f ca="1">_xll.meDateFromTenor(AsOf,$B10,"MOD_FOLLOWING","TGT")</f>
        <v>43479</v>
      </c>
      <c r="O10" s="30">
        <f ca="1">_xll.meDateFromTenor($N10,$C10)</f>
        <v>45305</v>
      </c>
      <c r="P10" s="10" t="str">
        <f ca="1">_xll.meLWOSwapCreateFromGenerator("SWAP"&amp;$A10,$F10,IF($E10="PAYER","PAY","REC"),$G10,$N10,$O10,0,0)</f>
        <v>SWAP3@24:2</v>
      </c>
      <c r="Q10" s="10" t="s">
        <v>25</v>
      </c>
      <c r="R10" s="11">
        <f ca="1">_xll.meLWOSwapAnnuity($P10,$Q10,"Leg1:Fixed")</f>
        <v>4974112.1344672814</v>
      </c>
      <c r="S10" s="30">
        <f ca="1">_xll.meDateFromTenor($N10,"-"&amp;$D10,"MOD_FOLLOWING","TGT")</f>
        <v>43475</v>
      </c>
      <c r="T10" s="32">
        <f ca="1">_xll.meDateYearFraction(AsOf,$S10,"ACT/365")</f>
        <v>0.9945205479452055</v>
      </c>
      <c r="U10" s="32">
        <f ca="1">_xll.meCurveDiscountFactors($S10,$Q10,"OIS")</f>
        <v>1.0033510762319386</v>
      </c>
      <c r="V10" s="29">
        <f t="shared" ca="1" si="0"/>
        <v>-3.3639062514353108E-3</v>
      </c>
      <c r="W10" s="60"/>
    </row>
    <row r="11" spans="1:23" x14ac:dyDescent="0.25">
      <c r="A11" s="60">
        <v>4</v>
      </c>
      <c r="B11" s="74" t="s">
        <v>31</v>
      </c>
      <c r="C11" s="15" t="s">
        <v>32</v>
      </c>
      <c r="D11" s="16" t="s">
        <v>15</v>
      </c>
      <c r="E11" s="57" t="s">
        <v>7</v>
      </c>
      <c r="F11" s="58" t="s">
        <v>16</v>
      </c>
      <c r="G11" s="17">
        <v>1000000</v>
      </c>
      <c r="H11" s="56">
        <f ca="1">_xll.meLWOSwapParRate(P11,Q11)</f>
        <v>6.7320266285421371E-3</v>
      </c>
      <c r="I11" s="53">
        <f t="shared" ca="1" si="1"/>
        <v>6.7320266285421371E-3</v>
      </c>
      <c r="J11" s="59">
        <v>0.79079999999999995</v>
      </c>
      <c r="K11" s="6">
        <f ca="1">_xll.meMathEuropeanIRSwaptionPrice($E11,$R11,$H11,$I11,$J11,$T11)</f>
        <v>10268.493643007689</v>
      </c>
      <c r="L11" s="75">
        <f ca="1">_xll.meMathEuropeanIRSwaptionImpliedVol(K11,E11,R11,H11,I11,T11)</f>
        <v>0.79079999999999762</v>
      </c>
      <c r="M11" s="60">
        <v>4</v>
      </c>
      <c r="N11" s="30">
        <f ca="1">_xll.meDateFromTenor(AsOf,$B11,"MOD_FOLLOWING","TGT")</f>
        <v>43479</v>
      </c>
      <c r="O11" s="30">
        <f ca="1">_xll.meDateFromTenor($N11,$C11)</f>
        <v>45305</v>
      </c>
      <c r="P11" s="10" t="str">
        <f ca="1">_xll.meLWOSwapCreateFromGenerator("SWAP"&amp;$A11,$F11,IF($E11="PAYER","PAY","REC"),$G11,$N11,$O11,0,0)</f>
        <v>SWAP4@46:2</v>
      </c>
      <c r="Q11" s="10" t="s">
        <v>25</v>
      </c>
      <c r="R11" s="11">
        <f ca="1">_xll.meLWOSwapAnnuity($P11,$Q11,"Leg1:Fixed")</f>
        <v>4974112.1344672814</v>
      </c>
      <c r="S11" s="30">
        <f ca="1">_xll.meDateFromTenor($N11,"-"&amp;$D11,"MOD_FOLLOWING","TGT")</f>
        <v>43475</v>
      </c>
      <c r="T11" s="32">
        <f ca="1">_xll.meDateYearFraction(AsOf,$S11,"ACT/365")</f>
        <v>0.9945205479452055</v>
      </c>
      <c r="U11" s="32">
        <f ca="1">_xll.meCurveDiscountFactors($S11,$Q11,"OIS")</f>
        <v>1.0033510762319386</v>
      </c>
      <c r="V11" s="29">
        <f t="shared" ca="1" si="0"/>
        <v>-3.3639062514353108E-3</v>
      </c>
      <c r="W11" s="60"/>
    </row>
    <row r="12" spans="1:23" x14ac:dyDescent="0.25">
      <c r="A12" s="60">
        <v>5</v>
      </c>
      <c r="B12" s="74" t="s">
        <v>31</v>
      </c>
      <c r="C12" s="15" t="s">
        <v>32</v>
      </c>
      <c r="D12" s="16" t="s">
        <v>15</v>
      </c>
      <c r="E12" s="57" t="s">
        <v>7</v>
      </c>
      <c r="F12" s="58" t="s">
        <v>16</v>
      </c>
      <c r="G12" s="17">
        <v>1000000</v>
      </c>
      <c r="H12" s="56">
        <f ca="1">_xll.meLWOSwapParRate(P12,Q12)</f>
        <v>6.7320266285421371E-3</v>
      </c>
      <c r="I12" s="53">
        <f t="shared" ca="1" si="1"/>
        <v>6.7320266285421371E-3</v>
      </c>
      <c r="J12" s="59">
        <v>0.79079999999999995</v>
      </c>
      <c r="K12" s="6">
        <f ca="1">_xll.meMathEuropeanIRSwaptionPrice($E12,$R12,$H12,$I12,$J12,$T12)</f>
        <v>10268.493643007689</v>
      </c>
      <c r="L12" s="75">
        <f ca="1">_xll.meMathEuropeanIRSwaptionImpliedVol(K12,E12,R12,H12,I12,T12)</f>
        <v>0.79079999999999762</v>
      </c>
      <c r="M12" s="60">
        <v>5</v>
      </c>
      <c r="N12" s="30">
        <f ca="1">_xll.meDateFromTenor(AsOf,$B12,"MOD_FOLLOWING","TGT")</f>
        <v>43479</v>
      </c>
      <c r="O12" s="30">
        <f ca="1">_xll.meDateFromTenor($N12,$C12)</f>
        <v>45305</v>
      </c>
      <c r="P12" s="10" t="str">
        <f ca="1">_xll.meLWOSwapCreateFromGenerator("SWAP"&amp;$A12,$F12,IF($E12="PAYER","PAY","REC"),$G12,$N12,$O12,0,0)</f>
        <v>SWAP5@23:2</v>
      </c>
      <c r="Q12" s="10" t="s">
        <v>25</v>
      </c>
      <c r="R12" s="11">
        <f ca="1">_xll.meLWOSwapAnnuity($P12,$Q12,"Leg1:Fixed")</f>
        <v>4974112.1344672814</v>
      </c>
      <c r="S12" s="30">
        <f ca="1">_xll.meDateFromTenor($N12,"-"&amp;$D12,"MOD_FOLLOWING","TGT")</f>
        <v>43475</v>
      </c>
      <c r="T12" s="32">
        <f ca="1">_xll.meDateYearFraction(AsOf,$S12,"ACT/365")</f>
        <v>0.9945205479452055</v>
      </c>
      <c r="U12" s="32">
        <f ca="1">_xll.meCurveDiscountFactors($S12,$Q12,"OIS")</f>
        <v>1.0033510762319386</v>
      </c>
      <c r="V12" s="29">
        <f t="shared" ca="1" si="0"/>
        <v>-3.3639062514353108E-3</v>
      </c>
      <c r="W12" s="60"/>
    </row>
    <row r="13" spans="1:23" x14ac:dyDescent="0.25">
      <c r="A13" s="60">
        <v>6</v>
      </c>
      <c r="B13" s="74" t="s">
        <v>31</v>
      </c>
      <c r="C13" s="15" t="s">
        <v>32</v>
      </c>
      <c r="D13" s="16" t="s">
        <v>15</v>
      </c>
      <c r="E13" s="57" t="s">
        <v>7</v>
      </c>
      <c r="F13" s="58" t="s">
        <v>16</v>
      </c>
      <c r="G13" s="17">
        <v>1000000</v>
      </c>
      <c r="H13" s="56">
        <f ca="1">_xll.meLWOSwapParRate(P13,Q13)</f>
        <v>6.7320266285421371E-3</v>
      </c>
      <c r="I13" s="53">
        <f t="shared" ca="1" si="1"/>
        <v>6.7320266285421371E-3</v>
      </c>
      <c r="J13" s="59">
        <v>0.79079999999999995</v>
      </c>
      <c r="K13" s="6">
        <f ca="1">_xll.meMathEuropeanIRSwaptionPrice($E13,$R13,$H13,$I13,$J13,$T13)</f>
        <v>10268.493643007689</v>
      </c>
      <c r="L13" s="75">
        <f ca="1">_xll.meMathEuropeanIRSwaptionImpliedVol(K13,E13,R13,H13,I13,T13)</f>
        <v>0.79079999999999762</v>
      </c>
      <c r="M13" s="60">
        <v>6</v>
      </c>
      <c r="N13" s="30">
        <f ca="1">_xll.meDateFromTenor(AsOf,$B13,"MOD_FOLLOWING","TGT")</f>
        <v>43479</v>
      </c>
      <c r="O13" s="30">
        <f ca="1">_xll.meDateFromTenor($N13,$C13)</f>
        <v>45305</v>
      </c>
      <c r="P13" s="10" t="str">
        <f ca="1">_xll.meLWOSwapCreateFromGenerator("SWAP"&amp;$A13,$F13,IF($E13="PAYER","PAY","REC"),$G13,$N13,$O13,0,0)</f>
        <v>SWAP6@36:2</v>
      </c>
      <c r="Q13" s="10" t="s">
        <v>25</v>
      </c>
      <c r="R13" s="11">
        <f ca="1">_xll.meLWOSwapAnnuity($P13,$Q13,"Leg1:Fixed")</f>
        <v>4974112.1344672814</v>
      </c>
      <c r="S13" s="30">
        <f ca="1">_xll.meDateFromTenor($N13,"-"&amp;$D13,"MOD_FOLLOWING","TGT")</f>
        <v>43475</v>
      </c>
      <c r="T13" s="32">
        <f ca="1">_xll.meDateYearFraction(AsOf,$S13,"ACT/365")</f>
        <v>0.9945205479452055</v>
      </c>
      <c r="U13" s="32">
        <f ca="1">_xll.meCurveDiscountFactors($S13,$Q13,"OIS")</f>
        <v>1.0033510762319386</v>
      </c>
      <c r="V13" s="29">
        <f t="shared" ca="1" si="0"/>
        <v>-3.3639062514353108E-3</v>
      </c>
      <c r="W13" s="60"/>
    </row>
    <row r="14" spans="1:23" x14ac:dyDescent="0.25">
      <c r="A14" s="60">
        <v>7</v>
      </c>
      <c r="B14" s="74" t="s">
        <v>31</v>
      </c>
      <c r="C14" s="15" t="s">
        <v>32</v>
      </c>
      <c r="D14" s="16" t="s">
        <v>15</v>
      </c>
      <c r="E14" s="57" t="s">
        <v>7</v>
      </c>
      <c r="F14" s="58" t="s">
        <v>16</v>
      </c>
      <c r="G14" s="17">
        <v>1000000</v>
      </c>
      <c r="H14" s="56">
        <f ca="1">_xll.meLWOSwapParRate(P14,Q14)</f>
        <v>6.7320266285421371E-3</v>
      </c>
      <c r="I14" s="53">
        <f t="shared" ca="1" si="1"/>
        <v>6.7320266285421371E-3</v>
      </c>
      <c r="J14" s="59">
        <v>0.79079999999999995</v>
      </c>
      <c r="K14" s="6">
        <f ca="1">_xll.meMathEuropeanIRSwaptionPrice($E14,$R14,$H14,$I14,$J14,$T14)</f>
        <v>10268.493643007689</v>
      </c>
      <c r="L14" s="75">
        <f ca="1">_xll.meMathEuropeanIRSwaptionImpliedVol(K14,E14,R14,H14,I14,T14)</f>
        <v>0.79079999999999762</v>
      </c>
      <c r="M14" s="60">
        <v>7</v>
      </c>
      <c r="N14" s="30">
        <f ca="1">_xll.meDateFromTenor(AsOf,$B14,"MOD_FOLLOWING","TGT")</f>
        <v>43479</v>
      </c>
      <c r="O14" s="30">
        <f ca="1">_xll.meDateFromTenor($N14,$C14)</f>
        <v>45305</v>
      </c>
      <c r="P14" s="10" t="str">
        <f ca="1">_xll.meLWOSwapCreateFromGenerator("SWAP"&amp;$A14,$F14,IF($E14="PAYER","PAY","REC"),$G14,$N14,$O14,0,0)</f>
        <v>SWAP7@34:2</v>
      </c>
      <c r="Q14" s="10" t="s">
        <v>25</v>
      </c>
      <c r="R14" s="11">
        <f ca="1">_xll.meLWOSwapAnnuity($P14,$Q14,"Leg1:Fixed")</f>
        <v>4974112.1344672814</v>
      </c>
      <c r="S14" s="30">
        <f ca="1">_xll.meDateFromTenor($N14,"-"&amp;$D14,"MOD_FOLLOWING","TGT")</f>
        <v>43475</v>
      </c>
      <c r="T14" s="32">
        <f ca="1">_xll.meDateYearFraction(AsOf,$S14,"ACT/365")</f>
        <v>0.9945205479452055</v>
      </c>
      <c r="U14" s="32">
        <f ca="1">_xll.meCurveDiscountFactors($S14,$Q14,"OIS")</f>
        <v>1.0033510762319386</v>
      </c>
      <c r="V14" s="29">
        <f t="shared" ca="1" si="0"/>
        <v>-3.3639062514353108E-3</v>
      </c>
      <c r="W14" s="60"/>
    </row>
    <row r="15" spans="1:23" x14ac:dyDescent="0.25">
      <c r="A15" s="60">
        <v>8</v>
      </c>
      <c r="B15" s="74" t="s">
        <v>31</v>
      </c>
      <c r="C15" s="15" t="s">
        <v>32</v>
      </c>
      <c r="D15" s="16" t="s">
        <v>15</v>
      </c>
      <c r="E15" s="57" t="s">
        <v>7</v>
      </c>
      <c r="F15" s="58" t="s">
        <v>16</v>
      </c>
      <c r="G15" s="17">
        <v>1000000</v>
      </c>
      <c r="H15" s="56">
        <f ca="1">_xll.meLWOSwapParRate(P15,Q15)</f>
        <v>6.7320266285421371E-3</v>
      </c>
      <c r="I15" s="53">
        <f t="shared" ca="1" si="1"/>
        <v>6.7320266285421371E-3</v>
      </c>
      <c r="J15" s="59">
        <v>0.79079999999999995</v>
      </c>
      <c r="K15" s="6">
        <f ca="1">_xll.meMathEuropeanIRSwaptionPrice($E15,$R15,$H15,$I15,$J15,$T15)</f>
        <v>10268.493643007689</v>
      </c>
      <c r="L15" s="75">
        <f ca="1">_xll.meMathEuropeanIRSwaptionImpliedVol(K15,E15,R15,H15,I15,T15)</f>
        <v>0.79079999999999762</v>
      </c>
      <c r="M15" s="60">
        <v>8</v>
      </c>
      <c r="N15" s="30">
        <f ca="1">_xll.meDateFromTenor(AsOf,$B15,"MOD_FOLLOWING","TGT")</f>
        <v>43479</v>
      </c>
      <c r="O15" s="30">
        <f ca="1">_xll.meDateFromTenor($N15,$C15)</f>
        <v>45305</v>
      </c>
      <c r="P15" s="10" t="str">
        <f ca="1">_xll.meLWOSwapCreateFromGenerator("SWAP"&amp;$A15,$F15,IF($E15="PAYER","PAY","REC"),$G15,$N15,$O15,0,0)</f>
        <v>SWAP8@45:2</v>
      </c>
      <c r="Q15" s="10" t="s">
        <v>25</v>
      </c>
      <c r="R15" s="11">
        <f ca="1">_xll.meLWOSwapAnnuity($P15,$Q15,"Leg1:Fixed")</f>
        <v>4974112.1344672814</v>
      </c>
      <c r="S15" s="30">
        <f ca="1">_xll.meDateFromTenor($N15,"-"&amp;$D15,"MOD_FOLLOWING","TGT")</f>
        <v>43475</v>
      </c>
      <c r="T15" s="32">
        <f ca="1">_xll.meDateYearFraction(AsOf,$S15,"ACT/365")</f>
        <v>0.9945205479452055</v>
      </c>
      <c r="U15" s="32">
        <f ca="1">_xll.meCurveDiscountFactors($S15,$Q15,"OIS")</f>
        <v>1.0033510762319386</v>
      </c>
      <c r="V15" s="29">
        <f t="shared" ca="1" si="0"/>
        <v>-3.3639062514353108E-3</v>
      </c>
      <c r="W15" s="60"/>
    </row>
    <row r="16" spans="1:23" x14ac:dyDescent="0.25">
      <c r="A16" s="60">
        <v>9</v>
      </c>
      <c r="B16" s="74" t="s">
        <v>31</v>
      </c>
      <c r="C16" s="15" t="s">
        <v>32</v>
      </c>
      <c r="D16" s="16" t="s">
        <v>15</v>
      </c>
      <c r="E16" s="57" t="s">
        <v>7</v>
      </c>
      <c r="F16" s="58" t="s">
        <v>16</v>
      </c>
      <c r="G16" s="17">
        <v>1000000</v>
      </c>
      <c r="H16" s="56">
        <f ca="1">_xll.meLWOSwapParRate(P16,Q16)</f>
        <v>6.7320266285421371E-3</v>
      </c>
      <c r="I16" s="53">
        <f t="shared" ca="1" si="1"/>
        <v>6.7320266285421371E-3</v>
      </c>
      <c r="J16" s="59">
        <v>0.79079999999999995</v>
      </c>
      <c r="K16" s="6">
        <f ca="1">_xll.meMathEuropeanIRSwaptionPrice($E16,$R16,$H16,$I16,$J16,$T16)</f>
        <v>10268.493643007689</v>
      </c>
      <c r="L16" s="75">
        <f ca="1">_xll.meMathEuropeanIRSwaptionImpliedVol(K16,E16,R16,H16,I16,T16)</f>
        <v>0.79079999999999762</v>
      </c>
      <c r="M16" s="60">
        <v>9</v>
      </c>
      <c r="N16" s="30">
        <f ca="1">_xll.meDateFromTenor(AsOf,$B16,"MOD_FOLLOWING","TGT")</f>
        <v>43479</v>
      </c>
      <c r="O16" s="30">
        <f ca="1">_xll.meDateFromTenor($N16,$C16)</f>
        <v>45305</v>
      </c>
      <c r="P16" s="10" t="str">
        <f ca="1">_xll.meLWOSwapCreateFromGenerator("SWAP"&amp;$A16,$F16,IF($E16="PAYER","PAY","REC"),$G16,$N16,$O16,0,0)</f>
        <v>SWAP9@29:2</v>
      </c>
      <c r="Q16" s="10" t="s">
        <v>25</v>
      </c>
      <c r="R16" s="11">
        <f ca="1">_xll.meLWOSwapAnnuity($P16,$Q16,"Leg1:Fixed")</f>
        <v>4974112.1344672814</v>
      </c>
      <c r="S16" s="30">
        <f ca="1">_xll.meDateFromTenor($N16,"-"&amp;$D16,"MOD_FOLLOWING","TGT")</f>
        <v>43475</v>
      </c>
      <c r="T16" s="32">
        <f ca="1">_xll.meDateYearFraction(AsOf,$S16,"ACT/365")</f>
        <v>0.9945205479452055</v>
      </c>
      <c r="U16" s="32">
        <f ca="1">_xll.meCurveDiscountFactors($S16,$Q16,"OIS")</f>
        <v>1.0033510762319386</v>
      </c>
      <c r="V16" s="29">
        <f t="shared" ca="1" si="0"/>
        <v>-3.3639062514353108E-3</v>
      </c>
      <c r="W16" s="60"/>
    </row>
    <row r="17" spans="1:23" x14ac:dyDescent="0.25">
      <c r="A17" s="60">
        <v>10</v>
      </c>
      <c r="B17" s="74" t="s">
        <v>31</v>
      </c>
      <c r="C17" s="15" t="s">
        <v>32</v>
      </c>
      <c r="D17" s="16" t="s">
        <v>15</v>
      </c>
      <c r="E17" s="57" t="s">
        <v>7</v>
      </c>
      <c r="F17" s="58" t="s">
        <v>16</v>
      </c>
      <c r="G17" s="17">
        <v>1000000</v>
      </c>
      <c r="H17" s="56">
        <f ca="1">_xll.meLWOSwapParRate(P17,Q17)</f>
        <v>6.7320266285421371E-3</v>
      </c>
      <c r="I17" s="53">
        <f t="shared" ca="1" si="1"/>
        <v>6.7320266285421371E-3</v>
      </c>
      <c r="J17" s="59">
        <v>0.79079999999999995</v>
      </c>
      <c r="K17" s="6">
        <f ca="1">_xll.meMathEuropeanIRSwaptionPrice($E17,$R17,$H17,$I17,$J17,$T17)</f>
        <v>10268.493643007689</v>
      </c>
      <c r="L17" s="75">
        <f ca="1">_xll.meMathEuropeanIRSwaptionImpliedVol(K17,E17,R17,H17,I17,T17)</f>
        <v>0.79079999999999762</v>
      </c>
      <c r="M17" s="60">
        <v>10</v>
      </c>
      <c r="N17" s="30">
        <f ca="1">_xll.meDateFromTenor(AsOf,$B17,"MOD_FOLLOWING","TGT")</f>
        <v>43479</v>
      </c>
      <c r="O17" s="30">
        <f ca="1">_xll.meDateFromTenor($N17,$C17)</f>
        <v>45305</v>
      </c>
      <c r="P17" s="10" t="str">
        <f ca="1">_xll.meLWOSwapCreateFromGenerator("SWAP"&amp;$A17,$F17,IF($E17="PAYER","PAY","REC"),$G17,$N17,$O17,0,0)</f>
        <v>SWAP10@37:2</v>
      </c>
      <c r="Q17" s="10" t="s">
        <v>25</v>
      </c>
      <c r="R17" s="11">
        <f ca="1">_xll.meLWOSwapAnnuity($P17,$Q17,"Leg1:Fixed")</f>
        <v>4974112.1344672814</v>
      </c>
      <c r="S17" s="30">
        <f ca="1">_xll.meDateFromTenor($N17,"-"&amp;$D17,"MOD_FOLLOWING","TGT")</f>
        <v>43475</v>
      </c>
      <c r="T17" s="32">
        <f ca="1">_xll.meDateYearFraction(AsOf,$S17,"ACT/365")</f>
        <v>0.9945205479452055</v>
      </c>
      <c r="U17" s="32">
        <f ca="1">_xll.meCurveDiscountFactors($S17,$Q17,"OIS")</f>
        <v>1.0033510762319386</v>
      </c>
      <c r="V17" s="29">
        <f t="shared" ca="1" si="0"/>
        <v>-3.3639062514353108E-3</v>
      </c>
      <c r="W17" s="60"/>
    </row>
    <row r="18" spans="1:23" x14ac:dyDescent="0.25">
      <c r="A18" s="60">
        <v>11</v>
      </c>
      <c r="B18" s="74" t="s">
        <v>31</v>
      </c>
      <c r="C18" s="15" t="s">
        <v>32</v>
      </c>
      <c r="D18" s="16" t="s">
        <v>15</v>
      </c>
      <c r="E18" s="57" t="s">
        <v>7</v>
      </c>
      <c r="F18" s="58" t="s">
        <v>16</v>
      </c>
      <c r="G18" s="17">
        <v>1000000</v>
      </c>
      <c r="H18" s="56">
        <f ca="1">_xll.meLWOSwapParRate(P18,Q18)</f>
        <v>6.7320266285421371E-3</v>
      </c>
      <c r="I18" s="53">
        <f t="shared" ca="1" si="1"/>
        <v>6.7320266285421371E-3</v>
      </c>
      <c r="J18" s="59">
        <v>0.79079999999999995</v>
      </c>
      <c r="K18" s="6">
        <f ca="1">_xll.meMathEuropeanIRSwaptionPrice($E18,$R18,$H18,$I18,$J18,$T18)</f>
        <v>10268.493643007689</v>
      </c>
      <c r="L18" s="75">
        <f ca="1">_xll.meMathEuropeanIRSwaptionImpliedVol(K18,E18,R18,H18,I18,T18)</f>
        <v>0.79079999999999762</v>
      </c>
      <c r="M18" s="60">
        <v>11</v>
      </c>
      <c r="N18" s="30">
        <f ca="1">_xll.meDateFromTenor(AsOf,$B18,"MOD_FOLLOWING","TGT")</f>
        <v>43479</v>
      </c>
      <c r="O18" s="30">
        <f ca="1">_xll.meDateFromTenor($N18,$C18)</f>
        <v>45305</v>
      </c>
      <c r="P18" s="10" t="str">
        <f ca="1">_xll.meLWOSwapCreateFromGenerator("SWAP"&amp;$A18,$F18,IF($E18="PAYER","PAY","REC"),$G18,$N18,$O18,0,0)</f>
        <v>SWAP11@33:2</v>
      </c>
      <c r="Q18" s="10" t="s">
        <v>25</v>
      </c>
      <c r="R18" s="11">
        <f ca="1">_xll.meLWOSwapAnnuity($P18,$Q18,"Leg1:Fixed")</f>
        <v>4974112.1344672814</v>
      </c>
      <c r="S18" s="30">
        <f ca="1">_xll.meDateFromTenor($N18,"-"&amp;$D18,"MOD_FOLLOWING","TGT")</f>
        <v>43475</v>
      </c>
      <c r="T18" s="32">
        <f ca="1">_xll.meDateYearFraction(AsOf,$S18,"ACT/365")</f>
        <v>0.9945205479452055</v>
      </c>
      <c r="U18" s="32">
        <f ca="1">_xll.meCurveDiscountFactors($S18,$Q18,"OIS")</f>
        <v>1.0033510762319386</v>
      </c>
      <c r="V18" s="29">
        <f t="shared" ca="1" si="0"/>
        <v>-3.3639062514353108E-3</v>
      </c>
      <c r="W18" s="60"/>
    </row>
    <row r="19" spans="1:23" x14ac:dyDescent="0.25">
      <c r="A19" s="60">
        <v>12</v>
      </c>
      <c r="B19" s="74" t="s">
        <v>31</v>
      </c>
      <c r="C19" s="15" t="s">
        <v>32</v>
      </c>
      <c r="D19" s="16" t="s">
        <v>15</v>
      </c>
      <c r="E19" s="57" t="s">
        <v>7</v>
      </c>
      <c r="F19" s="58" t="s">
        <v>16</v>
      </c>
      <c r="G19" s="17">
        <v>1000000</v>
      </c>
      <c r="H19" s="56">
        <f ca="1">_xll.meLWOSwapParRate(P19,Q19)</f>
        <v>6.7320266285421371E-3</v>
      </c>
      <c r="I19" s="53">
        <f t="shared" ca="1" si="1"/>
        <v>6.7320266285421371E-3</v>
      </c>
      <c r="J19" s="59">
        <v>0.79079999999999995</v>
      </c>
      <c r="K19" s="6">
        <f ca="1">_xll.meMathEuropeanIRSwaptionPrice($E19,$R19,$H19,$I19,$J19,$T19)</f>
        <v>10268.493643007689</v>
      </c>
      <c r="L19" s="75">
        <f ca="1">_xll.meMathEuropeanIRSwaptionImpliedVol(K19,E19,R19,H19,I19,T19)</f>
        <v>0.79079999999999762</v>
      </c>
      <c r="M19" s="60">
        <v>12</v>
      </c>
      <c r="N19" s="30">
        <f ca="1">_xll.meDateFromTenor(AsOf,$B19,"MOD_FOLLOWING","TGT")</f>
        <v>43479</v>
      </c>
      <c r="O19" s="30">
        <f ca="1">_xll.meDateFromTenor($N19,$C19)</f>
        <v>45305</v>
      </c>
      <c r="P19" s="10" t="str">
        <f ca="1">_xll.meLWOSwapCreateFromGenerator("SWAP"&amp;$A19,$F19,IF($E19="PAYER","PAY","REC"),$G19,$N19,$O19,0,0)</f>
        <v>SWAP12@20:2</v>
      </c>
      <c r="Q19" s="10" t="s">
        <v>25</v>
      </c>
      <c r="R19" s="11">
        <f ca="1">_xll.meLWOSwapAnnuity($P19,$Q19,"Leg1:Fixed")</f>
        <v>4974112.1344672814</v>
      </c>
      <c r="S19" s="30">
        <f ca="1">_xll.meDateFromTenor($N19,"-"&amp;$D19,"MOD_FOLLOWING","TGT")</f>
        <v>43475</v>
      </c>
      <c r="T19" s="32">
        <f ca="1">_xll.meDateYearFraction(AsOf,$S19,"ACT/365")</f>
        <v>0.9945205479452055</v>
      </c>
      <c r="U19" s="32">
        <f ca="1">_xll.meCurveDiscountFactors($S19,$Q19,"OIS")</f>
        <v>1.0033510762319386</v>
      </c>
      <c r="V19" s="29">
        <f t="shared" ca="1" si="0"/>
        <v>-3.3639062514353108E-3</v>
      </c>
      <c r="W19" s="60"/>
    </row>
    <row r="20" spans="1:23" x14ac:dyDescent="0.25">
      <c r="A20" s="60">
        <v>13</v>
      </c>
      <c r="B20" s="74" t="s">
        <v>31</v>
      </c>
      <c r="C20" s="15" t="s">
        <v>32</v>
      </c>
      <c r="D20" s="16" t="s">
        <v>15</v>
      </c>
      <c r="E20" s="57" t="s">
        <v>7</v>
      </c>
      <c r="F20" s="58" t="s">
        <v>16</v>
      </c>
      <c r="G20" s="17">
        <v>1000000</v>
      </c>
      <c r="H20" s="56">
        <f ca="1">_xll.meLWOSwapParRate(P20,Q20)</f>
        <v>6.7320266285421371E-3</v>
      </c>
      <c r="I20" s="53">
        <f t="shared" ca="1" si="1"/>
        <v>6.7320266285421371E-3</v>
      </c>
      <c r="J20" s="59">
        <v>0.79079999999999995</v>
      </c>
      <c r="K20" s="6">
        <f ca="1">_xll.meMathEuropeanIRSwaptionPrice($E20,$R20,$H20,$I20,$J20,$T20)</f>
        <v>10268.493643007689</v>
      </c>
      <c r="L20" s="75">
        <f ca="1">_xll.meMathEuropeanIRSwaptionImpliedVol(K20,E20,R20,H20,I20,T20)</f>
        <v>0.79079999999999762</v>
      </c>
      <c r="M20" s="60">
        <v>13</v>
      </c>
      <c r="N20" s="30">
        <f ca="1">_xll.meDateFromTenor(AsOf,$B20,"MOD_FOLLOWING","TGT")</f>
        <v>43479</v>
      </c>
      <c r="O20" s="30">
        <f ca="1">_xll.meDateFromTenor($N20,$C20)</f>
        <v>45305</v>
      </c>
      <c r="P20" s="10" t="str">
        <f ca="1">_xll.meLWOSwapCreateFromGenerator("SWAP"&amp;$A20,$F20,IF($E20="PAYER","PAY","REC"),$G20,$N20,$O20,0,0)</f>
        <v>SWAP13@43:2</v>
      </c>
      <c r="Q20" s="10" t="s">
        <v>25</v>
      </c>
      <c r="R20" s="11">
        <f ca="1">_xll.meLWOSwapAnnuity($P20,$Q20,"Leg1:Fixed")</f>
        <v>4974112.1344672814</v>
      </c>
      <c r="S20" s="30">
        <f ca="1">_xll.meDateFromTenor($N20,"-"&amp;$D20,"MOD_FOLLOWING","TGT")</f>
        <v>43475</v>
      </c>
      <c r="T20" s="32">
        <f ca="1">_xll.meDateYearFraction(AsOf,$S20,"ACT/365")</f>
        <v>0.9945205479452055</v>
      </c>
      <c r="U20" s="32">
        <f ca="1">_xll.meCurveDiscountFactors($S20,$Q20,"OIS")</f>
        <v>1.0033510762319386</v>
      </c>
      <c r="V20" s="29">
        <f t="shared" ca="1" si="0"/>
        <v>-3.3639062514353108E-3</v>
      </c>
      <c r="W20" s="60"/>
    </row>
    <row r="21" spans="1:23" x14ac:dyDescent="0.25">
      <c r="A21" s="60">
        <v>14</v>
      </c>
      <c r="B21" s="74" t="s">
        <v>31</v>
      </c>
      <c r="C21" s="15" t="s">
        <v>32</v>
      </c>
      <c r="D21" s="16" t="s">
        <v>15</v>
      </c>
      <c r="E21" s="57" t="s">
        <v>7</v>
      </c>
      <c r="F21" s="58" t="s">
        <v>16</v>
      </c>
      <c r="G21" s="17">
        <v>1000000</v>
      </c>
      <c r="H21" s="56">
        <f ca="1">_xll.meLWOSwapParRate(P21,Q21)</f>
        <v>6.7320266285421371E-3</v>
      </c>
      <c r="I21" s="53">
        <f t="shared" ca="1" si="1"/>
        <v>6.7320266285421371E-3</v>
      </c>
      <c r="J21" s="59">
        <v>0.79079999999999995</v>
      </c>
      <c r="K21" s="6">
        <f ca="1">_xll.meMathEuropeanIRSwaptionPrice($E21,$R21,$H21,$I21,$J21,$T21)</f>
        <v>10268.493643007689</v>
      </c>
      <c r="L21" s="75">
        <f ca="1">_xll.meMathEuropeanIRSwaptionImpliedVol(K21,E21,R21,H21,I21,T21)</f>
        <v>0.79079999999999762</v>
      </c>
      <c r="M21" s="60">
        <v>14</v>
      </c>
      <c r="N21" s="30">
        <f ca="1">_xll.meDateFromTenor(AsOf,$B21,"MOD_FOLLOWING","TGT")</f>
        <v>43479</v>
      </c>
      <c r="O21" s="30">
        <f ca="1">_xll.meDateFromTenor($N21,$C21)</f>
        <v>45305</v>
      </c>
      <c r="P21" s="10" t="str">
        <f ca="1">_xll.meLWOSwapCreateFromGenerator("SWAP"&amp;$A21,$F21,IF($E21="PAYER","PAY","REC"),$G21,$N21,$O21,0,0)</f>
        <v>SWAP14@31:2</v>
      </c>
      <c r="Q21" s="10" t="s">
        <v>25</v>
      </c>
      <c r="R21" s="11">
        <f ca="1">_xll.meLWOSwapAnnuity($P21,$Q21,"Leg1:Fixed")</f>
        <v>4974112.1344672814</v>
      </c>
      <c r="S21" s="30">
        <f ca="1">_xll.meDateFromTenor($N21,"-"&amp;$D21,"MOD_FOLLOWING","TGT")</f>
        <v>43475</v>
      </c>
      <c r="T21" s="32">
        <f ca="1">_xll.meDateYearFraction(AsOf,$S21,"ACT/365")</f>
        <v>0.9945205479452055</v>
      </c>
      <c r="U21" s="32">
        <f ca="1">_xll.meCurveDiscountFactors($S21,$Q21,"OIS")</f>
        <v>1.0033510762319386</v>
      </c>
      <c r="V21" s="29">
        <f t="shared" ca="1" si="0"/>
        <v>-3.3639062514353108E-3</v>
      </c>
      <c r="W21" s="60"/>
    </row>
    <row r="22" spans="1:23" x14ac:dyDescent="0.25">
      <c r="A22" s="60">
        <v>15</v>
      </c>
      <c r="B22" s="74" t="s">
        <v>31</v>
      </c>
      <c r="C22" s="15" t="s">
        <v>32</v>
      </c>
      <c r="D22" s="16" t="s">
        <v>15</v>
      </c>
      <c r="E22" s="57" t="s">
        <v>7</v>
      </c>
      <c r="F22" s="58" t="s">
        <v>16</v>
      </c>
      <c r="G22" s="17">
        <v>1000000</v>
      </c>
      <c r="H22" s="56">
        <f ca="1">_xll.meLWOSwapParRate(P22,Q22)</f>
        <v>6.7320266285421371E-3</v>
      </c>
      <c r="I22" s="53">
        <f t="shared" ca="1" si="1"/>
        <v>6.7320266285421371E-3</v>
      </c>
      <c r="J22" s="59">
        <v>0.79079999999999995</v>
      </c>
      <c r="K22" s="6">
        <f ca="1">_xll.meMathEuropeanIRSwaptionPrice($E22,$R22,$H22,$I22,$J22,$T22)</f>
        <v>10268.493643007689</v>
      </c>
      <c r="L22" s="75">
        <f ca="1">_xll.meMathEuropeanIRSwaptionImpliedVol(K22,E22,R22,H22,I22,T22)</f>
        <v>0.79079999999999762</v>
      </c>
      <c r="M22" s="60">
        <v>15</v>
      </c>
      <c r="N22" s="30">
        <f ca="1">_xll.meDateFromTenor(AsOf,$B22,"MOD_FOLLOWING","TGT")</f>
        <v>43479</v>
      </c>
      <c r="O22" s="30">
        <f ca="1">_xll.meDateFromTenor($N22,$C22)</f>
        <v>45305</v>
      </c>
      <c r="P22" s="10" t="str">
        <f ca="1">_xll.meLWOSwapCreateFromGenerator("SWAP"&amp;$A22,$F22,IF($E22="PAYER","PAY","REC"),$G22,$N22,$O22,0,0)</f>
        <v>SWAP15@22:2</v>
      </c>
      <c r="Q22" s="10" t="s">
        <v>25</v>
      </c>
      <c r="R22" s="11">
        <f ca="1">_xll.meLWOSwapAnnuity($P22,$Q22,"Leg1:Fixed")</f>
        <v>4974112.1344672814</v>
      </c>
      <c r="S22" s="30">
        <f ca="1">_xll.meDateFromTenor($N22,"-"&amp;$D22,"MOD_FOLLOWING","TGT")</f>
        <v>43475</v>
      </c>
      <c r="T22" s="32">
        <f ca="1">_xll.meDateYearFraction(AsOf,$S22,"ACT/365")</f>
        <v>0.9945205479452055</v>
      </c>
      <c r="U22" s="32">
        <f ca="1">_xll.meCurveDiscountFactors($S22,$Q22,"OIS")</f>
        <v>1.0033510762319386</v>
      </c>
      <c r="V22" s="29">
        <f t="shared" ca="1" si="0"/>
        <v>-3.3639062514353108E-3</v>
      </c>
      <c r="W22" s="60"/>
    </row>
    <row r="23" spans="1:23" x14ac:dyDescent="0.25">
      <c r="A23" s="60">
        <v>16</v>
      </c>
      <c r="B23" s="74" t="s">
        <v>31</v>
      </c>
      <c r="C23" s="15" t="s">
        <v>32</v>
      </c>
      <c r="D23" s="16" t="s">
        <v>15</v>
      </c>
      <c r="E23" s="57" t="s">
        <v>7</v>
      </c>
      <c r="F23" s="58" t="s">
        <v>16</v>
      </c>
      <c r="G23" s="17">
        <v>1000000</v>
      </c>
      <c r="H23" s="56">
        <f ca="1">_xll.meLWOSwapParRate(P23,Q23)</f>
        <v>6.7320266285421371E-3</v>
      </c>
      <c r="I23" s="53">
        <f t="shared" ca="1" si="1"/>
        <v>6.7320266285421371E-3</v>
      </c>
      <c r="J23" s="59">
        <v>0.79079999999999995</v>
      </c>
      <c r="K23" s="6">
        <f ca="1">_xll.meMathEuropeanIRSwaptionPrice($E23,$R23,$H23,$I23,$J23,$T23)</f>
        <v>10268.493643007689</v>
      </c>
      <c r="L23" s="75">
        <f ca="1">_xll.meMathEuropeanIRSwaptionImpliedVol(K23,E23,R23,H23,I23,T23)</f>
        <v>0.79079999999999762</v>
      </c>
      <c r="M23" s="60">
        <v>16</v>
      </c>
      <c r="N23" s="30">
        <f ca="1">_xll.meDateFromTenor(AsOf,$B23,"MOD_FOLLOWING","TGT")</f>
        <v>43479</v>
      </c>
      <c r="O23" s="30">
        <f ca="1">_xll.meDateFromTenor($N23,$C23)</f>
        <v>45305</v>
      </c>
      <c r="P23" s="10" t="str">
        <f ca="1">_xll.meLWOSwapCreateFromGenerator("SWAP"&amp;$A23,$F23,IF($E23="PAYER","PAY","REC"),$G23,$N23,$O23,0,0)</f>
        <v>SWAP16@18:2</v>
      </c>
      <c r="Q23" s="10" t="s">
        <v>25</v>
      </c>
      <c r="R23" s="11">
        <f ca="1">_xll.meLWOSwapAnnuity($P23,$Q23,"Leg1:Fixed")</f>
        <v>4974112.1344672814</v>
      </c>
      <c r="S23" s="30">
        <f ca="1">_xll.meDateFromTenor($N23,"-"&amp;$D23,"MOD_FOLLOWING","TGT")</f>
        <v>43475</v>
      </c>
      <c r="T23" s="32">
        <f ca="1">_xll.meDateYearFraction(AsOf,$S23,"ACT/365")</f>
        <v>0.9945205479452055</v>
      </c>
      <c r="U23" s="32">
        <f ca="1">_xll.meCurveDiscountFactors($S23,$Q23,"OIS")</f>
        <v>1.0033510762319386</v>
      </c>
      <c r="V23" s="29">
        <f t="shared" ca="1" si="0"/>
        <v>-3.3639062514353108E-3</v>
      </c>
      <c r="W23" s="60"/>
    </row>
    <row r="24" spans="1:23" x14ac:dyDescent="0.25">
      <c r="A24" s="60">
        <v>17</v>
      </c>
      <c r="B24" s="74" t="s">
        <v>31</v>
      </c>
      <c r="C24" s="15" t="s">
        <v>32</v>
      </c>
      <c r="D24" s="16" t="s">
        <v>15</v>
      </c>
      <c r="E24" s="57" t="s">
        <v>7</v>
      </c>
      <c r="F24" s="58" t="s">
        <v>16</v>
      </c>
      <c r="G24" s="17">
        <v>1000000</v>
      </c>
      <c r="H24" s="56">
        <f ca="1">_xll.meLWOSwapParRate(P24,Q24)</f>
        <v>6.7320266285421371E-3</v>
      </c>
      <c r="I24" s="53">
        <f t="shared" ca="1" si="1"/>
        <v>6.7320266285421371E-3</v>
      </c>
      <c r="J24" s="59">
        <v>0.79079999999999995</v>
      </c>
      <c r="K24" s="6">
        <f ca="1">_xll.meMathEuropeanIRSwaptionPrice($E24,$R24,$H24,$I24,$J24,$T24)</f>
        <v>10268.493643007689</v>
      </c>
      <c r="L24" s="75">
        <f ca="1">_xll.meMathEuropeanIRSwaptionImpliedVol(K24,E24,R24,H24,I24,T24)</f>
        <v>0.79079999999999762</v>
      </c>
      <c r="M24" s="60">
        <v>17</v>
      </c>
      <c r="N24" s="30">
        <f ca="1">_xll.meDateFromTenor(AsOf,$B24,"MOD_FOLLOWING","TGT")</f>
        <v>43479</v>
      </c>
      <c r="O24" s="30">
        <f ca="1">_xll.meDateFromTenor($N24,$C24)</f>
        <v>45305</v>
      </c>
      <c r="P24" s="10" t="str">
        <f ca="1">_xll.meLWOSwapCreateFromGenerator("SWAP"&amp;$A24,$F24,IF($E24="PAYER","PAY","REC"),$G24,$N24,$O24,0,0)</f>
        <v>SWAP17@48:2</v>
      </c>
      <c r="Q24" s="10" t="s">
        <v>25</v>
      </c>
      <c r="R24" s="11">
        <f ca="1">_xll.meLWOSwapAnnuity($P24,$Q24,"Leg1:Fixed")</f>
        <v>4974112.1344672814</v>
      </c>
      <c r="S24" s="30">
        <f ca="1">_xll.meDateFromTenor($N24,"-"&amp;$D24,"MOD_FOLLOWING","TGT")</f>
        <v>43475</v>
      </c>
      <c r="T24" s="32">
        <f ca="1">_xll.meDateYearFraction(AsOf,$S24,"ACT/365")</f>
        <v>0.9945205479452055</v>
      </c>
      <c r="U24" s="32">
        <f ca="1">_xll.meCurveDiscountFactors($S24,$Q24,"OIS")</f>
        <v>1.0033510762319386</v>
      </c>
      <c r="V24" s="29">
        <f t="shared" ca="1" si="0"/>
        <v>-3.3639062514353108E-3</v>
      </c>
      <c r="W24" s="60"/>
    </row>
    <row r="25" spans="1:23" x14ac:dyDescent="0.25">
      <c r="A25" s="60">
        <v>18</v>
      </c>
      <c r="B25" s="74" t="s">
        <v>31</v>
      </c>
      <c r="C25" s="15" t="s">
        <v>32</v>
      </c>
      <c r="D25" s="16" t="s">
        <v>15</v>
      </c>
      <c r="E25" s="57" t="s">
        <v>7</v>
      </c>
      <c r="F25" s="58" t="s">
        <v>16</v>
      </c>
      <c r="G25" s="17">
        <v>1000000</v>
      </c>
      <c r="H25" s="56">
        <f ca="1">_xll.meLWOSwapParRate(P25,Q25)</f>
        <v>6.7320266285421371E-3</v>
      </c>
      <c r="I25" s="53">
        <f t="shared" ca="1" si="1"/>
        <v>6.7320266285421371E-3</v>
      </c>
      <c r="J25" s="59">
        <v>0.79079999999999995</v>
      </c>
      <c r="K25" s="6">
        <f ca="1">_xll.meMathEuropeanIRSwaptionPrice($E25,$R25,$H25,$I25,$J25,$T25)</f>
        <v>10268.493643007689</v>
      </c>
      <c r="L25" s="75">
        <f ca="1">_xll.meMathEuropeanIRSwaptionImpliedVol(K25,E25,R25,H25,I25,T25)</f>
        <v>0.79079999999999762</v>
      </c>
      <c r="M25" s="60">
        <v>18</v>
      </c>
      <c r="N25" s="30">
        <f ca="1">_xll.meDateFromTenor(AsOf,$B25,"MOD_FOLLOWING","TGT")</f>
        <v>43479</v>
      </c>
      <c r="O25" s="30">
        <f ca="1">_xll.meDateFromTenor($N25,$C25)</f>
        <v>45305</v>
      </c>
      <c r="P25" s="10" t="str">
        <f ca="1">_xll.meLWOSwapCreateFromGenerator("SWAP"&amp;$A25,$F25,IF($E25="PAYER","PAY","REC"),$G25,$N25,$O25,0,0)</f>
        <v>SWAP18@41:2</v>
      </c>
      <c r="Q25" s="10" t="s">
        <v>25</v>
      </c>
      <c r="R25" s="11">
        <f ca="1">_xll.meLWOSwapAnnuity($P25,$Q25,"Leg1:Fixed")</f>
        <v>4974112.1344672814</v>
      </c>
      <c r="S25" s="30">
        <f ca="1">_xll.meDateFromTenor($N25,"-"&amp;$D25,"MOD_FOLLOWING","TGT")</f>
        <v>43475</v>
      </c>
      <c r="T25" s="32">
        <f ca="1">_xll.meDateYearFraction(AsOf,$S25,"ACT/365")</f>
        <v>0.9945205479452055</v>
      </c>
      <c r="U25" s="32">
        <f ca="1">_xll.meCurveDiscountFactors($S25,$Q25,"OIS")</f>
        <v>1.0033510762319386</v>
      </c>
      <c r="V25" s="29">
        <f t="shared" ca="1" si="0"/>
        <v>-3.3639062514353108E-3</v>
      </c>
      <c r="W25" s="60"/>
    </row>
    <row r="26" spans="1:23" x14ac:dyDescent="0.25">
      <c r="A26" s="60">
        <v>19</v>
      </c>
      <c r="B26" s="74" t="s">
        <v>31</v>
      </c>
      <c r="C26" s="15" t="s">
        <v>32</v>
      </c>
      <c r="D26" s="16" t="s">
        <v>15</v>
      </c>
      <c r="E26" s="57" t="s">
        <v>7</v>
      </c>
      <c r="F26" s="58" t="s">
        <v>16</v>
      </c>
      <c r="G26" s="17">
        <v>1000000</v>
      </c>
      <c r="H26" s="56">
        <f ca="1">_xll.meLWOSwapParRate(P26,Q26)</f>
        <v>6.7320266285421371E-3</v>
      </c>
      <c r="I26" s="53">
        <f t="shared" ca="1" si="1"/>
        <v>6.7320266285421371E-3</v>
      </c>
      <c r="J26" s="59">
        <v>0.79079999999999995</v>
      </c>
      <c r="K26" s="6">
        <f ca="1">_xll.meMathEuropeanIRSwaptionPrice($E26,$R26,$H26,$I26,$J26,$T26)</f>
        <v>10268.493643007689</v>
      </c>
      <c r="L26" s="75">
        <f ca="1">_xll.meMathEuropeanIRSwaptionImpliedVol(K26,E26,R26,H26,I26,T26)</f>
        <v>0.79079999999999762</v>
      </c>
      <c r="M26" s="60">
        <v>19</v>
      </c>
      <c r="N26" s="30">
        <f ca="1">_xll.meDateFromTenor(AsOf,$B26,"MOD_FOLLOWING","TGT")</f>
        <v>43479</v>
      </c>
      <c r="O26" s="30">
        <f ca="1">_xll.meDateFromTenor($N26,$C26)</f>
        <v>45305</v>
      </c>
      <c r="P26" s="10" t="str">
        <f ca="1">_xll.meLWOSwapCreateFromGenerator("SWAP"&amp;$A26,$F26,IF($E26="PAYER","PAY","REC"),$G26,$N26,$O26,0,0)</f>
        <v>SWAP19@19:2</v>
      </c>
      <c r="Q26" s="10" t="s">
        <v>25</v>
      </c>
      <c r="R26" s="11">
        <f ca="1">_xll.meLWOSwapAnnuity($P26,$Q26,"Leg1:Fixed")</f>
        <v>4974112.1344672814</v>
      </c>
      <c r="S26" s="30">
        <f ca="1">_xll.meDateFromTenor($N26,"-"&amp;$D26,"MOD_FOLLOWING","TGT")</f>
        <v>43475</v>
      </c>
      <c r="T26" s="32">
        <f ca="1">_xll.meDateYearFraction(AsOf,$S26,"ACT/365")</f>
        <v>0.9945205479452055</v>
      </c>
      <c r="U26" s="32">
        <f ca="1">_xll.meCurveDiscountFactors($S26,$Q26,"OIS")</f>
        <v>1.0033510762319386</v>
      </c>
      <c r="V26" s="29">
        <f t="shared" ca="1" si="0"/>
        <v>-3.3639062514353108E-3</v>
      </c>
      <c r="W26" s="60"/>
    </row>
    <row r="27" spans="1:23" x14ac:dyDescent="0.25">
      <c r="A27" s="60">
        <v>20</v>
      </c>
      <c r="B27" s="74" t="s">
        <v>31</v>
      </c>
      <c r="C27" s="15" t="s">
        <v>32</v>
      </c>
      <c r="D27" s="16" t="s">
        <v>15</v>
      </c>
      <c r="E27" s="57" t="s">
        <v>7</v>
      </c>
      <c r="F27" s="58" t="s">
        <v>16</v>
      </c>
      <c r="G27" s="17">
        <v>1000000</v>
      </c>
      <c r="H27" s="56">
        <f ca="1">_xll.meLWOSwapParRate(P27,Q27)</f>
        <v>6.7320266285421371E-3</v>
      </c>
      <c r="I27" s="53">
        <f t="shared" ca="1" si="1"/>
        <v>6.7320266285421371E-3</v>
      </c>
      <c r="J27" s="59">
        <v>0.79079999999999995</v>
      </c>
      <c r="K27" s="6">
        <f ca="1">_xll.meMathEuropeanIRSwaptionPrice($E27,$R27,$H27,$I27,$J27,$T27)</f>
        <v>10268.493643007689</v>
      </c>
      <c r="L27" s="75">
        <f ca="1">_xll.meMathEuropeanIRSwaptionImpliedVol(K27,E27,R27,H27,I27,T27)</f>
        <v>0.79079999999999762</v>
      </c>
      <c r="M27" s="60">
        <v>20</v>
      </c>
      <c r="N27" s="30">
        <f ca="1">_xll.meDateFromTenor(AsOf,$B27,"MOD_FOLLOWING","TGT")</f>
        <v>43479</v>
      </c>
      <c r="O27" s="30">
        <f ca="1">_xll.meDateFromTenor($N27,$C27)</f>
        <v>45305</v>
      </c>
      <c r="P27" s="10" t="str">
        <f ca="1">_xll.meLWOSwapCreateFromGenerator("SWAP"&amp;$A27,$F27,IF($E27="PAYER","PAY","REC"),$G27,$N27,$O27,0,0)</f>
        <v>SWAP20@40:2</v>
      </c>
      <c r="Q27" s="10" t="s">
        <v>25</v>
      </c>
      <c r="R27" s="11">
        <f ca="1">_xll.meLWOSwapAnnuity($P27,$Q27,"Leg1:Fixed")</f>
        <v>4974112.1344672814</v>
      </c>
      <c r="S27" s="30">
        <f ca="1">_xll.meDateFromTenor($N27,"-"&amp;$D27,"MOD_FOLLOWING","TGT")</f>
        <v>43475</v>
      </c>
      <c r="T27" s="32">
        <f ca="1">_xll.meDateYearFraction(AsOf,$S27,"ACT/365")</f>
        <v>0.9945205479452055</v>
      </c>
      <c r="U27" s="32">
        <f ca="1">_xll.meCurveDiscountFactors($S27,$Q27,"OIS")</f>
        <v>1.0033510762319386</v>
      </c>
      <c r="V27" s="29">
        <f t="shared" ca="1" si="0"/>
        <v>-3.3639062514353108E-3</v>
      </c>
      <c r="W27" s="60"/>
    </row>
    <row r="28" spans="1:23" x14ac:dyDescent="0.25">
      <c r="A28" s="60">
        <v>21</v>
      </c>
      <c r="B28" s="74" t="s">
        <v>31</v>
      </c>
      <c r="C28" s="15" t="s">
        <v>32</v>
      </c>
      <c r="D28" s="16" t="s">
        <v>15</v>
      </c>
      <c r="E28" s="57" t="s">
        <v>7</v>
      </c>
      <c r="F28" s="58" t="s">
        <v>16</v>
      </c>
      <c r="G28" s="17">
        <v>1000000</v>
      </c>
      <c r="H28" s="56">
        <f ca="1">_xll.meLWOSwapParRate(P28,Q28)</f>
        <v>6.7320266285421371E-3</v>
      </c>
      <c r="I28" s="53">
        <f t="shared" ca="1" si="1"/>
        <v>6.7320266285421371E-3</v>
      </c>
      <c r="J28" s="59">
        <v>0.79079999999999995</v>
      </c>
      <c r="K28" s="6">
        <f ca="1">_xll.meMathEuropeanIRSwaptionPrice($E28,$R28,$H28,$I28,$J28,$T28)</f>
        <v>10268.493643007689</v>
      </c>
      <c r="L28" s="75">
        <f ca="1">_xll.meMathEuropeanIRSwaptionImpliedVol(K28,E28,R28,H28,I28,T28)</f>
        <v>0.79079999999999762</v>
      </c>
      <c r="M28" s="60">
        <v>21</v>
      </c>
      <c r="N28" s="30">
        <f ca="1">_xll.meDateFromTenor(AsOf,$B28,"MOD_FOLLOWING","TGT")</f>
        <v>43479</v>
      </c>
      <c r="O28" s="30">
        <f ca="1">_xll.meDateFromTenor($N28,$C28)</f>
        <v>45305</v>
      </c>
      <c r="P28" s="10" t="str">
        <f ca="1">_xll.meLWOSwapCreateFromGenerator("SWAP"&amp;$A28,$F28,IF($E28="PAYER","PAY","REC"),$G28,$N28,$O28,0,0)</f>
        <v>SWAP21@28:2</v>
      </c>
      <c r="Q28" s="10" t="s">
        <v>25</v>
      </c>
      <c r="R28" s="11">
        <f ca="1">_xll.meLWOSwapAnnuity($P28,$Q28,"Leg1:Fixed")</f>
        <v>4974112.1344672814</v>
      </c>
      <c r="S28" s="30">
        <f ca="1">_xll.meDateFromTenor($N28,"-"&amp;$D28,"MOD_FOLLOWING","TGT")</f>
        <v>43475</v>
      </c>
      <c r="T28" s="32">
        <f ca="1">_xll.meDateYearFraction(AsOf,$S28,"ACT/365")</f>
        <v>0.9945205479452055</v>
      </c>
      <c r="U28" s="32">
        <f ca="1">_xll.meCurveDiscountFactors($S28,$Q28,"OIS")</f>
        <v>1.0033510762319386</v>
      </c>
      <c r="V28" s="29">
        <f t="shared" ca="1" si="0"/>
        <v>-3.3639062514353108E-3</v>
      </c>
      <c r="W28" s="60"/>
    </row>
    <row r="29" spans="1:23" x14ac:dyDescent="0.25">
      <c r="A29" s="60">
        <v>22</v>
      </c>
      <c r="B29" s="74" t="s">
        <v>31</v>
      </c>
      <c r="C29" s="15" t="s">
        <v>32</v>
      </c>
      <c r="D29" s="16" t="s">
        <v>15</v>
      </c>
      <c r="E29" s="57" t="s">
        <v>7</v>
      </c>
      <c r="F29" s="58" t="s">
        <v>16</v>
      </c>
      <c r="G29" s="17">
        <v>1000000</v>
      </c>
      <c r="H29" s="56">
        <f ca="1">_xll.meLWOSwapParRate(P29,Q29)</f>
        <v>6.7320266285421371E-3</v>
      </c>
      <c r="I29" s="53">
        <f t="shared" ca="1" si="1"/>
        <v>6.7320266285421371E-3</v>
      </c>
      <c r="J29" s="59">
        <v>0.79079999999999995</v>
      </c>
      <c r="K29" s="6">
        <f ca="1">_xll.meMathEuropeanIRSwaptionPrice($E29,$R29,$H29,$I29,$J29,$T29)</f>
        <v>10268.493643007689</v>
      </c>
      <c r="L29" s="75">
        <f ca="1">_xll.meMathEuropeanIRSwaptionImpliedVol(K29,E29,R29,H29,I29,T29)</f>
        <v>0.79079999999999762</v>
      </c>
      <c r="M29" s="60">
        <v>22</v>
      </c>
      <c r="N29" s="30">
        <f ca="1">_xll.meDateFromTenor(AsOf,$B29,"MOD_FOLLOWING","TGT")</f>
        <v>43479</v>
      </c>
      <c r="O29" s="30">
        <f ca="1">_xll.meDateFromTenor($N29,$C29)</f>
        <v>45305</v>
      </c>
      <c r="P29" s="10" t="str">
        <f ca="1">_xll.meLWOSwapCreateFromGenerator("SWAP"&amp;$A29,$F29,IF($E29="PAYER","PAY","REC"),$G29,$N29,$O29,0,0)</f>
        <v>SWAP22@30:2</v>
      </c>
      <c r="Q29" s="10" t="s">
        <v>25</v>
      </c>
      <c r="R29" s="11">
        <f ca="1">_xll.meLWOSwapAnnuity($P29,$Q29,"Leg1:Fixed")</f>
        <v>4974112.1344672814</v>
      </c>
      <c r="S29" s="30">
        <f ca="1">_xll.meDateFromTenor($N29,"-"&amp;$D29,"MOD_FOLLOWING","TGT")</f>
        <v>43475</v>
      </c>
      <c r="T29" s="32">
        <f ca="1">_xll.meDateYearFraction(AsOf,$S29,"ACT/365")</f>
        <v>0.9945205479452055</v>
      </c>
      <c r="U29" s="32">
        <f ca="1">_xll.meCurveDiscountFactors($S29,$Q29,"OIS")</f>
        <v>1.0033510762319386</v>
      </c>
      <c r="V29" s="29">
        <f t="shared" ca="1" si="0"/>
        <v>-3.3639062514353108E-3</v>
      </c>
      <c r="W29" s="60"/>
    </row>
    <row r="30" spans="1:23" x14ac:dyDescent="0.25">
      <c r="A30" s="60">
        <v>23</v>
      </c>
      <c r="B30" s="74" t="s">
        <v>31</v>
      </c>
      <c r="C30" s="15" t="s">
        <v>32</v>
      </c>
      <c r="D30" s="16" t="s">
        <v>15</v>
      </c>
      <c r="E30" s="57" t="s">
        <v>7</v>
      </c>
      <c r="F30" s="58" t="s">
        <v>16</v>
      </c>
      <c r="G30" s="17">
        <v>1000000</v>
      </c>
      <c r="H30" s="56">
        <f ca="1">_xll.meLWOSwapParRate(P30,Q30)</f>
        <v>6.7320266285421371E-3</v>
      </c>
      <c r="I30" s="53">
        <f t="shared" ca="1" si="1"/>
        <v>6.7320266285421371E-3</v>
      </c>
      <c r="J30" s="59">
        <v>0.79079999999999995</v>
      </c>
      <c r="K30" s="6">
        <f ca="1">_xll.meMathEuropeanIRSwaptionPrice($E30,$R30,$H30,$I30,$J30,$T30)</f>
        <v>10268.493643007689</v>
      </c>
      <c r="L30" s="75">
        <f ca="1">_xll.meMathEuropeanIRSwaptionImpliedVol(K30,E30,R30,H30,I30,T30)</f>
        <v>0.79079999999999762</v>
      </c>
      <c r="M30" s="60">
        <v>23</v>
      </c>
      <c r="N30" s="30">
        <f ca="1">_xll.meDateFromTenor(AsOf,$B30,"MOD_FOLLOWING","TGT")</f>
        <v>43479</v>
      </c>
      <c r="O30" s="30">
        <f ca="1">_xll.meDateFromTenor($N30,$C30)</f>
        <v>45305</v>
      </c>
      <c r="P30" s="10" t="str">
        <f ca="1">_xll.meLWOSwapCreateFromGenerator("SWAP"&amp;$A30,$F30,IF($E30="PAYER","PAY","REC"),$G30,$N30,$O30,0,0)</f>
        <v>SWAP23@38:2</v>
      </c>
      <c r="Q30" s="10" t="s">
        <v>25</v>
      </c>
      <c r="R30" s="11">
        <f ca="1">_xll.meLWOSwapAnnuity($P30,$Q30,"Leg1:Fixed")</f>
        <v>4974112.1344672814</v>
      </c>
      <c r="S30" s="30">
        <f ca="1">_xll.meDateFromTenor($N30,"-"&amp;$D30,"MOD_FOLLOWING","TGT")</f>
        <v>43475</v>
      </c>
      <c r="T30" s="32">
        <f ca="1">_xll.meDateYearFraction(AsOf,$S30,"ACT/365")</f>
        <v>0.9945205479452055</v>
      </c>
      <c r="U30" s="32">
        <f ca="1">_xll.meCurveDiscountFactors($S30,$Q30,"OIS")</f>
        <v>1.0033510762319386</v>
      </c>
      <c r="V30" s="29">
        <f t="shared" ca="1" si="0"/>
        <v>-3.3639062514353108E-3</v>
      </c>
      <c r="W30" s="60"/>
    </row>
    <row r="31" spans="1:23" x14ac:dyDescent="0.25">
      <c r="A31" s="60">
        <v>24</v>
      </c>
      <c r="B31" s="74" t="s">
        <v>31</v>
      </c>
      <c r="C31" s="15" t="s">
        <v>32</v>
      </c>
      <c r="D31" s="16" t="s">
        <v>15</v>
      </c>
      <c r="E31" s="57" t="s">
        <v>7</v>
      </c>
      <c r="F31" s="58" t="s">
        <v>16</v>
      </c>
      <c r="G31" s="17">
        <v>1000000</v>
      </c>
      <c r="H31" s="56">
        <f ca="1">_xll.meLWOSwapParRate(P31,Q31)</f>
        <v>6.7320266285421371E-3</v>
      </c>
      <c r="I31" s="53">
        <f t="shared" ca="1" si="1"/>
        <v>6.7320266285421371E-3</v>
      </c>
      <c r="J31" s="59">
        <v>0.79079999999999995</v>
      </c>
      <c r="K31" s="6">
        <f ca="1">_xll.meMathEuropeanIRSwaptionPrice($E31,$R31,$H31,$I31,$J31,$T31)</f>
        <v>10268.493643007689</v>
      </c>
      <c r="L31" s="75">
        <f ca="1">_xll.meMathEuropeanIRSwaptionImpliedVol(K31,E31,R31,H31,I31,T31)</f>
        <v>0.79079999999999762</v>
      </c>
      <c r="M31" s="60">
        <v>24</v>
      </c>
      <c r="N31" s="30">
        <f ca="1">_xll.meDateFromTenor(AsOf,$B31,"MOD_FOLLOWING","TGT")</f>
        <v>43479</v>
      </c>
      <c r="O31" s="30">
        <f ca="1">_xll.meDateFromTenor($N31,$C31)</f>
        <v>45305</v>
      </c>
      <c r="P31" s="10" t="str">
        <f ca="1">_xll.meLWOSwapCreateFromGenerator("SWAP"&amp;$A31,$F31,IF($E31="PAYER","PAY","REC"),$G31,$N31,$O31,0,0)</f>
        <v>SWAP24@32:2</v>
      </c>
      <c r="Q31" s="10" t="s">
        <v>25</v>
      </c>
      <c r="R31" s="11">
        <f ca="1">_xll.meLWOSwapAnnuity($P31,$Q31,"Leg1:Fixed")</f>
        <v>4974112.1344672814</v>
      </c>
      <c r="S31" s="30">
        <f ca="1">_xll.meDateFromTenor($N31,"-"&amp;$D31,"MOD_FOLLOWING","TGT")</f>
        <v>43475</v>
      </c>
      <c r="T31" s="32">
        <f ca="1">_xll.meDateYearFraction(AsOf,$S31,"ACT/365")</f>
        <v>0.9945205479452055</v>
      </c>
      <c r="U31" s="32">
        <f ca="1">_xll.meCurveDiscountFactors($S31,$Q31,"OIS")</f>
        <v>1.0033510762319386</v>
      </c>
      <c r="V31" s="29">
        <f t="shared" ca="1" si="0"/>
        <v>-3.3639062514353108E-3</v>
      </c>
      <c r="W31" s="60"/>
    </row>
    <row r="32" spans="1:23" x14ac:dyDescent="0.25">
      <c r="A32" s="60">
        <v>25</v>
      </c>
      <c r="B32" s="74" t="s">
        <v>31</v>
      </c>
      <c r="C32" s="15" t="s">
        <v>32</v>
      </c>
      <c r="D32" s="16" t="s">
        <v>15</v>
      </c>
      <c r="E32" s="57" t="s">
        <v>7</v>
      </c>
      <c r="F32" s="58" t="s">
        <v>16</v>
      </c>
      <c r="G32" s="17">
        <v>1000000</v>
      </c>
      <c r="H32" s="56">
        <f ca="1">_xll.meLWOSwapParRate(P32,Q32)</f>
        <v>6.7320266285421371E-3</v>
      </c>
      <c r="I32" s="53">
        <f t="shared" ca="1" si="1"/>
        <v>6.7320266285421371E-3</v>
      </c>
      <c r="J32" s="59">
        <v>0.79079999999999995</v>
      </c>
      <c r="K32" s="6">
        <f ca="1">_xll.meMathEuropeanIRSwaptionPrice($E32,$R32,$H32,$I32,$J32,$T32)</f>
        <v>10268.493643007689</v>
      </c>
      <c r="L32" s="75">
        <f ca="1">_xll.meMathEuropeanIRSwaptionImpliedVol(K32,E32,R32,H32,I32,T32)</f>
        <v>0.79079999999999762</v>
      </c>
      <c r="M32" s="60">
        <v>25</v>
      </c>
      <c r="N32" s="30">
        <f ca="1">_xll.meDateFromTenor(AsOf,$B32,"MOD_FOLLOWING","TGT")</f>
        <v>43479</v>
      </c>
      <c r="O32" s="30">
        <f ca="1">_xll.meDateFromTenor($N32,$C32)</f>
        <v>45305</v>
      </c>
      <c r="P32" s="10" t="str">
        <f ca="1">_xll.meLWOSwapCreateFromGenerator("SWAP"&amp;$A32,$F32,IF($E32="PAYER","PAY","REC"),$G32,$N32,$O32,0,0)</f>
        <v>SWAP25@21:2</v>
      </c>
      <c r="Q32" s="10" t="s">
        <v>25</v>
      </c>
      <c r="R32" s="11">
        <f ca="1">_xll.meLWOSwapAnnuity($P32,$Q32,"Leg1:Fixed")</f>
        <v>4974112.1344672814</v>
      </c>
      <c r="S32" s="30">
        <f ca="1">_xll.meDateFromTenor($N32,"-"&amp;$D32,"MOD_FOLLOWING","TGT")</f>
        <v>43475</v>
      </c>
      <c r="T32" s="32">
        <f ca="1">_xll.meDateYearFraction(AsOf,$S32,"ACT/365")</f>
        <v>0.9945205479452055</v>
      </c>
      <c r="U32" s="32">
        <f ca="1">_xll.meCurveDiscountFactors($S32,$Q32,"OIS")</f>
        <v>1.0033510762319386</v>
      </c>
      <c r="V32" s="29">
        <f t="shared" ca="1" si="0"/>
        <v>-3.3639062514353108E-3</v>
      </c>
      <c r="W32" s="60"/>
    </row>
    <row r="33" spans="1:23" x14ac:dyDescent="0.25">
      <c r="A33" s="60">
        <v>26</v>
      </c>
      <c r="B33" s="74" t="s">
        <v>31</v>
      </c>
      <c r="C33" s="15" t="s">
        <v>32</v>
      </c>
      <c r="D33" s="16" t="s">
        <v>15</v>
      </c>
      <c r="E33" s="57" t="s">
        <v>7</v>
      </c>
      <c r="F33" s="58" t="s">
        <v>16</v>
      </c>
      <c r="G33" s="17">
        <v>1000000</v>
      </c>
      <c r="H33" s="56">
        <f ca="1">_xll.meLWOSwapParRate(P33,Q33)</f>
        <v>6.7320266285421371E-3</v>
      </c>
      <c r="I33" s="53">
        <f t="shared" ca="1" si="1"/>
        <v>6.7320266285421371E-3</v>
      </c>
      <c r="J33" s="59">
        <v>0.79079999999999995</v>
      </c>
      <c r="K33" s="6">
        <f ca="1">_xll.meMathEuropeanIRSwaptionPrice($E33,$R33,$H33,$I33,$J33,$T33)</f>
        <v>10268.493643007689</v>
      </c>
      <c r="L33" s="75">
        <f ca="1">_xll.meMathEuropeanIRSwaptionImpliedVol(K33,E33,R33,H33,I33,T33)</f>
        <v>0.79079999999999762</v>
      </c>
      <c r="M33" s="60">
        <v>26</v>
      </c>
      <c r="N33" s="30">
        <f ca="1">_xll.meDateFromTenor(AsOf,$B33,"MOD_FOLLOWING","TGT")</f>
        <v>43479</v>
      </c>
      <c r="O33" s="30">
        <f ca="1">_xll.meDateFromTenor($N33,$C33)</f>
        <v>45305</v>
      </c>
      <c r="P33" s="10" t="str">
        <f ca="1">_xll.meLWOSwapCreateFromGenerator("SWAP"&amp;$A33,$F33,IF($E33="PAYER","PAY","REC"),$G33,$N33,$O33,0,0)</f>
        <v>SWAP26@44:2</v>
      </c>
      <c r="Q33" s="10" t="s">
        <v>25</v>
      </c>
      <c r="R33" s="11">
        <f ca="1">_xll.meLWOSwapAnnuity($P33,$Q33,"Leg1:Fixed")</f>
        <v>4974112.1344672814</v>
      </c>
      <c r="S33" s="30">
        <f ca="1">_xll.meDateFromTenor($N33,"-"&amp;$D33,"MOD_FOLLOWING","TGT")</f>
        <v>43475</v>
      </c>
      <c r="T33" s="32">
        <f ca="1">_xll.meDateYearFraction(AsOf,$S33,"ACT/365")</f>
        <v>0.9945205479452055</v>
      </c>
      <c r="U33" s="32">
        <f ca="1">_xll.meCurveDiscountFactors($S33,$Q33,"OIS")</f>
        <v>1.0033510762319386</v>
      </c>
      <c r="V33" s="29">
        <f t="shared" ca="1" si="0"/>
        <v>-3.3639062514353108E-3</v>
      </c>
      <c r="W33" s="60"/>
    </row>
    <row r="34" spans="1:23" x14ac:dyDescent="0.25">
      <c r="A34" s="60">
        <v>27</v>
      </c>
      <c r="B34" s="74" t="s">
        <v>31</v>
      </c>
      <c r="C34" s="15" t="s">
        <v>32</v>
      </c>
      <c r="D34" s="16" t="s">
        <v>15</v>
      </c>
      <c r="E34" s="57" t="s">
        <v>7</v>
      </c>
      <c r="F34" s="58" t="s">
        <v>16</v>
      </c>
      <c r="G34" s="17">
        <v>1000000</v>
      </c>
      <c r="H34" s="56">
        <f ca="1">_xll.meLWOSwapParRate(P34,Q34)</f>
        <v>6.7320266285421371E-3</v>
      </c>
      <c r="I34" s="53">
        <f t="shared" ca="1" si="1"/>
        <v>6.7320266285421371E-3</v>
      </c>
      <c r="J34" s="59">
        <v>0.79079999999999995</v>
      </c>
      <c r="K34" s="6">
        <f ca="1">_xll.meMathEuropeanIRSwaptionPrice($E34,$R34,$H34,$I34,$J34,$T34)</f>
        <v>10268.493643007689</v>
      </c>
      <c r="L34" s="75">
        <f ca="1">_xll.meMathEuropeanIRSwaptionImpliedVol(K34,E34,R34,H34,I34,T34)</f>
        <v>0.79079999999999762</v>
      </c>
      <c r="M34" s="60">
        <v>27</v>
      </c>
      <c r="N34" s="30">
        <f ca="1">_xll.meDateFromTenor(AsOf,$B34,"MOD_FOLLOWING","TGT")</f>
        <v>43479</v>
      </c>
      <c r="O34" s="30">
        <f ca="1">_xll.meDateFromTenor($N34,$C34)</f>
        <v>45305</v>
      </c>
      <c r="P34" s="10" t="str">
        <f ca="1">_xll.meLWOSwapCreateFromGenerator("SWAP"&amp;$A34,$F34,IF($E34="PAYER","PAY","REC"),$G34,$N34,$O34,0,0)</f>
        <v>SWAP27@42:2</v>
      </c>
      <c r="Q34" s="10" t="s">
        <v>25</v>
      </c>
      <c r="R34" s="11">
        <f ca="1">_xll.meLWOSwapAnnuity($P34,$Q34,"Leg1:Fixed")</f>
        <v>4974112.1344672814</v>
      </c>
      <c r="S34" s="30">
        <f ca="1">_xll.meDateFromTenor($N34,"-"&amp;$D34,"MOD_FOLLOWING","TGT")</f>
        <v>43475</v>
      </c>
      <c r="T34" s="32">
        <f ca="1">_xll.meDateYearFraction(AsOf,$S34,"ACT/365")</f>
        <v>0.9945205479452055</v>
      </c>
      <c r="U34" s="32">
        <f ca="1">_xll.meCurveDiscountFactors($S34,$Q34,"OIS")</f>
        <v>1.0033510762319386</v>
      </c>
      <c r="V34" s="29">
        <f t="shared" ca="1" si="0"/>
        <v>-3.3639062514353108E-3</v>
      </c>
      <c r="W34" s="60"/>
    </row>
    <row r="35" spans="1:23" x14ac:dyDescent="0.25">
      <c r="A35" s="60">
        <v>28</v>
      </c>
      <c r="B35" s="74" t="s">
        <v>31</v>
      </c>
      <c r="C35" s="15" t="s">
        <v>32</v>
      </c>
      <c r="D35" s="16" t="s">
        <v>15</v>
      </c>
      <c r="E35" s="57" t="s">
        <v>7</v>
      </c>
      <c r="F35" s="58" t="s">
        <v>16</v>
      </c>
      <c r="G35" s="17">
        <v>1000000</v>
      </c>
      <c r="H35" s="56">
        <f ca="1">_xll.meLWOSwapParRate(P35,Q35)</f>
        <v>6.7320266285421371E-3</v>
      </c>
      <c r="I35" s="53">
        <f t="shared" ca="1" si="1"/>
        <v>6.7320266285421371E-3</v>
      </c>
      <c r="J35" s="59">
        <v>0.79079999999999995</v>
      </c>
      <c r="K35" s="6">
        <f ca="1">_xll.meMathEuropeanIRSwaptionPrice($E35,$R35,$H35,$I35,$J35,$T35)</f>
        <v>10268.493643007689</v>
      </c>
      <c r="L35" s="75">
        <f ca="1">_xll.meMathEuropeanIRSwaptionImpliedVol(K35,E35,R35,H35,I35,T35)</f>
        <v>0.79079999999999762</v>
      </c>
      <c r="M35" s="60">
        <v>28</v>
      </c>
      <c r="N35" s="30">
        <f ca="1">_xll.meDateFromTenor(AsOf,$B35,"MOD_FOLLOWING","TGT")</f>
        <v>43479</v>
      </c>
      <c r="O35" s="30">
        <f ca="1">_xll.meDateFromTenor($N35,$C35)</f>
        <v>45305</v>
      </c>
      <c r="P35" s="10" t="str">
        <f ca="1">_xll.meLWOSwapCreateFromGenerator("SWAP"&amp;$A35,$F35,IF($E35="PAYER","PAY","REC"),$G35,$N35,$O35,0,0)</f>
        <v>SWAP28@39:2</v>
      </c>
      <c r="Q35" s="10" t="s">
        <v>25</v>
      </c>
      <c r="R35" s="11">
        <f ca="1">_xll.meLWOSwapAnnuity($P35,$Q35,"Leg1:Fixed")</f>
        <v>4974112.1344672814</v>
      </c>
      <c r="S35" s="30">
        <f ca="1">_xll.meDateFromTenor($N35,"-"&amp;$D35,"MOD_FOLLOWING","TGT")</f>
        <v>43475</v>
      </c>
      <c r="T35" s="32">
        <f ca="1">_xll.meDateYearFraction(AsOf,$S35,"ACT/365")</f>
        <v>0.9945205479452055</v>
      </c>
      <c r="U35" s="32">
        <f ca="1">_xll.meCurveDiscountFactors($S35,$Q35,"OIS")</f>
        <v>1.0033510762319386</v>
      </c>
      <c r="V35" s="29">
        <f t="shared" ca="1" si="0"/>
        <v>-3.3639062514353108E-3</v>
      </c>
      <c r="W35" s="60"/>
    </row>
    <row r="36" spans="1:23" x14ac:dyDescent="0.25">
      <c r="A36" s="60">
        <v>29</v>
      </c>
      <c r="B36" s="74" t="s">
        <v>31</v>
      </c>
      <c r="C36" s="15" t="s">
        <v>32</v>
      </c>
      <c r="D36" s="16" t="s">
        <v>15</v>
      </c>
      <c r="E36" s="57" t="s">
        <v>7</v>
      </c>
      <c r="F36" s="58" t="s">
        <v>16</v>
      </c>
      <c r="G36" s="17">
        <v>1000000</v>
      </c>
      <c r="H36" s="56">
        <f ca="1">_xll.meLWOSwapParRate(P36,Q36)</f>
        <v>6.7320266285421371E-3</v>
      </c>
      <c r="I36" s="53">
        <f t="shared" ca="1" si="1"/>
        <v>6.7320266285421371E-3</v>
      </c>
      <c r="J36" s="59">
        <v>0.79079999999999995</v>
      </c>
      <c r="K36" s="6">
        <f ca="1">_xll.meMathEuropeanIRSwaptionPrice($E36,$R36,$H36,$I36,$J36,$T36)</f>
        <v>10268.493643007689</v>
      </c>
      <c r="L36" s="75">
        <f ca="1">_xll.meMathEuropeanIRSwaptionImpliedVol(K36,E36,R36,H36,I36,T36)</f>
        <v>0.79079999999999762</v>
      </c>
      <c r="M36" s="60">
        <v>29</v>
      </c>
      <c r="N36" s="30">
        <f ca="1">_xll.meDateFromTenor(AsOf,$B36,"MOD_FOLLOWING","TGT")</f>
        <v>43479</v>
      </c>
      <c r="O36" s="30">
        <f ca="1">_xll.meDateFromTenor($N36,$C36)</f>
        <v>45305</v>
      </c>
      <c r="P36" s="10" t="str">
        <f ca="1">_xll.meLWOSwapCreateFromGenerator("SWAP"&amp;$A36,$F36,IF($E36="PAYER","PAY","REC"),$G36,$N36,$O36,0,0)</f>
        <v>SWAP29@35:2</v>
      </c>
      <c r="Q36" s="10" t="s">
        <v>25</v>
      </c>
      <c r="R36" s="11">
        <f ca="1">_xll.meLWOSwapAnnuity($P36,$Q36,"Leg1:Fixed")</f>
        <v>4974112.1344672814</v>
      </c>
      <c r="S36" s="30">
        <f ca="1">_xll.meDateFromTenor($N36,"-"&amp;$D36,"MOD_FOLLOWING","TGT")</f>
        <v>43475</v>
      </c>
      <c r="T36" s="32">
        <f ca="1">_xll.meDateYearFraction(AsOf,$S36,"ACT/365")</f>
        <v>0.9945205479452055</v>
      </c>
      <c r="U36" s="32">
        <f ca="1">_xll.meCurveDiscountFactors($S36,$Q36,"OIS")</f>
        <v>1.0033510762319386</v>
      </c>
      <c r="V36" s="29">
        <f t="shared" ca="1" si="0"/>
        <v>-3.3639062514353108E-3</v>
      </c>
      <c r="W36" s="60"/>
    </row>
    <row r="37" spans="1:23" x14ac:dyDescent="0.25">
      <c r="A37" s="60">
        <v>30</v>
      </c>
      <c r="B37" s="76" t="s">
        <v>31</v>
      </c>
      <c r="C37" s="77" t="s">
        <v>32</v>
      </c>
      <c r="D37" s="78" t="s">
        <v>15</v>
      </c>
      <c r="E37" s="79" t="s">
        <v>7</v>
      </c>
      <c r="F37" s="80" t="s">
        <v>16</v>
      </c>
      <c r="G37" s="81">
        <v>1000000</v>
      </c>
      <c r="H37" s="82">
        <f ca="1">_xll.meLWOSwapParRate(P37,Q37)</f>
        <v>6.7320266285421371E-3</v>
      </c>
      <c r="I37" s="83">
        <f t="shared" ca="1" si="1"/>
        <v>6.7320266285421371E-3</v>
      </c>
      <c r="J37" s="84">
        <v>0.79079999999999995</v>
      </c>
      <c r="K37" s="85">
        <f ca="1">_xll.meMathEuropeanIRSwaptionPrice($E37,$R37,$H37,$I37,$J37,$T37)</f>
        <v>10268.493643007689</v>
      </c>
      <c r="L37" s="86">
        <f ca="1">_xll.meMathEuropeanIRSwaptionImpliedVol(K37,E37,R37,H37,I37,T37)</f>
        <v>0.79079999999999762</v>
      </c>
      <c r="M37" s="60">
        <v>30</v>
      </c>
      <c r="N37" s="30">
        <f ca="1">_xll.meDateFromTenor(AsOf,$B37,"MOD_FOLLOWING","TGT")</f>
        <v>43479</v>
      </c>
      <c r="O37" s="30">
        <f ca="1">_xll.meDateFromTenor($N37,$C37)</f>
        <v>45305</v>
      </c>
      <c r="P37" s="10" t="str">
        <f ca="1">_xll.meLWOSwapCreateFromGenerator("SWAP"&amp;$A37,$F37,IF($E37="PAYER","PAY","REC"),$G37,$N37,$O37,0,0)</f>
        <v>SWAP30@26:2</v>
      </c>
      <c r="Q37" s="10" t="s">
        <v>25</v>
      </c>
      <c r="R37" s="11">
        <f ca="1">_xll.meLWOSwapAnnuity($P37,$Q37,"Leg1:Fixed")</f>
        <v>4974112.1344672814</v>
      </c>
      <c r="S37" s="30">
        <f ca="1">_xll.meDateFromTenor($N37,"-"&amp;$D37,"MOD_FOLLOWING","TGT")</f>
        <v>43475</v>
      </c>
      <c r="T37" s="32">
        <f ca="1">_xll.meDateYearFraction(AsOf,$S37,"ACT/365")</f>
        <v>0.9945205479452055</v>
      </c>
      <c r="U37" s="32">
        <f ca="1">_xll.meCurveDiscountFactors($S37,$Q37,"OIS")</f>
        <v>1.0033510762319386</v>
      </c>
      <c r="V37" s="29">
        <f t="shared" ca="1" si="0"/>
        <v>-3.3639062514353108E-3</v>
      </c>
      <c r="W37" s="60"/>
    </row>
  </sheetData>
  <dataValidations count="1">
    <dataValidation type="list" allowBlank="1" showInputMessage="1" showErrorMessage="1" sqref="F9:F37 E8:E37">
      <formula1>"PAYER,RECEIVER"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Single European Swaption</vt:lpstr>
      <vt:lpstr>Portfolio</vt:lpstr>
      <vt:lpstr>AsOf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2018-01-12T12:30:36Z</dcterms:modified>
</cp:coreProperties>
</file>