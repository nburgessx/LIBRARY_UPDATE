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IB\MLIBQ_DEV1\resource\examples\MLIBQ\Math\"/>
    </mc:Choice>
  </mc:AlternateContent>
  <bookViews>
    <workbookView xWindow="0" yWindow="0" windowWidth="20490" windowHeight="6795"/>
  </bookViews>
  <sheets>
    <sheet name="TURN_OF_YEAR" sheetId="2" r:id="rId1"/>
    <sheet name="LAInterpolation" sheetId="1" r:id="rId2"/>
  </sheets>
  <externalReferences>
    <externalReference r:id="rId3"/>
    <externalReference r:id="rId4"/>
    <externalReference r:id="rId5"/>
    <externalReference r:id="rId6"/>
  </externalReferences>
  <definedNames>
    <definedName name="calibrationTerms">[2]CURVE_SMOOTHING!$A$9:OFFSET([2]CURVE_SMOOTHING!$A$9,[2]CURVE_SMOOTHING!$B$7-1,0)</definedName>
    <definedName name="enableGlobalCalibration">[3]Settings!$E$4</definedName>
    <definedName name="PaymentDates">[2]CURVE_SMOOTHING!$B$9:OFFSET([2]CURVE_SMOOTHING!$B$9,[2]CURVE_SMOOTHING!$B$7-1,0)</definedName>
    <definedName name="PolynomialOrder">[2]CURVE_SMOOTHING!$C$5</definedName>
    <definedName name="Settings.COB">[3]Settings!$C$4</definedName>
    <definedName name="Settings.PulseFrequency">[3]Settings!$O$2</definedName>
    <definedName name="SmoothedForwards">[2]CURVE_SMOOTHING!$E$9:OFFSET([2]CURVE_SMOOTHING!$E$9,[2]CURVE_SMOOTHING!$B$7-1,0)</definedName>
    <definedName name="USD_SOFR_CURVE_GENERATOR">[4]SWAP_GENERATORS!#REF!</definedName>
    <definedName name="USD_SOFR_SWAP_GENERATOR">[4]SWAP_GENERATORS!$D$5</definedName>
    <definedName name="USD_SOFR_SWAP_GENERATOR_UNDER_1Y">[4]SWAP_GENERATORS!$J$5</definedName>
    <definedName name="xValues">[2]CURVE_SMOOTHING!$H$9:$H$28</definedName>
    <definedName name="yValues">[2]CURVE_SMOOTHING!$K$9:$K$28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2" l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F7" i="2"/>
  <c r="G7" i="2" s="1"/>
  <c r="F6" i="2"/>
  <c r="G6" i="2" s="1"/>
  <c r="C6" i="2"/>
  <c r="F5" i="2"/>
  <c r="G5" i="2" s="1"/>
  <c r="F4" i="2"/>
  <c r="G4" i="2" s="1"/>
  <c r="F36" i="2" a="1"/>
  <c r="G11" i="2" a="1"/>
  <c r="G36" i="2" a="1"/>
  <c r="E11" i="2" a="1"/>
  <c r="E25" i="2" l="1"/>
  <c r="F25" i="2" s="1"/>
  <c r="E17" i="2"/>
  <c r="F17" i="2" s="1"/>
  <c r="E24" i="2"/>
  <c r="F24" i="2" s="1"/>
  <c r="E16" i="2"/>
  <c r="F16" i="2" s="1"/>
  <c r="E23" i="2"/>
  <c r="F23" i="2" s="1"/>
  <c r="E20" i="2"/>
  <c r="F20" i="2" s="1"/>
  <c r="E26" i="2"/>
  <c r="F26" i="2" s="1"/>
  <c r="E12" i="2"/>
  <c r="F12" i="2" s="1"/>
  <c r="E15" i="2"/>
  <c r="F15" i="2" s="1"/>
  <c r="E30" i="2"/>
  <c r="F30" i="2" s="1"/>
  <c r="E22" i="2"/>
  <c r="F22" i="2" s="1"/>
  <c r="E14" i="2"/>
  <c r="F14" i="2" s="1"/>
  <c r="E28" i="2"/>
  <c r="F28" i="2" s="1"/>
  <c r="E29" i="2"/>
  <c r="F29" i="2" s="1"/>
  <c r="E21" i="2"/>
  <c r="F21" i="2" s="1"/>
  <c r="E13" i="2"/>
  <c r="F13" i="2" s="1"/>
  <c r="E27" i="2"/>
  <c r="F27" i="2" s="1"/>
  <c r="E19" i="2"/>
  <c r="F19" i="2" s="1"/>
  <c r="E11" i="2"/>
  <c r="F11" i="2" s="1"/>
  <c r="E18" i="2"/>
  <c r="F18" i="2" s="1"/>
  <c r="G117" i="2"/>
  <c r="G109" i="2"/>
  <c r="G101" i="2"/>
  <c r="G93" i="2"/>
  <c r="G85" i="2"/>
  <c r="G77" i="2"/>
  <c r="G69" i="2"/>
  <c r="G61" i="2"/>
  <c r="G53" i="2"/>
  <c r="G45" i="2"/>
  <c r="G37" i="2"/>
  <c r="G116" i="2"/>
  <c r="G108" i="2"/>
  <c r="G100" i="2"/>
  <c r="G92" i="2"/>
  <c r="G84" i="2"/>
  <c r="G76" i="2"/>
  <c r="G68" i="2"/>
  <c r="G60" i="2"/>
  <c r="G52" i="2"/>
  <c r="G44" i="2"/>
  <c r="G36" i="2"/>
  <c r="G115" i="2"/>
  <c r="G107" i="2"/>
  <c r="G99" i="2"/>
  <c r="G91" i="2"/>
  <c r="G83" i="2"/>
  <c r="G75" i="2"/>
  <c r="G67" i="2"/>
  <c r="G59" i="2"/>
  <c r="G51" i="2"/>
  <c r="G43" i="2"/>
  <c r="G114" i="2"/>
  <c r="G106" i="2"/>
  <c r="G98" i="2"/>
  <c r="G90" i="2"/>
  <c r="G82" i="2"/>
  <c r="G74" i="2"/>
  <c r="G66" i="2"/>
  <c r="G58" i="2"/>
  <c r="G50" i="2"/>
  <c r="G42" i="2"/>
  <c r="G112" i="2"/>
  <c r="G96" i="2"/>
  <c r="G80" i="2"/>
  <c r="G64" i="2"/>
  <c r="G40" i="2"/>
  <c r="G121" i="2"/>
  <c r="G113" i="2"/>
  <c r="G105" i="2"/>
  <c r="G97" i="2"/>
  <c r="G89" i="2"/>
  <c r="G81" i="2"/>
  <c r="G73" i="2"/>
  <c r="G65" i="2"/>
  <c r="G57" i="2"/>
  <c r="G49" i="2"/>
  <c r="G41" i="2"/>
  <c r="G120" i="2"/>
  <c r="G104" i="2"/>
  <c r="G88" i="2"/>
  <c r="G72" i="2"/>
  <c r="G56" i="2"/>
  <c r="G48" i="2"/>
  <c r="G119" i="2"/>
  <c r="G111" i="2"/>
  <c r="G103" i="2"/>
  <c r="G95" i="2"/>
  <c r="G87" i="2"/>
  <c r="G79" i="2"/>
  <c r="G71" i="2"/>
  <c r="G63" i="2"/>
  <c r="G55" i="2"/>
  <c r="G47" i="2"/>
  <c r="G39" i="2"/>
  <c r="G118" i="2"/>
  <c r="G110" i="2"/>
  <c r="G102" i="2"/>
  <c r="G94" i="2"/>
  <c r="G86" i="2"/>
  <c r="G78" i="2"/>
  <c r="G70" i="2"/>
  <c r="G62" i="2"/>
  <c r="G54" i="2"/>
  <c r="G46" i="2"/>
  <c r="G38" i="2"/>
  <c r="G27" i="2"/>
  <c r="H27" i="2" s="1"/>
  <c r="G19" i="2"/>
  <c r="H19" i="2" s="1"/>
  <c r="G11" i="2"/>
  <c r="H11" i="2" s="1"/>
  <c r="G25" i="2"/>
  <c r="H25" i="2" s="1"/>
  <c r="G14" i="2"/>
  <c r="H14" i="2" s="1"/>
  <c r="G26" i="2"/>
  <c r="H26" i="2" s="1"/>
  <c r="G18" i="2"/>
  <c r="H18" i="2" s="1"/>
  <c r="G28" i="2"/>
  <c r="H28" i="2" s="1"/>
  <c r="G12" i="2"/>
  <c r="H12" i="2" s="1"/>
  <c r="G17" i="2"/>
  <c r="H17" i="2" s="1"/>
  <c r="G24" i="2"/>
  <c r="H24" i="2" s="1"/>
  <c r="G16" i="2"/>
  <c r="H16" i="2" s="1"/>
  <c r="G30" i="2"/>
  <c r="H30" i="2" s="1"/>
  <c r="G23" i="2"/>
  <c r="H23" i="2" s="1"/>
  <c r="G15" i="2"/>
  <c r="H15" i="2" s="1"/>
  <c r="G22" i="2"/>
  <c r="H22" i="2" s="1"/>
  <c r="G29" i="2"/>
  <c r="H29" i="2" s="1"/>
  <c r="G21" i="2"/>
  <c r="H21" i="2" s="1"/>
  <c r="G13" i="2"/>
  <c r="H13" i="2" s="1"/>
  <c r="G20" i="2"/>
  <c r="H20" i="2" s="1"/>
  <c r="F116" i="2"/>
  <c r="F108" i="2"/>
  <c r="F100" i="2"/>
  <c r="F92" i="2"/>
  <c r="F84" i="2"/>
  <c r="F76" i="2"/>
  <c r="F68" i="2"/>
  <c r="F60" i="2"/>
  <c r="F52" i="2"/>
  <c r="F44" i="2"/>
  <c r="F36" i="2"/>
  <c r="F71" i="2"/>
  <c r="F115" i="2"/>
  <c r="F107" i="2"/>
  <c r="F99" i="2"/>
  <c r="F91" i="2"/>
  <c r="F83" i="2"/>
  <c r="F75" i="2"/>
  <c r="F67" i="2"/>
  <c r="F59" i="2"/>
  <c r="F51" i="2"/>
  <c r="F43" i="2"/>
  <c r="F63" i="2"/>
  <c r="F114" i="2"/>
  <c r="F106" i="2"/>
  <c r="F98" i="2"/>
  <c r="F90" i="2"/>
  <c r="F82" i="2"/>
  <c r="F74" i="2"/>
  <c r="F66" i="2"/>
  <c r="F58" i="2"/>
  <c r="F50" i="2"/>
  <c r="F42" i="2"/>
  <c r="F87" i="2"/>
  <c r="F121" i="2"/>
  <c r="F113" i="2"/>
  <c r="F105" i="2"/>
  <c r="F97" i="2"/>
  <c r="F89" i="2"/>
  <c r="F81" i="2"/>
  <c r="F73" i="2"/>
  <c r="F65" i="2"/>
  <c r="F57" i="2"/>
  <c r="F49" i="2"/>
  <c r="F41" i="2"/>
  <c r="F111" i="2"/>
  <c r="F79" i="2"/>
  <c r="F47" i="2"/>
  <c r="F120" i="2"/>
  <c r="F112" i="2"/>
  <c r="F104" i="2"/>
  <c r="F96" i="2"/>
  <c r="F88" i="2"/>
  <c r="F80" i="2"/>
  <c r="F72" i="2"/>
  <c r="F64" i="2"/>
  <c r="F56" i="2"/>
  <c r="F48" i="2"/>
  <c r="F40" i="2"/>
  <c r="F119" i="2"/>
  <c r="F103" i="2"/>
  <c r="F95" i="2"/>
  <c r="F55" i="2"/>
  <c r="F39" i="2"/>
  <c r="F118" i="2"/>
  <c r="F110" i="2"/>
  <c r="F102" i="2"/>
  <c r="F94" i="2"/>
  <c r="F86" i="2"/>
  <c r="F78" i="2"/>
  <c r="F70" i="2"/>
  <c r="F62" i="2"/>
  <c r="F54" i="2"/>
  <c r="F46" i="2"/>
  <c r="F38" i="2"/>
  <c r="F117" i="2"/>
  <c r="F109" i="2"/>
  <c r="F101" i="2"/>
  <c r="F93" i="2"/>
  <c r="F85" i="2"/>
  <c r="F77" i="2"/>
  <c r="F69" i="2"/>
  <c r="F61" i="2"/>
  <c r="F53" i="2"/>
  <c r="F45" i="2"/>
  <c r="F37" i="2"/>
  <c r="F15" i="1"/>
  <c r="F3" i="1"/>
  <c r="B3" i="1" l="1"/>
  <c r="B4" i="1" l="1"/>
  <c r="B5" i="1" s="1"/>
  <c r="B6" i="1" s="1"/>
  <c r="B7" i="1" s="1"/>
  <c r="B8" i="1" s="1"/>
  <c r="B9" i="1" s="1"/>
  <c r="B10" i="1" s="1"/>
  <c r="B11" i="1" s="1"/>
  <c r="B12" i="1" s="1"/>
  <c r="B24" i="1" s="1"/>
  <c r="B22" i="1" l="1"/>
  <c r="H22" i="1" s="1"/>
  <c r="B21" i="1"/>
  <c r="H21" i="1" s="1"/>
  <c r="B19" i="1"/>
  <c r="B18" i="1"/>
  <c r="H18" i="1" s="1"/>
  <c r="B17" i="1"/>
  <c r="H17" i="1" s="1"/>
  <c r="B23" i="1"/>
  <c r="H23" i="1" s="1"/>
  <c r="B15" i="1"/>
  <c r="H15" i="1" s="1"/>
  <c r="B20" i="1"/>
  <c r="H20" i="1" s="1"/>
  <c r="B16" i="1"/>
  <c r="H16" i="1" s="1"/>
  <c r="H24" i="1"/>
  <c r="C16" i="1"/>
  <c r="C17" i="1" s="1"/>
  <c r="C18" i="1" s="1"/>
  <c r="C19" i="1" s="1"/>
  <c r="C20" i="1" s="1"/>
  <c r="C21" i="1" s="1"/>
  <c r="C22" i="1" s="1"/>
  <c r="C23" i="1" s="1"/>
  <c r="C24" i="1" s="1"/>
  <c r="H3" i="1"/>
  <c r="H4" i="1"/>
  <c r="H5" i="1"/>
  <c r="H6" i="1"/>
  <c r="H7" i="1"/>
  <c r="H8" i="1"/>
  <c r="H9" i="1"/>
  <c r="H10" i="1"/>
  <c r="H11" i="1"/>
  <c r="H12" i="1"/>
  <c r="H19" i="1" l="1"/>
  <c r="F21" i="1"/>
  <c r="F9" i="1"/>
  <c r="I3" i="1" a="1"/>
  <c r="I12" i="1" l="1"/>
  <c r="J12" i="1" s="1"/>
  <c r="I4" i="1"/>
  <c r="J4" i="1" s="1"/>
  <c r="I10" i="1"/>
  <c r="J10" i="1" s="1"/>
  <c r="I9" i="1"/>
  <c r="J9" i="1" s="1"/>
  <c r="I3" i="1"/>
  <c r="I6" i="1"/>
  <c r="J6" i="1" s="1"/>
  <c r="I8" i="1"/>
  <c r="J8" i="1" s="1"/>
  <c r="I11" i="1"/>
  <c r="J11" i="1" s="1"/>
  <c r="I7" i="1"/>
  <c r="J7" i="1" s="1"/>
  <c r="I5" i="1"/>
  <c r="J5" i="1" s="1"/>
  <c r="J3" i="1" l="1"/>
  <c r="I15" i="1" a="1"/>
  <c r="I23" i="1"/>
  <c r="J23" i="1" s="1"/>
  <c r="I15" i="1"/>
  <c r="J15" i="1" s="1"/>
  <c r="I22" i="1"/>
  <c r="J22" i="1" s="1"/>
  <c r="I21" i="1"/>
  <c r="I20" i="1"/>
  <c r="J20" i="1" s="1"/>
  <c r="I19" i="1"/>
  <c r="J19" i="1" s="1"/>
  <c r="I18" i="1"/>
  <c r="J18" i="1" s="1"/>
  <c r="I17" i="1"/>
  <c r="J17" i="1" s="1"/>
  <c r="I24" i="1"/>
  <c r="J24" i="1" s="1"/>
  <c r="I16" i="1"/>
  <c r="J16" i="1" s="1"/>
  <c r="J21" i="1"/>
</calcChain>
</file>

<file path=xl/sharedStrings.xml><?xml version="1.0" encoding="utf-8"?>
<sst xmlns="http://schemas.openxmlformats.org/spreadsheetml/2006/main" count="72" uniqueCount="44">
  <si>
    <t>Parameter</t>
  </si>
  <si>
    <t>Value</t>
  </si>
  <si>
    <t>Results</t>
  </si>
  <si>
    <t>AsOfDate</t>
  </si>
  <si>
    <t>StateVariable</t>
  </si>
  <si>
    <t>12M</t>
  </si>
  <si>
    <t>CurveFreqTenor</t>
  </si>
  <si>
    <t>FixingBusDayAdj</t>
  </si>
  <si>
    <t>MF</t>
  </si>
  <si>
    <t>FixingCalendar</t>
  </si>
  <si>
    <t>TGT</t>
  </si>
  <si>
    <t>JoinDate</t>
  </si>
  <si>
    <t>InterpolationType</t>
  </si>
  <si>
    <t>SPLINE</t>
  </si>
  <si>
    <t>FORWARDRATE</t>
  </si>
  <si>
    <t>FixingDates</t>
  </si>
  <si>
    <t>+/-</t>
  </si>
  <si>
    <t>Forwards</t>
  </si>
  <si>
    <t>DiscountFactors</t>
  </si>
  <si>
    <t>DISCOUNTFACTOR</t>
  </si>
  <si>
    <t>PaymentDates</t>
  </si>
  <si>
    <t>CurveModule</t>
  </si>
  <si>
    <t>ForwardAdjustments</t>
  </si>
  <si>
    <t>AdjustmentType</t>
  </si>
  <si>
    <t>StartDate</t>
  </si>
  <si>
    <t>EndDate</t>
  </si>
  <si>
    <t>RateOrSpread</t>
  </si>
  <si>
    <t>ChartInterval</t>
  </si>
  <si>
    <t>days</t>
  </si>
  <si>
    <t>Interpolation</t>
  </si>
  <si>
    <t>LINEAR</t>
  </si>
  <si>
    <t>RELATIVE</t>
  </si>
  <si>
    <t>JumpInterval</t>
  </si>
  <si>
    <t>PolynomialOrder</t>
  </si>
  <si>
    <t>ForwardAdjustedResults</t>
  </si>
  <si>
    <t>Adjustment</t>
  </si>
  <si>
    <t>xValues</t>
  </si>
  <si>
    <t>yValues</t>
  </si>
  <si>
    <t>DiscountFactor</t>
  </si>
  <si>
    <t>ForwardRate</t>
  </si>
  <si>
    <t>FixingDate</t>
  </si>
  <si>
    <t>Unadjusted</t>
  </si>
  <si>
    <t>Adjusted</t>
  </si>
  <si>
    <t>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</si>
</sst>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000"/>
    <numFmt numFmtId="165" formatCode="0.00000%"/>
    <numFmt numFmtId="169" formatCode="ddd\,\ d\-mmm\-yy"/>
    <numFmt numFmtId="170" formatCode="ddd\,\ dd\-mmm\-yy"/>
    <numFmt numFmtId="171" formatCode="0.0000000%"/>
  </numFmts>
  <fonts count="7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0" fontId="0" fillId="0" borderId="0" xfId="0" applyNumberFormat="1"/>
    <xf numFmtId="16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15" fontId="0" fillId="4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165" fontId="0" fillId="0" borderId="0" xfId="0" applyNumberFormat="1"/>
    <xf numFmtId="164" fontId="4" fillId="0" borderId="0" xfId="0" applyNumberFormat="1" applyFont="1" applyAlignment="1">
      <alignment horizontal="left" vertical="center"/>
    </xf>
    <xf numFmtId="0" fontId="3" fillId="0" borderId="0" xfId="0" applyFont="1"/>
    <xf numFmtId="165" fontId="4" fillId="0" borderId="0" xfId="0" applyNumberFormat="1" applyFont="1" applyAlignment="1">
      <alignment horizontal="left" vertical="center"/>
    </xf>
    <xf numFmtId="169" fontId="5" fillId="2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5" borderId="0" xfId="0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9" fontId="6" fillId="6" borderId="0" xfId="0" applyNumberFormat="1" applyFont="1" applyFill="1" applyAlignment="1">
      <alignment horizontal="center"/>
    </xf>
    <xf numFmtId="170" fontId="6" fillId="6" borderId="0" xfId="0" applyNumberFormat="1" applyFont="1" applyFill="1" applyAlignment="1">
      <alignment horizontal="center"/>
    </xf>
    <xf numFmtId="165" fontId="6" fillId="6" borderId="0" xfId="0" applyNumberFormat="1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169" fontId="6" fillId="7" borderId="0" xfId="0" applyNumberFormat="1" applyFont="1" applyFill="1" applyAlignment="1">
      <alignment horizontal="center"/>
    </xf>
    <xf numFmtId="170" fontId="6" fillId="7" borderId="0" xfId="0" applyNumberFormat="1" applyFont="1" applyFill="1" applyAlignment="1">
      <alignment horizontal="center"/>
    </xf>
    <xf numFmtId="165" fontId="6" fillId="7" borderId="0" xfId="0" applyNumberFormat="1" applyFont="1" applyFill="1" applyAlignment="1">
      <alignment horizontal="center"/>
    </xf>
    <xf numFmtId="169" fontId="6" fillId="4" borderId="0" xfId="0" applyNumberFormat="1" applyFont="1" applyFill="1" applyAlignment="1">
      <alignment horizontal="center"/>
    </xf>
    <xf numFmtId="170" fontId="6" fillId="4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169" fontId="6" fillId="8" borderId="0" xfId="0" applyNumberFormat="1" applyFont="1" applyFill="1" applyAlignment="1">
      <alignment horizontal="center"/>
    </xf>
    <xf numFmtId="170" fontId="6" fillId="8" borderId="0" xfId="0" applyNumberFormat="1" applyFont="1" applyFill="1" applyAlignment="1">
      <alignment horizontal="center"/>
    </xf>
    <xf numFmtId="165" fontId="6" fillId="8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69" fontId="0" fillId="9" borderId="0" xfId="0" applyNumberFormat="1" applyFill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0" xfId="1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0" fillId="10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69" fontId="0" fillId="0" borderId="0" xfId="0" applyNumberFormat="1" applyFont="1" applyAlignment="1">
      <alignment horizontal="center"/>
    </xf>
    <xf numFmtId="169" fontId="0" fillId="10" borderId="0" xfId="0" applyNumberFormat="1" applyFill="1" applyAlignment="1">
      <alignment horizontal="center" vertical="center"/>
    </xf>
    <xf numFmtId="169" fontId="0" fillId="7" borderId="0" xfId="0" applyNumberFormat="1" applyFill="1" applyAlignment="1">
      <alignment horizontal="center" vertical="center"/>
    </xf>
    <xf numFmtId="169" fontId="0" fillId="11" borderId="0" xfId="0" applyNumberFormat="1" applyFill="1" applyAlignment="1">
      <alignment horizontal="center" vertical="center"/>
    </xf>
    <xf numFmtId="169" fontId="0" fillId="8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 Rates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60510124819175"/>
          <c:y val="0.10060253495245203"/>
          <c:w val="0.81981264235413309"/>
          <c:h val="0.86956117805706612"/>
        </c:manualLayout>
      </c:layout>
      <c:scatterChart>
        <c:scatterStyle val="lineMarker"/>
        <c:varyColors val="0"/>
        <c:ser>
          <c:idx val="1"/>
          <c:order val="0"/>
          <c:tx>
            <c:strRef>
              <c:f>TURN_OF_YEAR!$G$35</c:f>
              <c:strCache>
                <c:ptCount val="1"/>
                <c:pt idx="0">
                  <c:v>Adjusted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TURN_OF_YEAR!$E$36:$E$121</c:f>
              <c:numCache>
                <c:formatCode>ddd\,\ d\-mmm\-yy</c:formatCode>
                <c:ptCount val="86"/>
                <c:pt idx="0">
                  <c:v>43894</c:v>
                </c:pt>
                <c:pt idx="1">
                  <c:v>43919</c:v>
                </c:pt>
                <c:pt idx="2">
                  <c:v>43944</c:v>
                </c:pt>
                <c:pt idx="3">
                  <c:v>43969</c:v>
                </c:pt>
                <c:pt idx="4">
                  <c:v>43994</c:v>
                </c:pt>
                <c:pt idx="5">
                  <c:v>44019</c:v>
                </c:pt>
                <c:pt idx="6">
                  <c:v>44044</c:v>
                </c:pt>
                <c:pt idx="7">
                  <c:v>44069</c:v>
                </c:pt>
                <c:pt idx="8">
                  <c:v>44094</c:v>
                </c:pt>
                <c:pt idx="9">
                  <c:v>44119</c:v>
                </c:pt>
                <c:pt idx="10">
                  <c:v>44144</c:v>
                </c:pt>
                <c:pt idx="11">
                  <c:v>44169</c:v>
                </c:pt>
                <c:pt idx="12">
                  <c:v>44194</c:v>
                </c:pt>
                <c:pt idx="13">
                  <c:v>44219</c:v>
                </c:pt>
                <c:pt idx="14">
                  <c:v>44244</c:v>
                </c:pt>
                <c:pt idx="15">
                  <c:v>44269</c:v>
                </c:pt>
                <c:pt idx="16">
                  <c:v>44294</c:v>
                </c:pt>
                <c:pt idx="17">
                  <c:v>44319</c:v>
                </c:pt>
                <c:pt idx="18">
                  <c:v>44344</c:v>
                </c:pt>
                <c:pt idx="19">
                  <c:v>44369</c:v>
                </c:pt>
                <c:pt idx="20">
                  <c:v>44394</c:v>
                </c:pt>
                <c:pt idx="21">
                  <c:v>44419</c:v>
                </c:pt>
                <c:pt idx="22">
                  <c:v>44444</c:v>
                </c:pt>
                <c:pt idx="23">
                  <c:v>44469</c:v>
                </c:pt>
                <c:pt idx="24">
                  <c:v>44494</c:v>
                </c:pt>
                <c:pt idx="25">
                  <c:v>44519</c:v>
                </c:pt>
                <c:pt idx="26">
                  <c:v>44544</c:v>
                </c:pt>
                <c:pt idx="27">
                  <c:v>44569</c:v>
                </c:pt>
                <c:pt idx="28">
                  <c:v>44594</c:v>
                </c:pt>
                <c:pt idx="29">
                  <c:v>44619</c:v>
                </c:pt>
                <c:pt idx="30">
                  <c:v>44644</c:v>
                </c:pt>
                <c:pt idx="31">
                  <c:v>44669</c:v>
                </c:pt>
                <c:pt idx="32">
                  <c:v>44694</c:v>
                </c:pt>
                <c:pt idx="33">
                  <c:v>44719</c:v>
                </c:pt>
                <c:pt idx="34">
                  <c:v>44744</c:v>
                </c:pt>
                <c:pt idx="35">
                  <c:v>44769</c:v>
                </c:pt>
                <c:pt idx="36">
                  <c:v>44794</c:v>
                </c:pt>
                <c:pt idx="37">
                  <c:v>44819</c:v>
                </c:pt>
                <c:pt idx="38">
                  <c:v>44844</c:v>
                </c:pt>
                <c:pt idx="39">
                  <c:v>44869</c:v>
                </c:pt>
                <c:pt idx="40">
                  <c:v>44894</c:v>
                </c:pt>
                <c:pt idx="41">
                  <c:v>44919</c:v>
                </c:pt>
                <c:pt idx="42">
                  <c:v>44944</c:v>
                </c:pt>
                <c:pt idx="43">
                  <c:v>44969</c:v>
                </c:pt>
                <c:pt idx="44">
                  <c:v>44994</c:v>
                </c:pt>
                <c:pt idx="45">
                  <c:v>45019</c:v>
                </c:pt>
                <c:pt idx="46">
                  <c:v>45044</c:v>
                </c:pt>
                <c:pt idx="47">
                  <c:v>45069</c:v>
                </c:pt>
                <c:pt idx="48">
                  <c:v>45094</c:v>
                </c:pt>
                <c:pt idx="49">
                  <c:v>45119</c:v>
                </c:pt>
                <c:pt idx="50">
                  <c:v>45144</c:v>
                </c:pt>
                <c:pt idx="51">
                  <c:v>45169</c:v>
                </c:pt>
                <c:pt idx="52">
                  <c:v>45194</c:v>
                </c:pt>
                <c:pt idx="53">
                  <c:v>45219</c:v>
                </c:pt>
                <c:pt idx="54">
                  <c:v>45244</c:v>
                </c:pt>
                <c:pt idx="55">
                  <c:v>45269</c:v>
                </c:pt>
                <c:pt idx="56">
                  <c:v>45294</c:v>
                </c:pt>
                <c:pt idx="57">
                  <c:v>45319</c:v>
                </c:pt>
                <c:pt idx="58">
                  <c:v>45344</c:v>
                </c:pt>
                <c:pt idx="59">
                  <c:v>45369</c:v>
                </c:pt>
                <c:pt idx="60">
                  <c:v>45394</c:v>
                </c:pt>
                <c:pt idx="61">
                  <c:v>45419</c:v>
                </c:pt>
                <c:pt idx="62">
                  <c:v>45444</c:v>
                </c:pt>
                <c:pt idx="63">
                  <c:v>45469</c:v>
                </c:pt>
                <c:pt idx="64">
                  <c:v>45494</c:v>
                </c:pt>
                <c:pt idx="65">
                  <c:v>45519</c:v>
                </c:pt>
                <c:pt idx="66">
                  <c:v>45544</c:v>
                </c:pt>
                <c:pt idx="67">
                  <c:v>45569</c:v>
                </c:pt>
                <c:pt idx="68">
                  <c:v>45594</c:v>
                </c:pt>
                <c:pt idx="69">
                  <c:v>45619</c:v>
                </c:pt>
                <c:pt idx="70">
                  <c:v>45644</c:v>
                </c:pt>
                <c:pt idx="71">
                  <c:v>45669</c:v>
                </c:pt>
                <c:pt idx="72">
                  <c:v>45694</c:v>
                </c:pt>
                <c:pt idx="73">
                  <c:v>45719</c:v>
                </c:pt>
                <c:pt idx="74">
                  <c:v>45744</c:v>
                </c:pt>
                <c:pt idx="75">
                  <c:v>45769</c:v>
                </c:pt>
                <c:pt idx="76">
                  <c:v>45794</c:v>
                </c:pt>
              </c:numCache>
            </c:numRef>
          </c:xVal>
          <c:yVal>
            <c:numRef>
              <c:f>TURN_OF_YEAR!$G$36:$G$121</c:f>
              <c:numCache>
                <c:formatCode>0.00000%</c:formatCode>
                <c:ptCount val="86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3.5000000000000003E-2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5.000000000000001E-3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0.03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0.01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E0-4C8E-9E6E-167D6AE31D1F}"/>
            </c:ext>
          </c:extLst>
        </c:ser>
        <c:ser>
          <c:idx val="0"/>
          <c:order val="1"/>
          <c:tx>
            <c:strRef>
              <c:f>TURN_OF_YEAR!$F$35</c:f>
              <c:strCache>
                <c:ptCount val="1"/>
                <c:pt idx="0">
                  <c:v>Unadjusted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TURN_OF_YEAR!$E$36:$E$121</c:f>
              <c:numCache>
                <c:formatCode>ddd\,\ d\-mmm\-yy</c:formatCode>
                <c:ptCount val="86"/>
                <c:pt idx="0">
                  <c:v>43894</c:v>
                </c:pt>
                <c:pt idx="1">
                  <c:v>43919</c:v>
                </c:pt>
                <c:pt idx="2">
                  <c:v>43944</c:v>
                </c:pt>
                <c:pt idx="3">
                  <c:v>43969</c:v>
                </c:pt>
                <c:pt idx="4">
                  <c:v>43994</c:v>
                </c:pt>
                <c:pt idx="5">
                  <c:v>44019</c:v>
                </c:pt>
                <c:pt idx="6">
                  <c:v>44044</c:v>
                </c:pt>
                <c:pt idx="7">
                  <c:v>44069</c:v>
                </c:pt>
                <c:pt idx="8">
                  <c:v>44094</c:v>
                </c:pt>
                <c:pt idx="9">
                  <c:v>44119</c:v>
                </c:pt>
                <c:pt idx="10">
                  <c:v>44144</c:v>
                </c:pt>
                <c:pt idx="11">
                  <c:v>44169</c:v>
                </c:pt>
                <c:pt idx="12">
                  <c:v>44194</c:v>
                </c:pt>
                <c:pt idx="13">
                  <c:v>44219</c:v>
                </c:pt>
                <c:pt idx="14">
                  <c:v>44244</c:v>
                </c:pt>
                <c:pt idx="15">
                  <c:v>44269</c:v>
                </c:pt>
                <c:pt idx="16">
                  <c:v>44294</c:v>
                </c:pt>
                <c:pt idx="17">
                  <c:v>44319</c:v>
                </c:pt>
                <c:pt idx="18">
                  <c:v>44344</c:v>
                </c:pt>
                <c:pt idx="19">
                  <c:v>44369</c:v>
                </c:pt>
                <c:pt idx="20">
                  <c:v>44394</c:v>
                </c:pt>
                <c:pt idx="21">
                  <c:v>44419</c:v>
                </c:pt>
                <c:pt idx="22">
                  <c:v>44444</c:v>
                </c:pt>
                <c:pt idx="23">
                  <c:v>44469</c:v>
                </c:pt>
                <c:pt idx="24">
                  <c:v>44494</c:v>
                </c:pt>
                <c:pt idx="25">
                  <c:v>44519</c:v>
                </c:pt>
                <c:pt idx="26">
                  <c:v>44544</c:v>
                </c:pt>
                <c:pt idx="27">
                  <c:v>44569</c:v>
                </c:pt>
                <c:pt idx="28">
                  <c:v>44594</c:v>
                </c:pt>
                <c:pt idx="29">
                  <c:v>44619</c:v>
                </c:pt>
                <c:pt idx="30">
                  <c:v>44644</c:v>
                </c:pt>
                <c:pt idx="31">
                  <c:v>44669</c:v>
                </c:pt>
                <c:pt idx="32">
                  <c:v>44694</c:v>
                </c:pt>
                <c:pt idx="33">
                  <c:v>44719</c:v>
                </c:pt>
                <c:pt idx="34">
                  <c:v>44744</c:v>
                </c:pt>
                <c:pt idx="35">
                  <c:v>44769</c:v>
                </c:pt>
                <c:pt idx="36">
                  <c:v>44794</c:v>
                </c:pt>
                <c:pt idx="37">
                  <c:v>44819</c:v>
                </c:pt>
                <c:pt idx="38">
                  <c:v>44844</c:v>
                </c:pt>
                <c:pt idx="39">
                  <c:v>44869</c:v>
                </c:pt>
                <c:pt idx="40">
                  <c:v>44894</c:v>
                </c:pt>
                <c:pt idx="41">
                  <c:v>44919</c:v>
                </c:pt>
                <c:pt idx="42">
                  <c:v>44944</c:v>
                </c:pt>
                <c:pt idx="43">
                  <c:v>44969</c:v>
                </c:pt>
                <c:pt idx="44">
                  <c:v>44994</c:v>
                </c:pt>
                <c:pt idx="45">
                  <c:v>45019</c:v>
                </c:pt>
                <c:pt idx="46">
                  <c:v>45044</c:v>
                </c:pt>
                <c:pt idx="47">
                  <c:v>45069</c:v>
                </c:pt>
                <c:pt idx="48">
                  <c:v>45094</c:v>
                </c:pt>
                <c:pt idx="49">
                  <c:v>45119</c:v>
                </c:pt>
                <c:pt idx="50">
                  <c:v>45144</c:v>
                </c:pt>
                <c:pt idx="51">
                  <c:v>45169</c:v>
                </c:pt>
                <c:pt idx="52">
                  <c:v>45194</c:v>
                </c:pt>
                <c:pt idx="53">
                  <c:v>45219</c:v>
                </c:pt>
                <c:pt idx="54">
                  <c:v>45244</c:v>
                </c:pt>
                <c:pt idx="55">
                  <c:v>45269</c:v>
                </c:pt>
                <c:pt idx="56">
                  <c:v>45294</c:v>
                </c:pt>
                <c:pt idx="57">
                  <c:v>45319</c:v>
                </c:pt>
                <c:pt idx="58">
                  <c:v>45344</c:v>
                </c:pt>
                <c:pt idx="59">
                  <c:v>45369</c:v>
                </c:pt>
                <c:pt idx="60">
                  <c:v>45394</c:v>
                </c:pt>
                <c:pt idx="61">
                  <c:v>45419</c:v>
                </c:pt>
                <c:pt idx="62">
                  <c:v>45444</c:v>
                </c:pt>
                <c:pt idx="63">
                  <c:v>45469</c:v>
                </c:pt>
                <c:pt idx="64">
                  <c:v>45494</c:v>
                </c:pt>
                <c:pt idx="65">
                  <c:v>45519</c:v>
                </c:pt>
                <c:pt idx="66">
                  <c:v>45544</c:v>
                </c:pt>
                <c:pt idx="67">
                  <c:v>45569</c:v>
                </c:pt>
                <c:pt idx="68">
                  <c:v>45594</c:v>
                </c:pt>
                <c:pt idx="69">
                  <c:v>45619</c:v>
                </c:pt>
                <c:pt idx="70">
                  <c:v>45644</c:v>
                </c:pt>
                <c:pt idx="71">
                  <c:v>45669</c:v>
                </c:pt>
                <c:pt idx="72">
                  <c:v>45694</c:v>
                </c:pt>
                <c:pt idx="73">
                  <c:v>45719</c:v>
                </c:pt>
                <c:pt idx="74">
                  <c:v>45744</c:v>
                </c:pt>
                <c:pt idx="75">
                  <c:v>45769</c:v>
                </c:pt>
                <c:pt idx="76">
                  <c:v>45794</c:v>
                </c:pt>
              </c:numCache>
            </c:numRef>
          </c:xVal>
          <c:yVal>
            <c:numRef>
              <c:f>TURN_OF_YEAR!$F$36:$F$121</c:f>
              <c:numCache>
                <c:formatCode>0.00000%</c:formatCode>
                <c:ptCount val="86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E0-4C8E-9E6E-167D6AE31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243359"/>
        <c:axId val="1133425279"/>
      </c:scatterChart>
      <c:valAx>
        <c:axId val="11352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d\,\ 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25279"/>
        <c:crosses val="autoZero"/>
        <c:crossBetween val="midCat"/>
      </c:valAx>
      <c:valAx>
        <c:axId val="11334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4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39321282584724"/>
          <c:y val="0.69032795995402174"/>
          <c:w val="0.20287242967324201"/>
          <c:h val="0.12951725015793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Forwards</a:t>
            </a:r>
            <a:r>
              <a:rPr lang="en-GB" baseline="0"/>
              <a:t> on Pillar Points Only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TURN_OF_YEAR!$G$10</c:f>
              <c:strCache>
                <c:ptCount val="1"/>
                <c:pt idx="0">
                  <c:v>ForwardRate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CurveModule!#REF!</c:f>
            </c:numRef>
          </c:xVal>
          <c:yVal>
            <c:numRef>
              <c:f>TURN_OF_YEAR!$G$11:$G$30</c:f>
              <c:numCache>
                <c:formatCode>0.00000%</c:formatCode>
                <c:ptCount val="20"/>
                <c:pt idx="0">
                  <c:v>0.02</c:v>
                </c:pt>
                <c:pt idx="1">
                  <c:v>3.5000000000000003E-2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5.000000000000001E-3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0.01</c:v>
                </c:pt>
                <c:pt idx="18">
                  <c:v>0.02</c:v>
                </c:pt>
                <c:pt idx="19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2-4EBD-A53D-31EF5B83B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257727"/>
        <c:axId val="1159254815"/>
      </c:scatterChart>
      <c:valAx>
        <c:axId val="115925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54815"/>
        <c:crosses val="autoZero"/>
        <c:crossBetween val="midCat"/>
      </c:valAx>
      <c:valAx>
        <c:axId val="115925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5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598714</xdr:colOff>
      <xdr:row>5</xdr:row>
      <xdr:rowOff>122465</xdr:rowOff>
    </xdr:from>
    <xdr:to>
      <xdr:col>18</xdr:col>
      <xdr:colOff>557894</xdr:colOff>
      <xdr:row>30</xdr:row>
      <xdr:rowOff>42183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323850</xdr:colOff>
      <xdr:row>32</xdr:row>
      <xdr:rowOff>114300</xdr:rowOff>
    </xdr:from>
    <xdr:to>
      <xdr:col>15</xdr:col>
      <xdr:colOff>171450</xdr:colOff>
      <xdr:row>47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CURVE_TURN_OF_YE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OFR_CURVE_SMOOTHING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3.0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OFR_CURVE_WITH_FUT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_SOFR_CURVE"/>
      <sheetName val="TURN_OF_YEAR"/>
      <sheetName val="CURVE_OVERRIDES"/>
      <sheetName val="SPREAD_CURVES"/>
      <sheetName val="STATE_VARIABLES"/>
    </sheetNames>
    <sheetDataSet>
      <sheetData sheetId="0"/>
      <sheetData sheetId="1">
        <row r="10">
          <cell r="G10" t="str">
            <v>ForwardRate</v>
          </cell>
        </row>
        <row r="11">
          <cell r="G11">
            <v>0.02</v>
          </cell>
        </row>
        <row r="12">
          <cell r="G12">
            <v>3.5000000000000003E-2</v>
          </cell>
        </row>
        <row r="13">
          <cell r="G13">
            <v>0.02</v>
          </cell>
        </row>
        <row r="14">
          <cell r="G14">
            <v>0.02</v>
          </cell>
        </row>
        <row r="15">
          <cell r="G15">
            <v>0.02</v>
          </cell>
        </row>
        <row r="16">
          <cell r="G16">
            <v>0.02</v>
          </cell>
        </row>
        <row r="17">
          <cell r="G17">
            <v>0.02</v>
          </cell>
        </row>
        <row r="18">
          <cell r="G18">
            <v>5.000000000000001E-3</v>
          </cell>
        </row>
        <row r="19">
          <cell r="G19">
            <v>0.02</v>
          </cell>
        </row>
        <row r="20">
          <cell r="G20">
            <v>0.02</v>
          </cell>
        </row>
        <row r="21">
          <cell r="G21">
            <v>0.02</v>
          </cell>
        </row>
        <row r="22">
          <cell r="G22">
            <v>0.02</v>
          </cell>
        </row>
        <row r="23">
          <cell r="G23">
            <v>0.02</v>
          </cell>
        </row>
        <row r="24">
          <cell r="G24">
            <v>0.03</v>
          </cell>
        </row>
        <row r="25">
          <cell r="G25">
            <v>0.02</v>
          </cell>
        </row>
        <row r="26">
          <cell r="G26">
            <v>0.02</v>
          </cell>
        </row>
        <row r="27">
          <cell r="G27">
            <v>0.02</v>
          </cell>
        </row>
        <row r="28">
          <cell r="G28">
            <v>0.01</v>
          </cell>
        </row>
        <row r="29">
          <cell r="G29">
            <v>0.02</v>
          </cell>
        </row>
        <row r="30">
          <cell r="G30">
            <v>0.02</v>
          </cell>
        </row>
        <row r="35">
          <cell r="F35" t="str">
            <v>Unadjusted</v>
          </cell>
          <cell r="G35" t="str">
            <v>Adjusted</v>
          </cell>
        </row>
        <row r="36">
          <cell r="E36">
            <v>43894</v>
          </cell>
          <cell r="F36">
            <v>0.02</v>
          </cell>
          <cell r="G36">
            <v>0.02</v>
          </cell>
        </row>
        <row r="37">
          <cell r="E37">
            <v>43919</v>
          </cell>
          <cell r="F37">
            <v>0.02</v>
          </cell>
          <cell r="G37">
            <v>0.02</v>
          </cell>
        </row>
        <row r="38">
          <cell r="E38">
            <v>43944</v>
          </cell>
          <cell r="F38">
            <v>0.02</v>
          </cell>
          <cell r="G38">
            <v>0.02</v>
          </cell>
        </row>
        <row r="39">
          <cell r="E39">
            <v>43969</v>
          </cell>
          <cell r="F39">
            <v>0.02</v>
          </cell>
          <cell r="G39">
            <v>0.02</v>
          </cell>
        </row>
        <row r="40">
          <cell r="E40">
            <v>43994</v>
          </cell>
          <cell r="F40">
            <v>0.02</v>
          </cell>
          <cell r="G40">
            <v>3.5000000000000003E-2</v>
          </cell>
        </row>
        <row r="41">
          <cell r="E41">
            <v>44019</v>
          </cell>
          <cell r="F41">
            <v>0.02</v>
          </cell>
          <cell r="G41">
            <v>0.02</v>
          </cell>
        </row>
        <row r="42">
          <cell r="E42">
            <v>44044</v>
          </cell>
          <cell r="F42">
            <v>0.02</v>
          </cell>
          <cell r="G42">
            <v>0.02</v>
          </cell>
        </row>
        <row r="43">
          <cell r="E43">
            <v>44069</v>
          </cell>
          <cell r="F43">
            <v>0.02</v>
          </cell>
          <cell r="G43">
            <v>0.02</v>
          </cell>
        </row>
        <row r="44">
          <cell r="E44">
            <v>44094</v>
          </cell>
          <cell r="F44">
            <v>0.02</v>
          </cell>
          <cell r="G44">
            <v>0.02</v>
          </cell>
        </row>
        <row r="45">
          <cell r="E45">
            <v>44119</v>
          </cell>
          <cell r="F45">
            <v>0.02</v>
          </cell>
          <cell r="G45">
            <v>0.02</v>
          </cell>
        </row>
        <row r="46">
          <cell r="E46">
            <v>44144</v>
          </cell>
          <cell r="F46">
            <v>0.02</v>
          </cell>
          <cell r="G46">
            <v>0.02</v>
          </cell>
        </row>
        <row r="47">
          <cell r="E47">
            <v>44169</v>
          </cell>
          <cell r="F47">
            <v>0.02</v>
          </cell>
          <cell r="G47">
            <v>0.02</v>
          </cell>
        </row>
        <row r="48">
          <cell r="E48">
            <v>44194</v>
          </cell>
          <cell r="F48">
            <v>0.02</v>
          </cell>
          <cell r="G48">
            <v>0.02</v>
          </cell>
        </row>
        <row r="49">
          <cell r="E49">
            <v>44219</v>
          </cell>
          <cell r="F49">
            <v>0.02</v>
          </cell>
          <cell r="G49">
            <v>0.02</v>
          </cell>
        </row>
        <row r="50">
          <cell r="E50">
            <v>44244</v>
          </cell>
          <cell r="F50">
            <v>0.02</v>
          </cell>
          <cell r="G50">
            <v>0.02</v>
          </cell>
        </row>
        <row r="51">
          <cell r="E51">
            <v>44269</v>
          </cell>
          <cell r="F51">
            <v>0.02</v>
          </cell>
          <cell r="G51">
            <v>0.02</v>
          </cell>
        </row>
        <row r="52">
          <cell r="E52">
            <v>44294</v>
          </cell>
          <cell r="F52">
            <v>0.02</v>
          </cell>
          <cell r="G52">
            <v>0.02</v>
          </cell>
        </row>
        <row r="53">
          <cell r="E53">
            <v>44319</v>
          </cell>
          <cell r="F53">
            <v>0.02</v>
          </cell>
          <cell r="G53">
            <v>0.02</v>
          </cell>
        </row>
        <row r="54">
          <cell r="E54">
            <v>44344</v>
          </cell>
          <cell r="F54">
            <v>0.02</v>
          </cell>
          <cell r="G54">
            <v>0.02</v>
          </cell>
        </row>
        <row r="55">
          <cell r="E55">
            <v>44369</v>
          </cell>
          <cell r="F55">
            <v>0.02</v>
          </cell>
          <cell r="G55">
            <v>0.02</v>
          </cell>
        </row>
        <row r="56">
          <cell r="E56">
            <v>44394</v>
          </cell>
          <cell r="F56">
            <v>0.02</v>
          </cell>
          <cell r="G56">
            <v>0.02</v>
          </cell>
        </row>
        <row r="57">
          <cell r="E57">
            <v>44419</v>
          </cell>
          <cell r="F57">
            <v>0.02</v>
          </cell>
          <cell r="G57">
            <v>0.02</v>
          </cell>
        </row>
        <row r="58">
          <cell r="E58">
            <v>44444</v>
          </cell>
          <cell r="F58">
            <v>0.02</v>
          </cell>
          <cell r="G58">
            <v>0.02</v>
          </cell>
        </row>
        <row r="59">
          <cell r="E59">
            <v>44469</v>
          </cell>
          <cell r="F59">
            <v>0.02</v>
          </cell>
          <cell r="G59">
            <v>0.02</v>
          </cell>
        </row>
        <row r="60">
          <cell r="E60">
            <v>44494</v>
          </cell>
          <cell r="F60">
            <v>0.02</v>
          </cell>
          <cell r="G60">
            <v>0.02</v>
          </cell>
        </row>
        <row r="61">
          <cell r="E61">
            <v>44519</v>
          </cell>
          <cell r="F61">
            <v>0.02</v>
          </cell>
          <cell r="G61">
            <v>0.02</v>
          </cell>
        </row>
        <row r="62">
          <cell r="E62">
            <v>44544</v>
          </cell>
          <cell r="F62">
            <v>0.02</v>
          </cell>
          <cell r="G62">
            <v>0.02</v>
          </cell>
        </row>
        <row r="63">
          <cell r="E63">
            <v>44569</v>
          </cell>
          <cell r="F63">
            <v>0.02</v>
          </cell>
          <cell r="G63">
            <v>0.02</v>
          </cell>
        </row>
        <row r="64">
          <cell r="E64">
            <v>44594</v>
          </cell>
          <cell r="F64">
            <v>0.02</v>
          </cell>
          <cell r="G64">
            <v>5.000000000000001E-3</v>
          </cell>
        </row>
        <row r="65">
          <cell r="E65">
            <v>44619</v>
          </cell>
          <cell r="F65">
            <v>0.02</v>
          </cell>
          <cell r="G65">
            <v>0.02</v>
          </cell>
        </row>
        <row r="66">
          <cell r="E66">
            <v>44644</v>
          </cell>
          <cell r="F66">
            <v>0.02</v>
          </cell>
          <cell r="G66">
            <v>0.02</v>
          </cell>
        </row>
        <row r="67">
          <cell r="E67">
            <v>44669</v>
          </cell>
          <cell r="F67">
            <v>0.02</v>
          </cell>
          <cell r="G67">
            <v>0.02</v>
          </cell>
        </row>
        <row r="68">
          <cell r="E68">
            <v>44694</v>
          </cell>
          <cell r="F68">
            <v>0.02</v>
          </cell>
          <cell r="G68">
            <v>0.02</v>
          </cell>
        </row>
        <row r="69">
          <cell r="E69">
            <v>44719</v>
          </cell>
          <cell r="F69">
            <v>0.02</v>
          </cell>
          <cell r="G69">
            <v>0.02</v>
          </cell>
        </row>
        <row r="70">
          <cell r="E70">
            <v>44744</v>
          </cell>
          <cell r="F70">
            <v>0.02</v>
          </cell>
          <cell r="G70">
            <v>0.02</v>
          </cell>
        </row>
        <row r="71">
          <cell r="E71">
            <v>44769</v>
          </cell>
          <cell r="F71">
            <v>0.02</v>
          </cell>
          <cell r="G71">
            <v>0.02</v>
          </cell>
        </row>
        <row r="72">
          <cell r="E72">
            <v>44794</v>
          </cell>
          <cell r="F72">
            <v>0.02</v>
          </cell>
          <cell r="G72">
            <v>0.02</v>
          </cell>
        </row>
        <row r="73">
          <cell r="E73">
            <v>44819</v>
          </cell>
          <cell r="F73">
            <v>0.02</v>
          </cell>
          <cell r="G73">
            <v>0.02</v>
          </cell>
        </row>
        <row r="74">
          <cell r="E74">
            <v>44844</v>
          </cell>
          <cell r="F74">
            <v>0.02</v>
          </cell>
          <cell r="G74">
            <v>0.02</v>
          </cell>
        </row>
        <row r="75">
          <cell r="E75">
            <v>44869</v>
          </cell>
          <cell r="F75">
            <v>0.02</v>
          </cell>
          <cell r="G75">
            <v>0.02</v>
          </cell>
        </row>
        <row r="76">
          <cell r="E76">
            <v>44894</v>
          </cell>
          <cell r="F76">
            <v>0.02</v>
          </cell>
          <cell r="G76">
            <v>0.02</v>
          </cell>
        </row>
        <row r="77">
          <cell r="E77">
            <v>44919</v>
          </cell>
          <cell r="F77">
            <v>0.02</v>
          </cell>
          <cell r="G77">
            <v>0.02</v>
          </cell>
        </row>
        <row r="78">
          <cell r="E78">
            <v>44944</v>
          </cell>
          <cell r="F78">
            <v>0.02</v>
          </cell>
          <cell r="G78">
            <v>0.02</v>
          </cell>
        </row>
        <row r="79">
          <cell r="E79">
            <v>44969</v>
          </cell>
          <cell r="F79">
            <v>0.02</v>
          </cell>
          <cell r="G79">
            <v>0.02</v>
          </cell>
        </row>
        <row r="80">
          <cell r="E80">
            <v>44994</v>
          </cell>
          <cell r="F80">
            <v>0.02</v>
          </cell>
          <cell r="G80">
            <v>0.02</v>
          </cell>
        </row>
        <row r="81">
          <cell r="E81">
            <v>45019</v>
          </cell>
          <cell r="F81">
            <v>0.02</v>
          </cell>
          <cell r="G81">
            <v>0.02</v>
          </cell>
        </row>
        <row r="82">
          <cell r="E82">
            <v>45044</v>
          </cell>
          <cell r="F82">
            <v>0.02</v>
          </cell>
          <cell r="G82">
            <v>0.02</v>
          </cell>
        </row>
        <row r="83">
          <cell r="E83">
            <v>45069</v>
          </cell>
          <cell r="F83">
            <v>0.02</v>
          </cell>
          <cell r="G83">
            <v>0.02</v>
          </cell>
        </row>
        <row r="84">
          <cell r="E84">
            <v>45094</v>
          </cell>
          <cell r="F84">
            <v>0.02</v>
          </cell>
          <cell r="G84">
            <v>0.02</v>
          </cell>
        </row>
        <row r="85">
          <cell r="E85">
            <v>45119</v>
          </cell>
          <cell r="F85">
            <v>0.02</v>
          </cell>
          <cell r="G85">
            <v>0.02</v>
          </cell>
        </row>
        <row r="86">
          <cell r="E86">
            <v>45144</v>
          </cell>
          <cell r="F86">
            <v>0.02</v>
          </cell>
          <cell r="G86">
            <v>0.02</v>
          </cell>
        </row>
        <row r="87">
          <cell r="E87">
            <v>45169</v>
          </cell>
          <cell r="F87">
            <v>0.02</v>
          </cell>
          <cell r="G87">
            <v>0.02</v>
          </cell>
        </row>
        <row r="88">
          <cell r="E88">
            <v>45194</v>
          </cell>
          <cell r="F88">
            <v>0.02</v>
          </cell>
          <cell r="G88">
            <v>0.03</v>
          </cell>
        </row>
        <row r="89">
          <cell r="E89">
            <v>45219</v>
          </cell>
          <cell r="F89">
            <v>0.02</v>
          </cell>
          <cell r="G89">
            <v>0.02</v>
          </cell>
        </row>
        <row r="90">
          <cell r="E90">
            <v>45244</v>
          </cell>
          <cell r="F90">
            <v>0.02</v>
          </cell>
          <cell r="G90">
            <v>0.02</v>
          </cell>
        </row>
        <row r="91">
          <cell r="E91">
            <v>45269</v>
          </cell>
          <cell r="F91">
            <v>0.02</v>
          </cell>
          <cell r="G91">
            <v>0.02</v>
          </cell>
        </row>
        <row r="92">
          <cell r="E92">
            <v>45294</v>
          </cell>
          <cell r="F92">
            <v>0.02</v>
          </cell>
          <cell r="G92">
            <v>0.02</v>
          </cell>
        </row>
        <row r="93">
          <cell r="E93">
            <v>45319</v>
          </cell>
          <cell r="F93">
            <v>0.02</v>
          </cell>
          <cell r="G93">
            <v>0.02</v>
          </cell>
        </row>
        <row r="94">
          <cell r="E94">
            <v>45344</v>
          </cell>
          <cell r="F94">
            <v>0.02</v>
          </cell>
          <cell r="G94">
            <v>0.02</v>
          </cell>
        </row>
        <row r="95">
          <cell r="E95">
            <v>45369</v>
          </cell>
          <cell r="F95">
            <v>0.02</v>
          </cell>
          <cell r="G95">
            <v>0.02</v>
          </cell>
        </row>
        <row r="96">
          <cell r="E96">
            <v>45394</v>
          </cell>
          <cell r="F96">
            <v>0.02</v>
          </cell>
          <cell r="G96">
            <v>0.02</v>
          </cell>
        </row>
        <row r="97">
          <cell r="E97">
            <v>45419</v>
          </cell>
          <cell r="F97">
            <v>0.02</v>
          </cell>
          <cell r="G97">
            <v>0.02</v>
          </cell>
        </row>
        <row r="98">
          <cell r="E98">
            <v>45444</v>
          </cell>
          <cell r="F98">
            <v>0.02</v>
          </cell>
          <cell r="G98">
            <v>0.02</v>
          </cell>
        </row>
        <row r="99">
          <cell r="E99">
            <v>45469</v>
          </cell>
          <cell r="F99">
            <v>0.02</v>
          </cell>
          <cell r="G99">
            <v>0.02</v>
          </cell>
        </row>
        <row r="100">
          <cell r="E100">
            <v>45494</v>
          </cell>
          <cell r="F100">
            <v>0.02</v>
          </cell>
          <cell r="G100">
            <v>0.02</v>
          </cell>
        </row>
        <row r="101">
          <cell r="E101">
            <v>45519</v>
          </cell>
          <cell r="F101">
            <v>0.02</v>
          </cell>
          <cell r="G101">
            <v>0.02</v>
          </cell>
        </row>
        <row r="102">
          <cell r="E102">
            <v>45544</v>
          </cell>
          <cell r="F102">
            <v>0.02</v>
          </cell>
          <cell r="G102">
            <v>0.02</v>
          </cell>
        </row>
        <row r="103">
          <cell r="E103">
            <v>45569</v>
          </cell>
          <cell r="F103">
            <v>0.02</v>
          </cell>
          <cell r="G103">
            <v>0.02</v>
          </cell>
        </row>
        <row r="104">
          <cell r="E104">
            <v>45594</v>
          </cell>
          <cell r="F104">
            <v>0.02</v>
          </cell>
          <cell r="G104">
            <v>0.01</v>
          </cell>
        </row>
        <row r="105">
          <cell r="E105">
            <v>45619</v>
          </cell>
          <cell r="F105">
            <v>0.02</v>
          </cell>
          <cell r="G105">
            <v>0.02</v>
          </cell>
        </row>
        <row r="106">
          <cell r="E106">
            <v>45644</v>
          </cell>
          <cell r="F106">
            <v>0.02</v>
          </cell>
          <cell r="G106">
            <v>0.02</v>
          </cell>
        </row>
        <row r="107">
          <cell r="E107">
            <v>45669</v>
          </cell>
          <cell r="F107">
            <v>0.02</v>
          </cell>
          <cell r="G107">
            <v>0.02</v>
          </cell>
        </row>
        <row r="108">
          <cell r="E108">
            <v>45694</v>
          </cell>
          <cell r="F108">
            <v>0.02</v>
          </cell>
          <cell r="G108">
            <v>0.02</v>
          </cell>
        </row>
        <row r="109">
          <cell r="E109">
            <v>45719</v>
          </cell>
          <cell r="F109">
            <v>0.02</v>
          </cell>
          <cell r="G109">
            <v>0.02</v>
          </cell>
        </row>
        <row r="110">
          <cell r="E110">
            <v>45744</v>
          </cell>
          <cell r="F110">
            <v>0.02</v>
          </cell>
          <cell r="G110">
            <v>0.02</v>
          </cell>
        </row>
        <row r="111">
          <cell r="E111">
            <v>45769</v>
          </cell>
          <cell r="F111">
            <v>0.02</v>
          </cell>
          <cell r="G111">
            <v>0.02</v>
          </cell>
        </row>
        <row r="112">
          <cell r="E112">
            <v>45794</v>
          </cell>
          <cell r="F112">
            <v>0.02</v>
          </cell>
          <cell r="G112">
            <v>0.02</v>
          </cell>
        </row>
        <row r="113">
          <cell r="F113" t="e">
            <v>#N/A</v>
          </cell>
          <cell r="G113" t="e">
            <v>#N/A</v>
          </cell>
        </row>
        <row r="114">
          <cell r="F114" t="e">
            <v>#N/A</v>
          </cell>
          <cell r="G114" t="e">
            <v>#N/A</v>
          </cell>
        </row>
        <row r="115">
          <cell r="F115" t="e">
            <v>#N/A</v>
          </cell>
          <cell r="G115" t="e">
            <v>#N/A</v>
          </cell>
        </row>
        <row r="116">
          <cell r="F116" t="e">
            <v>#N/A</v>
          </cell>
          <cell r="G116" t="e">
            <v>#N/A</v>
          </cell>
        </row>
        <row r="117">
          <cell r="F117" t="e">
            <v>#N/A</v>
          </cell>
          <cell r="G117" t="e">
            <v>#N/A</v>
          </cell>
        </row>
        <row r="118">
          <cell r="F118" t="e">
            <v>#N/A</v>
          </cell>
          <cell r="G118" t="e">
            <v>#N/A</v>
          </cell>
        </row>
        <row r="119">
          <cell r="F119" t="e">
            <v>#N/A</v>
          </cell>
          <cell r="G119" t="e">
            <v>#N/A</v>
          </cell>
        </row>
        <row r="120">
          <cell r="F120" t="e">
            <v>#N/A</v>
          </cell>
          <cell r="G120" t="e">
            <v>#N/A</v>
          </cell>
        </row>
        <row r="121">
          <cell r="F121" t="e">
            <v>#N/A</v>
          </cell>
          <cell r="G121" t="e">
            <v>#N/A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SOFR_CURVE"/>
      <sheetName val="USD_SOFR_SWAPS"/>
      <sheetName val="CURVE_SMOOTHING"/>
    </sheetNames>
    <sheetDataSet>
      <sheetData sheetId="0"/>
      <sheetData sheetId="1"/>
      <sheetData sheetId="2"/>
      <sheetData sheetId="3">
        <row r="5">
          <cell r="C5">
            <v>7</v>
          </cell>
        </row>
        <row r="7">
          <cell r="B7">
            <v>43</v>
          </cell>
        </row>
        <row r="9">
          <cell r="A9">
            <v>0</v>
          </cell>
          <cell r="B9">
            <v>43844</v>
          </cell>
          <cell r="E9">
            <v>-2.3154510460516745E-14</v>
          </cell>
          <cell r="H9">
            <v>2.7397260273972603E-3</v>
          </cell>
          <cell r="K9">
            <v>0</v>
          </cell>
        </row>
        <row r="10">
          <cell r="H10">
            <v>8.4931506849315067E-2</v>
          </cell>
          <cell r="K10">
            <v>0</v>
          </cell>
        </row>
        <row r="11">
          <cell r="H11">
            <v>0.24931506849315069</v>
          </cell>
          <cell r="K11">
            <v>0</v>
          </cell>
        </row>
        <row r="12">
          <cell r="H12">
            <v>0.49863013698630138</v>
          </cell>
          <cell r="K12">
            <v>0</v>
          </cell>
        </row>
        <row r="13">
          <cell r="H13">
            <v>1.0027397260273974</v>
          </cell>
          <cell r="K13">
            <v>7.9936057773011561E-14</v>
          </cell>
        </row>
        <row r="14">
          <cell r="H14">
            <v>1.4986301369863013</v>
          </cell>
          <cell r="K14">
            <v>2.3980817331903467E-13</v>
          </cell>
        </row>
        <row r="15">
          <cell r="H15">
            <v>2.0027397260273974</v>
          </cell>
          <cell r="K15">
            <v>7.9936057773011561E-14</v>
          </cell>
        </row>
        <row r="16">
          <cell r="H16">
            <v>3.010958904109589</v>
          </cell>
          <cell r="K16">
            <v>-1.1990408665951734E-13</v>
          </cell>
        </row>
        <row r="17">
          <cell r="H17">
            <v>4.0082191780821921</v>
          </cell>
          <cell r="K17">
            <v>-1.5987211554604867E-13</v>
          </cell>
        </row>
        <row r="18">
          <cell r="H18">
            <v>5.0054794520547947</v>
          </cell>
          <cell r="K18">
            <v>-1.5987211554604867E-13</v>
          </cell>
        </row>
        <row r="19">
          <cell r="H19">
            <v>10.008219178082191</v>
          </cell>
          <cell r="K19">
            <v>-2.3980817331899635E-13</v>
          </cell>
        </row>
        <row r="20">
          <cell r="H20">
            <v>11.008219178082191</v>
          </cell>
          <cell r="K20">
            <v>-2.3980817331899635E-13</v>
          </cell>
        </row>
        <row r="21">
          <cell r="H21">
            <v>12.008219178082191</v>
          </cell>
          <cell r="K21">
            <v>-1.5987211554609979E-13</v>
          </cell>
        </row>
        <row r="22">
          <cell r="H22">
            <v>14.019178082191781</v>
          </cell>
          <cell r="K22">
            <v>-1.5987211554599755E-13</v>
          </cell>
        </row>
        <row r="23">
          <cell r="H23">
            <v>15.016438356164384</v>
          </cell>
          <cell r="K23">
            <v>-1.5987211554599755E-13</v>
          </cell>
        </row>
        <row r="24">
          <cell r="H24">
            <v>20.021917808219179</v>
          </cell>
          <cell r="K24">
            <v>-1.5987211554609979E-13</v>
          </cell>
        </row>
        <row r="25">
          <cell r="H25">
            <v>22.016438356164382</v>
          </cell>
          <cell r="K25">
            <v>-1.5987211554609979E-13</v>
          </cell>
        </row>
        <row r="26">
          <cell r="H26">
            <v>25.027397260273972</v>
          </cell>
          <cell r="K26">
            <v>-1.5987211554609979E-13</v>
          </cell>
        </row>
        <row r="27">
          <cell r="H27">
            <v>28.019178082191782</v>
          </cell>
          <cell r="K27">
            <v>-7.9936057773049894E-14</v>
          </cell>
        </row>
        <row r="28">
          <cell r="H28">
            <v>30.021917808219179</v>
          </cell>
          <cell r="K28">
            <v>-7.9936057773049894E-14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2">
          <cell r="O2">
            <v>0</v>
          </cell>
        </row>
        <row r="4">
          <cell r="C4">
            <v>43600</v>
          </cell>
          <cell r="E4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_SOFR_CURVE"/>
      <sheetName val="USD_OIS"/>
      <sheetName val="SWAP_GENERATORS"/>
      <sheetName val="REPRICING"/>
      <sheetName val="FORWARDS"/>
    </sheetNames>
    <sheetDataSet>
      <sheetData sheetId="0"/>
      <sheetData sheetId="1" refreshError="1"/>
      <sheetData sheetId="2">
        <row r="5">
          <cell r="D5" t="str">
            <v>USD_SOFR_SWAP@42:2</v>
          </cell>
          <cell r="J5" t="str">
            <v>USD_SOFR_SWAP_UNDER_1Y@41:2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5"/>
  <sheetViews>
    <sheetView showGridLines="0" tabSelected="1" zoomScaleNormal="100" workbookViewId="0"/>
  </sheetViews>
  <sheetFormatPr defaultRowHeight="15" x14ac:dyDescent="0.25"/>
  <cols>
    <col min="2" max="2" width="17.28515625" bestFit="1" customWidth="1"/>
    <col min="3" max="3" width="20.140625" customWidth="1"/>
    <col min="4" max="4" width="8.85546875" customWidth="1"/>
    <col min="5" max="5" width="19" customWidth="1"/>
    <col min="6" max="6" width="16.7109375" bestFit="1" customWidth="1"/>
    <col min="7" max="7" width="17.28515625" bestFit="1" customWidth="1"/>
    <col min="8" max="8" width="15.42578125" bestFit="1" customWidth="1"/>
    <col min="9" max="9" width="5.7109375" customWidth="1"/>
    <col min="10" max="10" width="9.140625" customWidth="1"/>
    <col min="11" max="11" width="12.42578125" customWidth="1"/>
    <col min="12" max="13" width="9.140625" customWidth="1"/>
  </cols>
  <sheetData>
    <row r="1" spans="2:15" ht="18.75" x14ac:dyDescent="0.25">
      <c r="E1" s="15"/>
    </row>
    <row r="2" spans="2:15" ht="18.75" x14ac:dyDescent="0.25">
      <c r="B2" s="16" t="s">
        <v>21</v>
      </c>
      <c r="E2" s="16" t="s">
        <v>22</v>
      </c>
      <c r="K2" s="17"/>
    </row>
    <row r="3" spans="2:15" x14ac:dyDescent="0.25">
      <c r="B3" t="s">
        <v>3</v>
      </c>
      <c r="C3" s="18">
        <v>43894</v>
      </c>
      <c r="E3" s="19" t="s">
        <v>23</v>
      </c>
      <c r="F3" s="19" t="s">
        <v>24</v>
      </c>
      <c r="G3" s="19" t="s">
        <v>25</v>
      </c>
      <c r="H3" s="19" t="s">
        <v>26</v>
      </c>
      <c r="I3" s="19"/>
      <c r="K3" s="16" t="s">
        <v>27</v>
      </c>
      <c r="N3" s="20">
        <v>25</v>
      </c>
      <c r="O3" s="1" t="s">
        <v>28</v>
      </c>
    </row>
    <row r="4" spans="2:15" x14ac:dyDescent="0.25">
      <c r="B4" t="s">
        <v>29</v>
      </c>
      <c r="C4" s="21" t="s">
        <v>30</v>
      </c>
      <c r="E4" s="22" t="s">
        <v>31</v>
      </c>
      <c r="F4" s="22">
        <f>B12</f>
        <v>43994</v>
      </c>
      <c r="G4" s="23">
        <f>F4+$N$4</f>
        <v>44004</v>
      </c>
      <c r="H4" s="24">
        <v>1.4999999999999999E-2</v>
      </c>
      <c r="I4" s="19"/>
      <c r="K4" s="25" t="s">
        <v>32</v>
      </c>
      <c r="N4" s="20">
        <v>10</v>
      </c>
      <c r="O4" s="1" t="s">
        <v>28</v>
      </c>
    </row>
    <row r="5" spans="2:15" x14ac:dyDescent="0.25">
      <c r="B5" t="s">
        <v>4</v>
      </c>
      <c r="C5" s="21" t="s">
        <v>14</v>
      </c>
      <c r="E5" s="26" t="s">
        <v>31</v>
      </c>
      <c r="F5" s="26">
        <f>B18</f>
        <v>44594</v>
      </c>
      <c r="G5" s="27">
        <f>F5+$N$4</f>
        <v>44604</v>
      </c>
      <c r="H5" s="28">
        <v>-1.4999999999999999E-2</v>
      </c>
      <c r="I5" s="19"/>
    </row>
    <row r="6" spans="2:15" x14ac:dyDescent="0.25">
      <c r="B6" t="s">
        <v>11</v>
      </c>
      <c r="C6" s="18">
        <f>C3</f>
        <v>43894</v>
      </c>
      <c r="E6" s="29" t="s">
        <v>31</v>
      </c>
      <c r="F6" s="29">
        <f>B24</f>
        <v>45194</v>
      </c>
      <c r="G6" s="30">
        <f>F6+$N$4</f>
        <v>45204</v>
      </c>
      <c r="H6" s="31">
        <v>0.01</v>
      </c>
      <c r="I6" s="19"/>
    </row>
    <row r="7" spans="2:15" x14ac:dyDescent="0.25">
      <c r="B7" t="s">
        <v>33</v>
      </c>
      <c r="C7" s="32">
        <v>10</v>
      </c>
      <c r="E7" s="33" t="s">
        <v>31</v>
      </c>
      <c r="F7" s="33">
        <f>B28</f>
        <v>45594</v>
      </c>
      <c r="G7" s="34">
        <f>F7+$N$4</f>
        <v>45604</v>
      </c>
      <c r="H7" s="35">
        <v>-0.01</v>
      </c>
      <c r="I7" s="19"/>
    </row>
    <row r="8" spans="2:15" x14ac:dyDescent="0.25">
      <c r="I8" s="19"/>
    </row>
    <row r="9" spans="2:15" x14ac:dyDescent="0.25">
      <c r="E9" s="25" t="s">
        <v>34</v>
      </c>
      <c r="F9" s="36"/>
      <c r="G9" s="1"/>
      <c r="H9" s="36" t="s">
        <v>35</v>
      </c>
      <c r="I9" s="19"/>
    </row>
    <row r="10" spans="2:15" x14ac:dyDescent="0.25">
      <c r="B10" s="1" t="s">
        <v>36</v>
      </c>
      <c r="C10" s="1" t="s">
        <v>37</v>
      </c>
      <c r="E10" s="1" t="s">
        <v>38</v>
      </c>
      <c r="F10" s="2" t="s">
        <v>16</v>
      </c>
      <c r="G10" s="1" t="s">
        <v>39</v>
      </c>
      <c r="H10" s="2" t="s">
        <v>16</v>
      </c>
      <c r="I10" s="19"/>
    </row>
    <row r="11" spans="2:15" x14ac:dyDescent="0.25">
      <c r="B11" s="37">
        <v>43894</v>
      </c>
      <c r="C11" s="38">
        <f t="shared" ref="C11:C30" si="0">IF($C$5="FORWARDRATE",C37,B37)</f>
        <v>0.02</v>
      </c>
      <c r="D11" s="39"/>
      <c r="E11" s="40">
        <f t="array" ref="E11:E30">_xll.meMathDiscountFactors($B$11:$B$30,$C$3,$C$4,$C$5,$B$11:$B$30,$C$11:$C$30,$C$6,$C$7,$E$4:$H$7)</f>
        <v>1</v>
      </c>
      <c r="F11" s="41">
        <f t="shared" ref="F11:F30" si="1">E11-B37</f>
        <v>0</v>
      </c>
      <c r="G11" s="42">
        <f t="array" ref="G11:G30">_xll.meMathForwardRates($B$11:$B$30,$C$3,$C$4,$C$5,$B$11:$B$30,$C$11:$C$30,$C$6,$C$7,$E$4:$H$7)</f>
        <v>0.02</v>
      </c>
      <c r="H11" s="47">
        <f>G11-C37</f>
        <v>0</v>
      </c>
      <c r="I11" s="48"/>
    </row>
    <row r="12" spans="2:15" x14ac:dyDescent="0.25">
      <c r="B12" s="49">
        <v>43994</v>
      </c>
      <c r="C12" s="38">
        <f t="shared" si="0"/>
        <v>0.02</v>
      </c>
      <c r="D12" s="4"/>
      <c r="E12" s="40">
        <v>0.99453553276059714</v>
      </c>
      <c r="F12" s="41">
        <f t="shared" si="1"/>
        <v>0</v>
      </c>
      <c r="G12" s="43">
        <v>3.5000000000000003E-2</v>
      </c>
      <c r="H12" s="47">
        <f t="shared" ref="H12:H30" si="2">G12-C38</f>
        <v>1.5000000000000003E-2</v>
      </c>
      <c r="I12" s="48"/>
    </row>
    <row r="13" spans="2:15" x14ac:dyDescent="0.25">
      <c r="B13" s="37">
        <v>44094</v>
      </c>
      <c r="C13" s="38">
        <f t="shared" si="0"/>
        <v>0.02</v>
      </c>
      <c r="D13" s="4"/>
      <c r="E13" s="40">
        <v>0.98910092592340471</v>
      </c>
      <c r="F13" s="41">
        <f t="shared" si="1"/>
        <v>0</v>
      </c>
      <c r="G13" s="42">
        <v>0.02</v>
      </c>
      <c r="H13" s="47">
        <f t="shared" si="2"/>
        <v>0</v>
      </c>
      <c r="I13" s="48"/>
    </row>
    <row r="14" spans="2:15" x14ac:dyDescent="0.25">
      <c r="B14" s="37">
        <v>44194</v>
      </c>
      <c r="C14" s="38">
        <f t="shared" si="0"/>
        <v>0.02</v>
      </c>
      <c r="D14" s="4"/>
      <c r="E14" s="40">
        <v>0.98369601631723325</v>
      </c>
      <c r="F14" s="41">
        <f t="shared" si="1"/>
        <v>0</v>
      </c>
      <c r="G14" s="42">
        <v>0.02</v>
      </c>
      <c r="H14" s="47">
        <f t="shared" si="2"/>
        <v>0</v>
      </c>
      <c r="I14" s="48"/>
    </row>
    <row r="15" spans="2:15" x14ac:dyDescent="0.25">
      <c r="B15" s="37">
        <v>44294</v>
      </c>
      <c r="C15" s="38">
        <f t="shared" si="0"/>
        <v>0.02</v>
      </c>
      <c r="D15" s="4"/>
      <c r="E15" s="40">
        <v>0.97832064166253663</v>
      </c>
      <c r="F15" s="41">
        <f t="shared" si="1"/>
        <v>0</v>
      </c>
      <c r="G15" s="42">
        <v>0.02</v>
      </c>
      <c r="H15" s="47">
        <f t="shared" si="2"/>
        <v>0</v>
      </c>
      <c r="I15" s="48"/>
    </row>
    <row r="16" spans="2:15" x14ac:dyDescent="0.25">
      <c r="B16" s="37">
        <v>44394</v>
      </c>
      <c r="C16" s="38">
        <f t="shared" si="0"/>
        <v>0.02</v>
      </c>
      <c r="D16" s="4"/>
      <c r="E16" s="40">
        <v>0.97297464056654004</v>
      </c>
      <c r="F16" s="41">
        <f t="shared" si="1"/>
        <v>0</v>
      </c>
      <c r="G16" s="42">
        <v>0.02</v>
      </c>
      <c r="H16" s="47">
        <f t="shared" si="2"/>
        <v>0</v>
      </c>
      <c r="I16" s="48"/>
    </row>
    <row r="17" spans="2:9" x14ac:dyDescent="0.25">
      <c r="B17" s="37">
        <v>44494</v>
      </c>
      <c r="C17" s="38">
        <f t="shared" si="0"/>
        <v>0.02</v>
      </c>
      <c r="D17" s="4"/>
      <c r="E17" s="40">
        <v>0.96765785251839442</v>
      </c>
      <c r="F17" s="41">
        <f t="shared" si="1"/>
        <v>0</v>
      </c>
      <c r="G17" s="42">
        <v>0.02</v>
      </c>
      <c r="H17" s="47">
        <f t="shared" si="2"/>
        <v>0</v>
      </c>
      <c r="I17" s="48"/>
    </row>
    <row r="18" spans="2:9" x14ac:dyDescent="0.25">
      <c r="B18" s="50">
        <v>44594</v>
      </c>
      <c r="C18" s="38">
        <f t="shared" si="0"/>
        <v>0.02</v>
      </c>
      <c r="D18" s="4"/>
      <c r="E18" s="40">
        <v>0.96197470457023926</v>
      </c>
      <c r="F18" s="41">
        <f t="shared" si="1"/>
        <v>-3.9541331411740988E-4</v>
      </c>
      <c r="G18" s="44">
        <v>5.000000000000001E-3</v>
      </c>
      <c r="H18" s="47">
        <f t="shared" si="2"/>
        <v>-1.4999999999999999E-2</v>
      </c>
      <c r="I18" s="48"/>
    </row>
    <row r="19" spans="2:9" x14ac:dyDescent="0.25">
      <c r="B19" s="37">
        <v>44694</v>
      </c>
      <c r="C19" s="38">
        <f t="shared" si="0"/>
        <v>0.02</v>
      </c>
      <c r="D19" s="4"/>
      <c r="E19" s="40">
        <v>0.95671802531198091</v>
      </c>
      <c r="F19" s="41">
        <f t="shared" si="1"/>
        <v>-3.9325259101641308E-4</v>
      </c>
      <c r="G19" s="42">
        <v>0.02</v>
      </c>
      <c r="H19" s="47">
        <f t="shared" si="2"/>
        <v>0</v>
      </c>
      <c r="I19" s="48"/>
    </row>
    <row r="20" spans="2:9" x14ac:dyDescent="0.25">
      <c r="B20" s="37">
        <v>44794</v>
      </c>
      <c r="C20" s="38">
        <f t="shared" si="0"/>
        <v>0.02</v>
      </c>
      <c r="D20" s="4"/>
      <c r="E20" s="40">
        <v>0.95149007100531735</v>
      </c>
      <c r="F20" s="41">
        <f t="shared" si="1"/>
        <v>-3.9110367511596689E-4</v>
      </c>
      <c r="G20" s="42">
        <v>0.02</v>
      </c>
      <c r="H20" s="47">
        <f t="shared" si="2"/>
        <v>0</v>
      </c>
      <c r="I20" s="48"/>
    </row>
    <row r="21" spans="2:9" x14ac:dyDescent="0.25">
      <c r="B21" s="37">
        <v>44894</v>
      </c>
      <c r="C21" s="38">
        <f t="shared" si="0"/>
        <v>0.02</v>
      </c>
      <c r="D21" s="4"/>
      <c r="E21" s="40">
        <v>0.9462906846836916</v>
      </c>
      <c r="F21" s="41">
        <f t="shared" si="1"/>
        <v>-3.8896650189612636E-4</v>
      </c>
      <c r="G21" s="42">
        <v>0.02</v>
      </c>
      <c r="H21" s="47">
        <f t="shared" si="2"/>
        <v>0</v>
      </c>
      <c r="I21" s="48"/>
    </row>
    <row r="22" spans="2:9" x14ac:dyDescent="0.25">
      <c r="B22" s="37">
        <v>44994</v>
      </c>
      <c r="C22" s="38">
        <f t="shared" si="0"/>
        <v>0.02</v>
      </c>
      <c r="D22" s="4"/>
      <c r="E22" s="40">
        <v>0.94111971023828556</v>
      </c>
      <c r="F22" s="41">
        <f t="shared" si="1"/>
        <v>-3.8684100718922032E-4</v>
      </c>
      <c r="G22" s="42">
        <v>0.02</v>
      </c>
      <c r="H22" s="47">
        <f t="shared" si="2"/>
        <v>0</v>
      </c>
      <c r="I22" s="48"/>
    </row>
    <row r="23" spans="2:9" x14ac:dyDescent="0.25">
      <c r="B23" s="37">
        <v>45094</v>
      </c>
      <c r="C23" s="38">
        <f t="shared" si="0"/>
        <v>0.02</v>
      </c>
      <c r="D23" s="4"/>
      <c r="E23" s="40">
        <v>0.9359769924133321</v>
      </c>
      <c r="F23" s="41">
        <f t="shared" si="1"/>
        <v>-3.8472712717863011E-4</v>
      </c>
      <c r="G23" s="42">
        <v>0.02</v>
      </c>
      <c r="H23" s="47">
        <f t="shared" si="2"/>
        <v>0</v>
      </c>
      <c r="I23" s="48"/>
    </row>
    <row r="24" spans="2:9" x14ac:dyDescent="0.25">
      <c r="B24" s="51">
        <v>45194</v>
      </c>
      <c r="C24" s="38">
        <f t="shared" si="0"/>
        <v>0.02</v>
      </c>
      <c r="D24" s="4"/>
      <c r="E24" s="40">
        <v>0.93124500159985057</v>
      </c>
      <c r="F24" s="41">
        <f t="shared" si="1"/>
        <v>0</v>
      </c>
      <c r="G24" s="45">
        <v>0.03</v>
      </c>
      <c r="H24" s="47">
        <f t="shared" si="2"/>
        <v>9.9999999999999985E-3</v>
      </c>
      <c r="I24" s="48"/>
    </row>
    <row r="25" spans="2:9" x14ac:dyDescent="0.25">
      <c r="B25" s="37">
        <v>45294</v>
      </c>
      <c r="C25" s="38">
        <f t="shared" si="0"/>
        <v>0.02</v>
      </c>
      <c r="D25" s="4"/>
      <c r="E25" s="40">
        <v>0.92615624379675054</v>
      </c>
      <c r="F25" s="41">
        <f t="shared" si="1"/>
        <v>0</v>
      </c>
      <c r="G25" s="42">
        <v>0.02</v>
      </c>
      <c r="H25" s="47">
        <f t="shared" si="2"/>
        <v>0</v>
      </c>
      <c r="I25" s="48"/>
    </row>
    <row r="26" spans="2:9" x14ac:dyDescent="0.25">
      <c r="B26" s="37">
        <v>45394</v>
      </c>
      <c r="C26" s="38">
        <f t="shared" si="0"/>
        <v>0.02</v>
      </c>
      <c r="D26" s="4"/>
      <c r="E26" s="40">
        <v>0.92109529334395479</v>
      </c>
      <c r="F26" s="41">
        <f t="shared" si="1"/>
        <v>0</v>
      </c>
      <c r="G26" s="42">
        <v>0.02</v>
      </c>
      <c r="H26" s="47">
        <f t="shared" si="2"/>
        <v>0</v>
      </c>
      <c r="I26" s="48"/>
    </row>
    <row r="27" spans="2:9" x14ac:dyDescent="0.25">
      <c r="B27" s="37">
        <v>45494</v>
      </c>
      <c r="C27" s="38">
        <f t="shared" si="0"/>
        <v>0.02</v>
      </c>
      <c r="D27" s="4"/>
      <c r="E27" s="40">
        <v>0.9160619982891085</v>
      </c>
      <c r="F27" s="41">
        <f t="shared" si="1"/>
        <v>0</v>
      </c>
      <c r="G27" s="42">
        <v>0.02</v>
      </c>
      <c r="H27" s="47">
        <f t="shared" si="2"/>
        <v>0</v>
      </c>
      <c r="I27" s="48"/>
    </row>
    <row r="28" spans="2:9" x14ac:dyDescent="0.25">
      <c r="B28" s="52">
        <v>45594</v>
      </c>
      <c r="C28" s="38">
        <f t="shared" si="0"/>
        <v>0.02</v>
      </c>
      <c r="D28" s="4"/>
      <c r="E28" s="40">
        <v>0.91080663725904876</v>
      </c>
      <c r="F28" s="41">
        <f t="shared" si="1"/>
        <v>-2.4957025114702436E-4</v>
      </c>
      <c r="G28" s="46">
        <v>0.01</v>
      </c>
      <c r="H28" s="47">
        <f t="shared" si="2"/>
        <v>-0.01</v>
      </c>
      <c r="I28" s="48"/>
    </row>
    <row r="29" spans="2:9" x14ac:dyDescent="0.25">
      <c r="B29" s="37">
        <v>45694</v>
      </c>
      <c r="C29" s="38">
        <f t="shared" si="0"/>
        <v>0.02</v>
      </c>
      <c r="D29" s="4"/>
      <c r="E29" s="40">
        <v>0.90582956422831584</v>
      </c>
      <c r="F29" s="41">
        <f t="shared" si="1"/>
        <v>-2.4820648268575329E-4</v>
      </c>
      <c r="G29" s="42">
        <v>0.02</v>
      </c>
      <c r="H29" s="47">
        <f t="shared" si="2"/>
        <v>0</v>
      </c>
      <c r="I29" s="48"/>
    </row>
    <row r="30" spans="2:9" x14ac:dyDescent="0.25">
      <c r="B30" s="37">
        <v>45794</v>
      </c>
      <c r="C30" s="38">
        <f t="shared" si="0"/>
        <v>0.02</v>
      </c>
      <c r="D30" s="4"/>
      <c r="E30" s="40">
        <v>0.90087968825010767</v>
      </c>
      <c r="F30" s="41">
        <f t="shared" si="1"/>
        <v>-2.4685016649250713E-4</v>
      </c>
      <c r="G30" s="42">
        <v>0.02</v>
      </c>
      <c r="H30" s="47">
        <f t="shared" si="2"/>
        <v>0</v>
      </c>
      <c r="I30" s="48"/>
    </row>
    <row r="31" spans="2:9" x14ac:dyDescent="0.25">
      <c r="I31" s="19"/>
    </row>
    <row r="32" spans="2:9" x14ac:dyDescent="0.25">
      <c r="I32" s="19"/>
    </row>
    <row r="33" spans="2:9" x14ac:dyDescent="0.25">
      <c r="I33" s="19"/>
    </row>
    <row r="34" spans="2:9" x14ac:dyDescent="0.25">
      <c r="I34" s="19"/>
    </row>
    <row r="35" spans="2:9" x14ac:dyDescent="0.25">
      <c r="E35" s="36" t="s">
        <v>40</v>
      </c>
      <c r="F35" s="36" t="s">
        <v>41</v>
      </c>
      <c r="G35" s="36" t="s">
        <v>42</v>
      </c>
      <c r="I35" s="19"/>
    </row>
    <row r="36" spans="2:9" x14ac:dyDescent="0.25">
      <c r="B36" s="1" t="s">
        <v>43</v>
      </c>
      <c r="C36" s="1" t="s">
        <v>17</v>
      </c>
      <c r="E36" s="18">
        <f>B11</f>
        <v>43894</v>
      </c>
      <c r="F36" s="42">
        <f t="array" ref="F36:F121">_xll.meMathForwardRates($E$36:$E$121,$C$3,$C$4,$C$5,$B$11:$B$30,$C$11:$C$30,$C$6,$C$7)</f>
        <v>0.02</v>
      </c>
      <c r="G36" s="42">
        <f t="array" ref="G36:G121">_xll.meMathForwardRates($E$36:$E$121,$C$3,$C$4,$C$5,$B$11:$B$30,$C$11:$C$30,$C$6,$C$7,$E$4:$H$7)</f>
        <v>0.02</v>
      </c>
      <c r="I36" s="19"/>
    </row>
    <row r="37" spans="2:9" x14ac:dyDescent="0.25">
      <c r="B37" s="53">
        <v>1</v>
      </c>
      <c r="C37" s="54">
        <v>0.02</v>
      </c>
      <c r="E37" s="18">
        <f t="shared" ref="E37:E100" si="3">E36+$N$3</f>
        <v>43919</v>
      </c>
      <c r="F37" s="42">
        <v>0.02</v>
      </c>
      <c r="G37" s="42">
        <v>0.02</v>
      </c>
      <c r="I37" s="19"/>
    </row>
    <row r="38" spans="2:9" x14ac:dyDescent="0.25">
      <c r="B38" s="53">
        <v>0.99453553276059714</v>
      </c>
      <c r="C38" s="54">
        <v>0.02</v>
      </c>
      <c r="E38" s="18">
        <f t="shared" si="3"/>
        <v>43944</v>
      </c>
      <c r="F38" s="42">
        <v>0.02</v>
      </c>
      <c r="G38" s="42">
        <v>0.02</v>
      </c>
      <c r="I38" s="19"/>
    </row>
    <row r="39" spans="2:9" x14ac:dyDescent="0.25">
      <c r="B39" s="53">
        <v>0.98910092592340471</v>
      </c>
      <c r="C39" s="54">
        <v>0.02</v>
      </c>
      <c r="E39" s="18">
        <f t="shared" si="3"/>
        <v>43969</v>
      </c>
      <c r="F39" s="42">
        <v>0.02</v>
      </c>
      <c r="G39" s="42">
        <v>0.02</v>
      </c>
      <c r="I39" s="19"/>
    </row>
    <row r="40" spans="2:9" x14ac:dyDescent="0.25">
      <c r="B40" s="53">
        <v>0.98369601631723325</v>
      </c>
      <c r="C40" s="54">
        <v>0.02</v>
      </c>
      <c r="E40" s="18">
        <f t="shared" si="3"/>
        <v>43994</v>
      </c>
      <c r="F40" s="42">
        <v>0.02</v>
      </c>
      <c r="G40" s="42">
        <v>3.5000000000000003E-2</v>
      </c>
      <c r="I40" s="19"/>
    </row>
    <row r="41" spans="2:9" x14ac:dyDescent="0.25">
      <c r="B41" s="53">
        <v>0.97832064166253663</v>
      </c>
      <c r="C41" s="54">
        <v>0.02</v>
      </c>
      <c r="E41" s="18">
        <f t="shared" si="3"/>
        <v>44019</v>
      </c>
      <c r="F41" s="42">
        <v>0.02</v>
      </c>
      <c r="G41" s="42">
        <v>0.02</v>
      </c>
      <c r="I41" s="19"/>
    </row>
    <row r="42" spans="2:9" x14ac:dyDescent="0.25">
      <c r="B42" s="53">
        <v>0.97297464056654004</v>
      </c>
      <c r="C42" s="54">
        <v>0.02</v>
      </c>
      <c r="E42" s="18">
        <f t="shared" si="3"/>
        <v>44044</v>
      </c>
      <c r="F42" s="42">
        <v>0.02</v>
      </c>
      <c r="G42" s="42">
        <v>0.02</v>
      </c>
      <c r="I42" s="19"/>
    </row>
    <row r="43" spans="2:9" x14ac:dyDescent="0.25">
      <c r="B43" s="53">
        <v>0.96765785251839442</v>
      </c>
      <c r="C43" s="54">
        <v>0.02</v>
      </c>
      <c r="E43" s="18">
        <f t="shared" si="3"/>
        <v>44069</v>
      </c>
      <c r="F43" s="42">
        <v>0.02</v>
      </c>
      <c r="G43" s="42">
        <v>0.02</v>
      </c>
      <c r="I43" s="19"/>
    </row>
    <row r="44" spans="2:9" x14ac:dyDescent="0.25">
      <c r="B44" s="53">
        <v>0.96237011788435667</v>
      </c>
      <c r="C44" s="54">
        <v>0.02</v>
      </c>
      <c r="E44" s="18">
        <f t="shared" si="3"/>
        <v>44094</v>
      </c>
      <c r="F44" s="42">
        <v>0.02</v>
      </c>
      <c r="G44" s="42">
        <v>0.02</v>
      </c>
      <c r="I44" s="19"/>
    </row>
    <row r="45" spans="2:9" x14ac:dyDescent="0.25">
      <c r="B45" s="53">
        <v>0.95711127790299733</v>
      </c>
      <c r="C45" s="54">
        <v>0.02</v>
      </c>
      <c r="E45" s="18">
        <f t="shared" si="3"/>
        <v>44119</v>
      </c>
      <c r="F45" s="42">
        <v>0.02</v>
      </c>
      <c r="G45" s="42">
        <v>0.02</v>
      </c>
      <c r="I45" s="19"/>
    </row>
    <row r="46" spans="2:9" x14ac:dyDescent="0.25">
      <c r="B46" s="53">
        <v>0.95188117468043332</v>
      </c>
      <c r="C46" s="54">
        <v>0.02</v>
      </c>
      <c r="E46" s="18">
        <f t="shared" si="3"/>
        <v>44144</v>
      </c>
      <c r="F46" s="42">
        <v>0.02</v>
      </c>
      <c r="G46" s="42">
        <v>0.02</v>
      </c>
      <c r="I46" s="19"/>
    </row>
    <row r="47" spans="2:9" x14ac:dyDescent="0.25">
      <c r="B47" s="53">
        <v>0.94667965118558772</v>
      </c>
      <c r="C47" s="54">
        <v>0.02</v>
      </c>
      <c r="E47" s="18">
        <f t="shared" si="3"/>
        <v>44169</v>
      </c>
      <c r="F47" s="42">
        <v>0.02</v>
      </c>
      <c r="G47" s="42">
        <v>0.02</v>
      </c>
      <c r="I47" s="19"/>
    </row>
    <row r="48" spans="2:9" x14ac:dyDescent="0.25">
      <c r="B48" s="53">
        <v>0.94150655124547478</v>
      </c>
      <c r="C48" s="54">
        <v>0.02</v>
      </c>
      <c r="E48" s="18">
        <f t="shared" si="3"/>
        <v>44194</v>
      </c>
      <c r="F48" s="42">
        <v>0.02</v>
      </c>
      <c r="G48" s="42">
        <v>0.02</v>
      </c>
    </row>
    <row r="49" spans="2:7" x14ac:dyDescent="0.25">
      <c r="B49" s="53">
        <v>0.93636171954051073</v>
      </c>
      <c r="C49" s="54">
        <v>0.02</v>
      </c>
      <c r="E49" s="18">
        <f t="shared" si="3"/>
        <v>44219</v>
      </c>
      <c r="F49" s="42">
        <v>0.02</v>
      </c>
      <c r="G49" s="42">
        <v>0.02</v>
      </c>
    </row>
    <row r="50" spans="2:7" x14ac:dyDescent="0.25">
      <c r="B50" s="53">
        <v>0.93124500159985057</v>
      </c>
      <c r="C50" s="54">
        <v>0.02</v>
      </c>
      <c r="E50" s="18">
        <f t="shared" si="3"/>
        <v>44244</v>
      </c>
      <c r="F50" s="42">
        <v>0.02</v>
      </c>
      <c r="G50" s="42">
        <v>0.02</v>
      </c>
    </row>
    <row r="51" spans="2:7" x14ac:dyDescent="0.25">
      <c r="B51" s="53">
        <v>0.92615624379675054</v>
      </c>
      <c r="C51" s="54">
        <v>0.02</v>
      </c>
      <c r="E51" s="18">
        <f t="shared" si="3"/>
        <v>44269</v>
      </c>
      <c r="F51" s="42">
        <v>0.02</v>
      </c>
      <c r="G51" s="42">
        <v>0.02</v>
      </c>
    </row>
    <row r="52" spans="2:7" x14ac:dyDescent="0.25">
      <c r="B52" s="53">
        <v>0.92109529334395479</v>
      </c>
      <c r="C52" s="54">
        <v>0.02</v>
      </c>
      <c r="E52" s="18">
        <f t="shared" si="3"/>
        <v>44294</v>
      </c>
      <c r="F52" s="42">
        <v>0.02</v>
      </c>
      <c r="G52" s="42">
        <v>0.02</v>
      </c>
    </row>
    <row r="53" spans="2:7" x14ac:dyDescent="0.25">
      <c r="B53" s="53">
        <v>0.9160619982891085</v>
      </c>
      <c r="C53" s="54">
        <v>0.02</v>
      </c>
      <c r="E53" s="18">
        <f t="shared" si="3"/>
        <v>44319</v>
      </c>
      <c r="F53" s="42">
        <v>0.02</v>
      </c>
      <c r="G53" s="42">
        <v>0.02</v>
      </c>
    </row>
    <row r="54" spans="2:7" x14ac:dyDescent="0.25">
      <c r="B54" s="53">
        <v>0.91105620751019578</v>
      </c>
      <c r="C54" s="54">
        <v>0.02</v>
      </c>
      <c r="E54" s="18">
        <f t="shared" si="3"/>
        <v>44344</v>
      </c>
      <c r="F54" s="42">
        <v>0.02</v>
      </c>
      <c r="G54" s="42">
        <v>0.02</v>
      </c>
    </row>
    <row r="55" spans="2:7" x14ac:dyDescent="0.25">
      <c r="B55" s="53">
        <v>0.9060777707110016</v>
      </c>
      <c r="C55" s="54">
        <v>0.02</v>
      </c>
      <c r="E55" s="18">
        <f t="shared" si="3"/>
        <v>44369</v>
      </c>
      <c r="F55" s="42">
        <v>0.02</v>
      </c>
      <c r="G55" s="42">
        <v>0.02</v>
      </c>
    </row>
    <row r="56" spans="2:7" x14ac:dyDescent="0.25">
      <c r="B56" s="53">
        <v>0.90112653841660018</v>
      </c>
      <c r="C56" s="54">
        <v>0.02</v>
      </c>
      <c r="E56" s="18">
        <f t="shared" si="3"/>
        <v>44394</v>
      </c>
      <c r="F56" s="42">
        <v>0.02</v>
      </c>
      <c r="G56" s="42">
        <v>0.02</v>
      </c>
    </row>
    <row r="57" spans="2:7" x14ac:dyDescent="0.25">
      <c r="E57" s="18">
        <f t="shared" si="3"/>
        <v>44419</v>
      </c>
      <c r="F57" s="42">
        <v>0.02</v>
      </c>
      <c r="G57" s="42">
        <v>0.02</v>
      </c>
    </row>
    <row r="58" spans="2:7" x14ac:dyDescent="0.25">
      <c r="E58" s="18">
        <f t="shared" si="3"/>
        <v>44444</v>
      </c>
      <c r="F58" s="42">
        <v>0.02</v>
      </c>
      <c r="G58" s="42">
        <v>0.02</v>
      </c>
    </row>
    <row r="59" spans="2:7" x14ac:dyDescent="0.25">
      <c r="E59" s="18">
        <f t="shared" si="3"/>
        <v>44469</v>
      </c>
      <c r="F59" s="42">
        <v>0.02</v>
      </c>
      <c r="G59" s="42">
        <v>0.02</v>
      </c>
    </row>
    <row r="60" spans="2:7" x14ac:dyDescent="0.25">
      <c r="E60" s="18">
        <f t="shared" si="3"/>
        <v>44494</v>
      </c>
      <c r="F60" s="42">
        <v>0.02</v>
      </c>
      <c r="G60" s="42">
        <v>0.02</v>
      </c>
    </row>
    <row r="61" spans="2:7" x14ac:dyDescent="0.25">
      <c r="E61" s="18">
        <f t="shared" si="3"/>
        <v>44519</v>
      </c>
      <c r="F61" s="42">
        <v>0.02</v>
      </c>
      <c r="G61" s="42">
        <v>0.02</v>
      </c>
    </row>
    <row r="62" spans="2:7" x14ac:dyDescent="0.25">
      <c r="E62" s="18">
        <f t="shared" si="3"/>
        <v>44544</v>
      </c>
      <c r="F62" s="42">
        <v>0.02</v>
      </c>
      <c r="G62" s="42">
        <v>0.02</v>
      </c>
    </row>
    <row r="63" spans="2:7" x14ac:dyDescent="0.25">
      <c r="E63" s="18">
        <f t="shared" si="3"/>
        <v>44569</v>
      </c>
      <c r="F63" s="42">
        <v>0.02</v>
      </c>
      <c r="G63" s="42">
        <v>0.02</v>
      </c>
    </row>
    <row r="64" spans="2:7" x14ac:dyDescent="0.25">
      <c r="E64" s="18">
        <f t="shared" si="3"/>
        <v>44594</v>
      </c>
      <c r="F64" s="42">
        <v>0.02</v>
      </c>
      <c r="G64" s="42">
        <v>5.000000000000001E-3</v>
      </c>
    </row>
    <row r="65" spans="5:7" x14ac:dyDescent="0.25">
      <c r="E65" s="18">
        <f t="shared" si="3"/>
        <v>44619</v>
      </c>
      <c r="F65" s="42">
        <v>0.02</v>
      </c>
      <c r="G65" s="42">
        <v>0.02</v>
      </c>
    </row>
    <row r="66" spans="5:7" x14ac:dyDescent="0.25">
      <c r="E66" s="18">
        <f t="shared" si="3"/>
        <v>44644</v>
      </c>
      <c r="F66" s="42">
        <v>0.02</v>
      </c>
      <c r="G66" s="42">
        <v>0.02</v>
      </c>
    </row>
    <row r="67" spans="5:7" x14ac:dyDescent="0.25">
      <c r="E67" s="18">
        <f t="shared" si="3"/>
        <v>44669</v>
      </c>
      <c r="F67" s="42">
        <v>0.02</v>
      </c>
      <c r="G67" s="42">
        <v>0.02</v>
      </c>
    </row>
    <row r="68" spans="5:7" x14ac:dyDescent="0.25">
      <c r="E68" s="18">
        <f t="shared" si="3"/>
        <v>44694</v>
      </c>
      <c r="F68" s="42">
        <v>0.02</v>
      </c>
      <c r="G68" s="42">
        <v>0.02</v>
      </c>
    </row>
    <row r="69" spans="5:7" x14ac:dyDescent="0.25">
      <c r="E69" s="18">
        <f t="shared" si="3"/>
        <v>44719</v>
      </c>
      <c r="F69" s="42">
        <v>0.02</v>
      </c>
      <c r="G69" s="42">
        <v>0.02</v>
      </c>
    </row>
    <row r="70" spans="5:7" x14ac:dyDescent="0.25">
      <c r="E70" s="18">
        <f t="shared" si="3"/>
        <v>44744</v>
      </c>
      <c r="F70" s="42">
        <v>0.02</v>
      </c>
      <c r="G70" s="42">
        <v>0.02</v>
      </c>
    </row>
    <row r="71" spans="5:7" x14ac:dyDescent="0.25">
      <c r="E71" s="18">
        <f t="shared" si="3"/>
        <v>44769</v>
      </c>
      <c r="F71" s="42">
        <v>0.02</v>
      </c>
      <c r="G71" s="42">
        <v>0.02</v>
      </c>
    </row>
    <row r="72" spans="5:7" x14ac:dyDescent="0.25">
      <c r="E72" s="18">
        <f t="shared" si="3"/>
        <v>44794</v>
      </c>
      <c r="F72" s="42">
        <v>0.02</v>
      </c>
      <c r="G72" s="42">
        <v>0.02</v>
      </c>
    </row>
    <row r="73" spans="5:7" x14ac:dyDescent="0.25">
      <c r="E73" s="18">
        <f t="shared" si="3"/>
        <v>44819</v>
      </c>
      <c r="F73" s="42">
        <v>0.02</v>
      </c>
      <c r="G73" s="42">
        <v>0.02</v>
      </c>
    </row>
    <row r="74" spans="5:7" x14ac:dyDescent="0.25">
      <c r="E74" s="18">
        <f t="shared" si="3"/>
        <v>44844</v>
      </c>
      <c r="F74" s="42">
        <v>0.02</v>
      </c>
      <c r="G74" s="42">
        <v>0.02</v>
      </c>
    </row>
    <row r="75" spans="5:7" x14ac:dyDescent="0.25">
      <c r="E75" s="18">
        <f t="shared" si="3"/>
        <v>44869</v>
      </c>
      <c r="F75" s="42">
        <v>0.02</v>
      </c>
      <c r="G75" s="42">
        <v>0.02</v>
      </c>
    </row>
    <row r="76" spans="5:7" x14ac:dyDescent="0.25">
      <c r="E76" s="18">
        <f t="shared" si="3"/>
        <v>44894</v>
      </c>
      <c r="F76" s="42">
        <v>0.02</v>
      </c>
      <c r="G76" s="42">
        <v>0.02</v>
      </c>
    </row>
    <row r="77" spans="5:7" x14ac:dyDescent="0.25">
      <c r="E77" s="18">
        <f t="shared" si="3"/>
        <v>44919</v>
      </c>
      <c r="F77" s="42">
        <v>0.02</v>
      </c>
      <c r="G77" s="42">
        <v>0.02</v>
      </c>
    </row>
    <row r="78" spans="5:7" x14ac:dyDescent="0.25">
      <c r="E78" s="18">
        <f t="shared" si="3"/>
        <v>44944</v>
      </c>
      <c r="F78" s="42">
        <v>0.02</v>
      </c>
      <c r="G78" s="42">
        <v>0.02</v>
      </c>
    </row>
    <row r="79" spans="5:7" x14ac:dyDescent="0.25">
      <c r="E79" s="18">
        <f t="shared" si="3"/>
        <v>44969</v>
      </c>
      <c r="F79" s="42">
        <v>0.02</v>
      </c>
      <c r="G79" s="42">
        <v>0.02</v>
      </c>
    </row>
    <row r="80" spans="5:7" x14ac:dyDescent="0.25">
      <c r="E80" s="18">
        <f t="shared" si="3"/>
        <v>44994</v>
      </c>
      <c r="F80" s="42">
        <v>0.02</v>
      </c>
      <c r="G80" s="42">
        <v>0.02</v>
      </c>
    </row>
    <row r="81" spans="5:7" x14ac:dyDescent="0.25">
      <c r="E81" s="18">
        <f t="shared" si="3"/>
        <v>45019</v>
      </c>
      <c r="F81" s="42">
        <v>0.02</v>
      </c>
      <c r="G81" s="42">
        <v>0.02</v>
      </c>
    </row>
    <row r="82" spans="5:7" x14ac:dyDescent="0.25">
      <c r="E82" s="18">
        <f t="shared" si="3"/>
        <v>45044</v>
      </c>
      <c r="F82" s="42">
        <v>0.02</v>
      </c>
      <c r="G82" s="42">
        <v>0.02</v>
      </c>
    </row>
    <row r="83" spans="5:7" x14ac:dyDescent="0.25">
      <c r="E83" s="18">
        <f t="shared" si="3"/>
        <v>45069</v>
      </c>
      <c r="F83" s="42">
        <v>0.02</v>
      </c>
      <c r="G83" s="42">
        <v>0.02</v>
      </c>
    </row>
    <row r="84" spans="5:7" x14ac:dyDescent="0.25">
      <c r="E84" s="18">
        <f t="shared" si="3"/>
        <v>45094</v>
      </c>
      <c r="F84" s="42">
        <v>0.02</v>
      </c>
      <c r="G84" s="42">
        <v>0.02</v>
      </c>
    </row>
    <row r="85" spans="5:7" x14ac:dyDescent="0.25">
      <c r="E85" s="18">
        <f t="shared" si="3"/>
        <v>45119</v>
      </c>
      <c r="F85" s="42">
        <v>0.02</v>
      </c>
      <c r="G85" s="42">
        <v>0.02</v>
      </c>
    </row>
    <row r="86" spans="5:7" x14ac:dyDescent="0.25">
      <c r="E86" s="18">
        <f t="shared" si="3"/>
        <v>45144</v>
      </c>
      <c r="F86" s="42">
        <v>0.02</v>
      </c>
      <c r="G86" s="42">
        <v>0.02</v>
      </c>
    </row>
    <row r="87" spans="5:7" x14ac:dyDescent="0.25">
      <c r="E87" s="18">
        <f t="shared" si="3"/>
        <v>45169</v>
      </c>
      <c r="F87" s="42">
        <v>0.02</v>
      </c>
      <c r="G87" s="42">
        <v>0.02</v>
      </c>
    </row>
    <row r="88" spans="5:7" x14ac:dyDescent="0.25">
      <c r="E88" s="18">
        <f t="shared" si="3"/>
        <v>45194</v>
      </c>
      <c r="F88" s="42">
        <v>0.02</v>
      </c>
      <c r="G88" s="42">
        <v>0.03</v>
      </c>
    </row>
    <row r="89" spans="5:7" x14ac:dyDescent="0.25">
      <c r="E89" s="18">
        <f t="shared" si="3"/>
        <v>45219</v>
      </c>
      <c r="F89" s="42">
        <v>0.02</v>
      </c>
      <c r="G89" s="42">
        <v>0.02</v>
      </c>
    </row>
    <row r="90" spans="5:7" x14ac:dyDescent="0.25">
      <c r="E90" s="18">
        <f t="shared" si="3"/>
        <v>45244</v>
      </c>
      <c r="F90" s="42">
        <v>0.02</v>
      </c>
      <c r="G90" s="42">
        <v>0.02</v>
      </c>
    </row>
    <row r="91" spans="5:7" x14ac:dyDescent="0.25">
      <c r="E91" s="18">
        <f t="shared" si="3"/>
        <v>45269</v>
      </c>
      <c r="F91" s="42">
        <v>0.02</v>
      </c>
      <c r="G91" s="42">
        <v>0.02</v>
      </c>
    </row>
    <row r="92" spans="5:7" x14ac:dyDescent="0.25">
      <c r="E92" s="18">
        <f t="shared" si="3"/>
        <v>45294</v>
      </c>
      <c r="F92" s="42">
        <v>0.02</v>
      </c>
      <c r="G92" s="42">
        <v>0.02</v>
      </c>
    </row>
    <row r="93" spans="5:7" x14ac:dyDescent="0.25">
      <c r="E93" s="18">
        <f t="shared" si="3"/>
        <v>45319</v>
      </c>
      <c r="F93" s="42">
        <v>0.02</v>
      </c>
      <c r="G93" s="42">
        <v>0.02</v>
      </c>
    </row>
    <row r="94" spans="5:7" x14ac:dyDescent="0.25">
      <c r="E94" s="18">
        <f t="shared" si="3"/>
        <v>45344</v>
      </c>
      <c r="F94" s="42">
        <v>0.02</v>
      </c>
      <c r="G94" s="42">
        <v>0.02</v>
      </c>
    </row>
    <row r="95" spans="5:7" x14ac:dyDescent="0.25">
      <c r="E95" s="18">
        <f t="shared" si="3"/>
        <v>45369</v>
      </c>
      <c r="F95" s="42">
        <v>0.02</v>
      </c>
      <c r="G95" s="42">
        <v>0.02</v>
      </c>
    </row>
    <row r="96" spans="5:7" x14ac:dyDescent="0.25">
      <c r="E96" s="18">
        <f t="shared" si="3"/>
        <v>45394</v>
      </c>
      <c r="F96" s="42">
        <v>0.02</v>
      </c>
      <c r="G96" s="42">
        <v>0.02</v>
      </c>
    </row>
    <row r="97" spans="5:7" x14ac:dyDescent="0.25">
      <c r="E97" s="18">
        <f t="shared" si="3"/>
        <v>45419</v>
      </c>
      <c r="F97" s="42">
        <v>0.02</v>
      </c>
      <c r="G97" s="42">
        <v>0.02</v>
      </c>
    </row>
    <row r="98" spans="5:7" x14ac:dyDescent="0.25">
      <c r="E98" s="18">
        <f t="shared" si="3"/>
        <v>45444</v>
      </c>
      <c r="F98" s="42">
        <v>0.02</v>
      </c>
      <c r="G98" s="42">
        <v>0.02</v>
      </c>
    </row>
    <row r="99" spans="5:7" x14ac:dyDescent="0.25">
      <c r="E99" s="18">
        <f t="shared" si="3"/>
        <v>45469</v>
      </c>
      <c r="F99" s="42">
        <v>0.02</v>
      </c>
      <c r="G99" s="42">
        <v>0.02</v>
      </c>
    </row>
    <row r="100" spans="5:7" x14ac:dyDescent="0.25">
      <c r="E100" s="18">
        <f t="shared" si="3"/>
        <v>45494</v>
      </c>
      <c r="F100" s="42">
        <v>0.02</v>
      </c>
      <c r="G100" s="42">
        <v>0.02</v>
      </c>
    </row>
    <row r="101" spans="5:7" x14ac:dyDescent="0.25">
      <c r="E101" s="18">
        <f t="shared" ref="E101:E112" si="4">E100+$N$3</f>
        <v>45519</v>
      </c>
      <c r="F101" s="42">
        <v>0.02</v>
      </c>
      <c r="G101" s="42">
        <v>0.02</v>
      </c>
    </row>
    <row r="102" spans="5:7" x14ac:dyDescent="0.25">
      <c r="E102" s="18">
        <f t="shared" si="4"/>
        <v>45544</v>
      </c>
      <c r="F102" s="42">
        <v>0.02</v>
      </c>
      <c r="G102" s="42">
        <v>0.02</v>
      </c>
    </row>
    <row r="103" spans="5:7" x14ac:dyDescent="0.25">
      <c r="E103" s="18">
        <f t="shared" si="4"/>
        <v>45569</v>
      </c>
      <c r="F103" s="42">
        <v>0.02</v>
      </c>
      <c r="G103" s="42">
        <v>0.02</v>
      </c>
    </row>
    <row r="104" spans="5:7" x14ac:dyDescent="0.25">
      <c r="E104" s="18">
        <f t="shared" si="4"/>
        <v>45594</v>
      </c>
      <c r="F104" s="42">
        <v>0.02</v>
      </c>
      <c r="G104" s="42">
        <v>0.01</v>
      </c>
    </row>
    <row r="105" spans="5:7" x14ac:dyDescent="0.25">
      <c r="E105" s="18">
        <f t="shared" si="4"/>
        <v>45619</v>
      </c>
      <c r="F105" s="42">
        <v>0.02</v>
      </c>
      <c r="G105" s="42">
        <v>0.02</v>
      </c>
    </row>
    <row r="106" spans="5:7" x14ac:dyDescent="0.25">
      <c r="E106" s="18">
        <f t="shared" si="4"/>
        <v>45644</v>
      </c>
      <c r="F106" s="42">
        <v>0.02</v>
      </c>
      <c r="G106" s="42">
        <v>0.02</v>
      </c>
    </row>
    <row r="107" spans="5:7" x14ac:dyDescent="0.25">
      <c r="E107" s="18">
        <f t="shared" si="4"/>
        <v>45669</v>
      </c>
      <c r="F107" s="42">
        <v>0.02</v>
      </c>
      <c r="G107" s="42">
        <v>0.02</v>
      </c>
    </row>
    <row r="108" spans="5:7" x14ac:dyDescent="0.25">
      <c r="E108" s="18">
        <f t="shared" si="4"/>
        <v>45694</v>
      </c>
      <c r="F108" s="42">
        <v>0.02</v>
      </c>
      <c r="G108" s="42">
        <v>0.02</v>
      </c>
    </row>
    <row r="109" spans="5:7" x14ac:dyDescent="0.25">
      <c r="E109" s="18">
        <f t="shared" si="4"/>
        <v>45719</v>
      </c>
      <c r="F109" s="42">
        <v>0.02</v>
      </c>
      <c r="G109" s="42">
        <v>0.02</v>
      </c>
    </row>
    <row r="110" spans="5:7" x14ac:dyDescent="0.25">
      <c r="E110" s="18">
        <f t="shared" si="4"/>
        <v>45744</v>
      </c>
      <c r="F110" s="42">
        <v>0.02</v>
      </c>
      <c r="G110" s="42">
        <v>0.02</v>
      </c>
    </row>
    <row r="111" spans="5:7" x14ac:dyDescent="0.25">
      <c r="E111" s="18">
        <f t="shared" si="4"/>
        <v>45769</v>
      </c>
      <c r="F111" s="42">
        <v>0.02</v>
      </c>
      <c r="G111" s="42">
        <v>0.02</v>
      </c>
    </row>
    <row r="112" spans="5:7" x14ac:dyDescent="0.25">
      <c r="E112" s="18">
        <f t="shared" si="4"/>
        <v>45794</v>
      </c>
      <c r="F112" s="42">
        <v>0.02</v>
      </c>
      <c r="G112" s="42">
        <v>0.02</v>
      </c>
    </row>
    <row r="113" spans="5:7" x14ac:dyDescent="0.25">
      <c r="E113" s="18"/>
      <c r="F113" s="42" t="e">
        <v>#N/A</v>
      </c>
      <c r="G113" s="42" t="e">
        <v>#N/A</v>
      </c>
    </row>
    <row r="114" spans="5:7" x14ac:dyDescent="0.25">
      <c r="E114" s="18"/>
      <c r="F114" s="42" t="e">
        <v>#N/A</v>
      </c>
      <c r="G114" s="42" t="e">
        <v>#N/A</v>
      </c>
    </row>
    <row r="115" spans="5:7" x14ac:dyDescent="0.25">
      <c r="E115" s="18"/>
      <c r="F115" s="42" t="e">
        <v>#N/A</v>
      </c>
      <c r="G115" s="42" t="e">
        <v>#N/A</v>
      </c>
    </row>
    <row r="116" spans="5:7" x14ac:dyDescent="0.25">
      <c r="E116" s="18"/>
      <c r="F116" s="42" t="e">
        <v>#N/A</v>
      </c>
      <c r="G116" s="42" t="e">
        <v>#N/A</v>
      </c>
    </row>
    <row r="117" spans="5:7" x14ac:dyDescent="0.25">
      <c r="E117" s="18"/>
      <c r="F117" s="42" t="e">
        <v>#N/A</v>
      </c>
      <c r="G117" s="42" t="e">
        <v>#N/A</v>
      </c>
    </row>
    <row r="118" spans="5:7" x14ac:dyDescent="0.25">
      <c r="E118" s="18"/>
      <c r="F118" s="42" t="e">
        <v>#N/A</v>
      </c>
      <c r="G118" s="42" t="e">
        <v>#N/A</v>
      </c>
    </row>
    <row r="119" spans="5:7" x14ac:dyDescent="0.25">
      <c r="E119" s="18"/>
      <c r="F119" s="42" t="e">
        <v>#N/A</v>
      </c>
      <c r="G119" s="42" t="e">
        <v>#N/A</v>
      </c>
    </row>
    <row r="120" spans="5:7" x14ac:dyDescent="0.25">
      <c r="E120" s="18"/>
      <c r="F120" s="42" t="e">
        <v>#N/A</v>
      </c>
      <c r="G120" s="42" t="e">
        <v>#N/A</v>
      </c>
    </row>
    <row r="121" spans="5:7" x14ac:dyDescent="0.25">
      <c r="E121" s="18"/>
      <c r="F121" s="42" t="e">
        <v>#N/A</v>
      </c>
      <c r="G121" s="42" t="e">
        <v>#N/A</v>
      </c>
    </row>
    <row r="122" spans="5:7" x14ac:dyDescent="0.25">
      <c r="E122" s="55"/>
    </row>
    <row r="123" spans="5:7" x14ac:dyDescent="0.25">
      <c r="E123" s="55"/>
    </row>
    <row r="124" spans="5:7" x14ac:dyDescent="0.25">
      <c r="E124" s="55"/>
    </row>
    <row r="125" spans="5:7" x14ac:dyDescent="0.25">
      <c r="E125" s="55"/>
    </row>
    <row r="126" spans="5:7" x14ac:dyDescent="0.25">
      <c r="E126" s="55"/>
    </row>
    <row r="127" spans="5:7" x14ac:dyDescent="0.25">
      <c r="E127" s="55"/>
    </row>
    <row r="128" spans="5:7" x14ac:dyDescent="0.25">
      <c r="E128" s="55"/>
    </row>
    <row r="129" spans="5:5" x14ac:dyDescent="0.25">
      <c r="E129" s="55"/>
    </row>
    <row r="130" spans="5:5" x14ac:dyDescent="0.25">
      <c r="E130" s="55"/>
    </row>
    <row r="131" spans="5:5" x14ac:dyDescent="0.25">
      <c r="E131" s="55"/>
    </row>
    <row r="132" spans="5:5" x14ac:dyDescent="0.25">
      <c r="E132" s="55"/>
    </row>
    <row r="133" spans="5:5" x14ac:dyDescent="0.25">
      <c r="E133" s="55"/>
    </row>
    <row r="134" spans="5:5" x14ac:dyDescent="0.25">
      <c r="E134" s="55"/>
    </row>
    <row r="135" spans="5:5" x14ac:dyDescent="0.25">
      <c r="E135" s="55"/>
    </row>
    <row r="136" spans="5:5" x14ac:dyDescent="0.25">
      <c r="E136" s="55"/>
    </row>
    <row r="137" spans="5:5" x14ac:dyDescent="0.25">
      <c r="E137" s="55"/>
    </row>
    <row r="138" spans="5:5" x14ac:dyDescent="0.25">
      <c r="E138" s="55"/>
    </row>
    <row r="139" spans="5:5" x14ac:dyDescent="0.25">
      <c r="E139" s="55"/>
    </row>
    <row r="140" spans="5:5" x14ac:dyDescent="0.25">
      <c r="E140" s="55"/>
    </row>
    <row r="141" spans="5:5" x14ac:dyDescent="0.25">
      <c r="E141" s="55"/>
    </row>
    <row r="142" spans="5:5" x14ac:dyDescent="0.25">
      <c r="E142" s="55"/>
    </row>
    <row r="143" spans="5:5" x14ac:dyDescent="0.25">
      <c r="E143" s="55"/>
    </row>
    <row r="144" spans="5:5" x14ac:dyDescent="0.25">
      <c r="E144" s="55"/>
    </row>
    <row r="145" spans="5:5" x14ac:dyDescent="0.25">
      <c r="E145" s="55"/>
    </row>
    <row r="146" spans="5:5" x14ac:dyDescent="0.25">
      <c r="E146" s="55"/>
    </row>
    <row r="147" spans="5:5" x14ac:dyDescent="0.25">
      <c r="E147" s="55"/>
    </row>
    <row r="148" spans="5:5" x14ac:dyDescent="0.25">
      <c r="E148" s="55"/>
    </row>
    <row r="149" spans="5:5" x14ac:dyDescent="0.25">
      <c r="E149" s="55"/>
    </row>
    <row r="150" spans="5:5" x14ac:dyDescent="0.25">
      <c r="E150" s="55"/>
    </row>
    <row r="151" spans="5:5" x14ac:dyDescent="0.25">
      <c r="E151" s="55"/>
    </row>
    <row r="152" spans="5:5" x14ac:dyDescent="0.25">
      <c r="E152" s="55"/>
    </row>
    <row r="153" spans="5:5" x14ac:dyDescent="0.25">
      <c r="E153" s="55"/>
    </row>
    <row r="154" spans="5:5" x14ac:dyDescent="0.25">
      <c r="E154" s="55"/>
    </row>
    <row r="155" spans="5:5" x14ac:dyDescent="0.25">
      <c r="E155" s="55"/>
    </row>
    <row r="156" spans="5:5" x14ac:dyDescent="0.25">
      <c r="E156" s="55"/>
    </row>
    <row r="157" spans="5:5" x14ac:dyDescent="0.25">
      <c r="E157" s="55"/>
    </row>
    <row r="158" spans="5:5" x14ac:dyDescent="0.25">
      <c r="E158" s="55"/>
    </row>
    <row r="159" spans="5:5" x14ac:dyDescent="0.25">
      <c r="E159" s="55"/>
    </row>
    <row r="160" spans="5:5" x14ac:dyDescent="0.25">
      <c r="E160" s="55"/>
    </row>
    <row r="161" spans="5:5" x14ac:dyDescent="0.25">
      <c r="E161" s="55"/>
    </row>
    <row r="162" spans="5:5" x14ac:dyDescent="0.25">
      <c r="E162" s="55"/>
    </row>
    <row r="163" spans="5:5" x14ac:dyDescent="0.25">
      <c r="E163" s="55"/>
    </row>
    <row r="164" spans="5:5" x14ac:dyDescent="0.25">
      <c r="E164" s="55"/>
    </row>
    <row r="165" spans="5:5" x14ac:dyDescent="0.25">
      <c r="E165" s="55"/>
    </row>
    <row r="166" spans="5:5" x14ac:dyDescent="0.25">
      <c r="E166" s="55"/>
    </row>
    <row r="167" spans="5:5" x14ac:dyDescent="0.25">
      <c r="E167" s="55"/>
    </row>
    <row r="168" spans="5:5" x14ac:dyDescent="0.25">
      <c r="E168" s="55"/>
    </row>
    <row r="169" spans="5:5" x14ac:dyDescent="0.25">
      <c r="E169" s="55"/>
    </row>
    <row r="170" spans="5:5" x14ac:dyDescent="0.25">
      <c r="E170" s="55"/>
    </row>
    <row r="171" spans="5:5" x14ac:dyDescent="0.25">
      <c r="E171" s="55"/>
    </row>
    <row r="172" spans="5:5" x14ac:dyDescent="0.25">
      <c r="E172" s="55"/>
    </row>
    <row r="173" spans="5:5" x14ac:dyDescent="0.25">
      <c r="E173" s="55"/>
    </row>
    <row r="174" spans="5:5" x14ac:dyDescent="0.25">
      <c r="E174" s="55"/>
    </row>
    <row r="175" spans="5:5" x14ac:dyDescent="0.25">
      <c r="E175" s="55"/>
    </row>
    <row r="176" spans="5:5" x14ac:dyDescent="0.25">
      <c r="E176" s="55"/>
    </row>
    <row r="177" spans="5:5" x14ac:dyDescent="0.25">
      <c r="E177" s="55"/>
    </row>
    <row r="178" spans="5:5" x14ac:dyDescent="0.25">
      <c r="E178" s="55"/>
    </row>
    <row r="179" spans="5:5" x14ac:dyDescent="0.25">
      <c r="E179" s="55"/>
    </row>
    <row r="180" spans="5:5" x14ac:dyDescent="0.25">
      <c r="E180" s="55"/>
    </row>
    <row r="181" spans="5:5" x14ac:dyDescent="0.25">
      <c r="E181" s="55"/>
    </row>
    <row r="182" spans="5:5" x14ac:dyDescent="0.25">
      <c r="E182" s="55"/>
    </row>
    <row r="183" spans="5:5" x14ac:dyDescent="0.25">
      <c r="E183" s="55"/>
    </row>
    <row r="184" spans="5:5" x14ac:dyDescent="0.25">
      <c r="E184" s="55"/>
    </row>
    <row r="185" spans="5:5" x14ac:dyDescent="0.25">
      <c r="E185" s="55"/>
    </row>
    <row r="186" spans="5:5" x14ac:dyDescent="0.25">
      <c r="E186" s="55"/>
    </row>
    <row r="187" spans="5:5" x14ac:dyDescent="0.25">
      <c r="E187" s="55"/>
    </row>
    <row r="188" spans="5:5" x14ac:dyDescent="0.25">
      <c r="E188" s="55"/>
    </row>
    <row r="189" spans="5:5" x14ac:dyDescent="0.25">
      <c r="E189" s="55"/>
    </row>
    <row r="190" spans="5:5" x14ac:dyDescent="0.25">
      <c r="E190" s="55"/>
    </row>
    <row r="191" spans="5:5" x14ac:dyDescent="0.25">
      <c r="E191" s="55"/>
    </row>
    <row r="192" spans="5:5" x14ac:dyDescent="0.25">
      <c r="E192" s="55"/>
    </row>
    <row r="193" spans="5:5" x14ac:dyDescent="0.25">
      <c r="E193" s="55"/>
    </row>
    <row r="194" spans="5:5" x14ac:dyDescent="0.25">
      <c r="E194" s="55"/>
    </row>
    <row r="195" spans="5:5" x14ac:dyDescent="0.25">
      <c r="E195" s="55"/>
    </row>
    <row r="196" spans="5:5" x14ac:dyDescent="0.25">
      <c r="E196" s="55"/>
    </row>
    <row r="197" spans="5:5" x14ac:dyDescent="0.25">
      <c r="E197" s="55"/>
    </row>
    <row r="198" spans="5:5" x14ac:dyDescent="0.25">
      <c r="E198" s="55"/>
    </row>
    <row r="199" spans="5:5" x14ac:dyDescent="0.25">
      <c r="E199" s="55"/>
    </row>
    <row r="200" spans="5:5" x14ac:dyDescent="0.25">
      <c r="E200" s="55"/>
    </row>
    <row r="201" spans="5:5" x14ac:dyDescent="0.25">
      <c r="E201" s="55"/>
    </row>
    <row r="202" spans="5:5" x14ac:dyDescent="0.25">
      <c r="E202" s="55"/>
    </row>
    <row r="203" spans="5:5" x14ac:dyDescent="0.25">
      <c r="E203" s="55"/>
    </row>
    <row r="204" spans="5:5" x14ac:dyDescent="0.25">
      <c r="E204" s="55"/>
    </row>
    <row r="205" spans="5:5" x14ac:dyDescent="0.25">
      <c r="E205" s="55"/>
    </row>
    <row r="206" spans="5:5" x14ac:dyDescent="0.25">
      <c r="E206" s="55"/>
    </row>
    <row r="207" spans="5:5" x14ac:dyDescent="0.25">
      <c r="E207" s="55"/>
    </row>
    <row r="208" spans="5:5" x14ac:dyDescent="0.25">
      <c r="E208" s="55"/>
    </row>
    <row r="209" spans="5:5" x14ac:dyDescent="0.25">
      <c r="E209" s="55"/>
    </row>
    <row r="210" spans="5:5" x14ac:dyDescent="0.25">
      <c r="E210" s="55"/>
    </row>
    <row r="211" spans="5:5" x14ac:dyDescent="0.25">
      <c r="E211" s="55"/>
    </row>
    <row r="212" spans="5:5" x14ac:dyDescent="0.25">
      <c r="E212" s="55"/>
    </row>
    <row r="213" spans="5:5" x14ac:dyDescent="0.25">
      <c r="E213" s="55"/>
    </row>
    <row r="214" spans="5:5" x14ac:dyDescent="0.25">
      <c r="E214" s="55"/>
    </row>
    <row r="215" spans="5:5" x14ac:dyDescent="0.25">
      <c r="E215" s="55"/>
    </row>
  </sheetData>
  <dataValidations count="2">
    <dataValidation type="list" allowBlank="1" showInputMessage="1" showErrorMessage="1" sqref="C5">
      <formula1>"DISCOUNTFACTOR,FORWARDRATE,ZERORATE"</formula1>
    </dataValidation>
    <dataValidation type="list" allowBlank="1" showInputMessage="1" showErrorMessage="1" sqref="C4">
      <formula1>"POLYNOMIAL,LINEAR,SPLINE,STEP,LEFT_CONTINUOUS,RIGHT_CONTINUOUS"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4"/>
  <sheetViews>
    <sheetView workbookViewId="0">
      <selection activeCell="E19" sqref="E19"/>
    </sheetView>
  </sheetViews>
  <sheetFormatPr defaultRowHeight="15" x14ac:dyDescent="0.25"/>
  <cols>
    <col min="2" max="2" width="14" bestFit="1" customWidth="1"/>
    <col min="3" max="3" width="10.140625" bestFit="1" customWidth="1"/>
    <col min="5" max="5" width="15.28515625" bestFit="1" customWidth="1"/>
    <col min="6" max="6" width="16.7109375" bestFit="1" customWidth="1"/>
    <col min="8" max="8" width="14" bestFit="1" customWidth="1"/>
    <col min="9" max="9" width="11.140625" bestFit="1" customWidth="1"/>
    <col min="10" max="10" width="9.85546875" bestFit="1" customWidth="1"/>
  </cols>
  <sheetData>
    <row r="2" spans="2:12" x14ac:dyDescent="0.25">
      <c r="B2" t="s">
        <v>15</v>
      </c>
      <c r="C2" t="s">
        <v>17</v>
      </c>
      <c r="E2" t="s">
        <v>0</v>
      </c>
      <c r="F2" s="1" t="s">
        <v>1</v>
      </c>
      <c r="H2" s="1" t="s">
        <v>15</v>
      </c>
      <c r="I2" s="1" t="s">
        <v>2</v>
      </c>
      <c r="J2" s="2" t="s">
        <v>16</v>
      </c>
    </row>
    <row r="3" spans="2:12" x14ac:dyDescent="0.25">
      <c r="B3" s="13">
        <f ca="1">TODAY()</f>
        <v>43930</v>
      </c>
      <c r="C3" s="8">
        <v>0.01</v>
      </c>
      <c r="E3" t="s">
        <v>3</v>
      </c>
      <c r="F3" s="12">
        <f ca="1">TODAY()</f>
        <v>43930</v>
      </c>
      <c r="H3" s="7">
        <f t="shared" ref="H3:H12" ca="1" si="0">B3</f>
        <v>43930</v>
      </c>
      <c r="I3" s="9">
        <f t="array" aca="1" ref="I3:I12" ca="1">_xll.meMathForwardRatesUsingLAInterpolation(H3:H12,F3,F4,F5,B3:B12,C3:C12,F6,F7,F8,F9)</f>
        <v>0.01</v>
      </c>
      <c r="J3" s="8">
        <f t="shared" ref="J3:J12" ca="1" si="1">I3-C3</f>
        <v>0</v>
      </c>
      <c r="L3" s="14"/>
    </row>
    <row r="4" spans="2:12" x14ac:dyDescent="0.25">
      <c r="B4" s="6">
        <f t="shared" ref="B4:B12" ca="1" si="2">B3+365</f>
        <v>44295</v>
      </c>
      <c r="C4" s="8">
        <v>0.02</v>
      </c>
      <c r="E4" t="s">
        <v>12</v>
      </c>
      <c r="F4" s="1" t="s">
        <v>13</v>
      </c>
      <c r="H4" s="7">
        <f t="shared" ca="1" si="0"/>
        <v>44295</v>
      </c>
      <c r="I4" s="9">
        <f ca="1"/>
        <v>0.02</v>
      </c>
      <c r="J4" s="8">
        <f t="shared" ca="1" si="1"/>
        <v>0</v>
      </c>
    </row>
    <row r="5" spans="2:12" x14ac:dyDescent="0.25">
      <c r="B5" s="6">
        <f t="shared" ca="1" si="2"/>
        <v>44660</v>
      </c>
      <c r="C5" s="8">
        <v>0.03</v>
      </c>
      <c r="E5" t="s">
        <v>4</v>
      </c>
      <c r="F5" s="1" t="s">
        <v>14</v>
      </c>
      <c r="H5" s="7">
        <f t="shared" ca="1" si="0"/>
        <v>44660</v>
      </c>
      <c r="I5" s="9">
        <f ca="1"/>
        <v>0.03</v>
      </c>
      <c r="J5" s="8">
        <f t="shared" ca="1" si="1"/>
        <v>0</v>
      </c>
    </row>
    <row r="6" spans="2:12" x14ac:dyDescent="0.25">
      <c r="B6" s="6">
        <f t="shared" ca="1" si="2"/>
        <v>45025</v>
      </c>
      <c r="C6" s="8">
        <v>0.04</v>
      </c>
      <c r="E6" t="s">
        <v>6</v>
      </c>
      <c r="F6" s="1" t="s">
        <v>5</v>
      </c>
      <c r="H6" s="7">
        <f t="shared" ca="1" si="0"/>
        <v>45025</v>
      </c>
      <c r="I6" s="9">
        <f ca="1"/>
        <v>0.04</v>
      </c>
      <c r="J6" s="8">
        <f t="shared" ca="1" si="1"/>
        <v>0</v>
      </c>
    </row>
    <row r="7" spans="2:12" x14ac:dyDescent="0.25">
      <c r="B7" s="6">
        <f t="shared" ca="1" si="2"/>
        <v>45390</v>
      </c>
      <c r="C7" s="8">
        <v>0.05</v>
      </c>
      <c r="E7" t="s">
        <v>7</v>
      </c>
      <c r="F7" s="1" t="s">
        <v>8</v>
      </c>
      <c r="H7" s="7">
        <f t="shared" ca="1" si="0"/>
        <v>45390</v>
      </c>
      <c r="I7" s="9">
        <f ca="1"/>
        <v>0.05</v>
      </c>
      <c r="J7" s="8">
        <f t="shared" ca="1" si="1"/>
        <v>0</v>
      </c>
    </row>
    <row r="8" spans="2:12" x14ac:dyDescent="0.25">
      <c r="B8" s="10">
        <f t="shared" ca="1" si="2"/>
        <v>45755</v>
      </c>
      <c r="C8" s="8">
        <v>0.06</v>
      </c>
      <c r="E8" t="s">
        <v>9</v>
      </c>
      <c r="F8" s="1" t="s">
        <v>10</v>
      </c>
      <c r="H8" s="7">
        <f t="shared" ca="1" si="0"/>
        <v>45755</v>
      </c>
      <c r="I8" s="9">
        <f ca="1"/>
        <v>0.06</v>
      </c>
      <c r="J8" s="8">
        <f t="shared" ca="1" si="1"/>
        <v>0</v>
      </c>
    </row>
    <row r="9" spans="2:12" x14ac:dyDescent="0.25">
      <c r="B9" s="6">
        <f t="shared" ca="1" si="2"/>
        <v>46120</v>
      </c>
      <c r="C9" s="8">
        <v>7.0000000000000007E-2</v>
      </c>
      <c r="E9" t="s">
        <v>11</v>
      </c>
      <c r="F9" s="11">
        <f ca="1">B7</f>
        <v>45390</v>
      </c>
      <c r="H9" s="7">
        <f t="shared" ca="1" si="0"/>
        <v>46120</v>
      </c>
      <c r="I9" s="9">
        <f ca="1"/>
        <v>7.0000000000000007E-2</v>
      </c>
      <c r="J9" s="8">
        <f t="shared" ca="1" si="1"/>
        <v>0</v>
      </c>
    </row>
    <row r="10" spans="2:12" x14ac:dyDescent="0.25">
      <c r="B10" s="6">
        <f t="shared" ca="1" si="2"/>
        <v>46485</v>
      </c>
      <c r="C10" s="8">
        <v>0.08</v>
      </c>
      <c r="H10" s="7">
        <f t="shared" ca="1" si="0"/>
        <v>46485</v>
      </c>
      <c r="I10" s="9">
        <f ca="1"/>
        <v>0.08</v>
      </c>
      <c r="J10" s="8">
        <f t="shared" ca="1" si="1"/>
        <v>0</v>
      </c>
    </row>
    <row r="11" spans="2:12" x14ac:dyDescent="0.25">
      <c r="B11" s="6">
        <f t="shared" ca="1" si="2"/>
        <v>46850</v>
      </c>
      <c r="C11" s="8">
        <v>0.09</v>
      </c>
      <c r="H11" s="7">
        <f t="shared" ca="1" si="0"/>
        <v>46850</v>
      </c>
      <c r="I11" s="9">
        <f ca="1"/>
        <v>0.09</v>
      </c>
      <c r="J11" s="8">
        <f t="shared" ca="1" si="1"/>
        <v>0</v>
      </c>
    </row>
    <row r="12" spans="2:12" x14ac:dyDescent="0.25">
      <c r="B12" s="6">
        <f t="shared" ca="1" si="2"/>
        <v>47215</v>
      </c>
      <c r="C12" s="8">
        <v>0.1</v>
      </c>
      <c r="H12" s="7">
        <f t="shared" ca="1" si="0"/>
        <v>47215</v>
      </c>
      <c r="I12" s="9">
        <f ca="1"/>
        <v>0.1</v>
      </c>
      <c r="J12" s="8">
        <f t="shared" ca="1" si="1"/>
        <v>0</v>
      </c>
    </row>
    <row r="14" spans="2:12" x14ac:dyDescent="0.25">
      <c r="B14" t="s">
        <v>20</v>
      </c>
      <c r="C14" t="s">
        <v>18</v>
      </c>
      <c r="E14" t="s">
        <v>0</v>
      </c>
      <c r="F14" s="1" t="s">
        <v>1</v>
      </c>
      <c r="H14" s="1" t="s">
        <v>20</v>
      </c>
      <c r="I14" s="1" t="s">
        <v>2</v>
      </c>
      <c r="J14" s="2" t="s">
        <v>16</v>
      </c>
      <c r="L14" s="3"/>
    </row>
    <row r="15" spans="2:12" x14ac:dyDescent="0.25">
      <c r="B15" s="13">
        <f t="shared" ref="B15:B24" ca="1" si="3">B3</f>
        <v>43930</v>
      </c>
      <c r="C15" s="4">
        <v>1</v>
      </c>
      <c r="E15" t="s">
        <v>3</v>
      </c>
      <c r="F15" s="12">
        <f ca="1">TODAY()</f>
        <v>43930</v>
      </c>
      <c r="H15" s="7">
        <f ca="1">B15</f>
        <v>43930</v>
      </c>
      <c r="I15" s="5">
        <f t="array" aca="1" ref="I15:I24" ca="1">_xll.meMathDiscountFactorsUsingLAInterpolation(H15:H24,F15,F16,F17,B15:B24,C15:C24,F18,F19,F20,F21)</f>
        <v>1</v>
      </c>
      <c r="J15" s="4">
        <f t="shared" ref="J15:J24" ca="1" si="4">I15-C15</f>
        <v>0</v>
      </c>
    </row>
    <row r="16" spans="2:12" x14ac:dyDescent="0.25">
      <c r="B16" s="6">
        <f t="shared" ca="1" si="3"/>
        <v>44295</v>
      </c>
      <c r="C16" s="4">
        <f>C15-0.01</f>
        <v>0.99</v>
      </c>
      <c r="E16" t="s">
        <v>12</v>
      </c>
      <c r="F16" s="1" t="s">
        <v>13</v>
      </c>
      <c r="H16" s="7">
        <f t="shared" ref="H16:H24" ca="1" si="5">B16</f>
        <v>44295</v>
      </c>
      <c r="I16" s="5">
        <f ca="1"/>
        <v>0.99</v>
      </c>
      <c r="J16" s="4">
        <f t="shared" ca="1" si="4"/>
        <v>0</v>
      </c>
    </row>
    <row r="17" spans="2:10" x14ac:dyDescent="0.25">
      <c r="B17" s="6">
        <f t="shared" ca="1" si="3"/>
        <v>44660</v>
      </c>
      <c r="C17" s="4">
        <f t="shared" ref="C17:C24" si="6">C16-0.01</f>
        <v>0.98</v>
      </c>
      <c r="E17" t="s">
        <v>4</v>
      </c>
      <c r="F17" s="1" t="s">
        <v>19</v>
      </c>
      <c r="H17" s="7">
        <f t="shared" ca="1" si="5"/>
        <v>44660</v>
      </c>
      <c r="I17" s="5">
        <f ca="1"/>
        <v>0.98</v>
      </c>
      <c r="J17" s="4">
        <f t="shared" ca="1" si="4"/>
        <v>0</v>
      </c>
    </row>
    <row r="18" spans="2:10" x14ac:dyDescent="0.25">
      <c r="B18" s="6">
        <f t="shared" ca="1" si="3"/>
        <v>45025</v>
      </c>
      <c r="C18" s="4">
        <f t="shared" si="6"/>
        <v>0.97</v>
      </c>
      <c r="E18" t="s">
        <v>6</v>
      </c>
      <c r="F18" s="1" t="s">
        <v>5</v>
      </c>
      <c r="H18" s="7">
        <f t="shared" ca="1" si="5"/>
        <v>45025</v>
      </c>
      <c r="I18" s="5">
        <f ca="1"/>
        <v>0.97</v>
      </c>
      <c r="J18" s="4">
        <f t="shared" ca="1" si="4"/>
        <v>0</v>
      </c>
    </row>
    <row r="19" spans="2:10" x14ac:dyDescent="0.25">
      <c r="B19" s="6">
        <f t="shared" ca="1" si="3"/>
        <v>45390</v>
      </c>
      <c r="C19" s="4">
        <f t="shared" si="6"/>
        <v>0.96</v>
      </c>
      <c r="E19" t="s">
        <v>7</v>
      </c>
      <c r="F19" s="1" t="s">
        <v>8</v>
      </c>
      <c r="H19" s="7">
        <f t="shared" ca="1" si="5"/>
        <v>45390</v>
      </c>
      <c r="I19" s="5">
        <f ca="1"/>
        <v>0.96</v>
      </c>
      <c r="J19" s="4">
        <f t="shared" ca="1" si="4"/>
        <v>0</v>
      </c>
    </row>
    <row r="20" spans="2:10" x14ac:dyDescent="0.25">
      <c r="B20" s="6">
        <f t="shared" ca="1" si="3"/>
        <v>45755</v>
      </c>
      <c r="C20" s="4">
        <f t="shared" si="6"/>
        <v>0.95</v>
      </c>
      <c r="E20" t="s">
        <v>9</v>
      </c>
      <c r="F20" s="1" t="s">
        <v>10</v>
      </c>
      <c r="H20" s="7">
        <f t="shared" ca="1" si="5"/>
        <v>45755</v>
      </c>
      <c r="I20" s="5">
        <f ca="1"/>
        <v>0.95</v>
      </c>
      <c r="J20" s="4">
        <f t="shared" ca="1" si="4"/>
        <v>0</v>
      </c>
    </row>
    <row r="21" spans="2:10" x14ac:dyDescent="0.25">
      <c r="B21" s="6">
        <f t="shared" ca="1" si="3"/>
        <v>46120</v>
      </c>
      <c r="C21" s="4">
        <f t="shared" si="6"/>
        <v>0.94</v>
      </c>
      <c r="E21" t="s">
        <v>11</v>
      </c>
      <c r="F21" s="11">
        <f ca="1">B19</f>
        <v>45390</v>
      </c>
      <c r="H21" s="7">
        <f t="shared" ca="1" si="5"/>
        <v>46120</v>
      </c>
      <c r="I21" s="5">
        <f ca="1"/>
        <v>0.94</v>
      </c>
      <c r="J21" s="4">
        <f t="shared" ca="1" si="4"/>
        <v>0</v>
      </c>
    </row>
    <row r="22" spans="2:10" x14ac:dyDescent="0.25">
      <c r="B22" s="6">
        <f t="shared" ca="1" si="3"/>
        <v>46485</v>
      </c>
      <c r="C22" s="4">
        <f t="shared" si="6"/>
        <v>0.92999999999999994</v>
      </c>
      <c r="H22" s="7">
        <f t="shared" ca="1" si="5"/>
        <v>46485</v>
      </c>
      <c r="I22" s="5">
        <f ca="1"/>
        <v>0.93</v>
      </c>
      <c r="J22" s="4">
        <f t="shared" ca="1" si="4"/>
        <v>0</v>
      </c>
    </row>
    <row r="23" spans="2:10" x14ac:dyDescent="0.25">
      <c r="B23" s="6">
        <f t="shared" ca="1" si="3"/>
        <v>46850</v>
      </c>
      <c r="C23" s="4">
        <f t="shared" si="6"/>
        <v>0.91999999999999993</v>
      </c>
      <c r="H23" s="7">
        <f t="shared" ca="1" si="5"/>
        <v>46850</v>
      </c>
      <c r="I23" s="5">
        <f ca="1"/>
        <v>0.92</v>
      </c>
      <c r="J23" s="4">
        <f t="shared" ca="1" si="4"/>
        <v>0</v>
      </c>
    </row>
    <row r="24" spans="2:10" x14ac:dyDescent="0.25">
      <c r="B24" s="6">
        <f t="shared" ca="1" si="3"/>
        <v>47215</v>
      </c>
      <c r="C24" s="4">
        <f t="shared" si="6"/>
        <v>0.90999999999999992</v>
      </c>
      <c r="H24" s="7">
        <f t="shared" ca="1" si="5"/>
        <v>47215</v>
      </c>
      <c r="I24" s="5">
        <f ca="1"/>
        <v>0.91</v>
      </c>
      <c r="J24" s="4">
        <f t="shared" ca="1" si="4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TURN_OF_YEAR</vt:lpstr>
      <vt:lpstr>LAInterpolation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2020-04-08T16:47:14Z</dcterms:created>
  <dcterms:modified xsi:type="dcterms:W3CDTF">2020-04-09T15:17:41Z</dcterms:modified>
</cp:coreProperties>
</file>