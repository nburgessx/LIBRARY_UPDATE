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90" windowWidth="20700" windowHeight="11700"/>
  </bookViews>
  <sheets>
    <sheet name="USD Swaption" sheetId="14" r:id="rId1"/>
  </sheets>
  <definedNames>
    <definedName name="AsOf">#REF!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C9" i="14" l="1"/>
  <c r="C10" i="14"/>
  <c r="C19" i="14" l="1"/>
  <c r="B29" i="14" l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D14" i="14" l="1"/>
  <c r="D5" i="14"/>
  <c r="D6" i="14" l="1"/>
  <c r="D7" i="14"/>
  <c r="D13" i="14"/>
  <c r="D3" i="14"/>
  <c r="C13" i="14"/>
  <c r="D15" i="14"/>
  <c r="D16" i="14" l="1"/>
  <c r="C16" i="14" s="1"/>
  <c r="C53" i="14"/>
  <c r="D115" i="14"/>
  <c r="C51" i="14"/>
  <c r="C34" i="14"/>
  <c r="C30" i="14"/>
  <c r="C24" i="14"/>
  <c r="C74" i="14"/>
  <c r="D109" i="14"/>
  <c r="D119" i="14"/>
  <c r="D30" i="14"/>
  <c r="C96" i="14"/>
  <c r="D111" i="14"/>
  <c r="C92" i="14"/>
  <c r="C93" i="14"/>
  <c r="C58" i="14"/>
  <c r="C72" i="14"/>
  <c r="C79" i="14"/>
  <c r="C45" i="14"/>
  <c r="D63" i="14"/>
  <c r="C97" i="14"/>
  <c r="C112" i="14"/>
  <c r="D74" i="14"/>
  <c r="C87" i="14"/>
  <c r="D65" i="14"/>
  <c r="C68" i="14"/>
  <c r="D45" i="14"/>
  <c r="D48" i="14"/>
  <c r="D83" i="14"/>
  <c r="C40" i="14"/>
  <c r="D104" i="14"/>
  <c r="C76" i="14"/>
  <c r="D93" i="14"/>
  <c r="D95" i="14"/>
  <c r="D38" i="14"/>
  <c r="C46" i="14"/>
  <c r="D85" i="14"/>
  <c r="C66" i="14"/>
  <c r="C23" i="14"/>
  <c r="C114" i="14"/>
  <c r="C43" i="14"/>
  <c r="C95" i="14"/>
  <c r="D78" i="14"/>
  <c r="D91" i="14"/>
  <c r="D102" i="14"/>
  <c r="D101" i="14"/>
  <c r="D49" i="14"/>
  <c r="C61" i="14"/>
  <c r="D50" i="14"/>
  <c r="C81" i="14"/>
  <c r="D108" i="14"/>
  <c r="C103" i="14"/>
  <c r="C39" i="14"/>
  <c r="D73" i="14"/>
  <c r="C41" i="14"/>
  <c r="C85" i="14"/>
  <c r="D75" i="14"/>
  <c r="C82" i="14"/>
  <c r="D52" i="14"/>
  <c r="D31" i="14"/>
  <c r="D35" i="14"/>
  <c r="D98" i="14"/>
  <c r="D64" i="14"/>
  <c r="D90" i="14"/>
  <c r="D80" i="14"/>
  <c r="C29" i="14"/>
  <c r="D51" i="14"/>
  <c r="D66" i="14"/>
  <c r="C36" i="14"/>
  <c r="D62" i="14"/>
  <c r="C101" i="14"/>
  <c r="D79" i="14"/>
  <c r="D105" i="14"/>
  <c r="C84" i="14"/>
  <c r="C33" i="14"/>
  <c r="D61" i="14"/>
  <c r="D58" i="14"/>
  <c r="C71" i="14"/>
  <c r="D76" i="14"/>
  <c r="C65" i="14"/>
  <c r="C37" i="14"/>
  <c r="D106" i="14"/>
  <c r="D69" i="14"/>
  <c r="D60" i="14"/>
  <c r="D36" i="14"/>
  <c r="D39" i="14"/>
  <c r="C70" i="14"/>
  <c r="C106" i="14"/>
  <c r="C94" i="14"/>
  <c r="D44" i="14"/>
  <c r="D100" i="14"/>
  <c r="D92" i="14"/>
  <c r="D37" i="14"/>
  <c r="D88" i="14"/>
  <c r="C99" i="14"/>
  <c r="C47" i="14"/>
  <c r="C118" i="14"/>
  <c r="D32" i="14"/>
  <c r="C75" i="14"/>
  <c r="D28" i="14"/>
  <c r="D43" i="14"/>
  <c r="C110" i="14"/>
  <c r="C52" i="14"/>
  <c r="C111" i="14"/>
  <c r="D34" i="14"/>
  <c r="D77" i="14"/>
  <c r="D40" i="14"/>
  <c r="C115" i="14"/>
  <c r="C49" i="14"/>
  <c r="D110" i="14"/>
  <c r="C32" i="14"/>
  <c r="D99" i="14"/>
  <c r="D70" i="14"/>
  <c r="D55" i="14"/>
  <c r="C78" i="14"/>
  <c r="D71" i="14"/>
  <c r="C42" i="14"/>
  <c r="D82" i="14"/>
  <c r="C98" i="14"/>
  <c r="D116" i="14"/>
  <c r="C117" i="14"/>
  <c r="D81" i="14"/>
  <c r="D56" i="14"/>
  <c r="C62" i="14"/>
  <c r="C56" i="14"/>
  <c r="D41" i="14"/>
  <c r="C44" i="14"/>
  <c r="D68" i="14"/>
  <c r="D53" i="14"/>
  <c r="D57" i="14"/>
  <c r="C73" i="14"/>
  <c r="C55" i="14"/>
  <c r="C50" i="14"/>
  <c r="C89" i="14"/>
  <c r="C60" i="14"/>
  <c r="C63" i="14"/>
  <c r="C105" i="14"/>
  <c r="C48" i="14"/>
  <c r="C83" i="14"/>
  <c r="C80" i="14"/>
  <c r="C59" i="14"/>
  <c r="C57" i="14"/>
  <c r="D47" i="14"/>
  <c r="D87" i="14"/>
  <c r="D113" i="14"/>
  <c r="C67" i="14"/>
  <c r="D89" i="14"/>
  <c r="C104" i="14"/>
  <c r="C102" i="14"/>
  <c r="D114" i="14"/>
  <c r="D94" i="14"/>
  <c r="C69" i="14"/>
  <c r="D84" i="14"/>
  <c r="C77" i="14"/>
  <c r="C107" i="14"/>
  <c r="D67" i="14"/>
  <c r="C35" i="14"/>
  <c r="C54" i="14"/>
  <c r="C109" i="14"/>
  <c r="C91" i="14"/>
  <c r="D46" i="14"/>
  <c r="C31" i="14"/>
  <c r="D42" i="14"/>
  <c r="D72" i="14"/>
  <c r="D86" i="14"/>
  <c r="D54" i="14"/>
  <c r="C108" i="14"/>
  <c r="C90" i="14"/>
  <c r="D117" i="14"/>
  <c r="D103" i="14"/>
  <c r="D107" i="14"/>
  <c r="C64" i="14"/>
  <c r="C88" i="14"/>
  <c r="D118" i="14"/>
  <c r="C119" i="14"/>
  <c r="C28" i="14"/>
  <c r="C116" i="14"/>
  <c r="C86" i="14"/>
  <c r="D97" i="14"/>
  <c r="C38" i="14"/>
  <c r="D59" i="14"/>
  <c r="D29" i="14"/>
  <c r="D33" i="14"/>
  <c r="C113" i="14"/>
  <c r="C100" i="14"/>
  <c r="D112" i="14"/>
  <c r="D96" i="14"/>
  <c r="F19" i="14"/>
  <c r="F21" i="14"/>
  <c r="F22" i="14"/>
  <c r="F20" i="14"/>
</calcChain>
</file>

<file path=xl/sharedStrings.xml><?xml version="1.0" encoding="utf-8"?>
<sst xmlns="http://schemas.openxmlformats.org/spreadsheetml/2006/main" count="52" uniqueCount="48">
  <si>
    <t>Strike</t>
  </si>
  <si>
    <t>Annuity</t>
  </si>
  <si>
    <t>PayerReceiver</t>
  </si>
  <si>
    <t>SwapRate</t>
  </si>
  <si>
    <t>Black-76 Vol</t>
  </si>
  <si>
    <t>Notional</t>
  </si>
  <si>
    <t>2D</t>
  </si>
  <si>
    <t>Curve</t>
  </si>
  <si>
    <t>Expiry</t>
  </si>
  <si>
    <t>NotificationLag</t>
  </si>
  <si>
    <t>SwapTenor</t>
  </si>
  <si>
    <t>UnderlyingSwap</t>
  </si>
  <si>
    <t>USD</t>
  </si>
  <si>
    <t>USD_3ML</t>
  </si>
  <si>
    <t>Unadjusted</t>
  </si>
  <si>
    <t>NYB:LNB</t>
  </si>
  <si>
    <t>UNDERLYING SWAP</t>
  </si>
  <si>
    <t>CreateSwap</t>
  </si>
  <si>
    <t>USDYC</t>
  </si>
  <si>
    <t>CASH</t>
  </si>
  <si>
    <t>PRICE</t>
  </si>
  <si>
    <t>TimeToExpiry</t>
  </si>
  <si>
    <t>No Coupons Per Year</t>
  </si>
  <si>
    <t>StubType</t>
  </si>
  <si>
    <t>SHORT_START</t>
  </si>
  <si>
    <t>ValuationDate</t>
  </si>
  <si>
    <t>Cash Annuity</t>
  </si>
  <si>
    <t>Physical Annuity</t>
  </si>
  <si>
    <t>FixedFrequency</t>
  </si>
  <si>
    <t>SEMI-ANNUAL</t>
  </si>
  <si>
    <t>Lognormal Vol</t>
  </si>
  <si>
    <t>Swap Tenor</t>
  </si>
  <si>
    <t>Discount Factor</t>
  </si>
  <si>
    <t>SettlementType</t>
  </si>
  <si>
    <t>LOGNORMAL</t>
  </si>
  <si>
    <t>NORMAL</t>
  </si>
  <si>
    <t>1Y</t>
  </si>
  <si>
    <t>5Y</t>
  </si>
  <si>
    <t>K</t>
  </si>
  <si>
    <t>Lognormal</t>
  </si>
  <si>
    <t>Normal</t>
  </si>
  <si>
    <t>USD SWAPTION</t>
  </si>
  <si>
    <t>RISK</t>
  </si>
  <si>
    <t>Delta</t>
  </si>
  <si>
    <t>Gamma</t>
  </si>
  <si>
    <t>Vega</t>
  </si>
  <si>
    <t>Theta</t>
  </si>
  <si>
    <t>PAYER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</si>
</sst>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0000"/>
    <numFmt numFmtId="165" formatCode="#,##0.0000"/>
    <numFmt numFmtId="166" formatCode="ddd\,\ d\-mmm\-yy"/>
    <numFmt numFmtId="167" formatCode="0.00000%"/>
    <numFmt numFmtId="168" formatCode="0.000000%"/>
    <numFmt numFmtId="169" formatCode="0.0000%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3399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168" fontId="0" fillId="3" borderId="2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4" fontId="0" fillId="0" borderId="0" xfId="0" applyNumberFormat="1"/>
    <xf numFmtId="3" fontId="0" fillId="0" borderId="0" xfId="0" applyNumberFormat="1" applyAlignment="1">
      <alignment horizontal="center" vertical="center"/>
    </xf>
    <xf numFmtId="0" fontId="3" fillId="0" borderId="0" xfId="0" applyFont="1"/>
    <xf numFmtId="168" fontId="1" fillId="3" borderId="2" xfId="0" applyNumberFormat="1" applyFont="1" applyFill="1" applyBorder="1" applyAlignment="1">
      <alignment horizontal="center" vertical="center"/>
    </xf>
    <xf numFmtId="10" fontId="0" fillId="3" borderId="2" xfId="0" applyNumberFormat="1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168" fontId="0" fillId="3" borderId="3" xfId="0" applyNumberFormat="1" applyFont="1" applyFill="1" applyBorder="1" applyAlignment="1">
      <alignment horizontal="center" vertical="center"/>
    </xf>
    <xf numFmtId="0" fontId="0" fillId="0" borderId="0" xfId="0" quotePrefix="1"/>
    <xf numFmtId="0" fontId="4" fillId="0" borderId="0" xfId="0" applyFont="1" applyAlignment="1">
      <alignment horizontal="center" vertical="center"/>
    </xf>
    <xf numFmtId="3" fontId="4" fillId="0" borderId="4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/>
    <xf numFmtId="166" fontId="4" fillId="0" borderId="0" xfId="0" applyNumberFormat="1" applyFont="1" applyAlignment="1">
      <alignment horizontal="center" vertical="center"/>
    </xf>
    <xf numFmtId="168" fontId="4" fillId="0" borderId="4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3" fontId="0" fillId="0" borderId="0" xfId="0" applyNumberFormat="1"/>
    <xf numFmtId="3" fontId="3" fillId="2" borderId="2" xfId="0" applyNumberFormat="1" applyFont="1" applyFill="1" applyBorder="1" applyAlignment="1">
      <alignment horizontal="center" vertical="center"/>
    </xf>
    <xf numFmtId="10" fontId="0" fillId="0" borderId="0" xfId="0" applyNumberFormat="1"/>
    <xf numFmtId="169" fontId="0" fillId="0" borderId="0" xfId="0" applyNumberFormat="1"/>
    <xf numFmtId="0" fontId="0" fillId="4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0" fillId="2" borderId="1" xfId="0" applyFill="1" applyBorder="1"/>
    <xf numFmtId="4" fontId="0" fillId="2" borderId="2" xfId="0" applyNumberFormat="1" applyFill="1" applyBorder="1"/>
    <xf numFmtId="0" fontId="0" fillId="2" borderId="2" xfId="0" applyFill="1" applyBorder="1"/>
    <xf numFmtId="164" fontId="0" fillId="2" borderId="2" xfId="0" applyNumberFormat="1" applyFill="1" applyBorder="1"/>
    <xf numFmtId="0" fontId="0" fillId="2" borderId="3" xfId="0" applyFill="1" applyBorder="1"/>
    <xf numFmtId="3" fontId="3" fillId="0" borderId="1" xfId="0" applyNumberFormat="1" applyFont="1" applyBorder="1" applyAlignment="1">
      <alignment horizontal="center" vertical="center"/>
    </xf>
    <xf numFmtId="0" fontId="3" fillId="0" borderId="3" xfId="0" applyFont="1" applyBorder="1"/>
    <xf numFmtId="3" fontId="3" fillId="0" borderId="2" xfId="0" applyNumberFormat="1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339933"/>
      <color rgb="FFFFFFCC"/>
      <color rgb="FFFFFF99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19049</xdr:colOff>
      <xdr:row>2</xdr:row>
      <xdr:rowOff>18522</xdr:rowOff>
    </xdr:from>
    <xdr:to>
      <xdr:col>21</xdr:col>
      <xdr:colOff>12074</xdr:colOff>
      <xdr:row>23</xdr:row>
      <xdr:rowOff>39301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49" y="399522"/>
          <a:ext cx="8527425" cy="4021279"/>
        </a:xfrm>
        <a:prstGeom prst="rect">
          <a:avLst/>
        </a:prstGeom>
      </xdr:spPr>
    </xdr:pic>
    <xdr:clientData/>
  </xdr:twoCellAnchor>
  <xdr:twoCellAnchor editAs="oneCell">
    <xdr:from>
      <xdr:col>7</xdr:col>
      <xdr:colOff>44399</xdr:colOff>
      <xdr:row>26</xdr:row>
      <xdr:rowOff>26291</xdr:rowOff>
    </xdr:from>
    <xdr:to>
      <xdr:col>20</xdr:col>
      <xdr:colOff>590550</xdr:colOff>
      <xdr:row>47</xdr:row>
      <xdr:rowOff>39291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88099" y="4979291"/>
          <a:ext cx="8470951" cy="401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9"/>
  <sheetViews>
    <sheetView showGridLines="0" tabSelected="1" workbookViewId="0"/>
  </sheetViews>
  <sheetFormatPr defaultRowHeight="15" x14ac:dyDescent="0.25"/>
  <cols>
    <col min="1" max="1" width="9.140625" customWidth="1"/>
    <col min="2" max="4" width="20.7109375" customWidth="1"/>
    <col min="5" max="5" width="12.7109375" customWidth="1"/>
    <col min="6" max="6" width="15.7109375" customWidth="1"/>
  </cols>
  <sheetData>
    <row r="2" spans="2:12" x14ac:dyDescent="0.25">
      <c r="B2" s="2" t="s">
        <v>41</v>
      </c>
      <c r="H2" s="2" t="s">
        <v>34</v>
      </c>
    </row>
    <row r="3" spans="2:12" x14ac:dyDescent="0.25">
      <c r="B3" s="10" t="s">
        <v>2</v>
      </c>
      <c r="C3" s="23" t="s">
        <v>47</v>
      </c>
      <c r="D3" s="30">
        <f ca="1">_xll.meDateYearFraction(C19,D7,"ACT/365")</f>
        <v>0.9945205479452055</v>
      </c>
      <c r="E3" s="14" t="s">
        <v>21</v>
      </c>
      <c r="F3" s="14"/>
    </row>
    <row r="4" spans="2:12" x14ac:dyDescent="0.25">
      <c r="B4" s="11" t="s">
        <v>5</v>
      </c>
      <c r="C4" s="8">
        <v>1000000</v>
      </c>
      <c r="D4" s="31"/>
    </row>
    <row r="5" spans="2:12" x14ac:dyDescent="0.25">
      <c r="B5" s="11" t="s">
        <v>8</v>
      </c>
      <c r="C5" s="4" t="s">
        <v>36</v>
      </c>
      <c r="D5" s="32">
        <f ca="1">_xll.meDateFromTenor($C$19,C5,"MOD_FOLLOWING",E5)</f>
        <v>43507</v>
      </c>
      <c r="E5" s="2" t="s">
        <v>15</v>
      </c>
      <c r="F5" s="2"/>
    </row>
    <row r="6" spans="2:12" x14ac:dyDescent="0.25">
      <c r="B6" s="11" t="s">
        <v>10</v>
      </c>
      <c r="C6" s="4" t="s">
        <v>37</v>
      </c>
      <c r="D6" s="32">
        <f ca="1">_xll.meDateFromTenor($D$5,C6)</f>
        <v>45333</v>
      </c>
      <c r="E6" s="2" t="s">
        <v>14</v>
      </c>
      <c r="F6" s="2"/>
    </row>
    <row r="7" spans="2:12" x14ac:dyDescent="0.25">
      <c r="B7" s="11" t="s">
        <v>9</v>
      </c>
      <c r="C7" s="5" t="s">
        <v>6</v>
      </c>
      <c r="D7" s="32">
        <f ca="1">_xll.meDateFromTenor(D5,"-"&amp;C7,"MOD_FOLLOWING",E7)</f>
        <v>43503</v>
      </c>
      <c r="E7" s="2" t="s">
        <v>15</v>
      </c>
      <c r="F7" s="2"/>
    </row>
    <row r="8" spans="2:12" x14ac:dyDescent="0.25">
      <c r="B8" s="11" t="s">
        <v>11</v>
      </c>
      <c r="C8" s="7" t="s">
        <v>13</v>
      </c>
      <c r="D8" s="31"/>
    </row>
    <row r="9" spans="2:12" x14ac:dyDescent="0.25">
      <c r="B9" s="11" t="s">
        <v>3</v>
      </c>
      <c r="C9" s="9">
        <f ca="1">D9</f>
        <v>2.6691550000000001E-2</v>
      </c>
      <c r="D9" s="33">
        <v>2.6691550000000001E-2</v>
      </c>
      <c r="E9" s="14" t="s">
        <v>3</v>
      </c>
      <c r="F9" s="14"/>
    </row>
    <row r="10" spans="2:12" x14ac:dyDescent="0.25">
      <c r="B10" s="12" t="s">
        <v>0</v>
      </c>
      <c r="C10" s="26">
        <f ca="1">D9</f>
        <v>2.6691550000000001E-2</v>
      </c>
      <c r="D10" s="34">
        <v>1</v>
      </c>
      <c r="E10" s="14" t="s">
        <v>32</v>
      </c>
      <c r="F10" s="14"/>
    </row>
    <row r="11" spans="2:12" x14ac:dyDescent="0.25">
      <c r="B11" s="17"/>
      <c r="C11" s="17"/>
      <c r="D11" s="31"/>
    </row>
    <row r="12" spans="2:12" x14ac:dyDescent="0.25">
      <c r="B12" s="2" t="s">
        <v>16</v>
      </c>
      <c r="D12" s="31"/>
    </row>
    <row r="13" spans="2:12" x14ac:dyDescent="0.25">
      <c r="B13" s="10" t="s">
        <v>17</v>
      </c>
      <c r="C13" s="22" t="str">
        <f ca="1">_xll.meLWOSwapCreateFromGenerator(C8,C8,C3,C4,D5,D6,C9,0)</f>
        <v>USD_3ML@1:16</v>
      </c>
      <c r="D13" s="30">
        <f ca="1">_xll.meDateYearFraction(D5,D6,"ACT/365")</f>
        <v>5.0027397260273974</v>
      </c>
      <c r="E13" t="s">
        <v>31</v>
      </c>
    </row>
    <row r="14" spans="2:12" x14ac:dyDescent="0.25">
      <c r="B14" s="11" t="s">
        <v>28</v>
      </c>
      <c r="C14" s="18" t="s">
        <v>29</v>
      </c>
      <c r="D14" s="28">
        <f>IF(C14="ANNUAL",1,IF(C14="SEMI-ANNUAL",2,IF(C14="QUARTERLY",4,12)))</f>
        <v>2</v>
      </c>
      <c r="E14" t="s">
        <v>22</v>
      </c>
    </row>
    <row r="15" spans="2:12" x14ac:dyDescent="0.25">
      <c r="B15" s="11" t="s">
        <v>23</v>
      </c>
      <c r="C15" s="18" t="s">
        <v>24</v>
      </c>
      <c r="D15" s="29">
        <f ca="1">_xll.meMathEuropeanIRSwaptionCashAnnuity(C4,C9,D14,D13,C15)*D10</f>
        <v>4654163.5790642574</v>
      </c>
      <c r="E15" t="s">
        <v>26</v>
      </c>
      <c r="L15" s="3"/>
    </row>
    <row r="16" spans="2:12" x14ac:dyDescent="0.25">
      <c r="B16" s="12" t="s">
        <v>1</v>
      </c>
      <c r="C16" s="25">
        <f ca="1">IF(C21="CASH",D15,D16)</f>
        <v>4654163.5790642574</v>
      </c>
      <c r="D16" s="29">
        <f ca="1">D15</f>
        <v>4654163.5790642574</v>
      </c>
      <c r="E16" t="s">
        <v>27</v>
      </c>
    </row>
    <row r="17" spans="1:14" x14ac:dyDescent="0.25">
      <c r="A17" s="14"/>
      <c r="D17" s="17"/>
    </row>
    <row r="18" spans="1:14" x14ac:dyDescent="0.25">
      <c r="B18" s="2" t="s">
        <v>20</v>
      </c>
      <c r="D18" s="17"/>
      <c r="E18" s="2" t="s">
        <v>42</v>
      </c>
      <c r="L18" s="2"/>
      <c r="N18" s="1"/>
    </row>
    <row r="19" spans="1:14" x14ac:dyDescent="0.25">
      <c r="B19" s="10" t="s">
        <v>25</v>
      </c>
      <c r="C19" s="24">
        <f ca="1">TODAY()</f>
        <v>43140</v>
      </c>
      <c r="E19" s="43" t="s">
        <v>43</v>
      </c>
      <c r="F19" s="48">
        <f ca="1">_xll.meMathEuropeanIRSwaptionDelta($C$3,$C$16,$C$9,$C$10,$C$22,$D$3,0,$B$23)</f>
        <v>254.97615226909417</v>
      </c>
      <c r="M19" s="16"/>
      <c r="N19" s="16"/>
    </row>
    <row r="20" spans="1:14" x14ac:dyDescent="0.25">
      <c r="B20" s="11" t="s">
        <v>7</v>
      </c>
      <c r="C20" s="6" t="s">
        <v>18</v>
      </c>
      <c r="E20" s="44" t="s">
        <v>44</v>
      </c>
      <c r="F20" s="50">
        <f ca="1">_xll.meMathEuropeanIRSwaptionGamma($C$3,$C$16,$C$9,$C$10,$C$22,$D$3,0,$B$23)</f>
        <v>2.8723374848251799</v>
      </c>
      <c r="N20" s="16"/>
    </row>
    <row r="21" spans="1:14" x14ac:dyDescent="0.25">
      <c r="B21" s="11" t="s">
        <v>33</v>
      </c>
      <c r="C21" s="6" t="s">
        <v>19</v>
      </c>
      <c r="D21" s="20"/>
      <c r="E21" s="45" t="s">
        <v>45</v>
      </c>
      <c r="F21" s="50">
        <f ca="1">_xll.meMathEuropeanIRSwaptionVega($C$3,$C$16,$C$9,$C$10,$C$22,$D$3,0,$B$23)</f>
        <v>490.67510670808969</v>
      </c>
      <c r="N21" s="16"/>
    </row>
    <row r="22" spans="1:14" x14ac:dyDescent="0.25">
      <c r="B22" s="11" t="s">
        <v>4</v>
      </c>
      <c r="C22" s="19">
        <v>0.24110000000000001</v>
      </c>
      <c r="D22" s="1" t="s">
        <v>30</v>
      </c>
      <c r="E22" s="44" t="s">
        <v>46</v>
      </c>
      <c r="F22" s="50">
        <f ca="1">_xll.meMathEuropeanIRSwaptionTheta($C$3,$C$16,$C$9,$C$10,$C$22,$D$3,0,$B$23)</f>
        <v>-16.283856071626079</v>
      </c>
    </row>
    <row r="23" spans="1:14" x14ac:dyDescent="0.25">
      <c r="A23" s="37">
        <v>0.2293</v>
      </c>
      <c r="B23" s="11" t="s">
        <v>34</v>
      </c>
      <c r="C23" s="36">
        <f ca="1">_xll.meMathEuropeanIRSwaptionPrice($C$3,$C$16,$C$9,$C$10,A23,$D$3,0,B23)</f>
        <v>11308.136355492843</v>
      </c>
      <c r="D23" s="13" t="s">
        <v>12</v>
      </c>
      <c r="E23" s="46"/>
      <c r="F23" s="50"/>
    </row>
    <row r="24" spans="1:14" x14ac:dyDescent="0.25">
      <c r="A24" s="38">
        <v>6.0699999999999999E-3</v>
      </c>
      <c r="B24" s="12" t="s">
        <v>35</v>
      </c>
      <c r="C24" s="21">
        <f ca="1">_xll.meMathEuropeanIRSwaptionPrice($C$3,$C$16,$C$9,$C$10,A24,$D$3,0,B24)</f>
        <v>11239.507474702672</v>
      </c>
      <c r="E24" s="47"/>
      <c r="F24" s="49"/>
    </row>
    <row r="25" spans="1:14" x14ac:dyDescent="0.25">
      <c r="C25" s="16"/>
      <c r="F25" s="35"/>
      <c r="I25" s="2"/>
    </row>
    <row r="26" spans="1:14" x14ac:dyDescent="0.25">
      <c r="B26" s="27"/>
      <c r="C26" s="16"/>
      <c r="H26" s="2" t="s">
        <v>35</v>
      </c>
      <c r="J26" s="35"/>
    </row>
    <row r="27" spans="1:14" x14ac:dyDescent="0.25">
      <c r="B27" s="39" t="s">
        <v>38</v>
      </c>
      <c r="C27" s="40" t="s">
        <v>39</v>
      </c>
      <c r="D27" s="40" t="s">
        <v>40</v>
      </c>
      <c r="F27" s="51"/>
      <c r="J27" s="35"/>
    </row>
    <row r="28" spans="1:14" x14ac:dyDescent="0.25">
      <c r="B28" s="41">
        <v>0</v>
      </c>
      <c r="C28" s="16">
        <f ca="1">_xll.meMathEuropeanIRSwaptionPrice($C$3,$C$16,$C$9,B28,$A$23,$D$3,0,$C$27)</f>
        <v>124226.83987872605</v>
      </c>
      <c r="D28" s="16">
        <f ca="1">_xll.meMathEuropeanIRSwaptionPrice($C$3,$C$16,$C$9,B28,$A$24,$D$3,0,$D$27)</f>
        <v>124226.87023699445</v>
      </c>
      <c r="F28" s="15"/>
      <c r="I28" s="27"/>
      <c r="J28" s="35"/>
    </row>
    <row r="29" spans="1:14" x14ac:dyDescent="0.25">
      <c r="B29" s="42">
        <f>B28+0.1%</f>
        <v>1E-3</v>
      </c>
      <c r="C29" s="16">
        <f ca="1">_xll.meMathEuropeanIRSwaptionPrice($C$3,$C$16,$C$9,B29,$A$23,$D$3,0,$C$27)</f>
        <v>119572.67629970833</v>
      </c>
      <c r="D29" s="16">
        <f ca="1">_xll.meMathEuropeanIRSwaptionPrice($C$3,$C$16,$C$9,B29,$A$24,$D$3,0,$D$27)</f>
        <v>119572.74265685971</v>
      </c>
      <c r="F29" s="52"/>
    </row>
    <row r="30" spans="1:14" x14ac:dyDescent="0.25">
      <c r="B30" s="42">
        <f t="shared" ref="B30:B93" si="0">B29+0.1%</f>
        <v>2E-3</v>
      </c>
      <c r="C30" s="16">
        <f ca="1">_xll.meMathEuropeanIRSwaptionPrice($C$3,$C$16,$C$9,B30,$A$23,$D$3,0,$C$27)</f>
        <v>114918.51272064407</v>
      </c>
      <c r="D30" s="16">
        <f ca="1">_xll.meMathEuropeanIRSwaptionPrice($C$3,$C$16,$C$9,B30,$A$24,$D$3,0,$D$27)</f>
        <v>114918.65415442575</v>
      </c>
    </row>
    <row r="31" spans="1:14" x14ac:dyDescent="0.25">
      <c r="B31" s="42">
        <f t="shared" si="0"/>
        <v>3.0000000000000001E-3</v>
      </c>
      <c r="C31" s="16">
        <f ca="1">_xll.meMathEuropeanIRSwaptionPrice($C$3,$C$16,$C$9,B31,$A$23,$D$3,0,$C$27)</f>
        <v>110264.34914157982</v>
      </c>
      <c r="D31" s="16">
        <f ca="1">_xll.meMathEuropeanIRSwaptionPrice($C$3,$C$16,$C$9,B31,$A$24,$D$3,0,$D$27)</f>
        <v>110264.64312618454</v>
      </c>
    </row>
    <row r="32" spans="1:14" x14ac:dyDescent="0.25">
      <c r="B32" s="42">
        <f t="shared" si="0"/>
        <v>4.0000000000000001E-3</v>
      </c>
      <c r="C32" s="16">
        <f ca="1">_xll.meMathEuropeanIRSwaptionPrice($C$3,$C$16,$C$9,B32,$A$23,$D$3,0,$C$27)</f>
        <v>105610.18556251556</v>
      </c>
      <c r="D32" s="16">
        <f ca="1">_xll.meMathEuropeanIRSwaptionPrice($C$3,$C$16,$C$9,B32,$A$24,$D$3,0,$D$27)</f>
        <v>105610.78157881531</v>
      </c>
    </row>
    <row r="33" spans="2:4" x14ac:dyDescent="0.25">
      <c r="B33" s="42">
        <f t="shared" si="0"/>
        <v>5.0000000000000001E-3</v>
      </c>
      <c r="C33" s="16">
        <f ca="1">_xll.meMathEuropeanIRSwaptionPrice($C$3,$C$16,$C$9,B33,$A$23,$D$3,0,$C$27)</f>
        <v>100956.0219834515</v>
      </c>
      <c r="D33" s="16">
        <f ca="1">_xll.meMathEuropeanIRSwaptionPrice($C$3,$C$16,$C$9,B33,$A$24,$D$3,0,$D$27)</f>
        <v>100957.20071358945</v>
      </c>
    </row>
    <row r="34" spans="2:4" x14ac:dyDescent="0.25">
      <c r="B34" s="42">
        <f t="shared" si="0"/>
        <v>6.0000000000000001E-3</v>
      </c>
      <c r="C34" s="16">
        <f ca="1">_xll.meMathEuropeanIRSwaptionPrice($C$3,$C$16,$C$9,B34,$A$23,$D$3,0,$C$27)</f>
        <v>96301.85840445284</v>
      </c>
      <c r="D34" s="16">
        <f ca="1">_xll.meMathEuropeanIRSwaptionPrice($C$3,$C$16,$C$9,B34,$A$24,$D$3,0,$D$27)</f>
        <v>96304.132762458918</v>
      </c>
    </row>
    <row r="35" spans="2:4" x14ac:dyDescent="0.25">
      <c r="B35" s="42">
        <f t="shared" si="0"/>
        <v>7.0000000000000001E-3</v>
      </c>
      <c r="C35" s="16">
        <f ca="1">_xll.meMathEuropeanIRSwaptionPrice($C$3,$C$16,$C$9,B35,$A$23,$D$3,0,$C$27)</f>
        <v>91647.694830975423</v>
      </c>
      <c r="D35" s="16">
        <f ca="1">_xll.meMathEuropeanIRSwaptionPrice($C$3,$C$16,$C$9,B35,$A$24,$D$3,0,$D$27)</f>
        <v>91651.976980220468</v>
      </c>
    </row>
    <row r="36" spans="2:4" x14ac:dyDescent="0.25">
      <c r="B36" s="42">
        <f t="shared" si="0"/>
        <v>8.0000000000000002E-3</v>
      </c>
      <c r="C36" s="16">
        <f ca="1">_xll.meMathEuropeanIRSwaptionPrice($C$3,$C$16,$C$9,B36,$A$23,$D$3,0,$C$27)</f>
        <v>86993.531434863733</v>
      </c>
      <c r="D36" s="16">
        <f ca="1">_xll.meMathEuropeanIRSwaptionPrice($C$3,$C$16,$C$9,B36,$A$24,$D$3,0,$D$27)</f>
        <v>87001.399923890262</v>
      </c>
    </row>
    <row r="37" spans="2:4" x14ac:dyDescent="0.25">
      <c r="B37" s="42">
        <f t="shared" si="0"/>
        <v>9.0000000000000011E-3</v>
      </c>
      <c r="C37" s="16">
        <f ca="1">_xll.meMathEuropeanIRSwaptionPrice($C$3,$C$16,$C$9,B37,$A$23,$D$3,0,$C$27)</f>
        <v>82339.370851845626</v>
      </c>
      <c r="D37" s="16">
        <f ca="1">_xll.meMathEuropeanIRSwaptionPrice($C$3,$C$16,$C$9,B37,$A$24,$D$3,0,$D$27)</f>
        <v>82353.481994982692</v>
      </c>
    </row>
    <row r="38" spans="2:4" x14ac:dyDescent="0.25">
      <c r="B38" s="42">
        <f t="shared" si="0"/>
        <v>1.0000000000000002E-2</v>
      </c>
      <c r="C38" s="16">
        <f ca="1">_xll.meMathEuropeanIRSwaptionPrice($C$3,$C$16,$C$9,B38,$A$23,$D$3,0,$C$27)</f>
        <v>77685.236431414713</v>
      </c>
      <c r="D38" s="16">
        <f ca="1">_xll.meMathEuropeanIRSwaptionPrice($C$3,$C$16,$C$9,B38,$A$24,$D$3,0,$D$27)</f>
        <v>77709.922922555517</v>
      </c>
    </row>
    <row r="39" spans="2:4" x14ac:dyDescent="0.25">
      <c r="B39" s="42">
        <f t="shared" si="0"/>
        <v>1.1000000000000003E-2</v>
      </c>
      <c r="C39" s="16">
        <f ca="1">_xll.meMathEuropeanIRSwaptionPrice($C$3,$C$16,$C$9,B39,$A$23,$D$3,0,$C$27)</f>
        <v>73031.262847330203</v>
      </c>
      <c r="D39" s="16">
        <f ca="1">_xll.meMathEuropeanIRSwaptionPrice($C$3,$C$16,$C$9,B39,$A$24,$D$3,0,$D$27)</f>
        <v>73073.317407939627</v>
      </c>
    </row>
    <row r="40" spans="2:4" x14ac:dyDescent="0.25">
      <c r="B40" s="42">
        <f t="shared" si="0"/>
        <v>1.2000000000000004E-2</v>
      </c>
      <c r="C40" s="16">
        <f ca="1">_xll.meMathEuropeanIRSwaptionPrice($C$3,$C$16,$C$9,B40,$A$23,$D$3,0,$C$27)</f>
        <v>68378.001978934655</v>
      </c>
      <c r="D40" s="16">
        <f ca="1">_xll.meMathEuropeanIRSwaptionPrice($C$3,$C$16,$C$9,B40,$A$24,$D$3,0,$D$27)</f>
        <v>68447.507392183004</v>
      </c>
    </row>
    <row r="41" spans="2:4" x14ac:dyDescent="0.25">
      <c r="B41" s="42">
        <f t="shared" si="0"/>
        <v>1.3000000000000005E-2</v>
      </c>
      <c r="C41" s="16">
        <f ca="1">_xll.meMathEuropeanIRSwaptionPrice($C$3,$C$16,$C$9,B41,$A$23,$D$3,0,$C$27)</f>
        <v>63727.169057736763</v>
      </c>
      <c r="D41" s="16">
        <f ca="1">_xll.meMathEuropeanIRSwaptionPrice($C$3,$C$16,$C$9,B41,$A$24,$D$3,0,$D$27)</f>
        <v>63838.008338257372</v>
      </c>
    </row>
    <row r="42" spans="2:4" x14ac:dyDescent="0.25">
      <c r="B42" s="42">
        <f t="shared" si="0"/>
        <v>1.4000000000000005E-2</v>
      </c>
      <c r="C42" s="16">
        <f ca="1">_xll.meMathEuropeanIRSwaptionPrice($C$3,$C$16,$C$9,B42,$A$23,$D$3,0,$C$27)</f>
        <v>59083.013126870188</v>
      </c>
      <c r="D42" s="16">
        <f ca="1">_xll.meMathEuropeanIRSwaptionPrice($C$3,$C$16,$C$9,B42,$A$24,$D$3,0,$D$27)</f>
        <v>59252.493067872922</v>
      </c>
    </row>
    <row r="43" spans="2:4" x14ac:dyDescent="0.25">
      <c r="B43" s="42">
        <f t="shared" si="0"/>
        <v>1.5000000000000006E-2</v>
      </c>
      <c r="C43" s="16">
        <f ca="1">_xll.meMathEuropeanIRSwaptionPrice($C$3,$C$16,$C$9,B43,$A$23,$D$3,0,$C$27)</f>
        <v>54454.250729960586</v>
      </c>
      <c r="D43" s="16">
        <f ca="1">_xll.meMathEuropeanIRSwaptionPrice($C$3,$C$16,$C$9,B43,$A$24,$D$3,0,$D$27)</f>
        <v>54701.298577137684</v>
      </c>
    </row>
    <row r="44" spans="2:4" x14ac:dyDescent="0.25">
      <c r="B44" s="42">
        <f t="shared" si="0"/>
        <v>1.6000000000000007E-2</v>
      </c>
      <c r="C44" s="16">
        <f ca="1">_xll.meMathEuropeanIRSwaptionPrice($C$3,$C$16,$C$9,B44,$A$23,$D$3,0,$C$27)</f>
        <v>49856.133926403563</v>
      </c>
      <c r="D44" s="16">
        <f ca="1">_xll.meMathEuropeanIRSwaptionPrice($C$3,$C$16,$C$9,B44,$A$24,$D$3,0,$D$27)</f>
        <v>50197.900792725297</v>
      </c>
    </row>
    <row r="45" spans="2:4" x14ac:dyDescent="0.25">
      <c r="B45" s="42">
        <f t="shared" si="0"/>
        <v>1.7000000000000008E-2</v>
      </c>
      <c r="C45" s="16">
        <f ca="1">_xll.meMathEuropeanIRSwaptionPrice($C$3,$C$16,$C$9,B45,$A$23,$D$3,0,$C$27)</f>
        <v>45311.953553819978</v>
      </c>
      <c r="D45" s="16">
        <f ca="1">_xll.meMathEuropeanIRSwaptionPrice($C$3,$C$16,$C$9,B45,$A$24,$D$3,0,$D$27)</f>
        <v>45759.282900380378</v>
      </c>
    </row>
    <row r="46" spans="2:4" x14ac:dyDescent="0.25">
      <c r="B46" s="42">
        <f t="shared" si="0"/>
        <v>1.8000000000000009E-2</v>
      </c>
      <c r="C46" s="16">
        <f ca="1">_xll.meMathEuropeanIRSwaptionPrice($C$3,$C$16,$C$9,B46,$A$23,$D$3,0,$C$27)</f>
        <v>40853.297357459436</v>
      </c>
      <c r="D46" s="16">
        <f ca="1">_xll.meMathEuropeanIRSwaptionPrice($C$3,$C$16,$C$9,B46,$A$24,$D$3,0,$D$27)</f>
        <v>41406.109473698096</v>
      </c>
    </row>
    <row r="47" spans="2:4" x14ac:dyDescent="0.25">
      <c r="B47" s="42">
        <f t="shared" si="0"/>
        <v>1.900000000000001E-2</v>
      </c>
      <c r="C47" s="16">
        <f ca="1">_xll.meMathEuropeanIRSwaptionPrice($C$3,$C$16,$C$9,B47,$A$23,$D$3,0,$C$27)</f>
        <v>36518.707964721507</v>
      </c>
      <c r="D47" s="16">
        <f ca="1">_xll.meMathEuropeanIRSwaptionPrice($C$3,$C$16,$C$9,B47,$A$24,$D$3,0,$D$27)</f>
        <v>37162.616482196798</v>
      </c>
    </row>
    <row r="48" spans="2:4" x14ac:dyDescent="0.25">
      <c r="B48" s="42">
        <f t="shared" si="0"/>
        <v>2.0000000000000011E-2</v>
      </c>
      <c r="C48" s="16">
        <f ca="1">_xll.meMathEuropeanIRSwaptionPrice($C$3,$C$16,$C$9,B48,$A$23,$D$3,0,$C$27)</f>
        <v>32350.862812278385</v>
      </c>
      <c r="D48" s="16">
        <f ca="1">_xll.meMathEuropeanIRSwaptionPrice($C$3,$C$16,$C$9,B48,$A$24,$D$3,0,$D$27)</f>
        <v>33056.140958320902</v>
      </c>
    </row>
    <row r="49" spans="2:4" x14ac:dyDescent="0.25">
      <c r="B49" s="42">
        <f t="shared" si="0"/>
        <v>2.1000000000000012E-2</v>
      </c>
      <c r="C49" s="16">
        <f ca="1">_xll.meMathEuropeanIRSwaptionPrice($C$3,$C$16,$C$9,B49,$A$23,$D$3,0,$C$27)</f>
        <v>28392.814787932464</v>
      </c>
      <c r="D49" s="16">
        <f ca="1">_xll.meMathEuropeanIRSwaptionPrice($C$3,$C$16,$C$9,B49,$A$24,$D$3,0,$D$27)</f>
        <v>29116.245982069198</v>
      </c>
    </row>
    <row r="50" spans="2:4" x14ac:dyDescent="0.25">
      <c r="B50" s="42">
        <f t="shared" si="0"/>
        <v>2.2000000000000013E-2</v>
      </c>
      <c r="C50" s="16">
        <f ca="1">_xll.meMathEuropeanIRSwaptionPrice($C$3,$C$16,$C$9,B50,$A$23,$D$3,0,$C$27)</f>
        <v>24684.0402415715</v>
      </c>
      <c r="D50" s="16">
        <f ca="1">_xll.meMathEuropeanIRSwaptionPrice($C$3,$C$16,$C$9,B50,$A$24,$D$3,0,$D$27)</f>
        <v>25373.445385462961</v>
      </c>
    </row>
    <row r="51" spans="2:4" x14ac:dyDescent="0.25">
      <c r="B51" s="42">
        <f t="shared" si="0"/>
        <v>2.3000000000000013E-2</v>
      </c>
      <c r="C51" s="16">
        <f ca="1">_xll.meMathEuropeanIRSwaptionPrice($C$3,$C$16,$C$9,B51,$A$23,$D$3,0,$C$27)</f>
        <v>21257.008082792188</v>
      </c>
      <c r="D51" s="16">
        <f ca="1">_xll.meMathEuropeanIRSwaptionPrice($C$3,$C$16,$C$9,B51,$A$24,$D$3,0,$D$27)</f>
        <v>21857.59250933976</v>
      </c>
    </row>
    <row r="52" spans="2:4" x14ac:dyDescent="0.25">
      <c r="B52" s="42">
        <f t="shared" si="0"/>
        <v>2.4000000000000014E-2</v>
      </c>
      <c r="C52" s="16">
        <f ca="1">_xll.meMathEuropeanIRSwaptionPrice($C$3,$C$16,$C$9,B52,$A$23,$D$3,0,$C$27)</f>
        <v>18134.773440031051</v>
      </c>
      <c r="D52" s="16">
        <f ca="1">_xll.meMathEuropeanIRSwaptionPrice($C$3,$C$16,$C$9,B52,$A$24,$D$3,0,$D$27)</f>
        <v>18596.058781584576</v>
      </c>
    </row>
    <row r="53" spans="2:4" x14ac:dyDescent="0.25">
      <c r="B53" s="42">
        <f t="shared" si="0"/>
        <v>2.5000000000000015E-2</v>
      </c>
      <c r="C53" s="16">
        <f ca="1">_xll.meMathEuropeanIRSwaptionPrice($C$3,$C$16,$C$9,B53,$A$23,$D$3,0,$C$27)</f>
        <v>15329.815753267765</v>
      </c>
      <c r="D53" s="16">
        <f ca="1">_xll.meMathEuropeanIRSwaptionPrice($C$3,$C$16,$C$9,B53,$A$24,$D$3,0,$D$27)</f>
        <v>15611.878753681303</v>
      </c>
    </row>
    <row r="54" spans="2:4" x14ac:dyDescent="0.25">
      <c r="B54" s="42">
        <f t="shared" si="0"/>
        <v>2.6000000000000016E-2</v>
      </c>
      <c r="C54" s="16">
        <f ca="1">_xll.meMathEuropeanIRSwaptionPrice($C$3,$C$16,$C$9,B54,$A$23,$D$3,0,$C$27)</f>
        <v>12844.078043192005</v>
      </c>
      <c r="D54" s="16">
        <f ca="1">_xll.meMathEuropeanIRSwaptionPrice($C$3,$C$16,$C$9,B54,$A$24,$D$3,0,$D$27)</f>
        <v>12922.066691639924</v>
      </c>
    </row>
    <row r="55" spans="2:4" x14ac:dyDescent="0.25">
      <c r="B55" s="42">
        <f t="shared" si="0"/>
        <v>2.7000000000000017E-2</v>
      </c>
      <c r="C55" s="16">
        <f ca="1">_xll.meMathEuropeanIRSwaptionPrice($C$3,$C$16,$C$9,B55,$A$23,$D$3,0,$C$27)</f>
        <v>10669.978411776927</v>
      </c>
      <c r="D55" s="16">
        <f ca="1">_xll.meMathEuropeanIRSwaptionPrice($C$3,$C$16,$C$9,B55,$A$24,$D$3,0,$D$27)</f>
        <v>10536.307297675979</v>
      </c>
    </row>
    <row r="56" spans="2:4" x14ac:dyDescent="0.25">
      <c r="B56" s="42">
        <f t="shared" si="0"/>
        <v>2.8000000000000018E-2</v>
      </c>
      <c r="C56" s="16">
        <f ca="1">_xll.meMathEuropeanIRSwaptionPrice($C$3,$C$16,$C$9,B56,$A$23,$D$3,0,$C$27)</f>
        <v>8792.0735664908188</v>
      </c>
      <c r="D56" s="16">
        <f ca="1">_xll.meMathEuropeanIRSwaptionPrice($C$3,$C$16,$C$9,B56,$A$24,$D$3,0,$D$27)</f>
        <v>8456.1869135996039</v>
      </c>
    </row>
    <row r="57" spans="2:4" x14ac:dyDescent="0.25">
      <c r="B57" s="42">
        <f t="shared" si="0"/>
        <v>2.9000000000000019E-2</v>
      </c>
      <c r="C57" s="16">
        <f ca="1">_xll.meMathEuropeanIRSwaptionPrice($C$3,$C$16,$C$9,B57,$A$23,$D$3,0,$C$27)</f>
        <v>7189.0452649082345</v>
      </c>
      <c r="D57" s="16">
        <f ca="1">_xll.meMathEuropeanIRSwaptionPrice($C$3,$C$16,$C$9,B57,$A$24,$D$3,0,$D$27)</f>
        <v>6675.0660169249641</v>
      </c>
    </row>
    <row r="58" spans="2:4" x14ac:dyDescent="0.25">
      <c r="B58" s="42">
        <f t="shared" si="0"/>
        <v>3.000000000000002E-2</v>
      </c>
      <c r="C58" s="16">
        <f ca="1">_xll.meMathEuropeanIRSwaptionPrice($C$3,$C$16,$C$9,B58,$A$23,$D$3,0,$C$27)</f>
        <v>5835.7277925842518</v>
      </c>
      <c r="D58" s="16">
        <f ca="1">_xll.meMathEuropeanIRSwaptionPrice($C$3,$C$16,$C$9,B58,$A$24,$D$3,0,$D$27)</f>
        <v>5178.6099375248377</v>
      </c>
    </row>
    <row r="59" spans="2:4" x14ac:dyDescent="0.25">
      <c r="B59" s="42">
        <f t="shared" si="0"/>
        <v>3.1000000000000021E-2</v>
      </c>
      <c r="C59" s="16">
        <f ca="1">_xll.meMathEuropeanIRSwaptionPrice($C$3,$C$16,$C$9,B59,$A$23,$D$3,0,$C$27)</f>
        <v>4704.9697235743006</v>
      </c>
      <c r="D59" s="16">
        <f ca="1">_xll.meMathEuropeanIRSwaptionPrice($C$3,$C$16,$C$9,B59,$A$24,$D$3,0,$D$27)</f>
        <v>3945.9077210795131</v>
      </c>
    </row>
    <row r="60" spans="2:4" x14ac:dyDescent="0.25">
      <c r="B60" s="42">
        <f t="shared" si="0"/>
        <v>3.2000000000000021E-2</v>
      </c>
      <c r="C60" s="16">
        <f ca="1">_xll.meMathEuropeanIRSwaptionPrice($C$3,$C$16,$C$9,B60,$A$23,$D$3,0,$C$27)</f>
        <v>3769.2034377610244</v>
      </c>
      <c r="D60" s="16">
        <f ca="1">_xll.meMathEuropeanIRSwaptionPrice($C$3,$C$16,$C$9,B60,$A$24,$D$3,0,$D$27)</f>
        <v>2951.0349025176524</v>
      </c>
    </row>
    <row r="61" spans="2:4" x14ac:dyDescent="0.25">
      <c r="B61" s="42">
        <f t="shared" si="0"/>
        <v>3.3000000000000022E-2</v>
      </c>
      <c r="C61" s="16">
        <f ca="1">_xll.meMathEuropeanIRSwaptionPrice($C$3,$C$16,$C$9,B61,$A$23,$D$3,0,$C$27)</f>
        <v>3001.6663915727431</v>
      </c>
      <c r="D61" s="16">
        <f ca="1">_xll.meMathEuropeanIRSwaptionPrice($C$3,$C$16,$C$9,B61,$A$24,$D$3,0,$D$27)</f>
        <v>2164.867587394383</v>
      </c>
    </row>
    <row r="62" spans="2:4" x14ac:dyDescent="0.25">
      <c r="B62" s="42">
        <f t="shared" si="0"/>
        <v>3.4000000000000023E-2</v>
      </c>
      <c r="C62" s="16">
        <f ca="1">_xll.meMathEuropeanIRSwaptionPrice($C$3,$C$16,$C$9,B62,$A$23,$D$3,0,$C$27)</f>
        <v>2377.2718008844045</v>
      </c>
      <c r="D62" s="16">
        <f ca="1">_xll.meMathEuropeanIRSwaptionPrice($C$3,$C$16,$C$9,B62,$A$24,$D$3,0,$D$27)</f>
        <v>1556.9397515920268</v>
      </c>
    </row>
    <row r="63" spans="2:4" x14ac:dyDescent="0.25">
      <c r="B63" s="42">
        <f t="shared" si="0"/>
        <v>3.5000000000000024E-2</v>
      </c>
      <c r="C63" s="16">
        <f ca="1">_xll.meMathEuropeanIRSwaptionPrice($C$3,$C$16,$C$9,B63,$A$23,$D$3,0,$C$27)</f>
        <v>1873.1617698605264</v>
      </c>
      <c r="D63" s="16">
        <f ca="1">_xll.meMathEuropeanIRSwaptionPrice($C$3,$C$16,$C$9,B63,$A$24,$D$3,0,$D$27)</f>
        <v>1097.15300173578</v>
      </c>
    </row>
    <row r="64" spans="2:4" x14ac:dyDescent="0.25">
      <c r="B64" s="42">
        <f t="shared" si="0"/>
        <v>3.6000000000000025E-2</v>
      </c>
      <c r="C64" s="16">
        <f ca="1">_xll.meMathEuropeanIRSwaptionPrice($C$3,$C$16,$C$9,B64,$A$23,$D$3,0,$C$27)</f>
        <v>1468.9950678139769</v>
      </c>
      <c r="D64" s="16">
        <f ca="1">_xll.meMathEuropeanIRSwaptionPrice($C$3,$C$16,$C$9,B64,$A$24,$D$3,0,$D$27)</f>
        <v>757.19160889977013</v>
      </c>
    </row>
    <row r="65" spans="2:4" x14ac:dyDescent="0.25">
      <c r="B65" s="42">
        <f t="shared" si="0"/>
        <v>3.7000000000000026E-2</v>
      </c>
      <c r="C65" s="16">
        <f ca="1">_xll.meMathEuropeanIRSwaptionPrice($C$3,$C$16,$C$9,B65,$A$23,$D$3,0,$C$27)</f>
        <v>1147.0284134211531</v>
      </c>
      <c r="D65" s="16">
        <f ca="1">_xll.meMathEuropeanIRSwaptionPrice($C$3,$C$16,$C$9,B65,$A$24,$D$3,0,$D$27)</f>
        <v>511.55449570109437</v>
      </c>
    </row>
    <row r="66" spans="2:4" x14ac:dyDescent="0.25">
      <c r="B66" s="42">
        <f t="shared" si="0"/>
        <v>3.8000000000000027E-2</v>
      </c>
      <c r="C66" s="16">
        <f ca="1">_xll.meMathEuropeanIRSwaptionPrice($C$3,$C$16,$C$9,B66,$A$23,$D$3,0,$C$27)</f>
        <v>892.04826071652781</v>
      </c>
      <c r="D66" s="16">
        <f ca="1">_xll.meMathEuropeanIRSwaptionPrice($C$3,$C$16,$C$9,B66,$A$24,$D$3,0,$D$27)</f>
        <v>338.17768671605467</v>
      </c>
    </row>
    <row r="67" spans="2:4" x14ac:dyDescent="0.25">
      <c r="B67" s="42">
        <f t="shared" si="0"/>
        <v>3.9000000000000028E-2</v>
      </c>
      <c r="C67" s="16">
        <f ca="1">_xll.meMathEuropeanIRSwaptionPrice($C$3,$C$16,$C$9,B67,$A$23,$D$3,0,$C$27)</f>
        <v>691.20321422553604</v>
      </c>
      <c r="D67" s="16">
        <f ca="1">_xll.meMathEuropeanIRSwaptionPrice($C$3,$C$16,$C$9,B67,$A$24,$D$3,0,$D$27)</f>
        <v>218.6746713609754</v>
      </c>
    </row>
    <row r="68" spans="2:4" x14ac:dyDescent="0.25">
      <c r="B68" s="42">
        <f t="shared" si="0"/>
        <v>4.0000000000000029E-2</v>
      </c>
      <c r="C68" s="16">
        <f ca="1">_xll.meMathEuropeanIRSwaptionPrice($C$3,$C$16,$C$9,B68,$A$23,$D$3,0,$C$27)</f>
        <v>533.77805442381691</v>
      </c>
      <c r="D68" s="16">
        <f ca="1">_xll.meMathEuropeanIRSwaptionPrice($C$3,$C$16,$C$9,B68,$A$24,$D$3,0,$D$27)</f>
        <v>138.260855149029</v>
      </c>
    </row>
    <row r="69" spans="2:4" x14ac:dyDescent="0.25">
      <c r="B69" s="42">
        <f t="shared" si="0"/>
        <v>4.1000000000000029E-2</v>
      </c>
      <c r="C69" s="16">
        <f ca="1">_xll.meMathEuropeanIRSwaptionPrice($C$3,$C$16,$C$9,B69,$A$23,$D$3,0,$C$27)</f>
        <v>410.94081053571256</v>
      </c>
      <c r="D69" s="16">
        <f ca="1">_xll.meMathEuropeanIRSwaptionPrice($C$3,$C$16,$C$9,B69,$A$24,$D$3,0,$D$27)</f>
        <v>85.44883751506913</v>
      </c>
    </row>
    <row r="70" spans="2:4" x14ac:dyDescent="0.25">
      <c r="B70" s="42">
        <f t="shared" si="0"/>
        <v>4.200000000000003E-2</v>
      </c>
      <c r="C70" s="16">
        <f ca="1">_xll.meMathEuropeanIRSwaptionPrice($C$3,$C$16,$C$9,B70,$A$23,$D$3,0,$C$27)</f>
        <v>315.48552317822737</v>
      </c>
      <c r="D70" s="16">
        <f ca="1">_xll.meMathEuropeanIRSwaptionPrice($C$3,$C$16,$C$9,B70,$A$24,$D$3,0,$D$27)</f>
        <v>51.604723611937942</v>
      </c>
    </row>
    <row r="71" spans="2:4" x14ac:dyDescent="0.25">
      <c r="B71" s="42">
        <f t="shared" si="0"/>
        <v>4.3000000000000031E-2</v>
      </c>
      <c r="C71" s="16">
        <f ca="1">_xll.meMathEuropeanIRSwaptionPrice($C$3,$C$16,$C$9,B71,$A$23,$D$3,0,$C$27)</f>
        <v>241.58587791519997</v>
      </c>
      <c r="D71" s="16">
        <f ca="1">_xll.meMathEuropeanIRSwaptionPrice($C$3,$C$16,$C$9,B71,$A$24,$D$3,0,$D$27)</f>
        <v>30.445963435850288</v>
      </c>
    </row>
    <row r="72" spans="2:4" x14ac:dyDescent="0.25">
      <c r="B72" s="42">
        <f t="shared" si="0"/>
        <v>4.4000000000000032E-2</v>
      </c>
      <c r="C72" s="16">
        <f ca="1">_xll.meMathEuropeanIRSwaptionPrice($C$3,$C$16,$C$9,B72,$A$23,$D$3,0,$C$27)</f>
        <v>184.56895445244183</v>
      </c>
      <c r="D72" s="16">
        <f ca="1">_xll.meMathEuropeanIRSwaptionPrice($C$3,$C$16,$C$9,B72,$A$24,$D$3,0,$D$27)</f>
        <v>17.543533574925476</v>
      </c>
    </row>
    <row r="73" spans="2:4" x14ac:dyDescent="0.25">
      <c r="B73" s="42">
        <f t="shared" si="0"/>
        <v>4.5000000000000033E-2</v>
      </c>
      <c r="C73" s="16">
        <f ca="1">_xll.meMathEuropeanIRSwaptionPrice($C$3,$C$16,$C$9,B73,$A$23,$D$3,0,$C$27)</f>
        <v>140.7138735197021</v>
      </c>
      <c r="D73" s="16">
        <f ca="1">_xll.meMathEuropeanIRSwaptionPrice($C$3,$C$16,$C$9,B73,$A$24,$D$3,0,$D$27)</f>
        <v>9.8707547264229607</v>
      </c>
    </row>
    <row r="74" spans="2:4" x14ac:dyDescent="0.25">
      <c r="B74" s="42">
        <f t="shared" si="0"/>
        <v>4.6000000000000034E-2</v>
      </c>
      <c r="C74" s="16">
        <f ca="1">_xll.meMathEuropeanIRSwaptionPrice($C$3,$C$16,$C$9,B74,$A$23,$D$3,0,$C$27)</f>
        <v>107.07695208992973</v>
      </c>
      <c r="D74" s="16">
        <f ca="1">_xll.meMathEuropeanIRSwaptionPrice($C$3,$C$16,$C$9,B74,$A$24,$D$3,0,$D$27)</f>
        <v>5.4217118262350317</v>
      </c>
    </row>
    <row r="75" spans="2:4" x14ac:dyDescent="0.25">
      <c r="B75" s="42">
        <f t="shared" si="0"/>
        <v>4.7000000000000035E-2</v>
      </c>
      <c r="C75" s="16">
        <f ca="1">_xll.meMathEuropeanIRSwaptionPrice($C$3,$C$16,$C$9,B75,$A$23,$D$3,0,$C$27)</f>
        <v>81.342862159507149</v>
      </c>
      <c r="D75" s="16">
        <f ca="1">_xll.meMathEuropeanIRSwaptionPrice($C$3,$C$16,$C$9,B75,$A$24,$D$3,0,$D$27)</f>
        <v>2.9066278773712404</v>
      </c>
    </row>
    <row r="76" spans="2:4" x14ac:dyDescent="0.25">
      <c r="B76" s="42">
        <f t="shared" si="0"/>
        <v>4.8000000000000036E-2</v>
      </c>
      <c r="C76" s="16">
        <f ca="1">_xll.meMathEuropeanIRSwaptionPrice($C$3,$C$16,$C$9,B76,$A$23,$D$3,0,$C$27)</f>
        <v>61.699989523549121</v>
      </c>
      <c r="D76" s="16">
        <f ca="1">_xll.meMathEuropeanIRSwaptionPrice($C$3,$C$16,$C$9,B76,$A$24,$D$3,0,$D$27)</f>
        <v>1.5206532800079013</v>
      </c>
    </row>
    <row r="77" spans="2:4" x14ac:dyDescent="0.25">
      <c r="B77" s="42">
        <f t="shared" si="0"/>
        <v>4.9000000000000037E-2</v>
      </c>
      <c r="C77" s="16">
        <f ca="1">_xll.meMathEuropeanIRSwaptionPrice($C$3,$C$16,$C$9,B77,$A$23,$D$3,0,$C$27)</f>
        <v>46.737490641729671</v>
      </c>
      <c r="D77" s="16">
        <f ca="1">_xll.meMathEuropeanIRSwaptionPrice($C$3,$C$16,$C$9,B77,$A$24,$D$3,0,$D$27)</f>
        <v>0.77622149366245141</v>
      </c>
    </row>
    <row r="78" spans="2:4" x14ac:dyDescent="0.25">
      <c r="B78" s="42">
        <f t="shared" si="0"/>
        <v>5.0000000000000037E-2</v>
      </c>
      <c r="C78" s="16">
        <f ca="1">_xll.meMathEuropeanIRSwaptionPrice($C$3,$C$16,$C$9,B78,$A$23,$D$3,0,$C$27)</f>
        <v>35.361266918806088</v>
      </c>
      <c r="D78" s="16">
        <f ca="1">_xll.meMathEuropeanIRSwaptionPrice($C$3,$C$16,$C$9,B78,$A$24,$D$3,0,$D$27)</f>
        <v>0.38653454690120131</v>
      </c>
    </row>
    <row r="79" spans="2:4" x14ac:dyDescent="0.25">
      <c r="B79" s="42">
        <f t="shared" si="0"/>
        <v>5.1000000000000038E-2</v>
      </c>
      <c r="C79" s="16">
        <f ca="1">_xll.meMathEuropeanIRSwaptionPrice($C$3,$C$16,$C$9,B79,$A$23,$D$3,0,$C$27)</f>
        <v>26.726073642562255</v>
      </c>
      <c r="D79" s="16">
        <f ca="1">_xll.meMathEuropeanIRSwaptionPrice($C$3,$C$16,$C$9,B79,$A$24,$D$3,0,$D$27)</f>
        <v>0.187748181792771</v>
      </c>
    </row>
    <row r="80" spans="2:4" x14ac:dyDescent="0.25">
      <c r="B80" s="42">
        <f t="shared" si="0"/>
        <v>5.2000000000000039E-2</v>
      </c>
      <c r="C80" s="16">
        <f ca="1">_xll.meMathEuropeanIRSwaptionPrice($C$3,$C$16,$C$9,B80,$A$23,$D$3,0,$C$27)</f>
        <v>20.181147921910746</v>
      </c>
      <c r="D80" s="16">
        <f ca="1">_xll.meMathEuropeanIRSwaptionPrice($C$3,$C$16,$C$9,B80,$A$24,$D$3,0,$D$27)</f>
        <v>8.8938574827542652E-2</v>
      </c>
    </row>
    <row r="81" spans="2:4" x14ac:dyDescent="0.25">
      <c r="B81" s="42">
        <f t="shared" si="0"/>
        <v>5.300000000000004E-2</v>
      </c>
      <c r="C81" s="16">
        <f ca="1">_xll.meMathEuropeanIRSwaptionPrice($C$3,$C$16,$C$9,B81,$A$23,$D$3,0,$C$27)</f>
        <v>15.226998939270453</v>
      </c>
      <c r="D81" s="16">
        <f ca="1">_xll.meMathEuropeanIRSwaptionPrice($C$3,$C$16,$C$9,B81,$A$24,$D$3,0,$D$27)</f>
        <v>4.1084505791935948E-2</v>
      </c>
    </row>
    <row r="82" spans="2:4" x14ac:dyDescent="0.25">
      <c r="B82" s="42">
        <f t="shared" si="0"/>
        <v>5.4000000000000041E-2</v>
      </c>
      <c r="C82" s="16">
        <f ca="1">_xll.meMathEuropeanIRSwaptionPrice($C$3,$C$16,$C$9,B82,$A$23,$D$3,0,$C$27)</f>
        <v>11.481301626338373</v>
      </c>
      <c r="D82" s="16">
        <f ca="1">_xll.meMathEuropeanIRSwaptionPrice($C$3,$C$16,$C$9,B82,$A$24,$D$3,0,$D$27)</f>
        <v>1.8505030194522383E-2</v>
      </c>
    </row>
    <row r="83" spans="2:4" x14ac:dyDescent="0.25">
      <c r="B83" s="42">
        <f t="shared" si="0"/>
        <v>5.5000000000000042E-2</v>
      </c>
      <c r="C83" s="16">
        <f ca="1">_xll.meMathEuropeanIRSwaptionPrice($C$3,$C$16,$C$9,B83,$A$23,$D$3,0,$C$27)</f>
        <v>8.6521370144373115</v>
      </c>
      <c r="D83" s="16">
        <f ca="1">_xll.meMathEuropeanIRSwaptionPrice($C$3,$C$16,$C$9,B83,$A$24,$D$3,0,$D$27)</f>
        <v>8.1260457548071978E-3</v>
      </c>
    </row>
    <row r="84" spans="2:4" x14ac:dyDescent="0.25">
      <c r="B84" s="42">
        <f t="shared" si="0"/>
        <v>5.6000000000000043E-2</v>
      </c>
      <c r="C84" s="16">
        <f ca="1">_xll.meMathEuropeanIRSwaptionPrice($C$3,$C$16,$C$9,B84,$A$23,$D$3,0,$C$27)</f>
        <v>6.5171081447627248</v>
      </c>
      <c r="D84" s="16">
        <f ca="1">_xll.meMathEuropeanIRSwaptionPrice($C$3,$C$16,$C$9,B84,$A$24,$D$3,0,$D$27)</f>
        <v>3.4785929944125583E-3</v>
      </c>
    </row>
    <row r="85" spans="2:4" x14ac:dyDescent="0.25">
      <c r="B85" s="42">
        <f t="shared" si="0"/>
        <v>5.7000000000000044E-2</v>
      </c>
      <c r="C85" s="16">
        <f ca="1">_xll.meMathEuropeanIRSwaptionPrice($C$3,$C$16,$C$9,B85,$A$23,$D$3,0,$C$27)</f>
        <v>4.9071182825974189</v>
      </c>
      <c r="D85" s="16">
        <f ca="1">_xll.meMathEuropeanIRSwaptionPrice($C$3,$C$16,$C$9,B85,$A$24,$D$3,0,$D$27)</f>
        <v>1.4515199012171724E-3</v>
      </c>
    </row>
    <row r="86" spans="2:4" x14ac:dyDescent="0.25">
      <c r="B86" s="42">
        <f t="shared" si="0"/>
        <v>5.8000000000000045E-2</v>
      </c>
      <c r="C86" s="16">
        <f ca="1">_xll.meMathEuropeanIRSwaptionPrice($C$3,$C$16,$C$9,B86,$A$23,$D$3,0,$C$27)</f>
        <v>3.6938234535174757</v>
      </c>
      <c r="D86" s="16">
        <f ca="1">_xll.meMathEuropeanIRSwaptionPrice($C$3,$C$16,$C$9,B86,$A$24,$D$3,0,$D$27)</f>
        <v>5.9033734311616766E-4</v>
      </c>
    </row>
    <row r="87" spans="2:4" x14ac:dyDescent="0.25">
      <c r="B87" s="42">
        <f t="shared" si="0"/>
        <v>5.9000000000000045E-2</v>
      </c>
      <c r="C87" s="16">
        <f ca="1">_xll.meMathEuropeanIRSwaptionPrice($C$3,$C$16,$C$9,B87,$A$23,$D$3,0,$C$27)</f>
        <v>2.7799633282748792</v>
      </c>
      <c r="D87" s="16">
        <f ca="1">_xll.meMathEuropeanIRSwaptionPrice($C$3,$C$16,$C$9,B87,$A$24,$D$3,0,$D$27)</f>
        <v>2.3399187204205065E-4</v>
      </c>
    </row>
    <row r="88" spans="2:4" x14ac:dyDescent="0.25">
      <c r="B88" s="42">
        <f t="shared" si="0"/>
        <v>6.0000000000000046E-2</v>
      </c>
      <c r="C88" s="16">
        <f ca="1">_xll.meMathEuropeanIRSwaptionPrice($C$3,$C$16,$C$9,B88,$A$23,$D$3,0,$C$27)</f>
        <v>2.091935006108629</v>
      </c>
      <c r="D88" s="16">
        <f ca="1">_xll.meMathEuropeanIRSwaptionPrice($C$3,$C$16,$C$9,B88,$A$24,$D$3,0,$D$27)</f>
        <v>9.0384136281902369E-5</v>
      </c>
    </row>
    <row r="89" spans="2:4" x14ac:dyDescent="0.25">
      <c r="B89" s="42">
        <f t="shared" si="0"/>
        <v>6.1000000000000047E-2</v>
      </c>
      <c r="C89" s="16">
        <f ca="1">_xll.meMathEuropeanIRSwaptionPrice($C$3,$C$16,$C$9,B89,$A$23,$D$3,0,$C$27)</f>
        <v>1.5741063726837596</v>
      </c>
      <c r="D89" s="16">
        <f ca="1">_xll.meMathEuropeanIRSwaptionPrice($C$3,$C$16,$C$9,B89,$A$24,$D$3,0,$D$27)</f>
        <v>3.402078765846558E-5</v>
      </c>
    </row>
    <row r="90" spans="2:4" x14ac:dyDescent="0.25">
      <c r="B90" s="42">
        <f t="shared" si="0"/>
        <v>6.2000000000000048E-2</v>
      </c>
      <c r="C90" s="16">
        <f ca="1">_xll.meMathEuropeanIRSwaptionPrice($C$3,$C$16,$C$9,B90,$A$23,$D$3,0,$C$27)</f>
        <v>1.1844730760279425</v>
      </c>
      <c r="D90" s="16">
        <f ca="1">_xll.meMathEuropeanIRSwaptionPrice($C$3,$C$16,$C$9,B90,$A$24,$D$3,0,$D$27)</f>
        <v>1.2477539789185515E-5</v>
      </c>
    </row>
    <row r="91" spans="2:4" x14ac:dyDescent="0.25">
      <c r="B91" s="42">
        <f t="shared" si="0"/>
        <v>6.3000000000000042E-2</v>
      </c>
      <c r="C91" s="16">
        <f ca="1">_xll.meMathEuropeanIRSwaptionPrice($C$3,$C$16,$C$9,B91,$A$23,$D$3,0,$C$27)</f>
        <v>0.89134947932156283</v>
      </c>
      <c r="D91" s="16">
        <f ca="1">_xll.meMathEuropeanIRSwaptionPrice($C$3,$C$16,$C$9,B91,$A$24,$D$3,0,$D$27)</f>
        <v>4.4588158847810372E-6</v>
      </c>
    </row>
    <row r="92" spans="2:4" x14ac:dyDescent="0.25">
      <c r="B92" s="42">
        <f t="shared" si="0"/>
        <v>6.4000000000000043E-2</v>
      </c>
      <c r="C92" s="16">
        <f ca="1">_xll.meMathEuropeanIRSwaptionPrice($C$3,$C$16,$C$9,B92,$A$23,$D$3,0,$C$27)</f>
        <v>0.67085271155976112</v>
      </c>
      <c r="D92" s="16">
        <f ca="1">_xll.meMathEuropeanIRSwaptionPrice($C$3,$C$16,$C$9,B92,$A$24,$D$3,0,$D$27)</f>
        <v>1.5523558337810518E-6</v>
      </c>
    </row>
    <row r="93" spans="2:4" x14ac:dyDescent="0.25">
      <c r="B93" s="42">
        <f t="shared" si="0"/>
        <v>6.5000000000000044E-2</v>
      </c>
      <c r="C93" s="16">
        <f ca="1">_xll.meMathEuropeanIRSwaptionPrice($C$3,$C$16,$C$9,B93,$A$23,$D$3,0,$C$27)</f>
        <v>0.50499328964702905</v>
      </c>
      <c r="D93" s="16">
        <f ca="1">_xll.meMathEuropeanIRSwaptionPrice($C$3,$C$16,$C$9,B93,$A$24,$D$3,0,$D$27)</f>
        <v>5.265272976237237E-7</v>
      </c>
    </row>
    <row r="94" spans="2:4" x14ac:dyDescent="0.25">
      <c r="B94" s="42">
        <f t="shared" ref="B94:B119" si="1">B93+0.1%</f>
        <v>6.6000000000000045E-2</v>
      </c>
      <c r="C94" s="16">
        <f ca="1">_xll.meMathEuropeanIRSwaptionPrice($C$3,$C$16,$C$9,B94,$A$23,$D$3,0,$C$27)</f>
        <v>0.38022845929237109</v>
      </c>
      <c r="D94" s="16">
        <f ca="1">_xll.meMathEuropeanIRSwaptionPrice($C$3,$C$16,$C$9,B94,$A$24,$D$3,0,$D$27)</f>
        <v>1.7397486435013163E-7</v>
      </c>
    </row>
    <row r="95" spans="2:4" x14ac:dyDescent="0.25">
      <c r="B95" s="42">
        <f t="shared" si="1"/>
        <v>6.7000000000000046E-2</v>
      </c>
      <c r="C95" s="16">
        <f ca="1">_xll.meMathEuropeanIRSwaptionPrice($C$3,$C$16,$C$9,B95,$A$23,$D$3,0,$C$27)</f>
        <v>0.28636771067825711</v>
      </c>
      <c r="D95" s="16">
        <f ca="1">_xll.meMathEuropeanIRSwaptionPrice($C$3,$C$16,$C$9,B95,$A$24,$D$3,0,$D$27)</f>
        <v>5.599736010847412E-8</v>
      </c>
    </row>
    <row r="96" spans="2:4" x14ac:dyDescent="0.25">
      <c r="B96" s="42">
        <f t="shared" si="1"/>
        <v>6.8000000000000047E-2</v>
      </c>
      <c r="C96" s="16">
        <f ca="1">_xll.meMathEuropeanIRSwaptionPrice($C$3,$C$16,$C$9,B96,$A$23,$D$3,0,$C$27)</f>
        <v>0.21574579070534985</v>
      </c>
      <c r="D96" s="16">
        <f ca="1">_xll.meMathEuropeanIRSwaptionPrice($C$3,$C$16,$C$9,B96,$A$24,$D$3,0,$D$27)</f>
        <v>1.7556772194469841E-8</v>
      </c>
    </row>
    <row r="97" spans="2:4" x14ac:dyDescent="0.25">
      <c r="B97" s="42">
        <f t="shared" si="1"/>
        <v>6.9000000000000047E-2</v>
      </c>
      <c r="C97" s="16">
        <f ca="1">_xll.meMathEuropeanIRSwaptionPrice($C$3,$C$16,$C$9,B97,$A$23,$D$3,0,$C$27)</f>
        <v>0.16259852966094715</v>
      </c>
      <c r="D97" s="16">
        <f ca="1">_xll.meMathEuropeanIRSwaptionPrice($C$3,$C$16,$C$9,B97,$A$24,$D$3,0,$D$27)</f>
        <v>5.3616644480557261E-9</v>
      </c>
    </row>
    <row r="98" spans="2:4" x14ac:dyDescent="0.25">
      <c r="B98" s="42">
        <f t="shared" si="1"/>
        <v>7.0000000000000048E-2</v>
      </c>
      <c r="C98" s="16">
        <f ca="1">_xll.meMathEuropeanIRSwaptionPrice($C$3,$C$16,$C$9,B98,$A$23,$D$3,0,$C$27)</f>
        <v>0.12259219744941718</v>
      </c>
      <c r="D98" s="16">
        <f ca="1">_xll.meMathEuropeanIRSwaptionPrice($C$3,$C$16,$C$9,B98,$A$24,$D$3,0,$D$27)</f>
        <v>1.594833049226104E-9</v>
      </c>
    </row>
    <row r="99" spans="2:4" x14ac:dyDescent="0.25">
      <c r="B99" s="42">
        <f t="shared" si="1"/>
        <v>7.1000000000000049E-2</v>
      </c>
      <c r="C99" s="16">
        <f ca="1">_xll.meMathEuropeanIRSwaptionPrice($C$3,$C$16,$C$9,B99,$A$23,$D$3,0,$C$27)</f>
        <v>9.2468919414746387E-2</v>
      </c>
      <c r="D99" s="16">
        <f ca="1">_xll.meMathEuropeanIRSwaptionPrice($C$3,$C$16,$C$9,B99,$A$24,$D$3,0,$D$27)</f>
        <v>4.6203537889301452E-10</v>
      </c>
    </row>
    <row r="100" spans="2:4" x14ac:dyDescent="0.25">
      <c r="B100" s="42">
        <f t="shared" si="1"/>
        <v>7.200000000000005E-2</v>
      </c>
      <c r="C100" s="16">
        <f ca="1">_xll.meMathEuropeanIRSwaptionPrice($C$3,$C$16,$C$9,B100,$A$23,$D$3,0,$C$27)</f>
        <v>6.9779719898715314E-2</v>
      </c>
      <c r="D100" s="16">
        <f ca="1">_xll.meMathEuropeanIRSwaptionPrice($C$3,$C$16,$C$9,B100,$A$24,$D$3,0,$D$27)</f>
        <v>1.3036599176768294E-10</v>
      </c>
    </row>
    <row r="101" spans="2:4" x14ac:dyDescent="0.25">
      <c r="B101" s="42">
        <f t="shared" si="1"/>
        <v>7.3000000000000051E-2</v>
      </c>
      <c r="C101" s="16">
        <f ca="1">_xll.meMathEuropeanIRSwaptionPrice($C$3,$C$16,$C$9,B101,$A$23,$D$3,0,$C$27)</f>
        <v>5.2683656834962636E-2</v>
      </c>
      <c r="D101" s="16">
        <f ca="1">_xll.meMathEuropeanIRSwaptionPrice($C$3,$C$16,$C$9,B101,$A$24,$D$3,0,$D$27)</f>
        <v>3.5823496730964192E-11</v>
      </c>
    </row>
    <row r="102" spans="2:4" x14ac:dyDescent="0.25">
      <c r="B102" s="42">
        <f t="shared" si="1"/>
        <v>7.4000000000000052E-2</v>
      </c>
      <c r="C102" s="16">
        <f ca="1">_xll.meMathEuropeanIRSwaptionPrice($C$3,$C$16,$C$9,B102,$A$23,$D$3,0,$C$27)</f>
        <v>3.9796758345496432E-2</v>
      </c>
      <c r="D102" s="16">
        <f ca="1">_xll.meMathEuropeanIRSwaptionPrice($C$3,$C$16,$C$9,B102,$A$24,$D$3,0,$D$27)</f>
        <v>9.5867742582802039E-12</v>
      </c>
    </row>
    <row r="103" spans="2:4" x14ac:dyDescent="0.25">
      <c r="B103" s="42">
        <f t="shared" si="1"/>
        <v>7.5000000000000053E-2</v>
      </c>
      <c r="C103" s="16">
        <f ca="1">_xll.meMathEuropeanIRSwaptionPrice($C$3,$C$16,$C$9,B103,$A$23,$D$3,0,$C$27)</f>
        <v>3.007845765634946E-2</v>
      </c>
      <c r="D103" s="16">
        <f ca="1">_xll.meMathEuropeanIRSwaptionPrice($C$3,$C$16,$C$9,B103,$A$24,$D$3,0,$D$27)</f>
        <v>2.498416850694118E-12</v>
      </c>
    </row>
    <row r="104" spans="2:4" x14ac:dyDescent="0.25">
      <c r="B104" s="42">
        <f t="shared" si="1"/>
        <v>7.6000000000000054E-2</v>
      </c>
      <c r="C104" s="16">
        <f ca="1">_xll.meMathEuropeanIRSwaptionPrice($C$3,$C$16,$C$9,B104,$A$23,$D$3,0,$C$27)</f>
        <v>2.2746243670336008E-2</v>
      </c>
      <c r="D104" s="16">
        <f ca="1">_xll.meMathEuropeanIRSwaptionPrice($C$3,$C$16,$C$9,B104,$A$24,$D$3,0,$D$27)</f>
        <v>6.3406365552924257E-13</v>
      </c>
    </row>
    <row r="105" spans="2:4" x14ac:dyDescent="0.25">
      <c r="B105" s="42">
        <f t="shared" si="1"/>
        <v>7.7000000000000055E-2</v>
      </c>
      <c r="C105" s="16">
        <f ca="1">_xll.meMathEuropeanIRSwaptionPrice($C$3,$C$16,$C$9,B105,$A$23,$D$3,0,$C$27)</f>
        <v>1.7211530797063886E-2</v>
      </c>
      <c r="D105" s="16">
        <f ca="1">_xll.meMathEuropeanIRSwaptionPrice($C$3,$C$16,$C$9,B105,$A$24,$D$3,0,$D$27)</f>
        <v>1.566984501669814E-13</v>
      </c>
    </row>
    <row r="106" spans="2:4" x14ac:dyDescent="0.25">
      <c r="B106" s="42">
        <f t="shared" si="1"/>
        <v>7.8000000000000055E-2</v>
      </c>
      <c r="C106" s="16">
        <f ca="1">_xll.meMathEuropeanIRSwaptionPrice($C$3,$C$16,$C$9,B106,$A$23,$D$3,0,$C$27)</f>
        <v>1.303147935133178E-2</v>
      </c>
      <c r="D106" s="16">
        <f ca="1">_xll.meMathEuropeanIRSwaptionPrice($C$3,$C$16,$C$9,B106,$A$24,$D$3,0,$D$27)</f>
        <v>3.770937510941219E-14</v>
      </c>
    </row>
    <row r="107" spans="2:4" x14ac:dyDescent="0.25">
      <c r="B107" s="42">
        <f t="shared" si="1"/>
        <v>7.9000000000000056E-2</v>
      </c>
      <c r="C107" s="16">
        <f ca="1">_xll.meMathEuropeanIRSwaptionPrice($C$3,$C$16,$C$9,B107,$A$23,$D$3,0,$C$27)</f>
        <v>9.8728018032179215E-3</v>
      </c>
      <c r="D107" s="16">
        <f ca="1">_xll.meMathEuropeanIRSwaptionPrice($C$3,$C$16,$C$9,B107,$A$24,$D$3,0,$D$27)</f>
        <v>8.8364175733609275E-15</v>
      </c>
    </row>
    <row r="108" spans="2:4" x14ac:dyDescent="0.25">
      <c r="B108" s="42">
        <f t="shared" si="1"/>
        <v>8.0000000000000057E-2</v>
      </c>
      <c r="C108" s="16">
        <f ca="1">_xll.meMathEuropeanIRSwaptionPrice($C$3,$C$16,$C$9,B108,$A$23,$D$3,0,$C$27)</f>
        <v>7.4845732446647681E-3</v>
      </c>
      <c r="D108" s="16">
        <f ca="1">_xll.meMathEuropeanIRSwaptionPrice($C$3,$C$16,$C$9,B108,$A$24,$D$3,0,$D$27)</f>
        <v>2.016208177515253E-15</v>
      </c>
    </row>
    <row r="109" spans="2:4" x14ac:dyDescent="0.25">
      <c r="B109" s="42">
        <f t="shared" si="1"/>
        <v>8.1000000000000058E-2</v>
      </c>
      <c r="C109" s="16">
        <f ca="1">_xll.meMathEuropeanIRSwaptionPrice($C$3,$C$16,$C$9,B109,$A$23,$D$3,0,$C$27)</f>
        <v>5.6778048945625072E-3</v>
      </c>
      <c r="D109" s="16">
        <f ca="1">_xll.meMathEuropeanIRSwaptionPrice($C$3,$C$16,$C$9,B109,$A$24,$D$3,0,$D$27)</f>
        <v>4.4793730370876528E-16</v>
      </c>
    </row>
    <row r="110" spans="2:4" x14ac:dyDescent="0.25">
      <c r="B110" s="42">
        <f t="shared" si="1"/>
        <v>8.2000000000000059E-2</v>
      </c>
      <c r="C110" s="16">
        <f ca="1">_xll.meMathEuropeanIRSwaptionPrice($C$3,$C$16,$C$9,B110,$A$23,$D$3,0,$C$27)</f>
        <v>4.3100967255033018E-3</v>
      </c>
      <c r="D110" s="16">
        <f ca="1">_xll.meMathEuropeanIRSwaptionPrice($C$3,$C$16,$C$9,B110,$A$24,$D$3,0,$D$27)</f>
        <v>9.6897537089519069E-17</v>
      </c>
    </row>
    <row r="111" spans="2:4" x14ac:dyDescent="0.25">
      <c r="B111" s="42">
        <f t="shared" si="1"/>
        <v>8.300000000000006E-2</v>
      </c>
      <c r="C111" s="16">
        <f ca="1">_xll.meMathEuropeanIRSwaptionPrice($C$3,$C$16,$C$9,B111,$A$23,$D$3,0,$C$27)</f>
        <v>3.2741043979144847E-3</v>
      </c>
      <c r="D111" s="16">
        <f ca="1">_xll.meMathEuropeanIRSwaptionPrice($C$3,$C$16,$C$9,B111,$A$24,$D$3,0,$D$27)</f>
        <v>2.0408601710607311E-17</v>
      </c>
    </row>
    <row r="112" spans="2:4" x14ac:dyDescent="0.25">
      <c r="B112" s="42">
        <f t="shared" si="1"/>
        <v>8.4000000000000061E-2</v>
      </c>
      <c r="C112" s="16">
        <f ca="1">_xll.meMathEuropeanIRSwaptionPrice($C$3,$C$16,$C$9,B112,$A$23,$D$3,0,$C$27)</f>
        <v>2.48887070401404E-3</v>
      </c>
      <c r="D112" s="16">
        <f ca="1">_xll.meMathEuropeanIRSwaptionPrice($C$3,$C$16,$C$9,B112,$A$24,$D$3,0,$D$27)</f>
        <v>4.1851451717614988E-18</v>
      </c>
    </row>
    <row r="113" spans="2:4" x14ac:dyDescent="0.25">
      <c r="B113" s="42">
        <f t="shared" si="1"/>
        <v>8.5000000000000062E-2</v>
      </c>
      <c r="C113" s="16">
        <f ca="1">_xll.meMathEuropeanIRSwaptionPrice($C$3,$C$16,$C$9,B113,$A$23,$D$3,0,$C$27)</f>
        <v>1.8933083946070166E-3</v>
      </c>
      <c r="D113" s="16">
        <f ca="1">_xll.meMathEuropeanIRSwaptionPrice($C$3,$C$16,$C$9,B113,$A$24,$D$3,0,$D$27)</f>
        <v>8.3559668553405403E-19</v>
      </c>
    </row>
    <row r="114" spans="2:4" x14ac:dyDescent="0.25">
      <c r="B114" s="42">
        <f t="shared" si="1"/>
        <v>8.6000000000000063E-2</v>
      </c>
      <c r="C114" s="16">
        <f ca="1">_xll.meMathEuropeanIRSwaptionPrice($C$3,$C$16,$C$9,B114,$A$23,$D$3,0,$C$27)</f>
        <v>1.4412990051226003E-3</v>
      </c>
      <c r="D114" s="16">
        <f ca="1">_xll.meMathEuropeanIRSwaptionPrice($C$3,$C$16,$C$9,B114,$A$24,$D$3,0,$D$27)</f>
        <v>1.6242926935110469E-19</v>
      </c>
    </row>
    <row r="115" spans="2:4" x14ac:dyDescent="0.25">
      <c r="B115" s="42">
        <f t="shared" si="1"/>
        <v>8.7000000000000063E-2</v>
      </c>
      <c r="C115" s="16">
        <f ca="1">_xll.meMathEuropeanIRSwaptionPrice($C$3,$C$16,$C$9,B115,$A$23,$D$3,0,$C$27)</f>
        <v>1.0980057475505822E-3</v>
      </c>
      <c r="D115" s="16">
        <f ca="1">_xll.meMathEuropeanIRSwaptionPrice($C$3,$C$16,$C$9,B115,$A$24,$D$3,0,$D$27)</f>
        <v>3.0740158713778749E-20</v>
      </c>
    </row>
    <row r="116" spans="2:4" x14ac:dyDescent="0.25">
      <c r="B116" s="42">
        <f t="shared" si="1"/>
        <v>8.8000000000000064E-2</v>
      </c>
      <c r="C116" s="16">
        <f ca="1">_xll.meMathEuropeanIRSwaptionPrice($C$3,$C$16,$C$9,B116,$A$23,$D$3,0,$C$27)</f>
        <v>8.3709870938704898E-4</v>
      </c>
      <c r="D116" s="16">
        <f ca="1">_xll.meMathEuropeanIRSwaptionPrice($C$3,$C$16,$C$9,B116,$A$24,$D$3,0,$D$27)</f>
        <v>5.6638964085320501E-21</v>
      </c>
    </row>
    <row r="117" spans="2:4" x14ac:dyDescent="0.25">
      <c r="B117" s="42">
        <f t="shared" si="1"/>
        <v>8.9000000000000065E-2</v>
      </c>
      <c r="C117" s="16">
        <f ca="1">_xll.meMathEuropeanIRSwaptionPrice($C$3,$C$16,$C$9,B117,$A$23,$D$3,0,$C$27)</f>
        <v>6.386657869741761E-4</v>
      </c>
      <c r="D117" s="16">
        <f ca="1">_xll.meMathEuropeanIRSwaptionPrice($C$3,$C$16,$C$9,B117,$A$24,$D$3,0,$D$27)</f>
        <v>1.0159803930573365E-21</v>
      </c>
    </row>
    <row r="118" spans="2:4" x14ac:dyDescent="0.25">
      <c r="B118" s="42">
        <f t="shared" si="1"/>
        <v>9.0000000000000066E-2</v>
      </c>
      <c r="C118" s="16">
        <f ca="1">_xll.meMathEuropeanIRSwaptionPrice($C$3,$C$16,$C$9,B118,$A$23,$D$3,0,$C$27)</f>
        <v>4.8763920848383821E-4</v>
      </c>
      <c r="D118" s="16">
        <f ca="1">_xll.meMathEuropeanIRSwaptionPrice($C$3,$C$16,$C$9,B118,$A$24,$D$3,0,$D$27)</f>
        <v>1.7742299689806218E-22</v>
      </c>
    </row>
    <row r="119" spans="2:4" x14ac:dyDescent="0.25">
      <c r="B119" s="42">
        <f t="shared" si="1"/>
        <v>9.1000000000000067E-2</v>
      </c>
      <c r="C119" s="16">
        <f ca="1">_xll.meMathEuropeanIRSwaptionPrice($C$3,$C$16,$C$9,B119,$A$23,$D$3,0,$C$27)</f>
        <v>3.7260985143966913E-4</v>
      </c>
      <c r="D119" s="16">
        <f ca="1">_xll.meMathEuropeanIRSwaptionPrice($C$3,$C$16,$C$9,B119,$A$24,$D$3,0,$D$27)</f>
        <v>3.0163591447353885E-23</v>
      </c>
    </row>
  </sheetData>
  <dataValidations count="4">
    <dataValidation type="list" allowBlank="1" showInputMessage="1" showErrorMessage="1" sqref="C3">
      <formula1>"PAYER,RECEIVER"</formula1>
    </dataValidation>
    <dataValidation type="list" allowBlank="1" showInputMessage="1" showErrorMessage="1" sqref="C21">
      <formula1>"CASH,PHYSICAL"</formula1>
    </dataValidation>
    <dataValidation type="list" allowBlank="1" showInputMessage="1" showErrorMessage="1" sqref="C14">
      <formula1>"ANNUAL,SEMI-ANNUAL,QUARTERLY,MONTHLY"</formula1>
    </dataValidation>
    <dataValidation type="list" allowBlank="1" showInputMessage="1" showErrorMessage="1" sqref="C15">
      <formula1>"SHORT_START,SHORT_END,LONG_START,LONG_END,NONE"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 Swaption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2017-08-10T11:56:55Z</dcterms:created>
  <dcterms:modified xsi:type="dcterms:W3CDTF">2018-02-09T18:18:13Z</dcterms:modified>
</cp:coreProperties>
</file>